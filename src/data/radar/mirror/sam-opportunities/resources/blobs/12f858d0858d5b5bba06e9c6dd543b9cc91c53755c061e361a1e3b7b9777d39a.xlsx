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eric_m_daly6_civ_us_navy_mil/Documents/Documents/Workload/Andrew/N68335-26-RFPREQ-BL41000-0082 SAP/"/>
    </mc:Choice>
  </mc:AlternateContent>
  <xr:revisionPtr revIDLastSave="0" documentId="8_{55303CC1-5875-456C-82E2-82EFAA447D2D}" xr6:coauthVersionLast="47" xr6:coauthVersionMax="47" xr10:uidLastSave="{00000000-0000-0000-0000-000000000000}"/>
  <bookViews>
    <workbookView xWindow="-19310" yWindow="-110" windowWidth="19420" windowHeight="11500" tabRatio="945" firstSheet="57" activeTab="66" xr2:uid="{00000000-000D-0000-FFFF-FFFF00000000}"/>
  </bookViews>
  <sheets>
    <sheet name="SEID" sheetId="63" r:id="rId1"/>
    <sheet name="Tool Set, Flight Equipment" sheetId="94" r:id="rId2"/>
    <sheet name="Tool Set, Structure Box (A)" sheetId="177" r:id="rId3"/>
    <sheet name="Tool Set, LO Composite (A)" sheetId="156" r:id="rId4"/>
    <sheet name="Tool Set, Structure Box (BC)" sheetId="112" r:id="rId5"/>
    <sheet name="Tool Set, Power Plants (A)" sheetId="157" r:id="rId6"/>
    <sheet name="Tool Set, Engine (BC)" sheetId="110" r:id="rId7"/>
    <sheet name="Tool Set, Tire Back Shop (A)" sheetId="36" r:id="rId8"/>
    <sheet name="Tool Set, ECS (BC)" sheetId="113" r:id="rId9"/>
    <sheet name="Tool Set, Support Equip (AB)" sheetId="158" r:id="rId10"/>
    <sheet name="Tool Set, AF Shop Equip (BC)" sheetId="135" r:id="rId11"/>
    <sheet name="Tool Set, MALS Tire Buildup (B)" sheetId="131" r:id="rId12"/>
    <sheet name="Tool Set, Ordnance Shop (B)" sheetId="143" r:id="rId13"/>
    <sheet name="Tool Set, Ordnance Shop (C)" sheetId="142" r:id="rId14"/>
    <sheet name="Tool Set, Gun Maint Shop (BC)" sheetId="145" r:id="rId15"/>
    <sheet name="Tool Set, Mask Oxygen Only" sheetId="105" r:id="rId16"/>
    <sheet name="Tool Set, Electrical Shop (C)" sheetId="127" r:id="rId17"/>
    <sheet name="Tool Set, Supplemental (BC)" sheetId="139" r:id="rId18"/>
    <sheet name="Tool Set, Master Puller Kit (AB" sheetId="184" r:id="rId19"/>
    <sheet name="Tool Set, Seat Survival" sheetId="188" r:id="rId20"/>
    <sheet name="Tool Set, AF Hyd (BC)" sheetId="114" r:id="rId21"/>
    <sheet name="Tool Set, PP Shop (BC)" sheetId="115" r:id="rId22"/>
    <sheet name="Tool Set, Lift Systems (B)" sheetId="91" r:id="rId23"/>
    <sheet name="Tool Set, Egress (A)" sheetId="159" r:id="rId24"/>
    <sheet name="Tool Set, Egress (BC)" sheetId="108" r:id="rId25"/>
    <sheet name="Tool Set, Torque Head " sheetId="23" r:id="rId26"/>
    <sheet name="Tool Set, Fuels  (A)" sheetId="160" r:id="rId27"/>
    <sheet name="Tool Set, Fuels (BC)" sheetId="116" r:id="rId28"/>
    <sheet name="Tool Set, Panel Kit (A)" sheetId="161" r:id="rId29"/>
    <sheet name="Tool Set, Tire Wheel (A)" sheetId="162" r:id="rId30"/>
    <sheet name="Tool Set, OML Pouch (A)" sheetId="163" r:id="rId31"/>
    <sheet name="Tool Set, Tire Wheel (C)" sheetId="96" r:id="rId32"/>
    <sheet name="Tool Set, Avi Maint (A)" sheetId="164" r:id="rId33"/>
    <sheet name="Tool Set, Avi Electrical (A)" sheetId="195" r:id="rId34"/>
    <sheet name="Tool Set, Gun Jam Clearing (A)" sheetId="166" r:id="rId35"/>
    <sheet name="Tool Set, Weapons (A)" sheetId="167" r:id="rId36"/>
    <sheet name="Tool Set, Gun Jam Clearing (BC)" sheetId="124" r:id="rId37"/>
    <sheet name="Tool Set, Wpns Load Kit (BC)" sheetId="100" r:id="rId38"/>
    <sheet name="Tool Set, Egress Dispatch (A)" sheetId="168" r:id="rId39"/>
    <sheet name="Tool Box, Oxygen Use Only (A)" sheetId="169" r:id="rId40"/>
    <sheet name="Tool Set, 13B FS Pouch (B)" sheetId="137" r:id="rId41"/>
    <sheet name="Tool Set, 310 FS Pouch (B)" sheetId="102" r:id="rId42"/>
    <sheet name="Tool Set, 310 Shop Pouch (C)" sheetId="103" r:id="rId43"/>
    <sheet name="Tool Set, Crew Chief (A)" sheetId="170" r:id="rId44"/>
    <sheet name="Tool Set, CC Pouch (BC)" sheetId="27" r:id="rId45"/>
    <sheet name="Fuel Shop Dispatch (A)" sheetId="171" r:id="rId46"/>
    <sheet name="Tool Set, LO Dispatch (A)" sheetId="172" r:id="rId47"/>
    <sheet name="Tool Set, Fastener (A)" sheetId="173" r:id="rId48"/>
    <sheet name="Tool Set, Eddie Bolt" sheetId="26" r:id="rId49"/>
    <sheet name="Tool Set, Rivet" sheetId="121" r:id="rId50"/>
    <sheet name="Tool Set, LO Composite (BC)" sheetId="111" r:id="rId51"/>
    <sheet name="Tool Set, OML Pouch (BC)" sheetId="136" r:id="rId52"/>
    <sheet name="Tool Box, Oxygen Use Only (BC)" sheetId="93" r:id="rId53"/>
    <sheet name="Tool Set, 13B FS Pouch (C)" sheetId="101" r:id="rId54"/>
    <sheet name="Tool Set, Fastener (BC)" sheetId="120" r:id="rId55"/>
    <sheet name="Tool Set, AF Servicing Pouch(B)" sheetId="133" r:id="rId56"/>
    <sheet name="Tool Set, AF Servicing Pouch(C)" sheetId="132" r:id="rId57"/>
    <sheet name="Tool Set, PL Tire Removal (B)" sheetId="118" r:id="rId58"/>
    <sheet name="Tool Set, Avionics Maint (B) " sheetId="97" r:id="rId59"/>
    <sheet name="Tool Set, Avi Maint Pouch (B)" sheetId="134" r:id="rId60"/>
    <sheet name="Tool Set, Avionics Line (B)" sheetId="98" r:id="rId61"/>
    <sheet name="Tool Set, Weapons Maint (BC)" sheetId="99" r:id="rId62"/>
    <sheet name="Tool Set, 110 FR Pouch (C)" sheetId="146" r:id="rId63"/>
    <sheet name="Tool Set, 040 Inspect Box (C)" sheetId="119" r:id="rId64"/>
    <sheet name="Tool Set, Oxygen Use Only" sheetId="106" r:id="rId65"/>
    <sheet name="Tool Set, LO Dispatch (BC)" sheetId="123" r:id="rId66"/>
    <sheet name="Tool Set, Panel Line Box (B)" sheetId="107" r:id="rId67"/>
    <sheet name="Tool Set, Electrical Main (C)" sheetId="51" r:id="rId68"/>
    <sheet name="Tool Set, Electrical TS (C)" sheetId="125" r:id="rId69"/>
    <sheet name="Tool Set, Wire Repair (C)" sheetId="126" r:id="rId70"/>
    <sheet name="Tool Set, Avi Maint (C)" sheetId="128" r:id="rId71"/>
    <sheet name="Tool Set, Avi TS (C)" sheetId="129" r:id="rId72"/>
    <sheet name="Tool Set, Avi TS Pouch (C)" sheetId="130" r:id="rId73"/>
    <sheet name="Tool Set, EOTS Maint (C)" sheetId="150" r:id="rId74"/>
    <sheet name="Tool Set, Control Surfaces" sheetId="190" r:id="rId75"/>
  </sheets>
  <externalReferences>
    <externalReference r:id="rId76"/>
    <externalReference r:id="rId77"/>
  </externalReferences>
  <definedNames>
    <definedName name="_012009_Doug_OTE_List" localSheetId="39">#REF!</definedName>
    <definedName name="_012009_Doug_OTE_List" localSheetId="62">#REF!</definedName>
    <definedName name="_012009_Doug_OTE_List" localSheetId="40">#REF!</definedName>
    <definedName name="_012009_Doug_OTE_List" localSheetId="55">#REF!</definedName>
    <definedName name="_012009_Doug_OTE_List" localSheetId="56">#REF!</definedName>
    <definedName name="_012009_Doug_OTE_List" localSheetId="10">#REF!</definedName>
    <definedName name="_012009_Doug_OTE_List" localSheetId="33">#REF!</definedName>
    <definedName name="_012009_Doug_OTE_List" localSheetId="59">#REF!</definedName>
    <definedName name="_012009_Doug_OTE_List" localSheetId="60">#REF!</definedName>
    <definedName name="_012009_Doug_OTE_List" localSheetId="58">#REF!</definedName>
    <definedName name="_012009_Doug_OTE_List" localSheetId="74">#REF!</definedName>
    <definedName name="_012009_Doug_OTE_List" localSheetId="73">#REF!</definedName>
    <definedName name="_012009_Doug_OTE_List" localSheetId="14">#REF!</definedName>
    <definedName name="_012009_Doug_OTE_List" localSheetId="65">#REF!</definedName>
    <definedName name="_012009_Doug_OTE_List" localSheetId="11">#REF!</definedName>
    <definedName name="_012009_Doug_OTE_List" localSheetId="15">#REF!</definedName>
    <definedName name="_012009_Doug_OTE_List" localSheetId="18">#REF!</definedName>
    <definedName name="_012009_Doug_OTE_List" localSheetId="51">#REF!</definedName>
    <definedName name="_012009_Doug_OTE_List" localSheetId="12">#REF!</definedName>
    <definedName name="_012009_Doug_OTE_List" localSheetId="13">#REF!</definedName>
    <definedName name="_012009_Doug_OTE_List" localSheetId="64">#REF!</definedName>
    <definedName name="_012009_Doug_OTE_List" localSheetId="66">#REF!</definedName>
    <definedName name="_012009_Doug_OTE_List" localSheetId="19">#REF!</definedName>
    <definedName name="_012009_Doug_OTE_List" localSheetId="61">#REF!</definedName>
    <definedName name="_012009_Doug_OTE_List">#REF!</definedName>
    <definedName name="_xlnm._FilterDatabase" localSheetId="45" hidden="1">'Fuel Shop Dispatch (A)'!$A$1:$G$1</definedName>
    <definedName name="_xlnm._FilterDatabase" localSheetId="0" hidden="1">SEID!$B$1:$D$81</definedName>
    <definedName name="_xlnm._FilterDatabase" localSheetId="39" hidden="1">'Tool Box, Oxygen Use Only (A)'!$A$1:$H$1</definedName>
    <definedName name="_xlnm._FilterDatabase" localSheetId="52" hidden="1">'Tool Box, Oxygen Use Only (BC)'!$A$1:$G$1</definedName>
    <definedName name="_xlnm._FilterDatabase" localSheetId="63" hidden="1">'Tool Set, 040 Inspect Box (C)'!$A$1:$G$1</definedName>
    <definedName name="_xlnm._FilterDatabase" localSheetId="62" hidden="1">'Tool Set, 110 FR Pouch (C)'!$A$1:$G$1</definedName>
    <definedName name="_xlnm._FilterDatabase" localSheetId="40" hidden="1">'Tool Set, 13B FS Pouch (B)'!$A$1:$G$1</definedName>
    <definedName name="_xlnm._FilterDatabase" localSheetId="53" hidden="1">'Tool Set, 13B FS Pouch (C)'!$A$1:$G$1</definedName>
    <definedName name="_xlnm._FilterDatabase" localSheetId="41" hidden="1">'Tool Set, 310 FS Pouch (B)'!$A$1:$G$1</definedName>
    <definedName name="_xlnm._FilterDatabase" localSheetId="42" hidden="1">'Tool Set, 310 Shop Pouch (C)'!$A$1:$G$1</definedName>
    <definedName name="_xlnm._FilterDatabase" localSheetId="20" hidden="1">'Tool Set, AF Hyd (BC)'!$A$1:$G$1</definedName>
    <definedName name="_xlnm._FilterDatabase" localSheetId="55" hidden="1">'Tool Set, AF Servicing Pouch(B)'!$A$1:$G$1</definedName>
    <definedName name="_xlnm._FilterDatabase" localSheetId="56" hidden="1">'Tool Set, AF Servicing Pouch(C)'!$A$1:$G$1</definedName>
    <definedName name="_xlnm._FilterDatabase" localSheetId="10" hidden="1">'Tool Set, AF Shop Equip (BC)'!$A$1:$H$1</definedName>
    <definedName name="_xlnm._FilterDatabase" localSheetId="33" hidden="1">'Tool Set, Avi Electrical (A)'!#REF!</definedName>
    <definedName name="_xlnm._FilterDatabase" localSheetId="32" hidden="1">'Tool Set, Avi Maint (A)'!$A$1:$H$1</definedName>
    <definedName name="_xlnm._FilterDatabase" localSheetId="70" hidden="1">'Tool Set, Avi Maint (C)'!$A$1:$G$1</definedName>
    <definedName name="_xlnm._FilterDatabase" localSheetId="59" hidden="1">'Tool Set, Avi Maint Pouch (B)'!$A$1:$G$1</definedName>
    <definedName name="_xlnm._FilterDatabase" localSheetId="71" hidden="1">'Tool Set, Avi TS (C)'!$A$1:$G$1</definedName>
    <definedName name="_xlnm._FilterDatabase" localSheetId="72" hidden="1">'Tool Set, Avi TS Pouch (C)'!$A$1:$G$1</definedName>
    <definedName name="_xlnm._FilterDatabase" localSheetId="60" hidden="1">'Tool Set, Avionics Line (B)'!$A$1:$G$1</definedName>
    <definedName name="_xlnm._FilterDatabase" localSheetId="58" hidden="1">'Tool Set, Avionics Maint (B) '!$A$1:$G$1</definedName>
    <definedName name="_xlnm._FilterDatabase" localSheetId="44" hidden="1">'Tool Set, CC Pouch (BC)'!$A$1:$G$1</definedName>
    <definedName name="_xlnm._FilterDatabase" localSheetId="74" hidden="1">'Tool Set, Control Surfaces'!$A$1:$G$1</definedName>
    <definedName name="_xlnm._FilterDatabase" localSheetId="43" hidden="1">'Tool Set, Crew Chief (A)'!$A$1:$G$1</definedName>
    <definedName name="_xlnm._FilterDatabase" localSheetId="8" hidden="1">'Tool Set, ECS (BC)'!$A$1:$K$121</definedName>
    <definedName name="_xlnm._FilterDatabase" localSheetId="48" hidden="1">'Tool Set, Eddie Bolt'!$A$1:$G$1</definedName>
    <definedName name="_xlnm._FilterDatabase" localSheetId="23" hidden="1">'Tool Set, Egress (A)'!$A$1:$H$1</definedName>
    <definedName name="_xlnm._FilterDatabase" localSheetId="24" hidden="1">'Tool Set, Egress (BC)'!#REF!</definedName>
    <definedName name="_xlnm._FilterDatabase" localSheetId="38" hidden="1">'Tool Set, Egress Dispatch (A)'!$A$1:$H$1</definedName>
    <definedName name="_xlnm._FilterDatabase" localSheetId="67" hidden="1">'Tool Set, Electrical Main (C)'!$A$1:$G$1</definedName>
    <definedName name="_xlnm._FilterDatabase" localSheetId="16" hidden="1">'Tool Set, Electrical Shop (C)'!$A$1:$H$1</definedName>
    <definedName name="_xlnm._FilterDatabase" localSheetId="68" hidden="1">'Tool Set, Electrical TS (C)'!$A$1:$G$1</definedName>
    <definedName name="_xlnm._FilterDatabase" localSheetId="6" hidden="1">'Tool Set, Engine (BC)'!$A$1:$I$121</definedName>
    <definedName name="_xlnm._FilterDatabase" localSheetId="73" hidden="1">'Tool Set, EOTS Maint (C)'!$A$1:$G$1</definedName>
    <definedName name="_xlnm._FilterDatabase" localSheetId="47" hidden="1">'Tool Set, Fastener (A)'!$A$1:$H$1</definedName>
    <definedName name="_xlnm._FilterDatabase" localSheetId="54" hidden="1">'Tool Set, Fastener (BC)'!$B$1:$B$54</definedName>
    <definedName name="_xlnm._FilterDatabase" localSheetId="1" hidden="1">'Tool Set, Flight Equipment'!$A$1:$H$1</definedName>
    <definedName name="_xlnm._FilterDatabase" localSheetId="26" hidden="1">'Tool Set, Fuels  (A)'!$A$2:$H$2</definedName>
    <definedName name="_xlnm._FilterDatabase" localSheetId="27" hidden="1">'Tool Set, Fuels (BC)'!$A$1:$G$1</definedName>
    <definedName name="_xlnm._FilterDatabase" localSheetId="34" hidden="1">'Tool Set, Gun Jam Clearing (A)'!#REF!</definedName>
    <definedName name="_xlnm._FilterDatabase" localSheetId="36" hidden="1">'Tool Set, Gun Jam Clearing (BC)'!$A$1:$H$1</definedName>
    <definedName name="_xlnm._FilterDatabase" localSheetId="14" hidden="1">'Tool Set, Gun Maint Shop (BC)'!$A$1:$H$1</definedName>
    <definedName name="_xlnm._FilterDatabase" localSheetId="22" hidden="1">'Tool Set, Lift Systems (B)'!$A$1:$H$1</definedName>
    <definedName name="_xlnm._FilterDatabase" localSheetId="3" hidden="1">'Tool Set, LO Composite (A)'!#REF!</definedName>
    <definedName name="_xlnm._FilterDatabase" localSheetId="50" hidden="1">'Tool Set, LO Composite (BC)'!$A$1:$G$1</definedName>
    <definedName name="_xlnm._FilterDatabase" localSheetId="46" hidden="1">'Tool Set, LO Dispatch (A)'!$A$1:$G$1</definedName>
    <definedName name="_xlnm._FilterDatabase" localSheetId="65" hidden="1">'Tool Set, LO Dispatch (BC)'!$A$1:$G$1</definedName>
    <definedName name="_xlnm._FilterDatabase" localSheetId="11" hidden="1">'Tool Set, MALS Tire Buildup (B)'!$A$1:$H$1</definedName>
    <definedName name="_xlnm._FilterDatabase" localSheetId="15" hidden="1">'Tool Set, Mask Oxygen Only'!$A$1:$H$1</definedName>
    <definedName name="_xlnm._FilterDatabase" localSheetId="18" hidden="1">'Tool Set, Master Puller Kit (AB'!$A$1:$H$1</definedName>
    <definedName name="_xlnm._FilterDatabase" localSheetId="30" hidden="1">'Tool Set, OML Pouch (A)'!$A$1:$H$1</definedName>
    <definedName name="_xlnm._FilterDatabase" localSheetId="51" hidden="1">'Tool Set, OML Pouch (BC)'!$A$1:$G$1</definedName>
    <definedName name="_xlnm._FilterDatabase" localSheetId="12" hidden="1">'Tool Set, Ordnance Shop (B)'!$A$1:$H$1</definedName>
    <definedName name="_xlnm._FilterDatabase" localSheetId="13" hidden="1">'Tool Set, Ordnance Shop (C)'!$A$1:$H$1</definedName>
    <definedName name="_xlnm._FilterDatabase" localSheetId="64" hidden="1">'Tool Set, Oxygen Use Only'!$A$1:$G$1</definedName>
    <definedName name="_xlnm._FilterDatabase" localSheetId="28" hidden="1">'Tool Set, Panel Kit (A)'!$A$1:$H$1</definedName>
    <definedName name="_xlnm._FilterDatabase" localSheetId="66" hidden="1">'Tool Set, Panel Line Box (B)'!$A$1:$G$1</definedName>
    <definedName name="_xlnm._FilterDatabase" localSheetId="57" hidden="1">'Tool Set, PL Tire Removal (B)'!$A$1:$G$1</definedName>
    <definedName name="_xlnm._FilterDatabase" localSheetId="5" hidden="1">'Tool Set, Power Plants (A)'!$C$1:$C$276</definedName>
    <definedName name="_xlnm._FilterDatabase" localSheetId="21" hidden="1">'Tool Set, PP Shop (BC)'!#REF!</definedName>
    <definedName name="_xlnm._FilterDatabase" localSheetId="19" hidden="1">'Tool Set, Seat Survival'!$A$1:$H$1</definedName>
    <definedName name="_xlnm._FilterDatabase" localSheetId="2" hidden="1">'Tool Set, Structure Box (A)'!$A$1:$H$1</definedName>
    <definedName name="_xlnm._FilterDatabase" localSheetId="4" hidden="1">'Tool Set, Structure Box (BC)'!$I$1:$I$116</definedName>
    <definedName name="_xlnm._FilterDatabase" localSheetId="17" hidden="1">'Tool Set, Supplemental (BC)'!$A$1:$H$1</definedName>
    <definedName name="_xlnm._FilterDatabase" localSheetId="9" hidden="1">'Tool Set, Support Equip (AB)'!$A$1:$H$1</definedName>
    <definedName name="_xlnm._FilterDatabase" localSheetId="7" hidden="1">'Tool Set, Tire Back Shop (A)'!$A$1:$J$57</definedName>
    <definedName name="_xlnm._FilterDatabase" localSheetId="29" hidden="1">'Tool Set, Tire Wheel (A)'!$A$1:$H$1</definedName>
    <definedName name="_xlnm._FilterDatabase" localSheetId="31" hidden="1">'Tool Set, Tire Wheel (C)'!$A$1:$H$1</definedName>
    <definedName name="_xlnm._FilterDatabase" localSheetId="25" hidden="1">'Tool Set, Torque Head '!$A$1:$H$1</definedName>
    <definedName name="_xlnm._FilterDatabase" localSheetId="35" hidden="1">'Tool Set, Weapons (A)'!$A$1:$H$1</definedName>
    <definedName name="_xlnm._FilterDatabase" localSheetId="61" hidden="1">'Tool Set, Weapons Maint (BC)'!$A$1:$G$2</definedName>
    <definedName name="_xlnm._FilterDatabase" localSheetId="69" hidden="1">'Tool Set, Wire Repair (C)'!$A$1:$G$1</definedName>
    <definedName name="_xlnm._FilterDatabase" localSheetId="37" hidden="1">'Tool Set, Wpns Load Kit (BC)'!$A$1:$H$1</definedName>
    <definedName name="_xlnm.Print_Area" localSheetId="10">'Tool Set, AF Shop Equip (BC)'!#REF!</definedName>
    <definedName name="_xlnm.Print_Area" localSheetId="33">'Tool Set, Avi Electrical (A)'!$A$1:$G$83</definedName>
    <definedName name="_xlnm.Print_Area" localSheetId="59">'Tool Set, Avi Maint Pouch (B)'!#REF!</definedName>
    <definedName name="_xlnm.Print_Area" localSheetId="60">'Tool Set, Avionics Line (B)'!$A$1:$F$41</definedName>
    <definedName name="_xlnm.Print_Area" localSheetId="58">'Tool Set, Avionics Maint (B) '!$A$1:$F$45</definedName>
    <definedName name="_xlnm.Print_Area" localSheetId="74">'Tool Set, Control Surfaces'!#REF!</definedName>
    <definedName name="_xlnm.Print_Area" localSheetId="43">'Tool Set, Crew Chief (A)'!#REF!</definedName>
    <definedName name="_xlnm.Print_Area" localSheetId="1">'Tool Set, Flight Equipment'!#REF!</definedName>
    <definedName name="_xlnm.Print_Area" localSheetId="12">'Tool Set, Ordnance Shop (B)'!#REF!</definedName>
    <definedName name="_xlnm.Print_Area" localSheetId="13">'Tool Set, Ordnance Shop (C)'!#REF!</definedName>
    <definedName name="_xlnm.Print_Area" localSheetId="19">'Tool Set, Seat Survival'!#REF!</definedName>
    <definedName name="_xlnm.Print_Area" localSheetId="2">'Tool Set, Structure Box (A)'!#REF!</definedName>
    <definedName name="_xlnm.Print_Area" localSheetId="4">'Tool Set, Structure Box (BC)'!#REF!</definedName>
    <definedName name="_xlnm.Print_Area" localSheetId="35">'Tool Set, Weapons (A)'!#REF!</definedName>
    <definedName name="_xlnm.Print_Area" localSheetId="61">'Tool Set, Weapons Maint (BC)'!#REF!</definedName>
    <definedName name="TOA_Totals" localSheetId="63">'[1]Current Total Rqd by SQDN'!$A$2:$U$632</definedName>
    <definedName name="TOA_Totals" localSheetId="62">'[1]Current Total Rqd by SQDN'!$A$2:$U$632</definedName>
    <definedName name="TOA_Totals" localSheetId="20">'[1]Current Total Rqd by SQDN'!$A$2:$U$632</definedName>
    <definedName name="TOA_Totals" localSheetId="55">'[1]Current Total Rqd by SQDN'!$A$2:$U$632</definedName>
    <definedName name="TOA_Totals" localSheetId="56">'[1]Current Total Rqd by SQDN'!$A$2:$U$632</definedName>
    <definedName name="TOA_Totals" localSheetId="10">'[1]Current Total Rqd by SQDN'!$A$2:$U$632</definedName>
    <definedName name="TOA_Totals" localSheetId="8">'[1]Current Total Rqd by SQDN'!$A$2:$U$632</definedName>
    <definedName name="TOA_Totals" localSheetId="54">'[1]Current Total Rqd by SQDN'!$A$2:$U$632</definedName>
    <definedName name="TOA_Totals" localSheetId="27">'[1]Current Total Rqd by SQDN'!$A$2:$U$632</definedName>
    <definedName name="TOA_Totals" localSheetId="65">'[1]Current Total Rqd by SQDN'!$A$2:$U$632</definedName>
    <definedName name="TOA_Totals" localSheetId="30">'[1]Current Total Rqd by SQDN'!$A$2:$U$632</definedName>
    <definedName name="TOA_Totals" localSheetId="51">'[1]Current Total Rqd by SQDN'!$A$2:$U$632</definedName>
    <definedName name="TOA_Totals" localSheetId="57">'[1]Current Total Rqd by SQDN'!$A$2:$U$632</definedName>
    <definedName name="TOA_Totals" localSheetId="21">'[1]Current Total Rqd by SQDN'!$A$2:$U$632</definedName>
    <definedName name="TOA_Totals" localSheetId="49">'[1]Current Total Rqd by SQDN'!$A$2:$U$632</definedName>
    <definedName name="TOA_Totals" localSheetId="4">'[1]Current Total Rqd by SQDN'!$A$2:$U$632</definedName>
    <definedName name="TOA_Totals">'[2]Current Total Rqd by SQDN'!$A$2:$U$632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68" l="1"/>
  <c r="I3" i="168"/>
  <c r="I4" i="168"/>
  <c r="I5" i="168"/>
  <c r="I6" i="168"/>
  <c r="I7" i="168"/>
  <c r="I8" i="168"/>
  <c r="I9" i="168"/>
  <c r="I10" i="168"/>
  <c r="I11" i="168"/>
  <c r="I12" i="168"/>
  <c r="I13" i="168"/>
  <c r="I14" i="168"/>
  <c r="I15" i="168"/>
  <c r="I16" i="168"/>
  <c r="I17" i="168"/>
  <c r="I18" i="168"/>
  <c r="I19" i="168"/>
  <c r="I20" i="168"/>
  <c r="I21" i="168"/>
  <c r="I22" i="168"/>
  <c r="I23" i="168"/>
  <c r="I24" i="168"/>
  <c r="I25" i="168"/>
  <c r="I26" i="168"/>
  <c r="I27" i="168"/>
  <c r="I28" i="168"/>
  <c r="I29" i="168"/>
  <c r="I30" i="168"/>
  <c r="I31" i="168"/>
  <c r="I32" i="168"/>
  <c r="I33" i="168"/>
  <c r="I34" i="168"/>
  <c r="I35" i="168"/>
  <c r="I36" i="168"/>
  <c r="I37" i="168"/>
  <c r="I38" i="168"/>
  <c r="I39" i="168"/>
  <c r="I40" i="168"/>
  <c r="I41" i="168"/>
  <c r="I42" i="168"/>
  <c r="I43" i="168"/>
  <c r="I44" i="168"/>
  <c r="I45" i="168"/>
  <c r="I46" i="168"/>
  <c r="I47" i="168"/>
  <c r="I48" i="168"/>
  <c r="I49" i="168"/>
  <c r="I50" i="168"/>
  <c r="I51" i="168"/>
  <c r="I30" i="23"/>
  <c r="I3" i="143"/>
  <c r="I4" i="143"/>
  <c r="I5" i="143"/>
  <c r="I6" i="143"/>
  <c r="I7" i="143"/>
  <c r="I8" i="143"/>
  <c r="I9" i="143"/>
  <c r="I10" i="143"/>
  <c r="I11" i="143"/>
  <c r="I2" i="143"/>
  <c r="I2" i="94"/>
  <c r="I9" i="94"/>
  <c r="I10" i="94"/>
  <c r="I11" i="94"/>
  <c r="I12" i="94"/>
  <c r="I13" i="94"/>
  <c r="I14" i="94"/>
  <c r="I15" i="94"/>
  <c r="I3" i="94"/>
  <c r="I4" i="94"/>
  <c r="I16" i="94"/>
  <c r="I17" i="94"/>
  <c r="I18" i="94"/>
  <c r="I19" i="94"/>
  <c r="I5" i="94"/>
  <c r="I20" i="94"/>
  <c r="I21" i="94"/>
  <c r="I22" i="94"/>
  <c r="I23" i="94"/>
  <c r="I24" i="94"/>
  <c r="I25" i="94"/>
  <c r="I6" i="94"/>
  <c r="I26" i="94"/>
  <c r="I27" i="94"/>
  <c r="I28" i="94"/>
  <c r="I7" i="94"/>
  <c r="I29" i="94"/>
  <c r="I30" i="94"/>
  <c r="I31" i="94"/>
  <c r="I32" i="94"/>
  <c r="I33" i="94"/>
  <c r="I34" i="94"/>
  <c r="I35" i="94"/>
  <c r="I36" i="94"/>
  <c r="I37" i="94"/>
  <c r="I38" i="94"/>
  <c r="I8" i="94"/>
  <c r="I39" i="94"/>
  <c r="I40" i="94"/>
  <c r="I19" i="169"/>
  <c r="I18" i="169"/>
  <c r="I17" i="169"/>
  <c r="I16" i="169"/>
  <c r="I15" i="169"/>
  <c r="I14" i="169"/>
  <c r="I13" i="169"/>
  <c r="I12" i="169"/>
  <c r="I11" i="169"/>
  <c r="I10" i="169"/>
  <c r="I9" i="169"/>
  <c r="I8" i="169"/>
  <c r="I7" i="169"/>
  <c r="I6" i="169"/>
  <c r="I5" i="169"/>
  <c r="I2" i="169"/>
  <c r="I4" i="169"/>
  <c r="I3" i="169"/>
  <c r="I18" i="100"/>
  <c r="I17" i="100"/>
  <c r="I16" i="100"/>
  <c r="I15" i="100"/>
  <c r="I14" i="100"/>
  <c r="I13" i="100"/>
  <c r="I12" i="100"/>
  <c r="I11" i="100"/>
  <c r="I10" i="100"/>
  <c r="I9" i="100"/>
  <c r="I8" i="100"/>
  <c r="I7" i="100"/>
  <c r="I6" i="100"/>
  <c r="I5" i="100"/>
  <c r="I4" i="100"/>
  <c r="I3" i="100"/>
  <c r="I2" i="100"/>
  <c r="I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I6" i="124"/>
  <c r="I5" i="124"/>
  <c r="I4" i="124"/>
  <c r="I3" i="124"/>
  <c r="I2" i="124"/>
  <c r="I2" i="167"/>
  <c r="I3" i="167"/>
  <c r="I4" i="167"/>
  <c r="I5" i="167"/>
  <c r="I6" i="167"/>
  <c r="I7" i="167"/>
  <c r="I8" i="167"/>
  <c r="I9" i="167"/>
  <c r="I10" i="167"/>
  <c r="I11" i="167"/>
  <c r="I12" i="167"/>
  <c r="I13" i="167"/>
  <c r="I14" i="167"/>
  <c r="I15" i="167"/>
  <c r="I16" i="167"/>
  <c r="I17" i="167"/>
  <c r="I18" i="167"/>
  <c r="I19" i="167"/>
  <c r="I20" i="167"/>
  <c r="I21" i="167"/>
  <c r="I22" i="167"/>
  <c r="I23" i="167"/>
  <c r="I24" i="167"/>
  <c r="I25" i="167"/>
  <c r="I26" i="167"/>
  <c r="I27" i="167"/>
  <c r="I28" i="167"/>
  <c r="I29" i="167"/>
  <c r="I30" i="167"/>
  <c r="I31" i="167"/>
  <c r="I32" i="167"/>
  <c r="I33" i="167"/>
  <c r="I34" i="167"/>
  <c r="I35" i="167"/>
  <c r="I36" i="167"/>
  <c r="I37" i="167"/>
  <c r="I38" i="167"/>
  <c r="I39" i="167"/>
  <c r="I40" i="167"/>
  <c r="I41" i="167"/>
  <c r="I42" i="167"/>
  <c r="I43" i="167"/>
  <c r="I44" i="167"/>
  <c r="I45" i="167"/>
  <c r="I46" i="167"/>
  <c r="I47" i="167"/>
  <c r="I48" i="167"/>
  <c r="I49" i="167"/>
  <c r="I50" i="167"/>
  <c r="I51" i="167"/>
  <c r="I52" i="167"/>
  <c r="I53" i="167"/>
  <c r="I54" i="167"/>
  <c r="I55" i="167"/>
  <c r="I56" i="167"/>
  <c r="I57" i="167"/>
  <c r="I58" i="167"/>
  <c r="I59" i="167"/>
  <c r="I60" i="167"/>
  <c r="I61" i="167"/>
  <c r="I62" i="167"/>
  <c r="I63" i="167"/>
  <c r="I64" i="167"/>
  <c r="I65" i="167"/>
  <c r="I66" i="167"/>
  <c r="I67" i="167"/>
  <c r="I68" i="167"/>
  <c r="I69" i="167"/>
  <c r="I70" i="167"/>
  <c r="I71" i="167"/>
  <c r="I72" i="167"/>
  <c r="I73" i="167"/>
  <c r="I74" i="167"/>
  <c r="I75" i="167"/>
  <c r="I76" i="167"/>
  <c r="I77" i="167"/>
  <c r="I78" i="167"/>
  <c r="I79" i="167"/>
  <c r="I80" i="167"/>
  <c r="I81" i="167"/>
  <c r="I82" i="167"/>
  <c r="I83" i="167"/>
  <c r="I84" i="167"/>
  <c r="I85" i="167"/>
  <c r="I86" i="167"/>
  <c r="I87" i="167"/>
  <c r="I88" i="167"/>
  <c r="I89" i="167"/>
  <c r="I90" i="167"/>
  <c r="I91" i="167"/>
  <c r="I92" i="167"/>
  <c r="I93" i="167"/>
  <c r="I94" i="167"/>
  <c r="I95" i="167"/>
  <c r="I96" i="167"/>
  <c r="I97" i="167"/>
  <c r="I98" i="167"/>
  <c r="I99" i="167"/>
  <c r="I100" i="167"/>
  <c r="I101" i="167"/>
  <c r="I102" i="167"/>
  <c r="I103" i="167"/>
  <c r="I104" i="167"/>
  <c r="I105" i="167"/>
  <c r="I106" i="167"/>
  <c r="I107" i="167"/>
  <c r="I108" i="167"/>
  <c r="I109" i="167"/>
  <c r="I110" i="167"/>
  <c r="I111" i="167"/>
  <c r="I112" i="167"/>
  <c r="I113" i="167"/>
  <c r="I114" i="167"/>
  <c r="I115" i="167"/>
  <c r="I116" i="167"/>
  <c r="I117" i="167"/>
  <c r="I118" i="167"/>
  <c r="I119" i="167"/>
  <c r="I120" i="167"/>
  <c r="I121" i="167"/>
  <c r="I122" i="167"/>
  <c r="I123" i="167"/>
  <c r="I124" i="167"/>
  <c r="I125" i="167"/>
  <c r="I126" i="167"/>
  <c r="I127" i="167"/>
  <c r="I128" i="167"/>
  <c r="I161" i="195"/>
  <c r="I160" i="195"/>
  <c r="I159" i="195"/>
  <c r="I158" i="195"/>
  <c r="I157" i="195"/>
  <c r="I156" i="195"/>
  <c r="I155" i="195"/>
  <c r="I154" i="195"/>
  <c r="I153" i="195"/>
  <c r="I152" i="195"/>
  <c r="I151" i="195"/>
  <c r="I150" i="195"/>
  <c r="I149" i="195"/>
  <c r="I148" i="195"/>
  <c r="I147" i="195"/>
  <c r="I146" i="195"/>
  <c r="I145" i="195"/>
  <c r="I144" i="195"/>
  <c r="I143" i="195"/>
  <c r="I142" i="195"/>
  <c r="I141" i="195"/>
  <c r="I140" i="195"/>
  <c r="I139" i="195"/>
  <c r="I138" i="195"/>
  <c r="I137" i="195"/>
  <c r="I136" i="195"/>
  <c r="I135" i="195"/>
  <c r="I134" i="195"/>
  <c r="I133" i="195"/>
  <c r="I132" i="195"/>
  <c r="I131" i="195"/>
  <c r="I130" i="195"/>
  <c r="I129" i="195"/>
  <c r="I128" i="195"/>
  <c r="I127" i="195"/>
  <c r="I126" i="195"/>
  <c r="I125" i="195"/>
  <c r="I124" i="195"/>
  <c r="I123" i="195"/>
  <c r="I122" i="195"/>
  <c r="I121" i="195"/>
  <c r="I120" i="195"/>
  <c r="I119" i="195"/>
  <c r="I118" i="195"/>
  <c r="I117" i="195"/>
  <c r="I116" i="195"/>
  <c r="I115" i="195"/>
  <c r="I114" i="195"/>
  <c r="I113" i="195"/>
  <c r="I112" i="195"/>
  <c r="I111" i="195"/>
  <c r="I110" i="195"/>
  <c r="I109" i="195"/>
  <c r="I108" i="195"/>
  <c r="I107" i="195"/>
  <c r="I106" i="195"/>
  <c r="I105" i="195"/>
  <c r="I104" i="195"/>
  <c r="I103" i="195"/>
  <c r="I102" i="195"/>
  <c r="I101" i="195"/>
  <c r="I100" i="195"/>
  <c r="I99" i="195"/>
  <c r="I98" i="195"/>
  <c r="I97" i="195"/>
  <c r="I96" i="195"/>
  <c r="I95" i="195"/>
  <c r="I94" i="195"/>
  <c r="I93" i="195"/>
  <c r="I92" i="195"/>
  <c r="I91" i="195"/>
  <c r="I90" i="195"/>
  <c r="I89" i="195"/>
  <c r="I88" i="195"/>
  <c r="I87" i="195"/>
  <c r="I86" i="195"/>
  <c r="I85" i="195"/>
  <c r="I84" i="195"/>
  <c r="I83" i="195"/>
  <c r="I82" i="195"/>
  <c r="I81" i="195"/>
  <c r="I80" i="195"/>
  <c r="I79" i="195"/>
  <c r="I78" i="195"/>
  <c r="I77" i="195"/>
  <c r="I76" i="195"/>
  <c r="I75" i="195"/>
  <c r="I74" i="195"/>
  <c r="I73" i="195"/>
  <c r="I72" i="195"/>
  <c r="I71" i="195"/>
  <c r="I70" i="195"/>
  <c r="I69" i="195"/>
  <c r="I68" i="195"/>
  <c r="I67" i="195"/>
  <c r="I66" i="195"/>
  <c r="I65" i="195"/>
  <c r="I64" i="195"/>
  <c r="I63" i="195"/>
  <c r="I62" i="195"/>
  <c r="I61" i="195"/>
  <c r="I60" i="195"/>
  <c r="I59" i="195"/>
  <c r="I58" i="195"/>
  <c r="I57" i="195"/>
  <c r="I56" i="195"/>
  <c r="I55" i="195"/>
  <c r="I54" i="195"/>
  <c r="I53" i="195"/>
  <c r="I52" i="195"/>
  <c r="I51" i="195"/>
  <c r="I50" i="195"/>
  <c r="I49" i="195"/>
  <c r="I48" i="195"/>
  <c r="I47" i="195"/>
  <c r="I46" i="195"/>
  <c r="I45" i="195"/>
  <c r="I44" i="195"/>
  <c r="I43" i="195"/>
  <c r="I42" i="195"/>
  <c r="I41" i="195"/>
  <c r="I40" i="195"/>
  <c r="I39" i="195"/>
  <c r="I38" i="195"/>
  <c r="I37" i="195"/>
  <c r="I36" i="195"/>
  <c r="I35" i="195"/>
  <c r="I34" i="195"/>
  <c r="I33" i="195"/>
  <c r="I32" i="195"/>
  <c r="I31" i="195"/>
  <c r="I30" i="195"/>
  <c r="I29" i="195"/>
  <c r="I28" i="195"/>
  <c r="I27" i="195"/>
  <c r="I26" i="195"/>
  <c r="I25" i="195"/>
  <c r="I24" i="195"/>
  <c r="I23" i="195"/>
  <c r="I22" i="195"/>
  <c r="I21" i="195"/>
  <c r="I20" i="195"/>
  <c r="I19" i="195"/>
  <c r="I18" i="195"/>
  <c r="I17" i="195"/>
  <c r="I16" i="195"/>
  <c r="I15" i="195"/>
  <c r="I14" i="195"/>
  <c r="I13" i="195"/>
  <c r="I12" i="195"/>
  <c r="I11" i="195"/>
  <c r="I10" i="195"/>
  <c r="I9" i="195"/>
  <c r="I8" i="195"/>
  <c r="I7" i="195"/>
  <c r="I6" i="195"/>
  <c r="I5" i="195"/>
  <c r="I4" i="195"/>
  <c r="I3" i="195"/>
  <c r="I2" i="195"/>
  <c r="I124" i="164"/>
  <c r="I2" i="164"/>
  <c r="I3" i="164"/>
  <c r="I4" i="164"/>
  <c r="I5" i="164"/>
  <c r="I6" i="164"/>
  <c r="I7" i="164"/>
  <c r="I8" i="164"/>
  <c r="I9" i="164"/>
  <c r="I10" i="164"/>
  <c r="I11" i="164"/>
  <c r="I12" i="164"/>
  <c r="I13" i="164"/>
  <c r="I14" i="164"/>
  <c r="I15" i="164"/>
  <c r="I16" i="164"/>
  <c r="I17" i="164"/>
  <c r="I18" i="164"/>
  <c r="I19" i="164"/>
  <c r="I20" i="164"/>
  <c r="I21" i="164"/>
  <c r="I22" i="164"/>
  <c r="I23" i="164"/>
  <c r="I24" i="164"/>
  <c r="I25" i="164"/>
  <c r="I26" i="164"/>
  <c r="I27" i="164"/>
  <c r="I28" i="164"/>
  <c r="I29" i="164"/>
  <c r="I30" i="164"/>
  <c r="I31" i="164"/>
  <c r="I32" i="164"/>
  <c r="I33" i="164"/>
  <c r="I34" i="164"/>
  <c r="I35" i="164"/>
  <c r="I36" i="164"/>
  <c r="I37" i="164"/>
  <c r="I38" i="164"/>
  <c r="I39" i="164"/>
  <c r="I40" i="164"/>
  <c r="I41" i="164"/>
  <c r="I42" i="164"/>
  <c r="I43" i="164"/>
  <c r="I44" i="164"/>
  <c r="I45" i="164"/>
  <c r="I46" i="164"/>
  <c r="I47" i="164"/>
  <c r="I48" i="164"/>
  <c r="I49" i="164"/>
  <c r="I50" i="164"/>
  <c r="I51" i="164"/>
  <c r="I52" i="164"/>
  <c r="I53" i="164"/>
  <c r="I54" i="164"/>
  <c r="I55" i="164"/>
  <c r="I56" i="164"/>
  <c r="I57" i="164"/>
  <c r="I58" i="164"/>
  <c r="I59" i="164"/>
  <c r="I60" i="164"/>
  <c r="I61" i="164"/>
  <c r="I62" i="164"/>
  <c r="I63" i="164"/>
  <c r="I64" i="164"/>
  <c r="I65" i="164"/>
  <c r="I66" i="164"/>
  <c r="I67" i="164"/>
  <c r="I68" i="164"/>
  <c r="I69" i="164"/>
  <c r="I70" i="164"/>
  <c r="I71" i="164"/>
  <c r="I72" i="164"/>
  <c r="I73" i="164"/>
  <c r="I74" i="164"/>
  <c r="I75" i="164"/>
  <c r="I76" i="164"/>
  <c r="I77" i="164"/>
  <c r="I78" i="164"/>
  <c r="I79" i="164"/>
  <c r="I80" i="164"/>
  <c r="I81" i="164"/>
  <c r="I82" i="164"/>
  <c r="I83" i="164"/>
  <c r="I84" i="164"/>
  <c r="I85" i="164"/>
  <c r="I86" i="164"/>
  <c r="I87" i="164"/>
  <c r="I88" i="164"/>
  <c r="I89" i="164"/>
  <c r="I90" i="164"/>
  <c r="I91" i="164"/>
  <c r="I92" i="164"/>
  <c r="I93" i="164"/>
  <c r="I94" i="164"/>
  <c r="I95" i="164"/>
  <c r="I96" i="164"/>
  <c r="I97" i="164"/>
  <c r="I98" i="164"/>
  <c r="I99" i="164"/>
  <c r="I100" i="164"/>
  <c r="I101" i="164"/>
  <c r="I102" i="164"/>
  <c r="I103" i="164"/>
  <c r="I104" i="164"/>
  <c r="I105" i="164"/>
  <c r="I106" i="164"/>
  <c r="I107" i="164"/>
  <c r="I108" i="164"/>
  <c r="I109" i="164"/>
  <c r="I110" i="164"/>
  <c r="I111" i="164"/>
  <c r="I112" i="164"/>
  <c r="I113" i="164"/>
  <c r="I114" i="164"/>
  <c r="I115" i="164"/>
  <c r="I116" i="164"/>
  <c r="I117" i="164"/>
  <c r="I118" i="164"/>
  <c r="I119" i="164"/>
  <c r="I120" i="164"/>
  <c r="I121" i="164"/>
  <c r="I122" i="164"/>
  <c r="I123" i="164"/>
  <c r="I30" i="96"/>
  <c r="I29" i="96"/>
  <c r="I28" i="96"/>
  <c r="I27" i="96"/>
  <c r="I26" i="96"/>
  <c r="I25" i="96"/>
  <c r="I24" i="96"/>
  <c r="I23" i="96"/>
  <c r="I22" i="96"/>
  <c r="I21" i="96"/>
  <c r="I20" i="96"/>
  <c r="I19" i="96"/>
  <c r="I18" i="96"/>
  <c r="I17" i="96"/>
  <c r="I16" i="96"/>
  <c r="I15" i="96"/>
  <c r="I14" i="96"/>
  <c r="I13" i="96"/>
  <c r="I12" i="96"/>
  <c r="I11" i="96"/>
  <c r="I10" i="96"/>
  <c r="I9" i="96"/>
  <c r="I8" i="96"/>
  <c r="I7" i="96"/>
  <c r="I6" i="96"/>
  <c r="I5" i="96"/>
  <c r="I4" i="96"/>
  <c r="I3" i="96"/>
  <c r="I2" i="96"/>
  <c r="I35" i="166"/>
  <c r="I34" i="166"/>
  <c r="I33" i="166"/>
  <c r="I32" i="166"/>
  <c r="I31" i="166"/>
  <c r="I30" i="166"/>
  <c r="I29" i="166"/>
  <c r="I28" i="166"/>
  <c r="I27" i="166"/>
  <c r="I26" i="166"/>
  <c r="I25" i="166"/>
  <c r="I24" i="166"/>
  <c r="I23" i="166"/>
  <c r="I22" i="166"/>
  <c r="I21" i="166"/>
  <c r="I20" i="166"/>
  <c r="I19" i="166"/>
  <c r="I18" i="166"/>
  <c r="I17" i="166"/>
  <c r="I16" i="166"/>
  <c r="I15" i="166"/>
  <c r="I14" i="166"/>
  <c r="I13" i="166"/>
  <c r="I12" i="166"/>
  <c r="I11" i="166"/>
  <c r="I10" i="166"/>
  <c r="I9" i="166"/>
  <c r="I8" i="166"/>
  <c r="I7" i="166"/>
  <c r="I6" i="166"/>
  <c r="I5" i="166"/>
  <c r="I4" i="166"/>
  <c r="I3" i="166"/>
  <c r="I2" i="166"/>
  <c r="I9" i="163"/>
  <c r="I8" i="163"/>
  <c r="I7" i="163"/>
  <c r="I6" i="163"/>
  <c r="I5" i="163"/>
  <c r="I4" i="163"/>
  <c r="I3" i="163"/>
  <c r="I2" i="163"/>
  <c r="I33" i="162"/>
  <c r="I32" i="162"/>
  <c r="I31" i="162"/>
  <c r="I30" i="162"/>
  <c r="I29" i="162"/>
  <c r="I28" i="162"/>
  <c r="I27" i="162"/>
  <c r="I26" i="162"/>
  <c r="I25" i="162"/>
  <c r="I24" i="162"/>
  <c r="I23" i="162"/>
  <c r="I22" i="162"/>
  <c r="I21" i="162"/>
  <c r="I20" i="162"/>
  <c r="I19" i="162"/>
  <c r="I18" i="162"/>
  <c r="I17" i="162"/>
  <c r="I16" i="162"/>
  <c r="I15" i="162"/>
  <c r="I14" i="162"/>
  <c r="I13" i="162"/>
  <c r="I12" i="162"/>
  <c r="I11" i="162"/>
  <c r="I10" i="162"/>
  <c r="I9" i="162"/>
  <c r="I8" i="162"/>
  <c r="I7" i="162"/>
  <c r="I6" i="162"/>
  <c r="I5" i="162"/>
  <c r="I40" i="162"/>
  <c r="I4" i="162"/>
  <c r="I39" i="162"/>
  <c r="I38" i="162"/>
  <c r="I3" i="162"/>
  <c r="I37" i="162"/>
  <c r="I36" i="162"/>
  <c r="I35" i="162"/>
  <c r="I34" i="162"/>
  <c r="I2" i="162"/>
  <c r="I15" i="161"/>
  <c r="I14" i="161"/>
  <c r="I13" i="161"/>
  <c r="I12" i="161"/>
  <c r="I11" i="161"/>
  <c r="I10" i="161"/>
  <c r="I9" i="161"/>
  <c r="I8" i="161"/>
  <c r="I7" i="161"/>
  <c r="I6" i="161"/>
  <c r="I5" i="161"/>
  <c r="I4" i="161"/>
  <c r="I3" i="161"/>
  <c r="I2" i="161"/>
  <c r="I90" i="116"/>
  <c r="I89" i="116"/>
  <c r="I88" i="116"/>
  <c r="I87" i="116"/>
  <c r="I86" i="116"/>
  <c r="I85" i="116"/>
  <c r="I84" i="116"/>
  <c r="I83" i="116"/>
  <c r="I82" i="116"/>
  <c r="I81" i="116"/>
  <c r="I80" i="116"/>
  <c r="I79" i="116"/>
  <c r="I78" i="116"/>
  <c r="I77" i="116"/>
  <c r="I76" i="116"/>
  <c r="I75" i="116"/>
  <c r="I74" i="116"/>
  <c r="I73" i="116"/>
  <c r="I72" i="116"/>
  <c r="I71" i="116"/>
  <c r="I70" i="116"/>
  <c r="I69" i="116"/>
  <c r="I68" i="116"/>
  <c r="I67" i="116"/>
  <c r="I66" i="116"/>
  <c r="I65" i="116"/>
  <c r="I64" i="116"/>
  <c r="I63" i="116"/>
  <c r="I62" i="116"/>
  <c r="I61" i="116"/>
  <c r="I60" i="116"/>
  <c r="I59" i="116"/>
  <c r="I58" i="116"/>
  <c r="I57" i="116"/>
  <c r="I56" i="116"/>
  <c r="I55" i="116"/>
  <c r="I54" i="116"/>
  <c r="I53" i="116"/>
  <c r="I52" i="116"/>
  <c r="I51" i="116"/>
  <c r="I50" i="116"/>
  <c r="I49" i="116"/>
  <c r="I48" i="116"/>
  <c r="I47" i="116"/>
  <c r="I46" i="116"/>
  <c r="I45" i="116"/>
  <c r="I44" i="116"/>
  <c r="I43" i="116"/>
  <c r="I42" i="116"/>
  <c r="I41" i="116"/>
  <c r="I40" i="116"/>
  <c r="I39" i="116"/>
  <c r="I38" i="116"/>
  <c r="I37" i="116"/>
  <c r="I36" i="116"/>
  <c r="I35" i="116"/>
  <c r="I34" i="116"/>
  <c r="I33" i="116"/>
  <c r="I32" i="116"/>
  <c r="I31" i="116"/>
  <c r="I30" i="116"/>
  <c r="I29" i="116"/>
  <c r="I28" i="116"/>
  <c r="I27" i="116"/>
  <c r="I26" i="116"/>
  <c r="I25" i="116"/>
  <c r="I24" i="116"/>
  <c r="I23" i="116"/>
  <c r="I22" i="116"/>
  <c r="I21" i="116"/>
  <c r="I20" i="116"/>
  <c r="I19" i="116"/>
  <c r="I18" i="116"/>
  <c r="I17" i="116"/>
  <c r="I16" i="116"/>
  <c r="I15" i="116"/>
  <c r="I14" i="116"/>
  <c r="I13" i="116"/>
  <c r="I12" i="116"/>
  <c r="I11" i="116"/>
  <c r="I10" i="116"/>
  <c r="I9" i="116"/>
  <c r="I8" i="116"/>
  <c r="I7" i="116"/>
  <c r="I6" i="116"/>
  <c r="I5" i="116"/>
  <c r="I4" i="116"/>
  <c r="I3" i="116"/>
  <c r="I2" i="116"/>
  <c r="I107" i="160"/>
  <c r="I106" i="160"/>
  <c r="I105" i="160"/>
  <c r="I104" i="160"/>
  <c r="I103" i="160"/>
  <c r="I102" i="160"/>
  <c r="I101" i="160"/>
  <c r="I100" i="160"/>
  <c r="I99" i="160"/>
  <c r="I98" i="160"/>
  <c r="I97" i="160"/>
  <c r="I96" i="160"/>
  <c r="I95" i="160"/>
  <c r="I94" i="160"/>
  <c r="I93" i="160"/>
  <c r="I92" i="160"/>
  <c r="I91" i="160"/>
  <c r="I90" i="160"/>
  <c r="I89" i="160"/>
  <c r="I88" i="160"/>
  <c r="I87" i="160"/>
  <c r="I86" i="160"/>
  <c r="I85" i="160"/>
  <c r="I84" i="160"/>
  <c r="I83" i="160"/>
  <c r="I82" i="160"/>
  <c r="I81" i="160"/>
  <c r="I80" i="160"/>
  <c r="I79" i="160"/>
  <c r="I78" i="160"/>
  <c r="I77" i="160"/>
  <c r="I76" i="160"/>
  <c r="I75" i="160"/>
  <c r="I74" i="160"/>
  <c r="I73" i="160"/>
  <c r="I72" i="160"/>
  <c r="I71" i="160"/>
  <c r="I70" i="160"/>
  <c r="I69" i="160"/>
  <c r="I68" i="160"/>
  <c r="I67" i="160"/>
  <c r="I66" i="160"/>
  <c r="I65" i="160"/>
  <c r="I64" i="160"/>
  <c r="I63" i="160"/>
  <c r="I62" i="160"/>
  <c r="I61" i="160"/>
  <c r="I60" i="160"/>
  <c r="I59" i="160"/>
  <c r="I58" i="160"/>
  <c r="I57" i="160"/>
  <c r="I56" i="160"/>
  <c r="I55" i="160"/>
  <c r="I54" i="160"/>
  <c r="I53" i="160"/>
  <c r="I52" i="160"/>
  <c r="I51" i="160"/>
  <c r="I50" i="160"/>
  <c r="I49" i="160"/>
  <c r="I48" i="160"/>
  <c r="I47" i="160"/>
  <c r="I46" i="160"/>
  <c r="I45" i="160"/>
  <c r="I44" i="160"/>
  <c r="I43" i="160"/>
  <c r="I42" i="160"/>
  <c r="I41" i="160"/>
  <c r="I40" i="160"/>
  <c r="I39" i="160"/>
  <c r="I38" i="160"/>
  <c r="I37" i="160"/>
  <c r="I36" i="160"/>
  <c r="I35" i="160"/>
  <c r="I34" i="160"/>
  <c r="I33" i="160"/>
  <c r="I32" i="160"/>
  <c r="I31" i="160"/>
  <c r="I30" i="160"/>
  <c r="I29" i="160"/>
  <c r="I28" i="160"/>
  <c r="I27" i="160"/>
  <c r="I26" i="160"/>
  <c r="I25" i="160"/>
  <c r="I24" i="160"/>
  <c r="I23" i="160"/>
  <c r="I22" i="160"/>
  <c r="I21" i="160"/>
  <c r="I20" i="160"/>
  <c r="I19" i="160"/>
  <c r="I18" i="160"/>
  <c r="I17" i="160"/>
  <c r="I16" i="160"/>
  <c r="I15" i="160"/>
  <c r="I14" i="160"/>
  <c r="I13" i="160"/>
  <c r="I12" i="160"/>
  <c r="I11" i="160"/>
  <c r="I10" i="160"/>
  <c r="I9" i="160"/>
  <c r="I8" i="160"/>
  <c r="I7" i="160"/>
  <c r="I6" i="160"/>
  <c r="I5" i="160"/>
  <c r="I4" i="160"/>
  <c r="I3" i="160"/>
  <c r="I108" i="160"/>
  <c r="I2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3" i="23"/>
  <c r="I21" i="23"/>
  <c r="I4" i="23"/>
  <c r="I22" i="23"/>
  <c r="I23" i="23"/>
  <c r="I5" i="23"/>
  <c r="I6" i="23"/>
  <c r="I7" i="23"/>
  <c r="I8" i="23"/>
  <c r="I24" i="23"/>
  <c r="I25" i="23"/>
  <c r="I26" i="23"/>
  <c r="I27" i="23"/>
  <c r="I28" i="23"/>
  <c r="I29" i="23"/>
  <c r="I100" i="108"/>
  <c r="I99" i="108"/>
  <c r="I98" i="108"/>
  <c r="I97" i="108"/>
  <c r="I96" i="108"/>
  <c r="I95" i="108"/>
  <c r="I94" i="108"/>
  <c r="I93" i="108"/>
  <c r="I92" i="108"/>
  <c r="I91" i="108"/>
  <c r="I90" i="108"/>
  <c r="I89" i="108"/>
  <c r="I88" i="108"/>
  <c r="I87" i="108"/>
  <c r="I86" i="108"/>
  <c r="I85" i="108"/>
  <c r="I84" i="108"/>
  <c r="I83" i="108"/>
  <c r="I82" i="108"/>
  <c r="I81" i="108"/>
  <c r="I80" i="108"/>
  <c r="I79" i="108"/>
  <c r="I78" i="108"/>
  <c r="I77" i="108"/>
  <c r="I76" i="108"/>
  <c r="I75" i="108"/>
  <c r="I74" i="108"/>
  <c r="I73" i="108"/>
  <c r="I72" i="108"/>
  <c r="I71" i="108"/>
  <c r="I70" i="108"/>
  <c r="I69" i="108"/>
  <c r="I68" i="108"/>
  <c r="I67" i="108"/>
  <c r="I66" i="108"/>
  <c r="I65" i="108"/>
  <c r="I64" i="108"/>
  <c r="I63" i="108"/>
  <c r="I62" i="108"/>
  <c r="I61" i="108"/>
  <c r="I60" i="108"/>
  <c r="I59" i="108"/>
  <c r="I58" i="108"/>
  <c r="I57" i="108"/>
  <c r="I56" i="108"/>
  <c r="I55" i="108"/>
  <c r="I54" i="108"/>
  <c r="I53" i="108"/>
  <c r="I52" i="108"/>
  <c r="I51" i="108"/>
  <c r="I50" i="108"/>
  <c r="I49" i="108"/>
  <c r="I48" i="108"/>
  <c r="I47" i="108"/>
  <c r="I46" i="108"/>
  <c r="I45" i="108"/>
  <c r="I44" i="108"/>
  <c r="I43" i="108"/>
  <c r="I42" i="108"/>
  <c r="I41" i="108"/>
  <c r="I40" i="108"/>
  <c r="I39" i="108"/>
  <c r="I38" i="108"/>
  <c r="I37" i="108"/>
  <c r="I36" i="108"/>
  <c r="I35" i="108"/>
  <c r="I34" i="108"/>
  <c r="I33" i="108"/>
  <c r="I32" i="108"/>
  <c r="I31" i="108"/>
  <c r="I30" i="108"/>
  <c r="I29" i="108"/>
  <c r="I28" i="108"/>
  <c r="I27" i="108"/>
  <c r="I26" i="108"/>
  <c r="I25" i="108"/>
  <c r="I24" i="108"/>
  <c r="I23" i="108"/>
  <c r="I22" i="108"/>
  <c r="I21" i="108"/>
  <c r="I20" i="108"/>
  <c r="I19" i="108"/>
  <c r="I18" i="108"/>
  <c r="I17" i="108"/>
  <c r="I16" i="108"/>
  <c r="I15" i="108"/>
  <c r="I14" i="108"/>
  <c r="I13" i="108"/>
  <c r="I12" i="108"/>
  <c r="I11" i="108"/>
  <c r="I10" i="108"/>
  <c r="I9" i="108"/>
  <c r="I8" i="108"/>
  <c r="I7" i="108"/>
  <c r="I6" i="108"/>
  <c r="I5" i="108"/>
  <c r="I4" i="108"/>
  <c r="I3" i="108"/>
  <c r="I2" i="108"/>
  <c r="I103" i="159"/>
  <c r="I102" i="159"/>
  <c r="I101" i="159"/>
  <c r="I100" i="159"/>
  <c r="I99" i="159"/>
  <c r="I98" i="159"/>
  <c r="I97" i="159"/>
  <c r="I96" i="159"/>
  <c r="I95" i="159"/>
  <c r="I94" i="159"/>
  <c r="I93" i="159"/>
  <c r="I92" i="159"/>
  <c r="I91" i="159"/>
  <c r="I90" i="159"/>
  <c r="I89" i="159"/>
  <c r="I88" i="159"/>
  <c r="I87" i="159"/>
  <c r="I86" i="159"/>
  <c r="I85" i="159"/>
  <c r="I84" i="159"/>
  <c r="I83" i="159"/>
  <c r="I82" i="159"/>
  <c r="I81" i="159"/>
  <c r="I80" i="159"/>
  <c r="I79" i="159"/>
  <c r="I78" i="159"/>
  <c r="I77" i="159"/>
  <c r="I76" i="159"/>
  <c r="I75" i="159"/>
  <c r="I74" i="159"/>
  <c r="I73" i="159"/>
  <c r="I72" i="159"/>
  <c r="I71" i="159"/>
  <c r="I70" i="159"/>
  <c r="I69" i="159"/>
  <c r="I68" i="159"/>
  <c r="I67" i="159"/>
  <c r="I66" i="159"/>
  <c r="I65" i="159"/>
  <c r="I64" i="159"/>
  <c r="I63" i="159"/>
  <c r="I62" i="159"/>
  <c r="I61" i="159"/>
  <c r="I60" i="159"/>
  <c r="I59" i="159"/>
  <c r="I4" i="159"/>
  <c r="I58" i="159"/>
  <c r="I57" i="159"/>
  <c r="I56" i="159"/>
  <c r="I55" i="159"/>
  <c r="I54" i="159"/>
  <c r="I53" i="159"/>
  <c r="I52" i="159"/>
  <c r="I51" i="159"/>
  <c r="I50" i="159"/>
  <c r="I49" i="159"/>
  <c r="I48" i="159"/>
  <c r="I47" i="159"/>
  <c r="I46" i="159"/>
  <c r="I45" i="159"/>
  <c r="I44" i="159"/>
  <c r="I43" i="159"/>
  <c r="I42" i="159"/>
  <c r="I41" i="159"/>
  <c r="I40" i="159"/>
  <c r="I39" i="159"/>
  <c r="I38" i="159"/>
  <c r="I37" i="159"/>
  <c r="I36" i="159"/>
  <c r="I35" i="159"/>
  <c r="I34" i="159"/>
  <c r="I33" i="159"/>
  <c r="I32" i="159"/>
  <c r="I31" i="159"/>
  <c r="I30" i="159"/>
  <c r="I29" i="159"/>
  <c r="I28" i="159"/>
  <c r="I27" i="159"/>
  <c r="I26" i="159"/>
  <c r="I25" i="159"/>
  <c r="I24" i="159"/>
  <c r="I23" i="159"/>
  <c r="I22" i="159"/>
  <c r="I21" i="159"/>
  <c r="I20" i="159"/>
  <c r="I19" i="159"/>
  <c r="I18" i="159"/>
  <c r="I17" i="159"/>
  <c r="I16" i="159"/>
  <c r="I15" i="159"/>
  <c r="I14" i="159"/>
  <c r="I13" i="159"/>
  <c r="I12" i="159"/>
  <c r="I3" i="159"/>
  <c r="I11" i="159"/>
  <c r="I10" i="159"/>
  <c r="I9" i="159"/>
  <c r="I8" i="159"/>
  <c r="I7" i="159"/>
  <c r="I6" i="159"/>
  <c r="I5" i="159"/>
  <c r="I2" i="159"/>
  <c r="I48" i="91"/>
  <c r="I47" i="91"/>
  <c r="I46" i="91"/>
  <c r="I45" i="91"/>
  <c r="I44" i="91"/>
  <c r="I43" i="91"/>
  <c r="I42" i="91"/>
  <c r="I41" i="91"/>
  <c r="I40" i="91"/>
  <c r="I39" i="91"/>
  <c r="I38" i="91"/>
  <c r="I37" i="91"/>
  <c r="I36" i="91"/>
  <c r="I35" i="91"/>
  <c r="I34" i="91"/>
  <c r="I33" i="91"/>
  <c r="I32" i="91"/>
  <c r="I31" i="91"/>
  <c r="I30" i="91"/>
  <c r="I29" i="91"/>
  <c r="I28" i="91"/>
  <c r="I27" i="91"/>
  <c r="I26" i="91"/>
  <c r="I25" i="91"/>
  <c r="I24" i="91"/>
  <c r="I23" i="91"/>
  <c r="I22" i="91"/>
  <c r="I21" i="91"/>
  <c r="I20" i="91"/>
  <c r="I19" i="91"/>
  <c r="I18" i="91"/>
  <c r="I17" i="91"/>
  <c r="I16" i="91"/>
  <c r="I15" i="91"/>
  <c r="I14" i="91"/>
  <c r="I13" i="91"/>
  <c r="I12" i="91"/>
  <c r="I11" i="91"/>
  <c r="I10" i="91"/>
  <c r="I9" i="91"/>
  <c r="I8" i="91"/>
  <c r="I7" i="91"/>
  <c r="I6" i="91"/>
  <c r="I5" i="91"/>
  <c r="I4" i="91"/>
  <c r="I3" i="91"/>
  <c r="I2" i="91"/>
  <c r="I93" i="91"/>
  <c r="I92" i="91"/>
  <c r="I91" i="91"/>
  <c r="I90" i="91"/>
  <c r="I89" i="91"/>
  <c r="I88" i="91"/>
  <c r="I87" i="91"/>
  <c r="I86" i="91"/>
  <c r="I85" i="91"/>
  <c r="I84" i="91"/>
  <c r="I83" i="91"/>
  <c r="I82" i="91"/>
  <c r="I81" i="91"/>
  <c r="I80" i="91"/>
  <c r="I79" i="91"/>
  <c r="I78" i="91"/>
  <c r="I77" i="91"/>
  <c r="I76" i="91"/>
  <c r="I75" i="91"/>
  <c r="I74" i="91"/>
  <c r="I73" i="91"/>
  <c r="I72" i="91"/>
  <c r="I71" i="91"/>
  <c r="I70" i="91"/>
  <c r="I69" i="91"/>
  <c r="I68" i="91"/>
  <c r="I67" i="91"/>
  <c r="I66" i="91"/>
  <c r="I65" i="91"/>
  <c r="I64" i="91"/>
  <c r="I63" i="91"/>
  <c r="I62" i="91"/>
  <c r="I61" i="91"/>
  <c r="I60" i="91"/>
  <c r="I59" i="91"/>
  <c r="I58" i="91"/>
  <c r="I57" i="91"/>
  <c r="I56" i="91"/>
  <c r="I55" i="91"/>
  <c r="I54" i="91"/>
  <c r="I53" i="91"/>
  <c r="I52" i="91"/>
  <c r="I51" i="91"/>
  <c r="I50" i="91"/>
  <c r="I49" i="91"/>
  <c r="I119" i="115"/>
  <c r="I118" i="115"/>
  <c r="I117" i="115"/>
  <c r="I116" i="115"/>
  <c r="I115" i="115"/>
  <c r="I114" i="115"/>
  <c r="I113" i="115"/>
  <c r="I112" i="115"/>
  <c r="I111" i="115"/>
  <c r="I110" i="115"/>
  <c r="I109" i="115"/>
  <c r="I108" i="115"/>
  <c r="I107" i="115"/>
  <c r="I106" i="115"/>
  <c r="I105" i="115"/>
  <c r="I104" i="115"/>
  <c r="I103" i="115"/>
  <c r="I102" i="115"/>
  <c r="I101" i="115"/>
  <c r="I100" i="115"/>
  <c r="I99" i="115"/>
  <c r="I98" i="115"/>
  <c r="I97" i="115"/>
  <c r="I96" i="115"/>
  <c r="I95" i="115"/>
  <c r="I94" i="115"/>
  <c r="I93" i="115"/>
  <c r="I92" i="115"/>
  <c r="I91" i="115"/>
  <c r="I90" i="115"/>
  <c r="I89" i="115"/>
  <c r="I88" i="115"/>
  <c r="I87" i="115"/>
  <c r="I86" i="115"/>
  <c r="I85" i="115"/>
  <c r="I84" i="115"/>
  <c r="I83" i="115"/>
  <c r="I82" i="115"/>
  <c r="I81" i="115"/>
  <c r="I80" i="115"/>
  <c r="I79" i="115"/>
  <c r="I78" i="115"/>
  <c r="I77" i="115"/>
  <c r="I76" i="115"/>
  <c r="I75" i="115"/>
  <c r="I74" i="115"/>
  <c r="I73" i="115"/>
  <c r="I72" i="115"/>
  <c r="I71" i="115"/>
  <c r="I70" i="115"/>
  <c r="I69" i="115"/>
  <c r="I68" i="115"/>
  <c r="I67" i="115"/>
  <c r="I66" i="115"/>
  <c r="I65" i="115"/>
  <c r="I64" i="115"/>
  <c r="I63" i="115"/>
  <c r="I62" i="115"/>
  <c r="I61" i="115"/>
  <c r="I60" i="115"/>
  <c r="I59" i="115"/>
  <c r="I58" i="115"/>
  <c r="I57" i="115"/>
  <c r="I56" i="115"/>
  <c r="I55" i="115"/>
  <c r="I54" i="115"/>
  <c r="I53" i="115"/>
  <c r="I52" i="115"/>
  <c r="I51" i="115"/>
  <c r="I50" i="115"/>
  <c r="I49" i="115"/>
  <c r="I48" i="115"/>
  <c r="I47" i="115"/>
  <c r="I46" i="115"/>
  <c r="I45" i="115"/>
  <c r="I44" i="115"/>
  <c r="I43" i="115"/>
  <c r="I42" i="115"/>
  <c r="I41" i="115"/>
  <c r="I40" i="115"/>
  <c r="I39" i="115"/>
  <c r="I38" i="115"/>
  <c r="I37" i="115"/>
  <c r="I36" i="115"/>
  <c r="I35" i="115"/>
  <c r="I34" i="115"/>
  <c r="I33" i="115"/>
  <c r="I32" i="115"/>
  <c r="I31" i="115"/>
  <c r="I30" i="115"/>
  <c r="I29" i="115"/>
  <c r="I28" i="115"/>
  <c r="I27" i="115"/>
  <c r="I26" i="115"/>
  <c r="I25" i="115"/>
  <c r="I24" i="115"/>
  <c r="I23" i="115"/>
  <c r="I22" i="115"/>
  <c r="I21" i="115"/>
  <c r="I20" i="115"/>
  <c r="I19" i="115"/>
  <c r="I18" i="115"/>
  <c r="I17" i="115"/>
  <c r="I16" i="115"/>
  <c r="I15" i="115"/>
  <c r="I14" i="115"/>
  <c r="I13" i="115"/>
  <c r="I12" i="115"/>
  <c r="I11" i="115"/>
  <c r="I10" i="115"/>
  <c r="I3" i="115"/>
  <c r="I9" i="115"/>
  <c r="I8" i="115"/>
  <c r="I7" i="115"/>
  <c r="I6" i="115"/>
  <c r="I5" i="115"/>
  <c r="I4" i="115"/>
  <c r="I2" i="115"/>
  <c r="I114" i="114"/>
  <c r="I113" i="114"/>
  <c r="I112" i="114"/>
  <c r="I111" i="114"/>
  <c r="I110" i="114"/>
  <c r="I109" i="114"/>
  <c r="I108" i="114"/>
  <c r="I107" i="114"/>
  <c r="I106" i="114"/>
  <c r="I105" i="114"/>
  <c r="I104" i="114"/>
  <c r="I103" i="114"/>
  <c r="I102" i="114"/>
  <c r="I101" i="114"/>
  <c r="I100" i="114"/>
  <c r="I99" i="114"/>
  <c r="I98" i="114"/>
  <c r="I97" i="114"/>
  <c r="I96" i="114"/>
  <c r="I95" i="114"/>
  <c r="I94" i="114"/>
  <c r="I93" i="114"/>
  <c r="I92" i="114"/>
  <c r="I91" i="114"/>
  <c r="I90" i="114"/>
  <c r="I89" i="114"/>
  <c r="I88" i="114"/>
  <c r="I87" i="114"/>
  <c r="I86" i="114"/>
  <c r="I85" i="114"/>
  <c r="I84" i="114"/>
  <c r="I83" i="114"/>
  <c r="I82" i="114"/>
  <c r="I81" i="114"/>
  <c r="I80" i="114"/>
  <c r="I79" i="114"/>
  <c r="I78" i="114"/>
  <c r="I77" i="114"/>
  <c r="I76" i="114"/>
  <c r="I75" i="114"/>
  <c r="I74" i="114"/>
  <c r="I73" i="114"/>
  <c r="I72" i="114"/>
  <c r="I71" i="114"/>
  <c r="I70" i="114"/>
  <c r="I69" i="114"/>
  <c r="I68" i="114"/>
  <c r="I67" i="114"/>
  <c r="I66" i="114"/>
  <c r="I65" i="114"/>
  <c r="I64" i="114"/>
  <c r="I63" i="114"/>
  <c r="I62" i="114"/>
  <c r="I61" i="114"/>
  <c r="I60" i="114"/>
  <c r="I59" i="114"/>
  <c r="I58" i="114"/>
  <c r="I57" i="114"/>
  <c r="I56" i="114"/>
  <c r="I55" i="114"/>
  <c r="I54" i="114"/>
  <c r="I53" i="114"/>
  <c r="I52" i="114"/>
  <c r="I51" i="114"/>
  <c r="I50" i="114"/>
  <c r="I49" i="114"/>
  <c r="I48" i="114"/>
  <c r="I47" i="114"/>
  <c r="I46" i="114"/>
  <c r="I45" i="114"/>
  <c r="I44" i="114"/>
  <c r="I43" i="114"/>
  <c r="I42" i="114"/>
  <c r="I41" i="114"/>
  <c r="I40" i="114"/>
  <c r="I39" i="114"/>
  <c r="I38" i="114"/>
  <c r="I37" i="114"/>
  <c r="I36" i="114"/>
  <c r="I35" i="114"/>
  <c r="I34" i="114"/>
  <c r="I33" i="114"/>
  <c r="I32" i="114"/>
  <c r="I31" i="114"/>
  <c r="I30" i="114"/>
  <c r="I29" i="114"/>
  <c r="I28" i="114"/>
  <c r="I27" i="114"/>
  <c r="I26" i="114"/>
  <c r="I25" i="114"/>
  <c r="I24" i="114"/>
  <c r="I23" i="114"/>
  <c r="I22" i="114"/>
  <c r="I21" i="114"/>
  <c r="I20" i="114"/>
  <c r="I19" i="114"/>
  <c r="I18" i="114"/>
  <c r="I17" i="114"/>
  <c r="I16" i="114"/>
  <c r="I15" i="114"/>
  <c r="I14" i="114"/>
  <c r="I13" i="114"/>
  <c r="I12" i="114"/>
  <c r="I11" i="114"/>
  <c r="I10" i="114"/>
  <c r="I9" i="114"/>
  <c r="I8" i="114"/>
  <c r="I7" i="114"/>
  <c r="I6" i="114"/>
  <c r="I5" i="114"/>
  <c r="I4" i="114"/>
  <c r="I3" i="114"/>
  <c r="I2" i="114"/>
  <c r="I2" i="188"/>
  <c r="I3" i="188"/>
  <c r="I4" i="188"/>
  <c r="I5" i="188"/>
  <c r="I6" i="188"/>
  <c r="I7" i="188"/>
  <c r="I8" i="188"/>
  <c r="I9" i="188"/>
  <c r="I10" i="188"/>
  <c r="I11" i="188"/>
  <c r="I12" i="188"/>
  <c r="I13" i="188"/>
  <c r="I14" i="188"/>
  <c r="I15" i="188"/>
  <c r="I16" i="188"/>
  <c r="I17" i="188"/>
  <c r="I18" i="188"/>
  <c r="I19" i="188"/>
  <c r="I20" i="188"/>
  <c r="I21" i="188"/>
  <c r="I22" i="188"/>
  <c r="I23" i="188"/>
  <c r="I24" i="188"/>
  <c r="I25" i="188"/>
  <c r="I26" i="188"/>
  <c r="I27" i="188"/>
  <c r="I28" i="188"/>
  <c r="I4" i="184"/>
  <c r="I3" i="184"/>
  <c r="I2" i="184"/>
  <c r="I5" i="184" s="1"/>
  <c r="B11" i="184" s="1"/>
  <c r="I2" i="139"/>
  <c r="I3" i="139"/>
  <c r="I4" i="139"/>
  <c r="I5" i="139"/>
  <c r="I6" i="139"/>
  <c r="I7" i="139"/>
  <c r="I8" i="139"/>
  <c r="I9" i="139"/>
  <c r="I10" i="139"/>
  <c r="I11" i="139"/>
  <c r="I12" i="139"/>
  <c r="I13" i="139"/>
  <c r="I14" i="139"/>
  <c r="I15" i="139"/>
  <c r="I16" i="139"/>
  <c r="I17" i="139"/>
  <c r="I18" i="139"/>
  <c r="I19" i="139"/>
  <c r="I20" i="139"/>
  <c r="I21" i="139"/>
  <c r="I22" i="139"/>
  <c r="I23" i="139"/>
  <c r="I24" i="139"/>
  <c r="I25" i="139"/>
  <c r="I26" i="139"/>
  <c r="I27" i="139"/>
  <c r="I28" i="139"/>
  <c r="I29" i="139"/>
  <c r="I30" i="139"/>
  <c r="I31" i="139"/>
  <c r="I32" i="139"/>
  <c r="I33" i="139"/>
  <c r="I34" i="139"/>
  <c r="I35" i="139"/>
  <c r="I36" i="139"/>
  <c r="I37" i="139"/>
  <c r="I38" i="139"/>
  <c r="I39" i="139"/>
  <c r="I40" i="139"/>
  <c r="I41" i="139"/>
  <c r="I42" i="139"/>
  <c r="I43" i="139"/>
  <c r="I44" i="139"/>
  <c r="I45" i="139"/>
  <c r="I46" i="139"/>
  <c r="I47" i="139"/>
  <c r="I48" i="139"/>
  <c r="I49" i="139"/>
  <c r="I50" i="139"/>
  <c r="I51" i="139"/>
  <c r="I52" i="139"/>
  <c r="I53" i="139"/>
  <c r="I54" i="139"/>
  <c r="I55" i="139"/>
  <c r="I56" i="139"/>
  <c r="I57" i="139"/>
  <c r="I58" i="139"/>
  <c r="I59" i="139"/>
  <c r="I60" i="139"/>
  <c r="I61" i="139"/>
  <c r="I62" i="139"/>
  <c r="I63" i="139"/>
  <c r="I64" i="139"/>
  <c r="I65" i="139"/>
  <c r="I66" i="139"/>
  <c r="I67" i="139"/>
  <c r="I68" i="139"/>
  <c r="I69" i="139"/>
  <c r="I70" i="139"/>
  <c r="I71" i="139"/>
  <c r="I72" i="139"/>
  <c r="I73" i="139"/>
  <c r="I74" i="139"/>
  <c r="I75" i="139"/>
  <c r="I76" i="139"/>
  <c r="I77" i="139"/>
  <c r="I78" i="139"/>
  <c r="I79" i="139"/>
  <c r="I80" i="139"/>
  <c r="I81" i="139"/>
  <c r="I82" i="139"/>
  <c r="I83" i="139"/>
  <c r="I84" i="139"/>
  <c r="I85" i="139"/>
  <c r="I86" i="139"/>
  <c r="I87" i="139"/>
  <c r="I88" i="139"/>
  <c r="I89" i="139"/>
  <c r="I90" i="139"/>
  <c r="I91" i="139"/>
  <c r="I92" i="139"/>
  <c r="I93" i="139"/>
  <c r="I94" i="139"/>
  <c r="I95" i="139"/>
  <c r="I96" i="139"/>
  <c r="I97" i="139"/>
  <c r="I98" i="139"/>
  <c r="I99" i="139"/>
  <c r="I100" i="139"/>
  <c r="I101" i="139"/>
  <c r="I102" i="139"/>
  <c r="I103" i="139"/>
  <c r="I104" i="139"/>
  <c r="I105" i="139"/>
  <c r="I106" i="139"/>
  <c r="I107" i="139"/>
  <c r="I108" i="139"/>
  <c r="I109" i="139"/>
  <c r="I110" i="139"/>
  <c r="I111" i="139"/>
  <c r="I112" i="139"/>
  <c r="I113" i="139"/>
  <c r="I114" i="139"/>
  <c r="I115" i="139"/>
  <c r="I116" i="139"/>
  <c r="I117" i="139"/>
  <c r="I118" i="139"/>
  <c r="I119" i="139"/>
  <c r="I120" i="139"/>
  <c r="I121" i="139"/>
  <c r="I122" i="139"/>
  <c r="I123" i="139"/>
  <c r="I124" i="139"/>
  <c r="I125" i="139"/>
  <c r="I126" i="139"/>
  <c r="I127" i="139"/>
  <c r="I128" i="139"/>
  <c r="I129" i="139"/>
  <c r="I130" i="139"/>
  <c r="I131" i="139"/>
  <c r="I132" i="139"/>
  <c r="I133" i="139"/>
  <c r="I134" i="139"/>
  <c r="I135" i="139"/>
  <c r="I136" i="139"/>
  <c r="I137" i="139"/>
  <c r="I138" i="139"/>
  <c r="I139" i="139"/>
  <c r="I140" i="139"/>
  <c r="I141" i="139"/>
  <c r="I142" i="139"/>
  <c r="I143" i="139"/>
  <c r="I144" i="139"/>
  <c r="I145" i="139"/>
  <c r="I146" i="139"/>
  <c r="I147" i="139"/>
  <c r="I148" i="139"/>
  <c r="I149" i="139"/>
  <c r="I150" i="139"/>
  <c r="I151" i="139"/>
  <c r="I152" i="139"/>
  <c r="I153" i="139"/>
  <c r="I154" i="139"/>
  <c r="I155" i="139"/>
  <c r="I156" i="139"/>
  <c r="I157" i="139"/>
  <c r="I158" i="139"/>
  <c r="I159" i="139"/>
  <c r="I160" i="139"/>
  <c r="I161" i="139"/>
  <c r="I162" i="139"/>
  <c r="I163" i="139"/>
  <c r="I164" i="139"/>
  <c r="I165" i="139"/>
  <c r="I166" i="139"/>
  <c r="I167" i="139"/>
  <c r="I168" i="139"/>
  <c r="I169" i="139"/>
  <c r="I170" i="139"/>
  <c r="I171" i="139"/>
  <c r="I172" i="139"/>
  <c r="I173" i="139"/>
  <c r="I174" i="139"/>
  <c r="I175" i="139"/>
  <c r="I176" i="139"/>
  <c r="I177" i="139"/>
  <c r="I178" i="139"/>
  <c r="I179" i="139"/>
  <c r="I180" i="139"/>
  <c r="I181" i="139"/>
  <c r="I182" i="139"/>
  <c r="I183" i="139"/>
  <c r="I184" i="139"/>
  <c r="I185" i="139"/>
  <c r="I186" i="139"/>
  <c r="I187" i="139"/>
  <c r="I188" i="139"/>
  <c r="I189" i="139"/>
  <c r="I190" i="139"/>
  <c r="I191" i="139"/>
  <c r="I192" i="139"/>
  <c r="I193" i="139"/>
  <c r="I194" i="139"/>
  <c r="I195" i="139"/>
  <c r="I196" i="139"/>
  <c r="I197" i="139"/>
  <c r="I198" i="139"/>
  <c r="I199" i="139"/>
  <c r="I200" i="139"/>
  <c r="I201" i="139"/>
  <c r="I202" i="139"/>
  <c r="I203" i="139"/>
  <c r="I204" i="139"/>
  <c r="I205" i="139"/>
  <c r="I206" i="139"/>
  <c r="I207" i="139"/>
  <c r="I208" i="139"/>
  <c r="I209" i="139"/>
  <c r="I210" i="139"/>
  <c r="I211" i="139"/>
  <c r="I212" i="139"/>
  <c r="I213" i="139"/>
  <c r="I214" i="139"/>
  <c r="I215" i="139"/>
  <c r="I216" i="139"/>
  <c r="I217" i="139"/>
  <c r="I218" i="139"/>
  <c r="I219" i="139"/>
  <c r="I220" i="139"/>
  <c r="I221" i="139"/>
  <c r="I222" i="139"/>
  <c r="I223" i="139"/>
  <c r="I224" i="139"/>
  <c r="I225" i="139"/>
  <c r="I226" i="139"/>
  <c r="I227" i="139"/>
  <c r="I228" i="139"/>
  <c r="I229" i="139"/>
  <c r="I230" i="139"/>
  <c r="I231" i="139"/>
  <c r="I232" i="139"/>
  <c r="I233" i="139"/>
  <c r="I234" i="139"/>
  <c r="I235" i="139"/>
  <c r="I236" i="139"/>
  <c r="I237" i="139"/>
  <c r="I238" i="139"/>
  <c r="I239" i="139"/>
  <c r="I240" i="139"/>
  <c r="I241" i="139"/>
  <c r="I242" i="139"/>
  <c r="I243" i="139"/>
  <c r="I244" i="139"/>
  <c r="I245" i="139"/>
  <c r="I246" i="139"/>
  <c r="I247" i="139"/>
  <c r="I248" i="139"/>
  <c r="I249" i="139"/>
  <c r="I250" i="139"/>
  <c r="I251" i="139"/>
  <c r="I252" i="139"/>
  <c r="I253" i="139"/>
  <c r="I254" i="139"/>
  <c r="I255" i="139"/>
  <c r="I256" i="139"/>
  <c r="I257" i="139"/>
  <c r="I258" i="139"/>
  <c r="I259" i="139"/>
  <c r="I260" i="139"/>
  <c r="I261" i="139"/>
  <c r="I262" i="139"/>
  <c r="I263" i="139"/>
  <c r="I264" i="139"/>
  <c r="I265" i="139"/>
  <c r="I266" i="139"/>
  <c r="I267" i="139"/>
  <c r="I268" i="139"/>
  <c r="I269" i="139"/>
  <c r="I270" i="139"/>
  <c r="I271" i="139"/>
  <c r="I272" i="139"/>
  <c r="I273" i="139"/>
  <c r="I274" i="139"/>
  <c r="I275" i="139"/>
  <c r="I276" i="139"/>
  <c r="I277" i="139"/>
  <c r="I278" i="139"/>
  <c r="I279" i="139"/>
  <c r="I280" i="139"/>
  <c r="I281" i="139"/>
  <c r="I282" i="139"/>
  <c r="I283" i="139"/>
  <c r="I284" i="139"/>
  <c r="I285" i="139"/>
  <c r="I286" i="139"/>
  <c r="I287" i="139"/>
  <c r="I288" i="139"/>
  <c r="I289" i="139"/>
  <c r="I290" i="139"/>
  <c r="I291" i="139"/>
  <c r="I292" i="139"/>
  <c r="I293" i="139"/>
  <c r="I294" i="139"/>
  <c r="I295" i="139"/>
  <c r="I296" i="139"/>
  <c r="I297" i="139"/>
  <c r="I298" i="139"/>
  <c r="I299" i="139"/>
  <c r="I300" i="139"/>
  <c r="I301" i="139"/>
  <c r="I302" i="139"/>
  <c r="I303" i="139"/>
  <c r="I304" i="139"/>
  <c r="I305" i="139"/>
  <c r="I306" i="139"/>
  <c r="I307" i="139"/>
  <c r="I308" i="139"/>
  <c r="I309" i="139"/>
  <c r="I310" i="139"/>
  <c r="I311" i="139"/>
  <c r="I312" i="139"/>
  <c r="I313" i="139"/>
  <c r="I314" i="139"/>
  <c r="I315" i="139"/>
  <c r="I316" i="139"/>
  <c r="I317" i="139"/>
  <c r="I318" i="139"/>
  <c r="I319" i="139"/>
  <c r="I320" i="139"/>
  <c r="I321" i="139"/>
  <c r="I322" i="139"/>
  <c r="I323" i="139"/>
  <c r="I324" i="139"/>
  <c r="I325" i="139"/>
  <c r="I326" i="139"/>
  <c r="I327" i="139"/>
  <c r="I328" i="139"/>
  <c r="I329" i="139"/>
  <c r="I330" i="139"/>
  <c r="I331" i="139"/>
  <c r="I332" i="139"/>
  <c r="I333" i="139"/>
  <c r="I334" i="139"/>
  <c r="I335" i="139"/>
  <c r="I336" i="139"/>
  <c r="I337" i="139"/>
  <c r="I338" i="139"/>
  <c r="I339" i="139"/>
  <c r="I340" i="139"/>
  <c r="I341" i="139"/>
  <c r="I342" i="139"/>
  <c r="I343" i="139"/>
  <c r="I344" i="139"/>
  <c r="I345" i="139"/>
  <c r="I346" i="139"/>
  <c r="I347" i="139"/>
  <c r="I348" i="139"/>
  <c r="I349" i="139"/>
  <c r="I350" i="139"/>
  <c r="I351" i="139"/>
  <c r="I352" i="139"/>
  <c r="I353" i="139"/>
  <c r="I354" i="139"/>
  <c r="I355" i="139"/>
  <c r="I356" i="139"/>
  <c r="I357" i="139"/>
  <c r="I358" i="139"/>
  <c r="I359" i="139"/>
  <c r="I360" i="139"/>
  <c r="I361" i="139"/>
  <c r="I362" i="139"/>
  <c r="I363" i="139"/>
  <c r="I364" i="139"/>
  <c r="I365" i="139"/>
  <c r="I366" i="139"/>
  <c r="I367" i="139"/>
  <c r="I368" i="139"/>
  <c r="I369" i="139"/>
  <c r="I370" i="139"/>
  <c r="I371" i="139"/>
  <c r="I372" i="139"/>
  <c r="I373" i="139"/>
  <c r="I374" i="139"/>
  <c r="I375" i="139"/>
  <c r="I376" i="139"/>
  <c r="I377" i="139"/>
  <c r="I378" i="139"/>
  <c r="I379" i="139"/>
  <c r="I380" i="139"/>
  <c r="I381" i="139"/>
  <c r="I382" i="139"/>
  <c r="I383" i="139"/>
  <c r="I384" i="139"/>
  <c r="I385" i="139"/>
  <c r="I386" i="139"/>
  <c r="I387" i="139"/>
  <c r="I388" i="139"/>
  <c r="I389" i="139"/>
  <c r="I390" i="139"/>
  <c r="I391" i="139"/>
  <c r="I392" i="139"/>
  <c r="I393" i="139"/>
  <c r="I394" i="139"/>
  <c r="I395" i="139"/>
  <c r="I396" i="139"/>
  <c r="I397" i="139"/>
  <c r="I398" i="139"/>
  <c r="I399" i="139"/>
  <c r="I400" i="139"/>
  <c r="I401" i="139"/>
  <c r="I402" i="139"/>
  <c r="I2" i="127"/>
  <c r="I3" i="127" s="1"/>
  <c r="B9" i="127" s="1"/>
  <c r="I23" i="105"/>
  <c r="I22" i="105"/>
  <c r="I21" i="105"/>
  <c r="I20" i="105"/>
  <c r="I19" i="105"/>
  <c r="I18" i="105"/>
  <c r="I17" i="105"/>
  <c r="I16" i="105"/>
  <c r="I15" i="105"/>
  <c r="I14" i="105"/>
  <c r="I13" i="105"/>
  <c r="I12" i="105"/>
  <c r="I11" i="105"/>
  <c r="I10" i="105"/>
  <c r="I9" i="105"/>
  <c r="I8" i="105"/>
  <c r="I7" i="105"/>
  <c r="I6" i="105"/>
  <c r="I5" i="105"/>
  <c r="I4" i="105"/>
  <c r="I3" i="105"/>
  <c r="I2" i="105"/>
  <c r="I3" i="145"/>
  <c r="I4" i="145"/>
  <c r="I5" i="145"/>
  <c r="I6" i="145"/>
  <c r="I7" i="145"/>
  <c r="I8" i="145"/>
  <c r="I9" i="145"/>
  <c r="I10" i="145"/>
  <c r="I11" i="145"/>
  <c r="I12" i="145"/>
  <c r="I13" i="145"/>
  <c r="I14" i="145"/>
  <c r="I15" i="145"/>
  <c r="I16" i="145"/>
  <c r="I17" i="145"/>
  <c r="I18" i="145"/>
  <c r="I19" i="145"/>
  <c r="I2" i="145"/>
  <c r="I20" i="145"/>
  <c r="I21" i="145"/>
  <c r="I22" i="145"/>
  <c r="I23" i="145"/>
  <c r="I24" i="145"/>
  <c r="I3" i="142"/>
  <c r="I4" i="142"/>
  <c r="I5" i="142"/>
  <c r="I6" i="142"/>
  <c r="I7" i="142"/>
  <c r="I8" i="142"/>
  <c r="I9" i="142"/>
  <c r="I10" i="142"/>
  <c r="I2" i="142"/>
  <c r="I10" i="135"/>
  <c r="I9" i="135"/>
  <c r="I8" i="135"/>
  <c r="I7" i="135"/>
  <c r="I6" i="135"/>
  <c r="I5" i="135"/>
  <c r="I4" i="135"/>
  <c r="I3" i="135"/>
  <c r="I2" i="135"/>
  <c r="I227" i="158"/>
  <c r="I230" i="158"/>
  <c r="I229" i="158"/>
  <c r="I228" i="158"/>
  <c r="I226" i="158"/>
  <c r="I225" i="158"/>
  <c r="I224" i="158"/>
  <c r="I223" i="158"/>
  <c r="I222" i="158"/>
  <c r="I221" i="158"/>
  <c r="I220" i="158"/>
  <c r="I218" i="158"/>
  <c r="I217" i="158"/>
  <c r="I216" i="158"/>
  <c r="I215" i="158"/>
  <c r="I214" i="158"/>
  <c r="I213" i="158"/>
  <c r="I212" i="158"/>
  <c r="I211" i="158"/>
  <c r="I210" i="158"/>
  <c r="I209" i="158"/>
  <c r="I208" i="158"/>
  <c r="I207" i="158"/>
  <c r="I206" i="158"/>
  <c r="I205" i="158"/>
  <c r="I204" i="158"/>
  <c r="I203" i="158"/>
  <c r="I202" i="158"/>
  <c r="I201" i="158"/>
  <c r="I200" i="158"/>
  <c r="I199" i="158"/>
  <c r="I198" i="158"/>
  <c r="I197" i="158"/>
  <c r="I196" i="158"/>
  <c r="I195" i="158"/>
  <c r="I194" i="158"/>
  <c r="I193" i="158"/>
  <c r="I192" i="158"/>
  <c r="I191" i="158"/>
  <c r="I190" i="158"/>
  <c r="I189" i="158"/>
  <c r="I188" i="158"/>
  <c r="I187" i="158"/>
  <c r="I186" i="158"/>
  <c r="I185" i="158"/>
  <c r="I184" i="158"/>
  <c r="I183" i="158"/>
  <c r="I182" i="158"/>
  <c r="I181" i="158"/>
  <c r="I180" i="158"/>
  <c r="I179" i="158"/>
  <c r="I178" i="158"/>
  <c r="I177" i="158"/>
  <c r="I176" i="158"/>
  <c r="I175" i="158"/>
  <c r="I174" i="158"/>
  <c r="I173" i="158"/>
  <c r="I172" i="158"/>
  <c r="I171" i="158"/>
  <c r="I170" i="158"/>
  <c r="I169" i="158"/>
  <c r="I168" i="158"/>
  <c r="I167" i="158"/>
  <c r="I166" i="158"/>
  <c r="I165" i="158"/>
  <c r="I164" i="158"/>
  <c r="I163" i="158"/>
  <c r="I162" i="158"/>
  <c r="I161" i="158"/>
  <c r="I160" i="158"/>
  <c r="I159" i="158"/>
  <c r="I158" i="158"/>
  <c r="I157" i="158"/>
  <c r="I156" i="158"/>
  <c r="I155" i="158"/>
  <c r="I154" i="158"/>
  <c r="I153" i="158"/>
  <c r="I152" i="158"/>
  <c r="I151" i="158"/>
  <c r="I150" i="158"/>
  <c r="I149" i="158"/>
  <c r="I148" i="158"/>
  <c r="I147" i="158"/>
  <c r="I146" i="158"/>
  <c r="I145" i="158"/>
  <c r="I144" i="158"/>
  <c r="I143" i="158"/>
  <c r="I142" i="158"/>
  <c r="I141" i="158"/>
  <c r="I140" i="158"/>
  <c r="I139" i="158"/>
  <c r="I138" i="158"/>
  <c r="I137" i="158"/>
  <c r="I136" i="158"/>
  <c r="I135" i="158"/>
  <c r="I134" i="158"/>
  <c r="I133" i="158"/>
  <c r="I132" i="158"/>
  <c r="I131" i="158"/>
  <c r="I130" i="158"/>
  <c r="I129" i="158"/>
  <c r="I128" i="158"/>
  <c r="I127" i="158"/>
  <c r="I126" i="158"/>
  <c r="I125" i="158"/>
  <c r="I124" i="158"/>
  <c r="I123" i="158"/>
  <c r="I122" i="158"/>
  <c r="I121" i="158"/>
  <c r="I120" i="158"/>
  <c r="I119" i="158"/>
  <c r="I118" i="158"/>
  <c r="I117" i="158"/>
  <c r="I116" i="158"/>
  <c r="I115" i="158"/>
  <c r="I114" i="158"/>
  <c r="I113" i="158"/>
  <c r="I112" i="158"/>
  <c r="I111" i="158"/>
  <c r="I110" i="158"/>
  <c r="I109" i="158"/>
  <c r="I108" i="158"/>
  <c r="I107" i="158"/>
  <c r="I106" i="158"/>
  <c r="I105" i="158"/>
  <c r="I104" i="158"/>
  <c r="I103" i="158"/>
  <c r="I102" i="158"/>
  <c r="I101" i="158"/>
  <c r="I100" i="158"/>
  <c r="I99" i="158"/>
  <c r="I98" i="158"/>
  <c r="I97" i="158"/>
  <c r="I96" i="158"/>
  <c r="I95" i="158"/>
  <c r="I94" i="158"/>
  <c r="I93" i="158"/>
  <c r="I92" i="158"/>
  <c r="I91" i="158"/>
  <c r="I90" i="158"/>
  <c r="I89" i="158"/>
  <c r="I88" i="158"/>
  <c r="I87" i="158"/>
  <c r="I86" i="158"/>
  <c r="I85" i="158"/>
  <c r="I84" i="158"/>
  <c r="I83" i="158"/>
  <c r="I82" i="158"/>
  <c r="I81" i="158"/>
  <c r="I80" i="158"/>
  <c r="I79" i="158"/>
  <c r="I78" i="158"/>
  <c r="I77" i="158"/>
  <c r="I76" i="158"/>
  <c r="I75" i="158"/>
  <c r="I74" i="158"/>
  <c r="I73" i="158"/>
  <c r="I72" i="158"/>
  <c r="I71" i="158"/>
  <c r="I70" i="158"/>
  <c r="I69" i="158"/>
  <c r="I68" i="158"/>
  <c r="I67" i="158"/>
  <c r="I66" i="158"/>
  <c r="I65" i="158"/>
  <c r="I64" i="158"/>
  <c r="I63" i="158"/>
  <c r="I62" i="158"/>
  <c r="I61" i="158"/>
  <c r="I60" i="158"/>
  <c r="I59" i="158"/>
  <c r="I58" i="158"/>
  <c r="I57" i="158"/>
  <c r="I56" i="158"/>
  <c r="I55" i="158"/>
  <c r="I54" i="158"/>
  <c r="I53" i="158"/>
  <c r="I52" i="158"/>
  <c r="I51" i="158"/>
  <c r="I50" i="158"/>
  <c r="I49" i="158"/>
  <c r="I48" i="158"/>
  <c r="I47" i="158"/>
  <c r="I46" i="158"/>
  <c r="I45" i="158"/>
  <c r="I44" i="158"/>
  <c r="I43" i="158"/>
  <c r="I42" i="158"/>
  <c r="I41" i="158"/>
  <c r="I40" i="158"/>
  <c r="I39" i="158"/>
  <c r="I38" i="158"/>
  <c r="I37" i="158"/>
  <c r="I36" i="158"/>
  <c r="I35" i="158"/>
  <c r="I34" i="158"/>
  <c r="I33" i="158"/>
  <c r="I32" i="158"/>
  <c r="I31" i="158"/>
  <c r="I30" i="158"/>
  <c r="I29" i="158"/>
  <c r="I28" i="158"/>
  <c r="I27" i="158"/>
  <c r="I26" i="158"/>
  <c r="I25" i="158"/>
  <c r="I24" i="158"/>
  <c r="I23" i="158"/>
  <c r="I22" i="158"/>
  <c r="I21" i="158"/>
  <c r="I20" i="158"/>
  <c r="I19" i="158"/>
  <c r="I18" i="158"/>
  <c r="I17" i="158"/>
  <c r="I16" i="158"/>
  <c r="I15" i="158"/>
  <c r="I14" i="158"/>
  <c r="I13" i="158"/>
  <c r="I12" i="158"/>
  <c r="I11" i="158"/>
  <c r="I10" i="158"/>
  <c r="I9" i="158"/>
  <c r="I8" i="158"/>
  <c r="I7" i="158"/>
  <c r="I6" i="158"/>
  <c r="I5" i="158"/>
  <c r="I4" i="158"/>
  <c r="I3" i="158"/>
  <c r="I2" i="158"/>
  <c r="I108" i="113"/>
  <c r="I107" i="113"/>
  <c r="I106" i="113"/>
  <c r="I105" i="113"/>
  <c r="I104" i="113"/>
  <c r="I103" i="113"/>
  <c r="I102" i="113"/>
  <c r="I101" i="113"/>
  <c r="I100" i="113"/>
  <c r="I99" i="113"/>
  <c r="I98" i="113"/>
  <c r="I97" i="113"/>
  <c r="I96" i="113"/>
  <c r="I95" i="113"/>
  <c r="I94" i="113"/>
  <c r="I93" i="113"/>
  <c r="I92" i="113"/>
  <c r="I91" i="113"/>
  <c r="I90" i="113"/>
  <c r="I89" i="113"/>
  <c r="I88" i="113"/>
  <c r="I87" i="113"/>
  <c r="I86" i="113"/>
  <c r="I85" i="113"/>
  <c r="I84" i="113"/>
  <c r="I83" i="113"/>
  <c r="I82" i="113"/>
  <c r="I81" i="113"/>
  <c r="I80" i="113"/>
  <c r="I79" i="113"/>
  <c r="I78" i="113"/>
  <c r="I77" i="113"/>
  <c r="I76" i="113"/>
  <c r="I75" i="113"/>
  <c r="I74" i="113"/>
  <c r="I73" i="113"/>
  <c r="I72" i="113"/>
  <c r="I71" i="113"/>
  <c r="I70" i="113"/>
  <c r="I69" i="113"/>
  <c r="I68" i="113"/>
  <c r="I67" i="113"/>
  <c r="I66" i="113"/>
  <c r="I65" i="113"/>
  <c r="I64" i="113"/>
  <c r="I63" i="113"/>
  <c r="I62" i="113"/>
  <c r="I61" i="113"/>
  <c r="I60" i="113"/>
  <c r="I59" i="113"/>
  <c r="I58" i="113"/>
  <c r="I57" i="113"/>
  <c r="I56" i="113"/>
  <c r="I55" i="113"/>
  <c r="I54" i="113"/>
  <c r="I53" i="113"/>
  <c r="I52" i="113"/>
  <c r="I51" i="113"/>
  <c r="I50" i="113"/>
  <c r="I49" i="113"/>
  <c r="I48" i="113"/>
  <c r="I47" i="113"/>
  <c r="I46" i="113"/>
  <c r="I45" i="113"/>
  <c r="I44" i="113"/>
  <c r="I43" i="113"/>
  <c r="I42" i="113"/>
  <c r="I41" i="113"/>
  <c r="I40" i="113"/>
  <c r="I39" i="113"/>
  <c r="I38" i="113"/>
  <c r="I37" i="113"/>
  <c r="I36" i="113"/>
  <c r="I35" i="113"/>
  <c r="I34" i="113"/>
  <c r="I33" i="113"/>
  <c r="I32" i="113"/>
  <c r="I31" i="113"/>
  <c r="I30" i="113"/>
  <c r="I29" i="113"/>
  <c r="I28" i="113"/>
  <c r="I27" i="113"/>
  <c r="I26" i="113"/>
  <c r="I25" i="113"/>
  <c r="I24" i="113"/>
  <c r="I23" i="113"/>
  <c r="I22" i="113"/>
  <c r="I21" i="113"/>
  <c r="I20" i="113"/>
  <c r="I19" i="113"/>
  <c r="I18" i="113"/>
  <c r="I17" i="113"/>
  <c r="I16" i="113"/>
  <c r="I15" i="113"/>
  <c r="I14" i="113"/>
  <c r="I13" i="113"/>
  <c r="I12" i="113"/>
  <c r="I11" i="113"/>
  <c r="I10" i="113"/>
  <c r="I9" i="113"/>
  <c r="I8" i="113"/>
  <c r="I7" i="113"/>
  <c r="I6" i="113"/>
  <c r="I5" i="113"/>
  <c r="I4" i="113"/>
  <c r="I3" i="113"/>
  <c r="I2" i="113"/>
  <c r="I42" i="36"/>
  <c r="I41" i="36"/>
  <c r="I40" i="36"/>
  <c r="I39" i="36"/>
  <c r="I38" i="36"/>
  <c r="I37" i="36"/>
  <c r="I36" i="36"/>
  <c r="I35" i="36"/>
  <c r="I34" i="36"/>
  <c r="I33" i="36"/>
  <c r="I32" i="36"/>
  <c r="I31" i="36"/>
  <c r="I30" i="36"/>
  <c r="I29" i="36"/>
  <c r="I28" i="36"/>
  <c r="I27" i="36"/>
  <c r="I26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I12" i="36"/>
  <c r="I11" i="36"/>
  <c r="I10" i="36"/>
  <c r="I9" i="36"/>
  <c r="I8" i="36"/>
  <c r="I7" i="36"/>
  <c r="I6" i="36"/>
  <c r="I5" i="36"/>
  <c r="I4" i="36"/>
  <c r="I3" i="36"/>
  <c r="I2" i="36"/>
  <c r="I114" i="110"/>
  <c r="I113" i="110"/>
  <c r="I112" i="110"/>
  <c r="I111" i="110"/>
  <c r="I110" i="110"/>
  <c r="I109" i="110"/>
  <c r="I108" i="110"/>
  <c r="I107" i="110"/>
  <c r="I106" i="110"/>
  <c r="I105" i="110"/>
  <c r="I104" i="110"/>
  <c r="I103" i="110"/>
  <c r="I102" i="110"/>
  <c r="I101" i="110"/>
  <c r="I100" i="110"/>
  <c r="I99" i="110"/>
  <c r="I98" i="110"/>
  <c r="I97" i="110"/>
  <c r="I96" i="110"/>
  <c r="I95" i="110"/>
  <c r="I94" i="110"/>
  <c r="I93" i="110"/>
  <c r="I92" i="110"/>
  <c r="I91" i="110"/>
  <c r="I90" i="110"/>
  <c r="I89" i="110"/>
  <c r="I88" i="110"/>
  <c r="I87" i="110"/>
  <c r="I86" i="110"/>
  <c r="I85" i="110"/>
  <c r="I84" i="110"/>
  <c r="I83" i="110"/>
  <c r="I82" i="110"/>
  <c r="I81" i="110"/>
  <c r="I80" i="110"/>
  <c r="I79" i="110"/>
  <c r="I78" i="110"/>
  <c r="I77" i="110"/>
  <c r="I76" i="110"/>
  <c r="I75" i="110"/>
  <c r="I74" i="110"/>
  <c r="I73" i="110"/>
  <c r="I72" i="110"/>
  <c r="I71" i="110"/>
  <c r="I70" i="110"/>
  <c r="I69" i="110"/>
  <c r="I68" i="110"/>
  <c r="I67" i="110"/>
  <c r="I66" i="110"/>
  <c r="I65" i="110"/>
  <c r="I64" i="110"/>
  <c r="I63" i="110"/>
  <c r="I62" i="110"/>
  <c r="I61" i="110"/>
  <c r="I60" i="110"/>
  <c r="I59" i="110"/>
  <c r="I58" i="110"/>
  <c r="I57" i="110"/>
  <c r="I56" i="110"/>
  <c r="I55" i="110"/>
  <c r="I54" i="110"/>
  <c r="I53" i="110"/>
  <c r="I52" i="110"/>
  <c r="I51" i="110"/>
  <c r="I50" i="110"/>
  <c r="I49" i="110"/>
  <c r="I48" i="110"/>
  <c r="I47" i="110"/>
  <c r="I46" i="110"/>
  <c r="I45" i="110"/>
  <c r="I44" i="110"/>
  <c r="I43" i="110"/>
  <c r="I42" i="110"/>
  <c r="I41" i="110"/>
  <c r="I40" i="110"/>
  <c r="I39" i="110"/>
  <c r="I38" i="110"/>
  <c r="I37" i="110"/>
  <c r="I36" i="110"/>
  <c r="I35" i="110"/>
  <c r="I34" i="110"/>
  <c r="I33" i="110"/>
  <c r="I32" i="110"/>
  <c r="I31" i="110"/>
  <c r="I30" i="110"/>
  <c r="I29" i="110"/>
  <c r="I28" i="110"/>
  <c r="I27" i="110"/>
  <c r="I26" i="110"/>
  <c r="I25" i="110"/>
  <c r="I24" i="110"/>
  <c r="I23" i="110"/>
  <c r="I22" i="110"/>
  <c r="I21" i="110"/>
  <c r="I20" i="110"/>
  <c r="I19" i="110"/>
  <c r="I18" i="110"/>
  <c r="I17" i="110"/>
  <c r="I16" i="110"/>
  <c r="I15" i="110"/>
  <c r="I14" i="110"/>
  <c r="I13" i="110"/>
  <c r="I12" i="110"/>
  <c r="I11" i="110"/>
  <c r="I10" i="110"/>
  <c r="I9" i="110"/>
  <c r="I8" i="110"/>
  <c r="I7" i="110"/>
  <c r="I6" i="110"/>
  <c r="I5" i="110"/>
  <c r="I4" i="110"/>
  <c r="I3" i="110"/>
  <c r="I2" i="110"/>
  <c r="I270" i="157"/>
  <c r="I269" i="157"/>
  <c r="I268" i="157"/>
  <c r="I267" i="157"/>
  <c r="I266" i="157"/>
  <c r="I265" i="157"/>
  <c r="I264" i="157"/>
  <c r="I263" i="157"/>
  <c r="I262" i="157"/>
  <c r="I261" i="157"/>
  <c r="I260" i="157"/>
  <c r="I259" i="157"/>
  <c r="I258" i="157"/>
  <c r="I257" i="157"/>
  <c r="I256" i="157"/>
  <c r="I255" i="157"/>
  <c r="I254" i="157"/>
  <c r="I253" i="157"/>
  <c r="I252" i="157"/>
  <c r="I251" i="157"/>
  <c r="I250" i="157"/>
  <c r="I249" i="157"/>
  <c r="I248" i="157"/>
  <c r="I247" i="157"/>
  <c r="I246" i="157"/>
  <c r="I245" i="157"/>
  <c r="I244" i="157"/>
  <c r="I243" i="157"/>
  <c r="I242" i="157"/>
  <c r="I241" i="157"/>
  <c r="I240" i="157"/>
  <c r="I239" i="157"/>
  <c r="I238" i="157"/>
  <c r="I237" i="157"/>
  <c r="I236" i="157"/>
  <c r="I235" i="157"/>
  <c r="I234" i="157"/>
  <c r="I233" i="157"/>
  <c r="I232" i="157"/>
  <c r="I231" i="157"/>
  <c r="I230" i="157"/>
  <c r="I229" i="157"/>
  <c r="I228" i="157"/>
  <c r="I227" i="157"/>
  <c r="I226" i="157"/>
  <c r="I225" i="157"/>
  <c r="I224" i="157"/>
  <c r="I223" i="157"/>
  <c r="I222" i="157"/>
  <c r="I221" i="157"/>
  <c r="I220" i="157"/>
  <c r="I219" i="157"/>
  <c r="I218" i="157"/>
  <c r="I217" i="157"/>
  <c r="I216" i="157"/>
  <c r="I215" i="157"/>
  <c r="I214" i="157"/>
  <c r="I213" i="157"/>
  <c r="I212" i="157"/>
  <c r="I211" i="157"/>
  <c r="I210" i="157"/>
  <c r="I209" i="157"/>
  <c r="I208" i="157"/>
  <c r="I207" i="157"/>
  <c r="I206" i="157"/>
  <c r="I205" i="157"/>
  <c r="I204" i="157"/>
  <c r="I203" i="157"/>
  <c r="I202" i="157"/>
  <c r="I201" i="157"/>
  <c r="I200" i="157"/>
  <c r="I199" i="157"/>
  <c r="I198" i="157"/>
  <c r="I197" i="157"/>
  <c r="I196" i="157"/>
  <c r="I195" i="157"/>
  <c r="I194" i="157"/>
  <c r="I193" i="157"/>
  <c r="I192" i="157"/>
  <c r="I191" i="157"/>
  <c r="I190" i="157"/>
  <c r="I189" i="157"/>
  <c r="I188" i="157"/>
  <c r="I187" i="157"/>
  <c r="I186" i="157"/>
  <c r="I185" i="157"/>
  <c r="I184" i="157"/>
  <c r="I183" i="157"/>
  <c r="I182" i="157"/>
  <c r="I181" i="157"/>
  <c r="I180" i="157"/>
  <c r="I179" i="157"/>
  <c r="I178" i="157"/>
  <c r="I177" i="157"/>
  <c r="I176" i="157"/>
  <c r="I175" i="157"/>
  <c r="I174" i="157"/>
  <c r="I173" i="157"/>
  <c r="I172" i="157"/>
  <c r="I171" i="157"/>
  <c r="I170" i="157"/>
  <c r="I169" i="157"/>
  <c r="I168" i="157"/>
  <c r="I167" i="157"/>
  <c r="I166" i="157"/>
  <c r="I165" i="157"/>
  <c r="I164" i="157"/>
  <c r="I163" i="157"/>
  <c r="I162" i="157"/>
  <c r="I161" i="157"/>
  <c r="I160" i="157"/>
  <c r="I159" i="157"/>
  <c r="I158" i="157"/>
  <c r="I157" i="157"/>
  <c r="I156" i="157"/>
  <c r="I155" i="157"/>
  <c r="I154" i="157"/>
  <c r="I153" i="157"/>
  <c r="I152" i="157"/>
  <c r="I151" i="157"/>
  <c r="I150" i="157"/>
  <c r="I149" i="157"/>
  <c r="I148" i="157"/>
  <c r="I147" i="157"/>
  <c r="I146" i="157"/>
  <c r="I145" i="157"/>
  <c r="I144" i="157"/>
  <c r="I143" i="157"/>
  <c r="I142" i="157"/>
  <c r="I141" i="157"/>
  <c r="I140" i="157"/>
  <c r="I139" i="157"/>
  <c r="I138" i="157"/>
  <c r="I137" i="157"/>
  <c r="I136" i="157"/>
  <c r="I135" i="157"/>
  <c r="I134" i="157"/>
  <c r="I133" i="157"/>
  <c r="I132" i="157"/>
  <c r="I131" i="157"/>
  <c r="I130" i="157"/>
  <c r="I129" i="157"/>
  <c r="I128" i="157"/>
  <c r="I127" i="157"/>
  <c r="I126" i="157"/>
  <c r="I125" i="157"/>
  <c r="I124" i="157"/>
  <c r="I123" i="157"/>
  <c r="I122" i="157"/>
  <c r="I121" i="157"/>
  <c r="I120" i="157"/>
  <c r="I119" i="157"/>
  <c r="I118" i="157"/>
  <c r="I117" i="157"/>
  <c r="I116" i="157"/>
  <c r="I115" i="157"/>
  <c r="I114" i="157"/>
  <c r="I113" i="157"/>
  <c r="I112" i="157"/>
  <c r="I111" i="157"/>
  <c r="I110" i="157"/>
  <c r="I109" i="157"/>
  <c r="I108" i="157"/>
  <c r="I107" i="157"/>
  <c r="I106" i="157"/>
  <c r="I105" i="157"/>
  <c r="I104" i="157"/>
  <c r="I103" i="157"/>
  <c r="I102" i="157"/>
  <c r="I101" i="157"/>
  <c r="I100" i="157"/>
  <c r="I99" i="157"/>
  <c r="I98" i="157"/>
  <c r="I97" i="157"/>
  <c r="I96" i="157"/>
  <c r="I95" i="157"/>
  <c r="I94" i="157"/>
  <c r="I93" i="157"/>
  <c r="I92" i="157"/>
  <c r="I91" i="157"/>
  <c r="I90" i="157"/>
  <c r="I89" i="157"/>
  <c r="I88" i="157"/>
  <c r="I87" i="157"/>
  <c r="I86" i="157"/>
  <c r="I85" i="157"/>
  <c r="I84" i="157"/>
  <c r="I83" i="157"/>
  <c r="I82" i="157"/>
  <c r="I81" i="157"/>
  <c r="I80" i="157"/>
  <c r="I79" i="157"/>
  <c r="I78" i="157"/>
  <c r="I77" i="157"/>
  <c r="I76" i="157"/>
  <c r="I75" i="157"/>
  <c r="I74" i="157"/>
  <c r="I73" i="157"/>
  <c r="I72" i="157"/>
  <c r="I71" i="157"/>
  <c r="I70" i="157"/>
  <c r="I69" i="157"/>
  <c r="I68" i="157"/>
  <c r="I67" i="157"/>
  <c r="I66" i="157"/>
  <c r="I65" i="157"/>
  <c r="I64" i="157"/>
  <c r="I63" i="157"/>
  <c r="I62" i="157"/>
  <c r="I61" i="157"/>
  <c r="I60" i="157"/>
  <c r="I59" i="157"/>
  <c r="I58" i="157"/>
  <c r="I57" i="157"/>
  <c r="I56" i="157"/>
  <c r="I55" i="157"/>
  <c r="I54" i="157"/>
  <c r="I53" i="157"/>
  <c r="I52" i="157"/>
  <c r="I51" i="157"/>
  <c r="I50" i="157"/>
  <c r="I49" i="157"/>
  <c r="I48" i="157"/>
  <c r="I47" i="157"/>
  <c r="I46" i="157"/>
  <c r="I45" i="157"/>
  <c r="I44" i="157"/>
  <c r="I43" i="157"/>
  <c r="I42" i="157"/>
  <c r="I41" i="157"/>
  <c r="I40" i="157"/>
  <c r="I39" i="157"/>
  <c r="I38" i="157"/>
  <c r="I37" i="157"/>
  <c r="I36" i="157"/>
  <c r="I35" i="157"/>
  <c r="I34" i="157"/>
  <c r="I33" i="157"/>
  <c r="I32" i="157"/>
  <c r="I31" i="157"/>
  <c r="I30" i="157"/>
  <c r="I29" i="157"/>
  <c r="I28" i="157"/>
  <c r="I27" i="157"/>
  <c r="I26" i="157"/>
  <c r="I25" i="157"/>
  <c r="I24" i="157"/>
  <c r="I23" i="157"/>
  <c r="I22" i="157"/>
  <c r="I21" i="157"/>
  <c r="I20" i="157"/>
  <c r="I19" i="157"/>
  <c r="I18" i="157"/>
  <c r="I17" i="157"/>
  <c r="I16" i="157"/>
  <c r="I15" i="157"/>
  <c r="I14" i="157"/>
  <c r="I13" i="157"/>
  <c r="I12" i="157"/>
  <c r="I11" i="157"/>
  <c r="I10" i="157"/>
  <c r="I9" i="157"/>
  <c r="I8" i="157"/>
  <c r="I7" i="157"/>
  <c r="I6" i="157"/>
  <c r="I5" i="157"/>
  <c r="I4" i="157"/>
  <c r="I3" i="157"/>
  <c r="I2" i="157"/>
  <c r="I10" i="163" l="1"/>
  <c r="B14" i="163" s="1"/>
  <c r="B96" i="116"/>
  <c r="B114" i="160"/>
  <c r="I11" i="135"/>
  <c r="B16" i="135" s="1"/>
  <c r="I43" i="36"/>
  <c r="B49" i="36" s="1"/>
  <c r="I24" i="105"/>
  <c r="B30" i="105" s="1"/>
  <c r="I101" i="108"/>
  <c r="B105" i="108" s="1"/>
  <c r="I162" i="195"/>
  <c r="B166" i="195" s="1"/>
  <c r="I19" i="100"/>
  <c r="B25" i="100" s="1"/>
  <c r="I109" i="113"/>
  <c r="B114" i="113" s="1"/>
  <c r="I115" i="114"/>
  <c r="B120" i="114" s="1"/>
  <c r="I20" i="169"/>
  <c r="B26" i="169" s="1"/>
  <c r="I52" i="168"/>
  <c r="B57" i="168" s="1"/>
  <c r="I41" i="162"/>
  <c r="B46" i="162" s="1"/>
  <c r="I115" i="110"/>
  <c r="B121" i="110" s="1"/>
  <c r="I29" i="124"/>
  <c r="B36" i="124" s="1"/>
  <c r="I94" i="91"/>
  <c r="B98" i="91" s="1"/>
  <c r="I16" i="161"/>
  <c r="B22" i="161" s="1"/>
  <c r="B276" i="157"/>
  <c r="I36" i="166"/>
  <c r="B42" i="166" s="1"/>
  <c r="I31" i="96"/>
  <c r="B36" i="96" s="1"/>
  <c r="I231" i="158"/>
  <c r="B235" i="158" s="1"/>
  <c r="I129" i="167"/>
  <c r="B135" i="167" s="1"/>
  <c r="I125" i="164"/>
  <c r="B130" i="164" s="1"/>
  <c r="I31" i="23"/>
  <c r="B37" i="23" s="1"/>
  <c r="I104" i="159"/>
  <c r="B120" i="159" s="1"/>
  <c r="I120" i="115"/>
  <c r="B126" i="115" s="1"/>
  <c r="I29" i="188"/>
  <c r="B34" i="188" s="1"/>
  <c r="I403" i="139"/>
  <c r="B409" i="139" s="1"/>
  <c r="I25" i="145"/>
  <c r="B31" i="145" s="1"/>
  <c r="I12" i="143"/>
  <c r="B17" i="143" s="1"/>
  <c r="I11" i="142"/>
  <c r="B17" i="142" s="1"/>
  <c r="I109" i="112"/>
  <c r="I108" i="112"/>
  <c r="I107" i="112"/>
  <c r="I106" i="112"/>
  <c r="I104" i="112"/>
  <c r="I103" i="112"/>
  <c r="I102" i="112"/>
  <c r="I101" i="112"/>
  <c r="I100" i="112"/>
  <c r="I99" i="112"/>
  <c r="I98" i="112"/>
  <c r="I97" i="112"/>
  <c r="I96" i="112"/>
  <c r="I95" i="112"/>
  <c r="I94" i="112"/>
  <c r="I93" i="112"/>
  <c r="I92" i="112"/>
  <c r="I91" i="112"/>
  <c r="I90" i="112"/>
  <c r="I89" i="112"/>
  <c r="I88" i="112"/>
  <c r="I87" i="112"/>
  <c r="I86" i="112"/>
  <c r="I85" i="112"/>
  <c r="I84" i="112"/>
  <c r="I83" i="112"/>
  <c r="I82" i="112"/>
  <c r="I81" i="112"/>
  <c r="I80" i="112"/>
  <c r="I79" i="112"/>
  <c r="I78" i="112"/>
  <c r="I77" i="112"/>
  <c r="I76" i="112"/>
  <c r="I75" i="112"/>
  <c r="I74" i="112"/>
  <c r="I73" i="112"/>
  <c r="I72" i="112"/>
  <c r="I71" i="112"/>
  <c r="I70" i="112"/>
  <c r="I69" i="112"/>
  <c r="I68" i="112"/>
  <c r="I67" i="112"/>
  <c r="I66" i="112"/>
  <c r="I65" i="112"/>
  <c r="I64" i="112"/>
  <c r="I63" i="112"/>
  <c r="I62" i="112"/>
  <c r="I61" i="112"/>
  <c r="I60" i="112"/>
  <c r="I59" i="112"/>
  <c r="I58" i="112"/>
  <c r="I57" i="112"/>
  <c r="I56" i="112"/>
  <c r="I55" i="112"/>
  <c r="I54" i="112"/>
  <c r="I53" i="112"/>
  <c r="I52" i="112"/>
  <c r="I51" i="112"/>
  <c r="I50" i="112"/>
  <c r="I49" i="112"/>
  <c r="I48" i="112"/>
  <c r="I47" i="112"/>
  <c r="I46" i="112"/>
  <c r="I45" i="112"/>
  <c r="I44" i="112"/>
  <c r="I43" i="112"/>
  <c r="I42" i="112"/>
  <c r="I41" i="112"/>
  <c r="I40" i="112"/>
  <c r="I39" i="112"/>
  <c r="I38" i="112"/>
  <c r="I37" i="112"/>
  <c r="I36" i="112"/>
  <c r="I35" i="112"/>
  <c r="I34" i="112"/>
  <c r="I33" i="112"/>
  <c r="I32" i="112"/>
  <c r="I31" i="112"/>
  <c r="I30" i="112"/>
  <c r="I29" i="112"/>
  <c r="I28" i="112"/>
  <c r="I27" i="112"/>
  <c r="I26" i="112"/>
  <c r="I25" i="112"/>
  <c r="I24" i="112"/>
  <c r="I23" i="112"/>
  <c r="I22" i="112"/>
  <c r="I21" i="112"/>
  <c r="I20" i="112"/>
  <c r="I19" i="112"/>
  <c r="I18" i="112"/>
  <c r="I17" i="112"/>
  <c r="I16" i="112"/>
  <c r="I15" i="112"/>
  <c r="I14" i="112"/>
  <c r="I13" i="112"/>
  <c r="I12" i="112"/>
  <c r="I11" i="112"/>
  <c r="I10" i="112"/>
  <c r="I9" i="112"/>
  <c r="I8" i="112"/>
  <c r="I7" i="112"/>
  <c r="I6" i="112"/>
  <c r="I5" i="112"/>
  <c r="I4" i="112"/>
  <c r="I3" i="112"/>
  <c r="I2" i="112"/>
  <c r="I110" i="112" l="1"/>
  <c r="B116" i="112" s="1"/>
  <c r="I49" i="156"/>
  <c r="I48" i="156"/>
  <c r="I47" i="156"/>
  <c r="I46" i="156"/>
  <c r="I45" i="156"/>
  <c r="I44" i="156"/>
  <c r="I43" i="156"/>
  <c r="I42" i="156"/>
  <c r="I41" i="156"/>
  <c r="I40" i="156"/>
  <c r="I39" i="156"/>
  <c r="I38" i="156"/>
  <c r="I37" i="156"/>
  <c r="I36" i="156"/>
  <c r="I35" i="156"/>
  <c r="I34" i="156"/>
  <c r="I33" i="156"/>
  <c r="I32" i="156"/>
  <c r="I31" i="156"/>
  <c r="I30" i="156"/>
  <c r="I29" i="156"/>
  <c r="I28" i="156"/>
  <c r="I27" i="156"/>
  <c r="I26" i="156"/>
  <c r="I25" i="156"/>
  <c r="I24" i="156"/>
  <c r="I23" i="156"/>
  <c r="I22" i="156"/>
  <c r="I21" i="156"/>
  <c r="I20" i="156"/>
  <c r="I19" i="156"/>
  <c r="I18" i="156"/>
  <c r="I17" i="156"/>
  <c r="I16" i="156"/>
  <c r="I15" i="156"/>
  <c r="I14" i="156"/>
  <c r="I13" i="156"/>
  <c r="I12" i="156"/>
  <c r="I11" i="156"/>
  <c r="I10" i="156"/>
  <c r="I9" i="156"/>
  <c r="I8" i="156"/>
  <c r="I7" i="156"/>
  <c r="I6" i="156"/>
  <c r="I5" i="156"/>
  <c r="I4" i="156"/>
  <c r="I3" i="156"/>
  <c r="I2" i="156"/>
  <c r="I75" i="177"/>
  <c r="I74" i="177"/>
  <c r="I73" i="177"/>
  <c r="I72" i="177"/>
  <c r="I71" i="177"/>
  <c r="I70" i="177"/>
  <c r="I69" i="177"/>
  <c r="I68" i="177"/>
  <c r="I67" i="177"/>
  <c r="I66" i="177"/>
  <c r="I65" i="177"/>
  <c r="I64" i="177"/>
  <c r="I62" i="177"/>
  <c r="I61" i="177"/>
  <c r="I60" i="177"/>
  <c r="I59" i="177"/>
  <c r="I9" i="177"/>
  <c r="I8" i="177"/>
  <c r="I7" i="177"/>
  <c r="I58" i="177"/>
  <c r="I57" i="177"/>
  <c r="I56" i="177"/>
  <c r="I55" i="177"/>
  <c r="I54" i="177"/>
  <c r="I53" i="177"/>
  <c r="I52" i="177"/>
  <c r="I51" i="177"/>
  <c r="I50" i="177"/>
  <c r="I49" i="177"/>
  <c r="I48" i="177"/>
  <c r="I47" i="177"/>
  <c r="I6" i="177"/>
  <c r="I46" i="177"/>
  <c r="I45" i="177"/>
  <c r="I44" i="177"/>
  <c r="I43" i="177"/>
  <c r="I42" i="177"/>
  <c r="I41" i="177"/>
  <c r="I40" i="177"/>
  <c r="I39" i="177"/>
  <c r="I38" i="177"/>
  <c r="I37" i="177"/>
  <c r="I36" i="177"/>
  <c r="I35" i="177"/>
  <c r="I34" i="177"/>
  <c r="I33" i="177"/>
  <c r="I32" i="177"/>
  <c r="I31" i="177"/>
  <c r="I30" i="177"/>
  <c r="I29" i="177"/>
  <c r="I28" i="177"/>
  <c r="I5" i="177"/>
  <c r="I27" i="177"/>
  <c r="I26" i="177"/>
  <c r="I25" i="177"/>
  <c r="I24" i="177"/>
  <c r="I23" i="177"/>
  <c r="I22" i="177"/>
  <c r="I21" i="177"/>
  <c r="I20" i="177"/>
  <c r="I19" i="177"/>
  <c r="I18" i="177"/>
  <c r="I17" i="177"/>
  <c r="I16" i="177"/>
  <c r="I15" i="177"/>
  <c r="I4" i="177"/>
  <c r="I14" i="177"/>
  <c r="I13" i="177"/>
  <c r="I12" i="177"/>
  <c r="I11" i="177"/>
  <c r="I3" i="177"/>
  <c r="I10" i="177"/>
  <c r="I2" i="177"/>
  <c r="I26" i="131"/>
  <c r="I25" i="131"/>
  <c r="I24" i="131"/>
  <c r="I23" i="131"/>
  <c r="I22" i="131"/>
  <c r="I21" i="131"/>
  <c r="I20" i="131"/>
  <c r="I19" i="131"/>
  <c r="I18" i="131"/>
  <c r="I17" i="131"/>
  <c r="I16" i="131"/>
  <c r="I15" i="131"/>
  <c r="I14" i="131"/>
  <c r="I13" i="131"/>
  <c r="I12" i="131"/>
  <c r="I11" i="131"/>
  <c r="I10" i="131"/>
  <c r="I9" i="131"/>
  <c r="I8" i="131"/>
  <c r="I7" i="131"/>
  <c r="I6" i="131"/>
  <c r="I5" i="131"/>
  <c r="I4" i="131"/>
  <c r="I3" i="131"/>
  <c r="I2" i="131"/>
  <c r="I76" i="177" l="1"/>
  <c r="B82" i="177" s="1"/>
  <c r="I50" i="156"/>
  <c r="B54" i="156" s="1"/>
  <c r="I27" i="131"/>
  <c r="B35" i="131" s="1"/>
  <c r="H2" i="190"/>
  <c r="H3" i="190"/>
  <c r="H4" i="190"/>
  <c r="H5" i="190"/>
  <c r="H6" i="190"/>
  <c r="H7" i="190"/>
  <c r="I41" i="94" l="1"/>
  <c r="B47" i="94" s="1"/>
  <c r="H8" i="190"/>
  <c r="B12" i="190" s="1"/>
  <c r="F104" i="97"/>
  <c r="F5" i="103" l="1"/>
  <c r="F14" i="107" l="1"/>
</calcChain>
</file>

<file path=xl/sharedStrings.xml><?xml version="1.0" encoding="utf-8"?>
<sst xmlns="http://schemas.openxmlformats.org/spreadsheetml/2006/main" count="9663" uniqueCount="2702">
  <si>
    <t>Nomenclature</t>
  </si>
  <si>
    <t>Part Number</t>
  </si>
  <si>
    <t>FP41E</t>
  </si>
  <si>
    <t>Adapter, Socket Wrench, 1/2" Female to 3/8" Male</t>
  </si>
  <si>
    <t>Adapter, Socket Wrench, 1/4" Female to 3/8" Male</t>
  </si>
  <si>
    <t>Adapter, Socket Wrench, 3/8" Female to 1/2" Male</t>
  </si>
  <si>
    <t>Adapter, Socket Wrench, 3/8" Female to 1/4" Male</t>
  </si>
  <si>
    <t>FC72A</t>
  </si>
  <si>
    <t>Extension, 1/2" Drive, 20"</t>
  </si>
  <si>
    <t>Extension, 1/2" Drive, 5"</t>
  </si>
  <si>
    <t>Extension, 1/4" Drive, 4"</t>
  </si>
  <si>
    <t>Extension, 3/8" Drive, 3"</t>
  </si>
  <si>
    <t>Extension, 3/8" Drive, 6"</t>
  </si>
  <si>
    <t>Finger, Mechanical, Flexible, 22"</t>
  </si>
  <si>
    <t>Handle, Socket Wrench, Speeder, 1/4" Drive</t>
  </si>
  <si>
    <t>Handle, Socket Wrench, Speeder, 3/8" Drive</t>
  </si>
  <si>
    <t>Key, Socket Head Screw, Hex, T Handle, 7/32"</t>
  </si>
  <si>
    <t>Pliers, Duckbill, 8"</t>
  </si>
  <si>
    <t>PPB612A</t>
  </si>
  <si>
    <t>Scriber, Machinist's, 8"</t>
  </si>
  <si>
    <t>FTX60E</t>
  </si>
  <si>
    <t>LDH542</t>
  </si>
  <si>
    <t>Socket, 1/2" Drive, 11/16", Spline #22</t>
  </si>
  <si>
    <t>Socket, 1/2" Drive, 15/16", Spline #30</t>
  </si>
  <si>
    <t>Socket, 1/2" Drive, 3/4", Spline #24</t>
  </si>
  <si>
    <t>Socket, 1/2" Drive, 5/8", Spline #20</t>
  </si>
  <si>
    <t>Socket, 1/2" Drive, 7/8", Spline #28</t>
  </si>
  <si>
    <t>Socket, 1/2" Drive, 9/16", Spline #18</t>
  </si>
  <si>
    <t>Socket, 1/4" Drive, 3/8", Spline #12</t>
  </si>
  <si>
    <t>Socket, 1/4" Drive, 5/16", Spline #10</t>
  </si>
  <si>
    <t>TM7</t>
  </si>
  <si>
    <t>Socket, 3/4" Drive, 1-11/16"</t>
  </si>
  <si>
    <t>Socket, 3/4" Drive, 1-3/4"</t>
  </si>
  <si>
    <t>Socket, 3/8" Drive, 1/2", Spline #16</t>
  </si>
  <si>
    <t>Socket, 3/8" Drive, 3/8", Spline #12</t>
  </si>
  <si>
    <t>Socket, 3/8" Drive, 7/16", Spline #14</t>
  </si>
  <si>
    <t>Universal Joint, 1/4" Drive</t>
  </si>
  <si>
    <t>TMU8B</t>
  </si>
  <si>
    <t>Universal Joint, 3/8" Drive</t>
  </si>
  <si>
    <t>RTB12</t>
  </si>
  <si>
    <t>RTB10</t>
  </si>
  <si>
    <t>RTB14</t>
  </si>
  <si>
    <t>GLA72A</t>
  </si>
  <si>
    <t>Adapter, Socket Wrench, 3/4" Female to 1/2" Male</t>
  </si>
  <si>
    <t>FCO16A</t>
  </si>
  <si>
    <t>AN850827B</t>
  </si>
  <si>
    <t>Handle, Socket Wrench, Comfort Knob, Speeder, 3/8" Drive</t>
  </si>
  <si>
    <t>Handle, Socket Wrench, Reversible, 3/4" Drive</t>
  </si>
  <si>
    <t>Handle, Socket Wrench, Speeder, 1/2" Drive</t>
  </si>
  <si>
    <t>CNDD108</t>
  </si>
  <si>
    <t>F31E</t>
  </si>
  <si>
    <t>FAB10E</t>
  </si>
  <si>
    <t>Socket, 3/4" Drive, 1", Spline #32</t>
  </si>
  <si>
    <t>Socket, 3/4" Drive, 1-1/16", Spline #34</t>
  </si>
  <si>
    <t>Socket, 3/4" Drive, 7/8", Spline #28</t>
  </si>
  <si>
    <t>Wrench, Open End, 1/2" x 9/16"</t>
  </si>
  <si>
    <t>VO1618B</t>
  </si>
  <si>
    <t>Wrench, Open End, 4-Way Angle Head, 1/2"</t>
  </si>
  <si>
    <t>VS16B</t>
  </si>
  <si>
    <t>GMB3042</t>
  </si>
  <si>
    <t>F40B</t>
  </si>
  <si>
    <t>TM61A</t>
  </si>
  <si>
    <t>Magnifier, 10X, Illuminated</t>
  </si>
  <si>
    <t>HBSE10</t>
  </si>
  <si>
    <t>Screwdriver, Phillips, #1, 3"</t>
  </si>
  <si>
    <t>FABL6E</t>
  </si>
  <si>
    <t>TMA3.5E</t>
  </si>
  <si>
    <t>Socket, 3/8" Drive, 10 mm</t>
  </si>
  <si>
    <t>Socket, 3/8" Drive, 14 mm</t>
  </si>
  <si>
    <t>TMD6</t>
  </si>
  <si>
    <t>STMD6</t>
  </si>
  <si>
    <t>TMD7</t>
  </si>
  <si>
    <t>TMD8</t>
  </si>
  <si>
    <t>TMD10</t>
  </si>
  <si>
    <t>TMD12</t>
  </si>
  <si>
    <t>TMD18</t>
  </si>
  <si>
    <t>F201</t>
  </si>
  <si>
    <t>SF201</t>
  </si>
  <si>
    <t>F241</t>
  </si>
  <si>
    <t>Socket, 1/2" Drive, 1"</t>
  </si>
  <si>
    <t>FS321</t>
  </si>
  <si>
    <t>Socket, 1/2" Drive, 1-1/4"</t>
  </si>
  <si>
    <t>TW401</t>
  </si>
  <si>
    <t>TMA8E</t>
  </si>
  <si>
    <t>TMA6E</t>
  </si>
  <si>
    <t>FA10E</t>
  </si>
  <si>
    <t>TA3</t>
  </si>
  <si>
    <t>GFAT1E</t>
  </si>
  <si>
    <t>T72</t>
  </si>
  <si>
    <t>TL72</t>
  </si>
  <si>
    <t>F80</t>
  </si>
  <si>
    <t>TMCO14</t>
  </si>
  <si>
    <t>TMCO16</t>
  </si>
  <si>
    <t>TMCO18</t>
  </si>
  <si>
    <t>FCO20A</t>
  </si>
  <si>
    <t>FCO32A</t>
  </si>
  <si>
    <t>AN850816B</t>
  </si>
  <si>
    <t>Extension, 1/4" Drive, 6"</t>
  </si>
  <si>
    <t>YA338</t>
  </si>
  <si>
    <t>FRDH101</t>
  </si>
  <si>
    <t>STM10</t>
  </si>
  <si>
    <t>Holder, Screwdriver Bit, 1/4" Drive, 1/4"</t>
  </si>
  <si>
    <t>Adapter, Ratcheting, 1/2" Drive, 1/2"</t>
  </si>
  <si>
    <t>SCO48</t>
  </si>
  <si>
    <t>Extension, 1/4" Drive, 1-1/4"</t>
  </si>
  <si>
    <t>Extension, 1/4" Drive, 14"</t>
  </si>
  <si>
    <t>TMXK140</t>
  </si>
  <si>
    <t>Extension, 3/8" Drive, 8"</t>
  </si>
  <si>
    <t>HBFE16</t>
  </si>
  <si>
    <t>SW401</t>
  </si>
  <si>
    <t>SES261</t>
  </si>
  <si>
    <t>XS1012A</t>
  </si>
  <si>
    <t>R1012C</t>
  </si>
  <si>
    <t>OEX32B</t>
  </si>
  <si>
    <t>OEX30B</t>
  </si>
  <si>
    <t>Wrench, Open End, 1-1/16" X 1-1/4"</t>
  </si>
  <si>
    <t>Wrench, Open End, 11/16" x 3/4"</t>
  </si>
  <si>
    <t>VO2224B</t>
  </si>
  <si>
    <t>Wrench, Open End, 1-1/4" X 1-5/16"</t>
  </si>
  <si>
    <t>Wrench, Open End, 3/4" X 13/16"</t>
  </si>
  <si>
    <t>Wrench, Open End, 4-Way Angle Head, 1"</t>
  </si>
  <si>
    <t>VS32B</t>
  </si>
  <si>
    <t>Wrench, Open End, 4-Way Angle Head, 11/16"</t>
  </si>
  <si>
    <t>VS22B</t>
  </si>
  <si>
    <t>Wrench, Open End, 4-Way Angle Head, 1-1/4"</t>
  </si>
  <si>
    <t>VS40B</t>
  </si>
  <si>
    <t>Wrench, Open End, 4-Way Angle Head, 1-1/8"</t>
  </si>
  <si>
    <t>VS36B</t>
  </si>
  <si>
    <t>Wrench, Open End, 4-Way Angle Head, 3/4"</t>
  </si>
  <si>
    <t>VS24B</t>
  </si>
  <si>
    <t>Wrench, Open End, 4-Way Angle Head, 7/8"</t>
  </si>
  <si>
    <t>VS28B</t>
  </si>
  <si>
    <t>Wrench, Open End, 4-Way Angle Head, 9/16"</t>
  </si>
  <si>
    <t>VS18B</t>
  </si>
  <si>
    <t>LTA2022</t>
  </si>
  <si>
    <t>Valve Tool Deflator, High Pressure</t>
  </si>
  <si>
    <t>Adapter, Gun Spline External</t>
  </si>
  <si>
    <t>Adapter, Gun Spline Internal</t>
  </si>
  <si>
    <t>CG250HL</t>
  </si>
  <si>
    <t>GFA6E</t>
  </si>
  <si>
    <t>Tool, Air Release</t>
  </si>
  <si>
    <t>Tool, Removal, Gap Filler</t>
  </si>
  <si>
    <t>Ripper, Seam</t>
  </si>
  <si>
    <t>SGDTX320BR</t>
  </si>
  <si>
    <t>Tape, Measuring, Fabric</t>
  </si>
  <si>
    <t>SHD6R</t>
  </si>
  <si>
    <t>Wrench, Combination, 1-1/8"</t>
  </si>
  <si>
    <t>OEX711B</t>
  </si>
  <si>
    <t>211FCOA</t>
  </si>
  <si>
    <t>F121</t>
  </si>
  <si>
    <t>FXK6</t>
  </si>
  <si>
    <t>FABL10E</t>
  </si>
  <si>
    <t>FN100</t>
  </si>
  <si>
    <t>YA145-2</t>
  </si>
  <si>
    <t>Block, Gage, .050</t>
  </si>
  <si>
    <t>DBTBC121</t>
  </si>
  <si>
    <t>Extractor, Screw, Fulcrum Bar</t>
  </si>
  <si>
    <t>Extractor, Screw, Tapered, 5/32" to 7/32"</t>
  </si>
  <si>
    <t>Gage, Countersink, Adjustable</t>
  </si>
  <si>
    <t>Pliers, Needle Nose with Side Cut, 6-1/2"</t>
  </si>
  <si>
    <t>VS48B</t>
  </si>
  <si>
    <t>Wrench, Open End, 4-Way Angle Head, 13/16"</t>
  </si>
  <si>
    <t>VS26B</t>
  </si>
  <si>
    <t>Wrench, Open End, 4-Way Angle Head, 5/8"</t>
  </si>
  <si>
    <t>VS20B</t>
  </si>
  <si>
    <t>Bit, Router, Diamond Coated, 1/2"</t>
  </si>
  <si>
    <t>Bit, Router, Diamond Coated, 1/4"</t>
  </si>
  <si>
    <t>Bit, Router, Diamond Coated, 3/8"</t>
  </si>
  <si>
    <t>Protractor, Steel Square Head, 6"</t>
  </si>
  <si>
    <t>Bag, Tool</t>
  </si>
  <si>
    <t>Handle, Socket Wrench, Hinged, 3/4" Drive, 22"</t>
  </si>
  <si>
    <t>Key Set, Socket Head Screw, Hex, 9 Self-Contained</t>
  </si>
  <si>
    <t>Pliers, Multiple Tongue and Groove, 7"</t>
  </si>
  <si>
    <t>OEX22B</t>
  </si>
  <si>
    <t>Adapter, Socket Wrench, 1/2" Female to 3/4" Male</t>
  </si>
  <si>
    <t>FCO26A</t>
  </si>
  <si>
    <t>AN850811B</t>
  </si>
  <si>
    <t>Extension, 1/4" Drive, 11"</t>
  </si>
  <si>
    <t>TMXK110</t>
  </si>
  <si>
    <t>Extension, 1/4" Drive, 8"</t>
  </si>
  <si>
    <t>TMXK80</t>
  </si>
  <si>
    <t>Extension, 3/8" Drive, 11"</t>
  </si>
  <si>
    <t>FXK11</t>
  </si>
  <si>
    <t>Extension, 3/8" Drive, 18"</t>
  </si>
  <si>
    <t>FX18</t>
  </si>
  <si>
    <t>FTX40E</t>
  </si>
  <si>
    <t>TW241</t>
  </si>
  <si>
    <t>S481</t>
  </si>
  <si>
    <t>XSO1214A</t>
  </si>
  <si>
    <t>XB2022A</t>
  </si>
  <si>
    <t>XB1820A</t>
  </si>
  <si>
    <t>VO4852B</t>
  </si>
  <si>
    <t>Wrench, Open End, 1-1/8" x 1-3/16"</t>
  </si>
  <si>
    <t>FRDH181</t>
  </si>
  <si>
    <t>SHD8R</t>
  </si>
  <si>
    <t>LES323</t>
  </si>
  <si>
    <t>TTX20E</t>
  </si>
  <si>
    <t>TMP22E</t>
  </si>
  <si>
    <t>F12LA</t>
  </si>
  <si>
    <t>SES181</t>
  </si>
  <si>
    <t>FU8A</t>
  </si>
  <si>
    <t>SGDMRC1A</t>
  </si>
  <si>
    <t>OSH26B</t>
  </si>
  <si>
    <t>SW341</t>
  </si>
  <si>
    <t>FM10</t>
  </si>
  <si>
    <t>FM14</t>
  </si>
  <si>
    <t>FC40A</t>
  </si>
  <si>
    <t>F4LBK</t>
  </si>
  <si>
    <t>R1214C</t>
  </si>
  <si>
    <t>R1618C</t>
  </si>
  <si>
    <t>R810C</t>
  </si>
  <si>
    <t>SX20</t>
  </si>
  <si>
    <t>F261</t>
  </si>
  <si>
    <t>BP8B</t>
  </si>
  <si>
    <t>Socket Wrench Attachment, 1/4" Drive, Phillips #2</t>
  </si>
  <si>
    <t>GLA12B</t>
  </si>
  <si>
    <t>QDRIVER1P</t>
  </si>
  <si>
    <t>FC48A</t>
  </si>
  <si>
    <t>SDM2716D</t>
  </si>
  <si>
    <t>SDM2708D</t>
  </si>
  <si>
    <t>SDM2712D</t>
  </si>
  <si>
    <t>SDM2706D</t>
  </si>
  <si>
    <t>SDM2710D</t>
  </si>
  <si>
    <t>SDM2705D</t>
  </si>
  <si>
    <t>SDM2714D</t>
  </si>
  <si>
    <t>SDM2707D</t>
  </si>
  <si>
    <t>SDM2709D</t>
  </si>
  <si>
    <t>FTX50E</t>
  </si>
  <si>
    <t>FTX55E</t>
  </si>
  <si>
    <t>PWC52A</t>
  </si>
  <si>
    <t>FC36A</t>
  </si>
  <si>
    <t>FC44A</t>
  </si>
  <si>
    <t>TMXWK4</t>
  </si>
  <si>
    <t>FXK3</t>
  </si>
  <si>
    <t>SXK11</t>
  </si>
  <si>
    <t>FB335</t>
  </si>
  <si>
    <t>FBL325A</t>
  </si>
  <si>
    <t>UIM225</t>
  </si>
  <si>
    <t>SDM221C</t>
  </si>
  <si>
    <t>SDM222ZB</t>
  </si>
  <si>
    <t>SDM223C</t>
  </si>
  <si>
    <t>WTR1A</t>
  </si>
  <si>
    <t>YA339</t>
  </si>
  <si>
    <t>PRH57A</t>
  </si>
  <si>
    <t>TES14</t>
  </si>
  <si>
    <t>SES221</t>
  </si>
  <si>
    <t>SW161A</t>
  </si>
  <si>
    <t>SW321</t>
  </si>
  <si>
    <t>SW221</t>
  </si>
  <si>
    <t>SW361</t>
  </si>
  <si>
    <t>SW261</t>
  </si>
  <si>
    <t>SW441</t>
  </si>
  <si>
    <t>SES301</t>
  </si>
  <si>
    <t>SW421</t>
  </si>
  <si>
    <t>SW241</t>
  </si>
  <si>
    <t>SES241</t>
  </si>
  <si>
    <t>SW201</t>
  </si>
  <si>
    <t>SES281</t>
  </si>
  <si>
    <t>SW181A</t>
  </si>
  <si>
    <t>STMD8</t>
  </si>
  <si>
    <t>STMD10</t>
  </si>
  <si>
    <t>TMD14</t>
  </si>
  <si>
    <t>STMD7</t>
  </si>
  <si>
    <t>F321</t>
  </si>
  <si>
    <t>F301</t>
  </si>
  <si>
    <t>SF241</t>
  </si>
  <si>
    <t>SF141</t>
  </si>
  <si>
    <t>F281</t>
  </si>
  <si>
    <t>SF281</t>
  </si>
  <si>
    <t>F181</t>
  </si>
  <si>
    <t>SF181</t>
  </si>
  <si>
    <t>F161</t>
  </si>
  <si>
    <t>F221</t>
  </si>
  <si>
    <t>OEX160B</t>
  </si>
  <si>
    <t>OEX080B</t>
  </si>
  <si>
    <t>OEX120B</t>
  </si>
  <si>
    <t>OEX100B</t>
  </si>
  <si>
    <t>OEX34B</t>
  </si>
  <si>
    <t>OEX36B</t>
  </si>
  <si>
    <t>OEX8B</t>
  </si>
  <si>
    <t>OEX26B</t>
  </si>
  <si>
    <t>OEX24B</t>
  </si>
  <si>
    <t>OEX12B</t>
  </si>
  <si>
    <t>OEX14B</t>
  </si>
  <si>
    <t>OEX28B</t>
  </si>
  <si>
    <t>OEX20B</t>
  </si>
  <si>
    <t>AN85088B</t>
  </si>
  <si>
    <t>AN850813B</t>
  </si>
  <si>
    <t>AN850812B</t>
  </si>
  <si>
    <t>AN85086B</t>
  </si>
  <si>
    <t>AN850814B</t>
  </si>
  <si>
    <t>AN85089B</t>
  </si>
  <si>
    <t>RTB8</t>
  </si>
  <si>
    <t>Adapter, Socket Wrench, 3/4" Female to 1" Male</t>
  </si>
  <si>
    <t>Socket, 1/4" Drive, 5/16", 6 Point</t>
  </si>
  <si>
    <t>STMD14</t>
  </si>
  <si>
    <t>OXI5SB</t>
  </si>
  <si>
    <t>Wrench, Open End, 1 5/8"X1 1/2"</t>
  </si>
  <si>
    <t>VS38B</t>
  </si>
  <si>
    <t>Wrench, Open End, 4-Way Angle Head, 15/16"</t>
  </si>
  <si>
    <t>VS30B</t>
  </si>
  <si>
    <t>OXI6B</t>
  </si>
  <si>
    <t>OXI7B</t>
  </si>
  <si>
    <t>OXI8B</t>
  </si>
  <si>
    <t>OXI9B</t>
  </si>
  <si>
    <t>OXI10B</t>
  </si>
  <si>
    <t>OXI11B</t>
  </si>
  <si>
    <t>OXI12B</t>
  </si>
  <si>
    <t>OXI14B</t>
  </si>
  <si>
    <t>OXI16B</t>
  </si>
  <si>
    <t>OXI18B</t>
  </si>
  <si>
    <t>OEX10B</t>
  </si>
  <si>
    <t>OEX11B</t>
  </si>
  <si>
    <t>OEX16B</t>
  </si>
  <si>
    <t>OEX18B</t>
  </si>
  <si>
    <t>OEX38B</t>
  </si>
  <si>
    <t>OEX40B</t>
  </si>
  <si>
    <t>OEX42B</t>
  </si>
  <si>
    <t>OEX44B</t>
  </si>
  <si>
    <t>OEX46B</t>
  </si>
  <si>
    <t>OEX48B</t>
  </si>
  <si>
    <t>RTB16</t>
  </si>
  <si>
    <t>RTB18</t>
  </si>
  <si>
    <t>R2022C</t>
  </si>
  <si>
    <t>GTMX2</t>
  </si>
  <si>
    <t>GTMX60</t>
  </si>
  <si>
    <t>GFXK3</t>
  </si>
  <si>
    <t>GFXK6</t>
  </si>
  <si>
    <t>GFXK11</t>
  </si>
  <si>
    <t>SXK5</t>
  </si>
  <si>
    <t>SX36</t>
  </si>
  <si>
    <t>S8</t>
  </si>
  <si>
    <t>GTA3</t>
  </si>
  <si>
    <t>GAF2A</t>
  </si>
  <si>
    <t>TMS4E</t>
  </si>
  <si>
    <t>S4</t>
  </si>
  <si>
    <t>F10LC</t>
  </si>
  <si>
    <t>SN18B</t>
  </si>
  <si>
    <t>Pliers, Needle Nose, 6"</t>
  </si>
  <si>
    <t>BPN16B</t>
  </si>
  <si>
    <t>SHDP22IRR</t>
  </si>
  <si>
    <t>FC52A</t>
  </si>
  <si>
    <t>THLF72</t>
  </si>
  <si>
    <t>LES343</t>
  </si>
  <si>
    <t>SGD4BR</t>
  </si>
  <si>
    <t>Socket, Universal, 1/4" Drive, 1/4"</t>
  </si>
  <si>
    <t>Socket, Universal, 1/4" Drive, 3/8"</t>
  </si>
  <si>
    <t>Socket, Universal, 1/4" Drive, 5/16"</t>
  </si>
  <si>
    <t>Socket, Universal, 1/4" Drive, 7/16"</t>
  </si>
  <si>
    <t>TMU101A</t>
  </si>
  <si>
    <t>TMU121A</t>
  </si>
  <si>
    <t>TMU141A</t>
  </si>
  <si>
    <t>SCO58</t>
  </si>
  <si>
    <t>SCO42</t>
  </si>
  <si>
    <t>SCO64</t>
  </si>
  <si>
    <t>CP9</t>
  </si>
  <si>
    <t>FCO14A</t>
  </si>
  <si>
    <t>F141</t>
  </si>
  <si>
    <t>TTX15E</t>
  </si>
  <si>
    <t>FTX30E</t>
  </si>
  <si>
    <t>AWCG1614B</t>
  </si>
  <si>
    <t>SRT10S25BB</t>
  </si>
  <si>
    <t>Screwdriver, Phillips, #2, 8"</t>
  </si>
  <si>
    <t>SGDP82BR</t>
  </si>
  <si>
    <t>Quantity</t>
  </si>
  <si>
    <t>FCO12A</t>
  </si>
  <si>
    <t>FCO18A</t>
  </si>
  <si>
    <t>FCO22A</t>
  </si>
  <si>
    <t>FCO24A</t>
  </si>
  <si>
    <t>FCO28A</t>
  </si>
  <si>
    <t>FCO30A</t>
  </si>
  <si>
    <t>FC34B</t>
  </si>
  <si>
    <t>FC38A</t>
  </si>
  <si>
    <t>FC42A</t>
  </si>
  <si>
    <t>FC46A</t>
  </si>
  <si>
    <t>FC50A</t>
  </si>
  <si>
    <t>FC54A</t>
  </si>
  <si>
    <t>FC56A</t>
  </si>
  <si>
    <t>FC58A</t>
  </si>
  <si>
    <t>FC60A</t>
  </si>
  <si>
    <t>FC62A</t>
  </si>
  <si>
    <t>FC64A</t>
  </si>
  <si>
    <t>FC80A</t>
  </si>
  <si>
    <t>AN85087B</t>
  </si>
  <si>
    <t>AN850810B</t>
  </si>
  <si>
    <t>AN850815B</t>
  </si>
  <si>
    <t>TMD9</t>
  </si>
  <si>
    <t>TMD11</t>
  </si>
  <si>
    <t>TMD16</t>
  </si>
  <si>
    <t>SW381</t>
  </si>
  <si>
    <t>STMD16</t>
  </si>
  <si>
    <t>STMD9</t>
  </si>
  <si>
    <t>STMD11</t>
  </si>
  <si>
    <t>STMD12</t>
  </si>
  <si>
    <t>SF321</t>
  </si>
  <si>
    <t>SF221</t>
  </si>
  <si>
    <t>SF261</t>
  </si>
  <si>
    <t>SF301</t>
  </si>
  <si>
    <t>S341</t>
  </si>
  <si>
    <t>S361</t>
  </si>
  <si>
    <t>S381</t>
  </si>
  <si>
    <t>S401</t>
  </si>
  <si>
    <t>UIM125</t>
  </si>
  <si>
    <t>SHDP63IRR</t>
  </si>
  <si>
    <t>SGDP101BR</t>
  </si>
  <si>
    <t>SHD1R</t>
  </si>
  <si>
    <t>GCP10</t>
  </si>
  <si>
    <t>SRES34</t>
  </si>
  <si>
    <t>Pliers, Diagonal Cut, 5"</t>
  </si>
  <si>
    <t>Tool, Removal, Mask Oxygen Line</t>
  </si>
  <si>
    <t>LMF357</t>
  </si>
  <si>
    <t>SF121</t>
  </si>
  <si>
    <t>Tool Box</t>
  </si>
  <si>
    <t xml:space="preserve">Tool Box </t>
  </si>
  <si>
    <t>GSAF1F</t>
  </si>
  <si>
    <t>A2A</t>
  </si>
  <si>
    <t>TMRX10</t>
  </si>
  <si>
    <t>TMXK2</t>
  </si>
  <si>
    <t>TMXK4</t>
  </si>
  <si>
    <t>FX1</t>
  </si>
  <si>
    <t>YA837A</t>
  </si>
  <si>
    <t>HBBD16</t>
  </si>
  <si>
    <t>SN15B</t>
  </si>
  <si>
    <t>S80A</t>
  </si>
  <si>
    <t>F4LB</t>
  </si>
  <si>
    <t>GAW1914</t>
  </si>
  <si>
    <t>SET309N2STE</t>
  </si>
  <si>
    <t>JHWPL76C</t>
  </si>
  <si>
    <t>LST51348</t>
  </si>
  <si>
    <t>SHD4R</t>
  </si>
  <si>
    <t>SHDP22IRO</t>
  </si>
  <si>
    <t>SHDP82O</t>
  </si>
  <si>
    <t>TMA3E</t>
  </si>
  <si>
    <t>TMA5E</t>
  </si>
  <si>
    <t>TMA7E</t>
  </si>
  <si>
    <t>S441</t>
  </si>
  <si>
    <t>SES201</t>
  </si>
  <si>
    <t>SW281</t>
  </si>
  <si>
    <t>IMD542</t>
  </si>
  <si>
    <t>IMD562</t>
  </si>
  <si>
    <t>F081</t>
  </si>
  <si>
    <t>F101</t>
  </si>
  <si>
    <t>PRH57A-1</t>
  </si>
  <si>
    <t>OXI7SB</t>
  </si>
  <si>
    <t>OEXL32B</t>
  </si>
  <si>
    <t>OEX110B</t>
  </si>
  <si>
    <t>OEXR20</t>
  </si>
  <si>
    <t>OEXR18</t>
  </si>
  <si>
    <t>OEXR10</t>
  </si>
  <si>
    <t>OEXR16</t>
  </si>
  <si>
    <t>OEXR22</t>
  </si>
  <si>
    <t>OEXR12</t>
  </si>
  <si>
    <t>OEXR14</t>
  </si>
  <si>
    <t>AW3D</t>
  </si>
  <si>
    <t>IM124B</t>
  </si>
  <si>
    <t>IM72</t>
  </si>
  <si>
    <t>AN850819B</t>
  </si>
  <si>
    <t>TMXK60</t>
  </si>
  <si>
    <t>AWL1010DK</t>
  </si>
  <si>
    <t>AW4-1/2D</t>
  </si>
  <si>
    <t>BF620C</t>
  </si>
  <si>
    <t>PPR2</t>
  </si>
  <si>
    <t>PPR4</t>
  </si>
  <si>
    <t>WT11B</t>
  </si>
  <si>
    <t>SGD6BO</t>
  </si>
  <si>
    <t>JHWX-1254</t>
  </si>
  <si>
    <t>F25E</t>
  </si>
  <si>
    <t>TMA4.5E</t>
  </si>
  <si>
    <t>FA12LE</t>
  </si>
  <si>
    <t>LES483</t>
  </si>
  <si>
    <t>LES383</t>
  </si>
  <si>
    <t>SW301</t>
  </si>
  <si>
    <t>LES342NP</t>
  </si>
  <si>
    <t>LES282NP</t>
  </si>
  <si>
    <t>RXFS1618B</t>
  </si>
  <si>
    <t>RXFS2022B</t>
  </si>
  <si>
    <t>AWL10D</t>
  </si>
  <si>
    <t>APS351B</t>
  </si>
  <si>
    <t>TMAB5E</t>
  </si>
  <si>
    <t>TM4CSA</t>
  </si>
  <si>
    <t>CNDD112</t>
  </si>
  <si>
    <t>SRPC7090</t>
  </si>
  <si>
    <t>RYA810</t>
  </si>
  <si>
    <t>SGDP31IRBO</t>
  </si>
  <si>
    <t>TMA2E</t>
  </si>
  <si>
    <t>TMAB6E</t>
  </si>
  <si>
    <t>TMAB4E</t>
  </si>
  <si>
    <t>TMA2.5E</t>
  </si>
  <si>
    <t>TTX10E</t>
  </si>
  <si>
    <t>FABL4E</t>
  </si>
  <si>
    <t>FABL7E</t>
  </si>
  <si>
    <t>OEX200B</t>
  </si>
  <si>
    <t>OSH12B</t>
  </si>
  <si>
    <t>OEX140B</t>
  </si>
  <si>
    <t>AW2D</t>
  </si>
  <si>
    <t>ATIT10A1</t>
  </si>
  <si>
    <t>SSDE63C</t>
  </si>
  <si>
    <t>SDD204O</t>
  </si>
  <si>
    <t>SHDP31IRR</t>
  </si>
  <si>
    <t>SHDP62IRR</t>
  </si>
  <si>
    <t>S77A</t>
  </si>
  <si>
    <t>TMRX12</t>
  </si>
  <si>
    <t>FRH320S</t>
  </si>
  <si>
    <t>FRH220S</t>
  </si>
  <si>
    <t>FRH280S</t>
  </si>
  <si>
    <t>FRH180S</t>
  </si>
  <si>
    <t>TMX1</t>
  </si>
  <si>
    <t>FXK8</t>
  </si>
  <si>
    <t>LST51344</t>
  </si>
  <si>
    <t>SGD8BO</t>
  </si>
  <si>
    <t>TMUS101A</t>
  </si>
  <si>
    <t>VO3440B</t>
  </si>
  <si>
    <t>VO4042B</t>
  </si>
  <si>
    <t>VO3638B</t>
  </si>
  <si>
    <t>VO2426B</t>
  </si>
  <si>
    <t>JHWP-40</t>
  </si>
  <si>
    <t>PPC905B</t>
  </si>
  <si>
    <t>PPC108A</t>
  </si>
  <si>
    <t>PPC104A</t>
  </si>
  <si>
    <t>PPC106A</t>
  </si>
  <si>
    <t>PPC103A</t>
  </si>
  <si>
    <t>PPC105A</t>
  </si>
  <si>
    <t>PPR8</t>
  </si>
  <si>
    <t>ATISK3614</t>
  </si>
  <si>
    <t>JHWC-16</t>
  </si>
  <si>
    <t>HBFE24</t>
  </si>
  <si>
    <t>SET306N2STE</t>
  </si>
  <si>
    <t>SHDP42IRR</t>
  </si>
  <si>
    <t>SHD2R</t>
  </si>
  <si>
    <t>SCO60</t>
  </si>
  <si>
    <t>PPC4A</t>
  </si>
  <si>
    <t>TM12</t>
  </si>
  <si>
    <t>SPBS24R</t>
  </si>
  <si>
    <t>PPB1226A</t>
  </si>
  <si>
    <t>LST50314</t>
  </si>
  <si>
    <t>CCP-7900101</t>
  </si>
  <si>
    <t>LST50672</t>
  </si>
  <si>
    <t>PW10C</t>
  </si>
  <si>
    <t>FA8E</t>
  </si>
  <si>
    <t>FA7E</t>
  </si>
  <si>
    <t>FA4.5E</t>
  </si>
  <si>
    <t>FTX20E</t>
  </si>
  <si>
    <t>AW050D</t>
  </si>
  <si>
    <t>MCI43476944</t>
  </si>
  <si>
    <t>MCI43461755</t>
  </si>
  <si>
    <t>LST52680</t>
  </si>
  <si>
    <t>GLASS9BK</t>
  </si>
  <si>
    <t>OEX300B</t>
  </si>
  <si>
    <t>LST51375</t>
  </si>
  <si>
    <t>SDM211B</t>
  </si>
  <si>
    <t>YA337A</t>
  </si>
  <si>
    <t>DBTBC1/8</t>
  </si>
  <si>
    <t>DBTBC3/8</t>
  </si>
  <si>
    <t>EXD10</t>
  </si>
  <si>
    <t>HBPT16</t>
  </si>
  <si>
    <t>LST51349</t>
  </si>
  <si>
    <t>LST51509</t>
  </si>
  <si>
    <t>LST56368</t>
  </si>
  <si>
    <t>VGP22412</t>
  </si>
  <si>
    <t>ATI540-7</t>
  </si>
  <si>
    <t>EX2</t>
  </si>
  <si>
    <t>EX3</t>
  </si>
  <si>
    <t>EX4</t>
  </si>
  <si>
    <t>Extractor, Screw, Tapered, 7/32" to 9/32"</t>
  </si>
  <si>
    <t>Extractor, Screw, Tapered, 9/32" to 3/8"</t>
  </si>
  <si>
    <t>AWEF9K</t>
  </si>
  <si>
    <t>AWP65</t>
  </si>
  <si>
    <t>PPR2-1/2</t>
  </si>
  <si>
    <t>PPR3</t>
  </si>
  <si>
    <t>PPR5</t>
  </si>
  <si>
    <t>PPR6</t>
  </si>
  <si>
    <t>PPR7</t>
  </si>
  <si>
    <t>PPR16</t>
  </si>
  <si>
    <t>LDH602</t>
  </si>
  <si>
    <t>LTA2426</t>
  </si>
  <si>
    <t>PPB1012A</t>
  </si>
  <si>
    <t>VO3032B</t>
  </si>
  <si>
    <t>VO1416B</t>
  </si>
  <si>
    <t>VO1820B</t>
  </si>
  <si>
    <t>FA8LE</t>
  </si>
  <si>
    <t>FAN8508-18</t>
  </si>
  <si>
    <t>FAN8508-5</t>
  </si>
  <si>
    <t>SF161</t>
  </si>
  <si>
    <t>JHW3562</t>
  </si>
  <si>
    <t>SGDP42IRBR</t>
  </si>
  <si>
    <t>TMU81B</t>
  </si>
  <si>
    <t>TMDS11</t>
  </si>
  <si>
    <t>SGCP1BO</t>
  </si>
  <si>
    <t>SCO80</t>
  </si>
  <si>
    <t>SCO72</t>
  </si>
  <si>
    <t>FRH140S</t>
  </si>
  <si>
    <t>AW1013DK</t>
  </si>
  <si>
    <t>SDDP204BO</t>
  </si>
  <si>
    <t>TM10</t>
  </si>
  <si>
    <t>LDH562</t>
  </si>
  <si>
    <t>FU14B</t>
  </si>
  <si>
    <t>TM05</t>
  </si>
  <si>
    <t>XDES2630A</t>
  </si>
  <si>
    <t>XDES2224A</t>
  </si>
  <si>
    <t>OEX180B</t>
  </si>
  <si>
    <t>GSRDH36-4CL</t>
  </si>
  <si>
    <t>GTMXK110</t>
  </si>
  <si>
    <t>AWP120</t>
  </si>
  <si>
    <t>GA353B</t>
  </si>
  <si>
    <t>BP16B</t>
  </si>
  <si>
    <t>FRDH121</t>
  </si>
  <si>
    <t>FRDH141</t>
  </si>
  <si>
    <t>ATI590RGK-4X</t>
  </si>
  <si>
    <t>ATISK3595</t>
  </si>
  <si>
    <t>DBTBC129</t>
  </si>
  <si>
    <t>PDR5000A</t>
  </si>
  <si>
    <t>HBBT16</t>
  </si>
  <si>
    <t>B260A</t>
  </si>
  <si>
    <t>PPC6B</t>
  </si>
  <si>
    <t>CSA8C</t>
  </si>
  <si>
    <t>SGD153BR</t>
  </si>
  <si>
    <t>SHD480O</t>
  </si>
  <si>
    <t>TMA4E</t>
  </si>
  <si>
    <t>S321</t>
  </si>
  <si>
    <t>SFM7</t>
  </si>
  <si>
    <t>SAM10E</t>
  </si>
  <si>
    <t>SAM12E</t>
  </si>
  <si>
    <t>SAM14E</t>
  </si>
  <si>
    <t>SAM17E</t>
  </si>
  <si>
    <t>SAM19E</t>
  </si>
  <si>
    <t>SA12E</t>
  </si>
  <si>
    <t>SA14E</t>
  </si>
  <si>
    <t>SA16E</t>
  </si>
  <si>
    <t>SA18E</t>
  </si>
  <si>
    <t>SA20E</t>
  </si>
  <si>
    <t>AWMG9</t>
  </si>
  <si>
    <t>ATI445E410</t>
  </si>
  <si>
    <t>ATI445E421</t>
  </si>
  <si>
    <t>ATI445E430</t>
  </si>
  <si>
    <t>ATI445E440</t>
  </si>
  <si>
    <t>ATI445E4-1/4</t>
  </si>
  <si>
    <t>LST52119</t>
  </si>
  <si>
    <t>ATI551WNXEL</t>
  </si>
  <si>
    <t>ATI553WNXEL</t>
  </si>
  <si>
    <t>ATI552WNXEL</t>
  </si>
  <si>
    <t>ATI556WNXEL</t>
  </si>
  <si>
    <t>ATI554WNXEL</t>
  </si>
  <si>
    <t>ATI557WNXL</t>
  </si>
  <si>
    <t>ATI556WNXL</t>
  </si>
  <si>
    <t>TM8</t>
  </si>
  <si>
    <t>FA6E</t>
  </si>
  <si>
    <t>KGVFL758PKS</t>
  </si>
  <si>
    <t>PPC3A</t>
  </si>
  <si>
    <t>Socket, 3/8 Drive 1"</t>
  </si>
  <si>
    <t>MBEU254214</t>
  </si>
  <si>
    <t>Locking Pin</t>
  </si>
  <si>
    <t>MBEU254219</t>
  </si>
  <si>
    <t>Withdrawl Tool</t>
  </si>
  <si>
    <t>MBEU119217</t>
  </si>
  <si>
    <t>Cartridge Extractor</t>
  </si>
  <si>
    <t>MBEU171842</t>
  </si>
  <si>
    <t>ESD Wrist Strap</t>
  </si>
  <si>
    <t>P36814</t>
  </si>
  <si>
    <t>ESD Coil Lead</t>
  </si>
  <si>
    <t>Sticker Clip Fitting Removal tool</t>
  </si>
  <si>
    <t>MBEU254212/3</t>
  </si>
  <si>
    <t>MCI93485324</t>
  </si>
  <si>
    <t>BF185A</t>
  </si>
  <si>
    <t>DBTBC1/4</t>
  </si>
  <si>
    <t>DBTBC3/16</t>
  </si>
  <si>
    <t>DBTBC5/16</t>
  </si>
  <si>
    <t>SGD8BR</t>
  </si>
  <si>
    <t>SGDP61BR</t>
  </si>
  <si>
    <t>LMF352</t>
  </si>
  <si>
    <t>SDR10P40R3</t>
  </si>
  <si>
    <t>SAG03S20</t>
  </si>
  <si>
    <t>FBS9</t>
  </si>
  <si>
    <t>DBC260A</t>
  </si>
  <si>
    <t>SHD304O</t>
  </si>
  <si>
    <t>FM19</t>
  </si>
  <si>
    <t>FM18</t>
  </si>
  <si>
    <t>FM17</t>
  </si>
  <si>
    <t>FM16</t>
  </si>
  <si>
    <t>FM15</t>
  </si>
  <si>
    <t>FM13</t>
  </si>
  <si>
    <t>FM12</t>
  </si>
  <si>
    <t>FM11</t>
  </si>
  <si>
    <t>FM9</t>
  </si>
  <si>
    <t>FM8</t>
  </si>
  <si>
    <t>SFM19</t>
  </si>
  <si>
    <t>SFM18</t>
  </si>
  <si>
    <t>SFM17</t>
  </si>
  <si>
    <t>SFM16</t>
  </si>
  <si>
    <t>SFM15</t>
  </si>
  <si>
    <t>SFM14</t>
  </si>
  <si>
    <t>SFM13</t>
  </si>
  <si>
    <t>SFM12</t>
  </si>
  <si>
    <t>SFM11</t>
  </si>
  <si>
    <t>SFM10</t>
  </si>
  <si>
    <t>SFM9</t>
  </si>
  <si>
    <t>SFM8</t>
  </si>
  <si>
    <t>FAM10E</t>
  </si>
  <si>
    <t>FAM9E</t>
  </si>
  <si>
    <t>FAM8E</t>
  </si>
  <si>
    <t>FAM7E</t>
  </si>
  <si>
    <t>FAM6E</t>
  </si>
  <si>
    <t>FAM5E</t>
  </si>
  <si>
    <t>FAM4E</t>
  </si>
  <si>
    <t>FAM3E</t>
  </si>
  <si>
    <t>FAM2.5E</t>
  </si>
  <si>
    <t>FAM2E</t>
  </si>
  <si>
    <t>FA12E</t>
  </si>
  <si>
    <t>FA5E</t>
  </si>
  <si>
    <t>FA4E</t>
  </si>
  <si>
    <t>SGDP42IRBO</t>
  </si>
  <si>
    <t>SGDP63IRBO</t>
  </si>
  <si>
    <t>SHDP31IRO</t>
  </si>
  <si>
    <t>SPBS24O</t>
  </si>
  <si>
    <t>Prybar, Ladyfoot, 20"</t>
  </si>
  <si>
    <t>SGD4BO</t>
  </si>
  <si>
    <t>SGD2BO</t>
  </si>
  <si>
    <t>SGDP61BO</t>
  </si>
  <si>
    <t>PW18C</t>
  </si>
  <si>
    <t>Wrench, Adjustable, 8"</t>
  </si>
  <si>
    <t>PWC28A</t>
  </si>
  <si>
    <t>OEXLM13B</t>
  </si>
  <si>
    <t>OEXLM14B</t>
  </si>
  <si>
    <t>OEXLM15B</t>
  </si>
  <si>
    <t>OEXLM16B</t>
  </si>
  <si>
    <t>OEXLM17B</t>
  </si>
  <si>
    <t>OEXLM18B</t>
  </si>
  <si>
    <t>OEXLM19B</t>
  </si>
  <si>
    <t>OEXM220B</t>
  </si>
  <si>
    <t>OEXLM11B</t>
  </si>
  <si>
    <t>OEXLM12B</t>
  </si>
  <si>
    <t>OEXLM10B</t>
  </si>
  <si>
    <t>Wrench, Combination, 3/8", 6 Point</t>
  </si>
  <si>
    <t>BH123D</t>
  </si>
  <si>
    <t>FA10LE</t>
  </si>
  <si>
    <t>TTX30E</t>
  </si>
  <si>
    <t>FP22E</t>
  </si>
  <si>
    <t>These are possible additions at later date. Info only.</t>
  </si>
  <si>
    <t>TW281</t>
  </si>
  <si>
    <t>SCO52</t>
  </si>
  <si>
    <t>Adapter, Socket Wrench, 1" Female to 3/4" Male</t>
  </si>
  <si>
    <t>Rudder EHA Swing Link Tool RH/LH</t>
  </si>
  <si>
    <t>AN850818B</t>
  </si>
  <si>
    <t>AW10D</t>
  </si>
  <si>
    <t>Socket Wrench Attachment, 1/4" Drive, Phillips #1</t>
  </si>
  <si>
    <t>SDMTA55</t>
  </si>
  <si>
    <t>SW461</t>
  </si>
  <si>
    <t>TR109</t>
  </si>
  <si>
    <t>SRES24</t>
  </si>
  <si>
    <t>FRES10</t>
  </si>
  <si>
    <t>TMCO11</t>
  </si>
  <si>
    <t>TMP12E</t>
  </si>
  <si>
    <t>TTXL10E</t>
  </si>
  <si>
    <t>609ACP</t>
  </si>
  <si>
    <t>PPB1002A</t>
  </si>
  <si>
    <t>MCI45905429</t>
  </si>
  <si>
    <t>JHWH-41AA</t>
  </si>
  <si>
    <t>FEL160NP</t>
  </si>
  <si>
    <t>LST52660</t>
  </si>
  <si>
    <t>LST52661</t>
  </si>
  <si>
    <t>FM7</t>
  </si>
  <si>
    <t>PPR708BK</t>
  </si>
  <si>
    <t>DBTR3/32</t>
  </si>
  <si>
    <t>DBTR5/32</t>
  </si>
  <si>
    <t>Extension, 1/2" Drive, 15"</t>
  </si>
  <si>
    <t>SX15</t>
  </si>
  <si>
    <t>GLAS1F</t>
  </si>
  <si>
    <t>GFEL260A</t>
  </si>
  <si>
    <t>GFRDH321-4CL</t>
  </si>
  <si>
    <t>PPC104LA</t>
  </si>
  <si>
    <t>GFRDH361-4CL</t>
  </si>
  <si>
    <t>AIRVAC22</t>
  </si>
  <si>
    <t>SDM222IRB</t>
  </si>
  <si>
    <t>SDM212B</t>
  </si>
  <si>
    <t>SRES42</t>
  </si>
  <si>
    <t>SRES32</t>
  </si>
  <si>
    <t>SRES36</t>
  </si>
  <si>
    <t>STNKT318</t>
  </si>
  <si>
    <t>LES403</t>
  </si>
  <si>
    <t>LES362</t>
  </si>
  <si>
    <t>MCI52676939</t>
  </si>
  <si>
    <t>Valve Core Repair Tool Bit</t>
  </si>
  <si>
    <t>KRW185</t>
  </si>
  <si>
    <t>KRA2007FPBO</t>
  </si>
  <si>
    <t>T72FOD</t>
  </si>
  <si>
    <t>95CF</t>
  </si>
  <si>
    <t>SGSR1AR</t>
  </si>
  <si>
    <t>SGSR4AR</t>
  </si>
  <si>
    <t>ANADJ8A</t>
  </si>
  <si>
    <t>PPC910B</t>
  </si>
  <si>
    <t>TMS70A</t>
  </si>
  <si>
    <t>TMCO10</t>
  </si>
  <si>
    <t>AWCG1600B</t>
  </si>
  <si>
    <t>GOGGLE1</t>
  </si>
  <si>
    <t>SDM213B</t>
  </si>
  <si>
    <t>SDM214C</t>
  </si>
  <si>
    <t>SDM215C</t>
  </si>
  <si>
    <t>BHS13A</t>
  </si>
  <si>
    <t>RES810C</t>
  </si>
  <si>
    <t>RES1214C</t>
  </si>
  <si>
    <t>RES1820C</t>
  </si>
  <si>
    <t>RES2630C</t>
  </si>
  <si>
    <t>222SFFS</t>
  </si>
  <si>
    <t>GSHD1R</t>
  </si>
  <si>
    <t>ATI300B</t>
  </si>
  <si>
    <t>ATI301B</t>
  </si>
  <si>
    <t>PKN500</t>
  </si>
  <si>
    <t>RBZ605</t>
  </si>
  <si>
    <t>AWBPH13</t>
  </si>
  <si>
    <t>RTB607</t>
  </si>
  <si>
    <t>SCOM32</t>
  </si>
  <si>
    <t>GFEL160NP</t>
  </si>
  <si>
    <t>S241</t>
  </si>
  <si>
    <t>Block, Gage, .100</t>
  </si>
  <si>
    <t>TTXB20E</t>
  </si>
  <si>
    <t>FTXB30E</t>
  </si>
  <si>
    <t>TM14</t>
  </si>
  <si>
    <t>TM18</t>
  </si>
  <si>
    <t>TN72</t>
  </si>
  <si>
    <t>FR80</t>
  </si>
  <si>
    <t>AWL4-1/2D</t>
  </si>
  <si>
    <t>HBSE20</t>
  </si>
  <si>
    <t>Roll Cab, 7 Drawers, Gloss Black</t>
  </si>
  <si>
    <t>OEXL707B</t>
  </si>
  <si>
    <t>VO806B</t>
  </si>
  <si>
    <t>OSH711B</t>
  </si>
  <si>
    <t>RBYA605</t>
  </si>
  <si>
    <t>RXFS605B</t>
  </si>
  <si>
    <t>110TMDY</t>
  </si>
  <si>
    <t>110STMDY</t>
  </si>
  <si>
    <t>214SFY</t>
  </si>
  <si>
    <t>214FSY</t>
  </si>
  <si>
    <t>313SYA</t>
  </si>
  <si>
    <t>313SWYA</t>
  </si>
  <si>
    <t>Socket, 1/4" Drive, 7/16", Spline #14</t>
  </si>
  <si>
    <t>Socket, 3/8" Drive, 9/16", Spline #18</t>
  </si>
  <si>
    <t>SES161</t>
  </si>
  <si>
    <t>TW341</t>
  </si>
  <si>
    <t>FA5LE</t>
  </si>
  <si>
    <t>FABL5E</t>
  </si>
  <si>
    <t>FABL8E</t>
  </si>
  <si>
    <t>FABL12E</t>
  </si>
  <si>
    <t>SGDP31IRBR</t>
  </si>
  <si>
    <t>Tool Control B Box</t>
  </si>
  <si>
    <t>Tool Control C Box</t>
  </si>
  <si>
    <t>Tool Control F Box</t>
  </si>
  <si>
    <t>XB3234A</t>
  </si>
  <si>
    <t>Tool Control A Box</t>
  </si>
  <si>
    <t xml:space="preserve">NAVYMAT-12 </t>
  </si>
  <si>
    <t>JHT15</t>
  </si>
  <si>
    <t>JHT16</t>
  </si>
  <si>
    <t>JHT17</t>
  </si>
  <si>
    <t>JBT16</t>
  </si>
  <si>
    <t>JHT18</t>
  </si>
  <si>
    <t>JHT19</t>
  </si>
  <si>
    <t>JBT17</t>
  </si>
  <si>
    <t>JBT18</t>
  </si>
  <si>
    <t>JHT20</t>
  </si>
  <si>
    <t>JBT19</t>
  </si>
  <si>
    <t>JHT21</t>
  </si>
  <si>
    <t>JHT22</t>
  </si>
  <si>
    <t>JBT20</t>
  </si>
  <si>
    <t>JHT23</t>
  </si>
  <si>
    <t>JHT24</t>
  </si>
  <si>
    <t>JBT21</t>
  </si>
  <si>
    <t>JHT25</t>
  </si>
  <si>
    <t>JHT27</t>
  </si>
  <si>
    <t>JHT28</t>
  </si>
  <si>
    <t>JHT30</t>
  </si>
  <si>
    <t>JHT34</t>
  </si>
  <si>
    <t>Crowfoot Attachment, 1/2" Drive, 1-5/16" Open End</t>
  </si>
  <si>
    <t>Crowfoot Attachment, 1/4" Drive, 5/16" Flare Nut</t>
  </si>
  <si>
    <t>Crowfoot Attachment, 3/8" Drive, 1" Open End</t>
  </si>
  <si>
    <t>Crowfoot Attachment, 3/8" Drive, 11/16" Open End</t>
  </si>
  <si>
    <t>Crowfoot Attachment, 3/8" Drive, 1-1/2" Open End</t>
  </si>
  <si>
    <t>Crowfoot Attachment, 3/8" Drive, 1-1/4" Open End</t>
  </si>
  <si>
    <t>Crowfoot Attachment, 3/8" Drive, 1-3/8" Open End</t>
  </si>
  <si>
    <t>Crowfoot Attachment, 3/8" Drive, 3/4" Open End</t>
  </si>
  <si>
    <t>Crowfoot Attachment, 3/8" Drive, 3/8" Open End</t>
  </si>
  <si>
    <t>Crowfoot Attachment, 3/8" Drive, 5/8" Open End</t>
  </si>
  <si>
    <t>Crowfoot Attachment, 3/8" Drive, 7/8" Open End</t>
  </si>
  <si>
    <t>Crowfoot Attachment, 3/8" Drive, 9/16" Open End</t>
  </si>
  <si>
    <t>Extension, 1/4” Drive, 2"</t>
  </si>
  <si>
    <t>Extension, 3/8" Drive, 1-1/2"</t>
  </si>
  <si>
    <t>Gauge, Thickness, 35 Leaves, 3"</t>
  </si>
  <si>
    <t>Handle, Socket Wrench, Hinged, 3/8" Drive, 12"</t>
  </si>
  <si>
    <t>Pliers, Slip Joint, Electrical Connector, 9"</t>
  </si>
  <si>
    <t>Punch, Center, 1/8" x 5"</t>
  </si>
  <si>
    <t>Screwdriver, Flat Tip, 1/4" x 1-1/2"</t>
  </si>
  <si>
    <t>Socket Wrench Attachment, 3/8" Drive, Phillips #4</t>
  </si>
  <si>
    <t>Socket Wrench Attachment, 3/8" Drive, Torx #50</t>
  </si>
  <si>
    <t>Socket Wrench Attachment, 3/8" Drive, Torx #55</t>
  </si>
  <si>
    <t>Socket, 1/4" Drive, 7/32", 6 Point</t>
  </si>
  <si>
    <t>Socket, 3/8" Drive, 1/4"</t>
  </si>
  <si>
    <t>Socket, 3/8" Drive, 3/8"</t>
  </si>
  <si>
    <t>Socket, 3/8" Drive, 5/16"</t>
  </si>
  <si>
    <t>Socket, 3/8" Drive, 7/16"</t>
  </si>
  <si>
    <t>Socket, 3/8” Drive, 11/16”</t>
  </si>
  <si>
    <t>Socket, 3/8” Drive, 7/8”</t>
  </si>
  <si>
    <t>Wrench, Combination, 1-1/16"</t>
  </si>
  <si>
    <t>Wrench, Combination, 3/4”</t>
  </si>
  <si>
    <t>Wrench, Combination, Midget, 3/16”</t>
  </si>
  <si>
    <t>Key, Socket Head Screw, Hex, 5/16"</t>
  </si>
  <si>
    <t>Key, Socket Head Screw, Hex, 3/32"</t>
  </si>
  <si>
    <t>Socket Wrench Attachment, 3/8" Drive, Hex, 3/16"</t>
  </si>
  <si>
    <t>Socket Wrench Attachment, 3/8" Drive, Hex, 1/4"</t>
  </si>
  <si>
    <t>Crowfoot Attachment, 3/8" Drive, 1-13/16" Open End</t>
  </si>
  <si>
    <t>Crowfoot Attachment, 3/8" Drive, 2" Open End</t>
  </si>
  <si>
    <t>Crowfoot Attachment, 3/8" Drive, 2-1/2" Open End</t>
  </si>
  <si>
    <t>Adapter, Torque Wrench, 3/8" Drive, 5/16", Spline #10</t>
  </si>
  <si>
    <t>Hammer, Deadblow, 16 oz</t>
  </si>
  <si>
    <t>Socket, 3/4" Drive, Impact, 1-11/16"</t>
  </si>
  <si>
    <t>Socket, 3/4" Drive, Impact, 1-3/4"</t>
  </si>
  <si>
    <t>Wrench, Combination, Short, 11/32"</t>
  </si>
  <si>
    <t>Wrench, Combination, 1-7/16"</t>
  </si>
  <si>
    <t>Wrench, Combination, Long, 1"</t>
  </si>
  <si>
    <t>Wrench, Combination, Ratcheting, 5/16"</t>
  </si>
  <si>
    <t>Wrench, Combination, Ratcheting, 3/8"</t>
  </si>
  <si>
    <t>Wrench, Combination, Ratcheting, 7/16"</t>
  </si>
  <si>
    <t>Wrench, Combination, Ratcheting, 1/2"</t>
  </si>
  <si>
    <t>Wrench, Combination, Ratcheting, 9/16"</t>
  </si>
  <si>
    <t>Wrench, Combination, Ratcheting, 5/8"</t>
  </si>
  <si>
    <t>Wrench, Combination, Ratcheting, 11/16"</t>
  </si>
  <si>
    <t>Wrench, Combination, Midget, 7/32"</t>
  </si>
  <si>
    <t>Socket, 1/2" Drive, Deep, 1-1/8"</t>
  </si>
  <si>
    <t>Socket, 1/2" Drive, Deep, 1-3/8"</t>
  </si>
  <si>
    <t>Bit, Screwdriver, 1/4" Hex Shank, Flat Tip, 5/16"</t>
  </si>
  <si>
    <t>Adapter, Torque Wrench, 1/2" Drive, 3/4", Spline #24</t>
  </si>
  <si>
    <t>Adapter, Torque Wrench, 1/2" Drive, 1", Spline #32</t>
  </si>
  <si>
    <t>Adapter, Torque Wrench, 1/2" Drive, 1-1/8", Spline #36</t>
  </si>
  <si>
    <t>Socket Wrench Attachment, 3/8" Drive, Torx #60</t>
  </si>
  <si>
    <t>Handle, Socket Wrench, Reversible, 1/4" Drive</t>
  </si>
  <si>
    <t>Socket Wrench Attachment, 1/4" Drive, Hex, 7/64"</t>
  </si>
  <si>
    <t>Socket Wrench Attachment, 1/4" Drive, Hex, 3/32"</t>
  </si>
  <si>
    <t>Socket Wrench Attachment, 1/4" Drive, Hex, 5/32"</t>
  </si>
  <si>
    <t>Socket Wrench Attachment, 1/4" Drive, Hex, 7/32"</t>
  </si>
  <si>
    <t>Socket Wrench Attachment, 3/8" Drive, Torx #30</t>
  </si>
  <si>
    <t>Socket Wrench Attachment, 3/8" Drive, Torx #40</t>
  </si>
  <si>
    <t>Crowfoot Attachment, 1/2" Drive, 1-3/16" Deep Flare Nut</t>
  </si>
  <si>
    <t>Crowfoot Attachment, 1/2" Drive, 1-11/16" Deep Flare Nut</t>
  </si>
  <si>
    <t>Key, Socket Head Screw, Hex, 9/64"</t>
  </si>
  <si>
    <t>FC46A.25TH</t>
  </si>
  <si>
    <t>GFCO60TH.3</t>
  </si>
  <si>
    <t>PJB09346</t>
  </si>
  <si>
    <t>GFEL220</t>
  </si>
  <si>
    <t>GFEL240</t>
  </si>
  <si>
    <t>GFEL280</t>
  </si>
  <si>
    <t>GFEL300</t>
  </si>
  <si>
    <t>GFEL320</t>
  </si>
  <si>
    <t>GSEL341</t>
  </si>
  <si>
    <t>GSEL361</t>
  </si>
  <si>
    <t>GSEL381</t>
  </si>
  <si>
    <t>GSEL401</t>
  </si>
  <si>
    <t>ATI557WNXEL</t>
  </si>
  <si>
    <t>Bit, Screwdriver, 1/4" Hex Shank, Phillips #1</t>
  </si>
  <si>
    <t>Bit, Screwdriver, 1/4" Hex Shank, Phillips #2</t>
  </si>
  <si>
    <t>Bit, Screwdriver, 1/4" Hex Shank, Torx, #15</t>
  </si>
  <si>
    <t>Bit, Screwdriver, 1/4" Hex Shank, Torx, #40</t>
  </si>
  <si>
    <t>Crowfoot Attachment, 1/2" Drive, 1-1/2" Open End</t>
  </si>
  <si>
    <t>Crowfoot Attachment, 1/2" Drive, 1-13/16" Open End</t>
  </si>
  <si>
    <t>Crowfoot Attachment, 1/2" Drive, 1-7/8" Open End</t>
  </si>
  <si>
    <t>Crowfoot Attachment, 1/2" Drive, 2" Open End</t>
  </si>
  <si>
    <t>Crowfoot Attachment, 1/2" Drive, 2-1/2" Open End</t>
  </si>
  <si>
    <t>Crowfoot Attachment, 1/2" Drive, 2-1/4" Open End</t>
  </si>
  <si>
    <t>Crowfoot Attachment, 1/4" Drive, 1/2" Deep Flare Nut</t>
  </si>
  <si>
    <t>Crowfoot Attachment, 1/4" Drive, 3/8" Deep Flare Nut</t>
  </si>
  <si>
    <t>Crowfoot Attachment, 1/4" Drive, 7/16" Deep Flare Nut</t>
  </si>
  <si>
    <t>Crowfoot Attachment, 1/4" Drive, 9/16" Deep Flare Nut</t>
  </si>
  <si>
    <t>Crowfoot Attachment, 3/8" Drive, 1/2" Open End</t>
  </si>
  <si>
    <t>Crowfoot Attachment, 3/8" Drive, 11/16" Deep Flare Nut</t>
  </si>
  <si>
    <t>Crowfoot Attachment, 3/8" Drive, 11/16" Flare Nut, 6 Point</t>
  </si>
  <si>
    <t>Crowfoot Attachment, 3/8" Drive, 1-1/8" Open End</t>
  </si>
  <si>
    <t>Crowfoot Attachment, 3/8" Drive, 13/16" Deep Flare Nut</t>
  </si>
  <si>
    <t>Crowfoot Attachment, 3/8" Drive, 13/16" Open End</t>
  </si>
  <si>
    <t>Crowfoot Attachment, 3/8" Drive, 3/4" Deep Flare Nut</t>
  </si>
  <si>
    <t>Crowfoot Attachment, 3/8" Drive, 7/16" Flare Nut, 6 Point</t>
  </si>
  <si>
    <t>Crowfoot Attachment, 3/8" Drive, 7/16" Open End</t>
  </si>
  <si>
    <t>Crowfoot Attachment, 3/8" Drive, 7/8" Deep Flare Nut</t>
  </si>
  <si>
    <t>Crowfoot Attachment, 3/8" Drive, 9/16" Flare Nut, 6 Point</t>
  </si>
  <si>
    <t>Extension, 1/2" Drive, 11"</t>
  </si>
  <si>
    <t>Extension, 1/4" Drive, 4", Wobble</t>
  </si>
  <si>
    <t>Gauge, Thickness, 25 Leaves, 12"</t>
  </si>
  <si>
    <t>Gauge, Tire Tread, Depth</t>
  </si>
  <si>
    <t>Hammer, Ball Peen, 8 oz</t>
  </si>
  <si>
    <t>Handle, Socket Wrench, Hinged, 1/2" Drive, 18"</t>
  </si>
  <si>
    <t>Holder, Screwdriver Bit, 3/8" Drive, 1/4"</t>
  </si>
  <si>
    <t>Key Set, Socket Head Screw, Hex (13 Pcs)</t>
  </si>
  <si>
    <t>Mallet, Rubber Face, 11"</t>
  </si>
  <si>
    <t>Mirror, Inspection, Telescoping, 2-1/4" Diameter, 35" Extension</t>
  </si>
  <si>
    <t>Pliers, Diagonal Cut, 6"</t>
  </si>
  <si>
    <t>Pliers, Needle Nose, 11"</t>
  </si>
  <si>
    <t>Pliers, Needle Nose, Curved, 6"</t>
  </si>
  <si>
    <t>Screwdriver, Flat Tip, 3/8" x 8"</t>
  </si>
  <si>
    <t>Screwdriver, Phillips, #2, 4"</t>
  </si>
  <si>
    <t>Socket, 1/2" Drive, 1-1/8"</t>
  </si>
  <si>
    <t>Socket, 1/2" Drive, 1-3/16"</t>
  </si>
  <si>
    <t>Socket, 1/2" Drive, 1-3/8"</t>
  </si>
  <si>
    <t>Socket, 1/2" Drive, 1-5/16"</t>
  </si>
  <si>
    <t>Socket, 1/4" Drive, 1/2"</t>
  </si>
  <si>
    <t>Socket, 1/4" Drive, 5/32", 6 Point</t>
  </si>
  <si>
    <t>Socket, 1/4" Drive, Deep, 3/8"</t>
  </si>
  <si>
    <t>Socket, 1/4" Drive, Deep, 7/16"</t>
  </si>
  <si>
    <t>Socket, 3/8" Drive, Deep, 7/8"</t>
  </si>
  <si>
    <t>Socket, 3/8” Drive, 15/16”</t>
  </si>
  <si>
    <t>Socket, 3/8” Drive, Deep, 3/4”</t>
  </si>
  <si>
    <t>Socket, Universal, 3/8" Drive, 7/16"</t>
  </si>
  <si>
    <t>Wrench, Box, Angle Head, 13/16" x 15/16", Spline #26 x #30</t>
  </si>
  <si>
    <t>Wrench, Box, Offset, Short, 5/16" x 3/8"</t>
  </si>
  <si>
    <t>Wrench, Combination, 1/2”</t>
  </si>
  <si>
    <t>Wrench, Combination, 11/16”</t>
  </si>
  <si>
    <t>Wrench, Combination, 1-1/2"</t>
  </si>
  <si>
    <t>Wrench, Combination, 15/16”</t>
  </si>
  <si>
    <t>Wrench, Combination, 3/8”</t>
  </si>
  <si>
    <t>Wrench, Combination, 5/8”</t>
  </si>
  <si>
    <t>Wrench, Combination, 7/16”</t>
  </si>
  <si>
    <t>Wrench, Combination, 9/16”</t>
  </si>
  <si>
    <t>Wrench, Combination, Midget, 5/32", 6 Point</t>
  </si>
  <si>
    <t>Wrench, Combination, Midget, 9/16"</t>
  </si>
  <si>
    <t>Wrench, Combination, Short, 3/8”</t>
  </si>
  <si>
    <t>Wrench, Combination, Short, 7/16”</t>
  </si>
  <si>
    <t>Handle, Socket Wrench, Reversible, 3/8" Drive</t>
  </si>
  <si>
    <t>Socket, 3/8" Drive, 1/2"</t>
  </si>
  <si>
    <t>Socket, 3/8" Drive, 9/16"</t>
  </si>
  <si>
    <t>Socket, 3/8” Drive, 9/16”</t>
  </si>
  <si>
    <t>Socket, 3/8" Drive, 5/8"</t>
  </si>
  <si>
    <t>Socket, 3/8” Drive, 5/8"</t>
  </si>
  <si>
    <t>Socket, 3/8” Drive, 13/16"</t>
  </si>
  <si>
    <t>Handle, Breaker Bar, 3/8" Drive, 10"</t>
  </si>
  <si>
    <t>Crowfoot Attachment, 3/8" Drive, 1" Deep Flare Nut</t>
  </si>
  <si>
    <t>Crowfoot Attachment, 1/2" Drive, 1-1/8" Deep Flare Nut</t>
  </si>
  <si>
    <t>Wrench, Box, Offset, 1" X 1-1/16"</t>
  </si>
  <si>
    <t>Wrench, Combination, Midget, 11/32"</t>
  </si>
  <si>
    <t>Bit, Screwdriver, 1/4" Hex Shank, Phillips #3</t>
  </si>
  <si>
    <t>Crowfoot Attachment, 3/8" Drive, 1" Flarenut,  6 Point</t>
  </si>
  <si>
    <t>Crowfoot Attachment, 3/8" Drive, 7/8" Flarenut, 6 Point</t>
  </si>
  <si>
    <t>Goggles, Industrial, Safety Type</t>
  </si>
  <si>
    <t>Hammer, Deadblow, Ball Peen, 16 oz</t>
  </si>
  <si>
    <t>Handle, Socket Wrench, Reversible, 1/2" Drive</t>
  </si>
  <si>
    <t>Pliers, Diagonal Cut, 7-1/2"</t>
  </si>
  <si>
    <t>Punch, Bronze, 3/8" x 6"</t>
  </si>
  <si>
    <t>Punch, Round, Brass, 3/4" x 10"</t>
  </si>
  <si>
    <t>Pliers, Wire Twister with Cutter, 8-1/2"</t>
  </si>
  <si>
    <t>Pliers, Wire Twister with Cutter, Reversible, 8-3/4"</t>
  </si>
  <si>
    <t>Screwdriver, Flat Tip, 1/4" x 4"</t>
  </si>
  <si>
    <t>Socket, 1/2" Drive, Deep, 1-1/8", 6 Point</t>
  </si>
  <si>
    <t>TS361</t>
  </si>
  <si>
    <t>Socket, 1/2" Drive, 1/2"</t>
  </si>
  <si>
    <t>Socket, 1/2" Drive, 1-1/16"</t>
  </si>
  <si>
    <t>Socket, 1/2" Drive, 11/16"</t>
  </si>
  <si>
    <t>Socket, 1/2" Drive, 13/16"</t>
  </si>
  <si>
    <t>Socket, 1/2" Drive, 13/16", Spline #26</t>
  </si>
  <si>
    <t>Socket, 1/2" Drive, 15/16"</t>
  </si>
  <si>
    <t>Socket, 1/2" Drive, 3/4"</t>
  </si>
  <si>
    <t>Socket, 1/2" Drive, 5/8"</t>
  </si>
  <si>
    <t>Socket, 1/2" Drive, 7/8"</t>
  </si>
  <si>
    <t>Socket, 1/2" Drive, 9/16"</t>
  </si>
  <si>
    <t>Socket, 1/4" Drive, 3/8", 6 Point</t>
  </si>
  <si>
    <t>Socket, 1/4" Drive, Semi-Deep, 11/32"</t>
  </si>
  <si>
    <t>Socket, 1/4" Drive, 1/4"</t>
  </si>
  <si>
    <t>Socket, 1/4" Drive, 1/4", Spline #8</t>
  </si>
  <si>
    <t>Socket, 1/4" Drive, 3/16"</t>
  </si>
  <si>
    <t>Socket, 1/4" Drive, 3/8"</t>
  </si>
  <si>
    <t>Socket, 1/4" Drive, 5/16"</t>
  </si>
  <si>
    <t>Socket, 1/4" Drive, 7/16"</t>
  </si>
  <si>
    <t>Socket, 1/4" Drive, 7/32"</t>
  </si>
  <si>
    <t>Socket, 1/4" Drive, 7/32", Spline #7</t>
  </si>
  <si>
    <t>Socket, 1/4" Drive, Deep, 1/4"</t>
  </si>
  <si>
    <t>Socket, 1/4" Drive, Deep, 3/16"</t>
  </si>
  <si>
    <t>Socket, 1/4" Drive, Deep, 5/16"</t>
  </si>
  <si>
    <t>Socket, 1/4" Drive, Deep, 7/32"</t>
  </si>
  <si>
    <t xml:space="preserve">Socket, 3/8" Drive, 5/8", Spline #20 </t>
  </si>
  <si>
    <t>Socket, 3/8" Drive, Deep, 1/2"</t>
  </si>
  <si>
    <t>Socket, 3/8" Drive, Deep, 1"</t>
  </si>
  <si>
    <t>Socket, 3/8" Drive, Deep, 11/16"</t>
  </si>
  <si>
    <t>Socket, 3/8" Drive, Deep, 13/16"</t>
  </si>
  <si>
    <t>Socket, 3/8" Drive, Deep, 15/16"</t>
  </si>
  <si>
    <t>Socket, 3/8" Drive, Deep, 3/8"</t>
  </si>
  <si>
    <t>Socket, 3/8" Drive, Deep, 5/8"</t>
  </si>
  <si>
    <t>Socket, 3/8" Drive, Deep, 7/16"</t>
  </si>
  <si>
    <t>Socket, 3/8" Drive, Deep, 9/16"</t>
  </si>
  <si>
    <t>Socket, Universal, 1/4" Drive, 5/16", 6 Point</t>
  </si>
  <si>
    <t>Wrench, Box, Angle Head, 3/4" x 11/16", Spline #22 x #24</t>
  </si>
  <si>
    <t>Wrench, Combination, Short, 5/16"</t>
  </si>
  <si>
    <t>Wrench, Combination, Short, 1/4”</t>
  </si>
  <si>
    <t>Wrench, Combination, Short, 5/8”</t>
  </si>
  <si>
    <t>Glasses, Safety</t>
  </si>
  <si>
    <t>Socket Wrench Attachment, 3/8" Drive, Hex, 3/8", Extra Long</t>
  </si>
  <si>
    <t>Adapter, Torque Wrench, 3/8" Drive, 1", 4" CL</t>
  </si>
  <si>
    <t>Adapter, Torque Wrench, 3/8" Drive, 1-1/8", 4" CL</t>
  </si>
  <si>
    <t>Set, Socket, 1/4" Drive, Deep, (3/16" to 9/16") (10 pcs.)</t>
  </si>
  <si>
    <t>Set, Socket, 1/4" Drive, (3/16" to 9/16") (10 pcs.)</t>
  </si>
  <si>
    <t>Pliers, Diagonal Cut, 4-1/2"</t>
  </si>
  <si>
    <t>Pliers, Needle Nose with Side Cut, 8"</t>
  </si>
  <si>
    <t>Set, Crowfoot Attachment, 3/8" Drive, Open End, (3/8” to 1”) (11 pcs)</t>
  </si>
  <si>
    <t>Set, Socket, 3/8" Drive, 6-Point (1/4" to 1") (14 pcs)</t>
  </si>
  <si>
    <t>Set, Socket, 3/8" Drive, Deep, (1/4" to 1") (14 pcs)</t>
  </si>
  <si>
    <t>Set, Socket, 1/2" Drive, (3/8" to 1-1/8") (13 pcs)</t>
  </si>
  <si>
    <t>Set, Socket, 1/2" Drive, Deep, (3/8" to 1-1/8") (13 pcs)</t>
  </si>
  <si>
    <t>Key Set, Socket Head Screw, Hex, 0.050" - 3/8", Ball End (13 pcs plus case)</t>
  </si>
  <si>
    <t>Hammer, Deadblow, Slimline, 10 oz</t>
  </si>
  <si>
    <t>Mirror, Inspection, Telescoping, 2-1/4" Diameter, 33" Extension</t>
  </si>
  <si>
    <t>Socket, 3/8" Drive, Deep, 1/2", Spline #16</t>
  </si>
  <si>
    <t>Socket, 3/8" Drive, Deep, 3/8", Spline #12</t>
  </si>
  <si>
    <t>Socket, 3/8" Drive, Deep, 5/8", Spline #20</t>
  </si>
  <si>
    <t>Socket, 3/8" Drive, Deep, 7/16", Spline #14</t>
  </si>
  <si>
    <t>Socket, 3/8" Drive, Deep, 9/16", Spline #18</t>
  </si>
  <si>
    <t>Crowfoot Attachment, 1/4" Drive, 9/16" Open End</t>
  </si>
  <si>
    <t>Crowfoot Attachment, 1/4" Drive, 11/32" Open End</t>
  </si>
  <si>
    <t>Caliper, Digital, Range 0" - 6", with Case</t>
  </si>
  <si>
    <t>Wrench, Combination, Midget, 7/32", 6 Point</t>
  </si>
  <si>
    <t>Screwdriver, Phillips, #2, 1-1/2"</t>
  </si>
  <si>
    <t>Handle, Socket Wrench, Hinged, 1/2" Drive</t>
  </si>
  <si>
    <t>Crowfoot Attachment, 3/8" Drive, 1-5/8" Open End</t>
  </si>
  <si>
    <t>Crowfoot Attachment, 1/4" Drive, 5/16" Open End</t>
  </si>
  <si>
    <t>Crowfoot Attachment, 1/4" Drive, 1/2" Open End</t>
  </si>
  <si>
    <t>Crowfoot Attachment, 1/4" Drive, 7/16" Open End</t>
  </si>
  <si>
    <t>Crowfoot Attachment, 3/8" Drive, 1-5/16" Open End</t>
  </si>
  <si>
    <t>Crowfoot Attachment, 3/8" Drive, 1-15/16" Open End</t>
  </si>
  <si>
    <t>Socket Wrench Attachment, 3/8" Drive, Flat Tip, 5/16"</t>
  </si>
  <si>
    <t>Socket Wrench Attachment, 3/8" Drive, Flat Tip, 3/8"</t>
  </si>
  <si>
    <t>Driver, 3/8" Drive, Plastic Handle</t>
  </si>
  <si>
    <t>Socket Wrench Attachment, 3/8" Drive, Hex, 5/16"</t>
  </si>
  <si>
    <t>Socket Wrench Attachment, 3/8" Drive, Hex, 5/16", Long</t>
  </si>
  <si>
    <t>Socket Wrench Attachment, 3/8" Drive, Hex, 3/8"</t>
  </si>
  <si>
    <t>Socket Wrench Attachment, 3/8" Drive, Hex, 9/64"</t>
  </si>
  <si>
    <t>Socket Wrench Attachment, 3/8" Drive, Hex, 1/8"</t>
  </si>
  <si>
    <t>Socket Wrench Attachment, 3/8" Drive, Hex, 5/32"</t>
  </si>
  <si>
    <t>Socket Wrench Attachment, 3/8" Drive, Hex, 5/32", Long</t>
  </si>
  <si>
    <t>Socket Wrench Attachment, 3/8" Drive, Hex, 7/32"</t>
  </si>
  <si>
    <t>Socket Wrench Attachment, 3/8" Drive, Hex, 1/4", Long</t>
  </si>
  <si>
    <t>Socket Wrench Attachment, 3/8" Drive, Hex, 5/16", Ball End</t>
  </si>
  <si>
    <t>Socket Wrench Attachment, 3/8" Drive, Hex, 5/32", Long, Ball End</t>
  </si>
  <si>
    <t>Socket Wrench Attachment, 3/8" Drive, Hex, 5/16", Long, Ball End</t>
  </si>
  <si>
    <t>Socket Wrench Attachment, 3/8" Drive, Hex, 3/8", Long, Ball End</t>
  </si>
  <si>
    <t>Socket Wrench Attachment, 3/8" Drive, Hex, 1/8", Long, Ball End</t>
  </si>
  <si>
    <t>Socket Wrench Attachment, 3/8" Drive, Hex, 3/16", Long, Ball End</t>
  </si>
  <si>
    <t>Socket Wrench Attachment, 3/8" Drive, Hex, 7/32", Long, Ball End</t>
  </si>
  <si>
    <t>Socket Wrench Attachment, 3/8" Drive, Hex, 1/4", Long, Ball End</t>
  </si>
  <si>
    <t>Wrench, Combination, 11/32"</t>
  </si>
  <si>
    <t>Wrench, Combination, Short, 15/16"</t>
  </si>
  <si>
    <t>Wrench, Combination, 1-1/4"</t>
  </si>
  <si>
    <t>Wrench, Combination, 1-3/16"</t>
  </si>
  <si>
    <t>Wrench, Combination, 1-5/16"</t>
  </si>
  <si>
    <t>Wrench, Combination, 1-3/8"</t>
  </si>
  <si>
    <t>Set, Wrench, Combination, 3/8" - 1" (11 pcs plus case)</t>
  </si>
  <si>
    <t>Set, Wrench, Combination, Long, 3/8" - 3/4" (7 pcs plus case)</t>
  </si>
  <si>
    <t>Wrench, Combination, 13/16", 6 Point</t>
  </si>
  <si>
    <t>Set, Wrench, Combination, 3/8" - 1" 6 Point (11 pcs)</t>
  </si>
  <si>
    <t>Wrench, Combination, Midget, 5/16"</t>
  </si>
  <si>
    <t>Wrench, Combination, Midget, 3/8"</t>
  </si>
  <si>
    <t>Wrench, Combination, Midget, 7/16"</t>
  </si>
  <si>
    <t>Wrench, Combination, Midget, 1/2"</t>
  </si>
  <si>
    <t>Wrench, Combination, Midget, 1/4"</t>
  </si>
  <si>
    <t>Wrench, Combination, Midget, 9/32"</t>
  </si>
  <si>
    <t>Socket, 1/4" Drive, 7/16", 6 Point</t>
  </si>
  <si>
    <t>Socket, 1/4" Drive, 9/16", 6 Point</t>
  </si>
  <si>
    <t>Handle, Socket Wrench, Spin Type, 1/4" Drive</t>
  </si>
  <si>
    <t>Extension, 1/4" Drive, 6", Flexible</t>
  </si>
  <si>
    <t>Socket, 1/4" Drive, 1/4", 6 Point</t>
  </si>
  <si>
    <t>Socket Wrench Attachment, 1/4" Drive, Hex, 5/64"</t>
  </si>
  <si>
    <t>Socket Wrench Attachment, 1/4" Drive, Hex, 1/16"</t>
  </si>
  <si>
    <t>Socket Wrench Attachment, 1/4" Drive, Hex, 9/64"</t>
  </si>
  <si>
    <t>Socket Wrench Attachment, 1/4" Drive, Hex, 1/8"</t>
  </si>
  <si>
    <t>Socket Wrench Attachment, 1/4" Drive, Hex, 3/16"</t>
  </si>
  <si>
    <t>Socket Wrench Attachment, 1/4" Drive, Hex, 1/4"</t>
  </si>
  <si>
    <t>Socket Wrench Attachment, 1/4" Drive, Hex, 1/8", Ball End</t>
  </si>
  <si>
    <t>Socket Wrench Attachment, 1/4" Drive, Hex, 5/32", Ball End</t>
  </si>
  <si>
    <t>Socket Wrench Attachment, 1/4" Drive, Hex, 3/16", Ball End</t>
  </si>
  <si>
    <t>Socket, 1/4" Drive, 11/32"</t>
  </si>
  <si>
    <t>Socket, 1/4" Drive, 9/16"</t>
  </si>
  <si>
    <t>Finger, Mechanical, Flexible, 24"</t>
  </si>
  <si>
    <t>Holder, Screwdriver Bit, Magnetic, 3/8" Drive, 5/16" Hex</t>
  </si>
  <si>
    <t>Crowfoot Attachment, 3/8" Drive, 1-1/16" Open End</t>
  </si>
  <si>
    <t>Crowfoot Attachment, 3/8" Drive, 1-3/16" Open End</t>
  </si>
  <si>
    <t>Crowfoot Attachment, 3/8" Drive, 1-7/16" Open End</t>
  </si>
  <si>
    <t>Crowfoot Attachment, 3/8" Drive, 1/4 Thickness, 1-7/16" Open End</t>
  </si>
  <si>
    <t>Crowfoot Attachment, 3/8" Drive, 1-9/16" Open End</t>
  </si>
  <si>
    <t>Crowfoot Attachment, 3/8" Drive, 1-11/16" Open End</t>
  </si>
  <si>
    <t>Crowfoot Attachment, 3/8" Drive, 1-3/4" Open End</t>
  </si>
  <si>
    <t>Crowfoot Attachment, 3/8" Drive, 1-7/8" Open End</t>
  </si>
  <si>
    <t>Crowfoot Attachment, 3/8" Drive, 2-1/4" Open End</t>
  </si>
  <si>
    <t>Crowfoot Attachment, 3/8" Drive, 15/16" Open End</t>
  </si>
  <si>
    <t>Socket Wrench Attachment, 3/8" Drive, Phillips #2</t>
  </si>
  <si>
    <t>Adapter, Torque Wrench, 3/8" Drive, 5/16"</t>
  </si>
  <si>
    <t>Adapter, Torque Wrench, 3/8" Drive, 3/8"</t>
  </si>
  <si>
    <t>Adapter, Torque Wrench, 3/8" Drive, 7/16"</t>
  </si>
  <si>
    <t>Adapter, Torque Wrench, 3/8" Drive, 9/16"</t>
  </si>
  <si>
    <t>Socket, 3/8" Drive, 1", 6 Point</t>
  </si>
  <si>
    <t>Socket Wrench Attachment, 3/8" Drive, Torx #20</t>
  </si>
  <si>
    <t>Socket Wrench Attachment, 3/8" Drive, Torx #30, Heavy Duty</t>
  </si>
  <si>
    <t>Socket, Universal, 3/8" Drive, 3/8"</t>
  </si>
  <si>
    <t>Protectors, Hearing</t>
  </si>
  <si>
    <t>Finger, Mechanical, Flexible, 17-1/2"</t>
  </si>
  <si>
    <t>Pliers, Remover, Grease Cap</t>
  </si>
  <si>
    <t>Crowfoot Attachment, 3/8" Drive, 1-7/8" Open End, 5/16" Thickness</t>
  </si>
  <si>
    <t>Socket, 3/8" Drive, Deep, 11/16", Spline #22</t>
  </si>
  <si>
    <t>Socket, 3/8" Drive, Deep, 3/4", Spline #24</t>
  </si>
  <si>
    <t>Socket, 3/8" Drive, Deep, 13/16", Spline #26</t>
  </si>
  <si>
    <t>Socket, 3/8" Drive, Deep, 7/8", Spline #28</t>
  </si>
  <si>
    <t>Socket, 3/8" Drive, Deep, 15/16", Spline #30</t>
  </si>
  <si>
    <t>Socket, 3/8" Drive, Deep, 1", Spline #32</t>
  </si>
  <si>
    <t>Adapter, Socket Wrench, 1/4" Hex to 1/4" Male</t>
  </si>
  <si>
    <t>Socket, 1/2" Drive, Deep, 1-1/16", Spline #34</t>
  </si>
  <si>
    <t>Socket, 1/2" Drive, Deep, 1-1/8", Spline #36</t>
  </si>
  <si>
    <t>Socket, 1/2" Drive, Deep, 1-3/16", Spline #38</t>
  </si>
  <si>
    <t>Socket, 1/2" Drive, Deep, 1-1/4", Spline #40</t>
  </si>
  <si>
    <t>Extension, 1/4" Drive, 2"</t>
  </si>
  <si>
    <t>Wrench, Box, 1" x 1-1/16", Spline #32 x #34</t>
  </si>
  <si>
    <t>Hammer, Bronze, 16 oz</t>
  </si>
  <si>
    <t>Hammer, Deadblow, 24 oz</t>
  </si>
  <si>
    <t>Hammer, Deadblow, Plastic Tip, 16 oz</t>
  </si>
  <si>
    <t>Hammer, Dead Blow, Slimline, 20 oz</t>
  </si>
  <si>
    <t>Hammer, Ball Peen, 16 oz</t>
  </si>
  <si>
    <t>Frame, Hand, Hacksaw, 12" with Blade</t>
  </si>
  <si>
    <t>Adapter, Socket Wrench, Impact, 3/4" Female to 1" Male</t>
  </si>
  <si>
    <t>Socket, 3/4" Drive, 1-7/8"</t>
  </si>
  <si>
    <t>Socket, 1" Drive, 1", Spline #32</t>
  </si>
  <si>
    <t>Socket, 1" Drive, 1-1/16", Spline #34</t>
  </si>
  <si>
    <t>Socket, 3/4" Drive, 1-1/8", Spline #36</t>
  </si>
  <si>
    <t>Socket, 1" Drive, 1-3/16", Spline #38</t>
  </si>
  <si>
    <t>Socket, 1" Drive, 1-1/4", Spline #40</t>
  </si>
  <si>
    <t>Socket, 1" Drive, 1-1/2", Spline #48</t>
  </si>
  <si>
    <t>Gauge, Thickness, 26 Leaves, 3"</t>
  </si>
  <si>
    <t>Socket, 1/2" Drive, Deep, 3/4"</t>
  </si>
  <si>
    <t>Socket, 1/2" Drive, Deep, 1"</t>
  </si>
  <si>
    <t>Socket, 1/2" Drive, Deep, 1-1/16"</t>
  </si>
  <si>
    <t>Socket, 1/2" Drive, Deep, 1-3/16"</t>
  </si>
  <si>
    <t>Socket, 1/2" Drive, Deep, 1-1/4"</t>
  </si>
  <si>
    <t>Socket, 1/2" Drive, Deep, 1-1/2"</t>
  </si>
  <si>
    <t>Universal Joint, 1/2" Drive</t>
  </si>
  <si>
    <t>Socket Wrench Attachment, 1/2" Drive, Hex, 3/8"</t>
  </si>
  <si>
    <t>Socket Wrench Attachment, 1/2" Drive, Hex, 7/16"</t>
  </si>
  <si>
    <t>Socket Wrench Attachment, 1/2" Drive, Hex, 1/2"</t>
  </si>
  <si>
    <t>Socket Wrench Attachment, 1/2" Drive, Hex, 9/16"</t>
  </si>
  <si>
    <t>Socket Wrench Attachment, 1/2" Drive, Hex, 5/8"</t>
  </si>
  <si>
    <t>Crowfoot Attachment, 1/2" Drive, 1-5/8" Open End</t>
  </si>
  <si>
    <t>Screwdriver, Flat Tip, 1/8" x 2"</t>
  </si>
  <si>
    <t>Bit, Screwdriver, 1/4" Hex Shank, Flat Tip, 3/16"</t>
  </si>
  <si>
    <t>Bit, Screwdriver, 1/4" Hex Shank, Flat Tip, 7/32"</t>
  </si>
  <si>
    <t>Bit, Screwdriver, 1/4" Hex Shank, Flat Tip, 1/4"</t>
  </si>
  <si>
    <t>Bit, Screwdriver, 1/4" Hex Shank, Flat Tip, 3/8"</t>
  </si>
  <si>
    <t>Bit, Screwdriver, 1/4" Hex Shank, Phillips, #2 ACR</t>
  </si>
  <si>
    <t>Mirror, Inspection, Telescoping, 1-1/4" Diameter, 33" Extension</t>
  </si>
  <si>
    <t>Socket, 1/2" Drive, 1/2", Spline #16</t>
  </si>
  <si>
    <t>Adapter, Torque Wrench, 1/2" Drive, 1-1/16", Spline #34</t>
  </si>
  <si>
    <t>Adapter, Torque Wrench, 1/2" Drive, 1-5/16", Spline #42</t>
  </si>
  <si>
    <t>Pliers, Retaining Ring, Internal/External, 90 Degree, 0.070"</t>
  </si>
  <si>
    <t>Screwdriver, Flat Tip, 3/16" x 3"</t>
  </si>
  <si>
    <t>Socket, 1/4" Drive, Deep, 5/16", 6 Point</t>
  </si>
  <si>
    <t>Socket, 1/4" Drive, Deep, 11/32"</t>
  </si>
  <si>
    <t>Socket, 1/4" Drive, Deep, 1/2"</t>
  </si>
  <si>
    <t>Socket, 1/4" Drive, Deep, 9/32"</t>
  </si>
  <si>
    <t>Socket, 1/2" Drive, 1-7/16"</t>
  </si>
  <si>
    <t>Extension, 1/2" Drive, 36"</t>
  </si>
  <si>
    <t>Gauge, Depth, Tire Tread</t>
  </si>
  <si>
    <t>Socket, 1/4" Drive, Deep, 5/16", Spline #10</t>
  </si>
  <si>
    <t>Socket, 1/4" Drive, Deep, 7/32", Spline #7</t>
  </si>
  <si>
    <t>Socket, 1/4" Drive, Deep, 1/4", Spline #8</t>
  </si>
  <si>
    <t>Socket, 1/4" Drive, 9/32", Spline #9</t>
  </si>
  <si>
    <t>Handle, Socket Wrench, Reversible, 1/4" Drive, Flexible</t>
  </si>
  <si>
    <t>Socket, 1/4" Drive, 9/32"</t>
  </si>
  <si>
    <t>Crowfoot Attachment, 1/4" Drive, 3/8" Flare Nut</t>
  </si>
  <si>
    <t>Gauge/Inflator, Tire Pressure, 10 - 120 PSI</t>
  </si>
  <si>
    <t>Valve Removal Tool</t>
  </si>
  <si>
    <t>Socket Wrench Attachment, 1/4" Drive, Torx #10</t>
  </si>
  <si>
    <t>Socket Wrench Attachment, 1/4" Drive, Torx #20, Heavy Duty</t>
  </si>
  <si>
    <t>Socket Wrench Attachment, 1/4" Drive, Torx #10, Long</t>
  </si>
  <si>
    <t>Socket, 1/2" Drive, 3/4", 6 Point</t>
  </si>
  <si>
    <t>Socket, 1/2" Drive, 7/8", 6 Point</t>
  </si>
  <si>
    <t>Socket, 1/2" Drive, 1-1/16", 6 Point</t>
  </si>
  <si>
    <t>Socket, 1/2" Drive, 1-1/4", 6 Point</t>
  </si>
  <si>
    <t>Mirror, Inspection, Telescoping, 1-1/4" Diameter, 35" Extension</t>
  </si>
  <si>
    <t>Wrench, Pliers, C-Clamp Type, 12"</t>
  </si>
  <si>
    <t>Wrench, Open End, 7/16" x 1/2"</t>
  </si>
  <si>
    <t>Wrench, Open End, 9/16" x 5/8"</t>
  </si>
  <si>
    <t>Wrench, Open End, 15/16" x 1"</t>
  </si>
  <si>
    <t>Set, Wrench, Combination, 1/4” - 15/16” (6 pcs)</t>
  </si>
  <si>
    <t>Wrench, Open End, 4-Way Angle Head, 1-3/16"</t>
  </si>
  <si>
    <t>Wrench, Open End, 4-Way Angle Head, 1-1/2"</t>
  </si>
  <si>
    <t>Wrench, Box, Deep Offset, 3/8" x 7/16"</t>
  </si>
  <si>
    <t>Wrench, Box, 5/8" x 11/16"</t>
  </si>
  <si>
    <t>Wrench, Box, 9/16" x 5/8"</t>
  </si>
  <si>
    <t>Scriber, Bent Tip, 7"</t>
  </si>
  <si>
    <t>Brush, File Cleaner</t>
  </si>
  <si>
    <t>Bit, Screwdriver, 1/4" Hex Shank, Torq-Set, #10</t>
  </si>
  <si>
    <t>Bit, Screwdriver, 1/4" Hex Shank, Torq-Set, #8</t>
  </si>
  <si>
    <t>Micrometer, Depth, 0 - 6" (7 pcs plus case)</t>
  </si>
  <si>
    <t>Square, Combination, with Ruler, 12"</t>
  </si>
  <si>
    <t>Wrench, Open End, Low-Torque Slimline, 5/8" x 11/16"</t>
  </si>
  <si>
    <t>Socket, 3/4" Drive, Impact, 2-1/2", 6 Point</t>
  </si>
  <si>
    <t>Wrench, Open End, Low-Torque Slimline, 3/4" x 13/16"</t>
  </si>
  <si>
    <t>Knife, Putty, Nonmetallic, 1-1/2"</t>
  </si>
  <si>
    <t>Screwdriver, Jeweler's, Phillips, #0</t>
  </si>
  <si>
    <t>Pick, O-Ring, Nonmetallic</t>
  </si>
  <si>
    <t>Screwdriver, Jeweler's, 0.050"</t>
  </si>
  <si>
    <t>Screwdriver Bit Set and Handle, Hex (11 pcs plus case)</t>
  </si>
  <si>
    <t>Knife, Craftsman's, Small with Blade</t>
  </si>
  <si>
    <t>Knife, Craftsman's, Medium with Blade</t>
  </si>
  <si>
    <t>Knife, Craftsman's, Large with Blade</t>
  </si>
  <si>
    <t>Gun, Dispensing, Mixpac, 50mL</t>
  </si>
  <si>
    <t>Adapter, Socket Wrench, Impact, 1/2" Female to 3/8" Male</t>
  </si>
  <si>
    <t>Scrapers, Non-Abrasive (5pcs plus case)</t>
  </si>
  <si>
    <t>Caliper, Dial, 0 - 6"</t>
  </si>
  <si>
    <t>Crowfoot Attachment, 3/8" Drive, 1-1/8" Flare Nut</t>
  </si>
  <si>
    <t>Crowfoot Attachment, 3/8" Drive, 5/16" Flare Nut</t>
  </si>
  <si>
    <t>Wrench, Open End, Thin, Single Head, 1-15/16"</t>
  </si>
  <si>
    <t>Chisel, Cold, Hand, 1/2" x 6"</t>
  </si>
  <si>
    <t>Punch, Center, 3/8" x 5"</t>
  </si>
  <si>
    <t>Socket, 1" Drive, 1-11/16"</t>
  </si>
  <si>
    <t>Socket, 1/2" Drive, 4", 6 Point</t>
  </si>
  <si>
    <t>Transducer, Vacuum</t>
  </si>
  <si>
    <t>Crowfoot Attachment, 3/8" Drive, 5/8" Deep Flare Nut</t>
  </si>
  <si>
    <t>Crowfoot Attachment, 3/8" Drive, 15/16" Deep Flare Nut</t>
  </si>
  <si>
    <t>Wrench, Adjustable, Aluminum, AN Fittings, 8"</t>
  </si>
  <si>
    <t>Wrench, Spanner, Adjustable, 3/4" to 2" Capacity</t>
  </si>
  <si>
    <t>Drill, Pneumatic, 3/8" Capacity, Reversible</t>
  </si>
  <si>
    <t>Drill, Chuck, Angle Attachment, 90 Degrees</t>
  </si>
  <si>
    <t>Drill, Chuck, Angle Attachment, 45 Degrees</t>
  </si>
  <si>
    <t>Countersink, Integral Pilot, 100 Degree, 1/4"</t>
  </si>
  <si>
    <t>Countersink, Integral Pilot, 100 Degree, #10</t>
  </si>
  <si>
    <t>Countersink, Integral Pilot, 100 Degree, #21</t>
  </si>
  <si>
    <t>Countersink, Integral Pilot, 100 Degree, #30</t>
  </si>
  <si>
    <t>Countersink, Integral Pilot, 100 Degree, #40</t>
  </si>
  <si>
    <t>Holder, Sheet Metal, Wing Nut, 1/4"</t>
  </si>
  <si>
    <t>Holder, Sheet Metal, Wing Nut, 5/16"</t>
  </si>
  <si>
    <t>Holder, Sheet Metal, Wing Nut, 1/8", Extra Long</t>
  </si>
  <si>
    <t>Holder, Sheet Metal, Wing Nut, 5/32", Extra Long</t>
  </si>
  <si>
    <t>Holder, Sheet Metal, Wing Nut, 3/32", Extra Long</t>
  </si>
  <si>
    <t>Holder, Sheet Metal, Wing Nut, 1/4", Extra Long</t>
  </si>
  <si>
    <t>Holder, Sheet Metal, Wing Nut, 5/16", Extra Long</t>
  </si>
  <si>
    <t>Holder, Sheet Metal, Wing Nut, 3/16", Extra Long</t>
  </si>
  <si>
    <t>Handle, Socket Wrench, Reversible, 1/4" Drive, Hi-Lok</t>
  </si>
  <si>
    <t>Handle, Socket Wrench, Reversible, 3/8" Drive, Hi-Lok</t>
  </si>
  <si>
    <t>Vacuum, Pneumatic</t>
  </si>
  <si>
    <t>Key, Socket Head Screw, Hex, 0.050"</t>
  </si>
  <si>
    <t>Punch, Tapered, Bronze, 3/8" x 10"</t>
  </si>
  <si>
    <t>Punch, Drift, Bronze, 13/16" x 12"</t>
  </si>
  <si>
    <t>Punch, Drive Pin, 9/32" x 4-7/32"</t>
  </si>
  <si>
    <t>Punch, Roll Pin, 1/2" x 6"</t>
  </si>
  <si>
    <t>Punch, Roll Pin, 1/16" x 3-5/32"</t>
  </si>
  <si>
    <t>Punch, Roll Pin, 5/64" x 3-1/2"</t>
  </si>
  <si>
    <t>Punch, Roll Pin, 3/32" x 3-29/32"</t>
  </si>
  <si>
    <t>Punch, Roll Pin, 1/8" x 4-1/4"</t>
  </si>
  <si>
    <t>Punch, Roll Pin, 5/32" x 4-5/8"</t>
  </si>
  <si>
    <t>Punch, Roll Pin, 3/16" x 5"</t>
  </si>
  <si>
    <t>Punch, Roll Pin, 7/32" x 5-3/8"</t>
  </si>
  <si>
    <t>Punch, Roll Pin, 1/4" x 5-3/4"</t>
  </si>
  <si>
    <t>Set, Punch, Drive Pin</t>
  </si>
  <si>
    <t>Shroud, Router</t>
  </si>
  <si>
    <t>Punch, Drive Pin, 1/8" x 4-3/4"</t>
  </si>
  <si>
    <t>Punch, Drive Pin, Long, 1/8" x 5-5/16"</t>
  </si>
  <si>
    <t>Punch, Drive Pin, 5/32" x 5"</t>
  </si>
  <si>
    <t>Punch, Drive Pin, 3/16" x 5-1/4"</t>
  </si>
  <si>
    <t>Punch, Drive Pin, 1/4" x 5-3/4"</t>
  </si>
  <si>
    <t>Punch, Center, Solid, 3/16" x 6"</t>
  </si>
  <si>
    <t>Punch, Center, Solid, 5/16" x 7"</t>
  </si>
  <si>
    <t>Punch, Drift Pin, 5/32" x 8"</t>
  </si>
  <si>
    <t>Punch, Drift Pin, 5/16" x 9"</t>
  </si>
  <si>
    <t>Set, Socket, 3/8" Drive, Shallow/Deep, 6 Point, (1/4" - 7/8") (22 pcs)</t>
  </si>
  <si>
    <t>Pliers, Slip Joint, Combination</t>
  </si>
  <si>
    <t>Screwdriver, Flat Tip, .032" x 7"</t>
  </si>
  <si>
    <t>Screwdriver, Flat Tip, 5/16" x 6"</t>
  </si>
  <si>
    <t>Screwdriver, Flat Tip, 1/2" x 8"</t>
  </si>
  <si>
    <t>Screwdriver, Phillips, #1, 10"</t>
  </si>
  <si>
    <t>Screwdriver, Phillips, #3, 6"</t>
  </si>
  <si>
    <t>Seal Remover, Spoon Tip, 5-1/4"</t>
  </si>
  <si>
    <t>Seal Remover, Contoured Tip, 5-1/4"</t>
  </si>
  <si>
    <t>Screwdriver, Flat Tip, 1/8" x 3"</t>
  </si>
  <si>
    <t>Screwdriver, Flat Tip, 7/32" x 8"</t>
  </si>
  <si>
    <t>Screwdriver, Phillips, #2, 6"</t>
  </si>
  <si>
    <t>Rivet Set, Straight, 3/32"</t>
  </si>
  <si>
    <t>Rivet Set, Straight, 1/8"</t>
  </si>
  <si>
    <t>Rivet Set, Straight, 5/32"</t>
  </si>
  <si>
    <t>Rivet Set, Sraight, 3/16"</t>
  </si>
  <si>
    <t>Rivet Set, Flush Head, 1-1/4"</t>
  </si>
  <si>
    <t>Rivet Set, 10 Degree Offset, 1/8"</t>
  </si>
  <si>
    <t>Rivet Set, 10 Degree Offset, 5/32"</t>
  </si>
  <si>
    <t>Rivet Set, 10 Degree Offset, 3/16"</t>
  </si>
  <si>
    <t>Screwdriver, Torx #20, 3"</t>
  </si>
  <si>
    <t>Set, Screwdriver, Jeweler's (12pcs plus case)</t>
  </si>
  <si>
    <t>Socket, 3/4" Drive, 3-1/8",Thin, Nose Landing Gear</t>
  </si>
  <si>
    <t>Router, Pin Type, Pneumatic with Wrenches</t>
  </si>
  <si>
    <t>Pry Bar, 24"</t>
  </si>
  <si>
    <t>Screwdriver, Phillips, #1</t>
  </si>
  <si>
    <t>Set, Pliers, Retaining Ring, Convertible, .036”, .047”, .070” (12 pcs)</t>
  </si>
  <si>
    <t>Adapter, Torque Wrench, 1/2" Drive, 1-1/8", 4" Long</t>
  </si>
  <si>
    <t>Pliers, Slip Joint, 6-1/2"</t>
  </si>
  <si>
    <t>Pliers, Slip Joint, 9"</t>
  </si>
  <si>
    <t>Pliers, Duckbill, 9"</t>
  </si>
  <si>
    <t>Wrench, Adjustable, 10"</t>
  </si>
  <si>
    <t>Wrench, Adjustable, 6"</t>
  </si>
  <si>
    <t>Key, Socket Head Screw, Hex, 1/16"</t>
  </si>
  <si>
    <t>Key Set, Socket Head Screw, Hex, Ball End (13 pcs plus case)</t>
  </si>
  <si>
    <t>Key Set, Socket Head Screw, Hex, T-Handle (8 pcs plus case)</t>
  </si>
  <si>
    <t>Key Set, Socket Head Screw, Hex, Long (10 pcs plus case)</t>
  </si>
  <si>
    <t>Key, Socket Head Screw, Hex, 5/16", Long</t>
  </si>
  <si>
    <t>Key, Socket Head Screw, Hex, 9/64", Long</t>
  </si>
  <si>
    <t>Key Set, Socket Head Screw, Metric, Hex (9 pcs plus case)</t>
  </si>
  <si>
    <t>Pliers, Multiple Tongue and Groove, 12"</t>
  </si>
  <si>
    <t>Pliers, Cable Clamp, 7-3/8"</t>
  </si>
  <si>
    <t>Pliers, Needle Nose, Curved, 5"</t>
  </si>
  <si>
    <t>Carbide Bur, Cyclinder, 1/4"</t>
  </si>
  <si>
    <t>Carbide Bur, Cyclinder, 3/8"</t>
  </si>
  <si>
    <t>Carbide Bur, Ball Cone, 1/4"</t>
  </si>
  <si>
    <t>Carbide Bur, Ball Cone, 3/8"</t>
  </si>
  <si>
    <t>Carbide Bur, Cone, 1/4"</t>
  </si>
  <si>
    <t>Bit, Screwdriver, 1/4" Hex Shank, Torque Set, #10 ACR</t>
  </si>
  <si>
    <t>Pliers, Diagonal Cut, Long Reach, 11"</t>
  </si>
  <si>
    <t>Sanding Block, 5" x 2-3/4"</t>
  </si>
  <si>
    <t>Hammer, Sledge, 48 oz</t>
  </si>
  <si>
    <t>Gage, Wet Film Thickness, with Pouch</t>
  </si>
  <si>
    <t>Puller, Slide Hammer, 2-Jaw, 6-Ton, 6"</t>
  </si>
  <si>
    <t>Nut Driver, Insulated, 1/4"</t>
  </si>
  <si>
    <t>Nut Driver, Insulated, 3/8"</t>
  </si>
  <si>
    <t>Puller, Cotter Pin, 10"</t>
  </si>
  <si>
    <t>Knife, Scraping, Rigid, 3"</t>
  </si>
  <si>
    <t>Snips, Aviation, Left Hand Cut</t>
  </si>
  <si>
    <t>Drill Set, Twist, Cobalt, #1 to #60 (60 pcs plus case)</t>
  </si>
  <si>
    <t>Drill, Twist, Cobalt, 1/8"</t>
  </si>
  <si>
    <t>Drill, Twist, Cobalt, 5/16"</t>
  </si>
  <si>
    <t>Drill, Twist, Cobalt, 1/4"</t>
  </si>
  <si>
    <t>Drill, Twist, Cobalt, 3/8"</t>
  </si>
  <si>
    <t>Drill, Twist, Cobalt, 3/16"</t>
  </si>
  <si>
    <t>Drill Set, Twist, Cobalt, 1/16" to 3/8" (21 pcs plus case)</t>
  </si>
  <si>
    <t>Drill Set, Twist, Cobalt, 1/16" to 1/2" (29 pcs plus case)</t>
  </si>
  <si>
    <t>Drill, Twist, Mechanic's, 3/32"</t>
  </si>
  <si>
    <t>Drill, Twist, Mechanic's, 5/32"</t>
  </si>
  <si>
    <t>Pliers, Electronic, End Cut, 5"</t>
  </si>
  <si>
    <t>Flashlight, 2 Cell, LED</t>
  </si>
  <si>
    <t>Tip Assortment, Pliers, Retaining Ring</t>
  </si>
  <si>
    <t>Pliers, Multiple Tongue and Groove, Pipe, 10"</t>
  </si>
  <si>
    <t>Pliers, Multiple Tongue and Groove, Pipe, 18"</t>
  </si>
  <si>
    <t>Stripper, Wire, Hand, 8-22 AWG</t>
  </si>
  <si>
    <t>Wrench, Torque, Screwdriver Type, 1/4" Drive, 6 - 32 in-oz</t>
  </si>
  <si>
    <t>Wrench, Ratchet, Box, 5/8" x 11/16"</t>
  </si>
  <si>
    <t>Wrench Set, Ratchet, Box, 25° Offset, 1/4" to 7/8" (5 pcs)</t>
  </si>
  <si>
    <t>Wrench Set, Ratchet, Box, 1/4"-7/8" (5 pcs)</t>
  </si>
  <si>
    <t>Wrench, Ratchet, Box, 3/8" x 7/16", Spline #12 x #14</t>
  </si>
  <si>
    <t>Wrench, Ratchet, Box, 9/16" x 5/8", Spline #18 x #20</t>
  </si>
  <si>
    <t>Wrench, Ratchet, Box, 13/16" x 15/16", Spline #26 x #30</t>
  </si>
  <si>
    <t>Wrench, Ratchet, Box, 1/4" x 5/16", Spline #8 and #10</t>
  </si>
  <si>
    <t>Wrench, Ratchet, Box, T-Handle, 1/2"</t>
  </si>
  <si>
    <t>Wrench, Ratchet, Box, T-Handle, 9/16"</t>
  </si>
  <si>
    <t>Wrench Set, Ratchet, Box, T-Handle, 1/4" - 9/16" (7 pcs)</t>
  </si>
  <si>
    <t>Wrench, Flare-Nut, 6 Point, 1/2" x 9/16"</t>
  </si>
  <si>
    <t>Wrench, Flare-Nut, 6 Point, 5/8" x 11/16"</t>
  </si>
  <si>
    <t>Wrench Set, Flare Nut, 6-Point, 1/4" - 13/16" (5 pcs)</t>
  </si>
  <si>
    <t>Wrench, Ratchet, Box, 25° Offset, 1/4" x 5/16"</t>
  </si>
  <si>
    <t>Screwdriver, Ratcheting, Stubby , Interchangeable</t>
  </si>
  <si>
    <t>Screwdriver, Jeweler's, 0.080"</t>
  </si>
  <si>
    <t>Die Grinder, Angle, Pneumatic</t>
  </si>
  <si>
    <t>FRES20</t>
  </si>
  <si>
    <t>Adapter, Torque Wrench, 3/8" Drive, 5/8", Spline #20</t>
  </si>
  <si>
    <t>Air Chuck, Dual Foot, Open</t>
  </si>
  <si>
    <t>SWM321</t>
  </si>
  <si>
    <t>SEID</t>
  </si>
  <si>
    <t>JBT23</t>
  </si>
  <si>
    <t>JHT39</t>
  </si>
  <si>
    <t>JBT22</t>
  </si>
  <si>
    <t>JHT40</t>
  </si>
  <si>
    <t>JHT41</t>
  </si>
  <si>
    <t>JHT42</t>
  </si>
  <si>
    <t>JHT47</t>
  </si>
  <si>
    <t>JHT52</t>
  </si>
  <si>
    <t>JHT35</t>
  </si>
  <si>
    <t>JHT38</t>
  </si>
  <si>
    <t>JHT48</t>
  </si>
  <si>
    <t>JHT44</t>
  </si>
  <si>
    <t>JHT43</t>
  </si>
  <si>
    <t>JBT24</t>
  </si>
  <si>
    <t>JHT50</t>
  </si>
  <si>
    <t>JHT51</t>
  </si>
  <si>
    <t>JHT49</t>
  </si>
  <si>
    <t>JHT37</t>
  </si>
  <si>
    <t>JHT45</t>
  </si>
  <si>
    <t xml:space="preserve">   </t>
  </si>
  <si>
    <t>Tool Set, Flight Equipment</t>
  </si>
  <si>
    <t>Tool Set, Flight E Shop Equip</t>
  </si>
  <si>
    <t>Tool Set, Structure Box (A)</t>
  </si>
  <si>
    <t>Tool Set, LO Composite (A)</t>
  </si>
  <si>
    <t>Tool Set, Structure Box (B/C)</t>
  </si>
  <si>
    <t>Tool Set, Power Plants (A)</t>
  </si>
  <si>
    <t>Tool Set, Engine (B/C)</t>
  </si>
  <si>
    <t>Tool Set, Tire Back Shop (A)</t>
  </si>
  <si>
    <t>Tool Set, ECS (B/C)</t>
  </si>
  <si>
    <t>Tool Set, Power Plant Shop (B/C)</t>
  </si>
  <si>
    <t>Tool Set, Lift Systems (B)</t>
  </si>
  <si>
    <t>Tool Set, Egress (A)</t>
  </si>
  <si>
    <t xml:space="preserve">Tool Set, Egress (B/C) </t>
  </si>
  <si>
    <t xml:space="preserve">Tool Set, Torque Head </t>
  </si>
  <si>
    <t>Tool Set, Fuels  (A)</t>
  </si>
  <si>
    <t>Tool Set, Fuels  (B/C)</t>
  </si>
  <si>
    <t>Tool Set, Panel Kit (A)</t>
  </si>
  <si>
    <t>Tool Set, Tire Wheel (A)</t>
  </si>
  <si>
    <t>Tool Set, Tire Wheel (C)</t>
  </si>
  <si>
    <t>Tool Set, Avionics Maint  (A)</t>
  </si>
  <si>
    <t>Tool Set, Gun Jam Clearing Box (A)</t>
  </si>
  <si>
    <t>Tool Set, Gun Jam Clearing (B/C)</t>
  </si>
  <si>
    <t>Tool Set, Wpns Load Kit (B/C)</t>
  </si>
  <si>
    <t>Tool Set, Egress Dispatch (A)</t>
  </si>
  <si>
    <t>Tool Set, Crew Chief (A)</t>
  </si>
  <si>
    <t>Tool Set, Cross Country Pouch (B/C)</t>
  </si>
  <si>
    <t>Tool Set, Fuel Shop Dispatch (A)</t>
  </si>
  <si>
    <t>Tool Set, LO Dispatch (A)</t>
  </si>
  <si>
    <t xml:space="preserve">Tool Set, Eddie Bolt  </t>
  </si>
  <si>
    <t xml:space="preserve">Tool Set, Rivet </t>
  </si>
  <si>
    <t xml:space="preserve">Tool Set, Captive Fastener </t>
  </si>
  <si>
    <t>Tool Set, LO Composite (B/C)</t>
  </si>
  <si>
    <t>Toolbox Name: Tool Set, Egress (A)</t>
  </si>
  <si>
    <t>Toolbox Name: Tool Set, Egress (B/C)</t>
  </si>
  <si>
    <t>Toolbox Name: Tool Set, ECS (B/C)</t>
  </si>
  <si>
    <t>Toolbox Name: Tool Set, Tire Wheel (A)</t>
  </si>
  <si>
    <t>Toolbox Name: Tool Set, Tire Wheel (C)</t>
  </si>
  <si>
    <t>Toolbox Name: Tool Set, Tire Back Shop (A)</t>
  </si>
  <si>
    <t>Toolbox Name: Tool Set, Gun Jam Clearing Box (A)</t>
  </si>
  <si>
    <t>Toolbox Name: Tool Set, Power Plant Shop (B/C)</t>
  </si>
  <si>
    <t>Toolbox Name: Tool Set, Gun Jam Clearing (B/C)</t>
  </si>
  <si>
    <t>Toolbox Name: Tool Set, LO Composite (A)</t>
  </si>
  <si>
    <t>Toolbox Name: Tool Set, LO Dispatch (A)</t>
  </si>
  <si>
    <t>Toolbox Name: Tool Set, LO Composite (B/C)</t>
  </si>
  <si>
    <t>Toolbox Name: Tool Set, Wpns Load Kit (B/C)</t>
  </si>
  <si>
    <t>Toolbox Name: Tool Set, Flight Equipment</t>
  </si>
  <si>
    <t>Toolbox Name: Tool Set, Structure Box (A)</t>
  </si>
  <si>
    <t>Toolbox Name: Tool Set, Structure Box (B/C)</t>
  </si>
  <si>
    <t>Toolbox Name: Tool Set, Fuels  (A)</t>
  </si>
  <si>
    <t>Toolbox Name: Tool Set, Fuels  (B/C)</t>
  </si>
  <si>
    <t>Toolbox Name: Tool Set, Lift Systems (B)</t>
  </si>
  <si>
    <t>Toolbox Name: Tool Set, Cross Country Pouch (B/C)</t>
  </si>
  <si>
    <t>Toolbox Name: Tool Set, Crew Chief (A)</t>
  </si>
  <si>
    <t>Toolbox Name: Tool Set, Power Plants (A)</t>
  </si>
  <si>
    <t>Toolbox Name: Tool Set, Support Equipment</t>
  </si>
  <si>
    <t xml:space="preserve">Toolbox Name: Tool Set, Torque Head </t>
  </si>
  <si>
    <t xml:space="preserve">Toolbox Name: Tool Set, Rivet </t>
  </si>
  <si>
    <t xml:space="preserve">Toolbox Name: Tool Set, Eddie Bolt  </t>
  </si>
  <si>
    <t>Toolbox Name: Tool Set, Panel Kit (A)</t>
  </si>
  <si>
    <t>Toolbox Name: Tool Set, Egress Dispatch (A)</t>
  </si>
  <si>
    <t>Toolbox Name: Tool Set, Fuel Shop Dispatch (A)</t>
  </si>
  <si>
    <t>Toolbox Name: Tool Set, Avionics Maint  (A)</t>
  </si>
  <si>
    <t>Bar, Bucking, Rivet, 1.25 lbs</t>
  </si>
  <si>
    <t>ATI638</t>
  </si>
  <si>
    <t>Bar, Bucking, Rivet, 1.5 lbs</t>
  </si>
  <si>
    <t>ATI647</t>
  </si>
  <si>
    <t>Bar, Bucking, Rivet, 2 lbs</t>
  </si>
  <si>
    <t>ATI670</t>
  </si>
  <si>
    <t>ATI681</t>
  </si>
  <si>
    <t>Rivet Gun, 1/4" Capacity</t>
  </si>
  <si>
    <t>ATIATC4X</t>
  </si>
  <si>
    <t>Spring, Quick Change</t>
  </si>
  <si>
    <t>ATI114C-3</t>
  </si>
  <si>
    <t>Rivet Set, Flush Head, with Rubber Guard, 1"</t>
  </si>
  <si>
    <t>ATI110CB</t>
  </si>
  <si>
    <t>ATI100A35/32</t>
  </si>
  <si>
    <t>ATI100A33/16</t>
  </si>
  <si>
    <t>ATI100A33/32</t>
  </si>
  <si>
    <t>ATI100A3-1/8</t>
  </si>
  <si>
    <t>ATI101A35/32</t>
  </si>
  <si>
    <t>ATI101A3316</t>
  </si>
  <si>
    <t>Rivet Set, 10 Degree Offset, 3/32"</t>
  </si>
  <si>
    <t>ATI101A33/32</t>
  </si>
  <si>
    <t>ATI101A3-1/8</t>
  </si>
  <si>
    <t>ATI107A-2</t>
  </si>
  <si>
    <t>Rivet Set, Flush Head, 10 Degree Offset, 1/2"</t>
  </si>
  <si>
    <t>ATI101AF-3A</t>
  </si>
  <si>
    <t>85CF</t>
  </si>
  <si>
    <t>TES8B</t>
  </si>
  <si>
    <t>TES10B</t>
  </si>
  <si>
    <t>FES160B</t>
  </si>
  <si>
    <t>FES120B</t>
  </si>
  <si>
    <t>FES140B</t>
  </si>
  <si>
    <t>FES180B</t>
  </si>
  <si>
    <t>FES200B</t>
  </si>
  <si>
    <t>FEL120B</t>
  </si>
  <si>
    <t>FEL140B</t>
  </si>
  <si>
    <t>FEL180B</t>
  </si>
  <si>
    <t>FEL200B</t>
  </si>
  <si>
    <t>M10</t>
  </si>
  <si>
    <t>AVSOSL9</t>
  </si>
  <si>
    <t>TES7B</t>
  </si>
  <si>
    <t>TEL8B</t>
  </si>
  <si>
    <t>TEL10B</t>
  </si>
  <si>
    <t>TEL7B</t>
  </si>
  <si>
    <t>PA4F</t>
  </si>
  <si>
    <t>46CF</t>
  </si>
  <si>
    <t>JBT25</t>
  </si>
  <si>
    <t>Bit, Screwdriver, 1/4" Hex Shank, 5/64” Hex</t>
  </si>
  <si>
    <t>Bit, Screwdriver, 1/4" Hex Shank, 3/32” Hex</t>
  </si>
  <si>
    <t>Bit, Screwdriver, 1/4" Hex Shank, 7/64” Hex</t>
  </si>
  <si>
    <t>Bit, Screwdriver, 1/4" Hex Shank, 1/8” Hex</t>
  </si>
  <si>
    <t>Bit, Screwdriver, 1/4" Hex Shank, 9/64” Hex</t>
  </si>
  <si>
    <t>Bit, Screwdriver, 1/4" Hex Shank, 5/32” Hex</t>
  </si>
  <si>
    <t>Bit, Screwdriver, 1/4" Hex Shank, 3/16” Hex</t>
  </si>
  <si>
    <t>Bit, Screwdriver, 1/4" Hex Shank, 7/32” Hex</t>
  </si>
  <si>
    <t>Bit, Screwdriver, 1/4" Hex Shank, 1/4” Hex</t>
  </si>
  <si>
    <t>No Box</t>
  </si>
  <si>
    <t>NAVYMAT-S-BLACK</t>
  </si>
  <si>
    <t>KMC18043NBK</t>
  </si>
  <si>
    <t>Snap-On (8 drawer)</t>
  </si>
  <si>
    <t>Extractor Set, Screw, Right Hand (10 pcs plus case)</t>
  </si>
  <si>
    <t>Awl, Screwdriver Type, 3"</t>
  </si>
  <si>
    <t>MFG Part Number</t>
  </si>
  <si>
    <t>Cage Code</t>
  </si>
  <si>
    <t>TES9B</t>
  </si>
  <si>
    <t>ISU05747549</t>
  </si>
  <si>
    <t>CD3825</t>
  </si>
  <si>
    <t>DMA51-00-10</t>
  </si>
  <si>
    <t>55719</t>
  </si>
  <si>
    <t>SRDH321</t>
  </si>
  <si>
    <t>JHWH-51B</t>
  </si>
  <si>
    <t>T-03-7071</t>
  </si>
  <si>
    <t>Socket Wrench Attachment, 1/4" Drive, Hex, 9/64", Long</t>
  </si>
  <si>
    <t>TMA4.5LE</t>
  </si>
  <si>
    <t>196ACF</t>
  </si>
  <si>
    <t>T-16</t>
  </si>
  <si>
    <t>CNT51-2031</t>
  </si>
  <si>
    <t>87ACF</t>
  </si>
  <si>
    <t>IM802A</t>
  </si>
  <si>
    <t>LST64514</t>
  </si>
  <si>
    <t>SRPC9090A</t>
  </si>
  <si>
    <t>JHWAP-6A</t>
  </si>
  <si>
    <t>JHWAP-8A</t>
  </si>
  <si>
    <t>JHWAP-10A</t>
  </si>
  <si>
    <t>GXDES3234A</t>
  </si>
  <si>
    <t>CNT58-0635</t>
  </si>
  <si>
    <t>MCI06530943</t>
  </si>
  <si>
    <t>MCI06530927</t>
  </si>
  <si>
    <t>HNA210LRK</t>
  </si>
  <si>
    <t>CNT97-0207</t>
  </si>
  <si>
    <t>Shears, Heavy Duty, 9"</t>
  </si>
  <si>
    <t>CNT51-2036</t>
  </si>
  <si>
    <t>DRR17749</t>
  </si>
  <si>
    <t>DRR17799</t>
  </si>
  <si>
    <t>DRR18049</t>
  </si>
  <si>
    <t>DRR18089</t>
  </si>
  <si>
    <t>DRR19419</t>
  </si>
  <si>
    <t>PDR3000A</t>
  </si>
  <si>
    <t>CNT51-2026</t>
  </si>
  <si>
    <t>T-701S</t>
  </si>
  <si>
    <t>TGIFS1</t>
  </si>
  <si>
    <t>STL33302</t>
  </si>
  <si>
    <t>49ACF</t>
  </si>
  <si>
    <t>ISU05510</t>
  </si>
  <si>
    <t>ATS3539IT-1/4</t>
  </si>
  <si>
    <t>ATS3539IT-3/8</t>
  </si>
  <si>
    <t>A3042</t>
  </si>
  <si>
    <t>Adapter, Socket Wrench, 1/4" Hex to 3/8" Male</t>
  </si>
  <si>
    <t>Wrench, Refrigeration</t>
  </si>
  <si>
    <t>R404</t>
  </si>
  <si>
    <t>FRES18</t>
  </si>
  <si>
    <t>FRES16</t>
  </si>
  <si>
    <t>FRES12</t>
  </si>
  <si>
    <t>FRES14</t>
  </si>
  <si>
    <t>FRES24</t>
  </si>
  <si>
    <t>FRES22</t>
  </si>
  <si>
    <t>XDES810A</t>
  </si>
  <si>
    <t>XDES79A</t>
  </si>
  <si>
    <t>XDES1820A</t>
  </si>
  <si>
    <t>XDES1214A</t>
  </si>
  <si>
    <t>Adapter, Torque Wrench, 3/8" Drive, 9/16", Spline #18</t>
  </si>
  <si>
    <t>Adapter, Torque Wrench, 3/8" Drive, 1/2", Spline #16</t>
  </si>
  <si>
    <t>Adapter, Torque Wrench, 3/8" Drive, 3/8", Spline #12</t>
  </si>
  <si>
    <t>Adapter, Torque Wrench, 3/8" Drive, 7/16", Spline #14</t>
  </si>
  <si>
    <t>Adapter, Torque Wrench, 3/8" Drive, 3/4", Spline #24</t>
  </si>
  <si>
    <t>Adapter, Torque Wrench, 3/8" Drive, 11/16", Spline #22</t>
  </si>
  <si>
    <t>Wrench, Box, Angle Head, 1/4" x 5/16", Spline #8 x #10</t>
  </si>
  <si>
    <t>Wrench, Box, Angle Head, 7/32" x 9/32", Spline #7 x #9</t>
  </si>
  <si>
    <t>Wrench, Box, Angle Head, 9/16" x 5/8", Spline #18 x #20</t>
  </si>
  <si>
    <t>Wrench, Box, Angle Head, 3/8" x 7/16", Spline #12 x #14</t>
  </si>
  <si>
    <t>Wrench, Combination, 2"</t>
  </si>
  <si>
    <t>Nose Pc Assy Pnl Grommet Flare Tool</t>
  </si>
  <si>
    <t>Mandrel, Back Up, Collapsible Pilot</t>
  </si>
  <si>
    <t>STNV3814</t>
  </si>
  <si>
    <t>STNV1414</t>
  </si>
  <si>
    <t>TTXL20E</t>
  </si>
  <si>
    <t>Socket Wrench Attachment, 1/4" Drive, Torx #20, Long</t>
  </si>
  <si>
    <t>F35SPLI17</t>
  </si>
  <si>
    <t>F35SPLE23</t>
  </si>
  <si>
    <t>F35LG1280</t>
  </si>
  <si>
    <t>TWM32</t>
  </si>
  <si>
    <t>497ACF</t>
  </si>
  <si>
    <t>ATI3594</t>
  </si>
  <si>
    <t>MCQ690</t>
  </si>
  <si>
    <t>MCI06530901</t>
  </si>
  <si>
    <t>MCQ448</t>
  </si>
  <si>
    <t>OEX64A</t>
  </si>
  <si>
    <t>Flashlight, AA, 4 Cell</t>
  </si>
  <si>
    <t>Key, Socket Head Screw, Hex 5/64"</t>
  </si>
  <si>
    <t>AW2-1/2D</t>
  </si>
  <si>
    <t>Key, Socket Head Screw, Hex 1/8"</t>
  </si>
  <si>
    <t>AW4D</t>
  </si>
  <si>
    <t>TMAM2.5E</t>
  </si>
  <si>
    <t>Toolbox Name: Tool Set, Mask Oxygen Only</t>
  </si>
  <si>
    <t>Tool Set, Mask Oxygen Only</t>
  </si>
  <si>
    <t>Toolbox Name: Tool Set, LO Dispatch (B/C)</t>
  </si>
  <si>
    <t>Tool Set, LO Dispatch (B/C)</t>
  </si>
  <si>
    <t>Wrench, Combination, Midget, 3/4"</t>
  </si>
  <si>
    <t>OXI24B</t>
  </si>
  <si>
    <t>Extractor Set, Multispline (10 pcs plus case)</t>
  </si>
  <si>
    <t>REX10B</t>
  </si>
  <si>
    <t>SCO76</t>
  </si>
  <si>
    <t>12 Point Shallow Socket (11pcs) (1/4-7/8")</t>
  </si>
  <si>
    <t>211FY</t>
  </si>
  <si>
    <t>12 Point Shallow Socket (11/32)</t>
  </si>
  <si>
    <t>F111</t>
  </si>
  <si>
    <t>7/32" Combo Wrench</t>
  </si>
  <si>
    <t>Planner, Field, Tan, 4-5/8" x 7"</t>
  </si>
  <si>
    <t xml:space="preserve"> MCQ448</t>
  </si>
  <si>
    <t>AB3042</t>
  </si>
  <si>
    <t>Toolbox Name: Tool Set, Engine (B/C)</t>
  </si>
  <si>
    <t>ZEPTS2128</t>
  </si>
  <si>
    <t>Adapter, Torque Head, 1/2" Drive, 13/16"</t>
  </si>
  <si>
    <t>IMFS260</t>
  </si>
  <si>
    <t>Socket, 3/8" Drive, 3/8", Spline</t>
  </si>
  <si>
    <t>OES16B</t>
  </si>
  <si>
    <t>OES8B</t>
  </si>
  <si>
    <t>OES12B</t>
  </si>
  <si>
    <t>OES14B</t>
  </si>
  <si>
    <t>OES18B</t>
  </si>
  <si>
    <t>Pry Bar, 18"</t>
  </si>
  <si>
    <t>SDM311B</t>
  </si>
  <si>
    <t>Toolbox Name: Tool Set, Airframe Shop Equip (B/C)</t>
  </si>
  <si>
    <t>Extension, 1/4” Drive, 11"</t>
  </si>
  <si>
    <t>Socket, 3/8” Drive, Universal, 3/8"</t>
  </si>
  <si>
    <t>Socket, 3/8” Drive, Universal, 5/16"</t>
  </si>
  <si>
    <t>Socket, 1/4” Drive, Universal, 1/4"</t>
  </si>
  <si>
    <t>FU10B</t>
  </si>
  <si>
    <t>FU12B</t>
  </si>
  <si>
    <t>Hammer, Dead Blow, Steel and Soft Face, 16 oz</t>
  </si>
  <si>
    <t>HSPD16</t>
  </si>
  <si>
    <t>Key Set, Socket Head Screw, Hex (13 pcs plus case)</t>
  </si>
  <si>
    <t>AWS13</t>
  </si>
  <si>
    <t>Tool Set, Airframe Shop Equip (B/C)</t>
  </si>
  <si>
    <t>Tool Set, Support Equipment (A/B)</t>
  </si>
  <si>
    <t>Tool Set, Avionics/Electrical (A)</t>
  </si>
  <si>
    <t>Tool Set, Avionics Line (B)</t>
  </si>
  <si>
    <t>Tool Set, Avionics Maint Pouch (B)</t>
  </si>
  <si>
    <t>Tool Set, Weapons (A)</t>
  </si>
  <si>
    <t>Wrench, Box, 7/8" x 15/16"</t>
  </si>
  <si>
    <t>XB2830A</t>
  </si>
  <si>
    <t>Wrench, Box, Short, 1/4" x 5/16"</t>
  </si>
  <si>
    <t>XS810A</t>
  </si>
  <si>
    <t>Tool Set, Power Line Tire Removal (B)</t>
  </si>
  <si>
    <t>OEX240B</t>
  </si>
  <si>
    <t>Wrench, Combination, Short, 3/4”</t>
  </si>
  <si>
    <t>LTA1618</t>
  </si>
  <si>
    <t>Wrench, Open End, Low-Torque Slimline, 1/2" x 9/16"</t>
  </si>
  <si>
    <t>Toolbox Name: Tool Set, Airframe Servicing Pouch (B)</t>
  </si>
  <si>
    <t>Tool Set, Airframes Servicing Pouch (B)</t>
  </si>
  <si>
    <t>Tool Set, Airframes Servicing Pouch (C)</t>
  </si>
  <si>
    <t>Flashlight, AA, 4 Cell, with Blue Lense and Cone (cut to 4")</t>
  </si>
  <si>
    <t>Toolbox Name: Tool Set, Airframe Servicing Pouch (C)</t>
  </si>
  <si>
    <t xml:space="preserve"> </t>
  </si>
  <si>
    <t>Tool Set, OML Pouch (A)</t>
  </si>
  <si>
    <t>Tool Set, OML Pouch (B/C)</t>
  </si>
  <si>
    <t>Toolbox Name: Tool Set, OML Pouch (B/C)</t>
  </si>
  <si>
    <t>Toolbox Name: Tool Box, Oxygen Use Only (A)</t>
  </si>
  <si>
    <t>Toolbox Name: Tool Box, Oxygen Use Only (B/C)</t>
  </si>
  <si>
    <t>SDMTA50</t>
  </si>
  <si>
    <t>Tool Set, MALS Tire Buildup (B)</t>
  </si>
  <si>
    <t>Toolbox Name: Tool Set, MALS Tire Build Up (B)</t>
  </si>
  <si>
    <t>Toolbox Name: Tool Set, Avionics Maintenance (B)</t>
  </si>
  <si>
    <t>Wrench, Combination, 13/16"</t>
  </si>
  <si>
    <t>Wrench, Combination, 5/16"</t>
  </si>
  <si>
    <t>Toolbox Name: Tool Set, Weapons (A)</t>
  </si>
  <si>
    <t>Wrench, Combination, 1"</t>
  </si>
  <si>
    <t>Toolbox Name: Tool Set, Weapons Maintenance (B/C)</t>
  </si>
  <si>
    <t>AWBXL13</t>
  </si>
  <si>
    <t>Key Set, Socket Head Screw, Hex, Long, Ball End (13 pcs plus case)</t>
  </si>
  <si>
    <t>Tool Set, Weapons Maintenance (B/C)</t>
  </si>
  <si>
    <t>Toolbox Name: Tool Set, Ordnance Shop (C)</t>
  </si>
  <si>
    <t>Toolbox Name: Tool Set, Ordnance Shop (B)</t>
  </si>
  <si>
    <t>Tool Set, Ordnance Shop (B)</t>
  </si>
  <si>
    <t>Tool Set, Ordnance Shop (C)</t>
  </si>
  <si>
    <t>Set, Pry Tools</t>
  </si>
  <si>
    <t>Toolbox Name: Tool Set, Gun Maintenance Shop (B/C)</t>
  </si>
  <si>
    <t>Tool Set, Gun Maintenance Shop (BC)</t>
  </si>
  <si>
    <t>Adaptor, 1/4" Hex To 3/8" Square</t>
  </si>
  <si>
    <t>SPBS18</t>
  </si>
  <si>
    <t>Toolbox Name: Tool Set, 13B Flight Service Pouch (B)</t>
  </si>
  <si>
    <t>Toolbox Name: Tool Set, 13B Flight Service Pouch (C)</t>
  </si>
  <si>
    <t>Tool Set, 13B Flight Service Pouch (B)</t>
  </si>
  <si>
    <t>Tool Set, 13B Flight Service Pouch (C)</t>
  </si>
  <si>
    <t>Toolbox Name: Tool Set, 310 Flight Servicing Pouch (B)</t>
  </si>
  <si>
    <t>Tool Set, 310 Flight Servicing Pouch (B)</t>
  </si>
  <si>
    <t>Tool Set, 310 Shop Pouch (C)</t>
  </si>
  <si>
    <t>Toolbox Name: Tool Set, 310 Shop Pouch (C)</t>
  </si>
  <si>
    <t>Toolbox Name: Tool Set, 110 Flight Recovery Pouch (C)</t>
  </si>
  <si>
    <t>Toolbox Name: Tool Set, 040 Inspection Box (C)</t>
  </si>
  <si>
    <t>Tool Set, 110 Flight Recovery Pouch (C)</t>
  </si>
  <si>
    <t>Mirror, Inspection, Rectangular, 11"</t>
  </si>
  <si>
    <t>Tool Set, 040 Inspection Box (C)</t>
  </si>
  <si>
    <t>GA52B</t>
  </si>
  <si>
    <t>Toolbox Name: Tool Set, Fastener (A)</t>
  </si>
  <si>
    <t>Toolbox Name: Tool Set, Fastener (B/C)</t>
  </si>
  <si>
    <t>Tool Set, Fastener (A)</t>
  </si>
  <si>
    <t>Tool Set, Fastener (B/C)</t>
  </si>
  <si>
    <t>Tool Set, Traffic Directing (C)</t>
  </si>
  <si>
    <t>Tool Set, Traffic Directing (B)</t>
  </si>
  <si>
    <t>Kit</t>
  </si>
  <si>
    <t>Traffic Directing Pouch</t>
  </si>
  <si>
    <t>FA6LE</t>
  </si>
  <si>
    <t>FA7LE</t>
  </si>
  <si>
    <t>Wrench, Combination, Short, 9/16”</t>
  </si>
  <si>
    <t>Toolbox Name: Tool Set, Avionics Line (B)</t>
  </si>
  <si>
    <t>Tool Set, Ordnance Traffic Directing (B)</t>
  </si>
  <si>
    <t>Tool Set, LO Shop Equipment (B/C)</t>
  </si>
  <si>
    <t>Toolbox Name: Tool Set, Panel Line Box (B)</t>
  </si>
  <si>
    <t>Tool Set, Panel Line Box (B)</t>
  </si>
  <si>
    <t>Crowfoot Attachment, 1/4" Drive, 3/8" Open End</t>
  </si>
  <si>
    <t>TMCO12</t>
  </si>
  <si>
    <t>TMM9</t>
  </si>
  <si>
    <t>Socket, Universal, 1/4" Drive, 3/8", 6 Point</t>
  </si>
  <si>
    <t>Socket, Universal, 1/4" Drive, 7/16", 6 Point</t>
  </si>
  <si>
    <t>TMUS121A</t>
  </si>
  <si>
    <t>TMUS141A</t>
  </si>
  <si>
    <t>TM11</t>
  </si>
  <si>
    <t>SOEXM9</t>
  </si>
  <si>
    <t>TMUS81A</t>
  </si>
  <si>
    <t>Socket, 1/4" Drive, 5/8", 6 Point</t>
  </si>
  <si>
    <t>TM20</t>
  </si>
  <si>
    <t>Handle, Socket Wrench, Reversible, Flex Head, 1/4" Drive</t>
  </si>
  <si>
    <t>TF72</t>
  </si>
  <si>
    <t>SGCP1BR</t>
  </si>
  <si>
    <t>Manufacturers P/N</t>
  </si>
  <si>
    <t>FS241</t>
  </si>
  <si>
    <t>Socket, 3/8” Drive, 3/4”, 6 Point</t>
  </si>
  <si>
    <t>OEX320B</t>
  </si>
  <si>
    <t>OEX400B</t>
  </si>
  <si>
    <t>Wrench, Combination, Short, 1-1/4"</t>
  </si>
  <si>
    <t xml:space="preserve">Wrench, Combination, Short, 1” </t>
  </si>
  <si>
    <t>Wrench, Open End, 4-Way Angle Head, 7/16"</t>
  </si>
  <si>
    <t>VS14B</t>
  </si>
  <si>
    <t>RBZ810</t>
  </si>
  <si>
    <t>Wrench, Box, Ratcheting, 1/4" x 5/16"</t>
  </si>
  <si>
    <t>FRES8</t>
  </si>
  <si>
    <t>Adapter, Torque Wrench, 3/8" Drive, 1/4", Spline #8</t>
  </si>
  <si>
    <t>Adapter, Torque Wrench, 1/2" Drive, 13/16", Spline #26</t>
  </si>
  <si>
    <t>Adapter, Torque Wrench, 1/2" Drive, 7/8", Spline #28</t>
  </si>
  <si>
    <t>SRES28</t>
  </si>
  <si>
    <t>SRES26</t>
  </si>
  <si>
    <t>Adapter, Torque Wrench, 1/2" Drive, 15/16", Spline #30</t>
  </si>
  <si>
    <t>SRES30A</t>
  </si>
  <si>
    <t>FRDH161</t>
  </si>
  <si>
    <t>FRDH221</t>
  </si>
  <si>
    <t>FRDH241</t>
  </si>
  <si>
    <t>DBTB121</t>
  </si>
  <si>
    <t>Drill Set, Twist, High Speed, 1/16" to 3/8" (21 pcs plus case)</t>
  </si>
  <si>
    <t>Set, Grinder, Burr</t>
  </si>
  <si>
    <t>VWB700B</t>
  </si>
  <si>
    <t>TMMD5</t>
  </si>
  <si>
    <t>TMMD5.5</t>
  </si>
  <si>
    <t>TMMD6</t>
  </si>
  <si>
    <t>TMMD7</t>
  </si>
  <si>
    <t>TMMD8</t>
  </si>
  <si>
    <t>TMMD9</t>
  </si>
  <si>
    <t>TMMD10</t>
  </si>
  <si>
    <t>TMMD11</t>
  </si>
  <si>
    <t>TMMD12</t>
  </si>
  <si>
    <t>TMMD13</t>
  </si>
  <si>
    <t>TMMD14</t>
  </si>
  <si>
    <t>STMMD5</t>
  </si>
  <si>
    <t>STMMD5.5</t>
  </si>
  <si>
    <t>STMMD6</t>
  </si>
  <si>
    <t>STMMD7</t>
  </si>
  <si>
    <t>STMMD8</t>
  </si>
  <si>
    <t>STMMD9</t>
  </si>
  <si>
    <t>STMMD10</t>
  </si>
  <si>
    <t>STMMD11</t>
  </si>
  <si>
    <t>STMMD12</t>
  </si>
  <si>
    <t>STMMD13</t>
  </si>
  <si>
    <t>STMMD14</t>
  </si>
  <si>
    <t>STMD18</t>
  </si>
  <si>
    <t>TMC104E</t>
  </si>
  <si>
    <t>SX2</t>
  </si>
  <si>
    <t>SXK3</t>
  </si>
  <si>
    <t>SXK8</t>
  </si>
  <si>
    <t>SWM201</t>
  </si>
  <si>
    <t>SWM211</t>
  </si>
  <si>
    <t>SWM221</t>
  </si>
  <si>
    <t>SWM231</t>
  </si>
  <si>
    <t>SWM241</t>
  </si>
  <si>
    <t>SWM251</t>
  </si>
  <si>
    <t>SWM261</t>
  </si>
  <si>
    <t>SWM271</t>
  </si>
  <si>
    <t>SWM281</t>
  </si>
  <si>
    <t>SWM291</t>
  </si>
  <si>
    <t>SWM301</t>
  </si>
  <si>
    <t>SWM311</t>
  </si>
  <si>
    <t>SW481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</si>
  <si>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</si>
  <si>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</si>
  <si>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</si>
  <si>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</si>
  <si>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</si>
  <si>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</si>
  <si>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</si>
  <si>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</si>
  <si>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</si>
  <si>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</si>
  <si>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</si>
  <si>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</si>
  <si>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</si>
  <si>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S421</t>
  </si>
  <si>
    <t>S461</t>
  </si>
  <si>
    <t>SA10E</t>
  </si>
  <si>
    <t xml:space="preserve">SA24E </t>
  </si>
  <si>
    <t>RYA1011</t>
  </si>
  <si>
    <t>RYA1214</t>
  </si>
  <si>
    <t>RYA1618</t>
  </si>
  <si>
    <t>RYA2022</t>
  </si>
  <si>
    <t>RYA2428</t>
  </si>
  <si>
    <t>XDES1618A</t>
  </si>
  <si>
    <t>XDES2832A</t>
  </si>
  <si>
    <t>OEXM80B</t>
  </si>
  <si>
    <t>OEXM90B</t>
  </si>
  <si>
    <t>OEXM100B</t>
  </si>
  <si>
    <t>OEXM110B</t>
  </si>
  <si>
    <t>OEXM120B</t>
  </si>
  <si>
    <t>OEXM130B</t>
  </si>
  <si>
    <t>OEXM140B</t>
  </si>
  <si>
    <t>OEXM150B</t>
  </si>
  <si>
    <t>OEXM160B</t>
  </si>
  <si>
    <t>OEXM170B</t>
  </si>
  <si>
    <t>OEXM180B</t>
  </si>
  <si>
    <t>OEXM190B</t>
  </si>
  <si>
    <t>OEXM200B</t>
  </si>
  <si>
    <t>OEXM210B</t>
  </si>
  <si>
    <t>OEXM230B</t>
  </si>
  <si>
    <t>OEXM240B</t>
  </si>
  <si>
    <t>OEXM250B</t>
  </si>
  <si>
    <t>OEXM260B</t>
  </si>
  <si>
    <t>OEXM270B</t>
  </si>
  <si>
    <t>OEXM280B</t>
  </si>
  <si>
    <t>OEXM290B</t>
  </si>
  <si>
    <t>OEXM300B</t>
  </si>
  <si>
    <t>OEXM320B</t>
  </si>
  <si>
    <t>OEXM340B</t>
  </si>
  <si>
    <t>OEXM360B</t>
  </si>
  <si>
    <t>OEX50B</t>
  </si>
  <si>
    <t>OEX52B</t>
  </si>
  <si>
    <t>OXIM10B</t>
  </si>
  <si>
    <t>OXIM11B</t>
  </si>
  <si>
    <t>OXIM12B</t>
  </si>
  <si>
    <t>OXIM13B</t>
  </si>
  <si>
    <t>OXIM14B</t>
  </si>
  <si>
    <t>OXIM15B</t>
  </si>
  <si>
    <t>OXIM16B</t>
  </si>
  <si>
    <t>OXIM17B</t>
  </si>
  <si>
    <t>OXIM18B</t>
  </si>
  <si>
    <t>OXIM19B</t>
  </si>
  <si>
    <t>OXI20B</t>
  </si>
  <si>
    <t>OXI22B</t>
  </si>
  <si>
    <t>VSM5210B</t>
  </si>
  <si>
    <t>VSM5211B</t>
  </si>
  <si>
    <t>VSM5212B</t>
  </si>
  <si>
    <t>VSM5213B</t>
  </si>
  <si>
    <t>VSM5214B</t>
  </si>
  <si>
    <t>VSM5215B</t>
  </si>
  <si>
    <t>VSM5216B</t>
  </si>
  <si>
    <t>VSM5217B</t>
  </si>
  <si>
    <t>VSM5218B</t>
  </si>
  <si>
    <t>VSM5219B</t>
  </si>
  <si>
    <t>VSM5221B</t>
  </si>
  <si>
    <t>VSM5222B</t>
  </si>
  <si>
    <t>VSM5224B</t>
  </si>
  <si>
    <t>VSM5227B</t>
  </si>
  <si>
    <t>Wrench, Open End, 4-Way Angle Head, 1/4"</t>
  </si>
  <si>
    <t>VS8B</t>
  </si>
  <si>
    <t>Wrench, Open End, 4-Way Angle Head, 5/16"</t>
  </si>
  <si>
    <t>VS10B</t>
  </si>
  <si>
    <t>Wrench, Open End, 4-Way Angle Head, 11/32"</t>
  </si>
  <si>
    <t>VS11B</t>
  </si>
  <si>
    <t>Wrench, Open End, 4-Way Angle Head, 3/8"</t>
  </si>
  <si>
    <t>VS12B</t>
  </si>
  <si>
    <t>VS34B</t>
  </si>
  <si>
    <t>VS42B</t>
  </si>
  <si>
    <t>VS44B</t>
  </si>
  <si>
    <t>VS46B</t>
  </si>
  <si>
    <t>VS52B</t>
  </si>
  <si>
    <t>VS54B</t>
  </si>
  <si>
    <t>VS56B</t>
  </si>
  <si>
    <t>VS58B</t>
  </si>
  <si>
    <t>VS60B</t>
  </si>
  <si>
    <t>Wrench, Open End, 4-Way Angle Head, 2"</t>
  </si>
  <si>
    <t>VS64B</t>
  </si>
  <si>
    <t>TMCO8</t>
  </si>
  <si>
    <t>SCO34</t>
  </si>
  <si>
    <t>SCO36</t>
  </si>
  <si>
    <t>SCO38</t>
  </si>
  <si>
    <t>SCO40</t>
  </si>
  <si>
    <t>SCO44</t>
  </si>
  <si>
    <t>SCO46</t>
  </si>
  <si>
    <t>SCO50</t>
  </si>
  <si>
    <t>SCO54</t>
  </si>
  <si>
    <t>SCO56</t>
  </si>
  <si>
    <t>TMRX8</t>
  </si>
  <si>
    <t>AN850817B</t>
  </si>
  <si>
    <t>AN850820B</t>
  </si>
  <si>
    <t>AN850821B</t>
  </si>
  <si>
    <t>AN850822B</t>
  </si>
  <si>
    <t>AN850823B</t>
  </si>
  <si>
    <t>AN850824B</t>
  </si>
  <si>
    <t>AN850825B</t>
  </si>
  <si>
    <t>AN850826B</t>
  </si>
  <si>
    <t>AN850828B</t>
  </si>
  <si>
    <t>AN850829B</t>
  </si>
  <si>
    <t>AN850830B</t>
  </si>
  <si>
    <t>AN850831B</t>
  </si>
  <si>
    <t>AN850832B</t>
  </si>
  <si>
    <t>PW8C</t>
  </si>
  <si>
    <t>PW14C</t>
  </si>
  <si>
    <t>Miniature Screwdriver/Awl Set</t>
  </si>
  <si>
    <t>CM6551</t>
  </si>
  <si>
    <t>SGDP102BR</t>
  </si>
  <si>
    <t>SGD4100BR</t>
  </si>
  <si>
    <t>Prybar, Heavy Duty, Gooseneck, Single Chisel/Claw, 48"</t>
  </si>
  <si>
    <t>PBHG48</t>
  </si>
  <si>
    <t>PPC820B</t>
  </si>
  <si>
    <t>PPC812B</t>
  </si>
  <si>
    <t>PPC816B</t>
  </si>
  <si>
    <t>PPC206A</t>
  </si>
  <si>
    <t>PPC205A</t>
  </si>
  <si>
    <t>PPC203A</t>
  </si>
  <si>
    <t>PPC208A</t>
  </si>
  <si>
    <t>PPC204A</t>
  </si>
  <si>
    <t>REX25B</t>
  </si>
  <si>
    <t>Toolbox Name: Tool Set, Supplemental (B/C)</t>
  </si>
  <si>
    <t>Tool Set, Supplemental (B/C)</t>
  </si>
  <si>
    <t>Toolbox Name: Tool Set, Avionics Troubleshooter Pouch (C)</t>
  </si>
  <si>
    <t>Tool Set, Avionics Troubleshooter (C)</t>
  </si>
  <si>
    <t>Tool Set, Avionics Troubleshooter Pouch (C)</t>
  </si>
  <si>
    <t>Tool Set, Avionics Maintenance (C)</t>
  </si>
  <si>
    <t>Toolbox Name: Tool Set, Avionics Maintenance (C)</t>
  </si>
  <si>
    <t>Tool Set, Wire Repair (C)</t>
  </si>
  <si>
    <t>Toolbox Name: Tool Set, Avionics Troubleshooter ©</t>
  </si>
  <si>
    <t>Tool Set, Electrical Shop Equipment (C)</t>
  </si>
  <si>
    <t>Tool Set, EOTS Maintenance (C)</t>
  </si>
  <si>
    <t>Toolbox Name: Tool Set, EOTS Maintenance (C)</t>
  </si>
  <si>
    <t xml:space="preserve">Wrench, Combination, Short, 1/2", Spline #16 </t>
  </si>
  <si>
    <t>Wrench, Combination, Short, 5/16", Spline #10</t>
  </si>
  <si>
    <t>Wrench, Combination, Short, 7/16", Spline #14</t>
  </si>
  <si>
    <t>Wrench, Combination, Short, 9/16", Spline #18</t>
  </si>
  <si>
    <t xml:space="preserve">Wrench, Open End, 1/4" x 5/16" </t>
  </si>
  <si>
    <t>Toolbox Name: Tool Set, Wire Repair (C)</t>
  </si>
  <si>
    <t>Toolbox Name: Tool Set, Electrical Shop Equipment (C)</t>
  </si>
  <si>
    <t>Toolbox Name: Tool Set, Power Line Tire Removal (B)</t>
  </si>
  <si>
    <t>Tool Set, Avionics Maint (B)</t>
  </si>
  <si>
    <t>Socket, 3/8” Drive, 3/8”</t>
  </si>
  <si>
    <t>OES22B</t>
  </si>
  <si>
    <t>OES10B</t>
  </si>
  <si>
    <t>OES20B</t>
  </si>
  <si>
    <t>Wrench, Open End, Thin, Single Head, 13/16"</t>
  </si>
  <si>
    <t>JHW3526</t>
  </si>
  <si>
    <t>VO810B</t>
  </si>
  <si>
    <t>Tool Set, Electrical Troubleshooter (C)</t>
  </si>
  <si>
    <t>Crowfoot Attachment, 1/2" Drive, 2-3/8" Open End</t>
  </si>
  <si>
    <t>Crowfoot Attachment, 3/8" Drive, 1-1/4" Deep Flare Nut</t>
  </si>
  <si>
    <t>Crowfoot Attachment, 3/8" Drive, 1-5/16" Deep Flare Nut</t>
  </si>
  <si>
    <t>Crowfoot Attachment, 3/8" Drive, 1-3/8" Deep Flare Nut</t>
  </si>
  <si>
    <t>Crowfoot Attachment, 3/8" Drive, 1-7/16" Deep Flare Nut</t>
  </si>
  <si>
    <t>Crowfoot Attachment, 3/8" Drive, 1-1/2" Deep Flare Nut</t>
  </si>
  <si>
    <t>Crowfoot Attachment, 3/8" Drive, 1-9/16" Deep Flare Nut</t>
  </si>
  <si>
    <t>Crowfoot Attachment, 3/8" Drive, 1-5/8" Deep Flare Nut</t>
  </si>
  <si>
    <t>Crowfoot Attachment, 3/8" Drive, 1-3/4" Deep Flare Nut</t>
  </si>
  <si>
    <t>Crowfoot Attachment, 3/8" Drive, 1-13/16" Deep Flare Nut</t>
  </si>
  <si>
    <t>Crowfoot Attachment, 3/8" Drive, 1-7/8" Deep Flare Nut</t>
  </si>
  <si>
    <t>Crowfoot Attachment, 3/8" Drive, 1-15/16" Deep Flare Nut</t>
  </si>
  <si>
    <t>Crowfoot Attachment, 3/8" Drive, 2" Deep Flare Nut</t>
  </si>
  <si>
    <t>Crowfoot Attachment, 3/8" Drive, 1-1/16" Deep Flare Nut</t>
  </si>
  <si>
    <t>Wrench, Combination, 10 mm</t>
  </si>
  <si>
    <t>Wrench, Combination, 9 mm</t>
  </si>
  <si>
    <t>Wrench, Combination, 8 mm</t>
  </si>
  <si>
    <t>Wrench, Combination, 36 mm</t>
  </si>
  <si>
    <t>Wrench, Combination, 34 mm</t>
  </si>
  <si>
    <t>Wrench, Combination, 32 mm</t>
  </si>
  <si>
    <t>Wrench, Combination, 30 mm</t>
  </si>
  <si>
    <t>Wrench, Combination, 29 mm</t>
  </si>
  <si>
    <t>Wrench, Combination, 28 mm</t>
  </si>
  <si>
    <t>Wrench, Combination, 27 mm</t>
  </si>
  <si>
    <t>Wrench, Combination, 26 mm</t>
  </si>
  <si>
    <t>Wrench, Combination, 25 mm</t>
  </si>
  <si>
    <t>Wrench, Combination, 24 mm</t>
  </si>
  <si>
    <t>Wrench, Combination, 23 mm</t>
  </si>
  <si>
    <t>Wrench, Combination, 21 mm</t>
  </si>
  <si>
    <t>Wrench, Combination, 20 mm</t>
  </si>
  <si>
    <t>Wrench, Combination, 19 mm</t>
  </si>
  <si>
    <t>Wrench, Combination, 18 mm</t>
  </si>
  <si>
    <t>Wrench, Combination, 17 mm</t>
  </si>
  <si>
    <t>Wrench, Combination, 16 mm</t>
  </si>
  <si>
    <t>Wrench, Combination, 15 mm</t>
  </si>
  <si>
    <t>Wrench, Combination, 14 mm</t>
  </si>
  <si>
    <t>Wrench, Combination, 13 mm</t>
  </si>
  <si>
    <t>Wrench, Combination, 12 mm</t>
  </si>
  <si>
    <t>Wrench, Combination, 11 mm</t>
  </si>
  <si>
    <t>Wrench, Combination, 1- 5/8"</t>
  </si>
  <si>
    <t>Wrench, Combination, 1-9/16"</t>
  </si>
  <si>
    <t>Wrench, Combination, Midget, 5/8"</t>
  </si>
  <si>
    <t>Wrench, Combination, Midget, 11/16"</t>
  </si>
  <si>
    <t>Wrench, Combination, Midget, 10 mm</t>
  </si>
  <si>
    <t>Wrench, Combination, Midget, 11 mm</t>
  </si>
  <si>
    <t>Wrench, Combination, Midget, 12 mm</t>
  </si>
  <si>
    <t>Wrench, Combination, Midget, 13 mm</t>
  </si>
  <si>
    <t>Wrench, Combination, Midget, 14 mm</t>
  </si>
  <si>
    <t>Wrench, Combination, Midget, 15 mm</t>
  </si>
  <si>
    <t>Wrench, Combination, Midget, 16 mm</t>
  </si>
  <si>
    <t>Wrench, Combination, Midget, 17 mm</t>
  </si>
  <si>
    <t>Wrench, Combination, Midget, 18 mm</t>
  </si>
  <si>
    <t>Wrench, Combination, Midget, 19 mm</t>
  </si>
  <si>
    <t>Socket, 1/2" Drive, Deep, 20 mm</t>
  </si>
  <si>
    <t>Socket, 1/2" Drive, Deep, 21 mm</t>
  </si>
  <si>
    <t>Socket, 1/2" Drive, Deep, 22 mm</t>
  </si>
  <si>
    <t>Socket, 1/2" Drive, Deep, 23 mm</t>
  </si>
  <si>
    <t>Socket, 1/2" Drive, Deep, 24 mm</t>
  </si>
  <si>
    <t>Socket, 1/2" Drive, Deep, 25 mm</t>
  </si>
  <si>
    <t>Socket, 1/2" Drive, Deep, 26 mm</t>
  </si>
  <si>
    <t>Socket, 1/2" Drive, Deep, 27 mm</t>
  </si>
  <si>
    <t>Socket, 1/2" Drive, Deep, 28 mm</t>
  </si>
  <si>
    <t>Socket, 1/2" Drive, Deep, 29 mm</t>
  </si>
  <si>
    <t>Socket, 1/2" Drive, Deep, 30 mm</t>
  </si>
  <si>
    <t>Socket, 1/2" Drive, Deep, 31 mm</t>
  </si>
  <si>
    <t>Socket, 1/2" Drive, Deep, 32 mm</t>
  </si>
  <si>
    <t>Socket, 1/2" Drive, 1-1/2"</t>
  </si>
  <si>
    <t>Socket, 1/2" Drive, 20 mm</t>
  </si>
  <si>
    <t>Socket, 1/2" Drive, 21 mm</t>
  </si>
  <si>
    <t>Socket, 1/2" Drive, 22 mm</t>
  </si>
  <si>
    <t>Socket, 1/2" Drive, 23 mm</t>
  </si>
  <si>
    <t>Socket, 1/2" Drive, 24 mm</t>
  </si>
  <si>
    <t>Socket, 1/2" Drive, 25 mm</t>
  </si>
  <si>
    <t>Socket, 1/2" Drive, 26 mm</t>
  </si>
  <si>
    <t>Socket, 1/2" Drive, 27 mm</t>
  </si>
  <si>
    <t>Socket, 1/2" Drive, 28 mm</t>
  </si>
  <si>
    <t>Socket, 1/2" Drive, 29 mm</t>
  </si>
  <si>
    <t>Socket, 1/2" Drive, 30 mm</t>
  </si>
  <si>
    <t>Socket, 1/2" Drive, 31 mm</t>
  </si>
  <si>
    <t>Socket, 1/4" Drive, 10 mm</t>
  </si>
  <si>
    <t>Socket, 1/4" Drive, 11 mm</t>
  </si>
  <si>
    <t>Socket, 1/4" Drive, 12 mm</t>
  </si>
  <si>
    <t>Socket, 1/4" Drive, 13 mm</t>
  </si>
  <si>
    <t>Socket, 1/4" Drive, 14 mm</t>
  </si>
  <si>
    <t>Socket, 1/4" Drive, 5 mm</t>
  </si>
  <si>
    <t>Socket, 1/4" Drive, 5.5 mm</t>
  </si>
  <si>
    <t>Socket, 1/4" Drive, 6 mm</t>
  </si>
  <si>
    <t>Socket, 1/4" Drive, 7 mm</t>
  </si>
  <si>
    <t>Socket, 1/4" Drive, 8 mm</t>
  </si>
  <si>
    <t>Socket, 1/4" Drive, 9 mm</t>
  </si>
  <si>
    <t>Socket, 1/4" Drive, Deep, 10 mm</t>
  </si>
  <si>
    <t>Socket, 1/4" Drive, Deep, 11 mm</t>
  </si>
  <si>
    <t>Socket, 1/4" Drive, Deep, 12 mm</t>
  </si>
  <si>
    <t>Socket, 1/4" Drive, Deep, 13 mm</t>
  </si>
  <si>
    <t>Socket, 1/4" Drive, Deep, 14 mm</t>
  </si>
  <si>
    <t>Socket, 1/4" Drive, Deep, 5 mm</t>
  </si>
  <si>
    <t>Socket, 1/4" Drive, Deep, 5.5 mm</t>
  </si>
  <si>
    <t>Socket, 1/4" Drive, Deep, 6 mm</t>
  </si>
  <si>
    <t>Socket, 1/4" Drive, Deep, 7 mm</t>
  </si>
  <si>
    <t>Socket, 1/4" Drive, Deep, 8 mm</t>
  </si>
  <si>
    <t>Socket, 1/4" Drive, Deep, 9 mm</t>
  </si>
  <si>
    <t>Wrench, Open End, 4-Way Angle Head, 1-1/16"</t>
  </si>
  <si>
    <t>Wrench, Open End, 4-Way Angle Head, 1-5/16"</t>
  </si>
  <si>
    <t>Wrench, Open End, 4-Way Angle Head, 1-3/8"</t>
  </si>
  <si>
    <t>Wrench, Open End, 4-Way Angle Head, 1-7/16"</t>
  </si>
  <si>
    <t>Wrench, Open End, 4-Way Angle Head, 1-5/8"</t>
  </si>
  <si>
    <t>Wrench, Open End, 4-Way Angle Head, 1-11/16"</t>
  </si>
  <si>
    <t>Wrench, Open End, 4-Way Angle Head, 1-3/4"</t>
  </si>
  <si>
    <t>Wrench, Open End, 4-Way Angle Head, 1-13/16"</t>
  </si>
  <si>
    <t>Wrench, Open End, 4-Way Angle Head, 1-7/8"</t>
  </si>
  <si>
    <t>Wrench, Open End, 4-Way Angle Head, 10 mm</t>
  </si>
  <si>
    <t>Wrench, Open End, 4-Way Angle Head, 11 mm</t>
  </si>
  <si>
    <t>Wrench, Open End, 4-Way Angle Head, 12 mm</t>
  </si>
  <si>
    <t>Wrench, Open End, 4-Way Angle Head, 13 mm</t>
  </si>
  <si>
    <t>Wrench, Open End, 4-Way Angle Head, 14 mm</t>
  </si>
  <si>
    <t>Wrench, Open End, 4-Way Angle Head, 15 mm</t>
  </si>
  <si>
    <t>Wrench, Open End, 4-Way Angle Head, 16 mm</t>
  </si>
  <si>
    <t>Wrench, Open End, 4-Way Angle Head, 17 mm</t>
  </si>
  <si>
    <t>Wrench, Open End, 4-Way Angle Head, 18 mm</t>
  </si>
  <si>
    <t>Wrench, Open End, 4-Way Angle Head, 19 mm</t>
  </si>
  <si>
    <t>Wrench, Open End, 4-Way Angle Head, 21 mm</t>
  </si>
  <si>
    <t>Wrench, Open End, 4-Way Angle Head, 22 mm</t>
  </si>
  <si>
    <t>Wrench, Open End, 4-Way Angle Head, 24 mm</t>
  </si>
  <si>
    <t>Wrench, Open End, 4-Way Angle Head, 27 mm</t>
  </si>
  <si>
    <t>Wrench, Box, Angle Head, 1/2" x 9/16", Spline #16 x #18</t>
  </si>
  <si>
    <t>Wrench, Box, Angle Head, 7/8" x 1", Spline #28 x #32</t>
  </si>
  <si>
    <t>Crowfoot Attachment, 1/4" Drive, 1/4" Flare Nut</t>
  </si>
  <si>
    <t>Socket, 1/4" Drive, Deep, 9/16"</t>
  </si>
  <si>
    <t>Crowfoot Attachment, 1/2" Drive, 1-1/16" Open End</t>
  </si>
  <si>
    <t>Crowfoot Attachment, 1/2" Drive, 1-1/8" Open End</t>
  </si>
  <si>
    <t>Crowfoot Attachment, 1/2" Drive, 1-3/16" Open End</t>
  </si>
  <si>
    <t>Crowfoot Attachment, 1/2" Drive, 1-1/4" Open End</t>
  </si>
  <si>
    <t>Crowfoot Attachment, 1/2" Drive, 1-3/8" Open End</t>
  </si>
  <si>
    <t>Crowfoot Attachment, 1/2" Drive, 1-7/16" Open End</t>
  </si>
  <si>
    <t>Crowfoot Attachment, 1/2" Drive, 1-9/16" Open End</t>
  </si>
  <si>
    <t>Crowfoot Attachment, 1/2" Drive, 1-11/16" Open End</t>
  </si>
  <si>
    <t>Crowfoot Attachment, 1/2" Drive, 1-3/4" Open End</t>
  </si>
  <si>
    <t>Wrench, Ratchet, Box, 25° Offset, 5/16" x 11/32"</t>
  </si>
  <si>
    <t>Wrench, Ratchet, Box, 25° Offset, 3/8"-7/16"</t>
  </si>
  <si>
    <t>Wrench, Ratchet, Box, 25° Offset, 1/2"-9/16"</t>
  </si>
  <si>
    <t>Wrench, Ratchet, Box, 25° Offset, 5/8"-11/16"</t>
  </si>
  <si>
    <t>Wrench, Ratchet, Box, 25° Offset, 3/4"-7/8"</t>
  </si>
  <si>
    <t>Crowfoot Attachment, 1/4" Drive, 1/4" Open End</t>
  </si>
  <si>
    <t>Extension, 1/2" Drive, 3"</t>
  </si>
  <si>
    <t>Extension, 1/2" Drive, 3.5"</t>
  </si>
  <si>
    <t>Extension, 1/2" Drive, 8"</t>
  </si>
  <si>
    <t>Socket, 1/2" Drive, Deep, 1-5/16"</t>
  </si>
  <si>
    <t>Socket, 1/2" Drive, Deep, 1-7/16"</t>
  </si>
  <si>
    <t>Socket Wrench Attachment, 1/2" Drive, Hex, 5/16"</t>
  </si>
  <si>
    <t>Socket Wrench Attachment, 1/2" Drive, Hex, 3/4"</t>
  </si>
  <si>
    <t>Punch, Drive Pin, 3/32" x 5-1/2"</t>
  </si>
  <si>
    <t>Punch, Drive Pin, 1/8" x 5-3/4"</t>
  </si>
  <si>
    <t>Punch, Drive Pin, 5/32" x 6"</t>
  </si>
  <si>
    <t>Punch, Drive Pin, 3/16" x 6-1/4"</t>
  </si>
  <si>
    <t>Punch, Drive Pin, 1/4" x 6-3/4"</t>
  </si>
  <si>
    <t>Chisel, Flat, Hand, 3/8" x 5-1/2"</t>
  </si>
  <si>
    <t>Chisel, Flat, Hand, 1/2" x 6"</t>
  </si>
  <si>
    <t>Chisel, Flat, Hand, 5/8" x 6-1/2"</t>
  </si>
  <si>
    <t>Pliers, Multiple Tongue and Groove, Pipe, 14"</t>
  </si>
  <si>
    <t>Pliers, Multiple Tongue and Groove, Pipe, 8"</t>
  </si>
  <si>
    <t>Set, Extractor, Multi-Spline (25 pcs plus case)</t>
  </si>
  <si>
    <t>Screwdriver, Flat Tip, 1/4" x 14"</t>
  </si>
  <si>
    <t>Socket Wrench Attachment, 1/4" Drive, Flat Tip,  3/16"</t>
  </si>
  <si>
    <t>Tool Control G Box</t>
  </si>
  <si>
    <t>Tool Set, Oxygen Use Only</t>
  </si>
  <si>
    <t>Toolbox Name: Tool Set, Oxygen Use Only</t>
  </si>
  <si>
    <t>WAV3580000216</t>
  </si>
  <si>
    <t>WAV3580004</t>
  </si>
  <si>
    <t>PCD1495NF</t>
  </si>
  <si>
    <t>184CCP</t>
  </si>
  <si>
    <t>T-90108</t>
  </si>
  <si>
    <t>SGSR104AR</t>
  </si>
  <si>
    <t>GBM35826-6-3/11</t>
  </si>
  <si>
    <t>Toolbox Name: Tool Set, Electrical Maintenance (C)</t>
  </si>
  <si>
    <t>Toolbox Name: Tool Set, Electrical Troubleshooter (C)</t>
  </si>
  <si>
    <t>LSTRS050A1</t>
  </si>
  <si>
    <t>LSTRS100A1</t>
  </si>
  <si>
    <t>T30155A</t>
  </si>
  <si>
    <t>T30175A</t>
  </si>
  <si>
    <t>T30195A</t>
  </si>
  <si>
    <t>FTXR50E</t>
  </si>
  <si>
    <t>44ACF</t>
  </si>
  <si>
    <t>86ACF</t>
  </si>
  <si>
    <t>85ACF</t>
  </si>
  <si>
    <t>911ACF</t>
  </si>
  <si>
    <t>HSPI6KT1</t>
  </si>
  <si>
    <t>HSPI6KT2</t>
  </si>
  <si>
    <t>HSPI6KT3</t>
  </si>
  <si>
    <t>HSPI6KT6</t>
  </si>
  <si>
    <t>TES12B</t>
  </si>
  <si>
    <t>Handle, Socket Wrench, 1/4" Drive, Female Drive in Handle</t>
  </si>
  <si>
    <t>Socket, 1/4" Drive, 11/32", 6 Point</t>
  </si>
  <si>
    <t>Socket Wrench Attachment, 1/4" Drive, Hex, 1/16", Long</t>
  </si>
  <si>
    <t>JBT26</t>
  </si>
  <si>
    <t>JBT27</t>
  </si>
  <si>
    <t>JBT28</t>
  </si>
  <si>
    <t>JBT29</t>
  </si>
  <si>
    <t>JBT30</t>
  </si>
  <si>
    <t>JBT31</t>
  </si>
  <si>
    <t>JBT32</t>
  </si>
  <si>
    <t>JBT33</t>
  </si>
  <si>
    <t>JBT34</t>
  </si>
  <si>
    <t>JHT53</t>
  </si>
  <si>
    <t>JHT58</t>
  </si>
  <si>
    <t>JHT59</t>
  </si>
  <si>
    <t>JHT60</t>
  </si>
  <si>
    <t>JHT74</t>
  </si>
  <si>
    <t>JHT75</t>
  </si>
  <si>
    <t>JHT76</t>
  </si>
  <si>
    <t>JHT77</t>
  </si>
  <si>
    <t>JHT68</t>
  </si>
  <si>
    <t>JHT69</t>
  </si>
  <si>
    <t>JHT70</t>
  </si>
  <si>
    <t>JHT71</t>
  </si>
  <si>
    <t>JHT72</t>
  </si>
  <si>
    <t>JHT73</t>
  </si>
  <si>
    <t>JHT57</t>
  </si>
  <si>
    <t>JHT54</t>
  </si>
  <si>
    <t>JHT55</t>
  </si>
  <si>
    <t>JHT65</t>
  </si>
  <si>
    <t>JHT66</t>
  </si>
  <si>
    <t>JHT56</t>
  </si>
  <si>
    <t>JHT67</t>
  </si>
  <si>
    <t>JHT61</t>
  </si>
  <si>
    <t>JHT62</t>
  </si>
  <si>
    <t>JHT63</t>
  </si>
  <si>
    <t>JHT29</t>
  </si>
  <si>
    <t>JHT33</t>
  </si>
  <si>
    <t>JHT64</t>
  </si>
  <si>
    <t>2SJL01081-0002</t>
  </si>
  <si>
    <t>2SJL01116-0002</t>
  </si>
  <si>
    <t>2SJL01117-0001</t>
  </si>
  <si>
    <t>2SJL01118-0002</t>
  </si>
  <si>
    <t>2SJL01119-0002</t>
  </si>
  <si>
    <t>2SJL01121-0002</t>
  </si>
  <si>
    <t>2SJL01123-0002</t>
  </si>
  <si>
    <t>2SJL01125-0002</t>
  </si>
  <si>
    <t>2SJL01083-0002</t>
  </si>
  <si>
    <t>2SJL01084-0002</t>
  </si>
  <si>
    <t>2SJL01086-0002</t>
  </si>
  <si>
    <t>2SJL01087-0002</t>
  </si>
  <si>
    <t>2SJL01088-0002</t>
  </si>
  <si>
    <t>2SJL01091-0002</t>
  </si>
  <si>
    <t>2SJL01095-0002</t>
  </si>
  <si>
    <t>2SJL01100-0002</t>
  </si>
  <si>
    <t>2SJL01106-0002</t>
  </si>
  <si>
    <t>2SJL01109-0002</t>
  </si>
  <si>
    <t>2SJL01110-0002</t>
  </si>
  <si>
    <t>2SJL01112-0002</t>
  </si>
  <si>
    <t>2SJL01113-0002</t>
  </si>
  <si>
    <t>2SJL01114-0002</t>
  </si>
  <si>
    <t>2SJL01120-0002</t>
  </si>
  <si>
    <t>2SJL01122-0002</t>
  </si>
  <si>
    <t>2SJL01124-0002</t>
  </si>
  <si>
    <t>2SJL01078-0002</t>
  </si>
  <si>
    <t>2SJL01079-0002</t>
  </si>
  <si>
    <t>2SJL01080-0002</t>
  </si>
  <si>
    <t>2SJL01082-0002</t>
  </si>
  <si>
    <t>2SJL01085-0002</t>
  </si>
  <si>
    <t>2SJL01090-0002</t>
  </si>
  <si>
    <t>2SJL01092-0002</t>
  </si>
  <si>
    <t>2SJL01096-0002</t>
  </si>
  <si>
    <t>2SJL01097-0002</t>
  </si>
  <si>
    <t>2SJL01098-0002</t>
  </si>
  <si>
    <t>2SJL01101-0002</t>
  </si>
  <si>
    <t>2SJL01104-0002</t>
  </si>
  <si>
    <t>2SJL01105-0002</t>
  </si>
  <si>
    <t>2SJL01107-0002</t>
  </si>
  <si>
    <t>2SJL01111-0002</t>
  </si>
  <si>
    <t>2SJL01115-0002</t>
  </si>
  <si>
    <t>JSF P/N</t>
  </si>
  <si>
    <t>J293WRXL</t>
  </si>
  <si>
    <t>J286LNXL</t>
  </si>
  <si>
    <t>Wrench, Pliers, Locking, Curved with cutter, 5.5"</t>
  </si>
  <si>
    <t>Wrench, Pliers, Locking, Long Nose, 7"</t>
  </si>
  <si>
    <t>ATI560MF12</t>
  </si>
  <si>
    <t>PJB930458101</t>
  </si>
  <si>
    <t>Socket Wrench Attachment, 3/8" Drive, Tamper Resistant, Torx, #40</t>
  </si>
  <si>
    <t>Socket Wrench Attachment, 1/4" Drive, Tamper Resistant, Torx, #15</t>
  </si>
  <si>
    <t>Socket, 3/8” Drive, 1”</t>
  </si>
  <si>
    <t>Adapter, Torque Wrench, 3/8" Drive, 1/2"</t>
  </si>
  <si>
    <t>Wrench, Combination, 7/8"</t>
  </si>
  <si>
    <t xml:space="preserve">Set, Bearing Race and Seal Driver </t>
  </si>
  <si>
    <t xml:space="preserve">Set, Puller, Master Interchangeable (without cabinet) </t>
  </si>
  <si>
    <t xml:space="preserve">Socket, Locknut, 2 1/4"  for front axle </t>
  </si>
  <si>
    <t>CJ2000A</t>
  </si>
  <si>
    <t>Socket Wrench Attachment, 3/8" Drive, Torx, #30</t>
  </si>
  <si>
    <t>FTX30TPE</t>
  </si>
  <si>
    <t>ATI444S1</t>
  </si>
  <si>
    <t>Scraper, Large</t>
  </si>
  <si>
    <t>PKNG90</t>
  </si>
  <si>
    <t>Wrench, Combination, 1/4"</t>
  </si>
  <si>
    <t>Adapter, Torque Wrench, 3/8" Drive, 5/8"</t>
  </si>
  <si>
    <t>FRDH201</t>
  </si>
  <si>
    <t>Adapter, Torque Wrench, 3/8" Drive, 11/16"</t>
  </si>
  <si>
    <t>Adapter, Torque Wrench, 3/8" Drive, 3/4"</t>
  </si>
  <si>
    <t>Adapter, Torque Wrench, 3/8" Drive, 15/16"</t>
  </si>
  <si>
    <t>FRDH301</t>
  </si>
  <si>
    <t>Rule, Steel, Machinist's, Semi-Flexible, 12"</t>
  </si>
  <si>
    <t>LST52679</t>
  </si>
  <si>
    <t>SGDMRC1-10</t>
  </si>
  <si>
    <t>Shank/Bit Holder, Magnetic, 3-1/4"</t>
  </si>
  <si>
    <t>STL68200</t>
  </si>
  <si>
    <t>GBM35826-4-3/11</t>
  </si>
  <si>
    <t xml:space="preserve">S8695C </t>
  </si>
  <si>
    <t>ZEPTS1701</t>
  </si>
  <si>
    <t>Bit, Screwdriver, 1/4" Hex Shank, Power Torque Set</t>
  </si>
  <si>
    <t>Socket Wrench Attachment, 1/4" Drive, Torx, #15</t>
  </si>
  <si>
    <t>Socket Wrench Attachment, 1/4" Drive, Torx, #20</t>
  </si>
  <si>
    <t>Socket Wrench Attachment, 1/4" Drive, Torx, #30</t>
  </si>
  <si>
    <t>Needle, Carpet, Round Point, 4"</t>
  </si>
  <si>
    <t>Drill, Pneumatic, 3/8" Capacity, Reversible (2 PCS)</t>
  </si>
  <si>
    <t>Drill, Pneumatic, 1/2" Capacity, Reversible (3 PCS)</t>
  </si>
  <si>
    <t>Drill, Pneumatic, 1/2" Capacity, Reversible, 0-300 in-lb (3 PCS)</t>
  </si>
  <si>
    <t>SEID: JBT16</t>
  </si>
  <si>
    <t>SEID: JBT19</t>
  </si>
  <si>
    <t>SEID: JBT26</t>
  </si>
  <si>
    <t>SEID: JBT20</t>
  </si>
  <si>
    <t>SEID: JBT21</t>
  </si>
  <si>
    <t>SEID: JBT22</t>
  </si>
  <si>
    <t>SEID: JBT23</t>
  </si>
  <si>
    <t>SEID: JBT24</t>
  </si>
  <si>
    <t>SEID: JBT25</t>
  </si>
  <si>
    <t>SEID: JHT15</t>
  </si>
  <si>
    <t>SEID: JHT58</t>
  </si>
  <si>
    <t>SEID: JHT59</t>
  </si>
  <si>
    <t>SEID: JHT16</t>
  </si>
  <si>
    <t>SEID: JHT17</t>
  </si>
  <si>
    <t>Snap-On (Silver Roll)</t>
  </si>
  <si>
    <t>Snap-On (Skinny Roll)</t>
  </si>
  <si>
    <t>SEID: JHT18</t>
  </si>
  <si>
    <t>SEID: JHT19</t>
  </si>
  <si>
    <t>SEID: JHT20</t>
  </si>
  <si>
    <t>SEID: JHT21</t>
  </si>
  <si>
    <t>SEID: JHT22</t>
  </si>
  <si>
    <t>SEID: JHT23</t>
  </si>
  <si>
    <t>SEID: JHT24</t>
  </si>
  <si>
    <t>Toolbox Name: Tool Set, OML Pouch (A)</t>
  </si>
  <si>
    <t>SEID: JHT25</t>
  </si>
  <si>
    <t>SEID: JHT53</t>
  </si>
  <si>
    <t>SEID: JBT27</t>
  </si>
  <si>
    <t>SEID: JHT60</t>
  </si>
  <si>
    <t>SEID: JHT27</t>
  </si>
  <si>
    <t>SEID: JHT28</t>
  </si>
  <si>
    <t>SEID: JHT29</t>
  </si>
  <si>
    <t>SEID: JHT61</t>
  </si>
  <si>
    <t>Toolbox Name: Tool Set, Avionics Maint Pouch (B)</t>
  </si>
  <si>
    <t>SEID: JHT62</t>
  </si>
  <si>
    <t>SEID: JHT63</t>
  </si>
  <si>
    <t>SEID: JHT30</t>
  </si>
  <si>
    <t>SEID: JHT33</t>
  </si>
  <si>
    <t>SEID: JHT64</t>
  </si>
  <si>
    <t>SEID: JHT77</t>
  </si>
  <si>
    <t>SEID: JHT76</t>
  </si>
  <si>
    <t>SEID: JHT75</t>
  </si>
  <si>
    <t>SEID: JHT74</t>
  </si>
  <si>
    <t>SEID: JBT33</t>
  </si>
  <si>
    <t>SEID: JHT73</t>
  </si>
  <si>
    <t>SEID: JHT72</t>
  </si>
  <si>
    <t>SEID: JHT71</t>
  </si>
  <si>
    <t>SEID: JHT70</t>
  </si>
  <si>
    <t>SEID: JHT69</t>
  </si>
  <si>
    <t>SEID: JHT68</t>
  </si>
  <si>
    <t>SEID: JBT32</t>
  </si>
  <si>
    <t>SEID: JHT52</t>
  </si>
  <si>
    <t>SEID: JHT50</t>
  </si>
  <si>
    <t>SEID: JHT49</t>
  </si>
  <si>
    <t>SEID: JHT57</t>
  </si>
  <si>
    <t>SEID: JHT48</t>
  </si>
  <si>
    <t>SEID: JHT47</t>
  </si>
  <si>
    <t>SEID: JHT45</t>
  </si>
  <si>
    <t>SEID: JHT44</t>
  </si>
  <si>
    <t>SEID: JHT43</t>
  </si>
  <si>
    <t>SEID: JHT66</t>
  </si>
  <si>
    <t>SEID: JHT41</t>
  </si>
  <si>
    <t>SEID: JHT40</t>
  </si>
  <si>
    <t>SEID: JHT55</t>
  </si>
  <si>
    <t>SEID: JHT39</t>
  </si>
  <si>
    <t>SEID: JHT54</t>
  </si>
  <si>
    <t>SEID: JHT38</t>
  </si>
  <si>
    <t>SEID: JHT37</t>
  </si>
  <si>
    <t>SEID: JHT35</t>
  </si>
  <si>
    <t>SEID: JBT30</t>
  </si>
  <si>
    <t>SEID: JBT29</t>
  </si>
  <si>
    <t>SEID: JBT28</t>
  </si>
  <si>
    <t>SEID: JHT34</t>
  </si>
  <si>
    <t>EADMA200</t>
  </si>
  <si>
    <t>Toolbox Name: Tool Set, Airframe/Hydraulic (B/C)</t>
  </si>
  <si>
    <t>Tool Set, Airframe/Hydraulic (B/C)</t>
  </si>
  <si>
    <t>TTXL20E2</t>
  </si>
  <si>
    <t>Gun, Dispensing, 200mL</t>
  </si>
  <si>
    <t>Bit, Screwdriver, 1/4" Hex Shank, Long, Torx, #20</t>
  </si>
  <si>
    <t>LES322B</t>
  </si>
  <si>
    <t>SG3ASACR</t>
  </si>
  <si>
    <t>Wrench, Spanner, Adjustable, 3/4" to 4" Capacity</t>
  </si>
  <si>
    <t>AHS304B</t>
  </si>
  <si>
    <t>Toolbox Name: Tool Set, Master Puller Kit (A/B)</t>
  </si>
  <si>
    <t>SEID: JBT35</t>
  </si>
  <si>
    <t>JBT35</t>
  </si>
  <si>
    <t>Tool Set, Master Puller Kit (A/B)</t>
  </si>
  <si>
    <t>KRL1032FPBO</t>
  </si>
  <si>
    <t xml:space="preserve">MOI6194-LLR </t>
  </si>
  <si>
    <t>Scissors, Industrial Fabric, 10-5/8"</t>
  </si>
  <si>
    <t>FRDHM8</t>
  </si>
  <si>
    <t>Adapter, Torque Wrench, 3/8" Drive, 1"</t>
  </si>
  <si>
    <t>Socket Wrench Attachment, 3/8" Drive, Tamper Resistant, Torx, #50</t>
  </si>
  <si>
    <t>A1310SB</t>
  </si>
  <si>
    <t>SEID: JBT18</t>
  </si>
  <si>
    <t>CER99PS40N</t>
  </si>
  <si>
    <t>SEID: JBT34</t>
  </si>
  <si>
    <t>SEID: JHT65</t>
  </si>
  <si>
    <t>Tool Set, Oxygen Use Only (A)</t>
  </si>
  <si>
    <t>Tool Set, Oxygen Use Only (B/C)</t>
  </si>
  <si>
    <t>Adapter, Torque Head, Box Head, 2-1/8", 480 ft-lb max</t>
  </si>
  <si>
    <t>QZX68A</t>
  </si>
  <si>
    <t>Adapter, Torque Head, Box Head, 2", 480 ft-lb max</t>
  </si>
  <si>
    <t>QZX64A</t>
  </si>
  <si>
    <t>Adapter, Torque Head, Box Head, 13/16", 275 ft-lb max</t>
  </si>
  <si>
    <t>QZX26ADP</t>
  </si>
  <si>
    <t>SWO706</t>
  </si>
  <si>
    <t>61cf</t>
  </si>
  <si>
    <t>Adapter, Torque Head, Box Head, 2-1/4", 480 ft-lb max</t>
  </si>
  <si>
    <t>QZX72A</t>
  </si>
  <si>
    <t>Bit, Screwdriver, 5/16" Hex Shank, Torx, #50</t>
  </si>
  <si>
    <t>Bit, Screwdriver, 5/16" Hex Shank, Torx, #55</t>
  </si>
  <si>
    <t>Gauge, Depth, Knurl</t>
  </si>
  <si>
    <t>KNURLGA64P</t>
  </si>
  <si>
    <t>TMCOM7</t>
  </si>
  <si>
    <t>TMA2LE</t>
  </si>
  <si>
    <t>312CF</t>
  </si>
  <si>
    <t>JBT36</t>
  </si>
  <si>
    <t>Knife, Putty, Flexible Blade, 1-1/2"</t>
  </si>
  <si>
    <t>Bit, Screwdriver, 1/4" Hex Shank, Flat Tip, 3.1 mm</t>
  </si>
  <si>
    <t>Crowfoot Attachment, 1/2" Drive, 32 mm Open End</t>
  </si>
  <si>
    <t>Socket Wrench Attachment, 1/2" Drive, Hex, 10 mm</t>
  </si>
  <si>
    <t>Socket Wrench Attachment, 1/2" Drive, Hex, 12 mm</t>
  </si>
  <si>
    <t>Socket Wrench Attachment, 1/2" Drive, Hex, 14 mm</t>
  </si>
  <si>
    <t>Socket Wrench Attachment, 1/2" Drive, Hex, 17 mm</t>
  </si>
  <si>
    <t>Socket Wrench Attachment, 1/2" Drive, Hex, 19 mm</t>
  </si>
  <si>
    <t>Socket Wrench Attachment, 3/8" Drive, Hex, 10 mm</t>
  </si>
  <si>
    <t>Socket Wrench Attachment, 3/8" Drive, Hex, 2.5 mm</t>
  </si>
  <si>
    <t>Socket Wrench Attachment, 3/8" Drive, Hex, 2 mm</t>
  </si>
  <si>
    <t>Socket Wrench Attachment, 3/8" Drive, Hex, 3 mm</t>
  </si>
  <si>
    <t>Socket Wrench Attachment, 3/8" Drive, Hex, 4 mm</t>
  </si>
  <si>
    <t>Socket Wrench Attachment, 3/8" Drive, Hex, 5 mm</t>
  </si>
  <si>
    <t>Socket Wrench Attachment, 3/8" Drive, Hex, 6 mm</t>
  </si>
  <si>
    <t>Socket Wrench Attachment, 3/8" Drive, Hex, 7 mm</t>
  </si>
  <si>
    <t>Socket Wrench Attachment, 3/8" Drive, Hex, 8 mm</t>
  </si>
  <si>
    <t>Socket Wrench Attachment, 3/8" Drive, Hex, 9 mm</t>
  </si>
  <si>
    <t>Socket, 1/2" Drive, 32 mm</t>
  </si>
  <si>
    <t xml:space="preserve">Socket, 1/2" Drive, 32 mm,  6 point </t>
  </si>
  <si>
    <t>Socket, 1/4" Drive, 9 mm, 6 point</t>
  </si>
  <si>
    <t>Socket, 3/8" Drive, 11 mm</t>
  </si>
  <si>
    <t>Socket, 3/8" Drive, 12 mm</t>
  </si>
  <si>
    <t>Socket, 3/8" Drive, 13 mm</t>
  </si>
  <si>
    <t>Socket, 3/8" Drive, 15 mm</t>
  </si>
  <si>
    <t>Socket, 3/8" Drive, 16 mm</t>
  </si>
  <si>
    <t>Socket, 3/8" Drive, 17 mm</t>
  </si>
  <si>
    <t>Socket, 3/8" Drive, 18 mm</t>
  </si>
  <si>
    <t>Socket, 3/8" Drive, 19 mm</t>
  </si>
  <si>
    <t>Socket, 3/8" Drive, 7 mm</t>
  </si>
  <si>
    <t>Socket, 3/8" Drive, 8 mm</t>
  </si>
  <si>
    <t>Socket, 3/8" Drive, 9 mm</t>
  </si>
  <si>
    <t>Socket, 3/8" Drive, Deep, 10 mm</t>
  </si>
  <si>
    <t>Socket, 3/8" Drive, Deep, 11 mm</t>
  </si>
  <si>
    <t>Socket, 3/8" Drive, Deep, 12 mm</t>
  </si>
  <si>
    <t>Socket, 3/8" Drive, Deep, 13 mm</t>
  </si>
  <si>
    <t>Socket, 3/8" Drive, Deep, 14 mm</t>
  </si>
  <si>
    <t>Socket, 3/8" Drive, Deep, 15 mm</t>
  </si>
  <si>
    <t>Socket, 3/8" Drive, Deep, 16 mm</t>
  </si>
  <si>
    <t>Socket, 3/8" Drive, Deep, 17 mm</t>
  </si>
  <si>
    <t>Socket, 3/8" Drive, Deep, 18 mm</t>
  </si>
  <si>
    <t>Socket, 3/8" Drive, Deep, 19 mm</t>
  </si>
  <si>
    <t>Socket, 3/8" Drive, Deep, 7 mm</t>
  </si>
  <si>
    <t>Socket, 3/8" Drive, Deep, 8 mm</t>
  </si>
  <si>
    <t>Socket, 3/8" Drive, Deep, 9 mm</t>
  </si>
  <si>
    <t>Wrench, Combination, 22 mm</t>
  </si>
  <si>
    <t>Wrench, Combination, Long, 10 mm</t>
  </si>
  <si>
    <t>Wrench, Combination, Long, 11 mm</t>
  </si>
  <si>
    <t>Wrench, Combination, Long, 12 mm</t>
  </si>
  <si>
    <t>Wrench, Combination, Long, 13 mm</t>
  </si>
  <si>
    <t>Wrench, Combination, Long, 14 mm</t>
  </si>
  <si>
    <t>Wrench, Combination, Long, 15 mm</t>
  </si>
  <si>
    <t>Wrench, Combination, Long, 16 mm</t>
  </si>
  <si>
    <t>Wrench, Combination, Long, 17 mm</t>
  </si>
  <si>
    <t>Wrench, Combination, Long, 18 mm</t>
  </si>
  <si>
    <t>Wrench, Combination, Long, 19 mm</t>
  </si>
  <si>
    <t>Adapter, Torque Wrench, 3/8" Drive, 8 mm</t>
  </si>
  <si>
    <t>Socket Wrench Attachment, 1/4" Drive, Hex, 2.5 mm</t>
  </si>
  <si>
    <t>Wrench, Ratchet, Box, T-Handle, 1/4"</t>
  </si>
  <si>
    <t>Wrench, Ratchet, Box, T-Handle, 3/8"</t>
  </si>
  <si>
    <t>Wrench, Ratchet, Box, T-Handle, 5/16"</t>
  </si>
  <si>
    <t>Wrench, Ratchet, Box, T-Handle, 7/16"</t>
  </si>
  <si>
    <t>Wrench, Ratchet, Box, 1/2" x 9/16"</t>
  </si>
  <si>
    <t>Wrench, Ratchet, Box, 1/4" x 5/16"</t>
  </si>
  <si>
    <t>Wrench, Ratchet, Box, 3/8" x 7/16"</t>
  </si>
  <si>
    <t>Wrench, Ratchet, Box, 5/16" x 3/8"</t>
  </si>
  <si>
    <t>Tool Set, Electrical Maintenance ©</t>
  </si>
  <si>
    <t>Tool Set, Seat Survival</t>
  </si>
  <si>
    <t>JHT79</t>
  </si>
  <si>
    <t>Tool Set, Control Surfaces</t>
  </si>
  <si>
    <t>Toolbox Name: Tool Set, Seat Survival</t>
  </si>
  <si>
    <t>SEID: JBT36</t>
  </si>
  <si>
    <t>Crowfoot Attachment, 1/4" Drive, 3/16" Flare Nut</t>
  </si>
  <si>
    <t>TMRX6NP</t>
  </si>
  <si>
    <t>Adapter, Torque Head, Crowfoot, 24mm Open End</t>
  </si>
  <si>
    <t>PME819952</t>
  </si>
  <si>
    <t>Crowfoot Attachment, 1/4" Drive, 7mm, Open End</t>
  </si>
  <si>
    <t>Socket Wrench Attachment, 1/4" Drive, Hex, 5/16"</t>
  </si>
  <si>
    <t>Socket, 1/4" Drive, 5/32"</t>
  </si>
  <si>
    <t>TMD05</t>
  </si>
  <si>
    <t>Wrench, Combination, Midget, 5/32"</t>
  </si>
  <si>
    <t>OXI5B</t>
  </si>
  <si>
    <t>Toolbox Name: Tool Set, Control Surfaces</t>
  </si>
  <si>
    <t>SEID: JHT79</t>
  </si>
  <si>
    <t>Socket, 3/4" Drive, 2"</t>
  </si>
  <si>
    <t>LDH642</t>
  </si>
  <si>
    <t>Socket, 3/4" Drive, 2-1/8"</t>
  </si>
  <si>
    <t>LDH682</t>
  </si>
  <si>
    <t>Wrench, Combination, 2-1/8"</t>
  </si>
  <si>
    <t>GOEX68A</t>
  </si>
  <si>
    <t>SWO718</t>
  </si>
  <si>
    <t>410R with 185XR</t>
  </si>
  <si>
    <t>Key Set, Socket Head Screw, Hex, Long, Ball End (13 pcs)</t>
  </si>
  <si>
    <t>B Box</t>
  </si>
  <si>
    <t>TTXR15E</t>
  </si>
  <si>
    <t>FTXR40E</t>
  </si>
  <si>
    <t>TS21210R</t>
  </si>
  <si>
    <t>TS21210</t>
  </si>
  <si>
    <t>Set, Screwdriver, Jeweler's</t>
  </si>
  <si>
    <t>Socket, 3/8” Drive, 3/4"</t>
  </si>
  <si>
    <t>Socket, 3/8” Drive, 1"</t>
  </si>
  <si>
    <t>Snap-on (Black Plastic Roll)</t>
  </si>
  <si>
    <t>Wrench, Combination, Short, 3/8", Spline #12</t>
  </si>
  <si>
    <t>Wrench, Combination, Short, 1/2", Spline #16</t>
  </si>
  <si>
    <t>Wrench, Combination, Short, 1/2"</t>
  </si>
  <si>
    <t>Wrench, Combination, Short, 9/16"</t>
  </si>
  <si>
    <t>Wrench, Combination, Short, 1/4", Spline #8</t>
  </si>
  <si>
    <t>Wrench, Combination, Short, 5/8", Spline #20</t>
  </si>
  <si>
    <t>Wrench, Combination, Short, 11/16", Spline #22</t>
  </si>
  <si>
    <t>Pliers, Retaining Ring, Internal/External, 90 Degree, 0.090"</t>
  </si>
  <si>
    <t>Rule, Steel, Machinist's, 6", 1/8", 1/16", 1/32", 1/64"</t>
  </si>
  <si>
    <t>Rule, Steel, Machinist's, 12", 1/8", 1/16", 1/32", 1/64"</t>
  </si>
  <si>
    <t>Rule, Steel, Machinist's, 18", 1/8", 1/16", 1/32", 1/64"</t>
  </si>
  <si>
    <t>Rule, Steel, Machinist's, 12", 1/10", 1/100", 1/32", 1/64"</t>
  </si>
  <si>
    <t>Rule, Steel, Machinist's, 12", 1/50", 1/100", 1/32", 1/64"</t>
  </si>
  <si>
    <t>Rule, Steel, Machinist's, 18", 1/10", 1/100", 1/32", 1/64"</t>
  </si>
  <si>
    <t>Rule, Steel, Machinist's, 24", 1/50", 1/100", 1/32", 1/64"</t>
  </si>
  <si>
    <t>TMA10E</t>
  </si>
  <si>
    <t>Set, Stamp, Metal, 0-9</t>
  </si>
  <si>
    <t>GA237</t>
  </si>
  <si>
    <t>KMC18062PBK</t>
  </si>
  <si>
    <t>KRL7022DPBO</t>
  </si>
  <si>
    <t>OXR10</t>
  </si>
  <si>
    <t>YA339A</t>
  </si>
  <si>
    <t>Snap-on Offering</t>
  </si>
  <si>
    <t>Name:FLTEQUIP20</t>
  </si>
  <si>
    <t>Set Name: ASTRUCTBX20</t>
  </si>
  <si>
    <t>Set Name: ALOCOMPSIT20</t>
  </si>
  <si>
    <t>2 Bank Roll Cabinet Red</t>
  </si>
  <si>
    <t>Roll Cabinet 6 Drawer w/Lock Bar</t>
  </si>
  <si>
    <t>Set Name: BCSTRUCBX20</t>
  </si>
  <si>
    <t>Name:  EOTSMAINT20</t>
  </si>
  <si>
    <t>Name: AVIPOUCHC11</t>
  </si>
  <si>
    <t>Name: AVITSC20</t>
  </si>
  <si>
    <t>Name: AVIMAINTC20</t>
  </si>
  <si>
    <t>Name: WIREREPC20</t>
  </si>
  <si>
    <t>Name: ELECTSC20</t>
  </si>
  <si>
    <t>Name: ELECMNTC20</t>
  </si>
  <si>
    <t>Name: PANLLINEB20</t>
  </si>
  <si>
    <t>Name: BCLODISPBX20</t>
  </si>
  <si>
    <t>Name: OXYUSE20</t>
  </si>
  <si>
    <t>Name: 040INSPBXC20</t>
  </si>
  <si>
    <t>Name: 110FRPCHC20</t>
  </si>
  <si>
    <t>Name: BCWPNMAINT20</t>
  </si>
  <si>
    <t>Name: AVILINEB20</t>
  </si>
  <si>
    <t>Name: AVMAINPCHB20</t>
  </si>
  <si>
    <t>18 Inch All Weather 8 Drawer Box Black</t>
  </si>
  <si>
    <t>Name:AVIMAINTB20</t>
  </si>
  <si>
    <t>Name: AFSERVPCHC20</t>
  </si>
  <si>
    <t>Name: PLTIRREMB20</t>
  </si>
  <si>
    <t>Name: AFSERVPCHB20</t>
  </si>
  <si>
    <t>Name: FASTENERBC20</t>
  </si>
  <si>
    <t>Name: OXYUSEBC20</t>
  </si>
  <si>
    <t>Name: OMLPCHBC20</t>
  </si>
  <si>
    <t>Name: RIVETBX20</t>
  </si>
  <si>
    <t>Name: ABCEDIEBX20</t>
  </si>
  <si>
    <t>Set Name: APPBX20</t>
  </si>
  <si>
    <t>Set Name: BCENGBOX20</t>
  </si>
  <si>
    <t>Set Name: ATIRBCKSHP20</t>
  </si>
  <si>
    <t>Name: 13BFSPCHB20</t>
  </si>
  <si>
    <t>Name: LOCOMPBC20</t>
  </si>
  <si>
    <t>Name: FASTENERA20</t>
  </si>
  <si>
    <t>Name: ALODISPBX20</t>
  </si>
  <si>
    <t>Name: AFUELDISCH20</t>
  </si>
  <si>
    <t>Name: ACREWCHIEF20</t>
  </si>
  <si>
    <t>Name: 310SHPPCHC20</t>
  </si>
  <si>
    <t>Name: 310FSPCHB20</t>
  </si>
  <si>
    <t>Name: 13BFSPCHC20</t>
  </si>
  <si>
    <t>Name: OXYUSEA20</t>
  </si>
  <si>
    <t>Name: AEGRESDISP20</t>
  </si>
  <si>
    <t>Name: BCWEAPLOAD20</t>
  </si>
  <si>
    <t>Name: BCGNJAMCLR20</t>
  </si>
  <si>
    <t>Name: AWPNSBOX20</t>
  </si>
  <si>
    <t>Name: AGUNJAMCLR20</t>
  </si>
  <si>
    <t>Name: AAVIONELEC20</t>
  </si>
  <si>
    <t>Name: AAVIONMTN20</t>
  </si>
  <si>
    <t>Name: CTIRWHLBX20</t>
  </si>
  <si>
    <t>Name: OMLPCHA20</t>
  </si>
  <si>
    <t>Name: ATIRWHLBX20</t>
  </si>
  <si>
    <t>Name: APANELKIT20</t>
  </si>
  <si>
    <t>Name: BCFUELBOX11</t>
  </si>
  <si>
    <t>Name: AFUELBOX20</t>
  </si>
  <si>
    <t>Name: TORQHDBX20</t>
  </si>
  <si>
    <t>Name: BCCROSCTRY20</t>
  </si>
  <si>
    <t>Name: BCEGRESS20</t>
  </si>
  <si>
    <t>Name: AEGRESS20</t>
  </si>
  <si>
    <t>Name: LIFTSYSTB20</t>
  </si>
  <si>
    <t>Name: BCPPSHPBX20</t>
  </si>
  <si>
    <t>Name: BCAIRFRMHY20</t>
  </si>
  <si>
    <t>Name: SEATSURV20</t>
  </si>
  <si>
    <t>Name: ABMSTRPUL20</t>
  </si>
  <si>
    <t>Name: SUPLEMNTBC20</t>
  </si>
  <si>
    <t>Name: ELECTSHOPC20</t>
  </si>
  <si>
    <t>Name: MASKOXY20</t>
  </si>
  <si>
    <t>Name: GUNMAINBC20</t>
  </si>
  <si>
    <t>Face, Hammer, Inserted, Steel</t>
  </si>
  <si>
    <t>Face, Hammer, Inserted, Medium</t>
  </si>
  <si>
    <t>Holder, Inserted Hammer Face</t>
  </si>
  <si>
    <t xml:space="preserve"> Face, Hammer, Inserted, Steel</t>
  </si>
  <si>
    <t>Face, Hammer, Inserted, Soft</t>
  </si>
  <si>
    <t>Name: ORDNSHPC20</t>
  </si>
  <si>
    <t>Name: ORDNSHPB20</t>
  </si>
  <si>
    <t>Name: MALSTIRBUB20</t>
  </si>
  <si>
    <t>Name: AFSHPEQBC20</t>
  </si>
  <si>
    <t>Name: ABSEEQUIP20</t>
  </si>
  <si>
    <t>Name: BCECS20</t>
  </si>
  <si>
    <t>Name: CONTSURF20</t>
  </si>
  <si>
    <t>Toolbox Name: Tool Set, Avionics/Electrical (A)</t>
  </si>
  <si>
    <t>OXR12</t>
  </si>
  <si>
    <t>Listed for inventory purposes only. Part of PRH57A</t>
  </si>
  <si>
    <t>Tool box Unit Price:</t>
  </si>
  <si>
    <t>Unit Price</t>
  </si>
  <si>
    <t>Extended price</t>
  </si>
  <si>
    <t>Unit price</t>
  </si>
  <si>
    <t>N/A</t>
  </si>
  <si>
    <t>Replacement</t>
  </si>
  <si>
    <t>Country of Origin</t>
  </si>
  <si>
    <t>Tool Set Unit Price: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</si>
</sst>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"/>
    <numFmt numFmtId="165" formatCode="0.0000"/>
    <numFmt numFmtId="166" formatCode="_-* #,##0.00_-;_-* #,##0.00\-;_-* &quot;-&quot;??_-;_-@_-"/>
    <numFmt numFmtId="167" formatCode="&quot;$&quot;#,##0.00"/>
  </numFmts>
  <fonts count="82" x14ac:knownFonts="1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4"/>
      <name val="Arial"/>
      <family val="2"/>
    </font>
    <font>
      <u/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color rgb="FFFA7D00"/>
      <name val="Times New Roman"/>
      <family val="2"/>
    </font>
    <font>
      <sz val="12"/>
      <color rgb="FF3F3F76"/>
      <name val="Times New Roman"/>
      <family val="2"/>
    </font>
    <font>
      <sz val="12"/>
      <color theme="1"/>
      <name val="Times New Roman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indexed="8"/>
      <name val="Arial"/>
      <family val="2"/>
    </font>
    <font>
      <b/>
      <u/>
      <sz val="12"/>
      <color theme="1"/>
      <name val="Arial"/>
      <family val="2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charset val="162"/>
    </font>
    <font>
      <sz val="11"/>
      <color indexed="8"/>
      <name val="Calibri"/>
      <family val="2"/>
    </font>
    <font>
      <sz val="11"/>
      <color indexed="9"/>
      <name val="Calibri"/>
      <family val="2"/>
      <charset val="162"/>
    </font>
    <font>
      <sz val="11"/>
      <color indexed="9"/>
      <name val="Calibri"/>
      <family val="2"/>
    </font>
    <font>
      <sz val="11"/>
      <color indexed="20"/>
      <name val="Calibri"/>
      <family val="2"/>
      <charset val="16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  <charset val="162"/>
    </font>
    <font>
      <i/>
      <sz val="11"/>
      <color indexed="23"/>
      <name val="Calibri"/>
      <family val="2"/>
    </font>
    <font>
      <sz val="11"/>
      <color indexed="17"/>
      <name val="Calibri"/>
      <family val="2"/>
      <charset val="162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62"/>
    </font>
    <font>
      <b/>
      <sz val="15"/>
      <color indexed="56"/>
      <name val="Calibri"/>
      <family val="2"/>
    </font>
    <font>
      <b/>
      <sz val="13"/>
      <color indexed="56"/>
      <name val="Calibri"/>
      <family val="2"/>
      <charset val="162"/>
    </font>
    <font>
      <b/>
      <sz val="13"/>
      <color indexed="56"/>
      <name val="Calibri"/>
      <family val="2"/>
    </font>
    <font>
      <b/>
      <sz val="11"/>
      <color indexed="56"/>
      <name val="Calibri"/>
      <family val="2"/>
      <charset val="16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62"/>
      <name val="Calibri"/>
      <family val="2"/>
      <charset val="162"/>
    </font>
    <font>
      <sz val="11"/>
      <color indexed="52"/>
      <name val="Calibri"/>
      <family val="2"/>
      <charset val="162"/>
    </font>
    <font>
      <sz val="11"/>
      <color indexed="52"/>
      <name val="Calibri"/>
      <family val="2"/>
    </font>
    <font>
      <sz val="11"/>
      <color indexed="60"/>
      <name val="Calibri"/>
      <family val="2"/>
      <charset val="16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  <charset val="162"/>
    </font>
    <font>
      <b/>
      <sz val="11"/>
      <color indexed="63"/>
      <name val="Calibri"/>
      <family val="2"/>
    </font>
    <font>
      <b/>
      <sz val="18"/>
      <color indexed="56"/>
      <name val="Cambria"/>
      <family val="2"/>
      <charset val="162"/>
    </font>
    <font>
      <b/>
      <sz val="18"/>
      <color indexed="56"/>
      <name val="Cambria"/>
      <family val="2"/>
    </font>
    <font>
      <b/>
      <sz val="11"/>
      <color indexed="8"/>
      <name val="Calibri"/>
      <family val="2"/>
      <charset val="162"/>
    </font>
    <font>
      <b/>
      <sz val="11"/>
      <color indexed="8"/>
      <name val="Calibri"/>
      <family val="2"/>
    </font>
    <font>
      <sz val="11"/>
      <color indexed="10"/>
      <name val="Calibri"/>
      <family val="2"/>
      <charset val="16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16"/>
      <name val="Calibri"/>
      <family val="2"/>
    </font>
    <font>
      <b/>
      <sz val="15"/>
      <color indexed="62"/>
      <name val="Calibri"/>
      <family val="2"/>
    </font>
    <font>
      <b/>
      <sz val="24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4F81BD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</borders>
  <cellStyleXfs count="1353">
    <xf numFmtId="0" fontId="0" fillId="0" borderId="0"/>
    <xf numFmtId="0" fontId="11" fillId="2" borderId="7" applyNumberFormat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2" fillId="3" borderId="7" applyNumberFormat="0" applyAlignment="0" applyProtection="0"/>
    <xf numFmtId="0" fontId="10" fillId="0" borderId="0"/>
    <xf numFmtId="0" fontId="10" fillId="0" borderId="0"/>
    <xf numFmtId="0" fontId="10" fillId="0" borderId="0"/>
    <xf numFmtId="0" fontId="2" fillId="0" borderId="0"/>
    <xf numFmtId="0" fontId="4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13" fillId="0" borderId="0"/>
    <xf numFmtId="0" fontId="3" fillId="0" borderId="0"/>
    <xf numFmtId="0" fontId="13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26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6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6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8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8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8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8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8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8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8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8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8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8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8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8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0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2" fillId="25" borderId="10" applyNumberFormat="0" applyAlignment="0" applyProtection="0"/>
    <xf numFmtId="0" fontId="32" fillId="25" borderId="10" applyNumberFormat="0" applyAlignment="0" applyProtection="0"/>
    <xf numFmtId="0" fontId="32" fillId="25" borderId="10" applyNumberFormat="0" applyAlignment="0" applyProtection="0"/>
    <xf numFmtId="0" fontId="32" fillId="25" borderId="10" applyNumberFormat="0" applyAlignment="0" applyProtection="0"/>
    <xf numFmtId="0" fontId="32" fillId="25" borderId="10" applyNumberFormat="0" applyAlignment="0" applyProtection="0"/>
    <xf numFmtId="0" fontId="33" fillId="25" borderId="10" applyNumberFormat="0" applyAlignment="0" applyProtection="0"/>
    <xf numFmtId="0" fontId="33" fillId="25" borderId="10" applyNumberFormat="0" applyAlignment="0" applyProtection="0"/>
    <xf numFmtId="0" fontId="33" fillId="25" borderId="10" applyNumberFormat="0" applyAlignment="0" applyProtection="0"/>
    <xf numFmtId="0" fontId="33" fillId="25" borderId="10" applyNumberFormat="0" applyAlignment="0" applyProtection="0"/>
    <xf numFmtId="0" fontId="32" fillId="25" borderId="10" applyNumberFormat="0" applyAlignment="0" applyProtection="0"/>
    <xf numFmtId="0" fontId="32" fillId="25" borderId="10" applyNumberFormat="0" applyAlignment="0" applyProtection="0"/>
    <xf numFmtId="0" fontId="32" fillId="25" borderId="10" applyNumberFormat="0" applyAlignment="0" applyProtection="0"/>
    <xf numFmtId="0" fontId="32" fillId="25" borderId="10" applyNumberFormat="0" applyAlignment="0" applyProtection="0"/>
    <xf numFmtId="0" fontId="32" fillId="25" borderId="10" applyNumberFormat="0" applyAlignment="0" applyProtection="0"/>
    <xf numFmtId="0" fontId="34" fillId="26" borderId="11" applyNumberFormat="0" applyAlignment="0" applyProtection="0"/>
    <xf numFmtId="0" fontId="25" fillId="6" borderId="9" applyNumberFormat="0" applyAlignment="0" applyProtection="0"/>
    <xf numFmtId="0" fontId="35" fillId="26" borderId="11" applyNumberFormat="0" applyAlignment="0" applyProtection="0"/>
    <xf numFmtId="0" fontId="25" fillId="6" borderId="9" applyNumberFormat="0" applyAlignment="0" applyProtection="0"/>
    <xf numFmtId="0" fontId="35" fillId="26" borderId="11" applyNumberFormat="0" applyAlignment="0" applyProtection="0"/>
    <xf numFmtId="164" fontId="36" fillId="0" borderId="12" applyFont="0" applyFill="0" applyBorder="0" applyAlignment="0" applyProtection="0">
      <alignment horizontal="right"/>
    </xf>
    <xf numFmtId="164" fontId="36" fillId="0" borderId="12" applyFont="0" applyFill="0" applyBorder="0" applyAlignment="0" applyProtection="0">
      <alignment horizontal="right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36" fillId="0" borderId="13" applyFont="0" applyFill="0" applyBorder="0" applyAlignment="0" applyProtection="0"/>
    <xf numFmtId="165" fontId="36" fillId="0" borderId="13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5" fillId="0" borderId="14" applyNumberFormat="0" applyAlignment="0" applyProtection="0">
      <alignment horizontal="left" vertical="center"/>
    </xf>
    <xf numFmtId="0" fontId="5" fillId="0" borderId="15">
      <alignment horizontal="left" vertical="center"/>
    </xf>
    <xf numFmtId="0" fontId="5" fillId="0" borderId="15">
      <alignment horizontal="left" vertical="center"/>
    </xf>
    <xf numFmtId="0" fontId="5" fillId="0" borderId="15">
      <alignment horizontal="left" vertical="center"/>
    </xf>
    <xf numFmtId="0" fontId="5" fillId="0" borderId="15">
      <alignment horizontal="left" vertical="center"/>
    </xf>
    <xf numFmtId="0" fontId="5" fillId="0" borderId="15">
      <alignment horizontal="left" vertical="center"/>
    </xf>
    <xf numFmtId="0" fontId="41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3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12" borderId="10" applyNumberFormat="0" applyAlignment="0" applyProtection="0"/>
    <xf numFmtId="0" fontId="47" fillId="12" borderId="10" applyNumberFormat="0" applyAlignment="0" applyProtection="0"/>
    <xf numFmtId="0" fontId="47" fillId="12" borderId="10" applyNumberFormat="0" applyAlignment="0" applyProtection="0"/>
    <xf numFmtId="0" fontId="47" fillId="12" borderId="10" applyNumberFormat="0" applyAlignment="0" applyProtection="0"/>
    <xf numFmtId="0" fontId="47" fillId="12" borderId="10" applyNumberFormat="0" applyAlignment="0" applyProtection="0"/>
    <xf numFmtId="0" fontId="48" fillId="12" borderId="10" applyNumberFormat="0" applyAlignment="0" applyProtection="0"/>
    <xf numFmtId="0" fontId="48" fillId="12" borderId="10" applyNumberFormat="0" applyAlignment="0" applyProtection="0"/>
    <xf numFmtId="0" fontId="48" fillId="12" borderId="10" applyNumberFormat="0" applyAlignment="0" applyProtection="0"/>
    <xf numFmtId="0" fontId="48" fillId="12" borderId="10" applyNumberFormat="0" applyAlignment="0" applyProtection="0"/>
    <xf numFmtId="0" fontId="47" fillId="12" borderId="10" applyNumberFormat="0" applyAlignment="0" applyProtection="0"/>
    <xf numFmtId="0" fontId="47" fillId="12" borderId="10" applyNumberFormat="0" applyAlignment="0" applyProtection="0"/>
    <xf numFmtId="0" fontId="47" fillId="12" borderId="10" applyNumberFormat="0" applyAlignment="0" applyProtection="0"/>
    <xf numFmtId="0" fontId="47" fillId="12" borderId="10" applyNumberFormat="0" applyAlignment="0" applyProtection="0"/>
    <xf numFmtId="0" fontId="47" fillId="12" borderId="10" applyNumberFormat="0" applyAlignment="0" applyProtection="0"/>
    <xf numFmtId="0" fontId="49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1" fillId="27" borderId="0" applyNumberFormat="0" applyBorder="0" applyAlignment="0" applyProtection="0"/>
    <xf numFmtId="0" fontId="52" fillId="27" borderId="0" applyNumberFormat="0" applyBorder="0" applyAlignment="0" applyProtection="0"/>
    <xf numFmtId="0" fontId="52" fillId="27" borderId="0" applyNumberFormat="0" applyBorder="0" applyAlignment="0" applyProtection="0"/>
    <xf numFmtId="0" fontId="10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10" fillId="0" borderId="0"/>
    <xf numFmtId="0" fontId="10" fillId="0" borderId="0"/>
    <xf numFmtId="0" fontId="36" fillId="0" borderId="0"/>
    <xf numFmtId="0" fontId="10" fillId="0" borderId="0"/>
    <xf numFmtId="0" fontId="2" fillId="0" borderId="0"/>
    <xf numFmtId="0" fontId="2" fillId="28" borderId="20" applyNumberFormat="0" applyFont="0" applyAlignment="0" applyProtection="0"/>
    <xf numFmtId="0" fontId="2" fillId="28" borderId="20" applyNumberFormat="0" applyFont="0" applyAlignment="0" applyProtection="0"/>
    <xf numFmtId="0" fontId="2" fillId="28" borderId="20" applyNumberFormat="0" applyFont="0" applyAlignment="0" applyProtection="0"/>
    <xf numFmtId="0" fontId="2" fillId="28" borderId="20" applyNumberFormat="0" applyFont="0" applyAlignment="0" applyProtection="0"/>
    <xf numFmtId="0" fontId="2" fillId="28" borderId="20" applyNumberFormat="0" applyFont="0" applyAlignment="0" applyProtection="0"/>
    <xf numFmtId="0" fontId="2" fillId="28" borderId="20" applyNumberFormat="0" applyFont="0" applyAlignment="0" applyProtection="0"/>
    <xf numFmtId="0" fontId="2" fillId="28" borderId="20" applyNumberFormat="0" applyFont="0" applyAlignment="0" applyProtection="0"/>
    <xf numFmtId="0" fontId="2" fillId="28" borderId="20" applyNumberFormat="0" applyFont="0" applyAlignment="0" applyProtection="0"/>
    <xf numFmtId="0" fontId="2" fillId="28" borderId="20" applyNumberFormat="0" applyFont="0" applyAlignment="0" applyProtection="0"/>
    <xf numFmtId="0" fontId="2" fillId="28" borderId="20" applyNumberFormat="0" applyFont="0" applyAlignment="0" applyProtection="0"/>
    <xf numFmtId="0" fontId="2" fillId="28" borderId="20" applyNumberFormat="0" applyFont="0" applyAlignment="0" applyProtection="0"/>
    <xf numFmtId="0" fontId="2" fillId="28" borderId="20" applyNumberFormat="0" applyFont="0" applyAlignment="0" applyProtection="0"/>
    <xf numFmtId="0" fontId="53" fillId="28" borderId="20" applyNumberFormat="0" applyFont="0" applyAlignment="0" applyProtection="0"/>
    <xf numFmtId="0" fontId="53" fillId="28" borderId="20" applyNumberFormat="0" applyFont="0" applyAlignment="0" applyProtection="0"/>
    <xf numFmtId="0" fontId="53" fillId="28" borderId="20" applyNumberFormat="0" applyFont="0" applyAlignment="0" applyProtection="0"/>
    <xf numFmtId="0" fontId="53" fillId="28" borderId="20" applyNumberFormat="0" applyFont="0" applyAlignment="0" applyProtection="0"/>
    <xf numFmtId="0" fontId="53" fillId="28" borderId="20" applyNumberFormat="0" applyFont="0" applyAlignment="0" applyProtection="0"/>
    <xf numFmtId="0" fontId="53" fillId="28" borderId="20" applyNumberFormat="0" applyFont="0" applyAlignment="0" applyProtection="0"/>
    <xf numFmtId="0" fontId="54" fillId="25" borderId="21" applyNumberFormat="0" applyAlignment="0" applyProtection="0"/>
    <xf numFmtId="0" fontId="55" fillId="25" borderId="21" applyNumberFormat="0" applyAlignment="0" applyProtection="0"/>
    <xf numFmtId="0" fontId="55" fillId="25" borderId="21" applyNumberFormat="0" applyAlignment="0" applyProtection="0"/>
    <xf numFmtId="0" fontId="55" fillId="25" borderId="21" applyNumberFormat="0" applyAlignment="0" applyProtection="0"/>
    <xf numFmtId="0" fontId="55" fillId="25" borderId="21" applyNumberFormat="0" applyAlignment="0" applyProtection="0"/>
    <xf numFmtId="0" fontId="55" fillId="25" borderId="21" applyNumberFormat="0" applyAlignment="0" applyProtection="0"/>
    <xf numFmtId="0" fontId="55" fillId="25" borderId="21" applyNumberFormat="0" applyAlignment="0" applyProtection="0"/>
    <xf numFmtId="0" fontId="55" fillId="25" borderId="21" applyNumberFormat="0" applyAlignment="0" applyProtection="0"/>
    <xf numFmtId="0" fontId="54" fillId="25" borderId="21" applyNumberFormat="0" applyAlignment="0" applyProtection="0"/>
    <xf numFmtId="0" fontId="54" fillId="25" borderId="21" applyNumberFormat="0" applyAlignment="0" applyProtection="0"/>
    <xf numFmtId="0" fontId="54" fillId="25" borderId="21" applyNumberFormat="0" applyAlignment="0" applyProtection="0"/>
    <xf numFmtId="0" fontId="54" fillId="25" borderId="21" applyNumberFormat="0" applyAlignment="0" applyProtection="0"/>
    <xf numFmtId="0" fontId="54" fillId="25" borderId="21" applyNumberFormat="0" applyAlignment="0" applyProtection="0"/>
    <xf numFmtId="0" fontId="54" fillId="25" borderId="21" applyNumberFormat="0" applyAlignment="0" applyProtection="0"/>
    <xf numFmtId="0" fontId="55" fillId="25" borderId="21" applyNumberFormat="0" applyAlignment="0" applyProtection="0"/>
    <xf numFmtId="0" fontId="55" fillId="25" borderId="21" applyNumberFormat="0" applyAlignment="0" applyProtection="0"/>
    <xf numFmtId="0" fontId="55" fillId="25" borderId="21" applyNumberFormat="0" applyAlignment="0" applyProtection="0"/>
    <xf numFmtId="0" fontId="55" fillId="25" borderId="21" applyNumberFormat="0" applyAlignment="0" applyProtection="0"/>
    <xf numFmtId="0" fontId="55" fillId="25" borderId="21" applyNumberFormat="0" applyAlignment="0" applyProtection="0"/>
    <xf numFmtId="0" fontId="55" fillId="25" borderId="21" applyNumberFormat="0" applyAlignment="0" applyProtection="0"/>
    <xf numFmtId="0" fontId="55" fillId="25" borderId="2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9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0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2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0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7" fillId="16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9" fillId="17" borderId="0" applyNumberFormat="0" applyBorder="0" applyAlignment="0" applyProtection="0"/>
    <xf numFmtId="0" fontId="65" fillId="33" borderId="0" applyNumberFormat="0" applyBorder="0" applyAlignment="0" applyProtection="0"/>
    <xf numFmtId="0" fontId="29" fillId="15" borderId="0" applyNumberFormat="0" applyBorder="0" applyAlignment="0" applyProtection="0"/>
    <xf numFmtId="0" fontId="65" fillId="40" borderId="0" applyNumberFormat="0" applyBorder="0" applyAlignment="0" applyProtection="0"/>
    <xf numFmtId="0" fontId="29" fillId="18" borderId="0" applyNumberFormat="0" applyBorder="0" applyAlignment="0" applyProtection="0"/>
    <xf numFmtId="0" fontId="65" fillId="44" borderId="0" applyNumberFormat="0" applyBorder="0" applyAlignment="0" applyProtection="0"/>
    <xf numFmtId="0" fontId="29" fillId="20" borderId="0" applyNumberFormat="0" applyBorder="0" applyAlignment="0" applyProtection="0"/>
    <xf numFmtId="0" fontId="65" fillId="49" borderId="0" applyNumberFormat="0" applyBorder="0" applyAlignment="0" applyProtection="0"/>
    <xf numFmtId="0" fontId="29" fillId="21" borderId="0" applyNumberFormat="0" applyBorder="0" applyAlignment="0" applyProtection="0"/>
    <xf numFmtId="0" fontId="65" fillId="30" borderId="0" applyNumberFormat="0" applyBorder="0" applyAlignment="0" applyProtection="0"/>
    <xf numFmtId="0" fontId="29" fillId="22" borderId="0" applyNumberFormat="0" applyBorder="0" applyAlignment="0" applyProtection="0"/>
    <xf numFmtId="0" fontId="65" fillId="34" borderId="0" applyNumberFormat="0" applyBorder="0" applyAlignment="0" applyProtection="0"/>
    <xf numFmtId="0" fontId="29" fillId="23" borderId="0" applyNumberFormat="0" applyBorder="0" applyAlignment="0" applyProtection="0"/>
    <xf numFmtId="0" fontId="65" fillId="37" borderId="0" applyNumberFormat="0" applyBorder="0" applyAlignment="0" applyProtection="0"/>
    <xf numFmtId="0" fontId="29" fillId="18" borderId="0" applyNumberFormat="0" applyBorder="0" applyAlignment="0" applyProtection="0"/>
    <xf numFmtId="0" fontId="65" fillId="41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32" fillId="25" borderId="10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7" fillId="0" borderId="16" applyNumberFormat="0" applyFill="0" applyAlignment="0" applyProtection="0"/>
    <xf numFmtId="0" fontId="67" fillId="0" borderId="27" applyNumberFormat="0" applyFill="0" applyAlignment="0" applyProtection="0"/>
    <xf numFmtId="0" fontId="44" fillId="0" borderId="17" applyNumberFormat="0" applyFill="0" applyAlignment="0" applyProtection="0"/>
    <xf numFmtId="0" fontId="63" fillId="0" borderId="23" applyNumberFormat="0" applyFill="0" applyAlignment="0" applyProtection="0"/>
    <xf numFmtId="0" fontId="46" fillId="0" borderId="18" applyNumberFormat="0" applyFill="0" applyAlignment="0" applyProtection="0"/>
    <xf numFmtId="0" fontId="64" fillId="0" borderId="24" applyNumberFormat="0" applyFill="0" applyAlignment="0" applyProtection="0"/>
    <xf numFmtId="0" fontId="4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3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" fillId="28" borderId="20" applyNumberFormat="0" applyFont="0" applyAlignment="0" applyProtection="0"/>
    <xf numFmtId="0" fontId="2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27" fillId="28" borderId="20" applyNumberFormat="0" applyFont="0" applyAlignment="0" applyProtection="0"/>
    <xf numFmtId="0" fontId="27" fillId="29" borderId="25" applyNumberFormat="0" applyFont="0" applyAlignment="0" applyProtection="0"/>
    <xf numFmtId="0" fontId="27" fillId="28" borderId="20" applyNumberFormat="0" applyFont="0" applyAlignment="0" applyProtection="0"/>
    <xf numFmtId="0" fontId="55" fillId="25" borderId="21" applyNumberFormat="0" applyAlignment="0" applyProtection="0"/>
    <xf numFmtId="0" fontId="5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59" fillId="0" borderId="22" applyNumberFormat="0" applyFill="0" applyAlignment="0" applyProtection="0"/>
    <xf numFmtId="0" fontId="2" fillId="0" borderId="0"/>
    <xf numFmtId="0" fontId="11" fillId="2" borderId="7" applyNumberFormat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12" fillId="3" borderId="7" applyNumberFormat="0" applyAlignment="0" applyProtection="0"/>
    <xf numFmtId="0" fontId="2" fillId="0" borderId="0"/>
    <xf numFmtId="0" fontId="2" fillId="0" borderId="0"/>
    <xf numFmtId="0" fontId="2" fillId="0" borderId="0"/>
    <xf numFmtId="0" fontId="69" fillId="0" borderId="0" applyNumberFormat="0" applyFill="0" applyBorder="0" applyAlignment="0" applyProtection="0"/>
    <xf numFmtId="44" fontId="10" fillId="0" borderId="0" applyFont="0" applyFill="0" applyBorder="0" applyAlignment="0" applyProtection="0"/>
  </cellStyleXfs>
  <cellXfs count="666">
    <xf numFmtId="0" fontId="0" fillId="0" borderId="0" xfId="0"/>
    <xf numFmtId="0" fontId="15" fillId="0" borderId="0" xfId="34" applyFont="1" applyFill="1"/>
    <xf numFmtId="0" fontId="15" fillId="0" borderId="0" xfId="34" applyFont="1" applyFill="1" applyAlignment="1">
      <alignment horizontal="center"/>
    </xf>
    <xf numFmtId="0" fontId="8" fillId="0" borderId="0" xfId="25" applyFont="1" applyFill="1" applyAlignment="1">
      <alignment horizontal="center"/>
    </xf>
    <xf numFmtId="0" fontId="8" fillId="0" borderId="0" xfId="25" applyFont="1" applyFill="1"/>
    <xf numFmtId="0" fontId="8" fillId="0" borderId="0" xfId="25" applyFont="1" applyFill="1" applyAlignment="1">
      <alignment vertical="center"/>
    </xf>
    <xf numFmtId="0" fontId="7" fillId="0" borderId="1" xfId="24" applyFont="1" applyFill="1" applyBorder="1" applyAlignment="1">
      <alignment horizontal="center"/>
    </xf>
    <xf numFmtId="0" fontId="7" fillId="0" borderId="0" xfId="8" applyFont="1"/>
    <xf numFmtId="0" fontId="7" fillId="0" borderId="1" xfId="34" applyFont="1" applyFill="1" applyBorder="1" applyAlignment="1">
      <alignment vertical="center"/>
    </xf>
    <xf numFmtId="0" fontId="7" fillId="0" borderId="1" xfId="34" applyFont="1" applyFill="1" applyBorder="1" applyAlignment="1">
      <alignment horizontal="center" vertical="center"/>
    </xf>
    <xf numFmtId="0" fontId="7" fillId="0" borderId="1" xfId="2" applyNumberFormat="1" applyFont="1" applyFill="1" applyBorder="1" applyAlignment="1" applyProtection="1">
      <alignment horizontal="center" vertical="center"/>
    </xf>
    <xf numFmtId="0" fontId="15" fillId="0" borderId="0" xfId="34" applyFont="1" applyFill="1" applyBorder="1"/>
    <xf numFmtId="0" fontId="7" fillId="0" borderId="1" xfId="34" applyFont="1" applyFill="1" applyBorder="1" applyAlignment="1">
      <alignment vertical="center" wrapText="1"/>
    </xf>
    <xf numFmtId="0" fontId="5" fillId="0" borderId="1" xfId="34" applyFont="1" applyFill="1" applyBorder="1" applyAlignment="1">
      <alignment horizontal="center" wrapText="1"/>
    </xf>
    <xf numFmtId="0" fontId="7" fillId="0" borderId="1" xfId="34" applyFont="1" applyFill="1" applyBorder="1"/>
    <xf numFmtId="0" fontId="7" fillId="0" borderId="1" xfId="34" applyFont="1" applyFill="1" applyBorder="1" applyAlignment="1">
      <alignment horizontal="center"/>
    </xf>
    <xf numFmtId="0" fontId="7" fillId="0" borderId="0" xfId="34" applyFont="1" applyFill="1"/>
    <xf numFmtId="0" fontId="7" fillId="0" borderId="0" xfId="34" applyFont="1" applyFill="1" applyAlignment="1">
      <alignment horizontal="center"/>
    </xf>
    <xf numFmtId="0" fontId="7" fillId="0" borderId="1" xfId="8" applyFont="1" applyBorder="1" applyAlignment="1">
      <alignment horizontal="center"/>
    </xf>
    <xf numFmtId="0" fontId="16" fillId="0" borderId="1" xfId="34" applyFont="1" applyFill="1" applyBorder="1" applyAlignment="1">
      <alignment horizontal="center"/>
    </xf>
    <xf numFmtId="0" fontId="0" fillId="0" borderId="0" xfId="0"/>
    <xf numFmtId="0" fontId="5" fillId="0" borderId="1" xfId="25" applyFont="1" applyFill="1" applyBorder="1" applyAlignment="1">
      <alignment horizontal="center"/>
    </xf>
    <xf numFmtId="0" fontId="15" fillId="0" borderId="0" xfId="34" applyFont="1" applyFill="1" applyBorder="1" applyAlignment="1">
      <alignment horizontal="center"/>
    </xf>
    <xf numFmtId="0" fontId="5" fillId="0" borderId="1" xfId="24" applyFont="1" applyFill="1" applyBorder="1" applyAlignment="1">
      <alignment horizontal="center" wrapText="1"/>
    </xf>
    <xf numFmtId="0" fontId="7" fillId="0" borderId="1" xfId="25" applyFont="1" applyFill="1" applyBorder="1" applyAlignment="1">
      <alignment horizontal="center"/>
    </xf>
    <xf numFmtId="0" fontId="7" fillId="0" borderId="1" xfId="34" applyFont="1" applyFill="1" applyBorder="1" applyAlignment="1">
      <alignment horizontal="left" wrapText="1"/>
    </xf>
    <xf numFmtId="0" fontId="7" fillId="0" borderId="1" xfId="34" applyFont="1" applyFill="1" applyBorder="1" applyAlignment="1">
      <alignment horizontal="center" wrapText="1"/>
    </xf>
    <xf numFmtId="0" fontId="5" fillId="0" borderId="1" xfId="18" applyFont="1" applyBorder="1" applyAlignment="1">
      <alignment horizontal="center"/>
    </xf>
    <xf numFmtId="0" fontId="7" fillId="0" borderId="1" xfId="8" applyFont="1" applyBorder="1"/>
    <xf numFmtId="0" fontId="7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14" fillId="0" borderId="0" xfId="34" applyFont="1" applyFill="1"/>
    <xf numFmtId="0" fontId="14" fillId="0" borderId="0" xfId="34" applyFont="1"/>
    <xf numFmtId="0" fontId="14" fillId="0" borderId="0" xfId="34" applyFont="1" applyFill="1" applyAlignment="1">
      <alignment horizontal="center"/>
    </xf>
    <xf numFmtId="0" fontId="16" fillId="0" borderId="1" xfId="46" applyFont="1" applyFill="1" applyBorder="1" applyAlignment="1">
      <alignment horizontal="center"/>
    </xf>
    <xf numFmtId="0" fontId="16" fillId="0" borderId="1" xfId="46" applyFont="1" applyFill="1" applyBorder="1"/>
    <xf numFmtId="0" fontId="8" fillId="0" borderId="0" xfId="25" applyFont="1" applyFill="1" applyAlignment="1">
      <alignment horizontal="left"/>
    </xf>
    <xf numFmtId="0" fontId="7" fillId="0" borderId="0" xfId="34" applyFont="1" applyFill="1" applyBorder="1" applyAlignment="1">
      <alignment horizontal="center"/>
    </xf>
    <xf numFmtId="0" fontId="16" fillId="0" borderId="1" xfId="0" applyFont="1" applyFill="1" applyBorder="1"/>
    <xf numFmtId="0" fontId="7" fillId="0" borderId="1" xfId="8" applyFont="1" applyFill="1" applyBorder="1" applyAlignment="1">
      <alignment horizontal="center"/>
    </xf>
    <xf numFmtId="0" fontId="7" fillId="0" borderId="0" xfId="8" applyFont="1" applyFill="1"/>
    <xf numFmtId="0" fontId="7" fillId="0" borderId="1" xfId="8" applyFont="1" applyFill="1" applyBorder="1"/>
    <xf numFmtId="0" fontId="7" fillId="0" borderId="1" xfId="24" applyFont="1" applyFill="1" applyBorder="1" applyAlignment="1">
      <alignment horizontal="center" wrapText="1"/>
    </xf>
    <xf numFmtId="0" fontId="7" fillId="0" borderId="1" xfId="25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18" fillId="0" borderId="0" xfId="0" applyFont="1"/>
    <xf numFmtId="0" fontId="5" fillId="0" borderId="1" xfId="42" applyFont="1" applyFill="1" applyBorder="1" applyAlignment="1">
      <alignment horizontal="center" wrapText="1"/>
    </xf>
    <xf numFmtId="0" fontId="7" fillId="0" borderId="1" xfId="42" applyFont="1" applyFill="1" applyBorder="1" applyAlignment="1">
      <alignment horizontal="center" wrapText="1"/>
    </xf>
    <xf numFmtId="0" fontId="7" fillId="0" borderId="1" xfId="25" applyFont="1" applyFill="1" applyBorder="1" applyAlignment="1">
      <alignment horizontal="left" wrapText="1"/>
    </xf>
    <xf numFmtId="0" fontId="5" fillId="0" borderId="1" xfId="25" applyFont="1" applyFill="1" applyBorder="1" applyAlignment="1">
      <alignment horizontal="center" wrapText="1"/>
    </xf>
    <xf numFmtId="0" fontId="7" fillId="0" borderId="0" xfId="25" applyFont="1" applyFill="1"/>
    <xf numFmtId="0" fontId="7" fillId="0" borderId="0" xfId="25" applyFont="1" applyFill="1" applyAlignment="1">
      <alignment horizontal="center"/>
    </xf>
    <xf numFmtId="0" fontId="7" fillId="0" borderId="0" xfId="25" applyFont="1" applyFill="1" applyAlignment="1">
      <alignment horizontal="left"/>
    </xf>
    <xf numFmtId="0" fontId="7" fillId="0" borderId="0" xfId="24" applyFont="1" applyFill="1" applyBorder="1" applyAlignment="1">
      <alignment horizontal="center"/>
    </xf>
    <xf numFmtId="0" fontId="7" fillId="0" borderId="1" xfId="46" applyFont="1" applyFill="1" applyBorder="1" applyAlignment="1">
      <alignment horizontal="center" wrapText="1"/>
    </xf>
    <xf numFmtId="0" fontId="16" fillId="0" borderId="0" xfId="46" applyFont="1" applyFill="1" applyBorder="1" applyAlignment="1">
      <alignment horizontal="center"/>
    </xf>
    <xf numFmtId="0" fontId="19" fillId="0" borderId="1" xfId="34" applyFont="1" applyFill="1" applyBorder="1" applyAlignment="1">
      <alignment horizontal="center"/>
    </xf>
    <xf numFmtId="0" fontId="16" fillId="0" borderId="0" xfId="34" applyFont="1" applyFill="1"/>
    <xf numFmtId="0" fontId="16" fillId="0" borderId="0" xfId="34" applyFont="1" applyFill="1" applyAlignment="1">
      <alignment horizontal="center"/>
    </xf>
    <xf numFmtId="0" fontId="16" fillId="0" borderId="0" xfId="34" applyFont="1"/>
    <xf numFmtId="0" fontId="7" fillId="0" borderId="1" xfId="0" applyFont="1" applyFill="1" applyBorder="1" applyAlignment="1">
      <alignment horizontal="left"/>
    </xf>
    <xf numFmtId="0" fontId="16" fillId="0" borderId="1" xfId="0" applyFont="1" applyFill="1" applyBorder="1" applyAlignment="1">
      <alignment horizontal="center" vertical="center"/>
    </xf>
    <xf numFmtId="0" fontId="7" fillId="0" borderId="0" xfId="8" applyFont="1" applyAlignment="1">
      <alignment horizontal="center"/>
    </xf>
    <xf numFmtId="0" fontId="7" fillId="0" borderId="1" xfId="18" applyFont="1" applyFill="1" applyBorder="1" applyAlignment="1">
      <alignment horizontal="center"/>
    </xf>
    <xf numFmtId="0" fontId="7" fillId="0" borderId="1" xfId="46" applyFont="1" applyFill="1" applyBorder="1" applyAlignment="1">
      <alignment horizont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18" applyFont="1" applyBorder="1" applyAlignment="1">
      <alignment horizontal="left"/>
    </xf>
    <xf numFmtId="0" fontId="7" fillId="0" borderId="1" xfId="18" applyFont="1" applyBorder="1" applyAlignment="1">
      <alignment horizontal="center"/>
    </xf>
    <xf numFmtId="0" fontId="5" fillId="0" borderId="1" xfId="18" applyFont="1" applyBorder="1"/>
    <xf numFmtId="0" fontId="7" fillId="0" borderId="1" xfId="18" applyFont="1" applyBorder="1"/>
    <xf numFmtId="0" fontId="7" fillId="0" borderId="1" xfId="18" applyFont="1" applyFill="1" applyBorder="1" applyAlignment="1">
      <alignment horizontal="left"/>
    </xf>
    <xf numFmtId="0" fontId="7" fillId="0" borderId="0" xfId="18" applyFont="1" applyFill="1"/>
    <xf numFmtId="0" fontId="7" fillId="0" borderId="1" xfId="24" applyFont="1" applyFill="1" applyBorder="1" applyAlignment="1">
      <alignment horizontal="center" vertical="center" wrapText="1"/>
    </xf>
    <xf numFmtId="0" fontId="16" fillId="0" borderId="0" xfId="0" applyFont="1" applyFill="1" applyBorder="1"/>
    <xf numFmtId="0" fontId="7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34" applyFont="1" applyFill="1" applyAlignment="1">
      <alignment horizontal="center"/>
    </xf>
    <xf numFmtId="0" fontId="7" fillId="0" borderId="0" xfId="28" applyFont="1" applyFill="1" applyBorder="1" applyAlignment="1">
      <alignment horizontal="center" vertical="center"/>
    </xf>
    <xf numFmtId="0" fontId="7" fillId="0" borderId="0" xfId="37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5" fillId="0" borderId="1" xfId="8" applyFont="1" applyFill="1" applyBorder="1" applyAlignment="1">
      <alignment horizontal="center"/>
    </xf>
    <xf numFmtId="0" fontId="7" fillId="0" borderId="1" xfId="34" applyFont="1" applyFill="1" applyBorder="1" applyAlignment="1">
      <alignment horizontal="center" vertical="center" wrapText="1"/>
    </xf>
    <xf numFmtId="0" fontId="5" fillId="0" borderId="1" xfId="8" applyFont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7" fillId="0" borderId="0" xfId="46" applyFont="1" applyFill="1" applyBorder="1" applyAlignment="1">
      <alignment horizontal="center"/>
    </xf>
    <xf numFmtId="0" fontId="7" fillId="0" borderId="0" xfId="24" applyFont="1" applyFill="1" applyAlignment="1">
      <alignment horizontal="center"/>
    </xf>
    <xf numFmtId="0" fontId="5" fillId="0" borderId="1" xfId="8" applyFont="1" applyFill="1" applyBorder="1"/>
    <xf numFmtId="0" fontId="19" fillId="0" borderId="1" xfId="46" applyFont="1" applyFill="1" applyBorder="1" applyAlignment="1">
      <alignment horizontal="center"/>
    </xf>
    <xf numFmtId="0" fontId="5" fillId="0" borderId="1" xfId="46" applyFont="1" applyFill="1" applyBorder="1" applyAlignment="1">
      <alignment horizontal="center" wrapText="1"/>
    </xf>
    <xf numFmtId="0" fontId="16" fillId="0" borderId="0" xfId="46" applyFont="1" applyFill="1" applyBorder="1"/>
    <xf numFmtId="0" fontId="19" fillId="0" borderId="1" xfId="46" applyFont="1" applyFill="1" applyBorder="1"/>
    <xf numFmtId="0" fontId="16" fillId="0" borderId="2" xfId="46" applyFont="1" applyFill="1" applyBorder="1"/>
    <xf numFmtId="0" fontId="7" fillId="0" borderId="0" xfId="46" applyFont="1" applyFill="1" applyBorder="1"/>
    <xf numFmtId="0" fontId="7" fillId="0" borderId="0" xfId="18" applyFont="1" applyFill="1" applyAlignment="1">
      <alignment horizontal="center"/>
    </xf>
    <xf numFmtId="0" fontId="5" fillId="0" borderId="0" xfId="34" applyFont="1" applyFill="1" applyBorder="1" applyAlignment="1">
      <alignment horizontal="center" wrapText="1"/>
    </xf>
    <xf numFmtId="0" fontId="5" fillId="0" borderId="0" xfId="34" applyFont="1" applyFill="1" applyBorder="1" applyAlignment="1">
      <alignment horizontal="center"/>
    </xf>
    <xf numFmtId="0" fontId="5" fillId="0" borderId="0" xfId="3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6" fillId="0" borderId="0" xfId="0" applyFont="1" applyFill="1" applyAlignment="1">
      <alignment wrapText="1"/>
    </xf>
    <xf numFmtId="0" fontId="7" fillId="0" borderId="1" xfId="9" applyFont="1" applyFill="1" applyBorder="1" applyAlignment="1">
      <alignment horizontal="left"/>
    </xf>
    <xf numFmtId="0" fontId="7" fillId="0" borderId="1" xfId="9" applyFont="1" applyFill="1" applyBorder="1" applyAlignment="1">
      <alignment horizontal="center"/>
    </xf>
    <xf numFmtId="0" fontId="5" fillId="0" borderId="1" xfId="9" applyFont="1" applyFill="1" applyBorder="1" applyAlignment="1">
      <alignment horizontal="center"/>
    </xf>
    <xf numFmtId="0" fontId="7" fillId="0" borderId="0" xfId="24" applyFont="1" applyFill="1" applyBorder="1"/>
    <xf numFmtId="0" fontId="7" fillId="0" borderId="0" xfId="24" applyFont="1" applyFill="1" applyBorder="1" applyAlignment="1">
      <alignment horizontal="left"/>
    </xf>
    <xf numFmtId="0" fontId="16" fillId="0" borderId="0" xfId="0" applyFont="1" applyFill="1"/>
    <xf numFmtId="0" fontId="7" fillId="0" borderId="0" xfId="42" applyFont="1" applyFill="1" applyAlignment="1">
      <alignment horizontal="center"/>
    </xf>
    <xf numFmtId="0" fontId="16" fillId="0" borderId="0" xfId="24" applyFont="1" applyFill="1"/>
    <xf numFmtId="0" fontId="7" fillId="0" borderId="0" xfId="24" applyFont="1" applyFill="1"/>
    <xf numFmtId="0" fontId="5" fillId="0" borderId="1" xfId="25" applyFont="1" applyFill="1" applyBorder="1" applyAlignment="1">
      <alignment horizontal="center" vertical="center"/>
    </xf>
    <xf numFmtId="0" fontId="7" fillId="0" borderId="0" xfId="34" applyFont="1" applyFill="1" applyAlignment="1">
      <alignment horizontal="center" vertical="center"/>
    </xf>
    <xf numFmtId="0" fontId="16" fillId="0" borderId="0" xfId="34" applyFont="1" applyFill="1" applyAlignment="1">
      <alignment horizontal="center" vertical="center"/>
    </xf>
    <xf numFmtId="0" fontId="16" fillId="0" borderId="0" xfId="0" applyNumberFormat="1" applyFont="1" applyFill="1" applyBorder="1" applyAlignment="1" applyProtection="1"/>
    <xf numFmtId="0" fontId="16" fillId="0" borderId="0" xfId="0" applyNumberFormat="1" applyFont="1" applyFill="1" applyBorder="1" applyAlignment="1" applyProtection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18" applyFont="1"/>
    <xf numFmtId="0" fontId="21" fillId="0" borderId="0" xfId="0" applyNumberFormat="1" applyFont="1" applyAlignment="1">
      <alignment horizontal="right" vertical="center"/>
    </xf>
    <xf numFmtId="8" fontId="21" fillId="0" borderId="0" xfId="0" applyNumberFormat="1" applyFont="1" applyAlignment="1">
      <alignment horizontal="right" vertical="center"/>
    </xf>
    <xf numFmtId="0" fontId="7" fillId="0" borderId="0" xfId="0" applyFont="1" applyFill="1"/>
    <xf numFmtId="0" fontId="5" fillId="0" borderId="6" xfId="46" applyFont="1" applyFill="1" applyBorder="1" applyAlignment="1">
      <alignment horizontal="center" wrapText="1"/>
    </xf>
    <xf numFmtId="0" fontId="5" fillId="0" borderId="4" xfId="25" applyFont="1" applyFill="1" applyBorder="1" applyAlignment="1">
      <alignment horizontal="center"/>
    </xf>
    <xf numFmtId="0" fontId="5" fillId="0" borderId="4" xfId="46" applyFont="1" applyFill="1" applyBorder="1" applyAlignment="1">
      <alignment horizontal="center" wrapText="1"/>
    </xf>
    <xf numFmtId="49" fontId="7" fillId="0" borderId="0" xfId="18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7" fillId="0" borderId="1" xfId="25" applyFont="1" applyFill="1" applyBorder="1" applyAlignment="1">
      <alignment horizontal="center" wrapText="1"/>
    </xf>
    <xf numFmtId="0" fontId="22" fillId="0" borderId="1" xfId="0" applyFont="1" applyFill="1" applyBorder="1" applyAlignment="1">
      <alignment horizontal="center"/>
    </xf>
    <xf numFmtId="0" fontId="22" fillId="0" borderId="3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0" fillId="0" borderId="0" xfId="0" applyFill="1"/>
    <xf numFmtId="0" fontId="23" fillId="0" borderId="1" xfId="9" applyNumberFormat="1" applyFont="1" applyFill="1" applyBorder="1" applyAlignment="1">
      <alignment horizontal="left" vertical="center"/>
    </xf>
    <xf numFmtId="0" fontId="1" fillId="0" borderId="1" xfId="2" applyFill="1" applyBorder="1" applyAlignment="1" applyProtection="1"/>
    <xf numFmtId="0" fontId="7" fillId="0" borderId="0" xfId="2" applyNumberFormat="1" applyFont="1" applyFill="1" applyBorder="1" applyAlignment="1" applyProtection="1">
      <alignment horizontal="center" vertical="center"/>
    </xf>
    <xf numFmtId="0" fontId="7" fillId="0" borderId="1" xfId="24" applyFont="1" applyFill="1" applyBorder="1" applyAlignment="1">
      <alignment vertical="center"/>
    </xf>
    <xf numFmtId="0" fontId="68" fillId="0" borderId="0" xfId="25" applyFont="1" applyFill="1" applyAlignment="1">
      <alignment horizontal="center"/>
    </xf>
    <xf numFmtId="0" fontId="16" fillId="0" borderId="0" xfId="0" applyFont="1" applyFill="1" applyAlignment="1">
      <alignment horizontal="left"/>
    </xf>
    <xf numFmtId="0" fontId="7" fillId="0" borderId="1" xfId="2" applyFont="1" applyFill="1" applyBorder="1" applyAlignment="1" applyProtection="1">
      <alignment horizontal="left" vertical="center"/>
    </xf>
    <xf numFmtId="0" fontId="7" fillId="0" borderId="1" xfId="9" applyFont="1" applyFill="1" applyBorder="1" applyAlignment="1">
      <alignment horizontal="left" vertical="center"/>
    </xf>
    <xf numFmtId="0" fontId="5" fillId="0" borderId="1" xfId="9" applyFont="1" applyFill="1" applyBorder="1"/>
    <xf numFmtId="0" fontId="7" fillId="0" borderId="0" xfId="9" applyFont="1" applyFill="1"/>
    <xf numFmtId="0" fontId="7" fillId="0" borderId="1" xfId="9" applyFont="1" applyFill="1" applyBorder="1" applyAlignment="1">
      <alignment horizontal="center" vertical="center"/>
    </xf>
    <xf numFmtId="0" fontId="7" fillId="0" borderId="0" xfId="9" applyFont="1" applyFill="1" applyAlignment="1">
      <alignment horizontal="center" vertical="center"/>
    </xf>
    <xf numFmtId="0" fontId="7" fillId="0" borderId="0" xfId="9" applyFont="1" applyFill="1" applyAlignment="1">
      <alignment horizontal="center"/>
    </xf>
    <xf numFmtId="0" fontId="7" fillId="0" borderId="0" xfId="9" applyFont="1" applyFill="1" applyAlignment="1">
      <alignment vertical="center"/>
    </xf>
    <xf numFmtId="0" fontId="7" fillId="0" borderId="0" xfId="9" applyFont="1"/>
    <xf numFmtId="0" fontId="7" fillId="0" borderId="0" xfId="9" applyFont="1" applyAlignment="1">
      <alignment horizontal="center"/>
    </xf>
    <xf numFmtId="0" fontId="2" fillId="0" borderId="0" xfId="9" applyFill="1" applyAlignment="1">
      <alignment horizontal="center"/>
    </xf>
    <xf numFmtId="0" fontId="5" fillId="0" borderId="1" xfId="9" applyFont="1" applyBorder="1"/>
    <xf numFmtId="0" fontId="7" fillId="0" borderId="1" xfId="9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7" fillId="0" borderId="0" xfId="9" applyFont="1" applyFill="1" applyAlignment="1">
      <alignment horizontal="left"/>
    </xf>
    <xf numFmtId="0" fontId="8" fillId="0" borderId="0" xfId="9" applyFont="1" applyFill="1"/>
    <xf numFmtId="0" fontId="23" fillId="0" borderId="0" xfId="34" applyNumberFormat="1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8" fillId="0" borderId="0" xfId="9" applyFont="1" applyFill="1" applyAlignment="1">
      <alignment horizontal="center"/>
    </xf>
    <xf numFmtId="0" fontId="5" fillId="0" borderId="1" xfId="9" applyFont="1" applyFill="1" applyBorder="1" applyAlignment="1">
      <alignment horizontal="left"/>
    </xf>
    <xf numFmtId="0" fontId="5" fillId="0" borderId="1" xfId="9" applyFont="1" applyFill="1" applyBorder="1" applyAlignment="1">
      <alignment horizontal="center" vertical="center"/>
    </xf>
    <xf numFmtId="0" fontId="7" fillId="0" borderId="0" xfId="9" applyFont="1" applyBorder="1" applyAlignment="1">
      <alignment horizontal="left"/>
    </xf>
    <xf numFmtId="0" fontId="7" fillId="0" borderId="0" xfId="9" applyFont="1" applyBorder="1" applyAlignment="1">
      <alignment horizontal="center" vertical="center"/>
    </xf>
    <xf numFmtId="0" fontId="7" fillId="0" borderId="0" xfId="9" applyFont="1" applyBorder="1" applyAlignment="1">
      <alignment horizontal="center"/>
    </xf>
    <xf numFmtId="0" fontId="7" fillId="0" borderId="0" xfId="9" applyFont="1" applyBorder="1"/>
    <xf numFmtId="0" fontId="7" fillId="0" borderId="0" xfId="9" applyFont="1" applyAlignment="1">
      <alignment horizontal="left"/>
    </xf>
    <xf numFmtId="0" fontId="2" fillId="0" borderId="0" xfId="9" applyFill="1"/>
    <xf numFmtId="0" fontId="2" fillId="0" borderId="0" xfId="9" applyFont="1" applyFill="1" applyAlignment="1">
      <alignment horizontal="center"/>
    </xf>
    <xf numFmtId="0" fontId="7" fillId="0" borderId="1" xfId="9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34" applyNumberFormat="1" applyFont="1" applyFill="1" applyBorder="1" applyAlignment="1">
      <alignment horizontal="left" vertical="center"/>
    </xf>
    <xf numFmtId="0" fontId="7" fillId="0" borderId="1" xfId="18" applyNumberFormat="1" applyFont="1" applyFill="1" applyBorder="1" applyAlignment="1">
      <alignment horizontal="left" vertical="center" wrapText="1"/>
    </xf>
    <xf numFmtId="0" fontId="7" fillId="0" borderId="1" xfId="34" applyNumberFormat="1" applyFont="1" applyFill="1" applyBorder="1" applyAlignment="1">
      <alignment horizontal="center" vertical="center"/>
    </xf>
    <xf numFmtId="0" fontId="7" fillId="0" borderId="1" xfId="8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7" fillId="0" borderId="1" xfId="9" applyNumberFormat="1" applyFont="1" applyBorder="1" applyAlignment="1">
      <alignment horizontal="left" vertical="center"/>
    </xf>
    <xf numFmtId="0" fontId="7" fillId="0" borderId="0" xfId="34" applyFont="1" applyFill="1" applyBorder="1" applyAlignment="1">
      <alignment vertical="center"/>
    </xf>
    <xf numFmtId="0" fontId="7" fillId="0" borderId="1" xfId="9" applyNumberFormat="1" applyFont="1" applyBorder="1" applyAlignment="1">
      <alignment horizontal="center" vertical="center"/>
    </xf>
    <xf numFmtId="0" fontId="7" fillId="0" borderId="1" xfId="25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2" applyFont="1" applyFill="1" applyBorder="1" applyAlignment="1" applyProtection="1">
      <alignment horizontal="left" vertical="center"/>
    </xf>
    <xf numFmtId="0" fontId="0" fillId="0" borderId="0" xfId="0" applyFont="1"/>
    <xf numFmtId="0" fontId="14" fillId="0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0" fillId="0" borderId="0" xfId="0"/>
    <xf numFmtId="0" fontId="7" fillId="0" borderId="1" xfId="24" applyNumberFormat="1" applyFont="1" applyBorder="1" applyAlignment="1">
      <alignment vertical="center"/>
    </xf>
    <xf numFmtId="0" fontId="16" fillId="0" borderId="0" xfId="0" applyFont="1" applyFill="1"/>
    <xf numFmtId="0" fontId="7" fillId="0" borderId="0" xfId="8" applyFont="1" applyFill="1" applyAlignment="1"/>
    <xf numFmtId="0" fontId="7" fillId="0" borderId="1" xfId="18" applyFont="1" applyFill="1" applyBorder="1" applyAlignment="1"/>
    <xf numFmtId="0" fontId="5" fillId="0" borderId="5" xfId="18" applyFont="1" applyFill="1" applyBorder="1" applyAlignment="1"/>
    <xf numFmtId="0" fontId="8" fillId="0" borderId="0" xfId="25" applyFont="1" applyFill="1" applyAlignment="1"/>
    <xf numFmtId="0" fontId="5" fillId="0" borderId="5" xfId="18" applyFont="1" applyBorder="1" applyAlignment="1">
      <alignment horizontal="center"/>
    </xf>
    <xf numFmtId="0" fontId="5" fillId="0" borderId="5" xfId="25" applyFont="1" applyFill="1" applyBorder="1" applyAlignment="1">
      <alignment horizontal="center"/>
    </xf>
    <xf numFmtId="0" fontId="5" fillId="0" borderId="5" xfId="24" applyFont="1" applyFill="1" applyBorder="1" applyAlignment="1">
      <alignment horizontal="center" wrapText="1"/>
    </xf>
    <xf numFmtId="0" fontId="7" fillId="0" borderId="0" xfId="34" applyFont="1" applyFill="1"/>
    <xf numFmtId="0" fontId="7" fillId="0" borderId="0" xfId="18" applyFont="1" applyFill="1"/>
    <xf numFmtId="0" fontId="7" fillId="0" borderId="0" xfId="18" applyFont="1" applyFill="1" applyAlignment="1">
      <alignment horizontal="center"/>
    </xf>
    <xf numFmtId="0" fontId="5" fillId="0" borderId="5" xfId="25" applyFont="1" applyFill="1" applyBorder="1" applyAlignment="1">
      <alignment horizontal="center"/>
    </xf>
    <xf numFmtId="0" fontId="5" fillId="0" borderId="5" xfId="18" applyFont="1" applyFill="1" applyBorder="1" applyAlignment="1">
      <alignment horizontal="center"/>
    </xf>
    <xf numFmtId="0" fontId="5" fillId="0" borderId="5" xfId="18" applyFont="1" applyFill="1" applyBorder="1"/>
    <xf numFmtId="0" fontId="5" fillId="0" borderId="5" xfId="9" applyFont="1" applyFill="1" applyBorder="1"/>
    <xf numFmtId="0" fontId="7" fillId="0" borderId="1" xfId="34" applyFont="1" applyFill="1" applyBorder="1" applyAlignment="1">
      <alignment horizontal="center" vertical="center"/>
    </xf>
    <xf numFmtId="0" fontId="7" fillId="0" borderId="1" xfId="34" applyFont="1" applyFill="1" applyBorder="1" applyAlignment="1">
      <alignment horizontal="center" wrapText="1"/>
    </xf>
    <xf numFmtId="0" fontId="16" fillId="0" borderId="1" xfId="0" applyFont="1" applyFill="1" applyBorder="1" applyAlignment="1">
      <alignment horizontal="center"/>
    </xf>
    <xf numFmtId="0" fontId="16" fillId="0" borderId="1" xfId="0" applyFont="1" applyFill="1" applyBorder="1"/>
    <xf numFmtId="0" fontId="16" fillId="0" borderId="1" xfId="0" applyFont="1" applyFill="1" applyBorder="1" applyAlignment="1">
      <alignment horizontal="center" vertical="center"/>
    </xf>
    <xf numFmtId="0" fontId="7" fillId="0" borderId="1" xfId="9" applyFont="1" applyFill="1" applyBorder="1" applyAlignment="1">
      <alignment horizontal="center"/>
    </xf>
    <xf numFmtId="0" fontId="7" fillId="0" borderId="1" xfId="9" applyFont="1" applyFill="1" applyBorder="1"/>
    <xf numFmtId="0" fontId="16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7" fillId="0" borderId="0" xfId="9" applyFont="1" applyFill="1"/>
    <xf numFmtId="0" fontId="7" fillId="0" borderId="1" xfId="24" applyNumberFormat="1" applyFont="1" applyBorder="1" applyAlignment="1">
      <alignment vertical="center"/>
    </xf>
    <xf numFmtId="0" fontId="5" fillId="0" borderId="5" xfId="25" applyFont="1" applyFill="1" applyBorder="1" applyAlignment="1">
      <alignment horizontal="center"/>
    </xf>
    <xf numFmtId="0" fontId="5" fillId="0" borderId="5" xfId="25" applyFont="1" applyFill="1" applyBorder="1" applyAlignment="1">
      <alignment horizontal="center" wrapText="1"/>
    </xf>
    <xf numFmtId="0" fontId="5" fillId="0" borderId="26" xfId="25" applyFont="1" applyFill="1" applyBorder="1" applyAlignment="1">
      <alignment horizontal="center" wrapText="1"/>
    </xf>
    <xf numFmtId="0" fontId="15" fillId="0" borderId="0" xfId="34" applyFont="1" applyFill="1"/>
    <xf numFmtId="0" fontId="7" fillId="0" borderId="1" xfId="34" applyFont="1" applyFill="1" applyBorder="1"/>
    <xf numFmtId="0" fontId="7" fillId="0" borderId="1" xfId="34" applyFont="1" applyFill="1" applyBorder="1" applyAlignment="1">
      <alignment horizontal="center"/>
    </xf>
    <xf numFmtId="0" fontId="7" fillId="0" borderId="1" xfId="25" applyFont="1" applyFill="1" applyBorder="1" applyAlignment="1">
      <alignment horizontal="left" wrapText="1"/>
    </xf>
    <xf numFmtId="0" fontId="7" fillId="0" borderId="0" xfId="25" applyFont="1" applyFill="1"/>
    <xf numFmtId="0" fontId="7" fillId="0" borderId="0" xfId="25" applyFont="1" applyFill="1" applyAlignment="1">
      <alignment horizontal="center"/>
    </xf>
    <xf numFmtId="0" fontId="7" fillId="0" borderId="0" xfId="25" applyFont="1" applyFill="1" applyAlignment="1">
      <alignment horizontal="left"/>
    </xf>
    <xf numFmtId="0" fontId="16" fillId="0" borderId="1" xfId="0" applyFont="1" applyFill="1" applyBorder="1" applyAlignment="1">
      <alignment horizontal="center" vertical="center"/>
    </xf>
    <xf numFmtId="0" fontId="7" fillId="0" borderId="1" xfId="9" applyFont="1" applyFill="1" applyBorder="1" applyAlignment="1">
      <alignment horizontal="center"/>
    </xf>
    <xf numFmtId="0" fontId="7" fillId="0" borderId="1" xfId="25" applyFont="1" applyFill="1" applyBorder="1" applyAlignment="1">
      <alignment horizontal="center" wrapText="1"/>
    </xf>
    <xf numFmtId="0" fontId="7" fillId="0" borderId="8" xfId="24" applyFont="1" applyFill="1" applyBorder="1" applyAlignment="1">
      <alignment vertical="center"/>
    </xf>
    <xf numFmtId="0" fontId="7" fillId="0" borderId="1" xfId="25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34" applyFont="1" applyFill="1" applyBorder="1" applyAlignment="1">
      <alignment horizontal="center" wrapText="1"/>
    </xf>
    <xf numFmtId="0" fontId="5" fillId="0" borderId="5" xfId="8" applyFont="1" applyFill="1" applyBorder="1" applyAlignment="1">
      <alignment horizontal="center"/>
    </xf>
    <xf numFmtId="0" fontId="5" fillId="0" borderId="5" xfId="8" applyFont="1" applyFill="1" applyBorder="1"/>
    <xf numFmtId="0" fontId="0" fillId="0" borderId="0" xfId="0"/>
    <xf numFmtId="0" fontId="6" fillId="0" borderId="0" xfId="0" applyFont="1" applyFill="1" applyBorder="1" applyAlignment="1">
      <alignment horizontal="center" vertical="center"/>
    </xf>
    <xf numFmtId="0" fontId="5" fillId="0" borderId="5" xfId="25" applyFont="1" applyFill="1" applyBorder="1" applyAlignment="1">
      <alignment horizontal="center"/>
    </xf>
    <xf numFmtId="0" fontId="5" fillId="0" borderId="5" xfId="25" applyFont="1" applyFill="1" applyBorder="1" applyAlignment="1">
      <alignment horizontal="center" vertical="center"/>
    </xf>
    <xf numFmtId="0" fontId="7" fillId="0" borderId="8" xfId="24" applyNumberFormat="1" applyFont="1" applyBorder="1" applyAlignment="1">
      <alignment vertical="center"/>
    </xf>
    <xf numFmtId="0" fontId="7" fillId="0" borderId="8" xfId="0" applyFont="1" applyFill="1" applyBorder="1" applyAlignment="1">
      <alignment horizontal="left" vertical="center"/>
    </xf>
    <xf numFmtId="0" fontId="7" fillId="0" borderId="8" xfId="24" applyNumberFormat="1" applyFont="1" applyFill="1" applyBorder="1" applyAlignment="1">
      <alignment vertical="center"/>
    </xf>
    <xf numFmtId="0" fontId="5" fillId="0" borderId="26" xfId="24" applyFont="1" applyFill="1" applyBorder="1" applyAlignment="1">
      <alignment horizontal="center" wrapText="1"/>
    </xf>
    <xf numFmtId="0" fontId="0" fillId="0" borderId="0" xfId="25" applyFont="1" applyFill="1" applyAlignment="1">
      <alignment horizontal="center"/>
    </xf>
    <xf numFmtId="0" fontId="7" fillId="0" borderId="1" xfId="34" applyNumberFormat="1" applyFont="1" applyBorder="1" applyAlignment="1">
      <alignment horizontal="center"/>
    </xf>
    <xf numFmtId="0" fontId="7" fillId="0" borderId="0" xfId="18" applyFont="1" applyBorder="1" applyAlignment="1">
      <alignment horizontal="left"/>
    </xf>
    <xf numFmtId="0" fontId="7" fillId="0" borderId="1" xfId="8" applyFont="1" applyFill="1" applyBorder="1" applyAlignment="1"/>
    <xf numFmtId="0" fontId="7" fillId="0" borderId="0" xfId="18" applyFont="1" applyFill="1" applyBorder="1" applyAlignment="1"/>
    <xf numFmtId="0" fontId="7" fillId="0" borderId="1" xfId="8" applyFont="1" applyFill="1" applyBorder="1" applyAlignment="1">
      <alignment vertical="center"/>
    </xf>
    <xf numFmtId="0" fontId="16" fillId="0" borderId="4" xfId="0" applyFont="1" applyFill="1" applyBorder="1" applyAlignment="1">
      <alignment horizontal="center" vertical="center"/>
    </xf>
    <xf numFmtId="0" fontId="0" fillId="0" borderId="0" xfId="24" applyFont="1" applyFill="1" applyBorder="1" applyAlignment="1">
      <alignment horizontal="center"/>
    </xf>
    <xf numFmtId="0" fontId="7" fillId="0" borderId="1" xfId="24" applyNumberFormat="1" applyFont="1" applyFill="1" applyBorder="1" applyAlignment="1">
      <alignment vertical="center"/>
    </xf>
    <xf numFmtId="0" fontId="0" fillId="0" borderId="0" xfId="0"/>
    <xf numFmtId="0" fontId="8" fillId="0" borderId="0" xfId="25" applyFont="1" applyFill="1"/>
    <xf numFmtId="0" fontId="8" fillId="0" borderId="0" xfId="25" applyFont="1" applyFill="1" applyAlignment="1">
      <alignment horizontal="center"/>
    </xf>
    <xf numFmtId="0" fontId="8" fillId="0" borderId="0" xfId="25" applyFont="1" applyFill="1" applyAlignment="1">
      <alignment horizontal="left"/>
    </xf>
    <xf numFmtId="0" fontId="15" fillId="0" borderId="0" xfId="34" applyFont="1" applyFill="1" applyBorder="1"/>
    <xf numFmtId="0" fontId="7" fillId="0" borderId="1" xfId="34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34" applyFont="1" applyFill="1" applyBorder="1" applyAlignment="1">
      <alignment horizontal="center"/>
    </xf>
    <xf numFmtId="0" fontId="16" fillId="0" borderId="0" xfId="34" applyFont="1" applyFill="1" applyBorder="1" applyAlignment="1">
      <alignment horizontal="left"/>
    </xf>
    <xf numFmtId="0" fontId="16" fillId="0" borderId="0" xfId="34" applyFont="1" applyFill="1" applyBorder="1" applyAlignment="1">
      <alignment horizontal="center"/>
    </xf>
    <xf numFmtId="0" fontId="15" fillId="0" borderId="0" xfId="34" applyFont="1" applyFill="1" applyBorder="1" applyAlignment="1">
      <alignment horizontal="center"/>
    </xf>
    <xf numFmtId="0" fontId="7" fillId="0" borderId="8" xfId="34" applyFont="1" applyFill="1" applyBorder="1" applyAlignment="1">
      <alignment horizontal="left" wrapText="1"/>
    </xf>
    <xf numFmtId="0" fontId="7" fillId="0" borderId="8" xfId="25" applyFont="1" applyFill="1" applyBorder="1" applyAlignment="1">
      <alignment vertical="center"/>
    </xf>
    <xf numFmtId="0" fontId="5" fillId="0" borderId="26" xfId="34" applyFont="1" applyFill="1" applyBorder="1" applyAlignment="1">
      <alignment horizontal="center" wrapText="1"/>
    </xf>
    <xf numFmtId="0" fontId="5" fillId="0" borderId="5" xfId="25" applyFont="1" applyFill="1" applyBorder="1" applyAlignment="1">
      <alignment horizontal="center"/>
    </xf>
    <xf numFmtId="0" fontId="5" fillId="0" borderId="5" xfId="34" applyFont="1" applyFill="1" applyBorder="1" applyAlignment="1">
      <alignment horizontal="center" wrapText="1"/>
    </xf>
    <xf numFmtId="0" fontId="15" fillId="0" borderId="0" xfId="34" applyFont="1" applyFill="1" applyAlignment="1">
      <alignment horizontal="center"/>
    </xf>
    <xf numFmtId="0" fontId="7" fillId="0" borderId="0" xfId="9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7" fillId="0" borderId="1" xfId="34" applyNumberFormat="1" applyFont="1" applyFill="1" applyBorder="1" applyAlignment="1">
      <alignment horizontal="center"/>
    </xf>
    <xf numFmtId="0" fontId="15" fillId="0" borderId="0" xfId="34" applyNumberFormat="1" applyFont="1" applyFill="1" applyBorder="1" applyAlignment="1">
      <alignment horizontal="center"/>
    </xf>
    <xf numFmtId="0" fontId="0" fillId="0" borderId="0" xfId="34" applyFont="1" applyFill="1"/>
    <xf numFmtId="0" fontId="16" fillId="0" borderId="0" xfId="0" applyFont="1" applyFill="1" applyBorder="1" applyAlignment="1">
      <alignment horizontal="left"/>
    </xf>
    <xf numFmtId="0" fontId="5" fillId="0" borderId="0" xfId="24" applyFont="1" applyFill="1" applyBorder="1" applyAlignment="1">
      <alignment horizontal="center" vertical="center"/>
    </xf>
    <xf numFmtId="0" fontId="7" fillId="0" borderId="0" xfId="9" applyFont="1" applyFill="1" applyBorder="1"/>
    <xf numFmtId="0" fontId="16" fillId="0" borderId="31" xfId="0" applyFont="1" applyFill="1" applyBorder="1" applyAlignment="1">
      <alignment horizontal="center" vertical="center"/>
    </xf>
    <xf numFmtId="0" fontId="7" fillId="0" borderId="31" xfId="24" applyFont="1" applyFill="1" applyBorder="1" applyAlignment="1">
      <alignment vertical="center"/>
    </xf>
    <xf numFmtId="0" fontId="71" fillId="0" borderId="1" xfId="0" applyFont="1" applyFill="1" applyBorder="1" applyAlignment="1">
      <alignment horizontal="center" vertical="center"/>
    </xf>
    <xf numFmtId="0" fontId="70" fillId="0" borderId="8" xfId="24" applyFont="1" applyFill="1" applyBorder="1" applyAlignment="1">
      <alignment vertical="center"/>
    </xf>
    <xf numFmtId="0" fontId="70" fillId="0" borderId="1" xfId="34" applyFont="1" applyFill="1" applyBorder="1" applyAlignment="1">
      <alignment horizontal="center"/>
    </xf>
    <xf numFmtId="0" fontId="0" fillId="0" borderId="0" xfId="9" applyFont="1" applyFill="1"/>
    <xf numFmtId="0" fontId="7" fillId="0" borderId="0" xfId="34" applyNumberFormat="1" applyFont="1" applyFill="1" applyBorder="1" applyAlignment="1">
      <alignment horizontal="center"/>
    </xf>
    <xf numFmtId="0" fontId="72" fillId="0" borderId="0" xfId="0" applyFont="1"/>
    <xf numFmtId="0" fontId="73" fillId="0" borderId="0" xfId="0" applyFont="1" applyAlignment="1">
      <alignment vertical="center"/>
    </xf>
    <xf numFmtId="0" fontId="5" fillId="0" borderId="1" xfId="25" applyNumberFormat="1" applyFont="1" applyBorder="1" applyAlignment="1">
      <alignment horizontal="center"/>
    </xf>
    <xf numFmtId="0" fontId="5" fillId="0" borderId="5" xfId="34" applyNumberFormat="1" applyFont="1" applyFill="1" applyBorder="1" applyAlignment="1">
      <alignment horizontal="center" wrapText="1"/>
    </xf>
    <xf numFmtId="0" fontId="5" fillId="0" borderId="5" xfId="25" applyNumberFormat="1" applyFont="1" applyFill="1" applyBorder="1" applyAlignment="1">
      <alignment horizontal="center"/>
    </xf>
    <xf numFmtId="0" fontId="5" fillId="0" borderId="1" xfId="25" applyNumberFormat="1" applyFont="1" applyFill="1" applyBorder="1" applyAlignment="1">
      <alignment horizontal="center"/>
    </xf>
    <xf numFmtId="0" fontId="7" fillId="0" borderId="0" xfId="34" applyNumberFormat="1" applyFont="1" applyFill="1"/>
    <xf numFmtId="0" fontId="8" fillId="0" borderId="0" xfId="25" applyNumberFormat="1" applyFont="1" applyFill="1"/>
    <xf numFmtId="0" fontId="7" fillId="0" borderId="0" xfId="34" applyNumberFormat="1" applyFont="1" applyFill="1" applyAlignment="1">
      <alignment horizontal="center"/>
    </xf>
    <xf numFmtId="0" fontId="8" fillId="0" borderId="0" xfId="25" applyNumberFormat="1" applyFont="1" applyFill="1" applyAlignment="1">
      <alignment horizontal="center"/>
    </xf>
    <xf numFmtId="0" fontId="7" fillId="4" borderId="0" xfId="34" applyNumberFormat="1" applyFont="1" applyFill="1" applyBorder="1" applyAlignment="1">
      <alignment horizontal="left" wrapText="1"/>
    </xf>
    <xf numFmtId="0" fontId="7" fillId="0" borderId="8" xfId="34" applyFont="1" applyFill="1" applyBorder="1" applyAlignment="1">
      <alignment vertical="center"/>
    </xf>
    <xf numFmtId="0" fontId="7" fillId="0" borderId="0" xfId="46" applyFont="1" applyFill="1" applyBorder="1" applyAlignment="1">
      <alignment horizontal="left" wrapText="1"/>
    </xf>
    <xf numFmtId="0" fontId="7" fillId="0" borderId="0" xfId="46" applyFont="1" applyFill="1" applyBorder="1" applyAlignment="1">
      <alignment horizontal="center" wrapText="1"/>
    </xf>
    <xf numFmtId="0" fontId="7" fillId="0" borderId="29" xfId="24" applyFont="1" applyFill="1" applyBorder="1" applyAlignment="1">
      <alignment vertical="center"/>
    </xf>
    <xf numFmtId="0" fontId="70" fillId="0" borderId="8" xfId="24" applyNumberFormat="1" applyFont="1" applyFill="1" applyBorder="1" applyAlignment="1">
      <alignment vertical="center"/>
    </xf>
    <xf numFmtId="0" fontId="71" fillId="0" borderId="1" xfId="24" applyFont="1" applyFill="1" applyBorder="1" applyAlignment="1">
      <alignment horizontal="center" vertical="center"/>
    </xf>
    <xf numFmtId="0" fontId="17" fillId="0" borderId="1" xfId="9" applyNumberFormat="1" applyFont="1" applyBorder="1" applyAlignment="1">
      <alignment horizontal="center" vertical="center"/>
    </xf>
    <xf numFmtId="0" fontId="7" fillId="0" borderId="1" xfId="8" applyNumberFormat="1" applyFont="1" applyFill="1" applyBorder="1" applyAlignment="1"/>
    <xf numFmtId="0" fontId="7" fillId="0" borderId="1" xfId="8" applyNumberFormat="1" applyFont="1" applyFill="1" applyBorder="1" applyAlignment="1">
      <alignment horizontal="center"/>
    </xf>
    <xf numFmtId="0" fontId="7" fillId="0" borderId="0" xfId="8" applyFont="1" applyFill="1" applyAlignment="1">
      <alignment horizontal="center"/>
    </xf>
    <xf numFmtId="0" fontId="5" fillId="0" borderId="1" xfId="18" applyFont="1" applyFill="1" applyBorder="1" applyAlignment="1">
      <alignment horizontal="center"/>
    </xf>
    <xf numFmtId="0" fontId="7" fillId="0" borderId="0" xfId="42" applyFont="1" applyFill="1" applyAlignment="1"/>
    <xf numFmtId="0" fontId="7" fillId="0" borderId="1" xfId="24" applyFont="1" applyFill="1" applyBorder="1" applyAlignment="1"/>
    <xf numFmtId="0" fontId="7" fillId="0" borderId="0" xfId="9" applyFont="1" applyFill="1" applyAlignment="1"/>
    <xf numFmtId="0" fontId="19" fillId="0" borderId="33" xfId="34" applyNumberFormat="1" applyFont="1" applyBorder="1" applyAlignment="1">
      <alignment horizontal="left"/>
    </xf>
    <xf numFmtId="0" fontId="19" fillId="0" borderId="32" xfId="34" applyNumberFormat="1" applyFont="1" applyBorder="1" applyAlignment="1">
      <alignment horizontal="left"/>
    </xf>
    <xf numFmtId="0" fontId="76" fillId="0" borderId="5" xfId="25" applyFont="1" applyFill="1" applyBorder="1" applyAlignment="1">
      <alignment horizontal="center"/>
    </xf>
    <xf numFmtId="0" fontId="15" fillId="52" borderId="1" xfId="34" applyFont="1" applyFill="1" applyBorder="1" applyAlignment="1">
      <alignment horizontal="center"/>
    </xf>
    <xf numFmtId="0" fontId="78" fillId="52" borderId="1" xfId="0" applyFont="1" applyFill="1" applyBorder="1" applyAlignment="1">
      <alignment horizontal="center"/>
    </xf>
    <xf numFmtId="0" fontId="8" fillId="0" borderId="1" xfId="25" applyFont="1" applyFill="1" applyBorder="1"/>
    <xf numFmtId="0" fontId="72" fillId="0" borderId="1" xfId="0" applyFont="1" applyBorder="1"/>
    <xf numFmtId="0" fontId="15" fillId="0" borderId="1" xfId="34" applyFont="1" applyFill="1" applyBorder="1" applyAlignment="1">
      <alignment horizontal="center"/>
    </xf>
    <xf numFmtId="0" fontId="8" fillId="0" borderId="1" xfId="25" applyFont="1" applyFill="1" applyBorder="1" applyAlignment="1">
      <alignment horizontal="center"/>
    </xf>
    <xf numFmtId="0" fontId="0" fillId="52" borderId="1" xfId="0" applyFill="1" applyBorder="1"/>
    <xf numFmtId="0" fontId="7" fillId="52" borderId="1" xfId="34" applyFont="1" applyFill="1" applyBorder="1"/>
    <xf numFmtId="0" fontId="7" fillId="52" borderId="1" xfId="34" applyNumberFormat="1" applyFont="1" applyFill="1" applyBorder="1" applyAlignment="1">
      <alignment horizontal="center"/>
    </xf>
    <xf numFmtId="0" fontId="8" fillId="0" borderId="1" xfId="34" applyFont="1" applyFill="1" applyBorder="1"/>
    <xf numFmtId="0" fontId="16" fillId="52" borderId="1" xfId="0" applyFont="1" applyFill="1" applyBorder="1" applyAlignment="1">
      <alignment wrapText="1"/>
    </xf>
    <xf numFmtId="0" fontId="16" fillId="52" borderId="1" xfId="0" applyFont="1" applyFill="1" applyBorder="1"/>
    <xf numFmtId="0" fontId="72" fillId="52" borderId="1" xfId="0" applyFont="1" applyFill="1" applyBorder="1"/>
    <xf numFmtId="0" fontId="8" fillId="0" borderId="1" xfId="25" applyNumberFormat="1" applyFont="1" applyFill="1" applyBorder="1"/>
    <xf numFmtId="0" fontId="8" fillId="0" borderId="1" xfId="25" applyNumberFormat="1" applyFont="1" applyFill="1" applyBorder="1" applyAlignment="1">
      <alignment horizontal="center"/>
    </xf>
    <xf numFmtId="0" fontId="8" fillId="0" borderId="1" xfId="34" applyNumberFormat="1" applyFont="1" applyFill="1" applyBorder="1"/>
    <xf numFmtId="0" fontId="16" fillId="52" borderId="1" xfId="0" applyFont="1" applyFill="1" applyBorder="1" applyAlignment="1">
      <alignment horizontal="center"/>
    </xf>
    <xf numFmtId="0" fontId="7" fillId="52" borderId="1" xfId="9" applyFont="1" applyFill="1" applyBorder="1" applyAlignment="1">
      <alignment horizontal="left"/>
    </xf>
    <xf numFmtId="0" fontId="7" fillId="52" borderId="1" xfId="9" applyFont="1" applyFill="1" applyBorder="1"/>
    <xf numFmtId="0" fontId="19" fillId="0" borderId="1" xfId="34" applyNumberFormat="1" applyFont="1" applyBorder="1" applyAlignment="1">
      <alignment horizontal="center"/>
    </xf>
    <xf numFmtId="0" fontId="7" fillId="52" borderId="1" xfId="34" applyFont="1" applyFill="1" applyBorder="1" applyAlignment="1">
      <alignment vertical="center"/>
    </xf>
    <xf numFmtId="0" fontId="7" fillId="0" borderId="1" xfId="24" applyFont="1" applyFill="1" applyBorder="1"/>
    <xf numFmtId="0" fontId="7" fillId="52" borderId="1" xfId="24" applyFont="1" applyFill="1" applyBorder="1"/>
    <xf numFmtId="0" fontId="0" fillId="52" borderId="0" xfId="0" applyFill="1"/>
    <xf numFmtId="0" fontId="7" fillId="52" borderId="1" xfId="25" applyFont="1" applyFill="1" applyBorder="1" applyAlignment="1">
      <alignment horizontal="left"/>
    </xf>
    <xf numFmtId="0" fontId="75" fillId="52" borderId="1" xfId="34" applyFont="1" applyFill="1" applyBorder="1" applyAlignment="1">
      <alignment horizontal="center"/>
    </xf>
    <xf numFmtId="0" fontId="15" fillId="52" borderId="1" xfId="34" applyFont="1" applyFill="1" applyBorder="1"/>
    <xf numFmtId="0" fontId="72" fillId="0" borderId="1" xfId="0" applyFont="1" applyFill="1" applyBorder="1"/>
    <xf numFmtId="0" fontId="0" fillId="0" borderId="1" xfId="0" applyFill="1" applyBorder="1"/>
    <xf numFmtId="0" fontId="15" fillId="0" borderId="1" xfId="34" applyFont="1" applyFill="1" applyBorder="1"/>
    <xf numFmtId="0" fontId="16" fillId="52" borderId="1" xfId="34" applyFont="1" applyFill="1" applyBorder="1"/>
    <xf numFmtId="0" fontId="7" fillId="52" borderId="1" xfId="0" applyFont="1" applyFill="1" applyBorder="1" applyAlignment="1">
      <alignment horizontal="center"/>
    </xf>
    <xf numFmtId="0" fontId="0" fillId="0" borderId="1" xfId="0" applyBorder="1"/>
    <xf numFmtId="0" fontId="7" fillId="54" borderId="1" xfId="34" applyNumberFormat="1" applyFont="1" applyFill="1" applyBorder="1" applyAlignment="1">
      <alignment horizontal="center"/>
    </xf>
    <xf numFmtId="0" fontId="7" fillId="52" borderId="0" xfId="9" applyFont="1" applyFill="1"/>
    <xf numFmtId="0" fontId="16" fillId="52" borderId="4" xfId="34" applyFont="1" applyFill="1" applyBorder="1"/>
    <xf numFmtId="0" fontId="2" fillId="52" borderId="1" xfId="9" applyFill="1" applyBorder="1"/>
    <xf numFmtId="0" fontId="7" fillId="52" borderId="1" xfId="9" applyFont="1" applyFill="1" applyBorder="1" applyAlignment="1">
      <alignment horizontal="left" vertical="center" wrapText="1"/>
    </xf>
    <xf numFmtId="0" fontId="14" fillId="52" borderId="1" xfId="34" applyFont="1" applyFill="1" applyBorder="1"/>
    <xf numFmtId="0" fontId="14" fillId="0" borderId="1" xfId="34" applyFont="1" applyFill="1" applyBorder="1" applyAlignment="1">
      <alignment horizontal="center"/>
    </xf>
    <xf numFmtId="0" fontId="7" fillId="52" borderId="1" xfId="25" applyFont="1" applyFill="1" applyBorder="1" applyAlignment="1">
      <alignment horizontal="left" vertical="center"/>
    </xf>
    <xf numFmtId="0" fontId="7" fillId="52" borderId="0" xfId="25" applyFont="1" applyFill="1"/>
    <xf numFmtId="0" fontId="70" fillId="52" borderId="1" xfId="25" applyFont="1" applyFill="1" applyBorder="1" applyAlignment="1">
      <alignment horizontal="left" vertical="center"/>
    </xf>
    <xf numFmtId="0" fontId="70" fillId="0" borderId="3" xfId="2" applyNumberFormat="1" applyFont="1" applyFill="1" applyBorder="1" applyAlignment="1" applyProtection="1">
      <alignment horizontal="center" vertical="center"/>
    </xf>
    <xf numFmtId="0" fontId="7" fillId="0" borderId="3" xfId="2" applyNumberFormat="1" applyFont="1" applyFill="1" applyBorder="1" applyAlignment="1" applyProtection="1">
      <alignment horizontal="center" vertical="center"/>
    </xf>
    <xf numFmtId="0" fontId="7" fillId="0" borderId="3" xfId="0" applyFont="1" applyFill="1" applyBorder="1" applyAlignment="1">
      <alignment horizontal="center"/>
    </xf>
    <xf numFmtId="0" fontId="70" fillId="52" borderId="1" xfId="24" applyFont="1" applyFill="1" applyBorder="1" applyAlignment="1">
      <alignment horizontal="left"/>
    </xf>
    <xf numFmtId="0" fontId="7" fillId="52" borderId="1" xfId="24" applyFont="1" applyFill="1" applyBorder="1" applyAlignment="1">
      <alignment horizontal="left"/>
    </xf>
    <xf numFmtId="0" fontId="7" fillId="52" borderId="1" xfId="24" applyFont="1" applyFill="1" applyBorder="1" applyAlignment="1">
      <alignment horizontal="center"/>
    </xf>
    <xf numFmtId="0" fontId="7" fillId="52" borderId="1" xfId="25" applyFont="1" applyFill="1" applyBorder="1" applyAlignment="1">
      <alignment horizontal="left" wrapText="1"/>
    </xf>
    <xf numFmtId="0" fontId="75" fillId="52" borderId="0" xfId="9" applyFont="1" applyFill="1" applyAlignment="1">
      <alignment horizontal="center"/>
    </xf>
    <xf numFmtId="0" fontId="8" fillId="52" borderId="1" xfId="25" applyFont="1" applyFill="1" applyBorder="1"/>
    <xf numFmtId="0" fontId="8" fillId="52" borderId="1" xfId="25" applyFont="1" applyFill="1" applyBorder="1" applyAlignment="1">
      <alignment horizontal="center"/>
    </xf>
    <xf numFmtId="0" fontId="2" fillId="0" borderId="1" xfId="9" applyFill="1" applyBorder="1"/>
    <xf numFmtId="0" fontId="7" fillId="52" borderId="1" xfId="9" applyFont="1" applyFill="1" applyBorder="1" applyAlignment="1">
      <alignment horizontal="center"/>
    </xf>
    <xf numFmtId="0" fontId="2" fillId="0" borderId="1" xfId="9" applyFill="1" applyBorder="1" applyAlignment="1">
      <alignment horizontal="center"/>
    </xf>
    <xf numFmtId="0" fontId="16" fillId="0" borderId="3" xfId="46" applyFont="1" applyFill="1" applyBorder="1" applyAlignment="1">
      <alignment horizontal="center"/>
    </xf>
    <xf numFmtId="0" fontId="16" fillId="0" borderId="37" xfId="46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8" fillId="52" borderId="1" xfId="0" applyFont="1" applyFill="1" applyBorder="1"/>
    <xf numFmtId="0" fontId="8" fillId="0" borderId="1" xfId="9" applyFont="1" applyFill="1" applyBorder="1"/>
    <xf numFmtId="0" fontId="8" fillId="0" borderId="1" xfId="9" applyFont="1" applyFill="1" applyBorder="1" applyAlignment="1">
      <alignment horizontal="center" vertical="center"/>
    </xf>
    <xf numFmtId="0" fontId="7" fillId="0" borderId="3" xfId="9" applyFont="1" applyFill="1" applyBorder="1" applyAlignment="1">
      <alignment horizontal="center"/>
    </xf>
    <xf numFmtId="0" fontId="7" fillId="52" borderId="1" xfId="18" applyFont="1" applyFill="1" applyBorder="1"/>
    <xf numFmtId="0" fontId="7" fillId="52" borderId="1" xfId="18" applyFont="1" applyFill="1" applyBorder="1" applyAlignment="1">
      <alignment horizontal="center"/>
    </xf>
    <xf numFmtId="0" fontId="77" fillId="52" borderId="0" xfId="18" applyFont="1" applyFill="1" applyAlignment="1">
      <alignment horizontal="center" vertical="center"/>
    </xf>
    <xf numFmtId="0" fontId="7" fillId="52" borderId="1" xfId="46" applyFont="1" applyFill="1" applyBorder="1" applyAlignment="1">
      <alignment horizontal="center" wrapText="1"/>
    </xf>
    <xf numFmtId="0" fontId="7" fillId="52" borderId="1" xfId="0" applyFont="1" applyFill="1" applyBorder="1" applyAlignment="1">
      <alignment horizontal="center" wrapText="1"/>
    </xf>
    <xf numFmtId="0" fontId="7" fillId="52" borderId="1" xfId="8" applyFont="1" applyFill="1" applyBorder="1" applyAlignment="1">
      <alignment horizontal="center"/>
    </xf>
    <xf numFmtId="0" fontId="7" fillId="52" borderId="1" xfId="8" applyFont="1" applyFill="1" applyBorder="1"/>
    <xf numFmtId="0" fontId="7" fillId="52" borderId="1" xfId="9" applyFont="1" applyFill="1" applyBorder="1" applyAlignment="1"/>
    <xf numFmtId="0" fontId="8" fillId="0" borderId="1" xfId="25" applyFont="1" applyFill="1" applyBorder="1" applyAlignment="1"/>
    <xf numFmtId="0" fontId="8" fillId="0" borderId="1" xfId="9" applyFont="1" applyFill="1" applyBorder="1" applyAlignment="1"/>
    <xf numFmtId="0" fontId="18" fillId="0" borderId="1" xfId="0" applyFont="1" applyBorder="1" applyAlignment="1">
      <alignment horizontal="center"/>
    </xf>
    <xf numFmtId="0" fontId="16" fillId="0" borderId="1" xfId="34" applyFont="1" applyFill="1" applyBorder="1" applyAlignment="1">
      <alignment horizontal="center" vertical="center"/>
    </xf>
    <xf numFmtId="0" fontId="7" fillId="0" borderId="1" xfId="42" applyFont="1" applyFill="1" applyBorder="1" applyAlignment="1">
      <alignment horizontal="center"/>
    </xf>
    <xf numFmtId="0" fontId="5" fillId="0" borderId="1" xfId="24" applyFont="1" applyFill="1" applyBorder="1" applyAlignment="1">
      <alignment horizontal="center" vertical="center"/>
    </xf>
    <xf numFmtId="0" fontId="7" fillId="52" borderId="1" xfId="25" applyFont="1" applyFill="1" applyBorder="1" applyAlignment="1">
      <alignment horizontal="center"/>
    </xf>
    <xf numFmtId="0" fontId="8" fillId="0" borderId="1" xfId="9" applyFont="1" applyFill="1" applyBorder="1" applyAlignment="1">
      <alignment horizontal="center"/>
    </xf>
    <xf numFmtId="167" fontId="16" fillId="0" borderId="0" xfId="0" applyNumberFormat="1" applyFont="1" applyFill="1"/>
    <xf numFmtId="44" fontId="74" fillId="52" borderId="1" xfId="1352" applyFont="1" applyFill="1" applyBorder="1" applyAlignment="1"/>
    <xf numFmtId="0" fontId="7" fillId="52" borderId="1" xfId="34" applyFont="1" applyFill="1" applyBorder="1" applyAlignment="1">
      <alignment horizontal="center"/>
    </xf>
    <xf numFmtId="0" fontId="75" fillId="0" borderId="8" xfId="34" applyFont="1" applyFill="1" applyBorder="1" applyAlignment="1">
      <alignment horizontal="left" wrapText="1"/>
    </xf>
    <xf numFmtId="0" fontId="75" fillId="0" borderId="1" xfId="34" applyFont="1" applyFill="1" applyBorder="1" applyAlignment="1">
      <alignment horizontal="center"/>
    </xf>
    <xf numFmtId="0" fontId="75" fillId="0" borderId="0" xfId="34" applyNumberFormat="1" applyFont="1" applyFill="1" applyAlignment="1">
      <alignment horizontal="center"/>
    </xf>
    <xf numFmtId="0" fontId="79" fillId="0" borderId="0" xfId="34" applyFont="1" applyFill="1" applyAlignment="1">
      <alignment horizontal="center"/>
    </xf>
    <xf numFmtId="167" fontId="19" fillId="0" borderId="1" xfId="34" applyNumberFormat="1" applyFont="1" applyBorder="1" applyAlignment="1">
      <alignment horizontal="center"/>
    </xf>
    <xf numFmtId="167" fontId="7" fillId="52" borderId="1" xfId="25" applyNumberFormat="1" applyFont="1" applyFill="1" applyBorder="1" applyAlignment="1">
      <alignment horizontal="left"/>
    </xf>
    <xf numFmtId="167" fontId="75" fillId="52" borderId="1" xfId="25" applyNumberFormat="1" applyFont="1" applyFill="1" applyBorder="1" applyAlignment="1">
      <alignment horizontal="left"/>
    </xf>
    <xf numFmtId="167" fontId="8" fillId="0" borderId="0" xfId="25" applyNumberFormat="1" applyFont="1" applyFill="1" applyAlignment="1">
      <alignment horizontal="left"/>
    </xf>
    <xf numFmtId="167" fontId="15" fillId="0" borderId="0" xfId="34" applyNumberFormat="1" applyFont="1" applyFill="1" applyBorder="1"/>
    <xf numFmtId="0" fontId="75" fillId="0" borderId="29" xfId="34" applyFont="1" applyFill="1" applyBorder="1" applyAlignment="1">
      <alignment horizontal="left" wrapText="1"/>
    </xf>
    <xf numFmtId="0" fontId="75" fillId="0" borderId="4" xfId="34" applyFont="1" applyFill="1" applyBorder="1" applyAlignment="1">
      <alignment horizontal="center"/>
    </xf>
    <xf numFmtId="0" fontId="75" fillId="0" borderId="0" xfId="34" applyNumberFormat="1" applyFont="1" applyFill="1" applyBorder="1" applyAlignment="1">
      <alignment horizontal="center"/>
    </xf>
    <xf numFmtId="0" fontId="79" fillId="0" borderId="0" xfId="34" applyFont="1" applyFill="1" applyBorder="1" applyAlignment="1">
      <alignment horizontal="center"/>
    </xf>
    <xf numFmtId="167" fontId="75" fillId="52" borderId="4" xfId="25" applyNumberFormat="1" applyFont="1" applyFill="1" applyBorder="1" applyAlignment="1">
      <alignment horizontal="left"/>
    </xf>
    <xf numFmtId="0" fontId="75" fillId="52" borderId="4" xfId="34" applyNumberFormat="1" applyFont="1" applyFill="1" applyBorder="1" applyAlignment="1">
      <alignment horizontal="center"/>
    </xf>
    <xf numFmtId="167" fontId="19" fillId="0" borderId="32" xfId="34" applyNumberFormat="1" applyFont="1" applyBorder="1" applyAlignment="1">
      <alignment horizontal="left"/>
    </xf>
    <xf numFmtId="167" fontId="7" fillId="52" borderId="1" xfId="8" applyNumberFormat="1" applyFont="1" applyFill="1" applyBorder="1"/>
    <xf numFmtId="167" fontId="8" fillId="0" borderId="0" xfId="25" applyNumberFormat="1" applyFont="1" applyFill="1"/>
    <xf numFmtId="167" fontId="7" fillId="0" borderId="0" xfId="8" applyNumberFormat="1" applyFont="1" applyFill="1"/>
    <xf numFmtId="167" fontId="16" fillId="52" borderId="1" xfId="0" applyNumberFormat="1" applyFont="1" applyFill="1" applyBorder="1"/>
    <xf numFmtId="167" fontId="19" fillId="0" borderId="33" xfId="34" applyNumberFormat="1" applyFont="1" applyBorder="1" applyAlignment="1">
      <alignment horizontal="center"/>
    </xf>
    <xf numFmtId="167" fontId="7" fillId="52" borderId="1" xfId="34" applyNumberFormat="1" applyFont="1" applyFill="1" applyBorder="1"/>
    <xf numFmtId="167" fontId="7" fillId="0" borderId="1" xfId="34" applyNumberFormat="1" applyFont="1" applyFill="1" applyBorder="1"/>
    <xf numFmtId="167" fontId="7" fillId="0" borderId="0" xfId="34" applyNumberFormat="1" applyFont="1" applyFill="1"/>
    <xf numFmtId="167" fontId="15" fillId="52" borderId="1" xfId="34" applyNumberFormat="1" applyFont="1" applyFill="1" applyBorder="1" applyAlignment="1">
      <alignment horizontal="center"/>
    </xf>
    <xf numFmtId="167" fontId="16" fillId="52" borderId="1" xfId="0" applyNumberFormat="1" applyFont="1" applyFill="1" applyBorder="1" applyAlignment="1">
      <alignment wrapText="1"/>
    </xf>
    <xf numFmtId="167" fontId="16" fillId="0" borderId="0" xfId="0" applyNumberFormat="1" applyFont="1" applyFill="1" applyAlignment="1">
      <alignment wrapText="1"/>
    </xf>
    <xf numFmtId="167" fontId="7" fillId="52" borderId="3" xfId="25" applyNumberFormat="1" applyFont="1" applyFill="1" applyBorder="1" applyAlignment="1">
      <alignment horizontal="left"/>
    </xf>
    <xf numFmtId="167" fontId="7" fillId="0" borderId="3" xfId="25" applyNumberFormat="1" applyFont="1" applyFill="1" applyBorder="1" applyAlignment="1">
      <alignment horizontal="left"/>
    </xf>
    <xf numFmtId="167" fontId="0" fillId="0" borderId="1" xfId="0" applyNumberFormat="1" applyFill="1" applyBorder="1"/>
    <xf numFmtId="167" fontId="16" fillId="0" borderId="1" xfId="0" applyNumberFormat="1" applyFont="1" applyFill="1" applyBorder="1"/>
    <xf numFmtId="167" fontId="75" fillId="0" borderId="1" xfId="34" applyNumberFormat="1" applyFont="1" applyFill="1" applyBorder="1" applyAlignment="1">
      <alignment horizontal="center" vertical="center"/>
    </xf>
    <xf numFmtId="167" fontId="19" fillId="0" borderId="35" xfId="34" applyNumberFormat="1" applyFont="1" applyBorder="1" applyAlignment="1">
      <alignment horizontal="center"/>
    </xf>
    <xf numFmtId="167" fontId="16" fillId="52" borderId="1" xfId="0" applyNumberFormat="1" applyFont="1" applyFill="1" applyBorder="1" applyAlignment="1">
      <alignment horizontal="center"/>
    </xf>
    <xf numFmtId="167" fontId="7" fillId="52" borderId="1" xfId="9" applyNumberFormat="1" applyFont="1" applyFill="1" applyBorder="1" applyAlignment="1">
      <alignment horizontal="left"/>
    </xf>
    <xf numFmtId="167" fontId="7" fillId="0" borderId="1" xfId="9" applyNumberFormat="1" applyFont="1" applyFill="1" applyBorder="1"/>
    <xf numFmtId="167" fontId="7" fillId="52" borderId="1" xfId="25" applyNumberFormat="1" applyFont="1" applyFill="1" applyBorder="1" applyAlignment="1">
      <alignment horizontal="left" vertical="center"/>
    </xf>
    <xf numFmtId="167" fontId="16" fillId="0" borderId="0" xfId="0" applyNumberFormat="1" applyFont="1" applyFill="1" applyBorder="1"/>
    <xf numFmtId="167" fontId="7" fillId="0" borderId="0" xfId="9" applyNumberFormat="1" applyFont="1" applyFill="1" applyAlignment="1">
      <alignment horizontal="center"/>
    </xf>
    <xf numFmtId="167" fontId="7" fillId="52" borderId="1" xfId="0" applyNumberFormat="1" applyFont="1" applyFill="1" applyBorder="1" applyAlignment="1">
      <alignment horizontal="left"/>
    </xf>
    <xf numFmtId="167" fontId="7" fillId="52" borderId="1" xfId="34" applyNumberFormat="1" applyFont="1" applyFill="1" applyBorder="1" applyAlignment="1">
      <alignment vertical="center"/>
    </xf>
    <xf numFmtId="167" fontId="7" fillId="52" borderId="1" xfId="2" applyNumberFormat="1" applyFont="1" applyFill="1" applyBorder="1" applyAlignment="1" applyProtection="1">
      <alignment horizontal="center"/>
    </xf>
    <xf numFmtId="167" fontId="7" fillId="0" borderId="0" xfId="34" applyNumberFormat="1" applyFont="1" applyFill="1" applyBorder="1" applyAlignment="1">
      <alignment horizontal="center"/>
    </xf>
    <xf numFmtId="167" fontId="8" fillId="0" borderId="0" xfId="25" applyNumberFormat="1" applyFont="1" applyFill="1" applyAlignment="1">
      <alignment horizontal="center"/>
    </xf>
    <xf numFmtId="167" fontId="7" fillId="0" borderId="1" xfId="24" applyNumberFormat="1" applyFont="1" applyFill="1" applyBorder="1"/>
    <xf numFmtId="167" fontId="7" fillId="52" borderId="1" xfId="25" applyNumberFormat="1" applyFont="1" applyFill="1" applyBorder="1" applyAlignment="1">
      <alignment horizontal="center"/>
    </xf>
    <xf numFmtId="167" fontId="8" fillId="0" borderId="0" xfId="9" applyNumberFormat="1" applyFont="1" applyFill="1"/>
    <xf numFmtId="0" fontId="7" fillId="52" borderId="1" xfId="34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/>
    <xf numFmtId="167" fontId="7" fillId="0" borderId="0" xfId="1352" applyNumberFormat="1" applyFont="1" applyFill="1" applyAlignment="1">
      <alignment horizontal="left"/>
    </xf>
    <xf numFmtId="167" fontId="7" fillId="0" borderId="0" xfId="1352" applyNumberFormat="1" applyFont="1" applyFill="1"/>
    <xf numFmtId="167" fontId="8" fillId="0" borderId="0" xfId="1352" applyNumberFormat="1" applyFont="1" applyFill="1"/>
    <xf numFmtId="167" fontId="7" fillId="0" borderId="0" xfId="25" applyNumberFormat="1" applyFont="1" applyFill="1"/>
    <xf numFmtId="167" fontId="16" fillId="0" borderId="0" xfId="34" applyNumberFormat="1" applyFont="1" applyFill="1"/>
    <xf numFmtId="167" fontId="7" fillId="0" borderId="0" xfId="25" applyNumberFormat="1" applyFont="1" applyFill="1" applyAlignment="1">
      <alignment horizontal="left"/>
    </xf>
    <xf numFmtId="0" fontId="7" fillId="52" borderId="0" xfId="34" applyFont="1" applyFill="1" applyBorder="1" applyAlignment="1">
      <alignment horizontal="center"/>
    </xf>
    <xf numFmtId="0" fontId="77" fillId="0" borderId="4" xfId="0" applyNumberFormat="1" applyFont="1" applyFill="1" applyBorder="1" applyAlignment="1" applyProtection="1">
      <alignment horizontal="center" vertical="center"/>
    </xf>
    <xf numFmtId="0" fontId="75" fillId="0" borderId="4" xfId="0" applyNumberFormat="1" applyFont="1" applyFill="1" applyBorder="1" applyAlignment="1" applyProtection="1">
      <alignment horizontal="center"/>
    </xf>
    <xf numFmtId="0" fontId="75" fillId="0" borderId="4" xfId="0" applyNumberFormat="1" applyFont="1" applyFill="1" applyBorder="1" applyAlignment="1" applyProtection="1">
      <alignment horizontal="center" wrapText="1"/>
    </xf>
    <xf numFmtId="0" fontId="75" fillId="0" borderId="4" xfId="0" applyNumberFormat="1" applyFont="1" applyFill="1" applyBorder="1" applyAlignment="1" applyProtection="1"/>
    <xf numFmtId="167" fontId="75" fillId="0" borderId="36" xfId="0" applyNumberFormat="1" applyFont="1" applyFill="1" applyBorder="1" applyAlignment="1" applyProtection="1">
      <alignment horizontal="left" vertical="center"/>
    </xf>
    <xf numFmtId="167" fontId="75" fillId="0" borderId="0" xfId="0" applyNumberFormat="1" applyFont="1" applyFill="1" applyBorder="1" applyAlignment="1" applyProtection="1"/>
    <xf numFmtId="167" fontId="7" fillId="52" borderId="1" xfId="8" applyNumberFormat="1" applyFont="1" applyFill="1" applyBorder="1" applyAlignment="1"/>
    <xf numFmtId="167" fontId="75" fillId="52" borderId="36" xfId="0" applyNumberFormat="1" applyFont="1" applyFill="1" applyBorder="1" applyAlignment="1" applyProtection="1">
      <alignment horizontal="left" vertical="center"/>
    </xf>
    <xf numFmtId="167" fontId="77" fillId="0" borderId="0" xfId="0" applyNumberFormat="1" applyFont="1" applyFill="1" applyBorder="1" applyAlignment="1" applyProtection="1"/>
    <xf numFmtId="167" fontId="7" fillId="52" borderId="1" xfId="9" applyNumberFormat="1" applyFont="1" applyFill="1" applyBorder="1"/>
    <xf numFmtId="167" fontId="7" fillId="0" borderId="0" xfId="9" applyNumberFormat="1" applyFont="1"/>
    <xf numFmtId="167" fontId="15" fillId="0" borderId="1" xfId="34" applyNumberFormat="1" applyFont="1" applyFill="1" applyBorder="1" applyAlignment="1">
      <alignment horizontal="center"/>
    </xf>
    <xf numFmtId="167" fontId="16" fillId="52" borderId="1" xfId="34" applyNumberFormat="1" applyFont="1" applyFill="1" applyBorder="1"/>
    <xf numFmtId="167" fontId="6" fillId="0" borderId="1" xfId="0" applyNumberFormat="1" applyFont="1" applyFill="1" applyBorder="1" applyAlignment="1">
      <alignment horizontal="center" vertical="center"/>
    </xf>
    <xf numFmtId="167" fontId="16" fillId="52" borderId="4" xfId="34" applyNumberFormat="1" applyFont="1" applyFill="1" applyBorder="1"/>
    <xf numFmtId="0" fontId="72" fillId="0" borderId="0" xfId="0" applyFont="1" applyFill="1"/>
    <xf numFmtId="167" fontId="15" fillId="0" borderId="0" xfId="34" applyNumberFormat="1" applyFont="1" applyFill="1" applyBorder="1" applyAlignment="1">
      <alignment horizontal="center"/>
    </xf>
    <xf numFmtId="167" fontId="0" fillId="0" borderId="0" xfId="0" applyNumberFormat="1"/>
    <xf numFmtId="167" fontId="7" fillId="0" borderId="0" xfId="24" applyNumberFormat="1" applyFont="1" applyFill="1" applyBorder="1"/>
    <xf numFmtId="167" fontId="16" fillId="0" borderId="0" xfId="0" applyNumberFormat="1" applyFont="1"/>
    <xf numFmtId="0" fontId="6" fillId="52" borderId="1" xfId="0" applyFont="1" applyFill="1" applyBorder="1" applyAlignment="1">
      <alignment horizontal="center" vertical="center"/>
    </xf>
    <xf numFmtId="0" fontId="16" fillId="52" borderId="1" xfId="0" applyFont="1" applyFill="1" applyBorder="1" applyAlignment="1">
      <alignment horizontal="center" vertical="center"/>
    </xf>
    <xf numFmtId="167" fontId="75" fillId="0" borderId="0" xfId="34" applyNumberFormat="1" applyFont="1" applyFill="1" applyAlignment="1">
      <alignment horizontal="center"/>
    </xf>
    <xf numFmtId="0" fontId="75" fillId="0" borderId="29" xfId="0" applyNumberFormat="1" applyFont="1" applyFill="1" applyBorder="1" applyAlignment="1" applyProtection="1">
      <alignment horizontal="left" wrapText="1"/>
    </xf>
    <xf numFmtId="0" fontId="75" fillId="52" borderId="0" xfId="0" applyNumberFormat="1" applyFont="1" applyFill="1" applyBorder="1" applyAlignment="1" applyProtection="1">
      <alignment horizontal="center"/>
    </xf>
    <xf numFmtId="0" fontId="79" fillId="0" borderId="2" xfId="0" applyNumberFormat="1" applyFont="1" applyFill="1" applyBorder="1" applyAlignment="1" applyProtection="1">
      <alignment horizontal="center"/>
    </xf>
    <xf numFmtId="167" fontId="75" fillId="52" borderId="36" xfId="0" applyNumberFormat="1" applyFont="1" applyFill="1" applyBorder="1" applyAlignment="1" applyProtection="1">
      <alignment horizontal="left"/>
    </xf>
    <xf numFmtId="167" fontId="75" fillId="0" borderId="0" xfId="0" applyNumberFormat="1" applyFont="1" applyFill="1" applyBorder="1" applyAlignment="1" applyProtection="1">
      <alignment horizontal="center"/>
    </xf>
    <xf numFmtId="167" fontId="7" fillId="52" borderId="1" xfId="0" applyNumberFormat="1" applyFont="1" applyFill="1" applyBorder="1" applyAlignment="1">
      <alignment horizontal="left" vertical="center"/>
    </xf>
    <xf numFmtId="167" fontId="7" fillId="52" borderId="1" xfId="2" applyNumberFormat="1" applyFont="1" applyFill="1" applyBorder="1" applyAlignment="1" applyProtection="1">
      <alignment horizontal="left" vertical="center"/>
    </xf>
    <xf numFmtId="167" fontId="5" fillId="52" borderId="1" xfId="0" applyNumberFormat="1" applyFont="1" applyFill="1" applyBorder="1" applyAlignment="1">
      <alignment horizontal="left"/>
    </xf>
    <xf numFmtId="167" fontId="7" fillId="0" borderId="1" xfId="25" applyNumberFormat="1" applyFont="1" applyFill="1" applyBorder="1"/>
    <xf numFmtId="167" fontId="16" fillId="0" borderId="1" xfId="24" applyNumberFormat="1" applyFont="1" applyFill="1" applyBorder="1"/>
    <xf numFmtId="167" fontId="16" fillId="0" borderId="0" xfId="24" applyNumberFormat="1" applyFont="1" applyFill="1"/>
    <xf numFmtId="167" fontId="16" fillId="0" borderId="0" xfId="24" applyNumberFormat="1" applyFont="1" applyFill="1" applyAlignment="1">
      <alignment horizontal="left"/>
    </xf>
    <xf numFmtId="167" fontId="15" fillId="0" borderId="0" xfId="34" applyNumberFormat="1" applyFont="1" applyFill="1"/>
    <xf numFmtId="167" fontId="16" fillId="52" borderId="1" xfId="46" applyNumberFormat="1" applyFont="1" applyFill="1" applyBorder="1" applyAlignment="1">
      <alignment horizontal="left"/>
    </xf>
    <xf numFmtId="167" fontId="16" fillId="0" borderId="1" xfId="46" applyNumberFormat="1" applyFont="1" applyFill="1" applyBorder="1"/>
    <xf numFmtId="167" fontId="16" fillId="0" borderId="0" xfId="46" applyNumberFormat="1" applyFont="1" applyFill="1" applyBorder="1" applyAlignment="1">
      <alignment horizontal="left"/>
    </xf>
    <xf numFmtId="167" fontId="16" fillId="0" borderId="0" xfId="46" applyNumberFormat="1" applyFont="1" applyFill="1" applyBorder="1"/>
    <xf numFmtId="167" fontId="16" fillId="0" borderId="1" xfId="46" applyNumberFormat="1" applyFont="1" applyFill="1" applyBorder="1" applyAlignment="1">
      <alignment horizontal="left"/>
    </xf>
    <xf numFmtId="167" fontId="7" fillId="0" borderId="0" xfId="46" applyNumberFormat="1" applyFont="1" applyFill="1" applyBorder="1" applyAlignment="1">
      <alignment horizontal="left"/>
    </xf>
    <xf numFmtId="0" fontId="16" fillId="52" borderId="0" xfId="0" applyFont="1" applyFill="1" applyBorder="1" applyAlignment="1">
      <alignment horizontal="center" vertical="center"/>
    </xf>
    <xf numFmtId="167" fontId="19" fillId="0" borderId="34" xfId="34" applyNumberFormat="1" applyFont="1" applyBorder="1" applyAlignment="1">
      <alignment horizontal="left"/>
    </xf>
    <xf numFmtId="167" fontId="75" fillId="0" borderId="0" xfId="8" applyNumberFormat="1" applyFont="1" applyFill="1" applyAlignment="1">
      <alignment horizontal="center"/>
    </xf>
    <xf numFmtId="167" fontId="7" fillId="52" borderId="0" xfId="8" applyNumberFormat="1" applyFont="1" applyFill="1" applyBorder="1"/>
    <xf numFmtId="167" fontId="7" fillId="0" borderId="0" xfId="8" applyNumberFormat="1" applyFont="1"/>
    <xf numFmtId="0" fontId="16" fillId="54" borderId="0" xfId="8" applyNumberFormat="1" applyFont="1" applyFill="1" applyAlignment="1">
      <alignment horizontal="center" vertical="center"/>
    </xf>
    <xf numFmtId="0" fontId="7" fillId="0" borderId="2" xfId="8" applyFont="1" applyFill="1" applyBorder="1" applyAlignment="1">
      <alignment horizontal="center"/>
    </xf>
    <xf numFmtId="0" fontId="16" fillId="52" borderId="0" xfId="8" applyFont="1" applyFill="1" applyAlignment="1">
      <alignment horizontal="center" vertical="center"/>
    </xf>
    <xf numFmtId="167" fontId="7" fillId="52" borderId="0" xfId="8" applyNumberFormat="1" applyFont="1" applyFill="1"/>
    <xf numFmtId="167" fontId="7" fillId="0" borderId="0" xfId="8" applyNumberFormat="1" applyFont="1" applyFill="1" applyAlignment="1">
      <alignment horizontal="center"/>
    </xf>
    <xf numFmtId="0" fontId="16" fillId="52" borderId="1" xfId="0" applyFont="1" applyFill="1" applyBorder="1" applyAlignment="1">
      <alignment horizontal="center" vertical="center" wrapText="1"/>
    </xf>
    <xf numFmtId="167" fontId="20" fillId="52" borderId="1" xfId="34" applyNumberFormat="1" applyFont="1" applyFill="1" applyBorder="1"/>
    <xf numFmtId="167" fontId="7" fillId="52" borderId="1" xfId="34" applyNumberFormat="1" applyFont="1" applyFill="1" applyBorder="1" applyAlignment="1">
      <alignment horizontal="center" vertical="center"/>
    </xf>
    <xf numFmtId="167" fontId="7" fillId="52" borderId="1" xfId="9" applyNumberFormat="1" applyFont="1" applyFill="1" applyBorder="1" applyAlignment="1">
      <alignment horizontal="left" vertical="center" wrapText="1"/>
    </xf>
    <xf numFmtId="167" fontId="7" fillId="52" borderId="1" xfId="24" applyNumberFormat="1" applyFont="1" applyFill="1" applyBorder="1" applyAlignment="1">
      <alignment horizontal="left"/>
    </xf>
    <xf numFmtId="167" fontId="7" fillId="0" borderId="0" xfId="9" applyNumberFormat="1" applyFont="1" applyFill="1" applyAlignment="1">
      <alignment horizontal="left"/>
    </xf>
    <xf numFmtId="167" fontId="7" fillId="0" borderId="0" xfId="9" applyNumberFormat="1" applyFont="1" applyFill="1"/>
    <xf numFmtId="167" fontId="16" fillId="52" borderId="1" xfId="46" applyNumberFormat="1" applyFont="1" applyFill="1" applyBorder="1" applyAlignment="1">
      <alignment horizontal="center" wrapText="1"/>
    </xf>
    <xf numFmtId="167" fontId="7" fillId="0" borderId="1" xfId="42" applyNumberFormat="1" applyFont="1" applyFill="1" applyBorder="1" applyAlignment="1"/>
    <xf numFmtId="167" fontId="7" fillId="0" borderId="0" xfId="34" applyNumberFormat="1" applyFont="1" applyFill="1" applyAlignment="1">
      <alignment wrapText="1"/>
    </xf>
    <xf numFmtId="167" fontId="7" fillId="0" borderId="0" xfId="42" applyNumberFormat="1" applyFont="1" applyFill="1" applyAlignment="1"/>
    <xf numFmtId="167" fontId="8" fillId="0" borderId="0" xfId="25" applyNumberFormat="1" applyFont="1" applyFill="1" applyAlignment="1"/>
    <xf numFmtId="167" fontId="16" fillId="0" borderId="0" xfId="34" applyNumberFormat="1" applyFont="1" applyFill="1" applyAlignment="1">
      <alignment wrapText="1"/>
    </xf>
    <xf numFmtId="167" fontId="16" fillId="52" borderId="1" xfId="24" applyNumberFormat="1" applyFont="1" applyFill="1" applyBorder="1" applyAlignment="1">
      <alignment horizontal="center"/>
    </xf>
    <xf numFmtId="167" fontId="7" fillId="0" borderId="0" xfId="25" applyNumberFormat="1" applyFont="1" applyFill="1" applyBorder="1" applyAlignment="1">
      <alignment horizontal="left"/>
    </xf>
    <xf numFmtId="167" fontId="16" fillId="0" borderId="0" xfId="24" applyNumberFormat="1" applyFont="1" applyFill="1" applyBorder="1" applyAlignment="1">
      <alignment horizontal="center"/>
    </xf>
    <xf numFmtId="167" fontId="76" fillId="0" borderId="5" xfId="25" applyNumberFormat="1" applyFont="1" applyFill="1" applyBorder="1" applyAlignment="1">
      <alignment horizontal="center"/>
    </xf>
    <xf numFmtId="167" fontId="7" fillId="52" borderId="1" xfId="0" applyNumberFormat="1" applyFont="1" applyFill="1" applyBorder="1" applyAlignment="1">
      <alignment horizontal="center"/>
    </xf>
    <xf numFmtId="0" fontId="16" fillId="0" borderId="38" xfId="0" applyFont="1" applyFill="1" applyBorder="1" applyAlignment="1">
      <alignment horizontal="center"/>
    </xf>
    <xf numFmtId="0" fontId="16" fillId="54" borderId="0" xfId="0" applyNumberFormat="1" applyFont="1" applyFill="1" applyBorder="1" applyAlignment="1">
      <alignment horizontal="center"/>
    </xf>
    <xf numFmtId="0" fontId="7" fillId="0" borderId="4" xfId="25" applyFont="1" applyFill="1" applyBorder="1" applyAlignment="1">
      <alignment horizontal="center"/>
    </xf>
    <xf numFmtId="0" fontId="16" fillId="52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/>
    </xf>
    <xf numFmtId="167" fontId="7" fillId="52" borderId="36" xfId="25" applyNumberFormat="1" applyFont="1" applyFill="1" applyBorder="1" applyAlignment="1">
      <alignment horizontal="center"/>
    </xf>
    <xf numFmtId="167" fontId="7" fillId="0" borderId="0" xfId="24" applyNumberFormat="1" applyFont="1" applyFill="1" applyBorder="1" applyAlignment="1">
      <alignment horizontal="left"/>
    </xf>
    <xf numFmtId="167" fontId="70" fillId="52" borderId="3" xfId="25" applyNumberFormat="1" applyFont="1" applyFill="1" applyBorder="1" applyAlignment="1">
      <alignment horizontal="left"/>
    </xf>
    <xf numFmtId="0" fontId="7" fillId="0" borderId="2" xfId="25" applyFont="1" applyFill="1" applyBorder="1" applyAlignment="1">
      <alignment horizontal="center"/>
    </xf>
    <xf numFmtId="0" fontId="7" fillId="0" borderId="38" xfId="25" applyFont="1" applyFill="1" applyBorder="1" applyAlignment="1">
      <alignment horizontal="center"/>
    </xf>
    <xf numFmtId="0" fontId="7" fillId="0" borderId="0" xfId="25" applyFont="1" applyFill="1" applyBorder="1"/>
    <xf numFmtId="0" fontId="7" fillId="0" borderId="0" xfId="25" applyFont="1" applyFill="1" applyBorder="1" applyAlignment="1">
      <alignment horizontal="center"/>
    </xf>
    <xf numFmtId="0" fontId="7" fillId="52" borderId="4" xfId="25" applyNumberFormat="1" applyFont="1" applyFill="1" applyBorder="1" applyAlignment="1">
      <alignment horizontal="center"/>
    </xf>
    <xf numFmtId="0" fontId="16" fillId="0" borderId="4" xfId="25" applyFont="1" applyFill="1" applyBorder="1" applyAlignment="1">
      <alignment horizontal="center" vertical="center"/>
    </xf>
    <xf numFmtId="167" fontId="7" fillId="52" borderId="36" xfId="25" applyNumberFormat="1" applyFont="1" applyFill="1" applyBorder="1" applyAlignment="1">
      <alignment horizontal="left"/>
    </xf>
    <xf numFmtId="167" fontId="7" fillId="0" borderId="0" xfId="25" applyNumberFormat="1" applyFont="1" applyFill="1" applyBorder="1"/>
    <xf numFmtId="0" fontId="7" fillId="52" borderId="1" xfId="34" applyFont="1" applyFill="1" applyBorder="1" applyAlignment="1">
      <alignment horizontal="center" vertical="center" wrapText="1"/>
    </xf>
    <xf numFmtId="167" fontId="7" fillId="52" borderId="1" xfId="34" applyNumberFormat="1" applyFont="1" applyFill="1" applyBorder="1" applyAlignment="1">
      <alignment horizontal="center" wrapText="1"/>
    </xf>
    <xf numFmtId="167" fontId="16" fillId="0" borderId="0" xfId="34" applyNumberFormat="1" applyFont="1" applyFill="1" applyAlignment="1">
      <alignment horizontal="center"/>
    </xf>
    <xf numFmtId="167" fontId="16" fillId="0" borderId="0" xfId="34" applyNumberFormat="1" applyFont="1"/>
    <xf numFmtId="167" fontId="7" fillId="52" borderId="1" xfId="46" applyNumberFormat="1" applyFont="1" applyFill="1" applyBorder="1" applyAlignment="1">
      <alignment horizontal="left" wrapText="1"/>
    </xf>
    <xf numFmtId="167" fontId="7" fillId="52" borderId="1" xfId="0" applyNumberFormat="1" applyFont="1" applyFill="1" applyBorder="1" applyAlignment="1">
      <alignment horizontal="left" wrapText="1"/>
    </xf>
    <xf numFmtId="167" fontId="7" fillId="52" borderId="4" xfId="46" applyNumberFormat="1" applyFont="1" applyFill="1" applyBorder="1" applyAlignment="1">
      <alignment horizontal="left" wrapText="1"/>
    </xf>
    <xf numFmtId="0" fontId="5" fillId="52" borderId="1" xfId="25" applyNumberFormat="1" applyFont="1" applyFill="1" applyBorder="1" applyAlignment="1">
      <alignment horizontal="center"/>
    </xf>
    <xf numFmtId="0" fontId="7" fillId="52" borderId="4" xfId="9" applyFont="1" applyFill="1" applyBorder="1" applyAlignment="1">
      <alignment horizontal="center"/>
    </xf>
    <xf numFmtId="0" fontId="2" fillId="52" borderId="1" xfId="9" applyFont="1" applyFill="1" applyBorder="1"/>
    <xf numFmtId="0" fontId="7" fillId="52" borderId="1" xfId="9" applyNumberFormat="1" applyFont="1" applyFill="1" applyBorder="1" applyAlignment="1">
      <alignment horizontal="center" vertical="center"/>
    </xf>
    <xf numFmtId="0" fontId="7" fillId="52" borderId="0" xfId="34" applyFont="1" applyFill="1"/>
    <xf numFmtId="0" fontId="7" fillId="52" borderId="0" xfId="9" applyFont="1" applyFill="1" applyBorder="1" applyAlignment="1">
      <alignment horizontal="center"/>
    </xf>
    <xf numFmtId="0" fontId="5" fillId="0" borderId="8" xfId="34" applyFont="1" applyFill="1" applyBorder="1" applyAlignment="1">
      <alignment horizontal="center" wrapText="1"/>
    </xf>
    <xf numFmtId="0" fontId="7" fillId="0" borderId="8" xfId="34" applyFont="1" applyFill="1" applyBorder="1" applyAlignment="1">
      <alignment horizontal="left"/>
    </xf>
    <xf numFmtId="0" fontId="7" fillId="0" borderId="4" xfId="34" applyFont="1" applyFill="1" applyBorder="1" applyAlignment="1">
      <alignment horizontal="center" vertical="center"/>
    </xf>
    <xf numFmtId="0" fontId="7" fillId="52" borderId="4" xfId="34" applyNumberFormat="1" applyFont="1" applyFill="1" applyBorder="1" applyAlignment="1">
      <alignment horizontal="center"/>
    </xf>
    <xf numFmtId="0" fontId="7" fillId="52" borderId="4" xfId="34" applyFont="1" applyFill="1" applyBorder="1" applyAlignment="1">
      <alignment horizontal="center"/>
    </xf>
    <xf numFmtId="0" fontId="7" fillId="0" borderId="4" xfId="34" applyFont="1" applyFill="1" applyBorder="1" applyAlignment="1">
      <alignment horizontal="center"/>
    </xf>
    <xf numFmtId="0" fontId="7" fillId="0" borderId="29" xfId="34" applyFont="1" applyFill="1" applyBorder="1" applyAlignment="1">
      <alignment horizontal="left" wrapText="1"/>
    </xf>
    <xf numFmtId="167" fontId="7" fillId="52" borderId="4" xfId="34" applyNumberFormat="1" applyFont="1" applyFill="1" applyBorder="1"/>
    <xf numFmtId="167" fontId="7" fillId="0" borderId="4" xfId="34" applyNumberFormat="1" applyFont="1" applyFill="1" applyBorder="1"/>
    <xf numFmtId="0" fontId="19" fillId="0" borderId="8" xfId="0" applyFont="1" applyFill="1" applyBorder="1" applyAlignment="1">
      <alignment horizontal="left"/>
    </xf>
    <xf numFmtId="0" fontId="16" fillId="0" borderId="8" xfId="0" applyFont="1" applyFill="1" applyBorder="1" applyAlignment="1">
      <alignment horizontal="left"/>
    </xf>
    <xf numFmtId="0" fontId="16" fillId="0" borderId="29" xfId="0" applyFont="1" applyFill="1" applyBorder="1" applyAlignment="1">
      <alignment horizontal="left"/>
    </xf>
    <xf numFmtId="0" fontId="16" fillId="0" borderId="4" xfId="0" applyFont="1" applyFill="1" applyBorder="1" applyAlignment="1">
      <alignment horizontal="center"/>
    </xf>
    <xf numFmtId="0" fontId="5" fillId="0" borderId="26" xfId="34" applyNumberFormat="1" applyFont="1" applyFill="1" applyBorder="1" applyAlignment="1">
      <alignment horizontal="center" wrapText="1"/>
    </xf>
    <xf numFmtId="0" fontId="7" fillId="0" borderId="8" xfId="34" applyNumberFormat="1" applyFont="1" applyFill="1" applyBorder="1" applyAlignment="1">
      <alignment horizontal="left" wrapText="1"/>
    </xf>
    <xf numFmtId="0" fontId="19" fillId="0" borderId="8" xfId="0" applyFont="1" applyFill="1" applyBorder="1" applyAlignment="1">
      <alignment horizontal="center"/>
    </xf>
    <xf numFmtId="167" fontId="16" fillId="52" borderId="4" xfId="0" applyNumberFormat="1" applyFont="1" applyFill="1" applyBorder="1" applyAlignment="1">
      <alignment horizontal="center"/>
    </xf>
    <xf numFmtId="167" fontId="19" fillId="0" borderId="3" xfId="34" applyNumberFormat="1" applyFont="1" applyBorder="1" applyAlignment="1">
      <alignment horizontal="center"/>
    </xf>
    <xf numFmtId="167" fontId="7" fillId="0" borderId="3" xfId="34" applyNumberFormat="1" applyFont="1" applyFill="1" applyBorder="1"/>
    <xf numFmtId="0" fontId="7" fillId="0" borderId="8" xfId="2" applyFont="1" applyFill="1" applyBorder="1" applyAlignment="1" applyProtection="1">
      <alignment horizontal="left" vertical="center"/>
    </xf>
    <xf numFmtId="0" fontId="0" fillId="0" borderId="0" xfId="0" applyAlignment="1">
      <alignment horizontal="left"/>
    </xf>
    <xf numFmtId="167" fontId="16" fillId="0" borderId="4" xfId="0" applyNumberFormat="1" applyFont="1" applyFill="1" applyBorder="1" applyAlignment="1">
      <alignment horizontal="left"/>
    </xf>
    <xf numFmtId="0" fontId="16" fillId="0" borderId="8" xfId="0" applyFont="1" applyFill="1" applyBorder="1"/>
    <xf numFmtId="0" fontId="5" fillId="0" borderId="8" xfId="24" applyFont="1" applyFill="1" applyBorder="1" applyAlignment="1">
      <alignment horizontal="center" wrapText="1"/>
    </xf>
    <xf numFmtId="0" fontId="7" fillId="0" borderId="8" xfId="24" applyFont="1" applyFill="1" applyBorder="1" applyAlignment="1">
      <alignment horizontal="left" wrapText="1"/>
    </xf>
    <xf numFmtId="167" fontId="7" fillId="0" borderId="3" xfId="9" applyNumberFormat="1" applyFont="1" applyFill="1" applyBorder="1"/>
    <xf numFmtId="0" fontId="7" fillId="0" borderId="4" xfId="9" applyFont="1" applyFill="1" applyBorder="1" applyAlignment="1">
      <alignment horizontal="center"/>
    </xf>
    <xf numFmtId="0" fontId="7" fillId="0" borderId="8" xfId="5" applyFont="1" applyFill="1" applyBorder="1"/>
    <xf numFmtId="0" fontId="7" fillId="0" borderId="29" xfId="5" applyFont="1" applyFill="1" applyBorder="1"/>
    <xf numFmtId="0" fontId="7" fillId="53" borderId="36" xfId="24" applyNumberFormat="1" applyFont="1" applyFill="1" applyBorder="1" applyAlignment="1">
      <alignment vertical="center"/>
    </xf>
    <xf numFmtId="0" fontId="7" fillId="53" borderId="36" xfId="34" applyNumberFormat="1" applyFont="1" applyFill="1" applyBorder="1" applyAlignment="1">
      <alignment horizontal="center"/>
    </xf>
    <xf numFmtId="0" fontId="7" fillId="54" borderId="36" xfId="34" applyNumberFormat="1" applyFont="1" applyFill="1" applyBorder="1" applyAlignment="1">
      <alignment horizontal="center"/>
    </xf>
    <xf numFmtId="0" fontId="16" fillId="53" borderId="36" xfId="0" applyFont="1" applyFill="1" applyBorder="1" applyAlignment="1">
      <alignment horizontal="center" vertical="center"/>
    </xf>
    <xf numFmtId="0" fontId="7" fillId="52" borderId="36" xfId="34" applyNumberFormat="1" applyFont="1" applyFill="1" applyBorder="1" applyAlignment="1">
      <alignment horizontal="center"/>
    </xf>
    <xf numFmtId="0" fontId="7" fillId="53" borderId="36" xfId="25" applyNumberFormat="1" applyFont="1" applyFill="1" applyBorder="1" applyAlignment="1">
      <alignment horizontal="center" wrapText="1"/>
    </xf>
    <xf numFmtId="167" fontId="7" fillId="52" borderId="36" xfId="1352" applyNumberFormat="1" applyFont="1" applyFill="1" applyBorder="1" applyAlignment="1">
      <alignment horizontal="left" vertical="center"/>
    </xf>
    <xf numFmtId="167" fontId="7" fillId="53" borderId="41" xfId="1352" applyNumberFormat="1" applyFont="1" applyFill="1" applyBorder="1"/>
    <xf numFmtId="0" fontId="7" fillId="0" borderId="36" xfId="24" applyNumberFormat="1" applyFont="1" applyBorder="1" applyAlignment="1">
      <alignment vertical="center"/>
    </xf>
    <xf numFmtId="0" fontId="7" fillId="0" borderId="36" xfId="34" applyNumberFormat="1" applyFont="1" applyBorder="1" applyAlignment="1">
      <alignment horizontal="center"/>
    </xf>
    <xf numFmtId="0" fontId="16" fillId="0" borderId="36" xfId="0" applyFont="1" applyBorder="1" applyAlignment="1">
      <alignment horizontal="center" vertical="center"/>
    </xf>
    <xf numFmtId="0" fontId="7" fillId="0" borderId="36" xfId="25" applyNumberFormat="1" applyFont="1" applyBorder="1" applyAlignment="1">
      <alignment horizontal="center" wrapText="1"/>
    </xf>
    <xf numFmtId="0" fontId="5" fillId="0" borderId="30" xfId="0" applyNumberFormat="1" applyFont="1" applyBorder="1" applyAlignment="1">
      <alignment vertical="center"/>
    </xf>
    <xf numFmtId="0" fontId="5" fillId="0" borderId="30" xfId="0" applyNumberFormat="1" applyFont="1" applyBorder="1" applyAlignment="1">
      <alignment horizontal="center"/>
    </xf>
    <xf numFmtId="0" fontId="19" fillId="0" borderId="30" xfId="0" applyNumberFormat="1" applyFont="1" applyBorder="1" applyAlignment="1">
      <alignment horizontal="center" vertical="center"/>
    </xf>
    <xf numFmtId="0" fontId="5" fillId="0" borderId="30" xfId="0" applyNumberFormat="1" applyFont="1" applyBorder="1" applyAlignment="1">
      <alignment horizontal="center" wrapText="1"/>
    </xf>
    <xf numFmtId="167" fontId="5" fillId="0" borderId="30" xfId="0" applyNumberFormat="1" applyFont="1" applyBorder="1" applyAlignment="1">
      <alignment horizontal="left" vertical="center"/>
    </xf>
    <xf numFmtId="167" fontId="5" fillId="0" borderId="40" xfId="0" applyNumberFormat="1" applyFont="1" applyBorder="1"/>
    <xf numFmtId="0" fontId="5" fillId="0" borderId="2" xfId="25" applyNumberFormat="1" applyFont="1" applyBorder="1" applyAlignment="1">
      <alignment horizontal="center" wrapText="1"/>
    </xf>
    <xf numFmtId="0" fontId="5" fillId="0" borderId="2" xfId="25" applyNumberFormat="1" applyFont="1" applyBorder="1" applyAlignment="1">
      <alignment horizontal="center"/>
    </xf>
    <xf numFmtId="167" fontId="19" fillId="0" borderId="2" xfId="1352" applyNumberFormat="1" applyFont="1" applyBorder="1" applyAlignment="1">
      <alignment horizontal="center"/>
    </xf>
    <xf numFmtId="167" fontId="19" fillId="0" borderId="28" xfId="1352" applyNumberFormat="1" applyFont="1" applyBorder="1" applyAlignment="1">
      <alignment horizontal="center"/>
    </xf>
    <xf numFmtId="0" fontId="7" fillId="53" borderId="36" xfId="8" applyNumberFormat="1" applyFont="1" applyFill="1" applyBorder="1" applyAlignment="1"/>
    <xf numFmtId="0" fontId="7" fillId="53" borderId="36" xfId="8" applyNumberFormat="1" applyFont="1" applyFill="1" applyBorder="1" applyAlignment="1">
      <alignment horizontal="center"/>
    </xf>
    <xf numFmtId="167" fontId="7" fillId="52" borderId="36" xfId="1352" applyNumberFormat="1" applyFont="1" applyFill="1" applyBorder="1" applyAlignment="1"/>
    <xf numFmtId="0" fontId="7" fillId="0" borderId="1" xfId="8" applyNumberFormat="1" applyFont="1" applyBorder="1" applyAlignment="1"/>
    <xf numFmtId="0" fontId="7" fillId="0" borderId="1" xfId="8" applyNumberFormat="1" applyFont="1" applyBorder="1" applyAlignment="1">
      <alignment horizontal="center"/>
    </xf>
    <xf numFmtId="0" fontId="5" fillId="0" borderId="8" xfId="9" applyFont="1" applyBorder="1" applyAlignment="1">
      <alignment horizontal="center"/>
    </xf>
    <xf numFmtId="0" fontId="7" fillId="0" borderId="8" xfId="34" applyNumberFormat="1" applyFont="1" applyBorder="1" applyAlignment="1">
      <alignment vertical="center"/>
    </xf>
    <xf numFmtId="0" fontId="7" fillId="0" borderId="8" xfId="34" applyNumberFormat="1" applyFont="1" applyFill="1" applyBorder="1" applyAlignment="1">
      <alignment vertical="center"/>
    </xf>
    <xf numFmtId="0" fontId="7" fillId="0" borderId="29" xfId="34" applyNumberFormat="1" applyFont="1" applyBorder="1" applyAlignment="1">
      <alignment vertical="center"/>
    </xf>
    <xf numFmtId="167" fontId="6" fillId="0" borderId="4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 applyProtection="1">
      <alignment vertical="center"/>
    </xf>
    <xf numFmtId="0" fontId="6" fillId="0" borderId="4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 applyProtection="1">
      <alignment horizontal="center" wrapText="1"/>
    </xf>
    <xf numFmtId="167" fontId="16" fillId="0" borderId="36" xfId="0" applyNumberFormat="1" applyFont="1" applyFill="1" applyBorder="1" applyAlignment="1" applyProtection="1"/>
    <xf numFmtId="167" fontId="15" fillId="0" borderId="3" xfId="34" applyNumberFormat="1" applyFont="1" applyFill="1" applyBorder="1"/>
    <xf numFmtId="0" fontId="5" fillId="0" borderId="5" xfId="25" applyNumberFormat="1" applyFont="1" applyBorder="1" applyAlignment="1">
      <alignment horizontal="center"/>
    </xf>
    <xf numFmtId="167" fontId="19" fillId="0" borderId="5" xfId="34" applyNumberFormat="1" applyFont="1" applyBorder="1" applyAlignment="1">
      <alignment horizontal="center"/>
    </xf>
    <xf numFmtId="167" fontId="19" fillId="0" borderId="39" xfId="34" applyNumberFormat="1" applyFont="1" applyBorder="1" applyAlignment="1">
      <alignment horizontal="center"/>
    </xf>
    <xf numFmtId="0" fontId="5" fillId="0" borderId="8" xfId="46" applyFont="1" applyFill="1" applyBorder="1" applyAlignment="1">
      <alignment horizontal="center" wrapText="1"/>
    </xf>
    <xf numFmtId="167" fontId="16" fillId="0" borderId="3" xfId="46" applyNumberFormat="1" applyFont="1" applyFill="1" applyBorder="1"/>
    <xf numFmtId="0" fontId="5" fillId="0" borderId="26" xfId="46" applyFont="1" applyFill="1" applyBorder="1" applyAlignment="1">
      <alignment horizontal="center" wrapText="1"/>
    </xf>
    <xf numFmtId="0" fontId="5" fillId="0" borderId="5" xfId="46" applyFont="1" applyFill="1" applyBorder="1" applyAlignment="1">
      <alignment horizontal="center" wrapText="1"/>
    </xf>
    <xf numFmtId="0" fontId="7" fillId="0" borderId="8" xfId="46" applyFont="1" applyFill="1" applyBorder="1" applyAlignment="1">
      <alignment horizontal="left" wrapText="1"/>
    </xf>
    <xf numFmtId="0" fontId="7" fillId="0" borderId="8" xfId="34" applyFont="1" applyFill="1" applyBorder="1"/>
    <xf numFmtId="0" fontId="7" fillId="0" borderId="8" xfId="18" applyFont="1" applyFill="1" applyBorder="1" applyAlignment="1">
      <alignment vertical="center"/>
    </xf>
    <xf numFmtId="0" fontId="7" fillId="0" borderId="8" xfId="25" applyNumberFormat="1" applyFont="1" applyBorder="1" applyAlignment="1">
      <alignment horizontal="left" vertical="center"/>
    </xf>
    <xf numFmtId="0" fontId="7" fillId="0" borderId="8" xfId="9" applyNumberFormat="1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8" xfId="34" applyFont="1" applyFill="1" applyBorder="1" applyAlignment="1">
      <alignment horizontal="left" vertical="center" wrapText="1"/>
    </xf>
    <xf numFmtId="0" fontId="7" fillId="0" borderId="8" xfId="34" applyNumberFormat="1" applyFont="1" applyBorder="1" applyAlignment="1">
      <alignment horizontal="left" vertical="center"/>
    </xf>
    <xf numFmtId="0" fontId="7" fillId="0" borderId="8" xfId="24" applyNumberFormat="1" applyFont="1" applyFill="1" applyBorder="1" applyAlignment="1">
      <alignment horizontal="left" vertical="center"/>
    </xf>
    <xf numFmtId="0" fontId="7" fillId="0" borderId="8" xfId="34" applyFont="1" applyFill="1" applyBorder="1" applyAlignment="1">
      <alignment horizontal="left" vertical="center"/>
    </xf>
    <xf numFmtId="0" fontId="5" fillId="0" borderId="8" xfId="9" applyFont="1" applyFill="1" applyBorder="1" applyAlignment="1">
      <alignment horizontal="center"/>
    </xf>
    <xf numFmtId="0" fontId="5" fillId="0" borderId="8" xfId="24" applyFont="1" applyFill="1" applyBorder="1" applyAlignment="1">
      <alignment horizontal="center" vertical="center" wrapText="1"/>
    </xf>
    <xf numFmtId="0" fontId="6" fillId="52" borderId="4" xfId="0" applyFont="1" applyFill="1" applyBorder="1" applyAlignment="1">
      <alignment horizontal="center" vertical="center"/>
    </xf>
    <xf numFmtId="167" fontId="7" fillId="0" borderId="4" xfId="9" applyNumberFormat="1" applyFont="1" applyFill="1" applyBorder="1"/>
    <xf numFmtId="0" fontId="5" fillId="0" borderId="8" xfId="42" applyFont="1" applyFill="1" applyBorder="1" applyAlignment="1">
      <alignment horizontal="center" wrapText="1"/>
    </xf>
    <xf numFmtId="0" fontId="7" fillId="0" borderId="8" xfId="24" applyFont="1" applyFill="1" applyBorder="1" applyAlignment="1"/>
    <xf numFmtId="0" fontId="7" fillId="0" borderId="8" xfId="8" applyFont="1" applyFill="1" applyBorder="1"/>
    <xf numFmtId="167" fontId="16" fillId="0" borderId="3" xfId="34" applyNumberFormat="1" applyFont="1" applyFill="1" applyBorder="1"/>
    <xf numFmtId="167" fontId="16" fillId="0" borderId="36" xfId="34" applyNumberFormat="1" applyFont="1" applyFill="1" applyBorder="1"/>
    <xf numFmtId="0" fontId="7" fillId="0" borderId="4" xfId="34" applyFont="1" applyFill="1" applyBorder="1" applyAlignment="1">
      <alignment horizontal="center" vertical="center" wrapText="1"/>
    </xf>
    <xf numFmtId="0" fontId="7" fillId="52" borderId="4" xfId="34" applyFont="1" applyFill="1" applyBorder="1" applyAlignment="1">
      <alignment horizontal="center" vertical="center" wrapText="1"/>
    </xf>
    <xf numFmtId="167" fontId="7" fillId="52" borderId="4" xfId="34" applyNumberFormat="1" applyFont="1" applyFill="1" applyBorder="1" applyAlignment="1">
      <alignment horizontal="center" wrapText="1"/>
    </xf>
    <xf numFmtId="0" fontId="7" fillId="0" borderId="8" xfId="25" applyFont="1" applyFill="1" applyBorder="1"/>
    <xf numFmtId="0" fontId="23" fillId="0" borderId="8" xfId="46" applyNumberFormat="1" applyFont="1" applyFill="1" applyBorder="1" applyAlignment="1">
      <alignment horizontal="left" vertical="center"/>
    </xf>
    <xf numFmtId="0" fontId="7" fillId="0" borderId="8" xfId="46" applyFont="1" applyFill="1" applyBorder="1"/>
    <xf numFmtId="167" fontId="6" fillId="0" borderId="3" xfId="0" applyNumberFormat="1" applyFont="1" applyFill="1" applyBorder="1" applyAlignment="1">
      <alignment horizontal="center" vertical="center"/>
    </xf>
    <xf numFmtId="0" fontId="19" fillId="0" borderId="8" xfId="34" applyFont="1" applyFill="1" applyBorder="1" applyAlignment="1">
      <alignment horizontal="center"/>
    </xf>
    <xf numFmtId="0" fontId="16" fillId="0" borderId="8" xfId="34" applyFont="1" applyFill="1" applyBorder="1" applyAlignment="1">
      <alignment horizontal="left"/>
    </xf>
    <xf numFmtId="0" fontId="7" fillId="0" borderId="8" xfId="9" applyFont="1" applyFill="1" applyBorder="1"/>
    <xf numFmtId="0" fontId="7" fillId="0" borderId="29" xfId="9" applyFont="1" applyFill="1" applyBorder="1"/>
    <xf numFmtId="167" fontId="7" fillId="52" borderId="4" xfId="9" applyNumberFormat="1" applyFont="1" applyFill="1" applyBorder="1"/>
    <xf numFmtId="0" fontId="19" fillId="0" borderId="8" xfId="0" applyFont="1" applyFill="1" applyBorder="1"/>
    <xf numFmtId="0" fontId="7" fillId="0" borderId="4" xfId="34" applyNumberFormat="1" applyFont="1" applyFill="1" applyBorder="1" applyAlignment="1">
      <alignment horizontal="center"/>
    </xf>
    <xf numFmtId="0" fontId="2" fillId="52" borderId="4" xfId="9" applyFill="1" applyBorder="1"/>
    <xf numFmtId="0" fontId="7" fillId="52" borderId="4" xfId="9" applyFont="1" applyFill="1" applyBorder="1"/>
    <xf numFmtId="0" fontId="7" fillId="0" borderId="8" xfId="9" applyNumberFormat="1" applyFont="1" applyBorder="1" applyAlignment="1">
      <alignment horizontal="left" vertical="center"/>
    </xf>
    <xf numFmtId="0" fontId="81" fillId="0" borderId="1" xfId="24" applyFont="1" applyFill="1" applyBorder="1" applyAlignment="1">
      <alignment horizontal="center" vertical="center"/>
    </xf>
    <xf numFmtId="0" fontId="81" fillId="0" borderId="1" xfId="0" applyFont="1" applyFill="1" applyBorder="1" applyAlignment="1">
      <alignment horizontal="center" vertical="center"/>
    </xf>
    <xf numFmtId="0" fontId="80" fillId="0" borderId="5" xfId="25" applyFont="1" applyFill="1" applyBorder="1" applyAlignment="1">
      <alignment horizontal="center"/>
    </xf>
    <xf numFmtId="0" fontId="14" fillId="52" borderId="4" xfId="34" applyFont="1" applyFill="1" applyBorder="1"/>
    <xf numFmtId="0" fontId="7" fillId="0" borderId="29" xfId="24" applyNumberFormat="1" applyFont="1" applyBorder="1" applyAlignment="1">
      <alignment vertical="center"/>
    </xf>
    <xf numFmtId="0" fontId="5" fillId="0" borderId="8" xfId="8" applyFont="1" applyFill="1" applyBorder="1" applyAlignment="1">
      <alignment horizontal="center"/>
    </xf>
    <xf numFmtId="0" fontId="0" fillId="52" borderId="4" xfId="0" applyFill="1" applyBorder="1"/>
    <xf numFmtId="0" fontId="0" fillId="52" borderId="3" xfId="0" applyFill="1" applyBorder="1"/>
    <xf numFmtId="0" fontId="5" fillId="0" borderId="26" xfId="8" applyFont="1" applyFill="1" applyBorder="1" applyAlignment="1">
      <alignment horizontal="center"/>
    </xf>
    <xf numFmtId="0" fontId="19" fillId="0" borderId="5" xfId="34" applyNumberFormat="1" applyFont="1" applyBorder="1" applyAlignment="1">
      <alignment horizontal="center"/>
    </xf>
    <xf numFmtId="0" fontId="19" fillId="0" borderId="39" xfId="34" applyNumberFormat="1" applyFont="1" applyBorder="1" applyAlignment="1">
      <alignment horizontal="left"/>
    </xf>
    <xf numFmtId="0" fontId="5" fillId="0" borderId="8" xfId="25" applyFont="1" applyFill="1" applyBorder="1" applyAlignment="1">
      <alignment horizontal="center" wrapText="1"/>
    </xf>
    <xf numFmtId="0" fontId="7" fillId="0" borderId="8" xfId="25" applyFont="1" applyFill="1" applyBorder="1" applyAlignment="1">
      <alignment horizontal="left" wrapText="1"/>
    </xf>
  </cellXfs>
  <cellStyles count="1353">
    <cellStyle name="20% - Accent1 10" xfId="286" xr:uid="{00000000-0005-0000-0000-000000000000}"/>
    <cellStyle name="20% - Accent1 10 2" xfId="287" xr:uid="{00000000-0005-0000-0000-000001000000}"/>
    <cellStyle name="20% - Accent1 10 2 2" xfId="288" xr:uid="{00000000-0005-0000-0000-000002000000}"/>
    <cellStyle name="20% - Accent1 11" xfId="289" xr:uid="{00000000-0005-0000-0000-000003000000}"/>
    <cellStyle name="20% - Accent1 11 2" xfId="290" xr:uid="{00000000-0005-0000-0000-000004000000}"/>
    <cellStyle name="20% - Accent1 11 2 2" xfId="291" xr:uid="{00000000-0005-0000-0000-000005000000}"/>
    <cellStyle name="20% - Accent1 12" xfId="292" xr:uid="{00000000-0005-0000-0000-000006000000}"/>
    <cellStyle name="20% - Accent1 12 2" xfId="293" xr:uid="{00000000-0005-0000-0000-000007000000}"/>
    <cellStyle name="20% - Accent1 12 2 2" xfId="294" xr:uid="{00000000-0005-0000-0000-000008000000}"/>
    <cellStyle name="20% - Accent1 13" xfId="295" xr:uid="{00000000-0005-0000-0000-000009000000}"/>
    <cellStyle name="20% - Accent1 13 2" xfId="296" xr:uid="{00000000-0005-0000-0000-00000A000000}"/>
    <cellStyle name="20% - Accent1 13 2 2" xfId="297" xr:uid="{00000000-0005-0000-0000-00000B000000}"/>
    <cellStyle name="20% - Accent1 14" xfId="298" xr:uid="{00000000-0005-0000-0000-00000C000000}"/>
    <cellStyle name="20% - Accent1 14 2" xfId="299" xr:uid="{00000000-0005-0000-0000-00000D000000}"/>
    <cellStyle name="20% - Accent1 14 2 2" xfId="300" xr:uid="{00000000-0005-0000-0000-00000E000000}"/>
    <cellStyle name="20% - Accent1 15" xfId="301" xr:uid="{00000000-0005-0000-0000-00000F000000}"/>
    <cellStyle name="20% - Accent1 15 2" xfId="302" xr:uid="{00000000-0005-0000-0000-000010000000}"/>
    <cellStyle name="20% - Accent1 15 2 2" xfId="303" xr:uid="{00000000-0005-0000-0000-000011000000}"/>
    <cellStyle name="20% - Accent1 16" xfId="304" xr:uid="{00000000-0005-0000-0000-000012000000}"/>
    <cellStyle name="20% - Accent1 16 2" xfId="305" xr:uid="{00000000-0005-0000-0000-000013000000}"/>
    <cellStyle name="20% - Accent1 16 2 2" xfId="306" xr:uid="{00000000-0005-0000-0000-000014000000}"/>
    <cellStyle name="20% - Accent1 17" xfId="307" xr:uid="{00000000-0005-0000-0000-000015000000}"/>
    <cellStyle name="20% - Accent1 17 2" xfId="308" xr:uid="{00000000-0005-0000-0000-000016000000}"/>
    <cellStyle name="20% - Accent1 17 2 2" xfId="309" xr:uid="{00000000-0005-0000-0000-000017000000}"/>
    <cellStyle name="20% - Accent1 18" xfId="310" xr:uid="{00000000-0005-0000-0000-000018000000}"/>
    <cellStyle name="20% - Accent1 18 2" xfId="311" xr:uid="{00000000-0005-0000-0000-000019000000}"/>
    <cellStyle name="20% - Accent1 18 2 2" xfId="312" xr:uid="{00000000-0005-0000-0000-00001A000000}"/>
    <cellStyle name="20% - Accent1 19" xfId="313" xr:uid="{00000000-0005-0000-0000-00001B000000}"/>
    <cellStyle name="20% - Accent1 19 2" xfId="314" xr:uid="{00000000-0005-0000-0000-00001C000000}"/>
    <cellStyle name="20% - Accent1 19 2 2" xfId="315" xr:uid="{00000000-0005-0000-0000-00001D000000}"/>
    <cellStyle name="20% - Accent1 2" xfId="51" xr:uid="{00000000-0005-0000-0000-00001E000000}"/>
    <cellStyle name="20% - Accent1 2 2" xfId="52" xr:uid="{00000000-0005-0000-0000-00001F000000}"/>
    <cellStyle name="20% - Accent1 2 2 2" xfId="316" xr:uid="{00000000-0005-0000-0000-000020000000}"/>
    <cellStyle name="20% - Accent1 2 2 2 2" xfId="317" xr:uid="{00000000-0005-0000-0000-000021000000}"/>
    <cellStyle name="20% - Accent1 20" xfId="318" xr:uid="{00000000-0005-0000-0000-000022000000}"/>
    <cellStyle name="20% - Accent1 20 2" xfId="319" xr:uid="{00000000-0005-0000-0000-000023000000}"/>
    <cellStyle name="20% - Accent1 20 2 2" xfId="320" xr:uid="{00000000-0005-0000-0000-000024000000}"/>
    <cellStyle name="20% - Accent1 21" xfId="321" xr:uid="{00000000-0005-0000-0000-000025000000}"/>
    <cellStyle name="20% - Accent1 21 2" xfId="322" xr:uid="{00000000-0005-0000-0000-000026000000}"/>
    <cellStyle name="20% - Accent1 21 2 2" xfId="323" xr:uid="{00000000-0005-0000-0000-000027000000}"/>
    <cellStyle name="20% - Accent1 22" xfId="324" xr:uid="{00000000-0005-0000-0000-000028000000}"/>
    <cellStyle name="20% - Accent1 3" xfId="53" xr:uid="{00000000-0005-0000-0000-000029000000}"/>
    <cellStyle name="20% - Accent1 3 2" xfId="325" xr:uid="{00000000-0005-0000-0000-00002A000000}"/>
    <cellStyle name="20% - Accent1 3 2 2" xfId="326" xr:uid="{00000000-0005-0000-0000-00002B000000}"/>
    <cellStyle name="20% - Accent1 3 2 3" xfId="327" xr:uid="{00000000-0005-0000-0000-00002C000000}"/>
    <cellStyle name="20% - Accent1 3 2 3 2" xfId="328" xr:uid="{00000000-0005-0000-0000-00002D000000}"/>
    <cellStyle name="20% - Accent1 3 3" xfId="329" xr:uid="{00000000-0005-0000-0000-00002E000000}"/>
    <cellStyle name="20% - Accent1 3 3 2" xfId="330" xr:uid="{00000000-0005-0000-0000-00002F000000}"/>
    <cellStyle name="20% - Accent1 3 3 2 2" xfId="331" xr:uid="{00000000-0005-0000-0000-000030000000}"/>
    <cellStyle name="20% - Accent1 3 4" xfId="332" xr:uid="{00000000-0005-0000-0000-000031000000}"/>
    <cellStyle name="20% - Accent1 3 5" xfId="333" xr:uid="{00000000-0005-0000-0000-000032000000}"/>
    <cellStyle name="20% - Accent1 3 5 2" xfId="334" xr:uid="{00000000-0005-0000-0000-000033000000}"/>
    <cellStyle name="20% - Accent1 4" xfId="335" xr:uid="{00000000-0005-0000-0000-000034000000}"/>
    <cellStyle name="20% - Accent1 4 2" xfId="336" xr:uid="{00000000-0005-0000-0000-000035000000}"/>
    <cellStyle name="20% - Accent1 4 3" xfId="337" xr:uid="{00000000-0005-0000-0000-000036000000}"/>
    <cellStyle name="20% - Accent1 4 3 2" xfId="338" xr:uid="{00000000-0005-0000-0000-000037000000}"/>
    <cellStyle name="20% - Accent1 5" xfId="339" xr:uid="{00000000-0005-0000-0000-000038000000}"/>
    <cellStyle name="20% - Accent1 5 2" xfId="340" xr:uid="{00000000-0005-0000-0000-000039000000}"/>
    <cellStyle name="20% - Accent1 5 3" xfId="341" xr:uid="{00000000-0005-0000-0000-00003A000000}"/>
    <cellStyle name="20% - Accent1 5 3 2" xfId="342" xr:uid="{00000000-0005-0000-0000-00003B000000}"/>
    <cellStyle name="20% - Accent1 6" xfId="343" xr:uid="{00000000-0005-0000-0000-00003C000000}"/>
    <cellStyle name="20% - Accent1 6 2" xfId="344" xr:uid="{00000000-0005-0000-0000-00003D000000}"/>
    <cellStyle name="20% - Accent1 6 3" xfId="345" xr:uid="{00000000-0005-0000-0000-00003E000000}"/>
    <cellStyle name="20% - Accent1 6 3 2" xfId="346" xr:uid="{00000000-0005-0000-0000-00003F000000}"/>
    <cellStyle name="20% - Accent1 7" xfId="347" xr:uid="{00000000-0005-0000-0000-000040000000}"/>
    <cellStyle name="20% - Accent1 7 2" xfId="348" xr:uid="{00000000-0005-0000-0000-000041000000}"/>
    <cellStyle name="20% - Accent1 7 2 2" xfId="349" xr:uid="{00000000-0005-0000-0000-000042000000}"/>
    <cellStyle name="20% - Accent1 8" xfId="350" xr:uid="{00000000-0005-0000-0000-000043000000}"/>
    <cellStyle name="20% - Accent1 8 2" xfId="351" xr:uid="{00000000-0005-0000-0000-000044000000}"/>
    <cellStyle name="20% - Accent1 8 2 2" xfId="352" xr:uid="{00000000-0005-0000-0000-000045000000}"/>
    <cellStyle name="20% - Accent1 9" xfId="353" xr:uid="{00000000-0005-0000-0000-000046000000}"/>
    <cellStyle name="20% - Accent1 9 2" xfId="354" xr:uid="{00000000-0005-0000-0000-000047000000}"/>
    <cellStyle name="20% - Accent1 9 2 2" xfId="355" xr:uid="{00000000-0005-0000-0000-000048000000}"/>
    <cellStyle name="20% - Accent2 10" xfId="356" xr:uid="{00000000-0005-0000-0000-000049000000}"/>
    <cellStyle name="20% - Accent2 10 2" xfId="357" xr:uid="{00000000-0005-0000-0000-00004A000000}"/>
    <cellStyle name="20% - Accent2 10 2 2" xfId="358" xr:uid="{00000000-0005-0000-0000-00004B000000}"/>
    <cellStyle name="20% - Accent2 11" xfId="359" xr:uid="{00000000-0005-0000-0000-00004C000000}"/>
    <cellStyle name="20% - Accent2 11 2" xfId="360" xr:uid="{00000000-0005-0000-0000-00004D000000}"/>
    <cellStyle name="20% - Accent2 11 2 2" xfId="361" xr:uid="{00000000-0005-0000-0000-00004E000000}"/>
    <cellStyle name="20% - Accent2 12" xfId="362" xr:uid="{00000000-0005-0000-0000-00004F000000}"/>
    <cellStyle name="20% - Accent2 12 2" xfId="363" xr:uid="{00000000-0005-0000-0000-000050000000}"/>
    <cellStyle name="20% - Accent2 12 2 2" xfId="364" xr:uid="{00000000-0005-0000-0000-000051000000}"/>
    <cellStyle name="20% - Accent2 13" xfId="365" xr:uid="{00000000-0005-0000-0000-000052000000}"/>
    <cellStyle name="20% - Accent2 13 2" xfId="366" xr:uid="{00000000-0005-0000-0000-000053000000}"/>
    <cellStyle name="20% - Accent2 13 2 2" xfId="367" xr:uid="{00000000-0005-0000-0000-000054000000}"/>
    <cellStyle name="20% - Accent2 14" xfId="368" xr:uid="{00000000-0005-0000-0000-000055000000}"/>
    <cellStyle name="20% - Accent2 14 2" xfId="369" xr:uid="{00000000-0005-0000-0000-000056000000}"/>
    <cellStyle name="20% - Accent2 14 2 2" xfId="370" xr:uid="{00000000-0005-0000-0000-000057000000}"/>
    <cellStyle name="20% - Accent2 15" xfId="371" xr:uid="{00000000-0005-0000-0000-000058000000}"/>
    <cellStyle name="20% - Accent2 15 2" xfId="372" xr:uid="{00000000-0005-0000-0000-000059000000}"/>
    <cellStyle name="20% - Accent2 15 2 2" xfId="373" xr:uid="{00000000-0005-0000-0000-00005A000000}"/>
    <cellStyle name="20% - Accent2 16" xfId="374" xr:uid="{00000000-0005-0000-0000-00005B000000}"/>
    <cellStyle name="20% - Accent2 16 2" xfId="375" xr:uid="{00000000-0005-0000-0000-00005C000000}"/>
    <cellStyle name="20% - Accent2 16 2 2" xfId="376" xr:uid="{00000000-0005-0000-0000-00005D000000}"/>
    <cellStyle name="20% - Accent2 17" xfId="377" xr:uid="{00000000-0005-0000-0000-00005E000000}"/>
    <cellStyle name="20% - Accent2 17 2" xfId="378" xr:uid="{00000000-0005-0000-0000-00005F000000}"/>
    <cellStyle name="20% - Accent2 17 2 2" xfId="379" xr:uid="{00000000-0005-0000-0000-000060000000}"/>
    <cellStyle name="20% - Accent2 18" xfId="380" xr:uid="{00000000-0005-0000-0000-000061000000}"/>
    <cellStyle name="20% - Accent2 18 2" xfId="381" xr:uid="{00000000-0005-0000-0000-000062000000}"/>
    <cellStyle name="20% - Accent2 18 2 2" xfId="382" xr:uid="{00000000-0005-0000-0000-000063000000}"/>
    <cellStyle name="20% - Accent2 19" xfId="383" xr:uid="{00000000-0005-0000-0000-000064000000}"/>
    <cellStyle name="20% - Accent2 19 2" xfId="384" xr:uid="{00000000-0005-0000-0000-000065000000}"/>
    <cellStyle name="20% - Accent2 19 2 2" xfId="385" xr:uid="{00000000-0005-0000-0000-000066000000}"/>
    <cellStyle name="20% - Accent2 2" xfId="54" xr:uid="{00000000-0005-0000-0000-000067000000}"/>
    <cellStyle name="20% - Accent2 2 2" xfId="55" xr:uid="{00000000-0005-0000-0000-000068000000}"/>
    <cellStyle name="20% - Accent2 2 2 2" xfId="386" xr:uid="{00000000-0005-0000-0000-000069000000}"/>
    <cellStyle name="20% - Accent2 2 2 2 2" xfId="387" xr:uid="{00000000-0005-0000-0000-00006A000000}"/>
    <cellStyle name="20% - Accent2 20" xfId="388" xr:uid="{00000000-0005-0000-0000-00006B000000}"/>
    <cellStyle name="20% - Accent2 20 2" xfId="389" xr:uid="{00000000-0005-0000-0000-00006C000000}"/>
    <cellStyle name="20% - Accent2 20 2 2" xfId="390" xr:uid="{00000000-0005-0000-0000-00006D000000}"/>
    <cellStyle name="20% - Accent2 21" xfId="391" xr:uid="{00000000-0005-0000-0000-00006E000000}"/>
    <cellStyle name="20% - Accent2 21 2" xfId="392" xr:uid="{00000000-0005-0000-0000-00006F000000}"/>
    <cellStyle name="20% - Accent2 21 2 2" xfId="393" xr:uid="{00000000-0005-0000-0000-000070000000}"/>
    <cellStyle name="20% - Accent2 22" xfId="394" xr:uid="{00000000-0005-0000-0000-000071000000}"/>
    <cellStyle name="20% - Accent2 3" xfId="56" xr:uid="{00000000-0005-0000-0000-000072000000}"/>
    <cellStyle name="20% - Accent2 3 2" xfId="395" xr:uid="{00000000-0005-0000-0000-000073000000}"/>
    <cellStyle name="20% - Accent2 3 2 2" xfId="396" xr:uid="{00000000-0005-0000-0000-000074000000}"/>
    <cellStyle name="20% - Accent2 3 2 3" xfId="397" xr:uid="{00000000-0005-0000-0000-000075000000}"/>
    <cellStyle name="20% - Accent2 3 2 3 2" xfId="398" xr:uid="{00000000-0005-0000-0000-000076000000}"/>
    <cellStyle name="20% - Accent2 3 3" xfId="399" xr:uid="{00000000-0005-0000-0000-000077000000}"/>
    <cellStyle name="20% - Accent2 3 3 2" xfId="400" xr:uid="{00000000-0005-0000-0000-000078000000}"/>
    <cellStyle name="20% - Accent2 3 3 2 2" xfId="401" xr:uid="{00000000-0005-0000-0000-000079000000}"/>
    <cellStyle name="20% - Accent2 3 4" xfId="402" xr:uid="{00000000-0005-0000-0000-00007A000000}"/>
    <cellStyle name="20% - Accent2 3 5" xfId="403" xr:uid="{00000000-0005-0000-0000-00007B000000}"/>
    <cellStyle name="20% - Accent2 3 5 2" xfId="404" xr:uid="{00000000-0005-0000-0000-00007C000000}"/>
    <cellStyle name="20% - Accent2 4" xfId="405" xr:uid="{00000000-0005-0000-0000-00007D000000}"/>
    <cellStyle name="20% - Accent2 4 2" xfId="406" xr:uid="{00000000-0005-0000-0000-00007E000000}"/>
    <cellStyle name="20% - Accent2 4 3" xfId="407" xr:uid="{00000000-0005-0000-0000-00007F000000}"/>
    <cellStyle name="20% - Accent2 4 3 2" xfId="408" xr:uid="{00000000-0005-0000-0000-000080000000}"/>
    <cellStyle name="20% - Accent2 5" xfId="409" xr:uid="{00000000-0005-0000-0000-000081000000}"/>
    <cellStyle name="20% - Accent2 5 2" xfId="410" xr:uid="{00000000-0005-0000-0000-000082000000}"/>
    <cellStyle name="20% - Accent2 5 3" xfId="411" xr:uid="{00000000-0005-0000-0000-000083000000}"/>
    <cellStyle name="20% - Accent2 5 3 2" xfId="412" xr:uid="{00000000-0005-0000-0000-000084000000}"/>
    <cellStyle name="20% - Accent2 6" xfId="413" xr:uid="{00000000-0005-0000-0000-000085000000}"/>
    <cellStyle name="20% - Accent2 6 2" xfId="414" xr:uid="{00000000-0005-0000-0000-000086000000}"/>
    <cellStyle name="20% - Accent2 6 3" xfId="415" xr:uid="{00000000-0005-0000-0000-000087000000}"/>
    <cellStyle name="20% - Accent2 6 3 2" xfId="416" xr:uid="{00000000-0005-0000-0000-000088000000}"/>
    <cellStyle name="20% - Accent2 7" xfId="417" xr:uid="{00000000-0005-0000-0000-000089000000}"/>
    <cellStyle name="20% - Accent2 7 2" xfId="418" xr:uid="{00000000-0005-0000-0000-00008A000000}"/>
    <cellStyle name="20% - Accent2 7 2 2" xfId="419" xr:uid="{00000000-0005-0000-0000-00008B000000}"/>
    <cellStyle name="20% - Accent2 8" xfId="420" xr:uid="{00000000-0005-0000-0000-00008C000000}"/>
    <cellStyle name="20% - Accent2 8 2" xfId="421" xr:uid="{00000000-0005-0000-0000-00008D000000}"/>
    <cellStyle name="20% - Accent2 8 2 2" xfId="422" xr:uid="{00000000-0005-0000-0000-00008E000000}"/>
    <cellStyle name="20% - Accent2 9" xfId="423" xr:uid="{00000000-0005-0000-0000-00008F000000}"/>
    <cellStyle name="20% - Accent2 9 2" xfId="424" xr:uid="{00000000-0005-0000-0000-000090000000}"/>
    <cellStyle name="20% - Accent2 9 2 2" xfId="425" xr:uid="{00000000-0005-0000-0000-000091000000}"/>
    <cellStyle name="20% - Accent3 10" xfId="426" xr:uid="{00000000-0005-0000-0000-000092000000}"/>
    <cellStyle name="20% - Accent3 10 2" xfId="427" xr:uid="{00000000-0005-0000-0000-000093000000}"/>
    <cellStyle name="20% - Accent3 10 2 2" xfId="428" xr:uid="{00000000-0005-0000-0000-000094000000}"/>
    <cellStyle name="20% - Accent3 11" xfId="429" xr:uid="{00000000-0005-0000-0000-000095000000}"/>
    <cellStyle name="20% - Accent3 11 2" xfId="430" xr:uid="{00000000-0005-0000-0000-000096000000}"/>
    <cellStyle name="20% - Accent3 11 2 2" xfId="431" xr:uid="{00000000-0005-0000-0000-000097000000}"/>
    <cellStyle name="20% - Accent3 12" xfId="432" xr:uid="{00000000-0005-0000-0000-000098000000}"/>
    <cellStyle name="20% - Accent3 12 2" xfId="433" xr:uid="{00000000-0005-0000-0000-000099000000}"/>
    <cellStyle name="20% - Accent3 12 2 2" xfId="434" xr:uid="{00000000-0005-0000-0000-00009A000000}"/>
    <cellStyle name="20% - Accent3 13" xfId="435" xr:uid="{00000000-0005-0000-0000-00009B000000}"/>
    <cellStyle name="20% - Accent3 13 2" xfId="436" xr:uid="{00000000-0005-0000-0000-00009C000000}"/>
    <cellStyle name="20% - Accent3 13 2 2" xfId="437" xr:uid="{00000000-0005-0000-0000-00009D000000}"/>
    <cellStyle name="20% - Accent3 14" xfId="438" xr:uid="{00000000-0005-0000-0000-00009E000000}"/>
    <cellStyle name="20% - Accent3 14 2" xfId="439" xr:uid="{00000000-0005-0000-0000-00009F000000}"/>
    <cellStyle name="20% - Accent3 14 2 2" xfId="440" xr:uid="{00000000-0005-0000-0000-0000A0000000}"/>
    <cellStyle name="20% - Accent3 15" xfId="441" xr:uid="{00000000-0005-0000-0000-0000A1000000}"/>
    <cellStyle name="20% - Accent3 15 2" xfId="442" xr:uid="{00000000-0005-0000-0000-0000A2000000}"/>
    <cellStyle name="20% - Accent3 15 2 2" xfId="443" xr:uid="{00000000-0005-0000-0000-0000A3000000}"/>
    <cellStyle name="20% - Accent3 16" xfId="444" xr:uid="{00000000-0005-0000-0000-0000A4000000}"/>
    <cellStyle name="20% - Accent3 16 2" xfId="445" xr:uid="{00000000-0005-0000-0000-0000A5000000}"/>
    <cellStyle name="20% - Accent3 16 2 2" xfId="446" xr:uid="{00000000-0005-0000-0000-0000A6000000}"/>
    <cellStyle name="20% - Accent3 17" xfId="447" xr:uid="{00000000-0005-0000-0000-0000A7000000}"/>
    <cellStyle name="20% - Accent3 17 2" xfId="448" xr:uid="{00000000-0005-0000-0000-0000A8000000}"/>
    <cellStyle name="20% - Accent3 17 2 2" xfId="449" xr:uid="{00000000-0005-0000-0000-0000A9000000}"/>
    <cellStyle name="20% - Accent3 18" xfId="450" xr:uid="{00000000-0005-0000-0000-0000AA000000}"/>
    <cellStyle name="20% - Accent3 18 2" xfId="451" xr:uid="{00000000-0005-0000-0000-0000AB000000}"/>
    <cellStyle name="20% - Accent3 18 2 2" xfId="452" xr:uid="{00000000-0005-0000-0000-0000AC000000}"/>
    <cellStyle name="20% - Accent3 19" xfId="453" xr:uid="{00000000-0005-0000-0000-0000AD000000}"/>
    <cellStyle name="20% - Accent3 19 2" xfId="454" xr:uid="{00000000-0005-0000-0000-0000AE000000}"/>
    <cellStyle name="20% - Accent3 19 2 2" xfId="455" xr:uid="{00000000-0005-0000-0000-0000AF000000}"/>
    <cellStyle name="20% - Accent3 2" xfId="57" xr:uid="{00000000-0005-0000-0000-0000B0000000}"/>
    <cellStyle name="20% - Accent3 2 2" xfId="58" xr:uid="{00000000-0005-0000-0000-0000B1000000}"/>
    <cellStyle name="20% - Accent3 2 2 2" xfId="456" xr:uid="{00000000-0005-0000-0000-0000B2000000}"/>
    <cellStyle name="20% - Accent3 2 2 2 2" xfId="457" xr:uid="{00000000-0005-0000-0000-0000B3000000}"/>
    <cellStyle name="20% - Accent3 20" xfId="458" xr:uid="{00000000-0005-0000-0000-0000B4000000}"/>
    <cellStyle name="20% - Accent3 20 2" xfId="459" xr:uid="{00000000-0005-0000-0000-0000B5000000}"/>
    <cellStyle name="20% - Accent3 20 2 2" xfId="460" xr:uid="{00000000-0005-0000-0000-0000B6000000}"/>
    <cellStyle name="20% - Accent3 21" xfId="461" xr:uid="{00000000-0005-0000-0000-0000B7000000}"/>
    <cellStyle name="20% - Accent3 21 2" xfId="462" xr:uid="{00000000-0005-0000-0000-0000B8000000}"/>
    <cellStyle name="20% - Accent3 21 2 2" xfId="463" xr:uid="{00000000-0005-0000-0000-0000B9000000}"/>
    <cellStyle name="20% - Accent3 22" xfId="464" xr:uid="{00000000-0005-0000-0000-0000BA000000}"/>
    <cellStyle name="20% - Accent3 3" xfId="59" xr:uid="{00000000-0005-0000-0000-0000BB000000}"/>
    <cellStyle name="20% - Accent3 3 2" xfId="465" xr:uid="{00000000-0005-0000-0000-0000BC000000}"/>
    <cellStyle name="20% - Accent3 3 2 2" xfId="466" xr:uid="{00000000-0005-0000-0000-0000BD000000}"/>
    <cellStyle name="20% - Accent3 3 2 3" xfId="467" xr:uid="{00000000-0005-0000-0000-0000BE000000}"/>
    <cellStyle name="20% - Accent3 3 2 3 2" xfId="468" xr:uid="{00000000-0005-0000-0000-0000BF000000}"/>
    <cellStyle name="20% - Accent3 3 3" xfId="469" xr:uid="{00000000-0005-0000-0000-0000C0000000}"/>
    <cellStyle name="20% - Accent3 3 3 2" xfId="470" xr:uid="{00000000-0005-0000-0000-0000C1000000}"/>
    <cellStyle name="20% - Accent3 3 3 2 2" xfId="471" xr:uid="{00000000-0005-0000-0000-0000C2000000}"/>
    <cellStyle name="20% - Accent3 3 4" xfId="472" xr:uid="{00000000-0005-0000-0000-0000C3000000}"/>
    <cellStyle name="20% - Accent3 3 5" xfId="473" xr:uid="{00000000-0005-0000-0000-0000C4000000}"/>
    <cellStyle name="20% - Accent3 3 5 2" xfId="474" xr:uid="{00000000-0005-0000-0000-0000C5000000}"/>
    <cellStyle name="20% - Accent3 4" xfId="475" xr:uid="{00000000-0005-0000-0000-0000C6000000}"/>
    <cellStyle name="20% - Accent3 4 2" xfId="476" xr:uid="{00000000-0005-0000-0000-0000C7000000}"/>
    <cellStyle name="20% - Accent3 4 3" xfId="477" xr:uid="{00000000-0005-0000-0000-0000C8000000}"/>
    <cellStyle name="20% - Accent3 4 3 2" xfId="478" xr:uid="{00000000-0005-0000-0000-0000C9000000}"/>
    <cellStyle name="20% - Accent3 5" xfId="479" xr:uid="{00000000-0005-0000-0000-0000CA000000}"/>
    <cellStyle name="20% - Accent3 5 2" xfId="480" xr:uid="{00000000-0005-0000-0000-0000CB000000}"/>
    <cellStyle name="20% - Accent3 5 3" xfId="481" xr:uid="{00000000-0005-0000-0000-0000CC000000}"/>
    <cellStyle name="20% - Accent3 5 3 2" xfId="482" xr:uid="{00000000-0005-0000-0000-0000CD000000}"/>
    <cellStyle name="20% - Accent3 6" xfId="483" xr:uid="{00000000-0005-0000-0000-0000CE000000}"/>
    <cellStyle name="20% - Accent3 6 2" xfId="484" xr:uid="{00000000-0005-0000-0000-0000CF000000}"/>
    <cellStyle name="20% - Accent3 6 3" xfId="485" xr:uid="{00000000-0005-0000-0000-0000D0000000}"/>
    <cellStyle name="20% - Accent3 6 3 2" xfId="486" xr:uid="{00000000-0005-0000-0000-0000D1000000}"/>
    <cellStyle name="20% - Accent3 7" xfId="487" xr:uid="{00000000-0005-0000-0000-0000D2000000}"/>
    <cellStyle name="20% - Accent3 7 2" xfId="488" xr:uid="{00000000-0005-0000-0000-0000D3000000}"/>
    <cellStyle name="20% - Accent3 7 2 2" xfId="489" xr:uid="{00000000-0005-0000-0000-0000D4000000}"/>
    <cellStyle name="20% - Accent3 8" xfId="490" xr:uid="{00000000-0005-0000-0000-0000D5000000}"/>
    <cellStyle name="20% - Accent3 8 2" xfId="491" xr:uid="{00000000-0005-0000-0000-0000D6000000}"/>
    <cellStyle name="20% - Accent3 8 2 2" xfId="492" xr:uid="{00000000-0005-0000-0000-0000D7000000}"/>
    <cellStyle name="20% - Accent3 9" xfId="493" xr:uid="{00000000-0005-0000-0000-0000D8000000}"/>
    <cellStyle name="20% - Accent3 9 2" xfId="494" xr:uid="{00000000-0005-0000-0000-0000D9000000}"/>
    <cellStyle name="20% - Accent3 9 2 2" xfId="495" xr:uid="{00000000-0005-0000-0000-0000DA000000}"/>
    <cellStyle name="20% - Accent4 10" xfId="496" xr:uid="{00000000-0005-0000-0000-0000DB000000}"/>
    <cellStyle name="20% - Accent4 10 2" xfId="497" xr:uid="{00000000-0005-0000-0000-0000DC000000}"/>
    <cellStyle name="20% - Accent4 10 2 2" xfId="498" xr:uid="{00000000-0005-0000-0000-0000DD000000}"/>
    <cellStyle name="20% - Accent4 11" xfId="499" xr:uid="{00000000-0005-0000-0000-0000DE000000}"/>
    <cellStyle name="20% - Accent4 11 2" xfId="500" xr:uid="{00000000-0005-0000-0000-0000DF000000}"/>
    <cellStyle name="20% - Accent4 11 2 2" xfId="501" xr:uid="{00000000-0005-0000-0000-0000E0000000}"/>
    <cellStyle name="20% - Accent4 12" xfId="502" xr:uid="{00000000-0005-0000-0000-0000E1000000}"/>
    <cellStyle name="20% - Accent4 12 2" xfId="503" xr:uid="{00000000-0005-0000-0000-0000E2000000}"/>
    <cellStyle name="20% - Accent4 12 2 2" xfId="504" xr:uid="{00000000-0005-0000-0000-0000E3000000}"/>
    <cellStyle name="20% - Accent4 13" xfId="505" xr:uid="{00000000-0005-0000-0000-0000E4000000}"/>
    <cellStyle name="20% - Accent4 13 2" xfId="506" xr:uid="{00000000-0005-0000-0000-0000E5000000}"/>
    <cellStyle name="20% - Accent4 13 2 2" xfId="507" xr:uid="{00000000-0005-0000-0000-0000E6000000}"/>
    <cellStyle name="20% - Accent4 14" xfId="508" xr:uid="{00000000-0005-0000-0000-0000E7000000}"/>
    <cellStyle name="20% - Accent4 14 2" xfId="509" xr:uid="{00000000-0005-0000-0000-0000E8000000}"/>
    <cellStyle name="20% - Accent4 14 2 2" xfId="510" xr:uid="{00000000-0005-0000-0000-0000E9000000}"/>
    <cellStyle name="20% - Accent4 15" xfId="511" xr:uid="{00000000-0005-0000-0000-0000EA000000}"/>
    <cellStyle name="20% - Accent4 15 2" xfId="512" xr:uid="{00000000-0005-0000-0000-0000EB000000}"/>
    <cellStyle name="20% - Accent4 15 2 2" xfId="513" xr:uid="{00000000-0005-0000-0000-0000EC000000}"/>
    <cellStyle name="20% - Accent4 16" xfId="514" xr:uid="{00000000-0005-0000-0000-0000ED000000}"/>
    <cellStyle name="20% - Accent4 16 2" xfId="515" xr:uid="{00000000-0005-0000-0000-0000EE000000}"/>
    <cellStyle name="20% - Accent4 16 2 2" xfId="516" xr:uid="{00000000-0005-0000-0000-0000EF000000}"/>
    <cellStyle name="20% - Accent4 17" xfId="517" xr:uid="{00000000-0005-0000-0000-0000F0000000}"/>
    <cellStyle name="20% - Accent4 17 2" xfId="518" xr:uid="{00000000-0005-0000-0000-0000F1000000}"/>
    <cellStyle name="20% - Accent4 17 2 2" xfId="519" xr:uid="{00000000-0005-0000-0000-0000F2000000}"/>
    <cellStyle name="20% - Accent4 18" xfId="520" xr:uid="{00000000-0005-0000-0000-0000F3000000}"/>
    <cellStyle name="20% - Accent4 18 2" xfId="521" xr:uid="{00000000-0005-0000-0000-0000F4000000}"/>
    <cellStyle name="20% - Accent4 18 2 2" xfId="522" xr:uid="{00000000-0005-0000-0000-0000F5000000}"/>
    <cellStyle name="20% - Accent4 19" xfId="523" xr:uid="{00000000-0005-0000-0000-0000F6000000}"/>
    <cellStyle name="20% - Accent4 19 2" xfId="524" xr:uid="{00000000-0005-0000-0000-0000F7000000}"/>
    <cellStyle name="20% - Accent4 19 2 2" xfId="525" xr:uid="{00000000-0005-0000-0000-0000F8000000}"/>
    <cellStyle name="20% - Accent4 2" xfId="60" xr:uid="{00000000-0005-0000-0000-0000F9000000}"/>
    <cellStyle name="20% - Accent4 2 2" xfId="61" xr:uid="{00000000-0005-0000-0000-0000FA000000}"/>
    <cellStyle name="20% - Accent4 2 2 2" xfId="526" xr:uid="{00000000-0005-0000-0000-0000FB000000}"/>
    <cellStyle name="20% - Accent4 2 2 2 2" xfId="527" xr:uid="{00000000-0005-0000-0000-0000FC000000}"/>
    <cellStyle name="20% - Accent4 20" xfId="528" xr:uid="{00000000-0005-0000-0000-0000FD000000}"/>
    <cellStyle name="20% - Accent4 20 2" xfId="529" xr:uid="{00000000-0005-0000-0000-0000FE000000}"/>
    <cellStyle name="20% - Accent4 20 2 2" xfId="530" xr:uid="{00000000-0005-0000-0000-0000FF000000}"/>
    <cellStyle name="20% - Accent4 21" xfId="531" xr:uid="{00000000-0005-0000-0000-000000010000}"/>
    <cellStyle name="20% - Accent4 21 2" xfId="532" xr:uid="{00000000-0005-0000-0000-000001010000}"/>
    <cellStyle name="20% - Accent4 21 2 2" xfId="533" xr:uid="{00000000-0005-0000-0000-000002010000}"/>
    <cellStyle name="20% - Accent4 22" xfId="534" xr:uid="{00000000-0005-0000-0000-000003010000}"/>
    <cellStyle name="20% - Accent4 3" xfId="62" xr:uid="{00000000-0005-0000-0000-000004010000}"/>
    <cellStyle name="20% - Accent4 3 2" xfId="535" xr:uid="{00000000-0005-0000-0000-000005010000}"/>
    <cellStyle name="20% - Accent4 3 2 2" xfId="536" xr:uid="{00000000-0005-0000-0000-000006010000}"/>
    <cellStyle name="20% - Accent4 3 2 3" xfId="537" xr:uid="{00000000-0005-0000-0000-000007010000}"/>
    <cellStyle name="20% - Accent4 3 2 3 2" xfId="538" xr:uid="{00000000-0005-0000-0000-000008010000}"/>
    <cellStyle name="20% - Accent4 3 3" xfId="539" xr:uid="{00000000-0005-0000-0000-000009010000}"/>
    <cellStyle name="20% - Accent4 3 3 2" xfId="540" xr:uid="{00000000-0005-0000-0000-00000A010000}"/>
    <cellStyle name="20% - Accent4 3 3 2 2" xfId="541" xr:uid="{00000000-0005-0000-0000-00000B010000}"/>
    <cellStyle name="20% - Accent4 3 4" xfId="542" xr:uid="{00000000-0005-0000-0000-00000C010000}"/>
    <cellStyle name="20% - Accent4 3 5" xfId="543" xr:uid="{00000000-0005-0000-0000-00000D010000}"/>
    <cellStyle name="20% - Accent4 3 5 2" xfId="544" xr:uid="{00000000-0005-0000-0000-00000E010000}"/>
    <cellStyle name="20% - Accent4 4" xfId="545" xr:uid="{00000000-0005-0000-0000-00000F010000}"/>
    <cellStyle name="20% - Accent4 4 2" xfId="546" xr:uid="{00000000-0005-0000-0000-000010010000}"/>
    <cellStyle name="20% - Accent4 4 3" xfId="547" xr:uid="{00000000-0005-0000-0000-000011010000}"/>
    <cellStyle name="20% - Accent4 4 3 2" xfId="548" xr:uid="{00000000-0005-0000-0000-000012010000}"/>
    <cellStyle name="20% - Accent4 5" xfId="549" xr:uid="{00000000-0005-0000-0000-000013010000}"/>
    <cellStyle name="20% - Accent4 5 2" xfId="550" xr:uid="{00000000-0005-0000-0000-000014010000}"/>
    <cellStyle name="20% - Accent4 5 3" xfId="551" xr:uid="{00000000-0005-0000-0000-000015010000}"/>
    <cellStyle name="20% - Accent4 5 3 2" xfId="552" xr:uid="{00000000-0005-0000-0000-000016010000}"/>
    <cellStyle name="20% - Accent4 6" xfId="553" xr:uid="{00000000-0005-0000-0000-000017010000}"/>
    <cellStyle name="20% - Accent4 6 2" xfId="554" xr:uid="{00000000-0005-0000-0000-000018010000}"/>
    <cellStyle name="20% - Accent4 6 3" xfId="555" xr:uid="{00000000-0005-0000-0000-000019010000}"/>
    <cellStyle name="20% - Accent4 6 3 2" xfId="556" xr:uid="{00000000-0005-0000-0000-00001A010000}"/>
    <cellStyle name="20% - Accent4 7" xfId="557" xr:uid="{00000000-0005-0000-0000-00001B010000}"/>
    <cellStyle name="20% - Accent4 7 2" xfId="558" xr:uid="{00000000-0005-0000-0000-00001C010000}"/>
    <cellStyle name="20% - Accent4 7 2 2" xfId="559" xr:uid="{00000000-0005-0000-0000-00001D010000}"/>
    <cellStyle name="20% - Accent4 8" xfId="560" xr:uid="{00000000-0005-0000-0000-00001E010000}"/>
    <cellStyle name="20% - Accent4 8 2" xfId="561" xr:uid="{00000000-0005-0000-0000-00001F010000}"/>
    <cellStyle name="20% - Accent4 8 2 2" xfId="562" xr:uid="{00000000-0005-0000-0000-000020010000}"/>
    <cellStyle name="20% - Accent4 9" xfId="563" xr:uid="{00000000-0005-0000-0000-000021010000}"/>
    <cellStyle name="20% - Accent4 9 2" xfId="564" xr:uid="{00000000-0005-0000-0000-000022010000}"/>
    <cellStyle name="20% - Accent4 9 2 2" xfId="565" xr:uid="{00000000-0005-0000-0000-000023010000}"/>
    <cellStyle name="20% - Accent5 10" xfId="566" xr:uid="{00000000-0005-0000-0000-000024010000}"/>
    <cellStyle name="20% - Accent5 10 2" xfId="567" xr:uid="{00000000-0005-0000-0000-000025010000}"/>
    <cellStyle name="20% - Accent5 10 2 2" xfId="568" xr:uid="{00000000-0005-0000-0000-000026010000}"/>
    <cellStyle name="20% - Accent5 11" xfId="569" xr:uid="{00000000-0005-0000-0000-000027010000}"/>
    <cellStyle name="20% - Accent5 11 2" xfId="570" xr:uid="{00000000-0005-0000-0000-000028010000}"/>
    <cellStyle name="20% - Accent5 11 2 2" xfId="571" xr:uid="{00000000-0005-0000-0000-000029010000}"/>
    <cellStyle name="20% - Accent5 12" xfId="572" xr:uid="{00000000-0005-0000-0000-00002A010000}"/>
    <cellStyle name="20% - Accent5 12 2" xfId="573" xr:uid="{00000000-0005-0000-0000-00002B010000}"/>
    <cellStyle name="20% - Accent5 12 2 2" xfId="574" xr:uid="{00000000-0005-0000-0000-00002C010000}"/>
    <cellStyle name="20% - Accent5 13" xfId="575" xr:uid="{00000000-0005-0000-0000-00002D010000}"/>
    <cellStyle name="20% - Accent5 13 2" xfId="576" xr:uid="{00000000-0005-0000-0000-00002E010000}"/>
    <cellStyle name="20% - Accent5 13 2 2" xfId="577" xr:uid="{00000000-0005-0000-0000-00002F010000}"/>
    <cellStyle name="20% - Accent5 14" xfId="578" xr:uid="{00000000-0005-0000-0000-000030010000}"/>
    <cellStyle name="20% - Accent5 14 2" xfId="579" xr:uid="{00000000-0005-0000-0000-000031010000}"/>
    <cellStyle name="20% - Accent5 14 2 2" xfId="580" xr:uid="{00000000-0005-0000-0000-000032010000}"/>
    <cellStyle name="20% - Accent5 15" xfId="581" xr:uid="{00000000-0005-0000-0000-000033010000}"/>
    <cellStyle name="20% - Accent5 15 2" xfId="582" xr:uid="{00000000-0005-0000-0000-000034010000}"/>
    <cellStyle name="20% - Accent5 15 2 2" xfId="583" xr:uid="{00000000-0005-0000-0000-000035010000}"/>
    <cellStyle name="20% - Accent5 16" xfId="584" xr:uid="{00000000-0005-0000-0000-000036010000}"/>
    <cellStyle name="20% - Accent5 16 2" xfId="585" xr:uid="{00000000-0005-0000-0000-000037010000}"/>
    <cellStyle name="20% - Accent5 16 2 2" xfId="586" xr:uid="{00000000-0005-0000-0000-000038010000}"/>
    <cellStyle name="20% - Accent5 17" xfId="587" xr:uid="{00000000-0005-0000-0000-000039010000}"/>
    <cellStyle name="20% - Accent5 17 2" xfId="588" xr:uid="{00000000-0005-0000-0000-00003A010000}"/>
    <cellStyle name="20% - Accent5 17 2 2" xfId="589" xr:uid="{00000000-0005-0000-0000-00003B010000}"/>
    <cellStyle name="20% - Accent5 18" xfId="590" xr:uid="{00000000-0005-0000-0000-00003C010000}"/>
    <cellStyle name="20% - Accent5 18 2" xfId="591" xr:uid="{00000000-0005-0000-0000-00003D010000}"/>
    <cellStyle name="20% - Accent5 18 2 2" xfId="592" xr:uid="{00000000-0005-0000-0000-00003E010000}"/>
    <cellStyle name="20% - Accent5 19" xfId="593" xr:uid="{00000000-0005-0000-0000-00003F010000}"/>
    <cellStyle name="20% - Accent5 19 2" xfId="594" xr:uid="{00000000-0005-0000-0000-000040010000}"/>
    <cellStyle name="20% - Accent5 19 2 2" xfId="595" xr:uid="{00000000-0005-0000-0000-000041010000}"/>
    <cellStyle name="20% - Accent5 2" xfId="63" xr:uid="{00000000-0005-0000-0000-000042010000}"/>
    <cellStyle name="20% - Accent5 2 2" xfId="64" xr:uid="{00000000-0005-0000-0000-000043010000}"/>
    <cellStyle name="20% - Accent5 2 2 2" xfId="596" xr:uid="{00000000-0005-0000-0000-000044010000}"/>
    <cellStyle name="20% - Accent5 2 2 2 2" xfId="597" xr:uid="{00000000-0005-0000-0000-000045010000}"/>
    <cellStyle name="20% - Accent5 20" xfId="598" xr:uid="{00000000-0005-0000-0000-000046010000}"/>
    <cellStyle name="20% - Accent5 20 2" xfId="599" xr:uid="{00000000-0005-0000-0000-000047010000}"/>
    <cellStyle name="20% - Accent5 20 2 2" xfId="600" xr:uid="{00000000-0005-0000-0000-000048010000}"/>
    <cellStyle name="20% - Accent5 21" xfId="601" xr:uid="{00000000-0005-0000-0000-000049010000}"/>
    <cellStyle name="20% - Accent5 21 2" xfId="602" xr:uid="{00000000-0005-0000-0000-00004A010000}"/>
    <cellStyle name="20% - Accent5 21 2 2" xfId="603" xr:uid="{00000000-0005-0000-0000-00004B010000}"/>
    <cellStyle name="20% - Accent5 22" xfId="604" xr:uid="{00000000-0005-0000-0000-00004C010000}"/>
    <cellStyle name="20% - Accent5 3" xfId="65" xr:uid="{00000000-0005-0000-0000-00004D010000}"/>
    <cellStyle name="20% - Accent5 3 2" xfId="605" xr:uid="{00000000-0005-0000-0000-00004E010000}"/>
    <cellStyle name="20% - Accent5 3 2 2" xfId="606" xr:uid="{00000000-0005-0000-0000-00004F010000}"/>
    <cellStyle name="20% - Accent5 3 2 3" xfId="607" xr:uid="{00000000-0005-0000-0000-000050010000}"/>
    <cellStyle name="20% - Accent5 3 2 3 2" xfId="608" xr:uid="{00000000-0005-0000-0000-000051010000}"/>
    <cellStyle name="20% - Accent5 3 3" xfId="609" xr:uid="{00000000-0005-0000-0000-000052010000}"/>
    <cellStyle name="20% - Accent5 3 3 2" xfId="610" xr:uid="{00000000-0005-0000-0000-000053010000}"/>
    <cellStyle name="20% - Accent5 3 3 2 2" xfId="611" xr:uid="{00000000-0005-0000-0000-000054010000}"/>
    <cellStyle name="20% - Accent5 3 4" xfId="612" xr:uid="{00000000-0005-0000-0000-000055010000}"/>
    <cellStyle name="20% - Accent5 3 5" xfId="613" xr:uid="{00000000-0005-0000-0000-000056010000}"/>
    <cellStyle name="20% - Accent5 3 5 2" xfId="614" xr:uid="{00000000-0005-0000-0000-000057010000}"/>
    <cellStyle name="20% - Accent5 4" xfId="615" xr:uid="{00000000-0005-0000-0000-000058010000}"/>
    <cellStyle name="20% - Accent5 4 2" xfId="616" xr:uid="{00000000-0005-0000-0000-000059010000}"/>
    <cellStyle name="20% - Accent5 4 3" xfId="617" xr:uid="{00000000-0005-0000-0000-00005A010000}"/>
    <cellStyle name="20% - Accent5 4 3 2" xfId="618" xr:uid="{00000000-0005-0000-0000-00005B010000}"/>
    <cellStyle name="20% - Accent5 5" xfId="619" xr:uid="{00000000-0005-0000-0000-00005C010000}"/>
    <cellStyle name="20% - Accent5 5 2" xfId="620" xr:uid="{00000000-0005-0000-0000-00005D010000}"/>
    <cellStyle name="20% - Accent5 5 3" xfId="621" xr:uid="{00000000-0005-0000-0000-00005E010000}"/>
    <cellStyle name="20% - Accent5 5 3 2" xfId="622" xr:uid="{00000000-0005-0000-0000-00005F010000}"/>
    <cellStyle name="20% - Accent5 6" xfId="623" xr:uid="{00000000-0005-0000-0000-000060010000}"/>
    <cellStyle name="20% - Accent5 6 2" xfId="624" xr:uid="{00000000-0005-0000-0000-000061010000}"/>
    <cellStyle name="20% - Accent5 6 3" xfId="625" xr:uid="{00000000-0005-0000-0000-000062010000}"/>
    <cellStyle name="20% - Accent5 6 3 2" xfId="626" xr:uid="{00000000-0005-0000-0000-000063010000}"/>
    <cellStyle name="20% - Accent5 7" xfId="627" xr:uid="{00000000-0005-0000-0000-000064010000}"/>
    <cellStyle name="20% - Accent5 7 2" xfId="628" xr:uid="{00000000-0005-0000-0000-000065010000}"/>
    <cellStyle name="20% - Accent5 7 2 2" xfId="629" xr:uid="{00000000-0005-0000-0000-000066010000}"/>
    <cellStyle name="20% - Accent5 8" xfId="630" xr:uid="{00000000-0005-0000-0000-000067010000}"/>
    <cellStyle name="20% - Accent5 8 2" xfId="631" xr:uid="{00000000-0005-0000-0000-000068010000}"/>
    <cellStyle name="20% - Accent5 8 2 2" xfId="632" xr:uid="{00000000-0005-0000-0000-000069010000}"/>
    <cellStyle name="20% - Accent5 9" xfId="633" xr:uid="{00000000-0005-0000-0000-00006A010000}"/>
    <cellStyle name="20% - Accent5 9 2" xfId="634" xr:uid="{00000000-0005-0000-0000-00006B010000}"/>
    <cellStyle name="20% - Accent5 9 2 2" xfId="635" xr:uid="{00000000-0005-0000-0000-00006C010000}"/>
    <cellStyle name="20% - Accent6 10" xfId="636" xr:uid="{00000000-0005-0000-0000-00006D010000}"/>
    <cellStyle name="20% - Accent6 10 2" xfId="637" xr:uid="{00000000-0005-0000-0000-00006E010000}"/>
    <cellStyle name="20% - Accent6 10 2 2" xfId="638" xr:uid="{00000000-0005-0000-0000-00006F010000}"/>
    <cellStyle name="20% - Accent6 11" xfId="639" xr:uid="{00000000-0005-0000-0000-000070010000}"/>
    <cellStyle name="20% - Accent6 11 2" xfId="640" xr:uid="{00000000-0005-0000-0000-000071010000}"/>
    <cellStyle name="20% - Accent6 11 2 2" xfId="641" xr:uid="{00000000-0005-0000-0000-000072010000}"/>
    <cellStyle name="20% - Accent6 12" xfId="642" xr:uid="{00000000-0005-0000-0000-000073010000}"/>
    <cellStyle name="20% - Accent6 12 2" xfId="643" xr:uid="{00000000-0005-0000-0000-000074010000}"/>
    <cellStyle name="20% - Accent6 12 2 2" xfId="644" xr:uid="{00000000-0005-0000-0000-000075010000}"/>
    <cellStyle name="20% - Accent6 13" xfId="645" xr:uid="{00000000-0005-0000-0000-000076010000}"/>
    <cellStyle name="20% - Accent6 13 2" xfId="646" xr:uid="{00000000-0005-0000-0000-000077010000}"/>
    <cellStyle name="20% - Accent6 13 2 2" xfId="647" xr:uid="{00000000-0005-0000-0000-000078010000}"/>
    <cellStyle name="20% - Accent6 14" xfId="648" xr:uid="{00000000-0005-0000-0000-000079010000}"/>
    <cellStyle name="20% - Accent6 14 2" xfId="649" xr:uid="{00000000-0005-0000-0000-00007A010000}"/>
    <cellStyle name="20% - Accent6 14 2 2" xfId="650" xr:uid="{00000000-0005-0000-0000-00007B010000}"/>
    <cellStyle name="20% - Accent6 15" xfId="651" xr:uid="{00000000-0005-0000-0000-00007C010000}"/>
    <cellStyle name="20% - Accent6 15 2" xfId="652" xr:uid="{00000000-0005-0000-0000-00007D010000}"/>
    <cellStyle name="20% - Accent6 15 2 2" xfId="653" xr:uid="{00000000-0005-0000-0000-00007E010000}"/>
    <cellStyle name="20% - Accent6 16" xfId="654" xr:uid="{00000000-0005-0000-0000-00007F010000}"/>
    <cellStyle name="20% - Accent6 16 2" xfId="655" xr:uid="{00000000-0005-0000-0000-000080010000}"/>
    <cellStyle name="20% - Accent6 16 2 2" xfId="656" xr:uid="{00000000-0005-0000-0000-000081010000}"/>
    <cellStyle name="20% - Accent6 17" xfId="657" xr:uid="{00000000-0005-0000-0000-000082010000}"/>
    <cellStyle name="20% - Accent6 17 2" xfId="658" xr:uid="{00000000-0005-0000-0000-000083010000}"/>
    <cellStyle name="20% - Accent6 17 2 2" xfId="659" xr:uid="{00000000-0005-0000-0000-000084010000}"/>
    <cellStyle name="20% - Accent6 18" xfId="660" xr:uid="{00000000-0005-0000-0000-000085010000}"/>
    <cellStyle name="20% - Accent6 18 2" xfId="661" xr:uid="{00000000-0005-0000-0000-000086010000}"/>
    <cellStyle name="20% - Accent6 18 2 2" xfId="662" xr:uid="{00000000-0005-0000-0000-000087010000}"/>
    <cellStyle name="20% - Accent6 19" xfId="663" xr:uid="{00000000-0005-0000-0000-000088010000}"/>
    <cellStyle name="20% - Accent6 19 2" xfId="664" xr:uid="{00000000-0005-0000-0000-000089010000}"/>
    <cellStyle name="20% - Accent6 19 2 2" xfId="665" xr:uid="{00000000-0005-0000-0000-00008A010000}"/>
    <cellStyle name="20% - Accent6 2" xfId="66" xr:uid="{00000000-0005-0000-0000-00008B010000}"/>
    <cellStyle name="20% - Accent6 2 2" xfId="67" xr:uid="{00000000-0005-0000-0000-00008C010000}"/>
    <cellStyle name="20% - Accent6 2 2 2" xfId="666" xr:uid="{00000000-0005-0000-0000-00008D010000}"/>
    <cellStyle name="20% - Accent6 2 2 2 2" xfId="667" xr:uid="{00000000-0005-0000-0000-00008E010000}"/>
    <cellStyle name="20% - Accent6 20" xfId="668" xr:uid="{00000000-0005-0000-0000-00008F010000}"/>
    <cellStyle name="20% - Accent6 20 2" xfId="669" xr:uid="{00000000-0005-0000-0000-000090010000}"/>
    <cellStyle name="20% - Accent6 20 2 2" xfId="670" xr:uid="{00000000-0005-0000-0000-000091010000}"/>
    <cellStyle name="20% - Accent6 21" xfId="671" xr:uid="{00000000-0005-0000-0000-000092010000}"/>
    <cellStyle name="20% - Accent6 21 2" xfId="672" xr:uid="{00000000-0005-0000-0000-000093010000}"/>
    <cellStyle name="20% - Accent6 21 2 2" xfId="673" xr:uid="{00000000-0005-0000-0000-000094010000}"/>
    <cellStyle name="20% - Accent6 22" xfId="674" xr:uid="{00000000-0005-0000-0000-000095010000}"/>
    <cellStyle name="20% - Accent6 3" xfId="68" xr:uid="{00000000-0005-0000-0000-000096010000}"/>
    <cellStyle name="20% - Accent6 3 2" xfId="675" xr:uid="{00000000-0005-0000-0000-000097010000}"/>
    <cellStyle name="20% - Accent6 3 2 2" xfId="676" xr:uid="{00000000-0005-0000-0000-000098010000}"/>
    <cellStyle name="20% - Accent6 3 2 3" xfId="677" xr:uid="{00000000-0005-0000-0000-000099010000}"/>
    <cellStyle name="20% - Accent6 3 2 3 2" xfId="678" xr:uid="{00000000-0005-0000-0000-00009A010000}"/>
    <cellStyle name="20% - Accent6 3 3" xfId="679" xr:uid="{00000000-0005-0000-0000-00009B010000}"/>
    <cellStyle name="20% - Accent6 3 3 2" xfId="680" xr:uid="{00000000-0005-0000-0000-00009C010000}"/>
    <cellStyle name="20% - Accent6 3 3 2 2" xfId="681" xr:uid="{00000000-0005-0000-0000-00009D010000}"/>
    <cellStyle name="20% - Accent6 3 4" xfId="682" xr:uid="{00000000-0005-0000-0000-00009E010000}"/>
    <cellStyle name="20% - Accent6 3 5" xfId="683" xr:uid="{00000000-0005-0000-0000-00009F010000}"/>
    <cellStyle name="20% - Accent6 3 5 2" xfId="684" xr:uid="{00000000-0005-0000-0000-0000A0010000}"/>
    <cellStyle name="20% - Accent6 4" xfId="685" xr:uid="{00000000-0005-0000-0000-0000A1010000}"/>
    <cellStyle name="20% - Accent6 4 2" xfId="686" xr:uid="{00000000-0005-0000-0000-0000A2010000}"/>
    <cellStyle name="20% - Accent6 4 3" xfId="687" xr:uid="{00000000-0005-0000-0000-0000A3010000}"/>
    <cellStyle name="20% - Accent6 4 3 2" xfId="688" xr:uid="{00000000-0005-0000-0000-0000A4010000}"/>
    <cellStyle name="20% - Accent6 5" xfId="689" xr:uid="{00000000-0005-0000-0000-0000A5010000}"/>
    <cellStyle name="20% - Accent6 5 2" xfId="690" xr:uid="{00000000-0005-0000-0000-0000A6010000}"/>
    <cellStyle name="20% - Accent6 5 3" xfId="691" xr:uid="{00000000-0005-0000-0000-0000A7010000}"/>
    <cellStyle name="20% - Accent6 5 3 2" xfId="692" xr:uid="{00000000-0005-0000-0000-0000A8010000}"/>
    <cellStyle name="20% - Accent6 6" xfId="693" xr:uid="{00000000-0005-0000-0000-0000A9010000}"/>
    <cellStyle name="20% - Accent6 6 2" xfId="694" xr:uid="{00000000-0005-0000-0000-0000AA010000}"/>
    <cellStyle name="20% - Accent6 6 3" xfId="695" xr:uid="{00000000-0005-0000-0000-0000AB010000}"/>
    <cellStyle name="20% - Accent6 6 3 2" xfId="696" xr:uid="{00000000-0005-0000-0000-0000AC010000}"/>
    <cellStyle name="20% - Accent6 7" xfId="697" xr:uid="{00000000-0005-0000-0000-0000AD010000}"/>
    <cellStyle name="20% - Accent6 7 2" xfId="698" xr:uid="{00000000-0005-0000-0000-0000AE010000}"/>
    <cellStyle name="20% - Accent6 7 2 2" xfId="699" xr:uid="{00000000-0005-0000-0000-0000AF010000}"/>
    <cellStyle name="20% - Accent6 8" xfId="700" xr:uid="{00000000-0005-0000-0000-0000B0010000}"/>
    <cellStyle name="20% - Accent6 8 2" xfId="701" xr:uid="{00000000-0005-0000-0000-0000B1010000}"/>
    <cellStyle name="20% - Accent6 8 2 2" xfId="702" xr:uid="{00000000-0005-0000-0000-0000B2010000}"/>
    <cellStyle name="20% - Accent6 9" xfId="703" xr:uid="{00000000-0005-0000-0000-0000B3010000}"/>
    <cellStyle name="20% - Accent6 9 2" xfId="704" xr:uid="{00000000-0005-0000-0000-0000B4010000}"/>
    <cellStyle name="20% - Accent6 9 2 2" xfId="705" xr:uid="{00000000-0005-0000-0000-0000B5010000}"/>
    <cellStyle name="40% - Accent1 10" xfId="706" xr:uid="{00000000-0005-0000-0000-0000B6010000}"/>
    <cellStyle name="40% - Accent1 10 2" xfId="707" xr:uid="{00000000-0005-0000-0000-0000B7010000}"/>
    <cellStyle name="40% - Accent1 10 2 2" xfId="708" xr:uid="{00000000-0005-0000-0000-0000B8010000}"/>
    <cellStyle name="40% - Accent1 11" xfId="709" xr:uid="{00000000-0005-0000-0000-0000B9010000}"/>
    <cellStyle name="40% - Accent1 11 2" xfId="710" xr:uid="{00000000-0005-0000-0000-0000BA010000}"/>
    <cellStyle name="40% - Accent1 11 2 2" xfId="711" xr:uid="{00000000-0005-0000-0000-0000BB010000}"/>
    <cellStyle name="40% - Accent1 12" xfId="712" xr:uid="{00000000-0005-0000-0000-0000BC010000}"/>
    <cellStyle name="40% - Accent1 12 2" xfId="713" xr:uid="{00000000-0005-0000-0000-0000BD010000}"/>
    <cellStyle name="40% - Accent1 12 2 2" xfId="714" xr:uid="{00000000-0005-0000-0000-0000BE010000}"/>
    <cellStyle name="40% - Accent1 13" xfId="715" xr:uid="{00000000-0005-0000-0000-0000BF010000}"/>
    <cellStyle name="40% - Accent1 13 2" xfId="716" xr:uid="{00000000-0005-0000-0000-0000C0010000}"/>
    <cellStyle name="40% - Accent1 13 2 2" xfId="717" xr:uid="{00000000-0005-0000-0000-0000C1010000}"/>
    <cellStyle name="40% - Accent1 14" xfId="718" xr:uid="{00000000-0005-0000-0000-0000C2010000}"/>
    <cellStyle name="40% - Accent1 14 2" xfId="719" xr:uid="{00000000-0005-0000-0000-0000C3010000}"/>
    <cellStyle name="40% - Accent1 14 2 2" xfId="720" xr:uid="{00000000-0005-0000-0000-0000C4010000}"/>
    <cellStyle name="40% - Accent1 15" xfId="721" xr:uid="{00000000-0005-0000-0000-0000C5010000}"/>
    <cellStyle name="40% - Accent1 15 2" xfId="722" xr:uid="{00000000-0005-0000-0000-0000C6010000}"/>
    <cellStyle name="40% - Accent1 15 2 2" xfId="723" xr:uid="{00000000-0005-0000-0000-0000C7010000}"/>
    <cellStyle name="40% - Accent1 16" xfId="724" xr:uid="{00000000-0005-0000-0000-0000C8010000}"/>
    <cellStyle name="40% - Accent1 16 2" xfId="725" xr:uid="{00000000-0005-0000-0000-0000C9010000}"/>
    <cellStyle name="40% - Accent1 16 2 2" xfId="726" xr:uid="{00000000-0005-0000-0000-0000CA010000}"/>
    <cellStyle name="40% - Accent1 17" xfId="727" xr:uid="{00000000-0005-0000-0000-0000CB010000}"/>
    <cellStyle name="40% - Accent1 17 2" xfId="728" xr:uid="{00000000-0005-0000-0000-0000CC010000}"/>
    <cellStyle name="40% - Accent1 17 2 2" xfId="729" xr:uid="{00000000-0005-0000-0000-0000CD010000}"/>
    <cellStyle name="40% - Accent1 18" xfId="730" xr:uid="{00000000-0005-0000-0000-0000CE010000}"/>
    <cellStyle name="40% - Accent1 18 2" xfId="731" xr:uid="{00000000-0005-0000-0000-0000CF010000}"/>
    <cellStyle name="40% - Accent1 18 2 2" xfId="732" xr:uid="{00000000-0005-0000-0000-0000D0010000}"/>
    <cellStyle name="40% - Accent1 19" xfId="733" xr:uid="{00000000-0005-0000-0000-0000D1010000}"/>
    <cellStyle name="40% - Accent1 19 2" xfId="734" xr:uid="{00000000-0005-0000-0000-0000D2010000}"/>
    <cellStyle name="40% - Accent1 19 2 2" xfId="735" xr:uid="{00000000-0005-0000-0000-0000D3010000}"/>
    <cellStyle name="40% - Accent1 2" xfId="69" xr:uid="{00000000-0005-0000-0000-0000D4010000}"/>
    <cellStyle name="40% - Accent1 2 2" xfId="70" xr:uid="{00000000-0005-0000-0000-0000D5010000}"/>
    <cellStyle name="40% - Accent1 2 2 2" xfId="736" xr:uid="{00000000-0005-0000-0000-0000D6010000}"/>
    <cellStyle name="40% - Accent1 2 2 2 2" xfId="737" xr:uid="{00000000-0005-0000-0000-0000D7010000}"/>
    <cellStyle name="40% - Accent1 20" xfId="738" xr:uid="{00000000-0005-0000-0000-0000D8010000}"/>
    <cellStyle name="40% - Accent1 20 2" xfId="739" xr:uid="{00000000-0005-0000-0000-0000D9010000}"/>
    <cellStyle name="40% - Accent1 20 2 2" xfId="740" xr:uid="{00000000-0005-0000-0000-0000DA010000}"/>
    <cellStyle name="40% - Accent1 21" xfId="741" xr:uid="{00000000-0005-0000-0000-0000DB010000}"/>
    <cellStyle name="40% - Accent1 21 2" xfId="742" xr:uid="{00000000-0005-0000-0000-0000DC010000}"/>
    <cellStyle name="40% - Accent1 21 2 2" xfId="743" xr:uid="{00000000-0005-0000-0000-0000DD010000}"/>
    <cellStyle name="40% - Accent1 22" xfId="744" xr:uid="{00000000-0005-0000-0000-0000DE010000}"/>
    <cellStyle name="40% - Accent1 3" xfId="71" xr:uid="{00000000-0005-0000-0000-0000DF010000}"/>
    <cellStyle name="40% - Accent1 3 2" xfId="745" xr:uid="{00000000-0005-0000-0000-0000E0010000}"/>
    <cellStyle name="40% - Accent1 3 2 2" xfId="746" xr:uid="{00000000-0005-0000-0000-0000E1010000}"/>
    <cellStyle name="40% - Accent1 3 2 3" xfId="747" xr:uid="{00000000-0005-0000-0000-0000E2010000}"/>
    <cellStyle name="40% - Accent1 3 2 3 2" xfId="748" xr:uid="{00000000-0005-0000-0000-0000E3010000}"/>
    <cellStyle name="40% - Accent1 3 3" xfId="749" xr:uid="{00000000-0005-0000-0000-0000E4010000}"/>
    <cellStyle name="40% - Accent1 3 3 2" xfId="750" xr:uid="{00000000-0005-0000-0000-0000E5010000}"/>
    <cellStyle name="40% - Accent1 3 3 2 2" xfId="751" xr:uid="{00000000-0005-0000-0000-0000E6010000}"/>
    <cellStyle name="40% - Accent1 3 4" xfId="752" xr:uid="{00000000-0005-0000-0000-0000E7010000}"/>
    <cellStyle name="40% - Accent1 3 5" xfId="753" xr:uid="{00000000-0005-0000-0000-0000E8010000}"/>
    <cellStyle name="40% - Accent1 3 5 2" xfId="754" xr:uid="{00000000-0005-0000-0000-0000E9010000}"/>
    <cellStyle name="40% - Accent1 4" xfId="755" xr:uid="{00000000-0005-0000-0000-0000EA010000}"/>
    <cellStyle name="40% - Accent1 4 2" xfId="756" xr:uid="{00000000-0005-0000-0000-0000EB010000}"/>
    <cellStyle name="40% - Accent1 4 3" xfId="757" xr:uid="{00000000-0005-0000-0000-0000EC010000}"/>
    <cellStyle name="40% - Accent1 4 3 2" xfId="758" xr:uid="{00000000-0005-0000-0000-0000ED010000}"/>
    <cellStyle name="40% - Accent1 5" xfId="759" xr:uid="{00000000-0005-0000-0000-0000EE010000}"/>
    <cellStyle name="40% - Accent1 5 2" xfId="760" xr:uid="{00000000-0005-0000-0000-0000EF010000}"/>
    <cellStyle name="40% - Accent1 5 3" xfId="761" xr:uid="{00000000-0005-0000-0000-0000F0010000}"/>
    <cellStyle name="40% - Accent1 5 3 2" xfId="762" xr:uid="{00000000-0005-0000-0000-0000F1010000}"/>
    <cellStyle name="40% - Accent1 6" xfId="763" xr:uid="{00000000-0005-0000-0000-0000F2010000}"/>
    <cellStyle name="40% - Accent1 6 2" xfId="764" xr:uid="{00000000-0005-0000-0000-0000F3010000}"/>
    <cellStyle name="40% - Accent1 6 3" xfId="765" xr:uid="{00000000-0005-0000-0000-0000F4010000}"/>
    <cellStyle name="40% - Accent1 6 3 2" xfId="766" xr:uid="{00000000-0005-0000-0000-0000F5010000}"/>
    <cellStyle name="40% - Accent1 7" xfId="767" xr:uid="{00000000-0005-0000-0000-0000F6010000}"/>
    <cellStyle name="40% - Accent1 7 2" xfId="768" xr:uid="{00000000-0005-0000-0000-0000F7010000}"/>
    <cellStyle name="40% - Accent1 7 2 2" xfId="769" xr:uid="{00000000-0005-0000-0000-0000F8010000}"/>
    <cellStyle name="40% - Accent1 8" xfId="770" xr:uid="{00000000-0005-0000-0000-0000F9010000}"/>
    <cellStyle name="40% - Accent1 8 2" xfId="771" xr:uid="{00000000-0005-0000-0000-0000FA010000}"/>
    <cellStyle name="40% - Accent1 8 2 2" xfId="772" xr:uid="{00000000-0005-0000-0000-0000FB010000}"/>
    <cellStyle name="40% - Accent1 9" xfId="773" xr:uid="{00000000-0005-0000-0000-0000FC010000}"/>
    <cellStyle name="40% - Accent1 9 2" xfId="774" xr:uid="{00000000-0005-0000-0000-0000FD010000}"/>
    <cellStyle name="40% - Accent1 9 2 2" xfId="775" xr:uid="{00000000-0005-0000-0000-0000FE010000}"/>
    <cellStyle name="40% - Accent2 10" xfId="776" xr:uid="{00000000-0005-0000-0000-0000FF010000}"/>
    <cellStyle name="40% - Accent2 10 2" xfId="777" xr:uid="{00000000-0005-0000-0000-000000020000}"/>
    <cellStyle name="40% - Accent2 10 2 2" xfId="778" xr:uid="{00000000-0005-0000-0000-000001020000}"/>
    <cellStyle name="40% - Accent2 11" xfId="779" xr:uid="{00000000-0005-0000-0000-000002020000}"/>
    <cellStyle name="40% - Accent2 11 2" xfId="780" xr:uid="{00000000-0005-0000-0000-000003020000}"/>
    <cellStyle name="40% - Accent2 11 2 2" xfId="781" xr:uid="{00000000-0005-0000-0000-000004020000}"/>
    <cellStyle name="40% - Accent2 12" xfId="782" xr:uid="{00000000-0005-0000-0000-000005020000}"/>
    <cellStyle name="40% - Accent2 12 2" xfId="783" xr:uid="{00000000-0005-0000-0000-000006020000}"/>
    <cellStyle name="40% - Accent2 12 2 2" xfId="784" xr:uid="{00000000-0005-0000-0000-000007020000}"/>
    <cellStyle name="40% - Accent2 13" xfId="785" xr:uid="{00000000-0005-0000-0000-000008020000}"/>
    <cellStyle name="40% - Accent2 13 2" xfId="786" xr:uid="{00000000-0005-0000-0000-000009020000}"/>
    <cellStyle name="40% - Accent2 13 2 2" xfId="787" xr:uid="{00000000-0005-0000-0000-00000A020000}"/>
    <cellStyle name="40% - Accent2 14" xfId="788" xr:uid="{00000000-0005-0000-0000-00000B020000}"/>
    <cellStyle name="40% - Accent2 14 2" xfId="789" xr:uid="{00000000-0005-0000-0000-00000C020000}"/>
    <cellStyle name="40% - Accent2 14 2 2" xfId="790" xr:uid="{00000000-0005-0000-0000-00000D020000}"/>
    <cellStyle name="40% - Accent2 15" xfId="791" xr:uid="{00000000-0005-0000-0000-00000E020000}"/>
    <cellStyle name="40% - Accent2 15 2" xfId="792" xr:uid="{00000000-0005-0000-0000-00000F020000}"/>
    <cellStyle name="40% - Accent2 15 2 2" xfId="793" xr:uid="{00000000-0005-0000-0000-000010020000}"/>
    <cellStyle name="40% - Accent2 16" xfId="794" xr:uid="{00000000-0005-0000-0000-000011020000}"/>
    <cellStyle name="40% - Accent2 16 2" xfId="795" xr:uid="{00000000-0005-0000-0000-000012020000}"/>
    <cellStyle name="40% - Accent2 16 2 2" xfId="796" xr:uid="{00000000-0005-0000-0000-000013020000}"/>
    <cellStyle name="40% - Accent2 17" xfId="797" xr:uid="{00000000-0005-0000-0000-000014020000}"/>
    <cellStyle name="40% - Accent2 17 2" xfId="798" xr:uid="{00000000-0005-0000-0000-000015020000}"/>
    <cellStyle name="40% - Accent2 17 2 2" xfId="799" xr:uid="{00000000-0005-0000-0000-000016020000}"/>
    <cellStyle name="40% - Accent2 18" xfId="800" xr:uid="{00000000-0005-0000-0000-000017020000}"/>
    <cellStyle name="40% - Accent2 18 2" xfId="801" xr:uid="{00000000-0005-0000-0000-000018020000}"/>
    <cellStyle name="40% - Accent2 18 2 2" xfId="802" xr:uid="{00000000-0005-0000-0000-000019020000}"/>
    <cellStyle name="40% - Accent2 19" xfId="803" xr:uid="{00000000-0005-0000-0000-00001A020000}"/>
    <cellStyle name="40% - Accent2 19 2" xfId="804" xr:uid="{00000000-0005-0000-0000-00001B020000}"/>
    <cellStyle name="40% - Accent2 19 2 2" xfId="805" xr:uid="{00000000-0005-0000-0000-00001C020000}"/>
    <cellStyle name="40% - Accent2 2" xfId="72" xr:uid="{00000000-0005-0000-0000-00001D020000}"/>
    <cellStyle name="40% - Accent2 2 2" xfId="73" xr:uid="{00000000-0005-0000-0000-00001E020000}"/>
    <cellStyle name="40% - Accent2 2 2 2" xfId="806" xr:uid="{00000000-0005-0000-0000-00001F020000}"/>
    <cellStyle name="40% - Accent2 2 2 2 2" xfId="807" xr:uid="{00000000-0005-0000-0000-000020020000}"/>
    <cellStyle name="40% - Accent2 20" xfId="808" xr:uid="{00000000-0005-0000-0000-000021020000}"/>
    <cellStyle name="40% - Accent2 20 2" xfId="809" xr:uid="{00000000-0005-0000-0000-000022020000}"/>
    <cellStyle name="40% - Accent2 20 2 2" xfId="810" xr:uid="{00000000-0005-0000-0000-000023020000}"/>
    <cellStyle name="40% - Accent2 21" xfId="811" xr:uid="{00000000-0005-0000-0000-000024020000}"/>
    <cellStyle name="40% - Accent2 21 2" xfId="812" xr:uid="{00000000-0005-0000-0000-000025020000}"/>
    <cellStyle name="40% - Accent2 21 2 2" xfId="813" xr:uid="{00000000-0005-0000-0000-000026020000}"/>
    <cellStyle name="40% - Accent2 22" xfId="814" xr:uid="{00000000-0005-0000-0000-000027020000}"/>
    <cellStyle name="40% - Accent2 3" xfId="74" xr:uid="{00000000-0005-0000-0000-000028020000}"/>
    <cellStyle name="40% - Accent2 3 2" xfId="815" xr:uid="{00000000-0005-0000-0000-000029020000}"/>
    <cellStyle name="40% - Accent2 3 2 2" xfId="816" xr:uid="{00000000-0005-0000-0000-00002A020000}"/>
    <cellStyle name="40% - Accent2 3 2 3" xfId="817" xr:uid="{00000000-0005-0000-0000-00002B020000}"/>
    <cellStyle name="40% - Accent2 3 2 3 2" xfId="818" xr:uid="{00000000-0005-0000-0000-00002C020000}"/>
    <cellStyle name="40% - Accent2 3 3" xfId="819" xr:uid="{00000000-0005-0000-0000-00002D020000}"/>
    <cellStyle name="40% - Accent2 3 3 2" xfId="820" xr:uid="{00000000-0005-0000-0000-00002E020000}"/>
    <cellStyle name="40% - Accent2 3 3 2 2" xfId="821" xr:uid="{00000000-0005-0000-0000-00002F020000}"/>
    <cellStyle name="40% - Accent2 3 4" xfId="822" xr:uid="{00000000-0005-0000-0000-000030020000}"/>
    <cellStyle name="40% - Accent2 3 5" xfId="823" xr:uid="{00000000-0005-0000-0000-000031020000}"/>
    <cellStyle name="40% - Accent2 3 5 2" xfId="824" xr:uid="{00000000-0005-0000-0000-000032020000}"/>
    <cellStyle name="40% - Accent2 4" xfId="825" xr:uid="{00000000-0005-0000-0000-000033020000}"/>
    <cellStyle name="40% - Accent2 4 2" xfId="826" xr:uid="{00000000-0005-0000-0000-000034020000}"/>
    <cellStyle name="40% - Accent2 4 3" xfId="827" xr:uid="{00000000-0005-0000-0000-000035020000}"/>
    <cellStyle name="40% - Accent2 4 3 2" xfId="828" xr:uid="{00000000-0005-0000-0000-000036020000}"/>
    <cellStyle name="40% - Accent2 5" xfId="829" xr:uid="{00000000-0005-0000-0000-000037020000}"/>
    <cellStyle name="40% - Accent2 5 2" xfId="830" xr:uid="{00000000-0005-0000-0000-000038020000}"/>
    <cellStyle name="40% - Accent2 5 3" xfId="831" xr:uid="{00000000-0005-0000-0000-000039020000}"/>
    <cellStyle name="40% - Accent2 5 3 2" xfId="832" xr:uid="{00000000-0005-0000-0000-00003A020000}"/>
    <cellStyle name="40% - Accent2 6" xfId="833" xr:uid="{00000000-0005-0000-0000-00003B020000}"/>
    <cellStyle name="40% - Accent2 6 2" xfId="834" xr:uid="{00000000-0005-0000-0000-00003C020000}"/>
    <cellStyle name="40% - Accent2 6 3" xfId="835" xr:uid="{00000000-0005-0000-0000-00003D020000}"/>
    <cellStyle name="40% - Accent2 6 3 2" xfId="836" xr:uid="{00000000-0005-0000-0000-00003E020000}"/>
    <cellStyle name="40% - Accent2 7" xfId="837" xr:uid="{00000000-0005-0000-0000-00003F020000}"/>
    <cellStyle name="40% - Accent2 7 2" xfId="838" xr:uid="{00000000-0005-0000-0000-000040020000}"/>
    <cellStyle name="40% - Accent2 7 2 2" xfId="839" xr:uid="{00000000-0005-0000-0000-000041020000}"/>
    <cellStyle name="40% - Accent2 8" xfId="840" xr:uid="{00000000-0005-0000-0000-000042020000}"/>
    <cellStyle name="40% - Accent2 8 2" xfId="841" xr:uid="{00000000-0005-0000-0000-000043020000}"/>
    <cellStyle name="40% - Accent2 8 2 2" xfId="842" xr:uid="{00000000-0005-0000-0000-000044020000}"/>
    <cellStyle name="40% - Accent2 9" xfId="843" xr:uid="{00000000-0005-0000-0000-000045020000}"/>
    <cellStyle name="40% - Accent2 9 2" xfId="844" xr:uid="{00000000-0005-0000-0000-000046020000}"/>
    <cellStyle name="40% - Accent2 9 2 2" xfId="845" xr:uid="{00000000-0005-0000-0000-000047020000}"/>
    <cellStyle name="40% - Accent3 10" xfId="846" xr:uid="{00000000-0005-0000-0000-000048020000}"/>
    <cellStyle name="40% - Accent3 10 2" xfId="847" xr:uid="{00000000-0005-0000-0000-000049020000}"/>
    <cellStyle name="40% - Accent3 10 2 2" xfId="848" xr:uid="{00000000-0005-0000-0000-00004A020000}"/>
    <cellStyle name="40% - Accent3 11" xfId="849" xr:uid="{00000000-0005-0000-0000-00004B020000}"/>
    <cellStyle name="40% - Accent3 11 2" xfId="850" xr:uid="{00000000-0005-0000-0000-00004C020000}"/>
    <cellStyle name="40% - Accent3 11 2 2" xfId="851" xr:uid="{00000000-0005-0000-0000-00004D020000}"/>
    <cellStyle name="40% - Accent3 12" xfId="852" xr:uid="{00000000-0005-0000-0000-00004E020000}"/>
    <cellStyle name="40% - Accent3 12 2" xfId="853" xr:uid="{00000000-0005-0000-0000-00004F020000}"/>
    <cellStyle name="40% - Accent3 12 2 2" xfId="854" xr:uid="{00000000-0005-0000-0000-000050020000}"/>
    <cellStyle name="40% - Accent3 13" xfId="855" xr:uid="{00000000-0005-0000-0000-000051020000}"/>
    <cellStyle name="40% - Accent3 13 2" xfId="856" xr:uid="{00000000-0005-0000-0000-000052020000}"/>
    <cellStyle name="40% - Accent3 13 2 2" xfId="857" xr:uid="{00000000-0005-0000-0000-000053020000}"/>
    <cellStyle name="40% - Accent3 14" xfId="858" xr:uid="{00000000-0005-0000-0000-000054020000}"/>
    <cellStyle name="40% - Accent3 14 2" xfId="859" xr:uid="{00000000-0005-0000-0000-000055020000}"/>
    <cellStyle name="40% - Accent3 14 2 2" xfId="860" xr:uid="{00000000-0005-0000-0000-000056020000}"/>
    <cellStyle name="40% - Accent3 15" xfId="861" xr:uid="{00000000-0005-0000-0000-000057020000}"/>
    <cellStyle name="40% - Accent3 15 2" xfId="862" xr:uid="{00000000-0005-0000-0000-000058020000}"/>
    <cellStyle name="40% - Accent3 15 2 2" xfId="863" xr:uid="{00000000-0005-0000-0000-000059020000}"/>
    <cellStyle name="40% - Accent3 16" xfId="864" xr:uid="{00000000-0005-0000-0000-00005A020000}"/>
    <cellStyle name="40% - Accent3 16 2" xfId="865" xr:uid="{00000000-0005-0000-0000-00005B020000}"/>
    <cellStyle name="40% - Accent3 16 2 2" xfId="866" xr:uid="{00000000-0005-0000-0000-00005C020000}"/>
    <cellStyle name="40% - Accent3 17" xfId="867" xr:uid="{00000000-0005-0000-0000-00005D020000}"/>
    <cellStyle name="40% - Accent3 17 2" xfId="868" xr:uid="{00000000-0005-0000-0000-00005E020000}"/>
    <cellStyle name="40% - Accent3 17 2 2" xfId="869" xr:uid="{00000000-0005-0000-0000-00005F020000}"/>
    <cellStyle name="40% - Accent3 18" xfId="870" xr:uid="{00000000-0005-0000-0000-000060020000}"/>
    <cellStyle name="40% - Accent3 18 2" xfId="871" xr:uid="{00000000-0005-0000-0000-000061020000}"/>
    <cellStyle name="40% - Accent3 18 2 2" xfId="872" xr:uid="{00000000-0005-0000-0000-000062020000}"/>
    <cellStyle name="40% - Accent3 19" xfId="873" xr:uid="{00000000-0005-0000-0000-000063020000}"/>
    <cellStyle name="40% - Accent3 19 2" xfId="874" xr:uid="{00000000-0005-0000-0000-000064020000}"/>
    <cellStyle name="40% - Accent3 19 2 2" xfId="875" xr:uid="{00000000-0005-0000-0000-000065020000}"/>
    <cellStyle name="40% - Accent3 2" xfId="75" xr:uid="{00000000-0005-0000-0000-000066020000}"/>
    <cellStyle name="40% - Accent3 2 2" xfId="76" xr:uid="{00000000-0005-0000-0000-000067020000}"/>
    <cellStyle name="40% - Accent3 2 2 2" xfId="876" xr:uid="{00000000-0005-0000-0000-000068020000}"/>
    <cellStyle name="40% - Accent3 2 2 2 2" xfId="877" xr:uid="{00000000-0005-0000-0000-000069020000}"/>
    <cellStyle name="40% - Accent3 20" xfId="878" xr:uid="{00000000-0005-0000-0000-00006A020000}"/>
    <cellStyle name="40% - Accent3 20 2" xfId="879" xr:uid="{00000000-0005-0000-0000-00006B020000}"/>
    <cellStyle name="40% - Accent3 20 2 2" xfId="880" xr:uid="{00000000-0005-0000-0000-00006C020000}"/>
    <cellStyle name="40% - Accent3 21" xfId="881" xr:uid="{00000000-0005-0000-0000-00006D020000}"/>
    <cellStyle name="40% - Accent3 21 2" xfId="882" xr:uid="{00000000-0005-0000-0000-00006E020000}"/>
    <cellStyle name="40% - Accent3 21 2 2" xfId="883" xr:uid="{00000000-0005-0000-0000-00006F020000}"/>
    <cellStyle name="40% - Accent3 22" xfId="884" xr:uid="{00000000-0005-0000-0000-000070020000}"/>
    <cellStyle name="40% - Accent3 3" xfId="77" xr:uid="{00000000-0005-0000-0000-000071020000}"/>
    <cellStyle name="40% - Accent3 3 2" xfId="885" xr:uid="{00000000-0005-0000-0000-000072020000}"/>
    <cellStyle name="40% - Accent3 3 2 2" xfId="886" xr:uid="{00000000-0005-0000-0000-000073020000}"/>
    <cellStyle name="40% - Accent3 3 2 3" xfId="887" xr:uid="{00000000-0005-0000-0000-000074020000}"/>
    <cellStyle name="40% - Accent3 3 2 3 2" xfId="888" xr:uid="{00000000-0005-0000-0000-000075020000}"/>
    <cellStyle name="40% - Accent3 3 3" xfId="889" xr:uid="{00000000-0005-0000-0000-000076020000}"/>
    <cellStyle name="40% - Accent3 3 3 2" xfId="890" xr:uid="{00000000-0005-0000-0000-000077020000}"/>
    <cellStyle name="40% - Accent3 3 3 2 2" xfId="891" xr:uid="{00000000-0005-0000-0000-000078020000}"/>
    <cellStyle name="40% - Accent3 3 4" xfId="892" xr:uid="{00000000-0005-0000-0000-000079020000}"/>
    <cellStyle name="40% - Accent3 3 5" xfId="893" xr:uid="{00000000-0005-0000-0000-00007A020000}"/>
    <cellStyle name="40% - Accent3 3 5 2" xfId="894" xr:uid="{00000000-0005-0000-0000-00007B020000}"/>
    <cellStyle name="40% - Accent3 4" xfId="895" xr:uid="{00000000-0005-0000-0000-00007C020000}"/>
    <cellStyle name="40% - Accent3 4 2" xfId="896" xr:uid="{00000000-0005-0000-0000-00007D020000}"/>
    <cellStyle name="40% - Accent3 4 3" xfId="897" xr:uid="{00000000-0005-0000-0000-00007E020000}"/>
    <cellStyle name="40% - Accent3 4 3 2" xfId="898" xr:uid="{00000000-0005-0000-0000-00007F020000}"/>
    <cellStyle name="40% - Accent3 5" xfId="899" xr:uid="{00000000-0005-0000-0000-000080020000}"/>
    <cellStyle name="40% - Accent3 5 2" xfId="900" xr:uid="{00000000-0005-0000-0000-000081020000}"/>
    <cellStyle name="40% - Accent3 5 3" xfId="901" xr:uid="{00000000-0005-0000-0000-000082020000}"/>
    <cellStyle name="40% - Accent3 5 3 2" xfId="902" xr:uid="{00000000-0005-0000-0000-000083020000}"/>
    <cellStyle name="40% - Accent3 6" xfId="903" xr:uid="{00000000-0005-0000-0000-000084020000}"/>
    <cellStyle name="40% - Accent3 6 2" xfId="904" xr:uid="{00000000-0005-0000-0000-000085020000}"/>
    <cellStyle name="40% - Accent3 6 3" xfId="905" xr:uid="{00000000-0005-0000-0000-000086020000}"/>
    <cellStyle name="40% - Accent3 6 3 2" xfId="906" xr:uid="{00000000-0005-0000-0000-000087020000}"/>
    <cellStyle name="40% - Accent3 7" xfId="907" xr:uid="{00000000-0005-0000-0000-000088020000}"/>
    <cellStyle name="40% - Accent3 7 2" xfId="908" xr:uid="{00000000-0005-0000-0000-000089020000}"/>
    <cellStyle name="40% - Accent3 7 2 2" xfId="909" xr:uid="{00000000-0005-0000-0000-00008A020000}"/>
    <cellStyle name="40% - Accent3 8" xfId="910" xr:uid="{00000000-0005-0000-0000-00008B020000}"/>
    <cellStyle name="40% - Accent3 8 2" xfId="911" xr:uid="{00000000-0005-0000-0000-00008C020000}"/>
    <cellStyle name="40% - Accent3 8 2 2" xfId="912" xr:uid="{00000000-0005-0000-0000-00008D020000}"/>
    <cellStyle name="40% - Accent3 9" xfId="913" xr:uid="{00000000-0005-0000-0000-00008E020000}"/>
    <cellStyle name="40% - Accent3 9 2" xfId="914" xr:uid="{00000000-0005-0000-0000-00008F020000}"/>
    <cellStyle name="40% - Accent3 9 2 2" xfId="915" xr:uid="{00000000-0005-0000-0000-000090020000}"/>
    <cellStyle name="40% - Accent4 10" xfId="916" xr:uid="{00000000-0005-0000-0000-000091020000}"/>
    <cellStyle name="40% - Accent4 10 2" xfId="917" xr:uid="{00000000-0005-0000-0000-000092020000}"/>
    <cellStyle name="40% - Accent4 10 2 2" xfId="918" xr:uid="{00000000-0005-0000-0000-000093020000}"/>
    <cellStyle name="40% - Accent4 11" xfId="919" xr:uid="{00000000-0005-0000-0000-000094020000}"/>
    <cellStyle name="40% - Accent4 11 2" xfId="920" xr:uid="{00000000-0005-0000-0000-000095020000}"/>
    <cellStyle name="40% - Accent4 11 2 2" xfId="921" xr:uid="{00000000-0005-0000-0000-000096020000}"/>
    <cellStyle name="40% - Accent4 12" xfId="922" xr:uid="{00000000-0005-0000-0000-000097020000}"/>
    <cellStyle name="40% - Accent4 12 2" xfId="923" xr:uid="{00000000-0005-0000-0000-000098020000}"/>
    <cellStyle name="40% - Accent4 12 2 2" xfId="924" xr:uid="{00000000-0005-0000-0000-000099020000}"/>
    <cellStyle name="40% - Accent4 13" xfId="925" xr:uid="{00000000-0005-0000-0000-00009A020000}"/>
    <cellStyle name="40% - Accent4 13 2" xfId="926" xr:uid="{00000000-0005-0000-0000-00009B020000}"/>
    <cellStyle name="40% - Accent4 13 2 2" xfId="927" xr:uid="{00000000-0005-0000-0000-00009C020000}"/>
    <cellStyle name="40% - Accent4 14" xfId="928" xr:uid="{00000000-0005-0000-0000-00009D020000}"/>
    <cellStyle name="40% - Accent4 14 2" xfId="929" xr:uid="{00000000-0005-0000-0000-00009E020000}"/>
    <cellStyle name="40% - Accent4 14 2 2" xfId="930" xr:uid="{00000000-0005-0000-0000-00009F020000}"/>
    <cellStyle name="40% - Accent4 15" xfId="931" xr:uid="{00000000-0005-0000-0000-0000A0020000}"/>
    <cellStyle name="40% - Accent4 15 2" xfId="932" xr:uid="{00000000-0005-0000-0000-0000A1020000}"/>
    <cellStyle name="40% - Accent4 15 2 2" xfId="933" xr:uid="{00000000-0005-0000-0000-0000A2020000}"/>
    <cellStyle name="40% - Accent4 16" xfId="934" xr:uid="{00000000-0005-0000-0000-0000A3020000}"/>
    <cellStyle name="40% - Accent4 16 2" xfId="935" xr:uid="{00000000-0005-0000-0000-0000A4020000}"/>
    <cellStyle name="40% - Accent4 16 2 2" xfId="936" xr:uid="{00000000-0005-0000-0000-0000A5020000}"/>
    <cellStyle name="40% - Accent4 17" xfId="937" xr:uid="{00000000-0005-0000-0000-0000A6020000}"/>
    <cellStyle name="40% - Accent4 17 2" xfId="938" xr:uid="{00000000-0005-0000-0000-0000A7020000}"/>
    <cellStyle name="40% - Accent4 17 2 2" xfId="939" xr:uid="{00000000-0005-0000-0000-0000A8020000}"/>
    <cellStyle name="40% - Accent4 18" xfId="940" xr:uid="{00000000-0005-0000-0000-0000A9020000}"/>
    <cellStyle name="40% - Accent4 18 2" xfId="941" xr:uid="{00000000-0005-0000-0000-0000AA020000}"/>
    <cellStyle name="40% - Accent4 18 2 2" xfId="942" xr:uid="{00000000-0005-0000-0000-0000AB020000}"/>
    <cellStyle name="40% - Accent4 19" xfId="943" xr:uid="{00000000-0005-0000-0000-0000AC020000}"/>
    <cellStyle name="40% - Accent4 19 2" xfId="944" xr:uid="{00000000-0005-0000-0000-0000AD020000}"/>
    <cellStyle name="40% - Accent4 19 2 2" xfId="945" xr:uid="{00000000-0005-0000-0000-0000AE020000}"/>
    <cellStyle name="40% - Accent4 2" xfId="78" xr:uid="{00000000-0005-0000-0000-0000AF020000}"/>
    <cellStyle name="40% - Accent4 2 2" xfId="79" xr:uid="{00000000-0005-0000-0000-0000B0020000}"/>
    <cellStyle name="40% - Accent4 2 2 2" xfId="946" xr:uid="{00000000-0005-0000-0000-0000B1020000}"/>
    <cellStyle name="40% - Accent4 2 2 2 2" xfId="947" xr:uid="{00000000-0005-0000-0000-0000B2020000}"/>
    <cellStyle name="40% - Accent4 20" xfId="948" xr:uid="{00000000-0005-0000-0000-0000B3020000}"/>
    <cellStyle name="40% - Accent4 20 2" xfId="949" xr:uid="{00000000-0005-0000-0000-0000B4020000}"/>
    <cellStyle name="40% - Accent4 20 2 2" xfId="950" xr:uid="{00000000-0005-0000-0000-0000B5020000}"/>
    <cellStyle name="40% - Accent4 21" xfId="951" xr:uid="{00000000-0005-0000-0000-0000B6020000}"/>
    <cellStyle name="40% - Accent4 21 2" xfId="952" xr:uid="{00000000-0005-0000-0000-0000B7020000}"/>
    <cellStyle name="40% - Accent4 21 2 2" xfId="953" xr:uid="{00000000-0005-0000-0000-0000B8020000}"/>
    <cellStyle name="40% - Accent4 22" xfId="954" xr:uid="{00000000-0005-0000-0000-0000B9020000}"/>
    <cellStyle name="40% - Accent4 3" xfId="80" xr:uid="{00000000-0005-0000-0000-0000BA020000}"/>
    <cellStyle name="40% - Accent4 3 2" xfId="955" xr:uid="{00000000-0005-0000-0000-0000BB020000}"/>
    <cellStyle name="40% - Accent4 3 2 2" xfId="956" xr:uid="{00000000-0005-0000-0000-0000BC020000}"/>
    <cellStyle name="40% - Accent4 3 2 3" xfId="957" xr:uid="{00000000-0005-0000-0000-0000BD020000}"/>
    <cellStyle name="40% - Accent4 3 2 3 2" xfId="958" xr:uid="{00000000-0005-0000-0000-0000BE020000}"/>
    <cellStyle name="40% - Accent4 3 3" xfId="959" xr:uid="{00000000-0005-0000-0000-0000BF020000}"/>
    <cellStyle name="40% - Accent4 3 3 2" xfId="960" xr:uid="{00000000-0005-0000-0000-0000C0020000}"/>
    <cellStyle name="40% - Accent4 3 3 2 2" xfId="961" xr:uid="{00000000-0005-0000-0000-0000C1020000}"/>
    <cellStyle name="40% - Accent4 3 4" xfId="962" xr:uid="{00000000-0005-0000-0000-0000C2020000}"/>
    <cellStyle name="40% - Accent4 3 5" xfId="963" xr:uid="{00000000-0005-0000-0000-0000C3020000}"/>
    <cellStyle name="40% - Accent4 3 5 2" xfId="964" xr:uid="{00000000-0005-0000-0000-0000C4020000}"/>
    <cellStyle name="40% - Accent4 4" xfId="965" xr:uid="{00000000-0005-0000-0000-0000C5020000}"/>
    <cellStyle name="40% - Accent4 4 2" xfId="966" xr:uid="{00000000-0005-0000-0000-0000C6020000}"/>
    <cellStyle name="40% - Accent4 4 3" xfId="967" xr:uid="{00000000-0005-0000-0000-0000C7020000}"/>
    <cellStyle name="40% - Accent4 4 3 2" xfId="968" xr:uid="{00000000-0005-0000-0000-0000C8020000}"/>
    <cellStyle name="40% - Accent4 5" xfId="969" xr:uid="{00000000-0005-0000-0000-0000C9020000}"/>
    <cellStyle name="40% - Accent4 5 2" xfId="970" xr:uid="{00000000-0005-0000-0000-0000CA020000}"/>
    <cellStyle name="40% - Accent4 5 3" xfId="971" xr:uid="{00000000-0005-0000-0000-0000CB020000}"/>
    <cellStyle name="40% - Accent4 5 3 2" xfId="972" xr:uid="{00000000-0005-0000-0000-0000CC020000}"/>
    <cellStyle name="40% - Accent4 6" xfId="973" xr:uid="{00000000-0005-0000-0000-0000CD020000}"/>
    <cellStyle name="40% - Accent4 6 2" xfId="974" xr:uid="{00000000-0005-0000-0000-0000CE020000}"/>
    <cellStyle name="40% - Accent4 6 3" xfId="975" xr:uid="{00000000-0005-0000-0000-0000CF020000}"/>
    <cellStyle name="40% - Accent4 6 3 2" xfId="976" xr:uid="{00000000-0005-0000-0000-0000D0020000}"/>
    <cellStyle name="40% - Accent4 7" xfId="977" xr:uid="{00000000-0005-0000-0000-0000D1020000}"/>
    <cellStyle name="40% - Accent4 7 2" xfId="978" xr:uid="{00000000-0005-0000-0000-0000D2020000}"/>
    <cellStyle name="40% - Accent4 7 2 2" xfId="979" xr:uid="{00000000-0005-0000-0000-0000D3020000}"/>
    <cellStyle name="40% - Accent4 8" xfId="980" xr:uid="{00000000-0005-0000-0000-0000D4020000}"/>
    <cellStyle name="40% - Accent4 8 2" xfId="981" xr:uid="{00000000-0005-0000-0000-0000D5020000}"/>
    <cellStyle name="40% - Accent4 8 2 2" xfId="982" xr:uid="{00000000-0005-0000-0000-0000D6020000}"/>
    <cellStyle name="40% - Accent4 9" xfId="983" xr:uid="{00000000-0005-0000-0000-0000D7020000}"/>
    <cellStyle name="40% - Accent4 9 2" xfId="984" xr:uid="{00000000-0005-0000-0000-0000D8020000}"/>
    <cellStyle name="40% - Accent4 9 2 2" xfId="985" xr:uid="{00000000-0005-0000-0000-0000D9020000}"/>
    <cellStyle name="40% - Accent5 10" xfId="986" xr:uid="{00000000-0005-0000-0000-0000DA020000}"/>
    <cellStyle name="40% - Accent5 10 2" xfId="987" xr:uid="{00000000-0005-0000-0000-0000DB020000}"/>
    <cellStyle name="40% - Accent5 10 2 2" xfId="988" xr:uid="{00000000-0005-0000-0000-0000DC020000}"/>
    <cellStyle name="40% - Accent5 11" xfId="989" xr:uid="{00000000-0005-0000-0000-0000DD020000}"/>
    <cellStyle name="40% - Accent5 11 2" xfId="990" xr:uid="{00000000-0005-0000-0000-0000DE020000}"/>
    <cellStyle name="40% - Accent5 11 2 2" xfId="991" xr:uid="{00000000-0005-0000-0000-0000DF020000}"/>
    <cellStyle name="40% - Accent5 12" xfId="992" xr:uid="{00000000-0005-0000-0000-0000E0020000}"/>
    <cellStyle name="40% - Accent5 12 2" xfId="993" xr:uid="{00000000-0005-0000-0000-0000E1020000}"/>
    <cellStyle name="40% - Accent5 12 2 2" xfId="994" xr:uid="{00000000-0005-0000-0000-0000E2020000}"/>
    <cellStyle name="40% - Accent5 13" xfId="995" xr:uid="{00000000-0005-0000-0000-0000E3020000}"/>
    <cellStyle name="40% - Accent5 13 2" xfId="996" xr:uid="{00000000-0005-0000-0000-0000E4020000}"/>
    <cellStyle name="40% - Accent5 13 2 2" xfId="997" xr:uid="{00000000-0005-0000-0000-0000E5020000}"/>
    <cellStyle name="40% - Accent5 14" xfId="998" xr:uid="{00000000-0005-0000-0000-0000E6020000}"/>
    <cellStyle name="40% - Accent5 14 2" xfId="999" xr:uid="{00000000-0005-0000-0000-0000E7020000}"/>
    <cellStyle name="40% - Accent5 14 2 2" xfId="1000" xr:uid="{00000000-0005-0000-0000-0000E8020000}"/>
    <cellStyle name="40% - Accent5 15" xfId="1001" xr:uid="{00000000-0005-0000-0000-0000E9020000}"/>
    <cellStyle name="40% - Accent5 15 2" xfId="1002" xr:uid="{00000000-0005-0000-0000-0000EA020000}"/>
    <cellStyle name="40% - Accent5 15 2 2" xfId="1003" xr:uid="{00000000-0005-0000-0000-0000EB020000}"/>
    <cellStyle name="40% - Accent5 16" xfId="1004" xr:uid="{00000000-0005-0000-0000-0000EC020000}"/>
    <cellStyle name="40% - Accent5 16 2" xfId="1005" xr:uid="{00000000-0005-0000-0000-0000ED020000}"/>
    <cellStyle name="40% - Accent5 16 2 2" xfId="1006" xr:uid="{00000000-0005-0000-0000-0000EE020000}"/>
    <cellStyle name="40% - Accent5 17" xfId="1007" xr:uid="{00000000-0005-0000-0000-0000EF020000}"/>
    <cellStyle name="40% - Accent5 17 2" xfId="1008" xr:uid="{00000000-0005-0000-0000-0000F0020000}"/>
    <cellStyle name="40% - Accent5 17 2 2" xfId="1009" xr:uid="{00000000-0005-0000-0000-0000F1020000}"/>
    <cellStyle name="40% - Accent5 18" xfId="1010" xr:uid="{00000000-0005-0000-0000-0000F2020000}"/>
    <cellStyle name="40% - Accent5 18 2" xfId="1011" xr:uid="{00000000-0005-0000-0000-0000F3020000}"/>
    <cellStyle name="40% - Accent5 18 2 2" xfId="1012" xr:uid="{00000000-0005-0000-0000-0000F4020000}"/>
    <cellStyle name="40% - Accent5 19" xfId="1013" xr:uid="{00000000-0005-0000-0000-0000F5020000}"/>
    <cellStyle name="40% - Accent5 19 2" xfId="1014" xr:uid="{00000000-0005-0000-0000-0000F6020000}"/>
    <cellStyle name="40% - Accent5 19 2 2" xfId="1015" xr:uid="{00000000-0005-0000-0000-0000F7020000}"/>
    <cellStyle name="40% - Accent5 2" xfId="81" xr:uid="{00000000-0005-0000-0000-0000F8020000}"/>
    <cellStyle name="40% - Accent5 2 2" xfId="82" xr:uid="{00000000-0005-0000-0000-0000F9020000}"/>
    <cellStyle name="40% - Accent5 2 2 2" xfId="1016" xr:uid="{00000000-0005-0000-0000-0000FA020000}"/>
    <cellStyle name="40% - Accent5 2 2 2 2" xfId="1017" xr:uid="{00000000-0005-0000-0000-0000FB020000}"/>
    <cellStyle name="40% - Accent5 20" xfId="1018" xr:uid="{00000000-0005-0000-0000-0000FC020000}"/>
    <cellStyle name="40% - Accent5 20 2" xfId="1019" xr:uid="{00000000-0005-0000-0000-0000FD020000}"/>
    <cellStyle name="40% - Accent5 20 2 2" xfId="1020" xr:uid="{00000000-0005-0000-0000-0000FE020000}"/>
    <cellStyle name="40% - Accent5 21" xfId="1021" xr:uid="{00000000-0005-0000-0000-0000FF020000}"/>
    <cellStyle name="40% - Accent5 21 2" xfId="1022" xr:uid="{00000000-0005-0000-0000-000000030000}"/>
    <cellStyle name="40% - Accent5 21 2 2" xfId="1023" xr:uid="{00000000-0005-0000-0000-000001030000}"/>
    <cellStyle name="40% - Accent5 22" xfId="1024" xr:uid="{00000000-0005-0000-0000-000002030000}"/>
    <cellStyle name="40% - Accent5 3" xfId="83" xr:uid="{00000000-0005-0000-0000-000003030000}"/>
    <cellStyle name="40% - Accent5 3 2" xfId="1025" xr:uid="{00000000-0005-0000-0000-000004030000}"/>
    <cellStyle name="40% - Accent5 3 2 2" xfId="1026" xr:uid="{00000000-0005-0000-0000-000005030000}"/>
    <cellStyle name="40% - Accent5 3 2 3" xfId="1027" xr:uid="{00000000-0005-0000-0000-000006030000}"/>
    <cellStyle name="40% - Accent5 3 2 3 2" xfId="1028" xr:uid="{00000000-0005-0000-0000-000007030000}"/>
    <cellStyle name="40% - Accent5 3 3" xfId="1029" xr:uid="{00000000-0005-0000-0000-000008030000}"/>
    <cellStyle name="40% - Accent5 3 3 2" xfId="1030" xr:uid="{00000000-0005-0000-0000-000009030000}"/>
    <cellStyle name="40% - Accent5 3 3 2 2" xfId="1031" xr:uid="{00000000-0005-0000-0000-00000A030000}"/>
    <cellStyle name="40% - Accent5 3 4" xfId="1032" xr:uid="{00000000-0005-0000-0000-00000B030000}"/>
    <cellStyle name="40% - Accent5 3 5" xfId="1033" xr:uid="{00000000-0005-0000-0000-00000C030000}"/>
    <cellStyle name="40% - Accent5 3 5 2" xfId="1034" xr:uid="{00000000-0005-0000-0000-00000D030000}"/>
    <cellStyle name="40% - Accent5 4" xfId="1035" xr:uid="{00000000-0005-0000-0000-00000E030000}"/>
    <cellStyle name="40% - Accent5 4 2" xfId="1036" xr:uid="{00000000-0005-0000-0000-00000F030000}"/>
    <cellStyle name="40% - Accent5 4 3" xfId="1037" xr:uid="{00000000-0005-0000-0000-000010030000}"/>
    <cellStyle name="40% - Accent5 4 3 2" xfId="1038" xr:uid="{00000000-0005-0000-0000-000011030000}"/>
    <cellStyle name="40% - Accent5 5" xfId="1039" xr:uid="{00000000-0005-0000-0000-000012030000}"/>
    <cellStyle name="40% - Accent5 5 2" xfId="1040" xr:uid="{00000000-0005-0000-0000-000013030000}"/>
    <cellStyle name="40% - Accent5 5 3" xfId="1041" xr:uid="{00000000-0005-0000-0000-000014030000}"/>
    <cellStyle name="40% - Accent5 5 3 2" xfId="1042" xr:uid="{00000000-0005-0000-0000-000015030000}"/>
    <cellStyle name="40% - Accent5 6" xfId="1043" xr:uid="{00000000-0005-0000-0000-000016030000}"/>
    <cellStyle name="40% - Accent5 6 2" xfId="1044" xr:uid="{00000000-0005-0000-0000-000017030000}"/>
    <cellStyle name="40% - Accent5 6 3" xfId="1045" xr:uid="{00000000-0005-0000-0000-000018030000}"/>
    <cellStyle name="40% - Accent5 6 3 2" xfId="1046" xr:uid="{00000000-0005-0000-0000-000019030000}"/>
    <cellStyle name="40% - Accent5 7" xfId="1047" xr:uid="{00000000-0005-0000-0000-00001A030000}"/>
    <cellStyle name="40% - Accent5 7 2" xfId="1048" xr:uid="{00000000-0005-0000-0000-00001B030000}"/>
    <cellStyle name="40% - Accent5 7 2 2" xfId="1049" xr:uid="{00000000-0005-0000-0000-00001C030000}"/>
    <cellStyle name="40% - Accent5 8" xfId="1050" xr:uid="{00000000-0005-0000-0000-00001D030000}"/>
    <cellStyle name="40% - Accent5 8 2" xfId="1051" xr:uid="{00000000-0005-0000-0000-00001E030000}"/>
    <cellStyle name="40% - Accent5 8 2 2" xfId="1052" xr:uid="{00000000-0005-0000-0000-00001F030000}"/>
    <cellStyle name="40% - Accent5 9" xfId="1053" xr:uid="{00000000-0005-0000-0000-000020030000}"/>
    <cellStyle name="40% - Accent5 9 2" xfId="1054" xr:uid="{00000000-0005-0000-0000-000021030000}"/>
    <cellStyle name="40% - Accent5 9 2 2" xfId="1055" xr:uid="{00000000-0005-0000-0000-000022030000}"/>
    <cellStyle name="40% - Accent6 10" xfId="1056" xr:uid="{00000000-0005-0000-0000-000023030000}"/>
    <cellStyle name="40% - Accent6 10 2" xfId="1057" xr:uid="{00000000-0005-0000-0000-000024030000}"/>
    <cellStyle name="40% - Accent6 10 2 2" xfId="1058" xr:uid="{00000000-0005-0000-0000-000025030000}"/>
    <cellStyle name="40% - Accent6 11" xfId="1059" xr:uid="{00000000-0005-0000-0000-000026030000}"/>
    <cellStyle name="40% - Accent6 11 2" xfId="1060" xr:uid="{00000000-0005-0000-0000-000027030000}"/>
    <cellStyle name="40% - Accent6 11 2 2" xfId="1061" xr:uid="{00000000-0005-0000-0000-000028030000}"/>
    <cellStyle name="40% - Accent6 12" xfId="1062" xr:uid="{00000000-0005-0000-0000-000029030000}"/>
    <cellStyle name="40% - Accent6 12 2" xfId="1063" xr:uid="{00000000-0005-0000-0000-00002A030000}"/>
    <cellStyle name="40% - Accent6 12 2 2" xfId="1064" xr:uid="{00000000-0005-0000-0000-00002B030000}"/>
    <cellStyle name="40% - Accent6 13" xfId="1065" xr:uid="{00000000-0005-0000-0000-00002C030000}"/>
    <cellStyle name="40% - Accent6 13 2" xfId="1066" xr:uid="{00000000-0005-0000-0000-00002D030000}"/>
    <cellStyle name="40% - Accent6 13 2 2" xfId="1067" xr:uid="{00000000-0005-0000-0000-00002E030000}"/>
    <cellStyle name="40% - Accent6 14" xfId="1068" xr:uid="{00000000-0005-0000-0000-00002F030000}"/>
    <cellStyle name="40% - Accent6 14 2" xfId="1069" xr:uid="{00000000-0005-0000-0000-000030030000}"/>
    <cellStyle name="40% - Accent6 14 2 2" xfId="1070" xr:uid="{00000000-0005-0000-0000-000031030000}"/>
    <cellStyle name="40% - Accent6 15" xfId="1071" xr:uid="{00000000-0005-0000-0000-000032030000}"/>
    <cellStyle name="40% - Accent6 15 2" xfId="1072" xr:uid="{00000000-0005-0000-0000-000033030000}"/>
    <cellStyle name="40% - Accent6 15 2 2" xfId="1073" xr:uid="{00000000-0005-0000-0000-000034030000}"/>
    <cellStyle name="40% - Accent6 16" xfId="1074" xr:uid="{00000000-0005-0000-0000-000035030000}"/>
    <cellStyle name="40% - Accent6 16 2" xfId="1075" xr:uid="{00000000-0005-0000-0000-000036030000}"/>
    <cellStyle name="40% - Accent6 16 2 2" xfId="1076" xr:uid="{00000000-0005-0000-0000-000037030000}"/>
    <cellStyle name="40% - Accent6 17" xfId="1077" xr:uid="{00000000-0005-0000-0000-000038030000}"/>
    <cellStyle name="40% - Accent6 17 2" xfId="1078" xr:uid="{00000000-0005-0000-0000-000039030000}"/>
    <cellStyle name="40% - Accent6 17 2 2" xfId="1079" xr:uid="{00000000-0005-0000-0000-00003A030000}"/>
    <cellStyle name="40% - Accent6 18" xfId="1080" xr:uid="{00000000-0005-0000-0000-00003B030000}"/>
    <cellStyle name="40% - Accent6 18 2" xfId="1081" xr:uid="{00000000-0005-0000-0000-00003C030000}"/>
    <cellStyle name="40% - Accent6 18 2 2" xfId="1082" xr:uid="{00000000-0005-0000-0000-00003D030000}"/>
    <cellStyle name="40% - Accent6 19" xfId="1083" xr:uid="{00000000-0005-0000-0000-00003E030000}"/>
    <cellStyle name="40% - Accent6 19 2" xfId="1084" xr:uid="{00000000-0005-0000-0000-00003F030000}"/>
    <cellStyle name="40% - Accent6 19 2 2" xfId="1085" xr:uid="{00000000-0005-0000-0000-000040030000}"/>
    <cellStyle name="40% - Accent6 2" xfId="84" xr:uid="{00000000-0005-0000-0000-000041030000}"/>
    <cellStyle name="40% - Accent6 2 2" xfId="85" xr:uid="{00000000-0005-0000-0000-000042030000}"/>
    <cellStyle name="40% - Accent6 2 2 2" xfId="1086" xr:uid="{00000000-0005-0000-0000-000043030000}"/>
    <cellStyle name="40% - Accent6 2 2 2 2" xfId="1087" xr:uid="{00000000-0005-0000-0000-000044030000}"/>
    <cellStyle name="40% - Accent6 20" xfId="1088" xr:uid="{00000000-0005-0000-0000-000045030000}"/>
    <cellStyle name="40% - Accent6 20 2" xfId="1089" xr:uid="{00000000-0005-0000-0000-000046030000}"/>
    <cellStyle name="40% - Accent6 20 2 2" xfId="1090" xr:uid="{00000000-0005-0000-0000-000047030000}"/>
    <cellStyle name="40% - Accent6 21" xfId="1091" xr:uid="{00000000-0005-0000-0000-000048030000}"/>
    <cellStyle name="40% - Accent6 21 2" xfId="1092" xr:uid="{00000000-0005-0000-0000-000049030000}"/>
    <cellStyle name="40% - Accent6 21 2 2" xfId="1093" xr:uid="{00000000-0005-0000-0000-00004A030000}"/>
    <cellStyle name="40% - Accent6 22" xfId="1094" xr:uid="{00000000-0005-0000-0000-00004B030000}"/>
    <cellStyle name="40% - Accent6 3" xfId="86" xr:uid="{00000000-0005-0000-0000-00004C030000}"/>
    <cellStyle name="40% - Accent6 3 2" xfId="1095" xr:uid="{00000000-0005-0000-0000-00004D030000}"/>
    <cellStyle name="40% - Accent6 3 2 2" xfId="1096" xr:uid="{00000000-0005-0000-0000-00004E030000}"/>
    <cellStyle name="40% - Accent6 3 2 3" xfId="1097" xr:uid="{00000000-0005-0000-0000-00004F030000}"/>
    <cellStyle name="40% - Accent6 3 2 3 2" xfId="1098" xr:uid="{00000000-0005-0000-0000-000050030000}"/>
    <cellStyle name="40% - Accent6 3 3" xfId="1099" xr:uid="{00000000-0005-0000-0000-000051030000}"/>
    <cellStyle name="40% - Accent6 3 3 2" xfId="1100" xr:uid="{00000000-0005-0000-0000-000052030000}"/>
    <cellStyle name="40% - Accent6 3 3 2 2" xfId="1101" xr:uid="{00000000-0005-0000-0000-000053030000}"/>
    <cellStyle name="40% - Accent6 3 4" xfId="1102" xr:uid="{00000000-0005-0000-0000-000054030000}"/>
    <cellStyle name="40% - Accent6 3 5" xfId="1103" xr:uid="{00000000-0005-0000-0000-000055030000}"/>
    <cellStyle name="40% - Accent6 3 5 2" xfId="1104" xr:uid="{00000000-0005-0000-0000-000056030000}"/>
    <cellStyle name="40% - Accent6 4" xfId="1105" xr:uid="{00000000-0005-0000-0000-000057030000}"/>
    <cellStyle name="40% - Accent6 4 2" xfId="1106" xr:uid="{00000000-0005-0000-0000-000058030000}"/>
    <cellStyle name="40% - Accent6 4 3" xfId="1107" xr:uid="{00000000-0005-0000-0000-000059030000}"/>
    <cellStyle name="40% - Accent6 4 3 2" xfId="1108" xr:uid="{00000000-0005-0000-0000-00005A030000}"/>
    <cellStyle name="40% - Accent6 5" xfId="1109" xr:uid="{00000000-0005-0000-0000-00005B030000}"/>
    <cellStyle name="40% - Accent6 5 2" xfId="1110" xr:uid="{00000000-0005-0000-0000-00005C030000}"/>
    <cellStyle name="40% - Accent6 5 3" xfId="1111" xr:uid="{00000000-0005-0000-0000-00005D030000}"/>
    <cellStyle name="40% - Accent6 5 3 2" xfId="1112" xr:uid="{00000000-0005-0000-0000-00005E030000}"/>
    <cellStyle name="40% - Accent6 6" xfId="1113" xr:uid="{00000000-0005-0000-0000-00005F030000}"/>
    <cellStyle name="40% - Accent6 6 2" xfId="1114" xr:uid="{00000000-0005-0000-0000-000060030000}"/>
    <cellStyle name="40% - Accent6 6 3" xfId="1115" xr:uid="{00000000-0005-0000-0000-000061030000}"/>
    <cellStyle name="40% - Accent6 6 3 2" xfId="1116" xr:uid="{00000000-0005-0000-0000-000062030000}"/>
    <cellStyle name="40% - Accent6 7" xfId="1117" xr:uid="{00000000-0005-0000-0000-000063030000}"/>
    <cellStyle name="40% - Accent6 7 2" xfId="1118" xr:uid="{00000000-0005-0000-0000-000064030000}"/>
    <cellStyle name="40% - Accent6 7 2 2" xfId="1119" xr:uid="{00000000-0005-0000-0000-000065030000}"/>
    <cellStyle name="40% - Accent6 8" xfId="1120" xr:uid="{00000000-0005-0000-0000-000066030000}"/>
    <cellStyle name="40% - Accent6 8 2" xfId="1121" xr:uid="{00000000-0005-0000-0000-000067030000}"/>
    <cellStyle name="40% - Accent6 8 2 2" xfId="1122" xr:uid="{00000000-0005-0000-0000-000068030000}"/>
    <cellStyle name="40% - Accent6 9" xfId="1123" xr:uid="{00000000-0005-0000-0000-000069030000}"/>
    <cellStyle name="40% - Accent6 9 2" xfId="1124" xr:uid="{00000000-0005-0000-0000-00006A030000}"/>
    <cellStyle name="40% - Accent6 9 2 2" xfId="1125" xr:uid="{00000000-0005-0000-0000-00006B030000}"/>
    <cellStyle name="60% - Accent1 2" xfId="87" xr:uid="{00000000-0005-0000-0000-00006C030000}"/>
    <cellStyle name="60% - Accent1 2 2" xfId="88" xr:uid="{00000000-0005-0000-0000-00006D030000}"/>
    <cellStyle name="60% - Accent1 3" xfId="89" xr:uid="{00000000-0005-0000-0000-00006E030000}"/>
    <cellStyle name="60% - Accent1 3 2" xfId="1126" xr:uid="{00000000-0005-0000-0000-00006F030000}"/>
    <cellStyle name="60% - Accent1 3 3" xfId="1127" xr:uid="{00000000-0005-0000-0000-000070030000}"/>
    <cellStyle name="60% - Accent2 2" xfId="90" xr:uid="{00000000-0005-0000-0000-000071030000}"/>
    <cellStyle name="60% - Accent2 2 2" xfId="91" xr:uid="{00000000-0005-0000-0000-000072030000}"/>
    <cellStyle name="60% - Accent2 3" xfId="92" xr:uid="{00000000-0005-0000-0000-000073030000}"/>
    <cellStyle name="60% - Accent3 2" xfId="93" xr:uid="{00000000-0005-0000-0000-000074030000}"/>
    <cellStyle name="60% - Accent3 2 2" xfId="94" xr:uid="{00000000-0005-0000-0000-000075030000}"/>
    <cellStyle name="60% - Accent3 3" xfId="95" xr:uid="{00000000-0005-0000-0000-000076030000}"/>
    <cellStyle name="60% - Accent3 3 2" xfId="1128" xr:uid="{00000000-0005-0000-0000-000077030000}"/>
    <cellStyle name="60% - Accent3 3 3" xfId="1129" xr:uid="{00000000-0005-0000-0000-000078030000}"/>
    <cellStyle name="60% - Accent4 2" xfId="96" xr:uid="{00000000-0005-0000-0000-000079030000}"/>
    <cellStyle name="60% - Accent4 2 2" xfId="97" xr:uid="{00000000-0005-0000-0000-00007A030000}"/>
    <cellStyle name="60% - Accent4 3" xfId="98" xr:uid="{00000000-0005-0000-0000-00007B030000}"/>
    <cellStyle name="60% - Accent4 3 2" xfId="1130" xr:uid="{00000000-0005-0000-0000-00007C030000}"/>
    <cellStyle name="60% - Accent4 3 3" xfId="1131" xr:uid="{00000000-0005-0000-0000-00007D030000}"/>
    <cellStyle name="60% - Accent5 2" xfId="99" xr:uid="{00000000-0005-0000-0000-00007E030000}"/>
    <cellStyle name="60% - Accent5 2 2" xfId="100" xr:uid="{00000000-0005-0000-0000-00007F030000}"/>
    <cellStyle name="60% - Accent5 3" xfId="101" xr:uid="{00000000-0005-0000-0000-000080030000}"/>
    <cellStyle name="60% - Accent6 2" xfId="102" xr:uid="{00000000-0005-0000-0000-000081030000}"/>
    <cellStyle name="60% - Accent6 2 2" xfId="103" xr:uid="{00000000-0005-0000-0000-000082030000}"/>
    <cellStyle name="60% - Accent6 3" xfId="104" xr:uid="{00000000-0005-0000-0000-000083030000}"/>
    <cellStyle name="60% - Accent6 3 2" xfId="1132" xr:uid="{00000000-0005-0000-0000-000084030000}"/>
    <cellStyle name="60% - Accent6 3 3" xfId="1133" xr:uid="{00000000-0005-0000-0000-000085030000}"/>
    <cellStyle name="Accent1 2" xfId="105" xr:uid="{00000000-0005-0000-0000-000086030000}"/>
    <cellStyle name="Accent1 2 2" xfId="106" xr:uid="{00000000-0005-0000-0000-000087030000}"/>
    <cellStyle name="Accent1 3" xfId="107" xr:uid="{00000000-0005-0000-0000-000088030000}"/>
    <cellStyle name="Accent1 3 2" xfId="1134" xr:uid="{00000000-0005-0000-0000-000089030000}"/>
    <cellStyle name="Accent1 3 3" xfId="1135" xr:uid="{00000000-0005-0000-0000-00008A030000}"/>
    <cellStyle name="Accent2 2" xfId="108" xr:uid="{00000000-0005-0000-0000-00008B030000}"/>
    <cellStyle name="Accent2 2 2" xfId="109" xr:uid="{00000000-0005-0000-0000-00008C030000}"/>
    <cellStyle name="Accent2 3" xfId="110" xr:uid="{00000000-0005-0000-0000-00008D030000}"/>
    <cellStyle name="Accent2 3 2" xfId="1136" xr:uid="{00000000-0005-0000-0000-00008E030000}"/>
    <cellStyle name="Accent2 3 3" xfId="1137" xr:uid="{00000000-0005-0000-0000-00008F030000}"/>
    <cellStyle name="Accent3 2" xfId="111" xr:uid="{00000000-0005-0000-0000-000090030000}"/>
    <cellStyle name="Accent3 2 2" xfId="112" xr:uid="{00000000-0005-0000-0000-000091030000}"/>
    <cellStyle name="Accent3 3" xfId="113" xr:uid="{00000000-0005-0000-0000-000092030000}"/>
    <cellStyle name="Accent3 3 2" xfId="1138" xr:uid="{00000000-0005-0000-0000-000093030000}"/>
    <cellStyle name="Accent3 3 3" xfId="1139" xr:uid="{00000000-0005-0000-0000-000094030000}"/>
    <cellStyle name="Accent4 2" xfId="114" xr:uid="{00000000-0005-0000-0000-000095030000}"/>
    <cellStyle name="Accent4 2 2" xfId="115" xr:uid="{00000000-0005-0000-0000-000096030000}"/>
    <cellStyle name="Accent4 3" xfId="116" xr:uid="{00000000-0005-0000-0000-000097030000}"/>
    <cellStyle name="Accent4 3 2" xfId="1140" xr:uid="{00000000-0005-0000-0000-000098030000}"/>
    <cellStyle name="Accent4 3 3" xfId="1141" xr:uid="{00000000-0005-0000-0000-000099030000}"/>
    <cellStyle name="Accent5 2" xfId="117" xr:uid="{00000000-0005-0000-0000-00009A030000}"/>
    <cellStyle name="Accent5 2 2" xfId="118" xr:uid="{00000000-0005-0000-0000-00009B030000}"/>
    <cellStyle name="Accent5 3" xfId="119" xr:uid="{00000000-0005-0000-0000-00009C030000}"/>
    <cellStyle name="Accent6 2" xfId="120" xr:uid="{00000000-0005-0000-0000-00009D030000}"/>
    <cellStyle name="Accent6 2 2" xfId="121" xr:uid="{00000000-0005-0000-0000-00009E030000}"/>
    <cellStyle name="Accent6 3" xfId="122" xr:uid="{00000000-0005-0000-0000-00009F030000}"/>
    <cellStyle name="Bad 2" xfId="123" xr:uid="{00000000-0005-0000-0000-0000A0030000}"/>
    <cellStyle name="Bad 2 2" xfId="124" xr:uid="{00000000-0005-0000-0000-0000A1030000}"/>
    <cellStyle name="Bad 3" xfId="125" xr:uid="{00000000-0005-0000-0000-0000A2030000}"/>
    <cellStyle name="Bad 3 2" xfId="1142" xr:uid="{00000000-0005-0000-0000-0000A3030000}"/>
    <cellStyle name="Bad 3 3" xfId="1143" xr:uid="{00000000-0005-0000-0000-0000A4030000}"/>
    <cellStyle name="Calculation 2" xfId="1" xr:uid="{00000000-0005-0000-0000-0000A5030000}"/>
    <cellStyle name="Calculation 2 2" xfId="126" xr:uid="{00000000-0005-0000-0000-0000A6030000}"/>
    <cellStyle name="Calculation 2 2 2" xfId="127" xr:uid="{00000000-0005-0000-0000-0000A7030000}"/>
    <cellStyle name="Calculation 2 2 3" xfId="128" xr:uid="{00000000-0005-0000-0000-0000A8030000}"/>
    <cellStyle name="Calculation 2 2 4" xfId="129" xr:uid="{00000000-0005-0000-0000-0000A9030000}"/>
    <cellStyle name="Calculation 2 2 5" xfId="130" xr:uid="{00000000-0005-0000-0000-0000AA030000}"/>
    <cellStyle name="Calculation 2 3" xfId="131" xr:uid="{00000000-0005-0000-0000-0000AB030000}"/>
    <cellStyle name="Calculation 2 4" xfId="132" xr:uid="{00000000-0005-0000-0000-0000AC030000}"/>
    <cellStyle name="Calculation 2 5" xfId="133" xr:uid="{00000000-0005-0000-0000-0000AD030000}"/>
    <cellStyle name="Calculation 2 6" xfId="134" xr:uid="{00000000-0005-0000-0000-0000AE030000}"/>
    <cellStyle name="Calculation 2 7" xfId="1345" xr:uid="{00000000-0005-0000-0000-0000AF030000}"/>
    <cellStyle name="Calculation 3" xfId="135" xr:uid="{00000000-0005-0000-0000-0000B0030000}"/>
    <cellStyle name="Calculation 3 2" xfId="136" xr:uid="{00000000-0005-0000-0000-0000B1030000}"/>
    <cellStyle name="Calculation 3 2 2" xfId="1144" xr:uid="{00000000-0005-0000-0000-0000B2030000}"/>
    <cellStyle name="Calculation 3 3" xfId="137" xr:uid="{00000000-0005-0000-0000-0000B3030000}"/>
    <cellStyle name="Calculation 3 4" xfId="138" xr:uid="{00000000-0005-0000-0000-0000B4030000}"/>
    <cellStyle name="Calculation 3 5" xfId="139" xr:uid="{00000000-0005-0000-0000-0000B5030000}"/>
    <cellStyle name="Check Cell 2" xfId="140" xr:uid="{00000000-0005-0000-0000-0000B6030000}"/>
    <cellStyle name="Check Cell 2 2" xfId="141" xr:uid="{00000000-0005-0000-0000-0000B7030000}"/>
    <cellStyle name="Check Cell 3" xfId="142" xr:uid="{00000000-0005-0000-0000-0000B8030000}"/>
    <cellStyle name="Check Cell 4" xfId="143" xr:uid="{00000000-0005-0000-0000-0000B9030000}"/>
    <cellStyle name="Check Cell 5" xfId="144" xr:uid="{00000000-0005-0000-0000-0000BA030000}"/>
    <cellStyle name="Comma [3]" xfId="145" xr:uid="{00000000-0005-0000-0000-0000BB030000}"/>
    <cellStyle name="Comma [3] 2" xfId="146" xr:uid="{00000000-0005-0000-0000-0000BC030000}"/>
    <cellStyle name="Comma 10" xfId="1145" xr:uid="{00000000-0005-0000-0000-0000BD030000}"/>
    <cellStyle name="Comma 11" xfId="1146" xr:uid="{00000000-0005-0000-0000-0000BE030000}"/>
    <cellStyle name="Comma 12" xfId="1147" xr:uid="{00000000-0005-0000-0000-0000BF030000}"/>
    <cellStyle name="Comma 13" xfId="1148" xr:uid="{00000000-0005-0000-0000-0000C0030000}"/>
    <cellStyle name="Comma 14" xfId="1149" xr:uid="{00000000-0005-0000-0000-0000C1030000}"/>
    <cellStyle name="Comma 15" xfId="1150" xr:uid="{00000000-0005-0000-0000-0000C2030000}"/>
    <cellStyle name="Comma 16" xfId="1151" xr:uid="{00000000-0005-0000-0000-0000C3030000}"/>
    <cellStyle name="Comma 17" xfId="1152" xr:uid="{00000000-0005-0000-0000-0000C4030000}"/>
    <cellStyle name="Comma 18" xfId="1153" xr:uid="{00000000-0005-0000-0000-0000C5030000}"/>
    <cellStyle name="Comma 19" xfId="1154" xr:uid="{00000000-0005-0000-0000-0000C6030000}"/>
    <cellStyle name="Comma 2" xfId="147" xr:uid="{00000000-0005-0000-0000-0000C7030000}"/>
    <cellStyle name="Comma 2 2" xfId="148" xr:uid="{00000000-0005-0000-0000-0000C8030000}"/>
    <cellStyle name="Comma 2 3" xfId="149" xr:uid="{00000000-0005-0000-0000-0000C9030000}"/>
    <cellStyle name="Comma 20" xfId="1155" xr:uid="{00000000-0005-0000-0000-0000CA030000}"/>
    <cellStyle name="Comma 21" xfId="1156" xr:uid="{00000000-0005-0000-0000-0000CB030000}"/>
    <cellStyle name="Comma 22" xfId="1157" xr:uid="{00000000-0005-0000-0000-0000CC030000}"/>
    <cellStyle name="Comma 23" xfId="1158" xr:uid="{00000000-0005-0000-0000-0000CD030000}"/>
    <cellStyle name="Comma 24" xfId="1159" xr:uid="{00000000-0005-0000-0000-0000CE030000}"/>
    <cellStyle name="Comma 25" xfId="1160" xr:uid="{00000000-0005-0000-0000-0000CF030000}"/>
    <cellStyle name="Comma 26" xfId="1161" xr:uid="{00000000-0005-0000-0000-0000D0030000}"/>
    <cellStyle name="Comma 27" xfId="1162" xr:uid="{00000000-0005-0000-0000-0000D1030000}"/>
    <cellStyle name="Comma 28" xfId="1163" xr:uid="{00000000-0005-0000-0000-0000D2030000}"/>
    <cellStyle name="Comma 29" xfId="1164" xr:uid="{00000000-0005-0000-0000-0000D3030000}"/>
    <cellStyle name="Comma 3" xfId="150" xr:uid="{00000000-0005-0000-0000-0000D4030000}"/>
    <cellStyle name="Comma 3 2" xfId="151" xr:uid="{00000000-0005-0000-0000-0000D5030000}"/>
    <cellStyle name="Comma 30" xfId="1165" xr:uid="{00000000-0005-0000-0000-0000D6030000}"/>
    <cellStyle name="Comma 31" xfId="1166" xr:uid="{00000000-0005-0000-0000-0000D7030000}"/>
    <cellStyle name="Comma 32" xfId="1167" xr:uid="{00000000-0005-0000-0000-0000D8030000}"/>
    <cellStyle name="Comma 33" xfId="1168" xr:uid="{00000000-0005-0000-0000-0000D9030000}"/>
    <cellStyle name="Comma 4" xfId="152" xr:uid="{00000000-0005-0000-0000-0000DA030000}"/>
    <cellStyle name="Comma 4 2" xfId="1169" xr:uid="{00000000-0005-0000-0000-0000DB030000}"/>
    <cellStyle name="Comma 5" xfId="153" xr:uid="{00000000-0005-0000-0000-0000DC030000}"/>
    <cellStyle name="Comma 6" xfId="154" xr:uid="{00000000-0005-0000-0000-0000DD030000}"/>
    <cellStyle name="Comma 7" xfId="1170" xr:uid="{00000000-0005-0000-0000-0000DE030000}"/>
    <cellStyle name="Comma 8" xfId="1171" xr:uid="{00000000-0005-0000-0000-0000DF030000}"/>
    <cellStyle name="Comma 9" xfId="1172" xr:uid="{00000000-0005-0000-0000-0000E0030000}"/>
    <cellStyle name="Currency" xfId="1352" builtinId="4"/>
    <cellStyle name="Currency 12" xfId="155" xr:uid="{00000000-0005-0000-0000-0000E2030000}"/>
    <cellStyle name="Currency 2" xfId="156" xr:uid="{00000000-0005-0000-0000-0000E3030000}"/>
    <cellStyle name="Currency 2 2" xfId="1173" xr:uid="{00000000-0005-0000-0000-0000E4030000}"/>
    <cellStyle name="Currency 2 3" xfId="1174" xr:uid="{00000000-0005-0000-0000-0000E5030000}"/>
    <cellStyle name="Currency 2 3 2" xfId="1175" xr:uid="{00000000-0005-0000-0000-0000E6030000}"/>
    <cellStyle name="Escal" xfId="157" xr:uid="{00000000-0005-0000-0000-0000E7030000}"/>
    <cellStyle name="Escal 2" xfId="158" xr:uid="{00000000-0005-0000-0000-0000E8030000}"/>
    <cellStyle name="Explanatory Text 2" xfId="159" xr:uid="{00000000-0005-0000-0000-0000E9030000}"/>
    <cellStyle name="Explanatory Text 2 2" xfId="160" xr:uid="{00000000-0005-0000-0000-0000EA030000}"/>
    <cellStyle name="Explanatory Text 3" xfId="161" xr:uid="{00000000-0005-0000-0000-0000EB030000}"/>
    <cellStyle name="Good 2" xfId="162" xr:uid="{00000000-0005-0000-0000-0000EC030000}"/>
    <cellStyle name="Good 2 2" xfId="163" xr:uid="{00000000-0005-0000-0000-0000ED030000}"/>
    <cellStyle name="Good 3" xfId="164" xr:uid="{00000000-0005-0000-0000-0000EE030000}"/>
    <cellStyle name="Header1" xfId="165" xr:uid="{00000000-0005-0000-0000-0000EF030000}"/>
    <cellStyle name="Header2" xfId="166" xr:uid="{00000000-0005-0000-0000-0000F0030000}"/>
    <cellStyle name="Header2 2" xfId="167" xr:uid="{00000000-0005-0000-0000-0000F1030000}"/>
    <cellStyle name="Header2 3" xfId="168" xr:uid="{00000000-0005-0000-0000-0000F2030000}"/>
    <cellStyle name="Header2 4" xfId="169" xr:uid="{00000000-0005-0000-0000-0000F3030000}"/>
    <cellStyle name="Header2 5" xfId="170" xr:uid="{00000000-0005-0000-0000-0000F4030000}"/>
    <cellStyle name="Heading 1 2" xfId="171" xr:uid="{00000000-0005-0000-0000-0000F5030000}"/>
    <cellStyle name="Heading 1 2 2" xfId="172" xr:uid="{00000000-0005-0000-0000-0000F6030000}"/>
    <cellStyle name="Heading 1 3" xfId="173" xr:uid="{00000000-0005-0000-0000-0000F7030000}"/>
    <cellStyle name="Heading 1 3 2" xfId="1176" xr:uid="{00000000-0005-0000-0000-0000F8030000}"/>
    <cellStyle name="Heading 1 3 3" xfId="1177" xr:uid="{00000000-0005-0000-0000-0000F9030000}"/>
    <cellStyle name="Heading 2 2" xfId="174" xr:uid="{00000000-0005-0000-0000-0000FA030000}"/>
    <cellStyle name="Heading 2 2 2" xfId="175" xr:uid="{00000000-0005-0000-0000-0000FB030000}"/>
    <cellStyle name="Heading 2 3" xfId="176" xr:uid="{00000000-0005-0000-0000-0000FC030000}"/>
    <cellStyle name="Heading 2 3 2" xfId="1178" xr:uid="{00000000-0005-0000-0000-0000FD030000}"/>
    <cellStyle name="Heading 2 3 3" xfId="1179" xr:uid="{00000000-0005-0000-0000-0000FE030000}"/>
    <cellStyle name="Heading 3 2" xfId="177" xr:uid="{00000000-0005-0000-0000-0000FF030000}"/>
    <cellStyle name="Heading 3 2 2" xfId="178" xr:uid="{00000000-0005-0000-0000-000000040000}"/>
    <cellStyle name="Heading 3 3" xfId="179" xr:uid="{00000000-0005-0000-0000-000001040000}"/>
    <cellStyle name="Heading 3 3 2" xfId="1180" xr:uid="{00000000-0005-0000-0000-000002040000}"/>
    <cellStyle name="Heading 3 3 3" xfId="1181" xr:uid="{00000000-0005-0000-0000-000003040000}"/>
    <cellStyle name="Heading 4 2" xfId="180" xr:uid="{00000000-0005-0000-0000-000004040000}"/>
    <cellStyle name="Heading 4 2 2" xfId="181" xr:uid="{00000000-0005-0000-0000-000005040000}"/>
    <cellStyle name="Heading 4 3" xfId="182" xr:uid="{00000000-0005-0000-0000-000006040000}"/>
    <cellStyle name="Heading 4 3 2" xfId="1182" xr:uid="{00000000-0005-0000-0000-000007040000}"/>
    <cellStyle name="Heading 4 3 3" xfId="1183" xr:uid="{00000000-0005-0000-0000-000008040000}"/>
    <cellStyle name="Hyperlink" xfId="2" builtinId="8"/>
    <cellStyle name="Hyperlink 2" xfId="47" xr:uid="{00000000-0005-0000-0000-00000A040000}"/>
    <cellStyle name="Hyperlink 2 2" xfId="1346" xr:uid="{00000000-0005-0000-0000-00000B040000}"/>
    <cellStyle name="Hyperlink 3" xfId="49" xr:uid="{00000000-0005-0000-0000-00000C040000}"/>
    <cellStyle name="Hyperlink 4" xfId="1351" xr:uid="{00000000-0005-0000-0000-00000D040000}"/>
    <cellStyle name="Input 2" xfId="3" xr:uid="{00000000-0005-0000-0000-00000E040000}"/>
    <cellStyle name="Input 2 2" xfId="183" xr:uid="{00000000-0005-0000-0000-00000F040000}"/>
    <cellStyle name="Input 2 2 2" xfId="184" xr:uid="{00000000-0005-0000-0000-000010040000}"/>
    <cellStyle name="Input 2 2 3" xfId="185" xr:uid="{00000000-0005-0000-0000-000011040000}"/>
    <cellStyle name="Input 2 2 4" xfId="186" xr:uid="{00000000-0005-0000-0000-000012040000}"/>
    <cellStyle name="Input 2 2 5" xfId="187" xr:uid="{00000000-0005-0000-0000-000013040000}"/>
    <cellStyle name="Input 2 3" xfId="188" xr:uid="{00000000-0005-0000-0000-000014040000}"/>
    <cellStyle name="Input 2 4" xfId="189" xr:uid="{00000000-0005-0000-0000-000015040000}"/>
    <cellStyle name="Input 2 5" xfId="190" xr:uid="{00000000-0005-0000-0000-000016040000}"/>
    <cellStyle name="Input 2 6" xfId="191" xr:uid="{00000000-0005-0000-0000-000017040000}"/>
    <cellStyle name="Input 2 7" xfId="1347" xr:uid="{00000000-0005-0000-0000-000018040000}"/>
    <cellStyle name="Input 3" xfId="192" xr:uid="{00000000-0005-0000-0000-000019040000}"/>
    <cellStyle name="Input 3 2" xfId="193" xr:uid="{00000000-0005-0000-0000-00001A040000}"/>
    <cellStyle name="Input 3 3" xfId="194" xr:uid="{00000000-0005-0000-0000-00001B040000}"/>
    <cellStyle name="Input 3 4" xfId="195" xr:uid="{00000000-0005-0000-0000-00001C040000}"/>
    <cellStyle name="Input 3 5" xfId="196" xr:uid="{00000000-0005-0000-0000-00001D040000}"/>
    <cellStyle name="Linked Cell 2" xfId="197" xr:uid="{00000000-0005-0000-0000-00001E040000}"/>
    <cellStyle name="Linked Cell 2 2" xfId="198" xr:uid="{00000000-0005-0000-0000-00001F040000}"/>
    <cellStyle name="Linked Cell 3" xfId="199" xr:uid="{00000000-0005-0000-0000-000020040000}"/>
    <cellStyle name="Neutral 2" xfId="200" xr:uid="{00000000-0005-0000-0000-000021040000}"/>
    <cellStyle name="Neutral 2 2" xfId="201" xr:uid="{00000000-0005-0000-0000-000022040000}"/>
    <cellStyle name="Neutral 3" xfId="202" xr:uid="{00000000-0005-0000-0000-000023040000}"/>
    <cellStyle name="Normal" xfId="0" builtinId="0"/>
    <cellStyle name="Normal 10" xfId="4" xr:uid="{00000000-0005-0000-0000-000025040000}"/>
    <cellStyle name="Normal 10 2" xfId="1184" xr:uid="{00000000-0005-0000-0000-000026040000}"/>
    <cellStyle name="Normal 10 3" xfId="203" xr:uid="{00000000-0005-0000-0000-000027040000}"/>
    <cellStyle name="Normal 10 3 2" xfId="1185" xr:uid="{00000000-0005-0000-0000-000028040000}"/>
    <cellStyle name="Normal 11" xfId="5" xr:uid="{00000000-0005-0000-0000-000029040000}"/>
    <cellStyle name="Normal 11 2" xfId="1186" xr:uid="{00000000-0005-0000-0000-00002A040000}"/>
    <cellStyle name="Normal 11 2 2" xfId="1187" xr:uid="{00000000-0005-0000-0000-00002B040000}"/>
    <cellStyle name="Normal 12" xfId="6" xr:uid="{00000000-0005-0000-0000-00002C040000}"/>
    <cellStyle name="Normal 12 2" xfId="204" xr:uid="{00000000-0005-0000-0000-00002D040000}"/>
    <cellStyle name="Normal 12 2 2" xfId="1188" xr:uid="{00000000-0005-0000-0000-00002E040000}"/>
    <cellStyle name="Normal 13" xfId="7" xr:uid="{00000000-0005-0000-0000-00002F040000}"/>
    <cellStyle name="Normal 13 2" xfId="1189" xr:uid="{00000000-0005-0000-0000-000030040000}"/>
    <cellStyle name="Normal 13 2 2" xfId="1190" xr:uid="{00000000-0005-0000-0000-000031040000}"/>
    <cellStyle name="Normal 13 3" xfId="1191" xr:uid="{00000000-0005-0000-0000-000032040000}"/>
    <cellStyle name="Normal 14" xfId="8" xr:uid="{00000000-0005-0000-0000-000033040000}"/>
    <cellStyle name="Normal 14 2" xfId="9" xr:uid="{00000000-0005-0000-0000-000034040000}"/>
    <cellStyle name="Normal 14 2 2" xfId="1192" xr:uid="{00000000-0005-0000-0000-000035040000}"/>
    <cellStyle name="Normal 14 2 3" xfId="1193" xr:uid="{00000000-0005-0000-0000-000036040000}"/>
    <cellStyle name="Normal 14 3" xfId="1194" xr:uid="{00000000-0005-0000-0000-000037040000}"/>
    <cellStyle name="Normal 15" xfId="1195" xr:uid="{00000000-0005-0000-0000-000038040000}"/>
    <cellStyle name="Normal 15 2" xfId="1196" xr:uid="{00000000-0005-0000-0000-000039040000}"/>
    <cellStyle name="Normal 15 2 2" xfId="1197" xr:uid="{00000000-0005-0000-0000-00003A040000}"/>
    <cellStyle name="Normal 16" xfId="1198" xr:uid="{00000000-0005-0000-0000-00003B040000}"/>
    <cellStyle name="Normal 16 2" xfId="1199" xr:uid="{00000000-0005-0000-0000-00003C040000}"/>
    <cellStyle name="Normal 16 2 2" xfId="1200" xr:uid="{00000000-0005-0000-0000-00003D040000}"/>
    <cellStyle name="Normal 16 2 2 2" xfId="1201" xr:uid="{00000000-0005-0000-0000-00003E040000}"/>
    <cellStyle name="Normal 16 2 3" xfId="1202" xr:uid="{00000000-0005-0000-0000-00003F040000}"/>
    <cellStyle name="Normal 16 3" xfId="1203" xr:uid="{00000000-0005-0000-0000-000040040000}"/>
    <cellStyle name="Normal 17" xfId="1204" xr:uid="{00000000-0005-0000-0000-000041040000}"/>
    <cellStyle name="Normal 17 2" xfId="1205" xr:uid="{00000000-0005-0000-0000-000042040000}"/>
    <cellStyle name="Normal 18" xfId="1206" xr:uid="{00000000-0005-0000-0000-000043040000}"/>
    <cellStyle name="Normal 18 2" xfId="1207" xr:uid="{00000000-0005-0000-0000-000044040000}"/>
    <cellStyle name="Normal 19" xfId="1348" xr:uid="{00000000-0005-0000-0000-000045040000}"/>
    <cellStyle name="Normal 2" xfId="10" xr:uid="{00000000-0005-0000-0000-000046040000}"/>
    <cellStyle name="Normal 2 10" xfId="11" xr:uid="{00000000-0005-0000-0000-000047040000}"/>
    <cellStyle name="Normal 2 13" xfId="12" xr:uid="{00000000-0005-0000-0000-000048040000}"/>
    <cellStyle name="Normal 2 14" xfId="13" xr:uid="{00000000-0005-0000-0000-000049040000}"/>
    <cellStyle name="Normal 2 16" xfId="14" xr:uid="{00000000-0005-0000-0000-00004A040000}"/>
    <cellStyle name="Normal 2 17" xfId="15" xr:uid="{00000000-0005-0000-0000-00004B040000}"/>
    <cellStyle name="Normal 2 2" xfId="16" xr:uid="{00000000-0005-0000-0000-00004C040000}"/>
    <cellStyle name="Normal 2 2 11" xfId="1208" xr:uid="{00000000-0005-0000-0000-00004D040000}"/>
    <cellStyle name="Normal 2 2 2" xfId="205" xr:uid="{00000000-0005-0000-0000-00004E040000}"/>
    <cellStyle name="Normal 2 2 3" xfId="206" xr:uid="{00000000-0005-0000-0000-00004F040000}"/>
    <cellStyle name="Normal 2 2 4" xfId="1209" xr:uid="{00000000-0005-0000-0000-000050040000}"/>
    <cellStyle name="Normal 2 3" xfId="17" xr:uid="{00000000-0005-0000-0000-000051040000}"/>
    <cellStyle name="Normal 2 3 2" xfId="207" xr:uid="{00000000-0005-0000-0000-000052040000}"/>
    <cellStyle name="Normal 2 3 2 2" xfId="1210" xr:uid="{00000000-0005-0000-0000-000053040000}"/>
    <cellStyle name="Normal 2 3 3" xfId="1211" xr:uid="{00000000-0005-0000-0000-000054040000}"/>
    <cellStyle name="Normal 2 4" xfId="50" xr:uid="{00000000-0005-0000-0000-000055040000}"/>
    <cellStyle name="Normal 2 4 2" xfId="1212" xr:uid="{00000000-0005-0000-0000-000056040000}"/>
    <cellStyle name="Normal 2 4 2 2" xfId="1213" xr:uid="{00000000-0005-0000-0000-000057040000}"/>
    <cellStyle name="Normal 2 5" xfId="208" xr:uid="{00000000-0005-0000-0000-000058040000}"/>
    <cellStyle name="Normal 2_R10513143" xfId="1214" xr:uid="{00000000-0005-0000-0000-000059040000}"/>
    <cellStyle name="Normal 21" xfId="1215" xr:uid="{00000000-0005-0000-0000-00005A040000}"/>
    <cellStyle name="Normal 21 2" xfId="1216" xr:uid="{00000000-0005-0000-0000-00005B040000}"/>
    <cellStyle name="Normal 3" xfId="18" xr:uid="{00000000-0005-0000-0000-00005C040000}"/>
    <cellStyle name="Normal 3 11" xfId="1344" xr:uid="{00000000-0005-0000-0000-00005D040000}"/>
    <cellStyle name="Normal 3 2" xfId="48" xr:uid="{00000000-0005-0000-0000-00005E040000}"/>
    <cellStyle name="Normal 3 2 2" xfId="209" xr:uid="{00000000-0005-0000-0000-00005F040000}"/>
    <cellStyle name="Normal 3 2 32" xfId="1350" xr:uid="{00000000-0005-0000-0000-000060040000}"/>
    <cellStyle name="Normal 3 3" xfId="210" xr:uid="{00000000-0005-0000-0000-000061040000}"/>
    <cellStyle name="Normal 3 4" xfId="211" xr:uid="{00000000-0005-0000-0000-000062040000}"/>
    <cellStyle name="Normal 3_R10513143" xfId="1217" xr:uid="{00000000-0005-0000-0000-000063040000}"/>
    <cellStyle name="Normal 4" xfId="19" xr:uid="{00000000-0005-0000-0000-000064040000}"/>
    <cellStyle name="Normal 4 2" xfId="212" xr:uid="{00000000-0005-0000-0000-000065040000}"/>
    <cellStyle name="Normal 4 2 2" xfId="1218" xr:uid="{00000000-0005-0000-0000-000066040000}"/>
    <cellStyle name="Normal 4 2 2 2" xfId="1219" xr:uid="{00000000-0005-0000-0000-000067040000}"/>
    <cellStyle name="Normal 4 2 2 2 2" xfId="1220" xr:uid="{00000000-0005-0000-0000-000068040000}"/>
    <cellStyle name="Normal 4 2 2 3" xfId="1221" xr:uid="{00000000-0005-0000-0000-000069040000}"/>
    <cellStyle name="Normal 4 2 3" xfId="213" xr:uid="{00000000-0005-0000-0000-00006A040000}"/>
    <cellStyle name="Normal 4 2 3 2" xfId="1222" xr:uid="{00000000-0005-0000-0000-00006B040000}"/>
    <cellStyle name="Normal 4 2 4" xfId="1223" xr:uid="{00000000-0005-0000-0000-00006C040000}"/>
    <cellStyle name="Normal 4 3" xfId="214" xr:uid="{00000000-0005-0000-0000-00006D040000}"/>
    <cellStyle name="Normal 4 3 2" xfId="1224" xr:uid="{00000000-0005-0000-0000-00006E040000}"/>
    <cellStyle name="Normal 4 4" xfId="215" xr:uid="{00000000-0005-0000-0000-00006F040000}"/>
    <cellStyle name="Normal 4 4 2" xfId="1225" xr:uid="{00000000-0005-0000-0000-000070040000}"/>
    <cellStyle name="Normal 4 5" xfId="1226" xr:uid="{00000000-0005-0000-0000-000071040000}"/>
    <cellStyle name="Normal 4 5 2" xfId="1227" xr:uid="{00000000-0005-0000-0000-000072040000}"/>
    <cellStyle name="Normal 4 6" xfId="1228" xr:uid="{00000000-0005-0000-0000-000073040000}"/>
    <cellStyle name="Normal 4 6 2" xfId="1229" xr:uid="{00000000-0005-0000-0000-000074040000}"/>
    <cellStyle name="Normal 4 7" xfId="1230" xr:uid="{00000000-0005-0000-0000-000075040000}"/>
    <cellStyle name="Normal 4 8" xfId="1231" xr:uid="{00000000-0005-0000-0000-000076040000}"/>
    <cellStyle name="Normal 4_R10513143" xfId="1232" xr:uid="{00000000-0005-0000-0000-000077040000}"/>
    <cellStyle name="Normal 5" xfId="20" xr:uid="{00000000-0005-0000-0000-000078040000}"/>
    <cellStyle name="Normal 5 2" xfId="1233" xr:uid="{00000000-0005-0000-0000-000079040000}"/>
    <cellStyle name="Normal 5 2 2" xfId="1234" xr:uid="{00000000-0005-0000-0000-00007A040000}"/>
    <cellStyle name="Normal 5 3" xfId="1235" xr:uid="{00000000-0005-0000-0000-00007B040000}"/>
    <cellStyle name="Normal 5 3 2" xfId="1236" xr:uid="{00000000-0005-0000-0000-00007C040000}"/>
    <cellStyle name="Normal 5 4" xfId="1237" xr:uid="{00000000-0005-0000-0000-00007D040000}"/>
    <cellStyle name="Normal 5 5" xfId="1238" xr:uid="{00000000-0005-0000-0000-00007E040000}"/>
    <cellStyle name="Normal 6" xfId="21" xr:uid="{00000000-0005-0000-0000-00007F040000}"/>
    <cellStyle name="Normal 6 2" xfId="1239" xr:uid="{00000000-0005-0000-0000-000080040000}"/>
    <cellStyle name="Normal 6 2 2" xfId="1240" xr:uid="{00000000-0005-0000-0000-000081040000}"/>
    <cellStyle name="Normal 6 3" xfId="1241" xr:uid="{00000000-0005-0000-0000-000082040000}"/>
    <cellStyle name="Normal 7" xfId="22" xr:uid="{00000000-0005-0000-0000-000083040000}"/>
    <cellStyle name="Normal 7 2" xfId="1242" xr:uid="{00000000-0005-0000-0000-000084040000}"/>
    <cellStyle name="Normal 7 2 2" xfId="1243" xr:uid="{00000000-0005-0000-0000-000085040000}"/>
    <cellStyle name="Normal 7 2 2 2" xfId="1244" xr:uid="{00000000-0005-0000-0000-000086040000}"/>
    <cellStyle name="Normal 7 3" xfId="1245" xr:uid="{00000000-0005-0000-0000-000087040000}"/>
    <cellStyle name="Normal 7 3 2" xfId="1246" xr:uid="{00000000-0005-0000-0000-000088040000}"/>
    <cellStyle name="Normal 7 4" xfId="1247" xr:uid="{00000000-0005-0000-0000-000089040000}"/>
    <cellStyle name="Normal 74" xfId="1349" xr:uid="{00000000-0005-0000-0000-00008A040000}"/>
    <cellStyle name="Normal 8" xfId="23" xr:uid="{00000000-0005-0000-0000-00008B040000}"/>
    <cellStyle name="Normal 8 2" xfId="1248" xr:uid="{00000000-0005-0000-0000-00008C040000}"/>
    <cellStyle name="Normal 8 2 2" xfId="1249" xr:uid="{00000000-0005-0000-0000-00008D040000}"/>
    <cellStyle name="Normal 8 3" xfId="1250" xr:uid="{00000000-0005-0000-0000-00008E040000}"/>
    <cellStyle name="Normal 9" xfId="24" xr:uid="{00000000-0005-0000-0000-00008F040000}"/>
    <cellStyle name="Normal 9 2" xfId="25" xr:uid="{00000000-0005-0000-0000-000090040000}"/>
    <cellStyle name="Normal 9 2 2" xfId="26" xr:uid="{00000000-0005-0000-0000-000091040000}"/>
    <cellStyle name="Normal 9 2 2 2" xfId="27" xr:uid="{00000000-0005-0000-0000-000092040000}"/>
    <cellStyle name="Normal 9 2 2 2 2" xfId="28" xr:uid="{00000000-0005-0000-0000-000093040000}"/>
    <cellStyle name="Normal 9 2 2 3" xfId="29" xr:uid="{00000000-0005-0000-0000-000094040000}"/>
    <cellStyle name="Normal 9 2 2 4" xfId="30" xr:uid="{00000000-0005-0000-0000-000095040000}"/>
    <cellStyle name="Normal 9 2 3" xfId="31" xr:uid="{00000000-0005-0000-0000-000096040000}"/>
    <cellStyle name="Normal 9 2 4" xfId="32" xr:uid="{00000000-0005-0000-0000-000097040000}"/>
    <cellStyle name="Normal 9 2 5" xfId="33" xr:uid="{00000000-0005-0000-0000-000098040000}"/>
    <cellStyle name="Normal 9 3" xfId="34" xr:uid="{00000000-0005-0000-0000-000099040000}"/>
    <cellStyle name="Normal 9 3 2" xfId="35" xr:uid="{00000000-0005-0000-0000-00009A040000}"/>
    <cellStyle name="Normal 9 3 2 2" xfId="36" xr:uid="{00000000-0005-0000-0000-00009B040000}"/>
    <cellStyle name="Normal 9 3 2 2 2" xfId="37" xr:uid="{00000000-0005-0000-0000-00009C040000}"/>
    <cellStyle name="Normal 9 3 2 3" xfId="38" xr:uid="{00000000-0005-0000-0000-00009D040000}"/>
    <cellStyle name="Normal 9 3 2 4" xfId="39" xr:uid="{00000000-0005-0000-0000-00009E040000}"/>
    <cellStyle name="Normal 9 3 3" xfId="40" xr:uid="{00000000-0005-0000-0000-00009F040000}"/>
    <cellStyle name="Normal 9 3 4" xfId="41" xr:uid="{00000000-0005-0000-0000-0000A0040000}"/>
    <cellStyle name="Normal 9 3 5" xfId="42" xr:uid="{00000000-0005-0000-0000-0000A1040000}"/>
    <cellStyle name="Normal 9 3 6" xfId="43" xr:uid="{00000000-0005-0000-0000-0000A2040000}"/>
    <cellStyle name="Normal 9 3 7" xfId="44" xr:uid="{00000000-0005-0000-0000-0000A3040000}"/>
    <cellStyle name="Normal 9 3 8" xfId="45" xr:uid="{00000000-0005-0000-0000-0000A4040000}"/>
    <cellStyle name="Normal 9 4" xfId="46" xr:uid="{00000000-0005-0000-0000-0000A5040000}"/>
    <cellStyle name="Note 10" xfId="1251" xr:uid="{00000000-0005-0000-0000-0000A6040000}"/>
    <cellStyle name="Note 10 2" xfId="1252" xr:uid="{00000000-0005-0000-0000-0000A7040000}"/>
    <cellStyle name="Note 10 3" xfId="1253" xr:uid="{00000000-0005-0000-0000-0000A8040000}"/>
    <cellStyle name="Note 11" xfId="1254" xr:uid="{00000000-0005-0000-0000-0000A9040000}"/>
    <cellStyle name="Note 11 2" xfId="1255" xr:uid="{00000000-0005-0000-0000-0000AA040000}"/>
    <cellStyle name="Note 11 3" xfId="1256" xr:uid="{00000000-0005-0000-0000-0000AB040000}"/>
    <cellStyle name="Note 12" xfId="1257" xr:uid="{00000000-0005-0000-0000-0000AC040000}"/>
    <cellStyle name="Note 12 2" xfId="1258" xr:uid="{00000000-0005-0000-0000-0000AD040000}"/>
    <cellStyle name="Note 12 3" xfId="1259" xr:uid="{00000000-0005-0000-0000-0000AE040000}"/>
    <cellStyle name="Note 13" xfId="1260" xr:uid="{00000000-0005-0000-0000-0000AF040000}"/>
    <cellStyle name="Note 13 2" xfId="1261" xr:uid="{00000000-0005-0000-0000-0000B0040000}"/>
    <cellStyle name="Note 13 3" xfId="1262" xr:uid="{00000000-0005-0000-0000-0000B1040000}"/>
    <cellStyle name="Note 14" xfId="1263" xr:uid="{00000000-0005-0000-0000-0000B2040000}"/>
    <cellStyle name="Note 14 2" xfId="1264" xr:uid="{00000000-0005-0000-0000-0000B3040000}"/>
    <cellStyle name="Note 14 3" xfId="1265" xr:uid="{00000000-0005-0000-0000-0000B4040000}"/>
    <cellStyle name="Note 15" xfId="1266" xr:uid="{00000000-0005-0000-0000-0000B5040000}"/>
    <cellStyle name="Note 15 2" xfId="1267" xr:uid="{00000000-0005-0000-0000-0000B6040000}"/>
    <cellStyle name="Note 15 3" xfId="1268" xr:uid="{00000000-0005-0000-0000-0000B7040000}"/>
    <cellStyle name="Note 16" xfId="1269" xr:uid="{00000000-0005-0000-0000-0000B8040000}"/>
    <cellStyle name="Note 16 2" xfId="1270" xr:uid="{00000000-0005-0000-0000-0000B9040000}"/>
    <cellStyle name="Note 16 3" xfId="1271" xr:uid="{00000000-0005-0000-0000-0000BA040000}"/>
    <cellStyle name="Note 17" xfId="1272" xr:uid="{00000000-0005-0000-0000-0000BB040000}"/>
    <cellStyle name="Note 17 2" xfId="1273" xr:uid="{00000000-0005-0000-0000-0000BC040000}"/>
    <cellStyle name="Note 17 3" xfId="1274" xr:uid="{00000000-0005-0000-0000-0000BD040000}"/>
    <cellStyle name="Note 18" xfId="1275" xr:uid="{00000000-0005-0000-0000-0000BE040000}"/>
    <cellStyle name="Note 18 2" xfId="1276" xr:uid="{00000000-0005-0000-0000-0000BF040000}"/>
    <cellStyle name="Note 18 3" xfId="1277" xr:uid="{00000000-0005-0000-0000-0000C0040000}"/>
    <cellStyle name="Note 19" xfId="1278" xr:uid="{00000000-0005-0000-0000-0000C1040000}"/>
    <cellStyle name="Note 19 2" xfId="1279" xr:uid="{00000000-0005-0000-0000-0000C2040000}"/>
    <cellStyle name="Note 19 3" xfId="1280" xr:uid="{00000000-0005-0000-0000-0000C3040000}"/>
    <cellStyle name="Note 2" xfId="216" xr:uid="{00000000-0005-0000-0000-0000C4040000}"/>
    <cellStyle name="Note 2 2" xfId="217" xr:uid="{00000000-0005-0000-0000-0000C5040000}"/>
    <cellStyle name="Note 2 2 2" xfId="218" xr:uid="{00000000-0005-0000-0000-0000C6040000}"/>
    <cellStyle name="Note 2 2 3" xfId="219" xr:uid="{00000000-0005-0000-0000-0000C7040000}"/>
    <cellStyle name="Note 2 2 4" xfId="220" xr:uid="{00000000-0005-0000-0000-0000C8040000}"/>
    <cellStyle name="Note 2 2 5" xfId="221" xr:uid="{00000000-0005-0000-0000-0000C9040000}"/>
    <cellStyle name="Note 2 2 6" xfId="222" xr:uid="{00000000-0005-0000-0000-0000CA040000}"/>
    <cellStyle name="Note 2 3" xfId="223" xr:uid="{00000000-0005-0000-0000-0000CB040000}"/>
    <cellStyle name="Note 2 4" xfId="224" xr:uid="{00000000-0005-0000-0000-0000CC040000}"/>
    <cellStyle name="Note 2 5" xfId="225" xr:uid="{00000000-0005-0000-0000-0000CD040000}"/>
    <cellStyle name="Note 2 6" xfId="226" xr:uid="{00000000-0005-0000-0000-0000CE040000}"/>
    <cellStyle name="Note 2 7" xfId="227" xr:uid="{00000000-0005-0000-0000-0000CF040000}"/>
    <cellStyle name="Note 20" xfId="1281" xr:uid="{00000000-0005-0000-0000-0000D0040000}"/>
    <cellStyle name="Note 20 2" xfId="1282" xr:uid="{00000000-0005-0000-0000-0000D1040000}"/>
    <cellStyle name="Note 20 3" xfId="1283" xr:uid="{00000000-0005-0000-0000-0000D2040000}"/>
    <cellStyle name="Note 21" xfId="1284" xr:uid="{00000000-0005-0000-0000-0000D3040000}"/>
    <cellStyle name="Note 21 2" xfId="1285" xr:uid="{00000000-0005-0000-0000-0000D4040000}"/>
    <cellStyle name="Note 21 3" xfId="1286" xr:uid="{00000000-0005-0000-0000-0000D5040000}"/>
    <cellStyle name="Note 22" xfId="1287" xr:uid="{00000000-0005-0000-0000-0000D6040000}"/>
    <cellStyle name="Note 22 2" xfId="1288" xr:uid="{00000000-0005-0000-0000-0000D7040000}"/>
    <cellStyle name="Note 22 3" xfId="1289" xr:uid="{00000000-0005-0000-0000-0000D8040000}"/>
    <cellStyle name="Note 23" xfId="1290" xr:uid="{00000000-0005-0000-0000-0000D9040000}"/>
    <cellStyle name="Note 23 2" xfId="1291" xr:uid="{00000000-0005-0000-0000-0000DA040000}"/>
    <cellStyle name="Note 23 3" xfId="1292" xr:uid="{00000000-0005-0000-0000-0000DB040000}"/>
    <cellStyle name="Note 24" xfId="1293" xr:uid="{00000000-0005-0000-0000-0000DC040000}"/>
    <cellStyle name="Note 24 2" xfId="1294" xr:uid="{00000000-0005-0000-0000-0000DD040000}"/>
    <cellStyle name="Note 24 3" xfId="1295" xr:uid="{00000000-0005-0000-0000-0000DE040000}"/>
    <cellStyle name="Note 25" xfId="1296" xr:uid="{00000000-0005-0000-0000-0000DF040000}"/>
    <cellStyle name="Note 25 2" xfId="1297" xr:uid="{00000000-0005-0000-0000-0000E0040000}"/>
    <cellStyle name="Note 26" xfId="1298" xr:uid="{00000000-0005-0000-0000-0000E1040000}"/>
    <cellStyle name="Note 26 2" xfId="1299" xr:uid="{00000000-0005-0000-0000-0000E2040000}"/>
    <cellStyle name="Note 3" xfId="228" xr:uid="{00000000-0005-0000-0000-0000E3040000}"/>
    <cellStyle name="Note 3 2" xfId="229" xr:uid="{00000000-0005-0000-0000-0000E4040000}"/>
    <cellStyle name="Note 3 2 2" xfId="1300" xr:uid="{00000000-0005-0000-0000-0000E5040000}"/>
    <cellStyle name="Note 3 2 2 2" xfId="1301" xr:uid="{00000000-0005-0000-0000-0000E6040000}"/>
    <cellStyle name="Note 3 2 3" xfId="1302" xr:uid="{00000000-0005-0000-0000-0000E7040000}"/>
    <cellStyle name="Note 3 2 4" xfId="1303" xr:uid="{00000000-0005-0000-0000-0000E8040000}"/>
    <cellStyle name="Note 3 3" xfId="230" xr:uid="{00000000-0005-0000-0000-0000E9040000}"/>
    <cellStyle name="Note 3 3 2" xfId="1304" xr:uid="{00000000-0005-0000-0000-0000EA040000}"/>
    <cellStyle name="Note 3 3 3" xfId="1305" xr:uid="{00000000-0005-0000-0000-0000EB040000}"/>
    <cellStyle name="Note 3 4" xfId="231" xr:uid="{00000000-0005-0000-0000-0000EC040000}"/>
    <cellStyle name="Note 3 4 2" xfId="1306" xr:uid="{00000000-0005-0000-0000-0000ED040000}"/>
    <cellStyle name="Note 3 4 3" xfId="1307" xr:uid="{00000000-0005-0000-0000-0000EE040000}"/>
    <cellStyle name="Note 3 5" xfId="232" xr:uid="{00000000-0005-0000-0000-0000EF040000}"/>
    <cellStyle name="Note 3 5 2" xfId="1308" xr:uid="{00000000-0005-0000-0000-0000F0040000}"/>
    <cellStyle name="Note 3 6" xfId="233" xr:uid="{00000000-0005-0000-0000-0000F1040000}"/>
    <cellStyle name="Note 3 7" xfId="1309" xr:uid="{00000000-0005-0000-0000-0000F2040000}"/>
    <cellStyle name="Note 4" xfId="1310" xr:uid="{00000000-0005-0000-0000-0000F3040000}"/>
    <cellStyle name="Note 4 2" xfId="1311" xr:uid="{00000000-0005-0000-0000-0000F4040000}"/>
    <cellStyle name="Note 4 2 2" xfId="1312" xr:uid="{00000000-0005-0000-0000-0000F5040000}"/>
    <cellStyle name="Note 4 2 3" xfId="1313" xr:uid="{00000000-0005-0000-0000-0000F6040000}"/>
    <cellStyle name="Note 4 3" xfId="1314" xr:uid="{00000000-0005-0000-0000-0000F7040000}"/>
    <cellStyle name="Note 4 4" xfId="1315" xr:uid="{00000000-0005-0000-0000-0000F8040000}"/>
    <cellStyle name="Note 5" xfId="1316" xr:uid="{00000000-0005-0000-0000-0000F9040000}"/>
    <cellStyle name="Note 5 2" xfId="1317" xr:uid="{00000000-0005-0000-0000-0000FA040000}"/>
    <cellStyle name="Note 5 2 2" xfId="1318" xr:uid="{00000000-0005-0000-0000-0000FB040000}"/>
    <cellStyle name="Note 5 2 3" xfId="1319" xr:uid="{00000000-0005-0000-0000-0000FC040000}"/>
    <cellStyle name="Note 5 3" xfId="1320" xr:uid="{00000000-0005-0000-0000-0000FD040000}"/>
    <cellStyle name="Note 5 4" xfId="1321" xr:uid="{00000000-0005-0000-0000-0000FE040000}"/>
    <cellStyle name="Note 6" xfId="1322" xr:uid="{00000000-0005-0000-0000-0000FF040000}"/>
    <cellStyle name="Note 6 2" xfId="1323" xr:uid="{00000000-0005-0000-0000-000000050000}"/>
    <cellStyle name="Note 6 2 2" xfId="1324" xr:uid="{00000000-0005-0000-0000-000001050000}"/>
    <cellStyle name="Note 6 2 3" xfId="1325" xr:uid="{00000000-0005-0000-0000-000002050000}"/>
    <cellStyle name="Note 6 3" xfId="1326" xr:uid="{00000000-0005-0000-0000-000003050000}"/>
    <cellStyle name="Note 6 4" xfId="1327" xr:uid="{00000000-0005-0000-0000-000004050000}"/>
    <cellStyle name="Note 7" xfId="1328" xr:uid="{00000000-0005-0000-0000-000005050000}"/>
    <cellStyle name="Note 7 2" xfId="1329" xr:uid="{00000000-0005-0000-0000-000006050000}"/>
    <cellStyle name="Note 7 2 2" xfId="1330" xr:uid="{00000000-0005-0000-0000-000007050000}"/>
    <cellStyle name="Note 7 2 3" xfId="1331" xr:uid="{00000000-0005-0000-0000-000008050000}"/>
    <cellStyle name="Note 7 3" xfId="1332" xr:uid="{00000000-0005-0000-0000-000009050000}"/>
    <cellStyle name="Note 7 4" xfId="1333" xr:uid="{00000000-0005-0000-0000-00000A050000}"/>
    <cellStyle name="Note 8" xfId="1334" xr:uid="{00000000-0005-0000-0000-00000B050000}"/>
    <cellStyle name="Note 8 2" xfId="1335" xr:uid="{00000000-0005-0000-0000-00000C050000}"/>
    <cellStyle name="Note 8 3" xfId="1336" xr:uid="{00000000-0005-0000-0000-00000D050000}"/>
    <cellStyle name="Note 9" xfId="1337" xr:uid="{00000000-0005-0000-0000-00000E050000}"/>
    <cellStyle name="Note 9 2" xfId="1338" xr:uid="{00000000-0005-0000-0000-00000F050000}"/>
    <cellStyle name="Note 9 3" xfId="1339" xr:uid="{00000000-0005-0000-0000-000010050000}"/>
    <cellStyle name="Output 2" xfId="234" xr:uid="{00000000-0005-0000-0000-000011050000}"/>
    <cellStyle name="Output 2 2" xfId="235" xr:uid="{00000000-0005-0000-0000-000012050000}"/>
    <cellStyle name="Output 2 2 2" xfId="236" xr:uid="{00000000-0005-0000-0000-000013050000}"/>
    <cellStyle name="Output 2 2 3" xfId="237" xr:uid="{00000000-0005-0000-0000-000014050000}"/>
    <cellStyle name="Output 2 2 4" xfId="238" xr:uid="{00000000-0005-0000-0000-000015050000}"/>
    <cellStyle name="Output 2 2 5" xfId="239" xr:uid="{00000000-0005-0000-0000-000016050000}"/>
    <cellStyle name="Output 2 2 6" xfId="240" xr:uid="{00000000-0005-0000-0000-000017050000}"/>
    <cellStyle name="Output 2 2 7" xfId="241" xr:uid="{00000000-0005-0000-0000-000018050000}"/>
    <cellStyle name="Output 2 3" xfId="242" xr:uid="{00000000-0005-0000-0000-000019050000}"/>
    <cellStyle name="Output 2 4" xfId="243" xr:uid="{00000000-0005-0000-0000-00001A050000}"/>
    <cellStyle name="Output 2 5" xfId="244" xr:uid="{00000000-0005-0000-0000-00001B050000}"/>
    <cellStyle name="Output 2 6" xfId="245" xr:uid="{00000000-0005-0000-0000-00001C050000}"/>
    <cellStyle name="Output 2 7" xfId="246" xr:uid="{00000000-0005-0000-0000-00001D050000}"/>
    <cellStyle name="Output 2 8" xfId="247" xr:uid="{00000000-0005-0000-0000-00001E050000}"/>
    <cellStyle name="Output 3" xfId="248" xr:uid="{00000000-0005-0000-0000-00001F050000}"/>
    <cellStyle name="Output 3 2" xfId="249" xr:uid="{00000000-0005-0000-0000-000020050000}"/>
    <cellStyle name="Output 3 2 2" xfId="1340" xr:uid="{00000000-0005-0000-0000-000021050000}"/>
    <cellStyle name="Output 3 3" xfId="250" xr:uid="{00000000-0005-0000-0000-000022050000}"/>
    <cellStyle name="Output 3 4" xfId="251" xr:uid="{00000000-0005-0000-0000-000023050000}"/>
    <cellStyle name="Output 3 5" xfId="252" xr:uid="{00000000-0005-0000-0000-000024050000}"/>
    <cellStyle name="Output 3 6" xfId="253" xr:uid="{00000000-0005-0000-0000-000025050000}"/>
    <cellStyle name="Output 3 7" xfId="254" xr:uid="{00000000-0005-0000-0000-000026050000}"/>
    <cellStyle name="Percent 2" xfId="255" xr:uid="{00000000-0005-0000-0000-000027050000}"/>
    <cellStyle name="Percent 2 2" xfId="256" xr:uid="{00000000-0005-0000-0000-000028050000}"/>
    <cellStyle name="Percent 3" xfId="257" xr:uid="{00000000-0005-0000-0000-000029050000}"/>
    <cellStyle name="Percent 4" xfId="258" xr:uid="{00000000-0005-0000-0000-00002A050000}"/>
    <cellStyle name="Title 2" xfId="259" xr:uid="{00000000-0005-0000-0000-00002B050000}"/>
    <cellStyle name="Title 2 2" xfId="260" xr:uid="{00000000-0005-0000-0000-00002C050000}"/>
    <cellStyle name="Title 3" xfId="261" xr:uid="{00000000-0005-0000-0000-00002D050000}"/>
    <cellStyle name="Title 3 2" xfId="1341" xr:uid="{00000000-0005-0000-0000-00002E050000}"/>
    <cellStyle name="Title 3 3" xfId="1342" xr:uid="{00000000-0005-0000-0000-00002F050000}"/>
    <cellStyle name="Total 2" xfId="262" xr:uid="{00000000-0005-0000-0000-000030050000}"/>
    <cellStyle name="Total 2 2" xfId="263" xr:uid="{00000000-0005-0000-0000-000031050000}"/>
    <cellStyle name="Total 2 2 2" xfId="264" xr:uid="{00000000-0005-0000-0000-000032050000}"/>
    <cellStyle name="Total 2 2 3" xfId="265" xr:uid="{00000000-0005-0000-0000-000033050000}"/>
    <cellStyle name="Total 2 2 4" xfId="266" xr:uid="{00000000-0005-0000-0000-000034050000}"/>
    <cellStyle name="Total 2 2 5" xfId="267" xr:uid="{00000000-0005-0000-0000-000035050000}"/>
    <cellStyle name="Total 2 2 6" xfId="268" xr:uid="{00000000-0005-0000-0000-000036050000}"/>
    <cellStyle name="Total 2 2 7" xfId="269" xr:uid="{00000000-0005-0000-0000-000037050000}"/>
    <cellStyle name="Total 2 3" xfId="270" xr:uid="{00000000-0005-0000-0000-000038050000}"/>
    <cellStyle name="Total 2 4" xfId="271" xr:uid="{00000000-0005-0000-0000-000039050000}"/>
    <cellStyle name="Total 2 5" xfId="272" xr:uid="{00000000-0005-0000-0000-00003A050000}"/>
    <cellStyle name="Total 2 6" xfId="273" xr:uid="{00000000-0005-0000-0000-00003B050000}"/>
    <cellStyle name="Total 2 7" xfId="274" xr:uid="{00000000-0005-0000-0000-00003C050000}"/>
    <cellStyle name="Total 2 8" xfId="275" xr:uid="{00000000-0005-0000-0000-00003D050000}"/>
    <cellStyle name="Total 3" xfId="276" xr:uid="{00000000-0005-0000-0000-00003E050000}"/>
    <cellStyle name="Total 3 2" xfId="277" xr:uid="{00000000-0005-0000-0000-00003F050000}"/>
    <cellStyle name="Total 3 2 2" xfId="1343" xr:uid="{00000000-0005-0000-0000-000040050000}"/>
    <cellStyle name="Total 3 3" xfId="278" xr:uid="{00000000-0005-0000-0000-000041050000}"/>
    <cellStyle name="Total 3 4" xfId="279" xr:uid="{00000000-0005-0000-0000-000042050000}"/>
    <cellStyle name="Total 3 5" xfId="280" xr:uid="{00000000-0005-0000-0000-000043050000}"/>
    <cellStyle name="Total 3 6" xfId="281" xr:uid="{00000000-0005-0000-0000-000044050000}"/>
    <cellStyle name="Total 3 7" xfId="282" xr:uid="{00000000-0005-0000-0000-000045050000}"/>
    <cellStyle name="Warning Text 2" xfId="283" xr:uid="{00000000-0005-0000-0000-000046050000}"/>
    <cellStyle name="Warning Text 2 2" xfId="284" xr:uid="{00000000-0005-0000-0000-000047050000}"/>
    <cellStyle name="Warning Text 3" xfId="285" xr:uid="{00000000-0005-0000-0000-000048050000}"/>
  </cellStyles>
  <dxfs count="7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theme="0" tint="-0.14999847407452621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theme="0" tint="-0.14999847407452621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theme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7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theme="0" tint="-0.14999847407452621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solid">
          <fgColor theme="0" tint="-0.14999847407452621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theme="0" tint="-0.14999847407452621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theme="0" tint="-0.14999847407452621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7" formatCode="&quot;$&quot;#,##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7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theme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theme="0" tint="-0.14999847407452621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&quot;$&quot;#,##0.00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7" formatCode="&quot;$&quot;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$&quot;#,##0.00"/>
      <fill>
        <patternFill>
          <bgColor rgb="FFFFFF00"/>
        </patternFill>
      </fill>
      <border outline="0">
        <right style="thin">
          <color indexed="64"/>
        </right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numFmt numFmtId="0" formatCode="General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ck">
          <color auto="1"/>
        </bottom>
      </border>
    </dxf>
    <dxf>
      <border diagonalUp="0" diagonalDown="0">
        <left/>
        <right/>
        <top/>
        <bottom/>
        <vertical/>
        <horizontal/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Light1" defaultPivotStyle="PivotStyleLight16">
    <tableStyle name="Main - Simple" pivot="0" count="3" xr9:uid="{00000000-0011-0000-FFFF-FFFF00000000}">
      <tableStyleElement type="wholeTable" dxfId="792"/>
      <tableStyleElement type="headerRow" dxfId="791"/>
      <tableStyleElement type="firstRowStripe" dxfId="790"/>
    </tableStyle>
    <tableStyle name="Table Style 1" pivot="0" count="2" xr9:uid="{00000000-0011-0000-FFFF-FFFF01000000}">
      <tableStyleElement type="wholeTable" dxfId="789"/>
      <tableStyleElement type="headerRow" dxfId="78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ustomXml" Target="../customXml/item3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ottske\Desktop\LRIP%207%20Update\Master%20Combined%20LRIP%20Requiremen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calhost\C$\Users\pottske\Desktop\LRIP%207%20Update\Master%20Combined%20LRIP%20Require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Details"/>
      <sheetName val="Stand-Up_Plus-Up Details"/>
      <sheetName val="Master SEID List - Everything"/>
      <sheetName val="All Lists_Current BOI+IOPs"/>
      <sheetName val="Current Total Rqd by SQDN"/>
      <sheetName val="LRIP 1(W) - 080113"/>
      <sheetName val="LRIP 2(W) 080113"/>
      <sheetName val="LRIP 3(W) 080113"/>
      <sheetName val="LRIP 4(W) 080113"/>
      <sheetName val="FY11(W) 082813"/>
      <sheetName val="FY11 PPE(W) 080113"/>
      <sheetName val="FY12(W) 082813"/>
      <sheetName val="LRIP 7"/>
      <sheetName val="Beaufort VMFAT501 Transfer List"/>
      <sheetName val="BF-CF SE xFer_Buy"/>
      <sheetName val="FY11 Annex C"/>
      <sheetName val="FY12 Annex C"/>
      <sheetName val="LRIP 7 Annex C - Jun13"/>
      <sheetName val="FH Ops LRIP 7"/>
      <sheetName val="2013 BedDow Layin Codes "/>
      <sheetName val="DD250 Decoder"/>
    </sheetNames>
    <sheetDataSet>
      <sheetData sheetId="0"/>
      <sheetData sheetId="1"/>
      <sheetData sheetId="2"/>
      <sheetData sheetId="3"/>
      <sheetData sheetId="4">
        <row r="2">
          <cell r="A2" t="str">
            <v>A00001</v>
          </cell>
          <cell r="B2">
            <v>72</v>
          </cell>
          <cell r="C2">
            <v>18</v>
          </cell>
          <cell r="D2">
            <v>18</v>
          </cell>
          <cell r="E2">
            <v>36</v>
          </cell>
          <cell r="F2">
            <v>72</v>
          </cell>
          <cell r="G2">
            <v>42</v>
          </cell>
          <cell r="H2">
            <v>57</v>
          </cell>
          <cell r="I2">
            <v>72</v>
          </cell>
          <cell r="J2">
            <v>3</v>
          </cell>
          <cell r="K2">
            <v>69</v>
          </cell>
          <cell r="L2">
            <v>48</v>
          </cell>
          <cell r="M2">
            <v>48</v>
          </cell>
          <cell r="N2">
            <v>12</v>
          </cell>
          <cell r="O2">
            <v>9</v>
          </cell>
          <cell r="P2">
            <v>0</v>
          </cell>
          <cell r="Q2">
            <v>15</v>
          </cell>
          <cell r="R2">
            <v>63</v>
          </cell>
          <cell r="S2">
            <v>30</v>
          </cell>
          <cell r="T2">
            <v>0</v>
          </cell>
          <cell r="U2">
            <v>6</v>
          </cell>
        </row>
        <row r="3">
          <cell r="A3" t="str">
            <v>A00002</v>
          </cell>
          <cell r="B3">
            <v>24</v>
          </cell>
          <cell r="C3">
            <v>6</v>
          </cell>
          <cell r="D3">
            <v>6</v>
          </cell>
          <cell r="E3">
            <v>12</v>
          </cell>
          <cell r="F3">
            <v>24</v>
          </cell>
          <cell r="G3">
            <v>14</v>
          </cell>
          <cell r="H3">
            <v>19</v>
          </cell>
          <cell r="I3">
            <v>24</v>
          </cell>
          <cell r="J3">
            <v>1</v>
          </cell>
          <cell r="K3">
            <v>23</v>
          </cell>
          <cell r="L3">
            <v>16</v>
          </cell>
          <cell r="M3">
            <v>16</v>
          </cell>
          <cell r="N3">
            <v>4</v>
          </cell>
          <cell r="O3">
            <v>3</v>
          </cell>
          <cell r="P3">
            <v>0</v>
          </cell>
          <cell r="Q3">
            <v>5</v>
          </cell>
          <cell r="R3">
            <v>21</v>
          </cell>
          <cell r="S3">
            <v>10</v>
          </cell>
          <cell r="T3">
            <v>0</v>
          </cell>
          <cell r="U3">
            <v>2</v>
          </cell>
        </row>
        <row r="4">
          <cell r="A4" t="str">
            <v>A00003</v>
          </cell>
          <cell r="B4">
            <v>24</v>
          </cell>
          <cell r="C4">
            <v>6</v>
          </cell>
          <cell r="D4">
            <v>6</v>
          </cell>
          <cell r="E4">
            <v>12</v>
          </cell>
          <cell r="F4">
            <v>24</v>
          </cell>
          <cell r="G4">
            <v>14</v>
          </cell>
          <cell r="H4">
            <v>0</v>
          </cell>
          <cell r="I4">
            <v>24</v>
          </cell>
          <cell r="J4">
            <v>1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2</v>
          </cell>
        </row>
        <row r="5">
          <cell r="A5" t="str">
            <v>A00004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5</v>
          </cell>
          <cell r="R5">
            <v>21</v>
          </cell>
          <cell r="S5">
            <v>10</v>
          </cell>
          <cell r="T5">
            <v>0</v>
          </cell>
          <cell r="U5">
            <v>0</v>
          </cell>
        </row>
        <row r="6">
          <cell r="A6" t="str">
            <v>A00005</v>
          </cell>
          <cell r="B6">
            <v>24</v>
          </cell>
          <cell r="C6">
            <v>6</v>
          </cell>
          <cell r="D6">
            <v>6</v>
          </cell>
          <cell r="E6">
            <v>12</v>
          </cell>
          <cell r="F6">
            <v>24</v>
          </cell>
          <cell r="G6">
            <v>14</v>
          </cell>
          <cell r="H6">
            <v>19</v>
          </cell>
          <cell r="I6">
            <v>24</v>
          </cell>
          <cell r="J6">
            <v>1</v>
          </cell>
          <cell r="K6">
            <v>23</v>
          </cell>
          <cell r="L6">
            <v>16</v>
          </cell>
          <cell r="M6">
            <v>16</v>
          </cell>
          <cell r="N6">
            <v>4</v>
          </cell>
          <cell r="O6">
            <v>3</v>
          </cell>
          <cell r="P6">
            <v>0</v>
          </cell>
          <cell r="Q6">
            <v>5</v>
          </cell>
          <cell r="R6">
            <v>21</v>
          </cell>
          <cell r="S6">
            <v>10</v>
          </cell>
          <cell r="T6">
            <v>0</v>
          </cell>
          <cell r="U6">
            <v>2</v>
          </cell>
        </row>
        <row r="7">
          <cell r="A7" t="str">
            <v>A00008</v>
          </cell>
          <cell r="B7">
            <v>24</v>
          </cell>
          <cell r="C7">
            <v>6</v>
          </cell>
          <cell r="D7">
            <v>6</v>
          </cell>
          <cell r="E7">
            <v>12</v>
          </cell>
          <cell r="F7">
            <v>24</v>
          </cell>
          <cell r="G7">
            <v>14</v>
          </cell>
          <cell r="H7">
            <v>0</v>
          </cell>
          <cell r="I7">
            <v>24</v>
          </cell>
          <cell r="J7">
            <v>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5</v>
          </cell>
          <cell r="R7">
            <v>21</v>
          </cell>
          <cell r="S7">
            <v>10</v>
          </cell>
          <cell r="T7">
            <v>0</v>
          </cell>
          <cell r="U7">
            <v>2</v>
          </cell>
        </row>
        <row r="8">
          <cell r="A8" t="str">
            <v>A00008B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19</v>
          </cell>
          <cell r="I8">
            <v>0</v>
          </cell>
          <cell r="J8">
            <v>0</v>
          </cell>
          <cell r="K8">
            <v>23</v>
          </cell>
          <cell r="L8">
            <v>16</v>
          </cell>
          <cell r="M8">
            <v>16</v>
          </cell>
          <cell r="N8">
            <v>4</v>
          </cell>
          <cell r="O8">
            <v>3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A00009</v>
          </cell>
          <cell r="B9">
            <v>24</v>
          </cell>
          <cell r="C9">
            <v>6</v>
          </cell>
          <cell r="D9">
            <v>6</v>
          </cell>
          <cell r="E9">
            <v>12</v>
          </cell>
          <cell r="F9">
            <v>24</v>
          </cell>
          <cell r="G9">
            <v>14</v>
          </cell>
          <cell r="H9">
            <v>19</v>
          </cell>
          <cell r="I9">
            <v>24</v>
          </cell>
          <cell r="J9">
            <v>1</v>
          </cell>
          <cell r="K9">
            <v>23</v>
          </cell>
          <cell r="L9">
            <v>16</v>
          </cell>
          <cell r="M9">
            <v>16</v>
          </cell>
          <cell r="N9">
            <v>4</v>
          </cell>
          <cell r="O9">
            <v>3</v>
          </cell>
          <cell r="P9">
            <v>0</v>
          </cell>
          <cell r="Q9">
            <v>5</v>
          </cell>
          <cell r="R9">
            <v>21</v>
          </cell>
          <cell r="S9">
            <v>10</v>
          </cell>
          <cell r="T9">
            <v>0</v>
          </cell>
          <cell r="U9">
            <v>2</v>
          </cell>
        </row>
        <row r="10">
          <cell r="A10" t="str">
            <v>A00011</v>
          </cell>
          <cell r="B10">
            <v>24</v>
          </cell>
          <cell r="C10">
            <v>6</v>
          </cell>
          <cell r="D10">
            <v>6</v>
          </cell>
          <cell r="E10">
            <v>12</v>
          </cell>
          <cell r="F10">
            <v>24</v>
          </cell>
          <cell r="G10">
            <v>14</v>
          </cell>
          <cell r="H10">
            <v>19</v>
          </cell>
          <cell r="I10">
            <v>24</v>
          </cell>
          <cell r="J10">
            <v>1</v>
          </cell>
          <cell r="K10">
            <v>23</v>
          </cell>
          <cell r="L10">
            <v>16</v>
          </cell>
          <cell r="M10">
            <v>16</v>
          </cell>
          <cell r="N10">
            <v>4</v>
          </cell>
          <cell r="O10">
            <v>3</v>
          </cell>
          <cell r="P10">
            <v>0</v>
          </cell>
          <cell r="Q10">
            <v>5</v>
          </cell>
          <cell r="R10">
            <v>21</v>
          </cell>
          <cell r="S10">
            <v>10</v>
          </cell>
          <cell r="T10">
            <v>0</v>
          </cell>
          <cell r="U10">
            <v>2</v>
          </cell>
        </row>
        <row r="11">
          <cell r="A11" t="str">
            <v>A00013</v>
          </cell>
          <cell r="B11">
            <v>24</v>
          </cell>
          <cell r="C11">
            <v>6</v>
          </cell>
          <cell r="D11">
            <v>6</v>
          </cell>
          <cell r="E11">
            <v>12</v>
          </cell>
          <cell r="F11">
            <v>24</v>
          </cell>
          <cell r="G11">
            <v>14</v>
          </cell>
          <cell r="H11">
            <v>0</v>
          </cell>
          <cell r="I11">
            <v>24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5</v>
          </cell>
          <cell r="R11">
            <v>21</v>
          </cell>
          <cell r="S11">
            <v>10</v>
          </cell>
          <cell r="T11">
            <v>0</v>
          </cell>
          <cell r="U11">
            <v>2</v>
          </cell>
        </row>
        <row r="12">
          <cell r="A12" t="str">
            <v>A00013B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19</v>
          </cell>
          <cell r="I12">
            <v>0</v>
          </cell>
          <cell r="J12">
            <v>0</v>
          </cell>
          <cell r="K12">
            <v>23</v>
          </cell>
          <cell r="L12">
            <v>16</v>
          </cell>
          <cell r="M12">
            <v>16</v>
          </cell>
          <cell r="N12">
            <v>4</v>
          </cell>
          <cell r="O12">
            <v>3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 t="str">
            <v>A00014</v>
          </cell>
          <cell r="B13">
            <v>24</v>
          </cell>
          <cell r="C13">
            <v>6</v>
          </cell>
          <cell r="D13">
            <v>6</v>
          </cell>
          <cell r="E13">
            <v>12</v>
          </cell>
          <cell r="F13">
            <v>24</v>
          </cell>
          <cell r="G13">
            <v>14</v>
          </cell>
          <cell r="H13">
            <v>19</v>
          </cell>
          <cell r="I13">
            <v>24</v>
          </cell>
          <cell r="J13">
            <v>1</v>
          </cell>
          <cell r="K13">
            <v>23</v>
          </cell>
          <cell r="L13">
            <v>16</v>
          </cell>
          <cell r="M13">
            <v>16</v>
          </cell>
          <cell r="N13">
            <v>4</v>
          </cell>
          <cell r="O13">
            <v>3</v>
          </cell>
          <cell r="P13">
            <v>0</v>
          </cell>
          <cell r="Q13">
            <v>5</v>
          </cell>
          <cell r="R13">
            <v>21</v>
          </cell>
          <cell r="S13">
            <v>10</v>
          </cell>
          <cell r="T13">
            <v>0</v>
          </cell>
          <cell r="U13">
            <v>2</v>
          </cell>
        </row>
        <row r="14">
          <cell r="A14" t="str">
            <v>A00015C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5</v>
          </cell>
          <cell r="R14">
            <v>21</v>
          </cell>
          <cell r="S14">
            <v>10</v>
          </cell>
          <cell r="T14">
            <v>0</v>
          </cell>
          <cell r="U14">
            <v>0</v>
          </cell>
        </row>
        <row r="15">
          <cell r="A15" t="str">
            <v>A00016</v>
          </cell>
          <cell r="B15">
            <v>24</v>
          </cell>
          <cell r="C15">
            <v>6</v>
          </cell>
          <cell r="D15">
            <v>6</v>
          </cell>
          <cell r="E15">
            <v>12</v>
          </cell>
          <cell r="F15">
            <v>24</v>
          </cell>
          <cell r="G15">
            <v>14</v>
          </cell>
          <cell r="H15">
            <v>19</v>
          </cell>
          <cell r="I15">
            <v>24</v>
          </cell>
          <cell r="J15">
            <v>1</v>
          </cell>
          <cell r="K15">
            <v>23</v>
          </cell>
          <cell r="L15">
            <v>16</v>
          </cell>
          <cell r="M15">
            <v>16</v>
          </cell>
          <cell r="N15">
            <v>4</v>
          </cell>
          <cell r="O15">
            <v>3</v>
          </cell>
          <cell r="P15">
            <v>0</v>
          </cell>
          <cell r="Q15">
            <v>5</v>
          </cell>
          <cell r="R15">
            <v>21</v>
          </cell>
          <cell r="S15">
            <v>10</v>
          </cell>
          <cell r="T15">
            <v>0</v>
          </cell>
          <cell r="U15">
            <v>2</v>
          </cell>
        </row>
        <row r="16">
          <cell r="A16" t="str">
            <v>A00017</v>
          </cell>
          <cell r="B16">
            <v>24</v>
          </cell>
          <cell r="C16">
            <v>6</v>
          </cell>
          <cell r="D16">
            <v>6</v>
          </cell>
          <cell r="E16">
            <v>12</v>
          </cell>
          <cell r="F16">
            <v>24</v>
          </cell>
          <cell r="G16">
            <v>14</v>
          </cell>
          <cell r="H16">
            <v>19</v>
          </cell>
          <cell r="I16">
            <v>24</v>
          </cell>
          <cell r="J16">
            <v>1</v>
          </cell>
          <cell r="K16">
            <v>23</v>
          </cell>
          <cell r="L16">
            <v>16</v>
          </cell>
          <cell r="M16">
            <v>16</v>
          </cell>
          <cell r="N16">
            <v>4</v>
          </cell>
          <cell r="O16">
            <v>3</v>
          </cell>
          <cell r="P16">
            <v>0</v>
          </cell>
          <cell r="Q16">
            <v>5</v>
          </cell>
          <cell r="R16">
            <v>21</v>
          </cell>
          <cell r="S16">
            <v>10</v>
          </cell>
          <cell r="T16">
            <v>0</v>
          </cell>
          <cell r="U16">
            <v>2</v>
          </cell>
        </row>
        <row r="17">
          <cell r="A17" t="str">
            <v>A00018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19</v>
          </cell>
          <cell r="I17">
            <v>0</v>
          </cell>
          <cell r="J17">
            <v>0</v>
          </cell>
          <cell r="K17">
            <v>23</v>
          </cell>
          <cell r="L17">
            <v>16</v>
          </cell>
          <cell r="M17">
            <v>16</v>
          </cell>
          <cell r="N17">
            <v>4</v>
          </cell>
          <cell r="O17">
            <v>3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J00005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 t="str">
            <v>J00006</v>
          </cell>
          <cell r="B19">
            <v>36</v>
          </cell>
          <cell r="C19">
            <v>9</v>
          </cell>
          <cell r="D19">
            <v>9</v>
          </cell>
          <cell r="E19">
            <v>18</v>
          </cell>
          <cell r="F19">
            <v>36</v>
          </cell>
          <cell r="G19">
            <v>21</v>
          </cell>
          <cell r="H19">
            <v>29</v>
          </cell>
          <cell r="I19">
            <v>36</v>
          </cell>
          <cell r="J19">
            <v>2</v>
          </cell>
          <cell r="K19">
            <v>35</v>
          </cell>
          <cell r="L19">
            <v>24</v>
          </cell>
          <cell r="M19">
            <v>24</v>
          </cell>
          <cell r="N19">
            <v>6</v>
          </cell>
          <cell r="O19">
            <v>5</v>
          </cell>
          <cell r="P19">
            <v>0</v>
          </cell>
          <cell r="Q19">
            <v>8</v>
          </cell>
          <cell r="R19">
            <v>32</v>
          </cell>
          <cell r="S19">
            <v>15</v>
          </cell>
          <cell r="T19">
            <v>0</v>
          </cell>
          <cell r="U19">
            <v>3</v>
          </cell>
        </row>
        <row r="20">
          <cell r="A20" t="str">
            <v>J00007</v>
          </cell>
          <cell r="B20">
            <v>2</v>
          </cell>
          <cell r="C20">
            <v>2</v>
          </cell>
          <cell r="D20">
            <v>2</v>
          </cell>
          <cell r="E20">
            <v>2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</row>
        <row r="21">
          <cell r="A21" t="str">
            <v>J00008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3</v>
          </cell>
          <cell r="Q21">
            <v>0</v>
          </cell>
          <cell r="R21">
            <v>0</v>
          </cell>
          <cell r="S21">
            <v>0</v>
          </cell>
          <cell r="T21">
            <v>3</v>
          </cell>
          <cell r="U21">
            <v>0</v>
          </cell>
        </row>
        <row r="22">
          <cell r="A22" t="str">
            <v>J00009</v>
          </cell>
          <cell r="B22">
            <v>5</v>
          </cell>
          <cell r="C22">
            <v>2</v>
          </cell>
          <cell r="D22">
            <v>2</v>
          </cell>
          <cell r="E22">
            <v>2</v>
          </cell>
          <cell r="F22">
            <v>5</v>
          </cell>
          <cell r="G22">
            <v>3</v>
          </cell>
          <cell r="H22">
            <v>7</v>
          </cell>
          <cell r="I22">
            <v>5</v>
          </cell>
          <cell r="J22">
            <v>2</v>
          </cell>
          <cell r="K22">
            <v>8</v>
          </cell>
          <cell r="L22">
            <v>6</v>
          </cell>
          <cell r="M22">
            <v>5</v>
          </cell>
          <cell r="N22">
            <v>3</v>
          </cell>
          <cell r="O22">
            <v>1</v>
          </cell>
          <cell r="P22">
            <v>0</v>
          </cell>
          <cell r="Q22">
            <v>3</v>
          </cell>
          <cell r="R22">
            <v>8</v>
          </cell>
          <cell r="S22">
            <v>4</v>
          </cell>
          <cell r="T22">
            <v>0</v>
          </cell>
          <cell r="U22">
            <v>1</v>
          </cell>
        </row>
        <row r="23">
          <cell r="A23" t="str">
            <v>J00010</v>
          </cell>
          <cell r="B23">
            <v>5</v>
          </cell>
          <cell r="C23">
            <v>2</v>
          </cell>
          <cell r="D23">
            <v>2</v>
          </cell>
          <cell r="E23">
            <v>2</v>
          </cell>
          <cell r="F23">
            <v>5</v>
          </cell>
          <cell r="G23">
            <v>3</v>
          </cell>
          <cell r="H23">
            <v>5</v>
          </cell>
          <cell r="I23">
            <v>5</v>
          </cell>
          <cell r="J23">
            <v>2</v>
          </cell>
          <cell r="K23">
            <v>5</v>
          </cell>
          <cell r="L23">
            <v>4</v>
          </cell>
          <cell r="M23">
            <v>3</v>
          </cell>
          <cell r="N23">
            <v>2</v>
          </cell>
          <cell r="O23">
            <v>1</v>
          </cell>
          <cell r="P23">
            <v>2</v>
          </cell>
          <cell r="Q23">
            <v>2</v>
          </cell>
          <cell r="R23">
            <v>5</v>
          </cell>
          <cell r="S23">
            <v>3</v>
          </cell>
          <cell r="T23">
            <v>2</v>
          </cell>
          <cell r="U23">
            <v>1</v>
          </cell>
        </row>
        <row r="24">
          <cell r="A24" t="str">
            <v>J00011</v>
          </cell>
          <cell r="B24">
            <v>3</v>
          </cell>
          <cell r="C24">
            <v>2</v>
          </cell>
          <cell r="D24">
            <v>2</v>
          </cell>
          <cell r="E24">
            <v>1</v>
          </cell>
          <cell r="F24">
            <v>3</v>
          </cell>
          <cell r="G24">
            <v>2</v>
          </cell>
          <cell r="H24">
            <v>3</v>
          </cell>
          <cell r="I24">
            <v>3</v>
          </cell>
          <cell r="J24">
            <v>2</v>
          </cell>
          <cell r="K24">
            <v>3</v>
          </cell>
          <cell r="L24">
            <v>3</v>
          </cell>
          <cell r="M24">
            <v>2</v>
          </cell>
          <cell r="N24">
            <v>2</v>
          </cell>
          <cell r="O24">
            <v>1</v>
          </cell>
          <cell r="P24">
            <v>0</v>
          </cell>
          <cell r="Q24">
            <v>2</v>
          </cell>
          <cell r="R24">
            <v>4</v>
          </cell>
          <cell r="S24">
            <v>2</v>
          </cell>
          <cell r="T24">
            <v>0</v>
          </cell>
          <cell r="U24">
            <v>1</v>
          </cell>
        </row>
        <row r="25">
          <cell r="A25" t="str">
            <v>J00012</v>
          </cell>
          <cell r="B25">
            <v>3</v>
          </cell>
          <cell r="C25">
            <v>2</v>
          </cell>
          <cell r="D25">
            <v>2</v>
          </cell>
          <cell r="E25">
            <v>1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3</v>
          </cell>
          <cell r="L25">
            <v>3</v>
          </cell>
          <cell r="M25">
            <v>2</v>
          </cell>
          <cell r="N25">
            <v>2</v>
          </cell>
          <cell r="O25">
            <v>1</v>
          </cell>
          <cell r="P25">
            <v>2</v>
          </cell>
          <cell r="Q25">
            <v>2</v>
          </cell>
          <cell r="R25">
            <v>4</v>
          </cell>
          <cell r="S25">
            <v>2</v>
          </cell>
          <cell r="T25">
            <v>2</v>
          </cell>
          <cell r="U25">
            <v>1</v>
          </cell>
        </row>
        <row r="26">
          <cell r="A26" t="str">
            <v>J00013</v>
          </cell>
          <cell r="B26">
            <v>5</v>
          </cell>
          <cell r="C26">
            <v>2</v>
          </cell>
          <cell r="D26">
            <v>2</v>
          </cell>
          <cell r="E26">
            <v>2</v>
          </cell>
          <cell r="F26">
            <v>5</v>
          </cell>
          <cell r="G26">
            <v>3</v>
          </cell>
          <cell r="H26">
            <v>5</v>
          </cell>
          <cell r="I26">
            <v>5</v>
          </cell>
          <cell r="J26">
            <v>2</v>
          </cell>
          <cell r="K26">
            <v>5</v>
          </cell>
          <cell r="L26">
            <v>4</v>
          </cell>
          <cell r="M26">
            <v>3</v>
          </cell>
          <cell r="N26">
            <v>2</v>
          </cell>
          <cell r="O26">
            <v>1</v>
          </cell>
          <cell r="P26">
            <v>0</v>
          </cell>
          <cell r="Q26">
            <v>2</v>
          </cell>
          <cell r="R26">
            <v>5</v>
          </cell>
          <cell r="S26">
            <v>3</v>
          </cell>
          <cell r="T26">
            <v>0</v>
          </cell>
          <cell r="U26">
            <v>1</v>
          </cell>
        </row>
        <row r="27">
          <cell r="A27" t="str">
            <v>J00013-W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J00014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 t="str">
            <v>J00016</v>
          </cell>
          <cell r="B29">
            <v>3</v>
          </cell>
          <cell r="C29">
            <v>3</v>
          </cell>
          <cell r="D29">
            <v>3</v>
          </cell>
          <cell r="E29">
            <v>3</v>
          </cell>
          <cell r="F29">
            <v>3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3</v>
          </cell>
          <cell r="M29">
            <v>3</v>
          </cell>
          <cell r="N29">
            <v>3</v>
          </cell>
          <cell r="O29">
            <v>3</v>
          </cell>
          <cell r="P29">
            <v>2</v>
          </cell>
          <cell r="Q29">
            <v>3</v>
          </cell>
          <cell r="R29">
            <v>3</v>
          </cell>
          <cell r="S29">
            <v>3</v>
          </cell>
          <cell r="T29">
            <v>2</v>
          </cell>
          <cell r="U29">
            <v>3</v>
          </cell>
        </row>
        <row r="30">
          <cell r="A30" t="str">
            <v>J00017</v>
          </cell>
          <cell r="B30">
            <v>2</v>
          </cell>
          <cell r="C30">
            <v>2</v>
          </cell>
          <cell r="D30">
            <v>2</v>
          </cell>
          <cell r="E30">
            <v>0</v>
          </cell>
          <cell r="F30">
            <v>2</v>
          </cell>
          <cell r="G30">
            <v>0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  <cell r="L30">
            <v>2</v>
          </cell>
          <cell r="M30">
            <v>0</v>
          </cell>
          <cell r="N30">
            <v>2</v>
          </cell>
          <cell r="O30">
            <v>0</v>
          </cell>
          <cell r="P30">
            <v>1</v>
          </cell>
          <cell r="Q30">
            <v>3</v>
          </cell>
          <cell r="R30">
            <v>3</v>
          </cell>
          <cell r="S30">
            <v>3</v>
          </cell>
          <cell r="T30">
            <v>1</v>
          </cell>
          <cell r="U30">
            <v>0</v>
          </cell>
        </row>
        <row r="31">
          <cell r="A31" t="str">
            <v>J00019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646</v>
          </cell>
          <cell r="I31">
            <v>0</v>
          </cell>
          <cell r="J31">
            <v>0</v>
          </cell>
          <cell r="K31">
            <v>782</v>
          </cell>
          <cell r="L31">
            <v>544</v>
          </cell>
          <cell r="M31">
            <v>544</v>
          </cell>
          <cell r="N31">
            <v>0</v>
          </cell>
          <cell r="O31">
            <v>0</v>
          </cell>
          <cell r="P31">
            <v>0</v>
          </cell>
          <cell r="Q31">
            <v>210</v>
          </cell>
          <cell r="R31">
            <v>882</v>
          </cell>
          <cell r="S31">
            <v>420</v>
          </cell>
          <cell r="T31">
            <v>0</v>
          </cell>
          <cell r="U31">
            <v>0</v>
          </cell>
        </row>
        <row r="32">
          <cell r="A32" t="str">
            <v>J00021</v>
          </cell>
          <cell r="B32">
            <v>12</v>
          </cell>
          <cell r="C32">
            <v>4</v>
          </cell>
          <cell r="D32">
            <v>4</v>
          </cell>
          <cell r="E32">
            <v>6</v>
          </cell>
          <cell r="F32">
            <v>12</v>
          </cell>
          <cell r="G32">
            <v>7</v>
          </cell>
          <cell r="H32">
            <v>10</v>
          </cell>
          <cell r="I32">
            <v>12</v>
          </cell>
          <cell r="J32">
            <v>4</v>
          </cell>
          <cell r="K32">
            <v>12</v>
          </cell>
          <cell r="L32">
            <v>8</v>
          </cell>
          <cell r="M32">
            <v>8</v>
          </cell>
          <cell r="N32">
            <v>4</v>
          </cell>
          <cell r="O32">
            <v>4</v>
          </cell>
          <cell r="P32">
            <v>0</v>
          </cell>
          <cell r="Q32">
            <v>4</v>
          </cell>
          <cell r="R32">
            <v>11</v>
          </cell>
          <cell r="S32">
            <v>5</v>
          </cell>
          <cell r="T32">
            <v>0</v>
          </cell>
          <cell r="U32">
            <v>4</v>
          </cell>
        </row>
        <row r="33">
          <cell r="A33" t="str">
            <v>J00022</v>
          </cell>
          <cell r="B33">
            <v>7</v>
          </cell>
          <cell r="C33">
            <v>3</v>
          </cell>
          <cell r="D33">
            <v>3</v>
          </cell>
          <cell r="E33">
            <v>4</v>
          </cell>
          <cell r="F33">
            <v>7</v>
          </cell>
          <cell r="G33">
            <v>5</v>
          </cell>
          <cell r="H33">
            <v>7</v>
          </cell>
          <cell r="I33">
            <v>7</v>
          </cell>
          <cell r="J33">
            <v>3</v>
          </cell>
          <cell r="K33">
            <v>7</v>
          </cell>
          <cell r="L33">
            <v>7</v>
          </cell>
          <cell r="M33">
            <v>6</v>
          </cell>
          <cell r="N33">
            <v>3</v>
          </cell>
          <cell r="O33">
            <v>2</v>
          </cell>
          <cell r="P33">
            <v>4</v>
          </cell>
          <cell r="Q33">
            <v>6</v>
          </cell>
          <cell r="R33">
            <v>10</v>
          </cell>
          <cell r="S33">
            <v>8</v>
          </cell>
          <cell r="T33">
            <v>6</v>
          </cell>
          <cell r="U33">
            <v>2</v>
          </cell>
        </row>
        <row r="34">
          <cell r="A34" t="str">
            <v>J00025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5</v>
          </cell>
          <cell r="I34">
            <v>0</v>
          </cell>
          <cell r="J34">
            <v>0</v>
          </cell>
          <cell r="K34">
            <v>5</v>
          </cell>
          <cell r="L34">
            <v>4</v>
          </cell>
          <cell r="M34">
            <v>3</v>
          </cell>
          <cell r="N34">
            <v>2</v>
          </cell>
          <cell r="O34">
            <v>1</v>
          </cell>
          <cell r="P34">
            <v>7</v>
          </cell>
          <cell r="Q34">
            <v>2</v>
          </cell>
          <cell r="R34">
            <v>5</v>
          </cell>
          <cell r="S34">
            <v>3</v>
          </cell>
          <cell r="T34">
            <v>5</v>
          </cell>
          <cell r="U34">
            <v>0</v>
          </cell>
        </row>
        <row r="35">
          <cell r="A35" t="str">
            <v>J00026</v>
          </cell>
          <cell r="B35">
            <v>4</v>
          </cell>
          <cell r="C35">
            <v>2</v>
          </cell>
          <cell r="D35">
            <v>2</v>
          </cell>
          <cell r="E35">
            <v>2</v>
          </cell>
          <cell r="F35">
            <v>4</v>
          </cell>
          <cell r="G35">
            <v>3</v>
          </cell>
          <cell r="H35">
            <v>0</v>
          </cell>
          <cell r="I35">
            <v>4</v>
          </cell>
          <cell r="J35">
            <v>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</row>
        <row r="36">
          <cell r="A36" t="str">
            <v>J00027A</v>
          </cell>
          <cell r="B36">
            <v>144</v>
          </cell>
          <cell r="C36">
            <v>36</v>
          </cell>
          <cell r="D36">
            <v>36</v>
          </cell>
          <cell r="E36">
            <v>72</v>
          </cell>
          <cell r="F36">
            <v>144</v>
          </cell>
          <cell r="G36">
            <v>84</v>
          </cell>
          <cell r="H36">
            <v>0</v>
          </cell>
          <cell r="I36">
            <v>144</v>
          </cell>
          <cell r="J36">
            <v>6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20</v>
          </cell>
          <cell r="R36">
            <v>84</v>
          </cell>
          <cell r="S36">
            <v>40</v>
          </cell>
          <cell r="T36">
            <v>0</v>
          </cell>
          <cell r="U36">
            <v>12</v>
          </cell>
        </row>
        <row r="37">
          <cell r="A37" t="str">
            <v>J00027C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38</v>
          </cell>
          <cell r="I37">
            <v>0</v>
          </cell>
          <cell r="J37">
            <v>0</v>
          </cell>
          <cell r="K37">
            <v>46</v>
          </cell>
          <cell r="L37">
            <v>32</v>
          </cell>
          <cell r="M37">
            <v>32</v>
          </cell>
          <cell r="N37">
            <v>8</v>
          </cell>
          <cell r="O37">
            <v>6</v>
          </cell>
          <cell r="P37">
            <v>12</v>
          </cell>
          <cell r="Q37">
            <v>0</v>
          </cell>
          <cell r="R37">
            <v>0</v>
          </cell>
          <cell r="S37">
            <v>0</v>
          </cell>
          <cell r="T37">
            <v>8</v>
          </cell>
          <cell r="U37">
            <v>0</v>
          </cell>
        </row>
        <row r="38">
          <cell r="A38" t="str">
            <v>J00028</v>
          </cell>
          <cell r="B38">
            <v>14</v>
          </cell>
          <cell r="C38">
            <v>10</v>
          </cell>
          <cell r="D38">
            <v>10</v>
          </cell>
          <cell r="E38">
            <v>9</v>
          </cell>
          <cell r="F38">
            <v>14</v>
          </cell>
          <cell r="G38">
            <v>10</v>
          </cell>
          <cell r="H38">
            <v>13</v>
          </cell>
          <cell r="I38">
            <v>14</v>
          </cell>
          <cell r="J38">
            <v>10</v>
          </cell>
          <cell r="K38">
            <v>14</v>
          </cell>
          <cell r="L38">
            <v>12</v>
          </cell>
          <cell r="M38">
            <v>4</v>
          </cell>
          <cell r="N38">
            <v>10</v>
          </cell>
          <cell r="O38">
            <v>8</v>
          </cell>
          <cell r="P38">
            <v>0</v>
          </cell>
          <cell r="Q38">
            <v>10</v>
          </cell>
          <cell r="R38">
            <v>14</v>
          </cell>
          <cell r="S38">
            <v>11</v>
          </cell>
          <cell r="T38">
            <v>0</v>
          </cell>
          <cell r="U38">
            <v>8</v>
          </cell>
        </row>
        <row r="39">
          <cell r="A39" t="str">
            <v>J00029</v>
          </cell>
          <cell r="B39">
            <v>3</v>
          </cell>
          <cell r="C39">
            <v>3</v>
          </cell>
          <cell r="D39">
            <v>3</v>
          </cell>
          <cell r="E39">
            <v>0</v>
          </cell>
          <cell r="F39">
            <v>3</v>
          </cell>
          <cell r="G39">
            <v>0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  <cell r="L39">
            <v>3</v>
          </cell>
          <cell r="M39">
            <v>0</v>
          </cell>
          <cell r="N39">
            <v>3</v>
          </cell>
          <cell r="O39">
            <v>0</v>
          </cell>
          <cell r="P39">
            <v>0</v>
          </cell>
          <cell r="Q39">
            <v>3</v>
          </cell>
          <cell r="R39">
            <v>3</v>
          </cell>
          <cell r="S39">
            <v>3</v>
          </cell>
          <cell r="T39">
            <v>0</v>
          </cell>
          <cell r="U39">
            <v>0</v>
          </cell>
        </row>
        <row r="40">
          <cell r="A40" t="str">
            <v>J00030D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1</v>
          </cell>
          <cell r="Q40">
            <v>0</v>
          </cell>
          <cell r="R40">
            <v>0</v>
          </cell>
          <cell r="S40">
            <v>0</v>
          </cell>
          <cell r="T40">
            <v>1</v>
          </cell>
          <cell r="U40">
            <v>0</v>
          </cell>
        </row>
        <row r="41">
          <cell r="A41" t="str">
            <v>J00030E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 t="str">
            <v>J00033</v>
          </cell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2</v>
          </cell>
          <cell r="G42">
            <v>2</v>
          </cell>
          <cell r="H42">
            <v>2</v>
          </cell>
          <cell r="I42">
            <v>2</v>
          </cell>
          <cell r="J42">
            <v>2</v>
          </cell>
          <cell r="K42">
            <v>2</v>
          </cell>
          <cell r="L42">
            <v>2</v>
          </cell>
          <cell r="M42">
            <v>2</v>
          </cell>
          <cell r="N42">
            <v>2</v>
          </cell>
          <cell r="O42">
            <v>2</v>
          </cell>
          <cell r="P42">
            <v>0</v>
          </cell>
          <cell r="Q42">
            <v>2</v>
          </cell>
          <cell r="R42">
            <v>2</v>
          </cell>
          <cell r="S42">
            <v>2</v>
          </cell>
          <cell r="T42">
            <v>0</v>
          </cell>
          <cell r="U42">
            <v>2</v>
          </cell>
        </row>
        <row r="43">
          <cell r="A43" t="str">
            <v>J00040</v>
          </cell>
          <cell r="B43">
            <v>7</v>
          </cell>
          <cell r="C43">
            <v>4</v>
          </cell>
          <cell r="D43">
            <v>4</v>
          </cell>
          <cell r="E43">
            <v>4</v>
          </cell>
          <cell r="F43">
            <v>7</v>
          </cell>
          <cell r="G43">
            <v>5</v>
          </cell>
          <cell r="H43">
            <v>7</v>
          </cell>
          <cell r="I43">
            <v>7</v>
          </cell>
          <cell r="J43">
            <v>4</v>
          </cell>
          <cell r="K43">
            <v>7</v>
          </cell>
          <cell r="L43">
            <v>6</v>
          </cell>
          <cell r="M43">
            <v>4</v>
          </cell>
          <cell r="N43">
            <v>4</v>
          </cell>
          <cell r="O43">
            <v>3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3</v>
          </cell>
        </row>
        <row r="44">
          <cell r="A44" t="str">
            <v>J00045</v>
          </cell>
          <cell r="B44">
            <v>1</v>
          </cell>
          <cell r="C44">
            <v>1</v>
          </cell>
          <cell r="D44">
            <v>1</v>
          </cell>
          <cell r="E44">
            <v>0</v>
          </cell>
          <cell r="F44">
            <v>1</v>
          </cell>
          <cell r="G44">
            <v>0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0</v>
          </cell>
          <cell r="N44">
            <v>1</v>
          </cell>
          <cell r="O44">
            <v>0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0</v>
          </cell>
        </row>
        <row r="45">
          <cell r="A45" t="str">
            <v>J00046</v>
          </cell>
          <cell r="B45">
            <v>5</v>
          </cell>
          <cell r="C45">
            <v>2</v>
          </cell>
          <cell r="D45">
            <v>2</v>
          </cell>
          <cell r="E45">
            <v>2</v>
          </cell>
          <cell r="F45">
            <v>5</v>
          </cell>
          <cell r="G45">
            <v>3</v>
          </cell>
          <cell r="H45">
            <v>5</v>
          </cell>
          <cell r="I45">
            <v>5</v>
          </cell>
          <cell r="J45">
            <v>2</v>
          </cell>
          <cell r="K45">
            <v>5</v>
          </cell>
          <cell r="L45">
            <v>4</v>
          </cell>
          <cell r="M45">
            <v>3</v>
          </cell>
          <cell r="N45">
            <v>2</v>
          </cell>
          <cell r="O45">
            <v>1</v>
          </cell>
          <cell r="P45">
            <v>2</v>
          </cell>
          <cell r="Q45">
            <v>2</v>
          </cell>
          <cell r="R45">
            <v>5</v>
          </cell>
          <cell r="S45">
            <v>3</v>
          </cell>
          <cell r="T45">
            <v>2</v>
          </cell>
          <cell r="U45">
            <v>1</v>
          </cell>
        </row>
        <row r="46">
          <cell r="A46" t="str">
            <v>J00047</v>
          </cell>
          <cell r="B46">
            <v>5</v>
          </cell>
          <cell r="C46">
            <v>3</v>
          </cell>
          <cell r="D46">
            <v>3</v>
          </cell>
          <cell r="E46">
            <v>3</v>
          </cell>
          <cell r="F46">
            <v>5</v>
          </cell>
          <cell r="G46">
            <v>4</v>
          </cell>
          <cell r="H46">
            <v>5</v>
          </cell>
          <cell r="I46">
            <v>5</v>
          </cell>
          <cell r="J46">
            <v>3</v>
          </cell>
          <cell r="K46">
            <v>5</v>
          </cell>
          <cell r="L46">
            <v>4</v>
          </cell>
          <cell r="M46">
            <v>4</v>
          </cell>
          <cell r="N46">
            <v>3</v>
          </cell>
          <cell r="O46">
            <v>3</v>
          </cell>
          <cell r="P46">
            <v>3</v>
          </cell>
          <cell r="Q46">
            <v>3</v>
          </cell>
          <cell r="R46">
            <v>5</v>
          </cell>
          <cell r="S46">
            <v>3</v>
          </cell>
          <cell r="T46">
            <v>3</v>
          </cell>
          <cell r="U46">
            <v>3</v>
          </cell>
        </row>
        <row r="47">
          <cell r="A47" t="str">
            <v>J00049</v>
          </cell>
          <cell r="B47">
            <v>1</v>
          </cell>
          <cell r="C47">
            <v>1</v>
          </cell>
          <cell r="D47">
            <v>1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</row>
        <row r="48">
          <cell r="A48" t="str">
            <v>J00050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 t="str">
            <v>J00055</v>
          </cell>
          <cell r="B49">
            <v>2</v>
          </cell>
          <cell r="C49">
            <v>2</v>
          </cell>
          <cell r="D49">
            <v>2</v>
          </cell>
          <cell r="E49">
            <v>2</v>
          </cell>
          <cell r="F49">
            <v>2</v>
          </cell>
          <cell r="G49">
            <v>2</v>
          </cell>
          <cell r="H49">
            <v>2</v>
          </cell>
          <cell r="I49">
            <v>2</v>
          </cell>
          <cell r="J49">
            <v>2</v>
          </cell>
          <cell r="K49">
            <v>2</v>
          </cell>
          <cell r="L49">
            <v>2</v>
          </cell>
          <cell r="M49">
            <v>2</v>
          </cell>
          <cell r="N49">
            <v>2</v>
          </cell>
          <cell r="O49">
            <v>2</v>
          </cell>
          <cell r="P49">
            <v>0</v>
          </cell>
          <cell r="Q49">
            <v>2</v>
          </cell>
          <cell r="R49">
            <v>2</v>
          </cell>
          <cell r="S49">
            <v>2</v>
          </cell>
          <cell r="T49">
            <v>0</v>
          </cell>
          <cell r="U49">
            <v>2</v>
          </cell>
        </row>
        <row r="50">
          <cell r="A50" t="str">
            <v>J00061</v>
          </cell>
          <cell r="B50">
            <v>2</v>
          </cell>
          <cell r="C50">
            <v>1</v>
          </cell>
          <cell r="D50">
            <v>1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1</v>
          </cell>
          <cell r="K50">
            <v>2</v>
          </cell>
          <cell r="L50">
            <v>2</v>
          </cell>
          <cell r="M50">
            <v>2</v>
          </cell>
          <cell r="N50">
            <v>1</v>
          </cell>
          <cell r="O50">
            <v>1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</v>
          </cell>
        </row>
        <row r="51">
          <cell r="A51" t="str">
            <v>J00061C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1</v>
          </cell>
          <cell r="R51">
            <v>2</v>
          </cell>
          <cell r="S51">
            <v>2</v>
          </cell>
          <cell r="T51">
            <v>0</v>
          </cell>
          <cell r="U51">
            <v>0</v>
          </cell>
        </row>
        <row r="52">
          <cell r="A52" t="str">
            <v>J00066</v>
          </cell>
          <cell r="B52">
            <v>4</v>
          </cell>
          <cell r="C52">
            <v>1</v>
          </cell>
          <cell r="D52">
            <v>1</v>
          </cell>
          <cell r="E52">
            <v>2</v>
          </cell>
          <cell r="F52">
            <v>4</v>
          </cell>
          <cell r="G52">
            <v>3</v>
          </cell>
          <cell r="H52">
            <v>4</v>
          </cell>
          <cell r="I52">
            <v>4</v>
          </cell>
          <cell r="J52">
            <v>1</v>
          </cell>
          <cell r="K52">
            <v>4</v>
          </cell>
          <cell r="L52">
            <v>3</v>
          </cell>
          <cell r="M52">
            <v>3</v>
          </cell>
          <cell r="N52">
            <v>1</v>
          </cell>
          <cell r="O52">
            <v>1</v>
          </cell>
          <cell r="P52">
            <v>0</v>
          </cell>
          <cell r="Q52">
            <v>1</v>
          </cell>
          <cell r="R52">
            <v>4</v>
          </cell>
          <cell r="S52">
            <v>2</v>
          </cell>
          <cell r="T52">
            <v>0</v>
          </cell>
          <cell r="U52">
            <v>1</v>
          </cell>
        </row>
        <row r="53">
          <cell r="A53" t="str">
            <v>J00067</v>
          </cell>
          <cell r="B53">
            <v>34</v>
          </cell>
          <cell r="C53">
            <v>16</v>
          </cell>
          <cell r="D53">
            <v>16</v>
          </cell>
          <cell r="E53">
            <v>22</v>
          </cell>
          <cell r="F53">
            <v>34</v>
          </cell>
          <cell r="G53">
            <v>24</v>
          </cell>
          <cell r="H53">
            <v>29</v>
          </cell>
          <cell r="I53">
            <v>34</v>
          </cell>
          <cell r="J53">
            <v>11</v>
          </cell>
          <cell r="K53">
            <v>33</v>
          </cell>
          <cell r="L53">
            <v>26</v>
          </cell>
          <cell r="M53">
            <v>26</v>
          </cell>
          <cell r="N53">
            <v>14</v>
          </cell>
          <cell r="O53">
            <v>13</v>
          </cell>
          <cell r="P53">
            <v>0</v>
          </cell>
          <cell r="Q53">
            <v>15</v>
          </cell>
          <cell r="R53">
            <v>31</v>
          </cell>
          <cell r="S53">
            <v>20</v>
          </cell>
          <cell r="T53">
            <v>0</v>
          </cell>
          <cell r="U53">
            <v>12</v>
          </cell>
        </row>
        <row r="54">
          <cell r="A54" t="str">
            <v>J00068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A55" t="str">
            <v>J00068A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A56" t="str">
            <v>J00068B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A57" t="str">
            <v>J00068C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 t="str">
            <v>J00070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3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J00071</v>
          </cell>
          <cell r="B59">
            <v>4</v>
          </cell>
          <cell r="C59">
            <v>1</v>
          </cell>
          <cell r="D59">
            <v>1</v>
          </cell>
          <cell r="E59">
            <v>2</v>
          </cell>
          <cell r="F59">
            <v>4</v>
          </cell>
          <cell r="G59">
            <v>3</v>
          </cell>
          <cell r="H59">
            <v>4</v>
          </cell>
          <cell r="I59">
            <v>4</v>
          </cell>
          <cell r="J59">
            <v>1</v>
          </cell>
          <cell r="K59">
            <v>4</v>
          </cell>
          <cell r="L59">
            <v>3</v>
          </cell>
          <cell r="M59">
            <v>3</v>
          </cell>
          <cell r="N59">
            <v>1</v>
          </cell>
          <cell r="O59">
            <v>1</v>
          </cell>
          <cell r="P59">
            <v>0</v>
          </cell>
          <cell r="Q59">
            <v>1</v>
          </cell>
          <cell r="R59">
            <v>4</v>
          </cell>
          <cell r="S59">
            <v>2</v>
          </cell>
          <cell r="T59">
            <v>0</v>
          </cell>
          <cell r="U59">
            <v>1</v>
          </cell>
        </row>
        <row r="60">
          <cell r="A60" t="str">
            <v>J00072</v>
          </cell>
          <cell r="B60">
            <v>4</v>
          </cell>
          <cell r="C60">
            <v>2</v>
          </cell>
          <cell r="D60">
            <v>2</v>
          </cell>
          <cell r="E60">
            <v>2</v>
          </cell>
          <cell r="F60">
            <v>4</v>
          </cell>
          <cell r="G60">
            <v>3</v>
          </cell>
          <cell r="H60">
            <v>4</v>
          </cell>
          <cell r="I60">
            <v>4</v>
          </cell>
          <cell r="J60">
            <v>2</v>
          </cell>
          <cell r="K60">
            <v>4</v>
          </cell>
          <cell r="L60">
            <v>4</v>
          </cell>
          <cell r="M60">
            <v>3</v>
          </cell>
          <cell r="N60">
            <v>2</v>
          </cell>
          <cell r="O60">
            <v>1</v>
          </cell>
          <cell r="P60">
            <v>2</v>
          </cell>
          <cell r="Q60">
            <v>2</v>
          </cell>
          <cell r="R60">
            <v>4</v>
          </cell>
          <cell r="S60">
            <v>3</v>
          </cell>
          <cell r="T60">
            <v>4</v>
          </cell>
          <cell r="U60">
            <v>1</v>
          </cell>
        </row>
        <row r="61">
          <cell r="A61" t="str">
            <v>J00073A</v>
          </cell>
          <cell r="B61">
            <v>3</v>
          </cell>
          <cell r="C61">
            <v>2</v>
          </cell>
          <cell r="D61">
            <v>2</v>
          </cell>
          <cell r="E61">
            <v>3</v>
          </cell>
          <cell r="F61">
            <v>3</v>
          </cell>
          <cell r="G61">
            <v>3</v>
          </cell>
          <cell r="H61">
            <v>0</v>
          </cell>
          <cell r="I61">
            <v>3</v>
          </cell>
          <cell r="J61">
            <v>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1</v>
          </cell>
        </row>
        <row r="62">
          <cell r="A62" t="str">
            <v>J00073B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3</v>
          </cell>
          <cell r="I62">
            <v>0</v>
          </cell>
          <cell r="J62">
            <v>0</v>
          </cell>
          <cell r="K62">
            <v>3</v>
          </cell>
          <cell r="L62">
            <v>3</v>
          </cell>
          <cell r="M62">
            <v>3</v>
          </cell>
          <cell r="N62">
            <v>1</v>
          </cell>
          <cell r="O62">
            <v>1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A63" t="str">
            <v>J00073C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1</v>
          </cell>
          <cell r="R63">
            <v>3</v>
          </cell>
          <cell r="S63">
            <v>2</v>
          </cell>
          <cell r="T63">
            <v>0</v>
          </cell>
          <cell r="U63">
            <v>0</v>
          </cell>
        </row>
        <row r="64">
          <cell r="A64" t="str">
            <v>J00074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95</v>
          </cell>
          <cell r="I64">
            <v>0</v>
          </cell>
          <cell r="J64">
            <v>0</v>
          </cell>
          <cell r="K64">
            <v>115</v>
          </cell>
          <cell r="L64">
            <v>80</v>
          </cell>
          <cell r="M64">
            <v>80</v>
          </cell>
          <cell r="N64">
            <v>0</v>
          </cell>
          <cell r="O64">
            <v>0</v>
          </cell>
          <cell r="P64">
            <v>0</v>
          </cell>
          <cell r="Q64">
            <v>20</v>
          </cell>
          <cell r="R64">
            <v>84</v>
          </cell>
          <cell r="S64">
            <v>40</v>
          </cell>
          <cell r="T64">
            <v>0</v>
          </cell>
          <cell r="U64">
            <v>0</v>
          </cell>
        </row>
        <row r="65">
          <cell r="A65" t="str">
            <v>J00075</v>
          </cell>
          <cell r="B65">
            <v>4</v>
          </cell>
          <cell r="C65">
            <v>2</v>
          </cell>
          <cell r="D65">
            <v>2</v>
          </cell>
          <cell r="E65">
            <v>2</v>
          </cell>
          <cell r="F65">
            <v>4</v>
          </cell>
          <cell r="G65">
            <v>2</v>
          </cell>
          <cell r="H65">
            <v>4</v>
          </cell>
          <cell r="I65">
            <v>4</v>
          </cell>
          <cell r="J65">
            <v>2</v>
          </cell>
          <cell r="K65">
            <v>4</v>
          </cell>
          <cell r="L65">
            <v>3</v>
          </cell>
          <cell r="M65">
            <v>2</v>
          </cell>
          <cell r="N65">
            <v>2</v>
          </cell>
          <cell r="O65">
            <v>1</v>
          </cell>
          <cell r="P65">
            <v>0</v>
          </cell>
          <cell r="Q65">
            <v>2</v>
          </cell>
          <cell r="R65">
            <v>4</v>
          </cell>
          <cell r="S65">
            <v>3</v>
          </cell>
          <cell r="T65">
            <v>0</v>
          </cell>
          <cell r="U65">
            <v>1</v>
          </cell>
        </row>
        <row r="66">
          <cell r="A66" t="str">
            <v>J00076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A67" t="str">
            <v>J00079</v>
          </cell>
          <cell r="B67">
            <v>3</v>
          </cell>
          <cell r="C67">
            <v>3</v>
          </cell>
          <cell r="D67">
            <v>3</v>
          </cell>
          <cell r="E67">
            <v>2</v>
          </cell>
          <cell r="F67">
            <v>3</v>
          </cell>
          <cell r="G67">
            <v>2</v>
          </cell>
          <cell r="H67">
            <v>3</v>
          </cell>
          <cell r="I67">
            <v>3</v>
          </cell>
          <cell r="J67">
            <v>3</v>
          </cell>
          <cell r="K67">
            <v>3</v>
          </cell>
          <cell r="L67">
            <v>3</v>
          </cell>
          <cell r="M67">
            <v>2</v>
          </cell>
          <cell r="N67">
            <v>3</v>
          </cell>
          <cell r="O67">
            <v>2</v>
          </cell>
          <cell r="P67">
            <v>0</v>
          </cell>
          <cell r="Q67">
            <v>3</v>
          </cell>
          <cell r="R67">
            <v>3</v>
          </cell>
          <cell r="S67">
            <v>3</v>
          </cell>
          <cell r="T67">
            <v>0</v>
          </cell>
          <cell r="U67">
            <v>2</v>
          </cell>
        </row>
        <row r="68">
          <cell r="A68" t="str">
            <v>J00079-W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A69" t="str">
            <v>J00080</v>
          </cell>
          <cell r="B69">
            <v>4</v>
          </cell>
          <cell r="C69">
            <v>3</v>
          </cell>
          <cell r="D69">
            <v>3</v>
          </cell>
          <cell r="E69">
            <v>2</v>
          </cell>
          <cell r="F69">
            <v>4</v>
          </cell>
          <cell r="G69">
            <v>2</v>
          </cell>
          <cell r="H69">
            <v>4</v>
          </cell>
          <cell r="I69">
            <v>4</v>
          </cell>
          <cell r="J69">
            <v>3</v>
          </cell>
          <cell r="K69">
            <v>4</v>
          </cell>
          <cell r="L69">
            <v>3</v>
          </cell>
          <cell r="M69">
            <v>2</v>
          </cell>
          <cell r="N69">
            <v>3</v>
          </cell>
          <cell r="O69">
            <v>2</v>
          </cell>
          <cell r="P69">
            <v>2</v>
          </cell>
          <cell r="Q69">
            <v>3</v>
          </cell>
          <cell r="R69">
            <v>4</v>
          </cell>
          <cell r="S69">
            <v>3</v>
          </cell>
          <cell r="T69">
            <v>2</v>
          </cell>
          <cell r="U69">
            <v>2</v>
          </cell>
        </row>
        <row r="70">
          <cell r="A70" t="str">
            <v>J00081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J00083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1</v>
          </cell>
          <cell r="R71">
            <v>3</v>
          </cell>
          <cell r="S71">
            <v>1</v>
          </cell>
          <cell r="T71">
            <v>1</v>
          </cell>
          <cell r="U71">
            <v>0</v>
          </cell>
        </row>
        <row r="72">
          <cell r="A72" t="str">
            <v>J00086</v>
          </cell>
          <cell r="B72">
            <v>48</v>
          </cell>
          <cell r="C72">
            <v>12</v>
          </cell>
          <cell r="D72">
            <v>12</v>
          </cell>
          <cell r="E72">
            <v>24</v>
          </cell>
          <cell r="F72">
            <v>48</v>
          </cell>
          <cell r="G72">
            <v>28</v>
          </cell>
          <cell r="H72">
            <v>38</v>
          </cell>
          <cell r="I72">
            <v>48</v>
          </cell>
          <cell r="J72">
            <v>2</v>
          </cell>
          <cell r="K72">
            <v>46</v>
          </cell>
          <cell r="L72">
            <v>32</v>
          </cell>
          <cell r="M72">
            <v>32</v>
          </cell>
          <cell r="N72">
            <v>8</v>
          </cell>
          <cell r="O72">
            <v>6</v>
          </cell>
          <cell r="P72">
            <v>0</v>
          </cell>
          <cell r="Q72">
            <v>10</v>
          </cell>
          <cell r="R72">
            <v>42</v>
          </cell>
          <cell r="S72">
            <v>20</v>
          </cell>
          <cell r="T72">
            <v>0</v>
          </cell>
          <cell r="U72">
            <v>4</v>
          </cell>
        </row>
        <row r="73">
          <cell r="A73" t="str">
            <v>J00087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A74" t="str">
            <v>J00088</v>
          </cell>
          <cell r="B74">
            <v>1</v>
          </cell>
          <cell r="C74">
            <v>1</v>
          </cell>
          <cell r="D74">
            <v>1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0</v>
          </cell>
          <cell r="Q74">
            <v>1</v>
          </cell>
          <cell r="R74">
            <v>1</v>
          </cell>
          <cell r="S74">
            <v>1</v>
          </cell>
          <cell r="T74">
            <v>0</v>
          </cell>
          <cell r="U74">
            <v>1</v>
          </cell>
        </row>
        <row r="75">
          <cell r="A75" t="str">
            <v>J00089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6</v>
          </cell>
          <cell r="R75">
            <v>6</v>
          </cell>
          <cell r="S75">
            <v>6</v>
          </cell>
          <cell r="T75">
            <v>0</v>
          </cell>
          <cell r="U75">
            <v>0</v>
          </cell>
        </row>
        <row r="76">
          <cell r="A76" t="str">
            <v>J00090</v>
          </cell>
          <cell r="B76">
            <v>2</v>
          </cell>
          <cell r="C76">
            <v>2</v>
          </cell>
          <cell r="D76">
            <v>2</v>
          </cell>
          <cell r="E76">
            <v>2</v>
          </cell>
          <cell r="F76">
            <v>2</v>
          </cell>
          <cell r="G76">
            <v>2</v>
          </cell>
          <cell r="H76">
            <v>2</v>
          </cell>
          <cell r="I76">
            <v>2</v>
          </cell>
          <cell r="J76">
            <v>2</v>
          </cell>
          <cell r="K76">
            <v>2</v>
          </cell>
          <cell r="L76">
            <v>2</v>
          </cell>
          <cell r="M76">
            <v>2</v>
          </cell>
          <cell r="N76">
            <v>2</v>
          </cell>
          <cell r="O76">
            <v>2</v>
          </cell>
          <cell r="P76">
            <v>0</v>
          </cell>
          <cell r="Q76">
            <v>2</v>
          </cell>
          <cell r="R76">
            <v>2</v>
          </cell>
          <cell r="S76">
            <v>2</v>
          </cell>
          <cell r="T76">
            <v>0</v>
          </cell>
          <cell r="U76">
            <v>2</v>
          </cell>
        </row>
        <row r="77">
          <cell r="A77" t="str">
            <v>J00091</v>
          </cell>
          <cell r="B77">
            <v>2</v>
          </cell>
          <cell r="C77">
            <v>2</v>
          </cell>
          <cell r="D77">
            <v>2</v>
          </cell>
          <cell r="E77">
            <v>2</v>
          </cell>
          <cell r="F77">
            <v>2</v>
          </cell>
          <cell r="G77">
            <v>2</v>
          </cell>
          <cell r="H77">
            <v>2</v>
          </cell>
          <cell r="I77">
            <v>2</v>
          </cell>
          <cell r="J77">
            <v>2</v>
          </cell>
          <cell r="K77">
            <v>2</v>
          </cell>
          <cell r="L77">
            <v>2</v>
          </cell>
          <cell r="M77">
            <v>2</v>
          </cell>
          <cell r="N77">
            <v>2</v>
          </cell>
          <cell r="O77">
            <v>2</v>
          </cell>
          <cell r="P77">
            <v>0</v>
          </cell>
          <cell r="Q77">
            <v>2</v>
          </cell>
          <cell r="R77">
            <v>2</v>
          </cell>
          <cell r="S77">
            <v>2</v>
          </cell>
          <cell r="T77">
            <v>0</v>
          </cell>
          <cell r="U77">
            <v>2</v>
          </cell>
        </row>
        <row r="78">
          <cell r="A78" t="str">
            <v>J00092</v>
          </cell>
          <cell r="B78">
            <v>2</v>
          </cell>
          <cell r="C78">
            <v>2</v>
          </cell>
          <cell r="D78">
            <v>2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0</v>
          </cell>
          <cell r="Q78">
            <v>2</v>
          </cell>
          <cell r="R78">
            <v>2</v>
          </cell>
          <cell r="S78">
            <v>2</v>
          </cell>
          <cell r="T78">
            <v>0</v>
          </cell>
          <cell r="U78">
            <v>2</v>
          </cell>
        </row>
        <row r="79">
          <cell r="A79" t="str">
            <v>J00105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5</v>
          </cell>
          <cell r="R79">
            <v>21</v>
          </cell>
          <cell r="S79">
            <v>10</v>
          </cell>
          <cell r="T79">
            <v>0</v>
          </cell>
          <cell r="U79">
            <v>0</v>
          </cell>
        </row>
        <row r="80">
          <cell r="A80" t="str">
            <v>J00106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</v>
          </cell>
          <cell r="R80">
            <v>1</v>
          </cell>
          <cell r="S80">
            <v>1</v>
          </cell>
          <cell r="T80">
            <v>0</v>
          </cell>
          <cell r="U80">
            <v>0</v>
          </cell>
        </row>
        <row r="81">
          <cell r="A81" t="str">
            <v>J00107C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3</v>
          </cell>
          <cell r="R81">
            <v>3</v>
          </cell>
          <cell r="S81">
            <v>3</v>
          </cell>
          <cell r="T81">
            <v>0</v>
          </cell>
          <cell r="U81">
            <v>0</v>
          </cell>
        </row>
        <row r="82">
          <cell r="A82" t="str">
            <v>J00108</v>
          </cell>
          <cell r="B82">
            <v>5</v>
          </cell>
          <cell r="C82">
            <v>2</v>
          </cell>
          <cell r="D82">
            <v>2</v>
          </cell>
          <cell r="E82">
            <v>2</v>
          </cell>
          <cell r="F82">
            <v>5</v>
          </cell>
          <cell r="G82">
            <v>3</v>
          </cell>
          <cell r="H82">
            <v>5</v>
          </cell>
          <cell r="I82">
            <v>5</v>
          </cell>
          <cell r="J82">
            <v>2</v>
          </cell>
          <cell r="K82">
            <v>5</v>
          </cell>
          <cell r="L82">
            <v>4</v>
          </cell>
          <cell r="M82">
            <v>3</v>
          </cell>
          <cell r="N82">
            <v>2</v>
          </cell>
          <cell r="O82">
            <v>1</v>
          </cell>
          <cell r="P82">
            <v>2</v>
          </cell>
          <cell r="Q82">
            <v>2</v>
          </cell>
          <cell r="R82">
            <v>5</v>
          </cell>
          <cell r="S82">
            <v>3</v>
          </cell>
          <cell r="T82">
            <v>2</v>
          </cell>
          <cell r="U82">
            <v>1</v>
          </cell>
        </row>
        <row r="83">
          <cell r="A83" t="str">
            <v>J00815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 t="str">
            <v>J00825D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A85" t="str">
            <v>J00825E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A86" t="str">
            <v>J00846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A87" t="str">
            <v>J00864A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A88" t="str">
            <v>J00864B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A89" t="str">
            <v>J00865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A90" t="str">
            <v>J00866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A91" t="str">
            <v>J00867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A92" t="str">
            <v>J00868B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A93" t="str">
            <v>J00914</v>
          </cell>
          <cell r="B93">
            <v>9</v>
          </cell>
          <cell r="C93">
            <v>3</v>
          </cell>
          <cell r="D93">
            <v>3</v>
          </cell>
          <cell r="E93">
            <v>6</v>
          </cell>
          <cell r="F93">
            <v>9</v>
          </cell>
          <cell r="G93">
            <v>7</v>
          </cell>
          <cell r="H93">
            <v>10</v>
          </cell>
          <cell r="I93">
            <v>9</v>
          </cell>
          <cell r="J93">
            <v>1</v>
          </cell>
          <cell r="K93">
            <v>12</v>
          </cell>
          <cell r="L93">
            <v>8</v>
          </cell>
          <cell r="M93">
            <v>8</v>
          </cell>
          <cell r="N93">
            <v>2</v>
          </cell>
          <cell r="O93">
            <v>2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1</v>
          </cell>
        </row>
        <row r="94">
          <cell r="A94" t="str">
            <v>J00922</v>
          </cell>
          <cell r="B94">
            <v>27</v>
          </cell>
          <cell r="C94">
            <v>9</v>
          </cell>
          <cell r="D94">
            <v>9</v>
          </cell>
          <cell r="E94">
            <v>18</v>
          </cell>
          <cell r="F94">
            <v>27</v>
          </cell>
          <cell r="G94">
            <v>21</v>
          </cell>
          <cell r="H94">
            <v>10</v>
          </cell>
          <cell r="I94">
            <v>27</v>
          </cell>
          <cell r="J94">
            <v>3</v>
          </cell>
          <cell r="K94">
            <v>12</v>
          </cell>
          <cell r="L94">
            <v>8</v>
          </cell>
          <cell r="M94">
            <v>8</v>
          </cell>
          <cell r="N94">
            <v>2</v>
          </cell>
          <cell r="O94">
            <v>2</v>
          </cell>
          <cell r="P94">
            <v>0</v>
          </cell>
          <cell r="Q94">
            <v>3</v>
          </cell>
          <cell r="R94">
            <v>11</v>
          </cell>
          <cell r="S94">
            <v>5</v>
          </cell>
          <cell r="T94">
            <v>0</v>
          </cell>
          <cell r="U94">
            <v>3</v>
          </cell>
        </row>
        <row r="95">
          <cell r="A95" t="str">
            <v>J11006</v>
          </cell>
          <cell r="B95">
            <v>3</v>
          </cell>
          <cell r="C95">
            <v>3</v>
          </cell>
          <cell r="D95">
            <v>3</v>
          </cell>
          <cell r="E95">
            <v>1</v>
          </cell>
          <cell r="F95">
            <v>3</v>
          </cell>
          <cell r="G95">
            <v>1</v>
          </cell>
          <cell r="H95">
            <v>3</v>
          </cell>
          <cell r="I95">
            <v>3</v>
          </cell>
          <cell r="J95">
            <v>3</v>
          </cell>
          <cell r="K95">
            <v>3</v>
          </cell>
          <cell r="L95">
            <v>3</v>
          </cell>
          <cell r="M95">
            <v>1</v>
          </cell>
          <cell r="N95">
            <v>3</v>
          </cell>
          <cell r="O95">
            <v>1</v>
          </cell>
          <cell r="P95">
            <v>0</v>
          </cell>
          <cell r="Q95">
            <v>3</v>
          </cell>
          <cell r="R95">
            <v>3</v>
          </cell>
          <cell r="S95">
            <v>3</v>
          </cell>
          <cell r="T95">
            <v>0</v>
          </cell>
          <cell r="U95">
            <v>1</v>
          </cell>
        </row>
        <row r="96">
          <cell r="A96" t="str">
            <v>J11009C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1</v>
          </cell>
          <cell r="R96">
            <v>1</v>
          </cell>
          <cell r="S96">
            <v>1</v>
          </cell>
          <cell r="T96">
            <v>0</v>
          </cell>
          <cell r="U96">
            <v>0</v>
          </cell>
        </row>
        <row r="97">
          <cell r="A97" t="str">
            <v>J11011A</v>
          </cell>
          <cell r="B97">
            <v>2</v>
          </cell>
          <cell r="C97">
            <v>2</v>
          </cell>
          <cell r="D97">
            <v>2</v>
          </cell>
          <cell r="E97">
            <v>0</v>
          </cell>
          <cell r="F97">
            <v>2</v>
          </cell>
          <cell r="G97">
            <v>0</v>
          </cell>
          <cell r="H97">
            <v>0</v>
          </cell>
          <cell r="I97">
            <v>2</v>
          </cell>
          <cell r="J97">
            <v>2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A98" t="str">
            <v>J11011B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2</v>
          </cell>
          <cell r="I98">
            <v>0</v>
          </cell>
          <cell r="J98">
            <v>0</v>
          </cell>
          <cell r="K98">
            <v>2</v>
          </cell>
          <cell r="L98">
            <v>2</v>
          </cell>
          <cell r="M98">
            <v>0</v>
          </cell>
          <cell r="N98">
            <v>2</v>
          </cell>
          <cell r="O98">
            <v>0</v>
          </cell>
          <cell r="P98">
            <v>1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A99" t="str">
            <v>J11011C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2</v>
          </cell>
          <cell r="T99">
            <v>1</v>
          </cell>
          <cell r="U99">
            <v>0</v>
          </cell>
        </row>
        <row r="100">
          <cell r="A100" t="str">
            <v>J11012</v>
          </cell>
          <cell r="B100">
            <v>3</v>
          </cell>
          <cell r="C100">
            <v>3</v>
          </cell>
          <cell r="D100">
            <v>3</v>
          </cell>
          <cell r="E100">
            <v>2</v>
          </cell>
          <cell r="F100">
            <v>3</v>
          </cell>
          <cell r="G100">
            <v>2</v>
          </cell>
          <cell r="H100">
            <v>3</v>
          </cell>
          <cell r="I100">
            <v>3</v>
          </cell>
          <cell r="J100">
            <v>3</v>
          </cell>
          <cell r="K100">
            <v>3</v>
          </cell>
          <cell r="L100">
            <v>3</v>
          </cell>
          <cell r="M100">
            <v>2</v>
          </cell>
          <cell r="N100">
            <v>3</v>
          </cell>
          <cell r="O100">
            <v>2</v>
          </cell>
          <cell r="P100">
            <v>0</v>
          </cell>
          <cell r="Q100">
            <v>3</v>
          </cell>
          <cell r="R100">
            <v>3</v>
          </cell>
          <cell r="S100">
            <v>3</v>
          </cell>
          <cell r="T100">
            <v>0</v>
          </cell>
          <cell r="U100">
            <v>2</v>
          </cell>
        </row>
        <row r="101">
          <cell r="A101" t="str">
            <v>J11015</v>
          </cell>
          <cell r="B101">
            <v>1</v>
          </cell>
          <cell r="C101">
            <v>1</v>
          </cell>
          <cell r="D101">
            <v>1</v>
          </cell>
          <cell r="E101">
            <v>1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0</v>
          </cell>
          <cell r="Q101">
            <v>1</v>
          </cell>
          <cell r="R101">
            <v>1</v>
          </cell>
          <cell r="S101">
            <v>1</v>
          </cell>
          <cell r="T101">
            <v>0</v>
          </cell>
          <cell r="U101">
            <v>1</v>
          </cell>
        </row>
        <row r="102">
          <cell r="A102" t="str">
            <v>J11016</v>
          </cell>
          <cell r="B102">
            <v>4</v>
          </cell>
          <cell r="C102">
            <v>2</v>
          </cell>
          <cell r="D102">
            <v>2</v>
          </cell>
          <cell r="E102">
            <v>2</v>
          </cell>
          <cell r="F102">
            <v>4</v>
          </cell>
          <cell r="G102">
            <v>3</v>
          </cell>
          <cell r="H102">
            <v>4</v>
          </cell>
          <cell r="I102">
            <v>4</v>
          </cell>
          <cell r="J102">
            <v>2</v>
          </cell>
          <cell r="K102">
            <v>4</v>
          </cell>
          <cell r="L102">
            <v>3</v>
          </cell>
          <cell r="M102">
            <v>3</v>
          </cell>
          <cell r="N102">
            <v>2</v>
          </cell>
          <cell r="O102">
            <v>2</v>
          </cell>
          <cell r="P102">
            <v>0</v>
          </cell>
          <cell r="Q102">
            <v>2</v>
          </cell>
          <cell r="R102">
            <v>4</v>
          </cell>
          <cell r="S102">
            <v>2</v>
          </cell>
          <cell r="T102">
            <v>0</v>
          </cell>
          <cell r="U102">
            <v>2</v>
          </cell>
        </row>
        <row r="103">
          <cell r="A103" t="str">
            <v>J11020</v>
          </cell>
          <cell r="B103">
            <v>4</v>
          </cell>
          <cell r="C103">
            <v>4</v>
          </cell>
          <cell r="D103">
            <v>4</v>
          </cell>
          <cell r="E103">
            <v>2</v>
          </cell>
          <cell r="F103">
            <v>4</v>
          </cell>
          <cell r="G103">
            <v>2</v>
          </cell>
          <cell r="H103">
            <v>4</v>
          </cell>
          <cell r="I103">
            <v>4</v>
          </cell>
          <cell r="J103">
            <v>4</v>
          </cell>
          <cell r="K103">
            <v>4</v>
          </cell>
          <cell r="L103">
            <v>4</v>
          </cell>
          <cell r="M103">
            <v>2</v>
          </cell>
          <cell r="N103">
            <v>4</v>
          </cell>
          <cell r="O103">
            <v>2</v>
          </cell>
          <cell r="P103">
            <v>0</v>
          </cell>
          <cell r="Q103">
            <v>4</v>
          </cell>
          <cell r="R103">
            <v>4</v>
          </cell>
          <cell r="S103">
            <v>4</v>
          </cell>
          <cell r="T103">
            <v>0</v>
          </cell>
          <cell r="U103">
            <v>2</v>
          </cell>
        </row>
        <row r="104">
          <cell r="A104" t="str">
            <v>J11022</v>
          </cell>
          <cell r="B104">
            <v>3</v>
          </cell>
          <cell r="C104">
            <v>3</v>
          </cell>
          <cell r="D104">
            <v>3</v>
          </cell>
          <cell r="E104">
            <v>1</v>
          </cell>
          <cell r="F104">
            <v>3</v>
          </cell>
          <cell r="G104">
            <v>1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1</v>
          </cell>
          <cell r="N104">
            <v>3</v>
          </cell>
          <cell r="O104">
            <v>1</v>
          </cell>
          <cell r="P104">
            <v>0</v>
          </cell>
          <cell r="Q104">
            <v>3</v>
          </cell>
          <cell r="R104">
            <v>3</v>
          </cell>
          <cell r="S104">
            <v>3</v>
          </cell>
          <cell r="T104">
            <v>0</v>
          </cell>
          <cell r="U104">
            <v>1</v>
          </cell>
        </row>
        <row r="105">
          <cell r="A105" t="str">
            <v>J11023</v>
          </cell>
          <cell r="B105">
            <v>4</v>
          </cell>
          <cell r="C105">
            <v>4</v>
          </cell>
          <cell r="D105">
            <v>4</v>
          </cell>
          <cell r="E105">
            <v>3</v>
          </cell>
          <cell r="F105">
            <v>4</v>
          </cell>
          <cell r="G105">
            <v>3</v>
          </cell>
          <cell r="H105">
            <v>4</v>
          </cell>
          <cell r="I105">
            <v>4</v>
          </cell>
          <cell r="J105">
            <v>4</v>
          </cell>
          <cell r="K105">
            <v>4</v>
          </cell>
          <cell r="L105">
            <v>4</v>
          </cell>
          <cell r="M105">
            <v>2</v>
          </cell>
          <cell r="N105">
            <v>4</v>
          </cell>
          <cell r="O105">
            <v>3</v>
          </cell>
          <cell r="P105">
            <v>0</v>
          </cell>
          <cell r="Q105">
            <v>4</v>
          </cell>
          <cell r="R105">
            <v>4</v>
          </cell>
          <cell r="S105">
            <v>4</v>
          </cell>
          <cell r="T105">
            <v>0</v>
          </cell>
          <cell r="U105">
            <v>3</v>
          </cell>
        </row>
        <row r="106">
          <cell r="A106" t="str">
            <v>J11029</v>
          </cell>
          <cell r="B106">
            <v>3</v>
          </cell>
          <cell r="C106">
            <v>2</v>
          </cell>
          <cell r="D106">
            <v>2</v>
          </cell>
          <cell r="E106">
            <v>2</v>
          </cell>
          <cell r="F106">
            <v>3</v>
          </cell>
          <cell r="G106">
            <v>3</v>
          </cell>
          <cell r="H106">
            <v>3</v>
          </cell>
          <cell r="I106">
            <v>3</v>
          </cell>
          <cell r="J106">
            <v>2</v>
          </cell>
          <cell r="K106">
            <v>3</v>
          </cell>
          <cell r="L106">
            <v>3</v>
          </cell>
          <cell r="M106">
            <v>3</v>
          </cell>
          <cell r="N106">
            <v>2</v>
          </cell>
          <cell r="O106">
            <v>2</v>
          </cell>
          <cell r="P106">
            <v>0</v>
          </cell>
          <cell r="Q106">
            <v>2</v>
          </cell>
          <cell r="R106">
            <v>4</v>
          </cell>
          <cell r="S106">
            <v>2</v>
          </cell>
          <cell r="T106">
            <v>0</v>
          </cell>
          <cell r="U106">
            <v>2</v>
          </cell>
        </row>
        <row r="107">
          <cell r="A107" t="str">
            <v>J11031</v>
          </cell>
          <cell r="B107">
            <v>2</v>
          </cell>
          <cell r="C107">
            <v>2</v>
          </cell>
          <cell r="D107">
            <v>2</v>
          </cell>
          <cell r="E107">
            <v>2</v>
          </cell>
          <cell r="F107">
            <v>2</v>
          </cell>
          <cell r="G107">
            <v>2</v>
          </cell>
          <cell r="H107">
            <v>2</v>
          </cell>
          <cell r="I107">
            <v>2</v>
          </cell>
          <cell r="J107">
            <v>2</v>
          </cell>
          <cell r="K107">
            <v>2</v>
          </cell>
          <cell r="L107">
            <v>2</v>
          </cell>
          <cell r="M107">
            <v>2</v>
          </cell>
          <cell r="N107">
            <v>2</v>
          </cell>
          <cell r="O107">
            <v>2</v>
          </cell>
          <cell r="P107">
            <v>0</v>
          </cell>
          <cell r="Q107">
            <v>2</v>
          </cell>
          <cell r="R107">
            <v>2</v>
          </cell>
          <cell r="S107">
            <v>2</v>
          </cell>
          <cell r="T107">
            <v>0</v>
          </cell>
          <cell r="U107">
            <v>2</v>
          </cell>
        </row>
        <row r="108">
          <cell r="A108" t="str">
            <v>J11032</v>
          </cell>
          <cell r="B108">
            <v>3</v>
          </cell>
          <cell r="C108">
            <v>2</v>
          </cell>
          <cell r="D108">
            <v>2</v>
          </cell>
          <cell r="E108">
            <v>2</v>
          </cell>
          <cell r="F108">
            <v>3</v>
          </cell>
          <cell r="G108">
            <v>3</v>
          </cell>
          <cell r="H108">
            <v>3</v>
          </cell>
          <cell r="I108">
            <v>3</v>
          </cell>
          <cell r="J108">
            <v>2</v>
          </cell>
          <cell r="K108">
            <v>3</v>
          </cell>
          <cell r="L108">
            <v>3</v>
          </cell>
          <cell r="M108">
            <v>3</v>
          </cell>
          <cell r="N108">
            <v>2</v>
          </cell>
          <cell r="O108">
            <v>2</v>
          </cell>
          <cell r="P108">
            <v>0</v>
          </cell>
          <cell r="Q108">
            <v>2</v>
          </cell>
          <cell r="R108">
            <v>4</v>
          </cell>
          <cell r="S108">
            <v>2</v>
          </cell>
          <cell r="T108">
            <v>0</v>
          </cell>
          <cell r="U108">
            <v>2</v>
          </cell>
        </row>
        <row r="109">
          <cell r="A109" t="str">
            <v>J11040</v>
          </cell>
          <cell r="B109">
            <v>2</v>
          </cell>
          <cell r="C109">
            <v>2</v>
          </cell>
          <cell r="D109">
            <v>2</v>
          </cell>
          <cell r="E109">
            <v>2</v>
          </cell>
          <cell r="F109">
            <v>2</v>
          </cell>
          <cell r="G109">
            <v>2</v>
          </cell>
          <cell r="H109">
            <v>2</v>
          </cell>
          <cell r="I109">
            <v>2</v>
          </cell>
          <cell r="J109">
            <v>2</v>
          </cell>
          <cell r="K109">
            <v>2</v>
          </cell>
          <cell r="L109">
            <v>2</v>
          </cell>
          <cell r="M109">
            <v>1</v>
          </cell>
          <cell r="N109">
            <v>2</v>
          </cell>
          <cell r="O109">
            <v>2</v>
          </cell>
          <cell r="P109">
            <v>0</v>
          </cell>
          <cell r="Q109">
            <v>2</v>
          </cell>
          <cell r="R109">
            <v>2</v>
          </cell>
          <cell r="S109">
            <v>2</v>
          </cell>
          <cell r="T109">
            <v>0</v>
          </cell>
          <cell r="U109">
            <v>2</v>
          </cell>
        </row>
        <row r="110">
          <cell r="A110" t="str">
            <v>J11042</v>
          </cell>
          <cell r="B110">
            <v>2</v>
          </cell>
          <cell r="C110">
            <v>2</v>
          </cell>
          <cell r="D110">
            <v>2</v>
          </cell>
          <cell r="E110">
            <v>2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  <cell r="J110">
            <v>2</v>
          </cell>
          <cell r="K110">
            <v>2</v>
          </cell>
          <cell r="L110">
            <v>2</v>
          </cell>
          <cell r="M110">
            <v>1</v>
          </cell>
          <cell r="N110">
            <v>2</v>
          </cell>
          <cell r="O110">
            <v>2</v>
          </cell>
          <cell r="P110">
            <v>0</v>
          </cell>
          <cell r="Q110">
            <v>2</v>
          </cell>
          <cell r="R110">
            <v>2</v>
          </cell>
          <cell r="S110">
            <v>2</v>
          </cell>
          <cell r="T110">
            <v>0</v>
          </cell>
          <cell r="U110">
            <v>2</v>
          </cell>
        </row>
        <row r="111">
          <cell r="A111" t="str">
            <v>J11044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</row>
        <row r="112">
          <cell r="A112" t="str">
            <v>J11045</v>
          </cell>
          <cell r="B112">
            <v>4</v>
          </cell>
          <cell r="C112">
            <v>4</v>
          </cell>
          <cell r="D112">
            <v>4</v>
          </cell>
          <cell r="E112">
            <v>2</v>
          </cell>
          <cell r="F112">
            <v>4</v>
          </cell>
          <cell r="G112">
            <v>2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2</v>
          </cell>
          <cell r="N112">
            <v>4</v>
          </cell>
          <cell r="O112">
            <v>2</v>
          </cell>
          <cell r="P112">
            <v>0</v>
          </cell>
          <cell r="Q112">
            <v>4</v>
          </cell>
          <cell r="R112">
            <v>4</v>
          </cell>
          <cell r="S112">
            <v>4</v>
          </cell>
          <cell r="T112">
            <v>0</v>
          </cell>
          <cell r="U112">
            <v>2</v>
          </cell>
        </row>
        <row r="113">
          <cell r="A113" t="str">
            <v>J11046</v>
          </cell>
          <cell r="B113">
            <v>4</v>
          </cell>
          <cell r="C113">
            <v>4</v>
          </cell>
          <cell r="D113">
            <v>4</v>
          </cell>
          <cell r="E113">
            <v>2</v>
          </cell>
          <cell r="F113">
            <v>4</v>
          </cell>
          <cell r="G113">
            <v>2</v>
          </cell>
          <cell r="H113">
            <v>4</v>
          </cell>
          <cell r="I113">
            <v>4</v>
          </cell>
          <cell r="J113">
            <v>4</v>
          </cell>
          <cell r="K113">
            <v>4</v>
          </cell>
          <cell r="L113">
            <v>4</v>
          </cell>
          <cell r="M113">
            <v>1</v>
          </cell>
          <cell r="N113">
            <v>4</v>
          </cell>
          <cell r="O113">
            <v>2</v>
          </cell>
          <cell r="P113">
            <v>0</v>
          </cell>
          <cell r="Q113">
            <v>4</v>
          </cell>
          <cell r="R113">
            <v>4</v>
          </cell>
          <cell r="S113">
            <v>4</v>
          </cell>
          <cell r="T113">
            <v>0</v>
          </cell>
          <cell r="U113">
            <v>2</v>
          </cell>
        </row>
        <row r="114">
          <cell r="A114" t="str">
            <v>J11055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1</v>
          </cell>
          <cell r="I114">
            <v>0</v>
          </cell>
          <cell r="J114">
            <v>0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J11058</v>
          </cell>
          <cell r="B115">
            <v>10</v>
          </cell>
          <cell r="C115">
            <v>4</v>
          </cell>
          <cell r="D115">
            <v>4</v>
          </cell>
          <cell r="E115">
            <v>6</v>
          </cell>
          <cell r="F115">
            <v>10</v>
          </cell>
          <cell r="G115">
            <v>7</v>
          </cell>
          <cell r="H115">
            <v>9</v>
          </cell>
          <cell r="I115">
            <v>10</v>
          </cell>
          <cell r="J115">
            <v>3</v>
          </cell>
          <cell r="K115">
            <v>10</v>
          </cell>
          <cell r="L115">
            <v>8</v>
          </cell>
          <cell r="M115">
            <v>6</v>
          </cell>
          <cell r="N115">
            <v>4</v>
          </cell>
          <cell r="O115">
            <v>3</v>
          </cell>
          <cell r="P115">
            <v>0</v>
          </cell>
          <cell r="Q115">
            <v>4</v>
          </cell>
          <cell r="R115">
            <v>9</v>
          </cell>
          <cell r="S115">
            <v>6</v>
          </cell>
          <cell r="T115">
            <v>0</v>
          </cell>
          <cell r="U115">
            <v>3</v>
          </cell>
        </row>
        <row r="116">
          <cell r="A116" t="str">
            <v>J11060</v>
          </cell>
          <cell r="B116">
            <v>2</v>
          </cell>
          <cell r="C116">
            <v>2</v>
          </cell>
          <cell r="D116">
            <v>2</v>
          </cell>
          <cell r="E116">
            <v>2</v>
          </cell>
          <cell r="F116">
            <v>2</v>
          </cell>
          <cell r="G116">
            <v>2</v>
          </cell>
          <cell r="H116">
            <v>2</v>
          </cell>
          <cell r="I116">
            <v>2</v>
          </cell>
          <cell r="J116">
            <v>2</v>
          </cell>
          <cell r="K116">
            <v>2</v>
          </cell>
          <cell r="L116">
            <v>2</v>
          </cell>
          <cell r="M116">
            <v>2</v>
          </cell>
          <cell r="N116">
            <v>2</v>
          </cell>
          <cell r="O116">
            <v>2</v>
          </cell>
          <cell r="P116">
            <v>0</v>
          </cell>
          <cell r="Q116">
            <v>2</v>
          </cell>
          <cell r="R116">
            <v>2</v>
          </cell>
          <cell r="S116">
            <v>2</v>
          </cell>
          <cell r="T116">
            <v>0</v>
          </cell>
          <cell r="U116">
            <v>2</v>
          </cell>
        </row>
        <row r="117">
          <cell r="A117" t="str">
            <v>J11061</v>
          </cell>
          <cell r="B117">
            <v>3</v>
          </cell>
          <cell r="C117">
            <v>3</v>
          </cell>
          <cell r="D117">
            <v>3</v>
          </cell>
          <cell r="E117">
            <v>2</v>
          </cell>
          <cell r="F117">
            <v>3</v>
          </cell>
          <cell r="G117">
            <v>2</v>
          </cell>
          <cell r="H117">
            <v>3</v>
          </cell>
          <cell r="I117">
            <v>3</v>
          </cell>
          <cell r="J117">
            <v>3</v>
          </cell>
          <cell r="K117">
            <v>3</v>
          </cell>
          <cell r="L117">
            <v>3</v>
          </cell>
          <cell r="M117">
            <v>2</v>
          </cell>
          <cell r="N117">
            <v>3</v>
          </cell>
          <cell r="O117">
            <v>2</v>
          </cell>
          <cell r="P117">
            <v>0</v>
          </cell>
          <cell r="Q117">
            <v>3</v>
          </cell>
          <cell r="R117">
            <v>3</v>
          </cell>
          <cell r="S117">
            <v>3</v>
          </cell>
          <cell r="T117">
            <v>0</v>
          </cell>
          <cell r="U117">
            <v>2</v>
          </cell>
        </row>
        <row r="118">
          <cell r="A118" t="str">
            <v>J11061-W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</row>
        <row r="119">
          <cell r="A119" t="str">
            <v>J11062</v>
          </cell>
          <cell r="B119">
            <v>2</v>
          </cell>
          <cell r="C119">
            <v>2</v>
          </cell>
          <cell r="D119">
            <v>2</v>
          </cell>
          <cell r="E119">
            <v>1</v>
          </cell>
          <cell r="F119">
            <v>2</v>
          </cell>
          <cell r="G119">
            <v>1</v>
          </cell>
          <cell r="H119">
            <v>2</v>
          </cell>
          <cell r="I119">
            <v>2</v>
          </cell>
          <cell r="J119">
            <v>2</v>
          </cell>
          <cell r="K119">
            <v>2</v>
          </cell>
          <cell r="L119">
            <v>2</v>
          </cell>
          <cell r="M119">
            <v>1</v>
          </cell>
          <cell r="N119">
            <v>2</v>
          </cell>
          <cell r="O119">
            <v>1</v>
          </cell>
          <cell r="P119">
            <v>2</v>
          </cell>
          <cell r="Q119">
            <v>2</v>
          </cell>
          <cell r="R119">
            <v>2</v>
          </cell>
          <cell r="S119">
            <v>2</v>
          </cell>
          <cell r="T119">
            <v>2</v>
          </cell>
          <cell r="U119">
            <v>1</v>
          </cell>
        </row>
        <row r="120">
          <cell r="A120" t="str">
            <v>J11062-W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A121" t="str">
            <v>J11064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J11064B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</row>
        <row r="123">
          <cell r="A123" t="str">
            <v>J11065</v>
          </cell>
          <cell r="B123">
            <v>1</v>
          </cell>
          <cell r="C123">
            <v>1</v>
          </cell>
          <cell r="D123">
            <v>1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0</v>
          </cell>
          <cell r="Q123">
            <v>1</v>
          </cell>
          <cell r="R123">
            <v>1</v>
          </cell>
          <cell r="S123">
            <v>1</v>
          </cell>
          <cell r="T123">
            <v>0</v>
          </cell>
          <cell r="U123">
            <v>1</v>
          </cell>
        </row>
        <row r="124">
          <cell r="A124" t="str">
            <v>J11069</v>
          </cell>
          <cell r="B124">
            <v>2</v>
          </cell>
          <cell r="C124">
            <v>2</v>
          </cell>
          <cell r="D124">
            <v>2</v>
          </cell>
          <cell r="E124">
            <v>2</v>
          </cell>
          <cell r="F124">
            <v>2</v>
          </cell>
          <cell r="G124">
            <v>2</v>
          </cell>
          <cell r="H124">
            <v>2</v>
          </cell>
          <cell r="I124">
            <v>2</v>
          </cell>
          <cell r="J124">
            <v>2</v>
          </cell>
          <cell r="K124">
            <v>2</v>
          </cell>
          <cell r="L124">
            <v>2</v>
          </cell>
          <cell r="M124">
            <v>1</v>
          </cell>
          <cell r="N124">
            <v>2</v>
          </cell>
          <cell r="O124">
            <v>2</v>
          </cell>
          <cell r="P124">
            <v>0</v>
          </cell>
          <cell r="Q124">
            <v>2</v>
          </cell>
          <cell r="R124">
            <v>2</v>
          </cell>
          <cell r="S124">
            <v>2</v>
          </cell>
          <cell r="T124">
            <v>0</v>
          </cell>
          <cell r="U124">
            <v>2</v>
          </cell>
        </row>
        <row r="125">
          <cell r="A125" t="str">
            <v>J11074</v>
          </cell>
          <cell r="B125">
            <v>1</v>
          </cell>
          <cell r="C125">
            <v>1</v>
          </cell>
          <cell r="D125">
            <v>1</v>
          </cell>
          <cell r="E125">
            <v>1</v>
          </cell>
          <cell r="F125">
            <v>1</v>
          </cell>
          <cell r="G125">
            <v>1</v>
          </cell>
          <cell r="H125">
            <v>1</v>
          </cell>
          <cell r="I125">
            <v>1</v>
          </cell>
          <cell r="J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0</v>
          </cell>
          <cell r="Q125">
            <v>1</v>
          </cell>
          <cell r="R125">
            <v>1</v>
          </cell>
          <cell r="S125">
            <v>1</v>
          </cell>
          <cell r="T125">
            <v>0</v>
          </cell>
          <cell r="U125">
            <v>1</v>
          </cell>
        </row>
        <row r="126">
          <cell r="A126" t="str">
            <v>J11075</v>
          </cell>
          <cell r="B126">
            <v>2</v>
          </cell>
          <cell r="C126">
            <v>2</v>
          </cell>
          <cell r="D126">
            <v>2</v>
          </cell>
          <cell r="E126">
            <v>2</v>
          </cell>
          <cell r="F126">
            <v>2</v>
          </cell>
          <cell r="G126">
            <v>2</v>
          </cell>
          <cell r="H126">
            <v>2</v>
          </cell>
          <cell r="I126">
            <v>2</v>
          </cell>
          <cell r="J126">
            <v>2</v>
          </cell>
          <cell r="K126">
            <v>2</v>
          </cell>
          <cell r="L126">
            <v>2</v>
          </cell>
          <cell r="M126">
            <v>1</v>
          </cell>
          <cell r="N126">
            <v>2</v>
          </cell>
          <cell r="O126">
            <v>2</v>
          </cell>
          <cell r="P126">
            <v>0</v>
          </cell>
          <cell r="Q126">
            <v>2</v>
          </cell>
          <cell r="R126">
            <v>2</v>
          </cell>
          <cell r="S126">
            <v>2</v>
          </cell>
          <cell r="T126">
            <v>0</v>
          </cell>
          <cell r="U126">
            <v>2</v>
          </cell>
        </row>
        <row r="127">
          <cell r="A127" t="str">
            <v>J11076</v>
          </cell>
          <cell r="B127">
            <v>2</v>
          </cell>
          <cell r="C127">
            <v>2</v>
          </cell>
          <cell r="D127">
            <v>2</v>
          </cell>
          <cell r="E127">
            <v>2</v>
          </cell>
          <cell r="F127">
            <v>2</v>
          </cell>
          <cell r="G127">
            <v>2</v>
          </cell>
          <cell r="H127">
            <v>2</v>
          </cell>
          <cell r="I127">
            <v>2</v>
          </cell>
          <cell r="J127">
            <v>2</v>
          </cell>
          <cell r="K127">
            <v>2</v>
          </cell>
          <cell r="L127">
            <v>2</v>
          </cell>
          <cell r="M127">
            <v>1</v>
          </cell>
          <cell r="N127">
            <v>2</v>
          </cell>
          <cell r="O127">
            <v>2</v>
          </cell>
          <cell r="P127">
            <v>0</v>
          </cell>
          <cell r="Q127">
            <v>2</v>
          </cell>
          <cell r="R127">
            <v>2</v>
          </cell>
          <cell r="S127">
            <v>2</v>
          </cell>
          <cell r="T127">
            <v>0</v>
          </cell>
          <cell r="U127">
            <v>2</v>
          </cell>
        </row>
        <row r="128">
          <cell r="A128" t="str">
            <v>J11079</v>
          </cell>
          <cell r="B128">
            <v>4</v>
          </cell>
          <cell r="C128">
            <v>4</v>
          </cell>
          <cell r="D128">
            <v>4</v>
          </cell>
          <cell r="E128">
            <v>2</v>
          </cell>
          <cell r="F128">
            <v>4</v>
          </cell>
          <cell r="G128">
            <v>2</v>
          </cell>
          <cell r="H128">
            <v>4</v>
          </cell>
          <cell r="I128">
            <v>4</v>
          </cell>
          <cell r="J128">
            <v>4</v>
          </cell>
          <cell r="K128">
            <v>4</v>
          </cell>
          <cell r="L128">
            <v>4</v>
          </cell>
          <cell r="M128">
            <v>1</v>
          </cell>
          <cell r="N128">
            <v>4</v>
          </cell>
          <cell r="O128">
            <v>2</v>
          </cell>
          <cell r="P128">
            <v>0</v>
          </cell>
          <cell r="Q128">
            <v>4</v>
          </cell>
          <cell r="R128">
            <v>4</v>
          </cell>
          <cell r="S128">
            <v>4</v>
          </cell>
          <cell r="T128">
            <v>0</v>
          </cell>
          <cell r="U128">
            <v>2</v>
          </cell>
        </row>
        <row r="129">
          <cell r="A129" t="str">
            <v>J11081</v>
          </cell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1</v>
          </cell>
          <cell r="M129">
            <v>1</v>
          </cell>
          <cell r="N129">
            <v>1</v>
          </cell>
          <cell r="O129">
            <v>1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</row>
        <row r="130">
          <cell r="A130" t="str">
            <v>J11081C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1</v>
          </cell>
          <cell r="R130">
            <v>1</v>
          </cell>
          <cell r="S130">
            <v>1</v>
          </cell>
          <cell r="T130">
            <v>0</v>
          </cell>
          <cell r="U130">
            <v>0</v>
          </cell>
        </row>
        <row r="131">
          <cell r="A131" t="str">
            <v>J11082</v>
          </cell>
          <cell r="B131">
            <v>1</v>
          </cell>
          <cell r="C131">
            <v>1</v>
          </cell>
          <cell r="D131">
            <v>1</v>
          </cell>
          <cell r="E131">
            <v>1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J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</row>
        <row r="132">
          <cell r="A132" t="str">
            <v>J11082C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1</v>
          </cell>
          <cell r="R132">
            <v>1</v>
          </cell>
          <cell r="S132">
            <v>1</v>
          </cell>
          <cell r="T132">
            <v>0</v>
          </cell>
          <cell r="U132">
            <v>0</v>
          </cell>
        </row>
        <row r="133">
          <cell r="A133" t="str">
            <v>J11083A</v>
          </cell>
          <cell r="B133">
            <v>2</v>
          </cell>
          <cell r="C133">
            <v>2</v>
          </cell>
          <cell r="D133">
            <v>2</v>
          </cell>
          <cell r="E133">
            <v>1</v>
          </cell>
          <cell r="F133">
            <v>2</v>
          </cell>
          <cell r="G133">
            <v>1</v>
          </cell>
          <cell r="H133">
            <v>0</v>
          </cell>
          <cell r="I133">
            <v>2</v>
          </cell>
          <cell r="J133">
            <v>2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1</v>
          </cell>
        </row>
        <row r="134">
          <cell r="A134" t="str">
            <v>J11083B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2</v>
          </cell>
          <cell r="I134">
            <v>0</v>
          </cell>
          <cell r="J134">
            <v>0</v>
          </cell>
          <cell r="K134">
            <v>2</v>
          </cell>
          <cell r="L134">
            <v>2</v>
          </cell>
          <cell r="M134">
            <v>1</v>
          </cell>
          <cell r="N134">
            <v>2</v>
          </cell>
          <cell r="O134">
            <v>1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A135" t="str">
            <v>J11083C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2</v>
          </cell>
          <cell r="R135">
            <v>2</v>
          </cell>
          <cell r="S135">
            <v>2</v>
          </cell>
          <cell r="T135">
            <v>0</v>
          </cell>
          <cell r="U135">
            <v>0</v>
          </cell>
        </row>
        <row r="136">
          <cell r="A136" t="str">
            <v>J11085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1</v>
          </cell>
          <cell r="R136">
            <v>1</v>
          </cell>
          <cell r="S136">
            <v>1</v>
          </cell>
          <cell r="T136">
            <v>0</v>
          </cell>
          <cell r="U136">
            <v>0</v>
          </cell>
        </row>
        <row r="137">
          <cell r="A137" t="str">
            <v>J11086</v>
          </cell>
          <cell r="B137">
            <v>1</v>
          </cell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1</v>
          </cell>
        </row>
        <row r="138">
          <cell r="A138" t="str">
            <v>J11086C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1</v>
          </cell>
          <cell r="R138">
            <v>1</v>
          </cell>
          <cell r="S138">
            <v>1</v>
          </cell>
          <cell r="T138">
            <v>0</v>
          </cell>
          <cell r="U138">
            <v>0</v>
          </cell>
        </row>
        <row r="139">
          <cell r="A139" t="str">
            <v>J11089C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1</v>
          </cell>
          <cell r="R139">
            <v>1</v>
          </cell>
          <cell r="S139">
            <v>1</v>
          </cell>
          <cell r="T139">
            <v>0</v>
          </cell>
          <cell r="U139">
            <v>0</v>
          </cell>
        </row>
        <row r="140">
          <cell r="A140" t="str">
            <v>J11091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2</v>
          </cell>
          <cell r="I140">
            <v>0</v>
          </cell>
          <cell r="J140">
            <v>0</v>
          </cell>
          <cell r="K140">
            <v>2</v>
          </cell>
          <cell r="L140">
            <v>2</v>
          </cell>
          <cell r="M140">
            <v>2</v>
          </cell>
          <cell r="N140">
            <v>2</v>
          </cell>
          <cell r="O140">
            <v>2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</row>
        <row r="141">
          <cell r="A141" t="str">
            <v>J11092</v>
          </cell>
          <cell r="B141">
            <v>3</v>
          </cell>
          <cell r="C141">
            <v>1</v>
          </cell>
          <cell r="D141">
            <v>1</v>
          </cell>
          <cell r="E141">
            <v>2</v>
          </cell>
          <cell r="F141">
            <v>3</v>
          </cell>
          <cell r="G141">
            <v>2</v>
          </cell>
          <cell r="H141">
            <v>2</v>
          </cell>
          <cell r="I141">
            <v>3</v>
          </cell>
          <cell r="J141">
            <v>1</v>
          </cell>
          <cell r="K141">
            <v>3</v>
          </cell>
          <cell r="L141">
            <v>2</v>
          </cell>
          <cell r="M141">
            <v>2</v>
          </cell>
          <cell r="N141">
            <v>1</v>
          </cell>
          <cell r="O141">
            <v>1</v>
          </cell>
          <cell r="P141">
            <v>0</v>
          </cell>
          <cell r="Q141">
            <v>1</v>
          </cell>
          <cell r="R141">
            <v>3</v>
          </cell>
          <cell r="S141">
            <v>1</v>
          </cell>
          <cell r="T141">
            <v>0</v>
          </cell>
          <cell r="U141">
            <v>1</v>
          </cell>
        </row>
        <row r="142">
          <cell r="A142" t="str">
            <v>J11093</v>
          </cell>
          <cell r="B142">
            <v>3</v>
          </cell>
          <cell r="C142">
            <v>1</v>
          </cell>
          <cell r="D142">
            <v>1</v>
          </cell>
          <cell r="E142">
            <v>2</v>
          </cell>
          <cell r="F142">
            <v>3</v>
          </cell>
          <cell r="G142">
            <v>2</v>
          </cell>
          <cell r="H142">
            <v>2</v>
          </cell>
          <cell r="I142">
            <v>3</v>
          </cell>
          <cell r="J142">
            <v>1</v>
          </cell>
          <cell r="K142">
            <v>3</v>
          </cell>
          <cell r="L142">
            <v>2</v>
          </cell>
          <cell r="M142">
            <v>2</v>
          </cell>
          <cell r="N142">
            <v>1</v>
          </cell>
          <cell r="O142">
            <v>1</v>
          </cell>
          <cell r="P142">
            <v>0</v>
          </cell>
          <cell r="Q142">
            <v>1</v>
          </cell>
          <cell r="R142">
            <v>3</v>
          </cell>
          <cell r="S142">
            <v>1</v>
          </cell>
          <cell r="T142">
            <v>0</v>
          </cell>
          <cell r="U142">
            <v>1</v>
          </cell>
        </row>
        <row r="143">
          <cell r="A143" t="str">
            <v>J11101</v>
          </cell>
          <cell r="B143">
            <v>10</v>
          </cell>
          <cell r="C143">
            <v>4</v>
          </cell>
          <cell r="D143">
            <v>4</v>
          </cell>
          <cell r="E143">
            <v>6</v>
          </cell>
          <cell r="F143">
            <v>10</v>
          </cell>
          <cell r="G143">
            <v>8</v>
          </cell>
          <cell r="H143">
            <v>8</v>
          </cell>
          <cell r="I143">
            <v>10</v>
          </cell>
          <cell r="J143">
            <v>4</v>
          </cell>
          <cell r="K143">
            <v>8</v>
          </cell>
          <cell r="L143">
            <v>8</v>
          </cell>
          <cell r="M143">
            <v>8</v>
          </cell>
          <cell r="N143">
            <v>4</v>
          </cell>
          <cell r="O143">
            <v>4</v>
          </cell>
          <cell r="P143">
            <v>0</v>
          </cell>
          <cell r="Q143">
            <v>4</v>
          </cell>
          <cell r="R143">
            <v>8</v>
          </cell>
          <cell r="S143">
            <v>6</v>
          </cell>
          <cell r="T143">
            <v>0</v>
          </cell>
          <cell r="U143">
            <v>4</v>
          </cell>
        </row>
        <row r="144">
          <cell r="A144" t="str">
            <v>J11102B</v>
          </cell>
          <cell r="B144">
            <v>1</v>
          </cell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0</v>
          </cell>
          <cell r="Q144">
            <v>1</v>
          </cell>
          <cell r="R144">
            <v>1</v>
          </cell>
          <cell r="S144">
            <v>1</v>
          </cell>
          <cell r="T144">
            <v>0</v>
          </cell>
          <cell r="U144">
            <v>1</v>
          </cell>
        </row>
        <row r="145">
          <cell r="A145" t="str">
            <v>J11107</v>
          </cell>
          <cell r="B145">
            <v>2</v>
          </cell>
          <cell r="C145">
            <v>2</v>
          </cell>
          <cell r="D145">
            <v>2</v>
          </cell>
          <cell r="E145">
            <v>1</v>
          </cell>
          <cell r="F145">
            <v>2</v>
          </cell>
          <cell r="G145">
            <v>1</v>
          </cell>
          <cell r="H145">
            <v>0</v>
          </cell>
          <cell r="I145">
            <v>2</v>
          </cell>
          <cell r="J145">
            <v>2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2</v>
          </cell>
          <cell r="T145">
            <v>0</v>
          </cell>
          <cell r="U145">
            <v>1</v>
          </cell>
        </row>
        <row r="146">
          <cell r="A146" t="str">
            <v>J11107B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</v>
          </cell>
          <cell r="I146">
            <v>0</v>
          </cell>
          <cell r="J146">
            <v>0</v>
          </cell>
          <cell r="K146">
            <v>2</v>
          </cell>
          <cell r="L146">
            <v>2</v>
          </cell>
          <cell r="M146">
            <v>2</v>
          </cell>
          <cell r="N146">
            <v>2</v>
          </cell>
          <cell r="O146">
            <v>1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</row>
        <row r="147">
          <cell r="A147" t="str">
            <v>J11108</v>
          </cell>
          <cell r="B147">
            <v>2</v>
          </cell>
          <cell r="C147">
            <v>2</v>
          </cell>
          <cell r="D147">
            <v>2</v>
          </cell>
          <cell r="E147">
            <v>2</v>
          </cell>
          <cell r="F147">
            <v>2</v>
          </cell>
          <cell r="G147">
            <v>2</v>
          </cell>
          <cell r="H147">
            <v>0</v>
          </cell>
          <cell r="I147">
            <v>2</v>
          </cell>
          <cell r="J147">
            <v>2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2</v>
          </cell>
        </row>
        <row r="148">
          <cell r="A148" t="str">
            <v>J11111</v>
          </cell>
          <cell r="B148">
            <v>2</v>
          </cell>
          <cell r="C148">
            <v>2</v>
          </cell>
          <cell r="D148">
            <v>2</v>
          </cell>
          <cell r="E148">
            <v>2</v>
          </cell>
          <cell r="F148">
            <v>2</v>
          </cell>
          <cell r="G148">
            <v>2</v>
          </cell>
          <cell r="H148">
            <v>2</v>
          </cell>
          <cell r="I148">
            <v>2</v>
          </cell>
          <cell r="J148">
            <v>2</v>
          </cell>
          <cell r="K148">
            <v>2</v>
          </cell>
          <cell r="L148">
            <v>2</v>
          </cell>
          <cell r="M148">
            <v>1</v>
          </cell>
          <cell r="N148">
            <v>2</v>
          </cell>
          <cell r="O148">
            <v>2</v>
          </cell>
          <cell r="P148">
            <v>0</v>
          </cell>
          <cell r="Q148">
            <v>2</v>
          </cell>
          <cell r="R148">
            <v>2</v>
          </cell>
          <cell r="S148">
            <v>2</v>
          </cell>
          <cell r="T148">
            <v>0</v>
          </cell>
          <cell r="U148">
            <v>2</v>
          </cell>
        </row>
        <row r="149">
          <cell r="A149" t="str">
            <v>J11112</v>
          </cell>
          <cell r="B149">
            <v>2</v>
          </cell>
          <cell r="C149">
            <v>1</v>
          </cell>
          <cell r="D149">
            <v>1</v>
          </cell>
          <cell r="E149">
            <v>1</v>
          </cell>
          <cell r="F149">
            <v>2</v>
          </cell>
          <cell r="G149">
            <v>2</v>
          </cell>
          <cell r="H149">
            <v>0</v>
          </cell>
          <cell r="I149">
            <v>2</v>
          </cell>
          <cell r="J149">
            <v>1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1</v>
          </cell>
        </row>
        <row r="150">
          <cell r="A150" t="str">
            <v>J11113B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</v>
          </cell>
          <cell r="I150">
            <v>0</v>
          </cell>
          <cell r="J150">
            <v>0</v>
          </cell>
          <cell r="K150">
            <v>2</v>
          </cell>
          <cell r="L150">
            <v>2</v>
          </cell>
          <cell r="M150">
            <v>2</v>
          </cell>
          <cell r="N150">
            <v>2</v>
          </cell>
          <cell r="O150">
            <v>2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</row>
        <row r="151">
          <cell r="A151" t="str">
            <v>J11114</v>
          </cell>
          <cell r="B151">
            <v>2</v>
          </cell>
          <cell r="C151">
            <v>2</v>
          </cell>
          <cell r="D151">
            <v>2</v>
          </cell>
          <cell r="E151">
            <v>2</v>
          </cell>
          <cell r="F151">
            <v>2</v>
          </cell>
          <cell r="G151">
            <v>2</v>
          </cell>
          <cell r="H151">
            <v>2</v>
          </cell>
          <cell r="I151">
            <v>2</v>
          </cell>
          <cell r="J151">
            <v>2</v>
          </cell>
          <cell r="K151">
            <v>2</v>
          </cell>
          <cell r="L151">
            <v>2</v>
          </cell>
          <cell r="M151">
            <v>1</v>
          </cell>
          <cell r="N151">
            <v>2</v>
          </cell>
          <cell r="O151">
            <v>2</v>
          </cell>
          <cell r="P151">
            <v>0</v>
          </cell>
          <cell r="Q151">
            <v>2</v>
          </cell>
          <cell r="R151">
            <v>2</v>
          </cell>
          <cell r="S151">
            <v>2</v>
          </cell>
          <cell r="T151">
            <v>0</v>
          </cell>
          <cell r="U151">
            <v>2</v>
          </cell>
        </row>
        <row r="152">
          <cell r="A152" t="str">
            <v>J11115</v>
          </cell>
          <cell r="B152">
            <v>5</v>
          </cell>
          <cell r="C152">
            <v>2</v>
          </cell>
          <cell r="D152">
            <v>2</v>
          </cell>
          <cell r="E152">
            <v>3</v>
          </cell>
          <cell r="F152">
            <v>5</v>
          </cell>
          <cell r="G152">
            <v>3</v>
          </cell>
          <cell r="H152">
            <v>4</v>
          </cell>
          <cell r="I152">
            <v>5</v>
          </cell>
          <cell r="J152">
            <v>1</v>
          </cell>
          <cell r="K152">
            <v>5</v>
          </cell>
          <cell r="L152">
            <v>4</v>
          </cell>
          <cell r="M152">
            <v>4</v>
          </cell>
          <cell r="N152">
            <v>1</v>
          </cell>
          <cell r="O152">
            <v>1</v>
          </cell>
          <cell r="P152">
            <v>0</v>
          </cell>
          <cell r="Q152">
            <v>1</v>
          </cell>
          <cell r="R152">
            <v>5</v>
          </cell>
          <cell r="S152">
            <v>2</v>
          </cell>
          <cell r="T152">
            <v>0</v>
          </cell>
          <cell r="U152">
            <v>1</v>
          </cell>
        </row>
        <row r="153">
          <cell r="A153" t="str">
            <v>J11116</v>
          </cell>
          <cell r="B153">
            <v>2</v>
          </cell>
          <cell r="C153">
            <v>2</v>
          </cell>
          <cell r="D153">
            <v>2</v>
          </cell>
          <cell r="E153">
            <v>2</v>
          </cell>
          <cell r="F153">
            <v>2</v>
          </cell>
          <cell r="G153">
            <v>2</v>
          </cell>
          <cell r="H153">
            <v>2</v>
          </cell>
          <cell r="I153">
            <v>2</v>
          </cell>
          <cell r="J153">
            <v>2</v>
          </cell>
          <cell r="K153">
            <v>2</v>
          </cell>
          <cell r="L153">
            <v>2</v>
          </cell>
          <cell r="M153">
            <v>1</v>
          </cell>
          <cell r="N153">
            <v>2</v>
          </cell>
          <cell r="O153">
            <v>2</v>
          </cell>
          <cell r="P153">
            <v>0</v>
          </cell>
          <cell r="Q153">
            <v>2</v>
          </cell>
          <cell r="R153">
            <v>2</v>
          </cell>
          <cell r="S153">
            <v>2</v>
          </cell>
          <cell r="T153">
            <v>0</v>
          </cell>
          <cell r="U153">
            <v>2</v>
          </cell>
        </row>
        <row r="154">
          <cell r="A154" t="str">
            <v>J11117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2</v>
          </cell>
          <cell r="I154">
            <v>0</v>
          </cell>
          <cell r="J154">
            <v>0</v>
          </cell>
          <cell r="K154">
            <v>2</v>
          </cell>
          <cell r="L154">
            <v>2</v>
          </cell>
          <cell r="M154">
            <v>2</v>
          </cell>
          <cell r="N154">
            <v>2</v>
          </cell>
          <cell r="O154">
            <v>2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</row>
        <row r="155">
          <cell r="A155" t="str">
            <v>J11119</v>
          </cell>
          <cell r="B155">
            <v>12</v>
          </cell>
          <cell r="C155">
            <v>3</v>
          </cell>
          <cell r="D155">
            <v>3</v>
          </cell>
          <cell r="E155">
            <v>6</v>
          </cell>
          <cell r="F155">
            <v>12</v>
          </cell>
          <cell r="G155">
            <v>7</v>
          </cell>
          <cell r="H155">
            <v>10</v>
          </cell>
          <cell r="I155">
            <v>12</v>
          </cell>
          <cell r="J155">
            <v>1</v>
          </cell>
          <cell r="K155">
            <v>12</v>
          </cell>
          <cell r="L155">
            <v>8</v>
          </cell>
          <cell r="M155">
            <v>8</v>
          </cell>
          <cell r="N155">
            <v>2</v>
          </cell>
          <cell r="O155">
            <v>2</v>
          </cell>
          <cell r="P155">
            <v>0</v>
          </cell>
          <cell r="Q155">
            <v>3</v>
          </cell>
          <cell r="R155">
            <v>11</v>
          </cell>
          <cell r="S155">
            <v>5</v>
          </cell>
          <cell r="T155">
            <v>0</v>
          </cell>
          <cell r="U155">
            <v>1</v>
          </cell>
        </row>
        <row r="156">
          <cell r="A156" t="str">
            <v>J11120</v>
          </cell>
          <cell r="B156">
            <v>2</v>
          </cell>
          <cell r="C156">
            <v>2</v>
          </cell>
          <cell r="D156">
            <v>2</v>
          </cell>
          <cell r="E156">
            <v>1</v>
          </cell>
          <cell r="F156">
            <v>2</v>
          </cell>
          <cell r="G156">
            <v>1</v>
          </cell>
          <cell r="H156">
            <v>2</v>
          </cell>
          <cell r="I156">
            <v>2</v>
          </cell>
          <cell r="J156">
            <v>2</v>
          </cell>
          <cell r="K156">
            <v>2</v>
          </cell>
          <cell r="L156">
            <v>2</v>
          </cell>
          <cell r="M156">
            <v>1</v>
          </cell>
          <cell r="N156">
            <v>2</v>
          </cell>
          <cell r="O156">
            <v>1</v>
          </cell>
          <cell r="P156">
            <v>0</v>
          </cell>
          <cell r="Q156">
            <v>2</v>
          </cell>
          <cell r="R156">
            <v>2</v>
          </cell>
          <cell r="S156">
            <v>2</v>
          </cell>
          <cell r="T156">
            <v>0</v>
          </cell>
          <cell r="U156">
            <v>1</v>
          </cell>
        </row>
        <row r="157">
          <cell r="A157" t="str">
            <v>J11121</v>
          </cell>
          <cell r="B157">
            <v>1</v>
          </cell>
          <cell r="C157">
            <v>1</v>
          </cell>
          <cell r="D157">
            <v>1</v>
          </cell>
          <cell r="E157">
            <v>1</v>
          </cell>
          <cell r="F157">
            <v>1</v>
          </cell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1</v>
          </cell>
          <cell r="P157">
            <v>0</v>
          </cell>
          <cell r="Q157">
            <v>1</v>
          </cell>
          <cell r="R157">
            <v>1</v>
          </cell>
          <cell r="S157">
            <v>1</v>
          </cell>
          <cell r="T157">
            <v>0</v>
          </cell>
          <cell r="U157">
            <v>1</v>
          </cell>
        </row>
        <row r="158">
          <cell r="A158" t="str">
            <v>J11122</v>
          </cell>
          <cell r="B158">
            <v>6</v>
          </cell>
          <cell r="C158">
            <v>2</v>
          </cell>
          <cell r="D158">
            <v>2</v>
          </cell>
          <cell r="E158">
            <v>3</v>
          </cell>
          <cell r="F158">
            <v>6</v>
          </cell>
          <cell r="G158">
            <v>4</v>
          </cell>
          <cell r="H158">
            <v>5</v>
          </cell>
          <cell r="I158">
            <v>6</v>
          </cell>
          <cell r="J158">
            <v>2</v>
          </cell>
          <cell r="K158">
            <v>6</v>
          </cell>
          <cell r="L158">
            <v>4</v>
          </cell>
          <cell r="M158">
            <v>4</v>
          </cell>
          <cell r="N158">
            <v>2</v>
          </cell>
          <cell r="O158">
            <v>2</v>
          </cell>
          <cell r="P158">
            <v>0</v>
          </cell>
          <cell r="Q158">
            <v>2</v>
          </cell>
          <cell r="R158">
            <v>6</v>
          </cell>
          <cell r="S158">
            <v>3</v>
          </cell>
          <cell r="T158">
            <v>0</v>
          </cell>
          <cell r="U158">
            <v>2</v>
          </cell>
        </row>
        <row r="159">
          <cell r="A159" t="str">
            <v>J11123</v>
          </cell>
          <cell r="B159">
            <v>6</v>
          </cell>
          <cell r="C159">
            <v>2</v>
          </cell>
          <cell r="D159">
            <v>2</v>
          </cell>
          <cell r="E159">
            <v>3</v>
          </cell>
          <cell r="F159">
            <v>6</v>
          </cell>
          <cell r="G159">
            <v>4</v>
          </cell>
          <cell r="H159">
            <v>5</v>
          </cell>
          <cell r="I159">
            <v>6</v>
          </cell>
          <cell r="J159">
            <v>2</v>
          </cell>
          <cell r="K159">
            <v>6</v>
          </cell>
          <cell r="L159">
            <v>4</v>
          </cell>
          <cell r="M159">
            <v>4</v>
          </cell>
          <cell r="N159">
            <v>2</v>
          </cell>
          <cell r="O159">
            <v>2</v>
          </cell>
          <cell r="P159">
            <v>0</v>
          </cell>
          <cell r="Q159">
            <v>2</v>
          </cell>
          <cell r="R159">
            <v>6</v>
          </cell>
          <cell r="S159">
            <v>3</v>
          </cell>
          <cell r="T159">
            <v>0</v>
          </cell>
          <cell r="U159">
            <v>2</v>
          </cell>
        </row>
        <row r="160">
          <cell r="A160" t="str">
            <v>J11124</v>
          </cell>
          <cell r="B160">
            <v>3</v>
          </cell>
          <cell r="C160">
            <v>2</v>
          </cell>
          <cell r="D160">
            <v>2</v>
          </cell>
          <cell r="E160">
            <v>2</v>
          </cell>
          <cell r="F160">
            <v>3</v>
          </cell>
          <cell r="G160">
            <v>2</v>
          </cell>
          <cell r="H160">
            <v>2</v>
          </cell>
          <cell r="I160">
            <v>3</v>
          </cell>
          <cell r="J160">
            <v>2</v>
          </cell>
          <cell r="K160">
            <v>3</v>
          </cell>
          <cell r="L160">
            <v>2</v>
          </cell>
          <cell r="M160">
            <v>2</v>
          </cell>
          <cell r="N160">
            <v>2</v>
          </cell>
          <cell r="O160">
            <v>2</v>
          </cell>
          <cell r="P160">
            <v>0</v>
          </cell>
          <cell r="Q160">
            <v>2</v>
          </cell>
          <cell r="R160">
            <v>3</v>
          </cell>
          <cell r="S160">
            <v>2</v>
          </cell>
          <cell r="T160">
            <v>0</v>
          </cell>
          <cell r="U160">
            <v>2</v>
          </cell>
        </row>
        <row r="161">
          <cell r="A161" t="str">
            <v>J11125</v>
          </cell>
          <cell r="B161">
            <v>6</v>
          </cell>
          <cell r="C161">
            <v>2</v>
          </cell>
          <cell r="D161">
            <v>2</v>
          </cell>
          <cell r="E161">
            <v>3</v>
          </cell>
          <cell r="F161">
            <v>6</v>
          </cell>
          <cell r="G161">
            <v>4</v>
          </cell>
          <cell r="H161">
            <v>5</v>
          </cell>
          <cell r="I161">
            <v>6</v>
          </cell>
          <cell r="J161">
            <v>1</v>
          </cell>
          <cell r="K161">
            <v>6</v>
          </cell>
          <cell r="L161">
            <v>4</v>
          </cell>
          <cell r="M161">
            <v>4</v>
          </cell>
          <cell r="N161">
            <v>2</v>
          </cell>
          <cell r="O161">
            <v>2</v>
          </cell>
          <cell r="P161">
            <v>0</v>
          </cell>
          <cell r="Q161">
            <v>2</v>
          </cell>
          <cell r="R161">
            <v>6</v>
          </cell>
          <cell r="S161">
            <v>3</v>
          </cell>
          <cell r="T161">
            <v>0</v>
          </cell>
          <cell r="U161">
            <v>1</v>
          </cell>
        </row>
        <row r="162">
          <cell r="A162" t="str">
            <v>J11127</v>
          </cell>
          <cell r="B162">
            <v>4</v>
          </cell>
          <cell r="C162">
            <v>1</v>
          </cell>
          <cell r="D162">
            <v>1</v>
          </cell>
          <cell r="E162">
            <v>2</v>
          </cell>
          <cell r="F162">
            <v>4</v>
          </cell>
          <cell r="G162">
            <v>3</v>
          </cell>
          <cell r="H162">
            <v>4</v>
          </cell>
          <cell r="I162">
            <v>4</v>
          </cell>
          <cell r="J162">
            <v>1</v>
          </cell>
          <cell r="K162">
            <v>4</v>
          </cell>
          <cell r="L162">
            <v>3</v>
          </cell>
          <cell r="M162">
            <v>3</v>
          </cell>
          <cell r="N162">
            <v>1</v>
          </cell>
          <cell r="O162">
            <v>1</v>
          </cell>
          <cell r="P162">
            <v>0</v>
          </cell>
          <cell r="Q162">
            <v>2</v>
          </cell>
          <cell r="R162">
            <v>4</v>
          </cell>
          <cell r="S162">
            <v>2</v>
          </cell>
          <cell r="T162">
            <v>0</v>
          </cell>
          <cell r="U162">
            <v>1</v>
          </cell>
        </row>
        <row r="163">
          <cell r="A163" t="str">
            <v>J11128</v>
          </cell>
          <cell r="B163">
            <v>2</v>
          </cell>
          <cell r="C163">
            <v>2</v>
          </cell>
          <cell r="D163">
            <v>2</v>
          </cell>
          <cell r="E163">
            <v>2</v>
          </cell>
          <cell r="F163">
            <v>2</v>
          </cell>
          <cell r="G163">
            <v>2</v>
          </cell>
          <cell r="H163">
            <v>2</v>
          </cell>
          <cell r="I163">
            <v>2</v>
          </cell>
          <cell r="J163">
            <v>2</v>
          </cell>
          <cell r="K163">
            <v>2</v>
          </cell>
          <cell r="L163">
            <v>2</v>
          </cell>
          <cell r="M163">
            <v>1</v>
          </cell>
          <cell r="N163">
            <v>2</v>
          </cell>
          <cell r="O163">
            <v>2</v>
          </cell>
          <cell r="P163">
            <v>0</v>
          </cell>
          <cell r="Q163">
            <v>2</v>
          </cell>
          <cell r="R163">
            <v>2</v>
          </cell>
          <cell r="S163">
            <v>2</v>
          </cell>
          <cell r="T163">
            <v>0</v>
          </cell>
          <cell r="U163">
            <v>2</v>
          </cell>
        </row>
        <row r="164">
          <cell r="A164" t="str">
            <v>J11129</v>
          </cell>
          <cell r="B164">
            <v>1</v>
          </cell>
          <cell r="C164">
            <v>1</v>
          </cell>
          <cell r="D164">
            <v>1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J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</row>
        <row r="165">
          <cell r="A165" t="str">
            <v>J11130</v>
          </cell>
          <cell r="B165">
            <v>1</v>
          </cell>
          <cell r="C165">
            <v>1</v>
          </cell>
          <cell r="D165">
            <v>1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Q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</row>
        <row r="166">
          <cell r="A166" t="str">
            <v>J11906</v>
          </cell>
          <cell r="B166">
            <v>4</v>
          </cell>
          <cell r="C166">
            <v>1</v>
          </cell>
          <cell r="D166">
            <v>1</v>
          </cell>
          <cell r="E166">
            <v>2</v>
          </cell>
          <cell r="F166">
            <v>4</v>
          </cell>
          <cell r="G166">
            <v>3</v>
          </cell>
          <cell r="H166">
            <v>5</v>
          </cell>
          <cell r="I166">
            <v>4</v>
          </cell>
          <cell r="J166">
            <v>1</v>
          </cell>
          <cell r="K166">
            <v>6</v>
          </cell>
          <cell r="L166">
            <v>4</v>
          </cell>
          <cell r="M166">
            <v>4</v>
          </cell>
          <cell r="N166">
            <v>1</v>
          </cell>
          <cell r="O166">
            <v>1</v>
          </cell>
          <cell r="P166">
            <v>0</v>
          </cell>
          <cell r="Q166">
            <v>2</v>
          </cell>
          <cell r="R166">
            <v>6</v>
          </cell>
          <cell r="S166">
            <v>3</v>
          </cell>
          <cell r="T166">
            <v>0</v>
          </cell>
          <cell r="U166">
            <v>1</v>
          </cell>
        </row>
        <row r="167">
          <cell r="A167" t="str">
            <v>J12001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</row>
        <row r="168">
          <cell r="A168" t="str">
            <v>J12003</v>
          </cell>
          <cell r="B168">
            <v>3</v>
          </cell>
          <cell r="C168">
            <v>3</v>
          </cell>
          <cell r="D168">
            <v>3</v>
          </cell>
          <cell r="E168">
            <v>0</v>
          </cell>
          <cell r="F168">
            <v>3</v>
          </cell>
          <cell r="G168">
            <v>0</v>
          </cell>
          <cell r="H168">
            <v>3</v>
          </cell>
          <cell r="I168">
            <v>3</v>
          </cell>
          <cell r="J168">
            <v>3</v>
          </cell>
          <cell r="K168">
            <v>3</v>
          </cell>
          <cell r="L168">
            <v>3</v>
          </cell>
          <cell r="M168">
            <v>0</v>
          </cell>
          <cell r="N168">
            <v>3</v>
          </cell>
          <cell r="O168">
            <v>0</v>
          </cell>
          <cell r="P168">
            <v>3</v>
          </cell>
          <cell r="Q168">
            <v>3</v>
          </cell>
          <cell r="R168">
            <v>3</v>
          </cell>
          <cell r="S168">
            <v>3</v>
          </cell>
          <cell r="T168">
            <v>3</v>
          </cell>
          <cell r="U168">
            <v>0</v>
          </cell>
        </row>
        <row r="169">
          <cell r="A169" t="str">
            <v>J12007</v>
          </cell>
          <cell r="B169">
            <v>2</v>
          </cell>
          <cell r="C169">
            <v>2</v>
          </cell>
          <cell r="D169">
            <v>2</v>
          </cell>
          <cell r="E169">
            <v>1</v>
          </cell>
          <cell r="F169">
            <v>2</v>
          </cell>
          <cell r="G169">
            <v>1</v>
          </cell>
          <cell r="H169">
            <v>2</v>
          </cell>
          <cell r="I169">
            <v>2</v>
          </cell>
          <cell r="J169">
            <v>2</v>
          </cell>
          <cell r="K169">
            <v>2</v>
          </cell>
          <cell r="L169">
            <v>2</v>
          </cell>
          <cell r="M169">
            <v>1</v>
          </cell>
          <cell r="N169">
            <v>2</v>
          </cell>
          <cell r="O169">
            <v>1</v>
          </cell>
          <cell r="P169">
            <v>2</v>
          </cell>
          <cell r="Q169">
            <v>2</v>
          </cell>
          <cell r="R169">
            <v>2</v>
          </cell>
          <cell r="S169">
            <v>2</v>
          </cell>
          <cell r="T169">
            <v>2</v>
          </cell>
          <cell r="U169">
            <v>1</v>
          </cell>
        </row>
        <row r="170">
          <cell r="A170" t="str">
            <v>J12016</v>
          </cell>
          <cell r="B170">
            <v>2</v>
          </cell>
          <cell r="C170">
            <v>2</v>
          </cell>
          <cell r="D170">
            <v>2</v>
          </cell>
          <cell r="E170">
            <v>0</v>
          </cell>
          <cell r="F170">
            <v>2</v>
          </cell>
          <cell r="G170">
            <v>0</v>
          </cell>
          <cell r="H170">
            <v>2</v>
          </cell>
          <cell r="I170">
            <v>2</v>
          </cell>
          <cell r="J170">
            <v>2</v>
          </cell>
          <cell r="K170">
            <v>2</v>
          </cell>
          <cell r="L170">
            <v>2</v>
          </cell>
          <cell r="M170">
            <v>0</v>
          </cell>
          <cell r="N170">
            <v>2</v>
          </cell>
          <cell r="O170">
            <v>0</v>
          </cell>
          <cell r="P170">
            <v>0</v>
          </cell>
          <cell r="Q170">
            <v>2</v>
          </cell>
          <cell r="R170">
            <v>2</v>
          </cell>
          <cell r="S170">
            <v>2</v>
          </cell>
          <cell r="T170">
            <v>0</v>
          </cell>
          <cell r="U170">
            <v>0</v>
          </cell>
        </row>
        <row r="171">
          <cell r="A171" t="str">
            <v>J12019</v>
          </cell>
          <cell r="B171">
            <v>4</v>
          </cell>
          <cell r="C171">
            <v>4</v>
          </cell>
          <cell r="D171">
            <v>4</v>
          </cell>
          <cell r="E171">
            <v>4</v>
          </cell>
          <cell r="F171">
            <v>4</v>
          </cell>
          <cell r="G171">
            <v>4</v>
          </cell>
          <cell r="H171">
            <v>2</v>
          </cell>
          <cell r="I171">
            <v>4</v>
          </cell>
          <cell r="J171">
            <v>4</v>
          </cell>
          <cell r="K171">
            <v>2</v>
          </cell>
          <cell r="L171">
            <v>2</v>
          </cell>
          <cell r="M171">
            <v>2</v>
          </cell>
          <cell r="N171">
            <v>2</v>
          </cell>
          <cell r="O171">
            <v>2</v>
          </cell>
          <cell r="P171">
            <v>0</v>
          </cell>
          <cell r="Q171">
            <v>4</v>
          </cell>
          <cell r="R171">
            <v>4</v>
          </cell>
          <cell r="S171">
            <v>4</v>
          </cell>
          <cell r="T171">
            <v>0</v>
          </cell>
          <cell r="U171">
            <v>4</v>
          </cell>
        </row>
        <row r="172">
          <cell r="A172" t="str">
            <v>J12020</v>
          </cell>
          <cell r="B172">
            <v>5</v>
          </cell>
          <cell r="C172">
            <v>2</v>
          </cell>
          <cell r="D172">
            <v>2</v>
          </cell>
          <cell r="E172">
            <v>2</v>
          </cell>
          <cell r="F172">
            <v>5</v>
          </cell>
          <cell r="G172">
            <v>3</v>
          </cell>
          <cell r="H172">
            <v>4</v>
          </cell>
          <cell r="I172">
            <v>5</v>
          </cell>
          <cell r="J172">
            <v>2</v>
          </cell>
          <cell r="K172">
            <v>4</v>
          </cell>
          <cell r="L172">
            <v>4</v>
          </cell>
          <cell r="M172">
            <v>0</v>
          </cell>
          <cell r="N172">
            <v>4</v>
          </cell>
          <cell r="O172">
            <v>0</v>
          </cell>
          <cell r="P172">
            <v>3</v>
          </cell>
          <cell r="Q172">
            <v>3</v>
          </cell>
          <cell r="R172">
            <v>3</v>
          </cell>
          <cell r="S172">
            <v>3</v>
          </cell>
          <cell r="T172">
            <v>3</v>
          </cell>
          <cell r="U172">
            <v>1</v>
          </cell>
        </row>
        <row r="173">
          <cell r="A173" t="str">
            <v>J12021</v>
          </cell>
          <cell r="B173">
            <v>4</v>
          </cell>
          <cell r="C173">
            <v>4</v>
          </cell>
          <cell r="D173">
            <v>4</v>
          </cell>
          <cell r="E173">
            <v>4</v>
          </cell>
          <cell r="F173">
            <v>4</v>
          </cell>
          <cell r="G173">
            <v>4</v>
          </cell>
          <cell r="H173">
            <v>4</v>
          </cell>
          <cell r="I173">
            <v>4</v>
          </cell>
          <cell r="J173">
            <v>4</v>
          </cell>
          <cell r="K173">
            <v>4</v>
          </cell>
          <cell r="L173">
            <v>4</v>
          </cell>
          <cell r="M173">
            <v>2</v>
          </cell>
          <cell r="N173">
            <v>4</v>
          </cell>
          <cell r="O173">
            <v>4</v>
          </cell>
          <cell r="P173">
            <v>0</v>
          </cell>
          <cell r="Q173">
            <v>4</v>
          </cell>
          <cell r="R173">
            <v>4</v>
          </cell>
          <cell r="S173">
            <v>4</v>
          </cell>
          <cell r="T173">
            <v>0</v>
          </cell>
          <cell r="U173">
            <v>4</v>
          </cell>
        </row>
        <row r="174">
          <cell r="A174" t="str">
            <v>J12022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</row>
        <row r="175">
          <cell r="A175" t="str">
            <v>J12023</v>
          </cell>
          <cell r="B175">
            <v>3</v>
          </cell>
          <cell r="C175">
            <v>3</v>
          </cell>
          <cell r="D175">
            <v>3</v>
          </cell>
          <cell r="E175">
            <v>0</v>
          </cell>
          <cell r="F175">
            <v>3</v>
          </cell>
          <cell r="G175">
            <v>0</v>
          </cell>
          <cell r="H175">
            <v>3</v>
          </cell>
          <cell r="I175">
            <v>3</v>
          </cell>
          <cell r="J175">
            <v>3</v>
          </cell>
          <cell r="K175">
            <v>3</v>
          </cell>
          <cell r="L175">
            <v>3</v>
          </cell>
          <cell r="M175">
            <v>0</v>
          </cell>
          <cell r="N175">
            <v>3</v>
          </cell>
          <cell r="O175">
            <v>0</v>
          </cell>
          <cell r="P175">
            <v>0</v>
          </cell>
          <cell r="Q175">
            <v>3</v>
          </cell>
          <cell r="R175">
            <v>3</v>
          </cell>
          <cell r="S175">
            <v>3</v>
          </cell>
          <cell r="T175">
            <v>0</v>
          </cell>
          <cell r="U175">
            <v>0</v>
          </cell>
        </row>
        <row r="176">
          <cell r="A176" t="str">
            <v>J12024</v>
          </cell>
          <cell r="B176">
            <v>6</v>
          </cell>
          <cell r="C176">
            <v>2</v>
          </cell>
          <cell r="D176">
            <v>2</v>
          </cell>
          <cell r="E176">
            <v>3</v>
          </cell>
          <cell r="F176">
            <v>6</v>
          </cell>
          <cell r="G176">
            <v>4</v>
          </cell>
          <cell r="H176">
            <v>5</v>
          </cell>
          <cell r="I176">
            <v>6</v>
          </cell>
          <cell r="J176">
            <v>1</v>
          </cell>
          <cell r="K176">
            <v>6</v>
          </cell>
          <cell r="L176">
            <v>4</v>
          </cell>
          <cell r="M176">
            <v>4</v>
          </cell>
          <cell r="N176">
            <v>1</v>
          </cell>
          <cell r="O176">
            <v>1</v>
          </cell>
          <cell r="P176">
            <v>0</v>
          </cell>
          <cell r="Q176">
            <v>2</v>
          </cell>
          <cell r="R176">
            <v>6</v>
          </cell>
          <cell r="S176">
            <v>3</v>
          </cell>
          <cell r="T176">
            <v>0</v>
          </cell>
          <cell r="U176">
            <v>1</v>
          </cell>
        </row>
        <row r="177">
          <cell r="A177" t="str">
            <v>J12024-W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  <row r="178">
          <cell r="A178" t="str">
            <v>J12025</v>
          </cell>
          <cell r="B178">
            <v>4</v>
          </cell>
          <cell r="C178">
            <v>4</v>
          </cell>
          <cell r="D178">
            <v>4</v>
          </cell>
          <cell r="E178">
            <v>4</v>
          </cell>
          <cell r="F178">
            <v>4</v>
          </cell>
          <cell r="G178">
            <v>4</v>
          </cell>
          <cell r="H178">
            <v>4</v>
          </cell>
          <cell r="I178">
            <v>4</v>
          </cell>
          <cell r="J178">
            <v>4</v>
          </cell>
          <cell r="K178">
            <v>4</v>
          </cell>
          <cell r="L178">
            <v>4</v>
          </cell>
          <cell r="M178">
            <v>2</v>
          </cell>
          <cell r="N178">
            <v>4</v>
          </cell>
          <cell r="O178">
            <v>4</v>
          </cell>
          <cell r="P178">
            <v>0</v>
          </cell>
          <cell r="Q178">
            <v>4</v>
          </cell>
          <cell r="R178">
            <v>4</v>
          </cell>
          <cell r="S178">
            <v>4</v>
          </cell>
          <cell r="T178">
            <v>0</v>
          </cell>
          <cell r="U178">
            <v>4</v>
          </cell>
        </row>
        <row r="179">
          <cell r="A179" t="str">
            <v>J12034</v>
          </cell>
          <cell r="B179">
            <v>2</v>
          </cell>
          <cell r="C179">
            <v>2</v>
          </cell>
          <cell r="D179">
            <v>2</v>
          </cell>
          <cell r="E179">
            <v>2</v>
          </cell>
          <cell r="F179">
            <v>2</v>
          </cell>
          <cell r="G179">
            <v>2</v>
          </cell>
          <cell r="H179">
            <v>10</v>
          </cell>
          <cell r="I179">
            <v>2</v>
          </cell>
          <cell r="J179">
            <v>2</v>
          </cell>
          <cell r="K179">
            <v>12</v>
          </cell>
          <cell r="L179">
            <v>8</v>
          </cell>
          <cell r="M179">
            <v>8</v>
          </cell>
          <cell r="N179">
            <v>2</v>
          </cell>
          <cell r="O179">
            <v>2</v>
          </cell>
          <cell r="P179">
            <v>0</v>
          </cell>
          <cell r="Q179">
            <v>2</v>
          </cell>
          <cell r="R179">
            <v>2</v>
          </cell>
          <cell r="S179">
            <v>2</v>
          </cell>
          <cell r="T179">
            <v>0</v>
          </cell>
          <cell r="U179">
            <v>2</v>
          </cell>
        </row>
        <row r="180">
          <cell r="A180" t="str">
            <v>J12037</v>
          </cell>
          <cell r="B180">
            <v>3</v>
          </cell>
          <cell r="C180">
            <v>3</v>
          </cell>
          <cell r="D180">
            <v>3</v>
          </cell>
          <cell r="E180">
            <v>2</v>
          </cell>
          <cell r="F180">
            <v>3</v>
          </cell>
          <cell r="G180">
            <v>2</v>
          </cell>
          <cell r="H180">
            <v>3</v>
          </cell>
          <cell r="I180">
            <v>3</v>
          </cell>
          <cell r="J180">
            <v>3</v>
          </cell>
          <cell r="K180">
            <v>3</v>
          </cell>
          <cell r="L180">
            <v>3</v>
          </cell>
          <cell r="M180">
            <v>2</v>
          </cell>
          <cell r="N180">
            <v>3</v>
          </cell>
          <cell r="O180">
            <v>2</v>
          </cell>
          <cell r="P180">
            <v>0</v>
          </cell>
          <cell r="Q180">
            <v>3</v>
          </cell>
          <cell r="R180">
            <v>3</v>
          </cell>
          <cell r="S180">
            <v>3</v>
          </cell>
          <cell r="T180">
            <v>0</v>
          </cell>
          <cell r="U180">
            <v>2</v>
          </cell>
        </row>
        <row r="181">
          <cell r="A181" t="str">
            <v>J12038</v>
          </cell>
          <cell r="B181">
            <v>2</v>
          </cell>
          <cell r="C181">
            <v>2</v>
          </cell>
          <cell r="D181">
            <v>2</v>
          </cell>
          <cell r="E181">
            <v>2</v>
          </cell>
          <cell r="F181">
            <v>2</v>
          </cell>
          <cell r="G181">
            <v>2</v>
          </cell>
          <cell r="H181">
            <v>2</v>
          </cell>
          <cell r="I181">
            <v>2</v>
          </cell>
          <cell r="J181">
            <v>2</v>
          </cell>
          <cell r="K181">
            <v>2</v>
          </cell>
          <cell r="L181">
            <v>2</v>
          </cell>
          <cell r="M181">
            <v>1</v>
          </cell>
          <cell r="N181">
            <v>2</v>
          </cell>
          <cell r="O181">
            <v>2</v>
          </cell>
          <cell r="P181">
            <v>1</v>
          </cell>
          <cell r="Q181">
            <v>2</v>
          </cell>
          <cell r="R181">
            <v>2</v>
          </cell>
          <cell r="S181">
            <v>2</v>
          </cell>
          <cell r="T181">
            <v>1</v>
          </cell>
          <cell r="U181">
            <v>2</v>
          </cell>
        </row>
        <row r="182">
          <cell r="A182" t="str">
            <v>J12039B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</v>
          </cell>
          <cell r="J182">
            <v>0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</row>
        <row r="183">
          <cell r="A183" t="str">
            <v>J12040</v>
          </cell>
          <cell r="B183">
            <v>1</v>
          </cell>
          <cell r="C183">
            <v>1</v>
          </cell>
          <cell r="D183">
            <v>1</v>
          </cell>
          <cell r="E183">
            <v>1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J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0</v>
          </cell>
          <cell r="Q183">
            <v>1</v>
          </cell>
          <cell r="R183">
            <v>1</v>
          </cell>
          <cell r="S183">
            <v>1</v>
          </cell>
          <cell r="T183">
            <v>0</v>
          </cell>
          <cell r="U183">
            <v>1</v>
          </cell>
        </row>
        <row r="184">
          <cell r="A184" t="str">
            <v>J12041</v>
          </cell>
          <cell r="B184">
            <v>1</v>
          </cell>
          <cell r="C184">
            <v>1</v>
          </cell>
          <cell r="D184">
            <v>1</v>
          </cell>
          <cell r="E184">
            <v>1</v>
          </cell>
          <cell r="F184">
            <v>1</v>
          </cell>
          <cell r="G184">
            <v>1</v>
          </cell>
          <cell r="H184">
            <v>1</v>
          </cell>
          <cell r="I184">
            <v>1</v>
          </cell>
          <cell r="J184">
            <v>1</v>
          </cell>
          <cell r="K184">
            <v>1</v>
          </cell>
          <cell r="L184">
            <v>1</v>
          </cell>
          <cell r="M184">
            <v>1</v>
          </cell>
          <cell r="N184">
            <v>1</v>
          </cell>
          <cell r="O184">
            <v>1</v>
          </cell>
          <cell r="P184">
            <v>1</v>
          </cell>
          <cell r="Q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</row>
        <row r="185">
          <cell r="A185" t="str">
            <v>J12044</v>
          </cell>
          <cell r="B185">
            <v>2</v>
          </cell>
          <cell r="C185">
            <v>2</v>
          </cell>
          <cell r="D185">
            <v>2</v>
          </cell>
          <cell r="E185">
            <v>2</v>
          </cell>
          <cell r="F185">
            <v>2</v>
          </cell>
          <cell r="G185">
            <v>2</v>
          </cell>
          <cell r="H185">
            <v>2</v>
          </cell>
          <cell r="I185">
            <v>2</v>
          </cell>
          <cell r="J185">
            <v>2</v>
          </cell>
          <cell r="K185">
            <v>2</v>
          </cell>
          <cell r="L185">
            <v>2</v>
          </cell>
          <cell r="M185">
            <v>2</v>
          </cell>
          <cell r="N185">
            <v>2</v>
          </cell>
          <cell r="O185">
            <v>2</v>
          </cell>
          <cell r="P185">
            <v>0</v>
          </cell>
          <cell r="Q185">
            <v>2</v>
          </cell>
          <cell r="R185">
            <v>2</v>
          </cell>
          <cell r="S185">
            <v>2</v>
          </cell>
          <cell r="T185">
            <v>0</v>
          </cell>
          <cell r="U185">
            <v>2</v>
          </cell>
        </row>
        <row r="186">
          <cell r="A186" t="str">
            <v>J12045</v>
          </cell>
          <cell r="B186">
            <v>1</v>
          </cell>
          <cell r="C186">
            <v>1</v>
          </cell>
          <cell r="D186">
            <v>1</v>
          </cell>
          <cell r="E186">
            <v>1</v>
          </cell>
          <cell r="F186">
            <v>1</v>
          </cell>
          <cell r="G186">
            <v>1</v>
          </cell>
          <cell r="H186">
            <v>1</v>
          </cell>
          <cell r="I186">
            <v>1</v>
          </cell>
          <cell r="J186">
            <v>1</v>
          </cell>
          <cell r="K186">
            <v>1</v>
          </cell>
          <cell r="L186">
            <v>1</v>
          </cell>
          <cell r="M186">
            <v>1</v>
          </cell>
          <cell r="N186">
            <v>1</v>
          </cell>
          <cell r="O186">
            <v>1</v>
          </cell>
          <cell r="P186">
            <v>0</v>
          </cell>
          <cell r="Q186">
            <v>1</v>
          </cell>
          <cell r="R186">
            <v>1</v>
          </cell>
          <cell r="S186">
            <v>1</v>
          </cell>
          <cell r="T186">
            <v>0</v>
          </cell>
          <cell r="U186">
            <v>1</v>
          </cell>
        </row>
        <row r="187">
          <cell r="A187" t="str">
            <v>J12046</v>
          </cell>
          <cell r="B187">
            <v>2</v>
          </cell>
          <cell r="C187">
            <v>2</v>
          </cell>
          <cell r="D187">
            <v>2</v>
          </cell>
          <cell r="E187">
            <v>2</v>
          </cell>
          <cell r="F187">
            <v>2</v>
          </cell>
          <cell r="G187">
            <v>2</v>
          </cell>
          <cell r="H187">
            <v>2</v>
          </cell>
          <cell r="I187">
            <v>2</v>
          </cell>
          <cell r="J187">
            <v>2</v>
          </cell>
          <cell r="K187">
            <v>2</v>
          </cell>
          <cell r="L187">
            <v>2</v>
          </cell>
          <cell r="M187">
            <v>2</v>
          </cell>
          <cell r="N187">
            <v>2</v>
          </cell>
          <cell r="O187">
            <v>2</v>
          </cell>
          <cell r="P187">
            <v>0</v>
          </cell>
          <cell r="Q187">
            <v>2</v>
          </cell>
          <cell r="R187">
            <v>2</v>
          </cell>
          <cell r="S187">
            <v>2</v>
          </cell>
          <cell r="T187">
            <v>0</v>
          </cell>
          <cell r="U187">
            <v>2</v>
          </cell>
        </row>
        <row r="188">
          <cell r="A188" t="str">
            <v>J12047</v>
          </cell>
          <cell r="B188">
            <v>3</v>
          </cell>
          <cell r="C188">
            <v>3</v>
          </cell>
          <cell r="D188">
            <v>3</v>
          </cell>
          <cell r="E188">
            <v>0</v>
          </cell>
          <cell r="F188">
            <v>3</v>
          </cell>
          <cell r="G188">
            <v>0</v>
          </cell>
          <cell r="H188">
            <v>3</v>
          </cell>
          <cell r="I188">
            <v>3</v>
          </cell>
          <cell r="J188">
            <v>3</v>
          </cell>
          <cell r="K188">
            <v>3</v>
          </cell>
          <cell r="L188">
            <v>3</v>
          </cell>
          <cell r="M188">
            <v>0</v>
          </cell>
          <cell r="N188">
            <v>3</v>
          </cell>
          <cell r="O188">
            <v>0</v>
          </cell>
          <cell r="P188">
            <v>0</v>
          </cell>
          <cell r="Q188">
            <v>3</v>
          </cell>
          <cell r="R188">
            <v>3</v>
          </cell>
          <cell r="S188">
            <v>3</v>
          </cell>
          <cell r="T188">
            <v>0</v>
          </cell>
          <cell r="U188">
            <v>0</v>
          </cell>
        </row>
        <row r="189">
          <cell r="A189" t="str">
            <v>J13001</v>
          </cell>
          <cell r="B189">
            <v>3</v>
          </cell>
          <cell r="C189">
            <v>3</v>
          </cell>
          <cell r="D189">
            <v>3</v>
          </cell>
          <cell r="E189">
            <v>0</v>
          </cell>
          <cell r="F189">
            <v>3</v>
          </cell>
          <cell r="G189">
            <v>0</v>
          </cell>
          <cell r="H189">
            <v>3</v>
          </cell>
          <cell r="I189">
            <v>3</v>
          </cell>
          <cell r="J189">
            <v>3</v>
          </cell>
          <cell r="K189">
            <v>3</v>
          </cell>
          <cell r="L189">
            <v>3</v>
          </cell>
          <cell r="M189">
            <v>0</v>
          </cell>
          <cell r="N189">
            <v>3</v>
          </cell>
          <cell r="O189">
            <v>0</v>
          </cell>
          <cell r="P189">
            <v>3</v>
          </cell>
          <cell r="Q189">
            <v>3</v>
          </cell>
          <cell r="R189">
            <v>3</v>
          </cell>
          <cell r="S189">
            <v>3</v>
          </cell>
          <cell r="T189">
            <v>3</v>
          </cell>
          <cell r="U189">
            <v>0</v>
          </cell>
        </row>
        <row r="190">
          <cell r="A190" t="str">
            <v>J13002</v>
          </cell>
          <cell r="B190">
            <v>7</v>
          </cell>
          <cell r="C190">
            <v>3</v>
          </cell>
          <cell r="D190">
            <v>3</v>
          </cell>
          <cell r="E190">
            <v>3</v>
          </cell>
          <cell r="F190">
            <v>7</v>
          </cell>
          <cell r="G190">
            <v>4</v>
          </cell>
          <cell r="H190">
            <v>6</v>
          </cell>
          <cell r="I190">
            <v>7</v>
          </cell>
          <cell r="J190">
            <v>2</v>
          </cell>
          <cell r="K190">
            <v>7</v>
          </cell>
          <cell r="L190">
            <v>5</v>
          </cell>
          <cell r="M190">
            <v>4</v>
          </cell>
          <cell r="N190">
            <v>2</v>
          </cell>
          <cell r="O190">
            <v>1</v>
          </cell>
          <cell r="P190">
            <v>0</v>
          </cell>
          <cell r="Q190">
            <v>3</v>
          </cell>
          <cell r="R190">
            <v>7</v>
          </cell>
          <cell r="S190">
            <v>4</v>
          </cell>
          <cell r="T190">
            <v>0</v>
          </cell>
          <cell r="U190">
            <v>1</v>
          </cell>
        </row>
        <row r="191">
          <cell r="A191" t="str">
            <v>J13005</v>
          </cell>
          <cell r="B191">
            <v>8</v>
          </cell>
          <cell r="C191">
            <v>4</v>
          </cell>
          <cell r="D191">
            <v>4</v>
          </cell>
          <cell r="E191">
            <v>3</v>
          </cell>
          <cell r="F191">
            <v>8</v>
          </cell>
          <cell r="G191">
            <v>4</v>
          </cell>
          <cell r="H191">
            <v>7</v>
          </cell>
          <cell r="I191">
            <v>8</v>
          </cell>
          <cell r="J191">
            <v>3</v>
          </cell>
          <cell r="K191">
            <v>8</v>
          </cell>
          <cell r="L191">
            <v>6</v>
          </cell>
          <cell r="M191">
            <v>4</v>
          </cell>
          <cell r="N191">
            <v>3</v>
          </cell>
          <cell r="O191">
            <v>1</v>
          </cell>
          <cell r="P191">
            <v>3</v>
          </cell>
          <cell r="Q191">
            <v>2</v>
          </cell>
          <cell r="R191">
            <v>6</v>
          </cell>
          <cell r="S191">
            <v>5</v>
          </cell>
          <cell r="T191">
            <v>3</v>
          </cell>
          <cell r="U191">
            <v>1</v>
          </cell>
        </row>
        <row r="192">
          <cell r="A192" t="str">
            <v>J13006</v>
          </cell>
          <cell r="B192">
            <v>12</v>
          </cell>
          <cell r="C192">
            <v>8</v>
          </cell>
          <cell r="D192">
            <v>8</v>
          </cell>
          <cell r="E192">
            <v>5</v>
          </cell>
          <cell r="F192">
            <v>12</v>
          </cell>
          <cell r="G192">
            <v>6</v>
          </cell>
          <cell r="H192">
            <v>7</v>
          </cell>
          <cell r="I192">
            <v>12</v>
          </cell>
          <cell r="J192">
            <v>7</v>
          </cell>
          <cell r="K192">
            <v>8</v>
          </cell>
          <cell r="L192">
            <v>6</v>
          </cell>
          <cell r="M192">
            <v>4</v>
          </cell>
          <cell r="N192">
            <v>3</v>
          </cell>
          <cell r="O192">
            <v>1</v>
          </cell>
          <cell r="P192">
            <v>4</v>
          </cell>
          <cell r="Q192">
            <v>2</v>
          </cell>
          <cell r="R192">
            <v>6</v>
          </cell>
          <cell r="S192">
            <v>5</v>
          </cell>
          <cell r="T192">
            <v>3</v>
          </cell>
          <cell r="U192">
            <v>3</v>
          </cell>
        </row>
        <row r="193">
          <cell r="A193" t="str">
            <v>J13007</v>
          </cell>
          <cell r="B193">
            <v>12</v>
          </cell>
          <cell r="C193">
            <v>8</v>
          </cell>
          <cell r="D193">
            <v>8</v>
          </cell>
          <cell r="E193">
            <v>5</v>
          </cell>
          <cell r="F193">
            <v>12</v>
          </cell>
          <cell r="G193">
            <v>6</v>
          </cell>
          <cell r="H193">
            <v>11</v>
          </cell>
          <cell r="I193">
            <v>12</v>
          </cell>
          <cell r="J193">
            <v>7</v>
          </cell>
          <cell r="K193">
            <v>12</v>
          </cell>
          <cell r="L193">
            <v>10</v>
          </cell>
          <cell r="M193">
            <v>4</v>
          </cell>
          <cell r="N193">
            <v>7</v>
          </cell>
          <cell r="O193">
            <v>3</v>
          </cell>
          <cell r="P193">
            <v>8</v>
          </cell>
          <cell r="Q193">
            <v>8</v>
          </cell>
          <cell r="R193">
            <v>12</v>
          </cell>
          <cell r="S193">
            <v>9</v>
          </cell>
          <cell r="T193">
            <v>6</v>
          </cell>
          <cell r="U193">
            <v>3</v>
          </cell>
        </row>
        <row r="194">
          <cell r="A194" t="str">
            <v>J13008</v>
          </cell>
          <cell r="B194">
            <v>2</v>
          </cell>
          <cell r="C194">
            <v>2</v>
          </cell>
          <cell r="D194">
            <v>2</v>
          </cell>
          <cell r="E194">
            <v>0</v>
          </cell>
          <cell r="F194">
            <v>2</v>
          </cell>
          <cell r="G194">
            <v>0</v>
          </cell>
          <cell r="H194">
            <v>2</v>
          </cell>
          <cell r="I194">
            <v>2</v>
          </cell>
          <cell r="J194">
            <v>2</v>
          </cell>
          <cell r="K194">
            <v>2</v>
          </cell>
          <cell r="L194">
            <v>2</v>
          </cell>
          <cell r="M194">
            <v>0</v>
          </cell>
          <cell r="N194">
            <v>2</v>
          </cell>
          <cell r="O194">
            <v>0</v>
          </cell>
          <cell r="P194">
            <v>3</v>
          </cell>
          <cell r="Q194">
            <v>2</v>
          </cell>
          <cell r="R194">
            <v>2</v>
          </cell>
          <cell r="S194">
            <v>2</v>
          </cell>
          <cell r="T194">
            <v>3</v>
          </cell>
          <cell r="U194">
            <v>0</v>
          </cell>
        </row>
        <row r="195">
          <cell r="A195" t="str">
            <v>J13023</v>
          </cell>
          <cell r="B195">
            <v>6</v>
          </cell>
          <cell r="C195">
            <v>2</v>
          </cell>
          <cell r="D195">
            <v>2</v>
          </cell>
          <cell r="E195">
            <v>3</v>
          </cell>
          <cell r="F195">
            <v>6</v>
          </cell>
          <cell r="G195">
            <v>4</v>
          </cell>
          <cell r="H195">
            <v>7</v>
          </cell>
          <cell r="I195">
            <v>6</v>
          </cell>
          <cell r="J195">
            <v>1</v>
          </cell>
          <cell r="K195">
            <v>8</v>
          </cell>
          <cell r="L195">
            <v>6</v>
          </cell>
          <cell r="M195">
            <v>4</v>
          </cell>
          <cell r="N195">
            <v>3</v>
          </cell>
          <cell r="O195">
            <v>3</v>
          </cell>
          <cell r="P195">
            <v>2</v>
          </cell>
          <cell r="Q195">
            <v>4</v>
          </cell>
          <cell r="R195">
            <v>8</v>
          </cell>
          <cell r="S195">
            <v>5</v>
          </cell>
          <cell r="T195">
            <v>2</v>
          </cell>
          <cell r="U195">
            <v>1</v>
          </cell>
        </row>
        <row r="196">
          <cell r="A196" t="str">
            <v>J13026C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1</v>
          </cell>
          <cell r="R196">
            <v>2</v>
          </cell>
          <cell r="S196">
            <v>1</v>
          </cell>
          <cell r="T196">
            <v>0</v>
          </cell>
          <cell r="U196">
            <v>0</v>
          </cell>
        </row>
        <row r="197">
          <cell r="A197" t="str">
            <v>J13027</v>
          </cell>
          <cell r="B197">
            <v>4</v>
          </cell>
          <cell r="C197">
            <v>1</v>
          </cell>
          <cell r="D197">
            <v>1</v>
          </cell>
          <cell r="E197">
            <v>2</v>
          </cell>
          <cell r="F197">
            <v>4</v>
          </cell>
          <cell r="G197">
            <v>3</v>
          </cell>
          <cell r="H197">
            <v>4</v>
          </cell>
          <cell r="I197">
            <v>4</v>
          </cell>
          <cell r="J197">
            <v>1</v>
          </cell>
          <cell r="K197">
            <v>4</v>
          </cell>
          <cell r="L197">
            <v>3</v>
          </cell>
          <cell r="M197">
            <v>3</v>
          </cell>
          <cell r="N197">
            <v>1</v>
          </cell>
          <cell r="O197">
            <v>1</v>
          </cell>
          <cell r="P197">
            <v>0</v>
          </cell>
          <cell r="Q197">
            <v>1</v>
          </cell>
          <cell r="R197">
            <v>4</v>
          </cell>
          <cell r="S197">
            <v>2</v>
          </cell>
          <cell r="T197">
            <v>0</v>
          </cell>
          <cell r="U197">
            <v>1</v>
          </cell>
        </row>
        <row r="198">
          <cell r="A198" t="str">
            <v>J13028</v>
          </cell>
          <cell r="B198">
            <v>6</v>
          </cell>
          <cell r="C198">
            <v>2</v>
          </cell>
          <cell r="D198">
            <v>2</v>
          </cell>
          <cell r="E198">
            <v>3</v>
          </cell>
          <cell r="F198">
            <v>6</v>
          </cell>
          <cell r="G198">
            <v>4</v>
          </cell>
          <cell r="H198">
            <v>5</v>
          </cell>
          <cell r="I198">
            <v>6</v>
          </cell>
          <cell r="J198">
            <v>1</v>
          </cell>
          <cell r="K198">
            <v>6</v>
          </cell>
          <cell r="L198">
            <v>4</v>
          </cell>
          <cell r="M198">
            <v>4</v>
          </cell>
          <cell r="N198">
            <v>1</v>
          </cell>
          <cell r="O198">
            <v>1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1</v>
          </cell>
        </row>
        <row r="199">
          <cell r="A199" t="str">
            <v>J13028C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2</v>
          </cell>
          <cell r="R199">
            <v>6</v>
          </cell>
          <cell r="S199">
            <v>3</v>
          </cell>
          <cell r="T199">
            <v>0</v>
          </cell>
          <cell r="U199">
            <v>0</v>
          </cell>
        </row>
        <row r="200">
          <cell r="A200" t="str">
            <v>J13031B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1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A201" t="str">
            <v>J13032</v>
          </cell>
          <cell r="B201">
            <v>2</v>
          </cell>
          <cell r="C201">
            <v>2</v>
          </cell>
          <cell r="D201">
            <v>2</v>
          </cell>
          <cell r="E201">
            <v>2</v>
          </cell>
          <cell r="F201">
            <v>2</v>
          </cell>
          <cell r="G201">
            <v>2</v>
          </cell>
          <cell r="H201">
            <v>2</v>
          </cell>
          <cell r="I201">
            <v>2</v>
          </cell>
          <cell r="J201">
            <v>2</v>
          </cell>
          <cell r="K201">
            <v>2</v>
          </cell>
          <cell r="L201">
            <v>2</v>
          </cell>
          <cell r="M201">
            <v>2</v>
          </cell>
          <cell r="N201">
            <v>2</v>
          </cell>
          <cell r="O201">
            <v>2</v>
          </cell>
          <cell r="P201">
            <v>0</v>
          </cell>
          <cell r="Q201">
            <v>2</v>
          </cell>
          <cell r="R201">
            <v>2</v>
          </cell>
          <cell r="S201">
            <v>2</v>
          </cell>
          <cell r="T201">
            <v>0</v>
          </cell>
          <cell r="U201">
            <v>2</v>
          </cell>
        </row>
        <row r="202">
          <cell r="A202" t="str">
            <v>J13033</v>
          </cell>
          <cell r="B202">
            <v>1</v>
          </cell>
          <cell r="C202">
            <v>1</v>
          </cell>
          <cell r="D202">
            <v>1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  <cell r="M202">
            <v>0</v>
          </cell>
          <cell r="N202">
            <v>1</v>
          </cell>
          <cell r="O202">
            <v>0</v>
          </cell>
          <cell r="P202">
            <v>2</v>
          </cell>
          <cell r="Q202">
            <v>1</v>
          </cell>
          <cell r="R202">
            <v>1</v>
          </cell>
          <cell r="S202">
            <v>1</v>
          </cell>
          <cell r="T202">
            <v>2</v>
          </cell>
          <cell r="U202">
            <v>1</v>
          </cell>
        </row>
        <row r="203">
          <cell r="A203" t="str">
            <v>J13034</v>
          </cell>
          <cell r="B203">
            <v>2</v>
          </cell>
          <cell r="C203">
            <v>2</v>
          </cell>
          <cell r="D203">
            <v>2</v>
          </cell>
          <cell r="E203">
            <v>0</v>
          </cell>
          <cell r="F203">
            <v>2</v>
          </cell>
          <cell r="G203">
            <v>0</v>
          </cell>
          <cell r="H203">
            <v>3</v>
          </cell>
          <cell r="I203">
            <v>2</v>
          </cell>
          <cell r="J203">
            <v>2</v>
          </cell>
          <cell r="K203">
            <v>3</v>
          </cell>
          <cell r="L203">
            <v>3</v>
          </cell>
          <cell r="M203">
            <v>0</v>
          </cell>
          <cell r="N203">
            <v>3</v>
          </cell>
          <cell r="O203">
            <v>0</v>
          </cell>
          <cell r="P203">
            <v>2</v>
          </cell>
          <cell r="Q203">
            <v>3</v>
          </cell>
          <cell r="R203">
            <v>3</v>
          </cell>
          <cell r="S203">
            <v>3</v>
          </cell>
          <cell r="T203">
            <v>2</v>
          </cell>
          <cell r="U203">
            <v>0</v>
          </cell>
        </row>
        <row r="204">
          <cell r="A204" t="str">
            <v>J13035A</v>
          </cell>
          <cell r="B204">
            <v>2</v>
          </cell>
          <cell r="C204">
            <v>2</v>
          </cell>
          <cell r="D204">
            <v>2</v>
          </cell>
          <cell r="E204">
            <v>0</v>
          </cell>
          <cell r="F204">
            <v>2</v>
          </cell>
          <cell r="G204">
            <v>0</v>
          </cell>
          <cell r="H204">
            <v>0</v>
          </cell>
          <cell r="I204">
            <v>2</v>
          </cell>
          <cell r="J204">
            <v>2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</row>
        <row r="205">
          <cell r="A205" t="str">
            <v>J13035B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2</v>
          </cell>
          <cell r="I205">
            <v>0</v>
          </cell>
          <cell r="J205">
            <v>0</v>
          </cell>
          <cell r="K205">
            <v>2</v>
          </cell>
          <cell r="L205">
            <v>2</v>
          </cell>
          <cell r="M205">
            <v>0</v>
          </cell>
          <cell r="N205">
            <v>2</v>
          </cell>
          <cell r="O205">
            <v>0</v>
          </cell>
          <cell r="P205">
            <v>2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</row>
        <row r="206">
          <cell r="A206" t="str">
            <v>J13035C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2</v>
          </cell>
          <cell r="R206">
            <v>2</v>
          </cell>
          <cell r="S206">
            <v>2</v>
          </cell>
          <cell r="T206">
            <v>1</v>
          </cell>
          <cell r="U206">
            <v>0</v>
          </cell>
        </row>
        <row r="207">
          <cell r="A207" t="str">
            <v>J13036A</v>
          </cell>
          <cell r="B207">
            <v>2</v>
          </cell>
          <cell r="C207">
            <v>2</v>
          </cell>
          <cell r="D207">
            <v>2</v>
          </cell>
          <cell r="E207">
            <v>0</v>
          </cell>
          <cell r="F207">
            <v>2</v>
          </cell>
          <cell r="G207">
            <v>0</v>
          </cell>
          <cell r="H207">
            <v>0</v>
          </cell>
          <cell r="I207">
            <v>2</v>
          </cell>
          <cell r="J207">
            <v>2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</row>
        <row r="208">
          <cell r="A208" t="str">
            <v>J13036B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2</v>
          </cell>
          <cell r="I208">
            <v>0</v>
          </cell>
          <cell r="J208">
            <v>0</v>
          </cell>
          <cell r="K208">
            <v>2</v>
          </cell>
          <cell r="L208">
            <v>2</v>
          </cell>
          <cell r="M208">
            <v>0</v>
          </cell>
          <cell r="N208">
            <v>2</v>
          </cell>
          <cell r="O208">
            <v>0</v>
          </cell>
          <cell r="P208">
            <v>2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</row>
        <row r="209">
          <cell r="A209" t="str">
            <v>J13036C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2</v>
          </cell>
          <cell r="T209">
            <v>1</v>
          </cell>
          <cell r="U209">
            <v>0</v>
          </cell>
        </row>
        <row r="210">
          <cell r="A210" t="str">
            <v>J13037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7</v>
          </cell>
          <cell r="U210">
            <v>0</v>
          </cell>
        </row>
        <row r="211">
          <cell r="A211" t="str">
            <v>J13038</v>
          </cell>
          <cell r="B211">
            <v>2</v>
          </cell>
          <cell r="C211">
            <v>1</v>
          </cell>
          <cell r="D211">
            <v>1</v>
          </cell>
          <cell r="E211">
            <v>2</v>
          </cell>
          <cell r="F211">
            <v>2</v>
          </cell>
          <cell r="G211">
            <v>2</v>
          </cell>
          <cell r="H211">
            <v>2</v>
          </cell>
          <cell r="I211">
            <v>2</v>
          </cell>
          <cell r="J211">
            <v>1</v>
          </cell>
          <cell r="K211">
            <v>2</v>
          </cell>
          <cell r="L211">
            <v>2</v>
          </cell>
          <cell r="M211">
            <v>2</v>
          </cell>
          <cell r="N211">
            <v>1</v>
          </cell>
          <cell r="O211">
            <v>1</v>
          </cell>
          <cell r="P211">
            <v>0</v>
          </cell>
          <cell r="Q211">
            <v>1</v>
          </cell>
          <cell r="R211">
            <v>2</v>
          </cell>
          <cell r="S211">
            <v>2</v>
          </cell>
          <cell r="T211">
            <v>0</v>
          </cell>
          <cell r="U211">
            <v>1</v>
          </cell>
        </row>
        <row r="212">
          <cell r="A212" t="str">
            <v>J13039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5</v>
          </cell>
          <cell r="I212">
            <v>0</v>
          </cell>
          <cell r="J212">
            <v>0</v>
          </cell>
          <cell r="K212">
            <v>6</v>
          </cell>
          <cell r="L212">
            <v>4</v>
          </cell>
          <cell r="M212">
            <v>4</v>
          </cell>
          <cell r="N212">
            <v>1</v>
          </cell>
          <cell r="O212">
            <v>1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</row>
        <row r="213">
          <cell r="A213" t="str">
            <v>J13040</v>
          </cell>
          <cell r="B213">
            <v>2</v>
          </cell>
          <cell r="C213">
            <v>2</v>
          </cell>
          <cell r="D213">
            <v>2</v>
          </cell>
          <cell r="E213">
            <v>0</v>
          </cell>
          <cell r="F213">
            <v>2</v>
          </cell>
          <cell r="G213">
            <v>0</v>
          </cell>
          <cell r="H213">
            <v>2</v>
          </cell>
          <cell r="I213">
            <v>2</v>
          </cell>
          <cell r="J213">
            <v>2</v>
          </cell>
          <cell r="K213">
            <v>2</v>
          </cell>
          <cell r="L213">
            <v>2</v>
          </cell>
          <cell r="M213">
            <v>0</v>
          </cell>
          <cell r="N213">
            <v>2</v>
          </cell>
          <cell r="O213">
            <v>0</v>
          </cell>
          <cell r="P213">
            <v>2</v>
          </cell>
          <cell r="Q213">
            <v>2</v>
          </cell>
          <cell r="R213">
            <v>2</v>
          </cell>
          <cell r="S213">
            <v>2</v>
          </cell>
          <cell r="T213">
            <v>2</v>
          </cell>
          <cell r="U213">
            <v>0</v>
          </cell>
        </row>
        <row r="214">
          <cell r="A214" t="str">
            <v>J13041</v>
          </cell>
          <cell r="B214">
            <v>2</v>
          </cell>
          <cell r="C214">
            <v>1</v>
          </cell>
          <cell r="D214">
            <v>1</v>
          </cell>
          <cell r="E214">
            <v>1</v>
          </cell>
          <cell r="F214">
            <v>2</v>
          </cell>
          <cell r="G214">
            <v>2</v>
          </cell>
          <cell r="H214">
            <v>0</v>
          </cell>
          <cell r="I214">
            <v>2</v>
          </cell>
          <cell r="J214">
            <v>1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1</v>
          </cell>
        </row>
        <row r="215">
          <cell r="A215" t="str">
            <v>J13042B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2</v>
          </cell>
          <cell r="I215">
            <v>0</v>
          </cell>
          <cell r="J215">
            <v>0</v>
          </cell>
          <cell r="K215">
            <v>2</v>
          </cell>
          <cell r="L215">
            <v>2</v>
          </cell>
          <cell r="M215">
            <v>2</v>
          </cell>
          <cell r="N215">
            <v>1</v>
          </cell>
          <cell r="O215">
            <v>1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</row>
        <row r="216">
          <cell r="A216" t="str">
            <v>J13042C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1</v>
          </cell>
          <cell r="R216">
            <v>2</v>
          </cell>
          <cell r="S216">
            <v>1</v>
          </cell>
          <cell r="T216">
            <v>0</v>
          </cell>
          <cell r="U216">
            <v>0</v>
          </cell>
        </row>
        <row r="217">
          <cell r="A217" t="str">
            <v>J13043</v>
          </cell>
          <cell r="B217">
            <v>2</v>
          </cell>
          <cell r="C217">
            <v>2</v>
          </cell>
          <cell r="D217">
            <v>2</v>
          </cell>
          <cell r="E217">
            <v>2</v>
          </cell>
          <cell r="F217">
            <v>2</v>
          </cell>
          <cell r="G217">
            <v>2</v>
          </cell>
          <cell r="H217">
            <v>2</v>
          </cell>
          <cell r="I217">
            <v>2</v>
          </cell>
          <cell r="J217">
            <v>2</v>
          </cell>
          <cell r="K217">
            <v>2</v>
          </cell>
          <cell r="L217">
            <v>2</v>
          </cell>
          <cell r="M217">
            <v>2</v>
          </cell>
          <cell r="N217">
            <v>2</v>
          </cell>
          <cell r="O217">
            <v>2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2</v>
          </cell>
        </row>
        <row r="218">
          <cell r="A218" t="str">
            <v>J13044</v>
          </cell>
          <cell r="B218">
            <v>3</v>
          </cell>
          <cell r="C218">
            <v>3</v>
          </cell>
          <cell r="D218">
            <v>3</v>
          </cell>
          <cell r="E218">
            <v>0</v>
          </cell>
          <cell r="F218">
            <v>3</v>
          </cell>
          <cell r="G218">
            <v>0</v>
          </cell>
          <cell r="H218">
            <v>3</v>
          </cell>
          <cell r="I218">
            <v>3</v>
          </cell>
          <cell r="J218">
            <v>2</v>
          </cell>
          <cell r="K218">
            <v>3</v>
          </cell>
          <cell r="L218">
            <v>3</v>
          </cell>
          <cell r="M218">
            <v>0</v>
          </cell>
          <cell r="N218">
            <v>3</v>
          </cell>
          <cell r="O218">
            <v>0</v>
          </cell>
          <cell r="P218">
            <v>3</v>
          </cell>
          <cell r="Q218">
            <v>3</v>
          </cell>
          <cell r="R218">
            <v>3</v>
          </cell>
          <cell r="S218">
            <v>3</v>
          </cell>
          <cell r="T218">
            <v>3</v>
          </cell>
          <cell r="U218">
            <v>0</v>
          </cell>
        </row>
        <row r="219">
          <cell r="A219" t="str">
            <v>J13045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2</v>
          </cell>
          <cell r="R219">
            <v>5</v>
          </cell>
          <cell r="S219">
            <v>3</v>
          </cell>
          <cell r="T219">
            <v>0</v>
          </cell>
          <cell r="U219">
            <v>0</v>
          </cell>
        </row>
        <row r="220">
          <cell r="A220" t="str">
            <v>J13045-W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</row>
        <row r="221">
          <cell r="A221" t="str">
            <v>J13046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2</v>
          </cell>
          <cell r="U221">
            <v>0</v>
          </cell>
        </row>
        <row r="222">
          <cell r="A222" t="str">
            <v>J13048</v>
          </cell>
          <cell r="B222">
            <v>4</v>
          </cell>
          <cell r="C222">
            <v>1</v>
          </cell>
          <cell r="D222">
            <v>1</v>
          </cell>
          <cell r="E222">
            <v>2</v>
          </cell>
          <cell r="F222">
            <v>4</v>
          </cell>
          <cell r="G222">
            <v>3</v>
          </cell>
          <cell r="H222">
            <v>4</v>
          </cell>
          <cell r="I222">
            <v>4</v>
          </cell>
          <cell r="J222">
            <v>1</v>
          </cell>
          <cell r="K222">
            <v>4</v>
          </cell>
          <cell r="L222">
            <v>3</v>
          </cell>
          <cell r="M222">
            <v>3</v>
          </cell>
          <cell r="N222">
            <v>1</v>
          </cell>
          <cell r="O222">
            <v>1</v>
          </cell>
          <cell r="P222">
            <v>0</v>
          </cell>
          <cell r="Q222">
            <v>1</v>
          </cell>
          <cell r="R222">
            <v>4</v>
          </cell>
          <cell r="S222">
            <v>2</v>
          </cell>
          <cell r="T222">
            <v>0</v>
          </cell>
          <cell r="U222">
            <v>1</v>
          </cell>
        </row>
        <row r="223">
          <cell r="A223" t="str">
            <v>J13049</v>
          </cell>
          <cell r="B223">
            <v>12</v>
          </cell>
          <cell r="C223">
            <v>8</v>
          </cell>
          <cell r="D223">
            <v>8</v>
          </cell>
          <cell r="E223">
            <v>5</v>
          </cell>
          <cell r="F223">
            <v>12</v>
          </cell>
          <cell r="G223">
            <v>6</v>
          </cell>
          <cell r="H223">
            <v>11</v>
          </cell>
          <cell r="I223">
            <v>12</v>
          </cell>
          <cell r="J223">
            <v>7</v>
          </cell>
          <cell r="K223">
            <v>12</v>
          </cell>
          <cell r="L223">
            <v>10</v>
          </cell>
          <cell r="M223">
            <v>4</v>
          </cell>
          <cell r="N223">
            <v>7</v>
          </cell>
          <cell r="O223">
            <v>3</v>
          </cell>
          <cell r="P223">
            <v>0</v>
          </cell>
          <cell r="Q223">
            <v>8</v>
          </cell>
          <cell r="R223">
            <v>12</v>
          </cell>
          <cell r="S223">
            <v>9</v>
          </cell>
          <cell r="T223">
            <v>0</v>
          </cell>
          <cell r="U223">
            <v>3</v>
          </cell>
        </row>
        <row r="224">
          <cell r="A224" t="str">
            <v>J13050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3</v>
          </cell>
          <cell r="R224">
            <v>7</v>
          </cell>
          <cell r="S224">
            <v>4</v>
          </cell>
          <cell r="T224">
            <v>0</v>
          </cell>
          <cell r="U224">
            <v>0</v>
          </cell>
        </row>
        <row r="225">
          <cell r="A225" t="str">
            <v>J13051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2</v>
          </cell>
          <cell r="R225">
            <v>2</v>
          </cell>
          <cell r="S225">
            <v>2</v>
          </cell>
          <cell r="T225">
            <v>0</v>
          </cell>
          <cell r="U225">
            <v>0</v>
          </cell>
        </row>
        <row r="226">
          <cell r="A226" t="str">
            <v>J14011</v>
          </cell>
          <cell r="B226">
            <v>4</v>
          </cell>
          <cell r="C226">
            <v>2</v>
          </cell>
          <cell r="D226">
            <v>2</v>
          </cell>
          <cell r="E226">
            <v>3</v>
          </cell>
          <cell r="F226">
            <v>4</v>
          </cell>
          <cell r="G226">
            <v>4</v>
          </cell>
          <cell r="H226">
            <v>0</v>
          </cell>
          <cell r="I226">
            <v>4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</row>
        <row r="227">
          <cell r="A227" t="str">
            <v>J14011B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4</v>
          </cell>
          <cell r="I227">
            <v>0</v>
          </cell>
          <cell r="J227">
            <v>0</v>
          </cell>
          <cell r="K227">
            <v>4</v>
          </cell>
          <cell r="L227">
            <v>4</v>
          </cell>
          <cell r="M227">
            <v>4</v>
          </cell>
          <cell r="N227">
            <v>1</v>
          </cell>
          <cell r="O227">
            <v>1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</row>
        <row r="228">
          <cell r="A228" t="str">
            <v>J14011C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2</v>
          </cell>
          <cell r="R228">
            <v>4</v>
          </cell>
          <cell r="S228">
            <v>3</v>
          </cell>
          <cell r="T228">
            <v>0</v>
          </cell>
          <cell r="U228">
            <v>0</v>
          </cell>
        </row>
        <row r="229">
          <cell r="A229" t="str">
            <v>J14012</v>
          </cell>
          <cell r="B229">
            <v>1</v>
          </cell>
          <cell r="C229">
            <v>1</v>
          </cell>
          <cell r="D229">
            <v>1</v>
          </cell>
          <cell r="E229">
            <v>1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0</v>
          </cell>
          <cell r="Q229">
            <v>1</v>
          </cell>
          <cell r="R229">
            <v>1</v>
          </cell>
          <cell r="S229">
            <v>1</v>
          </cell>
          <cell r="T229">
            <v>0</v>
          </cell>
          <cell r="U229">
            <v>1</v>
          </cell>
        </row>
        <row r="230">
          <cell r="A230" t="str">
            <v>J14013C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2</v>
          </cell>
          <cell r="R230">
            <v>2</v>
          </cell>
          <cell r="S230">
            <v>2</v>
          </cell>
          <cell r="T230">
            <v>0</v>
          </cell>
          <cell r="U230">
            <v>0</v>
          </cell>
        </row>
        <row r="231">
          <cell r="A231" t="str">
            <v>J14014</v>
          </cell>
          <cell r="B231">
            <v>2</v>
          </cell>
          <cell r="C231">
            <v>1</v>
          </cell>
          <cell r="D231">
            <v>1</v>
          </cell>
          <cell r="E231">
            <v>1</v>
          </cell>
          <cell r="F231">
            <v>2</v>
          </cell>
          <cell r="G231">
            <v>2</v>
          </cell>
          <cell r="H231">
            <v>1</v>
          </cell>
          <cell r="I231">
            <v>2</v>
          </cell>
          <cell r="J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0</v>
          </cell>
          <cell r="Q231">
            <v>1</v>
          </cell>
          <cell r="R231">
            <v>1</v>
          </cell>
          <cell r="S231">
            <v>1</v>
          </cell>
          <cell r="T231">
            <v>0</v>
          </cell>
          <cell r="U231">
            <v>1</v>
          </cell>
        </row>
        <row r="232">
          <cell r="A232" t="str">
            <v>J14015</v>
          </cell>
          <cell r="B232">
            <v>2</v>
          </cell>
          <cell r="C232">
            <v>1</v>
          </cell>
          <cell r="D232">
            <v>1</v>
          </cell>
          <cell r="E232">
            <v>1</v>
          </cell>
          <cell r="F232">
            <v>2</v>
          </cell>
          <cell r="G232">
            <v>2</v>
          </cell>
          <cell r="H232">
            <v>1</v>
          </cell>
          <cell r="I232">
            <v>2</v>
          </cell>
          <cell r="J232">
            <v>1</v>
          </cell>
          <cell r="K232">
            <v>1</v>
          </cell>
          <cell r="L232">
            <v>1</v>
          </cell>
          <cell r="M232">
            <v>1</v>
          </cell>
          <cell r="N232">
            <v>1</v>
          </cell>
          <cell r="O232">
            <v>1</v>
          </cell>
          <cell r="P232">
            <v>0</v>
          </cell>
          <cell r="Q232">
            <v>1</v>
          </cell>
          <cell r="R232">
            <v>1</v>
          </cell>
          <cell r="S232">
            <v>1</v>
          </cell>
          <cell r="T232">
            <v>0</v>
          </cell>
          <cell r="U232">
            <v>1</v>
          </cell>
        </row>
        <row r="233">
          <cell r="A233" t="str">
            <v>J14019A</v>
          </cell>
          <cell r="B233">
            <v>2</v>
          </cell>
          <cell r="C233">
            <v>2</v>
          </cell>
          <cell r="D233">
            <v>2</v>
          </cell>
          <cell r="E233">
            <v>2</v>
          </cell>
          <cell r="F233">
            <v>2</v>
          </cell>
          <cell r="G233">
            <v>2</v>
          </cell>
          <cell r="H233">
            <v>0</v>
          </cell>
          <cell r="I233">
            <v>2</v>
          </cell>
          <cell r="J233">
            <v>2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</v>
          </cell>
        </row>
        <row r="234">
          <cell r="A234" t="str">
            <v>J14019B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2</v>
          </cell>
          <cell r="I234">
            <v>0</v>
          </cell>
          <cell r="J234">
            <v>0</v>
          </cell>
          <cell r="K234">
            <v>2</v>
          </cell>
          <cell r="L234">
            <v>2</v>
          </cell>
          <cell r="M234">
            <v>2</v>
          </cell>
          <cell r="N234">
            <v>2</v>
          </cell>
          <cell r="O234">
            <v>2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</row>
        <row r="235">
          <cell r="A235" t="str">
            <v>J14019C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</v>
          </cell>
          <cell r="R235">
            <v>1</v>
          </cell>
          <cell r="S235">
            <v>1</v>
          </cell>
          <cell r="T235">
            <v>0</v>
          </cell>
          <cell r="U235">
            <v>0</v>
          </cell>
        </row>
        <row r="236">
          <cell r="A236" t="str">
            <v>J24002</v>
          </cell>
          <cell r="B236">
            <v>1</v>
          </cell>
          <cell r="C236">
            <v>1</v>
          </cell>
          <cell r="D236">
            <v>1</v>
          </cell>
          <cell r="E236">
            <v>1</v>
          </cell>
          <cell r="F236">
            <v>1</v>
          </cell>
          <cell r="G236">
            <v>1</v>
          </cell>
          <cell r="H236">
            <v>1</v>
          </cell>
          <cell r="I236">
            <v>1</v>
          </cell>
          <cell r="J236">
            <v>1</v>
          </cell>
          <cell r="K236">
            <v>1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0</v>
          </cell>
          <cell r="Q236">
            <v>1</v>
          </cell>
          <cell r="R236">
            <v>1</v>
          </cell>
          <cell r="S236">
            <v>1</v>
          </cell>
          <cell r="T236">
            <v>0</v>
          </cell>
          <cell r="U236">
            <v>1</v>
          </cell>
        </row>
        <row r="237">
          <cell r="A237" t="str">
            <v>J26001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1</v>
          </cell>
          <cell r="I237">
            <v>0</v>
          </cell>
          <cell r="J237">
            <v>0</v>
          </cell>
          <cell r="K237">
            <v>1</v>
          </cell>
          <cell r="L237">
            <v>1</v>
          </cell>
          <cell r="M237">
            <v>1</v>
          </cell>
          <cell r="N237">
            <v>1</v>
          </cell>
          <cell r="O237">
            <v>1</v>
          </cell>
          <cell r="P237">
            <v>1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</row>
        <row r="238">
          <cell r="A238" t="str">
            <v>J26005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1</v>
          </cell>
          <cell r="I238">
            <v>0</v>
          </cell>
          <cell r="J238">
            <v>0</v>
          </cell>
          <cell r="K238">
            <v>1</v>
          </cell>
          <cell r="L238">
            <v>1</v>
          </cell>
          <cell r="M238">
            <v>1</v>
          </cell>
          <cell r="N238">
            <v>1</v>
          </cell>
          <cell r="O238">
            <v>1</v>
          </cell>
          <cell r="P238">
            <v>1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</row>
        <row r="239">
          <cell r="A239" t="str">
            <v>J26006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2</v>
          </cell>
          <cell r="I239">
            <v>0</v>
          </cell>
          <cell r="J239">
            <v>0</v>
          </cell>
          <cell r="K239">
            <v>2</v>
          </cell>
          <cell r="L239">
            <v>2</v>
          </cell>
          <cell r="M239">
            <v>2</v>
          </cell>
          <cell r="N239">
            <v>2</v>
          </cell>
          <cell r="O239">
            <v>2</v>
          </cell>
          <cell r="P239">
            <v>2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</row>
        <row r="240">
          <cell r="A240" t="str">
            <v>J26007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0</v>
          </cell>
          <cell r="J240">
            <v>0</v>
          </cell>
          <cell r="K240">
            <v>1</v>
          </cell>
          <cell r="L240">
            <v>1</v>
          </cell>
          <cell r="M240">
            <v>1</v>
          </cell>
          <cell r="N240">
            <v>1</v>
          </cell>
          <cell r="O240">
            <v>1</v>
          </cell>
          <cell r="P240">
            <v>1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</row>
        <row r="241">
          <cell r="A241" t="str">
            <v>J26009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1</v>
          </cell>
          <cell r="I241">
            <v>0</v>
          </cell>
          <cell r="J241">
            <v>0</v>
          </cell>
          <cell r="K241">
            <v>1</v>
          </cell>
          <cell r="L241">
            <v>1</v>
          </cell>
          <cell r="M241">
            <v>1</v>
          </cell>
          <cell r="N241">
            <v>1</v>
          </cell>
          <cell r="O241">
            <v>1</v>
          </cell>
          <cell r="P241">
            <v>1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</row>
        <row r="242">
          <cell r="A242" t="str">
            <v>J26012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0</v>
          </cell>
          <cell r="J242">
            <v>0</v>
          </cell>
          <cell r="K242">
            <v>1</v>
          </cell>
          <cell r="L242">
            <v>1</v>
          </cell>
          <cell r="M242">
            <v>1</v>
          </cell>
          <cell r="N242">
            <v>1</v>
          </cell>
          <cell r="O242">
            <v>1</v>
          </cell>
          <cell r="P242">
            <v>1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</row>
        <row r="243">
          <cell r="A243" t="str">
            <v>J26015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1</v>
          </cell>
          <cell r="I243">
            <v>0</v>
          </cell>
          <cell r="J243">
            <v>0</v>
          </cell>
          <cell r="K243">
            <v>1</v>
          </cell>
          <cell r="L243">
            <v>1</v>
          </cell>
          <cell r="M243">
            <v>1</v>
          </cell>
          <cell r="N243">
            <v>1</v>
          </cell>
          <cell r="O243">
            <v>1</v>
          </cell>
          <cell r="P243">
            <v>1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</row>
        <row r="244">
          <cell r="A244" t="str">
            <v>J26016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1</v>
          </cell>
          <cell r="I244">
            <v>0</v>
          </cell>
          <cell r="J244">
            <v>0</v>
          </cell>
          <cell r="K244">
            <v>1</v>
          </cell>
          <cell r="L244">
            <v>1</v>
          </cell>
          <cell r="M244">
            <v>1</v>
          </cell>
          <cell r="N244">
            <v>1</v>
          </cell>
          <cell r="O244">
            <v>1</v>
          </cell>
          <cell r="P244">
            <v>1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</row>
        <row r="245">
          <cell r="A245" t="str">
            <v>J26018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</v>
          </cell>
          <cell r="J245">
            <v>0</v>
          </cell>
          <cell r="K245">
            <v>1</v>
          </cell>
          <cell r="L245">
            <v>1</v>
          </cell>
          <cell r="M245">
            <v>1</v>
          </cell>
          <cell r="N245">
            <v>1</v>
          </cell>
          <cell r="O245">
            <v>1</v>
          </cell>
          <cell r="P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</row>
        <row r="246">
          <cell r="A246" t="str">
            <v>J26020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1</v>
          </cell>
          <cell r="I246">
            <v>0</v>
          </cell>
          <cell r="J246">
            <v>0</v>
          </cell>
          <cell r="K246">
            <v>1</v>
          </cell>
          <cell r="L246">
            <v>1</v>
          </cell>
          <cell r="M246">
            <v>1</v>
          </cell>
          <cell r="N246">
            <v>1</v>
          </cell>
          <cell r="O246">
            <v>1</v>
          </cell>
          <cell r="P246">
            <v>1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</row>
        <row r="247">
          <cell r="A247" t="str">
            <v>J26021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3</v>
          </cell>
          <cell r="I247">
            <v>0</v>
          </cell>
          <cell r="J247">
            <v>0</v>
          </cell>
          <cell r="K247">
            <v>3</v>
          </cell>
          <cell r="L247">
            <v>2</v>
          </cell>
          <cell r="M247">
            <v>2</v>
          </cell>
          <cell r="N247">
            <v>1</v>
          </cell>
          <cell r="O247">
            <v>1</v>
          </cell>
          <cell r="P247">
            <v>2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</row>
        <row r="248">
          <cell r="A248" t="str">
            <v>J26022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1</v>
          </cell>
          <cell r="I248">
            <v>0</v>
          </cell>
          <cell r="J248">
            <v>0</v>
          </cell>
          <cell r="K248">
            <v>1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P248">
            <v>1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</row>
        <row r="249">
          <cell r="A249" t="str">
            <v>J26024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2</v>
          </cell>
          <cell r="I249">
            <v>0</v>
          </cell>
          <cell r="J249">
            <v>0</v>
          </cell>
          <cell r="K249">
            <v>2</v>
          </cell>
          <cell r="L249">
            <v>2</v>
          </cell>
          <cell r="M249">
            <v>2</v>
          </cell>
          <cell r="N249">
            <v>2</v>
          </cell>
          <cell r="O249">
            <v>2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</row>
        <row r="250">
          <cell r="A250" t="str">
            <v>J26024-W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</row>
        <row r="251">
          <cell r="A251" t="str">
            <v>J26028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2</v>
          </cell>
          <cell r="I251">
            <v>0</v>
          </cell>
          <cell r="J251">
            <v>0</v>
          </cell>
          <cell r="K251">
            <v>2</v>
          </cell>
          <cell r="L251">
            <v>2</v>
          </cell>
          <cell r="M251">
            <v>2</v>
          </cell>
          <cell r="N251">
            <v>2</v>
          </cell>
          <cell r="O251">
            <v>2</v>
          </cell>
          <cell r="P251">
            <v>2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</row>
        <row r="252">
          <cell r="A252" t="str">
            <v>J26030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1</v>
          </cell>
          <cell r="I252">
            <v>0</v>
          </cell>
          <cell r="J252">
            <v>0</v>
          </cell>
          <cell r="K252">
            <v>1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P252">
            <v>1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</row>
        <row r="253">
          <cell r="A253" t="str">
            <v>J26031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1</v>
          </cell>
          <cell r="I253">
            <v>0</v>
          </cell>
          <cell r="J253">
            <v>0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1</v>
          </cell>
          <cell r="P253">
            <v>1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</row>
        <row r="254">
          <cell r="A254" t="str">
            <v>J26033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1</v>
          </cell>
          <cell r="I254">
            <v>0</v>
          </cell>
          <cell r="J254">
            <v>0</v>
          </cell>
          <cell r="K254">
            <v>1</v>
          </cell>
          <cell r="L254">
            <v>1</v>
          </cell>
          <cell r="M254">
            <v>1</v>
          </cell>
          <cell r="N254">
            <v>1</v>
          </cell>
          <cell r="O254">
            <v>1</v>
          </cell>
          <cell r="P254">
            <v>1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</row>
        <row r="255">
          <cell r="A255" t="str">
            <v>J26034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1</v>
          </cell>
          <cell r="I255">
            <v>0</v>
          </cell>
          <cell r="J255">
            <v>0</v>
          </cell>
          <cell r="K255">
            <v>1</v>
          </cell>
          <cell r="L255">
            <v>1</v>
          </cell>
          <cell r="M255">
            <v>1</v>
          </cell>
          <cell r="N255">
            <v>1</v>
          </cell>
          <cell r="O255">
            <v>1</v>
          </cell>
          <cell r="P255">
            <v>1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</row>
        <row r="256">
          <cell r="A256" t="str">
            <v>J26035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</v>
          </cell>
          <cell r="J256">
            <v>0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1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</row>
        <row r="257">
          <cell r="A257" t="str">
            <v>J27006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</row>
        <row r="258">
          <cell r="A258" t="str">
            <v>J27007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</row>
        <row r="259">
          <cell r="A259" t="str">
            <v>J27008</v>
          </cell>
          <cell r="B259">
            <v>2</v>
          </cell>
          <cell r="C259">
            <v>1</v>
          </cell>
          <cell r="D259">
            <v>1</v>
          </cell>
          <cell r="E259">
            <v>1</v>
          </cell>
          <cell r="F259">
            <v>2</v>
          </cell>
          <cell r="G259">
            <v>2</v>
          </cell>
          <cell r="H259">
            <v>2</v>
          </cell>
          <cell r="I259">
            <v>2</v>
          </cell>
          <cell r="J259">
            <v>1</v>
          </cell>
          <cell r="K259">
            <v>2</v>
          </cell>
          <cell r="L259">
            <v>2</v>
          </cell>
          <cell r="M259">
            <v>2</v>
          </cell>
          <cell r="N259">
            <v>1</v>
          </cell>
          <cell r="O259">
            <v>1</v>
          </cell>
          <cell r="P259">
            <v>1</v>
          </cell>
          <cell r="Q259">
            <v>1</v>
          </cell>
          <cell r="R259">
            <v>2</v>
          </cell>
          <cell r="S259">
            <v>1</v>
          </cell>
          <cell r="T259">
            <v>1</v>
          </cell>
          <cell r="U259">
            <v>1</v>
          </cell>
        </row>
        <row r="260">
          <cell r="A260" t="str">
            <v>J27014</v>
          </cell>
          <cell r="B260">
            <v>3</v>
          </cell>
          <cell r="C260">
            <v>1</v>
          </cell>
          <cell r="D260">
            <v>1</v>
          </cell>
          <cell r="E260">
            <v>2</v>
          </cell>
          <cell r="F260">
            <v>3</v>
          </cell>
          <cell r="G260">
            <v>2</v>
          </cell>
          <cell r="H260">
            <v>3</v>
          </cell>
          <cell r="I260">
            <v>3</v>
          </cell>
          <cell r="J260">
            <v>1</v>
          </cell>
          <cell r="K260">
            <v>3</v>
          </cell>
          <cell r="L260">
            <v>2</v>
          </cell>
          <cell r="M260">
            <v>2</v>
          </cell>
          <cell r="N260">
            <v>1</v>
          </cell>
          <cell r="O260">
            <v>1</v>
          </cell>
          <cell r="P260">
            <v>0</v>
          </cell>
          <cell r="Q260">
            <v>1</v>
          </cell>
          <cell r="R260">
            <v>3</v>
          </cell>
          <cell r="S260">
            <v>2</v>
          </cell>
          <cell r="T260">
            <v>0</v>
          </cell>
          <cell r="U260">
            <v>1</v>
          </cell>
        </row>
        <row r="261">
          <cell r="A261" t="str">
            <v>J27017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2</v>
          </cell>
          <cell r="I261">
            <v>0</v>
          </cell>
          <cell r="J261">
            <v>0</v>
          </cell>
          <cell r="K261">
            <v>2</v>
          </cell>
          <cell r="L261">
            <v>2</v>
          </cell>
          <cell r="M261">
            <v>2</v>
          </cell>
          <cell r="N261">
            <v>1</v>
          </cell>
          <cell r="O261">
            <v>1</v>
          </cell>
          <cell r="P261">
            <v>1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</row>
        <row r="262">
          <cell r="A262" t="str">
            <v>J27018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A263" t="str">
            <v>J41001D</v>
          </cell>
          <cell r="B263">
            <v>5</v>
          </cell>
          <cell r="C263">
            <v>2</v>
          </cell>
          <cell r="D263">
            <v>2</v>
          </cell>
          <cell r="E263">
            <v>2</v>
          </cell>
          <cell r="F263">
            <v>5</v>
          </cell>
          <cell r="G263">
            <v>3</v>
          </cell>
          <cell r="H263">
            <v>5</v>
          </cell>
          <cell r="I263">
            <v>5</v>
          </cell>
          <cell r="J263">
            <v>2</v>
          </cell>
          <cell r="K263">
            <v>5</v>
          </cell>
          <cell r="L263">
            <v>4</v>
          </cell>
          <cell r="M263">
            <v>3</v>
          </cell>
          <cell r="N263">
            <v>2</v>
          </cell>
          <cell r="O263">
            <v>1</v>
          </cell>
          <cell r="P263">
            <v>2</v>
          </cell>
          <cell r="Q263">
            <v>2</v>
          </cell>
          <cell r="R263">
            <v>5</v>
          </cell>
          <cell r="S263">
            <v>3</v>
          </cell>
          <cell r="T263">
            <v>2</v>
          </cell>
          <cell r="U263">
            <v>1</v>
          </cell>
        </row>
        <row r="264">
          <cell r="A264" t="str">
            <v>J41001E</v>
          </cell>
          <cell r="B264">
            <v>5</v>
          </cell>
          <cell r="C264">
            <v>2</v>
          </cell>
          <cell r="D264">
            <v>2</v>
          </cell>
          <cell r="E264">
            <v>2</v>
          </cell>
          <cell r="F264">
            <v>5</v>
          </cell>
          <cell r="G264">
            <v>3</v>
          </cell>
          <cell r="H264">
            <v>5</v>
          </cell>
          <cell r="I264">
            <v>5</v>
          </cell>
          <cell r="J264">
            <v>2</v>
          </cell>
          <cell r="K264">
            <v>5</v>
          </cell>
          <cell r="L264">
            <v>4</v>
          </cell>
          <cell r="M264">
            <v>3</v>
          </cell>
          <cell r="N264">
            <v>2</v>
          </cell>
          <cell r="O264">
            <v>1</v>
          </cell>
          <cell r="P264">
            <v>2</v>
          </cell>
          <cell r="Q264">
            <v>2</v>
          </cell>
          <cell r="R264">
            <v>5</v>
          </cell>
          <cell r="S264">
            <v>3</v>
          </cell>
          <cell r="T264">
            <v>2</v>
          </cell>
          <cell r="U264">
            <v>1</v>
          </cell>
        </row>
        <row r="265">
          <cell r="A265" t="str">
            <v>J41002D</v>
          </cell>
          <cell r="B265">
            <v>4</v>
          </cell>
          <cell r="C265">
            <v>1</v>
          </cell>
          <cell r="D265">
            <v>1</v>
          </cell>
          <cell r="E265">
            <v>2</v>
          </cell>
          <cell r="F265">
            <v>4</v>
          </cell>
          <cell r="G265">
            <v>3</v>
          </cell>
          <cell r="H265">
            <v>4</v>
          </cell>
          <cell r="I265">
            <v>4</v>
          </cell>
          <cell r="J265">
            <v>1</v>
          </cell>
          <cell r="K265">
            <v>4</v>
          </cell>
          <cell r="L265">
            <v>3</v>
          </cell>
          <cell r="M265">
            <v>3</v>
          </cell>
          <cell r="N265">
            <v>1</v>
          </cell>
          <cell r="O265">
            <v>1</v>
          </cell>
          <cell r="P265">
            <v>2</v>
          </cell>
          <cell r="Q265">
            <v>1</v>
          </cell>
          <cell r="R265">
            <v>4</v>
          </cell>
          <cell r="S265">
            <v>2</v>
          </cell>
          <cell r="T265">
            <v>1</v>
          </cell>
          <cell r="U265">
            <v>1</v>
          </cell>
        </row>
        <row r="266">
          <cell r="A266" t="str">
            <v>J41002E</v>
          </cell>
          <cell r="B266">
            <v>4</v>
          </cell>
          <cell r="C266">
            <v>1</v>
          </cell>
          <cell r="D266">
            <v>1</v>
          </cell>
          <cell r="E266">
            <v>2</v>
          </cell>
          <cell r="F266">
            <v>4</v>
          </cell>
          <cell r="G266">
            <v>3</v>
          </cell>
          <cell r="H266">
            <v>4</v>
          </cell>
          <cell r="I266">
            <v>4</v>
          </cell>
          <cell r="J266">
            <v>1</v>
          </cell>
          <cell r="K266">
            <v>4</v>
          </cell>
          <cell r="L266">
            <v>3</v>
          </cell>
          <cell r="M266">
            <v>3</v>
          </cell>
          <cell r="N266">
            <v>1</v>
          </cell>
          <cell r="O266">
            <v>1</v>
          </cell>
          <cell r="P266">
            <v>1</v>
          </cell>
          <cell r="Q266">
            <v>1</v>
          </cell>
          <cell r="R266">
            <v>4</v>
          </cell>
          <cell r="S266">
            <v>2</v>
          </cell>
          <cell r="T266">
            <v>1</v>
          </cell>
          <cell r="U266">
            <v>1</v>
          </cell>
        </row>
        <row r="267">
          <cell r="A267" t="str">
            <v>J41002-W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A268" t="str">
            <v>J41004</v>
          </cell>
          <cell r="B268">
            <v>2</v>
          </cell>
          <cell r="C268">
            <v>2</v>
          </cell>
          <cell r="D268">
            <v>2</v>
          </cell>
          <cell r="E268">
            <v>1</v>
          </cell>
          <cell r="F268">
            <v>2</v>
          </cell>
          <cell r="G268">
            <v>1</v>
          </cell>
          <cell r="H268">
            <v>2</v>
          </cell>
          <cell r="I268">
            <v>2</v>
          </cell>
          <cell r="J268">
            <v>2</v>
          </cell>
          <cell r="K268">
            <v>2</v>
          </cell>
          <cell r="L268">
            <v>2</v>
          </cell>
          <cell r="M268">
            <v>1</v>
          </cell>
          <cell r="N268">
            <v>2</v>
          </cell>
          <cell r="O268">
            <v>1</v>
          </cell>
          <cell r="P268">
            <v>0</v>
          </cell>
          <cell r="Q268">
            <v>2</v>
          </cell>
          <cell r="R268">
            <v>2</v>
          </cell>
          <cell r="S268">
            <v>2</v>
          </cell>
          <cell r="T268">
            <v>0</v>
          </cell>
          <cell r="U268">
            <v>1</v>
          </cell>
        </row>
        <row r="269">
          <cell r="A269" t="str">
            <v>J41005</v>
          </cell>
          <cell r="B269">
            <v>1</v>
          </cell>
          <cell r="C269">
            <v>1</v>
          </cell>
          <cell r="D269">
            <v>1</v>
          </cell>
          <cell r="E269">
            <v>1</v>
          </cell>
          <cell r="F269">
            <v>1</v>
          </cell>
          <cell r="G269">
            <v>1</v>
          </cell>
          <cell r="H269">
            <v>1</v>
          </cell>
          <cell r="I269">
            <v>1</v>
          </cell>
          <cell r="J269">
            <v>1</v>
          </cell>
          <cell r="K269">
            <v>1</v>
          </cell>
          <cell r="L269">
            <v>1</v>
          </cell>
          <cell r="M269">
            <v>1</v>
          </cell>
          <cell r="N269">
            <v>1</v>
          </cell>
          <cell r="O269">
            <v>1</v>
          </cell>
          <cell r="P269">
            <v>0</v>
          </cell>
          <cell r="Q269">
            <v>1</v>
          </cell>
          <cell r="R269">
            <v>1</v>
          </cell>
          <cell r="S269">
            <v>1</v>
          </cell>
          <cell r="T269">
            <v>0</v>
          </cell>
          <cell r="U269">
            <v>1</v>
          </cell>
        </row>
        <row r="270">
          <cell r="A270" t="str">
            <v>J41006</v>
          </cell>
          <cell r="B270">
            <v>1</v>
          </cell>
          <cell r="C270">
            <v>1</v>
          </cell>
          <cell r="D270">
            <v>1</v>
          </cell>
          <cell r="E270">
            <v>1</v>
          </cell>
          <cell r="F270">
            <v>1</v>
          </cell>
          <cell r="G270">
            <v>1</v>
          </cell>
          <cell r="H270">
            <v>1</v>
          </cell>
          <cell r="I270">
            <v>1</v>
          </cell>
          <cell r="J270">
            <v>1</v>
          </cell>
          <cell r="K270">
            <v>1</v>
          </cell>
          <cell r="L270">
            <v>1</v>
          </cell>
          <cell r="M270">
            <v>1</v>
          </cell>
          <cell r="N270">
            <v>1</v>
          </cell>
          <cell r="O270">
            <v>1</v>
          </cell>
          <cell r="P270">
            <v>0</v>
          </cell>
          <cell r="Q270">
            <v>1</v>
          </cell>
          <cell r="R270">
            <v>1</v>
          </cell>
          <cell r="S270">
            <v>1</v>
          </cell>
          <cell r="T270">
            <v>0</v>
          </cell>
          <cell r="U270">
            <v>1</v>
          </cell>
        </row>
        <row r="271">
          <cell r="A271" t="str">
            <v>J41009</v>
          </cell>
          <cell r="B271">
            <v>2</v>
          </cell>
          <cell r="C271">
            <v>1</v>
          </cell>
          <cell r="D271">
            <v>1</v>
          </cell>
          <cell r="E271">
            <v>1</v>
          </cell>
          <cell r="F271">
            <v>2</v>
          </cell>
          <cell r="G271">
            <v>2</v>
          </cell>
          <cell r="H271">
            <v>2</v>
          </cell>
          <cell r="I271">
            <v>2</v>
          </cell>
          <cell r="J271">
            <v>1</v>
          </cell>
          <cell r="K271">
            <v>2</v>
          </cell>
          <cell r="L271">
            <v>2</v>
          </cell>
          <cell r="M271">
            <v>2</v>
          </cell>
          <cell r="N271">
            <v>1</v>
          </cell>
          <cell r="O271">
            <v>1</v>
          </cell>
          <cell r="P271">
            <v>0</v>
          </cell>
          <cell r="Q271">
            <v>1</v>
          </cell>
          <cell r="R271">
            <v>2</v>
          </cell>
          <cell r="S271">
            <v>1</v>
          </cell>
          <cell r="T271">
            <v>0</v>
          </cell>
          <cell r="U271">
            <v>1</v>
          </cell>
        </row>
        <row r="272">
          <cell r="A272" t="str">
            <v>J41010</v>
          </cell>
          <cell r="B272">
            <v>2</v>
          </cell>
          <cell r="C272">
            <v>2</v>
          </cell>
          <cell r="D272">
            <v>2</v>
          </cell>
          <cell r="E272">
            <v>2</v>
          </cell>
          <cell r="F272">
            <v>2</v>
          </cell>
          <cell r="G272">
            <v>2</v>
          </cell>
          <cell r="H272">
            <v>2</v>
          </cell>
          <cell r="I272">
            <v>2</v>
          </cell>
          <cell r="J272">
            <v>2</v>
          </cell>
          <cell r="K272">
            <v>2</v>
          </cell>
          <cell r="L272">
            <v>2</v>
          </cell>
          <cell r="M272">
            <v>2</v>
          </cell>
          <cell r="N272">
            <v>2</v>
          </cell>
          <cell r="O272">
            <v>2</v>
          </cell>
          <cell r="P272">
            <v>0</v>
          </cell>
          <cell r="Q272">
            <v>2</v>
          </cell>
          <cell r="R272">
            <v>2</v>
          </cell>
          <cell r="S272">
            <v>2</v>
          </cell>
          <cell r="T272">
            <v>0</v>
          </cell>
          <cell r="U272">
            <v>2</v>
          </cell>
        </row>
        <row r="273">
          <cell r="A273" t="str">
            <v>J42001</v>
          </cell>
          <cell r="B273">
            <v>5</v>
          </cell>
          <cell r="C273">
            <v>2</v>
          </cell>
          <cell r="D273">
            <v>2</v>
          </cell>
          <cell r="E273">
            <v>2</v>
          </cell>
          <cell r="F273">
            <v>5</v>
          </cell>
          <cell r="G273">
            <v>3</v>
          </cell>
          <cell r="H273">
            <v>5</v>
          </cell>
          <cell r="I273">
            <v>5</v>
          </cell>
          <cell r="J273">
            <v>2</v>
          </cell>
          <cell r="K273">
            <v>5</v>
          </cell>
          <cell r="L273">
            <v>4</v>
          </cell>
          <cell r="M273">
            <v>3</v>
          </cell>
          <cell r="N273">
            <v>2</v>
          </cell>
          <cell r="O273">
            <v>1</v>
          </cell>
          <cell r="P273">
            <v>2</v>
          </cell>
          <cell r="Q273">
            <v>2</v>
          </cell>
          <cell r="R273">
            <v>5</v>
          </cell>
          <cell r="S273">
            <v>3</v>
          </cell>
          <cell r="T273">
            <v>2</v>
          </cell>
          <cell r="U273">
            <v>1</v>
          </cell>
        </row>
        <row r="274">
          <cell r="A274" t="str">
            <v>J42002</v>
          </cell>
          <cell r="B274">
            <v>5</v>
          </cell>
          <cell r="C274">
            <v>2</v>
          </cell>
          <cell r="D274">
            <v>2</v>
          </cell>
          <cell r="E274">
            <v>2</v>
          </cell>
          <cell r="F274">
            <v>5</v>
          </cell>
          <cell r="G274">
            <v>3</v>
          </cell>
          <cell r="H274">
            <v>5</v>
          </cell>
          <cell r="I274">
            <v>5</v>
          </cell>
          <cell r="J274">
            <v>2</v>
          </cell>
          <cell r="K274">
            <v>5</v>
          </cell>
          <cell r="L274">
            <v>4</v>
          </cell>
          <cell r="M274">
            <v>3</v>
          </cell>
          <cell r="N274">
            <v>2</v>
          </cell>
          <cell r="O274">
            <v>1</v>
          </cell>
          <cell r="P274">
            <v>2</v>
          </cell>
          <cell r="Q274">
            <v>2</v>
          </cell>
          <cell r="R274">
            <v>5</v>
          </cell>
          <cell r="S274">
            <v>3</v>
          </cell>
          <cell r="T274">
            <v>2</v>
          </cell>
          <cell r="U274">
            <v>1</v>
          </cell>
        </row>
        <row r="275">
          <cell r="A275" t="str">
            <v>J42004</v>
          </cell>
          <cell r="B275">
            <v>1</v>
          </cell>
          <cell r="C275">
            <v>1</v>
          </cell>
          <cell r="D275">
            <v>1</v>
          </cell>
          <cell r="E275">
            <v>1</v>
          </cell>
          <cell r="F275">
            <v>1</v>
          </cell>
          <cell r="G275">
            <v>1</v>
          </cell>
          <cell r="H275">
            <v>1</v>
          </cell>
          <cell r="I275">
            <v>1</v>
          </cell>
          <cell r="J275">
            <v>1</v>
          </cell>
          <cell r="K275">
            <v>1</v>
          </cell>
          <cell r="L275">
            <v>1</v>
          </cell>
          <cell r="M275">
            <v>1</v>
          </cell>
          <cell r="N275">
            <v>1</v>
          </cell>
          <cell r="O275">
            <v>1</v>
          </cell>
          <cell r="P275">
            <v>0</v>
          </cell>
          <cell r="Q275">
            <v>1</v>
          </cell>
          <cell r="R275">
            <v>1</v>
          </cell>
          <cell r="S275">
            <v>1</v>
          </cell>
          <cell r="T275">
            <v>0</v>
          </cell>
          <cell r="U275">
            <v>1</v>
          </cell>
        </row>
        <row r="276">
          <cell r="A276" t="str">
            <v>J42007</v>
          </cell>
          <cell r="B276">
            <v>3</v>
          </cell>
          <cell r="C276">
            <v>3</v>
          </cell>
          <cell r="D276">
            <v>3</v>
          </cell>
          <cell r="E276">
            <v>3</v>
          </cell>
          <cell r="F276">
            <v>3</v>
          </cell>
          <cell r="G276">
            <v>3</v>
          </cell>
          <cell r="H276">
            <v>3</v>
          </cell>
          <cell r="I276">
            <v>3</v>
          </cell>
          <cell r="J276">
            <v>3</v>
          </cell>
          <cell r="K276">
            <v>3</v>
          </cell>
          <cell r="L276">
            <v>3</v>
          </cell>
          <cell r="M276">
            <v>3</v>
          </cell>
          <cell r="N276">
            <v>3</v>
          </cell>
          <cell r="O276">
            <v>3</v>
          </cell>
          <cell r="P276">
            <v>0</v>
          </cell>
          <cell r="Q276">
            <v>3</v>
          </cell>
          <cell r="R276">
            <v>3</v>
          </cell>
          <cell r="S276">
            <v>3</v>
          </cell>
          <cell r="T276">
            <v>0</v>
          </cell>
          <cell r="U276">
            <v>3</v>
          </cell>
        </row>
        <row r="277">
          <cell r="A277" t="str">
            <v>J42009</v>
          </cell>
          <cell r="B277">
            <v>3</v>
          </cell>
          <cell r="C277">
            <v>2</v>
          </cell>
          <cell r="D277">
            <v>2</v>
          </cell>
          <cell r="E277">
            <v>2</v>
          </cell>
          <cell r="F277">
            <v>3</v>
          </cell>
          <cell r="G277">
            <v>2</v>
          </cell>
          <cell r="H277">
            <v>4</v>
          </cell>
          <cell r="I277">
            <v>3</v>
          </cell>
          <cell r="J277">
            <v>2</v>
          </cell>
          <cell r="K277">
            <v>4</v>
          </cell>
          <cell r="L277">
            <v>3</v>
          </cell>
          <cell r="M277">
            <v>3</v>
          </cell>
          <cell r="N277">
            <v>2</v>
          </cell>
          <cell r="O277">
            <v>2</v>
          </cell>
          <cell r="P277">
            <v>0</v>
          </cell>
          <cell r="Q277">
            <v>2</v>
          </cell>
          <cell r="R277">
            <v>3</v>
          </cell>
          <cell r="S277">
            <v>2</v>
          </cell>
          <cell r="T277">
            <v>0</v>
          </cell>
          <cell r="U277">
            <v>2</v>
          </cell>
        </row>
        <row r="278">
          <cell r="A278" t="str">
            <v>J42018</v>
          </cell>
          <cell r="B278">
            <v>12</v>
          </cell>
          <cell r="C278">
            <v>12</v>
          </cell>
          <cell r="D278">
            <v>12</v>
          </cell>
          <cell r="E278">
            <v>12</v>
          </cell>
          <cell r="F278">
            <v>12</v>
          </cell>
          <cell r="G278">
            <v>12</v>
          </cell>
          <cell r="H278">
            <v>0</v>
          </cell>
          <cell r="I278">
            <v>12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12</v>
          </cell>
        </row>
        <row r="279">
          <cell r="A279" t="str">
            <v>J42019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17</v>
          </cell>
          <cell r="I279">
            <v>0</v>
          </cell>
          <cell r="J279">
            <v>0</v>
          </cell>
          <cell r="K279">
            <v>17</v>
          </cell>
          <cell r="L279">
            <v>17</v>
          </cell>
          <cell r="M279">
            <v>12</v>
          </cell>
          <cell r="N279">
            <v>17</v>
          </cell>
          <cell r="O279">
            <v>9</v>
          </cell>
          <cell r="P279">
            <v>0</v>
          </cell>
          <cell r="Q279">
            <v>13</v>
          </cell>
          <cell r="R279">
            <v>13</v>
          </cell>
          <cell r="S279">
            <v>13</v>
          </cell>
          <cell r="T279">
            <v>0</v>
          </cell>
          <cell r="U279">
            <v>0</v>
          </cell>
        </row>
        <row r="280">
          <cell r="A280" t="str">
            <v>J42021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3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</row>
        <row r="281">
          <cell r="A281" t="str">
            <v>J42022</v>
          </cell>
          <cell r="B281">
            <v>4</v>
          </cell>
          <cell r="C281">
            <v>1</v>
          </cell>
          <cell r="D281">
            <v>1</v>
          </cell>
          <cell r="E281">
            <v>2</v>
          </cell>
          <cell r="F281">
            <v>4</v>
          </cell>
          <cell r="G281">
            <v>3</v>
          </cell>
          <cell r="H281">
            <v>4</v>
          </cell>
          <cell r="I281">
            <v>4</v>
          </cell>
          <cell r="J281">
            <v>1</v>
          </cell>
          <cell r="K281">
            <v>4</v>
          </cell>
          <cell r="L281">
            <v>3</v>
          </cell>
          <cell r="M281">
            <v>3</v>
          </cell>
          <cell r="N281">
            <v>1</v>
          </cell>
          <cell r="O281">
            <v>1</v>
          </cell>
          <cell r="P281">
            <v>2</v>
          </cell>
          <cell r="Q281">
            <v>1</v>
          </cell>
          <cell r="R281">
            <v>4</v>
          </cell>
          <cell r="S281">
            <v>2</v>
          </cell>
          <cell r="T281">
            <v>2</v>
          </cell>
          <cell r="U281">
            <v>1</v>
          </cell>
        </row>
        <row r="282">
          <cell r="A282" t="str">
            <v>J42023B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</v>
          </cell>
          <cell r="J282">
            <v>0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</row>
        <row r="283">
          <cell r="A283" t="str">
            <v>J42023B-W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</row>
        <row r="284">
          <cell r="A284" t="str">
            <v>J42024-W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</row>
        <row r="285">
          <cell r="A285" t="str">
            <v>J42025</v>
          </cell>
          <cell r="B285">
            <v>4</v>
          </cell>
          <cell r="C285">
            <v>1</v>
          </cell>
          <cell r="D285">
            <v>1</v>
          </cell>
          <cell r="E285">
            <v>2</v>
          </cell>
          <cell r="F285">
            <v>4</v>
          </cell>
          <cell r="G285">
            <v>3</v>
          </cell>
          <cell r="H285">
            <v>4</v>
          </cell>
          <cell r="I285">
            <v>4</v>
          </cell>
          <cell r="J285">
            <v>1</v>
          </cell>
          <cell r="K285">
            <v>4</v>
          </cell>
          <cell r="L285">
            <v>3</v>
          </cell>
          <cell r="M285">
            <v>3</v>
          </cell>
          <cell r="N285">
            <v>1</v>
          </cell>
          <cell r="O285">
            <v>1</v>
          </cell>
          <cell r="P285">
            <v>0</v>
          </cell>
          <cell r="Q285">
            <v>1</v>
          </cell>
          <cell r="R285">
            <v>4</v>
          </cell>
          <cell r="S285">
            <v>2</v>
          </cell>
          <cell r="T285">
            <v>0</v>
          </cell>
          <cell r="U285">
            <v>1</v>
          </cell>
        </row>
        <row r="286">
          <cell r="A286" t="str">
            <v>J42026</v>
          </cell>
          <cell r="B286">
            <v>1</v>
          </cell>
          <cell r="C286">
            <v>1</v>
          </cell>
          <cell r="D286">
            <v>1</v>
          </cell>
          <cell r="E286">
            <v>1</v>
          </cell>
          <cell r="F286">
            <v>1</v>
          </cell>
          <cell r="G286">
            <v>1</v>
          </cell>
          <cell r="H286">
            <v>1</v>
          </cell>
          <cell r="I286">
            <v>1</v>
          </cell>
          <cell r="J286">
            <v>1</v>
          </cell>
          <cell r="K286">
            <v>1</v>
          </cell>
          <cell r="L286">
            <v>1</v>
          </cell>
          <cell r="M286">
            <v>1</v>
          </cell>
          <cell r="N286">
            <v>1</v>
          </cell>
          <cell r="O286">
            <v>1</v>
          </cell>
          <cell r="P286">
            <v>0</v>
          </cell>
          <cell r="Q286">
            <v>1</v>
          </cell>
          <cell r="R286">
            <v>1</v>
          </cell>
          <cell r="S286">
            <v>1</v>
          </cell>
          <cell r="T286">
            <v>0</v>
          </cell>
          <cell r="U286">
            <v>1</v>
          </cell>
        </row>
        <row r="287">
          <cell r="A287" t="str">
            <v>J45001</v>
          </cell>
          <cell r="B287">
            <v>4</v>
          </cell>
          <cell r="C287">
            <v>2</v>
          </cell>
          <cell r="D287">
            <v>2</v>
          </cell>
          <cell r="E287">
            <v>2</v>
          </cell>
          <cell r="F287">
            <v>4</v>
          </cell>
          <cell r="G287">
            <v>3</v>
          </cell>
          <cell r="H287">
            <v>4</v>
          </cell>
          <cell r="I287">
            <v>4</v>
          </cell>
          <cell r="J287">
            <v>2</v>
          </cell>
          <cell r="K287">
            <v>4</v>
          </cell>
          <cell r="L287">
            <v>3</v>
          </cell>
          <cell r="M287">
            <v>3</v>
          </cell>
          <cell r="N287">
            <v>2</v>
          </cell>
          <cell r="O287">
            <v>2</v>
          </cell>
          <cell r="P287">
            <v>0</v>
          </cell>
          <cell r="Q287">
            <v>2</v>
          </cell>
          <cell r="R287">
            <v>4</v>
          </cell>
          <cell r="S287">
            <v>2</v>
          </cell>
          <cell r="T287">
            <v>0</v>
          </cell>
          <cell r="U287">
            <v>2</v>
          </cell>
        </row>
        <row r="288">
          <cell r="A288" t="str">
            <v>J45003</v>
          </cell>
          <cell r="B288">
            <v>2</v>
          </cell>
          <cell r="C288">
            <v>2</v>
          </cell>
          <cell r="D288">
            <v>2</v>
          </cell>
          <cell r="E288">
            <v>2</v>
          </cell>
          <cell r="F288">
            <v>2</v>
          </cell>
          <cell r="G288">
            <v>2</v>
          </cell>
          <cell r="H288">
            <v>2</v>
          </cell>
          <cell r="I288">
            <v>2</v>
          </cell>
          <cell r="J288">
            <v>2</v>
          </cell>
          <cell r="K288">
            <v>2</v>
          </cell>
          <cell r="L288">
            <v>2</v>
          </cell>
          <cell r="M288">
            <v>2</v>
          </cell>
          <cell r="N288">
            <v>2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2</v>
          </cell>
          <cell r="T288">
            <v>0</v>
          </cell>
          <cell r="U288">
            <v>2</v>
          </cell>
        </row>
        <row r="289">
          <cell r="A289" t="str">
            <v>J45006D</v>
          </cell>
          <cell r="B289">
            <v>3</v>
          </cell>
          <cell r="C289">
            <v>2</v>
          </cell>
          <cell r="D289">
            <v>2</v>
          </cell>
          <cell r="E289">
            <v>1</v>
          </cell>
          <cell r="F289">
            <v>3</v>
          </cell>
          <cell r="G289">
            <v>2</v>
          </cell>
          <cell r="H289">
            <v>3</v>
          </cell>
          <cell r="I289">
            <v>3</v>
          </cell>
          <cell r="J289">
            <v>2</v>
          </cell>
          <cell r="K289">
            <v>3</v>
          </cell>
          <cell r="L289">
            <v>3</v>
          </cell>
          <cell r="M289">
            <v>2</v>
          </cell>
          <cell r="N289">
            <v>2</v>
          </cell>
          <cell r="O289">
            <v>1</v>
          </cell>
          <cell r="P289">
            <v>2</v>
          </cell>
          <cell r="Q289">
            <v>2</v>
          </cell>
          <cell r="R289">
            <v>4</v>
          </cell>
          <cell r="S289">
            <v>2</v>
          </cell>
          <cell r="T289">
            <v>3</v>
          </cell>
          <cell r="U289">
            <v>1</v>
          </cell>
        </row>
        <row r="290">
          <cell r="A290" t="str">
            <v>J45006E</v>
          </cell>
          <cell r="B290">
            <v>3</v>
          </cell>
          <cell r="C290">
            <v>2</v>
          </cell>
          <cell r="D290">
            <v>2</v>
          </cell>
          <cell r="E290">
            <v>1</v>
          </cell>
          <cell r="F290">
            <v>3</v>
          </cell>
          <cell r="G290">
            <v>2</v>
          </cell>
          <cell r="H290">
            <v>3</v>
          </cell>
          <cell r="I290">
            <v>3</v>
          </cell>
          <cell r="J290">
            <v>2</v>
          </cell>
          <cell r="K290">
            <v>3</v>
          </cell>
          <cell r="L290">
            <v>3</v>
          </cell>
          <cell r="M290">
            <v>2</v>
          </cell>
          <cell r="N290">
            <v>2</v>
          </cell>
          <cell r="O290">
            <v>1</v>
          </cell>
          <cell r="P290">
            <v>2</v>
          </cell>
          <cell r="Q290">
            <v>2</v>
          </cell>
          <cell r="R290">
            <v>6</v>
          </cell>
          <cell r="S290">
            <v>3</v>
          </cell>
          <cell r="T290">
            <v>3</v>
          </cell>
          <cell r="U290">
            <v>1</v>
          </cell>
        </row>
        <row r="291">
          <cell r="A291" t="str">
            <v>J45009</v>
          </cell>
          <cell r="B291">
            <v>2</v>
          </cell>
          <cell r="C291">
            <v>2</v>
          </cell>
          <cell r="D291">
            <v>2</v>
          </cell>
          <cell r="E291">
            <v>2</v>
          </cell>
          <cell r="F291">
            <v>2</v>
          </cell>
          <cell r="G291">
            <v>2</v>
          </cell>
          <cell r="H291">
            <v>2</v>
          </cell>
          <cell r="I291">
            <v>2</v>
          </cell>
          <cell r="J291">
            <v>2</v>
          </cell>
          <cell r="K291">
            <v>2</v>
          </cell>
          <cell r="L291">
            <v>2</v>
          </cell>
          <cell r="M291">
            <v>2</v>
          </cell>
          <cell r="N291">
            <v>2</v>
          </cell>
          <cell r="O291">
            <v>2</v>
          </cell>
          <cell r="P291">
            <v>2</v>
          </cell>
          <cell r="Q291">
            <v>2</v>
          </cell>
          <cell r="R291">
            <v>2</v>
          </cell>
          <cell r="S291">
            <v>2</v>
          </cell>
          <cell r="T291">
            <v>2</v>
          </cell>
          <cell r="U291">
            <v>2</v>
          </cell>
        </row>
        <row r="292">
          <cell r="A292" t="str">
            <v>J45010</v>
          </cell>
          <cell r="B292">
            <v>1</v>
          </cell>
          <cell r="C292">
            <v>1</v>
          </cell>
          <cell r="D292">
            <v>1</v>
          </cell>
          <cell r="E292">
            <v>1</v>
          </cell>
          <cell r="F292">
            <v>1</v>
          </cell>
          <cell r="G292">
            <v>1</v>
          </cell>
          <cell r="H292">
            <v>1</v>
          </cell>
          <cell r="I292">
            <v>1</v>
          </cell>
          <cell r="J292">
            <v>1</v>
          </cell>
          <cell r="K292">
            <v>1</v>
          </cell>
          <cell r="L292">
            <v>1</v>
          </cell>
          <cell r="M292">
            <v>1</v>
          </cell>
          <cell r="N292">
            <v>1</v>
          </cell>
          <cell r="O292">
            <v>1</v>
          </cell>
          <cell r="P292">
            <v>2</v>
          </cell>
          <cell r="Q292">
            <v>1</v>
          </cell>
          <cell r="R292">
            <v>1</v>
          </cell>
          <cell r="S292">
            <v>1</v>
          </cell>
          <cell r="T292">
            <v>2</v>
          </cell>
          <cell r="U292">
            <v>1</v>
          </cell>
        </row>
        <row r="293">
          <cell r="A293" t="str">
            <v>J46001</v>
          </cell>
          <cell r="B293">
            <v>2</v>
          </cell>
          <cell r="C293">
            <v>1</v>
          </cell>
          <cell r="D293">
            <v>1</v>
          </cell>
          <cell r="E293">
            <v>1</v>
          </cell>
          <cell r="F293">
            <v>2</v>
          </cell>
          <cell r="G293">
            <v>2</v>
          </cell>
          <cell r="H293">
            <v>0</v>
          </cell>
          <cell r="I293">
            <v>2</v>
          </cell>
          <cell r="J293">
            <v>1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1</v>
          </cell>
        </row>
        <row r="294">
          <cell r="A294" t="str">
            <v>J46002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</v>
          </cell>
          <cell r="J294">
            <v>0</v>
          </cell>
          <cell r="K294">
            <v>1</v>
          </cell>
          <cell r="L294">
            <v>1</v>
          </cell>
          <cell r="M294">
            <v>1</v>
          </cell>
          <cell r="N294">
            <v>1</v>
          </cell>
          <cell r="O294">
            <v>1</v>
          </cell>
          <cell r="P294">
            <v>0</v>
          </cell>
          <cell r="Q294">
            <v>1</v>
          </cell>
          <cell r="R294">
            <v>1</v>
          </cell>
          <cell r="S294">
            <v>1</v>
          </cell>
          <cell r="T294">
            <v>0</v>
          </cell>
          <cell r="U294">
            <v>0</v>
          </cell>
        </row>
        <row r="295">
          <cell r="A295" t="str">
            <v>J46003</v>
          </cell>
          <cell r="B295">
            <v>2</v>
          </cell>
          <cell r="C295">
            <v>2</v>
          </cell>
          <cell r="D295">
            <v>2</v>
          </cell>
          <cell r="E295">
            <v>2</v>
          </cell>
          <cell r="F295">
            <v>2</v>
          </cell>
          <cell r="G295">
            <v>2</v>
          </cell>
          <cell r="H295">
            <v>2</v>
          </cell>
          <cell r="I295">
            <v>2</v>
          </cell>
          <cell r="J295">
            <v>2</v>
          </cell>
          <cell r="K295">
            <v>2</v>
          </cell>
          <cell r="L295">
            <v>2</v>
          </cell>
          <cell r="M295">
            <v>2</v>
          </cell>
          <cell r="N295">
            <v>2</v>
          </cell>
          <cell r="O295">
            <v>2</v>
          </cell>
          <cell r="P295">
            <v>0</v>
          </cell>
          <cell r="Q295">
            <v>2</v>
          </cell>
          <cell r="R295">
            <v>2</v>
          </cell>
          <cell r="S295">
            <v>2</v>
          </cell>
          <cell r="T295">
            <v>0</v>
          </cell>
          <cell r="U295">
            <v>2</v>
          </cell>
        </row>
        <row r="296">
          <cell r="A296" t="str">
            <v>J46004</v>
          </cell>
          <cell r="B296">
            <v>4</v>
          </cell>
          <cell r="C296">
            <v>2</v>
          </cell>
          <cell r="D296">
            <v>2</v>
          </cell>
          <cell r="E296">
            <v>2</v>
          </cell>
          <cell r="F296">
            <v>4</v>
          </cell>
          <cell r="G296">
            <v>2</v>
          </cell>
          <cell r="H296">
            <v>3</v>
          </cell>
          <cell r="I296">
            <v>4</v>
          </cell>
          <cell r="J296">
            <v>2</v>
          </cell>
          <cell r="K296">
            <v>4</v>
          </cell>
          <cell r="L296">
            <v>3</v>
          </cell>
          <cell r="M296">
            <v>2</v>
          </cell>
          <cell r="N296">
            <v>2</v>
          </cell>
          <cell r="O296">
            <v>1</v>
          </cell>
          <cell r="P296">
            <v>0</v>
          </cell>
          <cell r="Q296">
            <v>2</v>
          </cell>
          <cell r="R296">
            <v>4</v>
          </cell>
          <cell r="S296">
            <v>2</v>
          </cell>
          <cell r="T296">
            <v>0</v>
          </cell>
          <cell r="U296">
            <v>1</v>
          </cell>
        </row>
        <row r="297">
          <cell r="A297" t="str">
            <v>J46005</v>
          </cell>
          <cell r="B297">
            <v>4</v>
          </cell>
          <cell r="C297">
            <v>1</v>
          </cell>
          <cell r="D297">
            <v>1</v>
          </cell>
          <cell r="E297">
            <v>2</v>
          </cell>
          <cell r="F297">
            <v>4</v>
          </cell>
          <cell r="G297">
            <v>3</v>
          </cell>
          <cell r="H297">
            <v>4</v>
          </cell>
          <cell r="I297">
            <v>4</v>
          </cell>
          <cell r="J297">
            <v>1</v>
          </cell>
          <cell r="K297">
            <v>4</v>
          </cell>
          <cell r="L297">
            <v>3</v>
          </cell>
          <cell r="M297">
            <v>3</v>
          </cell>
          <cell r="N297">
            <v>1</v>
          </cell>
          <cell r="O297">
            <v>1</v>
          </cell>
          <cell r="P297">
            <v>0</v>
          </cell>
          <cell r="Q297">
            <v>1</v>
          </cell>
          <cell r="R297">
            <v>4</v>
          </cell>
          <cell r="S297">
            <v>2</v>
          </cell>
          <cell r="T297">
            <v>0</v>
          </cell>
          <cell r="U297">
            <v>1</v>
          </cell>
        </row>
        <row r="298">
          <cell r="A298" t="str">
            <v>J46006</v>
          </cell>
          <cell r="B298">
            <v>2</v>
          </cell>
          <cell r="C298">
            <v>1</v>
          </cell>
          <cell r="D298">
            <v>1</v>
          </cell>
          <cell r="E298">
            <v>1</v>
          </cell>
          <cell r="F298">
            <v>2</v>
          </cell>
          <cell r="G298">
            <v>2</v>
          </cell>
          <cell r="H298">
            <v>2</v>
          </cell>
          <cell r="I298">
            <v>2</v>
          </cell>
          <cell r="J298">
            <v>1</v>
          </cell>
          <cell r="K298">
            <v>3</v>
          </cell>
          <cell r="L298">
            <v>2</v>
          </cell>
          <cell r="M298">
            <v>2</v>
          </cell>
          <cell r="N298">
            <v>1</v>
          </cell>
          <cell r="O298">
            <v>1</v>
          </cell>
          <cell r="P298">
            <v>0</v>
          </cell>
          <cell r="Q298">
            <v>1</v>
          </cell>
          <cell r="R298">
            <v>3</v>
          </cell>
          <cell r="S298">
            <v>1</v>
          </cell>
          <cell r="T298">
            <v>0</v>
          </cell>
          <cell r="U298">
            <v>1</v>
          </cell>
        </row>
        <row r="299">
          <cell r="A299" t="str">
            <v>J46007</v>
          </cell>
          <cell r="B299">
            <v>2</v>
          </cell>
          <cell r="C299">
            <v>1</v>
          </cell>
          <cell r="D299">
            <v>1</v>
          </cell>
          <cell r="E299">
            <v>1</v>
          </cell>
          <cell r="F299">
            <v>2</v>
          </cell>
          <cell r="G299">
            <v>2</v>
          </cell>
          <cell r="H299">
            <v>2</v>
          </cell>
          <cell r="I299">
            <v>2</v>
          </cell>
          <cell r="J299">
            <v>1</v>
          </cell>
          <cell r="K299">
            <v>3</v>
          </cell>
          <cell r="L299">
            <v>2</v>
          </cell>
          <cell r="M299">
            <v>2</v>
          </cell>
          <cell r="N299">
            <v>1</v>
          </cell>
          <cell r="O299">
            <v>1</v>
          </cell>
          <cell r="P299">
            <v>0</v>
          </cell>
          <cell r="Q299">
            <v>1</v>
          </cell>
          <cell r="R299">
            <v>3</v>
          </cell>
          <cell r="S299">
            <v>1</v>
          </cell>
          <cell r="T299">
            <v>0</v>
          </cell>
          <cell r="U299">
            <v>1</v>
          </cell>
        </row>
        <row r="300">
          <cell r="A300" t="str">
            <v>J46009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2</v>
          </cell>
          <cell r="I300">
            <v>0</v>
          </cell>
          <cell r="J300">
            <v>0</v>
          </cell>
          <cell r="K300">
            <v>2</v>
          </cell>
          <cell r="L300">
            <v>2</v>
          </cell>
          <cell r="M300">
            <v>2</v>
          </cell>
          <cell r="N300">
            <v>2</v>
          </cell>
          <cell r="O300">
            <v>2</v>
          </cell>
          <cell r="P300">
            <v>0</v>
          </cell>
          <cell r="Q300">
            <v>2</v>
          </cell>
          <cell r="R300">
            <v>2</v>
          </cell>
          <cell r="S300">
            <v>2</v>
          </cell>
          <cell r="T300">
            <v>0</v>
          </cell>
          <cell r="U300">
            <v>0</v>
          </cell>
        </row>
        <row r="301">
          <cell r="A301" t="str">
            <v>J46013</v>
          </cell>
          <cell r="B301">
            <v>3</v>
          </cell>
          <cell r="C301">
            <v>2</v>
          </cell>
          <cell r="D301">
            <v>2</v>
          </cell>
          <cell r="E301">
            <v>2</v>
          </cell>
          <cell r="F301">
            <v>3</v>
          </cell>
          <cell r="G301">
            <v>3</v>
          </cell>
          <cell r="H301">
            <v>5</v>
          </cell>
          <cell r="I301">
            <v>3</v>
          </cell>
          <cell r="J301">
            <v>2</v>
          </cell>
          <cell r="K301">
            <v>6</v>
          </cell>
          <cell r="L301">
            <v>5</v>
          </cell>
          <cell r="M301">
            <v>5</v>
          </cell>
          <cell r="N301">
            <v>2</v>
          </cell>
          <cell r="O301">
            <v>2</v>
          </cell>
          <cell r="P301">
            <v>0</v>
          </cell>
          <cell r="Q301">
            <v>2</v>
          </cell>
          <cell r="R301">
            <v>6</v>
          </cell>
          <cell r="S301">
            <v>3</v>
          </cell>
          <cell r="T301">
            <v>0</v>
          </cell>
          <cell r="U301">
            <v>2</v>
          </cell>
        </row>
        <row r="302">
          <cell r="A302" t="str">
            <v>J46019</v>
          </cell>
          <cell r="B302">
            <v>2</v>
          </cell>
          <cell r="C302">
            <v>1</v>
          </cell>
          <cell r="D302">
            <v>1</v>
          </cell>
          <cell r="E302">
            <v>1</v>
          </cell>
          <cell r="F302">
            <v>2</v>
          </cell>
          <cell r="G302">
            <v>2</v>
          </cell>
          <cell r="H302">
            <v>0</v>
          </cell>
          <cell r="I302">
            <v>2</v>
          </cell>
          <cell r="J302">
            <v>1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1</v>
          </cell>
        </row>
        <row r="303">
          <cell r="A303" t="str">
            <v>J46020</v>
          </cell>
          <cell r="B303">
            <v>4</v>
          </cell>
          <cell r="C303">
            <v>1</v>
          </cell>
          <cell r="D303">
            <v>1</v>
          </cell>
          <cell r="E303">
            <v>2</v>
          </cell>
          <cell r="F303">
            <v>4</v>
          </cell>
          <cell r="G303">
            <v>3</v>
          </cell>
          <cell r="H303">
            <v>4</v>
          </cell>
          <cell r="I303">
            <v>4</v>
          </cell>
          <cell r="J303">
            <v>1</v>
          </cell>
          <cell r="K303">
            <v>4</v>
          </cell>
          <cell r="L303">
            <v>3</v>
          </cell>
          <cell r="M303">
            <v>3</v>
          </cell>
          <cell r="N303">
            <v>1</v>
          </cell>
          <cell r="O303">
            <v>1</v>
          </cell>
          <cell r="P303">
            <v>0</v>
          </cell>
          <cell r="Q303">
            <v>1</v>
          </cell>
          <cell r="R303">
            <v>4</v>
          </cell>
          <cell r="S303">
            <v>2</v>
          </cell>
          <cell r="T303">
            <v>0</v>
          </cell>
          <cell r="U303">
            <v>1</v>
          </cell>
        </row>
        <row r="304">
          <cell r="A304" t="str">
            <v>J46027</v>
          </cell>
          <cell r="B304">
            <v>1</v>
          </cell>
          <cell r="C304">
            <v>1</v>
          </cell>
          <cell r="D304">
            <v>1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0</v>
          </cell>
          <cell r="Q304">
            <v>1</v>
          </cell>
          <cell r="R304">
            <v>1</v>
          </cell>
          <cell r="S304">
            <v>1</v>
          </cell>
          <cell r="T304">
            <v>0</v>
          </cell>
          <cell r="U304">
            <v>1</v>
          </cell>
        </row>
        <row r="305">
          <cell r="A305" t="str">
            <v>J46028</v>
          </cell>
          <cell r="B305">
            <v>1</v>
          </cell>
          <cell r="C305">
            <v>1</v>
          </cell>
          <cell r="D305">
            <v>1</v>
          </cell>
          <cell r="E305">
            <v>1</v>
          </cell>
          <cell r="F305">
            <v>1</v>
          </cell>
          <cell r="G305">
            <v>1</v>
          </cell>
          <cell r="H305">
            <v>1</v>
          </cell>
          <cell r="I305">
            <v>1</v>
          </cell>
          <cell r="J305">
            <v>1</v>
          </cell>
          <cell r="K305">
            <v>1</v>
          </cell>
          <cell r="L305">
            <v>1</v>
          </cell>
          <cell r="M305">
            <v>1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R305">
            <v>1</v>
          </cell>
          <cell r="S305">
            <v>1</v>
          </cell>
          <cell r="T305">
            <v>1</v>
          </cell>
          <cell r="U305">
            <v>1</v>
          </cell>
        </row>
        <row r="306">
          <cell r="A306" t="str">
            <v>J46029</v>
          </cell>
          <cell r="B306">
            <v>2</v>
          </cell>
          <cell r="C306">
            <v>1</v>
          </cell>
          <cell r="D306">
            <v>1</v>
          </cell>
          <cell r="E306">
            <v>1</v>
          </cell>
          <cell r="F306">
            <v>2</v>
          </cell>
          <cell r="G306">
            <v>2</v>
          </cell>
          <cell r="H306">
            <v>0</v>
          </cell>
          <cell r="I306">
            <v>2</v>
          </cell>
          <cell r="J306">
            <v>1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</v>
          </cell>
        </row>
        <row r="307">
          <cell r="A307" t="str">
            <v>J46030</v>
          </cell>
          <cell r="B307">
            <v>1</v>
          </cell>
          <cell r="C307">
            <v>1</v>
          </cell>
          <cell r="D307">
            <v>1</v>
          </cell>
          <cell r="E307">
            <v>1</v>
          </cell>
          <cell r="F307">
            <v>1</v>
          </cell>
          <cell r="G307">
            <v>1</v>
          </cell>
          <cell r="H307">
            <v>1</v>
          </cell>
          <cell r="I307">
            <v>1</v>
          </cell>
          <cell r="J307">
            <v>1</v>
          </cell>
          <cell r="K307">
            <v>1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P307">
            <v>0</v>
          </cell>
          <cell r="Q307">
            <v>1</v>
          </cell>
          <cell r="R307">
            <v>1</v>
          </cell>
          <cell r="S307">
            <v>1</v>
          </cell>
          <cell r="T307">
            <v>0</v>
          </cell>
          <cell r="U307">
            <v>1</v>
          </cell>
        </row>
        <row r="308">
          <cell r="A308" t="str">
            <v>J46031</v>
          </cell>
          <cell r="B308">
            <v>3</v>
          </cell>
          <cell r="C308">
            <v>1</v>
          </cell>
          <cell r="D308">
            <v>1</v>
          </cell>
          <cell r="E308">
            <v>2</v>
          </cell>
          <cell r="F308">
            <v>3</v>
          </cell>
          <cell r="G308">
            <v>2</v>
          </cell>
          <cell r="H308">
            <v>2</v>
          </cell>
          <cell r="I308">
            <v>3</v>
          </cell>
          <cell r="J308">
            <v>1</v>
          </cell>
          <cell r="K308">
            <v>3</v>
          </cell>
          <cell r="L308">
            <v>2</v>
          </cell>
          <cell r="M308">
            <v>2</v>
          </cell>
          <cell r="N308">
            <v>1</v>
          </cell>
          <cell r="O308">
            <v>1</v>
          </cell>
          <cell r="P308">
            <v>0</v>
          </cell>
          <cell r="Q308">
            <v>1</v>
          </cell>
          <cell r="R308">
            <v>3</v>
          </cell>
          <cell r="S308">
            <v>1</v>
          </cell>
          <cell r="T308">
            <v>0</v>
          </cell>
          <cell r="U308">
            <v>1</v>
          </cell>
        </row>
        <row r="309">
          <cell r="A309" t="str">
            <v>J47003</v>
          </cell>
          <cell r="B309">
            <v>2</v>
          </cell>
          <cell r="C309">
            <v>2</v>
          </cell>
          <cell r="D309">
            <v>2</v>
          </cell>
          <cell r="E309">
            <v>1</v>
          </cell>
          <cell r="F309">
            <v>2</v>
          </cell>
          <cell r="G309">
            <v>1</v>
          </cell>
          <cell r="H309">
            <v>2</v>
          </cell>
          <cell r="I309">
            <v>2</v>
          </cell>
          <cell r="J309">
            <v>2</v>
          </cell>
          <cell r="K309">
            <v>2</v>
          </cell>
          <cell r="L309">
            <v>2</v>
          </cell>
          <cell r="M309">
            <v>1</v>
          </cell>
          <cell r="N309">
            <v>2</v>
          </cell>
          <cell r="O309">
            <v>1</v>
          </cell>
          <cell r="P309">
            <v>0</v>
          </cell>
          <cell r="Q309">
            <v>2</v>
          </cell>
          <cell r="R309">
            <v>2</v>
          </cell>
          <cell r="S309">
            <v>2</v>
          </cell>
          <cell r="T309">
            <v>0</v>
          </cell>
          <cell r="U309">
            <v>1</v>
          </cell>
        </row>
        <row r="310">
          <cell r="A310" t="str">
            <v>J47004</v>
          </cell>
          <cell r="B310">
            <v>3</v>
          </cell>
          <cell r="C310">
            <v>3</v>
          </cell>
          <cell r="D310">
            <v>3</v>
          </cell>
          <cell r="E310">
            <v>3</v>
          </cell>
          <cell r="F310">
            <v>3</v>
          </cell>
          <cell r="G310">
            <v>3</v>
          </cell>
          <cell r="H310">
            <v>3</v>
          </cell>
          <cell r="I310">
            <v>3</v>
          </cell>
          <cell r="J310">
            <v>3</v>
          </cell>
          <cell r="K310">
            <v>3</v>
          </cell>
          <cell r="L310">
            <v>3</v>
          </cell>
          <cell r="M310">
            <v>3</v>
          </cell>
          <cell r="N310">
            <v>3</v>
          </cell>
          <cell r="O310">
            <v>3</v>
          </cell>
          <cell r="P310">
            <v>0</v>
          </cell>
          <cell r="Q310">
            <v>3</v>
          </cell>
          <cell r="R310">
            <v>3</v>
          </cell>
          <cell r="S310">
            <v>3</v>
          </cell>
          <cell r="T310">
            <v>0</v>
          </cell>
          <cell r="U310">
            <v>3</v>
          </cell>
        </row>
        <row r="311">
          <cell r="A311" t="str">
            <v>J47004-W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</row>
        <row r="312">
          <cell r="A312" t="str">
            <v>J47005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2</v>
          </cell>
          <cell r="I312">
            <v>0</v>
          </cell>
          <cell r="J312">
            <v>0</v>
          </cell>
          <cell r="K312">
            <v>2</v>
          </cell>
          <cell r="L312">
            <v>2</v>
          </cell>
          <cell r="M312">
            <v>2</v>
          </cell>
          <cell r="N312">
            <v>2</v>
          </cell>
          <cell r="O312">
            <v>2</v>
          </cell>
          <cell r="P312">
            <v>0</v>
          </cell>
          <cell r="Q312">
            <v>2</v>
          </cell>
          <cell r="R312">
            <v>2</v>
          </cell>
          <cell r="S312">
            <v>2</v>
          </cell>
          <cell r="T312">
            <v>0</v>
          </cell>
          <cell r="U312">
            <v>0</v>
          </cell>
        </row>
        <row r="313">
          <cell r="A313" t="str">
            <v>J49001</v>
          </cell>
          <cell r="B313">
            <v>4</v>
          </cell>
          <cell r="C313">
            <v>2</v>
          </cell>
          <cell r="D313">
            <v>2</v>
          </cell>
          <cell r="E313">
            <v>2</v>
          </cell>
          <cell r="F313">
            <v>4</v>
          </cell>
          <cell r="G313">
            <v>3</v>
          </cell>
          <cell r="H313">
            <v>4</v>
          </cell>
          <cell r="I313">
            <v>4</v>
          </cell>
          <cell r="J313">
            <v>2</v>
          </cell>
          <cell r="K313">
            <v>4</v>
          </cell>
          <cell r="L313">
            <v>3</v>
          </cell>
          <cell r="M313">
            <v>3</v>
          </cell>
          <cell r="N313">
            <v>2</v>
          </cell>
          <cell r="O313">
            <v>2</v>
          </cell>
          <cell r="P313">
            <v>0</v>
          </cell>
          <cell r="Q313">
            <v>2</v>
          </cell>
          <cell r="R313">
            <v>4</v>
          </cell>
          <cell r="S313">
            <v>2</v>
          </cell>
          <cell r="T313">
            <v>0</v>
          </cell>
          <cell r="U313">
            <v>2</v>
          </cell>
        </row>
        <row r="314">
          <cell r="A314" t="str">
            <v>J49003</v>
          </cell>
          <cell r="B314">
            <v>2</v>
          </cell>
          <cell r="C314">
            <v>2</v>
          </cell>
          <cell r="D314">
            <v>2</v>
          </cell>
          <cell r="E314">
            <v>2</v>
          </cell>
          <cell r="F314">
            <v>2</v>
          </cell>
          <cell r="G314">
            <v>2</v>
          </cell>
          <cell r="H314">
            <v>2</v>
          </cell>
          <cell r="I314">
            <v>2</v>
          </cell>
          <cell r="J314">
            <v>2</v>
          </cell>
          <cell r="K314">
            <v>2</v>
          </cell>
          <cell r="L314">
            <v>2</v>
          </cell>
          <cell r="M314">
            <v>2</v>
          </cell>
          <cell r="N314">
            <v>2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2</v>
          </cell>
          <cell r="T314">
            <v>0</v>
          </cell>
          <cell r="U314">
            <v>2</v>
          </cell>
        </row>
        <row r="315">
          <cell r="A315" t="str">
            <v>J49004</v>
          </cell>
          <cell r="B315">
            <v>2</v>
          </cell>
          <cell r="C315">
            <v>2</v>
          </cell>
          <cell r="D315">
            <v>2</v>
          </cell>
          <cell r="E315">
            <v>2</v>
          </cell>
          <cell r="F315">
            <v>2</v>
          </cell>
          <cell r="G315">
            <v>2</v>
          </cell>
          <cell r="H315">
            <v>2</v>
          </cell>
          <cell r="I315">
            <v>2</v>
          </cell>
          <cell r="J315">
            <v>2</v>
          </cell>
          <cell r="K315">
            <v>2</v>
          </cell>
          <cell r="L315">
            <v>2</v>
          </cell>
          <cell r="M315">
            <v>2</v>
          </cell>
          <cell r="N315">
            <v>2</v>
          </cell>
          <cell r="O315">
            <v>2</v>
          </cell>
          <cell r="P315">
            <v>0</v>
          </cell>
          <cell r="Q315">
            <v>2</v>
          </cell>
          <cell r="R315">
            <v>2</v>
          </cell>
          <cell r="S315">
            <v>2</v>
          </cell>
          <cell r="T315">
            <v>0</v>
          </cell>
          <cell r="U315">
            <v>2</v>
          </cell>
        </row>
        <row r="316">
          <cell r="A316" t="str">
            <v>J56001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</row>
        <row r="317">
          <cell r="A317" t="str">
            <v>J56005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</row>
        <row r="318">
          <cell r="A318" t="str">
            <v>J56006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</row>
        <row r="319">
          <cell r="A319" t="str">
            <v>J75003</v>
          </cell>
          <cell r="B319">
            <v>20</v>
          </cell>
          <cell r="C319">
            <v>8</v>
          </cell>
          <cell r="D319">
            <v>8</v>
          </cell>
          <cell r="E319">
            <v>12</v>
          </cell>
          <cell r="F319">
            <v>20</v>
          </cell>
          <cell r="G319">
            <v>16</v>
          </cell>
          <cell r="H319">
            <v>16</v>
          </cell>
          <cell r="I319">
            <v>20</v>
          </cell>
          <cell r="J319">
            <v>8</v>
          </cell>
          <cell r="K319">
            <v>16</v>
          </cell>
          <cell r="L319">
            <v>16</v>
          </cell>
          <cell r="M319">
            <v>16</v>
          </cell>
          <cell r="N319">
            <v>8</v>
          </cell>
          <cell r="O319">
            <v>8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8</v>
          </cell>
        </row>
        <row r="320">
          <cell r="A320" t="str">
            <v>J75005</v>
          </cell>
          <cell r="B320">
            <v>5</v>
          </cell>
          <cell r="C320">
            <v>2</v>
          </cell>
          <cell r="D320">
            <v>2</v>
          </cell>
          <cell r="E320">
            <v>3</v>
          </cell>
          <cell r="F320">
            <v>5</v>
          </cell>
          <cell r="G320">
            <v>4</v>
          </cell>
          <cell r="H320">
            <v>4</v>
          </cell>
          <cell r="I320">
            <v>5</v>
          </cell>
          <cell r="J320">
            <v>2</v>
          </cell>
          <cell r="K320">
            <v>4</v>
          </cell>
          <cell r="L320">
            <v>4</v>
          </cell>
          <cell r="M320">
            <v>4</v>
          </cell>
          <cell r="N320">
            <v>2</v>
          </cell>
          <cell r="O320">
            <v>2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2</v>
          </cell>
        </row>
        <row r="321">
          <cell r="A321" t="str">
            <v>J75007</v>
          </cell>
          <cell r="B321">
            <v>2</v>
          </cell>
          <cell r="C321">
            <v>1</v>
          </cell>
          <cell r="D321">
            <v>1</v>
          </cell>
          <cell r="E321">
            <v>1</v>
          </cell>
          <cell r="F321">
            <v>2</v>
          </cell>
          <cell r="G321">
            <v>2</v>
          </cell>
          <cell r="H321">
            <v>2</v>
          </cell>
          <cell r="I321">
            <v>2</v>
          </cell>
          <cell r="J321">
            <v>1</v>
          </cell>
          <cell r="K321">
            <v>2</v>
          </cell>
          <cell r="L321">
            <v>2</v>
          </cell>
          <cell r="M321">
            <v>2</v>
          </cell>
          <cell r="N321">
            <v>1</v>
          </cell>
          <cell r="O321">
            <v>1</v>
          </cell>
          <cell r="P321">
            <v>1</v>
          </cell>
          <cell r="Q321">
            <v>1</v>
          </cell>
          <cell r="R321">
            <v>3</v>
          </cell>
          <cell r="S321">
            <v>1</v>
          </cell>
          <cell r="T321">
            <v>1</v>
          </cell>
          <cell r="U321">
            <v>1</v>
          </cell>
        </row>
        <row r="322">
          <cell r="A322" t="str">
            <v>J75008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</row>
        <row r="323">
          <cell r="A323" t="str">
            <v>J75010</v>
          </cell>
          <cell r="B323">
            <v>5</v>
          </cell>
          <cell r="C323">
            <v>2</v>
          </cell>
          <cell r="D323">
            <v>2</v>
          </cell>
          <cell r="E323">
            <v>3</v>
          </cell>
          <cell r="F323">
            <v>5</v>
          </cell>
          <cell r="G323">
            <v>4</v>
          </cell>
          <cell r="H323">
            <v>4</v>
          </cell>
          <cell r="I323">
            <v>5</v>
          </cell>
          <cell r="J323">
            <v>2</v>
          </cell>
          <cell r="K323">
            <v>4</v>
          </cell>
          <cell r="L323">
            <v>4</v>
          </cell>
          <cell r="M323">
            <v>4</v>
          </cell>
          <cell r="N323">
            <v>2</v>
          </cell>
          <cell r="O323">
            <v>2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</v>
          </cell>
        </row>
        <row r="324">
          <cell r="A324" t="str">
            <v>J75011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</row>
        <row r="325">
          <cell r="A325" t="str">
            <v>J75012</v>
          </cell>
          <cell r="B325">
            <v>6</v>
          </cell>
          <cell r="C325">
            <v>3</v>
          </cell>
          <cell r="D325">
            <v>3</v>
          </cell>
          <cell r="E325">
            <v>4</v>
          </cell>
          <cell r="F325">
            <v>6</v>
          </cell>
          <cell r="G325">
            <v>5</v>
          </cell>
          <cell r="H325">
            <v>5</v>
          </cell>
          <cell r="I325">
            <v>6</v>
          </cell>
          <cell r="J325">
            <v>3</v>
          </cell>
          <cell r="K325">
            <v>5</v>
          </cell>
          <cell r="L325">
            <v>5</v>
          </cell>
          <cell r="M325">
            <v>5</v>
          </cell>
          <cell r="N325">
            <v>3</v>
          </cell>
          <cell r="O325">
            <v>3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3</v>
          </cell>
        </row>
        <row r="326">
          <cell r="A326" t="str">
            <v>J75013</v>
          </cell>
          <cell r="B326">
            <v>6</v>
          </cell>
          <cell r="C326">
            <v>3</v>
          </cell>
          <cell r="D326">
            <v>3</v>
          </cell>
          <cell r="E326">
            <v>3</v>
          </cell>
          <cell r="F326">
            <v>6</v>
          </cell>
          <cell r="G326">
            <v>4</v>
          </cell>
          <cell r="H326">
            <v>5</v>
          </cell>
          <cell r="I326">
            <v>6</v>
          </cell>
          <cell r="J326">
            <v>3</v>
          </cell>
          <cell r="K326">
            <v>5</v>
          </cell>
          <cell r="L326">
            <v>5</v>
          </cell>
          <cell r="M326">
            <v>4</v>
          </cell>
          <cell r="N326">
            <v>3</v>
          </cell>
          <cell r="O326">
            <v>2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</v>
          </cell>
        </row>
        <row r="327">
          <cell r="A327" t="str">
            <v>J75048</v>
          </cell>
          <cell r="B327">
            <v>5</v>
          </cell>
          <cell r="C327">
            <v>2</v>
          </cell>
          <cell r="D327">
            <v>2</v>
          </cell>
          <cell r="E327">
            <v>3</v>
          </cell>
          <cell r="F327">
            <v>5</v>
          </cell>
          <cell r="G327">
            <v>4</v>
          </cell>
          <cell r="H327">
            <v>4</v>
          </cell>
          <cell r="I327">
            <v>5</v>
          </cell>
          <cell r="J327">
            <v>2</v>
          </cell>
          <cell r="K327">
            <v>4</v>
          </cell>
          <cell r="L327">
            <v>4</v>
          </cell>
          <cell r="M327">
            <v>4</v>
          </cell>
          <cell r="N327">
            <v>2</v>
          </cell>
          <cell r="O327">
            <v>2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2</v>
          </cell>
        </row>
        <row r="328">
          <cell r="A328" t="str">
            <v>J75049</v>
          </cell>
          <cell r="B328">
            <v>5</v>
          </cell>
          <cell r="C328">
            <v>3</v>
          </cell>
          <cell r="D328">
            <v>3</v>
          </cell>
          <cell r="E328">
            <v>2</v>
          </cell>
          <cell r="F328">
            <v>5</v>
          </cell>
          <cell r="G328">
            <v>3</v>
          </cell>
          <cell r="H328">
            <v>0</v>
          </cell>
          <cell r="I328">
            <v>5</v>
          </cell>
          <cell r="J328">
            <v>3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2</v>
          </cell>
        </row>
        <row r="329">
          <cell r="A329" t="str">
            <v>J75052</v>
          </cell>
          <cell r="B329">
            <v>20</v>
          </cell>
          <cell r="C329">
            <v>8</v>
          </cell>
          <cell r="D329">
            <v>8</v>
          </cell>
          <cell r="E329">
            <v>12</v>
          </cell>
          <cell r="F329">
            <v>20</v>
          </cell>
          <cell r="G329">
            <v>16</v>
          </cell>
          <cell r="H329">
            <v>16</v>
          </cell>
          <cell r="I329">
            <v>20</v>
          </cell>
          <cell r="J329">
            <v>8</v>
          </cell>
          <cell r="K329">
            <v>16</v>
          </cell>
          <cell r="L329">
            <v>16</v>
          </cell>
          <cell r="M329">
            <v>16</v>
          </cell>
          <cell r="N329">
            <v>8</v>
          </cell>
          <cell r="O329">
            <v>8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8</v>
          </cell>
        </row>
        <row r="330">
          <cell r="A330" t="str">
            <v>J75058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4</v>
          </cell>
          <cell r="I330">
            <v>0</v>
          </cell>
          <cell r="J330">
            <v>0</v>
          </cell>
          <cell r="K330">
            <v>4</v>
          </cell>
          <cell r="L330">
            <v>4</v>
          </cell>
          <cell r="M330">
            <v>4</v>
          </cell>
          <cell r="N330">
            <v>2</v>
          </cell>
          <cell r="O330">
            <v>2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A331" t="str">
            <v>J75059A</v>
          </cell>
          <cell r="B331">
            <v>2</v>
          </cell>
          <cell r="C331">
            <v>1</v>
          </cell>
          <cell r="D331">
            <v>1</v>
          </cell>
          <cell r="E331">
            <v>1</v>
          </cell>
          <cell r="F331">
            <v>2</v>
          </cell>
          <cell r="G331">
            <v>2</v>
          </cell>
          <cell r="H331">
            <v>0</v>
          </cell>
          <cell r="I331">
            <v>2</v>
          </cell>
          <cell r="J331">
            <v>1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1</v>
          </cell>
        </row>
        <row r="332">
          <cell r="A332" t="str">
            <v>J75060</v>
          </cell>
          <cell r="B332">
            <v>2</v>
          </cell>
          <cell r="C332">
            <v>1</v>
          </cell>
          <cell r="D332">
            <v>1</v>
          </cell>
          <cell r="E332">
            <v>1</v>
          </cell>
          <cell r="F332">
            <v>2</v>
          </cell>
          <cell r="G332">
            <v>2</v>
          </cell>
          <cell r="H332">
            <v>0</v>
          </cell>
          <cell r="I332">
            <v>2</v>
          </cell>
          <cell r="J332">
            <v>1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1</v>
          </cell>
        </row>
        <row r="333">
          <cell r="A333" t="str">
            <v>J75061</v>
          </cell>
          <cell r="B333">
            <v>2</v>
          </cell>
          <cell r="C333">
            <v>2</v>
          </cell>
          <cell r="D333">
            <v>2</v>
          </cell>
          <cell r="E333">
            <v>1</v>
          </cell>
          <cell r="F333">
            <v>2</v>
          </cell>
          <cell r="G333">
            <v>1</v>
          </cell>
          <cell r="H333">
            <v>2</v>
          </cell>
          <cell r="I333">
            <v>2</v>
          </cell>
          <cell r="J333">
            <v>2</v>
          </cell>
          <cell r="K333">
            <v>2</v>
          </cell>
          <cell r="L333">
            <v>2</v>
          </cell>
          <cell r="M333">
            <v>1</v>
          </cell>
          <cell r="N333">
            <v>2</v>
          </cell>
          <cell r="O333">
            <v>1</v>
          </cell>
          <cell r="P333">
            <v>0</v>
          </cell>
          <cell r="Q333">
            <v>2</v>
          </cell>
          <cell r="R333">
            <v>2</v>
          </cell>
          <cell r="S333">
            <v>2</v>
          </cell>
          <cell r="T333">
            <v>0</v>
          </cell>
          <cell r="U333">
            <v>1</v>
          </cell>
        </row>
        <row r="334">
          <cell r="A334" t="str">
            <v>J75100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</row>
        <row r="335">
          <cell r="A335" t="str">
            <v>J75103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</row>
        <row r="336">
          <cell r="A336" t="str">
            <v>J75104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5</v>
          </cell>
          <cell r="I336">
            <v>0</v>
          </cell>
          <cell r="J336">
            <v>0</v>
          </cell>
          <cell r="K336">
            <v>5</v>
          </cell>
          <cell r="L336">
            <v>5</v>
          </cell>
          <cell r="M336">
            <v>4</v>
          </cell>
          <cell r="N336">
            <v>2</v>
          </cell>
          <cell r="O336">
            <v>0</v>
          </cell>
          <cell r="P336">
            <v>0</v>
          </cell>
          <cell r="Q336">
            <v>3</v>
          </cell>
          <cell r="R336">
            <v>5</v>
          </cell>
          <cell r="S336">
            <v>4</v>
          </cell>
          <cell r="T336">
            <v>0</v>
          </cell>
          <cell r="U336">
            <v>0</v>
          </cell>
        </row>
        <row r="337">
          <cell r="A337" t="str">
            <v>J75105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</row>
        <row r="338">
          <cell r="A338" t="str">
            <v>J75110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</row>
        <row r="339">
          <cell r="A339" t="str">
            <v>J75111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</row>
        <row r="340">
          <cell r="A340" t="str">
            <v>J75113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</row>
        <row r="341">
          <cell r="A341" t="str">
            <v>J75115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</row>
        <row r="342">
          <cell r="A342" t="str">
            <v>J75120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</row>
        <row r="343">
          <cell r="A343" t="str">
            <v>J75121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</row>
        <row r="344">
          <cell r="A344" t="str">
            <v>J75122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</row>
        <row r="345">
          <cell r="A345" t="str">
            <v>J75123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</row>
        <row r="346">
          <cell r="A346" t="str">
            <v>J75124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</row>
        <row r="347">
          <cell r="A347" t="str">
            <v>J75125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</row>
        <row r="348">
          <cell r="A348" t="str">
            <v>J75142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2</v>
          </cell>
          <cell r="I348">
            <v>0</v>
          </cell>
          <cell r="J348">
            <v>0</v>
          </cell>
          <cell r="K348">
            <v>2</v>
          </cell>
          <cell r="L348">
            <v>2</v>
          </cell>
          <cell r="M348">
            <v>0</v>
          </cell>
          <cell r="N348">
            <v>2</v>
          </cell>
          <cell r="O348">
            <v>0</v>
          </cell>
          <cell r="P348">
            <v>24</v>
          </cell>
          <cell r="Q348">
            <v>4</v>
          </cell>
          <cell r="R348">
            <v>8</v>
          </cell>
          <cell r="S348">
            <v>6</v>
          </cell>
          <cell r="T348">
            <v>16</v>
          </cell>
          <cell r="U348">
            <v>0</v>
          </cell>
        </row>
        <row r="349">
          <cell r="A349" t="str">
            <v>J75147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</row>
        <row r="350">
          <cell r="A350" t="str">
            <v>J75148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</row>
        <row r="351">
          <cell r="A351" t="str">
            <v>J75149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</row>
        <row r="352">
          <cell r="A352" t="str">
            <v>J75156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</row>
        <row r="353">
          <cell r="A353" t="str">
            <v>J75173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</row>
        <row r="354">
          <cell r="A354" t="str">
            <v>J75174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</row>
        <row r="355">
          <cell r="A355" t="str">
            <v>J75175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</row>
        <row r="356">
          <cell r="A356" t="str">
            <v>J75178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</row>
        <row r="357">
          <cell r="A357" t="str">
            <v>J75179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</row>
        <row r="358">
          <cell r="A358" t="str">
            <v>J75180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</row>
        <row r="359">
          <cell r="A359" t="str">
            <v>J75181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</row>
        <row r="360">
          <cell r="A360" t="str">
            <v>J75183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</row>
        <row r="361">
          <cell r="A361" t="str">
            <v>J75189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5</v>
          </cell>
          <cell r="I361">
            <v>0</v>
          </cell>
          <cell r="J361">
            <v>0</v>
          </cell>
          <cell r="K361">
            <v>5</v>
          </cell>
          <cell r="L361">
            <v>5</v>
          </cell>
          <cell r="M361">
            <v>4</v>
          </cell>
          <cell r="N361">
            <v>3</v>
          </cell>
          <cell r="O361">
            <v>3</v>
          </cell>
          <cell r="P361">
            <v>3</v>
          </cell>
          <cell r="Q361">
            <v>3</v>
          </cell>
          <cell r="R361">
            <v>5</v>
          </cell>
          <cell r="S361">
            <v>4</v>
          </cell>
          <cell r="T361">
            <v>3</v>
          </cell>
          <cell r="U361">
            <v>0</v>
          </cell>
        </row>
        <row r="362">
          <cell r="A362" t="str">
            <v>J75192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5</v>
          </cell>
          <cell r="I362">
            <v>0</v>
          </cell>
          <cell r="J362">
            <v>0</v>
          </cell>
          <cell r="K362">
            <v>5</v>
          </cell>
          <cell r="L362">
            <v>5</v>
          </cell>
          <cell r="M362">
            <v>4</v>
          </cell>
          <cell r="N362">
            <v>3</v>
          </cell>
          <cell r="O362">
            <v>3</v>
          </cell>
          <cell r="P362">
            <v>0</v>
          </cell>
          <cell r="Q362">
            <v>3</v>
          </cell>
          <cell r="R362">
            <v>5</v>
          </cell>
          <cell r="S362">
            <v>4</v>
          </cell>
          <cell r="T362">
            <v>0</v>
          </cell>
          <cell r="U362">
            <v>0</v>
          </cell>
        </row>
        <row r="363">
          <cell r="A363" t="str">
            <v>J75193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</row>
        <row r="364">
          <cell r="A364" t="str">
            <v>J75194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</row>
        <row r="365">
          <cell r="A365" t="str">
            <v>J75195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</row>
        <row r="366">
          <cell r="A366" t="str">
            <v>J75196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3</v>
          </cell>
          <cell r="I366">
            <v>0</v>
          </cell>
          <cell r="J366">
            <v>0</v>
          </cell>
          <cell r="K366">
            <v>3</v>
          </cell>
          <cell r="L366">
            <v>3</v>
          </cell>
          <cell r="M366">
            <v>2</v>
          </cell>
          <cell r="N366">
            <v>3</v>
          </cell>
          <cell r="O366">
            <v>3</v>
          </cell>
          <cell r="P366">
            <v>0</v>
          </cell>
          <cell r="Q366">
            <v>3</v>
          </cell>
          <cell r="R366">
            <v>3</v>
          </cell>
          <cell r="S366">
            <v>3</v>
          </cell>
          <cell r="T366">
            <v>0</v>
          </cell>
          <cell r="U366">
            <v>0</v>
          </cell>
        </row>
        <row r="367">
          <cell r="A367" t="str">
            <v>J75197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3</v>
          </cell>
          <cell r="I367">
            <v>0</v>
          </cell>
          <cell r="J367">
            <v>0</v>
          </cell>
          <cell r="K367">
            <v>3</v>
          </cell>
          <cell r="L367">
            <v>3</v>
          </cell>
          <cell r="M367">
            <v>2</v>
          </cell>
          <cell r="N367">
            <v>3</v>
          </cell>
          <cell r="O367">
            <v>3</v>
          </cell>
          <cell r="P367">
            <v>3</v>
          </cell>
          <cell r="Q367">
            <v>3</v>
          </cell>
          <cell r="R367">
            <v>3</v>
          </cell>
          <cell r="S367">
            <v>3</v>
          </cell>
          <cell r="T367">
            <v>3</v>
          </cell>
          <cell r="U367">
            <v>0</v>
          </cell>
        </row>
        <row r="368">
          <cell r="A368" t="str">
            <v>J75198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</row>
        <row r="369">
          <cell r="A369" t="str">
            <v>J75199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5</v>
          </cell>
          <cell r="I369">
            <v>0</v>
          </cell>
          <cell r="J369">
            <v>0</v>
          </cell>
          <cell r="K369">
            <v>5</v>
          </cell>
          <cell r="L369">
            <v>5</v>
          </cell>
          <cell r="M369">
            <v>4</v>
          </cell>
          <cell r="N369">
            <v>3</v>
          </cell>
          <cell r="O369">
            <v>3</v>
          </cell>
          <cell r="P369">
            <v>0</v>
          </cell>
          <cell r="Q369">
            <v>3</v>
          </cell>
          <cell r="R369">
            <v>5</v>
          </cell>
          <cell r="S369">
            <v>4</v>
          </cell>
          <cell r="T369">
            <v>0</v>
          </cell>
          <cell r="U369">
            <v>0</v>
          </cell>
        </row>
        <row r="370">
          <cell r="A370" t="str">
            <v>J75208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4</v>
          </cell>
          <cell r="I370">
            <v>0</v>
          </cell>
          <cell r="J370">
            <v>0</v>
          </cell>
          <cell r="K370">
            <v>4</v>
          </cell>
          <cell r="L370">
            <v>4</v>
          </cell>
          <cell r="M370">
            <v>4</v>
          </cell>
          <cell r="N370">
            <v>2</v>
          </cell>
          <cell r="O370">
            <v>2</v>
          </cell>
          <cell r="P370">
            <v>0</v>
          </cell>
          <cell r="Q370">
            <v>2</v>
          </cell>
          <cell r="R370">
            <v>4</v>
          </cell>
          <cell r="S370">
            <v>3</v>
          </cell>
          <cell r="T370">
            <v>0</v>
          </cell>
          <cell r="U370">
            <v>0</v>
          </cell>
        </row>
        <row r="371">
          <cell r="A371" t="str">
            <v>J75214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  <cell r="Q371">
            <v>2</v>
          </cell>
          <cell r="R371">
            <v>4</v>
          </cell>
          <cell r="S371">
            <v>3</v>
          </cell>
          <cell r="T371">
            <v>2</v>
          </cell>
          <cell r="U371">
            <v>0</v>
          </cell>
        </row>
        <row r="372">
          <cell r="A372" t="str">
            <v>J75220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</row>
        <row r="373">
          <cell r="A373" t="str">
            <v>J75223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2</v>
          </cell>
          <cell r="R373">
            <v>4</v>
          </cell>
          <cell r="S373">
            <v>3</v>
          </cell>
          <cell r="T373">
            <v>0</v>
          </cell>
          <cell r="U373">
            <v>0</v>
          </cell>
        </row>
        <row r="374">
          <cell r="A374" t="str">
            <v>J75400</v>
          </cell>
          <cell r="B374">
            <v>6</v>
          </cell>
          <cell r="C374">
            <v>3</v>
          </cell>
          <cell r="D374">
            <v>3</v>
          </cell>
          <cell r="E374">
            <v>3</v>
          </cell>
          <cell r="F374">
            <v>6</v>
          </cell>
          <cell r="G374">
            <v>4</v>
          </cell>
          <cell r="H374">
            <v>5</v>
          </cell>
          <cell r="I374">
            <v>6</v>
          </cell>
          <cell r="J374">
            <v>3</v>
          </cell>
          <cell r="K374">
            <v>5</v>
          </cell>
          <cell r="L374">
            <v>5</v>
          </cell>
          <cell r="M374">
            <v>4</v>
          </cell>
          <cell r="N374">
            <v>3</v>
          </cell>
          <cell r="O374">
            <v>2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2</v>
          </cell>
        </row>
        <row r="375">
          <cell r="A375" t="str">
            <v>J75400E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</row>
        <row r="376">
          <cell r="A376" t="str">
            <v>J75401</v>
          </cell>
          <cell r="B376">
            <v>5</v>
          </cell>
          <cell r="C376">
            <v>2</v>
          </cell>
          <cell r="D376">
            <v>2</v>
          </cell>
          <cell r="E376">
            <v>3</v>
          </cell>
          <cell r="F376">
            <v>5</v>
          </cell>
          <cell r="G376">
            <v>4</v>
          </cell>
          <cell r="H376">
            <v>4</v>
          </cell>
          <cell r="I376">
            <v>5</v>
          </cell>
          <cell r="J376">
            <v>2</v>
          </cell>
          <cell r="K376">
            <v>4</v>
          </cell>
          <cell r="L376">
            <v>4</v>
          </cell>
          <cell r="M376">
            <v>4</v>
          </cell>
          <cell r="N376">
            <v>2</v>
          </cell>
          <cell r="O376">
            <v>2</v>
          </cell>
          <cell r="P376">
            <v>0</v>
          </cell>
          <cell r="Q376">
            <v>2</v>
          </cell>
          <cell r="R376">
            <v>4</v>
          </cell>
          <cell r="S376">
            <v>3</v>
          </cell>
          <cell r="T376">
            <v>0</v>
          </cell>
          <cell r="U376">
            <v>2</v>
          </cell>
        </row>
        <row r="377">
          <cell r="A377" t="str">
            <v>J75402</v>
          </cell>
          <cell r="B377">
            <v>5</v>
          </cell>
          <cell r="C377">
            <v>2</v>
          </cell>
          <cell r="D377">
            <v>2</v>
          </cell>
          <cell r="E377">
            <v>3</v>
          </cell>
          <cell r="F377">
            <v>5</v>
          </cell>
          <cell r="G377">
            <v>4</v>
          </cell>
          <cell r="H377">
            <v>0</v>
          </cell>
          <cell r="I377">
            <v>5</v>
          </cell>
          <cell r="J377">
            <v>2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2</v>
          </cell>
          <cell r="R377">
            <v>4</v>
          </cell>
          <cell r="S377">
            <v>3</v>
          </cell>
          <cell r="T377">
            <v>0</v>
          </cell>
          <cell r="U377">
            <v>2</v>
          </cell>
        </row>
        <row r="378">
          <cell r="A378" t="str">
            <v>J75404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5</v>
          </cell>
          <cell r="I378">
            <v>0</v>
          </cell>
          <cell r="J378">
            <v>0</v>
          </cell>
          <cell r="K378">
            <v>5</v>
          </cell>
          <cell r="L378">
            <v>5</v>
          </cell>
          <cell r="M378">
            <v>4</v>
          </cell>
          <cell r="N378">
            <v>2</v>
          </cell>
          <cell r="O378">
            <v>0</v>
          </cell>
          <cell r="P378">
            <v>0</v>
          </cell>
          <cell r="Q378">
            <v>2</v>
          </cell>
          <cell r="R378">
            <v>4</v>
          </cell>
          <cell r="S378">
            <v>3</v>
          </cell>
          <cell r="T378">
            <v>0</v>
          </cell>
          <cell r="U378">
            <v>0</v>
          </cell>
        </row>
        <row r="379">
          <cell r="A379" t="str">
            <v>J75405</v>
          </cell>
          <cell r="B379">
            <v>5</v>
          </cell>
          <cell r="C379">
            <v>2</v>
          </cell>
          <cell r="D379">
            <v>2</v>
          </cell>
          <cell r="E379">
            <v>3</v>
          </cell>
          <cell r="F379">
            <v>5</v>
          </cell>
          <cell r="G379">
            <v>4</v>
          </cell>
          <cell r="H379">
            <v>0</v>
          </cell>
          <cell r="I379">
            <v>5</v>
          </cell>
          <cell r="J379">
            <v>2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2</v>
          </cell>
          <cell r="R379">
            <v>4</v>
          </cell>
          <cell r="S379">
            <v>3</v>
          </cell>
          <cell r="T379">
            <v>0</v>
          </cell>
          <cell r="U379">
            <v>2</v>
          </cell>
        </row>
        <row r="380">
          <cell r="A380" t="str">
            <v>J75407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4</v>
          </cell>
          <cell r="I380">
            <v>0</v>
          </cell>
          <cell r="J380">
            <v>0</v>
          </cell>
          <cell r="K380">
            <v>4</v>
          </cell>
          <cell r="L380">
            <v>4</v>
          </cell>
          <cell r="M380">
            <v>4</v>
          </cell>
          <cell r="N380">
            <v>2</v>
          </cell>
          <cell r="O380">
            <v>2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</row>
        <row r="381">
          <cell r="A381" t="str">
            <v>J75408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4</v>
          </cell>
          <cell r="I381">
            <v>0</v>
          </cell>
          <cell r="J381">
            <v>0</v>
          </cell>
          <cell r="K381">
            <v>4</v>
          </cell>
          <cell r="L381">
            <v>4</v>
          </cell>
          <cell r="M381">
            <v>4</v>
          </cell>
          <cell r="N381">
            <v>2</v>
          </cell>
          <cell r="O381">
            <v>2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</row>
        <row r="382">
          <cell r="A382" t="str">
            <v>J75409</v>
          </cell>
          <cell r="B382">
            <v>5</v>
          </cell>
          <cell r="C382">
            <v>2</v>
          </cell>
          <cell r="D382">
            <v>2</v>
          </cell>
          <cell r="E382">
            <v>3</v>
          </cell>
          <cell r="F382">
            <v>5</v>
          </cell>
          <cell r="G382">
            <v>4</v>
          </cell>
          <cell r="H382">
            <v>0</v>
          </cell>
          <cell r="I382">
            <v>5</v>
          </cell>
          <cell r="J382">
            <v>2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2</v>
          </cell>
          <cell r="R382">
            <v>4</v>
          </cell>
          <cell r="S382">
            <v>3</v>
          </cell>
          <cell r="T382">
            <v>0</v>
          </cell>
          <cell r="U382">
            <v>2</v>
          </cell>
        </row>
        <row r="383">
          <cell r="A383" t="str">
            <v>J75416</v>
          </cell>
          <cell r="B383">
            <v>5</v>
          </cell>
          <cell r="C383">
            <v>2</v>
          </cell>
          <cell r="D383">
            <v>2</v>
          </cell>
          <cell r="E383">
            <v>3</v>
          </cell>
          <cell r="F383">
            <v>5</v>
          </cell>
          <cell r="G383">
            <v>4</v>
          </cell>
          <cell r="H383">
            <v>4</v>
          </cell>
          <cell r="I383">
            <v>5</v>
          </cell>
          <cell r="J383">
            <v>2</v>
          </cell>
          <cell r="K383">
            <v>4</v>
          </cell>
          <cell r="L383">
            <v>4</v>
          </cell>
          <cell r="M383">
            <v>4</v>
          </cell>
          <cell r="N383">
            <v>2</v>
          </cell>
          <cell r="O383">
            <v>2</v>
          </cell>
          <cell r="P383">
            <v>0</v>
          </cell>
          <cell r="Q383">
            <v>2</v>
          </cell>
          <cell r="R383">
            <v>4</v>
          </cell>
          <cell r="S383">
            <v>3</v>
          </cell>
          <cell r="T383">
            <v>0</v>
          </cell>
          <cell r="U383">
            <v>2</v>
          </cell>
        </row>
        <row r="384">
          <cell r="A384" t="str">
            <v>J75417</v>
          </cell>
          <cell r="B384">
            <v>2</v>
          </cell>
          <cell r="C384">
            <v>1</v>
          </cell>
          <cell r="D384">
            <v>1</v>
          </cell>
          <cell r="E384">
            <v>1</v>
          </cell>
          <cell r="F384">
            <v>2</v>
          </cell>
          <cell r="G384">
            <v>2</v>
          </cell>
          <cell r="H384">
            <v>4</v>
          </cell>
          <cell r="I384">
            <v>2</v>
          </cell>
          <cell r="J384">
            <v>1</v>
          </cell>
          <cell r="K384">
            <v>4</v>
          </cell>
          <cell r="L384">
            <v>3</v>
          </cell>
          <cell r="M384">
            <v>3</v>
          </cell>
          <cell r="N384">
            <v>1</v>
          </cell>
          <cell r="O384">
            <v>1</v>
          </cell>
          <cell r="P384">
            <v>0</v>
          </cell>
          <cell r="Q384">
            <v>1</v>
          </cell>
          <cell r="R384">
            <v>4</v>
          </cell>
          <cell r="S384">
            <v>2</v>
          </cell>
          <cell r="T384">
            <v>0</v>
          </cell>
          <cell r="U384">
            <v>1</v>
          </cell>
        </row>
        <row r="385">
          <cell r="A385" t="str">
            <v>J75421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</row>
        <row r="386">
          <cell r="A386" t="str">
            <v>J75422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</row>
        <row r="387">
          <cell r="A387" t="str">
            <v>J75423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4</v>
          </cell>
          <cell r="I387">
            <v>0</v>
          </cell>
          <cell r="J387">
            <v>0</v>
          </cell>
          <cell r="K387">
            <v>4</v>
          </cell>
          <cell r="L387">
            <v>3</v>
          </cell>
          <cell r="M387">
            <v>3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2</v>
          </cell>
          <cell r="U387">
            <v>0</v>
          </cell>
        </row>
        <row r="388">
          <cell r="A388" t="str">
            <v>J75424</v>
          </cell>
          <cell r="B388">
            <v>2</v>
          </cell>
          <cell r="C388">
            <v>1</v>
          </cell>
          <cell r="D388">
            <v>1</v>
          </cell>
          <cell r="E388">
            <v>1</v>
          </cell>
          <cell r="F388">
            <v>2</v>
          </cell>
          <cell r="G388">
            <v>2</v>
          </cell>
          <cell r="H388">
            <v>4</v>
          </cell>
          <cell r="I388">
            <v>2</v>
          </cell>
          <cell r="J388">
            <v>1</v>
          </cell>
          <cell r="K388">
            <v>4</v>
          </cell>
          <cell r="L388">
            <v>3</v>
          </cell>
          <cell r="M388">
            <v>3</v>
          </cell>
          <cell r="N388">
            <v>1</v>
          </cell>
          <cell r="O388">
            <v>1</v>
          </cell>
          <cell r="P388">
            <v>0</v>
          </cell>
          <cell r="Q388">
            <v>1</v>
          </cell>
          <cell r="R388">
            <v>4</v>
          </cell>
          <cell r="S388">
            <v>2</v>
          </cell>
          <cell r="T388">
            <v>0</v>
          </cell>
          <cell r="U388">
            <v>1</v>
          </cell>
        </row>
        <row r="389">
          <cell r="A389" t="str">
            <v>J75432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4</v>
          </cell>
          <cell r="I389">
            <v>0</v>
          </cell>
          <cell r="J389">
            <v>0</v>
          </cell>
          <cell r="K389">
            <v>4</v>
          </cell>
          <cell r="L389">
            <v>4</v>
          </cell>
          <cell r="M389">
            <v>4</v>
          </cell>
          <cell r="N389">
            <v>2</v>
          </cell>
          <cell r="O389">
            <v>2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</row>
        <row r="390">
          <cell r="A390" t="str">
            <v>J75433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4</v>
          </cell>
          <cell r="I390">
            <v>0</v>
          </cell>
          <cell r="J390">
            <v>0</v>
          </cell>
          <cell r="K390">
            <v>4</v>
          </cell>
          <cell r="L390">
            <v>4</v>
          </cell>
          <cell r="M390">
            <v>4</v>
          </cell>
          <cell r="N390">
            <v>2</v>
          </cell>
          <cell r="O390">
            <v>2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</row>
        <row r="391">
          <cell r="A391" t="str">
            <v>J75434</v>
          </cell>
          <cell r="B391">
            <v>5</v>
          </cell>
          <cell r="C391">
            <v>2</v>
          </cell>
          <cell r="D391">
            <v>2</v>
          </cell>
          <cell r="E391">
            <v>3</v>
          </cell>
          <cell r="F391">
            <v>5</v>
          </cell>
          <cell r="G391">
            <v>4</v>
          </cell>
          <cell r="H391">
            <v>4</v>
          </cell>
          <cell r="I391">
            <v>5</v>
          </cell>
          <cell r="J391">
            <v>2</v>
          </cell>
          <cell r="K391">
            <v>4</v>
          </cell>
          <cell r="L391">
            <v>4</v>
          </cell>
          <cell r="M391">
            <v>4</v>
          </cell>
          <cell r="N391">
            <v>2</v>
          </cell>
          <cell r="O391">
            <v>2</v>
          </cell>
          <cell r="P391">
            <v>0</v>
          </cell>
          <cell r="Q391">
            <v>2</v>
          </cell>
          <cell r="R391">
            <v>4</v>
          </cell>
          <cell r="S391">
            <v>3</v>
          </cell>
          <cell r="T391">
            <v>0</v>
          </cell>
          <cell r="U391">
            <v>2</v>
          </cell>
        </row>
        <row r="392">
          <cell r="A392" t="str">
            <v>J75436</v>
          </cell>
          <cell r="B392">
            <v>5</v>
          </cell>
          <cell r="C392">
            <v>4</v>
          </cell>
          <cell r="D392">
            <v>4</v>
          </cell>
          <cell r="E392">
            <v>4</v>
          </cell>
          <cell r="F392">
            <v>5</v>
          </cell>
          <cell r="G392">
            <v>4</v>
          </cell>
          <cell r="H392">
            <v>4</v>
          </cell>
          <cell r="I392">
            <v>5</v>
          </cell>
          <cell r="J392">
            <v>4</v>
          </cell>
          <cell r="K392">
            <v>4</v>
          </cell>
          <cell r="L392">
            <v>4</v>
          </cell>
          <cell r="M392">
            <v>4</v>
          </cell>
          <cell r="N392">
            <v>4</v>
          </cell>
          <cell r="O392">
            <v>4</v>
          </cell>
          <cell r="P392">
            <v>2</v>
          </cell>
          <cell r="Q392">
            <v>2</v>
          </cell>
          <cell r="R392">
            <v>4</v>
          </cell>
          <cell r="S392">
            <v>3</v>
          </cell>
          <cell r="T392">
            <v>2</v>
          </cell>
          <cell r="U392">
            <v>4</v>
          </cell>
        </row>
        <row r="393">
          <cell r="A393" t="str">
            <v>J75437</v>
          </cell>
          <cell r="B393">
            <v>5</v>
          </cell>
          <cell r="C393">
            <v>2</v>
          </cell>
          <cell r="D393">
            <v>2</v>
          </cell>
          <cell r="E393">
            <v>3</v>
          </cell>
          <cell r="F393">
            <v>5</v>
          </cell>
          <cell r="G393">
            <v>4</v>
          </cell>
          <cell r="H393">
            <v>4</v>
          </cell>
          <cell r="I393">
            <v>5</v>
          </cell>
          <cell r="J393">
            <v>2</v>
          </cell>
          <cell r="K393">
            <v>4</v>
          </cell>
          <cell r="L393">
            <v>4</v>
          </cell>
          <cell r="M393">
            <v>4</v>
          </cell>
          <cell r="N393">
            <v>2</v>
          </cell>
          <cell r="O393">
            <v>2</v>
          </cell>
          <cell r="P393">
            <v>2</v>
          </cell>
          <cell r="Q393">
            <v>2</v>
          </cell>
          <cell r="R393">
            <v>4</v>
          </cell>
          <cell r="S393">
            <v>3</v>
          </cell>
          <cell r="T393">
            <v>2</v>
          </cell>
          <cell r="U393">
            <v>2</v>
          </cell>
        </row>
        <row r="394">
          <cell r="A394" t="str">
            <v>J75438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2</v>
          </cell>
          <cell r="Q394">
            <v>2</v>
          </cell>
          <cell r="R394">
            <v>4</v>
          </cell>
          <cell r="S394">
            <v>3</v>
          </cell>
          <cell r="T394">
            <v>2</v>
          </cell>
          <cell r="U394">
            <v>0</v>
          </cell>
        </row>
        <row r="395">
          <cell r="A395" t="str">
            <v>J75503</v>
          </cell>
          <cell r="B395">
            <v>2</v>
          </cell>
          <cell r="C395">
            <v>2</v>
          </cell>
          <cell r="D395">
            <v>2</v>
          </cell>
          <cell r="E395">
            <v>2</v>
          </cell>
          <cell r="F395">
            <v>2</v>
          </cell>
          <cell r="G395">
            <v>2</v>
          </cell>
          <cell r="H395">
            <v>2</v>
          </cell>
          <cell r="I395">
            <v>2</v>
          </cell>
          <cell r="J395">
            <v>2</v>
          </cell>
          <cell r="K395">
            <v>2</v>
          </cell>
          <cell r="L395">
            <v>2</v>
          </cell>
          <cell r="M395">
            <v>2</v>
          </cell>
          <cell r="N395">
            <v>2</v>
          </cell>
          <cell r="O395">
            <v>2</v>
          </cell>
          <cell r="P395">
            <v>0</v>
          </cell>
          <cell r="Q395">
            <v>2</v>
          </cell>
          <cell r="R395">
            <v>2</v>
          </cell>
          <cell r="S395">
            <v>2</v>
          </cell>
          <cell r="T395">
            <v>0</v>
          </cell>
          <cell r="U395">
            <v>2</v>
          </cell>
        </row>
        <row r="396">
          <cell r="A396" t="str">
            <v>J75504</v>
          </cell>
          <cell r="B396">
            <v>3</v>
          </cell>
          <cell r="C396">
            <v>3</v>
          </cell>
          <cell r="D396">
            <v>3</v>
          </cell>
          <cell r="E396">
            <v>3</v>
          </cell>
          <cell r="F396">
            <v>3</v>
          </cell>
          <cell r="G396">
            <v>3</v>
          </cell>
          <cell r="H396">
            <v>3</v>
          </cell>
          <cell r="I396">
            <v>3</v>
          </cell>
          <cell r="J396">
            <v>3</v>
          </cell>
          <cell r="K396">
            <v>3</v>
          </cell>
          <cell r="L396">
            <v>3</v>
          </cell>
          <cell r="M396">
            <v>3</v>
          </cell>
          <cell r="N396">
            <v>3</v>
          </cell>
          <cell r="O396">
            <v>3</v>
          </cell>
          <cell r="P396">
            <v>0</v>
          </cell>
          <cell r="Q396">
            <v>3</v>
          </cell>
          <cell r="R396">
            <v>3</v>
          </cell>
          <cell r="S396">
            <v>3</v>
          </cell>
          <cell r="T396">
            <v>0</v>
          </cell>
          <cell r="U396">
            <v>3</v>
          </cell>
        </row>
        <row r="397">
          <cell r="A397" t="str">
            <v>J84001</v>
          </cell>
          <cell r="B397">
            <v>9</v>
          </cell>
          <cell r="C397">
            <v>3</v>
          </cell>
          <cell r="D397">
            <v>3</v>
          </cell>
          <cell r="E397">
            <v>5</v>
          </cell>
          <cell r="F397">
            <v>9</v>
          </cell>
          <cell r="G397">
            <v>6</v>
          </cell>
          <cell r="H397">
            <v>8</v>
          </cell>
          <cell r="I397">
            <v>9</v>
          </cell>
          <cell r="J397">
            <v>2</v>
          </cell>
          <cell r="K397">
            <v>9</v>
          </cell>
          <cell r="L397">
            <v>7</v>
          </cell>
          <cell r="M397">
            <v>7</v>
          </cell>
          <cell r="N397">
            <v>3</v>
          </cell>
          <cell r="O397">
            <v>2</v>
          </cell>
          <cell r="P397">
            <v>0</v>
          </cell>
          <cell r="Q397">
            <v>3</v>
          </cell>
          <cell r="R397">
            <v>8</v>
          </cell>
          <cell r="S397">
            <v>5</v>
          </cell>
          <cell r="T397">
            <v>0</v>
          </cell>
          <cell r="U397">
            <v>2</v>
          </cell>
        </row>
        <row r="398">
          <cell r="A398" t="str">
            <v>J84002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</row>
        <row r="399">
          <cell r="A399" t="str">
            <v>J84003</v>
          </cell>
          <cell r="B399">
            <v>3</v>
          </cell>
          <cell r="C399">
            <v>3</v>
          </cell>
          <cell r="D399">
            <v>3</v>
          </cell>
          <cell r="E399">
            <v>3</v>
          </cell>
          <cell r="F399">
            <v>3</v>
          </cell>
          <cell r="G399">
            <v>3</v>
          </cell>
          <cell r="H399">
            <v>3</v>
          </cell>
          <cell r="I399">
            <v>3</v>
          </cell>
          <cell r="J399">
            <v>3</v>
          </cell>
          <cell r="K399">
            <v>3</v>
          </cell>
          <cell r="L399">
            <v>3</v>
          </cell>
          <cell r="M399">
            <v>3</v>
          </cell>
          <cell r="N399">
            <v>3</v>
          </cell>
          <cell r="O399">
            <v>3</v>
          </cell>
          <cell r="P399">
            <v>0</v>
          </cell>
          <cell r="Q399">
            <v>3</v>
          </cell>
          <cell r="R399">
            <v>3</v>
          </cell>
          <cell r="S399">
            <v>3</v>
          </cell>
          <cell r="T399">
            <v>0</v>
          </cell>
          <cell r="U399">
            <v>3</v>
          </cell>
        </row>
        <row r="400">
          <cell r="A400" t="str">
            <v>J84004</v>
          </cell>
          <cell r="B400">
            <v>2</v>
          </cell>
          <cell r="C400">
            <v>2</v>
          </cell>
          <cell r="D400">
            <v>2</v>
          </cell>
          <cell r="E400">
            <v>2</v>
          </cell>
          <cell r="F400">
            <v>2</v>
          </cell>
          <cell r="G400">
            <v>2</v>
          </cell>
          <cell r="H400">
            <v>2</v>
          </cell>
          <cell r="I400">
            <v>2</v>
          </cell>
          <cell r="J400">
            <v>2</v>
          </cell>
          <cell r="K400">
            <v>2</v>
          </cell>
          <cell r="L400">
            <v>2</v>
          </cell>
          <cell r="M400">
            <v>2</v>
          </cell>
          <cell r="N400">
            <v>2</v>
          </cell>
          <cell r="O400">
            <v>2</v>
          </cell>
          <cell r="P400">
            <v>0</v>
          </cell>
          <cell r="Q400">
            <v>2</v>
          </cell>
          <cell r="R400">
            <v>2</v>
          </cell>
          <cell r="S400">
            <v>2</v>
          </cell>
          <cell r="T400">
            <v>0</v>
          </cell>
          <cell r="U400">
            <v>2</v>
          </cell>
        </row>
        <row r="401">
          <cell r="A401" t="str">
            <v>J84005</v>
          </cell>
          <cell r="B401">
            <v>1</v>
          </cell>
          <cell r="C401">
            <v>1</v>
          </cell>
          <cell r="D401">
            <v>1</v>
          </cell>
          <cell r="E401">
            <v>1</v>
          </cell>
          <cell r="F401">
            <v>1</v>
          </cell>
          <cell r="G401">
            <v>1</v>
          </cell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1</v>
          </cell>
          <cell r="M401">
            <v>1</v>
          </cell>
          <cell r="N401">
            <v>1</v>
          </cell>
          <cell r="O401">
            <v>1</v>
          </cell>
          <cell r="P401">
            <v>0</v>
          </cell>
          <cell r="Q401">
            <v>1</v>
          </cell>
          <cell r="R401">
            <v>1</v>
          </cell>
          <cell r="S401">
            <v>1</v>
          </cell>
          <cell r="T401">
            <v>0</v>
          </cell>
          <cell r="U401">
            <v>1</v>
          </cell>
        </row>
        <row r="402">
          <cell r="A402" t="str">
            <v>J84006</v>
          </cell>
          <cell r="B402">
            <v>2</v>
          </cell>
          <cell r="C402">
            <v>2</v>
          </cell>
          <cell r="D402">
            <v>2</v>
          </cell>
          <cell r="E402">
            <v>2</v>
          </cell>
          <cell r="F402">
            <v>2</v>
          </cell>
          <cell r="G402">
            <v>2</v>
          </cell>
          <cell r="H402">
            <v>2</v>
          </cell>
          <cell r="I402">
            <v>2</v>
          </cell>
          <cell r="J402">
            <v>2</v>
          </cell>
          <cell r="K402">
            <v>2</v>
          </cell>
          <cell r="L402">
            <v>2</v>
          </cell>
          <cell r="M402">
            <v>2</v>
          </cell>
          <cell r="N402">
            <v>2</v>
          </cell>
          <cell r="O402">
            <v>2</v>
          </cell>
          <cell r="P402">
            <v>0</v>
          </cell>
          <cell r="Q402">
            <v>2</v>
          </cell>
          <cell r="R402">
            <v>2</v>
          </cell>
          <cell r="S402">
            <v>2</v>
          </cell>
          <cell r="T402">
            <v>0</v>
          </cell>
          <cell r="U402">
            <v>2</v>
          </cell>
        </row>
        <row r="403">
          <cell r="A403" t="str">
            <v>J84014</v>
          </cell>
          <cell r="B403">
            <v>3</v>
          </cell>
          <cell r="C403">
            <v>3</v>
          </cell>
          <cell r="D403">
            <v>3</v>
          </cell>
          <cell r="E403">
            <v>3</v>
          </cell>
          <cell r="F403">
            <v>3</v>
          </cell>
          <cell r="G403">
            <v>3</v>
          </cell>
          <cell r="H403">
            <v>3</v>
          </cell>
          <cell r="I403">
            <v>3</v>
          </cell>
          <cell r="J403">
            <v>3</v>
          </cell>
          <cell r="K403">
            <v>3</v>
          </cell>
          <cell r="L403">
            <v>3</v>
          </cell>
          <cell r="M403">
            <v>3</v>
          </cell>
          <cell r="N403">
            <v>3</v>
          </cell>
          <cell r="O403">
            <v>3</v>
          </cell>
          <cell r="P403">
            <v>0</v>
          </cell>
          <cell r="Q403">
            <v>3</v>
          </cell>
          <cell r="R403">
            <v>3</v>
          </cell>
          <cell r="S403">
            <v>3</v>
          </cell>
          <cell r="T403">
            <v>0</v>
          </cell>
          <cell r="U403">
            <v>3</v>
          </cell>
        </row>
        <row r="404">
          <cell r="A404" t="str">
            <v>J84016</v>
          </cell>
          <cell r="B404">
            <v>2</v>
          </cell>
          <cell r="C404">
            <v>2</v>
          </cell>
          <cell r="D404">
            <v>2</v>
          </cell>
          <cell r="E404">
            <v>2</v>
          </cell>
          <cell r="F404">
            <v>2</v>
          </cell>
          <cell r="G404">
            <v>2</v>
          </cell>
          <cell r="H404">
            <v>2</v>
          </cell>
          <cell r="I404">
            <v>2</v>
          </cell>
          <cell r="J404">
            <v>2</v>
          </cell>
          <cell r="K404">
            <v>2</v>
          </cell>
          <cell r="L404">
            <v>2</v>
          </cell>
          <cell r="M404">
            <v>2</v>
          </cell>
          <cell r="N404">
            <v>2</v>
          </cell>
          <cell r="O404">
            <v>2</v>
          </cell>
          <cell r="P404">
            <v>0</v>
          </cell>
          <cell r="Q404">
            <v>2</v>
          </cell>
          <cell r="R404">
            <v>2</v>
          </cell>
          <cell r="S404">
            <v>2</v>
          </cell>
          <cell r="T404">
            <v>0</v>
          </cell>
          <cell r="U404">
            <v>2</v>
          </cell>
        </row>
        <row r="405">
          <cell r="A405" t="str">
            <v>J84020</v>
          </cell>
          <cell r="B405">
            <v>24</v>
          </cell>
          <cell r="C405">
            <v>6</v>
          </cell>
          <cell r="D405">
            <v>6</v>
          </cell>
          <cell r="E405">
            <v>12</v>
          </cell>
          <cell r="F405">
            <v>24</v>
          </cell>
          <cell r="G405">
            <v>14</v>
          </cell>
          <cell r="H405">
            <v>19</v>
          </cell>
          <cell r="I405">
            <v>24</v>
          </cell>
          <cell r="J405">
            <v>6</v>
          </cell>
          <cell r="K405">
            <v>23</v>
          </cell>
          <cell r="L405">
            <v>16</v>
          </cell>
          <cell r="M405">
            <v>16</v>
          </cell>
          <cell r="N405">
            <v>6</v>
          </cell>
          <cell r="O405">
            <v>6</v>
          </cell>
          <cell r="P405">
            <v>0</v>
          </cell>
          <cell r="Q405">
            <v>6</v>
          </cell>
          <cell r="R405">
            <v>21</v>
          </cell>
          <cell r="S405">
            <v>10</v>
          </cell>
          <cell r="T405">
            <v>0</v>
          </cell>
          <cell r="U405">
            <v>6</v>
          </cell>
        </row>
        <row r="406">
          <cell r="A406" t="str">
            <v>J84021</v>
          </cell>
          <cell r="B406">
            <v>2</v>
          </cell>
          <cell r="C406">
            <v>2</v>
          </cell>
          <cell r="D406">
            <v>2</v>
          </cell>
          <cell r="E406">
            <v>2</v>
          </cell>
          <cell r="F406">
            <v>2</v>
          </cell>
          <cell r="G406">
            <v>2</v>
          </cell>
          <cell r="H406">
            <v>2</v>
          </cell>
          <cell r="I406">
            <v>2</v>
          </cell>
          <cell r="J406">
            <v>2</v>
          </cell>
          <cell r="K406">
            <v>2</v>
          </cell>
          <cell r="L406">
            <v>2</v>
          </cell>
          <cell r="M406">
            <v>2</v>
          </cell>
          <cell r="N406">
            <v>2</v>
          </cell>
          <cell r="O406">
            <v>2</v>
          </cell>
          <cell r="P406">
            <v>0</v>
          </cell>
          <cell r="Q406">
            <v>2</v>
          </cell>
          <cell r="R406">
            <v>2</v>
          </cell>
          <cell r="S406">
            <v>2</v>
          </cell>
          <cell r="T406">
            <v>0</v>
          </cell>
          <cell r="U406">
            <v>2</v>
          </cell>
        </row>
        <row r="407">
          <cell r="A407" t="str">
            <v>J84024</v>
          </cell>
          <cell r="B407">
            <v>14</v>
          </cell>
          <cell r="C407">
            <v>10</v>
          </cell>
          <cell r="D407">
            <v>10</v>
          </cell>
          <cell r="E407">
            <v>11</v>
          </cell>
          <cell r="F407">
            <v>14</v>
          </cell>
          <cell r="G407">
            <v>12</v>
          </cell>
          <cell r="H407">
            <v>13</v>
          </cell>
          <cell r="I407">
            <v>14</v>
          </cell>
          <cell r="J407">
            <v>10</v>
          </cell>
          <cell r="K407">
            <v>14</v>
          </cell>
          <cell r="L407">
            <v>12</v>
          </cell>
          <cell r="M407">
            <v>4</v>
          </cell>
          <cell r="N407">
            <v>10</v>
          </cell>
          <cell r="O407">
            <v>10</v>
          </cell>
          <cell r="P407">
            <v>0</v>
          </cell>
          <cell r="Q407">
            <v>10</v>
          </cell>
          <cell r="R407">
            <v>14</v>
          </cell>
          <cell r="S407">
            <v>11</v>
          </cell>
          <cell r="T407">
            <v>0</v>
          </cell>
          <cell r="U407">
            <v>10</v>
          </cell>
        </row>
        <row r="408">
          <cell r="A408" t="str">
            <v>J84030</v>
          </cell>
          <cell r="B408">
            <v>2</v>
          </cell>
          <cell r="C408">
            <v>2</v>
          </cell>
          <cell r="D408">
            <v>2</v>
          </cell>
          <cell r="E408">
            <v>2</v>
          </cell>
          <cell r="F408">
            <v>2</v>
          </cell>
          <cell r="G408">
            <v>2</v>
          </cell>
          <cell r="H408">
            <v>2</v>
          </cell>
          <cell r="I408">
            <v>2</v>
          </cell>
          <cell r="J408">
            <v>2</v>
          </cell>
          <cell r="K408">
            <v>2</v>
          </cell>
          <cell r="L408">
            <v>2</v>
          </cell>
          <cell r="M408">
            <v>2</v>
          </cell>
          <cell r="N408">
            <v>2</v>
          </cell>
          <cell r="O408">
            <v>2</v>
          </cell>
          <cell r="P408">
            <v>0</v>
          </cell>
          <cell r="Q408">
            <v>2</v>
          </cell>
          <cell r="R408">
            <v>2</v>
          </cell>
          <cell r="S408">
            <v>2</v>
          </cell>
          <cell r="T408">
            <v>0</v>
          </cell>
          <cell r="U408">
            <v>2</v>
          </cell>
        </row>
        <row r="409">
          <cell r="A409" t="str">
            <v>J84031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</row>
        <row r="410">
          <cell r="A410" t="str">
            <v>J84032</v>
          </cell>
          <cell r="B410">
            <v>1</v>
          </cell>
          <cell r="C410">
            <v>1</v>
          </cell>
          <cell r="D410">
            <v>1</v>
          </cell>
          <cell r="E410">
            <v>1</v>
          </cell>
          <cell r="F410">
            <v>1</v>
          </cell>
          <cell r="G410">
            <v>1</v>
          </cell>
          <cell r="H410">
            <v>1</v>
          </cell>
          <cell r="I410">
            <v>1</v>
          </cell>
          <cell r="J410">
            <v>1</v>
          </cell>
          <cell r="K410">
            <v>1</v>
          </cell>
          <cell r="L410">
            <v>1</v>
          </cell>
          <cell r="M410">
            <v>1</v>
          </cell>
          <cell r="N410">
            <v>1</v>
          </cell>
          <cell r="O410">
            <v>1</v>
          </cell>
          <cell r="P410">
            <v>0</v>
          </cell>
          <cell r="Q410">
            <v>1</v>
          </cell>
          <cell r="R410">
            <v>1</v>
          </cell>
          <cell r="S410">
            <v>1</v>
          </cell>
          <cell r="T410">
            <v>0</v>
          </cell>
          <cell r="U410">
            <v>1</v>
          </cell>
        </row>
        <row r="411">
          <cell r="A411" t="str">
            <v>J84033</v>
          </cell>
          <cell r="B411">
            <v>5</v>
          </cell>
          <cell r="C411">
            <v>2</v>
          </cell>
          <cell r="D411">
            <v>2</v>
          </cell>
          <cell r="E411">
            <v>3</v>
          </cell>
          <cell r="F411">
            <v>5</v>
          </cell>
          <cell r="G411">
            <v>4</v>
          </cell>
          <cell r="H411">
            <v>5</v>
          </cell>
          <cell r="I411">
            <v>5</v>
          </cell>
          <cell r="J411">
            <v>2</v>
          </cell>
          <cell r="K411">
            <v>5</v>
          </cell>
          <cell r="L411">
            <v>4</v>
          </cell>
          <cell r="M411">
            <v>4</v>
          </cell>
          <cell r="N411">
            <v>2</v>
          </cell>
          <cell r="O411">
            <v>2</v>
          </cell>
          <cell r="P411">
            <v>2</v>
          </cell>
          <cell r="Q411">
            <v>2</v>
          </cell>
          <cell r="R411">
            <v>5</v>
          </cell>
          <cell r="S411">
            <v>3</v>
          </cell>
          <cell r="T411">
            <v>2</v>
          </cell>
          <cell r="U411">
            <v>2</v>
          </cell>
        </row>
        <row r="412">
          <cell r="A412" t="str">
            <v>J84034</v>
          </cell>
          <cell r="B412">
            <v>2</v>
          </cell>
          <cell r="C412">
            <v>2</v>
          </cell>
          <cell r="D412">
            <v>2</v>
          </cell>
          <cell r="E412">
            <v>1</v>
          </cell>
          <cell r="F412">
            <v>2</v>
          </cell>
          <cell r="G412">
            <v>1</v>
          </cell>
          <cell r="H412">
            <v>2</v>
          </cell>
          <cell r="I412">
            <v>2</v>
          </cell>
          <cell r="J412">
            <v>2</v>
          </cell>
          <cell r="K412">
            <v>2</v>
          </cell>
          <cell r="L412">
            <v>2</v>
          </cell>
          <cell r="M412">
            <v>1</v>
          </cell>
          <cell r="N412">
            <v>2</v>
          </cell>
          <cell r="O412">
            <v>1</v>
          </cell>
          <cell r="P412">
            <v>0</v>
          </cell>
          <cell r="Q412">
            <v>2</v>
          </cell>
          <cell r="R412">
            <v>2</v>
          </cell>
          <cell r="S412">
            <v>2</v>
          </cell>
          <cell r="T412">
            <v>0</v>
          </cell>
          <cell r="U412">
            <v>1</v>
          </cell>
        </row>
        <row r="413">
          <cell r="A413" t="str">
            <v>J84035</v>
          </cell>
          <cell r="B413">
            <v>1</v>
          </cell>
          <cell r="C413">
            <v>1</v>
          </cell>
          <cell r="D413">
            <v>1</v>
          </cell>
          <cell r="E413">
            <v>1</v>
          </cell>
          <cell r="F413">
            <v>1</v>
          </cell>
          <cell r="G413">
            <v>1</v>
          </cell>
          <cell r="H413">
            <v>1</v>
          </cell>
          <cell r="I413">
            <v>1</v>
          </cell>
          <cell r="J413">
            <v>1</v>
          </cell>
          <cell r="K413">
            <v>1</v>
          </cell>
          <cell r="L413">
            <v>1</v>
          </cell>
          <cell r="M413">
            <v>1</v>
          </cell>
          <cell r="N413">
            <v>1</v>
          </cell>
          <cell r="O413">
            <v>1</v>
          </cell>
          <cell r="P413">
            <v>0</v>
          </cell>
          <cell r="Q413">
            <v>1</v>
          </cell>
          <cell r="R413">
            <v>1</v>
          </cell>
          <cell r="S413">
            <v>1</v>
          </cell>
          <cell r="T413">
            <v>0</v>
          </cell>
          <cell r="U413">
            <v>1</v>
          </cell>
        </row>
        <row r="414">
          <cell r="A414" t="str">
            <v>J84036</v>
          </cell>
          <cell r="B414">
            <v>1</v>
          </cell>
          <cell r="C414">
            <v>1</v>
          </cell>
          <cell r="D414">
            <v>1</v>
          </cell>
          <cell r="E414">
            <v>1</v>
          </cell>
          <cell r="F414">
            <v>1</v>
          </cell>
          <cell r="G414">
            <v>1</v>
          </cell>
          <cell r="H414">
            <v>1</v>
          </cell>
          <cell r="I414">
            <v>1</v>
          </cell>
          <cell r="J414">
            <v>1</v>
          </cell>
          <cell r="K414">
            <v>1</v>
          </cell>
          <cell r="L414">
            <v>1</v>
          </cell>
          <cell r="M414">
            <v>1</v>
          </cell>
          <cell r="N414">
            <v>1</v>
          </cell>
          <cell r="O414">
            <v>1</v>
          </cell>
          <cell r="P414">
            <v>0</v>
          </cell>
          <cell r="Q414">
            <v>1</v>
          </cell>
          <cell r="R414">
            <v>1</v>
          </cell>
          <cell r="S414">
            <v>1</v>
          </cell>
          <cell r="T414">
            <v>0</v>
          </cell>
          <cell r="U414">
            <v>1</v>
          </cell>
        </row>
        <row r="415">
          <cell r="A415" t="str">
            <v>J84037</v>
          </cell>
          <cell r="B415">
            <v>2</v>
          </cell>
          <cell r="C415">
            <v>2</v>
          </cell>
          <cell r="D415">
            <v>2</v>
          </cell>
          <cell r="E415">
            <v>2</v>
          </cell>
          <cell r="F415">
            <v>2</v>
          </cell>
          <cell r="G415">
            <v>2</v>
          </cell>
          <cell r="H415">
            <v>2</v>
          </cell>
          <cell r="I415">
            <v>2</v>
          </cell>
          <cell r="J415">
            <v>2</v>
          </cell>
          <cell r="K415">
            <v>2</v>
          </cell>
          <cell r="L415">
            <v>2</v>
          </cell>
          <cell r="M415">
            <v>2</v>
          </cell>
          <cell r="N415">
            <v>2</v>
          </cell>
          <cell r="O415">
            <v>2</v>
          </cell>
          <cell r="P415">
            <v>0</v>
          </cell>
          <cell r="Q415">
            <v>2</v>
          </cell>
          <cell r="R415">
            <v>2</v>
          </cell>
          <cell r="S415">
            <v>2</v>
          </cell>
          <cell r="T415">
            <v>0</v>
          </cell>
          <cell r="U415">
            <v>2</v>
          </cell>
        </row>
        <row r="416">
          <cell r="A416" t="str">
            <v>J84038</v>
          </cell>
          <cell r="B416">
            <v>9</v>
          </cell>
          <cell r="C416">
            <v>3</v>
          </cell>
          <cell r="D416">
            <v>3</v>
          </cell>
          <cell r="E416">
            <v>5</v>
          </cell>
          <cell r="F416">
            <v>9</v>
          </cell>
          <cell r="G416">
            <v>6</v>
          </cell>
          <cell r="H416">
            <v>8</v>
          </cell>
          <cell r="I416">
            <v>9</v>
          </cell>
          <cell r="J416">
            <v>2</v>
          </cell>
          <cell r="K416">
            <v>9</v>
          </cell>
          <cell r="L416">
            <v>7</v>
          </cell>
          <cell r="M416">
            <v>7</v>
          </cell>
          <cell r="N416">
            <v>3</v>
          </cell>
          <cell r="O416">
            <v>2</v>
          </cell>
          <cell r="P416">
            <v>0</v>
          </cell>
          <cell r="Q416">
            <v>3</v>
          </cell>
          <cell r="R416">
            <v>8</v>
          </cell>
          <cell r="S416">
            <v>5</v>
          </cell>
          <cell r="T416">
            <v>0</v>
          </cell>
          <cell r="U416">
            <v>2</v>
          </cell>
        </row>
        <row r="417">
          <cell r="A417" t="str">
            <v>J96001</v>
          </cell>
          <cell r="B417">
            <v>2</v>
          </cell>
          <cell r="C417">
            <v>2</v>
          </cell>
          <cell r="D417">
            <v>2</v>
          </cell>
          <cell r="E417">
            <v>2</v>
          </cell>
          <cell r="F417">
            <v>2</v>
          </cell>
          <cell r="G417">
            <v>2</v>
          </cell>
          <cell r="H417">
            <v>2</v>
          </cell>
          <cell r="I417">
            <v>2</v>
          </cell>
          <cell r="J417">
            <v>2</v>
          </cell>
          <cell r="K417">
            <v>2</v>
          </cell>
          <cell r="L417">
            <v>2</v>
          </cell>
          <cell r="M417">
            <v>2</v>
          </cell>
          <cell r="N417">
            <v>2</v>
          </cell>
          <cell r="O417">
            <v>2</v>
          </cell>
          <cell r="P417">
            <v>0</v>
          </cell>
          <cell r="Q417">
            <v>2</v>
          </cell>
          <cell r="R417">
            <v>2</v>
          </cell>
          <cell r="S417">
            <v>2</v>
          </cell>
          <cell r="T417">
            <v>0</v>
          </cell>
          <cell r="U417">
            <v>2</v>
          </cell>
        </row>
        <row r="418">
          <cell r="A418" t="str">
            <v>J96005</v>
          </cell>
          <cell r="B418">
            <v>1</v>
          </cell>
          <cell r="C418">
            <v>1</v>
          </cell>
          <cell r="D418">
            <v>1</v>
          </cell>
          <cell r="E418">
            <v>1</v>
          </cell>
          <cell r="F418">
            <v>1</v>
          </cell>
          <cell r="G418">
            <v>1</v>
          </cell>
          <cell r="H418">
            <v>1</v>
          </cell>
          <cell r="I418">
            <v>1</v>
          </cell>
          <cell r="J418">
            <v>1</v>
          </cell>
          <cell r="K418">
            <v>1</v>
          </cell>
          <cell r="L418">
            <v>1</v>
          </cell>
          <cell r="M418">
            <v>1</v>
          </cell>
          <cell r="N418">
            <v>1</v>
          </cell>
          <cell r="O418">
            <v>1</v>
          </cell>
          <cell r="P418">
            <v>0</v>
          </cell>
          <cell r="Q418">
            <v>1</v>
          </cell>
          <cell r="R418">
            <v>1</v>
          </cell>
          <cell r="S418">
            <v>1</v>
          </cell>
          <cell r="T418">
            <v>0</v>
          </cell>
          <cell r="U418">
            <v>1</v>
          </cell>
        </row>
        <row r="419">
          <cell r="A419" t="str">
            <v>J96007</v>
          </cell>
          <cell r="B419">
            <v>1</v>
          </cell>
          <cell r="C419">
            <v>1</v>
          </cell>
          <cell r="D419">
            <v>1</v>
          </cell>
          <cell r="E419">
            <v>1</v>
          </cell>
          <cell r="F419">
            <v>1</v>
          </cell>
          <cell r="G419">
            <v>1</v>
          </cell>
          <cell r="H419">
            <v>1</v>
          </cell>
          <cell r="I419">
            <v>1</v>
          </cell>
          <cell r="J419">
            <v>1</v>
          </cell>
          <cell r="K419">
            <v>1</v>
          </cell>
          <cell r="L419">
            <v>1</v>
          </cell>
          <cell r="M419">
            <v>1</v>
          </cell>
          <cell r="N419">
            <v>1</v>
          </cell>
          <cell r="O419">
            <v>1</v>
          </cell>
          <cell r="P419">
            <v>0</v>
          </cell>
          <cell r="Q419">
            <v>1</v>
          </cell>
          <cell r="R419">
            <v>1</v>
          </cell>
          <cell r="S419">
            <v>1</v>
          </cell>
          <cell r="T419">
            <v>0</v>
          </cell>
          <cell r="U419">
            <v>1</v>
          </cell>
        </row>
        <row r="420">
          <cell r="A420" t="str">
            <v>J96008</v>
          </cell>
          <cell r="B420">
            <v>1</v>
          </cell>
          <cell r="C420">
            <v>1</v>
          </cell>
          <cell r="D420">
            <v>1</v>
          </cell>
          <cell r="E420">
            <v>1</v>
          </cell>
          <cell r="F420">
            <v>1</v>
          </cell>
          <cell r="G420">
            <v>1</v>
          </cell>
          <cell r="H420">
            <v>1</v>
          </cell>
          <cell r="I420">
            <v>1</v>
          </cell>
          <cell r="J420">
            <v>1</v>
          </cell>
          <cell r="K420">
            <v>1</v>
          </cell>
          <cell r="L420">
            <v>1</v>
          </cell>
          <cell r="M420">
            <v>1</v>
          </cell>
          <cell r="N420">
            <v>1</v>
          </cell>
          <cell r="O420">
            <v>1</v>
          </cell>
          <cell r="P420">
            <v>0</v>
          </cell>
          <cell r="Q420">
            <v>1</v>
          </cell>
          <cell r="R420">
            <v>1</v>
          </cell>
          <cell r="S420">
            <v>1</v>
          </cell>
          <cell r="T420">
            <v>0</v>
          </cell>
          <cell r="U420">
            <v>1</v>
          </cell>
        </row>
        <row r="421">
          <cell r="A421" t="str">
            <v>J96009</v>
          </cell>
          <cell r="B421">
            <v>38</v>
          </cell>
          <cell r="C421">
            <v>11</v>
          </cell>
          <cell r="D421">
            <v>11</v>
          </cell>
          <cell r="E421">
            <v>20</v>
          </cell>
          <cell r="F421">
            <v>38</v>
          </cell>
          <cell r="G421">
            <v>23</v>
          </cell>
          <cell r="H421">
            <v>31</v>
          </cell>
          <cell r="I421">
            <v>38</v>
          </cell>
          <cell r="J421">
            <v>4</v>
          </cell>
          <cell r="K421">
            <v>37</v>
          </cell>
          <cell r="L421">
            <v>26</v>
          </cell>
          <cell r="M421">
            <v>26</v>
          </cell>
          <cell r="N421">
            <v>8</v>
          </cell>
          <cell r="O421">
            <v>7</v>
          </cell>
          <cell r="P421">
            <v>0</v>
          </cell>
          <cell r="Q421">
            <v>10</v>
          </cell>
          <cell r="R421">
            <v>34</v>
          </cell>
          <cell r="S421">
            <v>17</v>
          </cell>
          <cell r="T421">
            <v>0</v>
          </cell>
          <cell r="U421">
            <v>5</v>
          </cell>
        </row>
        <row r="422">
          <cell r="A422" t="str">
            <v>J96010</v>
          </cell>
          <cell r="B422">
            <v>2</v>
          </cell>
          <cell r="C422">
            <v>2</v>
          </cell>
          <cell r="D422">
            <v>2</v>
          </cell>
          <cell r="E422">
            <v>2</v>
          </cell>
          <cell r="F422">
            <v>2</v>
          </cell>
          <cell r="G422">
            <v>2</v>
          </cell>
          <cell r="H422">
            <v>2</v>
          </cell>
          <cell r="I422">
            <v>2</v>
          </cell>
          <cell r="J422">
            <v>2</v>
          </cell>
          <cell r="K422">
            <v>2</v>
          </cell>
          <cell r="L422">
            <v>2</v>
          </cell>
          <cell r="M422">
            <v>2</v>
          </cell>
          <cell r="N422">
            <v>2</v>
          </cell>
          <cell r="O422">
            <v>2</v>
          </cell>
          <cell r="P422">
            <v>0</v>
          </cell>
          <cell r="Q422">
            <v>2</v>
          </cell>
          <cell r="R422">
            <v>2</v>
          </cell>
          <cell r="S422">
            <v>2</v>
          </cell>
          <cell r="T422">
            <v>0</v>
          </cell>
          <cell r="U422">
            <v>2</v>
          </cell>
        </row>
        <row r="423">
          <cell r="A423" t="str">
            <v>J96012</v>
          </cell>
          <cell r="B423">
            <v>6</v>
          </cell>
          <cell r="C423">
            <v>2</v>
          </cell>
          <cell r="D423">
            <v>2</v>
          </cell>
          <cell r="E423">
            <v>3</v>
          </cell>
          <cell r="F423">
            <v>6</v>
          </cell>
          <cell r="G423">
            <v>4</v>
          </cell>
          <cell r="H423">
            <v>5</v>
          </cell>
          <cell r="I423">
            <v>6</v>
          </cell>
          <cell r="J423">
            <v>1</v>
          </cell>
          <cell r="K423">
            <v>6</v>
          </cell>
          <cell r="L423">
            <v>4</v>
          </cell>
          <cell r="M423">
            <v>4</v>
          </cell>
          <cell r="N423">
            <v>1</v>
          </cell>
          <cell r="O423">
            <v>1</v>
          </cell>
          <cell r="P423">
            <v>0</v>
          </cell>
          <cell r="Q423">
            <v>2</v>
          </cell>
          <cell r="R423">
            <v>6</v>
          </cell>
          <cell r="S423">
            <v>3</v>
          </cell>
          <cell r="T423">
            <v>0</v>
          </cell>
          <cell r="U423">
            <v>1</v>
          </cell>
        </row>
        <row r="424">
          <cell r="A424" t="str">
            <v>J96013</v>
          </cell>
          <cell r="B424">
            <v>6</v>
          </cell>
          <cell r="C424">
            <v>2</v>
          </cell>
          <cell r="D424">
            <v>2</v>
          </cell>
          <cell r="E424">
            <v>3</v>
          </cell>
          <cell r="F424">
            <v>6</v>
          </cell>
          <cell r="G424">
            <v>4</v>
          </cell>
          <cell r="H424">
            <v>5</v>
          </cell>
          <cell r="I424">
            <v>6</v>
          </cell>
          <cell r="J424">
            <v>1</v>
          </cell>
          <cell r="K424">
            <v>6</v>
          </cell>
          <cell r="L424">
            <v>4</v>
          </cell>
          <cell r="M424">
            <v>4</v>
          </cell>
          <cell r="N424">
            <v>1</v>
          </cell>
          <cell r="O424">
            <v>1</v>
          </cell>
          <cell r="P424">
            <v>0</v>
          </cell>
          <cell r="Q424">
            <v>2</v>
          </cell>
          <cell r="R424">
            <v>6</v>
          </cell>
          <cell r="S424">
            <v>3</v>
          </cell>
          <cell r="T424">
            <v>0</v>
          </cell>
          <cell r="U424">
            <v>1</v>
          </cell>
        </row>
        <row r="425">
          <cell r="A425" t="str">
            <v>J96015</v>
          </cell>
          <cell r="B425">
            <v>2</v>
          </cell>
          <cell r="C425">
            <v>2</v>
          </cell>
          <cell r="D425">
            <v>2</v>
          </cell>
          <cell r="E425">
            <v>2</v>
          </cell>
          <cell r="F425">
            <v>2</v>
          </cell>
          <cell r="G425">
            <v>2</v>
          </cell>
          <cell r="H425">
            <v>2</v>
          </cell>
          <cell r="I425">
            <v>2</v>
          </cell>
          <cell r="J425">
            <v>2</v>
          </cell>
          <cell r="K425">
            <v>2</v>
          </cell>
          <cell r="L425">
            <v>2</v>
          </cell>
          <cell r="M425">
            <v>2</v>
          </cell>
          <cell r="N425">
            <v>2</v>
          </cell>
          <cell r="O425">
            <v>2</v>
          </cell>
          <cell r="P425">
            <v>0</v>
          </cell>
          <cell r="Q425">
            <v>2</v>
          </cell>
          <cell r="R425">
            <v>2</v>
          </cell>
          <cell r="S425">
            <v>2</v>
          </cell>
          <cell r="T425">
            <v>0</v>
          </cell>
          <cell r="U425">
            <v>2</v>
          </cell>
        </row>
        <row r="426">
          <cell r="A426" t="str">
            <v>J96016</v>
          </cell>
          <cell r="B426">
            <v>2</v>
          </cell>
          <cell r="C426">
            <v>2</v>
          </cell>
          <cell r="D426">
            <v>2</v>
          </cell>
          <cell r="E426">
            <v>2</v>
          </cell>
          <cell r="F426">
            <v>2</v>
          </cell>
          <cell r="G426">
            <v>2</v>
          </cell>
          <cell r="H426">
            <v>2</v>
          </cell>
          <cell r="I426">
            <v>2</v>
          </cell>
          <cell r="J426">
            <v>2</v>
          </cell>
          <cell r="K426">
            <v>2</v>
          </cell>
          <cell r="L426">
            <v>2</v>
          </cell>
          <cell r="M426">
            <v>2</v>
          </cell>
          <cell r="N426">
            <v>2</v>
          </cell>
          <cell r="O426">
            <v>2</v>
          </cell>
          <cell r="P426">
            <v>0</v>
          </cell>
          <cell r="Q426">
            <v>2</v>
          </cell>
          <cell r="R426">
            <v>2</v>
          </cell>
          <cell r="S426">
            <v>2</v>
          </cell>
          <cell r="T426">
            <v>0</v>
          </cell>
          <cell r="U426">
            <v>2</v>
          </cell>
        </row>
        <row r="427">
          <cell r="A427" t="str">
            <v>J96017</v>
          </cell>
          <cell r="B427">
            <v>2</v>
          </cell>
          <cell r="C427">
            <v>2</v>
          </cell>
          <cell r="D427">
            <v>2</v>
          </cell>
          <cell r="E427">
            <v>1</v>
          </cell>
          <cell r="F427">
            <v>2</v>
          </cell>
          <cell r="G427">
            <v>1</v>
          </cell>
          <cell r="H427">
            <v>2</v>
          </cell>
          <cell r="I427">
            <v>2</v>
          </cell>
          <cell r="J427">
            <v>2</v>
          </cell>
          <cell r="K427">
            <v>2</v>
          </cell>
          <cell r="L427">
            <v>2</v>
          </cell>
          <cell r="M427">
            <v>1</v>
          </cell>
          <cell r="N427">
            <v>2</v>
          </cell>
          <cell r="O427">
            <v>1</v>
          </cell>
          <cell r="P427">
            <v>0</v>
          </cell>
          <cell r="Q427">
            <v>2</v>
          </cell>
          <cell r="R427">
            <v>2</v>
          </cell>
          <cell r="S427">
            <v>2</v>
          </cell>
          <cell r="T427">
            <v>0</v>
          </cell>
          <cell r="U427">
            <v>1</v>
          </cell>
        </row>
        <row r="428">
          <cell r="A428" t="str">
            <v>JBT02</v>
          </cell>
          <cell r="B428">
            <v>1</v>
          </cell>
          <cell r="C428">
            <v>1</v>
          </cell>
          <cell r="D428">
            <v>1</v>
          </cell>
          <cell r="E428">
            <v>1</v>
          </cell>
          <cell r="F428">
            <v>1</v>
          </cell>
          <cell r="G428">
            <v>1</v>
          </cell>
          <cell r="H428">
            <v>1</v>
          </cell>
          <cell r="I428">
            <v>1</v>
          </cell>
          <cell r="J428">
            <v>1</v>
          </cell>
          <cell r="K428">
            <v>1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P428">
            <v>0</v>
          </cell>
          <cell r="Q428">
            <v>1</v>
          </cell>
          <cell r="R428">
            <v>1</v>
          </cell>
          <cell r="S428">
            <v>1</v>
          </cell>
          <cell r="T428">
            <v>0</v>
          </cell>
          <cell r="U428">
            <v>1</v>
          </cell>
        </row>
        <row r="429">
          <cell r="A429" t="str">
            <v>JBT05</v>
          </cell>
          <cell r="B429">
            <v>2</v>
          </cell>
          <cell r="C429">
            <v>1</v>
          </cell>
          <cell r="D429">
            <v>1</v>
          </cell>
          <cell r="E429">
            <v>1</v>
          </cell>
          <cell r="F429">
            <v>2</v>
          </cell>
          <cell r="G429">
            <v>2</v>
          </cell>
          <cell r="H429">
            <v>2</v>
          </cell>
          <cell r="I429">
            <v>2</v>
          </cell>
          <cell r="J429">
            <v>1</v>
          </cell>
          <cell r="K429">
            <v>2</v>
          </cell>
          <cell r="L429">
            <v>2</v>
          </cell>
          <cell r="M429">
            <v>2</v>
          </cell>
          <cell r="N429">
            <v>1</v>
          </cell>
          <cell r="O429">
            <v>1</v>
          </cell>
          <cell r="P429">
            <v>0</v>
          </cell>
          <cell r="Q429">
            <v>1</v>
          </cell>
          <cell r="R429">
            <v>3</v>
          </cell>
          <cell r="S429">
            <v>1</v>
          </cell>
          <cell r="T429">
            <v>0</v>
          </cell>
          <cell r="U429">
            <v>1</v>
          </cell>
        </row>
        <row r="430">
          <cell r="A430" t="str">
            <v>JBT07</v>
          </cell>
          <cell r="B430">
            <v>2</v>
          </cell>
          <cell r="C430">
            <v>1</v>
          </cell>
          <cell r="D430">
            <v>1</v>
          </cell>
          <cell r="E430">
            <v>1</v>
          </cell>
          <cell r="F430">
            <v>2</v>
          </cell>
          <cell r="G430">
            <v>2</v>
          </cell>
          <cell r="H430">
            <v>2</v>
          </cell>
          <cell r="I430">
            <v>2</v>
          </cell>
          <cell r="J430">
            <v>1</v>
          </cell>
          <cell r="K430">
            <v>2</v>
          </cell>
          <cell r="L430">
            <v>2</v>
          </cell>
          <cell r="M430">
            <v>2</v>
          </cell>
          <cell r="N430">
            <v>1</v>
          </cell>
          <cell r="O430">
            <v>1</v>
          </cell>
          <cell r="P430">
            <v>0</v>
          </cell>
          <cell r="Q430">
            <v>1</v>
          </cell>
          <cell r="R430">
            <v>3</v>
          </cell>
          <cell r="S430">
            <v>1</v>
          </cell>
          <cell r="T430">
            <v>0</v>
          </cell>
          <cell r="U430">
            <v>1</v>
          </cell>
        </row>
        <row r="431">
          <cell r="A431" t="str">
            <v>JBT09</v>
          </cell>
          <cell r="B431">
            <v>2</v>
          </cell>
          <cell r="C431">
            <v>1</v>
          </cell>
          <cell r="D431">
            <v>1</v>
          </cell>
          <cell r="E431">
            <v>1</v>
          </cell>
          <cell r="F431">
            <v>2</v>
          </cell>
          <cell r="G431">
            <v>2</v>
          </cell>
          <cell r="H431">
            <v>2</v>
          </cell>
          <cell r="I431">
            <v>2</v>
          </cell>
          <cell r="J431">
            <v>1</v>
          </cell>
          <cell r="K431">
            <v>2</v>
          </cell>
          <cell r="L431">
            <v>2</v>
          </cell>
          <cell r="M431">
            <v>2</v>
          </cell>
          <cell r="N431">
            <v>1</v>
          </cell>
          <cell r="O431">
            <v>1</v>
          </cell>
          <cell r="P431">
            <v>0</v>
          </cell>
          <cell r="Q431">
            <v>1</v>
          </cell>
          <cell r="R431">
            <v>3</v>
          </cell>
          <cell r="S431">
            <v>1</v>
          </cell>
          <cell r="T431">
            <v>0</v>
          </cell>
          <cell r="U431">
            <v>1</v>
          </cell>
        </row>
        <row r="432">
          <cell r="A432" t="str">
            <v>JBT10</v>
          </cell>
          <cell r="B432">
            <v>1</v>
          </cell>
          <cell r="C432">
            <v>1</v>
          </cell>
          <cell r="D432">
            <v>1</v>
          </cell>
          <cell r="E432">
            <v>0</v>
          </cell>
          <cell r="F432">
            <v>1</v>
          </cell>
          <cell r="G432">
            <v>0</v>
          </cell>
          <cell r="H432">
            <v>1</v>
          </cell>
          <cell r="I432">
            <v>1</v>
          </cell>
          <cell r="J432">
            <v>1</v>
          </cell>
          <cell r="K432">
            <v>1</v>
          </cell>
          <cell r="L432">
            <v>1</v>
          </cell>
          <cell r="M432">
            <v>0</v>
          </cell>
          <cell r="N432">
            <v>1</v>
          </cell>
          <cell r="O432">
            <v>0</v>
          </cell>
          <cell r="P432">
            <v>0</v>
          </cell>
          <cell r="Q432">
            <v>1</v>
          </cell>
          <cell r="R432">
            <v>1</v>
          </cell>
          <cell r="S432">
            <v>1</v>
          </cell>
          <cell r="T432">
            <v>0</v>
          </cell>
          <cell r="U432">
            <v>0</v>
          </cell>
        </row>
        <row r="433">
          <cell r="A433" t="str">
            <v>JBT11</v>
          </cell>
          <cell r="B433">
            <v>2</v>
          </cell>
          <cell r="C433">
            <v>2</v>
          </cell>
          <cell r="D433">
            <v>2</v>
          </cell>
          <cell r="E433">
            <v>2</v>
          </cell>
          <cell r="F433">
            <v>2</v>
          </cell>
          <cell r="G433">
            <v>2</v>
          </cell>
          <cell r="H433">
            <v>2</v>
          </cell>
          <cell r="I433">
            <v>2</v>
          </cell>
          <cell r="J433">
            <v>2</v>
          </cell>
          <cell r="K433">
            <v>2</v>
          </cell>
          <cell r="L433">
            <v>2</v>
          </cell>
          <cell r="M433">
            <v>2</v>
          </cell>
          <cell r="N433">
            <v>2</v>
          </cell>
          <cell r="O433">
            <v>2</v>
          </cell>
          <cell r="P433">
            <v>1</v>
          </cell>
          <cell r="Q433">
            <v>2</v>
          </cell>
          <cell r="R433">
            <v>2</v>
          </cell>
          <cell r="S433">
            <v>2</v>
          </cell>
          <cell r="T433">
            <v>1</v>
          </cell>
          <cell r="U433">
            <v>2</v>
          </cell>
        </row>
        <row r="434">
          <cell r="A434" t="str">
            <v>JBT12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</row>
        <row r="435">
          <cell r="A435" t="str">
            <v>JBT13</v>
          </cell>
          <cell r="B435">
            <v>3</v>
          </cell>
          <cell r="C435">
            <v>2</v>
          </cell>
          <cell r="D435">
            <v>2</v>
          </cell>
          <cell r="E435">
            <v>2</v>
          </cell>
          <cell r="F435">
            <v>3</v>
          </cell>
          <cell r="G435">
            <v>2</v>
          </cell>
          <cell r="H435">
            <v>4</v>
          </cell>
          <cell r="I435">
            <v>3</v>
          </cell>
          <cell r="J435">
            <v>2</v>
          </cell>
          <cell r="K435">
            <v>4</v>
          </cell>
          <cell r="L435">
            <v>3</v>
          </cell>
          <cell r="M435">
            <v>3</v>
          </cell>
          <cell r="N435">
            <v>1</v>
          </cell>
          <cell r="O435">
            <v>1</v>
          </cell>
          <cell r="P435">
            <v>0</v>
          </cell>
          <cell r="Q435">
            <v>1</v>
          </cell>
          <cell r="R435">
            <v>4</v>
          </cell>
          <cell r="S435">
            <v>2</v>
          </cell>
          <cell r="T435">
            <v>0</v>
          </cell>
          <cell r="U435">
            <v>2</v>
          </cell>
        </row>
        <row r="436">
          <cell r="A436" t="str">
            <v>JBT14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</row>
        <row r="437">
          <cell r="A437" t="str">
            <v>JHT01</v>
          </cell>
          <cell r="B437">
            <v>4</v>
          </cell>
          <cell r="C437">
            <v>1</v>
          </cell>
          <cell r="D437">
            <v>1</v>
          </cell>
          <cell r="E437">
            <v>2</v>
          </cell>
          <cell r="F437">
            <v>4</v>
          </cell>
          <cell r="G437">
            <v>3</v>
          </cell>
          <cell r="H437">
            <v>4</v>
          </cell>
          <cell r="I437">
            <v>4</v>
          </cell>
          <cell r="J437">
            <v>1</v>
          </cell>
          <cell r="K437">
            <v>4</v>
          </cell>
          <cell r="L437">
            <v>3</v>
          </cell>
          <cell r="M437">
            <v>3</v>
          </cell>
          <cell r="N437">
            <v>1</v>
          </cell>
          <cell r="O437">
            <v>1</v>
          </cell>
          <cell r="P437">
            <v>0</v>
          </cell>
          <cell r="Q437">
            <v>1</v>
          </cell>
          <cell r="R437">
            <v>4</v>
          </cell>
          <cell r="S437">
            <v>2</v>
          </cell>
          <cell r="T437">
            <v>0</v>
          </cell>
          <cell r="U437">
            <v>1</v>
          </cell>
        </row>
        <row r="438">
          <cell r="A438" t="str">
            <v>JHT02</v>
          </cell>
          <cell r="B438">
            <v>5</v>
          </cell>
          <cell r="C438">
            <v>2</v>
          </cell>
          <cell r="D438">
            <v>2</v>
          </cell>
          <cell r="E438">
            <v>3</v>
          </cell>
          <cell r="F438">
            <v>5</v>
          </cell>
          <cell r="G438">
            <v>4</v>
          </cell>
          <cell r="H438">
            <v>4</v>
          </cell>
          <cell r="I438">
            <v>5</v>
          </cell>
          <cell r="J438">
            <v>2</v>
          </cell>
          <cell r="K438">
            <v>4</v>
          </cell>
          <cell r="L438">
            <v>4</v>
          </cell>
          <cell r="M438">
            <v>4</v>
          </cell>
          <cell r="N438">
            <v>2</v>
          </cell>
          <cell r="O438">
            <v>2</v>
          </cell>
          <cell r="P438">
            <v>0</v>
          </cell>
          <cell r="Q438">
            <v>2</v>
          </cell>
          <cell r="R438">
            <v>4</v>
          </cell>
          <cell r="S438">
            <v>3</v>
          </cell>
          <cell r="T438">
            <v>0</v>
          </cell>
          <cell r="U438">
            <v>2</v>
          </cell>
        </row>
        <row r="439">
          <cell r="A439" t="str">
            <v>JHT03</v>
          </cell>
          <cell r="B439">
            <v>4</v>
          </cell>
          <cell r="C439">
            <v>1</v>
          </cell>
          <cell r="D439">
            <v>1</v>
          </cell>
          <cell r="E439">
            <v>2</v>
          </cell>
          <cell r="F439">
            <v>4</v>
          </cell>
          <cell r="G439">
            <v>3</v>
          </cell>
          <cell r="H439">
            <v>4</v>
          </cell>
          <cell r="I439">
            <v>4</v>
          </cell>
          <cell r="J439">
            <v>1</v>
          </cell>
          <cell r="K439">
            <v>4</v>
          </cell>
          <cell r="L439">
            <v>3</v>
          </cell>
          <cell r="M439">
            <v>3</v>
          </cell>
          <cell r="N439">
            <v>1</v>
          </cell>
          <cell r="O439">
            <v>1</v>
          </cell>
          <cell r="P439">
            <v>0</v>
          </cell>
          <cell r="Q439">
            <v>1</v>
          </cell>
          <cell r="R439">
            <v>4</v>
          </cell>
          <cell r="S439">
            <v>2</v>
          </cell>
          <cell r="T439">
            <v>0</v>
          </cell>
          <cell r="U439">
            <v>1</v>
          </cell>
        </row>
        <row r="440">
          <cell r="A440" t="str">
            <v>JHT04</v>
          </cell>
          <cell r="B440">
            <v>2</v>
          </cell>
          <cell r="C440">
            <v>1</v>
          </cell>
          <cell r="D440">
            <v>1</v>
          </cell>
          <cell r="E440">
            <v>1</v>
          </cell>
          <cell r="F440">
            <v>2</v>
          </cell>
          <cell r="G440">
            <v>2</v>
          </cell>
          <cell r="H440">
            <v>2</v>
          </cell>
          <cell r="I440">
            <v>2</v>
          </cell>
          <cell r="J440">
            <v>1</v>
          </cell>
          <cell r="K440">
            <v>2</v>
          </cell>
          <cell r="L440">
            <v>2</v>
          </cell>
          <cell r="M440">
            <v>2</v>
          </cell>
          <cell r="N440">
            <v>1</v>
          </cell>
          <cell r="O440">
            <v>1</v>
          </cell>
          <cell r="P440">
            <v>0</v>
          </cell>
          <cell r="Q440">
            <v>1</v>
          </cell>
          <cell r="R440">
            <v>2</v>
          </cell>
          <cell r="S440">
            <v>1</v>
          </cell>
          <cell r="T440">
            <v>0</v>
          </cell>
          <cell r="U440">
            <v>1</v>
          </cell>
        </row>
        <row r="441">
          <cell r="A441" t="str">
            <v>JHT05</v>
          </cell>
          <cell r="B441">
            <v>3</v>
          </cell>
          <cell r="C441">
            <v>2</v>
          </cell>
          <cell r="D441">
            <v>2</v>
          </cell>
          <cell r="E441">
            <v>2</v>
          </cell>
          <cell r="F441">
            <v>3</v>
          </cell>
          <cell r="G441">
            <v>3</v>
          </cell>
          <cell r="H441">
            <v>3</v>
          </cell>
          <cell r="I441">
            <v>3</v>
          </cell>
          <cell r="J441">
            <v>2</v>
          </cell>
          <cell r="K441">
            <v>3</v>
          </cell>
          <cell r="L441">
            <v>3</v>
          </cell>
          <cell r="M441">
            <v>2</v>
          </cell>
          <cell r="N441">
            <v>2</v>
          </cell>
          <cell r="O441">
            <v>2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2</v>
          </cell>
        </row>
        <row r="442">
          <cell r="A442" t="str">
            <v>JHT05C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2</v>
          </cell>
          <cell r="R442">
            <v>3</v>
          </cell>
          <cell r="S442">
            <v>2</v>
          </cell>
          <cell r="T442">
            <v>0</v>
          </cell>
          <cell r="U442">
            <v>0</v>
          </cell>
        </row>
        <row r="443">
          <cell r="A443" t="str">
            <v>JHT06</v>
          </cell>
          <cell r="B443">
            <v>4</v>
          </cell>
          <cell r="C443">
            <v>1</v>
          </cell>
          <cell r="D443">
            <v>1</v>
          </cell>
          <cell r="E443">
            <v>2</v>
          </cell>
          <cell r="F443">
            <v>4</v>
          </cell>
          <cell r="G443">
            <v>3</v>
          </cell>
          <cell r="H443">
            <v>4</v>
          </cell>
          <cell r="I443">
            <v>4</v>
          </cell>
          <cell r="J443">
            <v>1</v>
          </cell>
          <cell r="K443">
            <v>4</v>
          </cell>
          <cell r="L443">
            <v>3</v>
          </cell>
          <cell r="M443">
            <v>3</v>
          </cell>
          <cell r="N443">
            <v>1</v>
          </cell>
          <cell r="O443">
            <v>1</v>
          </cell>
          <cell r="P443">
            <v>0</v>
          </cell>
          <cell r="Q443">
            <v>1</v>
          </cell>
          <cell r="R443">
            <v>4</v>
          </cell>
          <cell r="S443">
            <v>2</v>
          </cell>
          <cell r="T443">
            <v>0</v>
          </cell>
          <cell r="U443">
            <v>1</v>
          </cell>
        </row>
        <row r="444">
          <cell r="A444" t="str">
            <v>JHT09</v>
          </cell>
          <cell r="B444">
            <v>24</v>
          </cell>
          <cell r="C444">
            <v>6</v>
          </cell>
          <cell r="D444">
            <v>6</v>
          </cell>
          <cell r="E444">
            <v>12</v>
          </cell>
          <cell r="F444">
            <v>24</v>
          </cell>
          <cell r="G444">
            <v>14</v>
          </cell>
          <cell r="H444">
            <v>19</v>
          </cell>
          <cell r="I444">
            <v>24</v>
          </cell>
          <cell r="J444">
            <v>1</v>
          </cell>
          <cell r="K444">
            <v>23</v>
          </cell>
          <cell r="L444">
            <v>16</v>
          </cell>
          <cell r="M444">
            <v>16</v>
          </cell>
          <cell r="N444">
            <v>4</v>
          </cell>
          <cell r="O444">
            <v>3</v>
          </cell>
          <cell r="P444">
            <v>0</v>
          </cell>
          <cell r="Q444">
            <v>5</v>
          </cell>
          <cell r="R444">
            <v>21</v>
          </cell>
          <cell r="S444">
            <v>10</v>
          </cell>
          <cell r="T444">
            <v>0</v>
          </cell>
          <cell r="U444">
            <v>2</v>
          </cell>
        </row>
        <row r="445">
          <cell r="A445" t="str">
            <v>JHT11</v>
          </cell>
          <cell r="B445">
            <v>5</v>
          </cell>
          <cell r="C445">
            <v>2</v>
          </cell>
          <cell r="D445">
            <v>2</v>
          </cell>
          <cell r="E445">
            <v>3</v>
          </cell>
          <cell r="F445">
            <v>5</v>
          </cell>
          <cell r="G445">
            <v>4</v>
          </cell>
          <cell r="H445">
            <v>0</v>
          </cell>
          <cell r="I445">
            <v>5</v>
          </cell>
          <cell r="J445">
            <v>2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2</v>
          </cell>
        </row>
        <row r="446">
          <cell r="A446" t="str">
            <v>JHT12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4</v>
          </cell>
          <cell r="I446">
            <v>0</v>
          </cell>
          <cell r="J446">
            <v>0</v>
          </cell>
          <cell r="K446">
            <v>4</v>
          </cell>
          <cell r="L446">
            <v>4</v>
          </cell>
          <cell r="M446">
            <v>4</v>
          </cell>
          <cell r="N446">
            <v>2</v>
          </cell>
          <cell r="O446">
            <v>2</v>
          </cell>
          <cell r="P446">
            <v>0</v>
          </cell>
          <cell r="Q446">
            <v>2</v>
          </cell>
          <cell r="R446">
            <v>4</v>
          </cell>
          <cell r="S446">
            <v>3</v>
          </cell>
          <cell r="T446">
            <v>0</v>
          </cell>
          <cell r="U446">
            <v>0</v>
          </cell>
        </row>
        <row r="447">
          <cell r="A447" t="str">
            <v>JHT13</v>
          </cell>
          <cell r="B447">
            <v>6</v>
          </cell>
          <cell r="C447">
            <v>2</v>
          </cell>
          <cell r="D447">
            <v>2</v>
          </cell>
          <cell r="E447">
            <v>3</v>
          </cell>
          <cell r="F447">
            <v>6</v>
          </cell>
          <cell r="G447">
            <v>4</v>
          </cell>
          <cell r="H447">
            <v>5</v>
          </cell>
          <cell r="I447">
            <v>6</v>
          </cell>
          <cell r="J447">
            <v>1</v>
          </cell>
          <cell r="K447">
            <v>6</v>
          </cell>
          <cell r="L447">
            <v>4</v>
          </cell>
          <cell r="M447">
            <v>4</v>
          </cell>
          <cell r="N447">
            <v>1</v>
          </cell>
          <cell r="O447">
            <v>1</v>
          </cell>
          <cell r="P447">
            <v>0</v>
          </cell>
          <cell r="Q447">
            <v>2</v>
          </cell>
          <cell r="R447">
            <v>6</v>
          </cell>
          <cell r="S447">
            <v>3</v>
          </cell>
          <cell r="T447">
            <v>0</v>
          </cell>
          <cell r="U447">
            <v>1</v>
          </cell>
        </row>
        <row r="448">
          <cell r="A448" t="str">
            <v>JHT14</v>
          </cell>
          <cell r="B448">
            <v>10</v>
          </cell>
          <cell r="C448">
            <v>4</v>
          </cell>
          <cell r="D448">
            <v>4</v>
          </cell>
          <cell r="E448">
            <v>6</v>
          </cell>
          <cell r="F448">
            <v>10</v>
          </cell>
          <cell r="G448">
            <v>8</v>
          </cell>
          <cell r="H448">
            <v>12</v>
          </cell>
          <cell r="I448">
            <v>10</v>
          </cell>
          <cell r="J448">
            <v>4</v>
          </cell>
          <cell r="K448">
            <v>12</v>
          </cell>
          <cell r="L448">
            <v>12</v>
          </cell>
          <cell r="M448">
            <v>12</v>
          </cell>
          <cell r="N448">
            <v>6</v>
          </cell>
          <cell r="O448">
            <v>6</v>
          </cell>
          <cell r="P448">
            <v>0</v>
          </cell>
          <cell r="Q448">
            <v>6</v>
          </cell>
          <cell r="R448">
            <v>12</v>
          </cell>
          <cell r="S448">
            <v>9</v>
          </cell>
          <cell r="T448">
            <v>0</v>
          </cell>
          <cell r="U448">
            <v>4</v>
          </cell>
        </row>
        <row r="449">
          <cell r="A449" t="str">
            <v>JXT03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4</v>
          </cell>
          <cell r="I449">
            <v>0</v>
          </cell>
          <cell r="J449">
            <v>0</v>
          </cell>
          <cell r="K449">
            <v>4</v>
          </cell>
          <cell r="L449">
            <v>3</v>
          </cell>
          <cell r="M449">
            <v>3</v>
          </cell>
          <cell r="N449">
            <v>2</v>
          </cell>
          <cell r="O449">
            <v>2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</row>
        <row r="450">
          <cell r="A450" t="str">
            <v>JXT04</v>
          </cell>
          <cell r="B450">
            <v>5</v>
          </cell>
          <cell r="C450">
            <v>2</v>
          </cell>
          <cell r="D450">
            <v>2</v>
          </cell>
          <cell r="E450">
            <v>3</v>
          </cell>
          <cell r="F450">
            <v>5</v>
          </cell>
          <cell r="G450">
            <v>3</v>
          </cell>
          <cell r="H450">
            <v>4</v>
          </cell>
          <cell r="I450">
            <v>5</v>
          </cell>
          <cell r="J450">
            <v>1</v>
          </cell>
          <cell r="K450">
            <v>5</v>
          </cell>
          <cell r="L450">
            <v>4</v>
          </cell>
          <cell r="M450">
            <v>4</v>
          </cell>
          <cell r="N450">
            <v>1</v>
          </cell>
          <cell r="O450">
            <v>1</v>
          </cell>
          <cell r="P450">
            <v>0</v>
          </cell>
          <cell r="Q450">
            <v>1</v>
          </cell>
          <cell r="R450">
            <v>5</v>
          </cell>
          <cell r="S450">
            <v>2</v>
          </cell>
          <cell r="T450">
            <v>0</v>
          </cell>
          <cell r="U450">
            <v>1</v>
          </cell>
        </row>
        <row r="451">
          <cell r="A451" t="str">
            <v>JXT13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</row>
        <row r="452">
          <cell r="A452" t="str">
            <v>P4109859</v>
          </cell>
          <cell r="B452">
            <v>1</v>
          </cell>
          <cell r="C452">
            <v>1</v>
          </cell>
          <cell r="D452">
            <v>1</v>
          </cell>
          <cell r="E452">
            <v>1</v>
          </cell>
          <cell r="F452">
            <v>1</v>
          </cell>
          <cell r="G452">
            <v>1</v>
          </cell>
          <cell r="H452">
            <v>1</v>
          </cell>
          <cell r="I452">
            <v>1</v>
          </cell>
          <cell r="J452">
            <v>1</v>
          </cell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O452">
            <v>1</v>
          </cell>
          <cell r="P452">
            <v>0</v>
          </cell>
          <cell r="Q452">
            <v>1</v>
          </cell>
          <cell r="R452">
            <v>1</v>
          </cell>
          <cell r="S452">
            <v>1</v>
          </cell>
          <cell r="T452">
            <v>0</v>
          </cell>
          <cell r="U452">
            <v>1</v>
          </cell>
        </row>
        <row r="453">
          <cell r="A453" t="str">
            <v>P4109863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2</v>
          </cell>
          <cell r="I453">
            <v>0</v>
          </cell>
          <cell r="J453">
            <v>0</v>
          </cell>
          <cell r="K453">
            <v>2</v>
          </cell>
          <cell r="L453">
            <v>2</v>
          </cell>
          <cell r="M453">
            <v>2</v>
          </cell>
          <cell r="N453">
            <v>2</v>
          </cell>
          <cell r="O453">
            <v>2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</row>
        <row r="454">
          <cell r="A454" t="str">
            <v>P4109888</v>
          </cell>
          <cell r="B454">
            <v>1</v>
          </cell>
          <cell r="C454">
            <v>1</v>
          </cell>
          <cell r="D454">
            <v>1</v>
          </cell>
          <cell r="E454">
            <v>1</v>
          </cell>
          <cell r="F454">
            <v>1</v>
          </cell>
          <cell r="G454">
            <v>1</v>
          </cell>
          <cell r="H454">
            <v>1</v>
          </cell>
          <cell r="I454">
            <v>1</v>
          </cell>
          <cell r="J454">
            <v>1</v>
          </cell>
          <cell r="K454">
            <v>1</v>
          </cell>
          <cell r="L454">
            <v>1</v>
          </cell>
          <cell r="M454">
            <v>1</v>
          </cell>
          <cell r="N454">
            <v>1</v>
          </cell>
          <cell r="O454">
            <v>1</v>
          </cell>
          <cell r="P454">
            <v>0</v>
          </cell>
          <cell r="Q454">
            <v>1</v>
          </cell>
          <cell r="R454">
            <v>1</v>
          </cell>
          <cell r="S454">
            <v>1</v>
          </cell>
          <cell r="T454">
            <v>0</v>
          </cell>
          <cell r="U454">
            <v>1</v>
          </cell>
        </row>
        <row r="455">
          <cell r="A455" t="str">
            <v>P4109905</v>
          </cell>
          <cell r="B455">
            <v>1</v>
          </cell>
          <cell r="C455">
            <v>1</v>
          </cell>
          <cell r="D455">
            <v>1</v>
          </cell>
          <cell r="E455">
            <v>1</v>
          </cell>
          <cell r="F455">
            <v>1</v>
          </cell>
          <cell r="G455">
            <v>1</v>
          </cell>
          <cell r="H455">
            <v>1</v>
          </cell>
          <cell r="I455">
            <v>1</v>
          </cell>
          <cell r="J455">
            <v>1</v>
          </cell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P455">
            <v>0</v>
          </cell>
          <cell r="Q455">
            <v>1</v>
          </cell>
          <cell r="R455">
            <v>1</v>
          </cell>
          <cell r="S455">
            <v>1</v>
          </cell>
          <cell r="T455">
            <v>0</v>
          </cell>
          <cell r="U455">
            <v>1</v>
          </cell>
        </row>
        <row r="456">
          <cell r="A456" t="str">
            <v>P4109906</v>
          </cell>
          <cell r="B456">
            <v>2</v>
          </cell>
          <cell r="C456">
            <v>2</v>
          </cell>
          <cell r="D456">
            <v>2</v>
          </cell>
          <cell r="E456">
            <v>2</v>
          </cell>
          <cell r="F456">
            <v>2</v>
          </cell>
          <cell r="G456">
            <v>2</v>
          </cell>
          <cell r="H456">
            <v>2</v>
          </cell>
          <cell r="I456">
            <v>2</v>
          </cell>
          <cell r="J456">
            <v>2</v>
          </cell>
          <cell r="K456">
            <v>2</v>
          </cell>
          <cell r="L456">
            <v>2</v>
          </cell>
          <cell r="M456">
            <v>2</v>
          </cell>
          <cell r="N456">
            <v>2</v>
          </cell>
          <cell r="O456">
            <v>2</v>
          </cell>
          <cell r="P456">
            <v>2</v>
          </cell>
          <cell r="Q456">
            <v>2</v>
          </cell>
          <cell r="R456">
            <v>2</v>
          </cell>
          <cell r="S456">
            <v>2</v>
          </cell>
          <cell r="T456">
            <v>2</v>
          </cell>
          <cell r="U456">
            <v>2</v>
          </cell>
        </row>
        <row r="457">
          <cell r="A457" t="str">
            <v>P4109929</v>
          </cell>
          <cell r="B457">
            <v>1</v>
          </cell>
          <cell r="C457">
            <v>1</v>
          </cell>
          <cell r="D457">
            <v>1</v>
          </cell>
          <cell r="E457">
            <v>1</v>
          </cell>
          <cell r="F457">
            <v>1</v>
          </cell>
          <cell r="G457">
            <v>1</v>
          </cell>
          <cell r="H457">
            <v>1</v>
          </cell>
          <cell r="I457">
            <v>1</v>
          </cell>
          <cell r="J457">
            <v>1</v>
          </cell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O457">
            <v>1</v>
          </cell>
          <cell r="P457">
            <v>0</v>
          </cell>
          <cell r="Q457">
            <v>1</v>
          </cell>
          <cell r="R457">
            <v>1</v>
          </cell>
          <cell r="S457">
            <v>1</v>
          </cell>
          <cell r="T457">
            <v>0</v>
          </cell>
          <cell r="U457">
            <v>1</v>
          </cell>
        </row>
        <row r="458">
          <cell r="A458" t="str">
            <v>PROPJOAP</v>
          </cell>
          <cell r="B458">
            <v>1</v>
          </cell>
          <cell r="C458">
            <v>1</v>
          </cell>
          <cell r="D458">
            <v>1</v>
          </cell>
          <cell r="E458">
            <v>0</v>
          </cell>
          <cell r="F458">
            <v>1</v>
          </cell>
          <cell r="G458">
            <v>0</v>
          </cell>
          <cell r="H458">
            <v>1</v>
          </cell>
          <cell r="I458">
            <v>1</v>
          </cell>
          <cell r="J458">
            <v>1</v>
          </cell>
          <cell r="K458">
            <v>1</v>
          </cell>
          <cell r="L458">
            <v>1</v>
          </cell>
          <cell r="M458">
            <v>0</v>
          </cell>
          <cell r="N458">
            <v>1</v>
          </cell>
          <cell r="O458">
            <v>0</v>
          </cell>
          <cell r="P458">
            <v>2</v>
          </cell>
          <cell r="Q458">
            <v>1</v>
          </cell>
          <cell r="R458">
            <v>1</v>
          </cell>
          <cell r="S458">
            <v>1</v>
          </cell>
          <cell r="T458">
            <v>2</v>
          </cell>
          <cell r="U458">
            <v>0</v>
          </cell>
        </row>
        <row r="459">
          <cell r="A459" t="str">
            <v>PROPWIO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1</v>
          </cell>
          <cell r="I459">
            <v>0</v>
          </cell>
          <cell r="J459">
            <v>0</v>
          </cell>
          <cell r="K459">
            <v>1</v>
          </cell>
          <cell r="L459">
            <v>1</v>
          </cell>
          <cell r="M459">
            <v>0</v>
          </cell>
          <cell r="N459">
            <v>1</v>
          </cell>
          <cell r="O459">
            <v>0</v>
          </cell>
          <cell r="P459">
            <v>2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A460" t="str">
            <v>PWA55380</v>
          </cell>
          <cell r="B460">
            <v>2</v>
          </cell>
          <cell r="C460">
            <v>2</v>
          </cell>
          <cell r="D460">
            <v>2</v>
          </cell>
          <cell r="E460">
            <v>1</v>
          </cell>
          <cell r="F460">
            <v>2</v>
          </cell>
          <cell r="G460">
            <v>1</v>
          </cell>
          <cell r="H460">
            <v>2</v>
          </cell>
          <cell r="I460">
            <v>2</v>
          </cell>
          <cell r="J460">
            <v>2</v>
          </cell>
          <cell r="K460">
            <v>2</v>
          </cell>
          <cell r="L460">
            <v>2</v>
          </cell>
          <cell r="M460">
            <v>1</v>
          </cell>
          <cell r="N460">
            <v>2</v>
          </cell>
          <cell r="O460">
            <v>1</v>
          </cell>
          <cell r="P460">
            <v>2</v>
          </cell>
          <cell r="Q460">
            <v>2</v>
          </cell>
          <cell r="R460">
            <v>2</v>
          </cell>
          <cell r="S460">
            <v>2</v>
          </cell>
          <cell r="T460">
            <v>2</v>
          </cell>
          <cell r="U460">
            <v>1</v>
          </cell>
        </row>
        <row r="461">
          <cell r="A461" t="str">
            <v>PWA59414</v>
          </cell>
          <cell r="B461">
            <v>2</v>
          </cell>
          <cell r="C461">
            <v>2</v>
          </cell>
          <cell r="D461">
            <v>2</v>
          </cell>
          <cell r="E461">
            <v>2</v>
          </cell>
          <cell r="F461">
            <v>2</v>
          </cell>
          <cell r="G461">
            <v>2</v>
          </cell>
          <cell r="H461">
            <v>2</v>
          </cell>
          <cell r="I461">
            <v>2</v>
          </cell>
          <cell r="J461">
            <v>2</v>
          </cell>
          <cell r="K461">
            <v>2</v>
          </cell>
          <cell r="L461">
            <v>2</v>
          </cell>
          <cell r="M461">
            <v>2</v>
          </cell>
          <cell r="N461">
            <v>2</v>
          </cell>
          <cell r="O461">
            <v>2</v>
          </cell>
          <cell r="P461">
            <v>2</v>
          </cell>
          <cell r="Q461">
            <v>2</v>
          </cell>
          <cell r="R461">
            <v>2</v>
          </cell>
          <cell r="S461">
            <v>2</v>
          </cell>
          <cell r="T461">
            <v>2</v>
          </cell>
          <cell r="U461">
            <v>2</v>
          </cell>
        </row>
        <row r="462">
          <cell r="A462" t="str">
            <v>PWA59419</v>
          </cell>
          <cell r="B462">
            <v>1</v>
          </cell>
          <cell r="C462">
            <v>1</v>
          </cell>
          <cell r="D462">
            <v>1</v>
          </cell>
          <cell r="E462">
            <v>1</v>
          </cell>
          <cell r="F462">
            <v>1</v>
          </cell>
          <cell r="G462">
            <v>1</v>
          </cell>
          <cell r="H462">
            <v>1</v>
          </cell>
          <cell r="I462">
            <v>1</v>
          </cell>
          <cell r="J462">
            <v>1</v>
          </cell>
          <cell r="K462">
            <v>1</v>
          </cell>
          <cell r="L462">
            <v>1</v>
          </cell>
          <cell r="M462">
            <v>1</v>
          </cell>
          <cell r="N462">
            <v>1</v>
          </cell>
          <cell r="O462">
            <v>1</v>
          </cell>
          <cell r="P462">
            <v>1</v>
          </cell>
          <cell r="Q462">
            <v>1</v>
          </cell>
          <cell r="R462">
            <v>1</v>
          </cell>
          <cell r="S462">
            <v>1</v>
          </cell>
          <cell r="T462">
            <v>1</v>
          </cell>
          <cell r="U462">
            <v>1</v>
          </cell>
        </row>
        <row r="463">
          <cell r="A463" t="str">
            <v>PWA59422</v>
          </cell>
          <cell r="B463">
            <v>3</v>
          </cell>
          <cell r="C463">
            <v>3</v>
          </cell>
          <cell r="D463">
            <v>3</v>
          </cell>
          <cell r="E463">
            <v>2</v>
          </cell>
          <cell r="F463">
            <v>3</v>
          </cell>
          <cell r="G463">
            <v>2</v>
          </cell>
          <cell r="H463">
            <v>3</v>
          </cell>
          <cell r="I463">
            <v>3</v>
          </cell>
          <cell r="J463">
            <v>3</v>
          </cell>
          <cell r="K463">
            <v>3</v>
          </cell>
          <cell r="L463">
            <v>3</v>
          </cell>
          <cell r="M463">
            <v>2</v>
          </cell>
          <cell r="N463">
            <v>3</v>
          </cell>
          <cell r="O463">
            <v>2</v>
          </cell>
          <cell r="P463">
            <v>2</v>
          </cell>
          <cell r="Q463">
            <v>3</v>
          </cell>
          <cell r="R463">
            <v>3</v>
          </cell>
          <cell r="S463">
            <v>3</v>
          </cell>
          <cell r="T463">
            <v>2</v>
          </cell>
          <cell r="U463">
            <v>2</v>
          </cell>
        </row>
        <row r="464">
          <cell r="A464" t="str">
            <v>PWA59432</v>
          </cell>
          <cell r="B464">
            <v>1</v>
          </cell>
          <cell r="C464">
            <v>1</v>
          </cell>
          <cell r="D464">
            <v>1</v>
          </cell>
          <cell r="E464">
            <v>1</v>
          </cell>
          <cell r="F464">
            <v>1</v>
          </cell>
          <cell r="G464">
            <v>1</v>
          </cell>
          <cell r="H464">
            <v>1</v>
          </cell>
          <cell r="I464">
            <v>1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  <cell r="N464">
            <v>1</v>
          </cell>
          <cell r="O464">
            <v>1</v>
          </cell>
          <cell r="P464">
            <v>1</v>
          </cell>
          <cell r="Q464">
            <v>1</v>
          </cell>
          <cell r="R464">
            <v>1</v>
          </cell>
          <cell r="S464">
            <v>1</v>
          </cell>
          <cell r="T464">
            <v>1</v>
          </cell>
          <cell r="U464">
            <v>1</v>
          </cell>
        </row>
        <row r="465">
          <cell r="A465" t="str">
            <v>PWA59445</v>
          </cell>
          <cell r="B465">
            <v>1</v>
          </cell>
          <cell r="C465">
            <v>1</v>
          </cell>
          <cell r="D465">
            <v>1</v>
          </cell>
          <cell r="E465">
            <v>1</v>
          </cell>
          <cell r="F465">
            <v>1</v>
          </cell>
          <cell r="G465">
            <v>1</v>
          </cell>
          <cell r="H465">
            <v>1</v>
          </cell>
          <cell r="I465">
            <v>1</v>
          </cell>
          <cell r="J465">
            <v>1</v>
          </cell>
          <cell r="K465">
            <v>1</v>
          </cell>
          <cell r="L465">
            <v>1</v>
          </cell>
          <cell r="M465">
            <v>1</v>
          </cell>
          <cell r="N465">
            <v>1</v>
          </cell>
          <cell r="O465">
            <v>1</v>
          </cell>
          <cell r="P465">
            <v>1</v>
          </cell>
          <cell r="Q465">
            <v>1</v>
          </cell>
          <cell r="R465">
            <v>1</v>
          </cell>
          <cell r="S465">
            <v>1</v>
          </cell>
          <cell r="T465">
            <v>1</v>
          </cell>
          <cell r="U465">
            <v>1</v>
          </cell>
        </row>
        <row r="466">
          <cell r="A466" t="str">
            <v>PWA59469</v>
          </cell>
          <cell r="B466">
            <v>1</v>
          </cell>
          <cell r="C466">
            <v>1</v>
          </cell>
          <cell r="D466">
            <v>1</v>
          </cell>
          <cell r="E466">
            <v>1</v>
          </cell>
          <cell r="F466">
            <v>1</v>
          </cell>
          <cell r="G466">
            <v>1</v>
          </cell>
          <cell r="H466">
            <v>1</v>
          </cell>
          <cell r="I466">
            <v>1</v>
          </cell>
          <cell r="J466">
            <v>1</v>
          </cell>
          <cell r="K466">
            <v>1</v>
          </cell>
          <cell r="L466">
            <v>1</v>
          </cell>
          <cell r="M466">
            <v>1</v>
          </cell>
          <cell r="N466">
            <v>1</v>
          </cell>
          <cell r="O466">
            <v>1</v>
          </cell>
          <cell r="P466">
            <v>1</v>
          </cell>
          <cell r="Q466">
            <v>1</v>
          </cell>
          <cell r="R466">
            <v>1</v>
          </cell>
          <cell r="S466">
            <v>1</v>
          </cell>
          <cell r="T466">
            <v>1</v>
          </cell>
          <cell r="U466">
            <v>1</v>
          </cell>
        </row>
        <row r="467">
          <cell r="A467" t="str">
            <v>PWA59483</v>
          </cell>
          <cell r="B467">
            <v>4</v>
          </cell>
          <cell r="C467">
            <v>4</v>
          </cell>
          <cell r="D467">
            <v>4</v>
          </cell>
          <cell r="E467">
            <v>3</v>
          </cell>
          <cell r="F467">
            <v>4</v>
          </cell>
          <cell r="G467">
            <v>3</v>
          </cell>
          <cell r="H467">
            <v>4</v>
          </cell>
          <cell r="I467">
            <v>4</v>
          </cell>
          <cell r="J467">
            <v>4</v>
          </cell>
          <cell r="K467">
            <v>4</v>
          </cell>
          <cell r="L467">
            <v>4</v>
          </cell>
          <cell r="M467">
            <v>3</v>
          </cell>
          <cell r="N467">
            <v>4</v>
          </cell>
          <cell r="O467">
            <v>3</v>
          </cell>
          <cell r="P467">
            <v>3</v>
          </cell>
          <cell r="Q467">
            <v>4</v>
          </cell>
          <cell r="R467">
            <v>4</v>
          </cell>
          <cell r="S467">
            <v>4</v>
          </cell>
          <cell r="T467">
            <v>3</v>
          </cell>
          <cell r="U467">
            <v>3</v>
          </cell>
        </row>
        <row r="468">
          <cell r="A468" t="str">
            <v>PWA59500</v>
          </cell>
          <cell r="B468">
            <v>2</v>
          </cell>
          <cell r="C468">
            <v>2</v>
          </cell>
          <cell r="D468">
            <v>2</v>
          </cell>
          <cell r="E468">
            <v>1</v>
          </cell>
          <cell r="F468">
            <v>2</v>
          </cell>
          <cell r="G468">
            <v>1</v>
          </cell>
          <cell r="H468">
            <v>2</v>
          </cell>
          <cell r="I468">
            <v>2</v>
          </cell>
          <cell r="J468">
            <v>2</v>
          </cell>
          <cell r="K468">
            <v>2</v>
          </cell>
          <cell r="L468">
            <v>2</v>
          </cell>
          <cell r="M468">
            <v>1</v>
          </cell>
          <cell r="N468">
            <v>2</v>
          </cell>
          <cell r="O468">
            <v>1</v>
          </cell>
          <cell r="P468">
            <v>1</v>
          </cell>
          <cell r="Q468">
            <v>2</v>
          </cell>
          <cell r="R468">
            <v>2</v>
          </cell>
          <cell r="S468">
            <v>2</v>
          </cell>
          <cell r="T468">
            <v>1</v>
          </cell>
          <cell r="U468">
            <v>1</v>
          </cell>
        </row>
        <row r="469">
          <cell r="A469" t="str">
            <v>PWA59524</v>
          </cell>
          <cell r="B469">
            <v>2</v>
          </cell>
          <cell r="C469">
            <v>2</v>
          </cell>
          <cell r="D469">
            <v>2</v>
          </cell>
          <cell r="E469">
            <v>1</v>
          </cell>
          <cell r="F469">
            <v>2</v>
          </cell>
          <cell r="G469">
            <v>1</v>
          </cell>
          <cell r="H469">
            <v>2</v>
          </cell>
          <cell r="I469">
            <v>2</v>
          </cell>
          <cell r="J469">
            <v>2</v>
          </cell>
          <cell r="K469">
            <v>2</v>
          </cell>
          <cell r="L469">
            <v>2</v>
          </cell>
          <cell r="M469">
            <v>1</v>
          </cell>
          <cell r="N469">
            <v>2</v>
          </cell>
          <cell r="O469">
            <v>1</v>
          </cell>
          <cell r="P469">
            <v>1</v>
          </cell>
          <cell r="Q469">
            <v>2</v>
          </cell>
          <cell r="R469">
            <v>2</v>
          </cell>
          <cell r="S469">
            <v>2</v>
          </cell>
          <cell r="T469">
            <v>1</v>
          </cell>
          <cell r="U469">
            <v>1</v>
          </cell>
        </row>
        <row r="470">
          <cell r="A470" t="str">
            <v>PWA59550</v>
          </cell>
          <cell r="B470">
            <v>1</v>
          </cell>
          <cell r="C470">
            <v>1</v>
          </cell>
          <cell r="D470">
            <v>1</v>
          </cell>
          <cell r="E470">
            <v>1</v>
          </cell>
          <cell r="F470">
            <v>1</v>
          </cell>
          <cell r="G470">
            <v>1</v>
          </cell>
          <cell r="H470">
            <v>1</v>
          </cell>
          <cell r="I470">
            <v>1</v>
          </cell>
          <cell r="J470">
            <v>1</v>
          </cell>
          <cell r="K470">
            <v>1</v>
          </cell>
          <cell r="L470">
            <v>1</v>
          </cell>
          <cell r="M470">
            <v>1</v>
          </cell>
          <cell r="N470">
            <v>1</v>
          </cell>
          <cell r="O470">
            <v>1</v>
          </cell>
          <cell r="P470">
            <v>0</v>
          </cell>
          <cell r="Q470">
            <v>1</v>
          </cell>
          <cell r="R470">
            <v>1</v>
          </cell>
          <cell r="S470">
            <v>1</v>
          </cell>
          <cell r="T470">
            <v>0</v>
          </cell>
          <cell r="U470">
            <v>1</v>
          </cell>
        </row>
        <row r="471">
          <cell r="A471" t="str">
            <v>PWA59595</v>
          </cell>
          <cell r="B471">
            <v>3</v>
          </cell>
          <cell r="C471">
            <v>3</v>
          </cell>
          <cell r="D471">
            <v>3</v>
          </cell>
          <cell r="E471">
            <v>2</v>
          </cell>
          <cell r="F471">
            <v>3</v>
          </cell>
          <cell r="G471">
            <v>2</v>
          </cell>
          <cell r="H471">
            <v>3</v>
          </cell>
          <cell r="I471">
            <v>3</v>
          </cell>
          <cell r="J471">
            <v>3</v>
          </cell>
          <cell r="K471">
            <v>3</v>
          </cell>
          <cell r="L471">
            <v>3</v>
          </cell>
          <cell r="M471">
            <v>2</v>
          </cell>
          <cell r="N471">
            <v>3</v>
          </cell>
          <cell r="O471">
            <v>2</v>
          </cell>
          <cell r="P471">
            <v>2</v>
          </cell>
          <cell r="Q471">
            <v>3</v>
          </cell>
          <cell r="R471">
            <v>3</v>
          </cell>
          <cell r="S471">
            <v>3</v>
          </cell>
          <cell r="T471">
            <v>2</v>
          </cell>
          <cell r="U471">
            <v>2</v>
          </cell>
        </row>
        <row r="472">
          <cell r="A472" t="str">
            <v>PWA59600</v>
          </cell>
          <cell r="B472">
            <v>3</v>
          </cell>
          <cell r="C472">
            <v>3</v>
          </cell>
          <cell r="D472">
            <v>3</v>
          </cell>
          <cell r="E472">
            <v>2</v>
          </cell>
          <cell r="F472">
            <v>3</v>
          </cell>
          <cell r="G472">
            <v>2</v>
          </cell>
          <cell r="H472">
            <v>0</v>
          </cell>
          <cell r="I472">
            <v>3</v>
          </cell>
          <cell r="J472">
            <v>3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3</v>
          </cell>
          <cell r="R472">
            <v>3</v>
          </cell>
          <cell r="S472">
            <v>3</v>
          </cell>
          <cell r="T472">
            <v>2</v>
          </cell>
          <cell r="U472">
            <v>2</v>
          </cell>
        </row>
        <row r="473">
          <cell r="A473" t="str">
            <v>PWA59610</v>
          </cell>
          <cell r="B473">
            <v>3</v>
          </cell>
          <cell r="C473">
            <v>3</v>
          </cell>
          <cell r="D473">
            <v>3</v>
          </cell>
          <cell r="E473">
            <v>2</v>
          </cell>
          <cell r="F473">
            <v>3</v>
          </cell>
          <cell r="G473">
            <v>2</v>
          </cell>
          <cell r="H473">
            <v>3</v>
          </cell>
          <cell r="I473">
            <v>3</v>
          </cell>
          <cell r="J473">
            <v>3</v>
          </cell>
          <cell r="K473">
            <v>3</v>
          </cell>
          <cell r="L473">
            <v>3</v>
          </cell>
          <cell r="M473">
            <v>2</v>
          </cell>
          <cell r="N473">
            <v>3</v>
          </cell>
          <cell r="O473">
            <v>2</v>
          </cell>
          <cell r="P473">
            <v>2</v>
          </cell>
          <cell r="Q473">
            <v>3</v>
          </cell>
          <cell r="R473">
            <v>3</v>
          </cell>
          <cell r="S473">
            <v>3</v>
          </cell>
          <cell r="T473">
            <v>2</v>
          </cell>
          <cell r="U473">
            <v>2</v>
          </cell>
        </row>
        <row r="474">
          <cell r="A474" t="str">
            <v>PWA59640</v>
          </cell>
          <cell r="B474">
            <v>3</v>
          </cell>
          <cell r="C474">
            <v>3</v>
          </cell>
          <cell r="D474">
            <v>3</v>
          </cell>
          <cell r="E474">
            <v>2</v>
          </cell>
          <cell r="F474">
            <v>3</v>
          </cell>
          <cell r="G474">
            <v>2</v>
          </cell>
          <cell r="H474">
            <v>3</v>
          </cell>
          <cell r="I474">
            <v>3</v>
          </cell>
          <cell r="J474">
            <v>3</v>
          </cell>
          <cell r="K474">
            <v>3</v>
          </cell>
          <cell r="L474">
            <v>3</v>
          </cell>
          <cell r="M474">
            <v>2</v>
          </cell>
          <cell r="N474">
            <v>3</v>
          </cell>
          <cell r="O474">
            <v>2</v>
          </cell>
          <cell r="P474">
            <v>2</v>
          </cell>
          <cell r="Q474">
            <v>3</v>
          </cell>
          <cell r="R474">
            <v>3</v>
          </cell>
          <cell r="S474">
            <v>3</v>
          </cell>
          <cell r="T474">
            <v>2</v>
          </cell>
          <cell r="U474">
            <v>2</v>
          </cell>
        </row>
        <row r="475">
          <cell r="A475" t="str">
            <v>PWA59643</v>
          </cell>
          <cell r="B475">
            <v>1</v>
          </cell>
          <cell r="C475">
            <v>1</v>
          </cell>
          <cell r="D475">
            <v>1</v>
          </cell>
          <cell r="E475">
            <v>1</v>
          </cell>
          <cell r="F475">
            <v>1</v>
          </cell>
          <cell r="G475">
            <v>1</v>
          </cell>
          <cell r="H475">
            <v>1</v>
          </cell>
          <cell r="I475">
            <v>1</v>
          </cell>
          <cell r="J475">
            <v>1</v>
          </cell>
          <cell r="K475">
            <v>1</v>
          </cell>
          <cell r="L475">
            <v>1</v>
          </cell>
          <cell r="M475">
            <v>1</v>
          </cell>
          <cell r="N475">
            <v>1</v>
          </cell>
          <cell r="O475">
            <v>1</v>
          </cell>
          <cell r="P475">
            <v>0</v>
          </cell>
          <cell r="Q475">
            <v>1</v>
          </cell>
          <cell r="R475">
            <v>1</v>
          </cell>
          <cell r="S475">
            <v>1</v>
          </cell>
          <cell r="T475">
            <v>0</v>
          </cell>
          <cell r="U475">
            <v>1</v>
          </cell>
        </row>
        <row r="476">
          <cell r="A476" t="str">
            <v>PWA59665</v>
          </cell>
          <cell r="B476">
            <v>3</v>
          </cell>
          <cell r="C476">
            <v>3</v>
          </cell>
          <cell r="D476">
            <v>3</v>
          </cell>
          <cell r="E476">
            <v>2</v>
          </cell>
          <cell r="F476">
            <v>3</v>
          </cell>
          <cell r="G476">
            <v>2</v>
          </cell>
          <cell r="H476">
            <v>3</v>
          </cell>
          <cell r="I476">
            <v>3</v>
          </cell>
          <cell r="J476">
            <v>3</v>
          </cell>
          <cell r="K476">
            <v>3</v>
          </cell>
          <cell r="L476">
            <v>3</v>
          </cell>
          <cell r="M476">
            <v>2</v>
          </cell>
          <cell r="N476">
            <v>3</v>
          </cell>
          <cell r="O476">
            <v>2</v>
          </cell>
          <cell r="P476">
            <v>2</v>
          </cell>
          <cell r="Q476">
            <v>3</v>
          </cell>
          <cell r="R476">
            <v>3</v>
          </cell>
          <cell r="S476">
            <v>3</v>
          </cell>
          <cell r="T476">
            <v>2</v>
          </cell>
          <cell r="U476">
            <v>2</v>
          </cell>
        </row>
        <row r="477">
          <cell r="A477" t="str">
            <v>PWA59682</v>
          </cell>
          <cell r="B477">
            <v>3</v>
          </cell>
          <cell r="C477">
            <v>3</v>
          </cell>
          <cell r="D477">
            <v>3</v>
          </cell>
          <cell r="E477">
            <v>2</v>
          </cell>
          <cell r="F477">
            <v>3</v>
          </cell>
          <cell r="G477">
            <v>2</v>
          </cell>
          <cell r="H477">
            <v>3</v>
          </cell>
          <cell r="I477">
            <v>3</v>
          </cell>
          <cell r="J477">
            <v>3</v>
          </cell>
          <cell r="K477">
            <v>3</v>
          </cell>
          <cell r="L477">
            <v>3</v>
          </cell>
          <cell r="M477">
            <v>2</v>
          </cell>
          <cell r="N477">
            <v>3</v>
          </cell>
          <cell r="O477">
            <v>2</v>
          </cell>
          <cell r="P477">
            <v>2</v>
          </cell>
          <cell r="Q477">
            <v>3</v>
          </cell>
          <cell r="R477">
            <v>3</v>
          </cell>
          <cell r="S477">
            <v>3</v>
          </cell>
          <cell r="T477">
            <v>2</v>
          </cell>
          <cell r="U477">
            <v>2</v>
          </cell>
        </row>
        <row r="478">
          <cell r="A478" t="str">
            <v>PWA59683</v>
          </cell>
          <cell r="B478">
            <v>3</v>
          </cell>
          <cell r="C478">
            <v>3</v>
          </cell>
          <cell r="D478">
            <v>3</v>
          </cell>
          <cell r="E478">
            <v>2</v>
          </cell>
          <cell r="F478">
            <v>3</v>
          </cell>
          <cell r="G478">
            <v>2</v>
          </cell>
          <cell r="H478">
            <v>3</v>
          </cell>
          <cell r="I478">
            <v>3</v>
          </cell>
          <cell r="J478">
            <v>3</v>
          </cell>
          <cell r="K478">
            <v>3</v>
          </cell>
          <cell r="L478">
            <v>3</v>
          </cell>
          <cell r="M478">
            <v>2</v>
          </cell>
          <cell r="N478">
            <v>3</v>
          </cell>
          <cell r="O478">
            <v>2</v>
          </cell>
          <cell r="P478">
            <v>2</v>
          </cell>
          <cell r="Q478">
            <v>3</v>
          </cell>
          <cell r="R478">
            <v>3</v>
          </cell>
          <cell r="S478">
            <v>3</v>
          </cell>
          <cell r="T478">
            <v>2</v>
          </cell>
          <cell r="U478">
            <v>2</v>
          </cell>
        </row>
        <row r="479">
          <cell r="A479" t="str">
            <v>PWA59725</v>
          </cell>
          <cell r="B479">
            <v>1</v>
          </cell>
          <cell r="C479">
            <v>1</v>
          </cell>
          <cell r="D479">
            <v>1</v>
          </cell>
          <cell r="E479">
            <v>1</v>
          </cell>
          <cell r="F479">
            <v>1</v>
          </cell>
          <cell r="G479">
            <v>1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</row>
        <row r="480">
          <cell r="A480" t="str">
            <v>PWA59764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4</v>
          </cell>
          <cell r="I480">
            <v>0</v>
          </cell>
          <cell r="J480">
            <v>0</v>
          </cell>
          <cell r="K480">
            <v>4</v>
          </cell>
          <cell r="L480">
            <v>4</v>
          </cell>
          <cell r="M480">
            <v>2</v>
          </cell>
          <cell r="N480">
            <v>4</v>
          </cell>
          <cell r="O480">
            <v>4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</row>
        <row r="481">
          <cell r="A481" t="str">
            <v>PWA59768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3</v>
          </cell>
          <cell r="R481">
            <v>3</v>
          </cell>
          <cell r="S481">
            <v>3</v>
          </cell>
          <cell r="T481">
            <v>2</v>
          </cell>
          <cell r="U481">
            <v>0</v>
          </cell>
        </row>
        <row r="482">
          <cell r="A482" t="str">
            <v>PWA59784</v>
          </cell>
          <cell r="B482">
            <v>2</v>
          </cell>
          <cell r="C482">
            <v>2</v>
          </cell>
          <cell r="D482">
            <v>2</v>
          </cell>
          <cell r="E482">
            <v>1</v>
          </cell>
          <cell r="F482">
            <v>2</v>
          </cell>
          <cell r="G482">
            <v>1</v>
          </cell>
          <cell r="H482">
            <v>2</v>
          </cell>
          <cell r="I482">
            <v>2</v>
          </cell>
          <cell r="J482">
            <v>2</v>
          </cell>
          <cell r="K482">
            <v>2</v>
          </cell>
          <cell r="L482">
            <v>2</v>
          </cell>
          <cell r="M482">
            <v>1</v>
          </cell>
          <cell r="N482">
            <v>2</v>
          </cell>
          <cell r="O482">
            <v>1</v>
          </cell>
          <cell r="P482">
            <v>1</v>
          </cell>
          <cell r="Q482">
            <v>2</v>
          </cell>
          <cell r="R482">
            <v>2</v>
          </cell>
          <cell r="S482">
            <v>2</v>
          </cell>
          <cell r="T482">
            <v>1</v>
          </cell>
          <cell r="U482">
            <v>1</v>
          </cell>
        </row>
        <row r="483">
          <cell r="A483" t="str">
            <v>PWA59786</v>
          </cell>
          <cell r="B483">
            <v>3</v>
          </cell>
          <cell r="C483">
            <v>3</v>
          </cell>
          <cell r="D483">
            <v>3</v>
          </cell>
          <cell r="E483">
            <v>2</v>
          </cell>
          <cell r="F483">
            <v>3</v>
          </cell>
          <cell r="G483">
            <v>2</v>
          </cell>
          <cell r="H483">
            <v>3</v>
          </cell>
          <cell r="I483">
            <v>3</v>
          </cell>
          <cell r="J483">
            <v>3</v>
          </cell>
          <cell r="K483">
            <v>3</v>
          </cell>
          <cell r="L483">
            <v>3</v>
          </cell>
          <cell r="M483">
            <v>2</v>
          </cell>
          <cell r="N483">
            <v>3</v>
          </cell>
          <cell r="O483">
            <v>2</v>
          </cell>
          <cell r="P483">
            <v>2</v>
          </cell>
          <cell r="Q483">
            <v>3</v>
          </cell>
          <cell r="R483">
            <v>3</v>
          </cell>
          <cell r="S483">
            <v>3</v>
          </cell>
          <cell r="T483">
            <v>2</v>
          </cell>
          <cell r="U483">
            <v>2</v>
          </cell>
        </row>
        <row r="484">
          <cell r="A484" t="str">
            <v>PWA59789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3</v>
          </cell>
          <cell r="I484">
            <v>0</v>
          </cell>
          <cell r="J484">
            <v>0</v>
          </cell>
          <cell r="K484">
            <v>3</v>
          </cell>
          <cell r="L484">
            <v>3</v>
          </cell>
          <cell r="M484">
            <v>2</v>
          </cell>
          <cell r="N484">
            <v>3</v>
          </cell>
          <cell r="O484">
            <v>2</v>
          </cell>
          <cell r="P484">
            <v>2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</row>
        <row r="485">
          <cell r="A485" t="str">
            <v>PWA59792</v>
          </cell>
          <cell r="B485">
            <v>8</v>
          </cell>
          <cell r="C485">
            <v>8</v>
          </cell>
          <cell r="D485">
            <v>8</v>
          </cell>
          <cell r="E485">
            <v>8</v>
          </cell>
          <cell r="F485">
            <v>8</v>
          </cell>
          <cell r="G485">
            <v>8</v>
          </cell>
          <cell r="H485">
            <v>8</v>
          </cell>
          <cell r="I485">
            <v>8</v>
          </cell>
          <cell r="J485">
            <v>8</v>
          </cell>
          <cell r="K485">
            <v>8</v>
          </cell>
          <cell r="L485">
            <v>8</v>
          </cell>
          <cell r="M485">
            <v>8</v>
          </cell>
          <cell r="N485">
            <v>8</v>
          </cell>
          <cell r="O485">
            <v>8</v>
          </cell>
          <cell r="P485">
            <v>8</v>
          </cell>
          <cell r="Q485">
            <v>8</v>
          </cell>
          <cell r="R485">
            <v>8</v>
          </cell>
          <cell r="S485">
            <v>8</v>
          </cell>
          <cell r="T485">
            <v>8</v>
          </cell>
          <cell r="U485">
            <v>8</v>
          </cell>
        </row>
        <row r="486">
          <cell r="A486" t="str">
            <v>PWA59803</v>
          </cell>
          <cell r="B486">
            <v>1</v>
          </cell>
          <cell r="C486">
            <v>1</v>
          </cell>
          <cell r="D486">
            <v>1</v>
          </cell>
          <cell r="E486">
            <v>1</v>
          </cell>
          <cell r="F486">
            <v>1</v>
          </cell>
          <cell r="G486">
            <v>1</v>
          </cell>
          <cell r="H486">
            <v>1</v>
          </cell>
          <cell r="I486">
            <v>1</v>
          </cell>
          <cell r="J486">
            <v>1</v>
          </cell>
          <cell r="K486">
            <v>1</v>
          </cell>
          <cell r="L486">
            <v>1</v>
          </cell>
          <cell r="M486">
            <v>1</v>
          </cell>
          <cell r="N486">
            <v>1</v>
          </cell>
          <cell r="O486">
            <v>1</v>
          </cell>
          <cell r="P486">
            <v>1</v>
          </cell>
          <cell r="Q486">
            <v>1</v>
          </cell>
          <cell r="R486">
            <v>1</v>
          </cell>
          <cell r="S486">
            <v>1</v>
          </cell>
          <cell r="T486">
            <v>1</v>
          </cell>
          <cell r="U486">
            <v>1</v>
          </cell>
        </row>
        <row r="487">
          <cell r="A487" t="str">
            <v>PWA59810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2</v>
          </cell>
          <cell r="I487">
            <v>0</v>
          </cell>
          <cell r="J487">
            <v>0</v>
          </cell>
          <cell r="K487">
            <v>2</v>
          </cell>
          <cell r="L487">
            <v>2</v>
          </cell>
          <cell r="M487">
            <v>1</v>
          </cell>
          <cell r="N487">
            <v>2</v>
          </cell>
          <cell r="O487">
            <v>2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</row>
        <row r="488">
          <cell r="A488" t="str">
            <v>PWA59811</v>
          </cell>
          <cell r="B488">
            <v>2</v>
          </cell>
          <cell r="C488">
            <v>2</v>
          </cell>
          <cell r="D488">
            <v>2</v>
          </cell>
          <cell r="E488">
            <v>0</v>
          </cell>
          <cell r="F488">
            <v>2</v>
          </cell>
          <cell r="G488">
            <v>0</v>
          </cell>
          <cell r="H488">
            <v>2</v>
          </cell>
          <cell r="I488">
            <v>2</v>
          </cell>
          <cell r="J488">
            <v>2</v>
          </cell>
          <cell r="K488">
            <v>2</v>
          </cell>
          <cell r="L488">
            <v>2</v>
          </cell>
          <cell r="M488">
            <v>0</v>
          </cell>
          <cell r="N488">
            <v>2</v>
          </cell>
          <cell r="O488">
            <v>0</v>
          </cell>
          <cell r="P488">
            <v>0</v>
          </cell>
          <cell r="Q488">
            <v>2</v>
          </cell>
          <cell r="R488">
            <v>2</v>
          </cell>
          <cell r="S488">
            <v>2</v>
          </cell>
          <cell r="T488">
            <v>0</v>
          </cell>
          <cell r="U488">
            <v>0</v>
          </cell>
        </row>
        <row r="489">
          <cell r="A489" t="str">
            <v>PWA59826</v>
          </cell>
          <cell r="B489">
            <v>1</v>
          </cell>
          <cell r="C489">
            <v>1</v>
          </cell>
          <cell r="D489">
            <v>1</v>
          </cell>
          <cell r="E489">
            <v>1</v>
          </cell>
          <cell r="F489">
            <v>1</v>
          </cell>
          <cell r="G489">
            <v>1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P489">
            <v>1</v>
          </cell>
          <cell r="Q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</row>
        <row r="490">
          <cell r="A490" t="str">
            <v>PWA59828</v>
          </cell>
          <cell r="B490">
            <v>1</v>
          </cell>
          <cell r="C490">
            <v>1</v>
          </cell>
          <cell r="D490">
            <v>1</v>
          </cell>
          <cell r="E490">
            <v>1</v>
          </cell>
          <cell r="F490">
            <v>1</v>
          </cell>
          <cell r="G490">
            <v>1</v>
          </cell>
          <cell r="H490">
            <v>1</v>
          </cell>
          <cell r="I490">
            <v>1</v>
          </cell>
          <cell r="J490">
            <v>1</v>
          </cell>
          <cell r="K490">
            <v>1</v>
          </cell>
          <cell r="L490">
            <v>1</v>
          </cell>
          <cell r="M490">
            <v>1</v>
          </cell>
          <cell r="N490">
            <v>1</v>
          </cell>
          <cell r="O490">
            <v>1</v>
          </cell>
          <cell r="P490">
            <v>0</v>
          </cell>
          <cell r="Q490">
            <v>1</v>
          </cell>
          <cell r="R490">
            <v>1</v>
          </cell>
          <cell r="S490">
            <v>1</v>
          </cell>
          <cell r="T490">
            <v>0</v>
          </cell>
          <cell r="U490">
            <v>1</v>
          </cell>
        </row>
        <row r="491">
          <cell r="A491" t="str">
            <v>PWA59836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1</v>
          </cell>
          <cell r="I491">
            <v>0</v>
          </cell>
          <cell r="J491">
            <v>0</v>
          </cell>
          <cell r="K491">
            <v>1</v>
          </cell>
          <cell r="L491">
            <v>1</v>
          </cell>
          <cell r="M491">
            <v>1</v>
          </cell>
          <cell r="N491">
            <v>1</v>
          </cell>
          <cell r="O491">
            <v>1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</row>
        <row r="492">
          <cell r="A492" t="str">
            <v>PWA59837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1</v>
          </cell>
          <cell r="Q492">
            <v>1</v>
          </cell>
          <cell r="R492">
            <v>1</v>
          </cell>
          <cell r="S492">
            <v>1</v>
          </cell>
          <cell r="T492">
            <v>1</v>
          </cell>
          <cell r="U492">
            <v>0</v>
          </cell>
        </row>
        <row r="493">
          <cell r="A493" t="str">
            <v>PWA59847</v>
          </cell>
          <cell r="B493">
            <v>2</v>
          </cell>
          <cell r="C493">
            <v>2</v>
          </cell>
          <cell r="D493">
            <v>2</v>
          </cell>
          <cell r="E493">
            <v>1</v>
          </cell>
          <cell r="F493">
            <v>2</v>
          </cell>
          <cell r="G493">
            <v>1</v>
          </cell>
          <cell r="H493">
            <v>2</v>
          </cell>
          <cell r="I493">
            <v>2</v>
          </cell>
          <cell r="J493">
            <v>2</v>
          </cell>
          <cell r="K493">
            <v>2</v>
          </cell>
          <cell r="L493">
            <v>2</v>
          </cell>
          <cell r="M493">
            <v>1</v>
          </cell>
          <cell r="N493">
            <v>2</v>
          </cell>
          <cell r="O493">
            <v>1</v>
          </cell>
          <cell r="P493">
            <v>1</v>
          </cell>
          <cell r="Q493">
            <v>2</v>
          </cell>
          <cell r="R493">
            <v>2</v>
          </cell>
          <cell r="S493">
            <v>2</v>
          </cell>
          <cell r="T493">
            <v>1</v>
          </cell>
          <cell r="U493">
            <v>1</v>
          </cell>
        </row>
        <row r="494">
          <cell r="A494" t="str">
            <v>PWA59871</v>
          </cell>
          <cell r="B494">
            <v>2</v>
          </cell>
          <cell r="C494">
            <v>2</v>
          </cell>
          <cell r="D494">
            <v>2</v>
          </cell>
          <cell r="E494">
            <v>1</v>
          </cell>
          <cell r="F494">
            <v>2</v>
          </cell>
          <cell r="G494">
            <v>1</v>
          </cell>
          <cell r="H494">
            <v>2</v>
          </cell>
          <cell r="I494">
            <v>2</v>
          </cell>
          <cell r="J494">
            <v>2</v>
          </cell>
          <cell r="K494">
            <v>2</v>
          </cell>
          <cell r="L494">
            <v>2</v>
          </cell>
          <cell r="M494">
            <v>1</v>
          </cell>
          <cell r="N494">
            <v>2</v>
          </cell>
          <cell r="O494">
            <v>1</v>
          </cell>
          <cell r="P494">
            <v>1</v>
          </cell>
          <cell r="Q494">
            <v>2</v>
          </cell>
          <cell r="R494">
            <v>2</v>
          </cell>
          <cell r="S494">
            <v>2</v>
          </cell>
          <cell r="T494">
            <v>1</v>
          </cell>
          <cell r="U494">
            <v>1</v>
          </cell>
        </row>
        <row r="495">
          <cell r="A495" t="str">
            <v>PWA59872</v>
          </cell>
          <cell r="B495">
            <v>1</v>
          </cell>
          <cell r="C495">
            <v>1</v>
          </cell>
          <cell r="D495">
            <v>1</v>
          </cell>
          <cell r="E495">
            <v>1</v>
          </cell>
          <cell r="F495">
            <v>1</v>
          </cell>
          <cell r="G495">
            <v>1</v>
          </cell>
          <cell r="H495">
            <v>1</v>
          </cell>
          <cell r="I495">
            <v>1</v>
          </cell>
          <cell r="J495">
            <v>1</v>
          </cell>
          <cell r="K495">
            <v>1</v>
          </cell>
          <cell r="L495">
            <v>1</v>
          </cell>
          <cell r="M495">
            <v>1</v>
          </cell>
          <cell r="N495">
            <v>1</v>
          </cell>
          <cell r="O495">
            <v>1</v>
          </cell>
          <cell r="P495">
            <v>0</v>
          </cell>
          <cell r="Q495">
            <v>1</v>
          </cell>
          <cell r="R495">
            <v>1</v>
          </cell>
          <cell r="S495">
            <v>1</v>
          </cell>
          <cell r="T495">
            <v>0</v>
          </cell>
          <cell r="U495">
            <v>1</v>
          </cell>
        </row>
        <row r="496">
          <cell r="A496" t="str">
            <v>PWA59884</v>
          </cell>
          <cell r="B496">
            <v>4</v>
          </cell>
          <cell r="C496">
            <v>4</v>
          </cell>
          <cell r="D496">
            <v>4</v>
          </cell>
          <cell r="E496">
            <v>4</v>
          </cell>
          <cell r="F496">
            <v>4</v>
          </cell>
          <cell r="G496">
            <v>4</v>
          </cell>
          <cell r="H496">
            <v>4</v>
          </cell>
          <cell r="I496">
            <v>4</v>
          </cell>
          <cell r="J496">
            <v>4</v>
          </cell>
          <cell r="K496">
            <v>4</v>
          </cell>
          <cell r="L496">
            <v>4</v>
          </cell>
          <cell r="M496">
            <v>2</v>
          </cell>
          <cell r="N496">
            <v>4</v>
          </cell>
          <cell r="O496">
            <v>4</v>
          </cell>
          <cell r="P496">
            <v>0</v>
          </cell>
          <cell r="Q496">
            <v>4</v>
          </cell>
          <cell r="R496">
            <v>4</v>
          </cell>
          <cell r="S496">
            <v>4</v>
          </cell>
          <cell r="T496">
            <v>0</v>
          </cell>
          <cell r="U496">
            <v>4</v>
          </cell>
        </row>
        <row r="497">
          <cell r="A497" t="str">
            <v>PWA59915</v>
          </cell>
          <cell r="B497">
            <v>2</v>
          </cell>
          <cell r="C497">
            <v>2</v>
          </cell>
          <cell r="D497">
            <v>2</v>
          </cell>
          <cell r="E497">
            <v>1</v>
          </cell>
          <cell r="F497">
            <v>2</v>
          </cell>
          <cell r="G497">
            <v>1</v>
          </cell>
          <cell r="H497">
            <v>2</v>
          </cell>
          <cell r="I497">
            <v>2</v>
          </cell>
          <cell r="J497">
            <v>2</v>
          </cell>
          <cell r="K497">
            <v>2</v>
          </cell>
          <cell r="L497">
            <v>2</v>
          </cell>
          <cell r="M497">
            <v>1</v>
          </cell>
          <cell r="N497">
            <v>2</v>
          </cell>
          <cell r="O497">
            <v>1</v>
          </cell>
          <cell r="P497">
            <v>1</v>
          </cell>
          <cell r="Q497">
            <v>2</v>
          </cell>
          <cell r="R497">
            <v>2</v>
          </cell>
          <cell r="S497">
            <v>2</v>
          </cell>
          <cell r="T497">
            <v>1</v>
          </cell>
          <cell r="U497">
            <v>1</v>
          </cell>
        </row>
        <row r="498">
          <cell r="A498" t="str">
            <v>PWA59919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3</v>
          </cell>
          <cell r="I498">
            <v>0</v>
          </cell>
          <cell r="J498">
            <v>0</v>
          </cell>
          <cell r="K498">
            <v>3</v>
          </cell>
          <cell r="L498">
            <v>3</v>
          </cell>
          <cell r="M498">
            <v>2</v>
          </cell>
          <cell r="N498">
            <v>3</v>
          </cell>
          <cell r="O498">
            <v>2</v>
          </cell>
          <cell r="P498">
            <v>2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</row>
        <row r="499">
          <cell r="A499" t="str">
            <v>PWA59921</v>
          </cell>
          <cell r="B499">
            <v>1</v>
          </cell>
          <cell r="C499">
            <v>1</v>
          </cell>
          <cell r="D499">
            <v>1</v>
          </cell>
          <cell r="E499">
            <v>1</v>
          </cell>
          <cell r="F499">
            <v>1</v>
          </cell>
          <cell r="G499">
            <v>1</v>
          </cell>
          <cell r="H499">
            <v>1</v>
          </cell>
          <cell r="I499">
            <v>1</v>
          </cell>
          <cell r="J499">
            <v>1</v>
          </cell>
          <cell r="K499">
            <v>1</v>
          </cell>
          <cell r="L499">
            <v>1</v>
          </cell>
          <cell r="M499">
            <v>1</v>
          </cell>
          <cell r="N499">
            <v>1</v>
          </cell>
          <cell r="O499">
            <v>1</v>
          </cell>
          <cell r="P499">
            <v>1</v>
          </cell>
          <cell r="Q499">
            <v>1</v>
          </cell>
          <cell r="R499">
            <v>1</v>
          </cell>
          <cell r="S499">
            <v>1</v>
          </cell>
          <cell r="T499">
            <v>1</v>
          </cell>
          <cell r="U499">
            <v>1</v>
          </cell>
        </row>
        <row r="500">
          <cell r="A500" t="str">
            <v>PWA59928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2</v>
          </cell>
          <cell r="I500">
            <v>0</v>
          </cell>
          <cell r="J500">
            <v>0</v>
          </cell>
          <cell r="K500">
            <v>2</v>
          </cell>
          <cell r="L500">
            <v>2</v>
          </cell>
          <cell r="M500">
            <v>1</v>
          </cell>
          <cell r="N500">
            <v>2</v>
          </cell>
          <cell r="O500">
            <v>2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</row>
        <row r="501">
          <cell r="A501" t="str">
            <v>PWA59929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2</v>
          </cell>
          <cell r="I501">
            <v>0</v>
          </cell>
          <cell r="J501">
            <v>0</v>
          </cell>
          <cell r="K501">
            <v>2</v>
          </cell>
          <cell r="L501">
            <v>2</v>
          </cell>
          <cell r="M501">
            <v>1</v>
          </cell>
          <cell r="N501">
            <v>2</v>
          </cell>
          <cell r="O501">
            <v>2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</row>
        <row r="502">
          <cell r="A502" t="str">
            <v>PWA59936</v>
          </cell>
          <cell r="B502">
            <v>1</v>
          </cell>
          <cell r="C502">
            <v>1</v>
          </cell>
          <cell r="D502">
            <v>1</v>
          </cell>
          <cell r="E502">
            <v>1</v>
          </cell>
          <cell r="F502">
            <v>1</v>
          </cell>
          <cell r="G502">
            <v>1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1</v>
          </cell>
          <cell r="M502">
            <v>1</v>
          </cell>
          <cell r="N502">
            <v>1</v>
          </cell>
          <cell r="O502">
            <v>1</v>
          </cell>
          <cell r="P502">
            <v>1</v>
          </cell>
          <cell r="Q502">
            <v>1</v>
          </cell>
          <cell r="R502">
            <v>1</v>
          </cell>
          <cell r="S502">
            <v>1</v>
          </cell>
          <cell r="T502">
            <v>1</v>
          </cell>
          <cell r="U502">
            <v>1</v>
          </cell>
        </row>
        <row r="503">
          <cell r="A503" t="str">
            <v>PWA59937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3</v>
          </cell>
          <cell r="I503">
            <v>0</v>
          </cell>
          <cell r="J503">
            <v>0</v>
          </cell>
          <cell r="K503">
            <v>3</v>
          </cell>
          <cell r="L503">
            <v>3</v>
          </cell>
          <cell r="M503">
            <v>2</v>
          </cell>
          <cell r="N503">
            <v>3</v>
          </cell>
          <cell r="O503">
            <v>2</v>
          </cell>
          <cell r="P503">
            <v>2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</row>
        <row r="504">
          <cell r="A504" t="str">
            <v>PWA59938</v>
          </cell>
          <cell r="B504">
            <v>3</v>
          </cell>
          <cell r="C504">
            <v>3</v>
          </cell>
          <cell r="D504">
            <v>3</v>
          </cell>
          <cell r="E504">
            <v>2</v>
          </cell>
          <cell r="F504">
            <v>3</v>
          </cell>
          <cell r="G504">
            <v>2</v>
          </cell>
          <cell r="H504">
            <v>0</v>
          </cell>
          <cell r="I504">
            <v>3</v>
          </cell>
          <cell r="J504">
            <v>3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3</v>
          </cell>
          <cell r="R504">
            <v>3</v>
          </cell>
          <cell r="S504">
            <v>3</v>
          </cell>
          <cell r="T504">
            <v>2</v>
          </cell>
          <cell r="U504">
            <v>2</v>
          </cell>
        </row>
        <row r="505">
          <cell r="A505" t="str">
            <v>PWA59944</v>
          </cell>
          <cell r="B505">
            <v>2</v>
          </cell>
          <cell r="C505">
            <v>2</v>
          </cell>
          <cell r="D505">
            <v>2</v>
          </cell>
          <cell r="E505">
            <v>1</v>
          </cell>
          <cell r="F505">
            <v>2</v>
          </cell>
          <cell r="G505">
            <v>1</v>
          </cell>
          <cell r="H505">
            <v>2</v>
          </cell>
          <cell r="I505">
            <v>2</v>
          </cell>
          <cell r="J505">
            <v>2</v>
          </cell>
          <cell r="K505">
            <v>2</v>
          </cell>
          <cell r="L505">
            <v>2</v>
          </cell>
          <cell r="M505">
            <v>1</v>
          </cell>
          <cell r="N505">
            <v>2</v>
          </cell>
          <cell r="O505">
            <v>1</v>
          </cell>
          <cell r="P505">
            <v>1</v>
          </cell>
          <cell r="Q505">
            <v>2</v>
          </cell>
          <cell r="R505">
            <v>2</v>
          </cell>
          <cell r="S505">
            <v>2</v>
          </cell>
          <cell r="T505">
            <v>1</v>
          </cell>
          <cell r="U505">
            <v>1</v>
          </cell>
        </row>
        <row r="506">
          <cell r="A506" t="str">
            <v>PWA59946</v>
          </cell>
          <cell r="B506">
            <v>2</v>
          </cell>
          <cell r="C506">
            <v>2</v>
          </cell>
          <cell r="D506">
            <v>2</v>
          </cell>
          <cell r="E506">
            <v>1</v>
          </cell>
          <cell r="F506">
            <v>2</v>
          </cell>
          <cell r="G506">
            <v>1</v>
          </cell>
          <cell r="H506">
            <v>2</v>
          </cell>
          <cell r="I506">
            <v>2</v>
          </cell>
          <cell r="J506">
            <v>2</v>
          </cell>
          <cell r="K506">
            <v>2</v>
          </cell>
          <cell r="L506">
            <v>2</v>
          </cell>
          <cell r="M506">
            <v>1</v>
          </cell>
          <cell r="N506">
            <v>2</v>
          </cell>
          <cell r="O506">
            <v>1</v>
          </cell>
          <cell r="P506">
            <v>1</v>
          </cell>
          <cell r="Q506">
            <v>2</v>
          </cell>
          <cell r="R506">
            <v>2</v>
          </cell>
          <cell r="S506">
            <v>2</v>
          </cell>
          <cell r="T506">
            <v>1</v>
          </cell>
          <cell r="U506">
            <v>1</v>
          </cell>
        </row>
        <row r="507">
          <cell r="A507" t="str">
            <v>PWA59947</v>
          </cell>
          <cell r="B507">
            <v>1</v>
          </cell>
          <cell r="C507">
            <v>1</v>
          </cell>
          <cell r="D507">
            <v>1</v>
          </cell>
          <cell r="E507">
            <v>1</v>
          </cell>
          <cell r="F507">
            <v>1</v>
          </cell>
          <cell r="G507">
            <v>1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</row>
        <row r="508">
          <cell r="A508" t="str">
            <v>PWA59955</v>
          </cell>
          <cell r="B508">
            <v>1</v>
          </cell>
          <cell r="C508">
            <v>1</v>
          </cell>
          <cell r="D508">
            <v>1</v>
          </cell>
          <cell r="E508">
            <v>1</v>
          </cell>
          <cell r="F508">
            <v>1</v>
          </cell>
          <cell r="G508">
            <v>1</v>
          </cell>
          <cell r="H508">
            <v>1</v>
          </cell>
          <cell r="I508">
            <v>1</v>
          </cell>
          <cell r="J508">
            <v>1</v>
          </cell>
          <cell r="K508">
            <v>1</v>
          </cell>
          <cell r="L508">
            <v>1</v>
          </cell>
          <cell r="M508">
            <v>1</v>
          </cell>
          <cell r="N508">
            <v>1</v>
          </cell>
          <cell r="O508">
            <v>1</v>
          </cell>
          <cell r="P508">
            <v>0</v>
          </cell>
          <cell r="Q508">
            <v>1</v>
          </cell>
          <cell r="R508">
            <v>1</v>
          </cell>
          <cell r="S508">
            <v>1</v>
          </cell>
          <cell r="T508">
            <v>0</v>
          </cell>
          <cell r="U508">
            <v>1</v>
          </cell>
        </row>
        <row r="509">
          <cell r="A509" t="str">
            <v>PWA59966</v>
          </cell>
          <cell r="B509">
            <v>1</v>
          </cell>
          <cell r="C509">
            <v>1</v>
          </cell>
          <cell r="D509">
            <v>1</v>
          </cell>
          <cell r="E509">
            <v>1</v>
          </cell>
          <cell r="F509">
            <v>1</v>
          </cell>
          <cell r="G509">
            <v>1</v>
          </cell>
          <cell r="H509">
            <v>1</v>
          </cell>
          <cell r="I509">
            <v>1</v>
          </cell>
          <cell r="J509">
            <v>1</v>
          </cell>
          <cell r="K509">
            <v>1</v>
          </cell>
          <cell r="L509">
            <v>1</v>
          </cell>
          <cell r="M509">
            <v>1</v>
          </cell>
          <cell r="N509">
            <v>1</v>
          </cell>
          <cell r="O509">
            <v>1</v>
          </cell>
          <cell r="P509">
            <v>1</v>
          </cell>
          <cell r="Q509">
            <v>1</v>
          </cell>
          <cell r="R509">
            <v>1</v>
          </cell>
          <cell r="S509">
            <v>1</v>
          </cell>
          <cell r="T509">
            <v>1</v>
          </cell>
          <cell r="U509">
            <v>1</v>
          </cell>
        </row>
        <row r="510">
          <cell r="A510" t="str">
            <v>RR-JST15075000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</v>
          </cell>
          <cell r="J510">
            <v>0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O510">
            <v>1</v>
          </cell>
          <cell r="P510">
            <v>1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</row>
        <row r="511">
          <cell r="A511" t="str">
            <v>RR-S3S25005000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</v>
          </cell>
          <cell r="J511">
            <v>0</v>
          </cell>
          <cell r="K511">
            <v>1</v>
          </cell>
          <cell r="L511">
            <v>1</v>
          </cell>
          <cell r="M511">
            <v>1</v>
          </cell>
          <cell r="N511">
            <v>1</v>
          </cell>
          <cell r="O511">
            <v>1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</row>
        <row r="512">
          <cell r="A512" t="str">
            <v>RR-S3S25054000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</v>
          </cell>
          <cell r="J512">
            <v>0</v>
          </cell>
          <cell r="K512">
            <v>1</v>
          </cell>
          <cell r="L512">
            <v>1</v>
          </cell>
          <cell r="M512">
            <v>1</v>
          </cell>
          <cell r="N512">
            <v>1</v>
          </cell>
          <cell r="O512">
            <v>1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</row>
        <row r="513">
          <cell r="A513" t="str">
            <v>RR-S3S25060000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</v>
          </cell>
          <cell r="J513">
            <v>0</v>
          </cell>
          <cell r="K513">
            <v>1</v>
          </cell>
          <cell r="L513">
            <v>1</v>
          </cell>
          <cell r="M513">
            <v>1</v>
          </cell>
          <cell r="N513">
            <v>1</v>
          </cell>
          <cell r="O513">
            <v>1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</row>
        <row r="514">
          <cell r="A514" t="str">
            <v>RR-S3S25077000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1</v>
          </cell>
          <cell r="I514">
            <v>0</v>
          </cell>
          <cell r="J514">
            <v>0</v>
          </cell>
          <cell r="K514">
            <v>1</v>
          </cell>
          <cell r="L514">
            <v>1</v>
          </cell>
          <cell r="M514">
            <v>1</v>
          </cell>
          <cell r="N514">
            <v>1</v>
          </cell>
          <cell r="O514">
            <v>1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</row>
        <row r="515">
          <cell r="A515" t="str">
            <v>RR-S3S25080000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1</v>
          </cell>
          <cell r="I515">
            <v>0</v>
          </cell>
          <cell r="J515">
            <v>0</v>
          </cell>
          <cell r="K515">
            <v>1</v>
          </cell>
          <cell r="L515">
            <v>1</v>
          </cell>
          <cell r="M515">
            <v>1</v>
          </cell>
          <cell r="N515">
            <v>1</v>
          </cell>
          <cell r="O515">
            <v>1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</row>
        <row r="516">
          <cell r="A516" t="str">
            <v>RR-S3S25082000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1</v>
          </cell>
          <cell r="I516">
            <v>0</v>
          </cell>
          <cell r="J516">
            <v>0</v>
          </cell>
          <cell r="K516">
            <v>1</v>
          </cell>
          <cell r="L516">
            <v>1</v>
          </cell>
          <cell r="M516">
            <v>1</v>
          </cell>
          <cell r="N516">
            <v>1</v>
          </cell>
          <cell r="O516">
            <v>1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</row>
        <row r="517">
          <cell r="A517" t="str">
            <v>RR-S3S25088000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1</v>
          </cell>
          <cell r="I517">
            <v>0</v>
          </cell>
          <cell r="J517">
            <v>0</v>
          </cell>
          <cell r="K517">
            <v>1</v>
          </cell>
          <cell r="L517">
            <v>1</v>
          </cell>
          <cell r="M517">
            <v>1</v>
          </cell>
          <cell r="N517">
            <v>1</v>
          </cell>
          <cell r="O517">
            <v>1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</row>
        <row r="518">
          <cell r="A518" t="str">
            <v>RR-S3S25111000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</v>
          </cell>
          <cell r="J518">
            <v>0</v>
          </cell>
          <cell r="K518">
            <v>1</v>
          </cell>
          <cell r="L518">
            <v>1</v>
          </cell>
          <cell r="M518">
            <v>1</v>
          </cell>
          <cell r="N518">
            <v>1</v>
          </cell>
          <cell r="O518">
            <v>1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</row>
        <row r="519">
          <cell r="A519" t="str">
            <v>RR-S3S25112000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1</v>
          </cell>
          <cell r="I519">
            <v>0</v>
          </cell>
          <cell r="J519">
            <v>0</v>
          </cell>
          <cell r="K519">
            <v>1</v>
          </cell>
          <cell r="L519">
            <v>1</v>
          </cell>
          <cell r="M519">
            <v>1</v>
          </cell>
          <cell r="N519">
            <v>1</v>
          </cell>
          <cell r="O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</row>
        <row r="520">
          <cell r="A520" t="str">
            <v>RR-S3S25114000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1</v>
          </cell>
          <cell r="I520">
            <v>0</v>
          </cell>
          <cell r="J520">
            <v>0</v>
          </cell>
          <cell r="K520">
            <v>1</v>
          </cell>
          <cell r="L520">
            <v>1</v>
          </cell>
          <cell r="M520">
            <v>1</v>
          </cell>
          <cell r="N520">
            <v>1</v>
          </cell>
          <cell r="O520">
            <v>1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</row>
        <row r="521">
          <cell r="A521" t="str">
            <v>RR-S3S25115000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1</v>
          </cell>
          <cell r="I521">
            <v>0</v>
          </cell>
          <cell r="J521">
            <v>0</v>
          </cell>
          <cell r="K521">
            <v>1</v>
          </cell>
          <cell r="L521">
            <v>1</v>
          </cell>
          <cell r="M521">
            <v>1</v>
          </cell>
          <cell r="N521">
            <v>1</v>
          </cell>
          <cell r="O521">
            <v>1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</row>
        <row r="522">
          <cell r="A522" t="str">
            <v>RR-S3S25116000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1</v>
          </cell>
          <cell r="I522">
            <v>0</v>
          </cell>
          <cell r="J522">
            <v>0</v>
          </cell>
          <cell r="K522">
            <v>1</v>
          </cell>
          <cell r="L522">
            <v>1</v>
          </cell>
          <cell r="M522">
            <v>1</v>
          </cell>
          <cell r="N522">
            <v>1</v>
          </cell>
          <cell r="O522">
            <v>1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A523" t="str">
            <v>RR-S3S25117000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1</v>
          </cell>
          <cell r="I523">
            <v>0</v>
          </cell>
          <cell r="J523">
            <v>0</v>
          </cell>
          <cell r="K523">
            <v>1</v>
          </cell>
          <cell r="L523">
            <v>1</v>
          </cell>
          <cell r="M523">
            <v>1</v>
          </cell>
          <cell r="N523">
            <v>1</v>
          </cell>
          <cell r="O523">
            <v>1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A524" t="str">
            <v>RR-S3S25118000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1</v>
          </cell>
          <cell r="I524">
            <v>0</v>
          </cell>
          <cell r="J524">
            <v>0</v>
          </cell>
          <cell r="K524">
            <v>1</v>
          </cell>
          <cell r="L524">
            <v>1</v>
          </cell>
          <cell r="M524">
            <v>1</v>
          </cell>
          <cell r="N524">
            <v>1</v>
          </cell>
          <cell r="O524">
            <v>1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A525" t="str">
            <v>RR-S3S25119000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1</v>
          </cell>
          <cell r="I525">
            <v>0</v>
          </cell>
          <cell r="J525">
            <v>0</v>
          </cell>
          <cell r="K525">
            <v>1</v>
          </cell>
          <cell r="L525">
            <v>1</v>
          </cell>
          <cell r="M525">
            <v>1</v>
          </cell>
          <cell r="N525">
            <v>1</v>
          </cell>
          <cell r="O525">
            <v>1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A526" t="str">
            <v>RR-S3S25125000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1</v>
          </cell>
          <cell r="I526">
            <v>0</v>
          </cell>
          <cell r="J526">
            <v>0</v>
          </cell>
          <cell r="K526">
            <v>1</v>
          </cell>
          <cell r="L526">
            <v>1</v>
          </cell>
          <cell r="M526">
            <v>1</v>
          </cell>
          <cell r="N526">
            <v>1</v>
          </cell>
          <cell r="O526">
            <v>1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A527" t="str">
            <v>RR-S3S25126000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1</v>
          </cell>
          <cell r="I527">
            <v>0</v>
          </cell>
          <cell r="J527">
            <v>0</v>
          </cell>
          <cell r="K527">
            <v>1</v>
          </cell>
          <cell r="L527">
            <v>1</v>
          </cell>
          <cell r="M527">
            <v>1</v>
          </cell>
          <cell r="N527">
            <v>1</v>
          </cell>
          <cell r="O527">
            <v>1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A528" t="str">
            <v>RR-S3S25127000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</v>
          </cell>
          <cell r="J528">
            <v>0</v>
          </cell>
          <cell r="K528">
            <v>1</v>
          </cell>
          <cell r="L528">
            <v>1</v>
          </cell>
          <cell r="M528">
            <v>1</v>
          </cell>
          <cell r="N528">
            <v>1</v>
          </cell>
          <cell r="O528">
            <v>1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A529" t="str">
            <v>RR-S3S25128000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1</v>
          </cell>
          <cell r="I529">
            <v>0</v>
          </cell>
          <cell r="J529">
            <v>0</v>
          </cell>
          <cell r="K529">
            <v>1</v>
          </cell>
          <cell r="L529">
            <v>1</v>
          </cell>
          <cell r="M529">
            <v>1</v>
          </cell>
          <cell r="N529">
            <v>1</v>
          </cell>
          <cell r="O529">
            <v>1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</row>
        <row r="530">
          <cell r="A530" t="str">
            <v>RR-S3S25129000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1</v>
          </cell>
          <cell r="L530">
            <v>1</v>
          </cell>
          <cell r="M530">
            <v>1</v>
          </cell>
          <cell r="N530">
            <v>1</v>
          </cell>
          <cell r="O530">
            <v>1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</row>
        <row r="531">
          <cell r="A531" t="str">
            <v>RR-S3S25131000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</v>
          </cell>
          <cell r="J531">
            <v>0</v>
          </cell>
          <cell r="K531">
            <v>1</v>
          </cell>
          <cell r="L531">
            <v>1</v>
          </cell>
          <cell r="M531">
            <v>1</v>
          </cell>
          <cell r="N531">
            <v>1</v>
          </cell>
          <cell r="O531">
            <v>1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</row>
        <row r="532">
          <cell r="A532" t="str">
            <v>RR-S3S25134000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1</v>
          </cell>
          <cell r="I532">
            <v>0</v>
          </cell>
          <cell r="J532">
            <v>0</v>
          </cell>
          <cell r="K532">
            <v>1</v>
          </cell>
          <cell r="L532">
            <v>1</v>
          </cell>
          <cell r="M532">
            <v>1</v>
          </cell>
          <cell r="N532">
            <v>1</v>
          </cell>
          <cell r="O532">
            <v>1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</row>
        <row r="533">
          <cell r="A533" t="str">
            <v>RR-S3S25135000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1</v>
          </cell>
          <cell r="I533">
            <v>0</v>
          </cell>
          <cell r="J533">
            <v>0</v>
          </cell>
          <cell r="K533">
            <v>1</v>
          </cell>
          <cell r="L533">
            <v>1</v>
          </cell>
          <cell r="M533">
            <v>1</v>
          </cell>
          <cell r="N533">
            <v>1</v>
          </cell>
          <cell r="O533">
            <v>1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</row>
        <row r="534">
          <cell r="A534" t="str">
            <v>RR-S3S25136000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1</v>
          </cell>
          <cell r="I534">
            <v>0</v>
          </cell>
          <cell r="J534">
            <v>0</v>
          </cell>
          <cell r="K534">
            <v>1</v>
          </cell>
          <cell r="L534">
            <v>1</v>
          </cell>
          <cell r="M534">
            <v>1</v>
          </cell>
          <cell r="N534">
            <v>1</v>
          </cell>
          <cell r="O534">
            <v>1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</row>
        <row r="535">
          <cell r="A535" t="str">
            <v>RR-S3S25138000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1</v>
          </cell>
          <cell r="I535">
            <v>0</v>
          </cell>
          <cell r="J535">
            <v>0</v>
          </cell>
          <cell r="K535">
            <v>1</v>
          </cell>
          <cell r="L535">
            <v>1</v>
          </cell>
          <cell r="M535">
            <v>1</v>
          </cell>
          <cell r="N535">
            <v>1</v>
          </cell>
          <cell r="O535">
            <v>1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</row>
        <row r="536">
          <cell r="A536" t="str">
            <v>RR-S3S25139000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1</v>
          </cell>
          <cell r="L536">
            <v>1</v>
          </cell>
          <cell r="M536">
            <v>1</v>
          </cell>
          <cell r="N536">
            <v>1</v>
          </cell>
          <cell r="O536">
            <v>1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</row>
        <row r="537">
          <cell r="A537" t="str">
            <v>RR-S3S25141000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1</v>
          </cell>
          <cell r="I537">
            <v>0</v>
          </cell>
          <cell r="J537">
            <v>0</v>
          </cell>
          <cell r="K537">
            <v>1</v>
          </cell>
          <cell r="L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</row>
        <row r="538">
          <cell r="A538" t="str">
            <v>RR-S3S25161000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</row>
        <row r="539">
          <cell r="A539" t="str">
            <v>RR-S3S25164000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1</v>
          </cell>
          <cell r="L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</row>
        <row r="540">
          <cell r="A540" t="str">
            <v>RR-S3S25167000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</v>
          </cell>
          <cell r="J540">
            <v>0</v>
          </cell>
          <cell r="K540">
            <v>1</v>
          </cell>
          <cell r="L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</row>
        <row r="541">
          <cell r="A541" t="str">
            <v>RR-S3S25168000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1</v>
          </cell>
          <cell r="I541">
            <v>0</v>
          </cell>
          <cell r="J541">
            <v>0</v>
          </cell>
          <cell r="K541">
            <v>1</v>
          </cell>
          <cell r="L541">
            <v>1</v>
          </cell>
          <cell r="M541">
            <v>1</v>
          </cell>
          <cell r="N541">
            <v>1</v>
          </cell>
          <cell r="O541">
            <v>1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</row>
        <row r="542">
          <cell r="A542" t="str">
            <v>RR-S3S25169000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1</v>
          </cell>
          <cell r="I542">
            <v>0</v>
          </cell>
          <cell r="J542">
            <v>0</v>
          </cell>
          <cell r="K542">
            <v>1</v>
          </cell>
          <cell r="L542">
            <v>1</v>
          </cell>
          <cell r="M542">
            <v>1</v>
          </cell>
          <cell r="N542">
            <v>1</v>
          </cell>
          <cell r="O542">
            <v>1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</row>
        <row r="543">
          <cell r="A543" t="str">
            <v>RR-S3S25172000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1</v>
          </cell>
          <cell r="I543">
            <v>0</v>
          </cell>
          <cell r="J543">
            <v>0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</row>
        <row r="544">
          <cell r="A544" t="str">
            <v>RR-S3S25173000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1</v>
          </cell>
          <cell r="I544">
            <v>0</v>
          </cell>
          <cell r="J544">
            <v>0</v>
          </cell>
          <cell r="K544">
            <v>1</v>
          </cell>
          <cell r="L544">
            <v>1</v>
          </cell>
          <cell r="M544">
            <v>1</v>
          </cell>
          <cell r="N544">
            <v>1</v>
          </cell>
          <cell r="O544">
            <v>1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</row>
        <row r="545">
          <cell r="A545" t="str">
            <v>RR-S3S25174000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1</v>
          </cell>
          <cell r="I545">
            <v>0</v>
          </cell>
          <cell r="J545">
            <v>0</v>
          </cell>
          <cell r="K545">
            <v>1</v>
          </cell>
          <cell r="L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</row>
        <row r="546">
          <cell r="A546" t="str">
            <v>RR-S3S25205000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1</v>
          </cell>
          <cell r="I546">
            <v>0</v>
          </cell>
          <cell r="J546">
            <v>0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</row>
        <row r="547">
          <cell r="A547" t="str">
            <v>TC0001</v>
          </cell>
          <cell r="B547">
            <v>7</v>
          </cell>
          <cell r="C547">
            <v>4</v>
          </cell>
          <cell r="D547">
            <v>4</v>
          </cell>
          <cell r="E547">
            <v>5</v>
          </cell>
          <cell r="F547">
            <v>7</v>
          </cell>
          <cell r="G547">
            <v>6</v>
          </cell>
          <cell r="H547">
            <v>6</v>
          </cell>
          <cell r="I547">
            <v>7</v>
          </cell>
          <cell r="J547">
            <v>4</v>
          </cell>
          <cell r="K547">
            <v>6</v>
          </cell>
          <cell r="L547">
            <v>6</v>
          </cell>
          <cell r="M547">
            <v>4</v>
          </cell>
          <cell r="N547">
            <v>4</v>
          </cell>
          <cell r="O547">
            <v>4</v>
          </cell>
          <cell r="P547">
            <v>0</v>
          </cell>
          <cell r="Q547">
            <v>4</v>
          </cell>
          <cell r="R547">
            <v>6</v>
          </cell>
          <cell r="S547">
            <v>5</v>
          </cell>
          <cell r="T547">
            <v>0</v>
          </cell>
          <cell r="U547">
            <v>4</v>
          </cell>
        </row>
        <row r="548">
          <cell r="A548" t="str">
            <v>TC0002</v>
          </cell>
          <cell r="B548">
            <v>1</v>
          </cell>
          <cell r="C548">
            <v>1</v>
          </cell>
          <cell r="D548">
            <v>1</v>
          </cell>
          <cell r="E548">
            <v>1</v>
          </cell>
          <cell r="F548">
            <v>1</v>
          </cell>
          <cell r="G548">
            <v>1</v>
          </cell>
          <cell r="H548">
            <v>1</v>
          </cell>
          <cell r="I548">
            <v>1</v>
          </cell>
          <cell r="J548">
            <v>0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0</v>
          </cell>
          <cell r="Q548">
            <v>1</v>
          </cell>
          <cell r="R548">
            <v>1</v>
          </cell>
          <cell r="S548">
            <v>1</v>
          </cell>
          <cell r="T548">
            <v>0</v>
          </cell>
          <cell r="U548">
            <v>1</v>
          </cell>
        </row>
        <row r="549">
          <cell r="A549" t="str">
            <v>TC0004</v>
          </cell>
          <cell r="B549">
            <v>4</v>
          </cell>
          <cell r="C549">
            <v>1</v>
          </cell>
          <cell r="D549">
            <v>1</v>
          </cell>
          <cell r="E549">
            <v>2</v>
          </cell>
          <cell r="F549">
            <v>4</v>
          </cell>
          <cell r="G549">
            <v>3</v>
          </cell>
          <cell r="H549">
            <v>4</v>
          </cell>
          <cell r="I549">
            <v>4</v>
          </cell>
          <cell r="J549">
            <v>1</v>
          </cell>
          <cell r="K549">
            <v>4</v>
          </cell>
          <cell r="L549">
            <v>3</v>
          </cell>
          <cell r="M549">
            <v>3</v>
          </cell>
          <cell r="N549">
            <v>1</v>
          </cell>
          <cell r="O549">
            <v>1</v>
          </cell>
          <cell r="P549">
            <v>0</v>
          </cell>
          <cell r="Q549">
            <v>1</v>
          </cell>
          <cell r="R549">
            <v>4</v>
          </cell>
          <cell r="S549">
            <v>2</v>
          </cell>
          <cell r="T549">
            <v>0</v>
          </cell>
          <cell r="U549">
            <v>1</v>
          </cell>
        </row>
        <row r="550">
          <cell r="A550" t="str">
            <v>TC0005</v>
          </cell>
          <cell r="B550">
            <v>4</v>
          </cell>
          <cell r="C550">
            <v>1</v>
          </cell>
          <cell r="D550">
            <v>1</v>
          </cell>
          <cell r="E550">
            <v>2</v>
          </cell>
          <cell r="F550">
            <v>4</v>
          </cell>
          <cell r="G550">
            <v>3</v>
          </cell>
          <cell r="H550">
            <v>4</v>
          </cell>
          <cell r="I550">
            <v>4</v>
          </cell>
          <cell r="J550">
            <v>1</v>
          </cell>
          <cell r="K550">
            <v>4</v>
          </cell>
          <cell r="L550">
            <v>3</v>
          </cell>
          <cell r="M550">
            <v>3</v>
          </cell>
          <cell r="N550">
            <v>1</v>
          </cell>
          <cell r="O550">
            <v>1</v>
          </cell>
          <cell r="P550">
            <v>0</v>
          </cell>
          <cell r="Q550">
            <v>1</v>
          </cell>
          <cell r="R550">
            <v>4</v>
          </cell>
          <cell r="S550">
            <v>2</v>
          </cell>
          <cell r="T550">
            <v>0</v>
          </cell>
          <cell r="U550">
            <v>1</v>
          </cell>
        </row>
        <row r="551">
          <cell r="A551" t="str">
            <v>TC0006</v>
          </cell>
          <cell r="B551">
            <v>4</v>
          </cell>
          <cell r="C551">
            <v>1</v>
          </cell>
          <cell r="D551">
            <v>1</v>
          </cell>
          <cell r="E551">
            <v>2</v>
          </cell>
          <cell r="F551">
            <v>4</v>
          </cell>
          <cell r="G551">
            <v>3</v>
          </cell>
          <cell r="H551">
            <v>4</v>
          </cell>
          <cell r="I551">
            <v>4</v>
          </cell>
          <cell r="J551">
            <v>1</v>
          </cell>
          <cell r="K551">
            <v>4</v>
          </cell>
          <cell r="L551">
            <v>3</v>
          </cell>
          <cell r="M551">
            <v>3</v>
          </cell>
          <cell r="N551">
            <v>1</v>
          </cell>
          <cell r="O551">
            <v>1</v>
          </cell>
          <cell r="P551">
            <v>1</v>
          </cell>
          <cell r="Q551">
            <v>1</v>
          </cell>
          <cell r="R551">
            <v>4</v>
          </cell>
          <cell r="S551">
            <v>2</v>
          </cell>
          <cell r="T551">
            <v>1</v>
          </cell>
          <cell r="U551">
            <v>1</v>
          </cell>
        </row>
        <row r="552">
          <cell r="A552" t="str">
            <v>TC0007</v>
          </cell>
          <cell r="B552">
            <v>4</v>
          </cell>
          <cell r="C552">
            <v>1</v>
          </cell>
          <cell r="D552">
            <v>1</v>
          </cell>
          <cell r="E552">
            <v>2</v>
          </cell>
          <cell r="F552">
            <v>4</v>
          </cell>
          <cell r="G552">
            <v>3</v>
          </cell>
          <cell r="H552">
            <v>4</v>
          </cell>
          <cell r="I552">
            <v>4</v>
          </cell>
          <cell r="J552">
            <v>1</v>
          </cell>
          <cell r="K552">
            <v>4</v>
          </cell>
          <cell r="L552">
            <v>3</v>
          </cell>
          <cell r="M552">
            <v>3</v>
          </cell>
          <cell r="N552">
            <v>1</v>
          </cell>
          <cell r="O552">
            <v>1</v>
          </cell>
          <cell r="P552">
            <v>0</v>
          </cell>
          <cell r="Q552">
            <v>1</v>
          </cell>
          <cell r="R552">
            <v>4</v>
          </cell>
          <cell r="S552">
            <v>2</v>
          </cell>
          <cell r="T552">
            <v>0</v>
          </cell>
          <cell r="U552">
            <v>1</v>
          </cell>
        </row>
        <row r="553">
          <cell r="A553" t="str">
            <v>TC0008</v>
          </cell>
          <cell r="B553">
            <v>4</v>
          </cell>
          <cell r="C553">
            <v>1</v>
          </cell>
          <cell r="D553">
            <v>1</v>
          </cell>
          <cell r="E553">
            <v>2</v>
          </cell>
          <cell r="F553">
            <v>4</v>
          </cell>
          <cell r="G553">
            <v>3</v>
          </cell>
          <cell r="H553">
            <v>4</v>
          </cell>
          <cell r="I553">
            <v>4</v>
          </cell>
          <cell r="J553">
            <v>1</v>
          </cell>
          <cell r="K553">
            <v>4</v>
          </cell>
          <cell r="L553">
            <v>3</v>
          </cell>
          <cell r="M553">
            <v>3</v>
          </cell>
          <cell r="N553">
            <v>1</v>
          </cell>
          <cell r="O553">
            <v>1</v>
          </cell>
          <cell r="P553">
            <v>0</v>
          </cell>
          <cell r="Q553">
            <v>1</v>
          </cell>
          <cell r="R553">
            <v>4</v>
          </cell>
          <cell r="S553">
            <v>2</v>
          </cell>
          <cell r="T553">
            <v>0</v>
          </cell>
          <cell r="U553">
            <v>1</v>
          </cell>
        </row>
        <row r="554">
          <cell r="A554" t="str">
            <v>TC0009</v>
          </cell>
          <cell r="B554">
            <v>4</v>
          </cell>
          <cell r="C554">
            <v>1</v>
          </cell>
          <cell r="D554">
            <v>1</v>
          </cell>
          <cell r="E554">
            <v>2</v>
          </cell>
          <cell r="F554">
            <v>4</v>
          </cell>
          <cell r="G554">
            <v>3</v>
          </cell>
          <cell r="H554">
            <v>4</v>
          </cell>
          <cell r="I554">
            <v>4</v>
          </cell>
          <cell r="J554">
            <v>1</v>
          </cell>
          <cell r="K554">
            <v>4</v>
          </cell>
          <cell r="L554">
            <v>3</v>
          </cell>
          <cell r="M554">
            <v>3</v>
          </cell>
          <cell r="N554">
            <v>1</v>
          </cell>
          <cell r="O554">
            <v>1</v>
          </cell>
          <cell r="P554">
            <v>0</v>
          </cell>
          <cell r="Q554">
            <v>1</v>
          </cell>
          <cell r="R554">
            <v>4</v>
          </cell>
          <cell r="S554">
            <v>2</v>
          </cell>
          <cell r="T554">
            <v>0</v>
          </cell>
          <cell r="U554">
            <v>1</v>
          </cell>
        </row>
        <row r="555">
          <cell r="A555" t="str">
            <v>TC0010</v>
          </cell>
          <cell r="B555">
            <v>3</v>
          </cell>
          <cell r="C555">
            <v>2</v>
          </cell>
          <cell r="D555">
            <v>2</v>
          </cell>
          <cell r="E555">
            <v>2</v>
          </cell>
          <cell r="F555">
            <v>3</v>
          </cell>
          <cell r="G555">
            <v>3</v>
          </cell>
          <cell r="H555">
            <v>3</v>
          </cell>
          <cell r="I555">
            <v>3</v>
          </cell>
          <cell r="J555">
            <v>2</v>
          </cell>
          <cell r="K555">
            <v>3</v>
          </cell>
          <cell r="L555">
            <v>3</v>
          </cell>
          <cell r="M555">
            <v>3</v>
          </cell>
          <cell r="N555">
            <v>2</v>
          </cell>
          <cell r="O555">
            <v>2</v>
          </cell>
          <cell r="P555">
            <v>1</v>
          </cell>
          <cell r="Q555">
            <v>2</v>
          </cell>
          <cell r="R555">
            <v>4</v>
          </cell>
          <cell r="S555">
            <v>2</v>
          </cell>
          <cell r="T555">
            <v>1</v>
          </cell>
          <cell r="U555">
            <v>2</v>
          </cell>
        </row>
        <row r="556">
          <cell r="A556" t="str">
            <v>TC0011</v>
          </cell>
          <cell r="B556">
            <v>7</v>
          </cell>
          <cell r="C556">
            <v>6</v>
          </cell>
          <cell r="D556">
            <v>6</v>
          </cell>
          <cell r="E556">
            <v>5</v>
          </cell>
          <cell r="F556">
            <v>7</v>
          </cell>
          <cell r="G556">
            <v>5</v>
          </cell>
          <cell r="H556">
            <v>8</v>
          </cell>
          <cell r="I556">
            <v>7</v>
          </cell>
          <cell r="J556">
            <v>6</v>
          </cell>
          <cell r="K556">
            <v>8</v>
          </cell>
          <cell r="L556">
            <v>7</v>
          </cell>
          <cell r="M556">
            <v>4</v>
          </cell>
          <cell r="N556">
            <v>6</v>
          </cell>
          <cell r="O556">
            <v>5</v>
          </cell>
          <cell r="P556">
            <v>0</v>
          </cell>
          <cell r="Q556">
            <v>6</v>
          </cell>
          <cell r="R556">
            <v>8</v>
          </cell>
          <cell r="S556">
            <v>6</v>
          </cell>
          <cell r="T556">
            <v>0</v>
          </cell>
          <cell r="U556">
            <v>5</v>
          </cell>
        </row>
        <row r="557">
          <cell r="A557" t="str">
            <v>TC0012</v>
          </cell>
          <cell r="B557">
            <v>5</v>
          </cell>
          <cell r="C557">
            <v>4</v>
          </cell>
          <cell r="D557">
            <v>4</v>
          </cell>
          <cell r="E557">
            <v>4</v>
          </cell>
          <cell r="F557">
            <v>5</v>
          </cell>
          <cell r="G557">
            <v>4</v>
          </cell>
          <cell r="H557">
            <v>6</v>
          </cell>
          <cell r="I557">
            <v>5</v>
          </cell>
          <cell r="J557">
            <v>0</v>
          </cell>
          <cell r="K557">
            <v>6</v>
          </cell>
          <cell r="L557">
            <v>5</v>
          </cell>
          <cell r="M557">
            <v>3</v>
          </cell>
          <cell r="N557">
            <v>3</v>
          </cell>
          <cell r="O557">
            <v>3</v>
          </cell>
          <cell r="P557">
            <v>0</v>
          </cell>
          <cell r="Q557">
            <v>1</v>
          </cell>
          <cell r="R557">
            <v>4</v>
          </cell>
          <cell r="S557">
            <v>2</v>
          </cell>
          <cell r="T557">
            <v>0</v>
          </cell>
          <cell r="U557">
            <v>4</v>
          </cell>
        </row>
        <row r="558">
          <cell r="A558" t="str">
            <v>TC0013</v>
          </cell>
          <cell r="B558">
            <v>4</v>
          </cell>
          <cell r="C558">
            <v>1</v>
          </cell>
          <cell r="D558">
            <v>1</v>
          </cell>
          <cell r="E558">
            <v>2</v>
          </cell>
          <cell r="F558">
            <v>4</v>
          </cell>
          <cell r="G558">
            <v>3</v>
          </cell>
          <cell r="H558">
            <v>4</v>
          </cell>
          <cell r="I558">
            <v>4</v>
          </cell>
          <cell r="J558">
            <v>1</v>
          </cell>
          <cell r="K558">
            <v>4</v>
          </cell>
          <cell r="L558">
            <v>3</v>
          </cell>
          <cell r="M558">
            <v>3</v>
          </cell>
          <cell r="N558">
            <v>1</v>
          </cell>
          <cell r="O558">
            <v>1</v>
          </cell>
          <cell r="P558">
            <v>0</v>
          </cell>
          <cell r="Q558">
            <v>1</v>
          </cell>
          <cell r="R558">
            <v>4</v>
          </cell>
          <cell r="S558">
            <v>2</v>
          </cell>
          <cell r="T558">
            <v>0</v>
          </cell>
          <cell r="U558">
            <v>1</v>
          </cell>
        </row>
        <row r="559">
          <cell r="A559" t="str">
            <v>TC0014</v>
          </cell>
          <cell r="B559">
            <v>9</v>
          </cell>
          <cell r="C559">
            <v>7</v>
          </cell>
          <cell r="D559">
            <v>7</v>
          </cell>
          <cell r="E559">
            <v>5</v>
          </cell>
          <cell r="F559">
            <v>9</v>
          </cell>
          <cell r="G559">
            <v>6</v>
          </cell>
          <cell r="H559">
            <v>9</v>
          </cell>
          <cell r="I559">
            <v>9</v>
          </cell>
          <cell r="J559">
            <v>7</v>
          </cell>
          <cell r="K559">
            <v>9</v>
          </cell>
          <cell r="L559">
            <v>8</v>
          </cell>
          <cell r="M559">
            <v>6</v>
          </cell>
          <cell r="N559">
            <v>7</v>
          </cell>
          <cell r="O559">
            <v>5</v>
          </cell>
          <cell r="P559">
            <v>0</v>
          </cell>
          <cell r="Q559">
            <v>7</v>
          </cell>
          <cell r="R559">
            <v>9</v>
          </cell>
          <cell r="S559">
            <v>7</v>
          </cell>
          <cell r="T559">
            <v>0</v>
          </cell>
          <cell r="U559">
            <v>5</v>
          </cell>
        </row>
        <row r="560">
          <cell r="A560" t="str">
            <v>TC0015</v>
          </cell>
          <cell r="B560">
            <v>10</v>
          </cell>
          <cell r="C560">
            <v>8</v>
          </cell>
          <cell r="D560">
            <v>8</v>
          </cell>
          <cell r="E560">
            <v>4</v>
          </cell>
          <cell r="F560">
            <v>10</v>
          </cell>
          <cell r="G560">
            <v>5</v>
          </cell>
          <cell r="H560">
            <v>9</v>
          </cell>
          <cell r="I560">
            <v>10</v>
          </cell>
          <cell r="J560">
            <v>8</v>
          </cell>
          <cell r="K560">
            <v>9</v>
          </cell>
          <cell r="L560">
            <v>8</v>
          </cell>
          <cell r="M560">
            <v>6</v>
          </cell>
          <cell r="N560">
            <v>7</v>
          </cell>
          <cell r="O560">
            <v>5</v>
          </cell>
          <cell r="P560">
            <v>0</v>
          </cell>
          <cell r="Q560">
            <v>7</v>
          </cell>
          <cell r="R560">
            <v>9</v>
          </cell>
          <cell r="S560">
            <v>7</v>
          </cell>
          <cell r="T560">
            <v>0</v>
          </cell>
          <cell r="U560">
            <v>4</v>
          </cell>
        </row>
        <row r="561">
          <cell r="A561" t="str">
            <v>TC0016</v>
          </cell>
          <cell r="B561">
            <v>9</v>
          </cell>
          <cell r="C561">
            <v>7</v>
          </cell>
          <cell r="D561">
            <v>7</v>
          </cell>
          <cell r="E561">
            <v>5</v>
          </cell>
          <cell r="F561">
            <v>9</v>
          </cell>
          <cell r="G561">
            <v>6</v>
          </cell>
          <cell r="H561">
            <v>9</v>
          </cell>
          <cell r="I561">
            <v>9</v>
          </cell>
          <cell r="J561">
            <v>7</v>
          </cell>
          <cell r="K561">
            <v>9</v>
          </cell>
          <cell r="L561">
            <v>8</v>
          </cell>
          <cell r="M561">
            <v>6</v>
          </cell>
          <cell r="N561">
            <v>7</v>
          </cell>
          <cell r="O561">
            <v>5</v>
          </cell>
          <cell r="P561">
            <v>0</v>
          </cell>
          <cell r="Q561">
            <v>7</v>
          </cell>
          <cell r="R561">
            <v>9</v>
          </cell>
          <cell r="S561">
            <v>7</v>
          </cell>
          <cell r="T561">
            <v>0</v>
          </cell>
          <cell r="U561">
            <v>5</v>
          </cell>
        </row>
        <row r="562">
          <cell r="A562" t="str">
            <v>TC0017</v>
          </cell>
          <cell r="B562">
            <v>10</v>
          </cell>
          <cell r="C562">
            <v>8</v>
          </cell>
          <cell r="D562">
            <v>8</v>
          </cell>
          <cell r="E562">
            <v>6</v>
          </cell>
          <cell r="F562">
            <v>10</v>
          </cell>
          <cell r="G562">
            <v>7</v>
          </cell>
          <cell r="H562">
            <v>10</v>
          </cell>
          <cell r="I562">
            <v>10</v>
          </cell>
          <cell r="J562">
            <v>8</v>
          </cell>
          <cell r="K562">
            <v>10</v>
          </cell>
          <cell r="L562">
            <v>9</v>
          </cell>
          <cell r="M562">
            <v>7</v>
          </cell>
          <cell r="N562">
            <v>8</v>
          </cell>
          <cell r="O562">
            <v>6</v>
          </cell>
          <cell r="P562">
            <v>0</v>
          </cell>
          <cell r="Q562">
            <v>8</v>
          </cell>
          <cell r="R562">
            <v>10</v>
          </cell>
          <cell r="S562">
            <v>8</v>
          </cell>
          <cell r="T562">
            <v>0</v>
          </cell>
          <cell r="U562">
            <v>6</v>
          </cell>
        </row>
        <row r="563">
          <cell r="A563" t="str">
            <v>TC0018</v>
          </cell>
          <cell r="B563">
            <v>9</v>
          </cell>
          <cell r="C563">
            <v>7</v>
          </cell>
          <cell r="D563">
            <v>7</v>
          </cell>
          <cell r="E563">
            <v>5</v>
          </cell>
          <cell r="F563">
            <v>9</v>
          </cell>
          <cell r="G563">
            <v>6</v>
          </cell>
          <cell r="H563">
            <v>9</v>
          </cell>
          <cell r="I563">
            <v>9</v>
          </cell>
          <cell r="J563">
            <v>7</v>
          </cell>
          <cell r="K563">
            <v>9</v>
          </cell>
          <cell r="L563">
            <v>8</v>
          </cell>
          <cell r="M563">
            <v>6</v>
          </cell>
          <cell r="N563">
            <v>7</v>
          </cell>
          <cell r="O563">
            <v>5</v>
          </cell>
          <cell r="P563">
            <v>0</v>
          </cell>
          <cell r="Q563">
            <v>7</v>
          </cell>
          <cell r="R563">
            <v>9</v>
          </cell>
          <cell r="S563">
            <v>7</v>
          </cell>
          <cell r="T563">
            <v>0</v>
          </cell>
          <cell r="U563">
            <v>5</v>
          </cell>
        </row>
        <row r="564">
          <cell r="A564" t="str">
            <v>TC0019</v>
          </cell>
          <cell r="B564">
            <v>9</v>
          </cell>
          <cell r="C564">
            <v>7</v>
          </cell>
          <cell r="D564">
            <v>7</v>
          </cell>
          <cell r="E564">
            <v>5</v>
          </cell>
          <cell r="F564">
            <v>9</v>
          </cell>
          <cell r="G564">
            <v>6</v>
          </cell>
          <cell r="H564">
            <v>9</v>
          </cell>
          <cell r="I564">
            <v>9</v>
          </cell>
          <cell r="J564">
            <v>7</v>
          </cell>
          <cell r="K564">
            <v>9</v>
          </cell>
          <cell r="L564">
            <v>8</v>
          </cell>
          <cell r="M564">
            <v>6</v>
          </cell>
          <cell r="N564">
            <v>7</v>
          </cell>
          <cell r="O564">
            <v>5</v>
          </cell>
          <cell r="P564">
            <v>0</v>
          </cell>
          <cell r="Q564">
            <v>7</v>
          </cell>
          <cell r="R564">
            <v>9</v>
          </cell>
          <cell r="S564">
            <v>7</v>
          </cell>
          <cell r="T564">
            <v>0</v>
          </cell>
          <cell r="U564">
            <v>5</v>
          </cell>
        </row>
        <row r="565">
          <cell r="A565" t="str">
            <v>TC0021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1</v>
          </cell>
          <cell r="I565">
            <v>0</v>
          </cell>
          <cell r="J565">
            <v>0</v>
          </cell>
          <cell r="K565">
            <v>1</v>
          </cell>
          <cell r="L565">
            <v>1</v>
          </cell>
          <cell r="M565">
            <v>1</v>
          </cell>
          <cell r="N565">
            <v>1</v>
          </cell>
          <cell r="O565">
            <v>1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</row>
        <row r="566">
          <cell r="A566" t="str">
            <v>TC0022</v>
          </cell>
          <cell r="B566">
            <v>1</v>
          </cell>
          <cell r="C566">
            <v>1</v>
          </cell>
          <cell r="D566">
            <v>1</v>
          </cell>
          <cell r="E566">
            <v>1</v>
          </cell>
          <cell r="F566">
            <v>1</v>
          </cell>
          <cell r="G566">
            <v>1</v>
          </cell>
          <cell r="H566">
            <v>1</v>
          </cell>
          <cell r="I566">
            <v>1</v>
          </cell>
          <cell r="J566">
            <v>1</v>
          </cell>
          <cell r="K566">
            <v>1</v>
          </cell>
          <cell r="L566">
            <v>1</v>
          </cell>
          <cell r="M566">
            <v>1</v>
          </cell>
          <cell r="N566">
            <v>1</v>
          </cell>
          <cell r="O566">
            <v>1</v>
          </cell>
          <cell r="P566">
            <v>1</v>
          </cell>
          <cell r="Q566">
            <v>1</v>
          </cell>
          <cell r="R566">
            <v>1</v>
          </cell>
          <cell r="S566">
            <v>1</v>
          </cell>
          <cell r="T566">
            <v>1</v>
          </cell>
          <cell r="U566">
            <v>1</v>
          </cell>
        </row>
        <row r="567">
          <cell r="A567" t="str">
            <v>TC0023</v>
          </cell>
          <cell r="B567">
            <v>2</v>
          </cell>
          <cell r="C567">
            <v>2</v>
          </cell>
          <cell r="D567">
            <v>2</v>
          </cell>
          <cell r="E567">
            <v>2</v>
          </cell>
          <cell r="F567">
            <v>2</v>
          </cell>
          <cell r="G567">
            <v>2</v>
          </cell>
          <cell r="H567">
            <v>2</v>
          </cell>
          <cell r="I567">
            <v>2</v>
          </cell>
          <cell r="J567">
            <v>2</v>
          </cell>
          <cell r="K567">
            <v>2</v>
          </cell>
          <cell r="L567">
            <v>2</v>
          </cell>
          <cell r="M567">
            <v>2</v>
          </cell>
          <cell r="N567">
            <v>2</v>
          </cell>
          <cell r="O567">
            <v>2</v>
          </cell>
          <cell r="P567">
            <v>2</v>
          </cell>
          <cell r="Q567">
            <v>2</v>
          </cell>
          <cell r="R567">
            <v>2</v>
          </cell>
          <cell r="S567">
            <v>2</v>
          </cell>
          <cell r="T567">
            <v>2</v>
          </cell>
          <cell r="U567">
            <v>2</v>
          </cell>
        </row>
        <row r="568">
          <cell r="A568" t="str">
            <v>TC0024</v>
          </cell>
          <cell r="B568">
            <v>2</v>
          </cell>
          <cell r="C568">
            <v>2</v>
          </cell>
          <cell r="D568">
            <v>2</v>
          </cell>
          <cell r="E568">
            <v>0</v>
          </cell>
          <cell r="F568">
            <v>2</v>
          </cell>
          <cell r="G568">
            <v>0</v>
          </cell>
          <cell r="H568">
            <v>2</v>
          </cell>
          <cell r="I568">
            <v>2</v>
          </cell>
          <cell r="J568">
            <v>2</v>
          </cell>
          <cell r="K568">
            <v>2</v>
          </cell>
          <cell r="L568">
            <v>2</v>
          </cell>
          <cell r="M568">
            <v>0</v>
          </cell>
          <cell r="N568">
            <v>2</v>
          </cell>
          <cell r="O568">
            <v>0</v>
          </cell>
          <cell r="P568">
            <v>1</v>
          </cell>
          <cell r="Q568">
            <v>2</v>
          </cell>
          <cell r="R568">
            <v>2</v>
          </cell>
          <cell r="S568">
            <v>2</v>
          </cell>
          <cell r="T568">
            <v>2</v>
          </cell>
          <cell r="U568">
            <v>0</v>
          </cell>
        </row>
        <row r="569">
          <cell r="A569" t="str">
            <v>TC0025</v>
          </cell>
          <cell r="B569">
            <v>2</v>
          </cell>
          <cell r="C569">
            <v>2</v>
          </cell>
          <cell r="D569">
            <v>2</v>
          </cell>
          <cell r="E569">
            <v>2</v>
          </cell>
          <cell r="F569">
            <v>2</v>
          </cell>
          <cell r="G569">
            <v>2</v>
          </cell>
          <cell r="H569">
            <v>2</v>
          </cell>
          <cell r="I569">
            <v>2</v>
          </cell>
          <cell r="J569">
            <v>2</v>
          </cell>
          <cell r="K569">
            <v>2</v>
          </cell>
          <cell r="L569">
            <v>2</v>
          </cell>
          <cell r="M569">
            <v>2</v>
          </cell>
          <cell r="N569">
            <v>2</v>
          </cell>
          <cell r="O569">
            <v>2</v>
          </cell>
          <cell r="P569">
            <v>1</v>
          </cell>
          <cell r="Q569">
            <v>2</v>
          </cell>
          <cell r="R569">
            <v>2</v>
          </cell>
          <cell r="S569">
            <v>2</v>
          </cell>
          <cell r="T569">
            <v>2</v>
          </cell>
          <cell r="U569">
            <v>2</v>
          </cell>
        </row>
        <row r="570">
          <cell r="A570" t="str">
            <v>TC0028</v>
          </cell>
          <cell r="B570">
            <v>8</v>
          </cell>
          <cell r="C570">
            <v>4</v>
          </cell>
          <cell r="D570">
            <v>4</v>
          </cell>
          <cell r="E570">
            <v>5</v>
          </cell>
          <cell r="F570">
            <v>8</v>
          </cell>
          <cell r="G570">
            <v>6</v>
          </cell>
          <cell r="H570">
            <v>7</v>
          </cell>
          <cell r="I570">
            <v>8</v>
          </cell>
          <cell r="J570">
            <v>3</v>
          </cell>
          <cell r="K570">
            <v>8</v>
          </cell>
          <cell r="L570">
            <v>6</v>
          </cell>
          <cell r="M570">
            <v>4</v>
          </cell>
          <cell r="N570">
            <v>3</v>
          </cell>
          <cell r="O570">
            <v>3</v>
          </cell>
          <cell r="P570">
            <v>1</v>
          </cell>
          <cell r="Q570">
            <v>4</v>
          </cell>
          <cell r="R570">
            <v>8</v>
          </cell>
          <cell r="S570">
            <v>5</v>
          </cell>
          <cell r="T570">
            <v>0</v>
          </cell>
          <cell r="U570">
            <v>3</v>
          </cell>
        </row>
        <row r="571">
          <cell r="A571" t="str">
            <v>TC0029</v>
          </cell>
          <cell r="B571">
            <v>2</v>
          </cell>
          <cell r="C571">
            <v>2</v>
          </cell>
          <cell r="D571">
            <v>2</v>
          </cell>
          <cell r="E571">
            <v>0</v>
          </cell>
          <cell r="F571">
            <v>2</v>
          </cell>
          <cell r="G571">
            <v>0</v>
          </cell>
          <cell r="H571">
            <v>2</v>
          </cell>
          <cell r="I571">
            <v>2</v>
          </cell>
          <cell r="J571">
            <v>2</v>
          </cell>
          <cell r="K571">
            <v>2</v>
          </cell>
          <cell r="L571">
            <v>2</v>
          </cell>
          <cell r="M571">
            <v>0</v>
          </cell>
          <cell r="N571">
            <v>2</v>
          </cell>
          <cell r="O571">
            <v>0</v>
          </cell>
          <cell r="P571">
            <v>1</v>
          </cell>
          <cell r="Q571">
            <v>2</v>
          </cell>
          <cell r="R571">
            <v>2</v>
          </cell>
          <cell r="S571">
            <v>2</v>
          </cell>
          <cell r="T571">
            <v>2</v>
          </cell>
          <cell r="U571">
            <v>0</v>
          </cell>
        </row>
        <row r="572">
          <cell r="A572" t="str">
            <v>TC0032</v>
          </cell>
          <cell r="B572">
            <v>3</v>
          </cell>
          <cell r="C572">
            <v>3</v>
          </cell>
          <cell r="D572">
            <v>3</v>
          </cell>
          <cell r="E572">
            <v>0</v>
          </cell>
          <cell r="F572">
            <v>3</v>
          </cell>
          <cell r="G572">
            <v>0</v>
          </cell>
          <cell r="H572">
            <v>3</v>
          </cell>
          <cell r="I572">
            <v>3</v>
          </cell>
          <cell r="J572">
            <v>3</v>
          </cell>
          <cell r="K572">
            <v>3</v>
          </cell>
          <cell r="L572">
            <v>3</v>
          </cell>
          <cell r="M572">
            <v>0</v>
          </cell>
          <cell r="N572">
            <v>3</v>
          </cell>
          <cell r="O572">
            <v>0</v>
          </cell>
          <cell r="P572">
            <v>2</v>
          </cell>
          <cell r="Q572">
            <v>3</v>
          </cell>
          <cell r="R572">
            <v>3</v>
          </cell>
          <cell r="S572">
            <v>3</v>
          </cell>
          <cell r="T572">
            <v>3</v>
          </cell>
          <cell r="U572">
            <v>0</v>
          </cell>
        </row>
        <row r="573">
          <cell r="A573" t="str">
            <v>TC0033</v>
          </cell>
          <cell r="B573">
            <v>2</v>
          </cell>
          <cell r="C573">
            <v>2</v>
          </cell>
          <cell r="D573">
            <v>2</v>
          </cell>
          <cell r="E573">
            <v>0</v>
          </cell>
          <cell r="F573">
            <v>2</v>
          </cell>
          <cell r="G573">
            <v>0</v>
          </cell>
          <cell r="H573">
            <v>2</v>
          </cell>
          <cell r="I573">
            <v>2</v>
          </cell>
          <cell r="J573">
            <v>2</v>
          </cell>
          <cell r="K573">
            <v>2</v>
          </cell>
          <cell r="L573">
            <v>2</v>
          </cell>
          <cell r="M573">
            <v>0</v>
          </cell>
          <cell r="N573">
            <v>2</v>
          </cell>
          <cell r="O573">
            <v>0</v>
          </cell>
          <cell r="P573">
            <v>1</v>
          </cell>
          <cell r="Q573">
            <v>2</v>
          </cell>
          <cell r="R573">
            <v>2</v>
          </cell>
          <cell r="S573">
            <v>2</v>
          </cell>
          <cell r="T573">
            <v>3</v>
          </cell>
          <cell r="U573">
            <v>0</v>
          </cell>
        </row>
        <row r="574">
          <cell r="A574" t="str">
            <v>TC0034</v>
          </cell>
          <cell r="B574">
            <v>2</v>
          </cell>
          <cell r="C574">
            <v>2</v>
          </cell>
          <cell r="D574">
            <v>2</v>
          </cell>
          <cell r="E574">
            <v>0</v>
          </cell>
          <cell r="F574">
            <v>2</v>
          </cell>
          <cell r="G574">
            <v>0</v>
          </cell>
          <cell r="H574">
            <v>2</v>
          </cell>
          <cell r="I574">
            <v>2</v>
          </cell>
          <cell r="J574">
            <v>2</v>
          </cell>
          <cell r="K574">
            <v>2</v>
          </cell>
          <cell r="L574">
            <v>2</v>
          </cell>
          <cell r="M574">
            <v>0</v>
          </cell>
          <cell r="N574">
            <v>2</v>
          </cell>
          <cell r="O574">
            <v>0</v>
          </cell>
          <cell r="P574">
            <v>1</v>
          </cell>
          <cell r="Q574">
            <v>2</v>
          </cell>
          <cell r="R574">
            <v>2</v>
          </cell>
          <cell r="S574">
            <v>2</v>
          </cell>
          <cell r="T574">
            <v>2</v>
          </cell>
          <cell r="U574">
            <v>0</v>
          </cell>
        </row>
        <row r="575">
          <cell r="A575" t="str">
            <v>TC0036</v>
          </cell>
          <cell r="B575">
            <v>8</v>
          </cell>
          <cell r="C575">
            <v>2</v>
          </cell>
          <cell r="D575">
            <v>2</v>
          </cell>
          <cell r="E575">
            <v>4</v>
          </cell>
          <cell r="F575">
            <v>8</v>
          </cell>
          <cell r="G575">
            <v>5</v>
          </cell>
          <cell r="H575">
            <v>7</v>
          </cell>
          <cell r="I575">
            <v>8</v>
          </cell>
          <cell r="J575">
            <v>2</v>
          </cell>
          <cell r="K575">
            <v>8</v>
          </cell>
          <cell r="L575">
            <v>6</v>
          </cell>
          <cell r="M575">
            <v>6</v>
          </cell>
          <cell r="N575">
            <v>2</v>
          </cell>
          <cell r="O575">
            <v>2</v>
          </cell>
          <cell r="P575">
            <v>0</v>
          </cell>
          <cell r="Q575">
            <v>2</v>
          </cell>
          <cell r="R575">
            <v>9</v>
          </cell>
          <cell r="S575">
            <v>4</v>
          </cell>
          <cell r="T575">
            <v>0</v>
          </cell>
          <cell r="U575">
            <v>2</v>
          </cell>
        </row>
        <row r="576">
          <cell r="A576" t="str">
            <v>TC0038</v>
          </cell>
          <cell r="B576">
            <v>2</v>
          </cell>
          <cell r="C576">
            <v>1</v>
          </cell>
          <cell r="D576">
            <v>1</v>
          </cell>
          <cell r="E576">
            <v>1</v>
          </cell>
          <cell r="F576">
            <v>2</v>
          </cell>
          <cell r="G576">
            <v>2</v>
          </cell>
          <cell r="H576">
            <v>2</v>
          </cell>
          <cell r="I576">
            <v>2</v>
          </cell>
          <cell r="J576">
            <v>1</v>
          </cell>
          <cell r="K576">
            <v>2</v>
          </cell>
          <cell r="L576">
            <v>2</v>
          </cell>
          <cell r="M576">
            <v>2</v>
          </cell>
          <cell r="N576">
            <v>1</v>
          </cell>
          <cell r="O576">
            <v>1</v>
          </cell>
          <cell r="P576">
            <v>0</v>
          </cell>
          <cell r="Q576">
            <v>1</v>
          </cell>
          <cell r="R576">
            <v>2</v>
          </cell>
          <cell r="S576">
            <v>1</v>
          </cell>
          <cell r="T576">
            <v>0</v>
          </cell>
          <cell r="U576">
            <v>1</v>
          </cell>
        </row>
        <row r="577">
          <cell r="A577" t="str">
            <v>TC0039</v>
          </cell>
          <cell r="B577">
            <v>2</v>
          </cell>
          <cell r="C577">
            <v>2</v>
          </cell>
          <cell r="D577">
            <v>2</v>
          </cell>
          <cell r="E577">
            <v>2</v>
          </cell>
          <cell r="F577">
            <v>2</v>
          </cell>
          <cell r="G577">
            <v>2</v>
          </cell>
          <cell r="H577">
            <v>0</v>
          </cell>
          <cell r="I577">
            <v>2</v>
          </cell>
          <cell r="J577">
            <v>2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2</v>
          </cell>
        </row>
        <row r="578">
          <cell r="A578" t="str">
            <v>TC0040</v>
          </cell>
          <cell r="B578">
            <v>5</v>
          </cell>
          <cell r="C578">
            <v>4</v>
          </cell>
          <cell r="D578">
            <v>4</v>
          </cell>
          <cell r="E578">
            <v>4</v>
          </cell>
          <cell r="F578">
            <v>5</v>
          </cell>
          <cell r="G578">
            <v>4</v>
          </cell>
          <cell r="H578">
            <v>6</v>
          </cell>
          <cell r="I578">
            <v>5</v>
          </cell>
          <cell r="J578">
            <v>4</v>
          </cell>
          <cell r="K578">
            <v>6</v>
          </cell>
          <cell r="L578">
            <v>5</v>
          </cell>
          <cell r="M578">
            <v>3</v>
          </cell>
          <cell r="N578">
            <v>3</v>
          </cell>
          <cell r="O578">
            <v>3</v>
          </cell>
          <cell r="P578">
            <v>0</v>
          </cell>
          <cell r="Q578">
            <v>1</v>
          </cell>
          <cell r="R578">
            <v>4</v>
          </cell>
          <cell r="S578">
            <v>2</v>
          </cell>
          <cell r="T578">
            <v>0</v>
          </cell>
          <cell r="U578">
            <v>4</v>
          </cell>
        </row>
        <row r="579">
          <cell r="A579" t="str">
            <v>TC0041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4</v>
          </cell>
          <cell r="I579">
            <v>0</v>
          </cell>
          <cell r="J579">
            <v>0</v>
          </cell>
          <cell r="K579">
            <v>4</v>
          </cell>
          <cell r="L579">
            <v>3</v>
          </cell>
          <cell r="M579">
            <v>3</v>
          </cell>
          <cell r="N579">
            <v>1</v>
          </cell>
          <cell r="O579">
            <v>1</v>
          </cell>
          <cell r="P579">
            <v>0</v>
          </cell>
          <cell r="Q579">
            <v>1</v>
          </cell>
          <cell r="R579">
            <v>5</v>
          </cell>
          <cell r="S579">
            <v>2</v>
          </cell>
          <cell r="T579">
            <v>0</v>
          </cell>
          <cell r="U579">
            <v>0</v>
          </cell>
        </row>
        <row r="580">
          <cell r="A580" t="str">
            <v>TC0042</v>
          </cell>
          <cell r="B580">
            <v>4</v>
          </cell>
          <cell r="C580">
            <v>1</v>
          </cell>
          <cell r="D580">
            <v>1</v>
          </cell>
          <cell r="E580">
            <v>2</v>
          </cell>
          <cell r="F580">
            <v>4</v>
          </cell>
          <cell r="G580">
            <v>3</v>
          </cell>
          <cell r="H580">
            <v>4</v>
          </cell>
          <cell r="I580">
            <v>4</v>
          </cell>
          <cell r="J580">
            <v>1</v>
          </cell>
          <cell r="K580">
            <v>4</v>
          </cell>
          <cell r="L580">
            <v>3</v>
          </cell>
          <cell r="M580">
            <v>3</v>
          </cell>
          <cell r="N580">
            <v>1</v>
          </cell>
          <cell r="O580">
            <v>1</v>
          </cell>
          <cell r="P580">
            <v>0</v>
          </cell>
          <cell r="Q580">
            <v>1</v>
          </cell>
          <cell r="R580">
            <v>4</v>
          </cell>
          <cell r="S580">
            <v>2</v>
          </cell>
          <cell r="T580">
            <v>0</v>
          </cell>
          <cell r="U580">
            <v>1</v>
          </cell>
        </row>
        <row r="581">
          <cell r="A581" t="str">
            <v>TC0049</v>
          </cell>
          <cell r="B581">
            <v>9</v>
          </cell>
          <cell r="C581">
            <v>7</v>
          </cell>
          <cell r="D581">
            <v>7</v>
          </cell>
          <cell r="E581">
            <v>5</v>
          </cell>
          <cell r="F581">
            <v>9</v>
          </cell>
          <cell r="G581">
            <v>6</v>
          </cell>
          <cell r="H581">
            <v>9</v>
          </cell>
          <cell r="I581">
            <v>9</v>
          </cell>
          <cell r="J581">
            <v>7</v>
          </cell>
          <cell r="K581">
            <v>9</v>
          </cell>
          <cell r="L581">
            <v>8</v>
          </cell>
          <cell r="M581">
            <v>6</v>
          </cell>
          <cell r="N581">
            <v>7</v>
          </cell>
          <cell r="O581">
            <v>5</v>
          </cell>
          <cell r="P581">
            <v>0</v>
          </cell>
          <cell r="Q581">
            <v>7</v>
          </cell>
          <cell r="R581">
            <v>9</v>
          </cell>
          <cell r="S581">
            <v>7</v>
          </cell>
          <cell r="T581">
            <v>0</v>
          </cell>
          <cell r="U581">
            <v>5</v>
          </cell>
        </row>
        <row r="582">
          <cell r="A582" t="str">
            <v>TC0050</v>
          </cell>
          <cell r="B582">
            <v>9</v>
          </cell>
          <cell r="C582">
            <v>7</v>
          </cell>
          <cell r="D582">
            <v>7</v>
          </cell>
          <cell r="E582">
            <v>5</v>
          </cell>
          <cell r="F582">
            <v>9</v>
          </cell>
          <cell r="G582">
            <v>6</v>
          </cell>
          <cell r="H582">
            <v>9</v>
          </cell>
          <cell r="I582">
            <v>9</v>
          </cell>
          <cell r="J582">
            <v>7</v>
          </cell>
          <cell r="K582">
            <v>9</v>
          </cell>
          <cell r="L582">
            <v>8</v>
          </cell>
          <cell r="M582">
            <v>6</v>
          </cell>
          <cell r="N582">
            <v>7</v>
          </cell>
          <cell r="O582">
            <v>5</v>
          </cell>
          <cell r="P582">
            <v>0</v>
          </cell>
          <cell r="Q582">
            <v>7</v>
          </cell>
          <cell r="R582">
            <v>9</v>
          </cell>
          <cell r="S582">
            <v>7</v>
          </cell>
          <cell r="T582">
            <v>0</v>
          </cell>
          <cell r="U582">
            <v>5</v>
          </cell>
        </row>
        <row r="583">
          <cell r="A583" t="str">
            <v>TC0051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4</v>
          </cell>
          <cell r="I583">
            <v>0</v>
          </cell>
          <cell r="J583">
            <v>0</v>
          </cell>
          <cell r="K583">
            <v>4</v>
          </cell>
          <cell r="L583">
            <v>3</v>
          </cell>
          <cell r="M583">
            <v>3</v>
          </cell>
          <cell r="N583">
            <v>1</v>
          </cell>
          <cell r="O583">
            <v>1</v>
          </cell>
          <cell r="P583">
            <v>0</v>
          </cell>
          <cell r="Q583">
            <v>1</v>
          </cell>
          <cell r="R583">
            <v>5</v>
          </cell>
          <cell r="S583">
            <v>2</v>
          </cell>
          <cell r="T583">
            <v>0</v>
          </cell>
          <cell r="U583">
            <v>0</v>
          </cell>
        </row>
        <row r="584">
          <cell r="A584" t="str">
            <v>TC0052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</row>
        <row r="585">
          <cell r="A585" t="str">
            <v>TC0054</v>
          </cell>
          <cell r="B585">
            <v>10</v>
          </cell>
          <cell r="C585">
            <v>6</v>
          </cell>
          <cell r="D585">
            <v>6</v>
          </cell>
          <cell r="E585">
            <v>7</v>
          </cell>
          <cell r="F585">
            <v>10</v>
          </cell>
          <cell r="G585">
            <v>8</v>
          </cell>
          <cell r="H585">
            <v>9</v>
          </cell>
          <cell r="I585">
            <v>10</v>
          </cell>
          <cell r="J585">
            <v>5</v>
          </cell>
          <cell r="K585">
            <v>10</v>
          </cell>
          <cell r="L585">
            <v>8</v>
          </cell>
          <cell r="M585">
            <v>4</v>
          </cell>
          <cell r="N585">
            <v>5</v>
          </cell>
          <cell r="O585">
            <v>5</v>
          </cell>
          <cell r="P585">
            <v>0</v>
          </cell>
          <cell r="Q585">
            <v>2</v>
          </cell>
          <cell r="R585">
            <v>6</v>
          </cell>
          <cell r="S585">
            <v>3</v>
          </cell>
          <cell r="T585">
            <v>0</v>
          </cell>
          <cell r="U585">
            <v>5</v>
          </cell>
        </row>
        <row r="586">
          <cell r="A586" t="str">
            <v>TC0055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3</v>
          </cell>
          <cell r="R586">
            <v>11</v>
          </cell>
          <cell r="S586">
            <v>5</v>
          </cell>
          <cell r="T586">
            <v>0</v>
          </cell>
          <cell r="U586">
            <v>0</v>
          </cell>
        </row>
        <row r="587">
          <cell r="A587" t="str">
            <v>TC0057</v>
          </cell>
          <cell r="B587">
            <v>8</v>
          </cell>
          <cell r="C587">
            <v>4</v>
          </cell>
          <cell r="D587">
            <v>4</v>
          </cell>
          <cell r="E587">
            <v>5</v>
          </cell>
          <cell r="F587">
            <v>8</v>
          </cell>
          <cell r="G587">
            <v>6</v>
          </cell>
          <cell r="H587">
            <v>7</v>
          </cell>
          <cell r="I587">
            <v>8</v>
          </cell>
          <cell r="J587">
            <v>0</v>
          </cell>
          <cell r="K587">
            <v>8</v>
          </cell>
          <cell r="L587">
            <v>6</v>
          </cell>
          <cell r="M587">
            <v>4</v>
          </cell>
          <cell r="N587">
            <v>3</v>
          </cell>
          <cell r="O587">
            <v>3</v>
          </cell>
          <cell r="P587">
            <v>2</v>
          </cell>
          <cell r="Q587">
            <v>4</v>
          </cell>
          <cell r="R587">
            <v>8</v>
          </cell>
          <cell r="S587">
            <v>5</v>
          </cell>
          <cell r="T587">
            <v>2</v>
          </cell>
          <cell r="U587">
            <v>3</v>
          </cell>
        </row>
        <row r="588">
          <cell r="A588" t="str">
            <v>TC0058</v>
          </cell>
          <cell r="B588">
            <v>1</v>
          </cell>
          <cell r="C588">
            <v>1</v>
          </cell>
          <cell r="D588">
            <v>1</v>
          </cell>
          <cell r="E588">
            <v>1</v>
          </cell>
          <cell r="F588">
            <v>1</v>
          </cell>
          <cell r="G588">
            <v>1</v>
          </cell>
          <cell r="H588">
            <v>1</v>
          </cell>
          <cell r="I588">
            <v>1</v>
          </cell>
          <cell r="J588">
            <v>0</v>
          </cell>
          <cell r="K588">
            <v>1</v>
          </cell>
          <cell r="L588">
            <v>1</v>
          </cell>
          <cell r="M588">
            <v>1</v>
          </cell>
          <cell r="N588">
            <v>1</v>
          </cell>
          <cell r="O588">
            <v>1</v>
          </cell>
          <cell r="P588">
            <v>0</v>
          </cell>
          <cell r="Q588">
            <v>1</v>
          </cell>
          <cell r="R588">
            <v>1</v>
          </cell>
          <cell r="S588">
            <v>1</v>
          </cell>
          <cell r="T588">
            <v>0</v>
          </cell>
          <cell r="U588">
            <v>1</v>
          </cell>
        </row>
        <row r="589">
          <cell r="A589" t="str">
            <v>TC0059</v>
          </cell>
          <cell r="B589">
            <v>1</v>
          </cell>
          <cell r="C589">
            <v>1</v>
          </cell>
          <cell r="D589">
            <v>1</v>
          </cell>
          <cell r="E589">
            <v>1</v>
          </cell>
          <cell r="F589">
            <v>1</v>
          </cell>
          <cell r="G589">
            <v>1</v>
          </cell>
          <cell r="H589">
            <v>1</v>
          </cell>
          <cell r="I589">
            <v>1</v>
          </cell>
          <cell r="J589">
            <v>0</v>
          </cell>
          <cell r="K589">
            <v>1</v>
          </cell>
          <cell r="L589">
            <v>1</v>
          </cell>
          <cell r="M589">
            <v>1</v>
          </cell>
          <cell r="N589">
            <v>1</v>
          </cell>
          <cell r="O589">
            <v>1</v>
          </cell>
          <cell r="P589">
            <v>0</v>
          </cell>
          <cell r="Q589">
            <v>1</v>
          </cell>
          <cell r="R589">
            <v>1</v>
          </cell>
          <cell r="S589">
            <v>1</v>
          </cell>
          <cell r="T589">
            <v>0</v>
          </cell>
          <cell r="U589">
            <v>1</v>
          </cell>
        </row>
        <row r="590">
          <cell r="A590" t="str">
            <v>TC0060</v>
          </cell>
          <cell r="B590">
            <v>10</v>
          </cell>
          <cell r="C590">
            <v>8</v>
          </cell>
          <cell r="D590">
            <v>8</v>
          </cell>
          <cell r="E590">
            <v>6</v>
          </cell>
          <cell r="F590">
            <v>10</v>
          </cell>
          <cell r="G590">
            <v>7</v>
          </cell>
          <cell r="H590">
            <v>10</v>
          </cell>
          <cell r="I590">
            <v>10</v>
          </cell>
          <cell r="J590">
            <v>8</v>
          </cell>
          <cell r="K590">
            <v>10</v>
          </cell>
          <cell r="L590">
            <v>9</v>
          </cell>
          <cell r="M590">
            <v>9</v>
          </cell>
          <cell r="N590">
            <v>8</v>
          </cell>
          <cell r="O590">
            <v>8</v>
          </cell>
          <cell r="P590">
            <v>0</v>
          </cell>
          <cell r="Q590">
            <v>8</v>
          </cell>
          <cell r="R590">
            <v>10</v>
          </cell>
          <cell r="S590">
            <v>8</v>
          </cell>
          <cell r="T590">
            <v>0</v>
          </cell>
          <cell r="U590">
            <v>6</v>
          </cell>
        </row>
        <row r="591">
          <cell r="A591" t="str">
            <v>TC0061</v>
          </cell>
          <cell r="B591">
            <v>9</v>
          </cell>
          <cell r="C591">
            <v>7</v>
          </cell>
          <cell r="D591">
            <v>7</v>
          </cell>
          <cell r="E591">
            <v>5</v>
          </cell>
          <cell r="F591">
            <v>9</v>
          </cell>
          <cell r="G591">
            <v>6</v>
          </cell>
          <cell r="H591">
            <v>9</v>
          </cell>
          <cell r="I591">
            <v>9</v>
          </cell>
          <cell r="J591">
            <v>7</v>
          </cell>
          <cell r="K591">
            <v>9</v>
          </cell>
          <cell r="L591">
            <v>8</v>
          </cell>
          <cell r="M591">
            <v>6</v>
          </cell>
          <cell r="N591">
            <v>7</v>
          </cell>
          <cell r="O591">
            <v>5</v>
          </cell>
          <cell r="P591">
            <v>0</v>
          </cell>
          <cell r="Q591">
            <v>7</v>
          </cell>
          <cell r="R591">
            <v>9</v>
          </cell>
          <cell r="S591">
            <v>7</v>
          </cell>
          <cell r="T591">
            <v>0</v>
          </cell>
          <cell r="U591">
            <v>5</v>
          </cell>
        </row>
        <row r="592">
          <cell r="A592" t="str">
            <v>TC0062</v>
          </cell>
          <cell r="B592">
            <v>9</v>
          </cell>
          <cell r="C592">
            <v>7</v>
          </cell>
          <cell r="D592">
            <v>7</v>
          </cell>
          <cell r="E592">
            <v>5</v>
          </cell>
          <cell r="F592">
            <v>9</v>
          </cell>
          <cell r="G592">
            <v>6</v>
          </cell>
          <cell r="H592">
            <v>9</v>
          </cell>
          <cell r="I592">
            <v>9</v>
          </cell>
          <cell r="J592">
            <v>7</v>
          </cell>
          <cell r="K592">
            <v>9</v>
          </cell>
          <cell r="L592">
            <v>8</v>
          </cell>
          <cell r="M592">
            <v>6</v>
          </cell>
          <cell r="N592">
            <v>7</v>
          </cell>
          <cell r="O592">
            <v>5</v>
          </cell>
          <cell r="P592">
            <v>0</v>
          </cell>
          <cell r="Q592">
            <v>7</v>
          </cell>
          <cell r="R592">
            <v>9</v>
          </cell>
          <cell r="S592">
            <v>7</v>
          </cell>
          <cell r="T592">
            <v>0</v>
          </cell>
          <cell r="U592">
            <v>5</v>
          </cell>
        </row>
        <row r="593">
          <cell r="A593" t="str">
            <v>TC0063</v>
          </cell>
          <cell r="B593">
            <v>120</v>
          </cell>
          <cell r="C593">
            <v>30</v>
          </cell>
          <cell r="D593">
            <v>30</v>
          </cell>
          <cell r="E593">
            <v>60</v>
          </cell>
          <cell r="F593">
            <v>120</v>
          </cell>
          <cell r="G593">
            <v>70</v>
          </cell>
          <cell r="H593">
            <v>95</v>
          </cell>
          <cell r="I593">
            <v>120</v>
          </cell>
          <cell r="J593">
            <v>5</v>
          </cell>
          <cell r="K593">
            <v>115</v>
          </cell>
          <cell r="L593">
            <v>80</v>
          </cell>
          <cell r="M593">
            <v>80</v>
          </cell>
          <cell r="N593">
            <v>20</v>
          </cell>
          <cell r="O593">
            <v>15</v>
          </cell>
          <cell r="P593">
            <v>0</v>
          </cell>
          <cell r="Q593">
            <v>25</v>
          </cell>
          <cell r="R593">
            <v>105</v>
          </cell>
          <cell r="S593">
            <v>50</v>
          </cell>
          <cell r="T593">
            <v>0</v>
          </cell>
          <cell r="U593">
            <v>10</v>
          </cell>
        </row>
        <row r="594">
          <cell r="A594" t="str">
            <v>TC0064</v>
          </cell>
          <cell r="B594">
            <v>3</v>
          </cell>
          <cell r="C594">
            <v>3</v>
          </cell>
          <cell r="D594">
            <v>3</v>
          </cell>
          <cell r="E594">
            <v>3</v>
          </cell>
          <cell r="F594">
            <v>3</v>
          </cell>
          <cell r="G594">
            <v>3</v>
          </cell>
          <cell r="H594">
            <v>3</v>
          </cell>
          <cell r="I594">
            <v>3</v>
          </cell>
          <cell r="J594">
            <v>3</v>
          </cell>
          <cell r="K594">
            <v>3</v>
          </cell>
          <cell r="L594">
            <v>3</v>
          </cell>
          <cell r="M594">
            <v>3</v>
          </cell>
          <cell r="N594">
            <v>3</v>
          </cell>
          <cell r="O594">
            <v>3</v>
          </cell>
          <cell r="P594">
            <v>0</v>
          </cell>
          <cell r="Q594">
            <v>3</v>
          </cell>
          <cell r="R594">
            <v>3</v>
          </cell>
          <cell r="S594">
            <v>3</v>
          </cell>
          <cell r="T594">
            <v>0</v>
          </cell>
          <cell r="U594">
            <v>3</v>
          </cell>
        </row>
        <row r="595">
          <cell r="A595" t="str">
            <v>TC0065</v>
          </cell>
          <cell r="B595">
            <v>2</v>
          </cell>
          <cell r="C595">
            <v>2</v>
          </cell>
          <cell r="D595">
            <v>2</v>
          </cell>
          <cell r="E595">
            <v>0</v>
          </cell>
          <cell r="F595">
            <v>2</v>
          </cell>
          <cell r="G595">
            <v>0</v>
          </cell>
          <cell r="H595">
            <v>2</v>
          </cell>
          <cell r="I595">
            <v>2</v>
          </cell>
          <cell r="J595">
            <v>2</v>
          </cell>
          <cell r="K595">
            <v>2</v>
          </cell>
          <cell r="L595">
            <v>2</v>
          </cell>
          <cell r="M595">
            <v>0</v>
          </cell>
          <cell r="N595">
            <v>2</v>
          </cell>
          <cell r="O595">
            <v>0</v>
          </cell>
          <cell r="P595">
            <v>1</v>
          </cell>
          <cell r="Q595">
            <v>2</v>
          </cell>
          <cell r="R595">
            <v>2</v>
          </cell>
          <cell r="S595">
            <v>2</v>
          </cell>
          <cell r="T595">
            <v>1</v>
          </cell>
          <cell r="U595">
            <v>0</v>
          </cell>
        </row>
        <row r="596">
          <cell r="A596" t="str">
            <v>TC0066</v>
          </cell>
          <cell r="B596">
            <v>2</v>
          </cell>
          <cell r="C596">
            <v>2</v>
          </cell>
          <cell r="D596">
            <v>2</v>
          </cell>
          <cell r="E596">
            <v>0</v>
          </cell>
          <cell r="F596">
            <v>2</v>
          </cell>
          <cell r="G596">
            <v>0</v>
          </cell>
          <cell r="H596">
            <v>2</v>
          </cell>
          <cell r="I596">
            <v>2</v>
          </cell>
          <cell r="J596">
            <v>2</v>
          </cell>
          <cell r="K596">
            <v>2</v>
          </cell>
          <cell r="L596">
            <v>2</v>
          </cell>
          <cell r="M596">
            <v>0</v>
          </cell>
          <cell r="N596">
            <v>2</v>
          </cell>
          <cell r="O596">
            <v>0</v>
          </cell>
          <cell r="P596">
            <v>1</v>
          </cell>
          <cell r="Q596">
            <v>2</v>
          </cell>
          <cell r="R596">
            <v>2</v>
          </cell>
          <cell r="S596">
            <v>2</v>
          </cell>
          <cell r="T596">
            <v>1</v>
          </cell>
          <cell r="U596">
            <v>0</v>
          </cell>
        </row>
        <row r="597">
          <cell r="A597" t="str">
            <v>TC0067</v>
          </cell>
          <cell r="B597">
            <v>2</v>
          </cell>
          <cell r="C597">
            <v>2</v>
          </cell>
          <cell r="D597">
            <v>2</v>
          </cell>
          <cell r="E597">
            <v>0</v>
          </cell>
          <cell r="F597">
            <v>2</v>
          </cell>
          <cell r="G597">
            <v>0</v>
          </cell>
          <cell r="H597">
            <v>2</v>
          </cell>
          <cell r="I597">
            <v>2</v>
          </cell>
          <cell r="J597">
            <v>2</v>
          </cell>
          <cell r="K597">
            <v>2</v>
          </cell>
          <cell r="L597">
            <v>2</v>
          </cell>
          <cell r="M597">
            <v>0</v>
          </cell>
          <cell r="N597">
            <v>2</v>
          </cell>
          <cell r="O597">
            <v>0</v>
          </cell>
          <cell r="P597">
            <v>1</v>
          </cell>
          <cell r="Q597">
            <v>2</v>
          </cell>
          <cell r="R597">
            <v>2</v>
          </cell>
          <cell r="S597">
            <v>2</v>
          </cell>
          <cell r="T597">
            <v>2</v>
          </cell>
          <cell r="U597">
            <v>0</v>
          </cell>
        </row>
        <row r="598">
          <cell r="A598" t="str">
            <v>TC0069</v>
          </cell>
          <cell r="B598">
            <v>10</v>
          </cell>
          <cell r="C598">
            <v>8</v>
          </cell>
          <cell r="D598">
            <v>8</v>
          </cell>
          <cell r="E598">
            <v>6</v>
          </cell>
          <cell r="F598">
            <v>10</v>
          </cell>
          <cell r="G598">
            <v>7</v>
          </cell>
          <cell r="H598">
            <v>10</v>
          </cell>
          <cell r="I598">
            <v>10</v>
          </cell>
          <cell r="J598">
            <v>8</v>
          </cell>
          <cell r="K598">
            <v>10</v>
          </cell>
          <cell r="L598">
            <v>9</v>
          </cell>
          <cell r="M598">
            <v>7</v>
          </cell>
          <cell r="N598">
            <v>8</v>
          </cell>
          <cell r="O598">
            <v>6</v>
          </cell>
          <cell r="P598">
            <v>3</v>
          </cell>
          <cell r="Q598">
            <v>8</v>
          </cell>
          <cell r="R598">
            <v>10</v>
          </cell>
          <cell r="S598">
            <v>8</v>
          </cell>
          <cell r="T598">
            <v>0</v>
          </cell>
          <cell r="U598">
            <v>6</v>
          </cell>
        </row>
        <row r="599">
          <cell r="A599" t="str">
            <v>TC0070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7</v>
          </cell>
          <cell r="I599">
            <v>0</v>
          </cell>
          <cell r="J599">
            <v>0</v>
          </cell>
          <cell r="K599">
            <v>8</v>
          </cell>
          <cell r="L599">
            <v>6</v>
          </cell>
          <cell r="M599">
            <v>6</v>
          </cell>
          <cell r="N599">
            <v>2</v>
          </cell>
          <cell r="O599">
            <v>1</v>
          </cell>
          <cell r="P599">
            <v>1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</row>
        <row r="600">
          <cell r="A600" t="str">
            <v>TC0071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4</v>
          </cell>
          <cell r="I600">
            <v>0</v>
          </cell>
          <cell r="J600">
            <v>0</v>
          </cell>
          <cell r="K600">
            <v>4</v>
          </cell>
          <cell r="L600">
            <v>3</v>
          </cell>
          <cell r="M600">
            <v>3</v>
          </cell>
          <cell r="N600">
            <v>1</v>
          </cell>
          <cell r="O600">
            <v>1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</row>
        <row r="601">
          <cell r="A601" t="str">
            <v>TC0072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3</v>
          </cell>
          <cell r="I601">
            <v>0</v>
          </cell>
          <cell r="J601">
            <v>0</v>
          </cell>
          <cell r="K601">
            <v>3</v>
          </cell>
          <cell r="L601">
            <v>3</v>
          </cell>
          <cell r="M601">
            <v>2</v>
          </cell>
          <cell r="N601">
            <v>2</v>
          </cell>
          <cell r="O601">
            <v>1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</row>
        <row r="602">
          <cell r="A602" t="str">
            <v>TC0073</v>
          </cell>
          <cell r="B602">
            <v>2</v>
          </cell>
          <cell r="C602">
            <v>2</v>
          </cell>
          <cell r="D602">
            <v>2</v>
          </cell>
          <cell r="E602">
            <v>0</v>
          </cell>
          <cell r="F602">
            <v>2</v>
          </cell>
          <cell r="G602">
            <v>0</v>
          </cell>
          <cell r="H602">
            <v>2</v>
          </cell>
          <cell r="I602">
            <v>2</v>
          </cell>
          <cell r="J602">
            <v>0</v>
          </cell>
          <cell r="K602">
            <v>2</v>
          </cell>
          <cell r="L602">
            <v>2</v>
          </cell>
          <cell r="M602">
            <v>0</v>
          </cell>
          <cell r="N602">
            <v>2</v>
          </cell>
          <cell r="O602">
            <v>0</v>
          </cell>
          <cell r="P602">
            <v>0</v>
          </cell>
          <cell r="Q602">
            <v>2</v>
          </cell>
          <cell r="R602">
            <v>2</v>
          </cell>
          <cell r="S602">
            <v>2</v>
          </cell>
          <cell r="T602">
            <v>0</v>
          </cell>
          <cell r="U602">
            <v>0</v>
          </cell>
        </row>
        <row r="603">
          <cell r="A603" t="str">
            <v>TC0074</v>
          </cell>
          <cell r="B603">
            <v>9</v>
          </cell>
          <cell r="C603">
            <v>7</v>
          </cell>
          <cell r="D603">
            <v>7</v>
          </cell>
          <cell r="E603">
            <v>5</v>
          </cell>
          <cell r="F603">
            <v>9</v>
          </cell>
          <cell r="G603">
            <v>6</v>
          </cell>
          <cell r="H603">
            <v>9</v>
          </cell>
          <cell r="I603">
            <v>9</v>
          </cell>
          <cell r="J603">
            <v>7</v>
          </cell>
          <cell r="K603">
            <v>9</v>
          </cell>
          <cell r="L603">
            <v>8</v>
          </cell>
          <cell r="M603">
            <v>6</v>
          </cell>
          <cell r="N603">
            <v>7</v>
          </cell>
          <cell r="O603">
            <v>5</v>
          </cell>
          <cell r="P603">
            <v>0</v>
          </cell>
          <cell r="Q603">
            <v>7</v>
          </cell>
          <cell r="R603">
            <v>9</v>
          </cell>
          <cell r="S603">
            <v>7</v>
          </cell>
          <cell r="T603">
            <v>0</v>
          </cell>
          <cell r="U603">
            <v>5</v>
          </cell>
        </row>
        <row r="604">
          <cell r="A604" t="str">
            <v>TC0076</v>
          </cell>
          <cell r="B604">
            <v>2</v>
          </cell>
          <cell r="C604">
            <v>1</v>
          </cell>
          <cell r="D604">
            <v>1</v>
          </cell>
          <cell r="E604">
            <v>1</v>
          </cell>
          <cell r="F604">
            <v>2</v>
          </cell>
          <cell r="G604">
            <v>2</v>
          </cell>
          <cell r="H604">
            <v>4</v>
          </cell>
          <cell r="I604">
            <v>2</v>
          </cell>
          <cell r="J604">
            <v>1</v>
          </cell>
          <cell r="K604">
            <v>4</v>
          </cell>
          <cell r="L604">
            <v>3</v>
          </cell>
          <cell r="M604">
            <v>3</v>
          </cell>
          <cell r="N604">
            <v>1</v>
          </cell>
          <cell r="O604">
            <v>1</v>
          </cell>
          <cell r="P604">
            <v>0</v>
          </cell>
          <cell r="Q604">
            <v>1</v>
          </cell>
          <cell r="R604">
            <v>5</v>
          </cell>
          <cell r="S604">
            <v>2</v>
          </cell>
          <cell r="T604">
            <v>0</v>
          </cell>
          <cell r="U604">
            <v>1</v>
          </cell>
        </row>
        <row r="605">
          <cell r="A605" t="str">
            <v>TC0077</v>
          </cell>
          <cell r="B605">
            <v>5</v>
          </cell>
          <cell r="C605">
            <v>5</v>
          </cell>
          <cell r="D605">
            <v>5</v>
          </cell>
          <cell r="E605">
            <v>4</v>
          </cell>
          <cell r="F605">
            <v>5</v>
          </cell>
          <cell r="G605">
            <v>4</v>
          </cell>
          <cell r="H605">
            <v>5</v>
          </cell>
          <cell r="I605">
            <v>5</v>
          </cell>
          <cell r="J605">
            <v>5</v>
          </cell>
          <cell r="K605">
            <v>5</v>
          </cell>
          <cell r="L605">
            <v>5</v>
          </cell>
          <cell r="M605">
            <v>2</v>
          </cell>
          <cell r="N605">
            <v>5</v>
          </cell>
          <cell r="O605">
            <v>4</v>
          </cell>
          <cell r="P605">
            <v>0</v>
          </cell>
          <cell r="Q605">
            <v>5</v>
          </cell>
          <cell r="R605">
            <v>5</v>
          </cell>
          <cell r="S605">
            <v>5</v>
          </cell>
          <cell r="T605">
            <v>0</v>
          </cell>
          <cell r="U605">
            <v>4</v>
          </cell>
        </row>
        <row r="606">
          <cell r="A606" t="str">
            <v>TC0078</v>
          </cell>
          <cell r="B606">
            <v>2</v>
          </cell>
          <cell r="C606">
            <v>2</v>
          </cell>
          <cell r="D606">
            <v>2</v>
          </cell>
          <cell r="E606">
            <v>0</v>
          </cell>
          <cell r="F606">
            <v>2</v>
          </cell>
          <cell r="G606">
            <v>0</v>
          </cell>
          <cell r="H606">
            <v>2</v>
          </cell>
          <cell r="I606">
            <v>2</v>
          </cell>
          <cell r="J606">
            <v>2</v>
          </cell>
          <cell r="K606">
            <v>2</v>
          </cell>
          <cell r="L606">
            <v>2</v>
          </cell>
          <cell r="M606">
            <v>0</v>
          </cell>
          <cell r="N606">
            <v>2</v>
          </cell>
          <cell r="O606">
            <v>0</v>
          </cell>
          <cell r="P606">
            <v>0</v>
          </cell>
          <cell r="Q606">
            <v>2</v>
          </cell>
          <cell r="R606">
            <v>2</v>
          </cell>
          <cell r="S606">
            <v>2</v>
          </cell>
          <cell r="T606">
            <v>2</v>
          </cell>
          <cell r="U606">
            <v>0</v>
          </cell>
        </row>
        <row r="607">
          <cell r="A607" t="str">
            <v>TC0079</v>
          </cell>
          <cell r="B607">
            <v>2</v>
          </cell>
          <cell r="C607">
            <v>2</v>
          </cell>
          <cell r="D607">
            <v>2</v>
          </cell>
          <cell r="E607">
            <v>0</v>
          </cell>
          <cell r="F607">
            <v>2</v>
          </cell>
          <cell r="G607">
            <v>0</v>
          </cell>
          <cell r="H607">
            <v>2</v>
          </cell>
          <cell r="I607">
            <v>2</v>
          </cell>
          <cell r="J607">
            <v>0</v>
          </cell>
          <cell r="K607">
            <v>2</v>
          </cell>
          <cell r="L607">
            <v>2</v>
          </cell>
          <cell r="M607">
            <v>0</v>
          </cell>
          <cell r="N607">
            <v>2</v>
          </cell>
          <cell r="O607">
            <v>0</v>
          </cell>
          <cell r="P607">
            <v>2</v>
          </cell>
          <cell r="Q607">
            <v>2</v>
          </cell>
          <cell r="R607">
            <v>2</v>
          </cell>
          <cell r="S607">
            <v>2</v>
          </cell>
          <cell r="T607">
            <v>2</v>
          </cell>
          <cell r="U607">
            <v>0</v>
          </cell>
        </row>
        <row r="608">
          <cell r="A608" t="str">
            <v>TC0080</v>
          </cell>
          <cell r="B608">
            <v>9</v>
          </cell>
          <cell r="C608">
            <v>7</v>
          </cell>
          <cell r="D608">
            <v>7</v>
          </cell>
          <cell r="E608">
            <v>5</v>
          </cell>
          <cell r="F608">
            <v>9</v>
          </cell>
          <cell r="G608">
            <v>6</v>
          </cell>
          <cell r="H608">
            <v>9</v>
          </cell>
          <cell r="I608">
            <v>9</v>
          </cell>
          <cell r="J608">
            <v>7</v>
          </cell>
          <cell r="K608">
            <v>9</v>
          </cell>
          <cell r="L608">
            <v>8</v>
          </cell>
          <cell r="M608">
            <v>6</v>
          </cell>
          <cell r="N608">
            <v>7</v>
          </cell>
          <cell r="O608">
            <v>5</v>
          </cell>
          <cell r="P608">
            <v>0</v>
          </cell>
          <cell r="Q608">
            <v>7</v>
          </cell>
          <cell r="R608">
            <v>9</v>
          </cell>
          <cell r="S608">
            <v>7</v>
          </cell>
          <cell r="T608">
            <v>0</v>
          </cell>
          <cell r="U608">
            <v>5</v>
          </cell>
        </row>
        <row r="609">
          <cell r="A609" t="str">
            <v>TC0081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1</v>
          </cell>
          <cell r="I609">
            <v>0</v>
          </cell>
          <cell r="J609">
            <v>0</v>
          </cell>
          <cell r="K609">
            <v>1</v>
          </cell>
          <cell r="L609">
            <v>1</v>
          </cell>
          <cell r="M609">
            <v>1</v>
          </cell>
          <cell r="N609">
            <v>1</v>
          </cell>
          <cell r="O609">
            <v>1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</row>
        <row r="610">
          <cell r="A610" t="str">
            <v>TC0082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1</v>
          </cell>
          <cell r="I610">
            <v>0</v>
          </cell>
          <cell r="J610">
            <v>0</v>
          </cell>
          <cell r="K610">
            <v>1</v>
          </cell>
          <cell r="L610">
            <v>1</v>
          </cell>
          <cell r="M610">
            <v>1</v>
          </cell>
          <cell r="N610">
            <v>1</v>
          </cell>
          <cell r="O610">
            <v>1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</row>
        <row r="611">
          <cell r="A611" t="str">
            <v>TC0083</v>
          </cell>
          <cell r="B611">
            <v>2</v>
          </cell>
          <cell r="C611">
            <v>1</v>
          </cell>
          <cell r="D611">
            <v>1</v>
          </cell>
          <cell r="E611">
            <v>1</v>
          </cell>
          <cell r="F611">
            <v>2</v>
          </cell>
          <cell r="G611">
            <v>2</v>
          </cell>
          <cell r="H611">
            <v>2</v>
          </cell>
          <cell r="I611">
            <v>2</v>
          </cell>
          <cell r="J611">
            <v>1</v>
          </cell>
          <cell r="K611">
            <v>2</v>
          </cell>
          <cell r="L611">
            <v>2</v>
          </cell>
          <cell r="M611">
            <v>2</v>
          </cell>
          <cell r="N611">
            <v>1</v>
          </cell>
          <cell r="O611">
            <v>1</v>
          </cell>
          <cell r="P611">
            <v>0</v>
          </cell>
          <cell r="Q611">
            <v>1</v>
          </cell>
          <cell r="R611">
            <v>2</v>
          </cell>
          <cell r="S611">
            <v>1</v>
          </cell>
          <cell r="T611">
            <v>0</v>
          </cell>
          <cell r="U611">
            <v>1</v>
          </cell>
        </row>
        <row r="612">
          <cell r="A612" t="str">
            <v>TC0084</v>
          </cell>
          <cell r="B612">
            <v>9</v>
          </cell>
          <cell r="C612">
            <v>7</v>
          </cell>
          <cell r="D612">
            <v>7</v>
          </cell>
          <cell r="E612">
            <v>5</v>
          </cell>
          <cell r="F612">
            <v>9</v>
          </cell>
          <cell r="G612">
            <v>6</v>
          </cell>
          <cell r="H612">
            <v>9</v>
          </cell>
          <cell r="I612">
            <v>9</v>
          </cell>
          <cell r="J612">
            <v>7</v>
          </cell>
          <cell r="K612">
            <v>9</v>
          </cell>
          <cell r="L612">
            <v>8</v>
          </cell>
          <cell r="M612">
            <v>6</v>
          </cell>
          <cell r="N612">
            <v>7</v>
          </cell>
          <cell r="O612">
            <v>5</v>
          </cell>
          <cell r="P612">
            <v>0</v>
          </cell>
          <cell r="Q612">
            <v>7</v>
          </cell>
          <cell r="R612">
            <v>9</v>
          </cell>
          <cell r="S612">
            <v>7</v>
          </cell>
          <cell r="T612">
            <v>0</v>
          </cell>
          <cell r="U612">
            <v>5</v>
          </cell>
        </row>
        <row r="613">
          <cell r="A613" t="str">
            <v>TC0085</v>
          </cell>
          <cell r="B613">
            <v>2</v>
          </cell>
          <cell r="C613">
            <v>2</v>
          </cell>
          <cell r="D613">
            <v>2</v>
          </cell>
          <cell r="E613">
            <v>0</v>
          </cell>
          <cell r="F613">
            <v>2</v>
          </cell>
          <cell r="G613">
            <v>0</v>
          </cell>
          <cell r="H613">
            <v>2</v>
          </cell>
          <cell r="I613">
            <v>2</v>
          </cell>
          <cell r="J613">
            <v>2</v>
          </cell>
          <cell r="K613">
            <v>2</v>
          </cell>
          <cell r="L613">
            <v>2</v>
          </cell>
          <cell r="M613">
            <v>0</v>
          </cell>
          <cell r="N613">
            <v>2</v>
          </cell>
          <cell r="O613">
            <v>0</v>
          </cell>
          <cell r="P613">
            <v>0</v>
          </cell>
          <cell r="Q613">
            <v>2</v>
          </cell>
          <cell r="R613">
            <v>2</v>
          </cell>
          <cell r="S613">
            <v>2</v>
          </cell>
          <cell r="T613">
            <v>0</v>
          </cell>
          <cell r="U613">
            <v>0</v>
          </cell>
        </row>
        <row r="614">
          <cell r="A614" t="str">
            <v>TC0086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1</v>
          </cell>
          <cell r="R614">
            <v>4</v>
          </cell>
          <cell r="S614">
            <v>2</v>
          </cell>
          <cell r="T614">
            <v>0</v>
          </cell>
          <cell r="U614">
            <v>0</v>
          </cell>
        </row>
        <row r="615">
          <cell r="A615" t="str">
            <v>TC0087</v>
          </cell>
          <cell r="B615">
            <v>8</v>
          </cell>
          <cell r="C615">
            <v>6</v>
          </cell>
          <cell r="D615">
            <v>6</v>
          </cell>
          <cell r="E615">
            <v>6</v>
          </cell>
          <cell r="F615">
            <v>8</v>
          </cell>
          <cell r="G615">
            <v>7</v>
          </cell>
          <cell r="H615">
            <v>8</v>
          </cell>
          <cell r="I615">
            <v>8</v>
          </cell>
          <cell r="J615">
            <v>6</v>
          </cell>
          <cell r="K615">
            <v>8</v>
          </cell>
          <cell r="L615">
            <v>7</v>
          </cell>
          <cell r="M615">
            <v>3</v>
          </cell>
          <cell r="N615">
            <v>6</v>
          </cell>
          <cell r="O615">
            <v>6</v>
          </cell>
          <cell r="P615">
            <v>0</v>
          </cell>
          <cell r="Q615">
            <v>6</v>
          </cell>
          <cell r="R615">
            <v>8</v>
          </cell>
          <cell r="S615">
            <v>6</v>
          </cell>
          <cell r="T615">
            <v>0</v>
          </cell>
          <cell r="U615">
            <v>6</v>
          </cell>
        </row>
        <row r="616">
          <cell r="A616" t="str">
            <v>TC0088</v>
          </cell>
          <cell r="B616">
            <v>1</v>
          </cell>
          <cell r="C616">
            <v>1</v>
          </cell>
          <cell r="D616">
            <v>1</v>
          </cell>
          <cell r="E616">
            <v>1</v>
          </cell>
          <cell r="F616">
            <v>1</v>
          </cell>
          <cell r="G616">
            <v>1</v>
          </cell>
          <cell r="H616">
            <v>1</v>
          </cell>
          <cell r="I616">
            <v>1</v>
          </cell>
          <cell r="J616">
            <v>1</v>
          </cell>
          <cell r="K616">
            <v>1</v>
          </cell>
          <cell r="L616">
            <v>1</v>
          </cell>
          <cell r="M616">
            <v>1</v>
          </cell>
          <cell r="N616">
            <v>1</v>
          </cell>
          <cell r="O616">
            <v>1</v>
          </cell>
          <cell r="P616">
            <v>0</v>
          </cell>
          <cell r="Q616">
            <v>1</v>
          </cell>
          <cell r="R616">
            <v>1</v>
          </cell>
          <cell r="S616">
            <v>1</v>
          </cell>
          <cell r="T616">
            <v>0</v>
          </cell>
          <cell r="U616">
            <v>1</v>
          </cell>
        </row>
        <row r="617">
          <cell r="A617" t="str">
            <v>TC0089</v>
          </cell>
          <cell r="B617">
            <v>1</v>
          </cell>
          <cell r="C617">
            <v>1</v>
          </cell>
          <cell r="D617">
            <v>1</v>
          </cell>
          <cell r="E617">
            <v>1</v>
          </cell>
          <cell r="F617">
            <v>1</v>
          </cell>
          <cell r="G617">
            <v>1</v>
          </cell>
          <cell r="H617">
            <v>1</v>
          </cell>
          <cell r="I617">
            <v>1</v>
          </cell>
          <cell r="J617">
            <v>1</v>
          </cell>
          <cell r="K617">
            <v>1</v>
          </cell>
          <cell r="L617">
            <v>1</v>
          </cell>
          <cell r="M617">
            <v>1</v>
          </cell>
          <cell r="N617">
            <v>1</v>
          </cell>
          <cell r="O617">
            <v>1</v>
          </cell>
          <cell r="P617">
            <v>0</v>
          </cell>
          <cell r="Q617">
            <v>1</v>
          </cell>
          <cell r="R617">
            <v>1</v>
          </cell>
          <cell r="S617">
            <v>1</v>
          </cell>
          <cell r="T617">
            <v>0</v>
          </cell>
          <cell r="U617">
            <v>1</v>
          </cell>
        </row>
        <row r="618">
          <cell r="A618" t="str">
            <v>TC0090</v>
          </cell>
          <cell r="B618">
            <v>1</v>
          </cell>
          <cell r="C618">
            <v>1</v>
          </cell>
          <cell r="D618">
            <v>1</v>
          </cell>
          <cell r="E618">
            <v>1</v>
          </cell>
          <cell r="F618">
            <v>1</v>
          </cell>
          <cell r="G618">
            <v>1</v>
          </cell>
          <cell r="H618">
            <v>1</v>
          </cell>
          <cell r="I618">
            <v>1</v>
          </cell>
          <cell r="J618">
            <v>1</v>
          </cell>
          <cell r="K618">
            <v>1</v>
          </cell>
          <cell r="L618">
            <v>1</v>
          </cell>
          <cell r="M618">
            <v>1</v>
          </cell>
          <cell r="N618">
            <v>1</v>
          </cell>
          <cell r="O618">
            <v>1</v>
          </cell>
          <cell r="P618">
            <v>0</v>
          </cell>
          <cell r="Q618">
            <v>1</v>
          </cell>
          <cell r="R618">
            <v>1</v>
          </cell>
          <cell r="S618">
            <v>1</v>
          </cell>
          <cell r="T618">
            <v>0</v>
          </cell>
          <cell r="U618">
            <v>1</v>
          </cell>
        </row>
        <row r="619">
          <cell r="A619" t="str">
            <v>TC0091</v>
          </cell>
          <cell r="B619">
            <v>1</v>
          </cell>
          <cell r="C619">
            <v>1</v>
          </cell>
          <cell r="D619">
            <v>1</v>
          </cell>
          <cell r="E619">
            <v>1</v>
          </cell>
          <cell r="F619">
            <v>1</v>
          </cell>
          <cell r="G619">
            <v>1</v>
          </cell>
          <cell r="H619">
            <v>1</v>
          </cell>
          <cell r="I619">
            <v>1</v>
          </cell>
          <cell r="J619">
            <v>1</v>
          </cell>
          <cell r="K619">
            <v>1</v>
          </cell>
          <cell r="L619">
            <v>1</v>
          </cell>
          <cell r="M619">
            <v>1</v>
          </cell>
          <cell r="N619">
            <v>1</v>
          </cell>
          <cell r="O619">
            <v>1</v>
          </cell>
          <cell r="P619">
            <v>0</v>
          </cell>
          <cell r="Q619">
            <v>1</v>
          </cell>
          <cell r="R619">
            <v>1</v>
          </cell>
          <cell r="S619">
            <v>1</v>
          </cell>
          <cell r="T619">
            <v>0</v>
          </cell>
          <cell r="U619">
            <v>1</v>
          </cell>
        </row>
        <row r="620">
          <cell r="A620" t="str">
            <v>TC0092</v>
          </cell>
          <cell r="B620">
            <v>2</v>
          </cell>
          <cell r="C620">
            <v>2</v>
          </cell>
          <cell r="D620">
            <v>2</v>
          </cell>
          <cell r="E620">
            <v>2</v>
          </cell>
          <cell r="F620">
            <v>2</v>
          </cell>
          <cell r="G620">
            <v>2</v>
          </cell>
          <cell r="H620">
            <v>2</v>
          </cell>
          <cell r="I620">
            <v>2</v>
          </cell>
          <cell r="J620">
            <v>2</v>
          </cell>
          <cell r="K620">
            <v>2</v>
          </cell>
          <cell r="L620">
            <v>2</v>
          </cell>
          <cell r="M620">
            <v>2</v>
          </cell>
          <cell r="N620">
            <v>2</v>
          </cell>
          <cell r="O620">
            <v>2</v>
          </cell>
          <cell r="P620">
            <v>0</v>
          </cell>
          <cell r="Q620">
            <v>2</v>
          </cell>
          <cell r="R620">
            <v>2</v>
          </cell>
          <cell r="S620">
            <v>2</v>
          </cell>
          <cell r="T620">
            <v>0</v>
          </cell>
          <cell r="U620">
            <v>2</v>
          </cell>
        </row>
        <row r="621">
          <cell r="A621" t="str">
            <v>TC0093</v>
          </cell>
          <cell r="B621">
            <v>2</v>
          </cell>
          <cell r="C621">
            <v>2</v>
          </cell>
          <cell r="D621">
            <v>2</v>
          </cell>
          <cell r="E621">
            <v>2</v>
          </cell>
          <cell r="F621">
            <v>2</v>
          </cell>
          <cell r="G621">
            <v>2</v>
          </cell>
          <cell r="H621">
            <v>2</v>
          </cell>
          <cell r="I621">
            <v>2</v>
          </cell>
          <cell r="J621">
            <v>2</v>
          </cell>
          <cell r="K621">
            <v>2</v>
          </cell>
          <cell r="L621">
            <v>2</v>
          </cell>
          <cell r="M621">
            <v>2</v>
          </cell>
          <cell r="N621">
            <v>2</v>
          </cell>
          <cell r="O621">
            <v>2</v>
          </cell>
          <cell r="P621">
            <v>0</v>
          </cell>
          <cell r="Q621">
            <v>2</v>
          </cell>
          <cell r="R621">
            <v>2</v>
          </cell>
          <cell r="S621">
            <v>2</v>
          </cell>
          <cell r="T621">
            <v>0</v>
          </cell>
          <cell r="U621">
            <v>2</v>
          </cell>
        </row>
        <row r="622">
          <cell r="A622" t="str">
            <v>TC0094</v>
          </cell>
          <cell r="B622">
            <v>2</v>
          </cell>
          <cell r="C622">
            <v>2</v>
          </cell>
          <cell r="D622">
            <v>2</v>
          </cell>
          <cell r="E622">
            <v>2</v>
          </cell>
          <cell r="F622">
            <v>2</v>
          </cell>
          <cell r="G622">
            <v>2</v>
          </cell>
          <cell r="H622">
            <v>2</v>
          </cell>
          <cell r="I622">
            <v>2</v>
          </cell>
          <cell r="J622">
            <v>2</v>
          </cell>
          <cell r="K622">
            <v>2</v>
          </cell>
          <cell r="L622">
            <v>2</v>
          </cell>
          <cell r="M622">
            <v>2</v>
          </cell>
          <cell r="N622">
            <v>2</v>
          </cell>
          <cell r="O622">
            <v>2</v>
          </cell>
          <cell r="P622">
            <v>0</v>
          </cell>
          <cell r="Q622">
            <v>2</v>
          </cell>
          <cell r="R622">
            <v>2</v>
          </cell>
          <cell r="S622">
            <v>2</v>
          </cell>
          <cell r="T622">
            <v>0</v>
          </cell>
          <cell r="U622">
            <v>2</v>
          </cell>
        </row>
        <row r="623">
          <cell r="A623" t="str">
            <v>TC0095</v>
          </cell>
          <cell r="B623">
            <v>2</v>
          </cell>
          <cell r="C623">
            <v>2</v>
          </cell>
          <cell r="D623">
            <v>2</v>
          </cell>
          <cell r="E623">
            <v>2</v>
          </cell>
          <cell r="F623">
            <v>2</v>
          </cell>
          <cell r="G623">
            <v>2</v>
          </cell>
          <cell r="H623">
            <v>2</v>
          </cell>
          <cell r="I623">
            <v>2</v>
          </cell>
          <cell r="J623">
            <v>2</v>
          </cell>
          <cell r="K623">
            <v>2</v>
          </cell>
          <cell r="L623">
            <v>2</v>
          </cell>
          <cell r="M623">
            <v>2</v>
          </cell>
          <cell r="N623">
            <v>2</v>
          </cell>
          <cell r="O623">
            <v>2</v>
          </cell>
          <cell r="P623">
            <v>0</v>
          </cell>
          <cell r="Q623">
            <v>2</v>
          </cell>
          <cell r="R623">
            <v>2</v>
          </cell>
          <cell r="S623">
            <v>2</v>
          </cell>
          <cell r="T623">
            <v>0</v>
          </cell>
          <cell r="U623">
            <v>2</v>
          </cell>
        </row>
        <row r="624">
          <cell r="A624" t="str">
            <v>TC0096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2</v>
          </cell>
          <cell r="R624">
            <v>2</v>
          </cell>
          <cell r="S624">
            <v>2</v>
          </cell>
          <cell r="T624">
            <v>0</v>
          </cell>
          <cell r="U624">
            <v>0</v>
          </cell>
        </row>
        <row r="625">
          <cell r="A625" t="str">
            <v>TC0097</v>
          </cell>
          <cell r="B625">
            <v>2</v>
          </cell>
          <cell r="C625">
            <v>2</v>
          </cell>
          <cell r="D625">
            <v>2</v>
          </cell>
          <cell r="E625">
            <v>0</v>
          </cell>
          <cell r="F625">
            <v>2</v>
          </cell>
          <cell r="G625">
            <v>0</v>
          </cell>
          <cell r="H625">
            <v>2</v>
          </cell>
          <cell r="I625">
            <v>2</v>
          </cell>
          <cell r="J625">
            <v>2</v>
          </cell>
          <cell r="K625">
            <v>2</v>
          </cell>
          <cell r="L625">
            <v>2</v>
          </cell>
          <cell r="M625">
            <v>0</v>
          </cell>
          <cell r="N625">
            <v>2</v>
          </cell>
          <cell r="O625">
            <v>0</v>
          </cell>
          <cell r="P625">
            <v>1</v>
          </cell>
          <cell r="Q625">
            <v>2</v>
          </cell>
          <cell r="R625">
            <v>2</v>
          </cell>
          <cell r="S625">
            <v>2</v>
          </cell>
          <cell r="T625">
            <v>1</v>
          </cell>
          <cell r="U625">
            <v>0</v>
          </cell>
        </row>
        <row r="626">
          <cell r="A626" t="str">
            <v>TC0098</v>
          </cell>
          <cell r="B626">
            <v>3</v>
          </cell>
          <cell r="C626">
            <v>3</v>
          </cell>
          <cell r="D626">
            <v>3</v>
          </cell>
          <cell r="E626">
            <v>2</v>
          </cell>
          <cell r="F626">
            <v>3</v>
          </cell>
          <cell r="G626">
            <v>2</v>
          </cell>
          <cell r="H626">
            <v>3</v>
          </cell>
          <cell r="I626">
            <v>3</v>
          </cell>
          <cell r="J626">
            <v>3</v>
          </cell>
          <cell r="K626">
            <v>3</v>
          </cell>
          <cell r="L626">
            <v>3</v>
          </cell>
          <cell r="M626">
            <v>2</v>
          </cell>
          <cell r="N626">
            <v>3</v>
          </cell>
          <cell r="O626">
            <v>2</v>
          </cell>
          <cell r="P626">
            <v>0</v>
          </cell>
          <cell r="Q626">
            <v>3</v>
          </cell>
          <cell r="R626">
            <v>3</v>
          </cell>
          <cell r="S626">
            <v>3</v>
          </cell>
          <cell r="T626">
            <v>0</v>
          </cell>
          <cell r="U626">
            <v>2</v>
          </cell>
        </row>
        <row r="627">
          <cell r="A627" t="str">
            <v>TCE001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1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</row>
        <row r="628">
          <cell r="A628" t="str">
            <v>TCE002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1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</row>
        <row r="629">
          <cell r="A629" t="str">
            <v>TCE004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4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</row>
        <row r="630">
          <cell r="A630" t="str">
            <v>TCE005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2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</row>
        <row r="631">
          <cell r="A631" t="str">
            <v>TCE006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2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</row>
        <row r="632">
          <cell r="A632" t="str">
            <v>TCE007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3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Details"/>
      <sheetName val="Stand-Up_Plus-Up Details"/>
      <sheetName val="Master SEID List - Everything"/>
      <sheetName val="All Lists_Current BOI+IOPs"/>
      <sheetName val="Current Total Rqd by SQDN"/>
      <sheetName val="LRIP 1(W) - 080113"/>
      <sheetName val="LRIP 2(W) 080113"/>
      <sheetName val="LRIP 3(W) 080113"/>
      <sheetName val="LRIP 4(W) 080113"/>
      <sheetName val="FY11(W) 082813"/>
      <sheetName val="FY11 PPE(W) 080113"/>
      <sheetName val="FY12(W) 082813"/>
      <sheetName val="LRIP 7"/>
      <sheetName val="Beaufort VMFAT501 Transfer List"/>
      <sheetName val="BF-CF SE xFer_Buy"/>
      <sheetName val="FY11 Annex C"/>
      <sheetName val="FY12 Annex C"/>
      <sheetName val="LRIP 7 Annex C - Jun13"/>
      <sheetName val="FH Ops LRIP 7"/>
      <sheetName val="2013 BedDow Layin Codes "/>
      <sheetName val="DD250 Decoder"/>
    </sheetNames>
    <sheetDataSet>
      <sheetData sheetId="0"/>
      <sheetData sheetId="1"/>
      <sheetData sheetId="2"/>
      <sheetData sheetId="3"/>
      <sheetData sheetId="4">
        <row r="2">
          <cell r="A2" t="str">
            <v>A00001</v>
          </cell>
          <cell r="B2">
            <v>72</v>
          </cell>
          <cell r="C2">
            <v>18</v>
          </cell>
          <cell r="D2">
            <v>18</v>
          </cell>
          <cell r="E2">
            <v>36</v>
          </cell>
          <cell r="F2">
            <v>72</v>
          </cell>
          <cell r="G2">
            <v>42</v>
          </cell>
          <cell r="H2">
            <v>57</v>
          </cell>
          <cell r="I2">
            <v>72</v>
          </cell>
          <cell r="J2">
            <v>3</v>
          </cell>
          <cell r="K2">
            <v>69</v>
          </cell>
          <cell r="L2">
            <v>48</v>
          </cell>
          <cell r="M2">
            <v>48</v>
          </cell>
          <cell r="N2">
            <v>12</v>
          </cell>
          <cell r="O2">
            <v>9</v>
          </cell>
          <cell r="P2">
            <v>0</v>
          </cell>
          <cell r="Q2">
            <v>15</v>
          </cell>
          <cell r="R2">
            <v>63</v>
          </cell>
          <cell r="S2">
            <v>30</v>
          </cell>
          <cell r="T2">
            <v>0</v>
          </cell>
          <cell r="U2">
            <v>6</v>
          </cell>
        </row>
        <row r="3">
          <cell r="A3" t="str">
            <v>A00002</v>
          </cell>
          <cell r="B3">
            <v>24</v>
          </cell>
          <cell r="C3">
            <v>6</v>
          </cell>
          <cell r="D3">
            <v>6</v>
          </cell>
          <cell r="E3">
            <v>12</v>
          </cell>
          <cell r="F3">
            <v>24</v>
          </cell>
          <cell r="G3">
            <v>14</v>
          </cell>
          <cell r="H3">
            <v>19</v>
          </cell>
          <cell r="I3">
            <v>24</v>
          </cell>
          <cell r="J3">
            <v>1</v>
          </cell>
          <cell r="K3">
            <v>23</v>
          </cell>
          <cell r="L3">
            <v>16</v>
          </cell>
          <cell r="M3">
            <v>16</v>
          </cell>
          <cell r="N3">
            <v>4</v>
          </cell>
          <cell r="O3">
            <v>3</v>
          </cell>
          <cell r="P3">
            <v>0</v>
          </cell>
          <cell r="Q3">
            <v>5</v>
          </cell>
          <cell r="R3">
            <v>21</v>
          </cell>
          <cell r="S3">
            <v>10</v>
          </cell>
          <cell r="T3">
            <v>0</v>
          </cell>
          <cell r="U3">
            <v>2</v>
          </cell>
        </row>
        <row r="4">
          <cell r="A4" t="str">
            <v>A00003</v>
          </cell>
          <cell r="B4">
            <v>24</v>
          </cell>
          <cell r="C4">
            <v>6</v>
          </cell>
          <cell r="D4">
            <v>6</v>
          </cell>
          <cell r="E4">
            <v>12</v>
          </cell>
          <cell r="F4">
            <v>24</v>
          </cell>
          <cell r="G4">
            <v>14</v>
          </cell>
          <cell r="H4">
            <v>0</v>
          </cell>
          <cell r="I4">
            <v>24</v>
          </cell>
          <cell r="J4">
            <v>1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2</v>
          </cell>
        </row>
        <row r="5">
          <cell r="A5" t="str">
            <v>A00004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5</v>
          </cell>
          <cell r="R5">
            <v>21</v>
          </cell>
          <cell r="S5">
            <v>10</v>
          </cell>
          <cell r="T5">
            <v>0</v>
          </cell>
          <cell r="U5">
            <v>0</v>
          </cell>
        </row>
        <row r="6">
          <cell r="A6" t="str">
            <v>A00005</v>
          </cell>
          <cell r="B6">
            <v>24</v>
          </cell>
          <cell r="C6">
            <v>6</v>
          </cell>
          <cell r="D6">
            <v>6</v>
          </cell>
          <cell r="E6">
            <v>12</v>
          </cell>
          <cell r="F6">
            <v>24</v>
          </cell>
          <cell r="G6">
            <v>14</v>
          </cell>
          <cell r="H6">
            <v>19</v>
          </cell>
          <cell r="I6">
            <v>24</v>
          </cell>
          <cell r="J6">
            <v>1</v>
          </cell>
          <cell r="K6">
            <v>23</v>
          </cell>
          <cell r="L6">
            <v>16</v>
          </cell>
          <cell r="M6">
            <v>16</v>
          </cell>
          <cell r="N6">
            <v>4</v>
          </cell>
          <cell r="O6">
            <v>3</v>
          </cell>
          <cell r="P6">
            <v>0</v>
          </cell>
          <cell r="Q6">
            <v>5</v>
          </cell>
          <cell r="R6">
            <v>21</v>
          </cell>
          <cell r="S6">
            <v>10</v>
          </cell>
          <cell r="T6">
            <v>0</v>
          </cell>
          <cell r="U6">
            <v>2</v>
          </cell>
        </row>
        <row r="7">
          <cell r="A7" t="str">
            <v>A00008</v>
          </cell>
          <cell r="B7">
            <v>24</v>
          </cell>
          <cell r="C7">
            <v>6</v>
          </cell>
          <cell r="D7">
            <v>6</v>
          </cell>
          <cell r="E7">
            <v>12</v>
          </cell>
          <cell r="F7">
            <v>24</v>
          </cell>
          <cell r="G7">
            <v>14</v>
          </cell>
          <cell r="H7">
            <v>0</v>
          </cell>
          <cell r="I7">
            <v>24</v>
          </cell>
          <cell r="J7">
            <v>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5</v>
          </cell>
          <cell r="R7">
            <v>21</v>
          </cell>
          <cell r="S7">
            <v>10</v>
          </cell>
          <cell r="T7">
            <v>0</v>
          </cell>
          <cell r="U7">
            <v>2</v>
          </cell>
        </row>
        <row r="8">
          <cell r="A8" t="str">
            <v>A00008B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19</v>
          </cell>
          <cell r="I8">
            <v>0</v>
          </cell>
          <cell r="J8">
            <v>0</v>
          </cell>
          <cell r="K8">
            <v>23</v>
          </cell>
          <cell r="L8">
            <v>16</v>
          </cell>
          <cell r="M8">
            <v>16</v>
          </cell>
          <cell r="N8">
            <v>4</v>
          </cell>
          <cell r="O8">
            <v>3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A00009</v>
          </cell>
          <cell r="B9">
            <v>24</v>
          </cell>
          <cell r="C9">
            <v>6</v>
          </cell>
          <cell r="D9">
            <v>6</v>
          </cell>
          <cell r="E9">
            <v>12</v>
          </cell>
          <cell r="F9">
            <v>24</v>
          </cell>
          <cell r="G9">
            <v>14</v>
          </cell>
          <cell r="H9">
            <v>19</v>
          </cell>
          <cell r="I9">
            <v>24</v>
          </cell>
          <cell r="J9">
            <v>1</v>
          </cell>
          <cell r="K9">
            <v>23</v>
          </cell>
          <cell r="L9">
            <v>16</v>
          </cell>
          <cell r="M9">
            <v>16</v>
          </cell>
          <cell r="N9">
            <v>4</v>
          </cell>
          <cell r="O9">
            <v>3</v>
          </cell>
          <cell r="P9">
            <v>0</v>
          </cell>
          <cell r="Q9">
            <v>5</v>
          </cell>
          <cell r="R9">
            <v>21</v>
          </cell>
          <cell r="S9">
            <v>10</v>
          </cell>
          <cell r="T9">
            <v>0</v>
          </cell>
          <cell r="U9">
            <v>2</v>
          </cell>
        </row>
        <row r="10">
          <cell r="A10" t="str">
            <v>A00011</v>
          </cell>
          <cell r="B10">
            <v>24</v>
          </cell>
          <cell r="C10">
            <v>6</v>
          </cell>
          <cell r="D10">
            <v>6</v>
          </cell>
          <cell r="E10">
            <v>12</v>
          </cell>
          <cell r="F10">
            <v>24</v>
          </cell>
          <cell r="G10">
            <v>14</v>
          </cell>
          <cell r="H10">
            <v>19</v>
          </cell>
          <cell r="I10">
            <v>24</v>
          </cell>
          <cell r="J10">
            <v>1</v>
          </cell>
          <cell r="K10">
            <v>23</v>
          </cell>
          <cell r="L10">
            <v>16</v>
          </cell>
          <cell r="M10">
            <v>16</v>
          </cell>
          <cell r="N10">
            <v>4</v>
          </cell>
          <cell r="O10">
            <v>3</v>
          </cell>
          <cell r="P10">
            <v>0</v>
          </cell>
          <cell r="Q10">
            <v>5</v>
          </cell>
          <cell r="R10">
            <v>21</v>
          </cell>
          <cell r="S10">
            <v>10</v>
          </cell>
          <cell r="T10">
            <v>0</v>
          </cell>
          <cell r="U10">
            <v>2</v>
          </cell>
        </row>
        <row r="11">
          <cell r="A11" t="str">
            <v>A00013</v>
          </cell>
          <cell r="B11">
            <v>24</v>
          </cell>
          <cell r="C11">
            <v>6</v>
          </cell>
          <cell r="D11">
            <v>6</v>
          </cell>
          <cell r="E11">
            <v>12</v>
          </cell>
          <cell r="F11">
            <v>24</v>
          </cell>
          <cell r="G11">
            <v>14</v>
          </cell>
          <cell r="H11">
            <v>0</v>
          </cell>
          <cell r="I11">
            <v>24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5</v>
          </cell>
          <cell r="R11">
            <v>21</v>
          </cell>
          <cell r="S11">
            <v>10</v>
          </cell>
          <cell r="T11">
            <v>0</v>
          </cell>
          <cell r="U11">
            <v>2</v>
          </cell>
        </row>
        <row r="12">
          <cell r="A12" t="str">
            <v>A00013B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19</v>
          </cell>
          <cell r="I12">
            <v>0</v>
          </cell>
          <cell r="J12">
            <v>0</v>
          </cell>
          <cell r="K12">
            <v>23</v>
          </cell>
          <cell r="L12">
            <v>16</v>
          </cell>
          <cell r="M12">
            <v>16</v>
          </cell>
          <cell r="N12">
            <v>4</v>
          </cell>
          <cell r="O12">
            <v>3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 t="str">
            <v>A00014</v>
          </cell>
          <cell r="B13">
            <v>24</v>
          </cell>
          <cell r="C13">
            <v>6</v>
          </cell>
          <cell r="D13">
            <v>6</v>
          </cell>
          <cell r="E13">
            <v>12</v>
          </cell>
          <cell r="F13">
            <v>24</v>
          </cell>
          <cell r="G13">
            <v>14</v>
          </cell>
          <cell r="H13">
            <v>19</v>
          </cell>
          <cell r="I13">
            <v>24</v>
          </cell>
          <cell r="J13">
            <v>1</v>
          </cell>
          <cell r="K13">
            <v>23</v>
          </cell>
          <cell r="L13">
            <v>16</v>
          </cell>
          <cell r="M13">
            <v>16</v>
          </cell>
          <cell r="N13">
            <v>4</v>
          </cell>
          <cell r="O13">
            <v>3</v>
          </cell>
          <cell r="P13">
            <v>0</v>
          </cell>
          <cell r="Q13">
            <v>5</v>
          </cell>
          <cell r="R13">
            <v>21</v>
          </cell>
          <cell r="S13">
            <v>10</v>
          </cell>
          <cell r="T13">
            <v>0</v>
          </cell>
          <cell r="U13">
            <v>2</v>
          </cell>
        </row>
        <row r="14">
          <cell r="A14" t="str">
            <v>A00015C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5</v>
          </cell>
          <cell r="R14">
            <v>21</v>
          </cell>
          <cell r="S14">
            <v>10</v>
          </cell>
          <cell r="T14">
            <v>0</v>
          </cell>
          <cell r="U14">
            <v>0</v>
          </cell>
        </row>
        <row r="15">
          <cell r="A15" t="str">
            <v>A00016</v>
          </cell>
          <cell r="B15">
            <v>24</v>
          </cell>
          <cell r="C15">
            <v>6</v>
          </cell>
          <cell r="D15">
            <v>6</v>
          </cell>
          <cell r="E15">
            <v>12</v>
          </cell>
          <cell r="F15">
            <v>24</v>
          </cell>
          <cell r="G15">
            <v>14</v>
          </cell>
          <cell r="H15">
            <v>19</v>
          </cell>
          <cell r="I15">
            <v>24</v>
          </cell>
          <cell r="J15">
            <v>1</v>
          </cell>
          <cell r="K15">
            <v>23</v>
          </cell>
          <cell r="L15">
            <v>16</v>
          </cell>
          <cell r="M15">
            <v>16</v>
          </cell>
          <cell r="N15">
            <v>4</v>
          </cell>
          <cell r="O15">
            <v>3</v>
          </cell>
          <cell r="P15">
            <v>0</v>
          </cell>
          <cell r="Q15">
            <v>5</v>
          </cell>
          <cell r="R15">
            <v>21</v>
          </cell>
          <cell r="S15">
            <v>10</v>
          </cell>
          <cell r="T15">
            <v>0</v>
          </cell>
          <cell r="U15">
            <v>2</v>
          </cell>
        </row>
        <row r="16">
          <cell r="A16" t="str">
            <v>A00017</v>
          </cell>
          <cell r="B16">
            <v>24</v>
          </cell>
          <cell r="C16">
            <v>6</v>
          </cell>
          <cell r="D16">
            <v>6</v>
          </cell>
          <cell r="E16">
            <v>12</v>
          </cell>
          <cell r="F16">
            <v>24</v>
          </cell>
          <cell r="G16">
            <v>14</v>
          </cell>
          <cell r="H16">
            <v>19</v>
          </cell>
          <cell r="I16">
            <v>24</v>
          </cell>
          <cell r="J16">
            <v>1</v>
          </cell>
          <cell r="K16">
            <v>23</v>
          </cell>
          <cell r="L16">
            <v>16</v>
          </cell>
          <cell r="M16">
            <v>16</v>
          </cell>
          <cell r="N16">
            <v>4</v>
          </cell>
          <cell r="O16">
            <v>3</v>
          </cell>
          <cell r="P16">
            <v>0</v>
          </cell>
          <cell r="Q16">
            <v>5</v>
          </cell>
          <cell r="R16">
            <v>21</v>
          </cell>
          <cell r="S16">
            <v>10</v>
          </cell>
          <cell r="T16">
            <v>0</v>
          </cell>
          <cell r="U16">
            <v>2</v>
          </cell>
        </row>
        <row r="17">
          <cell r="A17" t="str">
            <v>A00018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19</v>
          </cell>
          <cell r="I17">
            <v>0</v>
          </cell>
          <cell r="J17">
            <v>0</v>
          </cell>
          <cell r="K17">
            <v>23</v>
          </cell>
          <cell r="L17">
            <v>16</v>
          </cell>
          <cell r="M17">
            <v>16</v>
          </cell>
          <cell r="N17">
            <v>4</v>
          </cell>
          <cell r="O17">
            <v>3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J00005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 t="str">
            <v>J00006</v>
          </cell>
          <cell r="B19">
            <v>36</v>
          </cell>
          <cell r="C19">
            <v>9</v>
          </cell>
          <cell r="D19">
            <v>9</v>
          </cell>
          <cell r="E19">
            <v>18</v>
          </cell>
          <cell r="F19">
            <v>36</v>
          </cell>
          <cell r="G19">
            <v>21</v>
          </cell>
          <cell r="H19">
            <v>29</v>
          </cell>
          <cell r="I19">
            <v>36</v>
          </cell>
          <cell r="J19">
            <v>2</v>
          </cell>
          <cell r="K19">
            <v>35</v>
          </cell>
          <cell r="L19">
            <v>24</v>
          </cell>
          <cell r="M19">
            <v>24</v>
          </cell>
          <cell r="N19">
            <v>6</v>
          </cell>
          <cell r="O19">
            <v>5</v>
          </cell>
          <cell r="P19">
            <v>0</v>
          </cell>
          <cell r="Q19">
            <v>8</v>
          </cell>
          <cell r="R19">
            <v>32</v>
          </cell>
          <cell r="S19">
            <v>15</v>
          </cell>
          <cell r="T19">
            <v>0</v>
          </cell>
          <cell r="U19">
            <v>3</v>
          </cell>
        </row>
        <row r="20">
          <cell r="A20" t="str">
            <v>J00007</v>
          </cell>
          <cell r="B20">
            <v>2</v>
          </cell>
          <cell r="C20">
            <v>2</v>
          </cell>
          <cell r="D20">
            <v>2</v>
          </cell>
          <cell r="E20">
            <v>2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</row>
        <row r="21">
          <cell r="A21" t="str">
            <v>J00008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3</v>
          </cell>
          <cell r="Q21">
            <v>0</v>
          </cell>
          <cell r="R21">
            <v>0</v>
          </cell>
          <cell r="S21">
            <v>0</v>
          </cell>
          <cell r="T21">
            <v>3</v>
          </cell>
          <cell r="U21">
            <v>0</v>
          </cell>
        </row>
        <row r="22">
          <cell r="A22" t="str">
            <v>J00009</v>
          </cell>
          <cell r="B22">
            <v>5</v>
          </cell>
          <cell r="C22">
            <v>2</v>
          </cell>
          <cell r="D22">
            <v>2</v>
          </cell>
          <cell r="E22">
            <v>2</v>
          </cell>
          <cell r="F22">
            <v>5</v>
          </cell>
          <cell r="G22">
            <v>3</v>
          </cell>
          <cell r="H22">
            <v>7</v>
          </cell>
          <cell r="I22">
            <v>5</v>
          </cell>
          <cell r="J22">
            <v>2</v>
          </cell>
          <cell r="K22">
            <v>8</v>
          </cell>
          <cell r="L22">
            <v>6</v>
          </cell>
          <cell r="M22">
            <v>5</v>
          </cell>
          <cell r="N22">
            <v>3</v>
          </cell>
          <cell r="O22">
            <v>1</v>
          </cell>
          <cell r="P22">
            <v>0</v>
          </cell>
          <cell r="Q22">
            <v>3</v>
          </cell>
          <cell r="R22">
            <v>8</v>
          </cell>
          <cell r="S22">
            <v>4</v>
          </cell>
          <cell r="T22">
            <v>0</v>
          </cell>
          <cell r="U22">
            <v>1</v>
          </cell>
        </row>
        <row r="23">
          <cell r="A23" t="str">
            <v>J00010</v>
          </cell>
          <cell r="B23">
            <v>5</v>
          </cell>
          <cell r="C23">
            <v>2</v>
          </cell>
          <cell r="D23">
            <v>2</v>
          </cell>
          <cell r="E23">
            <v>2</v>
          </cell>
          <cell r="F23">
            <v>5</v>
          </cell>
          <cell r="G23">
            <v>3</v>
          </cell>
          <cell r="H23">
            <v>5</v>
          </cell>
          <cell r="I23">
            <v>5</v>
          </cell>
          <cell r="J23">
            <v>2</v>
          </cell>
          <cell r="K23">
            <v>5</v>
          </cell>
          <cell r="L23">
            <v>4</v>
          </cell>
          <cell r="M23">
            <v>3</v>
          </cell>
          <cell r="N23">
            <v>2</v>
          </cell>
          <cell r="O23">
            <v>1</v>
          </cell>
          <cell r="P23">
            <v>2</v>
          </cell>
          <cell r="Q23">
            <v>2</v>
          </cell>
          <cell r="R23">
            <v>5</v>
          </cell>
          <cell r="S23">
            <v>3</v>
          </cell>
          <cell r="T23">
            <v>2</v>
          </cell>
          <cell r="U23">
            <v>1</v>
          </cell>
        </row>
        <row r="24">
          <cell r="A24" t="str">
            <v>J00011</v>
          </cell>
          <cell r="B24">
            <v>3</v>
          </cell>
          <cell r="C24">
            <v>2</v>
          </cell>
          <cell r="D24">
            <v>2</v>
          </cell>
          <cell r="E24">
            <v>1</v>
          </cell>
          <cell r="F24">
            <v>3</v>
          </cell>
          <cell r="G24">
            <v>2</v>
          </cell>
          <cell r="H24">
            <v>3</v>
          </cell>
          <cell r="I24">
            <v>3</v>
          </cell>
          <cell r="J24">
            <v>2</v>
          </cell>
          <cell r="K24">
            <v>3</v>
          </cell>
          <cell r="L24">
            <v>3</v>
          </cell>
          <cell r="M24">
            <v>2</v>
          </cell>
          <cell r="N24">
            <v>2</v>
          </cell>
          <cell r="O24">
            <v>1</v>
          </cell>
          <cell r="P24">
            <v>0</v>
          </cell>
          <cell r="Q24">
            <v>2</v>
          </cell>
          <cell r="R24">
            <v>4</v>
          </cell>
          <cell r="S24">
            <v>2</v>
          </cell>
          <cell r="T24">
            <v>0</v>
          </cell>
          <cell r="U24">
            <v>1</v>
          </cell>
        </row>
        <row r="25">
          <cell r="A25" t="str">
            <v>J00012</v>
          </cell>
          <cell r="B25">
            <v>3</v>
          </cell>
          <cell r="C25">
            <v>2</v>
          </cell>
          <cell r="D25">
            <v>2</v>
          </cell>
          <cell r="E25">
            <v>1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3</v>
          </cell>
          <cell r="L25">
            <v>3</v>
          </cell>
          <cell r="M25">
            <v>2</v>
          </cell>
          <cell r="N25">
            <v>2</v>
          </cell>
          <cell r="O25">
            <v>1</v>
          </cell>
          <cell r="P25">
            <v>2</v>
          </cell>
          <cell r="Q25">
            <v>2</v>
          </cell>
          <cell r="R25">
            <v>4</v>
          </cell>
          <cell r="S25">
            <v>2</v>
          </cell>
          <cell r="T25">
            <v>2</v>
          </cell>
          <cell r="U25">
            <v>1</v>
          </cell>
        </row>
        <row r="26">
          <cell r="A26" t="str">
            <v>J00013</v>
          </cell>
          <cell r="B26">
            <v>5</v>
          </cell>
          <cell r="C26">
            <v>2</v>
          </cell>
          <cell r="D26">
            <v>2</v>
          </cell>
          <cell r="E26">
            <v>2</v>
          </cell>
          <cell r="F26">
            <v>5</v>
          </cell>
          <cell r="G26">
            <v>3</v>
          </cell>
          <cell r="H26">
            <v>5</v>
          </cell>
          <cell r="I26">
            <v>5</v>
          </cell>
          <cell r="J26">
            <v>2</v>
          </cell>
          <cell r="K26">
            <v>5</v>
          </cell>
          <cell r="L26">
            <v>4</v>
          </cell>
          <cell r="M26">
            <v>3</v>
          </cell>
          <cell r="N26">
            <v>2</v>
          </cell>
          <cell r="O26">
            <v>1</v>
          </cell>
          <cell r="P26">
            <v>0</v>
          </cell>
          <cell r="Q26">
            <v>2</v>
          </cell>
          <cell r="R26">
            <v>5</v>
          </cell>
          <cell r="S26">
            <v>3</v>
          </cell>
          <cell r="T26">
            <v>0</v>
          </cell>
          <cell r="U26">
            <v>1</v>
          </cell>
        </row>
        <row r="27">
          <cell r="A27" t="str">
            <v>J00013-W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J00014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 t="str">
            <v>J00016</v>
          </cell>
          <cell r="B29">
            <v>3</v>
          </cell>
          <cell r="C29">
            <v>3</v>
          </cell>
          <cell r="D29">
            <v>3</v>
          </cell>
          <cell r="E29">
            <v>3</v>
          </cell>
          <cell r="F29">
            <v>3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3</v>
          </cell>
          <cell r="M29">
            <v>3</v>
          </cell>
          <cell r="N29">
            <v>3</v>
          </cell>
          <cell r="O29">
            <v>3</v>
          </cell>
          <cell r="P29">
            <v>2</v>
          </cell>
          <cell r="Q29">
            <v>3</v>
          </cell>
          <cell r="R29">
            <v>3</v>
          </cell>
          <cell r="S29">
            <v>3</v>
          </cell>
          <cell r="T29">
            <v>2</v>
          </cell>
          <cell r="U29">
            <v>3</v>
          </cell>
        </row>
        <row r="30">
          <cell r="A30" t="str">
            <v>J00017</v>
          </cell>
          <cell r="B30">
            <v>2</v>
          </cell>
          <cell r="C30">
            <v>2</v>
          </cell>
          <cell r="D30">
            <v>2</v>
          </cell>
          <cell r="E30">
            <v>0</v>
          </cell>
          <cell r="F30">
            <v>2</v>
          </cell>
          <cell r="G30">
            <v>0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  <cell r="L30">
            <v>2</v>
          </cell>
          <cell r="M30">
            <v>0</v>
          </cell>
          <cell r="N30">
            <v>2</v>
          </cell>
          <cell r="O30">
            <v>0</v>
          </cell>
          <cell r="P30">
            <v>1</v>
          </cell>
          <cell r="Q30">
            <v>3</v>
          </cell>
          <cell r="R30">
            <v>3</v>
          </cell>
          <cell r="S30">
            <v>3</v>
          </cell>
          <cell r="T30">
            <v>1</v>
          </cell>
          <cell r="U30">
            <v>0</v>
          </cell>
        </row>
        <row r="31">
          <cell r="A31" t="str">
            <v>J00019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646</v>
          </cell>
          <cell r="I31">
            <v>0</v>
          </cell>
          <cell r="J31">
            <v>0</v>
          </cell>
          <cell r="K31">
            <v>782</v>
          </cell>
          <cell r="L31">
            <v>544</v>
          </cell>
          <cell r="M31">
            <v>544</v>
          </cell>
          <cell r="N31">
            <v>0</v>
          </cell>
          <cell r="O31">
            <v>0</v>
          </cell>
          <cell r="P31">
            <v>0</v>
          </cell>
          <cell r="Q31">
            <v>210</v>
          </cell>
          <cell r="R31">
            <v>882</v>
          </cell>
          <cell r="S31">
            <v>420</v>
          </cell>
          <cell r="T31">
            <v>0</v>
          </cell>
          <cell r="U31">
            <v>0</v>
          </cell>
        </row>
        <row r="32">
          <cell r="A32" t="str">
            <v>J00021</v>
          </cell>
          <cell r="B32">
            <v>12</v>
          </cell>
          <cell r="C32">
            <v>4</v>
          </cell>
          <cell r="D32">
            <v>4</v>
          </cell>
          <cell r="E32">
            <v>6</v>
          </cell>
          <cell r="F32">
            <v>12</v>
          </cell>
          <cell r="G32">
            <v>7</v>
          </cell>
          <cell r="H32">
            <v>10</v>
          </cell>
          <cell r="I32">
            <v>12</v>
          </cell>
          <cell r="J32">
            <v>4</v>
          </cell>
          <cell r="K32">
            <v>12</v>
          </cell>
          <cell r="L32">
            <v>8</v>
          </cell>
          <cell r="M32">
            <v>8</v>
          </cell>
          <cell r="N32">
            <v>4</v>
          </cell>
          <cell r="O32">
            <v>4</v>
          </cell>
          <cell r="P32">
            <v>0</v>
          </cell>
          <cell r="Q32">
            <v>4</v>
          </cell>
          <cell r="R32">
            <v>11</v>
          </cell>
          <cell r="S32">
            <v>5</v>
          </cell>
          <cell r="T32">
            <v>0</v>
          </cell>
          <cell r="U32">
            <v>4</v>
          </cell>
        </row>
        <row r="33">
          <cell r="A33" t="str">
            <v>J00022</v>
          </cell>
          <cell r="B33">
            <v>7</v>
          </cell>
          <cell r="C33">
            <v>3</v>
          </cell>
          <cell r="D33">
            <v>3</v>
          </cell>
          <cell r="E33">
            <v>4</v>
          </cell>
          <cell r="F33">
            <v>7</v>
          </cell>
          <cell r="G33">
            <v>5</v>
          </cell>
          <cell r="H33">
            <v>7</v>
          </cell>
          <cell r="I33">
            <v>7</v>
          </cell>
          <cell r="J33">
            <v>3</v>
          </cell>
          <cell r="K33">
            <v>7</v>
          </cell>
          <cell r="L33">
            <v>7</v>
          </cell>
          <cell r="M33">
            <v>6</v>
          </cell>
          <cell r="N33">
            <v>3</v>
          </cell>
          <cell r="O33">
            <v>2</v>
          </cell>
          <cell r="P33">
            <v>4</v>
          </cell>
          <cell r="Q33">
            <v>6</v>
          </cell>
          <cell r="R33">
            <v>10</v>
          </cell>
          <cell r="S33">
            <v>8</v>
          </cell>
          <cell r="T33">
            <v>6</v>
          </cell>
          <cell r="U33">
            <v>2</v>
          </cell>
        </row>
        <row r="34">
          <cell r="A34" t="str">
            <v>J00025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5</v>
          </cell>
          <cell r="I34">
            <v>0</v>
          </cell>
          <cell r="J34">
            <v>0</v>
          </cell>
          <cell r="K34">
            <v>5</v>
          </cell>
          <cell r="L34">
            <v>4</v>
          </cell>
          <cell r="M34">
            <v>3</v>
          </cell>
          <cell r="N34">
            <v>2</v>
          </cell>
          <cell r="O34">
            <v>1</v>
          </cell>
          <cell r="P34">
            <v>7</v>
          </cell>
          <cell r="Q34">
            <v>2</v>
          </cell>
          <cell r="R34">
            <v>5</v>
          </cell>
          <cell r="S34">
            <v>3</v>
          </cell>
          <cell r="T34">
            <v>5</v>
          </cell>
          <cell r="U34">
            <v>0</v>
          </cell>
        </row>
        <row r="35">
          <cell r="A35" t="str">
            <v>J00026</v>
          </cell>
          <cell r="B35">
            <v>4</v>
          </cell>
          <cell r="C35">
            <v>2</v>
          </cell>
          <cell r="D35">
            <v>2</v>
          </cell>
          <cell r="E35">
            <v>2</v>
          </cell>
          <cell r="F35">
            <v>4</v>
          </cell>
          <cell r="G35">
            <v>3</v>
          </cell>
          <cell r="H35">
            <v>0</v>
          </cell>
          <cell r="I35">
            <v>4</v>
          </cell>
          <cell r="J35">
            <v>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</row>
        <row r="36">
          <cell r="A36" t="str">
            <v>J00027A</v>
          </cell>
          <cell r="B36">
            <v>144</v>
          </cell>
          <cell r="C36">
            <v>36</v>
          </cell>
          <cell r="D36">
            <v>36</v>
          </cell>
          <cell r="E36">
            <v>72</v>
          </cell>
          <cell r="F36">
            <v>144</v>
          </cell>
          <cell r="G36">
            <v>84</v>
          </cell>
          <cell r="H36">
            <v>0</v>
          </cell>
          <cell r="I36">
            <v>144</v>
          </cell>
          <cell r="J36">
            <v>6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20</v>
          </cell>
          <cell r="R36">
            <v>84</v>
          </cell>
          <cell r="S36">
            <v>40</v>
          </cell>
          <cell r="T36">
            <v>0</v>
          </cell>
          <cell r="U36">
            <v>12</v>
          </cell>
        </row>
        <row r="37">
          <cell r="A37" t="str">
            <v>J00027C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38</v>
          </cell>
          <cell r="I37">
            <v>0</v>
          </cell>
          <cell r="J37">
            <v>0</v>
          </cell>
          <cell r="K37">
            <v>46</v>
          </cell>
          <cell r="L37">
            <v>32</v>
          </cell>
          <cell r="M37">
            <v>32</v>
          </cell>
          <cell r="N37">
            <v>8</v>
          </cell>
          <cell r="O37">
            <v>6</v>
          </cell>
          <cell r="P37">
            <v>12</v>
          </cell>
          <cell r="Q37">
            <v>0</v>
          </cell>
          <cell r="R37">
            <v>0</v>
          </cell>
          <cell r="S37">
            <v>0</v>
          </cell>
          <cell r="T37">
            <v>8</v>
          </cell>
          <cell r="U37">
            <v>0</v>
          </cell>
        </row>
        <row r="38">
          <cell r="A38" t="str">
            <v>J00028</v>
          </cell>
          <cell r="B38">
            <v>14</v>
          </cell>
          <cell r="C38">
            <v>10</v>
          </cell>
          <cell r="D38">
            <v>10</v>
          </cell>
          <cell r="E38">
            <v>9</v>
          </cell>
          <cell r="F38">
            <v>14</v>
          </cell>
          <cell r="G38">
            <v>10</v>
          </cell>
          <cell r="H38">
            <v>13</v>
          </cell>
          <cell r="I38">
            <v>14</v>
          </cell>
          <cell r="J38">
            <v>10</v>
          </cell>
          <cell r="K38">
            <v>14</v>
          </cell>
          <cell r="L38">
            <v>12</v>
          </cell>
          <cell r="M38">
            <v>4</v>
          </cell>
          <cell r="N38">
            <v>10</v>
          </cell>
          <cell r="O38">
            <v>8</v>
          </cell>
          <cell r="P38">
            <v>0</v>
          </cell>
          <cell r="Q38">
            <v>10</v>
          </cell>
          <cell r="R38">
            <v>14</v>
          </cell>
          <cell r="S38">
            <v>11</v>
          </cell>
          <cell r="T38">
            <v>0</v>
          </cell>
          <cell r="U38">
            <v>8</v>
          </cell>
        </row>
        <row r="39">
          <cell r="A39" t="str">
            <v>J00029</v>
          </cell>
          <cell r="B39">
            <v>3</v>
          </cell>
          <cell r="C39">
            <v>3</v>
          </cell>
          <cell r="D39">
            <v>3</v>
          </cell>
          <cell r="E39">
            <v>0</v>
          </cell>
          <cell r="F39">
            <v>3</v>
          </cell>
          <cell r="G39">
            <v>0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  <cell r="L39">
            <v>3</v>
          </cell>
          <cell r="M39">
            <v>0</v>
          </cell>
          <cell r="N39">
            <v>3</v>
          </cell>
          <cell r="O39">
            <v>0</v>
          </cell>
          <cell r="P39">
            <v>0</v>
          </cell>
          <cell r="Q39">
            <v>3</v>
          </cell>
          <cell r="R39">
            <v>3</v>
          </cell>
          <cell r="S39">
            <v>3</v>
          </cell>
          <cell r="T39">
            <v>0</v>
          </cell>
          <cell r="U39">
            <v>0</v>
          </cell>
        </row>
        <row r="40">
          <cell r="A40" t="str">
            <v>J00030D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1</v>
          </cell>
          <cell r="Q40">
            <v>0</v>
          </cell>
          <cell r="R40">
            <v>0</v>
          </cell>
          <cell r="S40">
            <v>0</v>
          </cell>
          <cell r="T40">
            <v>1</v>
          </cell>
          <cell r="U40">
            <v>0</v>
          </cell>
        </row>
        <row r="41">
          <cell r="A41" t="str">
            <v>J00030E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 t="str">
            <v>J00033</v>
          </cell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2</v>
          </cell>
          <cell r="G42">
            <v>2</v>
          </cell>
          <cell r="H42">
            <v>2</v>
          </cell>
          <cell r="I42">
            <v>2</v>
          </cell>
          <cell r="J42">
            <v>2</v>
          </cell>
          <cell r="K42">
            <v>2</v>
          </cell>
          <cell r="L42">
            <v>2</v>
          </cell>
          <cell r="M42">
            <v>2</v>
          </cell>
          <cell r="N42">
            <v>2</v>
          </cell>
          <cell r="O42">
            <v>2</v>
          </cell>
          <cell r="P42">
            <v>0</v>
          </cell>
          <cell r="Q42">
            <v>2</v>
          </cell>
          <cell r="R42">
            <v>2</v>
          </cell>
          <cell r="S42">
            <v>2</v>
          </cell>
          <cell r="T42">
            <v>0</v>
          </cell>
          <cell r="U42">
            <v>2</v>
          </cell>
        </row>
        <row r="43">
          <cell r="A43" t="str">
            <v>J00040</v>
          </cell>
          <cell r="B43">
            <v>7</v>
          </cell>
          <cell r="C43">
            <v>4</v>
          </cell>
          <cell r="D43">
            <v>4</v>
          </cell>
          <cell r="E43">
            <v>4</v>
          </cell>
          <cell r="F43">
            <v>7</v>
          </cell>
          <cell r="G43">
            <v>5</v>
          </cell>
          <cell r="H43">
            <v>7</v>
          </cell>
          <cell r="I43">
            <v>7</v>
          </cell>
          <cell r="J43">
            <v>4</v>
          </cell>
          <cell r="K43">
            <v>7</v>
          </cell>
          <cell r="L43">
            <v>6</v>
          </cell>
          <cell r="M43">
            <v>4</v>
          </cell>
          <cell r="N43">
            <v>4</v>
          </cell>
          <cell r="O43">
            <v>3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3</v>
          </cell>
        </row>
        <row r="44">
          <cell r="A44" t="str">
            <v>J00045</v>
          </cell>
          <cell r="B44">
            <v>1</v>
          </cell>
          <cell r="C44">
            <v>1</v>
          </cell>
          <cell r="D44">
            <v>1</v>
          </cell>
          <cell r="E44">
            <v>0</v>
          </cell>
          <cell r="F44">
            <v>1</v>
          </cell>
          <cell r="G44">
            <v>0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0</v>
          </cell>
          <cell r="N44">
            <v>1</v>
          </cell>
          <cell r="O44">
            <v>0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0</v>
          </cell>
        </row>
        <row r="45">
          <cell r="A45" t="str">
            <v>J00046</v>
          </cell>
          <cell r="B45">
            <v>5</v>
          </cell>
          <cell r="C45">
            <v>2</v>
          </cell>
          <cell r="D45">
            <v>2</v>
          </cell>
          <cell r="E45">
            <v>2</v>
          </cell>
          <cell r="F45">
            <v>5</v>
          </cell>
          <cell r="G45">
            <v>3</v>
          </cell>
          <cell r="H45">
            <v>5</v>
          </cell>
          <cell r="I45">
            <v>5</v>
          </cell>
          <cell r="J45">
            <v>2</v>
          </cell>
          <cell r="K45">
            <v>5</v>
          </cell>
          <cell r="L45">
            <v>4</v>
          </cell>
          <cell r="M45">
            <v>3</v>
          </cell>
          <cell r="N45">
            <v>2</v>
          </cell>
          <cell r="O45">
            <v>1</v>
          </cell>
          <cell r="P45">
            <v>2</v>
          </cell>
          <cell r="Q45">
            <v>2</v>
          </cell>
          <cell r="R45">
            <v>5</v>
          </cell>
          <cell r="S45">
            <v>3</v>
          </cell>
          <cell r="T45">
            <v>2</v>
          </cell>
          <cell r="U45">
            <v>1</v>
          </cell>
        </row>
        <row r="46">
          <cell r="A46" t="str">
            <v>J00047</v>
          </cell>
          <cell r="B46">
            <v>5</v>
          </cell>
          <cell r="C46">
            <v>3</v>
          </cell>
          <cell r="D46">
            <v>3</v>
          </cell>
          <cell r="E46">
            <v>3</v>
          </cell>
          <cell r="F46">
            <v>5</v>
          </cell>
          <cell r="G46">
            <v>4</v>
          </cell>
          <cell r="H46">
            <v>5</v>
          </cell>
          <cell r="I46">
            <v>5</v>
          </cell>
          <cell r="J46">
            <v>3</v>
          </cell>
          <cell r="K46">
            <v>5</v>
          </cell>
          <cell r="L46">
            <v>4</v>
          </cell>
          <cell r="M46">
            <v>4</v>
          </cell>
          <cell r="N46">
            <v>3</v>
          </cell>
          <cell r="O46">
            <v>3</v>
          </cell>
          <cell r="P46">
            <v>3</v>
          </cell>
          <cell r="Q46">
            <v>3</v>
          </cell>
          <cell r="R46">
            <v>5</v>
          </cell>
          <cell r="S46">
            <v>3</v>
          </cell>
          <cell r="T46">
            <v>3</v>
          </cell>
          <cell r="U46">
            <v>3</v>
          </cell>
        </row>
        <row r="47">
          <cell r="A47" t="str">
            <v>J00049</v>
          </cell>
          <cell r="B47">
            <v>1</v>
          </cell>
          <cell r="C47">
            <v>1</v>
          </cell>
          <cell r="D47">
            <v>1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</row>
        <row r="48">
          <cell r="A48" t="str">
            <v>J00050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 t="str">
            <v>J00055</v>
          </cell>
          <cell r="B49">
            <v>2</v>
          </cell>
          <cell r="C49">
            <v>2</v>
          </cell>
          <cell r="D49">
            <v>2</v>
          </cell>
          <cell r="E49">
            <v>2</v>
          </cell>
          <cell r="F49">
            <v>2</v>
          </cell>
          <cell r="G49">
            <v>2</v>
          </cell>
          <cell r="H49">
            <v>2</v>
          </cell>
          <cell r="I49">
            <v>2</v>
          </cell>
          <cell r="J49">
            <v>2</v>
          </cell>
          <cell r="K49">
            <v>2</v>
          </cell>
          <cell r="L49">
            <v>2</v>
          </cell>
          <cell r="M49">
            <v>2</v>
          </cell>
          <cell r="N49">
            <v>2</v>
          </cell>
          <cell r="O49">
            <v>2</v>
          </cell>
          <cell r="P49">
            <v>0</v>
          </cell>
          <cell r="Q49">
            <v>2</v>
          </cell>
          <cell r="R49">
            <v>2</v>
          </cell>
          <cell r="S49">
            <v>2</v>
          </cell>
          <cell r="T49">
            <v>0</v>
          </cell>
          <cell r="U49">
            <v>2</v>
          </cell>
        </row>
        <row r="50">
          <cell r="A50" t="str">
            <v>J00061</v>
          </cell>
          <cell r="B50">
            <v>2</v>
          </cell>
          <cell r="C50">
            <v>1</v>
          </cell>
          <cell r="D50">
            <v>1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1</v>
          </cell>
          <cell r="K50">
            <v>2</v>
          </cell>
          <cell r="L50">
            <v>2</v>
          </cell>
          <cell r="M50">
            <v>2</v>
          </cell>
          <cell r="N50">
            <v>1</v>
          </cell>
          <cell r="O50">
            <v>1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</v>
          </cell>
        </row>
        <row r="51">
          <cell r="A51" t="str">
            <v>J00061C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1</v>
          </cell>
          <cell r="R51">
            <v>2</v>
          </cell>
          <cell r="S51">
            <v>2</v>
          </cell>
          <cell r="T51">
            <v>0</v>
          </cell>
          <cell r="U51">
            <v>0</v>
          </cell>
        </row>
        <row r="52">
          <cell r="A52" t="str">
            <v>J00066</v>
          </cell>
          <cell r="B52">
            <v>4</v>
          </cell>
          <cell r="C52">
            <v>1</v>
          </cell>
          <cell r="D52">
            <v>1</v>
          </cell>
          <cell r="E52">
            <v>2</v>
          </cell>
          <cell r="F52">
            <v>4</v>
          </cell>
          <cell r="G52">
            <v>3</v>
          </cell>
          <cell r="H52">
            <v>4</v>
          </cell>
          <cell r="I52">
            <v>4</v>
          </cell>
          <cell r="J52">
            <v>1</v>
          </cell>
          <cell r="K52">
            <v>4</v>
          </cell>
          <cell r="L52">
            <v>3</v>
          </cell>
          <cell r="M52">
            <v>3</v>
          </cell>
          <cell r="N52">
            <v>1</v>
          </cell>
          <cell r="O52">
            <v>1</v>
          </cell>
          <cell r="P52">
            <v>0</v>
          </cell>
          <cell r="Q52">
            <v>1</v>
          </cell>
          <cell r="R52">
            <v>4</v>
          </cell>
          <cell r="S52">
            <v>2</v>
          </cell>
          <cell r="T52">
            <v>0</v>
          </cell>
          <cell r="U52">
            <v>1</v>
          </cell>
        </row>
        <row r="53">
          <cell r="A53" t="str">
            <v>J00067</v>
          </cell>
          <cell r="B53">
            <v>34</v>
          </cell>
          <cell r="C53">
            <v>16</v>
          </cell>
          <cell r="D53">
            <v>16</v>
          </cell>
          <cell r="E53">
            <v>22</v>
          </cell>
          <cell r="F53">
            <v>34</v>
          </cell>
          <cell r="G53">
            <v>24</v>
          </cell>
          <cell r="H53">
            <v>29</v>
          </cell>
          <cell r="I53">
            <v>34</v>
          </cell>
          <cell r="J53">
            <v>11</v>
          </cell>
          <cell r="K53">
            <v>33</v>
          </cell>
          <cell r="L53">
            <v>26</v>
          </cell>
          <cell r="M53">
            <v>26</v>
          </cell>
          <cell r="N53">
            <v>14</v>
          </cell>
          <cell r="O53">
            <v>13</v>
          </cell>
          <cell r="P53">
            <v>0</v>
          </cell>
          <cell r="Q53">
            <v>15</v>
          </cell>
          <cell r="R53">
            <v>31</v>
          </cell>
          <cell r="S53">
            <v>20</v>
          </cell>
          <cell r="T53">
            <v>0</v>
          </cell>
          <cell r="U53">
            <v>12</v>
          </cell>
        </row>
        <row r="54">
          <cell r="A54" t="str">
            <v>J00068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A55" t="str">
            <v>J00068A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A56" t="str">
            <v>J00068B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A57" t="str">
            <v>J00068C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 t="str">
            <v>J00070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3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J00071</v>
          </cell>
          <cell r="B59">
            <v>4</v>
          </cell>
          <cell r="C59">
            <v>1</v>
          </cell>
          <cell r="D59">
            <v>1</v>
          </cell>
          <cell r="E59">
            <v>2</v>
          </cell>
          <cell r="F59">
            <v>4</v>
          </cell>
          <cell r="G59">
            <v>3</v>
          </cell>
          <cell r="H59">
            <v>4</v>
          </cell>
          <cell r="I59">
            <v>4</v>
          </cell>
          <cell r="J59">
            <v>1</v>
          </cell>
          <cell r="K59">
            <v>4</v>
          </cell>
          <cell r="L59">
            <v>3</v>
          </cell>
          <cell r="M59">
            <v>3</v>
          </cell>
          <cell r="N59">
            <v>1</v>
          </cell>
          <cell r="O59">
            <v>1</v>
          </cell>
          <cell r="P59">
            <v>0</v>
          </cell>
          <cell r="Q59">
            <v>1</v>
          </cell>
          <cell r="R59">
            <v>4</v>
          </cell>
          <cell r="S59">
            <v>2</v>
          </cell>
          <cell r="T59">
            <v>0</v>
          </cell>
          <cell r="U59">
            <v>1</v>
          </cell>
        </row>
        <row r="60">
          <cell r="A60" t="str">
            <v>J00072</v>
          </cell>
          <cell r="B60">
            <v>4</v>
          </cell>
          <cell r="C60">
            <v>2</v>
          </cell>
          <cell r="D60">
            <v>2</v>
          </cell>
          <cell r="E60">
            <v>2</v>
          </cell>
          <cell r="F60">
            <v>4</v>
          </cell>
          <cell r="G60">
            <v>3</v>
          </cell>
          <cell r="H60">
            <v>4</v>
          </cell>
          <cell r="I60">
            <v>4</v>
          </cell>
          <cell r="J60">
            <v>2</v>
          </cell>
          <cell r="K60">
            <v>4</v>
          </cell>
          <cell r="L60">
            <v>4</v>
          </cell>
          <cell r="M60">
            <v>3</v>
          </cell>
          <cell r="N60">
            <v>2</v>
          </cell>
          <cell r="O60">
            <v>1</v>
          </cell>
          <cell r="P60">
            <v>2</v>
          </cell>
          <cell r="Q60">
            <v>2</v>
          </cell>
          <cell r="R60">
            <v>4</v>
          </cell>
          <cell r="S60">
            <v>3</v>
          </cell>
          <cell r="T60">
            <v>4</v>
          </cell>
          <cell r="U60">
            <v>1</v>
          </cell>
        </row>
        <row r="61">
          <cell r="A61" t="str">
            <v>J00073A</v>
          </cell>
          <cell r="B61">
            <v>3</v>
          </cell>
          <cell r="C61">
            <v>2</v>
          </cell>
          <cell r="D61">
            <v>2</v>
          </cell>
          <cell r="E61">
            <v>3</v>
          </cell>
          <cell r="F61">
            <v>3</v>
          </cell>
          <cell r="G61">
            <v>3</v>
          </cell>
          <cell r="H61">
            <v>0</v>
          </cell>
          <cell r="I61">
            <v>3</v>
          </cell>
          <cell r="J61">
            <v>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1</v>
          </cell>
        </row>
        <row r="62">
          <cell r="A62" t="str">
            <v>J00073B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3</v>
          </cell>
          <cell r="I62">
            <v>0</v>
          </cell>
          <cell r="J62">
            <v>0</v>
          </cell>
          <cell r="K62">
            <v>3</v>
          </cell>
          <cell r="L62">
            <v>3</v>
          </cell>
          <cell r="M62">
            <v>3</v>
          </cell>
          <cell r="N62">
            <v>1</v>
          </cell>
          <cell r="O62">
            <v>1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A63" t="str">
            <v>J00073C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1</v>
          </cell>
          <cell r="R63">
            <v>3</v>
          </cell>
          <cell r="S63">
            <v>2</v>
          </cell>
          <cell r="T63">
            <v>0</v>
          </cell>
          <cell r="U63">
            <v>0</v>
          </cell>
        </row>
        <row r="64">
          <cell r="A64" t="str">
            <v>J00074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95</v>
          </cell>
          <cell r="I64">
            <v>0</v>
          </cell>
          <cell r="J64">
            <v>0</v>
          </cell>
          <cell r="K64">
            <v>115</v>
          </cell>
          <cell r="L64">
            <v>80</v>
          </cell>
          <cell r="M64">
            <v>80</v>
          </cell>
          <cell r="N64">
            <v>0</v>
          </cell>
          <cell r="O64">
            <v>0</v>
          </cell>
          <cell r="P64">
            <v>0</v>
          </cell>
          <cell r="Q64">
            <v>20</v>
          </cell>
          <cell r="R64">
            <v>84</v>
          </cell>
          <cell r="S64">
            <v>40</v>
          </cell>
          <cell r="T64">
            <v>0</v>
          </cell>
          <cell r="U64">
            <v>0</v>
          </cell>
        </row>
        <row r="65">
          <cell r="A65" t="str">
            <v>J00075</v>
          </cell>
          <cell r="B65">
            <v>4</v>
          </cell>
          <cell r="C65">
            <v>2</v>
          </cell>
          <cell r="D65">
            <v>2</v>
          </cell>
          <cell r="E65">
            <v>2</v>
          </cell>
          <cell r="F65">
            <v>4</v>
          </cell>
          <cell r="G65">
            <v>2</v>
          </cell>
          <cell r="H65">
            <v>4</v>
          </cell>
          <cell r="I65">
            <v>4</v>
          </cell>
          <cell r="J65">
            <v>2</v>
          </cell>
          <cell r="K65">
            <v>4</v>
          </cell>
          <cell r="L65">
            <v>3</v>
          </cell>
          <cell r="M65">
            <v>2</v>
          </cell>
          <cell r="N65">
            <v>2</v>
          </cell>
          <cell r="O65">
            <v>1</v>
          </cell>
          <cell r="P65">
            <v>0</v>
          </cell>
          <cell r="Q65">
            <v>2</v>
          </cell>
          <cell r="R65">
            <v>4</v>
          </cell>
          <cell r="S65">
            <v>3</v>
          </cell>
          <cell r="T65">
            <v>0</v>
          </cell>
          <cell r="U65">
            <v>1</v>
          </cell>
        </row>
        <row r="66">
          <cell r="A66" t="str">
            <v>J00076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A67" t="str">
            <v>J00079</v>
          </cell>
          <cell r="B67">
            <v>3</v>
          </cell>
          <cell r="C67">
            <v>3</v>
          </cell>
          <cell r="D67">
            <v>3</v>
          </cell>
          <cell r="E67">
            <v>2</v>
          </cell>
          <cell r="F67">
            <v>3</v>
          </cell>
          <cell r="G67">
            <v>2</v>
          </cell>
          <cell r="H67">
            <v>3</v>
          </cell>
          <cell r="I67">
            <v>3</v>
          </cell>
          <cell r="J67">
            <v>3</v>
          </cell>
          <cell r="K67">
            <v>3</v>
          </cell>
          <cell r="L67">
            <v>3</v>
          </cell>
          <cell r="M67">
            <v>2</v>
          </cell>
          <cell r="N67">
            <v>3</v>
          </cell>
          <cell r="O67">
            <v>2</v>
          </cell>
          <cell r="P67">
            <v>0</v>
          </cell>
          <cell r="Q67">
            <v>3</v>
          </cell>
          <cell r="R67">
            <v>3</v>
          </cell>
          <cell r="S67">
            <v>3</v>
          </cell>
          <cell r="T67">
            <v>0</v>
          </cell>
          <cell r="U67">
            <v>2</v>
          </cell>
        </row>
        <row r="68">
          <cell r="A68" t="str">
            <v>J00079-W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A69" t="str">
            <v>J00080</v>
          </cell>
          <cell r="B69">
            <v>4</v>
          </cell>
          <cell r="C69">
            <v>3</v>
          </cell>
          <cell r="D69">
            <v>3</v>
          </cell>
          <cell r="E69">
            <v>2</v>
          </cell>
          <cell r="F69">
            <v>4</v>
          </cell>
          <cell r="G69">
            <v>2</v>
          </cell>
          <cell r="H69">
            <v>4</v>
          </cell>
          <cell r="I69">
            <v>4</v>
          </cell>
          <cell r="J69">
            <v>3</v>
          </cell>
          <cell r="K69">
            <v>4</v>
          </cell>
          <cell r="L69">
            <v>3</v>
          </cell>
          <cell r="M69">
            <v>2</v>
          </cell>
          <cell r="N69">
            <v>3</v>
          </cell>
          <cell r="O69">
            <v>2</v>
          </cell>
          <cell r="P69">
            <v>2</v>
          </cell>
          <cell r="Q69">
            <v>3</v>
          </cell>
          <cell r="R69">
            <v>4</v>
          </cell>
          <cell r="S69">
            <v>3</v>
          </cell>
          <cell r="T69">
            <v>2</v>
          </cell>
          <cell r="U69">
            <v>2</v>
          </cell>
        </row>
        <row r="70">
          <cell r="A70" t="str">
            <v>J00081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J00083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1</v>
          </cell>
          <cell r="R71">
            <v>3</v>
          </cell>
          <cell r="S71">
            <v>1</v>
          </cell>
          <cell r="T71">
            <v>1</v>
          </cell>
          <cell r="U71">
            <v>0</v>
          </cell>
        </row>
        <row r="72">
          <cell r="A72" t="str">
            <v>J00086</v>
          </cell>
          <cell r="B72">
            <v>48</v>
          </cell>
          <cell r="C72">
            <v>12</v>
          </cell>
          <cell r="D72">
            <v>12</v>
          </cell>
          <cell r="E72">
            <v>24</v>
          </cell>
          <cell r="F72">
            <v>48</v>
          </cell>
          <cell r="G72">
            <v>28</v>
          </cell>
          <cell r="H72">
            <v>38</v>
          </cell>
          <cell r="I72">
            <v>48</v>
          </cell>
          <cell r="J72">
            <v>2</v>
          </cell>
          <cell r="K72">
            <v>46</v>
          </cell>
          <cell r="L72">
            <v>32</v>
          </cell>
          <cell r="M72">
            <v>32</v>
          </cell>
          <cell r="N72">
            <v>8</v>
          </cell>
          <cell r="O72">
            <v>6</v>
          </cell>
          <cell r="P72">
            <v>0</v>
          </cell>
          <cell r="Q72">
            <v>10</v>
          </cell>
          <cell r="R72">
            <v>42</v>
          </cell>
          <cell r="S72">
            <v>20</v>
          </cell>
          <cell r="T72">
            <v>0</v>
          </cell>
          <cell r="U72">
            <v>4</v>
          </cell>
        </row>
        <row r="73">
          <cell r="A73" t="str">
            <v>J00087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A74" t="str">
            <v>J00088</v>
          </cell>
          <cell r="B74">
            <v>1</v>
          </cell>
          <cell r="C74">
            <v>1</v>
          </cell>
          <cell r="D74">
            <v>1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0</v>
          </cell>
          <cell r="Q74">
            <v>1</v>
          </cell>
          <cell r="R74">
            <v>1</v>
          </cell>
          <cell r="S74">
            <v>1</v>
          </cell>
          <cell r="T74">
            <v>0</v>
          </cell>
          <cell r="U74">
            <v>1</v>
          </cell>
        </row>
        <row r="75">
          <cell r="A75" t="str">
            <v>J00089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6</v>
          </cell>
          <cell r="R75">
            <v>6</v>
          </cell>
          <cell r="S75">
            <v>6</v>
          </cell>
          <cell r="T75">
            <v>0</v>
          </cell>
          <cell r="U75">
            <v>0</v>
          </cell>
        </row>
        <row r="76">
          <cell r="A76" t="str">
            <v>J00090</v>
          </cell>
          <cell r="B76">
            <v>2</v>
          </cell>
          <cell r="C76">
            <v>2</v>
          </cell>
          <cell r="D76">
            <v>2</v>
          </cell>
          <cell r="E76">
            <v>2</v>
          </cell>
          <cell r="F76">
            <v>2</v>
          </cell>
          <cell r="G76">
            <v>2</v>
          </cell>
          <cell r="H76">
            <v>2</v>
          </cell>
          <cell r="I76">
            <v>2</v>
          </cell>
          <cell r="J76">
            <v>2</v>
          </cell>
          <cell r="K76">
            <v>2</v>
          </cell>
          <cell r="L76">
            <v>2</v>
          </cell>
          <cell r="M76">
            <v>2</v>
          </cell>
          <cell r="N76">
            <v>2</v>
          </cell>
          <cell r="O76">
            <v>2</v>
          </cell>
          <cell r="P76">
            <v>0</v>
          </cell>
          <cell r="Q76">
            <v>2</v>
          </cell>
          <cell r="R76">
            <v>2</v>
          </cell>
          <cell r="S76">
            <v>2</v>
          </cell>
          <cell r="T76">
            <v>0</v>
          </cell>
          <cell r="U76">
            <v>2</v>
          </cell>
        </row>
        <row r="77">
          <cell r="A77" t="str">
            <v>J00091</v>
          </cell>
          <cell r="B77">
            <v>2</v>
          </cell>
          <cell r="C77">
            <v>2</v>
          </cell>
          <cell r="D77">
            <v>2</v>
          </cell>
          <cell r="E77">
            <v>2</v>
          </cell>
          <cell r="F77">
            <v>2</v>
          </cell>
          <cell r="G77">
            <v>2</v>
          </cell>
          <cell r="H77">
            <v>2</v>
          </cell>
          <cell r="I77">
            <v>2</v>
          </cell>
          <cell r="J77">
            <v>2</v>
          </cell>
          <cell r="K77">
            <v>2</v>
          </cell>
          <cell r="L77">
            <v>2</v>
          </cell>
          <cell r="M77">
            <v>2</v>
          </cell>
          <cell r="N77">
            <v>2</v>
          </cell>
          <cell r="O77">
            <v>2</v>
          </cell>
          <cell r="P77">
            <v>0</v>
          </cell>
          <cell r="Q77">
            <v>2</v>
          </cell>
          <cell r="R77">
            <v>2</v>
          </cell>
          <cell r="S77">
            <v>2</v>
          </cell>
          <cell r="T77">
            <v>0</v>
          </cell>
          <cell r="U77">
            <v>2</v>
          </cell>
        </row>
        <row r="78">
          <cell r="A78" t="str">
            <v>J00092</v>
          </cell>
          <cell r="B78">
            <v>2</v>
          </cell>
          <cell r="C78">
            <v>2</v>
          </cell>
          <cell r="D78">
            <v>2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0</v>
          </cell>
          <cell r="Q78">
            <v>2</v>
          </cell>
          <cell r="R78">
            <v>2</v>
          </cell>
          <cell r="S78">
            <v>2</v>
          </cell>
          <cell r="T78">
            <v>0</v>
          </cell>
          <cell r="U78">
            <v>2</v>
          </cell>
        </row>
        <row r="79">
          <cell r="A79" t="str">
            <v>J00105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5</v>
          </cell>
          <cell r="R79">
            <v>21</v>
          </cell>
          <cell r="S79">
            <v>10</v>
          </cell>
          <cell r="T79">
            <v>0</v>
          </cell>
          <cell r="U79">
            <v>0</v>
          </cell>
        </row>
        <row r="80">
          <cell r="A80" t="str">
            <v>J00106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</v>
          </cell>
          <cell r="R80">
            <v>1</v>
          </cell>
          <cell r="S80">
            <v>1</v>
          </cell>
          <cell r="T80">
            <v>0</v>
          </cell>
          <cell r="U80">
            <v>0</v>
          </cell>
        </row>
        <row r="81">
          <cell r="A81" t="str">
            <v>J00107C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3</v>
          </cell>
          <cell r="R81">
            <v>3</v>
          </cell>
          <cell r="S81">
            <v>3</v>
          </cell>
          <cell r="T81">
            <v>0</v>
          </cell>
          <cell r="U81">
            <v>0</v>
          </cell>
        </row>
        <row r="82">
          <cell r="A82" t="str">
            <v>J00108</v>
          </cell>
          <cell r="B82">
            <v>5</v>
          </cell>
          <cell r="C82">
            <v>2</v>
          </cell>
          <cell r="D82">
            <v>2</v>
          </cell>
          <cell r="E82">
            <v>2</v>
          </cell>
          <cell r="F82">
            <v>5</v>
          </cell>
          <cell r="G82">
            <v>3</v>
          </cell>
          <cell r="H82">
            <v>5</v>
          </cell>
          <cell r="I82">
            <v>5</v>
          </cell>
          <cell r="J82">
            <v>2</v>
          </cell>
          <cell r="K82">
            <v>5</v>
          </cell>
          <cell r="L82">
            <v>4</v>
          </cell>
          <cell r="M82">
            <v>3</v>
          </cell>
          <cell r="N82">
            <v>2</v>
          </cell>
          <cell r="O82">
            <v>1</v>
          </cell>
          <cell r="P82">
            <v>2</v>
          </cell>
          <cell r="Q82">
            <v>2</v>
          </cell>
          <cell r="R82">
            <v>5</v>
          </cell>
          <cell r="S82">
            <v>3</v>
          </cell>
          <cell r="T82">
            <v>2</v>
          </cell>
          <cell r="U82">
            <v>1</v>
          </cell>
        </row>
        <row r="83">
          <cell r="A83" t="str">
            <v>J00815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 t="str">
            <v>J00825D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A85" t="str">
            <v>J00825E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A86" t="str">
            <v>J00846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A87" t="str">
            <v>J00864A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A88" t="str">
            <v>J00864B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A89" t="str">
            <v>J00865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A90" t="str">
            <v>J00866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A91" t="str">
            <v>J00867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A92" t="str">
            <v>J00868B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A93" t="str">
            <v>J00914</v>
          </cell>
          <cell r="B93">
            <v>9</v>
          </cell>
          <cell r="C93">
            <v>3</v>
          </cell>
          <cell r="D93">
            <v>3</v>
          </cell>
          <cell r="E93">
            <v>6</v>
          </cell>
          <cell r="F93">
            <v>9</v>
          </cell>
          <cell r="G93">
            <v>7</v>
          </cell>
          <cell r="H93">
            <v>10</v>
          </cell>
          <cell r="I93">
            <v>9</v>
          </cell>
          <cell r="J93">
            <v>1</v>
          </cell>
          <cell r="K93">
            <v>12</v>
          </cell>
          <cell r="L93">
            <v>8</v>
          </cell>
          <cell r="M93">
            <v>8</v>
          </cell>
          <cell r="N93">
            <v>2</v>
          </cell>
          <cell r="O93">
            <v>2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1</v>
          </cell>
        </row>
        <row r="94">
          <cell r="A94" t="str">
            <v>J00922</v>
          </cell>
          <cell r="B94">
            <v>27</v>
          </cell>
          <cell r="C94">
            <v>9</v>
          </cell>
          <cell r="D94">
            <v>9</v>
          </cell>
          <cell r="E94">
            <v>18</v>
          </cell>
          <cell r="F94">
            <v>27</v>
          </cell>
          <cell r="G94">
            <v>21</v>
          </cell>
          <cell r="H94">
            <v>10</v>
          </cell>
          <cell r="I94">
            <v>27</v>
          </cell>
          <cell r="J94">
            <v>3</v>
          </cell>
          <cell r="K94">
            <v>12</v>
          </cell>
          <cell r="L94">
            <v>8</v>
          </cell>
          <cell r="M94">
            <v>8</v>
          </cell>
          <cell r="N94">
            <v>2</v>
          </cell>
          <cell r="O94">
            <v>2</v>
          </cell>
          <cell r="P94">
            <v>0</v>
          </cell>
          <cell r="Q94">
            <v>3</v>
          </cell>
          <cell r="R94">
            <v>11</v>
          </cell>
          <cell r="S94">
            <v>5</v>
          </cell>
          <cell r="T94">
            <v>0</v>
          </cell>
          <cell r="U94">
            <v>3</v>
          </cell>
        </row>
        <row r="95">
          <cell r="A95" t="str">
            <v>J11006</v>
          </cell>
          <cell r="B95">
            <v>3</v>
          </cell>
          <cell r="C95">
            <v>3</v>
          </cell>
          <cell r="D95">
            <v>3</v>
          </cell>
          <cell r="E95">
            <v>1</v>
          </cell>
          <cell r="F95">
            <v>3</v>
          </cell>
          <cell r="G95">
            <v>1</v>
          </cell>
          <cell r="H95">
            <v>3</v>
          </cell>
          <cell r="I95">
            <v>3</v>
          </cell>
          <cell r="J95">
            <v>3</v>
          </cell>
          <cell r="K95">
            <v>3</v>
          </cell>
          <cell r="L95">
            <v>3</v>
          </cell>
          <cell r="M95">
            <v>1</v>
          </cell>
          <cell r="N95">
            <v>3</v>
          </cell>
          <cell r="O95">
            <v>1</v>
          </cell>
          <cell r="P95">
            <v>0</v>
          </cell>
          <cell r="Q95">
            <v>3</v>
          </cell>
          <cell r="R95">
            <v>3</v>
          </cell>
          <cell r="S95">
            <v>3</v>
          </cell>
          <cell r="T95">
            <v>0</v>
          </cell>
          <cell r="U95">
            <v>1</v>
          </cell>
        </row>
        <row r="96">
          <cell r="A96" t="str">
            <v>J11009C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1</v>
          </cell>
          <cell r="R96">
            <v>1</v>
          </cell>
          <cell r="S96">
            <v>1</v>
          </cell>
          <cell r="T96">
            <v>0</v>
          </cell>
          <cell r="U96">
            <v>0</v>
          </cell>
        </row>
        <row r="97">
          <cell r="A97" t="str">
            <v>J11011A</v>
          </cell>
          <cell r="B97">
            <v>2</v>
          </cell>
          <cell r="C97">
            <v>2</v>
          </cell>
          <cell r="D97">
            <v>2</v>
          </cell>
          <cell r="E97">
            <v>0</v>
          </cell>
          <cell r="F97">
            <v>2</v>
          </cell>
          <cell r="G97">
            <v>0</v>
          </cell>
          <cell r="H97">
            <v>0</v>
          </cell>
          <cell r="I97">
            <v>2</v>
          </cell>
          <cell r="J97">
            <v>2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A98" t="str">
            <v>J11011B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2</v>
          </cell>
          <cell r="I98">
            <v>0</v>
          </cell>
          <cell r="J98">
            <v>0</v>
          </cell>
          <cell r="K98">
            <v>2</v>
          </cell>
          <cell r="L98">
            <v>2</v>
          </cell>
          <cell r="M98">
            <v>0</v>
          </cell>
          <cell r="N98">
            <v>2</v>
          </cell>
          <cell r="O98">
            <v>0</v>
          </cell>
          <cell r="P98">
            <v>1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A99" t="str">
            <v>J11011C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2</v>
          </cell>
          <cell r="T99">
            <v>1</v>
          </cell>
          <cell r="U99">
            <v>0</v>
          </cell>
        </row>
        <row r="100">
          <cell r="A100" t="str">
            <v>J11012</v>
          </cell>
          <cell r="B100">
            <v>3</v>
          </cell>
          <cell r="C100">
            <v>3</v>
          </cell>
          <cell r="D100">
            <v>3</v>
          </cell>
          <cell r="E100">
            <v>2</v>
          </cell>
          <cell r="F100">
            <v>3</v>
          </cell>
          <cell r="G100">
            <v>2</v>
          </cell>
          <cell r="H100">
            <v>3</v>
          </cell>
          <cell r="I100">
            <v>3</v>
          </cell>
          <cell r="J100">
            <v>3</v>
          </cell>
          <cell r="K100">
            <v>3</v>
          </cell>
          <cell r="L100">
            <v>3</v>
          </cell>
          <cell r="M100">
            <v>2</v>
          </cell>
          <cell r="N100">
            <v>3</v>
          </cell>
          <cell r="O100">
            <v>2</v>
          </cell>
          <cell r="P100">
            <v>0</v>
          </cell>
          <cell r="Q100">
            <v>3</v>
          </cell>
          <cell r="R100">
            <v>3</v>
          </cell>
          <cell r="S100">
            <v>3</v>
          </cell>
          <cell r="T100">
            <v>0</v>
          </cell>
          <cell r="U100">
            <v>2</v>
          </cell>
        </row>
        <row r="101">
          <cell r="A101" t="str">
            <v>J11015</v>
          </cell>
          <cell r="B101">
            <v>1</v>
          </cell>
          <cell r="C101">
            <v>1</v>
          </cell>
          <cell r="D101">
            <v>1</v>
          </cell>
          <cell r="E101">
            <v>1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0</v>
          </cell>
          <cell r="Q101">
            <v>1</v>
          </cell>
          <cell r="R101">
            <v>1</v>
          </cell>
          <cell r="S101">
            <v>1</v>
          </cell>
          <cell r="T101">
            <v>0</v>
          </cell>
          <cell r="U101">
            <v>1</v>
          </cell>
        </row>
        <row r="102">
          <cell r="A102" t="str">
            <v>J11016</v>
          </cell>
          <cell r="B102">
            <v>4</v>
          </cell>
          <cell r="C102">
            <v>2</v>
          </cell>
          <cell r="D102">
            <v>2</v>
          </cell>
          <cell r="E102">
            <v>2</v>
          </cell>
          <cell r="F102">
            <v>4</v>
          </cell>
          <cell r="G102">
            <v>3</v>
          </cell>
          <cell r="H102">
            <v>4</v>
          </cell>
          <cell r="I102">
            <v>4</v>
          </cell>
          <cell r="J102">
            <v>2</v>
          </cell>
          <cell r="K102">
            <v>4</v>
          </cell>
          <cell r="L102">
            <v>3</v>
          </cell>
          <cell r="M102">
            <v>3</v>
          </cell>
          <cell r="N102">
            <v>2</v>
          </cell>
          <cell r="O102">
            <v>2</v>
          </cell>
          <cell r="P102">
            <v>0</v>
          </cell>
          <cell r="Q102">
            <v>2</v>
          </cell>
          <cell r="R102">
            <v>4</v>
          </cell>
          <cell r="S102">
            <v>2</v>
          </cell>
          <cell r="T102">
            <v>0</v>
          </cell>
          <cell r="U102">
            <v>2</v>
          </cell>
        </row>
        <row r="103">
          <cell r="A103" t="str">
            <v>J11020</v>
          </cell>
          <cell r="B103">
            <v>4</v>
          </cell>
          <cell r="C103">
            <v>4</v>
          </cell>
          <cell r="D103">
            <v>4</v>
          </cell>
          <cell r="E103">
            <v>2</v>
          </cell>
          <cell r="F103">
            <v>4</v>
          </cell>
          <cell r="G103">
            <v>2</v>
          </cell>
          <cell r="H103">
            <v>4</v>
          </cell>
          <cell r="I103">
            <v>4</v>
          </cell>
          <cell r="J103">
            <v>4</v>
          </cell>
          <cell r="K103">
            <v>4</v>
          </cell>
          <cell r="L103">
            <v>4</v>
          </cell>
          <cell r="M103">
            <v>2</v>
          </cell>
          <cell r="N103">
            <v>4</v>
          </cell>
          <cell r="O103">
            <v>2</v>
          </cell>
          <cell r="P103">
            <v>0</v>
          </cell>
          <cell r="Q103">
            <v>4</v>
          </cell>
          <cell r="R103">
            <v>4</v>
          </cell>
          <cell r="S103">
            <v>4</v>
          </cell>
          <cell r="T103">
            <v>0</v>
          </cell>
          <cell r="U103">
            <v>2</v>
          </cell>
        </row>
        <row r="104">
          <cell r="A104" t="str">
            <v>J11022</v>
          </cell>
          <cell r="B104">
            <v>3</v>
          </cell>
          <cell r="C104">
            <v>3</v>
          </cell>
          <cell r="D104">
            <v>3</v>
          </cell>
          <cell r="E104">
            <v>1</v>
          </cell>
          <cell r="F104">
            <v>3</v>
          </cell>
          <cell r="G104">
            <v>1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1</v>
          </cell>
          <cell r="N104">
            <v>3</v>
          </cell>
          <cell r="O104">
            <v>1</v>
          </cell>
          <cell r="P104">
            <v>0</v>
          </cell>
          <cell r="Q104">
            <v>3</v>
          </cell>
          <cell r="R104">
            <v>3</v>
          </cell>
          <cell r="S104">
            <v>3</v>
          </cell>
          <cell r="T104">
            <v>0</v>
          </cell>
          <cell r="U104">
            <v>1</v>
          </cell>
        </row>
        <row r="105">
          <cell r="A105" t="str">
            <v>J11023</v>
          </cell>
          <cell r="B105">
            <v>4</v>
          </cell>
          <cell r="C105">
            <v>4</v>
          </cell>
          <cell r="D105">
            <v>4</v>
          </cell>
          <cell r="E105">
            <v>3</v>
          </cell>
          <cell r="F105">
            <v>4</v>
          </cell>
          <cell r="G105">
            <v>3</v>
          </cell>
          <cell r="H105">
            <v>4</v>
          </cell>
          <cell r="I105">
            <v>4</v>
          </cell>
          <cell r="J105">
            <v>4</v>
          </cell>
          <cell r="K105">
            <v>4</v>
          </cell>
          <cell r="L105">
            <v>4</v>
          </cell>
          <cell r="M105">
            <v>2</v>
          </cell>
          <cell r="N105">
            <v>4</v>
          </cell>
          <cell r="O105">
            <v>3</v>
          </cell>
          <cell r="P105">
            <v>0</v>
          </cell>
          <cell r="Q105">
            <v>4</v>
          </cell>
          <cell r="R105">
            <v>4</v>
          </cell>
          <cell r="S105">
            <v>4</v>
          </cell>
          <cell r="T105">
            <v>0</v>
          </cell>
          <cell r="U105">
            <v>3</v>
          </cell>
        </row>
        <row r="106">
          <cell r="A106" t="str">
            <v>J11029</v>
          </cell>
          <cell r="B106">
            <v>3</v>
          </cell>
          <cell r="C106">
            <v>2</v>
          </cell>
          <cell r="D106">
            <v>2</v>
          </cell>
          <cell r="E106">
            <v>2</v>
          </cell>
          <cell r="F106">
            <v>3</v>
          </cell>
          <cell r="G106">
            <v>3</v>
          </cell>
          <cell r="H106">
            <v>3</v>
          </cell>
          <cell r="I106">
            <v>3</v>
          </cell>
          <cell r="J106">
            <v>2</v>
          </cell>
          <cell r="K106">
            <v>3</v>
          </cell>
          <cell r="L106">
            <v>3</v>
          </cell>
          <cell r="M106">
            <v>3</v>
          </cell>
          <cell r="N106">
            <v>2</v>
          </cell>
          <cell r="O106">
            <v>2</v>
          </cell>
          <cell r="P106">
            <v>0</v>
          </cell>
          <cell r="Q106">
            <v>2</v>
          </cell>
          <cell r="R106">
            <v>4</v>
          </cell>
          <cell r="S106">
            <v>2</v>
          </cell>
          <cell r="T106">
            <v>0</v>
          </cell>
          <cell r="U106">
            <v>2</v>
          </cell>
        </row>
        <row r="107">
          <cell r="A107" t="str">
            <v>J11031</v>
          </cell>
          <cell r="B107">
            <v>2</v>
          </cell>
          <cell r="C107">
            <v>2</v>
          </cell>
          <cell r="D107">
            <v>2</v>
          </cell>
          <cell r="E107">
            <v>2</v>
          </cell>
          <cell r="F107">
            <v>2</v>
          </cell>
          <cell r="G107">
            <v>2</v>
          </cell>
          <cell r="H107">
            <v>2</v>
          </cell>
          <cell r="I107">
            <v>2</v>
          </cell>
          <cell r="J107">
            <v>2</v>
          </cell>
          <cell r="K107">
            <v>2</v>
          </cell>
          <cell r="L107">
            <v>2</v>
          </cell>
          <cell r="M107">
            <v>2</v>
          </cell>
          <cell r="N107">
            <v>2</v>
          </cell>
          <cell r="O107">
            <v>2</v>
          </cell>
          <cell r="P107">
            <v>0</v>
          </cell>
          <cell r="Q107">
            <v>2</v>
          </cell>
          <cell r="R107">
            <v>2</v>
          </cell>
          <cell r="S107">
            <v>2</v>
          </cell>
          <cell r="T107">
            <v>0</v>
          </cell>
          <cell r="U107">
            <v>2</v>
          </cell>
        </row>
        <row r="108">
          <cell r="A108" t="str">
            <v>J11032</v>
          </cell>
          <cell r="B108">
            <v>3</v>
          </cell>
          <cell r="C108">
            <v>2</v>
          </cell>
          <cell r="D108">
            <v>2</v>
          </cell>
          <cell r="E108">
            <v>2</v>
          </cell>
          <cell r="F108">
            <v>3</v>
          </cell>
          <cell r="G108">
            <v>3</v>
          </cell>
          <cell r="H108">
            <v>3</v>
          </cell>
          <cell r="I108">
            <v>3</v>
          </cell>
          <cell r="J108">
            <v>2</v>
          </cell>
          <cell r="K108">
            <v>3</v>
          </cell>
          <cell r="L108">
            <v>3</v>
          </cell>
          <cell r="M108">
            <v>3</v>
          </cell>
          <cell r="N108">
            <v>2</v>
          </cell>
          <cell r="O108">
            <v>2</v>
          </cell>
          <cell r="P108">
            <v>0</v>
          </cell>
          <cell r="Q108">
            <v>2</v>
          </cell>
          <cell r="R108">
            <v>4</v>
          </cell>
          <cell r="S108">
            <v>2</v>
          </cell>
          <cell r="T108">
            <v>0</v>
          </cell>
          <cell r="U108">
            <v>2</v>
          </cell>
        </row>
        <row r="109">
          <cell r="A109" t="str">
            <v>J11040</v>
          </cell>
          <cell r="B109">
            <v>2</v>
          </cell>
          <cell r="C109">
            <v>2</v>
          </cell>
          <cell r="D109">
            <v>2</v>
          </cell>
          <cell r="E109">
            <v>2</v>
          </cell>
          <cell r="F109">
            <v>2</v>
          </cell>
          <cell r="G109">
            <v>2</v>
          </cell>
          <cell r="H109">
            <v>2</v>
          </cell>
          <cell r="I109">
            <v>2</v>
          </cell>
          <cell r="J109">
            <v>2</v>
          </cell>
          <cell r="K109">
            <v>2</v>
          </cell>
          <cell r="L109">
            <v>2</v>
          </cell>
          <cell r="M109">
            <v>1</v>
          </cell>
          <cell r="N109">
            <v>2</v>
          </cell>
          <cell r="O109">
            <v>2</v>
          </cell>
          <cell r="P109">
            <v>0</v>
          </cell>
          <cell r="Q109">
            <v>2</v>
          </cell>
          <cell r="R109">
            <v>2</v>
          </cell>
          <cell r="S109">
            <v>2</v>
          </cell>
          <cell r="T109">
            <v>0</v>
          </cell>
          <cell r="U109">
            <v>2</v>
          </cell>
        </row>
        <row r="110">
          <cell r="A110" t="str">
            <v>J11042</v>
          </cell>
          <cell r="B110">
            <v>2</v>
          </cell>
          <cell r="C110">
            <v>2</v>
          </cell>
          <cell r="D110">
            <v>2</v>
          </cell>
          <cell r="E110">
            <v>2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  <cell r="J110">
            <v>2</v>
          </cell>
          <cell r="K110">
            <v>2</v>
          </cell>
          <cell r="L110">
            <v>2</v>
          </cell>
          <cell r="M110">
            <v>1</v>
          </cell>
          <cell r="N110">
            <v>2</v>
          </cell>
          <cell r="O110">
            <v>2</v>
          </cell>
          <cell r="P110">
            <v>0</v>
          </cell>
          <cell r="Q110">
            <v>2</v>
          </cell>
          <cell r="R110">
            <v>2</v>
          </cell>
          <cell r="S110">
            <v>2</v>
          </cell>
          <cell r="T110">
            <v>0</v>
          </cell>
          <cell r="U110">
            <v>2</v>
          </cell>
        </row>
        <row r="111">
          <cell r="A111" t="str">
            <v>J11044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</row>
        <row r="112">
          <cell r="A112" t="str">
            <v>J11045</v>
          </cell>
          <cell r="B112">
            <v>4</v>
          </cell>
          <cell r="C112">
            <v>4</v>
          </cell>
          <cell r="D112">
            <v>4</v>
          </cell>
          <cell r="E112">
            <v>2</v>
          </cell>
          <cell r="F112">
            <v>4</v>
          </cell>
          <cell r="G112">
            <v>2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2</v>
          </cell>
          <cell r="N112">
            <v>4</v>
          </cell>
          <cell r="O112">
            <v>2</v>
          </cell>
          <cell r="P112">
            <v>0</v>
          </cell>
          <cell r="Q112">
            <v>4</v>
          </cell>
          <cell r="R112">
            <v>4</v>
          </cell>
          <cell r="S112">
            <v>4</v>
          </cell>
          <cell r="T112">
            <v>0</v>
          </cell>
          <cell r="U112">
            <v>2</v>
          </cell>
        </row>
        <row r="113">
          <cell r="A113" t="str">
            <v>J11046</v>
          </cell>
          <cell r="B113">
            <v>4</v>
          </cell>
          <cell r="C113">
            <v>4</v>
          </cell>
          <cell r="D113">
            <v>4</v>
          </cell>
          <cell r="E113">
            <v>2</v>
          </cell>
          <cell r="F113">
            <v>4</v>
          </cell>
          <cell r="G113">
            <v>2</v>
          </cell>
          <cell r="H113">
            <v>4</v>
          </cell>
          <cell r="I113">
            <v>4</v>
          </cell>
          <cell r="J113">
            <v>4</v>
          </cell>
          <cell r="K113">
            <v>4</v>
          </cell>
          <cell r="L113">
            <v>4</v>
          </cell>
          <cell r="M113">
            <v>1</v>
          </cell>
          <cell r="N113">
            <v>4</v>
          </cell>
          <cell r="O113">
            <v>2</v>
          </cell>
          <cell r="P113">
            <v>0</v>
          </cell>
          <cell r="Q113">
            <v>4</v>
          </cell>
          <cell r="R113">
            <v>4</v>
          </cell>
          <cell r="S113">
            <v>4</v>
          </cell>
          <cell r="T113">
            <v>0</v>
          </cell>
          <cell r="U113">
            <v>2</v>
          </cell>
        </row>
        <row r="114">
          <cell r="A114" t="str">
            <v>J11055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1</v>
          </cell>
          <cell r="I114">
            <v>0</v>
          </cell>
          <cell r="J114">
            <v>0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J11058</v>
          </cell>
          <cell r="B115">
            <v>10</v>
          </cell>
          <cell r="C115">
            <v>4</v>
          </cell>
          <cell r="D115">
            <v>4</v>
          </cell>
          <cell r="E115">
            <v>6</v>
          </cell>
          <cell r="F115">
            <v>10</v>
          </cell>
          <cell r="G115">
            <v>7</v>
          </cell>
          <cell r="H115">
            <v>9</v>
          </cell>
          <cell r="I115">
            <v>10</v>
          </cell>
          <cell r="J115">
            <v>3</v>
          </cell>
          <cell r="K115">
            <v>10</v>
          </cell>
          <cell r="L115">
            <v>8</v>
          </cell>
          <cell r="M115">
            <v>6</v>
          </cell>
          <cell r="N115">
            <v>4</v>
          </cell>
          <cell r="O115">
            <v>3</v>
          </cell>
          <cell r="P115">
            <v>0</v>
          </cell>
          <cell r="Q115">
            <v>4</v>
          </cell>
          <cell r="R115">
            <v>9</v>
          </cell>
          <cell r="S115">
            <v>6</v>
          </cell>
          <cell r="T115">
            <v>0</v>
          </cell>
          <cell r="U115">
            <v>3</v>
          </cell>
        </row>
        <row r="116">
          <cell r="A116" t="str">
            <v>J11060</v>
          </cell>
          <cell r="B116">
            <v>2</v>
          </cell>
          <cell r="C116">
            <v>2</v>
          </cell>
          <cell r="D116">
            <v>2</v>
          </cell>
          <cell r="E116">
            <v>2</v>
          </cell>
          <cell r="F116">
            <v>2</v>
          </cell>
          <cell r="G116">
            <v>2</v>
          </cell>
          <cell r="H116">
            <v>2</v>
          </cell>
          <cell r="I116">
            <v>2</v>
          </cell>
          <cell r="J116">
            <v>2</v>
          </cell>
          <cell r="K116">
            <v>2</v>
          </cell>
          <cell r="L116">
            <v>2</v>
          </cell>
          <cell r="M116">
            <v>2</v>
          </cell>
          <cell r="N116">
            <v>2</v>
          </cell>
          <cell r="O116">
            <v>2</v>
          </cell>
          <cell r="P116">
            <v>0</v>
          </cell>
          <cell r="Q116">
            <v>2</v>
          </cell>
          <cell r="R116">
            <v>2</v>
          </cell>
          <cell r="S116">
            <v>2</v>
          </cell>
          <cell r="T116">
            <v>0</v>
          </cell>
          <cell r="U116">
            <v>2</v>
          </cell>
        </row>
        <row r="117">
          <cell r="A117" t="str">
            <v>J11061</v>
          </cell>
          <cell r="B117">
            <v>3</v>
          </cell>
          <cell r="C117">
            <v>3</v>
          </cell>
          <cell r="D117">
            <v>3</v>
          </cell>
          <cell r="E117">
            <v>2</v>
          </cell>
          <cell r="F117">
            <v>3</v>
          </cell>
          <cell r="G117">
            <v>2</v>
          </cell>
          <cell r="H117">
            <v>3</v>
          </cell>
          <cell r="I117">
            <v>3</v>
          </cell>
          <cell r="J117">
            <v>3</v>
          </cell>
          <cell r="K117">
            <v>3</v>
          </cell>
          <cell r="L117">
            <v>3</v>
          </cell>
          <cell r="M117">
            <v>2</v>
          </cell>
          <cell r="N117">
            <v>3</v>
          </cell>
          <cell r="O117">
            <v>2</v>
          </cell>
          <cell r="P117">
            <v>0</v>
          </cell>
          <cell r="Q117">
            <v>3</v>
          </cell>
          <cell r="R117">
            <v>3</v>
          </cell>
          <cell r="S117">
            <v>3</v>
          </cell>
          <cell r="T117">
            <v>0</v>
          </cell>
          <cell r="U117">
            <v>2</v>
          </cell>
        </row>
        <row r="118">
          <cell r="A118" t="str">
            <v>J11061-W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</row>
        <row r="119">
          <cell r="A119" t="str">
            <v>J11062</v>
          </cell>
          <cell r="B119">
            <v>2</v>
          </cell>
          <cell r="C119">
            <v>2</v>
          </cell>
          <cell r="D119">
            <v>2</v>
          </cell>
          <cell r="E119">
            <v>1</v>
          </cell>
          <cell r="F119">
            <v>2</v>
          </cell>
          <cell r="G119">
            <v>1</v>
          </cell>
          <cell r="H119">
            <v>2</v>
          </cell>
          <cell r="I119">
            <v>2</v>
          </cell>
          <cell r="J119">
            <v>2</v>
          </cell>
          <cell r="K119">
            <v>2</v>
          </cell>
          <cell r="L119">
            <v>2</v>
          </cell>
          <cell r="M119">
            <v>1</v>
          </cell>
          <cell r="N119">
            <v>2</v>
          </cell>
          <cell r="O119">
            <v>1</v>
          </cell>
          <cell r="P119">
            <v>2</v>
          </cell>
          <cell r="Q119">
            <v>2</v>
          </cell>
          <cell r="R119">
            <v>2</v>
          </cell>
          <cell r="S119">
            <v>2</v>
          </cell>
          <cell r="T119">
            <v>2</v>
          </cell>
          <cell r="U119">
            <v>1</v>
          </cell>
        </row>
        <row r="120">
          <cell r="A120" t="str">
            <v>J11062-W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A121" t="str">
            <v>J11064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J11064B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</row>
        <row r="123">
          <cell r="A123" t="str">
            <v>J11065</v>
          </cell>
          <cell r="B123">
            <v>1</v>
          </cell>
          <cell r="C123">
            <v>1</v>
          </cell>
          <cell r="D123">
            <v>1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0</v>
          </cell>
          <cell r="Q123">
            <v>1</v>
          </cell>
          <cell r="R123">
            <v>1</v>
          </cell>
          <cell r="S123">
            <v>1</v>
          </cell>
          <cell r="T123">
            <v>0</v>
          </cell>
          <cell r="U123">
            <v>1</v>
          </cell>
        </row>
        <row r="124">
          <cell r="A124" t="str">
            <v>J11069</v>
          </cell>
          <cell r="B124">
            <v>2</v>
          </cell>
          <cell r="C124">
            <v>2</v>
          </cell>
          <cell r="D124">
            <v>2</v>
          </cell>
          <cell r="E124">
            <v>2</v>
          </cell>
          <cell r="F124">
            <v>2</v>
          </cell>
          <cell r="G124">
            <v>2</v>
          </cell>
          <cell r="H124">
            <v>2</v>
          </cell>
          <cell r="I124">
            <v>2</v>
          </cell>
          <cell r="J124">
            <v>2</v>
          </cell>
          <cell r="K124">
            <v>2</v>
          </cell>
          <cell r="L124">
            <v>2</v>
          </cell>
          <cell r="M124">
            <v>1</v>
          </cell>
          <cell r="N124">
            <v>2</v>
          </cell>
          <cell r="O124">
            <v>2</v>
          </cell>
          <cell r="P124">
            <v>0</v>
          </cell>
          <cell r="Q124">
            <v>2</v>
          </cell>
          <cell r="R124">
            <v>2</v>
          </cell>
          <cell r="S124">
            <v>2</v>
          </cell>
          <cell r="T124">
            <v>0</v>
          </cell>
          <cell r="U124">
            <v>2</v>
          </cell>
        </row>
        <row r="125">
          <cell r="A125" t="str">
            <v>J11074</v>
          </cell>
          <cell r="B125">
            <v>1</v>
          </cell>
          <cell r="C125">
            <v>1</v>
          </cell>
          <cell r="D125">
            <v>1</v>
          </cell>
          <cell r="E125">
            <v>1</v>
          </cell>
          <cell r="F125">
            <v>1</v>
          </cell>
          <cell r="G125">
            <v>1</v>
          </cell>
          <cell r="H125">
            <v>1</v>
          </cell>
          <cell r="I125">
            <v>1</v>
          </cell>
          <cell r="J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0</v>
          </cell>
          <cell r="Q125">
            <v>1</v>
          </cell>
          <cell r="R125">
            <v>1</v>
          </cell>
          <cell r="S125">
            <v>1</v>
          </cell>
          <cell r="T125">
            <v>0</v>
          </cell>
          <cell r="U125">
            <v>1</v>
          </cell>
        </row>
        <row r="126">
          <cell r="A126" t="str">
            <v>J11075</v>
          </cell>
          <cell r="B126">
            <v>2</v>
          </cell>
          <cell r="C126">
            <v>2</v>
          </cell>
          <cell r="D126">
            <v>2</v>
          </cell>
          <cell r="E126">
            <v>2</v>
          </cell>
          <cell r="F126">
            <v>2</v>
          </cell>
          <cell r="G126">
            <v>2</v>
          </cell>
          <cell r="H126">
            <v>2</v>
          </cell>
          <cell r="I126">
            <v>2</v>
          </cell>
          <cell r="J126">
            <v>2</v>
          </cell>
          <cell r="K126">
            <v>2</v>
          </cell>
          <cell r="L126">
            <v>2</v>
          </cell>
          <cell r="M126">
            <v>1</v>
          </cell>
          <cell r="N126">
            <v>2</v>
          </cell>
          <cell r="O126">
            <v>2</v>
          </cell>
          <cell r="P126">
            <v>0</v>
          </cell>
          <cell r="Q126">
            <v>2</v>
          </cell>
          <cell r="R126">
            <v>2</v>
          </cell>
          <cell r="S126">
            <v>2</v>
          </cell>
          <cell r="T126">
            <v>0</v>
          </cell>
          <cell r="U126">
            <v>2</v>
          </cell>
        </row>
        <row r="127">
          <cell r="A127" t="str">
            <v>J11076</v>
          </cell>
          <cell r="B127">
            <v>2</v>
          </cell>
          <cell r="C127">
            <v>2</v>
          </cell>
          <cell r="D127">
            <v>2</v>
          </cell>
          <cell r="E127">
            <v>2</v>
          </cell>
          <cell r="F127">
            <v>2</v>
          </cell>
          <cell r="G127">
            <v>2</v>
          </cell>
          <cell r="H127">
            <v>2</v>
          </cell>
          <cell r="I127">
            <v>2</v>
          </cell>
          <cell r="J127">
            <v>2</v>
          </cell>
          <cell r="K127">
            <v>2</v>
          </cell>
          <cell r="L127">
            <v>2</v>
          </cell>
          <cell r="M127">
            <v>1</v>
          </cell>
          <cell r="N127">
            <v>2</v>
          </cell>
          <cell r="O127">
            <v>2</v>
          </cell>
          <cell r="P127">
            <v>0</v>
          </cell>
          <cell r="Q127">
            <v>2</v>
          </cell>
          <cell r="R127">
            <v>2</v>
          </cell>
          <cell r="S127">
            <v>2</v>
          </cell>
          <cell r="T127">
            <v>0</v>
          </cell>
          <cell r="U127">
            <v>2</v>
          </cell>
        </row>
        <row r="128">
          <cell r="A128" t="str">
            <v>J11079</v>
          </cell>
          <cell r="B128">
            <v>4</v>
          </cell>
          <cell r="C128">
            <v>4</v>
          </cell>
          <cell r="D128">
            <v>4</v>
          </cell>
          <cell r="E128">
            <v>2</v>
          </cell>
          <cell r="F128">
            <v>4</v>
          </cell>
          <cell r="G128">
            <v>2</v>
          </cell>
          <cell r="H128">
            <v>4</v>
          </cell>
          <cell r="I128">
            <v>4</v>
          </cell>
          <cell r="J128">
            <v>4</v>
          </cell>
          <cell r="K128">
            <v>4</v>
          </cell>
          <cell r="L128">
            <v>4</v>
          </cell>
          <cell r="M128">
            <v>1</v>
          </cell>
          <cell r="N128">
            <v>4</v>
          </cell>
          <cell r="O128">
            <v>2</v>
          </cell>
          <cell r="P128">
            <v>0</v>
          </cell>
          <cell r="Q128">
            <v>4</v>
          </cell>
          <cell r="R128">
            <v>4</v>
          </cell>
          <cell r="S128">
            <v>4</v>
          </cell>
          <cell r="T128">
            <v>0</v>
          </cell>
          <cell r="U128">
            <v>2</v>
          </cell>
        </row>
        <row r="129">
          <cell r="A129" t="str">
            <v>J11081</v>
          </cell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1</v>
          </cell>
          <cell r="M129">
            <v>1</v>
          </cell>
          <cell r="N129">
            <v>1</v>
          </cell>
          <cell r="O129">
            <v>1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</row>
        <row r="130">
          <cell r="A130" t="str">
            <v>J11081C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1</v>
          </cell>
          <cell r="R130">
            <v>1</v>
          </cell>
          <cell r="S130">
            <v>1</v>
          </cell>
          <cell r="T130">
            <v>0</v>
          </cell>
          <cell r="U130">
            <v>0</v>
          </cell>
        </row>
        <row r="131">
          <cell r="A131" t="str">
            <v>J11082</v>
          </cell>
          <cell r="B131">
            <v>1</v>
          </cell>
          <cell r="C131">
            <v>1</v>
          </cell>
          <cell r="D131">
            <v>1</v>
          </cell>
          <cell r="E131">
            <v>1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J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</row>
        <row r="132">
          <cell r="A132" t="str">
            <v>J11082C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1</v>
          </cell>
          <cell r="R132">
            <v>1</v>
          </cell>
          <cell r="S132">
            <v>1</v>
          </cell>
          <cell r="T132">
            <v>0</v>
          </cell>
          <cell r="U132">
            <v>0</v>
          </cell>
        </row>
        <row r="133">
          <cell r="A133" t="str">
            <v>J11083A</v>
          </cell>
          <cell r="B133">
            <v>2</v>
          </cell>
          <cell r="C133">
            <v>2</v>
          </cell>
          <cell r="D133">
            <v>2</v>
          </cell>
          <cell r="E133">
            <v>1</v>
          </cell>
          <cell r="F133">
            <v>2</v>
          </cell>
          <cell r="G133">
            <v>1</v>
          </cell>
          <cell r="H133">
            <v>0</v>
          </cell>
          <cell r="I133">
            <v>2</v>
          </cell>
          <cell r="J133">
            <v>2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1</v>
          </cell>
        </row>
        <row r="134">
          <cell r="A134" t="str">
            <v>J11083B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2</v>
          </cell>
          <cell r="I134">
            <v>0</v>
          </cell>
          <cell r="J134">
            <v>0</v>
          </cell>
          <cell r="K134">
            <v>2</v>
          </cell>
          <cell r="L134">
            <v>2</v>
          </cell>
          <cell r="M134">
            <v>1</v>
          </cell>
          <cell r="N134">
            <v>2</v>
          </cell>
          <cell r="O134">
            <v>1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A135" t="str">
            <v>J11083C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2</v>
          </cell>
          <cell r="R135">
            <v>2</v>
          </cell>
          <cell r="S135">
            <v>2</v>
          </cell>
          <cell r="T135">
            <v>0</v>
          </cell>
          <cell r="U135">
            <v>0</v>
          </cell>
        </row>
        <row r="136">
          <cell r="A136" t="str">
            <v>J11085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1</v>
          </cell>
          <cell r="R136">
            <v>1</v>
          </cell>
          <cell r="S136">
            <v>1</v>
          </cell>
          <cell r="T136">
            <v>0</v>
          </cell>
          <cell r="U136">
            <v>0</v>
          </cell>
        </row>
        <row r="137">
          <cell r="A137" t="str">
            <v>J11086</v>
          </cell>
          <cell r="B137">
            <v>1</v>
          </cell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1</v>
          </cell>
        </row>
        <row r="138">
          <cell r="A138" t="str">
            <v>J11086C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1</v>
          </cell>
          <cell r="R138">
            <v>1</v>
          </cell>
          <cell r="S138">
            <v>1</v>
          </cell>
          <cell r="T138">
            <v>0</v>
          </cell>
          <cell r="U138">
            <v>0</v>
          </cell>
        </row>
        <row r="139">
          <cell r="A139" t="str">
            <v>J11089C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1</v>
          </cell>
          <cell r="R139">
            <v>1</v>
          </cell>
          <cell r="S139">
            <v>1</v>
          </cell>
          <cell r="T139">
            <v>0</v>
          </cell>
          <cell r="U139">
            <v>0</v>
          </cell>
        </row>
        <row r="140">
          <cell r="A140" t="str">
            <v>J11091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2</v>
          </cell>
          <cell r="I140">
            <v>0</v>
          </cell>
          <cell r="J140">
            <v>0</v>
          </cell>
          <cell r="K140">
            <v>2</v>
          </cell>
          <cell r="L140">
            <v>2</v>
          </cell>
          <cell r="M140">
            <v>2</v>
          </cell>
          <cell r="N140">
            <v>2</v>
          </cell>
          <cell r="O140">
            <v>2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</row>
        <row r="141">
          <cell r="A141" t="str">
            <v>J11092</v>
          </cell>
          <cell r="B141">
            <v>3</v>
          </cell>
          <cell r="C141">
            <v>1</v>
          </cell>
          <cell r="D141">
            <v>1</v>
          </cell>
          <cell r="E141">
            <v>2</v>
          </cell>
          <cell r="F141">
            <v>3</v>
          </cell>
          <cell r="G141">
            <v>2</v>
          </cell>
          <cell r="H141">
            <v>2</v>
          </cell>
          <cell r="I141">
            <v>3</v>
          </cell>
          <cell r="J141">
            <v>1</v>
          </cell>
          <cell r="K141">
            <v>3</v>
          </cell>
          <cell r="L141">
            <v>2</v>
          </cell>
          <cell r="M141">
            <v>2</v>
          </cell>
          <cell r="N141">
            <v>1</v>
          </cell>
          <cell r="O141">
            <v>1</v>
          </cell>
          <cell r="P141">
            <v>0</v>
          </cell>
          <cell r="Q141">
            <v>1</v>
          </cell>
          <cell r="R141">
            <v>3</v>
          </cell>
          <cell r="S141">
            <v>1</v>
          </cell>
          <cell r="T141">
            <v>0</v>
          </cell>
          <cell r="U141">
            <v>1</v>
          </cell>
        </row>
        <row r="142">
          <cell r="A142" t="str">
            <v>J11093</v>
          </cell>
          <cell r="B142">
            <v>3</v>
          </cell>
          <cell r="C142">
            <v>1</v>
          </cell>
          <cell r="D142">
            <v>1</v>
          </cell>
          <cell r="E142">
            <v>2</v>
          </cell>
          <cell r="F142">
            <v>3</v>
          </cell>
          <cell r="G142">
            <v>2</v>
          </cell>
          <cell r="H142">
            <v>2</v>
          </cell>
          <cell r="I142">
            <v>3</v>
          </cell>
          <cell r="J142">
            <v>1</v>
          </cell>
          <cell r="K142">
            <v>3</v>
          </cell>
          <cell r="L142">
            <v>2</v>
          </cell>
          <cell r="M142">
            <v>2</v>
          </cell>
          <cell r="N142">
            <v>1</v>
          </cell>
          <cell r="O142">
            <v>1</v>
          </cell>
          <cell r="P142">
            <v>0</v>
          </cell>
          <cell r="Q142">
            <v>1</v>
          </cell>
          <cell r="R142">
            <v>3</v>
          </cell>
          <cell r="S142">
            <v>1</v>
          </cell>
          <cell r="T142">
            <v>0</v>
          </cell>
          <cell r="U142">
            <v>1</v>
          </cell>
        </row>
        <row r="143">
          <cell r="A143" t="str">
            <v>J11101</v>
          </cell>
          <cell r="B143">
            <v>10</v>
          </cell>
          <cell r="C143">
            <v>4</v>
          </cell>
          <cell r="D143">
            <v>4</v>
          </cell>
          <cell r="E143">
            <v>6</v>
          </cell>
          <cell r="F143">
            <v>10</v>
          </cell>
          <cell r="G143">
            <v>8</v>
          </cell>
          <cell r="H143">
            <v>8</v>
          </cell>
          <cell r="I143">
            <v>10</v>
          </cell>
          <cell r="J143">
            <v>4</v>
          </cell>
          <cell r="K143">
            <v>8</v>
          </cell>
          <cell r="L143">
            <v>8</v>
          </cell>
          <cell r="M143">
            <v>8</v>
          </cell>
          <cell r="N143">
            <v>4</v>
          </cell>
          <cell r="O143">
            <v>4</v>
          </cell>
          <cell r="P143">
            <v>0</v>
          </cell>
          <cell r="Q143">
            <v>4</v>
          </cell>
          <cell r="R143">
            <v>8</v>
          </cell>
          <cell r="S143">
            <v>6</v>
          </cell>
          <cell r="T143">
            <v>0</v>
          </cell>
          <cell r="U143">
            <v>4</v>
          </cell>
        </row>
        <row r="144">
          <cell r="A144" t="str">
            <v>J11102B</v>
          </cell>
          <cell r="B144">
            <v>1</v>
          </cell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0</v>
          </cell>
          <cell r="Q144">
            <v>1</v>
          </cell>
          <cell r="R144">
            <v>1</v>
          </cell>
          <cell r="S144">
            <v>1</v>
          </cell>
          <cell r="T144">
            <v>0</v>
          </cell>
          <cell r="U144">
            <v>1</v>
          </cell>
        </row>
        <row r="145">
          <cell r="A145" t="str">
            <v>J11107</v>
          </cell>
          <cell r="B145">
            <v>2</v>
          </cell>
          <cell r="C145">
            <v>2</v>
          </cell>
          <cell r="D145">
            <v>2</v>
          </cell>
          <cell r="E145">
            <v>1</v>
          </cell>
          <cell r="F145">
            <v>2</v>
          </cell>
          <cell r="G145">
            <v>1</v>
          </cell>
          <cell r="H145">
            <v>0</v>
          </cell>
          <cell r="I145">
            <v>2</v>
          </cell>
          <cell r="J145">
            <v>2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2</v>
          </cell>
          <cell r="T145">
            <v>0</v>
          </cell>
          <cell r="U145">
            <v>1</v>
          </cell>
        </row>
        <row r="146">
          <cell r="A146" t="str">
            <v>J11107B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</v>
          </cell>
          <cell r="I146">
            <v>0</v>
          </cell>
          <cell r="J146">
            <v>0</v>
          </cell>
          <cell r="K146">
            <v>2</v>
          </cell>
          <cell r="L146">
            <v>2</v>
          </cell>
          <cell r="M146">
            <v>2</v>
          </cell>
          <cell r="N146">
            <v>2</v>
          </cell>
          <cell r="O146">
            <v>1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</row>
        <row r="147">
          <cell r="A147" t="str">
            <v>J11108</v>
          </cell>
          <cell r="B147">
            <v>2</v>
          </cell>
          <cell r="C147">
            <v>2</v>
          </cell>
          <cell r="D147">
            <v>2</v>
          </cell>
          <cell r="E147">
            <v>2</v>
          </cell>
          <cell r="F147">
            <v>2</v>
          </cell>
          <cell r="G147">
            <v>2</v>
          </cell>
          <cell r="H147">
            <v>0</v>
          </cell>
          <cell r="I147">
            <v>2</v>
          </cell>
          <cell r="J147">
            <v>2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2</v>
          </cell>
        </row>
        <row r="148">
          <cell r="A148" t="str">
            <v>J11111</v>
          </cell>
          <cell r="B148">
            <v>2</v>
          </cell>
          <cell r="C148">
            <v>2</v>
          </cell>
          <cell r="D148">
            <v>2</v>
          </cell>
          <cell r="E148">
            <v>2</v>
          </cell>
          <cell r="F148">
            <v>2</v>
          </cell>
          <cell r="G148">
            <v>2</v>
          </cell>
          <cell r="H148">
            <v>2</v>
          </cell>
          <cell r="I148">
            <v>2</v>
          </cell>
          <cell r="J148">
            <v>2</v>
          </cell>
          <cell r="K148">
            <v>2</v>
          </cell>
          <cell r="L148">
            <v>2</v>
          </cell>
          <cell r="M148">
            <v>1</v>
          </cell>
          <cell r="N148">
            <v>2</v>
          </cell>
          <cell r="O148">
            <v>2</v>
          </cell>
          <cell r="P148">
            <v>0</v>
          </cell>
          <cell r="Q148">
            <v>2</v>
          </cell>
          <cell r="R148">
            <v>2</v>
          </cell>
          <cell r="S148">
            <v>2</v>
          </cell>
          <cell r="T148">
            <v>0</v>
          </cell>
          <cell r="U148">
            <v>2</v>
          </cell>
        </row>
        <row r="149">
          <cell r="A149" t="str">
            <v>J11112</v>
          </cell>
          <cell r="B149">
            <v>2</v>
          </cell>
          <cell r="C149">
            <v>1</v>
          </cell>
          <cell r="D149">
            <v>1</v>
          </cell>
          <cell r="E149">
            <v>1</v>
          </cell>
          <cell r="F149">
            <v>2</v>
          </cell>
          <cell r="G149">
            <v>2</v>
          </cell>
          <cell r="H149">
            <v>0</v>
          </cell>
          <cell r="I149">
            <v>2</v>
          </cell>
          <cell r="J149">
            <v>1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1</v>
          </cell>
        </row>
        <row r="150">
          <cell r="A150" t="str">
            <v>J11113B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</v>
          </cell>
          <cell r="I150">
            <v>0</v>
          </cell>
          <cell r="J150">
            <v>0</v>
          </cell>
          <cell r="K150">
            <v>2</v>
          </cell>
          <cell r="L150">
            <v>2</v>
          </cell>
          <cell r="M150">
            <v>2</v>
          </cell>
          <cell r="N150">
            <v>2</v>
          </cell>
          <cell r="O150">
            <v>2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</row>
        <row r="151">
          <cell r="A151" t="str">
            <v>J11114</v>
          </cell>
          <cell r="B151">
            <v>2</v>
          </cell>
          <cell r="C151">
            <v>2</v>
          </cell>
          <cell r="D151">
            <v>2</v>
          </cell>
          <cell r="E151">
            <v>2</v>
          </cell>
          <cell r="F151">
            <v>2</v>
          </cell>
          <cell r="G151">
            <v>2</v>
          </cell>
          <cell r="H151">
            <v>2</v>
          </cell>
          <cell r="I151">
            <v>2</v>
          </cell>
          <cell r="J151">
            <v>2</v>
          </cell>
          <cell r="K151">
            <v>2</v>
          </cell>
          <cell r="L151">
            <v>2</v>
          </cell>
          <cell r="M151">
            <v>1</v>
          </cell>
          <cell r="N151">
            <v>2</v>
          </cell>
          <cell r="O151">
            <v>2</v>
          </cell>
          <cell r="P151">
            <v>0</v>
          </cell>
          <cell r="Q151">
            <v>2</v>
          </cell>
          <cell r="R151">
            <v>2</v>
          </cell>
          <cell r="S151">
            <v>2</v>
          </cell>
          <cell r="T151">
            <v>0</v>
          </cell>
          <cell r="U151">
            <v>2</v>
          </cell>
        </row>
        <row r="152">
          <cell r="A152" t="str">
            <v>J11115</v>
          </cell>
          <cell r="B152">
            <v>5</v>
          </cell>
          <cell r="C152">
            <v>2</v>
          </cell>
          <cell r="D152">
            <v>2</v>
          </cell>
          <cell r="E152">
            <v>3</v>
          </cell>
          <cell r="F152">
            <v>5</v>
          </cell>
          <cell r="G152">
            <v>3</v>
          </cell>
          <cell r="H152">
            <v>4</v>
          </cell>
          <cell r="I152">
            <v>5</v>
          </cell>
          <cell r="J152">
            <v>1</v>
          </cell>
          <cell r="K152">
            <v>5</v>
          </cell>
          <cell r="L152">
            <v>4</v>
          </cell>
          <cell r="M152">
            <v>4</v>
          </cell>
          <cell r="N152">
            <v>1</v>
          </cell>
          <cell r="O152">
            <v>1</v>
          </cell>
          <cell r="P152">
            <v>0</v>
          </cell>
          <cell r="Q152">
            <v>1</v>
          </cell>
          <cell r="R152">
            <v>5</v>
          </cell>
          <cell r="S152">
            <v>2</v>
          </cell>
          <cell r="T152">
            <v>0</v>
          </cell>
          <cell r="U152">
            <v>1</v>
          </cell>
        </row>
        <row r="153">
          <cell r="A153" t="str">
            <v>J11116</v>
          </cell>
          <cell r="B153">
            <v>2</v>
          </cell>
          <cell r="C153">
            <v>2</v>
          </cell>
          <cell r="D153">
            <v>2</v>
          </cell>
          <cell r="E153">
            <v>2</v>
          </cell>
          <cell r="F153">
            <v>2</v>
          </cell>
          <cell r="G153">
            <v>2</v>
          </cell>
          <cell r="H153">
            <v>2</v>
          </cell>
          <cell r="I153">
            <v>2</v>
          </cell>
          <cell r="J153">
            <v>2</v>
          </cell>
          <cell r="K153">
            <v>2</v>
          </cell>
          <cell r="L153">
            <v>2</v>
          </cell>
          <cell r="M153">
            <v>1</v>
          </cell>
          <cell r="N153">
            <v>2</v>
          </cell>
          <cell r="O153">
            <v>2</v>
          </cell>
          <cell r="P153">
            <v>0</v>
          </cell>
          <cell r="Q153">
            <v>2</v>
          </cell>
          <cell r="R153">
            <v>2</v>
          </cell>
          <cell r="S153">
            <v>2</v>
          </cell>
          <cell r="T153">
            <v>0</v>
          </cell>
          <cell r="U153">
            <v>2</v>
          </cell>
        </row>
        <row r="154">
          <cell r="A154" t="str">
            <v>J11117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2</v>
          </cell>
          <cell r="I154">
            <v>0</v>
          </cell>
          <cell r="J154">
            <v>0</v>
          </cell>
          <cell r="K154">
            <v>2</v>
          </cell>
          <cell r="L154">
            <v>2</v>
          </cell>
          <cell r="M154">
            <v>2</v>
          </cell>
          <cell r="N154">
            <v>2</v>
          </cell>
          <cell r="O154">
            <v>2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</row>
        <row r="155">
          <cell r="A155" t="str">
            <v>J11119</v>
          </cell>
          <cell r="B155">
            <v>12</v>
          </cell>
          <cell r="C155">
            <v>3</v>
          </cell>
          <cell r="D155">
            <v>3</v>
          </cell>
          <cell r="E155">
            <v>6</v>
          </cell>
          <cell r="F155">
            <v>12</v>
          </cell>
          <cell r="G155">
            <v>7</v>
          </cell>
          <cell r="H155">
            <v>10</v>
          </cell>
          <cell r="I155">
            <v>12</v>
          </cell>
          <cell r="J155">
            <v>1</v>
          </cell>
          <cell r="K155">
            <v>12</v>
          </cell>
          <cell r="L155">
            <v>8</v>
          </cell>
          <cell r="M155">
            <v>8</v>
          </cell>
          <cell r="N155">
            <v>2</v>
          </cell>
          <cell r="O155">
            <v>2</v>
          </cell>
          <cell r="P155">
            <v>0</v>
          </cell>
          <cell r="Q155">
            <v>3</v>
          </cell>
          <cell r="R155">
            <v>11</v>
          </cell>
          <cell r="S155">
            <v>5</v>
          </cell>
          <cell r="T155">
            <v>0</v>
          </cell>
          <cell r="U155">
            <v>1</v>
          </cell>
        </row>
        <row r="156">
          <cell r="A156" t="str">
            <v>J11120</v>
          </cell>
          <cell r="B156">
            <v>2</v>
          </cell>
          <cell r="C156">
            <v>2</v>
          </cell>
          <cell r="D156">
            <v>2</v>
          </cell>
          <cell r="E156">
            <v>1</v>
          </cell>
          <cell r="F156">
            <v>2</v>
          </cell>
          <cell r="G156">
            <v>1</v>
          </cell>
          <cell r="H156">
            <v>2</v>
          </cell>
          <cell r="I156">
            <v>2</v>
          </cell>
          <cell r="J156">
            <v>2</v>
          </cell>
          <cell r="K156">
            <v>2</v>
          </cell>
          <cell r="L156">
            <v>2</v>
          </cell>
          <cell r="M156">
            <v>1</v>
          </cell>
          <cell r="N156">
            <v>2</v>
          </cell>
          <cell r="O156">
            <v>1</v>
          </cell>
          <cell r="P156">
            <v>0</v>
          </cell>
          <cell r="Q156">
            <v>2</v>
          </cell>
          <cell r="R156">
            <v>2</v>
          </cell>
          <cell r="S156">
            <v>2</v>
          </cell>
          <cell r="T156">
            <v>0</v>
          </cell>
          <cell r="U156">
            <v>1</v>
          </cell>
        </row>
        <row r="157">
          <cell r="A157" t="str">
            <v>J11121</v>
          </cell>
          <cell r="B157">
            <v>1</v>
          </cell>
          <cell r="C157">
            <v>1</v>
          </cell>
          <cell r="D157">
            <v>1</v>
          </cell>
          <cell r="E157">
            <v>1</v>
          </cell>
          <cell r="F157">
            <v>1</v>
          </cell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1</v>
          </cell>
          <cell r="P157">
            <v>0</v>
          </cell>
          <cell r="Q157">
            <v>1</v>
          </cell>
          <cell r="R157">
            <v>1</v>
          </cell>
          <cell r="S157">
            <v>1</v>
          </cell>
          <cell r="T157">
            <v>0</v>
          </cell>
          <cell r="U157">
            <v>1</v>
          </cell>
        </row>
        <row r="158">
          <cell r="A158" t="str">
            <v>J11122</v>
          </cell>
          <cell r="B158">
            <v>6</v>
          </cell>
          <cell r="C158">
            <v>2</v>
          </cell>
          <cell r="D158">
            <v>2</v>
          </cell>
          <cell r="E158">
            <v>3</v>
          </cell>
          <cell r="F158">
            <v>6</v>
          </cell>
          <cell r="G158">
            <v>4</v>
          </cell>
          <cell r="H158">
            <v>5</v>
          </cell>
          <cell r="I158">
            <v>6</v>
          </cell>
          <cell r="J158">
            <v>2</v>
          </cell>
          <cell r="K158">
            <v>6</v>
          </cell>
          <cell r="L158">
            <v>4</v>
          </cell>
          <cell r="M158">
            <v>4</v>
          </cell>
          <cell r="N158">
            <v>2</v>
          </cell>
          <cell r="O158">
            <v>2</v>
          </cell>
          <cell r="P158">
            <v>0</v>
          </cell>
          <cell r="Q158">
            <v>2</v>
          </cell>
          <cell r="R158">
            <v>6</v>
          </cell>
          <cell r="S158">
            <v>3</v>
          </cell>
          <cell r="T158">
            <v>0</v>
          </cell>
          <cell r="U158">
            <v>2</v>
          </cell>
        </row>
        <row r="159">
          <cell r="A159" t="str">
            <v>J11123</v>
          </cell>
          <cell r="B159">
            <v>6</v>
          </cell>
          <cell r="C159">
            <v>2</v>
          </cell>
          <cell r="D159">
            <v>2</v>
          </cell>
          <cell r="E159">
            <v>3</v>
          </cell>
          <cell r="F159">
            <v>6</v>
          </cell>
          <cell r="G159">
            <v>4</v>
          </cell>
          <cell r="H159">
            <v>5</v>
          </cell>
          <cell r="I159">
            <v>6</v>
          </cell>
          <cell r="J159">
            <v>2</v>
          </cell>
          <cell r="K159">
            <v>6</v>
          </cell>
          <cell r="L159">
            <v>4</v>
          </cell>
          <cell r="M159">
            <v>4</v>
          </cell>
          <cell r="N159">
            <v>2</v>
          </cell>
          <cell r="O159">
            <v>2</v>
          </cell>
          <cell r="P159">
            <v>0</v>
          </cell>
          <cell r="Q159">
            <v>2</v>
          </cell>
          <cell r="R159">
            <v>6</v>
          </cell>
          <cell r="S159">
            <v>3</v>
          </cell>
          <cell r="T159">
            <v>0</v>
          </cell>
          <cell r="U159">
            <v>2</v>
          </cell>
        </row>
        <row r="160">
          <cell r="A160" t="str">
            <v>J11124</v>
          </cell>
          <cell r="B160">
            <v>3</v>
          </cell>
          <cell r="C160">
            <v>2</v>
          </cell>
          <cell r="D160">
            <v>2</v>
          </cell>
          <cell r="E160">
            <v>2</v>
          </cell>
          <cell r="F160">
            <v>3</v>
          </cell>
          <cell r="G160">
            <v>2</v>
          </cell>
          <cell r="H160">
            <v>2</v>
          </cell>
          <cell r="I160">
            <v>3</v>
          </cell>
          <cell r="J160">
            <v>2</v>
          </cell>
          <cell r="K160">
            <v>3</v>
          </cell>
          <cell r="L160">
            <v>2</v>
          </cell>
          <cell r="M160">
            <v>2</v>
          </cell>
          <cell r="N160">
            <v>2</v>
          </cell>
          <cell r="O160">
            <v>2</v>
          </cell>
          <cell r="P160">
            <v>0</v>
          </cell>
          <cell r="Q160">
            <v>2</v>
          </cell>
          <cell r="R160">
            <v>3</v>
          </cell>
          <cell r="S160">
            <v>2</v>
          </cell>
          <cell r="T160">
            <v>0</v>
          </cell>
          <cell r="U160">
            <v>2</v>
          </cell>
        </row>
        <row r="161">
          <cell r="A161" t="str">
            <v>J11125</v>
          </cell>
          <cell r="B161">
            <v>6</v>
          </cell>
          <cell r="C161">
            <v>2</v>
          </cell>
          <cell r="D161">
            <v>2</v>
          </cell>
          <cell r="E161">
            <v>3</v>
          </cell>
          <cell r="F161">
            <v>6</v>
          </cell>
          <cell r="G161">
            <v>4</v>
          </cell>
          <cell r="H161">
            <v>5</v>
          </cell>
          <cell r="I161">
            <v>6</v>
          </cell>
          <cell r="J161">
            <v>1</v>
          </cell>
          <cell r="K161">
            <v>6</v>
          </cell>
          <cell r="L161">
            <v>4</v>
          </cell>
          <cell r="M161">
            <v>4</v>
          </cell>
          <cell r="N161">
            <v>2</v>
          </cell>
          <cell r="O161">
            <v>2</v>
          </cell>
          <cell r="P161">
            <v>0</v>
          </cell>
          <cell r="Q161">
            <v>2</v>
          </cell>
          <cell r="R161">
            <v>6</v>
          </cell>
          <cell r="S161">
            <v>3</v>
          </cell>
          <cell r="T161">
            <v>0</v>
          </cell>
          <cell r="U161">
            <v>1</v>
          </cell>
        </row>
        <row r="162">
          <cell r="A162" t="str">
            <v>J11127</v>
          </cell>
          <cell r="B162">
            <v>4</v>
          </cell>
          <cell r="C162">
            <v>1</v>
          </cell>
          <cell r="D162">
            <v>1</v>
          </cell>
          <cell r="E162">
            <v>2</v>
          </cell>
          <cell r="F162">
            <v>4</v>
          </cell>
          <cell r="G162">
            <v>3</v>
          </cell>
          <cell r="H162">
            <v>4</v>
          </cell>
          <cell r="I162">
            <v>4</v>
          </cell>
          <cell r="J162">
            <v>1</v>
          </cell>
          <cell r="K162">
            <v>4</v>
          </cell>
          <cell r="L162">
            <v>3</v>
          </cell>
          <cell r="M162">
            <v>3</v>
          </cell>
          <cell r="N162">
            <v>1</v>
          </cell>
          <cell r="O162">
            <v>1</v>
          </cell>
          <cell r="P162">
            <v>0</v>
          </cell>
          <cell r="Q162">
            <v>2</v>
          </cell>
          <cell r="R162">
            <v>4</v>
          </cell>
          <cell r="S162">
            <v>2</v>
          </cell>
          <cell r="T162">
            <v>0</v>
          </cell>
          <cell r="U162">
            <v>1</v>
          </cell>
        </row>
        <row r="163">
          <cell r="A163" t="str">
            <v>J11128</v>
          </cell>
          <cell r="B163">
            <v>2</v>
          </cell>
          <cell r="C163">
            <v>2</v>
          </cell>
          <cell r="D163">
            <v>2</v>
          </cell>
          <cell r="E163">
            <v>2</v>
          </cell>
          <cell r="F163">
            <v>2</v>
          </cell>
          <cell r="G163">
            <v>2</v>
          </cell>
          <cell r="H163">
            <v>2</v>
          </cell>
          <cell r="I163">
            <v>2</v>
          </cell>
          <cell r="J163">
            <v>2</v>
          </cell>
          <cell r="K163">
            <v>2</v>
          </cell>
          <cell r="L163">
            <v>2</v>
          </cell>
          <cell r="M163">
            <v>1</v>
          </cell>
          <cell r="N163">
            <v>2</v>
          </cell>
          <cell r="O163">
            <v>2</v>
          </cell>
          <cell r="P163">
            <v>0</v>
          </cell>
          <cell r="Q163">
            <v>2</v>
          </cell>
          <cell r="R163">
            <v>2</v>
          </cell>
          <cell r="S163">
            <v>2</v>
          </cell>
          <cell r="T163">
            <v>0</v>
          </cell>
          <cell r="U163">
            <v>2</v>
          </cell>
        </row>
        <row r="164">
          <cell r="A164" t="str">
            <v>J11129</v>
          </cell>
          <cell r="B164">
            <v>1</v>
          </cell>
          <cell r="C164">
            <v>1</v>
          </cell>
          <cell r="D164">
            <v>1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J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</row>
        <row r="165">
          <cell r="A165" t="str">
            <v>J11130</v>
          </cell>
          <cell r="B165">
            <v>1</v>
          </cell>
          <cell r="C165">
            <v>1</v>
          </cell>
          <cell r="D165">
            <v>1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Q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</row>
        <row r="166">
          <cell r="A166" t="str">
            <v>J11906</v>
          </cell>
          <cell r="B166">
            <v>4</v>
          </cell>
          <cell r="C166">
            <v>1</v>
          </cell>
          <cell r="D166">
            <v>1</v>
          </cell>
          <cell r="E166">
            <v>2</v>
          </cell>
          <cell r="F166">
            <v>4</v>
          </cell>
          <cell r="G166">
            <v>3</v>
          </cell>
          <cell r="H166">
            <v>5</v>
          </cell>
          <cell r="I166">
            <v>4</v>
          </cell>
          <cell r="J166">
            <v>1</v>
          </cell>
          <cell r="K166">
            <v>6</v>
          </cell>
          <cell r="L166">
            <v>4</v>
          </cell>
          <cell r="M166">
            <v>4</v>
          </cell>
          <cell r="N166">
            <v>1</v>
          </cell>
          <cell r="O166">
            <v>1</v>
          </cell>
          <cell r="P166">
            <v>0</v>
          </cell>
          <cell r="Q166">
            <v>2</v>
          </cell>
          <cell r="R166">
            <v>6</v>
          </cell>
          <cell r="S166">
            <v>3</v>
          </cell>
          <cell r="T166">
            <v>0</v>
          </cell>
          <cell r="U166">
            <v>1</v>
          </cell>
        </row>
        <row r="167">
          <cell r="A167" t="str">
            <v>J12001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</row>
        <row r="168">
          <cell r="A168" t="str">
            <v>J12003</v>
          </cell>
          <cell r="B168">
            <v>3</v>
          </cell>
          <cell r="C168">
            <v>3</v>
          </cell>
          <cell r="D168">
            <v>3</v>
          </cell>
          <cell r="E168">
            <v>0</v>
          </cell>
          <cell r="F168">
            <v>3</v>
          </cell>
          <cell r="G168">
            <v>0</v>
          </cell>
          <cell r="H168">
            <v>3</v>
          </cell>
          <cell r="I168">
            <v>3</v>
          </cell>
          <cell r="J168">
            <v>3</v>
          </cell>
          <cell r="K168">
            <v>3</v>
          </cell>
          <cell r="L168">
            <v>3</v>
          </cell>
          <cell r="M168">
            <v>0</v>
          </cell>
          <cell r="N168">
            <v>3</v>
          </cell>
          <cell r="O168">
            <v>0</v>
          </cell>
          <cell r="P168">
            <v>3</v>
          </cell>
          <cell r="Q168">
            <v>3</v>
          </cell>
          <cell r="R168">
            <v>3</v>
          </cell>
          <cell r="S168">
            <v>3</v>
          </cell>
          <cell r="T168">
            <v>3</v>
          </cell>
          <cell r="U168">
            <v>0</v>
          </cell>
        </row>
        <row r="169">
          <cell r="A169" t="str">
            <v>J12007</v>
          </cell>
          <cell r="B169">
            <v>2</v>
          </cell>
          <cell r="C169">
            <v>2</v>
          </cell>
          <cell r="D169">
            <v>2</v>
          </cell>
          <cell r="E169">
            <v>1</v>
          </cell>
          <cell r="F169">
            <v>2</v>
          </cell>
          <cell r="G169">
            <v>1</v>
          </cell>
          <cell r="H169">
            <v>2</v>
          </cell>
          <cell r="I169">
            <v>2</v>
          </cell>
          <cell r="J169">
            <v>2</v>
          </cell>
          <cell r="K169">
            <v>2</v>
          </cell>
          <cell r="L169">
            <v>2</v>
          </cell>
          <cell r="M169">
            <v>1</v>
          </cell>
          <cell r="N169">
            <v>2</v>
          </cell>
          <cell r="O169">
            <v>1</v>
          </cell>
          <cell r="P169">
            <v>2</v>
          </cell>
          <cell r="Q169">
            <v>2</v>
          </cell>
          <cell r="R169">
            <v>2</v>
          </cell>
          <cell r="S169">
            <v>2</v>
          </cell>
          <cell r="T169">
            <v>2</v>
          </cell>
          <cell r="U169">
            <v>1</v>
          </cell>
        </row>
        <row r="170">
          <cell r="A170" t="str">
            <v>J12016</v>
          </cell>
          <cell r="B170">
            <v>2</v>
          </cell>
          <cell r="C170">
            <v>2</v>
          </cell>
          <cell r="D170">
            <v>2</v>
          </cell>
          <cell r="E170">
            <v>0</v>
          </cell>
          <cell r="F170">
            <v>2</v>
          </cell>
          <cell r="G170">
            <v>0</v>
          </cell>
          <cell r="H170">
            <v>2</v>
          </cell>
          <cell r="I170">
            <v>2</v>
          </cell>
          <cell r="J170">
            <v>2</v>
          </cell>
          <cell r="K170">
            <v>2</v>
          </cell>
          <cell r="L170">
            <v>2</v>
          </cell>
          <cell r="M170">
            <v>0</v>
          </cell>
          <cell r="N170">
            <v>2</v>
          </cell>
          <cell r="O170">
            <v>0</v>
          </cell>
          <cell r="P170">
            <v>0</v>
          </cell>
          <cell r="Q170">
            <v>2</v>
          </cell>
          <cell r="R170">
            <v>2</v>
          </cell>
          <cell r="S170">
            <v>2</v>
          </cell>
          <cell r="T170">
            <v>0</v>
          </cell>
          <cell r="U170">
            <v>0</v>
          </cell>
        </row>
        <row r="171">
          <cell r="A171" t="str">
            <v>J12019</v>
          </cell>
          <cell r="B171">
            <v>4</v>
          </cell>
          <cell r="C171">
            <v>4</v>
          </cell>
          <cell r="D171">
            <v>4</v>
          </cell>
          <cell r="E171">
            <v>4</v>
          </cell>
          <cell r="F171">
            <v>4</v>
          </cell>
          <cell r="G171">
            <v>4</v>
          </cell>
          <cell r="H171">
            <v>2</v>
          </cell>
          <cell r="I171">
            <v>4</v>
          </cell>
          <cell r="J171">
            <v>4</v>
          </cell>
          <cell r="K171">
            <v>2</v>
          </cell>
          <cell r="L171">
            <v>2</v>
          </cell>
          <cell r="M171">
            <v>2</v>
          </cell>
          <cell r="N171">
            <v>2</v>
          </cell>
          <cell r="O171">
            <v>2</v>
          </cell>
          <cell r="P171">
            <v>0</v>
          </cell>
          <cell r="Q171">
            <v>4</v>
          </cell>
          <cell r="R171">
            <v>4</v>
          </cell>
          <cell r="S171">
            <v>4</v>
          </cell>
          <cell r="T171">
            <v>0</v>
          </cell>
          <cell r="U171">
            <v>4</v>
          </cell>
        </row>
        <row r="172">
          <cell r="A172" t="str">
            <v>J12020</v>
          </cell>
          <cell r="B172">
            <v>5</v>
          </cell>
          <cell r="C172">
            <v>2</v>
          </cell>
          <cell r="D172">
            <v>2</v>
          </cell>
          <cell r="E172">
            <v>2</v>
          </cell>
          <cell r="F172">
            <v>5</v>
          </cell>
          <cell r="G172">
            <v>3</v>
          </cell>
          <cell r="H172">
            <v>4</v>
          </cell>
          <cell r="I172">
            <v>5</v>
          </cell>
          <cell r="J172">
            <v>2</v>
          </cell>
          <cell r="K172">
            <v>4</v>
          </cell>
          <cell r="L172">
            <v>4</v>
          </cell>
          <cell r="M172">
            <v>0</v>
          </cell>
          <cell r="N172">
            <v>4</v>
          </cell>
          <cell r="O172">
            <v>0</v>
          </cell>
          <cell r="P172">
            <v>3</v>
          </cell>
          <cell r="Q172">
            <v>3</v>
          </cell>
          <cell r="R172">
            <v>3</v>
          </cell>
          <cell r="S172">
            <v>3</v>
          </cell>
          <cell r="T172">
            <v>3</v>
          </cell>
          <cell r="U172">
            <v>1</v>
          </cell>
        </row>
        <row r="173">
          <cell r="A173" t="str">
            <v>J12021</v>
          </cell>
          <cell r="B173">
            <v>4</v>
          </cell>
          <cell r="C173">
            <v>4</v>
          </cell>
          <cell r="D173">
            <v>4</v>
          </cell>
          <cell r="E173">
            <v>4</v>
          </cell>
          <cell r="F173">
            <v>4</v>
          </cell>
          <cell r="G173">
            <v>4</v>
          </cell>
          <cell r="H173">
            <v>4</v>
          </cell>
          <cell r="I173">
            <v>4</v>
          </cell>
          <cell r="J173">
            <v>4</v>
          </cell>
          <cell r="K173">
            <v>4</v>
          </cell>
          <cell r="L173">
            <v>4</v>
          </cell>
          <cell r="M173">
            <v>2</v>
          </cell>
          <cell r="N173">
            <v>4</v>
          </cell>
          <cell r="O173">
            <v>4</v>
          </cell>
          <cell r="P173">
            <v>0</v>
          </cell>
          <cell r="Q173">
            <v>4</v>
          </cell>
          <cell r="R173">
            <v>4</v>
          </cell>
          <cell r="S173">
            <v>4</v>
          </cell>
          <cell r="T173">
            <v>0</v>
          </cell>
          <cell r="U173">
            <v>4</v>
          </cell>
        </row>
        <row r="174">
          <cell r="A174" t="str">
            <v>J12022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</row>
        <row r="175">
          <cell r="A175" t="str">
            <v>J12023</v>
          </cell>
          <cell r="B175">
            <v>3</v>
          </cell>
          <cell r="C175">
            <v>3</v>
          </cell>
          <cell r="D175">
            <v>3</v>
          </cell>
          <cell r="E175">
            <v>0</v>
          </cell>
          <cell r="F175">
            <v>3</v>
          </cell>
          <cell r="G175">
            <v>0</v>
          </cell>
          <cell r="H175">
            <v>3</v>
          </cell>
          <cell r="I175">
            <v>3</v>
          </cell>
          <cell r="J175">
            <v>3</v>
          </cell>
          <cell r="K175">
            <v>3</v>
          </cell>
          <cell r="L175">
            <v>3</v>
          </cell>
          <cell r="M175">
            <v>0</v>
          </cell>
          <cell r="N175">
            <v>3</v>
          </cell>
          <cell r="O175">
            <v>0</v>
          </cell>
          <cell r="P175">
            <v>0</v>
          </cell>
          <cell r="Q175">
            <v>3</v>
          </cell>
          <cell r="R175">
            <v>3</v>
          </cell>
          <cell r="S175">
            <v>3</v>
          </cell>
          <cell r="T175">
            <v>0</v>
          </cell>
          <cell r="U175">
            <v>0</v>
          </cell>
        </row>
        <row r="176">
          <cell r="A176" t="str">
            <v>J12024</v>
          </cell>
          <cell r="B176">
            <v>6</v>
          </cell>
          <cell r="C176">
            <v>2</v>
          </cell>
          <cell r="D176">
            <v>2</v>
          </cell>
          <cell r="E176">
            <v>3</v>
          </cell>
          <cell r="F176">
            <v>6</v>
          </cell>
          <cell r="G176">
            <v>4</v>
          </cell>
          <cell r="H176">
            <v>5</v>
          </cell>
          <cell r="I176">
            <v>6</v>
          </cell>
          <cell r="J176">
            <v>1</v>
          </cell>
          <cell r="K176">
            <v>6</v>
          </cell>
          <cell r="L176">
            <v>4</v>
          </cell>
          <cell r="M176">
            <v>4</v>
          </cell>
          <cell r="N176">
            <v>1</v>
          </cell>
          <cell r="O176">
            <v>1</v>
          </cell>
          <cell r="P176">
            <v>0</v>
          </cell>
          <cell r="Q176">
            <v>2</v>
          </cell>
          <cell r="R176">
            <v>6</v>
          </cell>
          <cell r="S176">
            <v>3</v>
          </cell>
          <cell r="T176">
            <v>0</v>
          </cell>
          <cell r="U176">
            <v>1</v>
          </cell>
        </row>
        <row r="177">
          <cell r="A177" t="str">
            <v>J12024-W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  <row r="178">
          <cell r="A178" t="str">
            <v>J12025</v>
          </cell>
          <cell r="B178">
            <v>4</v>
          </cell>
          <cell r="C178">
            <v>4</v>
          </cell>
          <cell r="D178">
            <v>4</v>
          </cell>
          <cell r="E178">
            <v>4</v>
          </cell>
          <cell r="F178">
            <v>4</v>
          </cell>
          <cell r="G178">
            <v>4</v>
          </cell>
          <cell r="H178">
            <v>4</v>
          </cell>
          <cell r="I178">
            <v>4</v>
          </cell>
          <cell r="J178">
            <v>4</v>
          </cell>
          <cell r="K178">
            <v>4</v>
          </cell>
          <cell r="L178">
            <v>4</v>
          </cell>
          <cell r="M178">
            <v>2</v>
          </cell>
          <cell r="N178">
            <v>4</v>
          </cell>
          <cell r="O178">
            <v>4</v>
          </cell>
          <cell r="P178">
            <v>0</v>
          </cell>
          <cell r="Q178">
            <v>4</v>
          </cell>
          <cell r="R178">
            <v>4</v>
          </cell>
          <cell r="S178">
            <v>4</v>
          </cell>
          <cell r="T178">
            <v>0</v>
          </cell>
          <cell r="U178">
            <v>4</v>
          </cell>
        </row>
        <row r="179">
          <cell r="A179" t="str">
            <v>J12034</v>
          </cell>
          <cell r="B179">
            <v>2</v>
          </cell>
          <cell r="C179">
            <v>2</v>
          </cell>
          <cell r="D179">
            <v>2</v>
          </cell>
          <cell r="E179">
            <v>2</v>
          </cell>
          <cell r="F179">
            <v>2</v>
          </cell>
          <cell r="G179">
            <v>2</v>
          </cell>
          <cell r="H179">
            <v>10</v>
          </cell>
          <cell r="I179">
            <v>2</v>
          </cell>
          <cell r="J179">
            <v>2</v>
          </cell>
          <cell r="K179">
            <v>12</v>
          </cell>
          <cell r="L179">
            <v>8</v>
          </cell>
          <cell r="M179">
            <v>8</v>
          </cell>
          <cell r="N179">
            <v>2</v>
          </cell>
          <cell r="O179">
            <v>2</v>
          </cell>
          <cell r="P179">
            <v>0</v>
          </cell>
          <cell r="Q179">
            <v>2</v>
          </cell>
          <cell r="R179">
            <v>2</v>
          </cell>
          <cell r="S179">
            <v>2</v>
          </cell>
          <cell r="T179">
            <v>0</v>
          </cell>
          <cell r="U179">
            <v>2</v>
          </cell>
        </row>
        <row r="180">
          <cell r="A180" t="str">
            <v>J12037</v>
          </cell>
          <cell r="B180">
            <v>3</v>
          </cell>
          <cell r="C180">
            <v>3</v>
          </cell>
          <cell r="D180">
            <v>3</v>
          </cell>
          <cell r="E180">
            <v>2</v>
          </cell>
          <cell r="F180">
            <v>3</v>
          </cell>
          <cell r="G180">
            <v>2</v>
          </cell>
          <cell r="H180">
            <v>3</v>
          </cell>
          <cell r="I180">
            <v>3</v>
          </cell>
          <cell r="J180">
            <v>3</v>
          </cell>
          <cell r="K180">
            <v>3</v>
          </cell>
          <cell r="L180">
            <v>3</v>
          </cell>
          <cell r="M180">
            <v>2</v>
          </cell>
          <cell r="N180">
            <v>3</v>
          </cell>
          <cell r="O180">
            <v>2</v>
          </cell>
          <cell r="P180">
            <v>0</v>
          </cell>
          <cell r="Q180">
            <v>3</v>
          </cell>
          <cell r="R180">
            <v>3</v>
          </cell>
          <cell r="S180">
            <v>3</v>
          </cell>
          <cell r="T180">
            <v>0</v>
          </cell>
          <cell r="U180">
            <v>2</v>
          </cell>
        </row>
        <row r="181">
          <cell r="A181" t="str">
            <v>J12038</v>
          </cell>
          <cell r="B181">
            <v>2</v>
          </cell>
          <cell r="C181">
            <v>2</v>
          </cell>
          <cell r="D181">
            <v>2</v>
          </cell>
          <cell r="E181">
            <v>2</v>
          </cell>
          <cell r="F181">
            <v>2</v>
          </cell>
          <cell r="G181">
            <v>2</v>
          </cell>
          <cell r="H181">
            <v>2</v>
          </cell>
          <cell r="I181">
            <v>2</v>
          </cell>
          <cell r="J181">
            <v>2</v>
          </cell>
          <cell r="K181">
            <v>2</v>
          </cell>
          <cell r="L181">
            <v>2</v>
          </cell>
          <cell r="M181">
            <v>1</v>
          </cell>
          <cell r="N181">
            <v>2</v>
          </cell>
          <cell r="O181">
            <v>2</v>
          </cell>
          <cell r="P181">
            <v>1</v>
          </cell>
          <cell r="Q181">
            <v>2</v>
          </cell>
          <cell r="R181">
            <v>2</v>
          </cell>
          <cell r="S181">
            <v>2</v>
          </cell>
          <cell r="T181">
            <v>1</v>
          </cell>
          <cell r="U181">
            <v>2</v>
          </cell>
        </row>
        <row r="182">
          <cell r="A182" t="str">
            <v>J12039B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</v>
          </cell>
          <cell r="J182">
            <v>0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</row>
        <row r="183">
          <cell r="A183" t="str">
            <v>J12040</v>
          </cell>
          <cell r="B183">
            <v>1</v>
          </cell>
          <cell r="C183">
            <v>1</v>
          </cell>
          <cell r="D183">
            <v>1</v>
          </cell>
          <cell r="E183">
            <v>1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J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0</v>
          </cell>
          <cell r="Q183">
            <v>1</v>
          </cell>
          <cell r="R183">
            <v>1</v>
          </cell>
          <cell r="S183">
            <v>1</v>
          </cell>
          <cell r="T183">
            <v>0</v>
          </cell>
          <cell r="U183">
            <v>1</v>
          </cell>
        </row>
        <row r="184">
          <cell r="A184" t="str">
            <v>J12041</v>
          </cell>
          <cell r="B184">
            <v>1</v>
          </cell>
          <cell r="C184">
            <v>1</v>
          </cell>
          <cell r="D184">
            <v>1</v>
          </cell>
          <cell r="E184">
            <v>1</v>
          </cell>
          <cell r="F184">
            <v>1</v>
          </cell>
          <cell r="G184">
            <v>1</v>
          </cell>
          <cell r="H184">
            <v>1</v>
          </cell>
          <cell r="I184">
            <v>1</v>
          </cell>
          <cell r="J184">
            <v>1</v>
          </cell>
          <cell r="K184">
            <v>1</v>
          </cell>
          <cell r="L184">
            <v>1</v>
          </cell>
          <cell r="M184">
            <v>1</v>
          </cell>
          <cell r="N184">
            <v>1</v>
          </cell>
          <cell r="O184">
            <v>1</v>
          </cell>
          <cell r="P184">
            <v>1</v>
          </cell>
          <cell r="Q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</row>
        <row r="185">
          <cell r="A185" t="str">
            <v>J12044</v>
          </cell>
          <cell r="B185">
            <v>2</v>
          </cell>
          <cell r="C185">
            <v>2</v>
          </cell>
          <cell r="D185">
            <v>2</v>
          </cell>
          <cell r="E185">
            <v>2</v>
          </cell>
          <cell r="F185">
            <v>2</v>
          </cell>
          <cell r="G185">
            <v>2</v>
          </cell>
          <cell r="H185">
            <v>2</v>
          </cell>
          <cell r="I185">
            <v>2</v>
          </cell>
          <cell r="J185">
            <v>2</v>
          </cell>
          <cell r="K185">
            <v>2</v>
          </cell>
          <cell r="L185">
            <v>2</v>
          </cell>
          <cell r="M185">
            <v>2</v>
          </cell>
          <cell r="N185">
            <v>2</v>
          </cell>
          <cell r="O185">
            <v>2</v>
          </cell>
          <cell r="P185">
            <v>0</v>
          </cell>
          <cell r="Q185">
            <v>2</v>
          </cell>
          <cell r="R185">
            <v>2</v>
          </cell>
          <cell r="S185">
            <v>2</v>
          </cell>
          <cell r="T185">
            <v>0</v>
          </cell>
          <cell r="U185">
            <v>2</v>
          </cell>
        </row>
        <row r="186">
          <cell r="A186" t="str">
            <v>J12045</v>
          </cell>
          <cell r="B186">
            <v>1</v>
          </cell>
          <cell r="C186">
            <v>1</v>
          </cell>
          <cell r="D186">
            <v>1</v>
          </cell>
          <cell r="E186">
            <v>1</v>
          </cell>
          <cell r="F186">
            <v>1</v>
          </cell>
          <cell r="G186">
            <v>1</v>
          </cell>
          <cell r="H186">
            <v>1</v>
          </cell>
          <cell r="I186">
            <v>1</v>
          </cell>
          <cell r="J186">
            <v>1</v>
          </cell>
          <cell r="K186">
            <v>1</v>
          </cell>
          <cell r="L186">
            <v>1</v>
          </cell>
          <cell r="M186">
            <v>1</v>
          </cell>
          <cell r="N186">
            <v>1</v>
          </cell>
          <cell r="O186">
            <v>1</v>
          </cell>
          <cell r="P186">
            <v>0</v>
          </cell>
          <cell r="Q186">
            <v>1</v>
          </cell>
          <cell r="R186">
            <v>1</v>
          </cell>
          <cell r="S186">
            <v>1</v>
          </cell>
          <cell r="T186">
            <v>0</v>
          </cell>
          <cell r="U186">
            <v>1</v>
          </cell>
        </row>
        <row r="187">
          <cell r="A187" t="str">
            <v>J12046</v>
          </cell>
          <cell r="B187">
            <v>2</v>
          </cell>
          <cell r="C187">
            <v>2</v>
          </cell>
          <cell r="D187">
            <v>2</v>
          </cell>
          <cell r="E187">
            <v>2</v>
          </cell>
          <cell r="F187">
            <v>2</v>
          </cell>
          <cell r="G187">
            <v>2</v>
          </cell>
          <cell r="H187">
            <v>2</v>
          </cell>
          <cell r="I187">
            <v>2</v>
          </cell>
          <cell r="J187">
            <v>2</v>
          </cell>
          <cell r="K187">
            <v>2</v>
          </cell>
          <cell r="L187">
            <v>2</v>
          </cell>
          <cell r="M187">
            <v>2</v>
          </cell>
          <cell r="N187">
            <v>2</v>
          </cell>
          <cell r="O187">
            <v>2</v>
          </cell>
          <cell r="P187">
            <v>0</v>
          </cell>
          <cell r="Q187">
            <v>2</v>
          </cell>
          <cell r="R187">
            <v>2</v>
          </cell>
          <cell r="S187">
            <v>2</v>
          </cell>
          <cell r="T187">
            <v>0</v>
          </cell>
          <cell r="U187">
            <v>2</v>
          </cell>
        </row>
        <row r="188">
          <cell r="A188" t="str">
            <v>J12047</v>
          </cell>
          <cell r="B188">
            <v>3</v>
          </cell>
          <cell r="C188">
            <v>3</v>
          </cell>
          <cell r="D188">
            <v>3</v>
          </cell>
          <cell r="E188">
            <v>0</v>
          </cell>
          <cell r="F188">
            <v>3</v>
          </cell>
          <cell r="G188">
            <v>0</v>
          </cell>
          <cell r="H188">
            <v>3</v>
          </cell>
          <cell r="I188">
            <v>3</v>
          </cell>
          <cell r="J188">
            <v>3</v>
          </cell>
          <cell r="K188">
            <v>3</v>
          </cell>
          <cell r="L188">
            <v>3</v>
          </cell>
          <cell r="M188">
            <v>0</v>
          </cell>
          <cell r="N188">
            <v>3</v>
          </cell>
          <cell r="O188">
            <v>0</v>
          </cell>
          <cell r="P188">
            <v>0</v>
          </cell>
          <cell r="Q188">
            <v>3</v>
          </cell>
          <cell r="R188">
            <v>3</v>
          </cell>
          <cell r="S188">
            <v>3</v>
          </cell>
          <cell r="T188">
            <v>0</v>
          </cell>
          <cell r="U188">
            <v>0</v>
          </cell>
        </row>
        <row r="189">
          <cell r="A189" t="str">
            <v>J13001</v>
          </cell>
          <cell r="B189">
            <v>3</v>
          </cell>
          <cell r="C189">
            <v>3</v>
          </cell>
          <cell r="D189">
            <v>3</v>
          </cell>
          <cell r="E189">
            <v>0</v>
          </cell>
          <cell r="F189">
            <v>3</v>
          </cell>
          <cell r="G189">
            <v>0</v>
          </cell>
          <cell r="H189">
            <v>3</v>
          </cell>
          <cell r="I189">
            <v>3</v>
          </cell>
          <cell r="J189">
            <v>3</v>
          </cell>
          <cell r="K189">
            <v>3</v>
          </cell>
          <cell r="L189">
            <v>3</v>
          </cell>
          <cell r="M189">
            <v>0</v>
          </cell>
          <cell r="N189">
            <v>3</v>
          </cell>
          <cell r="O189">
            <v>0</v>
          </cell>
          <cell r="P189">
            <v>3</v>
          </cell>
          <cell r="Q189">
            <v>3</v>
          </cell>
          <cell r="R189">
            <v>3</v>
          </cell>
          <cell r="S189">
            <v>3</v>
          </cell>
          <cell r="T189">
            <v>3</v>
          </cell>
          <cell r="U189">
            <v>0</v>
          </cell>
        </row>
        <row r="190">
          <cell r="A190" t="str">
            <v>J13002</v>
          </cell>
          <cell r="B190">
            <v>7</v>
          </cell>
          <cell r="C190">
            <v>3</v>
          </cell>
          <cell r="D190">
            <v>3</v>
          </cell>
          <cell r="E190">
            <v>3</v>
          </cell>
          <cell r="F190">
            <v>7</v>
          </cell>
          <cell r="G190">
            <v>4</v>
          </cell>
          <cell r="H190">
            <v>6</v>
          </cell>
          <cell r="I190">
            <v>7</v>
          </cell>
          <cell r="J190">
            <v>2</v>
          </cell>
          <cell r="K190">
            <v>7</v>
          </cell>
          <cell r="L190">
            <v>5</v>
          </cell>
          <cell r="M190">
            <v>4</v>
          </cell>
          <cell r="N190">
            <v>2</v>
          </cell>
          <cell r="O190">
            <v>1</v>
          </cell>
          <cell r="P190">
            <v>0</v>
          </cell>
          <cell r="Q190">
            <v>3</v>
          </cell>
          <cell r="R190">
            <v>7</v>
          </cell>
          <cell r="S190">
            <v>4</v>
          </cell>
          <cell r="T190">
            <v>0</v>
          </cell>
          <cell r="U190">
            <v>1</v>
          </cell>
        </row>
        <row r="191">
          <cell r="A191" t="str">
            <v>J13005</v>
          </cell>
          <cell r="B191">
            <v>8</v>
          </cell>
          <cell r="C191">
            <v>4</v>
          </cell>
          <cell r="D191">
            <v>4</v>
          </cell>
          <cell r="E191">
            <v>3</v>
          </cell>
          <cell r="F191">
            <v>8</v>
          </cell>
          <cell r="G191">
            <v>4</v>
          </cell>
          <cell r="H191">
            <v>7</v>
          </cell>
          <cell r="I191">
            <v>8</v>
          </cell>
          <cell r="J191">
            <v>3</v>
          </cell>
          <cell r="K191">
            <v>8</v>
          </cell>
          <cell r="L191">
            <v>6</v>
          </cell>
          <cell r="M191">
            <v>4</v>
          </cell>
          <cell r="N191">
            <v>3</v>
          </cell>
          <cell r="O191">
            <v>1</v>
          </cell>
          <cell r="P191">
            <v>3</v>
          </cell>
          <cell r="Q191">
            <v>2</v>
          </cell>
          <cell r="R191">
            <v>6</v>
          </cell>
          <cell r="S191">
            <v>5</v>
          </cell>
          <cell r="T191">
            <v>3</v>
          </cell>
          <cell r="U191">
            <v>1</v>
          </cell>
        </row>
        <row r="192">
          <cell r="A192" t="str">
            <v>J13006</v>
          </cell>
          <cell r="B192">
            <v>12</v>
          </cell>
          <cell r="C192">
            <v>8</v>
          </cell>
          <cell r="D192">
            <v>8</v>
          </cell>
          <cell r="E192">
            <v>5</v>
          </cell>
          <cell r="F192">
            <v>12</v>
          </cell>
          <cell r="G192">
            <v>6</v>
          </cell>
          <cell r="H192">
            <v>7</v>
          </cell>
          <cell r="I192">
            <v>12</v>
          </cell>
          <cell r="J192">
            <v>7</v>
          </cell>
          <cell r="K192">
            <v>8</v>
          </cell>
          <cell r="L192">
            <v>6</v>
          </cell>
          <cell r="M192">
            <v>4</v>
          </cell>
          <cell r="N192">
            <v>3</v>
          </cell>
          <cell r="O192">
            <v>1</v>
          </cell>
          <cell r="P192">
            <v>4</v>
          </cell>
          <cell r="Q192">
            <v>2</v>
          </cell>
          <cell r="R192">
            <v>6</v>
          </cell>
          <cell r="S192">
            <v>5</v>
          </cell>
          <cell r="T192">
            <v>3</v>
          </cell>
          <cell r="U192">
            <v>3</v>
          </cell>
        </row>
        <row r="193">
          <cell r="A193" t="str">
            <v>J13007</v>
          </cell>
          <cell r="B193">
            <v>12</v>
          </cell>
          <cell r="C193">
            <v>8</v>
          </cell>
          <cell r="D193">
            <v>8</v>
          </cell>
          <cell r="E193">
            <v>5</v>
          </cell>
          <cell r="F193">
            <v>12</v>
          </cell>
          <cell r="G193">
            <v>6</v>
          </cell>
          <cell r="H193">
            <v>11</v>
          </cell>
          <cell r="I193">
            <v>12</v>
          </cell>
          <cell r="J193">
            <v>7</v>
          </cell>
          <cell r="K193">
            <v>12</v>
          </cell>
          <cell r="L193">
            <v>10</v>
          </cell>
          <cell r="M193">
            <v>4</v>
          </cell>
          <cell r="N193">
            <v>7</v>
          </cell>
          <cell r="O193">
            <v>3</v>
          </cell>
          <cell r="P193">
            <v>8</v>
          </cell>
          <cell r="Q193">
            <v>8</v>
          </cell>
          <cell r="R193">
            <v>12</v>
          </cell>
          <cell r="S193">
            <v>9</v>
          </cell>
          <cell r="T193">
            <v>6</v>
          </cell>
          <cell r="U193">
            <v>3</v>
          </cell>
        </row>
        <row r="194">
          <cell r="A194" t="str">
            <v>J13008</v>
          </cell>
          <cell r="B194">
            <v>2</v>
          </cell>
          <cell r="C194">
            <v>2</v>
          </cell>
          <cell r="D194">
            <v>2</v>
          </cell>
          <cell r="E194">
            <v>0</v>
          </cell>
          <cell r="F194">
            <v>2</v>
          </cell>
          <cell r="G194">
            <v>0</v>
          </cell>
          <cell r="H194">
            <v>2</v>
          </cell>
          <cell r="I194">
            <v>2</v>
          </cell>
          <cell r="J194">
            <v>2</v>
          </cell>
          <cell r="K194">
            <v>2</v>
          </cell>
          <cell r="L194">
            <v>2</v>
          </cell>
          <cell r="M194">
            <v>0</v>
          </cell>
          <cell r="N194">
            <v>2</v>
          </cell>
          <cell r="O194">
            <v>0</v>
          </cell>
          <cell r="P194">
            <v>3</v>
          </cell>
          <cell r="Q194">
            <v>2</v>
          </cell>
          <cell r="R194">
            <v>2</v>
          </cell>
          <cell r="S194">
            <v>2</v>
          </cell>
          <cell r="T194">
            <v>3</v>
          </cell>
          <cell r="U194">
            <v>0</v>
          </cell>
        </row>
        <row r="195">
          <cell r="A195" t="str">
            <v>J13023</v>
          </cell>
          <cell r="B195">
            <v>6</v>
          </cell>
          <cell r="C195">
            <v>2</v>
          </cell>
          <cell r="D195">
            <v>2</v>
          </cell>
          <cell r="E195">
            <v>3</v>
          </cell>
          <cell r="F195">
            <v>6</v>
          </cell>
          <cell r="G195">
            <v>4</v>
          </cell>
          <cell r="H195">
            <v>7</v>
          </cell>
          <cell r="I195">
            <v>6</v>
          </cell>
          <cell r="J195">
            <v>1</v>
          </cell>
          <cell r="K195">
            <v>8</v>
          </cell>
          <cell r="L195">
            <v>6</v>
          </cell>
          <cell r="M195">
            <v>4</v>
          </cell>
          <cell r="N195">
            <v>3</v>
          </cell>
          <cell r="O195">
            <v>3</v>
          </cell>
          <cell r="P195">
            <v>2</v>
          </cell>
          <cell r="Q195">
            <v>4</v>
          </cell>
          <cell r="R195">
            <v>8</v>
          </cell>
          <cell r="S195">
            <v>5</v>
          </cell>
          <cell r="T195">
            <v>2</v>
          </cell>
          <cell r="U195">
            <v>1</v>
          </cell>
        </row>
        <row r="196">
          <cell r="A196" t="str">
            <v>J13026C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1</v>
          </cell>
          <cell r="R196">
            <v>2</v>
          </cell>
          <cell r="S196">
            <v>1</v>
          </cell>
          <cell r="T196">
            <v>0</v>
          </cell>
          <cell r="U196">
            <v>0</v>
          </cell>
        </row>
        <row r="197">
          <cell r="A197" t="str">
            <v>J13027</v>
          </cell>
          <cell r="B197">
            <v>4</v>
          </cell>
          <cell r="C197">
            <v>1</v>
          </cell>
          <cell r="D197">
            <v>1</v>
          </cell>
          <cell r="E197">
            <v>2</v>
          </cell>
          <cell r="F197">
            <v>4</v>
          </cell>
          <cell r="G197">
            <v>3</v>
          </cell>
          <cell r="H197">
            <v>4</v>
          </cell>
          <cell r="I197">
            <v>4</v>
          </cell>
          <cell r="J197">
            <v>1</v>
          </cell>
          <cell r="K197">
            <v>4</v>
          </cell>
          <cell r="L197">
            <v>3</v>
          </cell>
          <cell r="M197">
            <v>3</v>
          </cell>
          <cell r="N197">
            <v>1</v>
          </cell>
          <cell r="O197">
            <v>1</v>
          </cell>
          <cell r="P197">
            <v>0</v>
          </cell>
          <cell r="Q197">
            <v>1</v>
          </cell>
          <cell r="R197">
            <v>4</v>
          </cell>
          <cell r="S197">
            <v>2</v>
          </cell>
          <cell r="T197">
            <v>0</v>
          </cell>
          <cell r="U197">
            <v>1</v>
          </cell>
        </row>
        <row r="198">
          <cell r="A198" t="str">
            <v>J13028</v>
          </cell>
          <cell r="B198">
            <v>6</v>
          </cell>
          <cell r="C198">
            <v>2</v>
          </cell>
          <cell r="D198">
            <v>2</v>
          </cell>
          <cell r="E198">
            <v>3</v>
          </cell>
          <cell r="F198">
            <v>6</v>
          </cell>
          <cell r="G198">
            <v>4</v>
          </cell>
          <cell r="H198">
            <v>5</v>
          </cell>
          <cell r="I198">
            <v>6</v>
          </cell>
          <cell r="J198">
            <v>1</v>
          </cell>
          <cell r="K198">
            <v>6</v>
          </cell>
          <cell r="L198">
            <v>4</v>
          </cell>
          <cell r="M198">
            <v>4</v>
          </cell>
          <cell r="N198">
            <v>1</v>
          </cell>
          <cell r="O198">
            <v>1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1</v>
          </cell>
        </row>
        <row r="199">
          <cell r="A199" t="str">
            <v>J13028C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2</v>
          </cell>
          <cell r="R199">
            <v>6</v>
          </cell>
          <cell r="S199">
            <v>3</v>
          </cell>
          <cell r="T199">
            <v>0</v>
          </cell>
          <cell r="U199">
            <v>0</v>
          </cell>
        </row>
        <row r="200">
          <cell r="A200" t="str">
            <v>J13031B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1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A201" t="str">
            <v>J13032</v>
          </cell>
          <cell r="B201">
            <v>2</v>
          </cell>
          <cell r="C201">
            <v>2</v>
          </cell>
          <cell r="D201">
            <v>2</v>
          </cell>
          <cell r="E201">
            <v>2</v>
          </cell>
          <cell r="F201">
            <v>2</v>
          </cell>
          <cell r="G201">
            <v>2</v>
          </cell>
          <cell r="H201">
            <v>2</v>
          </cell>
          <cell r="I201">
            <v>2</v>
          </cell>
          <cell r="J201">
            <v>2</v>
          </cell>
          <cell r="K201">
            <v>2</v>
          </cell>
          <cell r="L201">
            <v>2</v>
          </cell>
          <cell r="M201">
            <v>2</v>
          </cell>
          <cell r="N201">
            <v>2</v>
          </cell>
          <cell r="O201">
            <v>2</v>
          </cell>
          <cell r="P201">
            <v>0</v>
          </cell>
          <cell r="Q201">
            <v>2</v>
          </cell>
          <cell r="R201">
            <v>2</v>
          </cell>
          <cell r="S201">
            <v>2</v>
          </cell>
          <cell r="T201">
            <v>0</v>
          </cell>
          <cell r="U201">
            <v>2</v>
          </cell>
        </row>
        <row r="202">
          <cell r="A202" t="str">
            <v>J13033</v>
          </cell>
          <cell r="B202">
            <v>1</v>
          </cell>
          <cell r="C202">
            <v>1</v>
          </cell>
          <cell r="D202">
            <v>1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  <cell r="M202">
            <v>0</v>
          </cell>
          <cell r="N202">
            <v>1</v>
          </cell>
          <cell r="O202">
            <v>0</v>
          </cell>
          <cell r="P202">
            <v>2</v>
          </cell>
          <cell r="Q202">
            <v>1</v>
          </cell>
          <cell r="R202">
            <v>1</v>
          </cell>
          <cell r="S202">
            <v>1</v>
          </cell>
          <cell r="T202">
            <v>2</v>
          </cell>
          <cell r="U202">
            <v>1</v>
          </cell>
        </row>
        <row r="203">
          <cell r="A203" t="str">
            <v>J13034</v>
          </cell>
          <cell r="B203">
            <v>2</v>
          </cell>
          <cell r="C203">
            <v>2</v>
          </cell>
          <cell r="D203">
            <v>2</v>
          </cell>
          <cell r="E203">
            <v>0</v>
          </cell>
          <cell r="F203">
            <v>2</v>
          </cell>
          <cell r="G203">
            <v>0</v>
          </cell>
          <cell r="H203">
            <v>3</v>
          </cell>
          <cell r="I203">
            <v>2</v>
          </cell>
          <cell r="J203">
            <v>2</v>
          </cell>
          <cell r="K203">
            <v>3</v>
          </cell>
          <cell r="L203">
            <v>3</v>
          </cell>
          <cell r="M203">
            <v>0</v>
          </cell>
          <cell r="N203">
            <v>3</v>
          </cell>
          <cell r="O203">
            <v>0</v>
          </cell>
          <cell r="P203">
            <v>2</v>
          </cell>
          <cell r="Q203">
            <v>3</v>
          </cell>
          <cell r="R203">
            <v>3</v>
          </cell>
          <cell r="S203">
            <v>3</v>
          </cell>
          <cell r="T203">
            <v>2</v>
          </cell>
          <cell r="U203">
            <v>0</v>
          </cell>
        </row>
        <row r="204">
          <cell r="A204" t="str">
            <v>J13035A</v>
          </cell>
          <cell r="B204">
            <v>2</v>
          </cell>
          <cell r="C204">
            <v>2</v>
          </cell>
          <cell r="D204">
            <v>2</v>
          </cell>
          <cell r="E204">
            <v>0</v>
          </cell>
          <cell r="F204">
            <v>2</v>
          </cell>
          <cell r="G204">
            <v>0</v>
          </cell>
          <cell r="H204">
            <v>0</v>
          </cell>
          <cell r="I204">
            <v>2</v>
          </cell>
          <cell r="J204">
            <v>2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</row>
        <row r="205">
          <cell r="A205" t="str">
            <v>J13035B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2</v>
          </cell>
          <cell r="I205">
            <v>0</v>
          </cell>
          <cell r="J205">
            <v>0</v>
          </cell>
          <cell r="K205">
            <v>2</v>
          </cell>
          <cell r="L205">
            <v>2</v>
          </cell>
          <cell r="M205">
            <v>0</v>
          </cell>
          <cell r="N205">
            <v>2</v>
          </cell>
          <cell r="O205">
            <v>0</v>
          </cell>
          <cell r="P205">
            <v>2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</row>
        <row r="206">
          <cell r="A206" t="str">
            <v>J13035C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2</v>
          </cell>
          <cell r="R206">
            <v>2</v>
          </cell>
          <cell r="S206">
            <v>2</v>
          </cell>
          <cell r="T206">
            <v>1</v>
          </cell>
          <cell r="U206">
            <v>0</v>
          </cell>
        </row>
        <row r="207">
          <cell r="A207" t="str">
            <v>J13036A</v>
          </cell>
          <cell r="B207">
            <v>2</v>
          </cell>
          <cell r="C207">
            <v>2</v>
          </cell>
          <cell r="D207">
            <v>2</v>
          </cell>
          <cell r="E207">
            <v>0</v>
          </cell>
          <cell r="F207">
            <v>2</v>
          </cell>
          <cell r="G207">
            <v>0</v>
          </cell>
          <cell r="H207">
            <v>0</v>
          </cell>
          <cell r="I207">
            <v>2</v>
          </cell>
          <cell r="J207">
            <v>2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</row>
        <row r="208">
          <cell r="A208" t="str">
            <v>J13036B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2</v>
          </cell>
          <cell r="I208">
            <v>0</v>
          </cell>
          <cell r="J208">
            <v>0</v>
          </cell>
          <cell r="K208">
            <v>2</v>
          </cell>
          <cell r="L208">
            <v>2</v>
          </cell>
          <cell r="M208">
            <v>0</v>
          </cell>
          <cell r="N208">
            <v>2</v>
          </cell>
          <cell r="O208">
            <v>0</v>
          </cell>
          <cell r="P208">
            <v>2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</row>
        <row r="209">
          <cell r="A209" t="str">
            <v>J13036C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2</v>
          </cell>
          <cell r="T209">
            <v>1</v>
          </cell>
          <cell r="U209">
            <v>0</v>
          </cell>
        </row>
        <row r="210">
          <cell r="A210" t="str">
            <v>J13037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7</v>
          </cell>
          <cell r="U210">
            <v>0</v>
          </cell>
        </row>
        <row r="211">
          <cell r="A211" t="str">
            <v>J13038</v>
          </cell>
          <cell r="B211">
            <v>2</v>
          </cell>
          <cell r="C211">
            <v>1</v>
          </cell>
          <cell r="D211">
            <v>1</v>
          </cell>
          <cell r="E211">
            <v>2</v>
          </cell>
          <cell r="F211">
            <v>2</v>
          </cell>
          <cell r="G211">
            <v>2</v>
          </cell>
          <cell r="H211">
            <v>2</v>
          </cell>
          <cell r="I211">
            <v>2</v>
          </cell>
          <cell r="J211">
            <v>1</v>
          </cell>
          <cell r="K211">
            <v>2</v>
          </cell>
          <cell r="L211">
            <v>2</v>
          </cell>
          <cell r="M211">
            <v>2</v>
          </cell>
          <cell r="N211">
            <v>1</v>
          </cell>
          <cell r="O211">
            <v>1</v>
          </cell>
          <cell r="P211">
            <v>0</v>
          </cell>
          <cell r="Q211">
            <v>1</v>
          </cell>
          <cell r="R211">
            <v>2</v>
          </cell>
          <cell r="S211">
            <v>2</v>
          </cell>
          <cell r="T211">
            <v>0</v>
          </cell>
          <cell r="U211">
            <v>1</v>
          </cell>
        </row>
        <row r="212">
          <cell r="A212" t="str">
            <v>J13039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5</v>
          </cell>
          <cell r="I212">
            <v>0</v>
          </cell>
          <cell r="J212">
            <v>0</v>
          </cell>
          <cell r="K212">
            <v>6</v>
          </cell>
          <cell r="L212">
            <v>4</v>
          </cell>
          <cell r="M212">
            <v>4</v>
          </cell>
          <cell r="N212">
            <v>1</v>
          </cell>
          <cell r="O212">
            <v>1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</row>
        <row r="213">
          <cell r="A213" t="str">
            <v>J13040</v>
          </cell>
          <cell r="B213">
            <v>2</v>
          </cell>
          <cell r="C213">
            <v>2</v>
          </cell>
          <cell r="D213">
            <v>2</v>
          </cell>
          <cell r="E213">
            <v>0</v>
          </cell>
          <cell r="F213">
            <v>2</v>
          </cell>
          <cell r="G213">
            <v>0</v>
          </cell>
          <cell r="H213">
            <v>2</v>
          </cell>
          <cell r="I213">
            <v>2</v>
          </cell>
          <cell r="J213">
            <v>2</v>
          </cell>
          <cell r="K213">
            <v>2</v>
          </cell>
          <cell r="L213">
            <v>2</v>
          </cell>
          <cell r="M213">
            <v>0</v>
          </cell>
          <cell r="N213">
            <v>2</v>
          </cell>
          <cell r="O213">
            <v>0</v>
          </cell>
          <cell r="P213">
            <v>2</v>
          </cell>
          <cell r="Q213">
            <v>2</v>
          </cell>
          <cell r="R213">
            <v>2</v>
          </cell>
          <cell r="S213">
            <v>2</v>
          </cell>
          <cell r="T213">
            <v>2</v>
          </cell>
          <cell r="U213">
            <v>0</v>
          </cell>
        </row>
        <row r="214">
          <cell r="A214" t="str">
            <v>J13041</v>
          </cell>
          <cell r="B214">
            <v>2</v>
          </cell>
          <cell r="C214">
            <v>1</v>
          </cell>
          <cell r="D214">
            <v>1</v>
          </cell>
          <cell r="E214">
            <v>1</v>
          </cell>
          <cell r="F214">
            <v>2</v>
          </cell>
          <cell r="G214">
            <v>2</v>
          </cell>
          <cell r="H214">
            <v>0</v>
          </cell>
          <cell r="I214">
            <v>2</v>
          </cell>
          <cell r="J214">
            <v>1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1</v>
          </cell>
        </row>
        <row r="215">
          <cell r="A215" t="str">
            <v>J13042B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2</v>
          </cell>
          <cell r="I215">
            <v>0</v>
          </cell>
          <cell r="J215">
            <v>0</v>
          </cell>
          <cell r="K215">
            <v>2</v>
          </cell>
          <cell r="L215">
            <v>2</v>
          </cell>
          <cell r="M215">
            <v>2</v>
          </cell>
          <cell r="N215">
            <v>1</v>
          </cell>
          <cell r="O215">
            <v>1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</row>
        <row r="216">
          <cell r="A216" t="str">
            <v>J13042C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1</v>
          </cell>
          <cell r="R216">
            <v>2</v>
          </cell>
          <cell r="S216">
            <v>1</v>
          </cell>
          <cell r="T216">
            <v>0</v>
          </cell>
          <cell r="U216">
            <v>0</v>
          </cell>
        </row>
        <row r="217">
          <cell r="A217" t="str">
            <v>J13043</v>
          </cell>
          <cell r="B217">
            <v>2</v>
          </cell>
          <cell r="C217">
            <v>2</v>
          </cell>
          <cell r="D217">
            <v>2</v>
          </cell>
          <cell r="E217">
            <v>2</v>
          </cell>
          <cell r="F217">
            <v>2</v>
          </cell>
          <cell r="G217">
            <v>2</v>
          </cell>
          <cell r="H217">
            <v>2</v>
          </cell>
          <cell r="I217">
            <v>2</v>
          </cell>
          <cell r="J217">
            <v>2</v>
          </cell>
          <cell r="K217">
            <v>2</v>
          </cell>
          <cell r="L217">
            <v>2</v>
          </cell>
          <cell r="M217">
            <v>2</v>
          </cell>
          <cell r="N217">
            <v>2</v>
          </cell>
          <cell r="O217">
            <v>2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2</v>
          </cell>
        </row>
        <row r="218">
          <cell r="A218" t="str">
            <v>J13044</v>
          </cell>
          <cell r="B218">
            <v>3</v>
          </cell>
          <cell r="C218">
            <v>3</v>
          </cell>
          <cell r="D218">
            <v>3</v>
          </cell>
          <cell r="E218">
            <v>0</v>
          </cell>
          <cell r="F218">
            <v>3</v>
          </cell>
          <cell r="G218">
            <v>0</v>
          </cell>
          <cell r="H218">
            <v>3</v>
          </cell>
          <cell r="I218">
            <v>3</v>
          </cell>
          <cell r="J218">
            <v>2</v>
          </cell>
          <cell r="K218">
            <v>3</v>
          </cell>
          <cell r="L218">
            <v>3</v>
          </cell>
          <cell r="M218">
            <v>0</v>
          </cell>
          <cell r="N218">
            <v>3</v>
          </cell>
          <cell r="O218">
            <v>0</v>
          </cell>
          <cell r="P218">
            <v>3</v>
          </cell>
          <cell r="Q218">
            <v>3</v>
          </cell>
          <cell r="R218">
            <v>3</v>
          </cell>
          <cell r="S218">
            <v>3</v>
          </cell>
          <cell r="T218">
            <v>3</v>
          </cell>
          <cell r="U218">
            <v>0</v>
          </cell>
        </row>
        <row r="219">
          <cell r="A219" t="str">
            <v>J13045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2</v>
          </cell>
          <cell r="R219">
            <v>5</v>
          </cell>
          <cell r="S219">
            <v>3</v>
          </cell>
          <cell r="T219">
            <v>0</v>
          </cell>
          <cell r="U219">
            <v>0</v>
          </cell>
        </row>
        <row r="220">
          <cell r="A220" t="str">
            <v>J13045-W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</row>
        <row r="221">
          <cell r="A221" t="str">
            <v>J13046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2</v>
          </cell>
          <cell r="U221">
            <v>0</v>
          </cell>
        </row>
        <row r="222">
          <cell r="A222" t="str">
            <v>J13048</v>
          </cell>
          <cell r="B222">
            <v>4</v>
          </cell>
          <cell r="C222">
            <v>1</v>
          </cell>
          <cell r="D222">
            <v>1</v>
          </cell>
          <cell r="E222">
            <v>2</v>
          </cell>
          <cell r="F222">
            <v>4</v>
          </cell>
          <cell r="G222">
            <v>3</v>
          </cell>
          <cell r="H222">
            <v>4</v>
          </cell>
          <cell r="I222">
            <v>4</v>
          </cell>
          <cell r="J222">
            <v>1</v>
          </cell>
          <cell r="K222">
            <v>4</v>
          </cell>
          <cell r="L222">
            <v>3</v>
          </cell>
          <cell r="M222">
            <v>3</v>
          </cell>
          <cell r="N222">
            <v>1</v>
          </cell>
          <cell r="O222">
            <v>1</v>
          </cell>
          <cell r="P222">
            <v>0</v>
          </cell>
          <cell r="Q222">
            <v>1</v>
          </cell>
          <cell r="R222">
            <v>4</v>
          </cell>
          <cell r="S222">
            <v>2</v>
          </cell>
          <cell r="T222">
            <v>0</v>
          </cell>
          <cell r="U222">
            <v>1</v>
          </cell>
        </row>
        <row r="223">
          <cell r="A223" t="str">
            <v>J13049</v>
          </cell>
          <cell r="B223">
            <v>12</v>
          </cell>
          <cell r="C223">
            <v>8</v>
          </cell>
          <cell r="D223">
            <v>8</v>
          </cell>
          <cell r="E223">
            <v>5</v>
          </cell>
          <cell r="F223">
            <v>12</v>
          </cell>
          <cell r="G223">
            <v>6</v>
          </cell>
          <cell r="H223">
            <v>11</v>
          </cell>
          <cell r="I223">
            <v>12</v>
          </cell>
          <cell r="J223">
            <v>7</v>
          </cell>
          <cell r="K223">
            <v>12</v>
          </cell>
          <cell r="L223">
            <v>10</v>
          </cell>
          <cell r="M223">
            <v>4</v>
          </cell>
          <cell r="N223">
            <v>7</v>
          </cell>
          <cell r="O223">
            <v>3</v>
          </cell>
          <cell r="P223">
            <v>0</v>
          </cell>
          <cell r="Q223">
            <v>8</v>
          </cell>
          <cell r="R223">
            <v>12</v>
          </cell>
          <cell r="S223">
            <v>9</v>
          </cell>
          <cell r="T223">
            <v>0</v>
          </cell>
          <cell r="U223">
            <v>3</v>
          </cell>
        </row>
        <row r="224">
          <cell r="A224" t="str">
            <v>J13050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3</v>
          </cell>
          <cell r="R224">
            <v>7</v>
          </cell>
          <cell r="S224">
            <v>4</v>
          </cell>
          <cell r="T224">
            <v>0</v>
          </cell>
          <cell r="U224">
            <v>0</v>
          </cell>
        </row>
        <row r="225">
          <cell r="A225" t="str">
            <v>J13051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2</v>
          </cell>
          <cell r="R225">
            <v>2</v>
          </cell>
          <cell r="S225">
            <v>2</v>
          </cell>
          <cell r="T225">
            <v>0</v>
          </cell>
          <cell r="U225">
            <v>0</v>
          </cell>
        </row>
        <row r="226">
          <cell r="A226" t="str">
            <v>J14011</v>
          </cell>
          <cell r="B226">
            <v>4</v>
          </cell>
          <cell r="C226">
            <v>2</v>
          </cell>
          <cell r="D226">
            <v>2</v>
          </cell>
          <cell r="E226">
            <v>3</v>
          </cell>
          <cell r="F226">
            <v>4</v>
          </cell>
          <cell r="G226">
            <v>4</v>
          </cell>
          <cell r="H226">
            <v>0</v>
          </cell>
          <cell r="I226">
            <v>4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</row>
        <row r="227">
          <cell r="A227" t="str">
            <v>J14011B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4</v>
          </cell>
          <cell r="I227">
            <v>0</v>
          </cell>
          <cell r="J227">
            <v>0</v>
          </cell>
          <cell r="K227">
            <v>4</v>
          </cell>
          <cell r="L227">
            <v>4</v>
          </cell>
          <cell r="M227">
            <v>4</v>
          </cell>
          <cell r="N227">
            <v>1</v>
          </cell>
          <cell r="O227">
            <v>1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</row>
        <row r="228">
          <cell r="A228" t="str">
            <v>J14011C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2</v>
          </cell>
          <cell r="R228">
            <v>4</v>
          </cell>
          <cell r="S228">
            <v>3</v>
          </cell>
          <cell r="T228">
            <v>0</v>
          </cell>
          <cell r="U228">
            <v>0</v>
          </cell>
        </row>
        <row r="229">
          <cell r="A229" t="str">
            <v>J14012</v>
          </cell>
          <cell r="B229">
            <v>1</v>
          </cell>
          <cell r="C229">
            <v>1</v>
          </cell>
          <cell r="D229">
            <v>1</v>
          </cell>
          <cell r="E229">
            <v>1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0</v>
          </cell>
          <cell r="Q229">
            <v>1</v>
          </cell>
          <cell r="R229">
            <v>1</v>
          </cell>
          <cell r="S229">
            <v>1</v>
          </cell>
          <cell r="T229">
            <v>0</v>
          </cell>
          <cell r="U229">
            <v>1</v>
          </cell>
        </row>
        <row r="230">
          <cell r="A230" t="str">
            <v>J14013C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2</v>
          </cell>
          <cell r="R230">
            <v>2</v>
          </cell>
          <cell r="S230">
            <v>2</v>
          </cell>
          <cell r="T230">
            <v>0</v>
          </cell>
          <cell r="U230">
            <v>0</v>
          </cell>
        </row>
        <row r="231">
          <cell r="A231" t="str">
            <v>J14014</v>
          </cell>
          <cell r="B231">
            <v>2</v>
          </cell>
          <cell r="C231">
            <v>1</v>
          </cell>
          <cell r="D231">
            <v>1</v>
          </cell>
          <cell r="E231">
            <v>1</v>
          </cell>
          <cell r="F231">
            <v>2</v>
          </cell>
          <cell r="G231">
            <v>2</v>
          </cell>
          <cell r="H231">
            <v>1</v>
          </cell>
          <cell r="I231">
            <v>2</v>
          </cell>
          <cell r="J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0</v>
          </cell>
          <cell r="Q231">
            <v>1</v>
          </cell>
          <cell r="R231">
            <v>1</v>
          </cell>
          <cell r="S231">
            <v>1</v>
          </cell>
          <cell r="T231">
            <v>0</v>
          </cell>
          <cell r="U231">
            <v>1</v>
          </cell>
        </row>
        <row r="232">
          <cell r="A232" t="str">
            <v>J14015</v>
          </cell>
          <cell r="B232">
            <v>2</v>
          </cell>
          <cell r="C232">
            <v>1</v>
          </cell>
          <cell r="D232">
            <v>1</v>
          </cell>
          <cell r="E232">
            <v>1</v>
          </cell>
          <cell r="F232">
            <v>2</v>
          </cell>
          <cell r="G232">
            <v>2</v>
          </cell>
          <cell r="H232">
            <v>1</v>
          </cell>
          <cell r="I232">
            <v>2</v>
          </cell>
          <cell r="J232">
            <v>1</v>
          </cell>
          <cell r="K232">
            <v>1</v>
          </cell>
          <cell r="L232">
            <v>1</v>
          </cell>
          <cell r="M232">
            <v>1</v>
          </cell>
          <cell r="N232">
            <v>1</v>
          </cell>
          <cell r="O232">
            <v>1</v>
          </cell>
          <cell r="P232">
            <v>0</v>
          </cell>
          <cell r="Q232">
            <v>1</v>
          </cell>
          <cell r="R232">
            <v>1</v>
          </cell>
          <cell r="S232">
            <v>1</v>
          </cell>
          <cell r="T232">
            <v>0</v>
          </cell>
          <cell r="U232">
            <v>1</v>
          </cell>
        </row>
        <row r="233">
          <cell r="A233" t="str">
            <v>J14019A</v>
          </cell>
          <cell r="B233">
            <v>2</v>
          </cell>
          <cell r="C233">
            <v>2</v>
          </cell>
          <cell r="D233">
            <v>2</v>
          </cell>
          <cell r="E233">
            <v>2</v>
          </cell>
          <cell r="F233">
            <v>2</v>
          </cell>
          <cell r="G233">
            <v>2</v>
          </cell>
          <cell r="H233">
            <v>0</v>
          </cell>
          <cell r="I233">
            <v>2</v>
          </cell>
          <cell r="J233">
            <v>2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</v>
          </cell>
        </row>
        <row r="234">
          <cell r="A234" t="str">
            <v>J14019B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2</v>
          </cell>
          <cell r="I234">
            <v>0</v>
          </cell>
          <cell r="J234">
            <v>0</v>
          </cell>
          <cell r="K234">
            <v>2</v>
          </cell>
          <cell r="L234">
            <v>2</v>
          </cell>
          <cell r="M234">
            <v>2</v>
          </cell>
          <cell r="N234">
            <v>2</v>
          </cell>
          <cell r="O234">
            <v>2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</row>
        <row r="235">
          <cell r="A235" t="str">
            <v>J14019C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</v>
          </cell>
          <cell r="R235">
            <v>1</v>
          </cell>
          <cell r="S235">
            <v>1</v>
          </cell>
          <cell r="T235">
            <v>0</v>
          </cell>
          <cell r="U235">
            <v>0</v>
          </cell>
        </row>
        <row r="236">
          <cell r="A236" t="str">
            <v>J24002</v>
          </cell>
          <cell r="B236">
            <v>1</v>
          </cell>
          <cell r="C236">
            <v>1</v>
          </cell>
          <cell r="D236">
            <v>1</v>
          </cell>
          <cell r="E236">
            <v>1</v>
          </cell>
          <cell r="F236">
            <v>1</v>
          </cell>
          <cell r="G236">
            <v>1</v>
          </cell>
          <cell r="H236">
            <v>1</v>
          </cell>
          <cell r="I236">
            <v>1</v>
          </cell>
          <cell r="J236">
            <v>1</v>
          </cell>
          <cell r="K236">
            <v>1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0</v>
          </cell>
          <cell r="Q236">
            <v>1</v>
          </cell>
          <cell r="R236">
            <v>1</v>
          </cell>
          <cell r="S236">
            <v>1</v>
          </cell>
          <cell r="T236">
            <v>0</v>
          </cell>
          <cell r="U236">
            <v>1</v>
          </cell>
        </row>
        <row r="237">
          <cell r="A237" t="str">
            <v>J26001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1</v>
          </cell>
          <cell r="I237">
            <v>0</v>
          </cell>
          <cell r="J237">
            <v>0</v>
          </cell>
          <cell r="K237">
            <v>1</v>
          </cell>
          <cell r="L237">
            <v>1</v>
          </cell>
          <cell r="M237">
            <v>1</v>
          </cell>
          <cell r="N237">
            <v>1</v>
          </cell>
          <cell r="O237">
            <v>1</v>
          </cell>
          <cell r="P237">
            <v>1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</row>
        <row r="238">
          <cell r="A238" t="str">
            <v>J26005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1</v>
          </cell>
          <cell r="I238">
            <v>0</v>
          </cell>
          <cell r="J238">
            <v>0</v>
          </cell>
          <cell r="K238">
            <v>1</v>
          </cell>
          <cell r="L238">
            <v>1</v>
          </cell>
          <cell r="M238">
            <v>1</v>
          </cell>
          <cell r="N238">
            <v>1</v>
          </cell>
          <cell r="O238">
            <v>1</v>
          </cell>
          <cell r="P238">
            <v>1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</row>
        <row r="239">
          <cell r="A239" t="str">
            <v>J26006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2</v>
          </cell>
          <cell r="I239">
            <v>0</v>
          </cell>
          <cell r="J239">
            <v>0</v>
          </cell>
          <cell r="K239">
            <v>2</v>
          </cell>
          <cell r="L239">
            <v>2</v>
          </cell>
          <cell r="M239">
            <v>2</v>
          </cell>
          <cell r="N239">
            <v>2</v>
          </cell>
          <cell r="O239">
            <v>2</v>
          </cell>
          <cell r="P239">
            <v>2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</row>
        <row r="240">
          <cell r="A240" t="str">
            <v>J26007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0</v>
          </cell>
          <cell r="J240">
            <v>0</v>
          </cell>
          <cell r="K240">
            <v>1</v>
          </cell>
          <cell r="L240">
            <v>1</v>
          </cell>
          <cell r="M240">
            <v>1</v>
          </cell>
          <cell r="N240">
            <v>1</v>
          </cell>
          <cell r="O240">
            <v>1</v>
          </cell>
          <cell r="P240">
            <v>1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</row>
        <row r="241">
          <cell r="A241" t="str">
            <v>J26009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1</v>
          </cell>
          <cell r="I241">
            <v>0</v>
          </cell>
          <cell r="J241">
            <v>0</v>
          </cell>
          <cell r="K241">
            <v>1</v>
          </cell>
          <cell r="L241">
            <v>1</v>
          </cell>
          <cell r="M241">
            <v>1</v>
          </cell>
          <cell r="N241">
            <v>1</v>
          </cell>
          <cell r="O241">
            <v>1</v>
          </cell>
          <cell r="P241">
            <v>1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</row>
        <row r="242">
          <cell r="A242" t="str">
            <v>J26012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0</v>
          </cell>
          <cell r="J242">
            <v>0</v>
          </cell>
          <cell r="K242">
            <v>1</v>
          </cell>
          <cell r="L242">
            <v>1</v>
          </cell>
          <cell r="M242">
            <v>1</v>
          </cell>
          <cell r="N242">
            <v>1</v>
          </cell>
          <cell r="O242">
            <v>1</v>
          </cell>
          <cell r="P242">
            <v>1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</row>
        <row r="243">
          <cell r="A243" t="str">
            <v>J26015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1</v>
          </cell>
          <cell r="I243">
            <v>0</v>
          </cell>
          <cell r="J243">
            <v>0</v>
          </cell>
          <cell r="K243">
            <v>1</v>
          </cell>
          <cell r="L243">
            <v>1</v>
          </cell>
          <cell r="M243">
            <v>1</v>
          </cell>
          <cell r="N243">
            <v>1</v>
          </cell>
          <cell r="O243">
            <v>1</v>
          </cell>
          <cell r="P243">
            <v>1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</row>
        <row r="244">
          <cell r="A244" t="str">
            <v>J26016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1</v>
          </cell>
          <cell r="I244">
            <v>0</v>
          </cell>
          <cell r="J244">
            <v>0</v>
          </cell>
          <cell r="K244">
            <v>1</v>
          </cell>
          <cell r="L244">
            <v>1</v>
          </cell>
          <cell r="M244">
            <v>1</v>
          </cell>
          <cell r="N244">
            <v>1</v>
          </cell>
          <cell r="O244">
            <v>1</v>
          </cell>
          <cell r="P244">
            <v>1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</row>
        <row r="245">
          <cell r="A245" t="str">
            <v>J26018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</v>
          </cell>
          <cell r="J245">
            <v>0</v>
          </cell>
          <cell r="K245">
            <v>1</v>
          </cell>
          <cell r="L245">
            <v>1</v>
          </cell>
          <cell r="M245">
            <v>1</v>
          </cell>
          <cell r="N245">
            <v>1</v>
          </cell>
          <cell r="O245">
            <v>1</v>
          </cell>
          <cell r="P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</row>
        <row r="246">
          <cell r="A246" t="str">
            <v>J26020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1</v>
          </cell>
          <cell r="I246">
            <v>0</v>
          </cell>
          <cell r="J246">
            <v>0</v>
          </cell>
          <cell r="K246">
            <v>1</v>
          </cell>
          <cell r="L246">
            <v>1</v>
          </cell>
          <cell r="M246">
            <v>1</v>
          </cell>
          <cell r="N246">
            <v>1</v>
          </cell>
          <cell r="O246">
            <v>1</v>
          </cell>
          <cell r="P246">
            <v>1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</row>
        <row r="247">
          <cell r="A247" t="str">
            <v>J26021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3</v>
          </cell>
          <cell r="I247">
            <v>0</v>
          </cell>
          <cell r="J247">
            <v>0</v>
          </cell>
          <cell r="K247">
            <v>3</v>
          </cell>
          <cell r="L247">
            <v>2</v>
          </cell>
          <cell r="M247">
            <v>2</v>
          </cell>
          <cell r="N247">
            <v>1</v>
          </cell>
          <cell r="O247">
            <v>1</v>
          </cell>
          <cell r="P247">
            <v>2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</row>
        <row r="248">
          <cell r="A248" t="str">
            <v>J26022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1</v>
          </cell>
          <cell r="I248">
            <v>0</v>
          </cell>
          <cell r="J248">
            <v>0</v>
          </cell>
          <cell r="K248">
            <v>1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P248">
            <v>1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</row>
        <row r="249">
          <cell r="A249" t="str">
            <v>J26024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2</v>
          </cell>
          <cell r="I249">
            <v>0</v>
          </cell>
          <cell r="J249">
            <v>0</v>
          </cell>
          <cell r="K249">
            <v>2</v>
          </cell>
          <cell r="L249">
            <v>2</v>
          </cell>
          <cell r="M249">
            <v>2</v>
          </cell>
          <cell r="N249">
            <v>2</v>
          </cell>
          <cell r="O249">
            <v>2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</row>
        <row r="250">
          <cell r="A250" t="str">
            <v>J26024-W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</row>
        <row r="251">
          <cell r="A251" t="str">
            <v>J26028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2</v>
          </cell>
          <cell r="I251">
            <v>0</v>
          </cell>
          <cell r="J251">
            <v>0</v>
          </cell>
          <cell r="K251">
            <v>2</v>
          </cell>
          <cell r="L251">
            <v>2</v>
          </cell>
          <cell r="M251">
            <v>2</v>
          </cell>
          <cell r="N251">
            <v>2</v>
          </cell>
          <cell r="O251">
            <v>2</v>
          </cell>
          <cell r="P251">
            <v>2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</row>
        <row r="252">
          <cell r="A252" t="str">
            <v>J26030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1</v>
          </cell>
          <cell r="I252">
            <v>0</v>
          </cell>
          <cell r="J252">
            <v>0</v>
          </cell>
          <cell r="K252">
            <v>1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P252">
            <v>1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</row>
        <row r="253">
          <cell r="A253" t="str">
            <v>J26031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1</v>
          </cell>
          <cell r="I253">
            <v>0</v>
          </cell>
          <cell r="J253">
            <v>0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1</v>
          </cell>
          <cell r="P253">
            <v>1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</row>
        <row r="254">
          <cell r="A254" t="str">
            <v>J26033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1</v>
          </cell>
          <cell r="I254">
            <v>0</v>
          </cell>
          <cell r="J254">
            <v>0</v>
          </cell>
          <cell r="K254">
            <v>1</v>
          </cell>
          <cell r="L254">
            <v>1</v>
          </cell>
          <cell r="M254">
            <v>1</v>
          </cell>
          <cell r="N254">
            <v>1</v>
          </cell>
          <cell r="O254">
            <v>1</v>
          </cell>
          <cell r="P254">
            <v>1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</row>
        <row r="255">
          <cell r="A255" t="str">
            <v>J26034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1</v>
          </cell>
          <cell r="I255">
            <v>0</v>
          </cell>
          <cell r="J255">
            <v>0</v>
          </cell>
          <cell r="K255">
            <v>1</v>
          </cell>
          <cell r="L255">
            <v>1</v>
          </cell>
          <cell r="M255">
            <v>1</v>
          </cell>
          <cell r="N255">
            <v>1</v>
          </cell>
          <cell r="O255">
            <v>1</v>
          </cell>
          <cell r="P255">
            <v>1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</row>
        <row r="256">
          <cell r="A256" t="str">
            <v>J26035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</v>
          </cell>
          <cell r="J256">
            <v>0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1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</row>
        <row r="257">
          <cell r="A257" t="str">
            <v>J27006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</row>
        <row r="258">
          <cell r="A258" t="str">
            <v>J27007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</row>
        <row r="259">
          <cell r="A259" t="str">
            <v>J27008</v>
          </cell>
          <cell r="B259">
            <v>2</v>
          </cell>
          <cell r="C259">
            <v>1</v>
          </cell>
          <cell r="D259">
            <v>1</v>
          </cell>
          <cell r="E259">
            <v>1</v>
          </cell>
          <cell r="F259">
            <v>2</v>
          </cell>
          <cell r="G259">
            <v>2</v>
          </cell>
          <cell r="H259">
            <v>2</v>
          </cell>
          <cell r="I259">
            <v>2</v>
          </cell>
          <cell r="J259">
            <v>1</v>
          </cell>
          <cell r="K259">
            <v>2</v>
          </cell>
          <cell r="L259">
            <v>2</v>
          </cell>
          <cell r="M259">
            <v>2</v>
          </cell>
          <cell r="N259">
            <v>1</v>
          </cell>
          <cell r="O259">
            <v>1</v>
          </cell>
          <cell r="P259">
            <v>1</v>
          </cell>
          <cell r="Q259">
            <v>1</v>
          </cell>
          <cell r="R259">
            <v>2</v>
          </cell>
          <cell r="S259">
            <v>1</v>
          </cell>
          <cell r="T259">
            <v>1</v>
          </cell>
          <cell r="U259">
            <v>1</v>
          </cell>
        </row>
        <row r="260">
          <cell r="A260" t="str">
            <v>J27014</v>
          </cell>
          <cell r="B260">
            <v>3</v>
          </cell>
          <cell r="C260">
            <v>1</v>
          </cell>
          <cell r="D260">
            <v>1</v>
          </cell>
          <cell r="E260">
            <v>2</v>
          </cell>
          <cell r="F260">
            <v>3</v>
          </cell>
          <cell r="G260">
            <v>2</v>
          </cell>
          <cell r="H260">
            <v>3</v>
          </cell>
          <cell r="I260">
            <v>3</v>
          </cell>
          <cell r="J260">
            <v>1</v>
          </cell>
          <cell r="K260">
            <v>3</v>
          </cell>
          <cell r="L260">
            <v>2</v>
          </cell>
          <cell r="M260">
            <v>2</v>
          </cell>
          <cell r="N260">
            <v>1</v>
          </cell>
          <cell r="O260">
            <v>1</v>
          </cell>
          <cell r="P260">
            <v>0</v>
          </cell>
          <cell r="Q260">
            <v>1</v>
          </cell>
          <cell r="R260">
            <v>3</v>
          </cell>
          <cell r="S260">
            <v>2</v>
          </cell>
          <cell r="T260">
            <v>0</v>
          </cell>
          <cell r="U260">
            <v>1</v>
          </cell>
        </row>
        <row r="261">
          <cell r="A261" t="str">
            <v>J27017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2</v>
          </cell>
          <cell r="I261">
            <v>0</v>
          </cell>
          <cell r="J261">
            <v>0</v>
          </cell>
          <cell r="K261">
            <v>2</v>
          </cell>
          <cell r="L261">
            <v>2</v>
          </cell>
          <cell r="M261">
            <v>2</v>
          </cell>
          <cell r="N261">
            <v>1</v>
          </cell>
          <cell r="O261">
            <v>1</v>
          </cell>
          <cell r="P261">
            <v>1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</row>
        <row r="262">
          <cell r="A262" t="str">
            <v>J27018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A263" t="str">
            <v>J41001D</v>
          </cell>
          <cell r="B263">
            <v>5</v>
          </cell>
          <cell r="C263">
            <v>2</v>
          </cell>
          <cell r="D263">
            <v>2</v>
          </cell>
          <cell r="E263">
            <v>2</v>
          </cell>
          <cell r="F263">
            <v>5</v>
          </cell>
          <cell r="G263">
            <v>3</v>
          </cell>
          <cell r="H263">
            <v>5</v>
          </cell>
          <cell r="I263">
            <v>5</v>
          </cell>
          <cell r="J263">
            <v>2</v>
          </cell>
          <cell r="K263">
            <v>5</v>
          </cell>
          <cell r="L263">
            <v>4</v>
          </cell>
          <cell r="M263">
            <v>3</v>
          </cell>
          <cell r="N263">
            <v>2</v>
          </cell>
          <cell r="O263">
            <v>1</v>
          </cell>
          <cell r="P263">
            <v>2</v>
          </cell>
          <cell r="Q263">
            <v>2</v>
          </cell>
          <cell r="R263">
            <v>5</v>
          </cell>
          <cell r="S263">
            <v>3</v>
          </cell>
          <cell r="T263">
            <v>2</v>
          </cell>
          <cell r="U263">
            <v>1</v>
          </cell>
        </row>
        <row r="264">
          <cell r="A264" t="str">
            <v>J41001E</v>
          </cell>
          <cell r="B264">
            <v>5</v>
          </cell>
          <cell r="C264">
            <v>2</v>
          </cell>
          <cell r="D264">
            <v>2</v>
          </cell>
          <cell r="E264">
            <v>2</v>
          </cell>
          <cell r="F264">
            <v>5</v>
          </cell>
          <cell r="G264">
            <v>3</v>
          </cell>
          <cell r="H264">
            <v>5</v>
          </cell>
          <cell r="I264">
            <v>5</v>
          </cell>
          <cell r="J264">
            <v>2</v>
          </cell>
          <cell r="K264">
            <v>5</v>
          </cell>
          <cell r="L264">
            <v>4</v>
          </cell>
          <cell r="M264">
            <v>3</v>
          </cell>
          <cell r="N264">
            <v>2</v>
          </cell>
          <cell r="O264">
            <v>1</v>
          </cell>
          <cell r="P264">
            <v>2</v>
          </cell>
          <cell r="Q264">
            <v>2</v>
          </cell>
          <cell r="R264">
            <v>5</v>
          </cell>
          <cell r="S264">
            <v>3</v>
          </cell>
          <cell r="T264">
            <v>2</v>
          </cell>
          <cell r="U264">
            <v>1</v>
          </cell>
        </row>
        <row r="265">
          <cell r="A265" t="str">
            <v>J41002D</v>
          </cell>
          <cell r="B265">
            <v>4</v>
          </cell>
          <cell r="C265">
            <v>1</v>
          </cell>
          <cell r="D265">
            <v>1</v>
          </cell>
          <cell r="E265">
            <v>2</v>
          </cell>
          <cell r="F265">
            <v>4</v>
          </cell>
          <cell r="G265">
            <v>3</v>
          </cell>
          <cell r="H265">
            <v>4</v>
          </cell>
          <cell r="I265">
            <v>4</v>
          </cell>
          <cell r="J265">
            <v>1</v>
          </cell>
          <cell r="K265">
            <v>4</v>
          </cell>
          <cell r="L265">
            <v>3</v>
          </cell>
          <cell r="M265">
            <v>3</v>
          </cell>
          <cell r="N265">
            <v>1</v>
          </cell>
          <cell r="O265">
            <v>1</v>
          </cell>
          <cell r="P265">
            <v>2</v>
          </cell>
          <cell r="Q265">
            <v>1</v>
          </cell>
          <cell r="R265">
            <v>4</v>
          </cell>
          <cell r="S265">
            <v>2</v>
          </cell>
          <cell r="T265">
            <v>1</v>
          </cell>
          <cell r="U265">
            <v>1</v>
          </cell>
        </row>
        <row r="266">
          <cell r="A266" t="str">
            <v>J41002E</v>
          </cell>
          <cell r="B266">
            <v>4</v>
          </cell>
          <cell r="C266">
            <v>1</v>
          </cell>
          <cell r="D266">
            <v>1</v>
          </cell>
          <cell r="E266">
            <v>2</v>
          </cell>
          <cell r="F266">
            <v>4</v>
          </cell>
          <cell r="G266">
            <v>3</v>
          </cell>
          <cell r="H266">
            <v>4</v>
          </cell>
          <cell r="I266">
            <v>4</v>
          </cell>
          <cell r="J266">
            <v>1</v>
          </cell>
          <cell r="K266">
            <v>4</v>
          </cell>
          <cell r="L266">
            <v>3</v>
          </cell>
          <cell r="M266">
            <v>3</v>
          </cell>
          <cell r="N266">
            <v>1</v>
          </cell>
          <cell r="O266">
            <v>1</v>
          </cell>
          <cell r="P266">
            <v>1</v>
          </cell>
          <cell r="Q266">
            <v>1</v>
          </cell>
          <cell r="R266">
            <v>4</v>
          </cell>
          <cell r="S266">
            <v>2</v>
          </cell>
          <cell r="T266">
            <v>1</v>
          </cell>
          <cell r="U266">
            <v>1</v>
          </cell>
        </row>
        <row r="267">
          <cell r="A267" t="str">
            <v>J41002-W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A268" t="str">
            <v>J41004</v>
          </cell>
          <cell r="B268">
            <v>2</v>
          </cell>
          <cell r="C268">
            <v>2</v>
          </cell>
          <cell r="D268">
            <v>2</v>
          </cell>
          <cell r="E268">
            <v>1</v>
          </cell>
          <cell r="F268">
            <v>2</v>
          </cell>
          <cell r="G268">
            <v>1</v>
          </cell>
          <cell r="H268">
            <v>2</v>
          </cell>
          <cell r="I268">
            <v>2</v>
          </cell>
          <cell r="J268">
            <v>2</v>
          </cell>
          <cell r="K268">
            <v>2</v>
          </cell>
          <cell r="L268">
            <v>2</v>
          </cell>
          <cell r="M268">
            <v>1</v>
          </cell>
          <cell r="N268">
            <v>2</v>
          </cell>
          <cell r="O268">
            <v>1</v>
          </cell>
          <cell r="P268">
            <v>0</v>
          </cell>
          <cell r="Q268">
            <v>2</v>
          </cell>
          <cell r="R268">
            <v>2</v>
          </cell>
          <cell r="S268">
            <v>2</v>
          </cell>
          <cell r="T268">
            <v>0</v>
          </cell>
          <cell r="U268">
            <v>1</v>
          </cell>
        </row>
        <row r="269">
          <cell r="A269" t="str">
            <v>J41005</v>
          </cell>
          <cell r="B269">
            <v>1</v>
          </cell>
          <cell r="C269">
            <v>1</v>
          </cell>
          <cell r="D269">
            <v>1</v>
          </cell>
          <cell r="E269">
            <v>1</v>
          </cell>
          <cell r="F269">
            <v>1</v>
          </cell>
          <cell r="G269">
            <v>1</v>
          </cell>
          <cell r="H269">
            <v>1</v>
          </cell>
          <cell r="I269">
            <v>1</v>
          </cell>
          <cell r="J269">
            <v>1</v>
          </cell>
          <cell r="K269">
            <v>1</v>
          </cell>
          <cell r="L269">
            <v>1</v>
          </cell>
          <cell r="M269">
            <v>1</v>
          </cell>
          <cell r="N269">
            <v>1</v>
          </cell>
          <cell r="O269">
            <v>1</v>
          </cell>
          <cell r="P269">
            <v>0</v>
          </cell>
          <cell r="Q269">
            <v>1</v>
          </cell>
          <cell r="R269">
            <v>1</v>
          </cell>
          <cell r="S269">
            <v>1</v>
          </cell>
          <cell r="T269">
            <v>0</v>
          </cell>
          <cell r="U269">
            <v>1</v>
          </cell>
        </row>
        <row r="270">
          <cell r="A270" t="str">
            <v>J41006</v>
          </cell>
          <cell r="B270">
            <v>1</v>
          </cell>
          <cell r="C270">
            <v>1</v>
          </cell>
          <cell r="D270">
            <v>1</v>
          </cell>
          <cell r="E270">
            <v>1</v>
          </cell>
          <cell r="F270">
            <v>1</v>
          </cell>
          <cell r="G270">
            <v>1</v>
          </cell>
          <cell r="H270">
            <v>1</v>
          </cell>
          <cell r="I270">
            <v>1</v>
          </cell>
          <cell r="J270">
            <v>1</v>
          </cell>
          <cell r="K270">
            <v>1</v>
          </cell>
          <cell r="L270">
            <v>1</v>
          </cell>
          <cell r="M270">
            <v>1</v>
          </cell>
          <cell r="N270">
            <v>1</v>
          </cell>
          <cell r="O270">
            <v>1</v>
          </cell>
          <cell r="P270">
            <v>0</v>
          </cell>
          <cell r="Q270">
            <v>1</v>
          </cell>
          <cell r="R270">
            <v>1</v>
          </cell>
          <cell r="S270">
            <v>1</v>
          </cell>
          <cell r="T270">
            <v>0</v>
          </cell>
          <cell r="U270">
            <v>1</v>
          </cell>
        </row>
        <row r="271">
          <cell r="A271" t="str">
            <v>J41009</v>
          </cell>
          <cell r="B271">
            <v>2</v>
          </cell>
          <cell r="C271">
            <v>1</v>
          </cell>
          <cell r="D271">
            <v>1</v>
          </cell>
          <cell r="E271">
            <v>1</v>
          </cell>
          <cell r="F271">
            <v>2</v>
          </cell>
          <cell r="G271">
            <v>2</v>
          </cell>
          <cell r="H271">
            <v>2</v>
          </cell>
          <cell r="I271">
            <v>2</v>
          </cell>
          <cell r="J271">
            <v>1</v>
          </cell>
          <cell r="K271">
            <v>2</v>
          </cell>
          <cell r="L271">
            <v>2</v>
          </cell>
          <cell r="M271">
            <v>2</v>
          </cell>
          <cell r="N271">
            <v>1</v>
          </cell>
          <cell r="O271">
            <v>1</v>
          </cell>
          <cell r="P271">
            <v>0</v>
          </cell>
          <cell r="Q271">
            <v>1</v>
          </cell>
          <cell r="R271">
            <v>2</v>
          </cell>
          <cell r="S271">
            <v>1</v>
          </cell>
          <cell r="T271">
            <v>0</v>
          </cell>
          <cell r="U271">
            <v>1</v>
          </cell>
        </row>
        <row r="272">
          <cell r="A272" t="str">
            <v>J41010</v>
          </cell>
          <cell r="B272">
            <v>2</v>
          </cell>
          <cell r="C272">
            <v>2</v>
          </cell>
          <cell r="D272">
            <v>2</v>
          </cell>
          <cell r="E272">
            <v>2</v>
          </cell>
          <cell r="F272">
            <v>2</v>
          </cell>
          <cell r="G272">
            <v>2</v>
          </cell>
          <cell r="H272">
            <v>2</v>
          </cell>
          <cell r="I272">
            <v>2</v>
          </cell>
          <cell r="J272">
            <v>2</v>
          </cell>
          <cell r="K272">
            <v>2</v>
          </cell>
          <cell r="L272">
            <v>2</v>
          </cell>
          <cell r="M272">
            <v>2</v>
          </cell>
          <cell r="N272">
            <v>2</v>
          </cell>
          <cell r="O272">
            <v>2</v>
          </cell>
          <cell r="P272">
            <v>0</v>
          </cell>
          <cell r="Q272">
            <v>2</v>
          </cell>
          <cell r="R272">
            <v>2</v>
          </cell>
          <cell r="S272">
            <v>2</v>
          </cell>
          <cell r="T272">
            <v>0</v>
          </cell>
          <cell r="U272">
            <v>2</v>
          </cell>
        </row>
        <row r="273">
          <cell r="A273" t="str">
            <v>J42001</v>
          </cell>
          <cell r="B273">
            <v>5</v>
          </cell>
          <cell r="C273">
            <v>2</v>
          </cell>
          <cell r="D273">
            <v>2</v>
          </cell>
          <cell r="E273">
            <v>2</v>
          </cell>
          <cell r="F273">
            <v>5</v>
          </cell>
          <cell r="G273">
            <v>3</v>
          </cell>
          <cell r="H273">
            <v>5</v>
          </cell>
          <cell r="I273">
            <v>5</v>
          </cell>
          <cell r="J273">
            <v>2</v>
          </cell>
          <cell r="K273">
            <v>5</v>
          </cell>
          <cell r="L273">
            <v>4</v>
          </cell>
          <cell r="M273">
            <v>3</v>
          </cell>
          <cell r="N273">
            <v>2</v>
          </cell>
          <cell r="O273">
            <v>1</v>
          </cell>
          <cell r="P273">
            <v>2</v>
          </cell>
          <cell r="Q273">
            <v>2</v>
          </cell>
          <cell r="R273">
            <v>5</v>
          </cell>
          <cell r="S273">
            <v>3</v>
          </cell>
          <cell r="T273">
            <v>2</v>
          </cell>
          <cell r="U273">
            <v>1</v>
          </cell>
        </row>
        <row r="274">
          <cell r="A274" t="str">
            <v>J42002</v>
          </cell>
          <cell r="B274">
            <v>5</v>
          </cell>
          <cell r="C274">
            <v>2</v>
          </cell>
          <cell r="D274">
            <v>2</v>
          </cell>
          <cell r="E274">
            <v>2</v>
          </cell>
          <cell r="F274">
            <v>5</v>
          </cell>
          <cell r="G274">
            <v>3</v>
          </cell>
          <cell r="H274">
            <v>5</v>
          </cell>
          <cell r="I274">
            <v>5</v>
          </cell>
          <cell r="J274">
            <v>2</v>
          </cell>
          <cell r="K274">
            <v>5</v>
          </cell>
          <cell r="L274">
            <v>4</v>
          </cell>
          <cell r="M274">
            <v>3</v>
          </cell>
          <cell r="N274">
            <v>2</v>
          </cell>
          <cell r="O274">
            <v>1</v>
          </cell>
          <cell r="P274">
            <v>2</v>
          </cell>
          <cell r="Q274">
            <v>2</v>
          </cell>
          <cell r="R274">
            <v>5</v>
          </cell>
          <cell r="S274">
            <v>3</v>
          </cell>
          <cell r="T274">
            <v>2</v>
          </cell>
          <cell r="U274">
            <v>1</v>
          </cell>
        </row>
        <row r="275">
          <cell r="A275" t="str">
            <v>J42004</v>
          </cell>
          <cell r="B275">
            <v>1</v>
          </cell>
          <cell r="C275">
            <v>1</v>
          </cell>
          <cell r="D275">
            <v>1</v>
          </cell>
          <cell r="E275">
            <v>1</v>
          </cell>
          <cell r="F275">
            <v>1</v>
          </cell>
          <cell r="G275">
            <v>1</v>
          </cell>
          <cell r="H275">
            <v>1</v>
          </cell>
          <cell r="I275">
            <v>1</v>
          </cell>
          <cell r="J275">
            <v>1</v>
          </cell>
          <cell r="K275">
            <v>1</v>
          </cell>
          <cell r="L275">
            <v>1</v>
          </cell>
          <cell r="M275">
            <v>1</v>
          </cell>
          <cell r="N275">
            <v>1</v>
          </cell>
          <cell r="O275">
            <v>1</v>
          </cell>
          <cell r="P275">
            <v>0</v>
          </cell>
          <cell r="Q275">
            <v>1</v>
          </cell>
          <cell r="R275">
            <v>1</v>
          </cell>
          <cell r="S275">
            <v>1</v>
          </cell>
          <cell r="T275">
            <v>0</v>
          </cell>
          <cell r="U275">
            <v>1</v>
          </cell>
        </row>
        <row r="276">
          <cell r="A276" t="str">
            <v>J42007</v>
          </cell>
          <cell r="B276">
            <v>3</v>
          </cell>
          <cell r="C276">
            <v>3</v>
          </cell>
          <cell r="D276">
            <v>3</v>
          </cell>
          <cell r="E276">
            <v>3</v>
          </cell>
          <cell r="F276">
            <v>3</v>
          </cell>
          <cell r="G276">
            <v>3</v>
          </cell>
          <cell r="H276">
            <v>3</v>
          </cell>
          <cell r="I276">
            <v>3</v>
          </cell>
          <cell r="J276">
            <v>3</v>
          </cell>
          <cell r="K276">
            <v>3</v>
          </cell>
          <cell r="L276">
            <v>3</v>
          </cell>
          <cell r="M276">
            <v>3</v>
          </cell>
          <cell r="N276">
            <v>3</v>
          </cell>
          <cell r="O276">
            <v>3</v>
          </cell>
          <cell r="P276">
            <v>0</v>
          </cell>
          <cell r="Q276">
            <v>3</v>
          </cell>
          <cell r="R276">
            <v>3</v>
          </cell>
          <cell r="S276">
            <v>3</v>
          </cell>
          <cell r="T276">
            <v>0</v>
          </cell>
          <cell r="U276">
            <v>3</v>
          </cell>
        </row>
        <row r="277">
          <cell r="A277" t="str">
            <v>J42009</v>
          </cell>
          <cell r="B277">
            <v>3</v>
          </cell>
          <cell r="C277">
            <v>2</v>
          </cell>
          <cell r="D277">
            <v>2</v>
          </cell>
          <cell r="E277">
            <v>2</v>
          </cell>
          <cell r="F277">
            <v>3</v>
          </cell>
          <cell r="G277">
            <v>2</v>
          </cell>
          <cell r="H277">
            <v>4</v>
          </cell>
          <cell r="I277">
            <v>3</v>
          </cell>
          <cell r="J277">
            <v>2</v>
          </cell>
          <cell r="K277">
            <v>4</v>
          </cell>
          <cell r="L277">
            <v>3</v>
          </cell>
          <cell r="M277">
            <v>3</v>
          </cell>
          <cell r="N277">
            <v>2</v>
          </cell>
          <cell r="O277">
            <v>2</v>
          </cell>
          <cell r="P277">
            <v>0</v>
          </cell>
          <cell r="Q277">
            <v>2</v>
          </cell>
          <cell r="R277">
            <v>3</v>
          </cell>
          <cell r="S277">
            <v>2</v>
          </cell>
          <cell r="T277">
            <v>0</v>
          </cell>
          <cell r="U277">
            <v>2</v>
          </cell>
        </row>
        <row r="278">
          <cell r="A278" t="str">
            <v>J42018</v>
          </cell>
          <cell r="B278">
            <v>12</v>
          </cell>
          <cell r="C278">
            <v>12</v>
          </cell>
          <cell r="D278">
            <v>12</v>
          </cell>
          <cell r="E278">
            <v>12</v>
          </cell>
          <cell r="F278">
            <v>12</v>
          </cell>
          <cell r="G278">
            <v>12</v>
          </cell>
          <cell r="H278">
            <v>0</v>
          </cell>
          <cell r="I278">
            <v>12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12</v>
          </cell>
        </row>
        <row r="279">
          <cell r="A279" t="str">
            <v>J42019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17</v>
          </cell>
          <cell r="I279">
            <v>0</v>
          </cell>
          <cell r="J279">
            <v>0</v>
          </cell>
          <cell r="K279">
            <v>17</v>
          </cell>
          <cell r="L279">
            <v>17</v>
          </cell>
          <cell r="M279">
            <v>12</v>
          </cell>
          <cell r="N279">
            <v>17</v>
          </cell>
          <cell r="O279">
            <v>9</v>
          </cell>
          <cell r="P279">
            <v>0</v>
          </cell>
          <cell r="Q279">
            <v>13</v>
          </cell>
          <cell r="R279">
            <v>13</v>
          </cell>
          <cell r="S279">
            <v>13</v>
          </cell>
          <cell r="T279">
            <v>0</v>
          </cell>
          <cell r="U279">
            <v>0</v>
          </cell>
        </row>
        <row r="280">
          <cell r="A280" t="str">
            <v>J42021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3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</row>
        <row r="281">
          <cell r="A281" t="str">
            <v>J42022</v>
          </cell>
          <cell r="B281">
            <v>4</v>
          </cell>
          <cell r="C281">
            <v>1</v>
          </cell>
          <cell r="D281">
            <v>1</v>
          </cell>
          <cell r="E281">
            <v>2</v>
          </cell>
          <cell r="F281">
            <v>4</v>
          </cell>
          <cell r="G281">
            <v>3</v>
          </cell>
          <cell r="H281">
            <v>4</v>
          </cell>
          <cell r="I281">
            <v>4</v>
          </cell>
          <cell r="J281">
            <v>1</v>
          </cell>
          <cell r="K281">
            <v>4</v>
          </cell>
          <cell r="L281">
            <v>3</v>
          </cell>
          <cell r="M281">
            <v>3</v>
          </cell>
          <cell r="N281">
            <v>1</v>
          </cell>
          <cell r="O281">
            <v>1</v>
          </cell>
          <cell r="P281">
            <v>2</v>
          </cell>
          <cell r="Q281">
            <v>1</v>
          </cell>
          <cell r="R281">
            <v>4</v>
          </cell>
          <cell r="S281">
            <v>2</v>
          </cell>
          <cell r="T281">
            <v>2</v>
          </cell>
          <cell r="U281">
            <v>1</v>
          </cell>
        </row>
        <row r="282">
          <cell r="A282" t="str">
            <v>J42023B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</v>
          </cell>
          <cell r="J282">
            <v>0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</row>
        <row r="283">
          <cell r="A283" t="str">
            <v>J42023B-W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</row>
        <row r="284">
          <cell r="A284" t="str">
            <v>J42024-W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</row>
        <row r="285">
          <cell r="A285" t="str">
            <v>J42025</v>
          </cell>
          <cell r="B285">
            <v>4</v>
          </cell>
          <cell r="C285">
            <v>1</v>
          </cell>
          <cell r="D285">
            <v>1</v>
          </cell>
          <cell r="E285">
            <v>2</v>
          </cell>
          <cell r="F285">
            <v>4</v>
          </cell>
          <cell r="G285">
            <v>3</v>
          </cell>
          <cell r="H285">
            <v>4</v>
          </cell>
          <cell r="I285">
            <v>4</v>
          </cell>
          <cell r="J285">
            <v>1</v>
          </cell>
          <cell r="K285">
            <v>4</v>
          </cell>
          <cell r="L285">
            <v>3</v>
          </cell>
          <cell r="M285">
            <v>3</v>
          </cell>
          <cell r="N285">
            <v>1</v>
          </cell>
          <cell r="O285">
            <v>1</v>
          </cell>
          <cell r="P285">
            <v>0</v>
          </cell>
          <cell r="Q285">
            <v>1</v>
          </cell>
          <cell r="R285">
            <v>4</v>
          </cell>
          <cell r="S285">
            <v>2</v>
          </cell>
          <cell r="T285">
            <v>0</v>
          </cell>
          <cell r="U285">
            <v>1</v>
          </cell>
        </row>
        <row r="286">
          <cell r="A286" t="str">
            <v>J42026</v>
          </cell>
          <cell r="B286">
            <v>1</v>
          </cell>
          <cell r="C286">
            <v>1</v>
          </cell>
          <cell r="D286">
            <v>1</v>
          </cell>
          <cell r="E286">
            <v>1</v>
          </cell>
          <cell r="F286">
            <v>1</v>
          </cell>
          <cell r="G286">
            <v>1</v>
          </cell>
          <cell r="H286">
            <v>1</v>
          </cell>
          <cell r="I286">
            <v>1</v>
          </cell>
          <cell r="J286">
            <v>1</v>
          </cell>
          <cell r="K286">
            <v>1</v>
          </cell>
          <cell r="L286">
            <v>1</v>
          </cell>
          <cell r="M286">
            <v>1</v>
          </cell>
          <cell r="N286">
            <v>1</v>
          </cell>
          <cell r="O286">
            <v>1</v>
          </cell>
          <cell r="P286">
            <v>0</v>
          </cell>
          <cell r="Q286">
            <v>1</v>
          </cell>
          <cell r="R286">
            <v>1</v>
          </cell>
          <cell r="S286">
            <v>1</v>
          </cell>
          <cell r="T286">
            <v>0</v>
          </cell>
          <cell r="U286">
            <v>1</v>
          </cell>
        </row>
        <row r="287">
          <cell r="A287" t="str">
            <v>J45001</v>
          </cell>
          <cell r="B287">
            <v>4</v>
          </cell>
          <cell r="C287">
            <v>2</v>
          </cell>
          <cell r="D287">
            <v>2</v>
          </cell>
          <cell r="E287">
            <v>2</v>
          </cell>
          <cell r="F287">
            <v>4</v>
          </cell>
          <cell r="G287">
            <v>3</v>
          </cell>
          <cell r="H287">
            <v>4</v>
          </cell>
          <cell r="I287">
            <v>4</v>
          </cell>
          <cell r="J287">
            <v>2</v>
          </cell>
          <cell r="K287">
            <v>4</v>
          </cell>
          <cell r="L287">
            <v>3</v>
          </cell>
          <cell r="M287">
            <v>3</v>
          </cell>
          <cell r="N287">
            <v>2</v>
          </cell>
          <cell r="O287">
            <v>2</v>
          </cell>
          <cell r="P287">
            <v>0</v>
          </cell>
          <cell r="Q287">
            <v>2</v>
          </cell>
          <cell r="R287">
            <v>4</v>
          </cell>
          <cell r="S287">
            <v>2</v>
          </cell>
          <cell r="T287">
            <v>0</v>
          </cell>
          <cell r="U287">
            <v>2</v>
          </cell>
        </row>
        <row r="288">
          <cell r="A288" t="str">
            <v>J45003</v>
          </cell>
          <cell r="B288">
            <v>2</v>
          </cell>
          <cell r="C288">
            <v>2</v>
          </cell>
          <cell r="D288">
            <v>2</v>
          </cell>
          <cell r="E288">
            <v>2</v>
          </cell>
          <cell r="F288">
            <v>2</v>
          </cell>
          <cell r="G288">
            <v>2</v>
          </cell>
          <cell r="H288">
            <v>2</v>
          </cell>
          <cell r="I288">
            <v>2</v>
          </cell>
          <cell r="J288">
            <v>2</v>
          </cell>
          <cell r="K288">
            <v>2</v>
          </cell>
          <cell r="L288">
            <v>2</v>
          </cell>
          <cell r="M288">
            <v>2</v>
          </cell>
          <cell r="N288">
            <v>2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2</v>
          </cell>
          <cell r="T288">
            <v>0</v>
          </cell>
          <cell r="U288">
            <v>2</v>
          </cell>
        </row>
        <row r="289">
          <cell r="A289" t="str">
            <v>J45006D</v>
          </cell>
          <cell r="B289">
            <v>3</v>
          </cell>
          <cell r="C289">
            <v>2</v>
          </cell>
          <cell r="D289">
            <v>2</v>
          </cell>
          <cell r="E289">
            <v>1</v>
          </cell>
          <cell r="F289">
            <v>3</v>
          </cell>
          <cell r="G289">
            <v>2</v>
          </cell>
          <cell r="H289">
            <v>3</v>
          </cell>
          <cell r="I289">
            <v>3</v>
          </cell>
          <cell r="J289">
            <v>2</v>
          </cell>
          <cell r="K289">
            <v>3</v>
          </cell>
          <cell r="L289">
            <v>3</v>
          </cell>
          <cell r="M289">
            <v>2</v>
          </cell>
          <cell r="N289">
            <v>2</v>
          </cell>
          <cell r="O289">
            <v>1</v>
          </cell>
          <cell r="P289">
            <v>2</v>
          </cell>
          <cell r="Q289">
            <v>2</v>
          </cell>
          <cell r="R289">
            <v>4</v>
          </cell>
          <cell r="S289">
            <v>2</v>
          </cell>
          <cell r="T289">
            <v>3</v>
          </cell>
          <cell r="U289">
            <v>1</v>
          </cell>
        </row>
        <row r="290">
          <cell r="A290" t="str">
            <v>J45006E</v>
          </cell>
          <cell r="B290">
            <v>3</v>
          </cell>
          <cell r="C290">
            <v>2</v>
          </cell>
          <cell r="D290">
            <v>2</v>
          </cell>
          <cell r="E290">
            <v>1</v>
          </cell>
          <cell r="F290">
            <v>3</v>
          </cell>
          <cell r="G290">
            <v>2</v>
          </cell>
          <cell r="H290">
            <v>3</v>
          </cell>
          <cell r="I290">
            <v>3</v>
          </cell>
          <cell r="J290">
            <v>2</v>
          </cell>
          <cell r="K290">
            <v>3</v>
          </cell>
          <cell r="L290">
            <v>3</v>
          </cell>
          <cell r="M290">
            <v>2</v>
          </cell>
          <cell r="N290">
            <v>2</v>
          </cell>
          <cell r="O290">
            <v>1</v>
          </cell>
          <cell r="P290">
            <v>2</v>
          </cell>
          <cell r="Q290">
            <v>2</v>
          </cell>
          <cell r="R290">
            <v>6</v>
          </cell>
          <cell r="S290">
            <v>3</v>
          </cell>
          <cell r="T290">
            <v>3</v>
          </cell>
          <cell r="U290">
            <v>1</v>
          </cell>
        </row>
        <row r="291">
          <cell r="A291" t="str">
            <v>J45009</v>
          </cell>
          <cell r="B291">
            <v>2</v>
          </cell>
          <cell r="C291">
            <v>2</v>
          </cell>
          <cell r="D291">
            <v>2</v>
          </cell>
          <cell r="E291">
            <v>2</v>
          </cell>
          <cell r="F291">
            <v>2</v>
          </cell>
          <cell r="G291">
            <v>2</v>
          </cell>
          <cell r="H291">
            <v>2</v>
          </cell>
          <cell r="I291">
            <v>2</v>
          </cell>
          <cell r="J291">
            <v>2</v>
          </cell>
          <cell r="K291">
            <v>2</v>
          </cell>
          <cell r="L291">
            <v>2</v>
          </cell>
          <cell r="M291">
            <v>2</v>
          </cell>
          <cell r="N291">
            <v>2</v>
          </cell>
          <cell r="O291">
            <v>2</v>
          </cell>
          <cell r="P291">
            <v>2</v>
          </cell>
          <cell r="Q291">
            <v>2</v>
          </cell>
          <cell r="R291">
            <v>2</v>
          </cell>
          <cell r="S291">
            <v>2</v>
          </cell>
          <cell r="T291">
            <v>2</v>
          </cell>
          <cell r="U291">
            <v>2</v>
          </cell>
        </row>
        <row r="292">
          <cell r="A292" t="str">
            <v>J45010</v>
          </cell>
          <cell r="B292">
            <v>1</v>
          </cell>
          <cell r="C292">
            <v>1</v>
          </cell>
          <cell r="D292">
            <v>1</v>
          </cell>
          <cell r="E292">
            <v>1</v>
          </cell>
          <cell r="F292">
            <v>1</v>
          </cell>
          <cell r="G292">
            <v>1</v>
          </cell>
          <cell r="H292">
            <v>1</v>
          </cell>
          <cell r="I292">
            <v>1</v>
          </cell>
          <cell r="J292">
            <v>1</v>
          </cell>
          <cell r="K292">
            <v>1</v>
          </cell>
          <cell r="L292">
            <v>1</v>
          </cell>
          <cell r="M292">
            <v>1</v>
          </cell>
          <cell r="N292">
            <v>1</v>
          </cell>
          <cell r="O292">
            <v>1</v>
          </cell>
          <cell r="P292">
            <v>2</v>
          </cell>
          <cell r="Q292">
            <v>1</v>
          </cell>
          <cell r="R292">
            <v>1</v>
          </cell>
          <cell r="S292">
            <v>1</v>
          </cell>
          <cell r="T292">
            <v>2</v>
          </cell>
          <cell r="U292">
            <v>1</v>
          </cell>
        </row>
        <row r="293">
          <cell r="A293" t="str">
            <v>J46001</v>
          </cell>
          <cell r="B293">
            <v>2</v>
          </cell>
          <cell r="C293">
            <v>1</v>
          </cell>
          <cell r="D293">
            <v>1</v>
          </cell>
          <cell r="E293">
            <v>1</v>
          </cell>
          <cell r="F293">
            <v>2</v>
          </cell>
          <cell r="G293">
            <v>2</v>
          </cell>
          <cell r="H293">
            <v>0</v>
          </cell>
          <cell r="I293">
            <v>2</v>
          </cell>
          <cell r="J293">
            <v>1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1</v>
          </cell>
        </row>
        <row r="294">
          <cell r="A294" t="str">
            <v>J46002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</v>
          </cell>
          <cell r="J294">
            <v>0</v>
          </cell>
          <cell r="K294">
            <v>1</v>
          </cell>
          <cell r="L294">
            <v>1</v>
          </cell>
          <cell r="M294">
            <v>1</v>
          </cell>
          <cell r="N294">
            <v>1</v>
          </cell>
          <cell r="O294">
            <v>1</v>
          </cell>
          <cell r="P294">
            <v>0</v>
          </cell>
          <cell r="Q294">
            <v>1</v>
          </cell>
          <cell r="R294">
            <v>1</v>
          </cell>
          <cell r="S294">
            <v>1</v>
          </cell>
          <cell r="T294">
            <v>0</v>
          </cell>
          <cell r="U294">
            <v>0</v>
          </cell>
        </row>
        <row r="295">
          <cell r="A295" t="str">
            <v>J46003</v>
          </cell>
          <cell r="B295">
            <v>2</v>
          </cell>
          <cell r="C295">
            <v>2</v>
          </cell>
          <cell r="D295">
            <v>2</v>
          </cell>
          <cell r="E295">
            <v>2</v>
          </cell>
          <cell r="F295">
            <v>2</v>
          </cell>
          <cell r="G295">
            <v>2</v>
          </cell>
          <cell r="H295">
            <v>2</v>
          </cell>
          <cell r="I295">
            <v>2</v>
          </cell>
          <cell r="J295">
            <v>2</v>
          </cell>
          <cell r="K295">
            <v>2</v>
          </cell>
          <cell r="L295">
            <v>2</v>
          </cell>
          <cell r="M295">
            <v>2</v>
          </cell>
          <cell r="N295">
            <v>2</v>
          </cell>
          <cell r="O295">
            <v>2</v>
          </cell>
          <cell r="P295">
            <v>0</v>
          </cell>
          <cell r="Q295">
            <v>2</v>
          </cell>
          <cell r="R295">
            <v>2</v>
          </cell>
          <cell r="S295">
            <v>2</v>
          </cell>
          <cell r="T295">
            <v>0</v>
          </cell>
          <cell r="U295">
            <v>2</v>
          </cell>
        </row>
        <row r="296">
          <cell r="A296" t="str">
            <v>J46004</v>
          </cell>
          <cell r="B296">
            <v>4</v>
          </cell>
          <cell r="C296">
            <v>2</v>
          </cell>
          <cell r="D296">
            <v>2</v>
          </cell>
          <cell r="E296">
            <v>2</v>
          </cell>
          <cell r="F296">
            <v>4</v>
          </cell>
          <cell r="G296">
            <v>2</v>
          </cell>
          <cell r="H296">
            <v>3</v>
          </cell>
          <cell r="I296">
            <v>4</v>
          </cell>
          <cell r="J296">
            <v>2</v>
          </cell>
          <cell r="K296">
            <v>4</v>
          </cell>
          <cell r="L296">
            <v>3</v>
          </cell>
          <cell r="M296">
            <v>2</v>
          </cell>
          <cell r="N296">
            <v>2</v>
          </cell>
          <cell r="O296">
            <v>1</v>
          </cell>
          <cell r="P296">
            <v>0</v>
          </cell>
          <cell r="Q296">
            <v>2</v>
          </cell>
          <cell r="R296">
            <v>4</v>
          </cell>
          <cell r="S296">
            <v>2</v>
          </cell>
          <cell r="T296">
            <v>0</v>
          </cell>
          <cell r="U296">
            <v>1</v>
          </cell>
        </row>
        <row r="297">
          <cell r="A297" t="str">
            <v>J46005</v>
          </cell>
          <cell r="B297">
            <v>4</v>
          </cell>
          <cell r="C297">
            <v>1</v>
          </cell>
          <cell r="D297">
            <v>1</v>
          </cell>
          <cell r="E297">
            <v>2</v>
          </cell>
          <cell r="F297">
            <v>4</v>
          </cell>
          <cell r="G297">
            <v>3</v>
          </cell>
          <cell r="H297">
            <v>4</v>
          </cell>
          <cell r="I297">
            <v>4</v>
          </cell>
          <cell r="J297">
            <v>1</v>
          </cell>
          <cell r="K297">
            <v>4</v>
          </cell>
          <cell r="L297">
            <v>3</v>
          </cell>
          <cell r="M297">
            <v>3</v>
          </cell>
          <cell r="N297">
            <v>1</v>
          </cell>
          <cell r="O297">
            <v>1</v>
          </cell>
          <cell r="P297">
            <v>0</v>
          </cell>
          <cell r="Q297">
            <v>1</v>
          </cell>
          <cell r="R297">
            <v>4</v>
          </cell>
          <cell r="S297">
            <v>2</v>
          </cell>
          <cell r="T297">
            <v>0</v>
          </cell>
          <cell r="U297">
            <v>1</v>
          </cell>
        </row>
        <row r="298">
          <cell r="A298" t="str">
            <v>J46006</v>
          </cell>
          <cell r="B298">
            <v>2</v>
          </cell>
          <cell r="C298">
            <v>1</v>
          </cell>
          <cell r="D298">
            <v>1</v>
          </cell>
          <cell r="E298">
            <v>1</v>
          </cell>
          <cell r="F298">
            <v>2</v>
          </cell>
          <cell r="G298">
            <v>2</v>
          </cell>
          <cell r="H298">
            <v>2</v>
          </cell>
          <cell r="I298">
            <v>2</v>
          </cell>
          <cell r="J298">
            <v>1</v>
          </cell>
          <cell r="K298">
            <v>3</v>
          </cell>
          <cell r="L298">
            <v>2</v>
          </cell>
          <cell r="M298">
            <v>2</v>
          </cell>
          <cell r="N298">
            <v>1</v>
          </cell>
          <cell r="O298">
            <v>1</v>
          </cell>
          <cell r="P298">
            <v>0</v>
          </cell>
          <cell r="Q298">
            <v>1</v>
          </cell>
          <cell r="R298">
            <v>3</v>
          </cell>
          <cell r="S298">
            <v>1</v>
          </cell>
          <cell r="T298">
            <v>0</v>
          </cell>
          <cell r="U298">
            <v>1</v>
          </cell>
        </row>
        <row r="299">
          <cell r="A299" t="str">
            <v>J46007</v>
          </cell>
          <cell r="B299">
            <v>2</v>
          </cell>
          <cell r="C299">
            <v>1</v>
          </cell>
          <cell r="D299">
            <v>1</v>
          </cell>
          <cell r="E299">
            <v>1</v>
          </cell>
          <cell r="F299">
            <v>2</v>
          </cell>
          <cell r="G299">
            <v>2</v>
          </cell>
          <cell r="H299">
            <v>2</v>
          </cell>
          <cell r="I299">
            <v>2</v>
          </cell>
          <cell r="J299">
            <v>1</v>
          </cell>
          <cell r="K299">
            <v>3</v>
          </cell>
          <cell r="L299">
            <v>2</v>
          </cell>
          <cell r="M299">
            <v>2</v>
          </cell>
          <cell r="N299">
            <v>1</v>
          </cell>
          <cell r="O299">
            <v>1</v>
          </cell>
          <cell r="P299">
            <v>0</v>
          </cell>
          <cell r="Q299">
            <v>1</v>
          </cell>
          <cell r="R299">
            <v>3</v>
          </cell>
          <cell r="S299">
            <v>1</v>
          </cell>
          <cell r="T299">
            <v>0</v>
          </cell>
          <cell r="U299">
            <v>1</v>
          </cell>
        </row>
        <row r="300">
          <cell r="A300" t="str">
            <v>J46009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2</v>
          </cell>
          <cell r="I300">
            <v>0</v>
          </cell>
          <cell r="J300">
            <v>0</v>
          </cell>
          <cell r="K300">
            <v>2</v>
          </cell>
          <cell r="L300">
            <v>2</v>
          </cell>
          <cell r="M300">
            <v>2</v>
          </cell>
          <cell r="N300">
            <v>2</v>
          </cell>
          <cell r="O300">
            <v>2</v>
          </cell>
          <cell r="P300">
            <v>0</v>
          </cell>
          <cell r="Q300">
            <v>2</v>
          </cell>
          <cell r="R300">
            <v>2</v>
          </cell>
          <cell r="S300">
            <v>2</v>
          </cell>
          <cell r="T300">
            <v>0</v>
          </cell>
          <cell r="U300">
            <v>0</v>
          </cell>
        </row>
        <row r="301">
          <cell r="A301" t="str">
            <v>J46013</v>
          </cell>
          <cell r="B301">
            <v>3</v>
          </cell>
          <cell r="C301">
            <v>2</v>
          </cell>
          <cell r="D301">
            <v>2</v>
          </cell>
          <cell r="E301">
            <v>2</v>
          </cell>
          <cell r="F301">
            <v>3</v>
          </cell>
          <cell r="G301">
            <v>3</v>
          </cell>
          <cell r="H301">
            <v>5</v>
          </cell>
          <cell r="I301">
            <v>3</v>
          </cell>
          <cell r="J301">
            <v>2</v>
          </cell>
          <cell r="K301">
            <v>6</v>
          </cell>
          <cell r="L301">
            <v>5</v>
          </cell>
          <cell r="M301">
            <v>5</v>
          </cell>
          <cell r="N301">
            <v>2</v>
          </cell>
          <cell r="O301">
            <v>2</v>
          </cell>
          <cell r="P301">
            <v>0</v>
          </cell>
          <cell r="Q301">
            <v>2</v>
          </cell>
          <cell r="R301">
            <v>6</v>
          </cell>
          <cell r="S301">
            <v>3</v>
          </cell>
          <cell r="T301">
            <v>0</v>
          </cell>
          <cell r="U301">
            <v>2</v>
          </cell>
        </row>
        <row r="302">
          <cell r="A302" t="str">
            <v>J46019</v>
          </cell>
          <cell r="B302">
            <v>2</v>
          </cell>
          <cell r="C302">
            <v>1</v>
          </cell>
          <cell r="D302">
            <v>1</v>
          </cell>
          <cell r="E302">
            <v>1</v>
          </cell>
          <cell r="F302">
            <v>2</v>
          </cell>
          <cell r="G302">
            <v>2</v>
          </cell>
          <cell r="H302">
            <v>0</v>
          </cell>
          <cell r="I302">
            <v>2</v>
          </cell>
          <cell r="J302">
            <v>1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1</v>
          </cell>
        </row>
        <row r="303">
          <cell r="A303" t="str">
            <v>J46020</v>
          </cell>
          <cell r="B303">
            <v>4</v>
          </cell>
          <cell r="C303">
            <v>1</v>
          </cell>
          <cell r="D303">
            <v>1</v>
          </cell>
          <cell r="E303">
            <v>2</v>
          </cell>
          <cell r="F303">
            <v>4</v>
          </cell>
          <cell r="G303">
            <v>3</v>
          </cell>
          <cell r="H303">
            <v>4</v>
          </cell>
          <cell r="I303">
            <v>4</v>
          </cell>
          <cell r="J303">
            <v>1</v>
          </cell>
          <cell r="K303">
            <v>4</v>
          </cell>
          <cell r="L303">
            <v>3</v>
          </cell>
          <cell r="M303">
            <v>3</v>
          </cell>
          <cell r="N303">
            <v>1</v>
          </cell>
          <cell r="O303">
            <v>1</v>
          </cell>
          <cell r="P303">
            <v>0</v>
          </cell>
          <cell r="Q303">
            <v>1</v>
          </cell>
          <cell r="R303">
            <v>4</v>
          </cell>
          <cell r="S303">
            <v>2</v>
          </cell>
          <cell r="T303">
            <v>0</v>
          </cell>
          <cell r="U303">
            <v>1</v>
          </cell>
        </row>
        <row r="304">
          <cell r="A304" t="str">
            <v>J46027</v>
          </cell>
          <cell r="B304">
            <v>1</v>
          </cell>
          <cell r="C304">
            <v>1</v>
          </cell>
          <cell r="D304">
            <v>1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0</v>
          </cell>
          <cell r="Q304">
            <v>1</v>
          </cell>
          <cell r="R304">
            <v>1</v>
          </cell>
          <cell r="S304">
            <v>1</v>
          </cell>
          <cell r="T304">
            <v>0</v>
          </cell>
          <cell r="U304">
            <v>1</v>
          </cell>
        </row>
        <row r="305">
          <cell r="A305" t="str">
            <v>J46028</v>
          </cell>
          <cell r="B305">
            <v>1</v>
          </cell>
          <cell r="C305">
            <v>1</v>
          </cell>
          <cell r="D305">
            <v>1</v>
          </cell>
          <cell r="E305">
            <v>1</v>
          </cell>
          <cell r="F305">
            <v>1</v>
          </cell>
          <cell r="G305">
            <v>1</v>
          </cell>
          <cell r="H305">
            <v>1</v>
          </cell>
          <cell r="I305">
            <v>1</v>
          </cell>
          <cell r="J305">
            <v>1</v>
          </cell>
          <cell r="K305">
            <v>1</v>
          </cell>
          <cell r="L305">
            <v>1</v>
          </cell>
          <cell r="M305">
            <v>1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R305">
            <v>1</v>
          </cell>
          <cell r="S305">
            <v>1</v>
          </cell>
          <cell r="T305">
            <v>1</v>
          </cell>
          <cell r="U305">
            <v>1</v>
          </cell>
        </row>
        <row r="306">
          <cell r="A306" t="str">
            <v>J46029</v>
          </cell>
          <cell r="B306">
            <v>2</v>
          </cell>
          <cell r="C306">
            <v>1</v>
          </cell>
          <cell r="D306">
            <v>1</v>
          </cell>
          <cell r="E306">
            <v>1</v>
          </cell>
          <cell r="F306">
            <v>2</v>
          </cell>
          <cell r="G306">
            <v>2</v>
          </cell>
          <cell r="H306">
            <v>0</v>
          </cell>
          <cell r="I306">
            <v>2</v>
          </cell>
          <cell r="J306">
            <v>1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</v>
          </cell>
        </row>
        <row r="307">
          <cell r="A307" t="str">
            <v>J46030</v>
          </cell>
          <cell r="B307">
            <v>1</v>
          </cell>
          <cell r="C307">
            <v>1</v>
          </cell>
          <cell r="D307">
            <v>1</v>
          </cell>
          <cell r="E307">
            <v>1</v>
          </cell>
          <cell r="F307">
            <v>1</v>
          </cell>
          <cell r="G307">
            <v>1</v>
          </cell>
          <cell r="H307">
            <v>1</v>
          </cell>
          <cell r="I307">
            <v>1</v>
          </cell>
          <cell r="J307">
            <v>1</v>
          </cell>
          <cell r="K307">
            <v>1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P307">
            <v>0</v>
          </cell>
          <cell r="Q307">
            <v>1</v>
          </cell>
          <cell r="R307">
            <v>1</v>
          </cell>
          <cell r="S307">
            <v>1</v>
          </cell>
          <cell r="T307">
            <v>0</v>
          </cell>
          <cell r="U307">
            <v>1</v>
          </cell>
        </row>
        <row r="308">
          <cell r="A308" t="str">
            <v>J46031</v>
          </cell>
          <cell r="B308">
            <v>3</v>
          </cell>
          <cell r="C308">
            <v>1</v>
          </cell>
          <cell r="D308">
            <v>1</v>
          </cell>
          <cell r="E308">
            <v>2</v>
          </cell>
          <cell r="F308">
            <v>3</v>
          </cell>
          <cell r="G308">
            <v>2</v>
          </cell>
          <cell r="H308">
            <v>2</v>
          </cell>
          <cell r="I308">
            <v>3</v>
          </cell>
          <cell r="J308">
            <v>1</v>
          </cell>
          <cell r="K308">
            <v>3</v>
          </cell>
          <cell r="L308">
            <v>2</v>
          </cell>
          <cell r="M308">
            <v>2</v>
          </cell>
          <cell r="N308">
            <v>1</v>
          </cell>
          <cell r="O308">
            <v>1</v>
          </cell>
          <cell r="P308">
            <v>0</v>
          </cell>
          <cell r="Q308">
            <v>1</v>
          </cell>
          <cell r="R308">
            <v>3</v>
          </cell>
          <cell r="S308">
            <v>1</v>
          </cell>
          <cell r="T308">
            <v>0</v>
          </cell>
          <cell r="U308">
            <v>1</v>
          </cell>
        </row>
        <row r="309">
          <cell r="A309" t="str">
            <v>J47003</v>
          </cell>
          <cell r="B309">
            <v>2</v>
          </cell>
          <cell r="C309">
            <v>2</v>
          </cell>
          <cell r="D309">
            <v>2</v>
          </cell>
          <cell r="E309">
            <v>1</v>
          </cell>
          <cell r="F309">
            <v>2</v>
          </cell>
          <cell r="G309">
            <v>1</v>
          </cell>
          <cell r="H309">
            <v>2</v>
          </cell>
          <cell r="I309">
            <v>2</v>
          </cell>
          <cell r="J309">
            <v>2</v>
          </cell>
          <cell r="K309">
            <v>2</v>
          </cell>
          <cell r="L309">
            <v>2</v>
          </cell>
          <cell r="M309">
            <v>1</v>
          </cell>
          <cell r="N309">
            <v>2</v>
          </cell>
          <cell r="O309">
            <v>1</v>
          </cell>
          <cell r="P309">
            <v>0</v>
          </cell>
          <cell r="Q309">
            <v>2</v>
          </cell>
          <cell r="R309">
            <v>2</v>
          </cell>
          <cell r="S309">
            <v>2</v>
          </cell>
          <cell r="T309">
            <v>0</v>
          </cell>
          <cell r="U309">
            <v>1</v>
          </cell>
        </row>
        <row r="310">
          <cell r="A310" t="str">
            <v>J47004</v>
          </cell>
          <cell r="B310">
            <v>3</v>
          </cell>
          <cell r="C310">
            <v>3</v>
          </cell>
          <cell r="D310">
            <v>3</v>
          </cell>
          <cell r="E310">
            <v>3</v>
          </cell>
          <cell r="F310">
            <v>3</v>
          </cell>
          <cell r="G310">
            <v>3</v>
          </cell>
          <cell r="H310">
            <v>3</v>
          </cell>
          <cell r="I310">
            <v>3</v>
          </cell>
          <cell r="J310">
            <v>3</v>
          </cell>
          <cell r="K310">
            <v>3</v>
          </cell>
          <cell r="L310">
            <v>3</v>
          </cell>
          <cell r="M310">
            <v>3</v>
          </cell>
          <cell r="N310">
            <v>3</v>
          </cell>
          <cell r="O310">
            <v>3</v>
          </cell>
          <cell r="P310">
            <v>0</v>
          </cell>
          <cell r="Q310">
            <v>3</v>
          </cell>
          <cell r="R310">
            <v>3</v>
          </cell>
          <cell r="S310">
            <v>3</v>
          </cell>
          <cell r="T310">
            <v>0</v>
          </cell>
          <cell r="U310">
            <v>3</v>
          </cell>
        </row>
        <row r="311">
          <cell r="A311" t="str">
            <v>J47004-W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</row>
        <row r="312">
          <cell r="A312" t="str">
            <v>J47005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2</v>
          </cell>
          <cell r="I312">
            <v>0</v>
          </cell>
          <cell r="J312">
            <v>0</v>
          </cell>
          <cell r="K312">
            <v>2</v>
          </cell>
          <cell r="L312">
            <v>2</v>
          </cell>
          <cell r="M312">
            <v>2</v>
          </cell>
          <cell r="N312">
            <v>2</v>
          </cell>
          <cell r="O312">
            <v>2</v>
          </cell>
          <cell r="P312">
            <v>0</v>
          </cell>
          <cell r="Q312">
            <v>2</v>
          </cell>
          <cell r="R312">
            <v>2</v>
          </cell>
          <cell r="S312">
            <v>2</v>
          </cell>
          <cell r="T312">
            <v>0</v>
          </cell>
          <cell r="U312">
            <v>0</v>
          </cell>
        </row>
        <row r="313">
          <cell r="A313" t="str">
            <v>J49001</v>
          </cell>
          <cell r="B313">
            <v>4</v>
          </cell>
          <cell r="C313">
            <v>2</v>
          </cell>
          <cell r="D313">
            <v>2</v>
          </cell>
          <cell r="E313">
            <v>2</v>
          </cell>
          <cell r="F313">
            <v>4</v>
          </cell>
          <cell r="G313">
            <v>3</v>
          </cell>
          <cell r="H313">
            <v>4</v>
          </cell>
          <cell r="I313">
            <v>4</v>
          </cell>
          <cell r="J313">
            <v>2</v>
          </cell>
          <cell r="K313">
            <v>4</v>
          </cell>
          <cell r="L313">
            <v>3</v>
          </cell>
          <cell r="M313">
            <v>3</v>
          </cell>
          <cell r="N313">
            <v>2</v>
          </cell>
          <cell r="O313">
            <v>2</v>
          </cell>
          <cell r="P313">
            <v>0</v>
          </cell>
          <cell r="Q313">
            <v>2</v>
          </cell>
          <cell r="R313">
            <v>4</v>
          </cell>
          <cell r="S313">
            <v>2</v>
          </cell>
          <cell r="T313">
            <v>0</v>
          </cell>
          <cell r="U313">
            <v>2</v>
          </cell>
        </row>
        <row r="314">
          <cell r="A314" t="str">
            <v>J49003</v>
          </cell>
          <cell r="B314">
            <v>2</v>
          </cell>
          <cell r="C314">
            <v>2</v>
          </cell>
          <cell r="D314">
            <v>2</v>
          </cell>
          <cell r="E314">
            <v>2</v>
          </cell>
          <cell r="F314">
            <v>2</v>
          </cell>
          <cell r="G314">
            <v>2</v>
          </cell>
          <cell r="H314">
            <v>2</v>
          </cell>
          <cell r="I314">
            <v>2</v>
          </cell>
          <cell r="J314">
            <v>2</v>
          </cell>
          <cell r="K314">
            <v>2</v>
          </cell>
          <cell r="L314">
            <v>2</v>
          </cell>
          <cell r="M314">
            <v>2</v>
          </cell>
          <cell r="N314">
            <v>2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2</v>
          </cell>
          <cell r="T314">
            <v>0</v>
          </cell>
          <cell r="U314">
            <v>2</v>
          </cell>
        </row>
        <row r="315">
          <cell r="A315" t="str">
            <v>J49004</v>
          </cell>
          <cell r="B315">
            <v>2</v>
          </cell>
          <cell r="C315">
            <v>2</v>
          </cell>
          <cell r="D315">
            <v>2</v>
          </cell>
          <cell r="E315">
            <v>2</v>
          </cell>
          <cell r="F315">
            <v>2</v>
          </cell>
          <cell r="G315">
            <v>2</v>
          </cell>
          <cell r="H315">
            <v>2</v>
          </cell>
          <cell r="I315">
            <v>2</v>
          </cell>
          <cell r="J315">
            <v>2</v>
          </cell>
          <cell r="K315">
            <v>2</v>
          </cell>
          <cell r="L315">
            <v>2</v>
          </cell>
          <cell r="M315">
            <v>2</v>
          </cell>
          <cell r="N315">
            <v>2</v>
          </cell>
          <cell r="O315">
            <v>2</v>
          </cell>
          <cell r="P315">
            <v>0</v>
          </cell>
          <cell r="Q315">
            <v>2</v>
          </cell>
          <cell r="R315">
            <v>2</v>
          </cell>
          <cell r="S315">
            <v>2</v>
          </cell>
          <cell r="T315">
            <v>0</v>
          </cell>
          <cell r="U315">
            <v>2</v>
          </cell>
        </row>
        <row r="316">
          <cell r="A316" t="str">
            <v>J56001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</row>
        <row r="317">
          <cell r="A317" t="str">
            <v>J56005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</row>
        <row r="318">
          <cell r="A318" t="str">
            <v>J56006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</row>
        <row r="319">
          <cell r="A319" t="str">
            <v>J75003</v>
          </cell>
          <cell r="B319">
            <v>20</v>
          </cell>
          <cell r="C319">
            <v>8</v>
          </cell>
          <cell r="D319">
            <v>8</v>
          </cell>
          <cell r="E319">
            <v>12</v>
          </cell>
          <cell r="F319">
            <v>20</v>
          </cell>
          <cell r="G319">
            <v>16</v>
          </cell>
          <cell r="H319">
            <v>16</v>
          </cell>
          <cell r="I319">
            <v>20</v>
          </cell>
          <cell r="J319">
            <v>8</v>
          </cell>
          <cell r="K319">
            <v>16</v>
          </cell>
          <cell r="L319">
            <v>16</v>
          </cell>
          <cell r="M319">
            <v>16</v>
          </cell>
          <cell r="N319">
            <v>8</v>
          </cell>
          <cell r="O319">
            <v>8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8</v>
          </cell>
        </row>
        <row r="320">
          <cell r="A320" t="str">
            <v>J75005</v>
          </cell>
          <cell r="B320">
            <v>5</v>
          </cell>
          <cell r="C320">
            <v>2</v>
          </cell>
          <cell r="D320">
            <v>2</v>
          </cell>
          <cell r="E320">
            <v>3</v>
          </cell>
          <cell r="F320">
            <v>5</v>
          </cell>
          <cell r="G320">
            <v>4</v>
          </cell>
          <cell r="H320">
            <v>4</v>
          </cell>
          <cell r="I320">
            <v>5</v>
          </cell>
          <cell r="J320">
            <v>2</v>
          </cell>
          <cell r="K320">
            <v>4</v>
          </cell>
          <cell r="L320">
            <v>4</v>
          </cell>
          <cell r="M320">
            <v>4</v>
          </cell>
          <cell r="N320">
            <v>2</v>
          </cell>
          <cell r="O320">
            <v>2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2</v>
          </cell>
        </row>
        <row r="321">
          <cell r="A321" t="str">
            <v>J75007</v>
          </cell>
          <cell r="B321">
            <v>2</v>
          </cell>
          <cell r="C321">
            <v>1</v>
          </cell>
          <cell r="D321">
            <v>1</v>
          </cell>
          <cell r="E321">
            <v>1</v>
          </cell>
          <cell r="F321">
            <v>2</v>
          </cell>
          <cell r="G321">
            <v>2</v>
          </cell>
          <cell r="H321">
            <v>2</v>
          </cell>
          <cell r="I321">
            <v>2</v>
          </cell>
          <cell r="J321">
            <v>1</v>
          </cell>
          <cell r="K321">
            <v>2</v>
          </cell>
          <cell r="L321">
            <v>2</v>
          </cell>
          <cell r="M321">
            <v>2</v>
          </cell>
          <cell r="N321">
            <v>1</v>
          </cell>
          <cell r="O321">
            <v>1</v>
          </cell>
          <cell r="P321">
            <v>1</v>
          </cell>
          <cell r="Q321">
            <v>1</v>
          </cell>
          <cell r="R321">
            <v>3</v>
          </cell>
          <cell r="S321">
            <v>1</v>
          </cell>
          <cell r="T321">
            <v>1</v>
          </cell>
          <cell r="U321">
            <v>1</v>
          </cell>
        </row>
        <row r="322">
          <cell r="A322" t="str">
            <v>J75008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</row>
        <row r="323">
          <cell r="A323" t="str">
            <v>J75010</v>
          </cell>
          <cell r="B323">
            <v>5</v>
          </cell>
          <cell r="C323">
            <v>2</v>
          </cell>
          <cell r="D323">
            <v>2</v>
          </cell>
          <cell r="E323">
            <v>3</v>
          </cell>
          <cell r="F323">
            <v>5</v>
          </cell>
          <cell r="G323">
            <v>4</v>
          </cell>
          <cell r="H323">
            <v>4</v>
          </cell>
          <cell r="I323">
            <v>5</v>
          </cell>
          <cell r="J323">
            <v>2</v>
          </cell>
          <cell r="K323">
            <v>4</v>
          </cell>
          <cell r="L323">
            <v>4</v>
          </cell>
          <cell r="M323">
            <v>4</v>
          </cell>
          <cell r="N323">
            <v>2</v>
          </cell>
          <cell r="O323">
            <v>2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</v>
          </cell>
        </row>
        <row r="324">
          <cell r="A324" t="str">
            <v>J75011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</row>
        <row r="325">
          <cell r="A325" t="str">
            <v>J75012</v>
          </cell>
          <cell r="B325">
            <v>6</v>
          </cell>
          <cell r="C325">
            <v>3</v>
          </cell>
          <cell r="D325">
            <v>3</v>
          </cell>
          <cell r="E325">
            <v>4</v>
          </cell>
          <cell r="F325">
            <v>6</v>
          </cell>
          <cell r="G325">
            <v>5</v>
          </cell>
          <cell r="H325">
            <v>5</v>
          </cell>
          <cell r="I325">
            <v>6</v>
          </cell>
          <cell r="J325">
            <v>3</v>
          </cell>
          <cell r="K325">
            <v>5</v>
          </cell>
          <cell r="L325">
            <v>5</v>
          </cell>
          <cell r="M325">
            <v>5</v>
          </cell>
          <cell r="N325">
            <v>3</v>
          </cell>
          <cell r="O325">
            <v>3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3</v>
          </cell>
        </row>
        <row r="326">
          <cell r="A326" t="str">
            <v>J75013</v>
          </cell>
          <cell r="B326">
            <v>6</v>
          </cell>
          <cell r="C326">
            <v>3</v>
          </cell>
          <cell r="D326">
            <v>3</v>
          </cell>
          <cell r="E326">
            <v>3</v>
          </cell>
          <cell r="F326">
            <v>6</v>
          </cell>
          <cell r="G326">
            <v>4</v>
          </cell>
          <cell r="H326">
            <v>5</v>
          </cell>
          <cell r="I326">
            <v>6</v>
          </cell>
          <cell r="J326">
            <v>3</v>
          </cell>
          <cell r="K326">
            <v>5</v>
          </cell>
          <cell r="L326">
            <v>5</v>
          </cell>
          <cell r="M326">
            <v>4</v>
          </cell>
          <cell r="N326">
            <v>3</v>
          </cell>
          <cell r="O326">
            <v>2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</v>
          </cell>
        </row>
        <row r="327">
          <cell r="A327" t="str">
            <v>J75048</v>
          </cell>
          <cell r="B327">
            <v>5</v>
          </cell>
          <cell r="C327">
            <v>2</v>
          </cell>
          <cell r="D327">
            <v>2</v>
          </cell>
          <cell r="E327">
            <v>3</v>
          </cell>
          <cell r="F327">
            <v>5</v>
          </cell>
          <cell r="G327">
            <v>4</v>
          </cell>
          <cell r="H327">
            <v>4</v>
          </cell>
          <cell r="I327">
            <v>5</v>
          </cell>
          <cell r="J327">
            <v>2</v>
          </cell>
          <cell r="K327">
            <v>4</v>
          </cell>
          <cell r="L327">
            <v>4</v>
          </cell>
          <cell r="M327">
            <v>4</v>
          </cell>
          <cell r="N327">
            <v>2</v>
          </cell>
          <cell r="O327">
            <v>2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2</v>
          </cell>
        </row>
        <row r="328">
          <cell r="A328" t="str">
            <v>J75049</v>
          </cell>
          <cell r="B328">
            <v>5</v>
          </cell>
          <cell r="C328">
            <v>3</v>
          </cell>
          <cell r="D328">
            <v>3</v>
          </cell>
          <cell r="E328">
            <v>2</v>
          </cell>
          <cell r="F328">
            <v>5</v>
          </cell>
          <cell r="G328">
            <v>3</v>
          </cell>
          <cell r="H328">
            <v>0</v>
          </cell>
          <cell r="I328">
            <v>5</v>
          </cell>
          <cell r="J328">
            <v>3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2</v>
          </cell>
        </row>
        <row r="329">
          <cell r="A329" t="str">
            <v>J75052</v>
          </cell>
          <cell r="B329">
            <v>20</v>
          </cell>
          <cell r="C329">
            <v>8</v>
          </cell>
          <cell r="D329">
            <v>8</v>
          </cell>
          <cell r="E329">
            <v>12</v>
          </cell>
          <cell r="F329">
            <v>20</v>
          </cell>
          <cell r="G329">
            <v>16</v>
          </cell>
          <cell r="H329">
            <v>16</v>
          </cell>
          <cell r="I329">
            <v>20</v>
          </cell>
          <cell r="J329">
            <v>8</v>
          </cell>
          <cell r="K329">
            <v>16</v>
          </cell>
          <cell r="L329">
            <v>16</v>
          </cell>
          <cell r="M329">
            <v>16</v>
          </cell>
          <cell r="N329">
            <v>8</v>
          </cell>
          <cell r="O329">
            <v>8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8</v>
          </cell>
        </row>
        <row r="330">
          <cell r="A330" t="str">
            <v>J75058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4</v>
          </cell>
          <cell r="I330">
            <v>0</v>
          </cell>
          <cell r="J330">
            <v>0</v>
          </cell>
          <cell r="K330">
            <v>4</v>
          </cell>
          <cell r="L330">
            <v>4</v>
          </cell>
          <cell r="M330">
            <v>4</v>
          </cell>
          <cell r="N330">
            <v>2</v>
          </cell>
          <cell r="O330">
            <v>2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A331" t="str">
            <v>J75059A</v>
          </cell>
          <cell r="B331">
            <v>2</v>
          </cell>
          <cell r="C331">
            <v>1</v>
          </cell>
          <cell r="D331">
            <v>1</v>
          </cell>
          <cell r="E331">
            <v>1</v>
          </cell>
          <cell r="F331">
            <v>2</v>
          </cell>
          <cell r="G331">
            <v>2</v>
          </cell>
          <cell r="H331">
            <v>0</v>
          </cell>
          <cell r="I331">
            <v>2</v>
          </cell>
          <cell r="J331">
            <v>1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1</v>
          </cell>
        </row>
        <row r="332">
          <cell r="A332" t="str">
            <v>J75060</v>
          </cell>
          <cell r="B332">
            <v>2</v>
          </cell>
          <cell r="C332">
            <v>1</v>
          </cell>
          <cell r="D332">
            <v>1</v>
          </cell>
          <cell r="E332">
            <v>1</v>
          </cell>
          <cell r="F332">
            <v>2</v>
          </cell>
          <cell r="G332">
            <v>2</v>
          </cell>
          <cell r="H332">
            <v>0</v>
          </cell>
          <cell r="I332">
            <v>2</v>
          </cell>
          <cell r="J332">
            <v>1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1</v>
          </cell>
        </row>
        <row r="333">
          <cell r="A333" t="str">
            <v>J75061</v>
          </cell>
          <cell r="B333">
            <v>2</v>
          </cell>
          <cell r="C333">
            <v>2</v>
          </cell>
          <cell r="D333">
            <v>2</v>
          </cell>
          <cell r="E333">
            <v>1</v>
          </cell>
          <cell r="F333">
            <v>2</v>
          </cell>
          <cell r="G333">
            <v>1</v>
          </cell>
          <cell r="H333">
            <v>2</v>
          </cell>
          <cell r="I333">
            <v>2</v>
          </cell>
          <cell r="J333">
            <v>2</v>
          </cell>
          <cell r="K333">
            <v>2</v>
          </cell>
          <cell r="L333">
            <v>2</v>
          </cell>
          <cell r="M333">
            <v>1</v>
          </cell>
          <cell r="N333">
            <v>2</v>
          </cell>
          <cell r="O333">
            <v>1</v>
          </cell>
          <cell r="P333">
            <v>0</v>
          </cell>
          <cell r="Q333">
            <v>2</v>
          </cell>
          <cell r="R333">
            <v>2</v>
          </cell>
          <cell r="S333">
            <v>2</v>
          </cell>
          <cell r="T333">
            <v>0</v>
          </cell>
          <cell r="U333">
            <v>1</v>
          </cell>
        </row>
        <row r="334">
          <cell r="A334" t="str">
            <v>J75100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</row>
        <row r="335">
          <cell r="A335" t="str">
            <v>J75103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</row>
        <row r="336">
          <cell r="A336" t="str">
            <v>J75104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5</v>
          </cell>
          <cell r="I336">
            <v>0</v>
          </cell>
          <cell r="J336">
            <v>0</v>
          </cell>
          <cell r="K336">
            <v>5</v>
          </cell>
          <cell r="L336">
            <v>5</v>
          </cell>
          <cell r="M336">
            <v>4</v>
          </cell>
          <cell r="N336">
            <v>2</v>
          </cell>
          <cell r="O336">
            <v>0</v>
          </cell>
          <cell r="P336">
            <v>0</v>
          </cell>
          <cell r="Q336">
            <v>3</v>
          </cell>
          <cell r="R336">
            <v>5</v>
          </cell>
          <cell r="S336">
            <v>4</v>
          </cell>
          <cell r="T336">
            <v>0</v>
          </cell>
          <cell r="U336">
            <v>0</v>
          </cell>
        </row>
        <row r="337">
          <cell r="A337" t="str">
            <v>J75105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</row>
        <row r="338">
          <cell r="A338" t="str">
            <v>J75110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</row>
        <row r="339">
          <cell r="A339" t="str">
            <v>J75111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</row>
        <row r="340">
          <cell r="A340" t="str">
            <v>J75113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</row>
        <row r="341">
          <cell r="A341" t="str">
            <v>J75115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</row>
        <row r="342">
          <cell r="A342" t="str">
            <v>J75120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</row>
        <row r="343">
          <cell r="A343" t="str">
            <v>J75121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</row>
        <row r="344">
          <cell r="A344" t="str">
            <v>J75122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</row>
        <row r="345">
          <cell r="A345" t="str">
            <v>J75123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</row>
        <row r="346">
          <cell r="A346" t="str">
            <v>J75124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</row>
        <row r="347">
          <cell r="A347" t="str">
            <v>J75125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</row>
        <row r="348">
          <cell r="A348" t="str">
            <v>J75142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2</v>
          </cell>
          <cell r="I348">
            <v>0</v>
          </cell>
          <cell r="J348">
            <v>0</v>
          </cell>
          <cell r="K348">
            <v>2</v>
          </cell>
          <cell r="L348">
            <v>2</v>
          </cell>
          <cell r="M348">
            <v>0</v>
          </cell>
          <cell r="N348">
            <v>2</v>
          </cell>
          <cell r="O348">
            <v>0</v>
          </cell>
          <cell r="P348">
            <v>24</v>
          </cell>
          <cell r="Q348">
            <v>4</v>
          </cell>
          <cell r="R348">
            <v>8</v>
          </cell>
          <cell r="S348">
            <v>6</v>
          </cell>
          <cell r="T348">
            <v>16</v>
          </cell>
          <cell r="U348">
            <v>0</v>
          </cell>
        </row>
        <row r="349">
          <cell r="A349" t="str">
            <v>J75147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</row>
        <row r="350">
          <cell r="A350" t="str">
            <v>J75148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</row>
        <row r="351">
          <cell r="A351" t="str">
            <v>J75149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</row>
        <row r="352">
          <cell r="A352" t="str">
            <v>J75156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</row>
        <row r="353">
          <cell r="A353" t="str">
            <v>J75173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</row>
        <row r="354">
          <cell r="A354" t="str">
            <v>J75174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</row>
        <row r="355">
          <cell r="A355" t="str">
            <v>J75175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</row>
        <row r="356">
          <cell r="A356" t="str">
            <v>J75178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</row>
        <row r="357">
          <cell r="A357" t="str">
            <v>J75179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</row>
        <row r="358">
          <cell r="A358" t="str">
            <v>J75180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</row>
        <row r="359">
          <cell r="A359" t="str">
            <v>J75181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</row>
        <row r="360">
          <cell r="A360" t="str">
            <v>J75183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</row>
        <row r="361">
          <cell r="A361" t="str">
            <v>J75189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5</v>
          </cell>
          <cell r="I361">
            <v>0</v>
          </cell>
          <cell r="J361">
            <v>0</v>
          </cell>
          <cell r="K361">
            <v>5</v>
          </cell>
          <cell r="L361">
            <v>5</v>
          </cell>
          <cell r="M361">
            <v>4</v>
          </cell>
          <cell r="N361">
            <v>3</v>
          </cell>
          <cell r="O361">
            <v>3</v>
          </cell>
          <cell r="P361">
            <v>3</v>
          </cell>
          <cell r="Q361">
            <v>3</v>
          </cell>
          <cell r="R361">
            <v>5</v>
          </cell>
          <cell r="S361">
            <v>4</v>
          </cell>
          <cell r="T361">
            <v>3</v>
          </cell>
          <cell r="U361">
            <v>0</v>
          </cell>
        </row>
        <row r="362">
          <cell r="A362" t="str">
            <v>J75192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5</v>
          </cell>
          <cell r="I362">
            <v>0</v>
          </cell>
          <cell r="J362">
            <v>0</v>
          </cell>
          <cell r="K362">
            <v>5</v>
          </cell>
          <cell r="L362">
            <v>5</v>
          </cell>
          <cell r="M362">
            <v>4</v>
          </cell>
          <cell r="N362">
            <v>3</v>
          </cell>
          <cell r="O362">
            <v>3</v>
          </cell>
          <cell r="P362">
            <v>0</v>
          </cell>
          <cell r="Q362">
            <v>3</v>
          </cell>
          <cell r="R362">
            <v>5</v>
          </cell>
          <cell r="S362">
            <v>4</v>
          </cell>
          <cell r="T362">
            <v>0</v>
          </cell>
          <cell r="U362">
            <v>0</v>
          </cell>
        </row>
        <row r="363">
          <cell r="A363" t="str">
            <v>J75193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</row>
        <row r="364">
          <cell r="A364" t="str">
            <v>J75194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</row>
        <row r="365">
          <cell r="A365" t="str">
            <v>J75195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</row>
        <row r="366">
          <cell r="A366" t="str">
            <v>J75196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3</v>
          </cell>
          <cell r="I366">
            <v>0</v>
          </cell>
          <cell r="J366">
            <v>0</v>
          </cell>
          <cell r="K366">
            <v>3</v>
          </cell>
          <cell r="L366">
            <v>3</v>
          </cell>
          <cell r="M366">
            <v>2</v>
          </cell>
          <cell r="N366">
            <v>3</v>
          </cell>
          <cell r="O366">
            <v>3</v>
          </cell>
          <cell r="P366">
            <v>0</v>
          </cell>
          <cell r="Q366">
            <v>3</v>
          </cell>
          <cell r="R366">
            <v>3</v>
          </cell>
          <cell r="S366">
            <v>3</v>
          </cell>
          <cell r="T366">
            <v>0</v>
          </cell>
          <cell r="U366">
            <v>0</v>
          </cell>
        </row>
        <row r="367">
          <cell r="A367" t="str">
            <v>J75197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3</v>
          </cell>
          <cell r="I367">
            <v>0</v>
          </cell>
          <cell r="J367">
            <v>0</v>
          </cell>
          <cell r="K367">
            <v>3</v>
          </cell>
          <cell r="L367">
            <v>3</v>
          </cell>
          <cell r="M367">
            <v>2</v>
          </cell>
          <cell r="N367">
            <v>3</v>
          </cell>
          <cell r="O367">
            <v>3</v>
          </cell>
          <cell r="P367">
            <v>3</v>
          </cell>
          <cell r="Q367">
            <v>3</v>
          </cell>
          <cell r="R367">
            <v>3</v>
          </cell>
          <cell r="S367">
            <v>3</v>
          </cell>
          <cell r="T367">
            <v>3</v>
          </cell>
          <cell r="U367">
            <v>0</v>
          </cell>
        </row>
        <row r="368">
          <cell r="A368" t="str">
            <v>J75198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</row>
        <row r="369">
          <cell r="A369" t="str">
            <v>J75199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5</v>
          </cell>
          <cell r="I369">
            <v>0</v>
          </cell>
          <cell r="J369">
            <v>0</v>
          </cell>
          <cell r="K369">
            <v>5</v>
          </cell>
          <cell r="L369">
            <v>5</v>
          </cell>
          <cell r="M369">
            <v>4</v>
          </cell>
          <cell r="N369">
            <v>3</v>
          </cell>
          <cell r="O369">
            <v>3</v>
          </cell>
          <cell r="P369">
            <v>0</v>
          </cell>
          <cell r="Q369">
            <v>3</v>
          </cell>
          <cell r="R369">
            <v>5</v>
          </cell>
          <cell r="S369">
            <v>4</v>
          </cell>
          <cell r="T369">
            <v>0</v>
          </cell>
          <cell r="U369">
            <v>0</v>
          </cell>
        </row>
        <row r="370">
          <cell r="A370" t="str">
            <v>J75208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4</v>
          </cell>
          <cell r="I370">
            <v>0</v>
          </cell>
          <cell r="J370">
            <v>0</v>
          </cell>
          <cell r="K370">
            <v>4</v>
          </cell>
          <cell r="L370">
            <v>4</v>
          </cell>
          <cell r="M370">
            <v>4</v>
          </cell>
          <cell r="N370">
            <v>2</v>
          </cell>
          <cell r="O370">
            <v>2</v>
          </cell>
          <cell r="P370">
            <v>0</v>
          </cell>
          <cell r="Q370">
            <v>2</v>
          </cell>
          <cell r="R370">
            <v>4</v>
          </cell>
          <cell r="S370">
            <v>3</v>
          </cell>
          <cell r="T370">
            <v>0</v>
          </cell>
          <cell r="U370">
            <v>0</v>
          </cell>
        </row>
        <row r="371">
          <cell r="A371" t="str">
            <v>J75214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  <cell r="Q371">
            <v>2</v>
          </cell>
          <cell r="R371">
            <v>4</v>
          </cell>
          <cell r="S371">
            <v>3</v>
          </cell>
          <cell r="T371">
            <v>2</v>
          </cell>
          <cell r="U371">
            <v>0</v>
          </cell>
        </row>
        <row r="372">
          <cell r="A372" t="str">
            <v>J75220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</row>
        <row r="373">
          <cell r="A373" t="str">
            <v>J75223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2</v>
          </cell>
          <cell r="R373">
            <v>4</v>
          </cell>
          <cell r="S373">
            <v>3</v>
          </cell>
          <cell r="T373">
            <v>0</v>
          </cell>
          <cell r="U373">
            <v>0</v>
          </cell>
        </row>
        <row r="374">
          <cell r="A374" t="str">
            <v>J75400</v>
          </cell>
          <cell r="B374">
            <v>6</v>
          </cell>
          <cell r="C374">
            <v>3</v>
          </cell>
          <cell r="D374">
            <v>3</v>
          </cell>
          <cell r="E374">
            <v>3</v>
          </cell>
          <cell r="F374">
            <v>6</v>
          </cell>
          <cell r="G374">
            <v>4</v>
          </cell>
          <cell r="H374">
            <v>5</v>
          </cell>
          <cell r="I374">
            <v>6</v>
          </cell>
          <cell r="J374">
            <v>3</v>
          </cell>
          <cell r="K374">
            <v>5</v>
          </cell>
          <cell r="L374">
            <v>5</v>
          </cell>
          <cell r="M374">
            <v>4</v>
          </cell>
          <cell r="N374">
            <v>3</v>
          </cell>
          <cell r="O374">
            <v>2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2</v>
          </cell>
        </row>
        <row r="375">
          <cell r="A375" t="str">
            <v>J75400E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</row>
        <row r="376">
          <cell r="A376" t="str">
            <v>J75401</v>
          </cell>
          <cell r="B376">
            <v>5</v>
          </cell>
          <cell r="C376">
            <v>2</v>
          </cell>
          <cell r="D376">
            <v>2</v>
          </cell>
          <cell r="E376">
            <v>3</v>
          </cell>
          <cell r="F376">
            <v>5</v>
          </cell>
          <cell r="G376">
            <v>4</v>
          </cell>
          <cell r="H376">
            <v>4</v>
          </cell>
          <cell r="I376">
            <v>5</v>
          </cell>
          <cell r="J376">
            <v>2</v>
          </cell>
          <cell r="K376">
            <v>4</v>
          </cell>
          <cell r="L376">
            <v>4</v>
          </cell>
          <cell r="M376">
            <v>4</v>
          </cell>
          <cell r="N376">
            <v>2</v>
          </cell>
          <cell r="O376">
            <v>2</v>
          </cell>
          <cell r="P376">
            <v>0</v>
          </cell>
          <cell r="Q376">
            <v>2</v>
          </cell>
          <cell r="R376">
            <v>4</v>
          </cell>
          <cell r="S376">
            <v>3</v>
          </cell>
          <cell r="T376">
            <v>0</v>
          </cell>
          <cell r="U376">
            <v>2</v>
          </cell>
        </row>
        <row r="377">
          <cell r="A377" t="str">
            <v>J75402</v>
          </cell>
          <cell r="B377">
            <v>5</v>
          </cell>
          <cell r="C377">
            <v>2</v>
          </cell>
          <cell r="D377">
            <v>2</v>
          </cell>
          <cell r="E377">
            <v>3</v>
          </cell>
          <cell r="F377">
            <v>5</v>
          </cell>
          <cell r="G377">
            <v>4</v>
          </cell>
          <cell r="H377">
            <v>0</v>
          </cell>
          <cell r="I377">
            <v>5</v>
          </cell>
          <cell r="J377">
            <v>2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2</v>
          </cell>
          <cell r="R377">
            <v>4</v>
          </cell>
          <cell r="S377">
            <v>3</v>
          </cell>
          <cell r="T377">
            <v>0</v>
          </cell>
          <cell r="U377">
            <v>2</v>
          </cell>
        </row>
        <row r="378">
          <cell r="A378" t="str">
            <v>J75404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5</v>
          </cell>
          <cell r="I378">
            <v>0</v>
          </cell>
          <cell r="J378">
            <v>0</v>
          </cell>
          <cell r="K378">
            <v>5</v>
          </cell>
          <cell r="L378">
            <v>5</v>
          </cell>
          <cell r="M378">
            <v>4</v>
          </cell>
          <cell r="N378">
            <v>2</v>
          </cell>
          <cell r="O378">
            <v>0</v>
          </cell>
          <cell r="P378">
            <v>0</v>
          </cell>
          <cell r="Q378">
            <v>2</v>
          </cell>
          <cell r="R378">
            <v>4</v>
          </cell>
          <cell r="S378">
            <v>3</v>
          </cell>
          <cell r="T378">
            <v>0</v>
          </cell>
          <cell r="U378">
            <v>0</v>
          </cell>
        </row>
        <row r="379">
          <cell r="A379" t="str">
            <v>J75405</v>
          </cell>
          <cell r="B379">
            <v>5</v>
          </cell>
          <cell r="C379">
            <v>2</v>
          </cell>
          <cell r="D379">
            <v>2</v>
          </cell>
          <cell r="E379">
            <v>3</v>
          </cell>
          <cell r="F379">
            <v>5</v>
          </cell>
          <cell r="G379">
            <v>4</v>
          </cell>
          <cell r="H379">
            <v>0</v>
          </cell>
          <cell r="I379">
            <v>5</v>
          </cell>
          <cell r="J379">
            <v>2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2</v>
          </cell>
          <cell r="R379">
            <v>4</v>
          </cell>
          <cell r="S379">
            <v>3</v>
          </cell>
          <cell r="T379">
            <v>0</v>
          </cell>
          <cell r="U379">
            <v>2</v>
          </cell>
        </row>
        <row r="380">
          <cell r="A380" t="str">
            <v>J75407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4</v>
          </cell>
          <cell r="I380">
            <v>0</v>
          </cell>
          <cell r="J380">
            <v>0</v>
          </cell>
          <cell r="K380">
            <v>4</v>
          </cell>
          <cell r="L380">
            <v>4</v>
          </cell>
          <cell r="M380">
            <v>4</v>
          </cell>
          <cell r="N380">
            <v>2</v>
          </cell>
          <cell r="O380">
            <v>2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</row>
        <row r="381">
          <cell r="A381" t="str">
            <v>J75408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4</v>
          </cell>
          <cell r="I381">
            <v>0</v>
          </cell>
          <cell r="J381">
            <v>0</v>
          </cell>
          <cell r="K381">
            <v>4</v>
          </cell>
          <cell r="L381">
            <v>4</v>
          </cell>
          <cell r="M381">
            <v>4</v>
          </cell>
          <cell r="N381">
            <v>2</v>
          </cell>
          <cell r="O381">
            <v>2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</row>
        <row r="382">
          <cell r="A382" t="str">
            <v>J75409</v>
          </cell>
          <cell r="B382">
            <v>5</v>
          </cell>
          <cell r="C382">
            <v>2</v>
          </cell>
          <cell r="D382">
            <v>2</v>
          </cell>
          <cell r="E382">
            <v>3</v>
          </cell>
          <cell r="F382">
            <v>5</v>
          </cell>
          <cell r="G382">
            <v>4</v>
          </cell>
          <cell r="H382">
            <v>0</v>
          </cell>
          <cell r="I382">
            <v>5</v>
          </cell>
          <cell r="J382">
            <v>2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2</v>
          </cell>
          <cell r="R382">
            <v>4</v>
          </cell>
          <cell r="S382">
            <v>3</v>
          </cell>
          <cell r="T382">
            <v>0</v>
          </cell>
          <cell r="U382">
            <v>2</v>
          </cell>
        </row>
        <row r="383">
          <cell r="A383" t="str">
            <v>J75416</v>
          </cell>
          <cell r="B383">
            <v>5</v>
          </cell>
          <cell r="C383">
            <v>2</v>
          </cell>
          <cell r="D383">
            <v>2</v>
          </cell>
          <cell r="E383">
            <v>3</v>
          </cell>
          <cell r="F383">
            <v>5</v>
          </cell>
          <cell r="G383">
            <v>4</v>
          </cell>
          <cell r="H383">
            <v>4</v>
          </cell>
          <cell r="I383">
            <v>5</v>
          </cell>
          <cell r="J383">
            <v>2</v>
          </cell>
          <cell r="K383">
            <v>4</v>
          </cell>
          <cell r="L383">
            <v>4</v>
          </cell>
          <cell r="M383">
            <v>4</v>
          </cell>
          <cell r="N383">
            <v>2</v>
          </cell>
          <cell r="O383">
            <v>2</v>
          </cell>
          <cell r="P383">
            <v>0</v>
          </cell>
          <cell r="Q383">
            <v>2</v>
          </cell>
          <cell r="R383">
            <v>4</v>
          </cell>
          <cell r="S383">
            <v>3</v>
          </cell>
          <cell r="T383">
            <v>0</v>
          </cell>
          <cell r="U383">
            <v>2</v>
          </cell>
        </row>
        <row r="384">
          <cell r="A384" t="str">
            <v>J75417</v>
          </cell>
          <cell r="B384">
            <v>2</v>
          </cell>
          <cell r="C384">
            <v>1</v>
          </cell>
          <cell r="D384">
            <v>1</v>
          </cell>
          <cell r="E384">
            <v>1</v>
          </cell>
          <cell r="F384">
            <v>2</v>
          </cell>
          <cell r="G384">
            <v>2</v>
          </cell>
          <cell r="H384">
            <v>4</v>
          </cell>
          <cell r="I384">
            <v>2</v>
          </cell>
          <cell r="J384">
            <v>1</v>
          </cell>
          <cell r="K384">
            <v>4</v>
          </cell>
          <cell r="L384">
            <v>3</v>
          </cell>
          <cell r="M384">
            <v>3</v>
          </cell>
          <cell r="N384">
            <v>1</v>
          </cell>
          <cell r="O384">
            <v>1</v>
          </cell>
          <cell r="P384">
            <v>0</v>
          </cell>
          <cell r="Q384">
            <v>1</v>
          </cell>
          <cell r="R384">
            <v>4</v>
          </cell>
          <cell r="S384">
            <v>2</v>
          </cell>
          <cell r="T384">
            <v>0</v>
          </cell>
          <cell r="U384">
            <v>1</v>
          </cell>
        </row>
        <row r="385">
          <cell r="A385" t="str">
            <v>J75421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</row>
        <row r="386">
          <cell r="A386" t="str">
            <v>J75422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</row>
        <row r="387">
          <cell r="A387" t="str">
            <v>J75423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4</v>
          </cell>
          <cell r="I387">
            <v>0</v>
          </cell>
          <cell r="J387">
            <v>0</v>
          </cell>
          <cell r="K387">
            <v>4</v>
          </cell>
          <cell r="L387">
            <v>3</v>
          </cell>
          <cell r="M387">
            <v>3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2</v>
          </cell>
          <cell r="U387">
            <v>0</v>
          </cell>
        </row>
        <row r="388">
          <cell r="A388" t="str">
            <v>J75424</v>
          </cell>
          <cell r="B388">
            <v>2</v>
          </cell>
          <cell r="C388">
            <v>1</v>
          </cell>
          <cell r="D388">
            <v>1</v>
          </cell>
          <cell r="E388">
            <v>1</v>
          </cell>
          <cell r="F388">
            <v>2</v>
          </cell>
          <cell r="G388">
            <v>2</v>
          </cell>
          <cell r="H388">
            <v>4</v>
          </cell>
          <cell r="I388">
            <v>2</v>
          </cell>
          <cell r="J388">
            <v>1</v>
          </cell>
          <cell r="K388">
            <v>4</v>
          </cell>
          <cell r="L388">
            <v>3</v>
          </cell>
          <cell r="M388">
            <v>3</v>
          </cell>
          <cell r="N388">
            <v>1</v>
          </cell>
          <cell r="O388">
            <v>1</v>
          </cell>
          <cell r="P388">
            <v>0</v>
          </cell>
          <cell r="Q388">
            <v>1</v>
          </cell>
          <cell r="R388">
            <v>4</v>
          </cell>
          <cell r="S388">
            <v>2</v>
          </cell>
          <cell r="T388">
            <v>0</v>
          </cell>
          <cell r="U388">
            <v>1</v>
          </cell>
        </row>
        <row r="389">
          <cell r="A389" t="str">
            <v>J75432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4</v>
          </cell>
          <cell r="I389">
            <v>0</v>
          </cell>
          <cell r="J389">
            <v>0</v>
          </cell>
          <cell r="K389">
            <v>4</v>
          </cell>
          <cell r="L389">
            <v>4</v>
          </cell>
          <cell r="M389">
            <v>4</v>
          </cell>
          <cell r="N389">
            <v>2</v>
          </cell>
          <cell r="O389">
            <v>2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</row>
        <row r="390">
          <cell r="A390" t="str">
            <v>J75433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4</v>
          </cell>
          <cell r="I390">
            <v>0</v>
          </cell>
          <cell r="J390">
            <v>0</v>
          </cell>
          <cell r="K390">
            <v>4</v>
          </cell>
          <cell r="L390">
            <v>4</v>
          </cell>
          <cell r="M390">
            <v>4</v>
          </cell>
          <cell r="N390">
            <v>2</v>
          </cell>
          <cell r="O390">
            <v>2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</row>
        <row r="391">
          <cell r="A391" t="str">
            <v>J75434</v>
          </cell>
          <cell r="B391">
            <v>5</v>
          </cell>
          <cell r="C391">
            <v>2</v>
          </cell>
          <cell r="D391">
            <v>2</v>
          </cell>
          <cell r="E391">
            <v>3</v>
          </cell>
          <cell r="F391">
            <v>5</v>
          </cell>
          <cell r="G391">
            <v>4</v>
          </cell>
          <cell r="H391">
            <v>4</v>
          </cell>
          <cell r="I391">
            <v>5</v>
          </cell>
          <cell r="J391">
            <v>2</v>
          </cell>
          <cell r="K391">
            <v>4</v>
          </cell>
          <cell r="L391">
            <v>4</v>
          </cell>
          <cell r="M391">
            <v>4</v>
          </cell>
          <cell r="N391">
            <v>2</v>
          </cell>
          <cell r="O391">
            <v>2</v>
          </cell>
          <cell r="P391">
            <v>0</v>
          </cell>
          <cell r="Q391">
            <v>2</v>
          </cell>
          <cell r="R391">
            <v>4</v>
          </cell>
          <cell r="S391">
            <v>3</v>
          </cell>
          <cell r="T391">
            <v>0</v>
          </cell>
          <cell r="U391">
            <v>2</v>
          </cell>
        </row>
        <row r="392">
          <cell r="A392" t="str">
            <v>J75436</v>
          </cell>
          <cell r="B392">
            <v>5</v>
          </cell>
          <cell r="C392">
            <v>4</v>
          </cell>
          <cell r="D392">
            <v>4</v>
          </cell>
          <cell r="E392">
            <v>4</v>
          </cell>
          <cell r="F392">
            <v>5</v>
          </cell>
          <cell r="G392">
            <v>4</v>
          </cell>
          <cell r="H392">
            <v>4</v>
          </cell>
          <cell r="I392">
            <v>5</v>
          </cell>
          <cell r="J392">
            <v>4</v>
          </cell>
          <cell r="K392">
            <v>4</v>
          </cell>
          <cell r="L392">
            <v>4</v>
          </cell>
          <cell r="M392">
            <v>4</v>
          </cell>
          <cell r="N392">
            <v>4</v>
          </cell>
          <cell r="O392">
            <v>4</v>
          </cell>
          <cell r="P392">
            <v>2</v>
          </cell>
          <cell r="Q392">
            <v>2</v>
          </cell>
          <cell r="R392">
            <v>4</v>
          </cell>
          <cell r="S392">
            <v>3</v>
          </cell>
          <cell r="T392">
            <v>2</v>
          </cell>
          <cell r="U392">
            <v>4</v>
          </cell>
        </row>
        <row r="393">
          <cell r="A393" t="str">
            <v>J75437</v>
          </cell>
          <cell r="B393">
            <v>5</v>
          </cell>
          <cell r="C393">
            <v>2</v>
          </cell>
          <cell r="D393">
            <v>2</v>
          </cell>
          <cell r="E393">
            <v>3</v>
          </cell>
          <cell r="F393">
            <v>5</v>
          </cell>
          <cell r="G393">
            <v>4</v>
          </cell>
          <cell r="H393">
            <v>4</v>
          </cell>
          <cell r="I393">
            <v>5</v>
          </cell>
          <cell r="J393">
            <v>2</v>
          </cell>
          <cell r="K393">
            <v>4</v>
          </cell>
          <cell r="L393">
            <v>4</v>
          </cell>
          <cell r="M393">
            <v>4</v>
          </cell>
          <cell r="N393">
            <v>2</v>
          </cell>
          <cell r="O393">
            <v>2</v>
          </cell>
          <cell r="P393">
            <v>2</v>
          </cell>
          <cell r="Q393">
            <v>2</v>
          </cell>
          <cell r="R393">
            <v>4</v>
          </cell>
          <cell r="S393">
            <v>3</v>
          </cell>
          <cell r="T393">
            <v>2</v>
          </cell>
          <cell r="U393">
            <v>2</v>
          </cell>
        </row>
        <row r="394">
          <cell r="A394" t="str">
            <v>J75438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2</v>
          </cell>
          <cell r="Q394">
            <v>2</v>
          </cell>
          <cell r="R394">
            <v>4</v>
          </cell>
          <cell r="S394">
            <v>3</v>
          </cell>
          <cell r="T394">
            <v>2</v>
          </cell>
          <cell r="U394">
            <v>0</v>
          </cell>
        </row>
        <row r="395">
          <cell r="A395" t="str">
            <v>J75503</v>
          </cell>
          <cell r="B395">
            <v>2</v>
          </cell>
          <cell r="C395">
            <v>2</v>
          </cell>
          <cell r="D395">
            <v>2</v>
          </cell>
          <cell r="E395">
            <v>2</v>
          </cell>
          <cell r="F395">
            <v>2</v>
          </cell>
          <cell r="G395">
            <v>2</v>
          </cell>
          <cell r="H395">
            <v>2</v>
          </cell>
          <cell r="I395">
            <v>2</v>
          </cell>
          <cell r="J395">
            <v>2</v>
          </cell>
          <cell r="K395">
            <v>2</v>
          </cell>
          <cell r="L395">
            <v>2</v>
          </cell>
          <cell r="M395">
            <v>2</v>
          </cell>
          <cell r="N395">
            <v>2</v>
          </cell>
          <cell r="O395">
            <v>2</v>
          </cell>
          <cell r="P395">
            <v>0</v>
          </cell>
          <cell r="Q395">
            <v>2</v>
          </cell>
          <cell r="R395">
            <v>2</v>
          </cell>
          <cell r="S395">
            <v>2</v>
          </cell>
          <cell r="T395">
            <v>0</v>
          </cell>
          <cell r="U395">
            <v>2</v>
          </cell>
        </row>
        <row r="396">
          <cell r="A396" t="str">
            <v>J75504</v>
          </cell>
          <cell r="B396">
            <v>3</v>
          </cell>
          <cell r="C396">
            <v>3</v>
          </cell>
          <cell r="D396">
            <v>3</v>
          </cell>
          <cell r="E396">
            <v>3</v>
          </cell>
          <cell r="F396">
            <v>3</v>
          </cell>
          <cell r="G396">
            <v>3</v>
          </cell>
          <cell r="H396">
            <v>3</v>
          </cell>
          <cell r="I396">
            <v>3</v>
          </cell>
          <cell r="J396">
            <v>3</v>
          </cell>
          <cell r="K396">
            <v>3</v>
          </cell>
          <cell r="L396">
            <v>3</v>
          </cell>
          <cell r="M396">
            <v>3</v>
          </cell>
          <cell r="N396">
            <v>3</v>
          </cell>
          <cell r="O396">
            <v>3</v>
          </cell>
          <cell r="P396">
            <v>0</v>
          </cell>
          <cell r="Q396">
            <v>3</v>
          </cell>
          <cell r="R396">
            <v>3</v>
          </cell>
          <cell r="S396">
            <v>3</v>
          </cell>
          <cell r="T396">
            <v>0</v>
          </cell>
          <cell r="U396">
            <v>3</v>
          </cell>
        </row>
        <row r="397">
          <cell r="A397" t="str">
            <v>J84001</v>
          </cell>
          <cell r="B397">
            <v>9</v>
          </cell>
          <cell r="C397">
            <v>3</v>
          </cell>
          <cell r="D397">
            <v>3</v>
          </cell>
          <cell r="E397">
            <v>5</v>
          </cell>
          <cell r="F397">
            <v>9</v>
          </cell>
          <cell r="G397">
            <v>6</v>
          </cell>
          <cell r="H397">
            <v>8</v>
          </cell>
          <cell r="I397">
            <v>9</v>
          </cell>
          <cell r="J397">
            <v>2</v>
          </cell>
          <cell r="K397">
            <v>9</v>
          </cell>
          <cell r="L397">
            <v>7</v>
          </cell>
          <cell r="M397">
            <v>7</v>
          </cell>
          <cell r="N397">
            <v>3</v>
          </cell>
          <cell r="O397">
            <v>2</v>
          </cell>
          <cell r="P397">
            <v>0</v>
          </cell>
          <cell r="Q397">
            <v>3</v>
          </cell>
          <cell r="R397">
            <v>8</v>
          </cell>
          <cell r="S397">
            <v>5</v>
          </cell>
          <cell r="T397">
            <v>0</v>
          </cell>
          <cell r="U397">
            <v>2</v>
          </cell>
        </row>
        <row r="398">
          <cell r="A398" t="str">
            <v>J84002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</row>
        <row r="399">
          <cell r="A399" t="str">
            <v>J84003</v>
          </cell>
          <cell r="B399">
            <v>3</v>
          </cell>
          <cell r="C399">
            <v>3</v>
          </cell>
          <cell r="D399">
            <v>3</v>
          </cell>
          <cell r="E399">
            <v>3</v>
          </cell>
          <cell r="F399">
            <v>3</v>
          </cell>
          <cell r="G399">
            <v>3</v>
          </cell>
          <cell r="H399">
            <v>3</v>
          </cell>
          <cell r="I399">
            <v>3</v>
          </cell>
          <cell r="J399">
            <v>3</v>
          </cell>
          <cell r="K399">
            <v>3</v>
          </cell>
          <cell r="L399">
            <v>3</v>
          </cell>
          <cell r="M399">
            <v>3</v>
          </cell>
          <cell r="N399">
            <v>3</v>
          </cell>
          <cell r="O399">
            <v>3</v>
          </cell>
          <cell r="P399">
            <v>0</v>
          </cell>
          <cell r="Q399">
            <v>3</v>
          </cell>
          <cell r="R399">
            <v>3</v>
          </cell>
          <cell r="S399">
            <v>3</v>
          </cell>
          <cell r="T399">
            <v>0</v>
          </cell>
          <cell r="U399">
            <v>3</v>
          </cell>
        </row>
        <row r="400">
          <cell r="A400" t="str">
            <v>J84004</v>
          </cell>
          <cell r="B400">
            <v>2</v>
          </cell>
          <cell r="C400">
            <v>2</v>
          </cell>
          <cell r="D400">
            <v>2</v>
          </cell>
          <cell r="E400">
            <v>2</v>
          </cell>
          <cell r="F400">
            <v>2</v>
          </cell>
          <cell r="G400">
            <v>2</v>
          </cell>
          <cell r="H400">
            <v>2</v>
          </cell>
          <cell r="I400">
            <v>2</v>
          </cell>
          <cell r="J400">
            <v>2</v>
          </cell>
          <cell r="K400">
            <v>2</v>
          </cell>
          <cell r="L400">
            <v>2</v>
          </cell>
          <cell r="M400">
            <v>2</v>
          </cell>
          <cell r="N400">
            <v>2</v>
          </cell>
          <cell r="O400">
            <v>2</v>
          </cell>
          <cell r="P400">
            <v>0</v>
          </cell>
          <cell r="Q400">
            <v>2</v>
          </cell>
          <cell r="R400">
            <v>2</v>
          </cell>
          <cell r="S400">
            <v>2</v>
          </cell>
          <cell r="T400">
            <v>0</v>
          </cell>
          <cell r="U400">
            <v>2</v>
          </cell>
        </row>
        <row r="401">
          <cell r="A401" t="str">
            <v>J84005</v>
          </cell>
          <cell r="B401">
            <v>1</v>
          </cell>
          <cell r="C401">
            <v>1</v>
          </cell>
          <cell r="D401">
            <v>1</v>
          </cell>
          <cell r="E401">
            <v>1</v>
          </cell>
          <cell r="F401">
            <v>1</v>
          </cell>
          <cell r="G401">
            <v>1</v>
          </cell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1</v>
          </cell>
          <cell r="M401">
            <v>1</v>
          </cell>
          <cell r="N401">
            <v>1</v>
          </cell>
          <cell r="O401">
            <v>1</v>
          </cell>
          <cell r="P401">
            <v>0</v>
          </cell>
          <cell r="Q401">
            <v>1</v>
          </cell>
          <cell r="R401">
            <v>1</v>
          </cell>
          <cell r="S401">
            <v>1</v>
          </cell>
          <cell r="T401">
            <v>0</v>
          </cell>
          <cell r="U401">
            <v>1</v>
          </cell>
        </row>
        <row r="402">
          <cell r="A402" t="str">
            <v>J84006</v>
          </cell>
          <cell r="B402">
            <v>2</v>
          </cell>
          <cell r="C402">
            <v>2</v>
          </cell>
          <cell r="D402">
            <v>2</v>
          </cell>
          <cell r="E402">
            <v>2</v>
          </cell>
          <cell r="F402">
            <v>2</v>
          </cell>
          <cell r="G402">
            <v>2</v>
          </cell>
          <cell r="H402">
            <v>2</v>
          </cell>
          <cell r="I402">
            <v>2</v>
          </cell>
          <cell r="J402">
            <v>2</v>
          </cell>
          <cell r="K402">
            <v>2</v>
          </cell>
          <cell r="L402">
            <v>2</v>
          </cell>
          <cell r="M402">
            <v>2</v>
          </cell>
          <cell r="N402">
            <v>2</v>
          </cell>
          <cell r="O402">
            <v>2</v>
          </cell>
          <cell r="P402">
            <v>0</v>
          </cell>
          <cell r="Q402">
            <v>2</v>
          </cell>
          <cell r="R402">
            <v>2</v>
          </cell>
          <cell r="S402">
            <v>2</v>
          </cell>
          <cell r="T402">
            <v>0</v>
          </cell>
          <cell r="U402">
            <v>2</v>
          </cell>
        </row>
        <row r="403">
          <cell r="A403" t="str">
            <v>J84014</v>
          </cell>
          <cell r="B403">
            <v>3</v>
          </cell>
          <cell r="C403">
            <v>3</v>
          </cell>
          <cell r="D403">
            <v>3</v>
          </cell>
          <cell r="E403">
            <v>3</v>
          </cell>
          <cell r="F403">
            <v>3</v>
          </cell>
          <cell r="G403">
            <v>3</v>
          </cell>
          <cell r="H403">
            <v>3</v>
          </cell>
          <cell r="I403">
            <v>3</v>
          </cell>
          <cell r="J403">
            <v>3</v>
          </cell>
          <cell r="K403">
            <v>3</v>
          </cell>
          <cell r="L403">
            <v>3</v>
          </cell>
          <cell r="M403">
            <v>3</v>
          </cell>
          <cell r="N403">
            <v>3</v>
          </cell>
          <cell r="O403">
            <v>3</v>
          </cell>
          <cell r="P403">
            <v>0</v>
          </cell>
          <cell r="Q403">
            <v>3</v>
          </cell>
          <cell r="R403">
            <v>3</v>
          </cell>
          <cell r="S403">
            <v>3</v>
          </cell>
          <cell r="T403">
            <v>0</v>
          </cell>
          <cell r="U403">
            <v>3</v>
          </cell>
        </row>
        <row r="404">
          <cell r="A404" t="str">
            <v>J84016</v>
          </cell>
          <cell r="B404">
            <v>2</v>
          </cell>
          <cell r="C404">
            <v>2</v>
          </cell>
          <cell r="D404">
            <v>2</v>
          </cell>
          <cell r="E404">
            <v>2</v>
          </cell>
          <cell r="F404">
            <v>2</v>
          </cell>
          <cell r="G404">
            <v>2</v>
          </cell>
          <cell r="H404">
            <v>2</v>
          </cell>
          <cell r="I404">
            <v>2</v>
          </cell>
          <cell r="J404">
            <v>2</v>
          </cell>
          <cell r="K404">
            <v>2</v>
          </cell>
          <cell r="L404">
            <v>2</v>
          </cell>
          <cell r="M404">
            <v>2</v>
          </cell>
          <cell r="N404">
            <v>2</v>
          </cell>
          <cell r="O404">
            <v>2</v>
          </cell>
          <cell r="P404">
            <v>0</v>
          </cell>
          <cell r="Q404">
            <v>2</v>
          </cell>
          <cell r="R404">
            <v>2</v>
          </cell>
          <cell r="S404">
            <v>2</v>
          </cell>
          <cell r="T404">
            <v>0</v>
          </cell>
          <cell r="U404">
            <v>2</v>
          </cell>
        </row>
        <row r="405">
          <cell r="A405" t="str">
            <v>J84020</v>
          </cell>
          <cell r="B405">
            <v>24</v>
          </cell>
          <cell r="C405">
            <v>6</v>
          </cell>
          <cell r="D405">
            <v>6</v>
          </cell>
          <cell r="E405">
            <v>12</v>
          </cell>
          <cell r="F405">
            <v>24</v>
          </cell>
          <cell r="G405">
            <v>14</v>
          </cell>
          <cell r="H405">
            <v>19</v>
          </cell>
          <cell r="I405">
            <v>24</v>
          </cell>
          <cell r="J405">
            <v>6</v>
          </cell>
          <cell r="K405">
            <v>23</v>
          </cell>
          <cell r="L405">
            <v>16</v>
          </cell>
          <cell r="M405">
            <v>16</v>
          </cell>
          <cell r="N405">
            <v>6</v>
          </cell>
          <cell r="O405">
            <v>6</v>
          </cell>
          <cell r="P405">
            <v>0</v>
          </cell>
          <cell r="Q405">
            <v>6</v>
          </cell>
          <cell r="R405">
            <v>21</v>
          </cell>
          <cell r="S405">
            <v>10</v>
          </cell>
          <cell r="T405">
            <v>0</v>
          </cell>
          <cell r="U405">
            <v>6</v>
          </cell>
        </row>
        <row r="406">
          <cell r="A406" t="str">
            <v>J84021</v>
          </cell>
          <cell r="B406">
            <v>2</v>
          </cell>
          <cell r="C406">
            <v>2</v>
          </cell>
          <cell r="D406">
            <v>2</v>
          </cell>
          <cell r="E406">
            <v>2</v>
          </cell>
          <cell r="F406">
            <v>2</v>
          </cell>
          <cell r="G406">
            <v>2</v>
          </cell>
          <cell r="H406">
            <v>2</v>
          </cell>
          <cell r="I406">
            <v>2</v>
          </cell>
          <cell r="J406">
            <v>2</v>
          </cell>
          <cell r="K406">
            <v>2</v>
          </cell>
          <cell r="L406">
            <v>2</v>
          </cell>
          <cell r="M406">
            <v>2</v>
          </cell>
          <cell r="N406">
            <v>2</v>
          </cell>
          <cell r="O406">
            <v>2</v>
          </cell>
          <cell r="P406">
            <v>0</v>
          </cell>
          <cell r="Q406">
            <v>2</v>
          </cell>
          <cell r="R406">
            <v>2</v>
          </cell>
          <cell r="S406">
            <v>2</v>
          </cell>
          <cell r="T406">
            <v>0</v>
          </cell>
          <cell r="U406">
            <v>2</v>
          </cell>
        </row>
        <row r="407">
          <cell r="A407" t="str">
            <v>J84024</v>
          </cell>
          <cell r="B407">
            <v>14</v>
          </cell>
          <cell r="C407">
            <v>10</v>
          </cell>
          <cell r="D407">
            <v>10</v>
          </cell>
          <cell r="E407">
            <v>11</v>
          </cell>
          <cell r="F407">
            <v>14</v>
          </cell>
          <cell r="G407">
            <v>12</v>
          </cell>
          <cell r="H407">
            <v>13</v>
          </cell>
          <cell r="I407">
            <v>14</v>
          </cell>
          <cell r="J407">
            <v>10</v>
          </cell>
          <cell r="K407">
            <v>14</v>
          </cell>
          <cell r="L407">
            <v>12</v>
          </cell>
          <cell r="M407">
            <v>4</v>
          </cell>
          <cell r="N407">
            <v>10</v>
          </cell>
          <cell r="O407">
            <v>10</v>
          </cell>
          <cell r="P407">
            <v>0</v>
          </cell>
          <cell r="Q407">
            <v>10</v>
          </cell>
          <cell r="R407">
            <v>14</v>
          </cell>
          <cell r="S407">
            <v>11</v>
          </cell>
          <cell r="T407">
            <v>0</v>
          </cell>
          <cell r="U407">
            <v>10</v>
          </cell>
        </row>
        <row r="408">
          <cell r="A408" t="str">
            <v>J84030</v>
          </cell>
          <cell r="B408">
            <v>2</v>
          </cell>
          <cell r="C408">
            <v>2</v>
          </cell>
          <cell r="D408">
            <v>2</v>
          </cell>
          <cell r="E408">
            <v>2</v>
          </cell>
          <cell r="F408">
            <v>2</v>
          </cell>
          <cell r="G408">
            <v>2</v>
          </cell>
          <cell r="H408">
            <v>2</v>
          </cell>
          <cell r="I408">
            <v>2</v>
          </cell>
          <cell r="J408">
            <v>2</v>
          </cell>
          <cell r="K408">
            <v>2</v>
          </cell>
          <cell r="L408">
            <v>2</v>
          </cell>
          <cell r="M408">
            <v>2</v>
          </cell>
          <cell r="N408">
            <v>2</v>
          </cell>
          <cell r="O408">
            <v>2</v>
          </cell>
          <cell r="P408">
            <v>0</v>
          </cell>
          <cell r="Q408">
            <v>2</v>
          </cell>
          <cell r="R408">
            <v>2</v>
          </cell>
          <cell r="S408">
            <v>2</v>
          </cell>
          <cell r="T408">
            <v>0</v>
          </cell>
          <cell r="U408">
            <v>2</v>
          </cell>
        </row>
        <row r="409">
          <cell r="A409" t="str">
            <v>J84031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</row>
        <row r="410">
          <cell r="A410" t="str">
            <v>J84032</v>
          </cell>
          <cell r="B410">
            <v>1</v>
          </cell>
          <cell r="C410">
            <v>1</v>
          </cell>
          <cell r="D410">
            <v>1</v>
          </cell>
          <cell r="E410">
            <v>1</v>
          </cell>
          <cell r="F410">
            <v>1</v>
          </cell>
          <cell r="G410">
            <v>1</v>
          </cell>
          <cell r="H410">
            <v>1</v>
          </cell>
          <cell r="I410">
            <v>1</v>
          </cell>
          <cell r="J410">
            <v>1</v>
          </cell>
          <cell r="K410">
            <v>1</v>
          </cell>
          <cell r="L410">
            <v>1</v>
          </cell>
          <cell r="M410">
            <v>1</v>
          </cell>
          <cell r="N410">
            <v>1</v>
          </cell>
          <cell r="O410">
            <v>1</v>
          </cell>
          <cell r="P410">
            <v>0</v>
          </cell>
          <cell r="Q410">
            <v>1</v>
          </cell>
          <cell r="R410">
            <v>1</v>
          </cell>
          <cell r="S410">
            <v>1</v>
          </cell>
          <cell r="T410">
            <v>0</v>
          </cell>
          <cell r="U410">
            <v>1</v>
          </cell>
        </row>
        <row r="411">
          <cell r="A411" t="str">
            <v>J84033</v>
          </cell>
          <cell r="B411">
            <v>5</v>
          </cell>
          <cell r="C411">
            <v>2</v>
          </cell>
          <cell r="D411">
            <v>2</v>
          </cell>
          <cell r="E411">
            <v>3</v>
          </cell>
          <cell r="F411">
            <v>5</v>
          </cell>
          <cell r="G411">
            <v>4</v>
          </cell>
          <cell r="H411">
            <v>5</v>
          </cell>
          <cell r="I411">
            <v>5</v>
          </cell>
          <cell r="J411">
            <v>2</v>
          </cell>
          <cell r="K411">
            <v>5</v>
          </cell>
          <cell r="L411">
            <v>4</v>
          </cell>
          <cell r="M411">
            <v>4</v>
          </cell>
          <cell r="N411">
            <v>2</v>
          </cell>
          <cell r="O411">
            <v>2</v>
          </cell>
          <cell r="P411">
            <v>2</v>
          </cell>
          <cell r="Q411">
            <v>2</v>
          </cell>
          <cell r="R411">
            <v>5</v>
          </cell>
          <cell r="S411">
            <v>3</v>
          </cell>
          <cell r="T411">
            <v>2</v>
          </cell>
          <cell r="U411">
            <v>2</v>
          </cell>
        </row>
        <row r="412">
          <cell r="A412" t="str">
            <v>J84034</v>
          </cell>
          <cell r="B412">
            <v>2</v>
          </cell>
          <cell r="C412">
            <v>2</v>
          </cell>
          <cell r="D412">
            <v>2</v>
          </cell>
          <cell r="E412">
            <v>1</v>
          </cell>
          <cell r="F412">
            <v>2</v>
          </cell>
          <cell r="G412">
            <v>1</v>
          </cell>
          <cell r="H412">
            <v>2</v>
          </cell>
          <cell r="I412">
            <v>2</v>
          </cell>
          <cell r="J412">
            <v>2</v>
          </cell>
          <cell r="K412">
            <v>2</v>
          </cell>
          <cell r="L412">
            <v>2</v>
          </cell>
          <cell r="M412">
            <v>1</v>
          </cell>
          <cell r="N412">
            <v>2</v>
          </cell>
          <cell r="O412">
            <v>1</v>
          </cell>
          <cell r="P412">
            <v>0</v>
          </cell>
          <cell r="Q412">
            <v>2</v>
          </cell>
          <cell r="R412">
            <v>2</v>
          </cell>
          <cell r="S412">
            <v>2</v>
          </cell>
          <cell r="T412">
            <v>0</v>
          </cell>
          <cell r="U412">
            <v>1</v>
          </cell>
        </row>
        <row r="413">
          <cell r="A413" t="str">
            <v>J84035</v>
          </cell>
          <cell r="B413">
            <v>1</v>
          </cell>
          <cell r="C413">
            <v>1</v>
          </cell>
          <cell r="D413">
            <v>1</v>
          </cell>
          <cell r="E413">
            <v>1</v>
          </cell>
          <cell r="F413">
            <v>1</v>
          </cell>
          <cell r="G413">
            <v>1</v>
          </cell>
          <cell r="H413">
            <v>1</v>
          </cell>
          <cell r="I413">
            <v>1</v>
          </cell>
          <cell r="J413">
            <v>1</v>
          </cell>
          <cell r="K413">
            <v>1</v>
          </cell>
          <cell r="L413">
            <v>1</v>
          </cell>
          <cell r="M413">
            <v>1</v>
          </cell>
          <cell r="N413">
            <v>1</v>
          </cell>
          <cell r="O413">
            <v>1</v>
          </cell>
          <cell r="P413">
            <v>0</v>
          </cell>
          <cell r="Q413">
            <v>1</v>
          </cell>
          <cell r="R413">
            <v>1</v>
          </cell>
          <cell r="S413">
            <v>1</v>
          </cell>
          <cell r="T413">
            <v>0</v>
          </cell>
          <cell r="U413">
            <v>1</v>
          </cell>
        </row>
        <row r="414">
          <cell r="A414" t="str">
            <v>J84036</v>
          </cell>
          <cell r="B414">
            <v>1</v>
          </cell>
          <cell r="C414">
            <v>1</v>
          </cell>
          <cell r="D414">
            <v>1</v>
          </cell>
          <cell r="E414">
            <v>1</v>
          </cell>
          <cell r="F414">
            <v>1</v>
          </cell>
          <cell r="G414">
            <v>1</v>
          </cell>
          <cell r="H414">
            <v>1</v>
          </cell>
          <cell r="I414">
            <v>1</v>
          </cell>
          <cell r="J414">
            <v>1</v>
          </cell>
          <cell r="K414">
            <v>1</v>
          </cell>
          <cell r="L414">
            <v>1</v>
          </cell>
          <cell r="M414">
            <v>1</v>
          </cell>
          <cell r="N414">
            <v>1</v>
          </cell>
          <cell r="O414">
            <v>1</v>
          </cell>
          <cell r="P414">
            <v>0</v>
          </cell>
          <cell r="Q414">
            <v>1</v>
          </cell>
          <cell r="R414">
            <v>1</v>
          </cell>
          <cell r="S414">
            <v>1</v>
          </cell>
          <cell r="T414">
            <v>0</v>
          </cell>
          <cell r="U414">
            <v>1</v>
          </cell>
        </row>
        <row r="415">
          <cell r="A415" t="str">
            <v>J84037</v>
          </cell>
          <cell r="B415">
            <v>2</v>
          </cell>
          <cell r="C415">
            <v>2</v>
          </cell>
          <cell r="D415">
            <v>2</v>
          </cell>
          <cell r="E415">
            <v>2</v>
          </cell>
          <cell r="F415">
            <v>2</v>
          </cell>
          <cell r="G415">
            <v>2</v>
          </cell>
          <cell r="H415">
            <v>2</v>
          </cell>
          <cell r="I415">
            <v>2</v>
          </cell>
          <cell r="J415">
            <v>2</v>
          </cell>
          <cell r="K415">
            <v>2</v>
          </cell>
          <cell r="L415">
            <v>2</v>
          </cell>
          <cell r="M415">
            <v>2</v>
          </cell>
          <cell r="N415">
            <v>2</v>
          </cell>
          <cell r="O415">
            <v>2</v>
          </cell>
          <cell r="P415">
            <v>0</v>
          </cell>
          <cell r="Q415">
            <v>2</v>
          </cell>
          <cell r="R415">
            <v>2</v>
          </cell>
          <cell r="S415">
            <v>2</v>
          </cell>
          <cell r="T415">
            <v>0</v>
          </cell>
          <cell r="U415">
            <v>2</v>
          </cell>
        </row>
        <row r="416">
          <cell r="A416" t="str">
            <v>J84038</v>
          </cell>
          <cell r="B416">
            <v>9</v>
          </cell>
          <cell r="C416">
            <v>3</v>
          </cell>
          <cell r="D416">
            <v>3</v>
          </cell>
          <cell r="E416">
            <v>5</v>
          </cell>
          <cell r="F416">
            <v>9</v>
          </cell>
          <cell r="G416">
            <v>6</v>
          </cell>
          <cell r="H416">
            <v>8</v>
          </cell>
          <cell r="I416">
            <v>9</v>
          </cell>
          <cell r="J416">
            <v>2</v>
          </cell>
          <cell r="K416">
            <v>9</v>
          </cell>
          <cell r="L416">
            <v>7</v>
          </cell>
          <cell r="M416">
            <v>7</v>
          </cell>
          <cell r="N416">
            <v>3</v>
          </cell>
          <cell r="O416">
            <v>2</v>
          </cell>
          <cell r="P416">
            <v>0</v>
          </cell>
          <cell r="Q416">
            <v>3</v>
          </cell>
          <cell r="R416">
            <v>8</v>
          </cell>
          <cell r="S416">
            <v>5</v>
          </cell>
          <cell r="T416">
            <v>0</v>
          </cell>
          <cell r="U416">
            <v>2</v>
          </cell>
        </row>
        <row r="417">
          <cell r="A417" t="str">
            <v>J96001</v>
          </cell>
          <cell r="B417">
            <v>2</v>
          </cell>
          <cell r="C417">
            <v>2</v>
          </cell>
          <cell r="D417">
            <v>2</v>
          </cell>
          <cell r="E417">
            <v>2</v>
          </cell>
          <cell r="F417">
            <v>2</v>
          </cell>
          <cell r="G417">
            <v>2</v>
          </cell>
          <cell r="H417">
            <v>2</v>
          </cell>
          <cell r="I417">
            <v>2</v>
          </cell>
          <cell r="J417">
            <v>2</v>
          </cell>
          <cell r="K417">
            <v>2</v>
          </cell>
          <cell r="L417">
            <v>2</v>
          </cell>
          <cell r="M417">
            <v>2</v>
          </cell>
          <cell r="N417">
            <v>2</v>
          </cell>
          <cell r="O417">
            <v>2</v>
          </cell>
          <cell r="P417">
            <v>0</v>
          </cell>
          <cell r="Q417">
            <v>2</v>
          </cell>
          <cell r="R417">
            <v>2</v>
          </cell>
          <cell r="S417">
            <v>2</v>
          </cell>
          <cell r="T417">
            <v>0</v>
          </cell>
          <cell r="U417">
            <v>2</v>
          </cell>
        </row>
        <row r="418">
          <cell r="A418" t="str">
            <v>J96005</v>
          </cell>
          <cell r="B418">
            <v>1</v>
          </cell>
          <cell r="C418">
            <v>1</v>
          </cell>
          <cell r="D418">
            <v>1</v>
          </cell>
          <cell r="E418">
            <v>1</v>
          </cell>
          <cell r="F418">
            <v>1</v>
          </cell>
          <cell r="G418">
            <v>1</v>
          </cell>
          <cell r="H418">
            <v>1</v>
          </cell>
          <cell r="I418">
            <v>1</v>
          </cell>
          <cell r="J418">
            <v>1</v>
          </cell>
          <cell r="K418">
            <v>1</v>
          </cell>
          <cell r="L418">
            <v>1</v>
          </cell>
          <cell r="M418">
            <v>1</v>
          </cell>
          <cell r="N418">
            <v>1</v>
          </cell>
          <cell r="O418">
            <v>1</v>
          </cell>
          <cell r="P418">
            <v>0</v>
          </cell>
          <cell r="Q418">
            <v>1</v>
          </cell>
          <cell r="R418">
            <v>1</v>
          </cell>
          <cell r="S418">
            <v>1</v>
          </cell>
          <cell r="T418">
            <v>0</v>
          </cell>
          <cell r="U418">
            <v>1</v>
          </cell>
        </row>
        <row r="419">
          <cell r="A419" t="str">
            <v>J96007</v>
          </cell>
          <cell r="B419">
            <v>1</v>
          </cell>
          <cell r="C419">
            <v>1</v>
          </cell>
          <cell r="D419">
            <v>1</v>
          </cell>
          <cell r="E419">
            <v>1</v>
          </cell>
          <cell r="F419">
            <v>1</v>
          </cell>
          <cell r="G419">
            <v>1</v>
          </cell>
          <cell r="H419">
            <v>1</v>
          </cell>
          <cell r="I419">
            <v>1</v>
          </cell>
          <cell r="J419">
            <v>1</v>
          </cell>
          <cell r="K419">
            <v>1</v>
          </cell>
          <cell r="L419">
            <v>1</v>
          </cell>
          <cell r="M419">
            <v>1</v>
          </cell>
          <cell r="N419">
            <v>1</v>
          </cell>
          <cell r="O419">
            <v>1</v>
          </cell>
          <cell r="P419">
            <v>0</v>
          </cell>
          <cell r="Q419">
            <v>1</v>
          </cell>
          <cell r="R419">
            <v>1</v>
          </cell>
          <cell r="S419">
            <v>1</v>
          </cell>
          <cell r="T419">
            <v>0</v>
          </cell>
          <cell r="U419">
            <v>1</v>
          </cell>
        </row>
        <row r="420">
          <cell r="A420" t="str">
            <v>J96008</v>
          </cell>
          <cell r="B420">
            <v>1</v>
          </cell>
          <cell r="C420">
            <v>1</v>
          </cell>
          <cell r="D420">
            <v>1</v>
          </cell>
          <cell r="E420">
            <v>1</v>
          </cell>
          <cell r="F420">
            <v>1</v>
          </cell>
          <cell r="G420">
            <v>1</v>
          </cell>
          <cell r="H420">
            <v>1</v>
          </cell>
          <cell r="I420">
            <v>1</v>
          </cell>
          <cell r="J420">
            <v>1</v>
          </cell>
          <cell r="K420">
            <v>1</v>
          </cell>
          <cell r="L420">
            <v>1</v>
          </cell>
          <cell r="M420">
            <v>1</v>
          </cell>
          <cell r="N420">
            <v>1</v>
          </cell>
          <cell r="O420">
            <v>1</v>
          </cell>
          <cell r="P420">
            <v>0</v>
          </cell>
          <cell r="Q420">
            <v>1</v>
          </cell>
          <cell r="R420">
            <v>1</v>
          </cell>
          <cell r="S420">
            <v>1</v>
          </cell>
          <cell r="T420">
            <v>0</v>
          </cell>
          <cell r="U420">
            <v>1</v>
          </cell>
        </row>
        <row r="421">
          <cell r="A421" t="str">
            <v>J96009</v>
          </cell>
          <cell r="B421">
            <v>38</v>
          </cell>
          <cell r="C421">
            <v>11</v>
          </cell>
          <cell r="D421">
            <v>11</v>
          </cell>
          <cell r="E421">
            <v>20</v>
          </cell>
          <cell r="F421">
            <v>38</v>
          </cell>
          <cell r="G421">
            <v>23</v>
          </cell>
          <cell r="H421">
            <v>31</v>
          </cell>
          <cell r="I421">
            <v>38</v>
          </cell>
          <cell r="J421">
            <v>4</v>
          </cell>
          <cell r="K421">
            <v>37</v>
          </cell>
          <cell r="L421">
            <v>26</v>
          </cell>
          <cell r="M421">
            <v>26</v>
          </cell>
          <cell r="N421">
            <v>8</v>
          </cell>
          <cell r="O421">
            <v>7</v>
          </cell>
          <cell r="P421">
            <v>0</v>
          </cell>
          <cell r="Q421">
            <v>10</v>
          </cell>
          <cell r="R421">
            <v>34</v>
          </cell>
          <cell r="S421">
            <v>17</v>
          </cell>
          <cell r="T421">
            <v>0</v>
          </cell>
          <cell r="U421">
            <v>5</v>
          </cell>
        </row>
        <row r="422">
          <cell r="A422" t="str">
            <v>J96010</v>
          </cell>
          <cell r="B422">
            <v>2</v>
          </cell>
          <cell r="C422">
            <v>2</v>
          </cell>
          <cell r="D422">
            <v>2</v>
          </cell>
          <cell r="E422">
            <v>2</v>
          </cell>
          <cell r="F422">
            <v>2</v>
          </cell>
          <cell r="G422">
            <v>2</v>
          </cell>
          <cell r="H422">
            <v>2</v>
          </cell>
          <cell r="I422">
            <v>2</v>
          </cell>
          <cell r="J422">
            <v>2</v>
          </cell>
          <cell r="K422">
            <v>2</v>
          </cell>
          <cell r="L422">
            <v>2</v>
          </cell>
          <cell r="M422">
            <v>2</v>
          </cell>
          <cell r="N422">
            <v>2</v>
          </cell>
          <cell r="O422">
            <v>2</v>
          </cell>
          <cell r="P422">
            <v>0</v>
          </cell>
          <cell r="Q422">
            <v>2</v>
          </cell>
          <cell r="R422">
            <v>2</v>
          </cell>
          <cell r="S422">
            <v>2</v>
          </cell>
          <cell r="T422">
            <v>0</v>
          </cell>
          <cell r="U422">
            <v>2</v>
          </cell>
        </row>
        <row r="423">
          <cell r="A423" t="str">
            <v>J96012</v>
          </cell>
          <cell r="B423">
            <v>6</v>
          </cell>
          <cell r="C423">
            <v>2</v>
          </cell>
          <cell r="D423">
            <v>2</v>
          </cell>
          <cell r="E423">
            <v>3</v>
          </cell>
          <cell r="F423">
            <v>6</v>
          </cell>
          <cell r="G423">
            <v>4</v>
          </cell>
          <cell r="H423">
            <v>5</v>
          </cell>
          <cell r="I423">
            <v>6</v>
          </cell>
          <cell r="J423">
            <v>1</v>
          </cell>
          <cell r="K423">
            <v>6</v>
          </cell>
          <cell r="L423">
            <v>4</v>
          </cell>
          <cell r="M423">
            <v>4</v>
          </cell>
          <cell r="N423">
            <v>1</v>
          </cell>
          <cell r="O423">
            <v>1</v>
          </cell>
          <cell r="P423">
            <v>0</v>
          </cell>
          <cell r="Q423">
            <v>2</v>
          </cell>
          <cell r="R423">
            <v>6</v>
          </cell>
          <cell r="S423">
            <v>3</v>
          </cell>
          <cell r="T423">
            <v>0</v>
          </cell>
          <cell r="U423">
            <v>1</v>
          </cell>
        </row>
        <row r="424">
          <cell r="A424" t="str">
            <v>J96013</v>
          </cell>
          <cell r="B424">
            <v>6</v>
          </cell>
          <cell r="C424">
            <v>2</v>
          </cell>
          <cell r="D424">
            <v>2</v>
          </cell>
          <cell r="E424">
            <v>3</v>
          </cell>
          <cell r="F424">
            <v>6</v>
          </cell>
          <cell r="G424">
            <v>4</v>
          </cell>
          <cell r="H424">
            <v>5</v>
          </cell>
          <cell r="I424">
            <v>6</v>
          </cell>
          <cell r="J424">
            <v>1</v>
          </cell>
          <cell r="K424">
            <v>6</v>
          </cell>
          <cell r="L424">
            <v>4</v>
          </cell>
          <cell r="M424">
            <v>4</v>
          </cell>
          <cell r="N424">
            <v>1</v>
          </cell>
          <cell r="O424">
            <v>1</v>
          </cell>
          <cell r="P424">
            <v>0</v>
          </cell>
          <cell r="Q424">
            <v>2</v>
          </cell>
          <cell r="R424">
            <v>6</v>
          </cell>
          <cell r="S424">
            <v>3</v>
          </cell>
          <cell r="T424">
            <v>0</v>
          </cell>
          <cell r="U424">
            <v>1</v>
          </cell>
        </row>
        <row r="425">
          <cell r="A425" t="str">
            <v>J96015</v>
          </cell>
          <cell r="B425">
            <v>2</v>
          </cell>
          <cell r="C425">
            <v>2</v>
          </cell>
          <cell r="D425">
            <v>2</v>
          </cell>
          <cell r="E425">
            <v>2</v>
          </cell>
          <cell r="F425">
            <v>2</v>
          </cell>
          <cell r="G425">
            <v>2</v>
          </cell>
          <cell r="H425">
            <v>2</v>
          </cell>
          <cell r="I425">
            <v>2</v>
          </cell>
          <cell r="J425">
            <v>2</v>
          </cell>
          <cell r="K425">
            <v>2</v>
          </cell>
          <cell r="L425">
            <v>2</v>
          </cell>
          <cell r="M425">
            <v>2</v>
          </cell>
          <cell r="N425">
            <v>2</v>
          </cell>
          <cell r="O425">
            <v>2</v>
          </cell>
          <cell r="P425">
            <v>0</v>
          </cell>
          <cell r="Q425">
            <v>2</v>
          </cell>
          <cell r="R425">
            <v>2</v>
          </cell>
          <cell r="S425">
            <v>2</v>
          </cell>
          <cell r="T425">
            <v>0</v>
          </cell>
          <cell r="U425">
            <v>2</v>
          </cell>
        </row>
        <row r="426">
          <cell r="A426" t="str">
            <v>J96016</v>
          </cell>
          <cell r="B426">
            <v>2</v>
          </cell>
          <cell r="C426">
            <v>2</v>
          </cell>
          <cell r="D426">
            <v>2</v>
          </cell>
          <cell r="E426">
            <v>2</v>
          </cell>
          <cell r="F426">
            <v>2</v>
          </cell>
          <cell r="G426">
            <v>2</v>
          </cell>
          <cell r="H426">
            <v>2</v>
          </cell>
          <cell r="I426">
            <v>2</v>
          </cell>
          <cell r="J426">
            <v>2</v>
          </cell>
          <cell r="K426">
            <v>2</v>
          </cell>
          <cell r="L426">
            <v>2</v>
          </cell>
          <cell r="M426">
            <v>2</v>
          </cell>
          <cell r="N426">
            <v>2</v>
          </cell>
          <cell r="O426">
            <v>2</v>
          </cell>
          <cell r="P426">
            <v>0</v>
          </cell>
          <cell r="Q426">
            <v>2</v>
          </cell>
          <cell r="R426">
            <v>2</v>
          </cell>
          <cell r="S426">
            <v>2</v>
          </cell>
          <cell r="T426">
            <v>0</v>
          </cell>
          <cell r="U426">
            <v>2</v>
          </cell>
        </row>
        <row r="427">
          <cell r="A427" t="str">
            <v>J96017</v>
          </cell>
          <cell r="B427">
            <v>2</v>
          </cell>
          <cell r="C427">
            <v>2</v>
          </cell>
          <cell r="D427">
            <v>2</v>
          </cell>
          <cell r="E427">
            <v>1</v>
          </cell>
          <cell r="F427">
            <v>2</v>
          </cell>
          <cell r="G427">
            <v>1</v>
          </cell>
          <cell r="H427">
            <v>2</v>
          </cell>
          <cell r="I427">
            <v>2</v>
          </cell>
          <cell r="J427">
            <v>2</v>
          </cell>
          <cell r="K427">
            <v>2</v>
          </cell>
          <cell r="L427">
            <v>2</v>
          </cell>
          <cell r="M427">
            <v>1</v>
          </cell>
          <cell r="N427">
            <v>2</v>
          </cell>
          <cell r="O427">
            <v>1</v>
          </cell>
          <cell r="P427">
            <v>0</v>
          </cell>
          <cell r="Q427">
            <v>2</v>
          </cell>
          <cell r="R427">
            <v>2</v>
          </cell>
          <cell r="S427">
            <v>2</v>
          </cell>
          <cell r="T427">
            <v>0</v>
          </cell>
          <cell r="U427">
            <v>1</v>
          </cell>
        </row>
        <row r="428">
          <cell r="A428" t="str">
            <v>JBT02</v>
          </cell>
          <cell r="B428">
            <v>1</v>
          </cell>
          <cell r="C428">
            <v>1</v>
          </cell>
          <cell r="D428">
            <v>1</v>
          </cell>
          <cell r="E428">
            <v>1</v>
          </cell>
          <cell r="F428">
            <v>1</v>
          </cell>
          <cell r="G428">
            <v>1</v>
          </cell>
          <cell r="H428">
            <v>1</v>
          </cell>
          <cell r="I428">
            <v>1</v>
          </cell>
          <cell r="J428">
            <v>1</v>
          </cell>
          <cell r="K428">
            <v>1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P428">
            <v>0</v>
          </cell>
          <cell r="Q428">
            <v>1</v>
          </cell>
          <cell r="R428">
            <v>1</v>
          </cell>
          <cell r="S428">
            <v>1</v>
          </cell>
          <cell r="T428">
            <v>0</v>
          </cell>
          <cell r="U428">
            <v>1</v>
          </cell>
        </row>
        <row r="429">
          <cell r="A429" t="str">
            <v>JBT05</v>
          </cell>
          <cell r="B429">
            <v>2</v>
          </cell>
          <cell r="C429">
            <v>1</v>
          </cell>
          <cell r="D429">
            <v>1</v>
          </cell>
          <cell r="E429">
            <v>1</v>
          </cell>
          <cell r="F429">
            <v>2</v>
          </cell>
          <cell r="G429">
            <v>2</v>
          </cell>
          <cell r="H429">
            <v>2</v>
          </cell>
          <cell r="I429">
            <v>2</v>
          </cell>
          <cell r="J429">
            <v>1</v>
          </cell>
          <cell r="K429">
            <v>2</v>
          </cell>
          <cell r="L429">
            <v>2</v>
          </cell>
          <cell r="M429">
            <v>2</v>
          </cell>
          <cell r="N429">
            <v>1</v>
          </cell>
          <cell r="O429">
            <v>1</v>
          </cell>
          <cell r="P429">
            <v>0</v>
          </cell>
          <cell r="Q429">
            <v>1</v>
          </cell>
          <cell r="R429">
            <v>3</v>
          </cell>
          <cell r="S429">
            <v>1</v>
          </cell>
          <cell r="T429">
            <v>0</v>
          </cell>
          <cell r="U429">
            <v>1</v>
          </cell>
        </row>
        <row r="430">
          <cell r="A430" t="str">
            <v>JBT07</v>
          </cell>
          <cell r="B430">
            <v>2</v>
          </cell>
          <cell r="C430">
            <v>1</v>
          </cell>
          <cell r="D430">
            <v>1</v>
          </cell>
          <cell r="E430">
            <v>1</v>
          </cell>
          <cell r="F430">
            <v>2</v>
          </cell>
          <cell r="G430">
            <v>2</v>
          </cell>
          <cell r="H430">
            <v>2</v>
          </cell>
          <cell r="I430">
            <v>2</v>
          </cell>
          <cell r="J430">
            <v>1</v>
          </cell>
          <cell r="K430">
            <v>2</v>
          </cell>
          <cell r="L430">
            <v>2</v>
          </cell>
          <cell r="M430">
            <v>2</v>
          </cell>
          <cell r="N430">
            <v>1</v>
          </cell>
          <cell r="O430">
            <v>1</v>
          </cell>
          <cell r="P430">
            <v>0</v>
          </cell>
          <cell r="Q430">
            <v>1</v>
          </cell>
          <cell r="R430">
            <v>3</v>
          </cell>
          <cell r="S430">
            <v>1</v>
          </cell>
          <cell r="T430">
            <v>0</v>
          </cell>
          <cell r="U430">
            <v>1</v>
          </cell>
        </row>
        <row r="431">
          <cell r="A431" t="str">
            <v>JBT09</v>
          </cell>
          <cell r="B431">
            <v>2</v>
          </cell>
          <cell r="C431">
            <v>1</v>
          </cell>
          <cell r="D431">
            <v>1</v>
          </cell>
          <cell r="E431">
            <v>1</v>
          </cell>
          <cell r="F431">
            <v>2</v>
          </cell>
          <cell r="G431">
            <v>2</v>
          </cell>
          <cell r="H431">
            <v>2</v>
          </cell>
          <cell r="I431">
            <v>2</v>
          </cell>
          <cell r="J431">
            <v>1</v>
          </cell>
          <cell r="K431">
            <v>2</v>
          </cell>
          <cell r="L431">
            <v>2</v>
          </cell>
          <cell r="M431">
            <v>2</v>
          </cell>
          <cell r="N431">
            <v>1</v>
          </cell>
          <cell r="O431">
            <v>1</v>
          </cell>
          <cell r="P431">
            <v>0</v>
          </cell>
          <cell r="Q431">
            <v>1</v>
          </cell>
          <cell r="R431">
            <v>3</v>
          </cell>
          <cell r="S431">
            <v>1</v>
          </cell>
          <cell r="T431">
            <v>0</v>
          </cell>
          <cell r="U431">
            <v>1</v>
          </cell>
        </row>
        <row r="432">
          <cell r="A432" t="str">
            <v>JBT10</v>
          </cell>
          <cell r="B432">
            <v>1</v>
          </cell>
          <cell r="C432">
            <v>1</v>
          </cell>
          <cell r="D432">
            <v>1</v>
          </cell>
          <cell r="E432">
            <v>0</v>
          </cell>
          <cell r="F432">
            <v>1</v>
          </cell>
          <cell r="G432">
            <v>0</v>
          </cell>
          <cell r="H432">
            <v>1</v>
          </cell>
          <cell r="I432">
            <v>1</v>
          </cell>
          <cell r="J432">
            <v>1</v>
          </cell>
          <cell r="K432">
            <v>1</v>
          </cell>
          <cell r="L432">
            <v>1</v>
          </cell>
          <cell r="M432">
            <v>0</v>
          </cell>
          <cell r="N432">
            <v>1</v>
          </cell>
          <cell r="O432">
            <v>0</v>
          </cell>
          <cell r="P432">
            <v>0</v>
          </cell>
          <cell r="Q432">
            <v>1</v>
          </cell>
          <cell r="R432">
            <v>1</v>
          </cell>
          <cell r="S432">
            <v>1</v>
          </cell>
          <cell r="T432">
            <v>0</v>
          </cell>
          <cell r="U432">
            <v>0</v>
          </cell>
        </row>
        <row r="433">
          <cell r="A433" t="str">
            <v>JBT11</v>
          </cell>
          <cell r="B433">
            <v>2</v>
          </cell>
          <cell r="C433">
            <v>2</v>
          </cell>
          <cell r="D433">
            <v>2</v>
          </cell>
          <cell r="E433">
            <v>2</v>
          </cell>
          <cell r="F433">
            <v>2</v>
          </cell>
          <cell r="G433">
            <v>2</v>
          </cell>
          <cell r="H433">
            <v>2</v>
          </cell>
          <cell r="I433">
            <v>2</v>
          </cell>
          <cell r="J433">
            <v>2</v>
          </cell>
          <cell r="K433">
            <v>2</v>
          </cell>
          <cell r="L433">
            <v>2</v>
          </cell>
          <cell r="M433">
            <v>2</v>
          </cell>
          <cell r="N433">
            <v>2</v>
          </cell>
          <cell r="O433">
            <v>2</v>
          </cell>
          <cell r="P433">
            <v>1</v>
          </cell>
          <cell r="Q433">
            <v>2</v>
          </cell>
          <cell r="R433">
            <v>2</v>
          </cell>
          <cell r="S433">
            <v>2</v>
          </cell>
          <cell r="T433">
            <v>1</v>
          </cell>
          <cell r="U433">
            <v>2</v>
          </cell>
        </row>
        <row r="434">
          <cell r="A434" t="str">
            <v>JBT12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</row>
        <row r="435">
          <cell r="A435" t="str">
            <v>JBT13</v>
          </cell>
          <cell r="B435">
            <v>3</v>
          </cell>
          <cell r="C435">
            <v>2</v>
          </cell>
          <cell r="D435">
            <v>2</v>
          </cell>
          <cell r="E435">
            <v>2</v>
          </cell>
          <cell r="F435">
            <v>3</v>
          </cell>
          <cell r="G435">
            <v>2</v>
          </cell>
          <cell r="H435">
            <v>4</v>
          </cell>
          <cell r="I435">
            <v>3</v>
          </cell>
          <cell r="J435">
            <v>2</v>
          </cell>
          <cell r="K435">
            <v>4</v>
          </cell>
          <cell r="L435">
            <v>3</v>
          </cell>
          <cell r="M435">
            <v>3</v>
          </cell>
          <cell r="N435">
            <v>1</v>
          </cell>
          <cell r="O435">
            <v>1</v>
          </cell>
          <cell r="P435">
            <v>0</v>
          </cell>
          <cell r="Q435">
            <v>1</v>
          </cell>
          <cell r="R435">
            <v>4</v>
          </cell>
          <cell r="S435">
            <v>2</v>
          </cell>
          <cell r="T435">
            <v>0</v>
          </cell>
          <cell r="U435">
            <v>2</v>
          </cell>
        </row>
        <row r="436">
          <cell r="A436" t="str">
            <v>JBT14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</row>
        <row r="437">
          <cell r="A437" t="str">
            <v>JHT01</v>
          </cell>
          <cell r="B437">
            <v>4</v>
          </cell>
          <cell r="C437">
            <v>1</v>
          </cell>
          <cell r="D437">
            <v>1</v>
          </cell>
          <cell r="E437">
            <v>2</v>
          </cell>
          <cell r="F437">
            <v>4</v>
          </cell>
          <cell r="G437">
            <v>3</v>
          </cell>
          <cell r="H437">
            <v>4</v>
          </cell>
          <cell r="I437">
            <v>4</v>
          </cell>
          <cell r="J437">
            <v>1</v>
          </cell>
          <cell r="K437">
            <v>4</v>
          </cell>
          <cell r="L437">
            <v>3</v>
          </cell>
          <cell r="M437">
            <v>3</v>
          </cell>
          <cell r="N437">
            <v>1</v>
          </cell>
          <cell r="O437">
            <v>1</v>
          </cell>
          <cell r="P437">
            <v>0</v>
          </cell>
          <cell r="Q437">
            <v>1</v>
          </cell>
          <cell r="R437">
            <v>4</v>
          </cell>
          <cell r="S437">
            <v>2</v>
          </cell>
          <cell r="T437">
            <v>0</v>
          </cell>
          <cell r="U437">
            <v>1</v>
          </cell>
        </row>
        <row r="438">
          <cell r="A438" t="str">
            <v>JHT02</v>
          </cell>
          <cell r="B438">
            <v>5</v>
          </cell>
          <cell r="C438">
            <v>2</v>
          </cell>
          <cell r="D438">
            <v>2</v>
          </cell>
          <cell r="E438">
            <v>3</v>
          </cell>
          <cell r="F438">
            <v>5</v>
          </cell>
          <cell r="G438">
            <v>4</v>
          </cell>
          <cell r="H438">
            <v>4</v>
          </cell>
          <cell r="I438">
            <v>5</v>
          </cell>
          <cell r="J438">
            <v>2</v>
          </cell>
          <cell r="K438">
            <v>4</v>
          </cell>
          <cell r="L438">
            <v>4</v>
          </cell>
          <cell r="M438">
            <v>4</v>
          </cell>
          <cell r="N438">
            <v>2</v>
          </cell>
          <cell r="O438">
            <v>2</v>
          </cell>
          <cell r="P438">
            <v>0</v>
          </cell>
          <cell r="Q438">
            <v>2</v>
          </cell>
          <cell r="R438">
            <v>4</v>
          </cell>
          <cell r="S438">
            <v>3</v>
          </cell>
          <cell r="T438">
            <v>0</v>
          </cell>
          <cell r="U438">
            <v>2</v>
          </cell>
        </row>
        <row r="439">
          <cell r="A439" t="str">
            <v>JHT03</v>
          </cell>
          <cell r="B439">
            <v>4</v>
          </cell>
          <cell r="C439">
            <v>1</v>
          </cell>
          <cell r="D439">
            <v>1</v>
          </cell>
          <cell r="E439">
            <v>2</v>
          </cell>
          <cell r="F439">
            <v>4</v>
          </cell>
          <cell r="G439">
            <v>3</v>
          </cell>
          <cell r="H439">
            <v>4</v>
          </cell>
          <cell r="I439">
            <v>4</v>
          </cell>
          <cell r="J439">
            <v>1</v>
          </cell>
          <cell r="K439">
            <v>4</v>
          </cell>
          <cell r="L439">
            <v>3</v>
          </cell>
          <cell r="M439">
            <v>3</v>
          </cell>
          <cell r="N439">
            <v>1</v>
          </cell>
          <cell r="O439">
            <v>1</v>
          </cell>
          <cell r="P439">
            <v>0</v>
          </cell>
          <cell r="Q439">
            <v>1</v>
          </cell>
          <cell r="R439">
            <v>4</v>
          </cell>
          <cell r="S439">
            <v>2</v>
          </cell>
          <cell r="T439">
            <v>0</v>
          </cell>
          <cell r="U439">
            <v>1</v>
          </cell>
        </row>
        <row r="440">
          <cell r="A440" t="str">
            <v>JHT04</v>
          </cell>
          <cell r="B440">
            <v>2</v>
          </cell>
          <cell r="C440">
            <v>1</v>
          </cell>
          <cell r="D440">
            <v>1</v>
          </cell>
          <cell r="E440">
            <v>1</v>
          </cell>
          <cell r="F440">
            <v>2</v>
          </cell>
          <cell r="G440">
            <v>2</v>
          </cell>
          <cell r="H440">
            <v>2</v>
          </cell>
          <cell r="I440">
            <v>2</v>
          </cell>
          <cell r="J440">
            <v>1</v>
          </cell>
          <cell r="K440">
            <v>2</v>
          </cell>
          <cell r="L440">
            <v>2</v>
          </cell>
          <cell r="M440">
            <v>2</v>
          </cell>
          <cell r="N440">
            <v>1</v>
          </cell>
          <cell r="O440">
            <v>1</v>
          </cell>
          <cell r="P440">
            <v>0</v>
          </cell>
          <cell r="Q440">
            <v>1</v>
          </cell>
          <cell r="R440">
            <v>2</v>
          </cell>
          <cell r="S440">
            <v>1</v>
          </cell>
          <cell r="T440">
            <v>0</v>
          </cell>
          <cell r="U440">
            <v>1</v>
          </cell>
        </row>
        <row r="441">
          <cell r="A441" t="str">
            <v>JHT05</v>
          </cell>
          <cell r="B441">
            <v>3</v>
          </cell>
          <cell r="C441">
            <v>2</v>
          </cell>
          <cell r="D441">
            <v>2</v>
          </cell>
          <cell r="E441">
            <v>2</v>
          </cell>
          <cell r="F441">
            <v>3</v>
          </cell>
          <cell r="G441">
            <v>3</v>
          </cell>
          <cell r="H441">
            <v>3</v>
          </cell>
          <cell r="I441">
            <v>3</v>
          </cell>
          <cell r="J441">
            <v>2</v>
          </cell>
          <cell r="K441">
            <v>3</v>
          </cell>
          <cell r="L441">
            <v>3</v>
          </cell>
          <cell r="M441">
            <v>2</v>
          </cell>
          <cell r="N441">
            <v>2</v>
          </cell>
          <cell r="O441">
            <v>2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2</v>
          </cell>
        </row>
        <row r="442">
          <cell r="A442" t="str">
            <v>JHT05C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2</v>
          </cell>
          <cell r="R442">
            <v>3</v>
          </cell>
          <cell r="S442">
            <v>2</v>
          </cell>
          <cell r="T442">
            <v>0</v>
          </cell>
          <cell r="U442">
            <v>0</v>
          </cell>
        </row>
        <row r="443">
          <cell r="A443" t="str">
            <v>JHT06</v>
          </cell>
          <cell r="B443">
            <v>4</v>
          </cell>
          <cell r="C443">
            <v>1</v>
          </cell>
          <cell r="D443">
            <v>1</v>
          </cell>
          <cell r="E443">
            <v>2</v>
          </cell>
          <cell r="F443">
            <v>4</v>
          </cell>
          <cell r="G443">
            <v>3</v>
          </cell>
          <cell r="H443">
            <v>4</v>
          </cell>
          <cell r="I443">
            <v>4</v>
          </cell>
          <cell r="J443">
            <v>1</v>
          </cell>
          <cell r="K443">
            <v>4</v>
          </cell>
          <cell r="L443">
            <v>3</v>
          </cell>
          <cell r="M443">
            <v>3</v>
          </cell>
          <cell r="N443">
            <v>1</v>
          </cell>
          <cell r="O443">
            <v>1</v>
          </cell>
          <cell r="P443">
            <v>0</v>
          </cell>
          <cell r="Q443">
            <v>1</v>
          </cell>
          <cell r="R443">
            <v>4</v>
          </cell>
          <cell r="S443">
            <v>2</v>
          </cell>
          <cell r="T443">
            <v>0</v>
          </cell>
          <cell r="U443">
            <v>1</v>
          </cell>
        </row>
        <row r="444">
          <cell r="A444" t="str">
            <v>JHT09</v>
          </cell>
          <cell r="B444">
            <v>24</v>
          </cell>
          <cell r="C444">
            <v>6</v>
          </cell>
          <cell r="D444">
            <v>6</v>
          </cell>
          <cell r="E444">
            <v>12</v>
          </cell>
          <cell r="F444">
            <v>24</v>
          </cell>
          <cell r="G444">
            <v>14</v>
          </cell>
          <cell r="H444">
            <v>19</v>
          </cell>
          <cell r="I444">
            <v>24</v>
          </cell>
          <cell r="J444">
            <v>1</v>
          </cell>
          <cell r="K444">
            <v>23</v>
          </cell>
          <cell r="L444">
            <v>16</v>
          </cell>
          <cell r="M444">
            <v>16</v>
          </cell>
          <cell r="N444">
            <v>4</v>
          </cell>
          <cell r="O444">
            <v>3</v>
          </cell>
          <cell r="P444">
            <v>0</v>
          </cell>
          <cell r="Q444">
            <v>5</v>
          </cell>
          <cell r="R444">
            <v>21</v>
          </cell>
          <cell r="S444">
            <v>10</v>
          </cell>
          <cell r="T444">
            <v>0</v>
          </cell>
          <cell r="U444">
            <v>2</v>
          </cell>
        </row>
        <row r="445">
          <cell r="A445" t="str">
            <v>JHT11</v>
          </cell>
          <cell r="B445">
            <v>5</v>
          </cell>
          <cell r="C445">
            <v>2</v>
          </cell>
          <cell r="D445">
            <v>2</v>
          </cell>
          <cell r="E445">
            <v>3</v>
          </cell>
          <cell r="F445">
            <v>5</v>
          </cell>
          <cell r="G445">
            <v>4</v>
          </cell>
          <cell r="H445">
            <v>0</v>
          </cell>
          <cell r="I445">
            <v>5</v>
          </cell>
          <cell r="J445">
            <v>2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2</v>
          </cell>
        </row>
        <row r="446">
          <cell r="A446" t="str">
            <v>JHT12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4</v>
          </cell>
          <cell r="I446">
            <v>0</v>
          </cell>
          <cell r="J446">
            <v>0</v>
          </cell>
          <cell r="K446">
            <v>4</v>
          </cell>
          <cell r="L446">
            <v>4</v>
          </cell>
          <cell r="M446">
            <v>4</v>
          </cell>
          <cell r="N446">
            <v>2</v>
          </cell>
          <cell r="O446">
            <v>2</v>
          </cell>
          <cell r="P446">
            <v>0</v>
          </cell>
          <cell r="Q446">
            <v>2</v>
          </cell>
          <cell r="R446">
            <v>4</v>
          </cell>
          <cell r="S446">
            <v>3</v>
          </cell>
          <cell r="T446">
            <v>0</v>
          </cell>
          <cell r="U446">
            <v>0</v>
          </cell>
        </row>
        <row r="447">
          <cell r="A447" t="str">
            <v>JHT13</v>
          </cell>
          <cell r="B447">
            <v>6</v>
          </cell>
          <cell r="C447">
            <v>2</v>
          </cell>
          <cell r="D447">
            <v>2</v>
          </cell>
          <cell r="E447">
            <v>3</v>
          </cell>
          <cell r="F447">
            <v>6</v>
          </cell>
          <cell r="G447">
            <v>4</v>
          </cell>
          <cell r="H447">
            <v>5</v>
          </cell>
          <cell r="I447">
            <v>6</v>
          </cell>
          <cell r="J447">
            <v>1</v>
          </cell>
          <cell r="K447">
            <v>6</v>
          </cell>
          <cell r="L447">
            <v>4</v>
          </cell>
          <cell r="M447">
            <v>4</v>
          </cell>
          <cell r="N447">
            <v>1</v>
          </cell>
          <cell r="O447">
            <v>1</v>
          </cell>
          <cell r="P447">
            <v>0</v>
          </cell>
          <cell r="Q447">
            <v>2</v>
          </cell>
          <cell r="R447">
            <v>6</v>
          </cell>
          <cell r="S447">
            <v>3</v>
          </cell>
          <cell r="T447">
            <v>0</v>
          </cell>
          <cell r="U447">
            <v>1</v>
          </cell>
        </row>
        <row r="448">
          <cell r="A448" t="str">
            <v>JHT14</v>
          </cell>
          <cell r="B448">
            <v>10</v>
          </cell>
          <cell r="C448">
            <v>4</v>
          </cell>
          <cell r="D448">
            <v>4</v>
          </cell>
          <cell r="E448">
            <v>6</v>
          </cell>
          <cell r="F448">
            <v>10</v>
          </cell>
          <cell r="G448">
            <v>8</v>
          </cell>
          <cell r="H448">
            <v>12</v>
          </cell>
          <cell r="I448">
            <v>10</v>
          </cell>
          <cell r="J448">
            <v>4</v>
          </cell>
          <cell r="K448">
            <v>12</v>
          </cell>
          <cell r="L448">
            <v>12</v>
          </cell>
          <cell r="M448">
            <v>12</v>
          </cell>
          <cell r="N448">
            <v>6</v>
          </cell>
          <cell r="O448">
            <v>6</v>
          </cell>
          <cell r="P448">
            <v>0</v>
          </cell>
          <cell r="Q448">
            <v>6</v>
          </cell>
          <cell r="R448">
            <v>12</v>
          </cell>
          <cell r="S448">
            <v>9</v>
          </cell>
          <cell r="T448">
            <v>0</v>
          </cell>
          <cell r="U448">
            <v>4</v>
          </cell>
        </row>
        <row r="449">
          <cell r="A449" t="str">
            <v>JXT03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4</v>
          </cell>
          <cell r="I449">
            <v>0</v>
          </cell>
          <cell r="J449">
            <v>0</v>
          </cell>
          <cell r="K449">
            <v>4</v>
          </cell>
          <cell r="L449">
            <v>3</v>
          </cell>
          <cell r="M449">
            <v>3</v>
          </cell>
          <cell r="N449">
            <v>2</v>
          </cell>
          <cell r="O449">
            <v>2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</row>
        <row r="450">
          <cell r="A450" t="str">
            <v>JXT04</v>
          </cell>
          <cell r="B450">
            <v>5</v>
          </cell>
          <cell r="C450">
            <v>2</v>
          </cell>
          <cell r="D450">
            <v>2</v>
          </cell>
          <cell r="E450">
            <v>3</v>
          </cell>
          <cell r="F450">
            <v>5</v>
          </cell>
          <cell r="G450">
            <v>3</v>
          </cell>
          <cell r="H450">
            <v>4</v>
          </cell>
          <cell r="I450">
            <v>5</v>
          </cell>
          <cell r="J450">
            <v>1</v>
          </cell>
          <cell r="K450">
            <v>5</v>
          </cell>
          <cell r="L450">
            <v>4</v>
          </cell>
          <cell r="M450">
            <v>4</v>
          </cell>
          <cell r="N450">
            <v>1</v>
          </cell>
          <cell r="O450">
            <v>1</v>
          </cell>
          <cell r="P450">
            <v>0</v>
          </cell>
          <cell r="Q450">
            <v>1</v>
          </cell>
          <cell r="R450">
            <v>5</v>
          </cell>
          <cell r="S450">
            <v>2</v>
          </cell>
          <cell r="T450">
            <v>0</v>
          </cell>
          <cell r="U450">
            <v>1</v>
          </cell>
        </row>
        <row r="451">
          <cell r="A451" t="str">
            <v>JXT13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</row>
        <row r="452">
          <cell r="A452" t="str">
            <v>P4109859</v>
          </cell>
          <cell r="B452">
            <v>1</v>
          </cell>
          <cell r="C452">
            <v>1</v>
          </cell>
          <cell r="D452">
            <v>1</v>
          </cell>
          <cell r="E452">
            <v>1</v>
          </cell>
          <cell r="F452">
            <v>1</v>
          </cell>
          <cell r="G452">
            <v>1</v>
          </cell>
          <cell r="H452">
            <v>1</v>
          </cell>
          <cell r="I452">
            <v>1</v>
          </cell>
          <cell r="J452">
            <v>1</v>
          </cell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O452">
            <v>1</v>
          </cell>
          <cell r="P452">
            <v>0</v>
          </cell>
          <cell r="Q452">
            <v>1</v>
          </cell>
          <cell r="R452">
            <v>1</v>
          </cell>
          <cell r="S452">
            <v>1</v>
          </cell>
          <cell r="T452">
            <v>0</v>
          </cell>
          <cell r="U452">
            <v>1</v>
          </cell>
        </row>
        <row r="453">
          <cell r="A453" t="str">
            <v>P4109863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2</v>
          </cell>
          <cell r="I453">
            <v>0</v>
          </cell>
          <cell r="J453">
            <v>0</v>
          </cell>
          <cell r="K453">
            <v>2</v>
          </cell>
          <cell r="L453">
            <v>2</v>
          </cell>
          <cell r="M453">
            <v>2</v>
          </cell>
          <cell r="N453">
            <v>2</v>
          </cell>
          <cell r="O453">
            <v>2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</row>
        <row r="454">
          <cell r="A454" t="str">
            <v>P4109888</v>
          </cell>
          <cell r="B454">
            <v>1</v>
          </cell>
          <cell r="C454">
            <v>1</v>
          </cell>
          <cell r="D454">
            <v>1</v>
          </cell>
          <cell r="E454">
            <v>1</v>
          </cell>
          <cell r="F454">
            <v>1</v>
          </cell>
          <cell r="G454">
            <v>1</v>
          </cell>
          <cell r="H454">
            <v>1</v>
          </cell>
          <cell r="I454">
            <v>1</v>
          </cell>
          <cell r="J454">
            <v>1</v>
          </cell>
          <cell r="K454">
            <v>1</v>
          </cell>
          <cell r="L454">
            <v>1</v>
          </cell>
          <cell r="M454">
            <v>1</v>
          </cell>
          <cell r="N454">
            <v>1</v>
          </cell>
          <cell r="O454">
            <v>1</v>
          </cell>
          <cell r="P454">
            <v>0</v>
          </cell>
          <cell r="Q454">
            <v>1</v>
          </cell>
          <cell r="R454">
            <v>1</v>
          </cell>
          <cell r="S454">
            <v>1</v>
          </cell>
          <cell r="T454">
            <v>0</v>
          </cell>
          <cell r="U454">
            <v>1</v>
          </cell>
        </row>
        <row r="455">
          <cell r="A455" t="str">
            <v>P4109905</v>
          </cell>
          <cell r="B455">
            <v>1</v>
          </cell>
          <cell r="C455">
            <v>1</v>
          </cell>
          <cell r="D455">
            <v>1</v>
          </cell>
          <cell r="E455">
            <v>1</v>
          </cell>
          <cell r="F455">
            <v>1</v>
          </cell>
          <cell r="G455">
            <v>1</v>
          </cell>
          <cell r="H455">
            <v>1</v>
          </cell>
          <cell r="I455">
            <v>1</v>
          </cell>
          <cell r="J455">
            <v>1</v>
          </cell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P455">
            <v>0</v>
          </cell>
          <cell r="Q455">
            <v>1</v>
          </cell>
          <cell r="R455">
            <v>1</v>
          </cell>
          <cell r="S455">
            <v>1</v>
          </cell>
          <cell r="T455">
            <v>0</v>
          </cell>
          <cell r="U455">
            <v>1</v>
          </cell>
        </row>
        <row r="456">
          <cell r="A456" t="str">
            <v>P4109906</v>
          </cell>
          <cell r="B456">
            <v>2</v>
          </cell>
          <cell r="C456">
            <v>2</v>
          </cell>
          <cell r="D456">
            <v>2</v>
          </cell>
          <cell r="E456">
            <v>2</v>
          </cell>
          <cell r="F456">
            <v>2</v>
          </cell>
          <cell r="G456">
            <v>2</v>
          </cell>
          <cell r="H456">
            <v>2</v>
          </cell>
          <cell r="I456">
            <v>2</v>
          </cell>
          <cell r="J456">
            <v>2</v>
          </cell>
          <cell r="K456">
            <v>2</v>
          </cell>
          <cell r="L456">
            <v>2</v>
          </cell>
          <cell r="M456">
            <v>2</v>
          </cell>
          <cell r="N456">
            <v>2</v>
          </cell>
          <cell r="O456">
            <v>2</v>
          </cell>
          <cell r="P456">
            <v>2</v>
          </cell>
          <cell r="Q456">
            <v>2</v>
          </cell>
          <cell r="R456">
            <v>2</v>
          </cell>
          <cell r="S456">
            <v>2</v>
          </cell>
          <cell r="T456">
            <v>2</v>
          </cell>
          <cell r="U456">
            <v>2</v>
          </cell>
        </row>
        <row r="457">
          <cell r="A457" t="str">
            <v>P4109929</v>
          </cell>
          <cell r="B457">
            <v>1</v>
          </cell>
          <cell r="C457">
            <v>1</v>
          </cell>
          <cell r="D457">
            <v>1</v>
          </cell>
          <cell r="E457">
            <v>1</v>
          </cell>
          <cell r="F457">
            <v>1</v>
          </cell>
          <cell r="G457">
            <v>1</v>
          </cell>
          <cell r="H457">
            <v>1</v>
          </cell>
          <cell r="I457">
            <v>1</v>
          </cell>
          <cell r="J457">
            <v>1</v>
          </cell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O457">
            <v>1</v>
          </cell>
          <cell r="P457">
            <v>0</v>
          </cell>
          <cell r="Q457">
            <v>1</v>
          </cell>
          <cell r="R457">
            <v>1</v>
          </cell>
          <cell r="S457">
            <v>1</v>
          </cell>
          <cell r="T457">
            <v>0</v>
          </cell>
          <cell r="U457">
            <v>1</v>
          </cell>
        </row>
        <row r="458">
          <cell r="A458" t="str">
            <v>PROPJOAP</v>
          </cell>
          <cell r="B458">
            <v>1</v>
          </cell>
          <cell r="C458">
            <v>1</v>
          </cell>
          <cell r="D458">
            <v>1</v>
          </cell>
          <cell r="E458">
            <v>0</v>
          </cell>
          <cell r="F458">
            <v>1</v>
          </cell>
          <cell r="G458">
            <v>0</v>
          </cell>
          <cell r="H458">
            <v>1</v>
          </cell>
          <cell r="I458">
            <v>1</v>
          </cell>
          <cell r="J458">
            <v>1</v>
          </cell>
          <cell r="K458">
            <v>1</v>
          </cell>
          <cell r="L458">
            <v>1</v>
          </cell>
          <cell r="M458">
            <v>0</v>
          </cell>
          <cell r="N458">
            <v>1</v>
          </cell>
          <cell r="O458">
            <v>0</v>
          </cell>
          <cell r="P458">
            <v>2</v>
          </cell>
          <cell r="Q458">
            <v>1</v>
          </cell>
          <cell r="R458">
            <v>1</v>
          </cell>
          <cell r="S458">
            <v>1</v>
          </cell>
          <cell r="T458">
            <v>2</v>
          </cell>
          <cell r="U458">
            <v>0</v>
          </cell>
        </row>
        <row r="459">
          <cell r="A459" t="str">
            <v>PROPWIO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1</v>
          </cell>
          <cell r="I459">
            <v>0</v>
          </cell>
          <cell r="J459">
            <v>0</v>
          </cell>
          <cell r="K459">
            <v>1</v>
          </cell>
          <cell r="L459">
            <v>1</v>
          </cell>
          <cell r="M459">
            <v>0</v>
          </cell>
          <cell r="N459">
            <v>1</v>
          </cell>
          <cell r="O459">
            <v>0</v>
          </cell>
          <cell r="P459">
            <v>2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A460" t="str">
            <v>PWA55380</v>
          </cell>
          <cell r="B460">
            <v>2</v>
          </cell>
          <cell r="C460">
            <v>2</v>
          </cell>
          <cell r="D460">
            <v>2</v>
          </cell>
          <cell r="E460">
            <v>1</v>
          </cell>
          <cell r="F460">
            <v>2</v>
          </cell>
          <cell r="G460">
            <v>1</v>
          </cell>
          <cell r="H460">
            <v>2</v>
          </cell>
          <cell r="I460">
            <v>2</v>
          </cell>
          <cell r="J460">
            <v>2</v>
          </cell>
          <cell r="K460">
            <v>2</v>
          </cell>
          <cell r="L460">
            <v>2</v>
          </cell>
          <cell r="M460">
            <v>1</v>
          </cell>
          <cell r="N460">
            <v>2</v>
          </cell>
          <cell r="O460">
            <v>1</v>
          </cell>
          <cell r="P460">
            <v>2</v>
          </cell>
          <cell r="Q460">
            <v>2</v>
          </cell>
          <cell r="R460">
            <v>2</v>
          </cell>
          <cell r="S460">
            <v>2</v>
          </cell>
          <cell r="T460">
            <v>2</v>
          </cell>
          <cell r="U460">
            <v>1</v>
          </cell>
        </row>
        <row r="461">
          <cell r="A461" t="str">
            <v>PWA59414</v>
          </cell>
          <cell r="B461">
            <v>2</v>
          </cell>
          <cell r="C461">
            <v>2</v>
          </cell>
          <cell r="D461">
            <v>2</v>
          </cell>
          <cell r="E461">
            <v>2</v>
          </cell>
          <cell r="F461">
            <v>2</v>
          </cell>
          <cell r="G461">
            <v>2</v>
          </cell>
          <cell r="H461">
            <v>2</v>
          </cell>
          <cell r="I461">
            <v>2</v>
          </cell>
          <cell r="J461">
            <v>2</v>
          </cell>
          <cell r="K461">
            <v>2</v>
          </cell>
          <cell r="L461">
            <v>2</v>
          </cell>
          <cell r="M461">
            <v>2</v>
          </cell>
          <cell r="N461">
            <v>2</v>
          </cell>
          <cell r="O461">
            <v>2</v>
          </cell>
          <cell r="P461">
            <v>2</v>
          </cell>
          <cell r="Q461">
            <v>2</v>
          </cell>
          <cell r="R461">
            <v>2</v>
          </cell>
          <cell r="S461">
            <v>2</v>
          </cell>
          <cell r="T461">
            <v>2</v>
          </cell>
          <cell r="U461">
            <v>2</v>
          </cell>
        </row>
        <row r="462">
          <cell r="A462" t="str">
            <v>PWA59419</v>
          </cell>
          <cell r="B462">
            <v>1</v>
          </cell>
          <cell r="C462">
            <v>1</v>
          </cell>
          <cell r="D462">
            <v>1</v>
          </cell>
          <cell r="E462">
            <v>1</v>
          </cell>
          <cell r="F462">
            <v>1</v>
          </cell>
          <cell r="G462">
            <v>1</v>
          </cell>
          <cell r="H462">
            <v>1</v>
          </cell>
          <cell r="I462">
            <v>1</v>
          </cell>
          <cell r="J462">
            <v>1</v>
          </cell>
          <cell r="K462">
            <v>1</v>
          </cell>
          <cell r="L462">
            <v>1</v>
          </cell>
          <cell r="M462">
            <v>1</v>
          </cell>
          <cell r="N462">
            <v>1</v>
          </cell>
          <cell r="O462">
            <v>1</v>
          </cell>
          <cell r="P462">
            <v>1</v>
          </cell>
          <cell r="Q462">
            <v>1</v>
          </cell>
          <cell r="R462">
            <v>1</v>
          </cell>
          <cell r="S462">
            <v>1</v>
          </cell>
          <cell r="T462">
            <v>1</v>
          </cell>
          <cell r="U462">
            <v>1</v>
          </cell>
        </row>
        <row r="463">
          <cell r="A463" t="str">
            <v>PWA59422</v>
          </cell>
          <cell r="B463">
            <v>3</v>
          </cell>
          <cell r="C463">
            <v>3</v>
          </cell>
          <cell r="D463">
            <v>3</v>
          </cell>
          <cell r="E463">
            <v>2</v>
          </cell>
          <cell r="F463">
            <v>3</v>
          </cell>
          <cell r="G463">
            <v>2</v>
          </cell>
          <cell r="H463">
            <v>3</v>
          </cell>
          <cell r="I463">
            <v>3</v>
          </cell>
          <cell r="J463">
            <v>3</v>
          </cell>
          <cell r="K463">
            <v>3</v>
          </cell>
          <cell r="L463">
            <v>3</v>
          </cell>
          <cell r="M463">
            <v>2</v>
          </cell>
          <cell r="N463">
            <v>3</v>
          </cell>
          <cell r="O463">
            <v>2</v>
          </cell>
          <cell r="P463">
            <v>2</v>
          </cell>
          <cell r="Q463">
            <v>3</v>
          </cell>
          <cell r="R463">
            <v>3</v>
          </cell>
          <cell r="S463">
            <v>3</v>
          </cell>
          <cell r="T463">
            <v>2</v>
          </cell>
          <cell r="U463">
            <v>2</v>
          </cell>
        </row>
        <row r="464">
          <cell r="A464" t="str">
            <v>PWA59432</v>
          </cell>
          <cell r="B464">
            <v>1</v>
          </cell>
          <cell r="C464">
            <v>1</v>
          </cell>
          <cell r="D464">
            <v>1</v>
          </cell>
          <cell r="E464">
            <v>1</v>
          </cell>
          <cell r="F464">
            <v>1</v>
          </cell>
          <cell r="G464">
            <v>1</v>
          </cell>
          <cell r="H464">
            <v>1</v>
          </cell>
          <cell r="I464">
            <v>1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  <cell r="N464">
            <v>1</v>
          </cell>
          <cell r="O464">
            <v>1</v>
          </cell>
          <cell r="P464">
            <v>1</v>
          </cell>
          <cell r="Q464">
            <v>1</v>
          </cell>
          <cell r="R464">
            <v>1</v>
          </cell>
          <cell r="S464">
            <v>1</v>
          </cell>
          <cell r="T464">
            <v>1</v>
          </cell>
          <cell r="U464">
            <v>1</v>
          </cell>
        </row>
        <row r="465">
          <cell r="A465" t="str">
            <v>PWA59445</v>
          </cell>
          <cell r="B465">
            <v>1</v>
          </cell>
          <cell r="C465">
            <v>1</v>
          </cell>
          <cell r="D465">
            <v>1</v>
          </cell>
          <cell r="E465">
            <v>1</v>
          </cell>
          <cell r="F465">
            <v>1</v>
          </cell>
          <cell r="G465">
            <v>1</v>
          </cell>
          <cell r="H465">
            <v>1</v>
          </cell>
          <cell r="I465">
            <v>1</v>
          </cell>
          <cell r="J465">
            <v>1</v>
          </cell>
          <cell r="K465">
            <v>1</v>
          </cell>
          <cell r="L465">
            <v>1</v>
          </cell>
          <cell r="M465">
            <v>1</v>
          </cell>
          <cell r="N465">
            <v>1</v>
          </cell>
          <cell r="O465">
            <v>1</v>
          </cell>
          <cell r="P465">
            <v>1</v>
          </cell>
          <cell r="Q465">
            <v>1</v>
          </cell>
          <cell r="R465">
            <v>1</v>
          </cell>
          <cell r="S465">
            <v>1</v>
          </cell>
          <cell r="T465">
            <v>1</v>
          </cell>
          <cell r="U465">
            <v>1</v>
          </cell>
        </row>
        <row r="466">
          <cell r="A466" t="str">
            <v>PWA59469</v>
          </cell>
          <cell r="B466">
            <v>1</v>
          </cell>
          <cell r="C466">
            <v>1</v>
          </cell>
          <cell r="D466">
            <v>1</v>
          </cell>
          <cell r="E466">
            <v>1</v>
          </cell>
          <cell r="F466">
            <v>1</v>
          </cell>
          <cell r="G466">
            <v>1</v>
          </cell>
          <cell r="H466">
            <v>1</v>
          </cell>
          <cell r="I466">
            <v>1</v>
          </cell>
          <cell r="J466">
            <v>1</v>
          </cell>
          <cell r="K466">
            <v>1</v>
          </cell>
          <cell r="L466">
            <v>1</v>
          </cell>
          <cell r="M466">
            <v>1</v>
          </cell>
          <cell r="N466">
            <v>1</v>
          </cell>
          <cell r="O466">
            <v>1</v>
          </cell>
          <cell r="P466">
            <v>1</v>
          </cell>
          <cell r="Q466">
            <v>1</v>
          </cell>
          <cell r="R466">
            <v>1</v>
          </cell>
          <cell r="S466">
            <v>1</v>
          </cell>
          <cell r="T466">
            <v>1</v>
          </cell>
          <cell r="U466">
            <v>1</v>
          </cell>
        </row>
        <row r="467">
          <cell r="A467" t="str">
            <v>PWA59483</v>
          </cell>
          <cell r="B467">
            <v>4</v>
          </cell>
          <cell r="C467">
            <v>4</v>
          </cell>
          <cell r="D467">
            <v>4</v>
          </cell>
          <cell r="E467">
            <v>3</v>
          </cell>
          <cell r="F467">
            <v>4</v>
          </cell>
          <cell r="G467">
            <v>3</v>
          </cell>
          <cell r="H467">
            <v>4</v>
          </cell>
          <cell r="I467">
            <v>4</v>
          </cell>
          <cell r="J467">
            <v>4</v>
          </cell>
          <cell r="K467">
            <v>4</v>
          </cell>
          <cell r="L467">
            <v>4</v>
          </cell>
          <cell r="M467">
            <v>3</v>
          </cell>
          <cell r="N467">
            <v>4</v>
          </cell>
          <cell r="O467">
            <v>3</v>
          </cell>
          <cell r="P467">
            <v>3</v>
          </cell>
          <cell r="Q467">
            <v>4</v>
          </cell>
          <cell r="R467">
            <v>4</v>
          </cell>
          <cell r="S467">
            <v>4</v>
          </cell>
          <cell r="T467">
            <v>3</v>
          </cell>
          <cell r="U467">
            <v>3</v>
          </cell>
        </row>
        <row r="468">
          <cell r="A468" t="str">
            <v>PWA59500</v>
          </cell>
          <cell r="B468">
            <v>2</v>
          </cell>
          <cell r="C468">
            <v>2</v>
          </cell>
          <cell r="D468">
            <v>2</v>
          </cell>
          <cell r="E468">
            <v>1</v>
          </cell>
          <cell r="F468">
            <v>2</v>
          </cell>
          <cell r="G468">
            <v>1</v>
          </cell>
          <cell r="H468">
            <v>2</v>
          </cell>
          <cell r="I468">
            <v>2</v>
          </cell>
          <cell r="J468">
            <v>2</v>
          </cell>
          <cell r="K468">
            <v>2</v>
          </cell>
          <cell r="L468">
            <v>2</v>
          </cell>
          <cell r="M468">
            <v>1</v>
          </cell>
          <cell r="N468">
            <v>2</v>
          </cell>
          <cell r="O468">
            <v>1</v>
          </cell>
          <cell r="P468">
            <v>1</v>
          </cell>
          <cell r="Q468">
            <v>2</v>
          </cell>
          <cell r="R468">
            <v>2</v>
          </cell>
          <cell r="S468">
            <v>2</v>
          </cell>
          <cell r="T468">
            <v>1</v>
          </cell>
          <cell r="U468">
            <v>1</v>
          </cell>
        </row>
        <row r="469">
          <cell r="A469" t="str">
            <v>PWA59524</v>
          </cell>
          <cell r="B469">
            <v>2</v>
          </cell>
          <cell r="C469">
            <v>2</v>
          </cell>
          <cell r="D469">
            <v>2</v>
          </cell>
          <cell r="E469">
            <v>1</v>
          </cell>
          <cell r="F469">
            <v>2</v>
          </cell>
          <cell r="G469">
            <v>1</v>
          </cell>
          <cell r="H469">
            <v>2</v>
          </cell>
          <cell r="I469">
            <v>2</v>
          </cell>
          <cell r="J469">
            <v>2</v>
          </cell>
          <cell r="K469">
            <v>2</v>
          </cell>
          <cell r="L469">
            <v>2</v>
          </cell>
          <cell r="M469">
            <v>1</v>
          </cell>
          <cell r="N469">
            <v>2</v>
          </cell>
          <cell r="O469">
            <v>1</v>
          </cell>
          <cell r="P469">
            <v>1</v>
          </cell>
          <cell r="Q469">
            <v>2</v>
          </cell>
          <cell r="R469">
            <v>2</v>
          </cell>
          <cell r="S469">
            <v>2</v>
          </cell>
          <cell r="T469">
            <v>1</v>
          </cell>
          <cell r="U469">
            <v>1</v>
          </cell>
        </row>
        <row r="470">
          <cell r="A470" t="str">
            <v>PWA59550</v>
          </cell>
          <cell r="B470">
            <v>1</v>
          </cell>
          <cell r="C470">
            <v>1</v>
          </cell>
          <cell r="D470">
            <v>1</v>
          </cell>
          <cell r="E470">
            <v>1</v>
          </cell>
          <cell r="F470">
            <v>1</v>
          </cell>
          <cell r="G470">
            <v>1</v>
          </cell>
          <cell r="H470">
            <v>1</v>
          </cell>
          <cell r="I470">
            <v>1</v>
          </cell>
          <cell r="J470">
            <v>1</v>
          </cell>
          <cell r="K470">
            <v>1</v>
          </cell>
          <cell r="L470">
            <v>1</v>
          </cell>
          <cell r="M470">
            <v>1</v>
          </cell>
          <cell r="N470">
            <v>1</v>
          </cell>
          <cell r="O470">
            <v>1</v>
          </cell>
          <cell r="P470">
            <v>0</v>
          </cell>
          <cell r="Q470">
            <v>1</v>
          </cell>
          <cell r="R470">
            <v>1</v>
          </cell>
          <cell r="S470">
            <v>1</v>
          </cell>
          <cell r="T470">
            <v>0</v>
          </cell>
          <cell r="U470">
            <v>1</v>
          </cell>
        </row>
        <row r="471">
          <cell r="A471" t="str">
            <v>PWA59595</v>
          </cell>
          <cell r="B471">
            <v>3</v>
          </cell>
          <cell r="C471">
            <v>3</v>
          </cell>
          <cell r="D471">
            <v>3</v>
          </cell>
          <cell r="E471">
            <v>2</v>
          </cell>
          <cell r="F471">
            <v>3</v>
          </cell>
          <cell r="G471">
            <v>2</v>
          </cell>
          <cell r="H471">
            <v>3</v>
          </cell>
          <cell r="I471">
            <v>3</v>
          </cell>
          <cell r="J471">
            <v>3</v>
          </cell>
          <cell r="K471">
            <v>3</v>
          </cell>
          <cell r="L471">
            <v>3</v>
          </cell>
          <cell r="M471">
            <v>2</v>
          </cell>
          <cell r="N471">
            <v>3</v>
          </cell>
          <cell r="O471">
            <v>2</v>
          </cell>
          <cell r="P471">
            <v>2</v>
          </cell>
          <cell r="Q471">
            <v>3</v>
          </cell>
          <cell r="R471">
            <v>3</v>
          </cell>
          <cell r="S471">
            <v>3</v>
          </cell>
          <cell r="T471">
            <v>2</v>
          </cell>
          <cell r="U471">
            <v>2</v>
          </cell>
        </row>
        <row r="472">
          <cell r="A472" t="str">
            <v>PWA59600</v>
          </cell>
          <cell r="B472">
            <v>3</v>
          </cell>
          <cell r="C472">
            <v>3</v>
          </cell>
          <cell r="D472">
            <v>3</v>
          </cell>
          <cell r="E472">
            <v>2</v>
          </cell>
          <cell r="F472">
            <v>3</v>
          </cell>
          <cell r="G472">
            <v>2</v>
          </cell>
          <cell r="H472">
            <v>0</v>
          </cell>
          <cell r="I472">
            <v>3</v>
          </cell>
          <cell r="J472">
            <v>3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3</v>
          </cell>
          <cell r="R472">
            <v>3</v>
          </cell>
          <cell r="S472">
            <v>3</v>
          </cell>
          <cell r="T472">
            <v>2</v>
          </cell>
          <cell r="U472">
            <v>2</v>
          </cell>
        </row>
        <row r="473">
          <cell r="A473" t="str">
            <v>PWA59610</v>
          </cell>
          <cell r="B473">
            <v>3</v>
          </cell>
          <cell r="C473">
            <v>3</v>
          </cell>
          <cell r="D473">
            <v>3</v>
          </cell>
          <cell r="E473">
            <v>2</v>
          </cell>
          <cell r="F473">
            <v>3</v>
          </cell>
          <cell r="G473">
            <v>2</v>
          </cell>
          <cell r="H473">
            <v>3</v>
          </cell>
          <cell r="I473">
            <v>3</v>
          </cell>
          <cell r="J473">
            <v>3</v>
          </cell>
          <cell r="K473">
            <v>3</v>
          </cell>
          <cell r="L473">
            <v>3</v>
          </cell>
          <cell r="M473">
            <v>2</v>
          </cell>
          <cell r="N473">
            <v>3</v>
          </cell>
          <cell r="O473">
            <v>2</v>
          </cell>
          <cell r="P473">
            <v>2</v>
          </cell>
          <cell r="Q473">
            <v>3</v>
          </cell>
          <cell r="R473">
            <v>3</v>
          </cell>
          <cell r="S473">
            <v>3</v>
          </cell>
          <cell r="T473">
            <v>2</v>
          </cell>
          <cell r="U473">
            <v>2</v>
          </cell>
        </row>
        <row r="474">
          <cell r="A474" t="str">
            <v>PWA59640</v>
          </cell>
          <cell r="B474">
            <v>3</v>
          </cell>
          <cell r="C474">
            <v>3</v>
          </cell>
          <cell r="D474">
            <v>3</v>
          </cell>
          <cell r="E474">
            <v>2</v>
          </cell>
          <cell r="F474">
            <v>3</v>
          </cell>
          <cell r="G474">
            <v>2</v>
          </cell>
          <cell r="H474">
            <v>3</v>
          </cell>
          <cell r="I474">
            <v>3</v>
          </cell>
          <cell r="J474">
            <v>3</v>
          </cell>
          <cell r="K474">
            <v>3</v>
          </cell>
          <cell r="L474">
            <v>3</v>
          </cell>
          <cell r="M474">
            <v>2</v>
          </cell>
          <cell r="N474">
            <v>3</v>
          </cell>
          <cell r="O474">
            <v>2</v>
          </cell>
          <cell r="P474">
            <v>2</v>
          </cell>
          <cell r="Q474">
            <v>3</v>
          </cell>
          <cell r="R474">
            <v>3</v>
          </cell>
          <cell r="S474">
            <v>3</v>
          </cell>
          <cell r="T474">
            <v>2</v>
          </cell>
          <cell r="U474">
            <v>2</v>
          </cell>
        </row>
        <row r="475">
          <cell r="A475" t="str">
            <v>PWA59643</v>
          </cell>
          <cell r="B475">
            <v>1</v>
          </cell>
          <cell r="C475">
            <v>1</v>
          </cell>
          <cell r="D475">
            <v>1</v>
          </cell>
          <cell r="E475">
            <v>1</v>
          </cell>
          <cell r="F475">
            <v>1</v>
          </cell>
          <cell r="G475">
            <v>1</v>
          </cell>
          <cell r="H475">
            <v>1</v>
          </cell>
          <cell r="I475">
            <v>1</v>
          </cell>
          <cell r="J475">
            <v>1</v>
          </cell>
          <cell r="K475">
            <v>1</v>
          </cell>
          <cell r="L475">
            <v>1</v>
          </cell>
          <cell r="M475">
            <v>1</v>
          </cell>
          <cell r="N475">
            <v>1</v>
          </cell>
          <cell r="O475">
            <v>1</v>
          </cell>
          <cell r="P475">
            <v>0</v>
          </cell>
          <cell r="Q475">
            <v>1</v>
          </cell>
          <cell r="R475">
            <v>1</v>
          </cell>
          <cell r="S475">
            <v>1</v>
          </cell>
          <cell r="T475">
            <v>0</v>
          </cell>
          <cell r="U475">
            <v>1</v>
          </cell>
        </row>
        <row r="476">
          <cell r="A476" t="str">
            <v>PWA59665</v>
          </cell>
          <cell r="B476">
            <v>3</v>
          </cell>
          <cell r="C476">
            <v>3</v>
          </cell>
          <cell r="D476">
            <v>3</v>
          </cell>
          <cell r="E476">
            <v>2</v>
          </cell>
          <cell r="F476">
            <v>3</v>
          </cell>
          <cell r="G476">
            <v>2</v>
          </cell>
          <cell r="H476">
            <v>3</v>
          </cell>
          <cell r="I476">
            <v>3</v>
          </cell>
          <cell r="J476">
            <v>3</v>
          </cell>
          <cell r="K476">
            <v>3</v>
          </cell>
          <cell r="L476">
            <v>3</v>
          </cell>
          <cell r="M476">
            <v>2</v>
          </cell>
          <cell r="N476">
            <v>3</v>
          </cell>
          <cell r="O476">
            <v>2</v>
          </cell>
          <cell r="P476">
            <v>2</v>
          </cell>
          <cell r="Q476">
            <v>3</v>
          </cell>
          <cell r="R476">
            <v>3</v>
          </cell>
          <cell r="S476">
            <v>3</v>
          </cell>
          <cell r="T476">
            <v>2</v>
          </cell>
          <cell r="U476">
            <v>2</v>
          </cell>
        </row>
        <row r="477">
          <cell r="A477" t="str">
            <v>PWA59682</v>
          </cell>
          <cell r="B477">
            <v>3</v>
          </cell>
          <cell r="C477">
            <v>3</v>
          </cell>
          <cell r="D477">
            <v>3</v>
          </cell>
          <cell r="E477">
            <v>2</v>
          </cell>
          <cell r="F477">
            <v>3</v>
          </cell>
          <cell r="G477">
            <v>2</v>
          </cell>
          <cell r="H477">
            <v>3</v>
          </cell>
          <cell r="I477">
            <v>3</v>
          </cell>
          <cell r="J477">
            <v>3</v>
          </cell>
          <cell r="K477">
            <v>3</v>
          </cell>
          <cell r="L477">
            <v>3</v>
          </cell>
          <cell r="M477">
            <v>2</v>
          </cell>
          <cell r="N477">
            <v>3</v>
          </cell>
          <cell r="O477">
            <v>2</v>
          </cell>
          <cell r="P477">
            <v>2</v>
          </cell>
          <cell r="Q477">
            <v>3</v>
          </cell>
          <cell r="R477">
            <v>3</v>
          </cell>
          <cell r="S477">
            <v>3</v>
          </cell>
          <cell r="T477">
            <v>2</v>
          </cell>
          <cell r="U477">
            <v>2</v>
          </cell>
        </row>
        <row r="478">
          <cell r="A478" t="str">
            <v>PWA59683</v>
          </cell>
          <cell r="B478">
            <v>3</v>
          </cell>
          <cell r="C478">
            <v>3</v>
          </cell>
          <cell r="D478">
            <v>3</v>
          </cell>
          <cell r="E478">
            <v>2</v>
          </cell>
          <cell r="F478">
            <v>3</v>
          </cell>
          <cell r="G478">
            <v>2</v>
          </cell>
          <cell r="H478">
            <v>3</v>
          </cell>
          <cell r="I478">
            <v>3</v>
          </cell>
          <cell r="J478">
            <v>3</v>
          </cell>
          <cell r="K478">
            <v>3</v>
          </cell>
          <cell r="L478">
            <v>3</v>
          </cell>
          <cell r="M478">
            <v>2</v>
          </cell>
          <cell r="N478">
            <v>3</v>
          </cell>
          <cell r="O478">
            <v>2</v>
          </cell>
          <cell r="P478">
            <v>2</v>
          </cell>
          <cell r="Q478">
            <v>3</v>
          </cell>
          <cell r="R478">
            <v>3</v>
          </cell>
          <cell r="S478">
            <v>3</v>
          </cell>
          <cell r="T478">
            <v>2</v>
          </cell>
          <cell r="U478">
            <v>2</v>
          </cell>
        </row>
        <row r="479">
          <cell r="A479" t="str">
            <v>PWA59725</v>
          </cell>
          <cell r="B479">
            <v>1</v>
          </cell>
          <cell r="C479">
            <v>1</v>
          </cell>
          <cell r="D479">
            <v>1</v>
          </cell>
          <cell r="E479">
            <v>1</v>
          </cell>
          <cell r="F479">
            <v>1</v>
          </cell>
          <cell r="G479">
            <v>1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</row>
        <row r="480">
          <cell r="A480" t="str">
            <v>PWA59764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4</v>
          </cell>
          <cell r="I480">
            <v>0</v>
          </cell>
          <cell r="J480">
            <v>0</v>
          </cell>
          <cell r="K480">
            <v>4</v>
          </cell>
          <cell r="L480">
            <v>4</v>
          </cell>
          <cell r="M480">
            <v>2</v>
          </cell>
          <cell r="N480">
            <v>4</v>
          </cell>
          <cell r="O480">
            <v>4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</row>
        <row r="481">
          <cell r="A481" t="str">
            <v>PWA59768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3</v>
          </cell>
          <cell r="R481">
            <v>3</v>
          </cell>
          <cell r="S481">
            <v>3</v>
          </cell>
          <cell r="T481">
            <v>2</v>
          </cell>
          <cell r="U481">
            <v>0</v>
          </cell>
        </row>
        <row r="482">
          <cell r="A482" t="str">
            <v>PWA59784</v>
          </cell>
          <cell r="B482">
            <v>2</v>
          </cell>
          <cell r="C482">
            <v>2</v>
          </cell>
          <cell r="D482">
            <v>2</v>
          </cell>
          <cell r="E482">
            <v>1</v>
          </cell>
          <cell r="F482">
            <v>2</v>
          </cell>
          <cell r="G482">
            <v>1</v>
          </cell>
          <cell r="H482">
            <v>2</v>
          </cell>
          <cell r="I482">
            <v>2</v>
          </cell>
          <cell r="J482">
            <v>2</v>
          </cell>
          <cell r="K482">
            <v>2</v>
          </cell>
          <cell r="L482">
            <v>2</v>
          </cell>
          <cell r="M482">
            <v>1</v>
          </cell>
          <cell r="N482">
            <v>2</v>
          </cell>
          <cell r="O482">
            <v>1</v>
          </cell>
          <cell r="P482">
            <v>1</v>
          </cell>
          <cell r="Q482">
            <v>2</v>
          </cell>
          <cell r="R482">
            <v>2</v>
          </cell>
          <cell r="S482">
            <v>2</v>
          </cell>
          <cell r="T482">
            <v>1</v>
          </cell>
          <cell r="U482">
            <v>1</v>
          </cell>
        </row>
        <row r="483">
          <cell r="A483" t="str">
            <v>PWA59786</v>
          </cell>
          <cell r="B483">
            <v>3</v>
          </cell>
          <cell r="C483">
            <v>3</v>
          </cell>
          <cell r="D483">
            <v>3</v>
          </cell>
          <cell r="E483">
            <v>2</v>
          </cell>
          <cell r="F483">
            <v>3</v>
          </cell>
          <cell r="G483">
            <v>2</v>
          </cell>
          <cell r="H483">
            <v>3</v>
          </cell>
          <cell r="I483">
            <v>3</v>
          </cell>
          <cell r="J483">
            <v>3</v>
          </cell>
          <cell r="K483">
            <v>3</v>
          </cell>
          <cell r="L483">
            <v>3</v>
          </cell>
          <cell r="M483">
            <v>2</v>
          </cell>
          <cell r="N483">
            <v>3</v>
          </cell>
          <cell r="O483">
            <v>2</v>
          </cell>
          <cell r="P483">
            <v>2</v>
          </cell>
          <cell r="Q483">
            <v>3</v>
          </cell>
          <cell r="R483">
            <v>3</v>
          </cell>
          <cell r="S483">
            <v>3</v>
          </cell>
          <cell r="T483">
            <v>2</v>
          </cell>
          <cell r="U483">
            <v>2</v>
          </cell>
        </row>
        <row r="484">
          <cell r="A484" t="str">
            <v>PWA59789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3</v>
          </cell>
          <cell r="I484">
            <v>0</v>
          </cell>
          <cell r="J484">
            <v>0</v>
          </cell>
          <cell r="K484">
            <v>3</v>
          </cell>
          <cell r="L484">
            <v>3</v>
          </cell>
          <cell r="M484">
            <v>2</v>
          </cell>
          <cell r="N484">
            <v>3</v>
          </cell>
          <cell r="O484">
            <v>2</v>
          </cell>
          <cell r="P484">
            <v>2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</row>
        <row r="485">
          <cell r="A485" t="str">
            <v>PWA59792</v>
          </cell>
          <cell r="B485">
            <v>8</v>
          </cell>
          <cell r="C485">
            <v>8</v>
          </cell>
          <cell r="D485">
            <v>8</v>
          </cell>
          <cell r="E485">
            <v>8</v>
          </cell>
          <cell r="F485">
            <v>8</v>
          </cell>
          <cell r="G485">
            <v>8</v>
          </cell>
          <cell r="H485">
            <v>8</v>
          </cell>
          <cell r="I485">
            <v>8</v>
          </cell>
          <cell r="J485">
            <v>8</v>
          </cell>
          <cell r="K485">
            <v>8</v>
          </cell>
          <cell r="L485">
            <v>8</v>
          </cell>
          <cell r="M485">
            <v>8</v>
          </cell>
          <cell r="N485">
            <v>8</v>
          </cell>
          <cell r="O485">
            <v>8</v>
          </cell>
          <cell r="P485">
            <v>8</v>
          </cell>
          <cell r="Q485">
            <v>8</v>
          </cell>
          <cell r="R485">
            <v>8</v>
          </cell>
          <cell r="S485">
            <v>8</v>
          </cell>
          <cell r="T485">
            <v>8</v>
          </cell>
          <cell r="U485">
            <v>8</v>
          </cell>
        </row>
        <row r="486">
          <cell r="A486" t="str">
            <v>PWA59803</v>
          </cell>
          <cell r="B486">
            <v>1</v>
          </cell>
          <cell r="C486">
            <v>1</v>
          </cell>
          <cell r="D486">
            <v>1</v>
          </cell>
          <cell r="E486">
            <v>1</v>
          </cell>
          <cell r="F486">
            <v>1</v>
          </cell>
          <cell r="G486">
            <v>1</v>
          </cell>
          <cell r="H486">
            <v>1</v>
          </cell>
          <cell r="I486">
            <v>1</v>
          </cell>
          <cell r="J486">
            <v>1</v>
          </cell>
          <cell r="K486">
            <v>1</v>
          </cell>
          <cell r="L486">
            <v>1</v>
          </cell>
          <cell r="M486">
            <v>1</v>
          </cell>
          <cell r="N486">
            <v>1</v>
          </cell>
          <cell r="O486">
            <v>1</v>
          </cell>
          <cell r="P486">
            <v>1</v>
          </cell>
          <cell r="Q486">
            <v>1</v>
          </cell>
          <cell r="R486">
            <v>1</v>
          </cell>
          <cell r="S486">
            <v>1</v>
          </cell>
          <cell r="T486">
            <v>1</v>
          </cell>
          <cell r="U486">
            <v>1</v>
          </cell>
        </row>
        <row r="487">
          <cell r="A487" t="str">
            <v>PWA59810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2</v>
          </cell>
          <cell r="I487">
            <v>0</v>
          </cell>
          <cell r="J487">
            <v>0</v>
          </cell>
          <cell r="K487">
            <v>2</v>
          </cell>
          <cell r="L487">
            <v>2</v>
          </cell>
          <cell r="M487">
            <v>1</v>
          </cell>
          <cell r="N487">
            <v>2</v>
          </cell>
          <cell r="O487">
            <v>2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</row>
        <row r="488">
          <cell r="A488" t="str">
            <v>PWA59811</v>
          </cell>
          <cell r="B488">
            <v>2</v>
          </cell>
          <cell r="C488">
            <v>2</v>
          </cell>
          <cell r="D488">
            <v>2</v>
          </cell>
          <cell r="E488">
            <v>0</v>
          </cell>
          <cell r="F488">
            <v>2</v>
          </cell>
          <cell r="G488">
            <v>0</v>
          </cell>
          <cell r="H488">
            <v>2</v>
          </cell>
          <cell r="I488">
            <v>2</v>
          </cell>
          <cell r="J488">
            <v>2</v>
          </cell>
          <cell r="K488">
            <v>2</v>
          </cell>
          <cell r="L488">
            <v>2</v>
          </cell>
          <cell r="M488">
            <v>0</v>
          </cell>
          <cell r="N488">
            <v>2</v>
          </cell>
          <cell r="O488">
            <v>0</v>
          </cell>
          <cell r="P488">
            <v>0</v>
          </cell>
          <cell r="Q488">
            <v>2</v>
          </cell>
          <cell r="R488">
            <v>2</v>
          </cell>
          <cell r="S488">
            <v>2</v>
          </cell>
          <cell r="T488">
            <v>0</v>
          </cell>
          <cell r="U488">
            <v>0</v>
          </cell>
        </row>
        <row r="489">
          <cell r="A489" t="str">
            <v>PWA59826</v>
          </cell>
          <cell r="B489">
            <v>1</v>
          </cell>
          <cell r="C489">
            <v>1</v>
          </cell>
          <cell r="D489">
            <v>1</v>
          </cell>
          <cell r="E489">
            <v>1</v>
          </cell>
          <cell r="F489">
            <v>1</v>
          </cell>
          <cell r="G489">
            <v>1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P489">
            <v>1</v>
          </cell>
          <cell r="Q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</row>
        <row r="490">
          <cell r="A490" t="str">
            <v>PWA59828</v>
          </cell>
          <cell r="B490">
            <v>1</v>
          </cell>
          <cell r="C490">
            <v>1</v>
          </cell>
          <cell r="D490">
            <v>1</v>
          </cell>
          <cell r="E490">
            <v>1</v>
          </cell>
          <cell r="F490">
            <v>1</v>
          </cell>
          <cell r="G490">
            <v>1</v>
          </cell>
          <cell r="H490">
            <v>1</v>
          </cell>
          <cell r="I490">
            <v>1</v>
          </cell>
          <cell r="J490">
            <v>1</v>
          </cell>
          <cell r="K490">
            <v>1</v>
          </cell>
          <cell r="L490">
            <v>1</v>
          </cell>
          <cell r="M490">
            <v>1</v>
          </cell>
          <cell r="N490">
            <v>1</v>
          </cell>
          <cell r="O490">
            <v>1</v>
          </cell>
          <cell r="P490">
            <v>0</v>
          </cell>
          <cell r="Q490">
            <v>1</v>
          </cell>
          <cell r="R490">
            <v>1</v>
          </cell>
          <cell r="S490">
            <v>1</v>
          </cell>
          <cell r="T490">
            <v>0</v>
          </cell>
          <cell r="U490">
            <v>1</v>
          </cell>
        </row>
        <row r="491">
          <cell r="A491" t="str">
            <v>PWA59836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1</v>
          </cell>
          <cell r="I491">
            <v>0</v>
          </cell>
          <cell r="J491">
            <v>0</v>
          </cell>
          <cell r="K491">
            <v>1</v>
          </cell>
          <cell r="L491">
            <v>1</v>
          </cell>
          <cell r="M491">
            <v>1</v>
          </cell>
          <cell r="N491">
            <v>1</v>
          </cell>
          <cell r="O491">
            <v>1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</row>
        <row r="492">
          <cell r="A492" t="str">
            <v>PWA59837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1</v>
          </cell>
          <cell r="Q492">
            <v>1</v>
          </cell>
          <cell r="R492">
            <v>1</v>
          </cell>
          <cell r="S492">
            <v>1</v>
          </cell>
          <cell r="T492">
            <v>1</v>
          </cell>
          <cell r="U492">
            <v>0</v>
          </cell>
        </row>
        <row r="493">
          <cell r="A493" t="str">
            <v>PWA59847</v>
          </cell>
          <cell r="B493">
            <v>2</v>
          </cell>
          <cell r="C493">
            <v>2</v>
          </cell>
          <cell r="D493">
            <v>2</v>
          </cell>
          <cell r="E493">
            <v>1</v>
          </cell>
          <cell r="F493">
            <v>2</v>
          </cell>
          <cell r="G493">
            <v>1</v>
          </cell>
          <cell r="H493">
            <v>2</v>
          </cell>
          <cell r="I493">
            <v>2</v>
          </cell>
          <cell r="J493">
            <v>2</v>
          </cell>
          <cell r="K493">
            <v>2</v>
          </cell>
          <cell r="L493">
            <v>2</v>
          </cell>
          <cell r="M493">
            <v>1</v>
          </cell>
          <cell r="N493">
            <v>2</v>
          </cell>
          <cell r="O493">
            <v>1</v>
          </cell>
          <cell r="P493">
            <v>1</v>
          </cell>
          <cell r="Q493">
            <v>2</v>
          </cell>
          <cell r="R493">
            <v>2</v>
          </cell>
          <cell r="S493">
            <v>2</v>
          </cell>
          <cell r="T493">
            <v>1</v>
          </cell>
          <cell r="U493">
            <v>1</v>
          </cell>
        </row>
        <row r="494">
          <cell r="A494" t="str">
            <v>PWA59871</v>
          </cell>
          <cell r="B494">
            <v>2</v>
          </cell>
          <cell r="C494">
            <v>2</v>
          </cell>
          <cell r="D494">
            <v>2</v>
          </cell>
          <cell r="E494">
            <v>1</v>
          </cell>
          <cell r="F494">
            <v>2</v>
          </cell>
          <cell r="G494">
            <v>1</v>
          </cell>
          <cell r="H494">
            <v>2</v>
          </cell>
          <cell r="I494">
            <v>2</v>
          </cell>
          <cell r="J494">
            <v>2</v>
          </cell>
          <cell r="K494">
            <v>2</v>
          </cell>
          <cell r="L494">
            <v>2</v>
          </cell>
          <cell r="M494">
            <v>1</v>
          </cell>
          <cell r="N494">
            <v>2</v>
          </cell>
          <cell r="O494">
            <v>1</v>
          </cell>
          <cell r="P494">
            <v>1</v>
          </cell>
          <cell r="Q494">
            <v>2</v>
          </cell>
          <cell r="R494">
            <v>2</v>
          </cell>
          <cell r="S494">
            <v>2</v>
          </cell>
          <cell r="T494">
            <v>1</v>
          </cell>
          <cell r="U494">
            <v>1</v>
          </cell>
        </row>
        <row r="495">
          <cell r="A495" t="str">
            <v>PWA59872</v>
          </cell>
          <cell r="B495">
            <v>1</v>
          </cell>
          <cell r="C495">
            <v>1</v>
          </cell>
          <cell r="D495">
            <v>1</v>
          </cell>
          <cell r="E495">
            <v>1</v>
          </cell>
          <cell r="F495">
            <v>1</v>
          </cell>
          <cell r="G495">
            <v>1</v>
          </cell>
          <cell r="H495">
            <v>1</v>
          </cell>
          <cell r="I495">
            <v>1</v>
          </cell>
          <cell r="J495">
            <v>1</v>
          </cell>
          <cell r="K495">
            <v>1</v>
          </cell>
          <cell r="L495">
            <v>1</v>
          </cell>
          <cell r="M495">
            <v>1</v>
          </cell>
          <cell r="N495">
            <v>1</v>
          </cell>
          <cell r="O495">
            <v>1</v>
          </cell>
          <cell r="P495">
            <v>0</v>
          </cell>
          <cell r="Q495">
            <v>1</v>
          </cell>
          <cell r="R495">
            <v>1</v>
          </cell>
          <cell r="S495">
            <v>1</v>
          </cell>
          <cell r="T495">
            <v>0</v>
          </cell>
          <cell r="U495">
            <v>1</v>
          </cell>
        </row>
        <row r="496">
          <cell r="A496" t="str">
            <v>PWA59884</v>
          </cell>
          <cell r="B496">
            <v>4</v>
          </cell>
          <cell r="C496">
            <v>4</v>
          </cell>
          <cell r="D496">
            <v>4</v>
          </cell>
          <cell r="E496">
            <v>4</v>
          </cell>
          <cell r="F496">
            <v>4</v>
          </cell>
          <cell r="G496">
            <v>4</v>
          </cell>
          <cell r="H496">
            <v>4</v>
          </cell>
          <cell r="I496">
            <v>4</v>
          </cell>
          <cell r="J496">
            <v>4</v>
          </cell>
          <cell r="K496">
            <v>4</v>
          </cell>
          <cell r="L496">
            <v>4</v>
          </cell>
          <cell r="M496">
            <v>2</v>
          </cell>
          <cell r="N496">
            <v>4</v>
          </cell>
          <cell r="O496">
            <v>4</v>
          </cell>
          <cell r="P496">
            <v>0</v>
          </cell>
          <cell r="Q496">
            <v>4</v>
          </cell>
          <cell r="R496">
            <v>4</v>
          </cell>
          <cell r="S496">
            <v>4</v>
          </cell>
          <cell r="T496">
            <v>0</v>
          </cell>
          <cell r="U496">
            <v>4</v>
          </cell>
        </row>
        <row r="497">
          <cell r="A497" t="str">
            <v>PWA59915</v>
          </cell>
          <cell r="B497">
            <v>2</v>
          </cell>
          <cell r="C497">
            <v>2</v>
          </cell>
          <cell r="D497">
            <v>2</v>
          </cell>
          <cell r="E497">
            <v>1</v>
          </cell>
          <cell r="F497">
            <v>2</v>
          </cell>
          <cell r="G497">
            <v>1</v>
          </cell>
          <cell r="H497">
            <v>2</v>
          </cell>
          <cell r="I497">
            <v>2</v>
          </cell>
          <cell r="J497">
            <v>2</v>
          </cell>
          <cell r="K497">
            <v>2</v>
          </cell>
          <cell r="L497">
            <v>2</v>
          </cell>
          <cell r="M497">
            <v>1</v>
          </cell>
          <cell r="N497">
            <v>2</v>
          </cell>
          <cell r="O497">
            <v>1</v>
          </cell>
          <cell r="P497">
            <v>1</v>
          </cell>
          <cell r="Q497">
            <v>2</v>
          </cell>
          <cell r="R497">
            <v>2</v>
          </cell>
          <cell r="S497">
            <v>2</v>
          </cell>
          <cell r="T497">
            <v>1</v>
          </cell>
          <cell r="U497">
            <v>1</v>
          </cell>
        </row>
        <row r="498">
          <cell r="A498" t="str">
            <v>PWA59919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3</v>
          </cell>
          <cell r="I498">
            <v>0</v>
          </cell>
          <cell r="J498">
            <v>0</v>
          </cell>
          <cell r="K498">
            <v>3</v>
          </cell>
          <cell r="L498">
            <v>3</v>
          </cell>
          <cell r="M498">
            <v>2</v>
          </cell>
          <cell r="N498">
            <v>3</v>
          </cell>
          <cell r="O498">
            <v>2</v>
          </cell>
          <cell r="P498">
            <v>2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</row>
        <row r="499">
          <cell r="A499" t="str">
            <v>PWA59921</v>
          </cell>
          <cell r="B499">
            <v>1</v>
          </cell>
          <cell r="C499">
            <v>1</v>
          </cell>
          <cell r="D499">
            <v>1</v>
          </cell>
          <cell r="E499">
            <v>1</v>
          </cell>
          <cell r="F499">
            <v>1</v>
          </cell>
          <cell r="G499">
            <v>1</v>
          </cell>
          <cell r="H499">
            <v>1</v>
          </cell>
          <cell r="I499">
            <v>1</v>
          </cell>
          <cell r="J499">
            <v>1</v>
          </cell>
          <cell r="K499">
            <v>1</v>
          </cell>
          <cell r="L499">
            <v>1</v>
          </cell>
          <cell r="M499">
            <v>1</v>
          </cell>
          <cell r="N499">
            <v>1</v>
          </cell>
          <cell r="O499">
            <v>1</v>
          </cell>
          <cell r="P499">
            <v>1</v>
          </cell>
          <cell r="Q499">
            <v>1</v>
          </cell>
          <cell r="R499">
            <v>1</v>
          </cell>
          <cell r="S499">
            <v>1</v>
          </cell>
          <cell r="T499">
            <v>1</v>
          </cell>
          <cell r="U499">
            <v>1</v>
          </cell>
        </row>
        <row r="500">
          <cell r="A500" t="str">
            <v>PWA59928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2</v>
          </cell>
          <cell r="I500">
            <v>0</v>
          </cell>
          <cell r="J500">
            <v>0</v>
          </cell>
          <cell r="K500">
            <v>2</v>
          </cell>
          <cell r="L500">
            <v>2</v>
          </cell>
          <cell r="M500">
            <v>1</v>
          </cell>
          <cell r="N500">
            <v>2</v>
          </cell>
          <cell r="O500">
            <v>2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</row>
        <row r="501">
          <cell r="A501" t="str">
            <v>PWA59929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2</v>
          </cell>
          <cell r="I501">
            <v>0</v>
          </cell>
          <cell r="J501">
            <v>0</v>
          </cell>
          <cell r="K501">
            <v>2</v>
          </cell>
          <cell r="L501">
            <v>2</v>
          </cell>
          <cell r="M501">
            <v>1</v>
          </cell>
          <cell r="N501">
            <v>2</v>
          </cell>
          <cell r="O501">
            <v>2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</row>
        <row r="502">
          <cell r="A502" t="str">
            <v>PWA59936</v>
          </cell>
          <cell r="B502">
            <v>1</v>
          </cell>
          <cell r="C502">
            <v>1</v>
          </cell>
          <cell r="D502">
            <v>1</v>
          </cell>
          <cell r="E502">
            <v>1</v>
          </cell>
          <cell r="F502">
            <v>1</v>
          </cell>
          <cell r="G502">
            <v>1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1</v>
          </cell>
          <cell r="M502">
            <v>1</v>
          </cell>
          <cell r="N502">
            <v>1</v>
          </cell>
          <cell r="O502">
            <v>1</v>
          </cell>
          <cell r="P502">
            <v>1</v>
          </cell>
          <cell r="Q502">
            <v>1</v>
          </cell>
          <cell r="R502">
            <v>1</v>
          </cell>
          <cell r="S502">
            <v>1</v>
          </cell>
          <cell r="T502">
            <v>1</v>
          </cell>
          <cell r="U502">
            <v>1</v>
          </cell>
        </row>
        <row r="503">
          <cell r="A503" t="str">
            <v>PWA59937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3</v>
          </cell>
          <cell r="I503">
            <v>0</v>
          </cell>
          <cell r="J503">
            <v>0</v>
          </cell>
          <cell r="K503">
            <v>3</v>
          </cell>
          <cell r="L503">
            <v>3</v>
          </cell>
          <cell r="M503">
            <v>2</v>
          </cell>
          <cell r="N503">
            <v>3</v>
          </cell>
          <cell r="O503">
            <v>2</v>
          </cell>
          <cell r="P503">
            <v>2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</row>
        <row r="504">
          <cell r="A504" t="str">
            <v>PWA59938</v>
          </cell>
          <cell r="B504">
            <v>3</v>
          </cell>
          <cell r="C504">
            <v>3</v>
          </cell>
          <cell r="D504">
            <v>3</v>
          </cell>
          <cell r="E504">
            <v>2</v>
          </cell>
          <cell r="F504">
            <v>3</v>
          </cell>
          <cell r="G504">
            <v>2</v>
          </cell>
          <cell r="H504">
            <v>0</v>
          </cell>
          <cell r="I504">
            <v>3</v>
          </cell>
          <cell r="J504">
            <v>3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3</v>
          </cell>
          <cell r="R504">
            <v>3</v>
          </cell>
          <cell r="S504">
            <v>3</v>
          </cell>
          <cell r="T504">
            <v>2</v>
          </cell>
          <cell r="U504">
            <v>2</v>
          </cell>
        </row>
        <row r="505">
          <cell r="A505" t="str">
            <v>PWA59944</v>
          </cell>
          <cell r="B505">
            <v>2</v>
          </cell>
          <cell r="C505">
            <v>2</v>
          </cell>
          <cell r="D505">
            <v>2</v>
          </cell>
          <cell r="E505">
            <v>1</v>
          </cell>
          <cell r="F505">
            <v>2</v>
          </cell>
          <cell r="G505">
            <v>1</v>
          </cell>
          <cell r="H505">
            <v>2</v>
          </cell>
          <cell r="I505">
            <v>2</v>
          </cell>
          <cell r="J505">
            <v>2</v>
          </cell>
          <cell r="K505">
            <v>2</v>
          </cell>
          <cell r="L505">
            <v>2</v>
          </cell>
          <cell r="M505">
            <v>1</v>
          </cell>
          <cell r="N505">
            <v>2</v>
          </cell>
          <cell r="O505">
            <v>1</v>
          </cell>
          <cell r="P505">
            <v>1</v>
          </cell>
          <cell r="Q505">
            <v>2</v>
          </cell>
          <cell r="R505">
            <v>2</v>
          </cell>
          <cell r="S505">
            <v>2</v>
          </cell>
          <cell r="T505">
            <v>1</v>
          </cell>
          <cell r="U505">
            <v>1</v>
          </cell>
        </row>
        <row r="506">
          <cell r="A506" t="str">
            <v>PWA59946</v>
          </cell>
          <cell r="B506">
            <v>2</v>
          </cell>
          <cell r="C506">
            <v>2</v>
          </cell>
          <cell r="D506">
            <v>2</v>
          </cell>
          <cell r="E506">
            <v>1</v>
          </cell>
          <cell r="F506">
            <v>2</v>
          </cell>
          <cell r="G506">
            <v>1</v>
          </cell>
          <cell r="H506">
            <v>2</v>
          </cell>
          <cell r="I506">
            <v>2</v>
          </cell>
          <cell r="J506">
            <v>2</v>
          </cell>
          <cell r="K506">
            <v>2</v>
          </cell>
          <cell r="L506">
            <v>2</v>
          </cell>
          <cell r="M506">
            <v>1</v>
          </cell>
          <cell r="N506">
            <v>2</v>
          </cell>
          <cell r="O506">
            <v>1</v>
          </cell>
          <cell r="P506">
            <v>1</v>
          </cell>
          <cell r="Q506">
            <v>2</v>
          </cell>
          <cell r="R506">
            <v>2</v>
          </cell>
          <cell r="S506">
            <v>2</v>
          </cell>
          <cell r="T506">
            <v>1</v>
          </cell>
          <cell r="U506">
            <v>1</v>
          </cell>
        </row>
        <row r="507">
          <cell r="A507" t="str">
            <v>PWA59947</v>
          </cell>
          <cell r="B507">
            <v>1</v>
          </cell>
          <cell r="C507">
            <v>1</v>
          </cell>
          <cell r="D507">
            <v>1</v>
          </cell>
          <cell r="E507">
            <v>1</v>
          </cell>
          <cell r="F507">
            <v>1</v>
          </cell>
          <cell r="G507">
            <v>1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</row>
        <row r="508">
          <cell r="A508" t="str">
            <v>PWA59955</v>
          </cell>
          <cell r="B508">
            <v>1</v>
          </cell>
          <cell r="C508">
            <v>1</v>
          </cell>
          <cell r="D508">
            <v>1</v>
          </cell>
          <cell r="E508">
            <v>1</v>
          </cell>
          <cell r="F508">
            <v>1</v>
          </cell>
          <cell r="G508">
            <v>1</v>
          </cell>
          <cell r="H508">
            <v>1</v>
          </cell>
          <cell r="I508">
            <v>1</v>
          </cell>
          <cell r="J508">
            <v>1</v>
          </cell>
          <cell r="K508">
            <v>1</v>
          </cell>
          <cell r="L508">
            <v>1</v>
          </cell>
          <cell r="M508">
            <v>1</v>
          </cell>
          <cell r="N508">
            <v>1</v>
          </cell>
          <cell r="O508">
            <v>1</v>
          </cell>
          <cell r="P508">
            <v>0</v>
          </cell>
          <cell r="Q508">
            <v>1</v>
          </cell>
          <cell r="R508">
            <v>1</v>
          </cell>
          <cell r="S508">
            <v>1</v>
          </cell>
          <cell r="T508">
            <v>0</v>
          </cell>
          <cell r="U508">
            <v>1</v>
          </cell>
        </row>
        <row r="509">
          <cell r="A509" t="str">
            <v>PWA59966</v>
          </cell>
          <cell r="B509">
            <v>1</v>
          </cell>
          <cell r="C509">
            <v>1</v>
          </cell>
          <cell r="D509">
            <v>1</v>
          </cell>
          <cell r="E509">
            <v>1</v>
          </cell>
          <cell r="F509">
            <v>1</v>
          </cell>
          <cell r="G509">
            <v>1</v>
          </cell>
          <cell r="H509">
            <v>1</v>
          </cell>
          <cell r="I509">
            <v>1</v>
          </cell>
          <cell r="J509">
            <v>1</v>
          </cell>
          <cell r="K509">
            <v>1</v>
          </cell>
          <cell r="L509">
            <v>1</v>
          </cell>
          <cell r="M509">
            <v>1</v>
          </cell>
          <cell r="N509">
            <v>1</v>
          </cell>
          <cell r="O509">
            <v>1</v>
          </cell>
          <cell r="P509">
            <v>1</v>
          </cell>
          <cell r="Q509">
            <v>1</v>
          </cell>
          <cell r="R509">
            <v>1</v>
          </cell>
          <cell r="S509">
            <v>1</v>
          </cell>
          <cell r="T509">
            <v>1</v>
          </cell>
          <cell r="U509">
            <v>1</v>
          </cell>
        </row>
        <row r="510">
          <cell r="A510" t="str">
            <v>RR-JST15075000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</v>
          </cell>
          <cell r="J510">
            <v>0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O510">
            <v>1</v>
          </cell>
          <cell r="P510">
            <v>1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</row>
        <row r="511">
          <cell r="A511" t="str">
            <v>RR-S3S25005000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</v>
          </cell>
          <cell r="J511">
            <v>0</v>
          </cell>
          <cell r="K511">
            <v>1</v>
          </cell>
          <cell r="L511">
            <v>1</v>
          </cell>
          <cell r="M511">
            <v>1</v>
          </cell>
          <cell r="N511">
            <v>1</v>
          </cell>
          <cell r="O511">
            <v>1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</row>
        <row r="512">
          <cell r="A512" t="str">
            <v>RR-S3S25054000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</v>
          </cell>
          <cell r="J512">
            <v>0</v>
          </cell>
          <cell r="K512">
            <v>1</v>
          </cell>
          <cell r="L512">
            <v>1</v>
          </cell>
          <cell r="M512">
            <v>1</v>
          </cell>
          <cell r="N512">
            <v>1</v>
          </cell>
          <cell r="O512">
            <v>1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</row>
        <row r="513">
          <cell r="A513" t="str">
            <v>RR-S3S25060000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</v>
          </cell>
          <cell r="J513">
            <v>0</v>
          </cell>
          <cell r="K513">
            <v>1</v>
          </cell>
          <cell r="L513">
            <v>1</v>
          </cell>
          <cell r="M513">
            <v>1</v>
          </cell>
          <cell r="N513">
            <v>1</v>
          </cell>
          <cell r="O513">
            <v>1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</row>
        <row r="514">
          <cell r="A514" t="str">
            <v>RR-S3S25077000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1</v>
          </cell>
          <cell r="I514">
            <v>0</v>
          </cell>
          <cell r="J514">
            <v>0</v>
          </cell>
          <cell r="K514">
            <v>1</v>
          </cell>
          <cell r="L514">
            <v>1</v>
          </cell>
          <cell r="M514">
            <v>1</v>
          </cell>
          <cell r="N514">
            <v>1</v>
          </cell>
          <cell r="O514">
            <v>1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</row>
        <row r="515">
          <cell r="A515" t="str">
            <v>RR-S3S25080000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1</v>
          </cell>
          <cell r="I515">
            <v>0</v>
          </cell>
          <cell r="J515">
            <v>0</v>
          </cell>
          <cell r="K515">
            <v>1</v>
          </cell>
          <cell r="L515">
            <v>1</v>
          </cell>
          <cell r="M515">
            <v>1</v>
          </cell>
          <cell r="N515">
            <v>1</v>
          </cell>
          <cell r="O515">
            <v>1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</row>
        <row r="516">
          <cell r="A516" t="str">
            <v>RR-S3S25082000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1</v>
          </cell>
          <cell r="I516">
            <v>0</v>
          </cell>
          <cell r="J516">
            <v>0</v>
          </cell>
          <cell r="K516">
            <v>1</v>
          </cell>
          <cell r="L516">
            <v>1</v>
          </cell>
          <cell r="M516">
            <v>1</v>
          </cell>
          <cell r="N516">
            <v>1</v>
          </cell>
          <cell r="O516">
            <v>1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</row>
        <row r="517">
          <cell r="A517" t="str">
            <v>RR-S3S25088000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1</v>
          </cell>
          <cell r="I517">
            <v>0</v>
          </cell>
          <cell r="J517">
            <v>0</v>
          </cell>
          <cell r="K517">
            <v>1</v>
          </cell>
          <cell r="L517">
            <v>1</v>
          </cell>
          <cell r="M517">
            <v>1</v>
          </cell>
          <cell r="N517">
            <v>1</v>
          </cell>
          <cell r="O517">
            <v>1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</row>
        <row r="518">
          <cell r="A518" t="str">
            <v>RR-S3S25111000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</v>
          </cell>
          <cell r="J518">
            <v>0</v>
          </cell>
          <cell r="K518">
            <v>1</v>
          </cell>
          <cell r="L518">
            <v>1</v>
          </cell>
          <cell r="M518">
            <v>1</v>
          </cell>
          <cell r="N518">
            <v>1</v>
          </cell>
          <cell r="O518">
            <v>1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</row>
        <row r="519">
          <cell r="A519" t="str">
            <v>RR-S3S25112000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1</v>
          </cell>
          <cell r="I519">
            <v>0</v>
          </cell>
          <cell r="J519">
            <v>0</v>
          </cell>
          <cell r="K519">
            <v>1</v>
          </cell>
          <cell r="L519">
            <v>1</v>
          </cell>
          <cell r="M519">
            <v>1</v>
          </cell>
          <cell r="N519">
            <v>1</v>
          </cell>
          <cell r="O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</row>
        <row r="520">
          <cell r="A520" t="str">
            <v>RR-S3S25114000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1</v>
          </cell>
          <cell r="I520">
            <v>0</v>
          </cell>
          <cell r="J520">
            <v>0</v>
          </cell>
          <cell r="K520">
            <v>1</v>
          </cell>
          <cell r="L520">
            <v>1</v>
          </cell>
          <cell r="M520">
            <v>1</v>
          </cell>
          <cell r="N520">
            <v>1</v>
          </cell>
          <cell r="O520">
            <v>1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</row>
        <row r="521">
          <cell r="A521" t="str">
            <v>RR-S3S25115000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1</v>
          </cell>
          <cell r="I521">
            <v>0</v>
          </cell>
          <cell r="J521">
            <v>0</v>
          </cell>
          <cell r="K521">
            <v>1</v>
          </cell>
          <cell r="L521">
            <v>1</v>
          </cell>
          <cell r="M521">
            <v>1</v>
          </cell>
          <cell r="N521">
            <v>1</v>
          </cell>
          <cell r="O521">
            <v>1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</row>
        <row r="522">
          <cell r="A522" t="str">
            <v>RR-S3S25116000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1</v>
          </cell>
          <cell r="I522">
            <v>0</v>
          </cell>
          <cell r="J522">
            <v>0</v>
          </cell>
          <cell r="K522">
            <v>1</v>
          </cell>
          <cell r="L522">
            <v>1</v>
          </cell>
          <cell r="M522">
            <v>1</v>
          </cell>
          <cell r="N522">
            <v>1</v>
          </cell>
          <cell r="O522">
            <v>1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A523" t="str">
            <v>RR-S3S25117000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1</v>
          </cell>
          <cell r="I523">
            <v>0</v>
          </cell>
          <cell r="J523">
            <v>0</v>
          </cell>
          <cell r="K523">
            <v>1</v>
          </cell>
          <cell r="L523">
            <v>1</v>
          </cell>
          <cell r="M523">
            <v>1</v>
          </cell>
          <cell r="N523">
            <v>1</v>
          </cell>
          <cell r="O523">
            <v>1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A524" t="str">
            <v>RR-S3S25118000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1</v>
          </cell>
          <cell r="I524">
            <v>0</v>
          </cell>
          <cell r="J524">
            <v>0</v>
          </cell>
          <cell r="K524">
            <v>1</v>
          </cell>
          <cell r="L524">
            <v>1</v>
          </cell>
          <cell r="M524">
            <v>1</v>
          </cell>
          <cell r="N524">
            <v>1</v>
          </cell>
          <cell r="O524">
            <v>1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A525" t="str">
            <v>RR-S3S25119000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1</v>
          </cell>
          <cell r="I525">
            <v>0</v>
          </cell>
          <cell r="J525">
            <v>0</v>
          </cell>
          <cell r="K525">
            <v>1</v>
          </cell>
          <cell r="L525">
            <v>1</v>
          </cell>
          <cell r="M525">
            <v>1</v>
          </cell>
          <cell r="N525">
            <v>1</v>
          </cell>
          <cell r="O525">
            <v>1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A526" t="str">
            <v>RR-S3S25125000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1</v>
          </cell>
          <cell r="I526">
            <v>0</v>
          </cell>
          <cell r="J526">
            <v>0</v>
          </cell>
          <cell r="K526">
            <v>1</v>
          </cell>
          <cell r="L526">
            <v>1</v>
          </cell>
          <cell r="M526">
            <v>1</v>
          </cell>
          <cell r="N526">
            <v>1</v>
          </cell>
          <cell r="O526">
            <v>1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A527" t="str">
            <v>RR-S3S25126000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1</v>
          </cell>
          <cell r="I527">
            <v>0</v>
          </cell>
          <cell r="J527">
            <v>0</v>
          </cell>
          <cell r="K527">
            <v>1</v>
          </cell>
          <cell r="L527">
            <v>1</v>
          </cell>
          <cell r="M527">
            <v>1</v>
          </cell>
          <cell r="N527">
            <v>1</v>
          </cell>
          <cell r="O527">
            <v>1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A528" t="str">
            <v>RR-S3S25127000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</v>
          </cell>
          <cell r="J528">
            <v>0</v>
          </cell>
          <cell r="K528">
            <v>1</v>
          </cell>
          <cell r="L528">
            <v>1</v>
          </cell>
          <cell r="M528">
            <v>1</v>
          </cell>
          <cell r="N528">
            <v>1</v>
          </cell>
          <cell r="O528">
            <v>1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A529" t="str">
            <v>RR-S3S25128000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1</v>
          </cell>
          <cell r="I529">
            <v>0</v>
          </cell>
          <cell r="J529">
            <v>0</v>
          </cell>
          <cell r="K529">
            <v>1</v>
          </cell>
          <cell r="L529">
            <v>1</v>
          </cell>
          <cell r="M529">
            <v>1</v>
          </cell>
          <cell r="N529">
            <v>1</v>
          </cell>
          <cell r="O529">
            <v>1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</row>
        <row r="530">
          <cell r="A530" t="str">
            <v>RR-S3S25129000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1</v>
          </cell>
          <cell r="L530">
            <v>1</v>
          </cell>
          <cell r="M530">
            <v>1</v>
          </cell>
          <cell r="N530">
            <v>1</v>
          </cell>
          <cell r="O530">
            <v>1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</row>
        <row r="531">
          <cell r="A531" t="str">
            <v>RR-S3S25131000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</v>
          </cell>
          <cell r="J531">
            <v>0</v>
          </cell>
          <cell r="K531">
            <v>1</v>
          </cell>
          <cell r="L531">
            <v>1</v>
          </cell>
          <cell r="M531">
            <v>1</v>
          </cell>
          <cell r="N531">
            <v>1</v>
          </cell>
          <cell r="O531">
            <v>1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</row>
        <row r="532">
          <cell r="A532" t="str">
            <v>RR-S3S25134000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1</v>
          </cell>
          <cell r="I532">
            <v>0</v>
          </cell>
          <cell r="J532">
            <v>0</v>
          </cell>
          <cell r="K532">
            <v>1</v>
          </cell>
          <cell r="L532">
            <v>1</v>
          </cell>
          <cell r="M532">
            <v>1</v>
          </cell>
          <cell r="N532">
            <v>1</v>
          </cell>
          <cell r="O532">
            <v>1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</row>
        <row r="533">
          <cell r="A533" t="str">
            <v>RR-S3S25135000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1</v>
          </cell>
          <cell r="I533">
            <v>0</v>
          </cell>
          <cell r="J533">
            <v>0</v>
          </cell>
          <cell r="K533">
            <v>1</v>
          </cell>
          <cell r="L533">
            <v>1</v>
          </cell>
          <cell r="M533">
            <v>1</v>
          </cell>
          <cell r="N533">
            <v>1</v>
          </cell>
          <cell r="O533">
            <v>1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</row>
        <row r="534">
          <cell r="A534" t="str">
            <v>RR-S3S25136000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1</v>
          </cell>
          <cell r="I534">
            <v>0</v>
          </cell>
          <cell r="J534">
            <v>0</v>
          </cell>
          <cell r="K534">
            <v>1</v>
          </cell>
          <cell r="L534">
            <v>1</v>
          </cell>
          <cell r="M534">
            <v>1</v>
          </cell>
          <cell r="N534">
            <v>1</v>
          </cell>
          <cell r="O534">
            <v>1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</row>
        <row r="535">
          <cell r="A535" t="str">
            <v>RR-S3S25138000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1</v>
          </cell>
          <cell r="I535">
            <v>0</v>
          </cell>
          <cell r="J535">
            <v>0</v>
          </cell>
          <cell r="K535">
            <v>1</v>
          </cell>
          <cell r="L535">
            <v>1</v>
          </cell>
          <cell r="M535">
            <v>1</v>
          </cell>
          <cell r="N535">
            <v>1</v>
          </cell>
          <cell r="O535">
            <v>1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</row>
        <row r="536">
          <cell r="A536" t="str">
            <v>RR-S3S25139000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1</v>
          </cell>
          <cell r="L536">
            <v>1</v>
          </cell>
          <cell r="M536">
            <v>1</v>
          </cell>
          <cell r="N536">
            <v>1</v>
          </cell>
          <cell r="O536">
            <v>1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</row>
        <row r="537">
          <cell r="A537" t="str">
            <v>RR-S3S25141000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1</v>
          </cell>
          <cell r="I537">
            <v>0</v>
          </cell>
          <cell r="J537">
            <v>0</v>
          </cell>
          <cell r="K537">
            <v>1</v>
          </cell>
          <cell r="L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</row>
        <row r="538">
          <cell r="A538" t="str">
            <v>RR-S3S25161000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</row>
        <row r="539">
          <cell r="A539" t="str">
            <v>RR-S3S25164000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1</v>
          </cell>
          <cell r="L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</row>
        <row r="540">
          <cell r="A540" t="str">
            <v>RR-S3S25167000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</v>
          </cell>
          <cell r="J540">
            <v>0</v>
          </cell>
          <cell r="K540">
            <v>1</v>
          </cell>
          <cell r="L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</row>
        <row r="541">
          <cell r="A541" t="str">
            <v>RR-S3S25168000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1</v>
          </cell>
          <cell r="I541">
            <v>0</v>
          </cell>
          <cell r="J541">
            <v>0</v>
          </cell>
          <cell r="K541">
            <v>1</v>
          </cell>
          <cell r="L541">
            <v>1</v>
          </cell>
          <cell r="M541">
            <v>1</v>
          </cell>
          <cell r="N541">
            <v>1</v>
          </cell>
          <cell r="O541">
            <v>1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</row>
        <row r="542">
          <cell r="A542" t="str">
            <v>RR-S3S25169000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1</v>
          </cell>
          <cell r="I542">
            <v>0</v>
          </cell>
          <cell r="J542">
            <v>0</v>
          </cell>
          <cell r="K542">
            <v>1</v>
          </cell>
          <cell r="L542">
            <v>1</v>
          </cell>
          <cell r="M542">
            <v>1</v>
          </cell>
          <cell r="N542">
            <v>1</v>
          </cell>
          <cell r="O542">
            <v>1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</row>
        <row r="543">
          <cell r="A543" t="str">
            <v>RR-S3S25172000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1</v>
          </cell>
          <cell r="I543">
            <v>0</v>
          </cell>
          <cell r="J543">
            <v>0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</row>
        <row r="544">
          <cell r="A544" t="str">
            <v>RR-S3S25173000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1</v>
          </cell>
          <cell r="I544">
            <v>0</v>
          </cell>
          <cell r="J544">
            <v>0</v>
          </cell>
          <cell r="K544">
            <v>1</v>
          </cell>
          <cell r="L544">
            <v>1</v>
          </cell>
          <cell r="M544">
            <v>1</v>
          </cell>
          <cell r="N544">
            <v>1</v>
          </cell>
          <cell r="O544">
            <v>1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</row>
        <row r="545">
          <cell r="A545" t="str">
            <v>RR-S3S25174000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1</v>
          </cell>
          <cell r="I545">
            <v>0</v>
          </cell>
          <cell r="J545">
            <v>0</v>
          </cell>
          <cell r="K545">
            <v>1</v>
          </cell>
          <cell r="L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</row>
        <row r="546">
          <cell r="A546" t="str">
            <v>RR-S3S25205000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1</v>
          </cell>
          <cell r="I546">
            <v>0</v>
          </cell>
          <cell r="J546">
            <v>0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</row>
        <row r="547">
          <cell r="A547" t="str">
            <v>TC0001</v>
          </cell>
          <cell r="B547">
            <v>7</v>
          </cell>
          <cell r="C547">
            <v>4</v>
          </cell>
          <cell r="D547">
            <v>4</v>
          </cell>
          <cell r="E547">
            <v>5</v>
          </cell>
          <cell r="F547">
            <v>7</v>
          </cell>
          <cell r="G547">
            <v>6</v>
          </cell>
          <cell r="H547">
            <v>6</v>
          </cell>
          <cell r="I547">
            <v>7</v>
          </cell>
          <cell r="J547">
            <v>4</v>
          </cell>
          <cell r="K547">
            <v>6</v>
          </cell>
          <cell r="L547">
            <v>6</v>
          </cell>
          <cell r="M547">
            <v>4</v>
          </cell>
          <cell r="N547">
            <v>4</v>
          </cell>
          <cell r="O547">
            <v>4</v>
          </cell>
          <cell r="P547">
            <v>0</v>
          </cell>
          <cell r="Q547">
            <v>4</v>
          </cell>
          <cell r="R547">
            <v>6</v>
          </cell>
          <cell r="S547">
            <v>5</v>
          </cell>
          <cell r="T547">
            <v>0</v>
          </cell>
          <cell r="U547">
            <v>4</v>
          </cell>
        </row>
        <row r="548">
          <cell r="A548" t="str">
            <v>TC0002</v>
          </cell>
          <cell r="B548">
            <v>1</v>
          </cell>
          <cell r="C548">
            <v>1</v>
          </cell>
          <cell r="D548">
            <v>1</v>
          </cell>
          <cell r="E548">
            <v>1</v>
          </cell>
          <cell r="F548">
            <v>1</v>
          </cell>
          <cell r="G548">
            <v>1</v>
          </cell>
          <cell r="H548">
            <v>1</v>
          </cell>
          <cell r="I548">
            <v>1</v>
          </cell>
          <cell r="J548">
            <v>0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0</v>
          </cell>
          <cell r="Q548">
            <v>1</v>
          </cell>
          <cell r="R548">
            <v>1</v>
          </cell>
          <cell r="S548">
            <v>1</v>
          </cell>
          <cell r="T548">
            <v>0</v>
          </cell>
          <cell r="U548">
            <v>1</v>
          </cell>
        </row>
        <row r="549">
          <cell r="A549" t="str">
            <v>TC0004</v>
          </cell>
          <cell r="B549">
            <v>4</v>
          </cell>
          <cell r="C549">
            <v>1</v>
          </cell>
          <cell r="D549">
            <v>1</v>
          </cell>
          <cell r="E549">
            <v>2</v>
          </cell>
          <cell r="F549">
            <v>4</v>
          </cell>
          <cell r="G549">
            <v>3</v>
          </cell>
          <cell r="H549">
            <v>4</v>
          </cell>
          <cell r="I549">
            <v>4</v>
          </cell>
          <cell r="J549">
            <v>1</v>
          </cell>
          <cell r="K549">
            <v>4</v>
          </cell>
          <cell r="L549">
            <v>3</v>
          </cell>
          <cell r="M549">
            <v>3</v>
          </cell>
          <cell r="N549">
            <v>1</v>
          </cell>
          <cell r="O549">
            <v>1</v>
          </cell>
          <cell r="P549">
            <v>0</v>
          </cell>
          <cell r="Q549">
            <v>1</v>
          </cell>
          <cell r="R549">
            <v>4</v>
          </cell>
          <cell r="S549">
            <v>2</v>
          </cell>
          <cell r="T549">
            <v>0</v>
          </cell>
          <cell r="U549">
            <v>1</v>
          </cell>
        </row>
        <row r="550">
          <cell r="A550" t="str">
            <v>TC0005</v>
          </cell>
          <cell r="B550">
            <v>4</v>
          </cell>
          <cell r="C550">
            <v>1</v>
          </cell>
          <cell r="D550">
            <v>1</v>
          </cell>
          <cell r="E550">
            <v>2</v>
          </cell>
          <cell r="F550">
            <v>4</v>
          </cell>
          <cell r="G550">
            <v>3</v>
          </cell>
          <cell r="H550">
            <v>4</v>
          </cell>
          <cell r="I550">
            <v>4</v>
          </cell>
          <cell r="J550">
            <v>1</v>
          </cell>
          <cell r="K550">
            <v>4</v>
          </cell>
          <cell r="L550">
            <v>3</v>
          </cell>
          <cell r="M550">
            <v>3</v>
          </cell>
          <cell r="N550">
            <v>1</v>
          </cell>
          <cell r="O550">
            <v>1</v>
          </cell>
          <cell r="P550">
            <v>0</v>
          </cell>
          <cell r="Q550">
            <v>1</v>
          </cell>
          <cell r="R550">
            <v>4</v>
          </cell>
          <cell r="S550">
            <v>2</v>
          </cell>
          <cell r="T550">
            <v>0</v>
          </cell>
          <cell r="U550">
            <v>1</v>
          </cell>
        </row>
        <row r="551">
          <cell r="A551" t="str">
            <v>TC0006</v>
          </cell>
          <cell r="B551">
            <v>4</v>
          </cell>
          <cell r="C551">
            <v>1</v>
          </cell>
          <cell r="D551">
            <v>1</v>
          </cell>
          <cell r="E551">
            <v>2</v>
          </cell>
          <cell r="F551">
            <v>4</v>
          </cell>
          <cell r="G551">
            <v>3</v>
          </cell>
          <cell r="H551">
            <v>4</v>
          </cell>
          <cell r="I551">
            <v>4</v>
          </cell>
          <cell r="J551">
            <v>1</v>
          </cell>
          <cell r="K551">
            <v>4</v>
          </cell>
          <cell r="L551">
            <v>3</v>
          </cell>
          <cell r="M551">
            <v>3</v>
          </cell>
          <cell r="N551">
            <v>1</v>
          </cell>
          <cell r="O551">
            <v>1</v>
          </cell>
          <cell r="P551">
            <v>1</v>
          </cell>
          <cell r="Q551">
            <v>1</v>
          </cell>
          <cell r="R551">
            <v>4</v>
          </cell>
          <cell r="S551">
            <v>2</v>
          </cell>
          <cell r="T551">
            <v>1</v>
          </cell>
          <cell r="U551">
            <v>1</v>
          </cell>
        </row>
        <row r="552">
          <cell r="A552" t="str">
            <v>TC0007</v>
          </cell>
          <cell r="B552">
            <v>4</v>
          </cell>
          <cell r="C552">
            <v>1</v>
          </cell>
          <cell r="D552">
            <v>1</v>
          </cell>
          <cell r="E552">
            <v>2</v>
          </cell>
          <cell r="F552">
            <v>4</v>
          </cell>
          <cell r="G552">
            <v>3</v>
          </cell>
          <cell r="H552">
            <v>4</v>
          </cell>
          <cell r="I552">
            <v>4</v>
          </cell>
          <cell r="J552">
            <v>1</v>
          </cell>
          <cell r="K552">
            <v>4</v>
          </cell>
          <cell r="L552">
            <v>3</v>
          </cell>
          <cell r="M552">
            <v>3</v>
          </cell>
          <cell r="N552">
            <v>1</v>
          </cell>
          <cell r="O552">
            <v>1</v>
          </cell>
          <cell r="P552">
            <v>0</v>
          </cell>
          <cell r="Q552">
            <v>1</v>
          </cell>
          <cell r="R552">
            <v>4</v>
          </cell>
          <cell r="S552">
            <v>2</v>
          </cell>
          <cell r="T552">
            <v>0</v>
          </cell>
          <cell r="U552">
            <v>1</v>
          </cell>
        </row>
        <row r="553">
          <cell r="A553" t="str">
            <v>TC0008</v>
          </cell>
          <cell r="B553">
            <v>4</v>
          </cell>
          <cell r="C553">
            <v>1</v>
          </cell>
          <cell r="D553">
            <v>1</v>
          </cell>
          <cell r="E553">
            <v>2</v>
          </cell>
          <cell r="F553">
            <v>4</v>
          </cell>
          <cell r="G553">
            <v>3</v>
          </cell>
          <cell r="H553">
            <v>4</v>
          </cell>
          <cell r="I553">
            <v>4</v>
          </cell>
          <cell r="J553">
            <v>1</v>
          </cell>
          <cell r="K553">
            <v>4</v>
          </cell>
          <cell r="L553">
            <v>3</v>
          </cell>
          <cell r="M553">
            <v>3</v>
          </cell>
          <cell r="N553">
            <v>1</v>
          </cell>
          <cell r="O553">
            <v>1</v>
          </cell>
          <cell r="P553">
            <v>0</v>
          </cell>
          <cell r="Q553">
            <v>1</v>
          </cell>
          <cell r="R553">
            <v>4</v>
          </cell>
          <cell r="S553">
            <v>2</v>
          </cell>
          <cell r="T553">
            <v>0</v>
          </cell>
          <cell r="U553">
            <v>1</v>
          </cell>
        </row>
        <row r="554">
          <cell r="A554" t="str">
            <v>TC0009</v>
          </cell>
          <cell r="B554">
            <v>4</v>
          </cell>
          <cell r="C554">
            <v>1</v>
          </cell>
          <cell r="D554">
            <v>1</v>
          </cell>
          <cell r="E554">
            <v>2</v>
          </cell>
          <cell r="F554">
            <v>4</v>
          </cell>
          <cell r="G554">
            <v>3</v>
          </cell>
          <cell r="H554">
            <v>4</v>
          </cell>
          <cell r="I554">
            <v>4</v>
          </cell>
          <cell r="J554">
            <v>1</v>
          </cell>
          <cell r="K554">
            <v>4</v>
          </cell>
          <cell r="L554">
            <v>3</v>
          </cell>
          <cell r="M554">
            <v>3</v>
          </cell>
          <cell r="N554">
            <v>1</v>
          </cell>
          <cell r="O554">
            <v>1</v>
          </cell>
          <cell r="P554">
            <v>0</v>
          </cell>
          <cell r="Q554">
            <v>1</v>
          </cell>
          <cell r="R554">
            <v>4</v>
          </cell>
          <cell r="S554">
            <v>2</v>
          </cell>
          <cell r="T554">
            <v>0</v>
          </cell>
          <cell r="U554">
            <v>1</v>
          </cell>
        </row>
        <row r="555">
          <cell r="A555" t="str">
            <v>TC0010</v>
          </cell>
          <cell r="B555">
            <v>3</v>
          </cell>
          <cell r="C555">
            <v>2</v>
          </cell>
          <cell r="D555">
            <v>2</v>
          </cell>
          <cell r="E555">
            <v>2</v>
          </cell>
          <cell r="F555">
            <v>3</v>
          </cell>
          <cell r="G555">
            <v>3</v>
          </cell>
          <cell r="H555">
            <v>3</v>
          </cell>
          <cell r="I555">
            <v>3</v>
          </cell>
          <cell r="J555">
            <v>2</v>
          </cell>
          <cell r="K555">
            <v>3</v>
          </cell>
          <cell r="L555">
            <v>3</v>
          </cell>
          <cell r="M555">
            <v>3</v>
          </cell>
          <cell r="N555">
            <v>2</v>
          </cell>
          <cell r="O555">
            <v>2</v>
          </cell>
          <cell r="P555">
            <v>1</v>
          </cell>
          <cell r="Q555">
            <v>2</v>
          </cell>
          <cell r="R555">
            <v>4</v>
          </cell>
          <cell r="S555">
            <v>2</v>
          </cell>
          <cell r="T555">
            <v>1</v>
          </cell>
          <cell r="U555">
            <v>2</v>
          </cell>
        </row>
        <row r="556">
          <cell r="A556" t="str">
            <v>TC0011</v>
          </cell>
          <cell r="B556">
            <v>7</v>
          </cell>
          <cell r="C556">
            <v>6</v>
          </cell>
          <cell r="D556">
            <v>6</v>
          </cell>
          <cell r="E556">
            <v>5</v>
          </cell>
          <cell r="F556">
            <v>7</v>
          </cell>
          <cell r="G556">
            <v>5</v>
          </cell>
          <cell r="H556">
            <v>8</v>
          </cell>
          <cell r="I556">
            <v>7</v>
          </cell>
          <cell r="J556">
            <v>6</v>
          </cell>
          <cell r="K556">
            <v>8</v>
          </cell>
          <cell r="L556">
            <v>7</v>
          </cell>
          <cell r="M556">
            <v>4</v>
          </cell>
          <cell r="N556">
            <v>6</v>
          </cell>
          <cell r="O556">
            <v>5</v>
          </cell>
          <cell r="P556">
            <v>0</v>
          </cell>
          <cell r="Q556">
            <v>6</v>
          </cell>
          <cell r="R556">
            <v>8</v>
          </cell>
          <cell r="S556">
            <v>6</v>
          </cell>
          <cell r="T556">
            <v>0</v>
          </cell>
          <cell r="U556">
            <v>5</v>
          </cell>
        </row>
        <row r="557">
          <cell r="A557" t="str">
            <v>TC0012</v>
          </cell>
          <cell r="B557">
            <v>5</v>
          </cell>
          <cell r="C557">
            <v>4</v>
          </cell>
          <cell r="D557">
            <v>4</v>
          </cell>
          <cell r="E557">
            <v>4</v>
          </cell>
          <cell r="F557">
            <v>5</v>
          </cell>
          <cell r="G557">
            <v>4</v>
          </cell>
          <cell r="H557">
            <v>6</v>
          </cell>
          <cell r="I557">
            <v>5</v>
          </cell>
          <cell r="J557">
            <v>0</v>
          </cell>
          <cell r="K557">
            <v>6</v>
          </cell>
          <cell r="L557">
            <v>5</v>
          </cell>
          <cell r="M557">
            <v>3</v>
          </cell>
          <cell r="N557">
            <v>3</v>
          </cell>
          <cell r="O557">
            <v>3</v>
          </cell>
          <cell r="P557">
            <v>0</v>
          </cell>
          <cell r="Q557">
            <v>1</v>
          </cell>
          <cell r="R557">
            <v>4</v>
          </cell>
          <cell r="S557">
            <v>2</v>
          </cell>
          <cell r="T557">
            <v>0</v>
          </cell>
          <cell r="U557">
            <v>4</v>
          </cell>
        </row>
        <row r="558">
          <cell r="A558" t="str">
            <v>TC0013</v>
          </cell>
          <cell r="B558">
            <v>4</v>
          </cell>
          <cell r="C558">
            <v>1</v>
          </cell>
          <cell r="D558">
            <v>1</v>
          </cell>
          <cell r="E558">
            <v>2</v>
          </cell>
          <cell r="F558">
            <v>4</v>
          </cell>
          <cell r="G558">
            <v>3</v>
          </cell>
          <cell r="H558">
            <v>4</v>
          </cell>
          <cell r="I558">
            <v>4</v>
          </cell>
          <cell r="J558">
            <v>1</v>
          </cell>
          <cell r="K558">
            <v>4</v>
          </cell>
          <cell r="L558">
            <v>3</v>
          </cell>
          <cell r="M558">
            <v>3</v>
          </cell>
          <cell r="N558">
            <v>1</v>
          </cell>
          <cell r="O558">
            <v>1</v>
          </cell>
          <cell r="P558">
            <v>0</v>
          </cell>
          <cell r="Q558">
            <v>1</v>
          </cell>
          <cell r="R558">
            <v>4</v>
          </cell>
          <cell r="S558">
            <v>2</v>
          </cell>
          <cell r="T558">
            <v>0</v>
          </cell>
          <cell r="U558">
            <v>1</v>
          </cell>
        </row>
        <row r="559">
          <cell r="A559" t="str">
            <v>TC0014</v>
          </cell>
          <cell r="B559">
            <v>9</v>
          </cell>
          <cell r="C559">
            <v>7</v>
          </cell>
          <cell r="D559">
            <v>7</v>
          </cell>
          <cell r="E559">
            <v>5</v>
          </cell>
          <cell r="F559">
            <v>9</v>
          </cell>
          <cell r="G559">
            <v>6</v>
          </cell>
          <cell r="H559">
            <v>9</v>
          </cell>
          <cell r="I559">
            <v>9</v>
          </cell>
          <cell r="J559">
            <v>7</v>
          </cell>
          <cell r="K559">
            <v>9</v>
          </cell>
          <cell r="L559">
            <v>8</v>
          </cell>
          <cell r="M559">
            <v>6</v>
          </cell>
          <cell r="N559">
            <v>7</v>
          </cell>
          <cell r="O559">
            <v>5</v>
          </cell>
          <cell r="P559">
            <v>0</v>
          </cell>
          <cell r="Q559">
            <v>7</v>
          </cell>
          <cell r="R559">
            <v>9</v>
          </cell>
          <cell r="S559">
            <v>7</v>
          </cell>
          <cell r="T559">
            <v>0</v>
          </cell>
          <cell r="U559">
            <v>5</v>
          </cell>
        </row>
        <row r="560">
          <cell r="A560" t="str">
            <v>TC0015</v>
          </cell>
          <cell r="B560">
            <v>10</v>
          </cell>
          <cell r="C560">
            <v>8</v>
          </cell>
          <cell r="D560">
            <v>8</v>
          </cell>
          <cell r="E560">
            <v>4</v>
          </cell>
          <cell r="F560">
            <v>10</v>
          </cell>
          <cell r="G560">
            <v>5</v>
          </cell>
          <cell r="H560">
            <v>9</v>
          </cell>
          <cell r="I560">
            <v>10</v>
          </cell>
          <cell r="J560">
            <v>8</v>
          </cell>
          <cell r="K560">
            <v>9</v>
          </cell>
          <cell r="L560">
            <v>8</v>
          </cell>
          <cell r="M560">
            <v>6</v>
          </cell>
          <cell r="N560">
            <v>7</v>
          </cell>
          <cell r="O560">
            <v>5</v>
          </cell>
          <cell r="P560">
            <v>0</v>
          </cell>
          <cell r="Q560">
            <v>7</v>
          </cell>
          <cell r="R560">
            <v>9</v>
          </cell>
          <cell r="S560">
            <v>7</v>
          </cell>
          <cell r="T560">
            <v>0</v>
          </cell>
          <cell r="U560">
            <v>4</v>
          </cell>
        </row>
        <row r="561">
          <cell r="A561" t="str">
            <v>TC0016</v>
          </cell>
          <cell r="B561">
            <v>9</v>
          </cell>
          <cell r="C561">
            <v>7</v>
          </cell>
          <cell r="D561">
            <v>7</v>
          </cell>
          <cell r="E561">
            <v>5</v>
          </cell>
          <cell r="F561">
            <v>9</v>
          </cell>
          <cell r="G561">
            <v>6</v>
          </cell>
          <cell r="H561">
            <v>9</v>
          </cell>
          <cell r="I561">
            <v>9</v>
          </cell>
          <cell r="J561">
            <v>7</v>
          </cell>
          <cell r="K561">
            <v>9</v>
          </cell>
          <cell r="L561">
            <v>8</v>
          </cell>
          <cell r="M561">
            <v>6</v>
          </cell>
          <cell r="N561">
            <v>7</v>
          </cell>
          <cell r="O561">
            <v>5</v>
          </cell>
          <cell r="P561">
            <v>0</v>
          </cell>
          <cell r="Q561">
            <v>7</v>
          </cell>
          <cell r="R561">
            <v>9</v>
          </cell>
          <cell r="S561">
            <v>7</v>
          </cell>
          <cell r="T561">
            <v>0</v>
          </cell>
          <cell r="U561">
            <v>5</v>
          </cell>
        </row>
        <row r="562">
          <cell r="A562" t="str">
            <v>TC0017</v>
          </cell>
          <cell r="B562">
            <v>10</v>
          </cell>
          <cell r="C562">
            <v>8</v>
          </cell>
          <cell r="D562">
            <v>8</v>
          </cell>
          <cell r="E562">
            <v>6</v>
          </cell>
          <cell r="F562">
            <v>10</v>
          </cell>
          <cell r="G562">
            <v>7</v>
          </cell>
          <cell r="H562">
            <v>10</v>
          </cell>
          <cell r="I562">
            <v>10</v>
          </cell>
          <cell r="J562">
            <v>8</v>
          </cell>
          <cell r="K562">
            <v>10</v>
          </cell>
          <cell r="L562">
            <v>9</v>
          </cell>
          <cell r="M562">
            <v>7</v>
          </cell>
          <cell r="N562">
            <v>8</v>
          </cell>
          <cell r="O562">
            <v>6</v>
          </cell>
          <cell r="P562">
            <v>0</v>
          </cell>
          <cell r="Q562">
            <v>8</v>
          </cell>
          <cell r="R562">
            <v>10</v>
          </cell>
          <cell r="S562">
            <v>8</v>
          </cell>
          <cell r="T562">
            <v>0</v>
          </cell>
          <cell r="U562">
            <v>6</v>
          </cell>
        </row>
        <row r="563">
          <cell r="A563" t="str">
            <v>TC0018</v>
          </cell>
          <cell r="B563">
            <v>9</v>
          </cell>
          <cell r="C563">
            <v>7</v>
          </cell>
          <cell r="D563">
            <v>7</v>
          </cell>
          <cell r="E563">
            <v>5</v>
          </cell>
          <cell r="F563">
            <v>9</v>
          </cell>
          <cell r="G563">
            <v>6</v>
          </cell>
          <cell r="H563">
            <v>9</v>
          </cell>
          <cell r="I563">
            <v>9</v>
          </cell>
          <cell r="J563">
            <v>7</v>
          </cell>
          <cell r="K563">
            <v>9</v>
          </cell>
          <cell r="L563">
            <v>8</v>
          </cell>
          <cell r="M563">
            <v>6</v>
          </cell>
          <cell r="N563">
            <v>7</v>
          </cell>
          <cell r="O563">
            <v>5</v>
          </cell>
          <cell r="P563">
            <v>0</v>
          </cell>
          <cell r="Q563">
            <v>7</v>
          </cell>
          <cell r="R563">
            <v>9</v>
          </cell>
          <cell r="S563">
            <v>7</v>
          </cell>
          <cell r="T563">
            <v>0</v>
          </cell>
          <cell r="U563">
            <v>5</v>
          </cell>
        </row>
        <row r="564">
          <cell r="A564" t="str">
            <v>TC0019</v>
          </cell>
          <cell r="B564">
            <v>9</v>
          </cell>
          <cell r="C564">
            <v>7</v>
          </cell>
          <cell r="D564">
            <v>7</v>
          </cell>
          <cell r="E564">
            <v>5</v>
          </cell>
          <cell r="F564">
            <v>9</v>
          </cell>
          <cell r="G564">
            <v>6</v>
          </cell>
          <cell r="H564">
            <v>9</v>
          </cell>
          <cell r="I564">
            <v>9</v>
          </cell>
          <cell r="J564">
            <v>7</v>
          </cell>
          <cell r="K564">
            <v>9</v>
          </cell>
          <cell r="L564">
            <v>8</v>
          </cell>
          <cell r="M564">
            <v>6</v>
          </cell>
          <cell r="N564">
            <v>7</v>
          </cell>
          <cell r="O564">
            <v>5</v>
          </cell>
          <cell r="P564">
            <v>0</v>
          </cell>
          <cell r="Q564">
            <v>7</v>
          </cell>
          <cell r="R564">
            <v>9</v>
          </cell>
          <cell r="S564">
            <v>7</v>
          </cell>
          <cell r="T564">
            <v>0</v>
          </cell>
          <cell r="U564">
            <v>5</v>
          </cell>
        </row>
        <row r="565">
          <cell r="A565" t="str">
            <v>TC0021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1</v>
          </cell>
          <cell r="I565">
            <v>0</v>
          </cell>
          <cell r="J565">
            <v>0</v>
          </cell>
          <cell r="K565">
            <v>1</v>
          </cell>
          <cell r="L565">
            <v>1</v>
          </cell>
          <cell r="M565">
            <v>1</v>
          </cell>
          <cell r="N565">
            <v>1</v>
          </cell>
          <cell r="O565">
            <v>1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</row>
        <row r="566">
          <cell r="A566" t="str">
            <v>TC0022</v>
          </cell>
          <cell r="B566">
            <v>1</v>
          </cell>
          <cell r="C566">
            <v>1</v>
          </cell>
          <cell r="D566">
            <v>1</v>
          </cell>
          <cell r="E566">
            <v>1</v>
          </cell>
          <cell r="F566">
            <v>1</v>
          </cell>
          <cell r="G566">
            <v>1</v>
          </cell>
          <cell r="H566">
            <v>1</v>
          </cell>
          <cell r="I566">
            <v>1</v>
          </cell>
          <cell r="J566">
            <v>1</v>
          </cell>
          <cell r="K566">
            <v>1</v>
          </cell>
          <cell r="L566">
            <v>1</v>
          </cell>
          <cell r="M566">
            <v>1</v>
          </cell>
          <cell r="N566">
            <v>1</v>
          </cell>
          <cell r="O566">
            <v>1</v>
          </cell>
          <cell r="P566">
            <v>1</v>
          </cell>
          <cell r="Q566">
            <v>1</v>
          </cell>
          <cell r="R566">
            <v>1</v>
          </cell>
          <cell r="S566">
            <v>1</v>
          </cell>
          <cell r="T566">
            <v>1</v>
          </cell>
          <cell r="U566">
            <v>1</v>
          </cell>
        </row>
        <row r="567">
          <cell r="A567" t="str">
            <v>TC0023</v>
          </cell>
          <cell r="B567">
            <v>2</v>
          </cell>
          <cell r="C567">
            <v>2</v>
          </cell>
          <cell r="D567">
            <v>2</v>
          </cell>
          <cell r="E567">
            <v>2</v>
          </cell>
          <cell r="F567">
            <v>2</v>
          </cell>
          <cell r="G567">
            <v>2</v>
          </cell>
          <cell r="H567">
            <v>2</v>
          </cell>
          <cell r="I567">
            <v>2</v>
          </cell>
          <cell r="J567">
            <v>2</v>
          </cell>
          <cell r="K567">
            <v>2</v>
          </cell>
          <cell r="L567">
            <v>2</v>
          </cell>
          <cell r="M567">
            <v>2</v>
          </cell>
          <cell r="N567">
            <v>2</v>
          </cell>
          <cell r="O567">
            <v>2</v>
          </cell>
          <cell r="P567">
            <v>2</v>
          </cell>
          <cell r="Q567">
            <v>2</v>
          </cell>
          <cell r="R567">
            <v>2</v>
          </cell>
          <cell r="S567">
            <v>2</v>
          </cell>
          <cell r="T567">
            <v>2</v>
          </cell>
          <cell r="U567">
            <v>2</v>
          </cell>
        </row>
        <row r="568">
          <cell r="A568" t="str">
            <v>TC0024</v>
          </cell>
          <cell r="B568">
            <v>2</v>
          </cell>
          <cell r="C568">
            <v>2</v>
          </cell>
          <cell r="D568">
            <v>2</v>
          </cell>
          <cell r="E568">
            <v>0</v>
          </cell>
          <cell r="F568">
            <v>2</v>
          </cell>
          <cell r="G568">
            <v>0</v>
          </cell>
          <cell r="H568">
            <v>2</v>
          </cell>
          <cell r="I568">
            <v>2</v>
          </cell>
          <cell r="J568">
            <v>2</v>
          </cell>
          <cell r="K568">
            <v>2</v>
          </cell>
          <cell r="L568">
            <v>2</v>
          </cell>
          <cell r="M568">
            <v>0</v>
          </cell>
          <cell r="N568">
            <v>2</v>
          </cell>
          <cell r="O568">
            <v>0</v>
          </cell>
          <cell r="P568">
            <v>1</v>
          </cell>
          <cell r="Q568">
            <v>2</v>
          </cell>
          <cell r="R568">
            <v>2</v>
          </cell>
          <cell r="S568">
            <v>2</v>
          </cell>
          <cell r="T568">
            <v>2</v>
          </cell>
          <cell r="U568">
            <v>0</v>
          </cell>
        </row>
        <row r="569">
          <cell r="A569" t="str">
            <v>TC0025</v>
          </cell>
          <cell r="B569">
            <v>2</v>
          </cell>
          <cell r="C569">
            <v>2</v>
          </cell>
          <cell r="D569">
            <v>2</v>
          </cell>
          <cell r="E569">
            <v>2</v>
          </cell>
          <cell r="F569">
            <v>2</v>
          </cell>
          <cell r="G569">
            <v>2</v>
          </cell>
          <cell r="H569">
            <v>2</v>
          </cell>
          <cell r="I569">
            <v>2</v>
          </cell>
          <cell r="J569">
            <v>2</v>
          </cell>
          <cell r="K569">
            <v>2</v>
          </cell>
          <cell r="L569">
            <v>2</v>
          </cell>
          <cell r="M569">
            <v>2</v>
          </cell>
          <cell r="N569">
            <v>2</v>
          </cell>
          <cell r="O569">
            <v>2</v>
          </cell>
          <cell r="P569">
            <v>1</v>
          </cell>
          <cell r="Q569">
            <v>2</v>
          </cell>
          <cell r="R569">
            <v>2</v>
          </cell>
          <cell r="S569">
            <v>2</v>
          </cell>
          <cell r="T569">
            <v>2</v>
          </cell>
          <cell r="U569">
            <v>2</v>
          </cell>
        </row>
        <row r="570">
          <cell r="A570" t="str">
            <v>TC0028</v>
          </cell>
          <cell r="B570">
            <v>8</v>
          </cell>
          <cell r="C570">
            <v>4</v>
          </cell>
          <cell r="D570">
            <v>4</v>
          </cell>
          <cell r="E570">
            <v>5</v>
          </cell>
          <cell r="F570">
            <v>8</v>
          </cell>
          <cell r="G570">
            <v>6</v>
          </cell>
          <cell r="H570">
            <v>7</v>
          </cell>
          <cell r="I570">
            <v>8</v>
          </cell>
          <cell r="J570">
            <v>3</v>
          </cell>
          <cell r="K570">
            <v>8</v>
          </cell>
          <cell r="L570">
            <v>6</v>
          </cell>
          <cell r="M570">
            <v>4</v>
          </cell>
          <cell r="N570">
            <v>3</v>
          </cell>
          <cell r="O570">
            <v>3</v>
          </cell>
          <cell r="P570">
            <v>1</v>
          </cell>
          <cell r="Q570">
            <v>4</v>
          </cell>
          <cell r="R570">
            <v>8</v>
          </cell>
          <cell r="S570">
            <v>5</v>
          </cell>
          <cell r="T570">
            <v>0</v>
          </cell>
          <cell r="U570">
            <v>3</v>
          </cell>
        </row>
        <row r="571">
          <cell r="A571" t="str">
            <v>TC0029</v>
          </cell>
          <cell r="B571">
            <v>2</v>
          </cell>
          <cell r="C571">
            <v>2</v>
          </cell>
          <cell r="D571">
            <v>2</v>
          </cell>
          <cell r="E571">
            <v>0</v>
          </cell>
          <cell r="F571">
            <v>2</v>
          </cell>
          <cell r="G571">
            <v>0</v>
          </cell>
          <cell r="H571">
            <v>2</v>
          </cell>
          <cell r="I571">
            <v>2</v>
          </cell>
          <cell r="J571">
            <v>2</v>
          </cell>
          <cell r="K571">
            <v>2</v>
          </cell>
          <cell r="L571">
            <v>2</v>
          </cell>
          <cell r="M571">
            <v>0</v>
          </cell>
          <cell r="N571">
            <v>2</v>
          </cell>
          <cell r="O571">
            <v>0</v>
          </cell>
          <cell r="P571">
            <v>1</v>
          </cell>
          <cell r="Q571">
            <v>2</v>
          </cell>
          <cell r="R571">
            <v>2</v>
          </cell>
          <cell r="S571">
            <v>2</v>
          </cell>
          <cell r="T571">
            <v>2</v>
          </cell>
          <cell r="U571">
            <v>0</v>
          </cell>
        </row>
        <row r="572">
          <cell r="A572" t="str">
            <v>TC0032</v>
          </cell>
          <cell r="B572">
            <v>3</v>
          </cell>
          <cell r="C572">
            <v>3</v>
          </cell>
          <cell r="D572">
            <v>3</v>
          </cell>
          <cell r="E572">
            <v>0</v>
          </cell>
          <cell r="F572">
            <v>3</v>
          </cell>
          <cell r="G572">
            <v>0</v>
          </cell>
          <cell r="H572">
            <v>3</v>
          </cell>
          <cell r="I572">
            <v>3</v>
          </cell>
          <cell r="J572">
            <v>3</v>
          </cell>
          <cell r="K572">
            <v>3</v>
          </cell>
          <cell r="L572">
            <v>3</v>
          </cell>
          <cell r="M572">
            <v>0</v>
          </cell>
          <cell r="N572">
            <v>3</v>
          </cell>
          <cell r="O572">
            <v>0</v>
          </cell>
          <cell r="P572">
            <v>2</v>
          </cell>
          <cell r="Q572">
            <v>3</v>
          </cell>
          <cell r="R572">
            <v>3</v>
          </cell>
          <cell r="S572">
            <v>3</v>
          </cell>
          <cell r="T572">
            <v>3</v>
          </cell>
          <cell r="U572">
            <v>0</v>
          </cell>
        </row>
        <row r="573">
          <cell r="A573" t="str">
            <v>TC0033</v>
          </cell>
          <cell r="B573">
            <v>2</v>
          </cell>
          <cell r="C573">
            <v>2</v>
          </cell>
          <cell r="D573">
            <v>2</v>
          </cell>
          <cell r="E573">
            <v>0</v>
          </cell>
          <cell r="F573">
            <v>2</v>
          </cell>
          <cell r="G573">
            <v>0</v>
          </cell>
          <cell r="H573">
            <v>2</v>
          </cell>
          <cell r="I573">
            <v>2</v>
          </cell>
          <cell r="J573">
            <v>2</v>
          </cell>
          <cell r="K573">
            <v>2</v>
          </cell>
          <cell r="L573">
            <v>2</v>
          </cell>
          <cell r="M573">
            <v>0</v>
          </cell>
          <cell r="N573">
            <v>2</v>
          </cell>
          <cell r="O573">
            <v>0</v>
          </cell>
          <cell r="P573">
            <v>1</v>
          </cell>
          <cell r="Q573">
            <v>2</v>
          </cell>
          <cell r="R573">
            <v>2</v>
          </cell>
          <cell r="S573">
            <v>2</v>
          </cell>
          <cell r="T573">
            <v>3</v>
          </cell>
          <cell r="U573">
            <v>0</v>
          </cell>
        </row>
        <row r="574">
          <cell r="A574" t="str">
            <v>TC0034</v>
          </cell>
          <cell r="B574">
            <v>2</v>
          </cell>
          <cell r="C574">
            <v>2</v>
          </cell>
          <cell r="D574">
            <v>2</v>
          </cell>
          <cell r="E574">
            <v>0</v>
          </cell>
          <cell r="F574">
            <v>2</v>
          </cell>
          <cell r="G574">
            <v>0</v>
          </cell>
          <cell r="H574">
            <v>2</v>
          </cell>
          <cell r="I574">
            <v>2</v>
          </cell>
          <cell r="J574">
            <v>2</v>
          </cell>
          <cell r="K574">
            <v>2</v>
          </cell>
          <cell r="L574">
            <v>2</v>
          </cell>
          <cell r="M574">
            <v>0</v>
          </cell>
          <cell r="N574">
            <v>2</v>
          </cell>
          <cell r="O574">
            <v>0</v>
          </cell>
          <cell r="P574">
            <v>1</v>
          </cell>
          <cell r="Q574">
            <v>2</v>
          </cell>
          <cell r="R574">
            <v>2</v>
          </cell>
          <cell r="S574">
            <v>2</v>
          </cell>
          <cell r="T574">
            <v>2</v>
          </cell>
          <cell r="U574">
            <v>0</v>
          </cell>
        </row>
        <row r="575">
          <cell r="A575" t="str">
            <v>TC0036</v>
          </cell>
          <cell r="B575">
            <v>8</v>
          </cell>
          <cell r="C575">
            <v>2</v>
          </cell>
          <cell r="D575">
            <v>2</v>
          </cell>
          <cell r="E575">
            <v>4</v>
          </cell>
          <cell r="F575">
            <v>8</v>
          </cell>
          <cell r="G575">
            <v>5</v>
          </cell>
          <cell r="H575">
            <v>7</v>
          </cell>
          <cell r="I575">
            <v>8</v>
          </cell>
          <cell r="J575">
            <v>2</v>
          </cell>
          <cell r="K575">
            <v>8</v>
          </cell>
          <cell r="L575">
            <v>6</v>
          </cell>
          <cell r="M575">
            <v>6</v>
          </cell>
          <cell r="N575">
            <v>2</v>
          </cell>
          <cell r="O575">
            <v>2</v>
          </cell>
          <cell r="P575">
            <v>0</v>
          </cell>
          <cell r="Q575">
            <v>2</v>
          </cell>
          <cell r="R575">
            <v>9</v>
          </cell>
          <cell r="S575">
            <v>4</v>
          </cell>
          <cell r="T575">
            <v>0</v>
          </cell>
          <cell r="U575">
            <v>2</v>
          </cell>
        </row>
        <row r="576">
          <cell r="A576" t="str">
            <v>TC0038</v>
          </cell>
          <cell r="B576">
            <v>2</v>
          </cell>
          <cell r="C576">
            <v>1</v>
          </cell>
          <cell r="D576">
            <v>1</v>
          </cell>
          <cell r="E576">
            <v>1</v>
          </cell>
          <cell r="F576">
            <v>2</v>
          </cell>
          <cell r="G576">
            <v>2</v>
          </cell>
          <cell r="H576">
            <v>2</v>
          </cell>
          <cell r="I576">
            <v>2</v>
          </cell>
          <cell r="J576">
            <v>1</v>
          </cell>
          <cell r="K576">
            <v>2</v>
          </cell>
          <cell r="L576">
            <v>2</v>
          </cell>
          <cell r="M576">
            <v>2</v>
          </cell>
          <cell r="N576">
            <v>1</v>
          </cell>
          <cell r="O576">
            <v>1</v>
          </cell>
          <cell r="P576">
            <v>0</v>
          </cell>
          <cell r="Q576">
            <v>1</v>
          </cell>
          <cell r="R576">
            <v>2</v>
          </cell>
          <cell r="S576">
            <v>1</v>
          </cell>
          <cell r="T576">
            <v>0</v>
          </cell>
          <cell r="U576">
            <v>1</v>
          </cell>
        </row>
        <row r="577">
          <cell r="A577" t="str">
            <v>TC0039</v>
          </cell>
          <cell r="B577">
            <v>2</v>
          </cell>
          <cell r="C577">
            <v>2</v>
          </cell>
          <cell r="D577">
            <v>2</v>
          </cell>
          <cell r="E577">
            <v>2</v>
          </cell>
          <cell r="F577">
            <v>2</v>
          </cell>
          <cell r="G577">
            <v>2</v>
          </cell>
          <cell r="H577">
            <v>0</v>
          </cell>
          <cell r="I577">
            <v>2</v>
          </cell>
          <cell r="J577">
            <v>2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2</v>
          </cell>
        </row>
        <row r="578">
          <cell r="A578" t="str">
            <v>TC0040</v>
          </cell>
          <cell r="B578">
            <v>5</v>
          </cell>
          <cell r="C578">
            <v>4</v>
          </cell>
          <cell r="D578">
            <v>4</v>
          </cell>
          <cell r="E578">
            <v>4</v>
          </cell>
          <cell r="F578">
            <v>5</v>
          </cell>
          <cell r="G578">
            <v>4</v>
          </cell>
          <cell r="H578">
            <v>6</v>
          </cell>
          <cell r="I578">
            <v>5</v>
          </cell>
          <cell r="J578">
            <v>4</v>
          </cell>
          <cell r="K578">
            <v>6</v>
          </cell>
          <cell r="L578">
            <v>5</v>
          </cell>
          <cell r="M578">
            <v>3</v>
          </cell>
          <cell r="N578">
            <v>3</v>
          </cell>
          <cell r="O578">
            <v>3</v>
          </cell>
          <cell r="P578">
            <v>0</v>
          </cell>
          <cell r="Q578">
            <v>1</v>
          </cell>
          <cell r="R578">
            <v>4</v>
          </cell>
          <cell r="S578">
            <v>2</v>
          </cell>
          <cell r="T578">
            <v>0</v>
          </cell>
          <cell r="U578">
            <v>4</v>
          </cell>
        </row>
        <row r="579">
          <cell r="A579" t="str">
            <v>TC0041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4</v>
          </cell>
          <cell r="I579">
            <v>0</v>
          </cell>
          <cell r="J579">
            <v>0</v>
          </cell>
          <cell r="K579">
            <v>4</v>
          </cell>
          <cell r="L579">
            <v>3</v>
          </cell>
          <cell r="M579">
            <v>3</v>
          </cell>
          <cell r="N579">
            <v>1</v>
          </cell>
          <cell r="O579">
            <v>1</v>
          </cell>
          <cell r="P579">
            <v>0</v>
          </cell>
          <cell r="Q579">
            <v>1</v>
          </cell>
          <cell r="R579">
            <v>5</v>
          </cell>
          <cell r="S579">
            <v>2</v>
          </cell>
          <cell r="T579">
            <v>0</v>
          </cell>
          <cell r="U579">
            <v>0</v>
          </cell>
        </row>
        <row r="580">
          <cell r="A580" t="str">
            <v>TC0042</v>
          </cell>
          <cell r="B580">
            <v>4</v>
          </cell>
          <cell r="C580">
            <v>1</v>
          </cell>
          <cell r="D580">
            <v>1</v>
          </cell>
          <cell r="E580">
            <v>2</v>
          </cell>
          <cell r="F580">
            <v>4</v>
          </cell>
          <cell r="G580">
            <v>3</v>
          </cell>
          <cell r="H580">
            <v>4</v>
          </cell>
          <cell r="I580">
            <v>4</v>
          </cell>
          <cell r="J580">
            <v>1</v>
          </cell>
          <cell r="K580">
            <v>4</v>
          </cell>
          <cell r="L580">
            <v>3</v>
          </cell>
          <cell r="M580">
            <v>3</v>
          </cell>
          <cell r="N580">
            <v>1</v>
          </cell>
          <cell r="O580">
            <v>1</v>
          </cell>
          <cell r="P580">
            <v>0</v>
          </cell>
          <cell r="Q580">
            <v>1</v>
          </cell>
          <cell r="R580">
            <v>4</v>
          </cell>
          <cell r="S580">
            <v>2</v>
          </cell>
          <cell r="T580">
            <v>0</v>
          </cell>
          <cell r="U580">
            <v>1</v>
          </cell>
        </row>
        <row r="581">
          <cell r="A581" t="str">
            <v>TC0049</v>
          </cell>
          <cell r="B581">
            <v>9</v>
          </cell>
          <cell r="C581">
            <v>7</v>
          </cell>
          <cell r="D581">
            <v>7</v>
          </cell>
          <cell r="E581">
            <v>5</v>
          </cell>
          <cell r="F581">
            <v>9</v>
          </cell>
          <cell r="G581">
            <v>6</v>
          </cell>
          <cell r="H581">
            <v>9</v>
          </cell>
          <cell r="I581">
            <v>9</v>
          </cell>
          <cell r="J581">
            <v>7</v>
          </cell>
          <cell r="K581">
            <v>9</v>
          </cell>
          <cell r="L581">
            <v>8</v>
          </cell>
          <cell r="M581">
            <v>6</v>
          </cell>
          <cell r="N581">
            <v>7</v>
          </cell>
          <cell r="O581">
            <v>5</v>
          </cell>
          <cell r="P581">
            <v>0</v>
          </cell>
          <cell r="Q581">
            <v>7</v>
          </cell>
          <cell r="R581">
            <v>9</v>
          </cell>
          <cell r="S581">
            <v>7</v>
          </cell>
          <cell r="T581">
            <v>0</v>
          </cell>
          <cell r="U581">
            <v>5</v>
          </cell>
        </row>
        <row r="582">
          <cell r="A582" t="str">
            <v>TC0050</v>
          </cell>
          <cell r="B582">
            <v>9</v>
          </cell>
          <cell r="C582">
            <v>7</v>
          </cell>
          <cell r="D582">
            <v>7</v>
          </cell>
          <cell r="E582">
            <v>5</v>
          </cell>
          <cell r="F582">
            <v>9</v>
          </cell>
          <cell r="G582">
            <v>6</v>
          </cell>
          <cell r="H582">
            <v>9</v>
          </cell>
          <cell r="I582">
            <v>9</v>
          </cell>
          <cell r="J582">
            <v>7</v>
          </cell>
          <cell r="K582">
            <v>9</v>
          </cell>
          <cell r="L582">
            <v>8</v>
          </cell>
          <cell r="M582">
            <v>6</v>
          </cell>
          <cell r="N582">
            <v>7</v>
          </cell>
          <cell r="O582">
            <v>5</v>
          </cell>
          <cell r="P582">
            <v>0</v>
          </cell>
          <cell r="Q582">
            <v>7</v>
          </cell>
          <cell r="R582">
            <v>9</v>
          </cell>
          <cell r="S582">
            <v>7</v>
          </cell>
          <cell r="T582">
            <v>0</v>
          </cell>
          <cell r="U582">
            <v>5</v>
          </cell>
        </row>
        <row r="583">
          <cell r="A583" t="str">
            <v>TC0051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4</v>
          </cell>
          <cell r="I583">
            <v>0</v>
          </cell>
          <cell r="J583">
            <v>0</v>
          </cell>
          <cell r="K583">
            <v>4</v>
          </cell>
          <cell r="L583">
            <v>3</v>
          </cell>
          <cell r="M583">
            <v>3</v>
          </cell>
          <cell r="N583">
            <v>1</v>
          </cell>
          <cell r="O583">
            <v>1</v>
          </cell>
          <cell r="P583">
            <v>0</v>
          </cell>
          <cell r="Q583">
            <v>1</v>
          </cell>
          <cell r="R583">
            <v>5</v>
          </cell>
          <cell r="S583">
            <v>2</v>
          </cell>
          <cell r="T583">
            <v>0</v>
          </cell>
          <cell r="U583">
            <v>0</v>
          </cell>
        </row>
        <row r="584">
          <cell r="A584" t="str">
            <v>TC0052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</row>
        <row r="585">
          <cell r="A585" t="str">
            <v>TC0054</v>
          </cell>
          <cell r="B585">
            <v>10</v>
          </cell>
          <cell r="C585">
            <v>6</v>
          </cell>
          <cell r="D585">
            <v>6</v>
          </cell>
          <cell r="E585">
            <v>7</v>
          </cell>
          <cell r="F585">
            <v>10</v>
          </cell>
          <cell r="G585">
            <v>8</v>
          </cell>
          <cell r="H585">
            <v>9</v>
          </cell>
          <cell r="I585">
            <v>10</v>
          </cell>
          <cell r="J585">
            <v>5</v>
          </cell>
          <cell r="K585">
            <v>10</v>
          </cell>
          <cell r="L585">
            <v>8</v>
          </cell>
          <cell r="M585">
            <v>4</v>
          </cell>
          <cell r="N585">
            <v>5</v>
          </cell>
          <cell r="O585">
            <v>5</v>
          </cell>
          <cell r="P585">
            <v>0</v>
          </cell>
          <cell r="Q585">
            <v>2</v>
          </cell>
          <cell r="R585">
            <v>6</v>
          </cell>
          <cell r="S585">
            <v>3</v>
          </cell>
          <cell r="T585">
            <v>0</v>
          </cell>
          <cell r="U585">
            <v>5</v>
          </cell>
        </row>
        <row r="586">
          <cell r="A586" t="str">
            <v>TC0055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3</v>
          </cell>
          <cell r="R586">
            <v>11</v>
          </cell>
          <cell r="S586">
            <v>5</v>
          </cell>
          <cell r="T586">
            <v>0</v>
          </cell>
          <cell r="U586">
            <v>0</v>
          </cell>
        </row>
        <row r="587">
          <cell r="A587" t="str">
            <v>TC0057</v>
          </cell>
          <cell r="B587">
            <v>8</v>
          </cell>
          <cell r="C587">
            <v>4</v>
          </cell>
          <cell r="D587">
            <v>4</v>
          </cell>
          <cell r="E587">
            <v>5</v>
          </cell>
          <cell r="F587">
            <v>8</v>
          </cell>
          <cell r="G587">
            <v>6</v>
          </cell>
          <cell r="H587">
            <v>7</v>
          </cell>
          <cell r="I587">
            <v>8</v>
          </cell>
          <cell r="J587">
            <v>0</v>
          </cell>
          <cell r="K587">
            <v>8</v>
          </cell>
          <cell r="L587">
            <v>6</v>
          </cell>
          <cell r="M587">
            <v>4</v>
          </cell>
          <cell r="N587">
            <v>3</v>
          </cell>
          <cell r="O587">
            <v>3</v>
          </cell>
          <cell r="P587">
            <v>2</v>
          </cell>
          <cell r="Q587">
            <v>4</v>
          </cell>
          <cell r="R587">
            <v>8</v>
          </cell>
          <cell r="S587">
            <v>5</v>
          </cell>
          <cell r="T587">
            <v>2</v>
          </cell>
          <cell r="U587">
            <v>3</v>
          </cell>
        </row>
        <row r="588">
          <cell r="A588" t="str">
            <v>TC0058</v>
          </cell>
          <cell r="B588">
            <v>1</v>
          </cell>
          <cell r="C588">
            <v>1</v>
          </cell>
          <cell r="D588">
            <v>1</v>
          </cell>
          <cell r="E588">
            <v>1</v>
          </cell>
          <cell r="F588">
            <v>1</v>
          </cell>
          <cell r="G588">
            <v>1</v>
          </cell>
          <cell r="H588">
            <v>1</v>
          </cell>
          <cell r="I588">
            <v>1</v>
          </cell>
          <cell r="J588">
            <v>0</v>
          </cell>
          <cell r="K588">
            <v>1</v>
          </cell>
          <cell r="L588">
            <v>1</v>
          </cell>
          <cell r="M588">
            <v>1</v>
          </cell>
          <cell r="N588">
            <v>1</v>
          </cell>
          <cell r="O588">
            <v>1</v>
          </cell>
          <cell r="P588">
            <v>0</v>
          </cell>
          <cell r="Q588">
            <v>1</v>
          </cell>
          <cell r="R588">
            <v>1</v>
          </cell>
          <cell r="S588">
            <v>1</v>
          </cell>
          <cell r="T588">
            <v>0</v>
          </cell>
          <cell r="U588">
            <v>1</v>
          </cell>
        </row>
        <row r="589">
          <cell r="A589" t="str">
            <v>TC0059</v>
          </cell>
          <cell r="B589">
            <v>1</v>
          </cell>
          <cell r="C589">
            <v>1</v>
          </cell>
          <cell r="D589">
            <v>1</v>
          </cell>
          <cell r="E589">
            <v>1</v>
          </cell>
          <cell r="F589">
            <v>1</v>
          </cell>
          <cell r="G589">
            <v>1</v>
          </cell>
          <cell r="H589">
            <v>1</v>
          </cell>
          <cell r="I589">
            <v>1</v>
          </cell>
          <cell r="J589">
            <v>0</v>
          </cell>
          <cell r="K589">
            <v>1</v>
          </cell>
          <cell r="L589">
            <v>1</v>
          </cell>
          <cell r="M589">
            <v>1</v>
          </cell>
          <cell r="N589">
            <v>1</v>
          </cell>
          <cell r="O589">
            <v>1</v>
          </cell>
          <cell r="P589">
            <v>0</v>
          </cell>
          <cell r="Q589">
            <v>1</v>
          </cell>
          <cell r="R589">
            <v>1</v>
          </cell>
          <cell r="S589">
            <v>1</v>
          </cell>
          <cell r="T589">
            <v>0</v>
          </cell>
          <cell r="U589">
            <v>1</v>
          </cell>
        </row>
        <row r="590">
          <cell r="A590" t="str">
            <v>TC0060</v>
          </cell>
          <cell r="B590">
            <v>10</v>
          </cell>
          <cell r="C590">
            <v>8</v>
          </cell>
          <cell r="D590">
            <v>8</v>
          </cell>
          <cell r="E590">
            <v>6</v>
          </cell>
          <cell r="F590">
            <v>10</v>
          </cell>
          <cell r="G590">
            <v>7</v>
          </cell>
          <cell r="H590">
            <v>10</v>
          </cell>
          <cell r="I590">
            <v>10</v>
          </cell>
          <cell r="J590">
            <v>8</v>
          </cell>
          <cell r="K590">
            <v>10</v>
          </cell>
          <cell r="L590">
            <v>9</v>
          </cell>
          <cell r="M590">
            <v>9</v>
          </cell>
          <cell r="N590">
            <v>8</v>
          </cell>
          <cell r="O590">
            <v>8</v>
          </cell>
          <cell r="P590">
            <v>0</v>
          </cell>
          <cell r="Q590">
            <v>8</v>
          </cell>
          <cell r="R590">
            <v>10</v>
          </cell>
          <cell r="S590">
            <v>8</v>
          </cell>
          <cell r="T590">
            <v>0</v>
          </cell>
          <cell r="U590">
            <v>6</v>
          </cell>
        </row>
        <row r="591">
          <cell r="A591" t="str">
            <v>TC0061</v>
          </cell>
          <cell r="B591">
            <v>9</v>
          </cell>
          <cell r="C591">
            <v>7</v>
          </cell>
          <cell r="D591">
            <v>7</v>
          </cell>
          <cell r="E591">
            <v>5</v>
          </cell>
          <cell r="F591">
            <v>9</v>
          </cell>
          <cell r="G591">
            <v>6</v>
          </cell>
          <cell r="H591">
            <v>9</v>
          </cell>
          <cell r="I591">
            <v>9</v>
          </cell>
          <cell r="J591">
            <v>7</v>
          </cell>
          <cell r="K591">
            <v>9</v>
          </cell>
          <cell r="L591">
            <v>8</v>
          </cell>
          <cell r="M591">
            <v>6</v>
          </cell>
          <cell r="N591">
            <v>7</v>
          </cell>
          <cell r="O591">
            <v>5</v>
          </cell>
          <cell r="P591">
            <v>0</v>
          </cell>
          <cell r="Q591">
            <v>7</v>
          </cell>
          <cell r="R591">
            <v>9</v>
          </cell>
          <cell r="S591">
            <v>7</v>
          </cell>
          <cell r="T591">
            <v>0</v>
          </cell>
          <cell r="U591">
            <v>5</v>
          </cell>
        </row>
        <row r="592">
          <cell r="A592" t="str">
            <v>TC0062</v>
          </cell>
          <cell r="B592">
            <v>9</v>
          </cell>
          <cell r="C592">
            <v>7</v>
          </cell>
          <cell r="D592">
            <v>7</v>
          </cell>
          <cell r="E592">
            <v>5</v>
          </cell>
          <cell r="F592">
            <v>9</v>
          </cell>
          <cell r="G592">
            <v>6</v>
          </cell>
          <cell r="H592">
            <v>9</v>
          </cell>
          <cell r="I592">
            <v>9</v>
          </cell>
          <cell r="J592">
            <v>7</v>
          </cell>
          <cell r="K592">
            <v>9</v>
          </cell>
          <cell r="L592">
            <v>8</v>
          </cell>
          <cell r="M592">
            <v>6</v>
          </cell>
          <cell r="N592">
            <v>7</v>
          </cell>
          <cell r="O592">
            <v>5</v>
          </cell>
          <cell r="P592">
            <v>0</v>
          </cell>
          <cell r="Q592">
            <v>7</v>
          </cell>
          <cell r="R592">
            <v>9</v>
          </cell>
          <cell r="S592">
            <v>7</v>
          </cell>
          <cell r="T592">
            <v>0</v>
          </cell>
          <cell r="U592">
            <v>5</v>
          </cell>
        </row>
        <row r="593">
          <cell r="A593" t="str">
            <v>TC0063</v>
          </cell>
          <cell r="B593">
            <v>120</v>
          </cell>
          <cell r="C593">
            <v>30</v>
          </cell>
          <cell r="D593">
            <v>30</v>
          </cell>
          <cell r="E593">
            <v>60</v>
          </cell>
          <cell r="F593">
            <v>120</v>
          </cell>
          <cell r="G593">
            <v>70</v>
          </cell>
          <cell r="H593">
            <v>95</v>
          </cell>
          <cell r="I593">
            <v>120</v>
          </cell>
          <cell r="J593">
            <v>5</v>
          </cell>
          <cell r="K593">
            <v>115</v>
          </cell>
          <cell r="L593">
            <v>80</v>
          </cell>
          <cell r="M593">
            <v>80</v>
          </cell>
          <cell r="N593">
            <v>20</v>
          </cell>
          <cell r="O593">
            <v>15</v>
          </cell>
          <cell r="P593">
            <v>0</v>
          </cell>
          <cell r="Q593">
            <v>25</v>
          </cell>
          <cell r="R593">
            <v>105</v>
          </cell>
          <cell r="S593">
            <v>50</v>
          </cell>
          <cell r="T593">
            <v>0</v>
          </cell>
          <cell r="U593">
            <v>10</v>
          </cell>
        </row>
        <row r="594">
          <cell r="A594" t="str">
            <v>TC0064</v>
          </cell>
          <cell r="B594">
            <v>3</v>
          </cell>
          <cell r="C594">
            <v>3</v>
          </cell>
          <cell r="D594">
            <v>3</v>
          </cell>
          <cell r="E594">
            <v>3</v>
          </cell>
          <cell r="F594">
            <v>3</v>
          </cell>
          <cell r="G594">
            <v>3</v>
          </cell>
          <cell r="H594">
            <v>3</v>
          </cell>
          <cell r="I594">
            <v>3</v>
          </cell>
          <cell r="J594">
            <v>3</v>
          </cell>
          <cell r="K594">
            <v>3</v>
          </cell>
          <cell r="L594">
            <v>3</v>
          </cell>
          <cell r="M594">
            <v>3</v>
          </cell>
          <cell r="N594">
            <v>3</v>
          </cell>
          <cell r="O594">
            <v>3</v>
          </cell>
          <cell r="P594">
            <v>0</v>
          </cell>
          <cell r="Q594">
            <v>3</v>
          </cell>
          <cell r="R594">
            <v>3</v>
          </cell>
          <cell r="S594">
            <v>3</v>
          </cell>
          <cell r="T594">
            <v>0</v>
          </cell>
          <cell r="U594">
            <v>3</v>
          </cell>
        </row>
        <row r="595">
          <cell r="A595" t="str">
            <v>TC0065</v>
          </cell>
          <cell r="B595">
            <v>2</v>
          </cell>
          <cell r="C595">
            <v>2</v>
          </cell>
          <cell r="D595">
            <v>2</v>
          </cell>
          <cell r="E595">
            <v>0</v>
          </cell>
          <cell r="F595">
            <v>2</v>
          </cell>
          <cell r="G595">
            <v>0</v>
          </cell>
          <cell r="H595">
            <v>2</v>
          </cell>
          <cell r="I595">
            <v>2</v>
          </cell>
          <cell r="J595">
            <v>2</v>
          </cell>
          <cell r="K595">
            <v>2</v>
          </cell>
          <cell r="L595">
            <v>2</v>
          </cell>
          <cell r="M595">
            <v>0</v>
          </cell>
          <cell r="N595">
            <v>2</v>
          </cell>
          <cell r="O595">
            <v>0</v>
          </cell>
          <cell r="P595">
            <v>1</v>
          </cell>
          <cell r="Q595">
            <v>2</v>
          </cell>
          <cell r="R595">
            <v>2</v>
          </cell>
          <cell r="S595">
            <v>2</v>
          </cell>
          <cell r="T595">
            <v>1</v>
          </cell>
          <cell r="U595">
            <v>0</v>
          </cell>
        </row>
        <row r="596">
          <cell r="A596" t="str">
            <v>TC0066</v>
          </cell>
          <cell r="B596">
            <v>2</v>
          </cell>
          <cell r="C596">
            <v>2</v>
          </cell>
          <cell r="D596">
            <v>2</v>
          </cell>
          <cell r="E596">
            <v>0</v>
          </cell>
          <cell r="F596">
            <v>2</v>
          </cell>
          <cell r="G596">
            <v>0</v>
          </cell>
          <cell r="H596">
            <v>2</v>
          </cell>
          <cell r="I596">
            <v>2</v>
          </cell>
          <cell r="J596">
            <v>2</v>
          </cell>
          <cell r="K596">
            <v>2</v>
          </cell>
          <cell r="L596">
            <v>2</v>
          </cell>
          <cell r="M596">
            <v>0</v>
          </cell>
          <cell r="N596">
            <v>2</v>
          </cell>
          <cell r="O596">
            <v>0</v>
          </cell>
          <cell r="P596">
            <v>1</v>
          </cell>
          <cell r="Q596">
            <v>2</v>
          </cell>
          <cell r="R596">
            <v>2</v>
          </cell>
          <cell r="S596">
            <v>2</v>
          </cell>
          <cell r="T596">
            <v>1</v>
          </cell>
          <cell r="U596">
            <v>0</v>
          </cell>
        </row>
        <row r="597">
          <cell r="A597" t="str">
            <v>TC0067</v>
          </cell>
          <cell r="B597">
            <v>2</v>
          </cell>
          <cell r="C597">
            <v>2</v>
          </cell>
          <cell r="D597">
            <v>2</v>
          </cell>
          <cell r="E597">
            <v>0</v>
          </cell>
          <cell r="F597">
            <v>2</v>
          </cell>
          <cell r="G597">
            <v>0</v>
          </cell>
          <cell r="H597">
            <v>2</v>
          </cell>
          <cell r="I597">
            <v>2</v>
          </cell>
          <cell r="J597">
            <v>2</v>
          </cell>
          <cell r="K597">
            <v>2</v>
          </cell>
          <cell r="L597">
            <v>2</v>
          </cell>
          <cell r="M597">
            <v>0</v>
          </cell>
          <cell r="N597">
            <v>2</v>
          </cell>
          <cell r="O597">
            <v>0</v>
          </cell>
          <cell r="P597">
            <v>1</v>
          </cell>
          <cell r="Q597">
            <v>2</v>
          </cell>
          <cell r="R597">
            <v>2</v>
          </cell>
          <cell r="S597">
            <v>2</v>
          </cell>
          <cell r="T597">
            <v>2</v>
          </cell>
          <cell r="U597">
            <v>0</v>
          </cell>
        </row>
        <row r="598">
          <cell r="A598" t="str">
            <v>TC0069</v>
          </cell>
          <cell r="B598">
            <v>10</v>
          </cell>
          <cell r="C598">
            <v>8</v>
          </cell>
          <cell r="D598">
            <v>8</v>
          </cell>
          <cell r="E598">
            <v>6</v>
          </cell>
          <cell r="F598">
            <v>10</v>
          </cell>
          <cell r="G598">
            <v>7</v>
          </cell>
          <cell r="H598">
            <v>10</v>
          </cell>
          <cell r="I598">
            <v>10</v>
          </cell>
          <cell r="J598">
            <v>8</v>
          </cell>
          <cell r="K598">
            <v>10</v>
          </cell>
          <cell r="L598">
            <v>9</v>
          </cell>
          <cell r="M598">
            <v>7</v>
          </cell>
          <cell r="N598">
            <v>8</v>
          </cell>
          <cell r="O598">
            <v>6</v>
          </cell>
          <cell r="P598">
            <v>3</v>
          </cell>
          <cell r="Q598">
            <v>8</v>
          </cell>
          <cell r="R598">
            <v>10</v>
          </cell>
          <cell r="S598">
            <v>8</v>
          </cell>
          <cell r="T598">
            <v>0</v>
          </cell>
          <cell r="U598">
            <v>6</v>
          </cell>
        </row>
        <row r="599">
          <cell r="A599" t="str">
            <v>TC0070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7</v>
          </cell>
          <cell r="I599">
            <v>0</v>
          </cell>
          <cell r="J599">
            <v>0</v>
          </cell>
          <cell r="K599">
            <v>8</v>
          </cell>
          <cell r="L599">
            <v>6</v>
          </cell>
          <cell r="M599">
            <v>6</v>
          </cell>
          <cell r="N599">
            <v>2</v>
          </cell>
          <cell r="O599">
            <v>1</v>
          </cell>
          <cell r="P599">
            <v>1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</row>
        <row r="600">
          <cell r="A600" t="str">
            <v>TC0071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4</v>
          </cell>
          <cell r="I600">
            <v>0</v>
          </cell>
          <cell r="J600">
            <v>0</v>
          </cell>
          <cell r="K600">
            <v>4</v>
          </cell>
          <cell r="L600">
            <v>3</v>
          </cell>
          <cell r="M600">
            <v>3</v>
          </cell>
          <cell r="N600">
            <v>1</v>
          </cell>
          <cell r="O600">
            <v>1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</row>
        <row r="601">
          <cell r="A601" t="str">
            <v>TC0072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3</v>
          </cell>
          <cell r="I601">
            <v>0</v>
          </cell>
          <cell r="J601">
            <v>0</v>
          </cell>
          <cell r="K601">
            <v>3</v>
          </cell>
          <cell r="L601">
            <v>3</v>
          </cell>
          <cell r="M601">
            <v>2</v>
          </cell>
          <cell r="N601">
            <v>2</v>
          </cell>
          <cell r="O601">
            <v>1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</row>
        <row r="602">
          <cell r="A602" t="str">
            <v>TC0073</v>
          </cell>
          <cell r="B602">
            <v>2</v>
          </cell>
          <cell r="C602">
            <v>2</v>
          </cell>
          <cell r="D602">
            <v>2</v>
          </cell>
          <cell r="E602">
            <v>0</v>
          </cell>
          <cell r="F602">
            <v>2</v>
          </cell>
          <cell r="G602">
            <v>0</v>
          </cell>
          <cell r="H602">
            <v>2</v>
          </cell>
          <cell r="I602">
            <v>2</v>
          </cell>
          <cell r="J602">
            <v>0</v>
          </cell>
          <cell r="K602">
            <v>2</v>
          </cell>
          <cell r="L602">
            <v>2</v>
          </cell>
          <cell r="M602">
            <v>0</v>
          </cell>
          <cell r="N602">
            <v>2</v>
          </cell>
          <cell r="O602">
            <v>0</v>
          </cell>
          <cell r="P602">
            <v>0</v>
          </cell>
          <cell r="Q602">
            <v>2</v>
          </cell>
          <cell r="R602">
            <v>2</v>
          </cell>
          <cell r="S602">
            <v>2</v>
          </cell>
          <cell r="T602">
            <v>0</v>
          </cell>
          <cell r="U602">
            <v>0</v>
          </cell>
        </row>
        <row r="603">
          <cell r="A603" t="str">
            <v>TC0074</v>
          </cell>
          <cell r="B603">
            <v>9</v>
          </cell>
          <cell r="C603">
            <v>7</v>
          </cell>
          <cell r="D603">
            <v>7</v>
          </cell>
          <cell r="E603">
            <v>5</v>
          </cell>
          <cell r="F603">
            <v>9</v>
          </cell>
          <cell r="G603">
            <v>6</v>
          </cell>
          <cell r="H603">
            <v>9</v>
          </cell>
          <cell r="I603">
            <v>9</v>
          </cell>
          <cell r="J603">
            <v>7</v>
          </cell>
          <cell r="K603">
            <v>9</v>
          </cell>
          <cell r="L603">
            <v>8</v>
          </cell>
          <cell r="M603">
            <v>6</v>
          </cell>
          <cell r="N603">
            <v>7</v>
          </cell>
          <cell r="O603">
            <v>5</v>
          </cell>
          <cell r="P603">
            <v>0</v>
          </cell>
          <cell r="Q603">
            <v>7</v>
          </cell>
          <cell r="R603">
            <v>9</v>
          </cell>
          <cell r="S603">
            <v>7</v>
          </cell>
          <cell r="T603">
            <v>0</v>
          </cell>
          <cell r="U603">
            <v>5</v>
          </cell>
        </row>
        <row r="604">
          <cell r="A604" t="str">
            <v>TC0076</v>
          </cell>
          <cell r="B604">
            <v>2</v>
          </cell>
          <cell r="C604">
            <v>1</v>
          </cell>
          <cell r="D604">
            <v>1</v>
          </cell>
          <cell r="E604">
            <v>1</v>
          </cell>
          <cell r="F604">
            <v>2</v>
          </cell>
          <cell r="G604">
            <v>2</v>
          </cell>
          <cell r="H604">
            <v>4</v>
          </cell>
          <cell r="I604">
            <v>2</v>
          </cell>
          <cell r="J604">
            <v>1</v>
          </cell>
          <cell r="K604">
            <v>4</v>
          </cell>
          <cell r="L604">
            <v>3</v>
          </cell>
          <cell r="M604">
            <v>3</v>
          </cell>
          <cell r="N604">
            <v>1</v>
          </cell>
          <cell r="O604">
            <v>1</v>
          </cell>
          <cell r="P604">
            <v>0</v>
          </cell>
          <cell r="Q604">
            <v>1</v>
          </cell>
          <cell r="R604">
            <v>5</v>
          </cell>
          <cell r="S604">
            <v>2</v>
          </cell>
          <cell r="T604">
            <v>0</v>
          </cell>
          <cell r="U604">
            <v>1</v>
          </cell>
        </row>
        <row r="605">
          <cell r="A605" t="str">
            <v>TC0077</v>
          </cell>
          <cell r="B605">
            <v>5</v>
          </cell>
          <cell r="C605">
            <v>5</v>
          </cell>
          <cell r="D605">
            <v>5</v>
          </cell>
          <cell r="E605">
            <v>4</v>
          </cell>
          <cell r="F605">
            <v>5</v>
          </cell>
          <cell r="G605">
            <v>4</v>
          </cell>
          <cell r="H605">
            <v>5</v>
          </cell>
          <cell r="I605">
            <v>5</v>
          </cell>
          <cell r="J605">
            <v>5</v>
          </cell>
          <cell r="K605">
            <v>5</v>
          </cell>
          <cell r="L605">
            <v>5</v>
          </cell>
          <cell r="M605">
            <v>2</v>
          </cell>
          <cell r="N605">
            <v>5</v>
          </cell>
          <cell r="O605">
            <v>4</v>
          </cell>
          <cell r="P605">
            <v>0</v>
          </cell>
          <cell r="Q605">
            <v>5</v>
          </cell>
          <cell r="R605">
            <v>5</v>
          </cell>
          <cell r="S605">
            <v>5</v>
          </cell>
          <cell r="T605">
            <v>0</v>
          </cell>
          <cell r="U605">
            <v>4</v>
          </cell>
        </row>
        <row r="606">
          <cell r="A606" t="str">
            <v>TC0078</v>
          </cell>
          <cell r="B606">
            <v>2</v>
          </cell>
          <cell r="C606">
            <v>2</v>
          </cell>
          <cell r="D606">
            <v>2</v>
          </cell>
          <cell r="E606">
            <v>0</v>
          </cell>
          <cell r="F606">
            <v>2</v>
          </cell>
          <cell r="G606">
            <v>0</v>
          </cell>
          <cell r="H606">
            <v>2</v>
          </cell>
          <cell r="I606">
            <v>2</v>
          </cell>
          <cell r="J606">
            <v>2</v>
          </cell>
          <cell r="K606">
            <v>2</v>
          </cell>
          <cell r="L606">
            <v>2</v>
          </cell>
          <cell r="M606">
            <v>0</v>
          </cell>
          <cell r="N606">
            <v>2</v>
          </cell>
          <cell r="O606">
            <v>0</v>
          </cell>
          <cell r="P606">
            <v>0</v>
          </cell>
          <cell r="Q606">
            <v>2</v>
          </cell>
          <cell r="R606">
            <v>2</v>
          </cell>
          <cell r="S606">
            <v>2</v>
          </cell>
          <cell r="T606">
            <v>2</v>
          </cell>
          <cell r="U606">
            <v>0</v>
          </cell>
        </row>
        <row r="607">
          <cell r="A607" t="str">
            <v>TC0079</v>
          </cell>
          <cell r="B607">
            <v>2</v>
          </cell>
          <cell r="C607">
            <v>2</v>
          </cell>
          <cell r="D607">
            <v>2</v>
          </cell>
          <cell r="E607">
            <v>0</v>
          </cell>
          <cell r="F607">
            <v>2</v>
          </cell>
          <cell r="G607">
            <v>0</v>
          </cell>
          <cell r="H607">
            <v>2</v>
          </cell>
          <cell r="I607">
            <v>2</v>
          </cell>
          <cell r="J607">
            <v>0</v>
          </cell>
          <cell r="K607">
            <v>2</v>
          </cell>
          <cell r="L607">
            <v>2</v>
          </cell>
          <cell r="M607">
            <v>0</v>
          </cell>
          <cell r="N607">
            <v>2</v>
          </cell>
          <cell r="O607">
            <v>0</v>
          </cell>
          <cell r="P607">
            <v>2</v>
          </cell>
          <cell r="Q607">
            <v>2</v>
          </cell>
          <cell r="R607">
            <v>2</v>
          </cell>
          <cell r="S607">
            <v>2</v>
          </cell>
          <cell r="T607">
            <v>2</v>
          </cell>
          <cell r="U607">
            <v>0</v>
          </cell>
        </row>
        <row r="608">
          <cell r="A608" t="str">
            <v>TC0080</v>
          </cell>
          <cell r="B608">
            <v>9</v>
          </cell>
          <cell r="C608">
            <v>7</v>
          </cell>
          <cell r="D608">
            <v>7</v>
          </cell>
          <cell r="E608">
            <v>5</v>
          </cell>
          <cell r="F608">
            <v>9</v>
          </cell>
          <cell r="G608">
            <v>6</v>
          </cell>
          <cell r="H608">
            <v>9</v>
          </cell>
          <cell r="I608">
            <v>9</v>
          </cell>
          <cell r="J608">
            <v>7</v>
          </cell>
          <cell r="K608">
            <v>9</v>
          </cell>
          <cell r="L608">
            <v>8</v>
          </cell>
          <cell r="M608">
            <v>6</v>
          </cell>
          <cell r="N608">
            <v>7</v>
          </cell>
          <cell r="O608">
            <v>5</v>
          </cell>
          <cell r="P608">
            <v>0</v>
          </cell>
          <cell r="Q608">
            <v>7</v>
          </cell>
          <cell r="R608">
            <v>9</v>
          </cell>
          <cell r="S608">
            <v>7</v>
          </cell>
          <cell r="T608">
            <v>0</v>
          </cell>
          <cell r="U608">
            <v>5</v>
          </cell>
        </row>
        <row r="609">
          <cell r="A609" t="str">
            <v>TC0081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1</v>
          </cell>
          <cell r="I609">
            <v>0</v>
          </cell>
          <cell r="J609">
            <v>0</v>
          </cell>
          <cell r="K609">
            <v>1</v>
          </cell>
          <cell r="L609">
            <v>1</v>
          </cell>
          <cell r="M609">
            <v>1</v>
          </cell>
          <cell r="N609">
            <v>1</v>
          </cell>
          <cell r="O609">
            <v>1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</row>
        <row r="610">
          <cell r="A610" t="str">
            <v>TC0082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1</v>
          </cell>
          <cell r="I610">
            <v>0</v>
          </cell>
          <cell r="J610">
            <v>0</v>
          </cell>
          <cell r="K610">
            <v>1</v>
          </cell>
          <cell r="L610">
            <v>1</v>
          </cell>
          <cell r="M610">
            <v>1</v>
          </cell>
          <cell r="N610">
            <v>1</v>
          </cell>
          <cell r="O610">
            <v>1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</row>
        <row r="611">
          <cell r="A611" t="str">
            <v>TC0083</v>
          </cell>
          <cell r="B611">
            <v>2</v>
          </cell>
          <cell r="C611">
            <v>1</v>
          </cell>
          <cell r="D611">
            <v>1</v>
          </cell>
          <cell r="E611">
            <v>1</v>
          </cell>
          <cell r="F611">
            <v>2</v>
          </cell>
          <cell r="G611">
            <v>2</v>
          </cell>
          <cell r="H611">
            <v>2</v>
          </cell>
          <cell r="I611">
            <v>2</v>
          </cell>
          <cell r="J611">
            <v>1</v>
          </cell>
          <cell r="K611">
            <v>2</v>
          </cell>
          <cell r="L611">
            <v>2</v>
          </cell>
          <cell r="M611">
            <v>2</v>
          </cell>
          <cell r="N611">
            <v>1</v>
          </cell>
          <cell r="O611">
            <v>1</v>
          </cell>
          <cell r="P611">
            <v>0</v>
          </cell>
          <cell r="Q611">
            <v>1</v>
          </cell>
          <cell r="R611">
            <v>2</v>
          </cell>
          <cell r="S611">
            <v>1</v>
          </cell>
          <cell r="T611">
            <v>0</v>
          </cell>
          <cell r="U611">
            <v>1</v>
          </cell>
        </row>
        <row r="612">
          <cell r="A612" t="str">
            <v>TC0084</v>
          </cell>
          <cell r="B612">
            <v>9</v>
          </cell>
          <cell r="C612">
            <v>7</v>
          </cell>
          <cell r="D612">
            <v>7</v>
          </cell>
          <cell r="E612">
            <v>5</v>
          </cell>
          <cell r="F612">
            <v>9</v>
          </cell>
          <cell r="G612">
            <v>6</v>
          </cell>
          <cell r="H612">
            <v>9</v>
          </cell>
          <cell r="I612">
            <v>9</v>
          </cell>
          <cell r="J612">
            <v>7</v>
          </cell>
          <cell r="K612">
            <v>9</v>
          </cell>
          <cell r="L612">
            <v>8</v>
          </cell>
          <cell r="M612">
            <v>6</v>
          </cell>
          <cell r="N612">
            <v>7</v>
          </cell>
          <cell r="O612">
            <v>5</v>
          </cell>
          <cell r="P612">
            <v>0</v>
          </cell>
          <cell r="Q612">
            <v>7</v>
          </cell>
          <cell r="R612">
            <v>9</v>
          </cell>
          <cell r="S612">
            <v>7</v>
          </cell>
          <cell r="T612">
            <v>0</v>
          </cell>
          <cell r="U612">
            <v>5</v>
          </cell>
        </row>
        <row r="613">
          <cell r="A613" t="str">
            <v>TC0085</v>
          </cell>
          <cell r="B613">
            <v>2</v>
          </cell>
          <cell r="C613">
            <v>2</v>
          </cell>
          <cell r="D613">
            <v>2</v>
          </cell>
          <cell r="E613">
            <v>0</v>
          </cell>
          <cell r="F613">
            <v>2</v>
          </cell>
          <cell r="G613">
            <v>0</v>
          </cell>
          <cell r="H613">
            <v>2</v>
          </cell>
          <cell r="I613">
            <v>2</v>
          </cell>
          <cell r="J613">
            <v>2</v>
          </cell>
          <cell r="K613">
            <v>2</v>
          </cell>
          <cell r="L613">
            <v>2</v>
          </cell>
          <cell r="M613">
            <v>0</v>
          </cell>
          <cell r="N613">
            <v>2</v>
          </cell>
          <cell r="O613">
            <v>0</v>
          </cell>
          <cell r="P613">
            <v>0</v>
          </cell>
          <cell r="Q613">
            <v>2</v>
          </cell>
          <cell r="R613">
            <v>2</v>
          </cell>
          <cell r="S613">
            <v>2</v>
          </cell>
          <cell r="T613">
            <v>0</v>
          </cell>
          <cell r="U613">
            <v>0</v>
          </cell>
        </row>
        <row r="614">
          <cell r="A614" t="str">
            <v>TC0086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1</v>
          </cell>
          <cell r="R614">
            <v>4</v>
          </cell>
          <cell r="S614">
            <v>2</v>
          </cell>
          <cell r="T614">
            <v>0</v>
          </cell>
          <cell r="U614">
            <v>0</v>
          </cell>
        </row>
        <row r="615">
          <cell r="A615" t="str">
            <v>TC0087</v>
          </cell>
          <cell r="B615">
            <v>8</v>
          </cell>
          <cell r="C615">
            <v>6</v>
          </cell>
          <cell r="D615">
            <v>6</v>
          </cell>
          <cell r="E615">
            <v>6</v>
          </cell>
          <cell r="F615">
            <v>8</v>
          </cell>
          <cell r="G615">
            <v>7</v>
          </cell>
          <cell r="H615">
            <v>8</v>
          </cell>
          <cell r="I615">
            <v>8</v>
          </cell>
          <cell r="J615">
            <v>6</v>
          </cell>
          <cell r="K615">
            <v>8</v>
          </cell>
          <cell r="L615">
            <v>7</v>
          </cell>
          <cell r="M615">
            <v>3</v>
          </cell>
          <cell r="N615">
            <v>6</v>
          </cell>
          <cell r="O615">
            <v>6</v>
          </cell>
          <cell r="P615">
            <v>0</v>
          </cell>
          <cell r="Q615">
            <v>6</v>
          </cell>
          <cell r="R615">
            <v>8</v>
          </cell>
          <cell r="S615">
            <v>6</v>
          </cell>
          <cell r="T615">
            <v>0</v>
          </cell>
          <cell r="U615">
            <v>6</v>
          </cell>
        </row>
        <row r="616">
          <cell r="A616" t="str">
            <v>TC0088</v>
          </cell>
          <cell r="B616">
            <v>1</v>
          </cell>
          <cell r="C616">
            <v>1</v>
          </cell>
          <cell r="D616">
            <v>1</v>
          </cell>
          <cell r="E616">
            <v>1</v>
          </cell>
          <cell r="F616">
            <v>1</v>
          </cell>
          <cell r="G616">
            <v>1</v>
          </cell>
          <cell r="H616">
            <v>1</v>
          </cell>
          <cell r="I616">
            <v>1</v>
          </cell>
          <cell r="J616">
            <v>1</v>
          </cell>
          <cell r="K616">
            <v>1</v>
          </cell>
          <cell r="L616">
            <v>1</v>
          </cell>
          <cell r="M616">
            <v>1</v>
          </cell>
          <cell r="N616">
            <v>1</v>
          </cell>
          <cell r="O616">
            <v>1</v>
          </cell>
          <cell r="P616">
            <v>0</v>
          </cell>
          <cell r="Q616">
            <v>1</v>
          </cell>
          <cell r="R616">
            <v>1</v>
          </cell>
          <cell r="S616">
            <v>1</v>
          </cell>
          <cell r="T616">
            <v>0</v>
          </cell>
          <cell r="U616">
            <v>1</v>
          </cell>
        </row>
        <row r="617">
          <cell r="A617" t="str">
            <v>TC0089</v>
          </cell>
          <cell r="B617">
            <v>1</v>
          </cell>
          <cell r="C617">
            <v>1</v>
          </cell>
          <cell r="D617">
            <v>1</v>
          </cell>
          <cell r="E617">
            <v>1</v>
          </cell>
          <cell r="F617">
            <v>1</v>
          </cell>
          <cell r="G617">
            <v>1</v>
          </cell>
          <cell r="H617">
            <v>1</v>
          </cell>
          <cell r="I617">
            <v>1</v>
          </cell>
          <cell r="J617">
            <v>1</v>
          </cell>
          <cell r="K617">
            <v>1</v>
          </cell>
          <cell r="L617">
            <v>1</v>
          </cell>
          <cell r="M617">
            <v>1</v>
          </cell>
          <cell r="N617">
            <v>1</v>
          </cell>
          <cell r="O617">
            <v>1</v>
          </cell>
          <cell r="P617">
            <v>0</v>
          </cell>
          <cell r="Q617">
            <v>1</v>
          </cell>
          <cell r="R617">
            <v>1</v>
          </cell>
          <cell r="S617">
            <v>1</v>
          </cell>
          <cell r="T617">
            <v>0</v>
          </cell>
          <cell r="U617">
            <v>1</v>
          </cell>
        </row>
        <row r="618">
          <cell r="A618" t="str">
            <v>TC0090</v>
          </cell>
          <cell r="B618">
            <v>1</v>
          </cell>
          <cell r="C618">
            <v>1</v>
          </cell>
          <cell r="D618">
            <v>1</v>
          </cell>
          <cell r="E618">
            <v>1</v>
          </cell>
          <cell r="F618">
            <v>1</v>
          </cell>
          <cell r="G618">
            <v>1</v>
          </cell>
          <cell r="H618">
            <v>1</v>
          </cell>
          <cell r="I618">
            <v>1</v>
          </cell>
          <cell r="J618">
            <v>1</v>
          </cell>
          <cell r="K618">
            <v>1</v>
          </cell>
          <cell r="L618">
            <v>1</v>
          </cell>
          <cell r="M618">
            <v>1</v>
          </cell>
          <cell r="N618">
            <v>1</v>
          </cell>
          <cell r="O618">
            <v>1</v>
          </cell>
          <cell r="P618">
            <v>0</v>
          </cell>
          <cell r="Q618">
            <v>1</v>
          </cell>
          <cell r="R618">
            <v>1</v>
          </cell>
          <cell r="S618">
            <v>1</v>
          </cell>
          <cell r="T618">
            <v>0</v>
          </cell>
          <cell r="U618">
            <v>1</v>
          </cell>
        </row>
        <row r="619">
          <cell r="A619" t="str">
            <v>TC0091</v>
          </cell>
          <cell r="B619">
            <v>1</v>
          </cell>
          <cell r="C619">
            <v>1</v>
          </cell>
          <cell r="D619">
            <v>1</v>
          </cell>
          <cell r="E619">
            <v>1</v>
          </cell>
          <cell r="F619">
            <v>1</v>
          </cell>
          <cell r="G619">
            <v>1</v>
          </cell>
          <cell r="H619">
            <v>1</v>
          </cell>
          <cell r="I619">
            <v>1</v>
          </cell>
          <cell r="J619">
            <v>1</v>
          </cell>
          <cell r="K619">
            <v>1</v>
          </cell>
          <cell r="L619">
            <v>1</v>
          </cell>
          <cell r="M619">
            <v>1</v>
          </cell>
          <cell r="N619">
            <v>1</v>
          </cell>
          <cell r="O619">
            <v>1</v>
          </cell>
          <cell r="P619">
            <v>0</v>
          </cell>
          <cell r="Q619">
            <v>1</v>
          </cell>
          <cell r="R619">
            <v>1</v>
          </cell>
          <cell r="S619">
            <v>1</v>
          </cell>
          <cell r="T619">
            <v>0</v>
          </cell>
          <cell r="U619">
            <v>1</v>
          </cell>
        </row>
        <row r="620">
          <cell r="A620" t="str">
            <v>TC0092</v>
          </cell>
          <cell r="B620">
            <v>2</v>
          </cell>
          <cell r="C620">
            <v>2</v>
          </cell>
          <cell r="D620">
            <v>2</v>
          </cell>
          <cell r="E620">
            <v>2</v>
          </cell>
          <cell r="F620">
            <v>2</v>
          </cell>
          <cell r="G620">
            <v>2</v>
          </cell>
          <cell r="H620">
            <v>2</v>
          </cell>
          <cell r="I620">
            <v>2</v>
          </cell>
          <cell r="J620">
            <v>2</v>
          </cell>
          <cell r="K620">
            <v>2</v>
          </cell>
          <cell r="L620">
            <v>2</v>
          </cell>
          <cell r="M620">
            <v>2</v>
          </cell>
          <cell r="N620">
            <v>2</v>
          </cell>
          <cell r="O620">
            <v>2</v>
          </cell>
          <cell r="P620">
            <v>0</v>
          </cell>
          <cell r="Q620">
            <v>2</v>
          </cell>
          <cell r="R620">
            <v>2</v>
          </cell>
          <cell r="S620">
            <v>2</v>
          </cell>
          <cell r="T620">
            <v>0</v>
          </cell>
          <cell r="U620">
            <v>2</v>
          </cell>
        </row>
        <row r="621">
          <cell r="A621" t="str">
            <v>TC0093</v>
          </cell>
          <cell r="B621">
            <v>2</v>
          </cell>
          <cell r="C621">
            <v>2</v>
          </cell>
          <cell r="D621">
            <v>2</v>
          </cell>
          <cell r="E621">
            <v>2</v>
          </cell>
          <cell r="F621">
            <v>2</v>
          </cell>
          <cell r="G621">
            <v>2</v>
          </cell>
          <cell r="H621">
            <v>2</v>
          </cell>
          <cell r="I621">
            <v>2</v>
          </cell>
          <cell r="J621">
            <v>2</v>
          </cell>
          <cell r="K621">
            <v>2</v>
          </cell>
          <cell r="L621">
            <v>2</v>
          </cell>
          <cell r="M621">
            <v>2</v>
          </cell>
          <cell r="N621">
            <v>2</v>
          </cell>
          <cell r="O621">
            <v>2</v>
          </cell>
          <cell r="P621">
            <v>0</v>
          </cell>
          <cell r="Q621">
            <v>2</v>
          </cell>
          <cell r="R621">
            <v>2</v>
          </cell>
          <cell r="S621">
            <v>2</v>
          </cell>
          <cell r="T621">
            <v>0</v>
          </cell>
          <cell r="U621">
            <v>2</v>
          </cell>
        </row>
        <row r="622">
          <cell r="A622" t="str">
            <v>TC0094</v>
          </cell>
          <cell r="B622">
            <v>2</v>
          </cell>
          <cell r="C622">
            <v>2</v>
          </cell>
          <cell r="D622">
            <v>2</v>
          </cell>
          <cell r="E622">
            <v>2</v>
          </cell>
          <cell r="F622">
            <v>2</v>
          </cell>
          <cell r="G622">
            <v>2</v>
          </cell>
          <cell r="H622">
            <v>2</v>
          </cell>
          <cell r="I622">
            <v>2</v>
          </cell>
          <cell r="J622">
            <v>2</v>
          </cell>
          <cell r="K622">
            <v>2</v>
          </cell>
          <cell r="L622">
            <v>2</v>
          </cell>
          <cell r="M622">
            <v>2</v>
          </cell>
          <cell r="N622">
            <v>2</v>
          </cell>
          <cell r="O622">
            <v>2</v>
          </cell>
          <cell r="P622">
            <v>0</v>
          </cell>
          <cell r="Q622">
            <v>2</v>
          </cell>
          <cell r="R622">
            <v>2</v>
          </cell>
          <cell r="S622">
            <v>2</v>
          </cell>
          <cell r="T622">
            <v>0</v>
          </cell>
          <cell r="U622">
            <v>2</v>
          </cell>
        </row>
        <row r="623">
          <cell r="A623" t="str">
            <v>TC0095</v>
          </cell>
          <cell r="B623">
            <v>2</v>
          </cell>
          <cell r="C623">
            <v>2</v>
          </cell>
          <cell r="D623">
            <v>2</v>
          </cell>
          <cell r="E623">
            <v>2</v>
          </cell>
          <cell r="F623">
            <v>2</v>
          </cell>
          <cell r="G623">
            <v>2</v>
          </cell>
          <cell r="H623">
            <v>2</v>
          </cell>
          <cell r="I623">
            <v>2</v>
          </cell>
          <cell r="J623">
            <v>2</v>
          </cell>
          <cell r="K623">
            <v>2</v>
          </cell>
          <cell r="L623">
            <v>2</v>
          </cell>
          <cell r="M623">
            <v>2</v>
          </cell>
          <cell r="N623">
            <v>2</v>
          </cell>
          <cell r="O623">
            <v>2</v>
          </cell>
          <cell r="P623">
            <v>0</v>
          </cell>
          <cell r="Q623">
            <v>2</v>
          </cell>
          <cell r="R623">
            <v>2</v>
          </cell>
          <cell r="S623">
            <v>2</v>
          </cell>
          <cell r="T623">
            <v>0</v>
          </cell>
          <cell r="U623">
            <v>2</v>
          </cell>
        </row>
        <row r="624">
          <cell r="A624" t="str">
            <v>TC0096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2</v>
          </cell>
          <cell r="R624">
            <v>2</v>
          </cell>
          <cell r="S624">
            <v>2</v>
          </cell>
          <cell r="T624">
            <v>0</v>
          </cell>
          <cell r="U624">
            <v>0</v>
          </cell>
        </row>
        <row r="625">
          <cell r="A625" t="str">
            <v>TC0097</v>
          </cell>
          <cell r="B625">
            <v>2</v>
          </cell>
          <cell r="C625">
            <v>2</v>
          </cell>
          <cell r="D625">
            <v>2</v>
          </cell>
          <cell r="E625">
            <v>0</v>
          </cell>
          <cell r="F625">
            <v>2</v>
          </cell>
          <cell r="G625">
            <v>0</v>
          </cell>
          <cell r="H625">
            <v>2</v>
          </cell>
          <cell r="I625">
            <v>2</v>
          </cell>
          <cell r="J625">
            <v>2</v>
          </cell>
          <cell r="K625">
            <v>2</v>
          </cell>
          <cell r="L625">
            <v>2</v>
          </cell>
          <cell r="M625">
            <v>0</v>
          </cell>
          <cell r="N625">
            <v>2</v>
          </cell>
          <cell r="O625">
            <v>0</v>
          </cell>
          <cell r="P625">
            <v>1</v>
          </cell>
          <cell r="Q625">
            <v>2</v>
          </cell>
          <cell r="R625">
            <v>2</v>
          </cell>
          <cell r="S625">
            <v>2</v>
          </cell>
          <cell r="T625">
            <v>1</v>
          </cell>
          <cell r="U625">
            <v>0</v>
          </cell>
        </row>
        <row r="626">
          <cell r="A626" t="str">
            <v>TC0098</v>
          </cell>
          <cell r="B626">
            <v>3</v>
          </cell>
          <cell r="C626">
            <v>3</v>
          </cell>
          <cell r="D626">
            <v>3</v>
          </cell>
          <cell r="E626">
            <v>2</v>
          </cell>
          <cell r="F626">
            <v>3</v>
          </cell>
          <cell r="G626">
            <v>2</v>
          </cell>
          <cell r="H626">
            <v>3</v>
          </cell>
          <cell r="I626">
            <v>3</v>
          </cell>
          <cell r="J626">
            <v>3</v>
          </cell>
          <cell r="K626">
            <v>3</v>
          </cell>
          <cell r="L626">
            <v>3</v>
          </cell>
          <cell r="M626">
            <v>2</v>
          </cell>
          <cell r="N626">
            <v>3</v>
          </cell>
          <cell r="O626">
            <v>2</v>
          </cell>
          <cell r="P626">
            <v>0</v>
          </cell>
          <cell r="Q626">
            <v>3</v>
          </cell>
          <cell r="R626">
            <v>3</v>
          </cell>
          <cell r="S626">
            <v>3</v>
          </cell>
          <cell r="T626">
            <v>0</v>
          </cell>
          <cell r="U626">
            <v>2</v>
          </cell>
        </row>
        <row r="627">
          <cell r="A627" t="str">
            <v>TCE001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1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</row>
        <row r="628">
          <cell r="A628" t="str">
            <v>TCE002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1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</row>
        <row r="629">
          <cell r="A629" t="str">
            <v>TCE004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4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</row>
        <row r="630">
          <cell r="A630" t="str">
            <v>TCE005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2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</row>
        <row r="631">
          <cell r="A631" t="str">
            <v>TCE006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2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</row>
        <row r="632">
          <cell r="A632" t="str">
            <v>TCE007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3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0000000}" name="Table20" displayName="Table20" ref="A1:I40" totalsRowShown="0" headerRowDxfId="787" headerRowBorderDxfId="786" tableBorderDxfId="785" totalsRowBorderDxfId="784" headerRowCellStyle="Normal 9 2">
  <autoFilter ref="A1:I40" xr:uid="{00000000-000C-0000-FFFF-FFFF00000000}"/>
  <sortState xmlns:xlrd2="http://schemas.microsoft.com/office/spreadsheetml/2017/richdata2" ref="A2:I40">
    <sortCondition ref="E1:E40"/>
  </sortState>
  <tableColumns count="9">
    <tableColumn id="1" xr3:uid="{00000000-0010-0000-0000-000001000000}" name="Nomenclature"/>
    <tableColumn id="2" xr3:uid="{00000000-0010-0000-0000-000002000000}" name="Part Number"/>
    <tableColumn id="8" xr3:uid="{00000000-0010-0000-0000-000008000000}" name="Country of Origin" dataDxfId="783"/>
    <tableColumn id="3" xr3:uid="{00000000-0010-0000-0000-000003000000}" name="MFG Part Number"/>
    <tableColumn id="4" xr3:uid="{00000000-0010-0000-0000-000004000000}" name="Cage Code" dataDxfId="782"/>
    <tableColumn id="10" xr3:uid="{00000000-0010-0000-0000-00000A000000}" name="Replacement" dataDxfId="781" dataCellStyle="Normal 9 3"/>
    <tableColumn id="5" xr3:uid="{00000000-0010-0000-0000-000005000000}" name="Quantity" dataDxfId="780"/>
    <tableColumn id="6" xr3:uid="{00000000-0010-0000-0000-000006000000}" name="Unit price" dataDxfId="779"/>
    <tableColumn id="9" xr3:uid="{00000000-0010-0000-0000-000009000000}" name="Extended price" dataDxfId="778" dataCellStyle="Normal 9 2">
      <calculatedColumnFormula>+Table20[[#This Row],[Quantity]]*Table20[[#This Row],[Unit price]]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262AC-4C00-4EE8-98C9-7C395A1C5D96}" name="Table2" displayName="Table2" ref="A1:I75" totalsRowShown="0" headerRowBorderDxfId="777" tableBorderDxfId="776" totalsRowBorderDxfId="775">
  <autoFilter ref="A1:I75" xr:uid="{404262AC-4C00-4EE8-98C9-7C395A1C5D96}"/>
  <sortState xmlns:xlrd2="http://schemas.microsoft.com/office/spreadsheetml/2017/richdata2" ref="A2:I75">
    <sortCondition ref="E1:E75"/>
  </sortState>
  <tableColumns count="9">
    <tableColumn id="1" xr3:uid="{4E802891-8E3F-4288-B218-8B4AFF94B913}" name="Nomenclature" dataDxfId="774" dataCellStyle="Normal 9 3"/>
    <tableColumn id="2" xr3:uid="{2E4F69F1-36B7-44F0-86B8-6779A255ABF6}" name="Part Number" dataDxfId="773"/>
    <tableColumn id="3" xr3:uid="{8F84A31A-8C06-4B78-A2E2-92ED0ED150B0}" name="Country of Origin" dataDxfId="772" dataCellStyle="Normal 9 3"/>
    <tableColumn id="4" xr3:uid="{892DC9AD-326A-466A-88EA-E271BD8CB684}" name="MFG Part Number" dataDxfId="771"/>
    <tableColumn id="5" xr3:uid="{20986081-4F2F-42BE-88DB-4A1FC5AE3858}" name="Cage Code" dataDxfId="770"/>
    <tableColumn id="6" xr3:uid="{B2CB0699-11FC-45E3-9A0D-6BC5F6C469A3}" name="Replacement" dataDxfId="769" dataCellStyle="Normal 9 3"/>
    <tableColumn id="7" xr3:uid="{F513E6BE-6166-4D62-9031-D14FEA091767}" name="Quantity" dataDxfId="768" dataCellStyle="Normal 9 3"/>
    <tableColumn id="8" xr3:uid="{B59B8A68-DEF8-4846-B878-489B96D52EDE}" name="Unit Price" dataDxfId="767" dataCellStyle="Normal 9 3"/>
    <tableColumn id="9" xr3:uid="{FEF9852B-40CE-45E7-9F92-BEEC4C00025F}" name="Extended price" dataDxfId="766" dataCellStyle="Normal 9 3">
      <calculatedColumnFormula>+G2*H2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904C91-AC26-42BD-8FC5-A34858BE63C2}" name="Table3" displayName="Table3" ref="A1:I49" totalsRowShown="0" headerRowBorderDxfId="765" tableBorderDxfId="764" totalsRowBorderDxfId="763">
  <autoFilter ref="A1:I49" xr:uid="{65904C91-AC26-42BD-8FC5-A34858BE63C2}"/>
  <sortState xmlns:xlrd2="http://schemas.microsoft.com/office/spreadsheetml/2017/richdata2" ref="A2:I49">
    <sortCondition ref="E1:E49"/>
  </sortState>
  <tableColumns count="9">
    <tableColumn id="1" xr3:uid="{7276F169-549D-4328-B875-2D685788D199}" name="Nomenclature" dataDxfId="762"/>
    <tableColumn id="2" xr3:uid="{288F63E0-0B63-456C-97BC-14CF945744BE}" name="Part Number" dataDxfId="761"/>
    <tableColumn id="3" xr3:uid="{3C2FC151-8309-4CFD-A5DF-25AEDCE6CEF7}" name="Country of Origin" dataDxfId="760" dataCellStyle="Normal 9 3"/>
    <tableColumn id="4" xr3:uid="{85C86B5A-ABED-44CD-BC0B-CB0DB493F065}" name="MFG Part Number" dataDxfId="759"/>
    <tableColumn id="5" xr3:uid="{00D9B1E7-1BF2-47B5-81CE-1C97AA095E47}" name="Cage Code" dataDxfId="758"/>
    <tableColumn id="6" xr3:uid="{94D0FC45-A1AC-440C-997D-4F09038835D3}" name="Replacement" dataDxfId="757" dataCellStyle="Normal 9 3"/>
    <tableColumn id="7" xr3:uid="{61D4ABE7-D7F4-4A9A-A580-5E2D284D6C96}" name="Quantity" dataDxfId="756"/>
    <tableColumn id="8" xr3:uid="{0A4421F6-D861-4348-B900-5650CF34FE4D}" name="Unit Price" dataDxfId="755"/>
    <tableColumn id="9" xr3:uid="{542A193E-3FBA-4C08-BA32-30132B0D0978}" name="Extended price" dataDxfId="754">
      <calculatedColumnFormula>+G2*H2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E94475-C6A0-4695-B0F4-A3D1F3CB1DFD}" name="Table6" displayName="Table6" ref="A1:I109" totalsRowShown="0" headerRowBorderDxfId="753" tableBorderDxfId="752" totalsRowBorderDxfId="751">
  <autoFilter ref="A1:I109" xr:uid="{3AE94475-C6A0-4695-B0F4-A3D1F3CB1DFD}"/>
  <sortState xmlns:xlrd2="http://schemas.microsoft.com/office/spreadsheetml/2017/richdata2" ref="A2:I109">
    <sortCondition ref="E1:E109"/>
  </sortState>
  <tableColumns count="9">
    <tableColumn id="1" xr3:uid="{69ED2041-4B58-4B7B-8F29-B4B80BAB8AF7}" name="Nomenclature" dataDxfId="750" dataCellStyle="Normal 9 3"/>
    <tableColumn id="2" xr3:uid="{B098D4E1-B443-48C0-8CAA-5B37350EE5B1}" name="Part Number" dataDxfId="749" dataCellStyle="Normal 9 3"/>
    <tableColumn id="3" xr3:uid="{D5AEFF52-6540-419A-AF5E-90BDB94D4C45}" name="Country of Origin" dataDxfId="748" dataCellStyle="Normal 9 3"/>
    <tableColumn id="4" xr3:uid="{F7E43147-DA40-4550-8A8E-35CF0A75923F}" name="MFG Part Number" dataDxfId="747" dataCellStyle="Normal 9 3"/>
    <tableColumn id="5" xr3:uid="{22397F29-F94E-498A-9ED1-98233A90E6A2}" name="Cage Code" dataDxfId="746" dataCellStyle="Normal 9 3"/>
    <tableColumn id="6" xr3:uid="{B261A55A-F544-4675-B271-C6CC61533397}" name="Replacement" dataDxfId="745" dataCellStyle="Normal 9 3"/>
    <tableColumn id="7" xr3:uid="{6AAAFA4A-0914-4A9F-BEBD-482F2B42D76A}" name="Quantity" dataDxfId="744" dataCellStyle="Hyperlink"/>
    <tableColumn id="8" xr3:uid="{CEA3F7B0-9919-4ABD-A969-637043D98D2C}" name="Unit Price" dataDxfId="743"/>
    <tableColumn id="9" xr3:uid="{BE014535-5C08-4C3F-84CE-DDBF7CF73D25}" name="Extended price" dataDxfId="742" dataCellStyle="Normal 9 3">
      <calculatedColumnFormula>+H2*G2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9D93348-AF61-4B24-9283-25D472554134}" name="Table17" displayName="Table17" ref="A1:I271" totalsRowShown="0" headerRowBorderDxfId="741" tableBorderDxfId="740" totalsRowBorderDxfId="739">
  <autoFilter ref="A1:I271" xr:uid="{C9D93348-AF61-4B24-9283-25D472554134}"/>
  <sortState xmlns:xlrd2="http://schemas.microsoft.com/office/spreadsheetml/2017/richdata2" ref="A2:I270">
    <sortCondition ref="E1:E270"/>
  </sortState>
  <tableColumns count="9">
    <tableColumn id="1" xr3:uid="{FCF6EE32-2A09-47F2-BBFC-4DD8F03ABFE9}" name="Nomenclature" dataDxfId="738"/>
    <tableColumn id="2" xr3:uid="{9A4EE5EC-2B71-4132-A6AE-6C1229B44022}" name="Part Number" dataDxfId="737"/>
    <tableColumn id="3" xr3:uid="{7C5F1308-EA1F-4C18-98DB-C4A4555BBC91}" name="Country of Origin" dataDxfId="736" dataCellStyle="Normal 9 3"/>
    <tableColumn id="4" xr3:uid="{35AB5E50-A760-43CC-93FE-3E51244ED02B}" name="MFG Part Number" dataDxfId="735"/>
    <tableColumn id="5" xr3:uid="{38BF811A-193C-4D04-BEC7-CA28CC113D32}" name="Cage Code" dataDxfId="734"/>
    <tableColumn id="6" xr3:uid="{2B557A67-1BBC-41AE-A1DF-ACBB4083F8A4}" name="Replacement" dataDxfId="733" dataCellStyle="Normal 9 3"/>
    <tableColumn id="7" xr3:uid="{C37F85B9-5531-4126-B7DC-CCA18D74C79D}" name="Quantity" dataDxfId="732"/>
    <tableColumn id="8" xr3:uid="{CB63FF5B-9ECE-44F8-A592-2FE5BBCC1D98}" name="Unit Price" dataDxfId="731"/>
    <tableColumn id="9" xr3:uid="{17E7ACB1-8DF0-41CE-96F2-48BCEFDA01CE}" name="Extended price" dataDxfId="730">
      <calculatedColumnFormula>+G2*H2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F7959C0-0BF3-4E63-99C8-EDF5B2010655}" name="Table21" displayName="Table21" ref="A1:I114" totalsRowShown="0" headerRowBorderDxfId="729" tableBorderDxfId="728" totalsRowBorderDxfId="727">
  <autoFilter ref="A1:I114" xr:uid="{DF7959C0-0BF3-4E63-99C8-EDF5B2010655}"/>
  <sortState xmlns:xlrd2="http://schemas.microsoft.com/office/spreadsheetml/2017/richdata2" ref="A2:I114">
    <sortCondition ref="E1:E114"/>
  </sortState>
  <tableColumns count="9">
    <tableColumn id="1" xr3:uid="{3946507D-050D-462A-BB83-426564AA2320}" name="Nomenclature" dataDxfId="726" dataCellStyle="Normal 9 3"/>
    <tableColumn id="2" xr3:uid="{EA44575E-87F8-4902-8870-593F64EC8CD3}" name="Part Number" dataDxfId="725"/>
    <tableColumn id="3" xr3:uid="{929F89F0-F600-4AC0-B37A-491063920264}" name="Country of Origin" dataDxfId="724" dataCellStyle="Normal 9 3"/>
    <tableColumn id="4" xr3:uid="{2987014A-4335-4380-94C6-7E429A3C4D2B}" name="MFG Part Number" dataDxfId="723"/>
    <tableColumn id="5" xr3:uid="{876482C4-AB77-4C47-90C0-06E01AEB13A5}" name="Cage Code" dataDxfId="722"/>
    <tableColumn id="6" xr3:uid="{8CC310C4-830F-4AE5-92F9-7FD25EDDD4CE}" name="Replacement" dataDxfId="721" dataCellStyle="Normal 9 3"/>
    <tableColumn id="7" xr3:uid="{C67BBEAA-4EC8-41AB-BE4E-903610216738}" name="Quantity" dataDxfId="720" dataCellStyle="Hyperlink"/>
    <tableColumn id="8" xr3:uid="{3A1C40C0-ADDF-4B41-A3B1-93685349B547}" name="Unit Price" dataDxfId="719" dataCellStyle="Normal 9 3"/>
    <tableColumn id="9" xr3:uid="{76FF24B7-D3D8-4B6F-81E4-01AAD22CADDF}" name="Extended price" dataDxfId="718" dataCellStyle="Normal 9 3">
      <calculatedColumnFormula>+G2*H2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585564E-97BB-40FC-8FC5-93F1C3B05922}" name="Table23" displayName="Table23" ref="A1:I42" totalsRowShown="0" headerRowBorderDxfId="717" tableBorderDxfId="716" totalsRowBorderDxfId="715">
  <autoFilter ref="A1:I42" xr:uid="{4585564E-97BB-40FC-8FC5-93F1C3B05922}"/>
  <sortState xmlns:xlrd2="http://schemas.microsoft.com/office/spreadsheetml/2017/richdata2" ref="A2:I42">
    <sortCondition ref="E1:E42"/>
  </sortState>
  <tableColumns count="9">
    <tableColumn id="1" xr3:uid="{558476DF-F0A0-4982-A231-C32B95E20758}" name="Nomenclature" dataDxfId="714"/>
    <tableColumn id="2" xr3:uid="{6702AF8E-998C-4E5E-87E6-C20B749DA0DE}" name="Part Number" dataDxfId="713"/>
    <tableColumn id="3" xr3:uid="{24242DE6-B47C-45C3-A584-CF2B8E476DCD}" name="Country of Origin" dataDxfId="712" dataCellStyle="Normal 9 3"/>
    <tableColumn id="4" xr3:uid="{37C5BEFD-B29D-461B-9E87-34261C49CD5B}" name="MFG Part Number" dataDxfId="711"/>
    <tableColumn id="5" xr3:uid="{C7814CB6-487F-49B1-8CD3-1C29945422FA}" name="Cage Code" dataDxfId="710"/>
    <tableColumn id="6" xr3:uid="{D29084DB-7757-4454-9425-50F543FCA60D}" name="Replacement" dataDxfId="709" dataCellStyle="Normal 9 3"/>
    <tableColumn id="7" xr3:uid="{A59CA90C-0C4F-4B03-83E1-7520AA3BEF03}" name="Quantity" dataDxfId="708"/>
    <tableColumn id="8" xr3:uid="{62277ADF-92F7-4285-B12C-A4448BE833E6}" name="Unit Price" dataDxfId="707"/>
    <tableColumn id="9" xr3:uid="{C57506A0-46B8-4980-9632-091462B2C12F}" name="Extended price" dataDxfId="706">
      <calculatedColumnFormula>+G2*H2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EA50898-8957-4338-A9F7-AEB1A6A0F342}" name="Table24" displayName="Table24" ref="A1:I108" totalsRowShown="0" headerRowBorderDxfId="705" tableBorderDxfId="704" totalsRowBorderDxfId="703">
  <autoFilter ref="A1:I108" xr:uid="{3EA50898-8957-4338-A9F7-AEB1A6A0F342}"/>
  <sortState xmlns:xlrd2="http://schemas.microsoft.com/office/spreadsheetml/2017/richdata2" ref="A2:I108">
    <sortCondition ref="E1:E108"/>
  </sortState>
  <tableColumns count="9">
    <tableColumn id="1" xr3:uid="{2737C430-63D1-47A0-BC98-B4F7172E23FD}" name="Nomenclature" dataDxfId="702" dataCellStyle="Normal 9"/>
    <tableColumn id="2" xr3:uid="{65733A25-3009-4589-BFAC-3B472A264A17}" name="Part Number" dataDxfId="701" dataCellStyle="Normal 14 2"/>
    <tableColumn id="3" xr3:uid="{7E8530F0-B900-4C85-8649-0B0654B92E0A}" name="Country of Origin" dataDxfId="700" dataCellStyle="Normal 9 3"/>
    <tableColumn id="4" xr3:uid="{03EC64AA-2AE4-4DF8-A4E7-BEE8EA8EE87F}" name="MFG Part Number" dataDxfId="699" dataCellStyle="Normal 14 2"/>
    <tableColumn id="5" xr3:uid="{7B89CA6D-87D5-4892-89B2-5EF4276A7DC0}" name="Cage Code" dataDxfId="698" dataCellStyle="Normal 14 2"/>
    <tableColumn id="6" xr3:uid="{9E1A2D24-0E40-45EE-951F-EA2A7C58FE3E}" name="Replacement" dataDxfId="697" dataCellStyle="Normal 9 2"/>
    <tableColumn id="7" xr3:uid="{E0D35D39-1E37-410B-B1C0-3EF5738F28A3}" name="Quantity" dataDxfId="696" dataCellStyle="Normal 9"/>
    <tableColumn id="8" xr3:uid="{453A71A2-4598-45D5-8CF8-9678481F5537}" name="Unit Price" dataDxfId="695" dataCellStyle="Normal 9 2"/>
    <tableColumn id="9" xr3:uid="{684081DF-3D4F-433B-AF3C-AA73597876E8}" name="Extended price" dataDxfId="694" dataCellStyle="Normal 14 2">
      <calculatedColumnFormula>+G2*H2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93333FF-05C2-4880-9C16-B0E883DF3BD0}" name="Table25" displayName="Table25" ref="A1:I230" totalsRowShown="0" headerRowBorderDxfId="693" tableBorderDxfId="692" totalsRowBorderDxfId="691">
  <autoFilter ref="A1:I230" xr:uid="{B93333FF-05C2-4880-9C16-B0E883DF3BD0}"/>
  <sortState xmlns:xlrd2="http://schemas.microsoft.com/office/spreadsheetml/2017/richdata2" ref="A2:I230">
    <sortCondition ref="E1:E230"/>
  </sortState>
  <tableColumns count="9">
    <tableColumn id="1" xr3:uid="{B5A9E8FF-743F-42EE-8F53-A2407A9C1E35}" name="Nomenclature" dataDxfId="690"/>
    <tableColumn id="2" xr3:uid="{23844AF4-EC91-4ACD-8100-B2DAC8C41EEC}" name="Part Number" dataDxfId="689"/>
    <tableColumn id="3" xr3:uid="{1DB92855-FC5B-4D4F-B093-8ED8E552D516}" name="Country of Origin" dataDxfId="688" dataCellStyle="Normal 9 3"/>
    <tableColumn id="4" xr3:uid="{4C26E123-87C2-45F1-B185-AAAC86406FCA}" name="MFG Part Number" dataDxfId="687"/>
    <tableColumn id="5" xr3:uid="{4854615A-BBD7-4A06-ACB4-7961555131DE}" name="Cage Code" dataDxfId="686"/>
    <tableColumn id="6" xr3:uid="{C0E01AFF-31E0-4BB2-8F01-51E1F213B50A}" name="Replacement" dataDxfId="685" dataCellStyle="Normal 9 3"/>
    <tableColumn id="7" xr3:uid="{4341A0F0-FE07-488D-B81F-F738F68A215A}" name="Quantity" dataDxfId="684"/>
    <tableColumn id="8" xr3:uid="{E24A9FD3-2512-4893-84C0-66922BDC553C}" name="Unit Price" dataDxfId="683"/>
    <tableColumn id="9" xr3:uid="{F25E8B42-3C8F-4DC4-B6F6-12D667FDFB6B}" name="Extended price" dataDxfId="682">
      <calculatedColumnFormula>+G2*H2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2DAD393-AE7D-4E95-9CFE-87190801FDEB}" name="Table26" displayName="Table26" ref="A1:I10" totalsRowShown="0" headerRowBorderDxfId="681" tableBorderDxfId="680" totalsRowBorderDxfId="679">
  <autoFilter ref="A1:I10" xr:uid="{32DAD393-AE7D-4E95-9CFE-87190801FDEB}"/>
  <tableColumns count="9">
    <tableColumn id="1" xr3:uid="{B9CA9324-6F55-4BD8-B369-FB4F01D23243}" name="Nomenclature" dataDxfId="678" dataCellStyle="Normal 11"/>
    <tableColumn id="2" xr3:uid="{DB343577-620D-4FB5-AB35-F50C417C3ADF}" name="Part Number" dataDxfId="677" dataCellStyle="Normal 9 3"/>
    <tableColumn id="3" xr3:uid="{B51D3C90-B06C-4972-ABAB-29843D2BC33C}" name="Country of Origin" dataDxfId="676" dataCellStyle="Normal 9 3"/>
    <tableColumn id="4" xr3:uid="{CF7641A3-6D03-47E5-AED5-91FBB6593451}" name="MFG Part Number" dataDxfId="675" dataCellStyle="Normal 9 3"/>
    <tableColumn id="5" xr3:uid="{BB648567-518B-4BF2-9D41-5B4F9FF31C7A}" name="Cage Code" dataDxfId="674" dataCellStyle="Normal 9 3"/>
    <tableColumn id="6" xr3:uid="{D711EA72-50A6-4BFC-8D9B-278747170177}" name="Replacement" dataDxfId="673" dataCellStyle="Normal 9 3"/>
    <tableColumn id="7" xr3:uid="{99EB0BC5-0A1D-49BC-AAB6-1D42E7A8732A}" name="Quantity" dataDxfId="672" dataCellStyle="Normal 9 3"/>
    <tableColumn id="8" xr3:uid="{E0CD673B-177D-4D75-AD5B-EFBBC1B8B49B}" name="Unit Price" dataDxfId="671" dataCellStyle="Normal 9 3"/>
    <tableColumn id="9" xr3:uid="{6695A734-5B9B-4C51-AF3E-486BE59FF699}" name="Extended price" dataDxfId="670" dataCellStyle="Normal 9 3">
      <calculatedColumnFormula>+G2*H2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72ADEE3-AC70-4BAE-9D05-9F67D4D91052}" name="Table27" displayName="Table27" ref="A1:I26" totalsRowShown="0" headerRowBorderDxfId="669" tableBorderDxfId="668" totalsRowBorderDxfId="667">
  <autoFilter ref="A1:I26" xr:uid="{472ADEE3-AC70-4BAE-9D05-9F67D4D91052}"/>
  <sortState xmlns:xlrd2="http://schemas.microsoft.com/office/spreadsheetml/2017/richdata2" ref="A2:I26">
    <sortCondition ref="E1:E26"/>
  </sortState>
  <tableColumns count="9">
    <tableColumn id="1" xr3:uid="{6CDF4DE3-EAF8-4E2A-B931-542C85D9DDE4}" name="Nomenclature" dataDxfId="666" dataCellStyle="Normal 9"/>
    <tableColumn id="2" xr3:uid="{7530741A-2151-4400-80FA-5ED0B847A51F}" name="Part Number" dataDxfId="665" dataCellStyle="Normal 9"/>
    <tableColumn id="3" xr3:uid="{1A51B0A1-7BAF-4BE7-8183-7CB29A3941ED}" name="Country of Origin" dataDxfId="664" dataCellStyle="Normal 9 3"/>
    <tableColumn id="4" xr3:uid="{ADBFC4AB-EF87-4B2B-A5E6-7D6A652D6C2D}" name="MFG Part Number" dataDxfId="663" dataCellStyle="Normal 9"/>
    <tableColumn id="5" xr3:uid="{B4916457-2147-4858-8617-1B090867A966}" name="Cage Code" dataDxfId="662" dataCellStyle="Normal 9"/>
    <tableColumn id="6" xr3:uid="{698FEFB9-9F8D-4C12-AD8C-26C4F2AD1338}" name="Replacement" dataDxfId="661" dataCellStyle="Normal 9 3"/>
    <tableColumn id="7" xr3:uid="{776CFECA-1CDB-4A98-AF05-130F11642CE8}" name="Quantity" dataDxfId="660" dataCellStyle="Normal 9"/>
    <tableColumn id="8" xr3:uid="{2F254CB2-B420-4048-B37D-826D1126FB65}" name="Unit Price" dataDxfId="659" dataCellStyle="Normal 9 2"/>
    <tableColumn id="9" xr3:uid="{B7D9DB8E-4940-436A-80DB-B11286872005}" name="Extended price" dataDxfId="658" dataCellStyle="Normal 14">
      <calculatedColumnFormula>+G2*H2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6904F77-5215-42CB-BFF9-BE2E65CCBBAE}" name="Table28" displayName="Table28" ref="A1:I11" totalsRowShown="0" tableBorderDxfId="657">
  <autoFilter ref="A1:I11" xr:uid="{36904F77-5215-42CB-BFF9-BE2E65CCBBAE}"/>
  <sortState xmlns:xlrd2="http://schemas.microsoft.com/office/spreadsheetml/2017/richdata2" ref="A2:I11">
    <sortCondition ref="E1:E11"/>
  </sortState>
  <tableColumns count="9">
    <tableColumn id="1" xr3:uid="{B0B721C6-F805-49D5-93D9-7C7793048081}" name="Nomenclature"/>
    <tableColumn id="2" xr3:uid="{1A8C2318-B4BB-47CC-BC15-65C9C78A51D6}" name="Part Number"/>
    <tableColumn id="3" xr3:uid="{22208EDF-8905-43BF-88EE-BA546E4A2C49}" name="Country of Origin" dataDxfId="656" dataCellStyle="Normal 9 3"/>
    <tableColumn id="4" xr3:uid="{1D01800E-5202-40D6-A809-17D516029402}" name="MFG Part Number"/>
    <tableColumn id="5" xr3:uid="{7C58013D-907D-4F7E-90D0-77B0B533927D}" name="Cage Code"/>
    <tableColumn id="6" xr3:uid="{6D4B3F8B-4749-43DB-A002-8DF1074C95DD}" name="Replacement" dataDxfId="655" dataCellStyle="Normal 9 3"/>
    <tableColumn id="7" xr3:uid="{6B30F20A-0E1F-44BC-B0D9-1EAFED7D4C71}" name="Quantity"/>
    <tableColumn id="8" xr3:uid="{80B1EE7E-4496-41BB-9FB8-FFD3979012C7}" name="Unit Price" dataDxfId="654" dataCellStyle="Currency"/>
    <tableColumn id="9" xr3:uid="{9E925C3E-4F5F-4B54-8010-0AFD75B4C8C9}" name="Extended price">
      <calculatedColumnFormula>Table28[[#This Row],[Quantity]]*Table28[[#This Row],[Unit Price]]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Table15" displayName="Table15" ref="A1:I11" totalsRowCount="1" headerRowDxfId="653" headerRowBorderDxfId="652" tableBorderDxfId="651" headerRowCellStyle="Normal 9 2">
  <autoFilter ref="A1:I10" xr:uid="{00000000-000C-0000-FFFF-FFFF02000000}"/>
  <sortState xmlns:xlrd2="http://schemas.microsoft.com/office/spreadsheetml/2017/richdata2" ref="A2:I10">
    <sortCondition ref="E1:E10"/>
  </sortState>
  <tableColumns count="9">
    <tableColumn id="1" xr3:uid="{00000000-0010-0000-0200-000001000000}" name="Nomenclature" dataDxfId="650" totalsRowDxfId="649" dataCellStyle="Normal 14"/>
    <tableColumn id="2" xr3:uid="{00000000-0010-0000-0200-000002000000}" name="Part Number" dataDxfId="648" totalsRowDxfId="647" dataCellStyle="Normal 9 3"/>
    <tableColumn id="8" xr3:uid="{00000000-0010-0000-0200-000008000000}" name="Country of Origin" dataDxfId="646" totalsRowDxfId="645" dataCellStyle="Normal 9 3"/>
    <tableColumn id="3" xr3:uid="{00000000-0010-0000-0200-000003000000}" name="MFG Part Number" dataDxfId="644" totalsRowDxfId="643" dataCellStyle="Normal 9 2"/>
    <tableColumn id="4" xr3:uid="{00000000-0010-0000-0200-000004000000}" name="Cage Code" dataDxfId="642" totalsRowDxfId="641" dataCellStyle="Normal 9 2"/>
    <tableColumn id="10" xr3:uid="{00000000-0010-0000-0200-00000A000000}" name="Replacement" dataDxfId="640" totalsRowDxfId="639" dataCellStyle="Normal 9 3"/>
    <tableColumn id="5" xr3:uid="{00000000-0010-0000-0200-000005000000}" name="Quantity" dataDxfId="638" totalsRowDxfId="637" dataCellStyle="Normal 9 2"/>
    <tableColumn id="6" xr3:uid="{00000000-0010-0000-0200-000006000000}" name="Unit Price" dataDxfId="636" totalsRowDxfId="635" dataCellStyle="Normal 9 2"/>
    <tableColumn id="9" xr3:uid="{00000000-0010-0000-0200-000009000000}" name="Extended price" totalsRowFunction="custom" dataDxfId="634" totalsRowDxfId="633" dataCellStyle="Normal 9 2">
      <calculatedColumnFormula>+Table15[[#This Row],[Quantity]]*Table15[[#This Row],[Unit Price]]</calculatedColumnFormula>
      <totalsRowFormula>SUM(I2:I10)</totalsRowFormula>
    </tableColumn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Table12" displayName="Table12" ref="A1:I25" totalsRowCount="1" headerRowDxfId="632" dataDxfId="630" headerRowBorderDxfId="631" tableBorderDxfId="629" headerRowCellStyle="Normal 9 2">
  <autoFilter ref="A1:I24" xr:uid="{00000000-000C-0000-FFFF-FFFF03000000}"/>
  <sortState xmlns:xlrd2="http://schemas.microsoft.com/office/spreadsheetml/2017/richdata2" ref="A2:I24">
    <sortCondition ref="E1:E24"/>
  </sortState>
  <tableColumns count="9">
    <tableColumn id="1" xr3:uid="{00000000-0010-0000-0300-000001000000}" name="Nomenclature" dataDxfId="628" totalsRowDxfId="627" dataCellStyle="Normal 14"/>
    <tableColumn id="2" xr3:uid="{00000000-0010-0000-0300-000002000000}" name="Part Number" dataDxfId="626" totalsRowDxfId="625" dataCellStyle="Normal 9 3"/>
    <tableColumn id="8" xr3:uid="{00000000-0010-0000-0300-000008000000}" name="Country of Origin" dataDxfId="624" totalsRowDxfId="623" dataCellStyle="Normal 9 3"/>
    <tableColumn id="3" xr3:uid="{00000000-0010-0000-0300-000003000000}" name="MFG Part Number" dataDxfId="622" totalsRowDxfId="621" dataCellStyle="Normal 9 3"/>
    <tableColumn id="4" xr3:uid="{00000000-0010-0000-0300-000004000000}" name="Cage Code" dataDxfId="620" totalsRowDxfId="619" dataCellStyle="Normal 9 3"/>
    <tableColumn id="10" xr3:uid="{00000000-0010-0000-0300-00000A000000}" name="Replacement" dataDxfId="618" totalsRowDxfId="617" dataCellStyle="Normal 9 3"/>
    <tableColumn id="5" xr3:uid="{00000000-0010-0000-0300-000005000000}" name="Quantity" dataDxfId="616" totalsRowDxfId="615" dataCellStyle="Normal 9 2"/>
    <tableColumn id="6" xr3:uid="{00000000-0010-0000-0300-000006000000}" name="Unit Price" dataDxfId="614" totalsRowDxfId="613" dataCellStyle="Normal 9 2"/>
    <tableColumn id="9" xr3:uid="{00000000-0010-0000-0300-000009000000}" name="Extended price" totalsRowFunction="custom" dataDxfId="612" totalsRowDxfId="611" dataCellStyle="Normal 9 3">
      <calculatedColumnFormula>+Table12[[#This Row],[Quantity]]*Table12[[#This Row],[Unit Price]]</calculatedColumnFormula>
      <totalsRowFormula>SUM(I2:I24)</totalsRowFormula>
    </tableColumn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292960F-06B0-4272-A5A4-1EE897555774}" name="Table30" displayName="Table30" ref="A1:I23" totalsRowShown="0" headerRowBorderDxfId="610" tableBorderDxfId="609" totalsRowBorderDxfId="608">
  <autoFilter ref="A1:I23" xr:uid="{2292960F-06B0-4272-A5A4-1EE897555774}"/>
  <sortState xmlns:xlrd2="http://schemas.microsoft.com/office/spreadsheetml/2017/richdata2" ref="A2:I23">
    <sortCondition ref="E1:E23"/>
  </sortState>
  <tableColumns count="9">
    <tableColumn id="1" xr3:uid="{4FFFFAE5-ED5C-4B21-8D4B-0A9B4FD717F6}" name="Nomenclature" dataDxfId="607" dataCellStyle="Normal 9 3"/>
    <tableColumn id="2" xr3:uid="{33D3BF6E-16E1-4276-AD5C-A719C5CE91F2}" name="Part Number" dataDxfId="606"/>
    <tableColumn id="3" xr3:uid="{D2FECEC5-C49C-443F-8237-1F1B8EE245C0}" name="Country of Origin" dataDxfId="605" dataCellStyle="Normal 9 3"/>
    <tableColumn id="4" xr3:uid="{422E2158-5361-411F-8D35-E2698C65A674}" name="MFG Part Number" dataDxfId="604"/>
    <tableColumn id="5" xr3:uid="{4AE5FFC8-E6A3-4982-8584-7F70174081E6}" name="Cage Code" dataDxfId="603"/>
    <tableColumn id="6" xr3:uid="{C475131A-07C3-4817-AD7F-2E8A607525B7}" name="Replacement" dataDxfId="602" dataCellStyle="Normal 9 3"/>
    <tableColumn id="7" xr3:uid="{00C8918B-6B3F-460B-B73E-D7FECFAE66C2}" name="Quantity" dataDxfId="601" dataCellStyle="Normal 9 3"/>
    <tableColumn id="8" xr3:uid="{AC6FE1A2-16FE-463A-89BB-3723F1D5204E}" name="Unit Price" dataDxfId="600" dataCellStyle="Normal 9 3"/>
    <tableColumn id="9" xr3:uid="{8FD18595-C4C1-4009-A930-B0A9C15ED126}" name="Extended price" dataDxfId="599">
      <calculatedColumnFormula>+G2*H2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le10" displayName="Table10" ref="A1:I403" totalsRowCount="1" headerRowBorderDxfId="598" tableBorderDxfId="597">
  <autoFilter ref="A1:I402" xr:uid="{00000000-000C-0000-FFFF-FFFF04000000}"/>
  <sortState xmlns:xlrd2="http://schemas.microsoft.com/office/spreadsheetml/2017/richdata2" ref="A2:I402">
    <sortCondition ref="E1:E402"/>
  </sortState>
  <tableColumns count="9">
    <tableColumn id="1" xr3:uid="{00000000-0010-0000-0400-000001000000}" name="Nomenclature" dataDxfId="596" totalsRowDxfId="595" dataCellStyle="Normal 9"/>
    <tableColumn id="2" xr3:uid="{00000000-0010-0000-0400-000002000000}" name="Part Number" dataDxfId="594" totalsRowDxfId="593"/>
    <tableColumn id="8" xr3:uid="{00000000-0010-0000-0400-000008000000}" name="Country of Origin" totalsRowDxfId="592"/>
    <tableColumn id="3" xr3:uid="{00000000-0010-0000-0400-000003000000}" name="MFG Part Number" dataDxfId="591" totalsRowDxfId="590"/>
    <tableColumn id="4" xr3:uid="{00000000-0010-0000-0400-000004000000}" name="Cage Code" dataDxfId="589" totalsRowDxfId="588"/>
    <tableColumn id="9" xr3:uid="{00000000-0010-0000-0400-000009000000}" name="Replacement" dataDxfId="587" totalsRowDxfId="586"/>
    <tableColumn id="5" xr3:uid="{00000000-0010-0000-0400-000005000000}" name="Quantity" dataDxfId="585" totalsRowDxfId="584" dataCellStyle="Normal 9 3"/>
    <tableColumn id="6" xr3:uid="{00000000-0010-0000-0400-000006000000}" name="Unit Price" dataDxfId="583" totalsRowDxfId="582" dataCellStyle="Normal 9 3"/>
    <tableColumn id="10" xr3:uid="{00000000-0010-0000-0400-00000A000000}" name="Extended price" totalsRowFunction="custom" dataDxfId="581" totalsRowDxfId="580">
      <calculatedColumnFormula>+Table10[[#This Row],[Quantity]]*Table10[[#This Row],[Unit Price]]</calculatedColumnFormula>
      <totalsRowFormula>SUM(I2:I402)</totalsRowFormula>
    </tableColumn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e116" displayName="Table116" ref="A1:I29" totalsRowCount="1" headerRowDxfId="579" dataDxfId="577" headerRowBorderDxfId="578" tableBorderDxfId="576" headerRowCellStyle="Normal 9 2" dataCellStyle="Normal 9 3">
  <autoFilter ref="A1:I28" xr:uid="{00000000-000C-0000-FFFF-FFFF05000000}"/>
  <sortState xmlns:xlrd2="http://schemas.microsoft.com/office/spreadsheetml/2017/richdata2" ref="A2:I28">
    <sortCondition ref="E1:E28"/>
  </sortState>
  <tableColumns count="9">
    <tableColumn id="1" xr3:uid="{00000000-0010-0000-0500-000001000000}" name="Nomenclature" dataDxfId="575" totalsRowDxfId="574" dataCellStyle="Normal 9 3"/>
    <tableColumn id="2" xr3:uid="{00000000-0010-0000-0500-000002000000}" name="Part Number" dataDxfId="573" totalsRowDxfId="572" dataCellStyle="Normal 9 3"/>
    <tableColumn id="8" xr3:uid="{00000000-0010-0000-0500-000008000000}" name="Country of Origin" dataDxfId="571" totalsRowDxfId="570" dataCellStyle="Normal 9 3"/>
    <tableColumn id="3" xr3:uid="{00000000-0010-0000-0500-000003000000}" name="MFG Part Number" dataDxfId="569" totalsRowDxfId="568" dataCellStyle="Normal 9 3"/>
    <tableColumn id="4" xr3:uid="{00000000-0010-0000-0500-000004000000}" name="Cage Code" dataDxfId="567" totalsRowDxfId="566" dataCellStyle="Normal 9 3"/>
    <tableColumn id="10" xr3:uid="{00000000-0010-0000-0500-00000A000000}" name="Replacement" dataDxfId="565" dataCellStyle="Normal 9 3"/>
    <tableColumn id="5" xr3:uid="{00000000-0010-0000-0500-000005000000}" name="Quantity" dataDxfId="564" totalsRowDxfId="563" dataCellStyle="Normal 9 3"/>
    <tableColumn id="6" xr3:uid="{00000000-0010-0000-0500-000006000000}" name="Unit Price" dataDxfId="562" totalsRowDxfId="561" dataCellStyle="Normal 9 2"/>
    <tableColumn id="9" xr3:uid="{00000000-0010-0000-0500-000009000000}" name="Extended price" totalsRowFunction="custom" dataDxfId="560" totalsRowDxfId="559" dataCellStyle="Normal 9 3">
      <calculatedColumnFormula>+Table116[[#This Row],[Quantity]]*Table116[[#This Row],[Unit Price]]</calculatedColumnFormula>
      <totalsRowFormula>SUM(I2:I28)</totalsRowFormula>
    </tableColumn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5D512F21-2F18-427F-A253-FA06D7F57222}" name="Table62" displayName="Table62" ref="A1:I114" totalsRowShown="0" headerRowBorderDxfId="558" tableBorderDxfId="557" totalsRowBorderDxfId="556">
  <autoFilter ref="A1:I114" xr:uid="{5D512F21-2F18-427F-A253-FA06D7F57222}"/>
  <sortState xmlns:xlrd2="http://schemas.microsoft.com/office/spreadsheetml/2017/richdata2" ref="A2:I114">
    <sortCondition ref="E1:E114"/>
  </sortState>
  <tableColumns count="9">
    <tableColumn id="1" xr3:uid="{2FED3009-6818-4283-BEF2-E980EAB327D7}" name="Nomenclature" dataDxfId="555" dataCellStyle="Normal 9 2"/>
    <tableColumn id="2" xr3:uid="{62C13BA6-DC7B-4878-BF9E-9401A6946D18}" name="Part Number" dataDxfId="554" dataCellStyle="Normal 14 2"/>
    <tableColumn id="3" xr3:uid="{E1982B00-A86E-42DC-AC4A-D21EB40E3B31}" name="Country of Origin" dataDxfId="553" dataCellStyle="Normal 9 3"/>
    <tableColumn id="4" xr3:uid="{862C7FC3-B8BF-4819-8FAE-8E60D5C40847}" name="MFG Part Number" dataDxfId="552" dataCellStyle="Normal 14 2"/>
    <tableColumn id="5" xr3:uid="{1C6814FE-9677-4865-B713-FC700CAAE439}" name="Cage Code" dataDxfId="551" dataCellStyle="Normal 14 2"/>
    <tableColumn id="6" xr3:uid="{7A8B4920-F080-4BA6-A376-7D5D09BF58CB}" name="Replacement" dataDxfId="550" dataCellStyle="Normal 14 2"/>
    <tableColumn id="7" xr3:uid="{F22FFB89-2159-4802-AB31-0E961140FC66}" name="Quantity" dataDxfId="549" dataCellStyle="Normal 9 2"/>
    <tableColumn id="8" xr3:uid="{01A706E6-34D9-4401-B594-9880565A3C8C}" name="Unit Price" dataDxfId="548" dataCellStyle="Hyperlink"/>
    <tableColumn id="9" xr3:uid="{2B383247-C34C-4072-B540-5FC71854D8F7}" name="Extended price" dataDxfId="547" dataCellStyle="Normal 9 2">
      <calculatedColumnFormula>+G2*H2</calculatedColumnFormula>
    </tableColumn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29419A2-7C9B-4BBA-87E2-E625F163F5DE}" name="Table31" displayName="Table31" ref="A1:I119" totalsRowShown="0" headerRowBorderDxfId="546" tableBorderDxfId="545" totalsRowBorderDxfId="544">
  <autoFilter ref="A1:I119" xr:uid="{E29419A2-7C9B-4BBA-87E2-E625F163F5DE}"/>
  <sortState xmlns:xlrd2="http://schemas.microsoft.com/office/spreadsheetml/2017/richdata2" ref="A2:I119">
    <sortCondition ref="E1:E119"/>
  </sortState>
  <tableColumns count="9">
    <tableColumn id="1" xr3:uid="{FBCFC70A-B7F7-4F7E-A8C2-0B9D6D535FED}" name="Nomenclature" dataDxfId="543" dataCellStyle="Normal 9"/>
    <tableColumn id="2" xr3:uid="{3FED3650-8385-4027-8EF4-63FBBB21468E}" name="Part Number" dataDxfId="542" dataCellStyle="Normal 9"/>
    <tableColumn id="3" xr3:uid="{6D141A59-D410-4BA0-846F-2024E99F2504}" name="Country of Origin" dataDxfId="541" dataCellStyle="Normal 9 3"/>
    <tableColumn id="4" xr3:uid="{7F3CFD04-E2D5-4668-A9C9-52CB61D6DBF1}" name="MFG Part Number" dataDxfId="540" dataCellStyle="Normal 9"/>
    <tableColumn id="5" xr3:uid="{B3075C6D-65AC-4226-B6AD-3B446CC6FD4B}" name="Cage Code" dataDxfId="539" dataCellStyle="Normal 9"/>
    <tableColumn id="6" xr3:uid="{D01A0013-90F6-44F7-B90F-219D0FB80847}" name="Replacement" dataDxfId="538" dataCellStyle="Normal 9"/>
    <tableColumn id="7" xr3:uid="{9B95BC2F-8B62-45CB-B2B5-73287A6C679F}" name="Quantity" dataDxfId="537" dataCellStyle="Normal 9"/>
    <tableColumn id="8" xr3:uid="{858DB7BA-EE1B-45E3-BF63-478D4AB94487}" name="Unit Price" dataDxfId="536" dataCellStyle="Normal 9 2"/>
    <tableColumn id="9" xr3:uid="{B8BC5442-984A-4C50-8678-B2B46294AF6F}" name="Extended price" dataDxfId="535" dataCellStyle="Normal 9">
      <calculatedColumnFormula>+G2*H2</calculatedColumnFormula>
    </tableColumn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A137B7B-F946-449D-96A4-3A1C23B4A8B9}" name="Table32" displayName="Table32" ref="A1:I93" totalsRowShown="0" headerRowBorderDxfId="534" tableBorderDxfId="533" totalsRowBorderDxfId="532">
  <autoFilter ref="A1:I93" xr:uid="{2A137B7B-F946-449D-96A4-3A1C23B4A8B9}"/>
  <sortState xmlns:xlrd2="http://schemas.microsoft.com/office/spreadsheetml/2017/richdata2" ref="A2:I93">
    <sortCondition ref="E1:E93"/>
  </sortState>
  <tableColumns count="9">
    <tableColumn id="1" xr3:uid="{210EBD67-C416-4AE8-B230-888E01E813B1}" name="Nomenclature" dataDxfId="531" dataCellStyle="Normal 9 3"/>
    <tableColumn id="2" xr3:uid="{073F6BCC-5522-4935-AF5A-F62BA2367857}" name="Part Number" dataDxfId="530"/>
    <tableColumn id="3" xr3:uid="{BCEAE57B-FFEB-4A0E-A79D-4CD514BCE412}" name="Country of Origin" dataDxfId="529" dataCellStyle="Normal 9 3"/>
    <tableColumn id="4" xr3:uid="{605D8865-E9B9-4596-8771-FCD589AF4BCE}" name="MFG Part Number" dataDxfId="528"/>
    <tableColumn id="5" xr3:uid="{AE7ABC13-4C27-4F8C-B92B-2979043157B6}" name="Cage Code" dataDxfId="527"/>
    <tableColumn id="6" xr3:uid="{99F18685-353E-4C5E-A476-05595B87049B}" name="Replacement" dataDxfId="526"/>
    <tableColumn id="7" xr3:uid="{F5BEE8A5-BD75-43C0-80A0-F3EE525152AF}" name="Quantity" dataDxfId="525" dataCellStyle="Normal 9 3"/>
    <tableColumn id="8" xr3:uid="{B4FE1178-51F1-4746-A02F-289A2A01E5D4}" name="Unit Price" dataDxfId="524" dataCellStyle="Normal 9 3"/>
    <tableColumn id="9" xr3:uid="{09AA74CD-1E7B-48B9-9659-9FADD239A820}" name="Extended price" dataDxfId="523" dataCellStyle="Normal 9 3">
      <calculatedColumnFormula>+G2*H2</calculatedColumnFormula>
    </tableColumn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1F32385-8928-4582-85D8-23C6DF43DA14}" name="Table33" displayName="Table33" ref="A1:I103" totalsRowShown="0" headerRowBorderDxfId="522" tableBorderDxfId="521" totalsRowBorderDxfId="520">
  <autoFilter ref="A1:I103" xr:uid="{21F32385-8928-4582-85D8-23C6DF43DA14}"/>
  <sortState xmlns:xlrd2="http://schemas.microsoft.com/office/spreadsheetml/2017/richdata2" ref="A2:I103">
    <sortCondition ref="E1:E103"/>
  </sortState>
  <tableColumns count="9">
    <tableColumn id="1" xr3:uid="{34E5FF77-E0C4-47EC-9CFE-241B8DB88B08}" name="Nomenclature" dataDxfId="519" dataCellStyle="Normal 9"/>
    <tableColumn id="2" xr3:uid="{98220052-A49B-4E80-B1D1-8C7ABCD53789}" name="Part Number" dataDxfId="518"/>
    <tableColumn id="3" xr3:uid="{44B1F5F0-973B-48D7-B445-17588A8A7234}" name="Country of Origin" dataDxfId="517" dataCellStyle="Normal 9 3"/>
    <tableColumn id="4" xr3:uid="{F54D12FF-0683-4C84-8296-4F08C2A08747}" name="MFG Part Number" dataDxfId="516"/>
    <tableColumn id="5" xr3:uid="{C6022446-4EC8-4A38-AEDC-D40BBC1B4333}" name="Cage Code" dataDxfId="515"/>
    <tableColumn id="6" xr3:uid="{F47B8727-CF89-407D-B37D-E6D8CC29C4DF}" name="Replacement" dataDxfId="514"/>
    <tableColumn id="7" xr3:uid="{1B51DD1A-5870-4B06-A957-1C8C988AE2DC}" name="Quantity" dataDxfId="513" dataCellStyle="Normal 9 4"/>
    <tableColumn id="8" xr3:uid="{F2BCAE84-63B8-464E-81A0-E8BA0C952A55}" name="Unit Price" dataDxfId="512" dataCellStyle="Normal 9 4"/>
    <tableColumn id="9" xr3:uid="{809B4C4F-24FA-415A-917A-7B7E8686CA4C}" name="Extended price" dataDxfId="511" dataCellStyle="Normal 9 4">
      <calculatedColumnFormula>+G2*H2</calculatedColumnFormula>
    </tableColumn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46E01C8-1F86-491A-944C-617F2C60C962}" name="Table34" displayName="Table34" ref="A1:I100" totalsRowShown="0" headerRowBorderDxfId="510" tableBorderDxfId="509" totalsRowBorderDxfId="508">
  <autoFilter ref="A1:I100" xr:uid="{146E01C8-1F86-491A-944C-617F2C60C962}"/>
  <sortState xmlns:xlrd2="http://schemas.microsoft.com/office/spreadsheetml/2017/richdata2" ref="A2:I100">
    <sortCondition ref="E1:E100"/>
  </sortState>
  <tableColumns count="9">
    <tableColumn id="1" xr3:uid="{74D26689-69FF-48AE-BC47-9CA6ED6A5D80}" name="Nomenclature" dataDxfId="507" dataCellStyle="Normal 9 4"/>
    <tableColumn id="2" xr3:uid="{4C645F93-723D-49FF-8636-3C6314694BD5}" name="Part Number" dataDxfId="506"/>
    <tableColumn id="3" xr3:uid="{8C487B51-9069-4B70-A2BF-E2C521A1EB74}" name="Country of Origin" dataDxfId="505" dataCellStyle="Normal 9 3"/>
    <tableColumn id="4" xr3:uid="{26208139-ED02-4833-9905-80F6CDF98BDA}" name="Manufacturers P/N" dataDxfId="504"/>
    <tableColumn id="5" xr3:uid="{C8A3B9DA-068F-40FB-9AFD-4621722677BD}" name="Cage Code" dataDxfId="503"/>
    <tableColumn id="6" xr3:uid="{2F1768DE-BB5F-437A-9C04-7B95103E3166}" name="Replacement" dataDxfId="502"/>
    <tableColumn id="7" xr3:uid="{76808611-6094-4DA0-A759-2BA1EDCF259F}" name="Quantity" dataDxfId="501" dataCellStyle="Normal 9 4"/>
    <tableColumn id="8" xr3:uid="{6D98CB64-0072-4B15-B481-8B023D32AB5C}" name="Unit Price" dataDxfId="500" dataCellStyle="Normal 9 2"/>
    <tableColumn id="9" xr3:uid="{B3DCEB89-0E82-45DB-83D6-FDF582DBA8D3}" name="Extended price" dataDxfId="499" dataCellStyle="Normal 9 4">
      <calculatedColumnFormula>+G2*H2</calculatedColumnFormula>
    </tableColumn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e4" displayName="Table4" ref="A1:I31" totalsRowCount="1" dataDxfId="497" headerRowBorderDxfId="498" tableBorderDxfId="496" dataCellStyle="Normal 14">
  <autoFilter ref="A1:I30" xr:uid="{00000000-000C-0000-FFFF-FFFF06000000}"/>
  <sortState xmlns:xlrd2="http://schemas.microsoft.com/office/spreadsheetml/2017/richdata2" ref="A2:I30">
    <sortCondition ref="E1:E30"/>
  </sortState>
  <tableColumns count="9">
    <tableColumn id="1" xr3:uid="{00000000-0010-0000-0600-000001000000}" name="Nomenclature" dataDxfId="495" totalsRowDxfId="494" dataCellStyle="Normal 14" totalsRowCellStyle="Normal 14"/>
    <tableColumn id="2" xr3:uid="{00000000-0010-0000-0600-000002000000}" name="Part Number" dataDxfId="493" totalsRowDxfId="492" dataCellStyle="Normal 14" totalsRowCellStyle="Normal 14"/>
    <tableColumn id="8" xr3:uid="{00000000-0010-0000-0600-000008000000}" name="Country of Origin" dataDxfId="491" totalsRowDxfId="490" dataCellStyle="Normal 14" totalsRowCellStyle="Normal 14"/>
    <tableColumn id="3" xr3:uid="{00000000-0010-0000-0600-000003000000}" name="MFG Part Number" dataDxfId="489" totalsRowDxfId="488" dataCellStyle="Normal 14" totalsRowCellStyle="Normal 14"/>
    <tableColumn id="4" xr3:uid="{00000000-0010-0000-0600-000004000000}" name="Cage Code" dataDxfId="487" totalsRowDxfId="486" dataCellStyle="Normal 14" totalsRowCellStyle="Normal 14"/>
    <tableColumn id="10" xr3:uid="{00000000-0010-0000-0600-00000A000000}" name="Replacement" dataDxfId="485" totalsRowDxfId="484" dataCellStyle="Normal 14" totalsRowCellStyle="Normal 14"/>
    <tableColumn id="5" xr3:uid="{00000000-0010-0000-0600-000005000000}" name="Quantity" totalsRowDxfId="483" dataCellStyle="Normal 14" totalsRowCellStyle="Normal 14"/>
    <tableColumn id="6" xr3:uid="{00000000-0010-0000-0600-000006000000}" name="Unit Price" dataDxfId="482" totalsRowDxfId="481" dataCellStyle="Normal 14" totalsRowCellStyle="Normal 14"/>
    <tableColumn id="9" xr3:uid="{00000000-0010-0000-0600-000009000000}" name="Extended price" totalsRowFunction="custom" dataDxfId="480" totalsRowDxfId="479" dataCellStyle="Normal 14" totalsRowCellStyle="Normal 14">
      <calculatedColumnFormula>+Table4[[#This Row],[Quantity]]*Table4[[#This Row],[Unit Price]]</calculatedColumnFormula>
      <totalsRowFormula>SUM(I2:I30)</totalsRowFormula>
    </tableColumn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F8DCCB8-8D95-4BB5-8BBE-16622E1792D1}" name="Table36" displayName="Table36" ref="A2:I108" totalsRowShown="0" headerRowBorderDxfId="478" tableBorderDxfId="477" totalsRowBorderDxfId="476">
  <autoFilter ref="A2:I108" xr:uid="{9F8DCCB8-8D95-4BB5-8BBE-16622E1792D1}"/>
  <sortState xmlns:xlrd2="http://schemas.microsoft.com/office/spreadsheetml/2017/richdata2" ref="A3:I108">
    <sortCondition ref="E2:E108"/>
  </sortState>
  <tableColumns count="9">
    <tableColumn id="1" xr3:uid="{88193690-5B4F-4006-A47B-E1C3003650CA}" name="Nomenclature" dataDxfId="475" dataCellStyle="Normal 9"/>
    <tableColumn id="2" xr3:uid="{67724F85-0073-473C-B57B-4B8FDC448424}" name="Part Number" dataDxfId="474"/>
    <tableColumn id="3" xr3:uid="{1BAEB3F1-39E7-47BC-A933-4DFAF0CA7637}" name="Country of Origin" dataDxfId="473" dataCellStyle="Normal 9 3"/>
    <tableColumn id="4" xr3:uid="{DCB5F81A-D7BF-40CF-A909-C816F7A38301}" name="MFG Part Number" dataDxfId="472"/>
    <tableColumn id="5" xr3:uid="{8E837FCF-324E-4DBA-9D87-9EDC8CAC7E7C}" name="Cage Code" dataDxfId="471"/>
    <tableColumn id="6" xr3:uid="{9D54CF47-DBF8-443C-AF06-D8244C24646D}" name="Replacement" dataDxfId="470"/>
    <tableColumn id="7" xr3:uid="{413E2D8F-9BE8-40E2-B20C-86E98236FBDF}" name="Quantity" dataDxfId="469" dataCellStyle="Normal 9 3"/>
    <tableColumn id="8" xr3:uid="{1AF5379A-7DEC-40B2-9993-FFC423EEA9DB}" name="Unit Price" dataDxfId="468" dataCellStyle="Normal 9 3"/>
    <tableColumn id="9" xr3:uid="{4E428E0F-266D-4238-926D-2386D56803F1}" name="Extended price" dataDxfId="467" dataCellStyle="Normal 9 3">
      <calculatedColumnFormula>+G3*H3</calculatedColumnFormula>
    </tableColumn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13F1E98-2ED4-455A-874E-4285799051AE}" name="Table37" displayName="Table37" ref="A1:I90" totalsRowShown="0" headerRowBorderDxfId="466" tableBorderDxfId="465" totalsRowBorderDxfId="464">
  <autoFilter ref="A1:I90" xr:uid="{C13F1E98-2ED4-455A-874E-4285799051AE}"/>
  <sortState xmlns:xlrd2="http://schemas.microsoft.com/office/spreadsheetml/2017/richdata2" ref="A2:I90">
    <sortCondition ref="E1:E90"/>
  </sortState>
  <tableColumns count="9">
    <tableColumn id="1" xr3:uid="{06A24902-1603-4235-8B32-300E602F80E9}" name="Nomenclature"/>
    <tableColumn id="2" xr3:uid="{D7E51816-A462-4241-AAC3-9CE1DDDAB75E}" name="Part Number" dataDxfId="463"/>
    <tableColumn id="3" xr3:uid="{286C3CCF-A79C-4A98-B613-8C68339AA4B7}" name="Country of Origin" dataDxfId="462" dataCellStyle="Normal 9 3"/>
    <tableColumn id="4" xr3:uid="{DC5429B7-3E20-4DFB-AEEA-32BC9CA720D7}" name="MFG Part Number" dataDxfId="461"/>
    <tableColumn id="5" xr3:uid="{7E0DF6A0-0AC4-4FB1-9D97-9CE3194B4680}" name="Cage Code" dataDxfId="460"/>
    <tableColumn id="6" xr3:uid="{761AD844-E4A7-419C-9289-319C52424F7C}" name="Replacement" dataDxfId="459"/>
    <tableColumn id="7" xr3:uid="{DB86EA70-E4CC-4D5B-B322-EBC011A0D037}" name="Quantity" dataDxfId="458" dataCellStyle="Hyperlink"/>
    <tableColumn id="8" xr3:uid="{52C99C54-8105-4156-9925-EB6A26D29575}" name="Unit Price" dataDxfId="457" dataCellStyle="Normal 9 3"/>
    <tableColumn id="9" xr3:uid="{4B0DB69A-7345-4872-AD6B-EE94AE028072}" name="Extended price" dataDxfId="456" dataCellStyle="Normal 9 3">
      <calculatedColumnFormula>+G2*H2</calculatedColumnFormula>
    </tableColumn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22A9C14-D510-458A-99FC-892591F1A2A0}" name="Table38" displayName="Table38" ref="A1:I15" totalsRowShown="0" headerRowBorderDxfId="455" tableBorderDxfId="454" totalsRowBorderDxfId="453">
  <autoFilter ref="A1:I15" xr:uid="{B22A9C14-D510-458A-99FC-892591F1A2A0}"/>
  <sortState xmlns:xlrd2="http://schemas.microsoft.com/office/spreadsheetml/2017/richdata2" ref="A2:I15">
    <sortCondition ref="E1:E15"/>
  </sortState>
  <tableColumns count="9">
    <tableColumn id="1" xr3:uid="{543A6A16-D2DA-4B36-9DD1-E1CCBC7880FC}" name="Nomenclature" dataDxfId="452" dataCellStyle="Normal 9"/>
    <tableColumn id="2" xr3:uid="{16BB7B97-FEDB-4DD5-AE0F-F7901ABCCC3E}" name="Part Number" dataDxfId="451" dataCellStyle="Normal 14 2"/>
    <tableColumn id="3" xr3:uid="{25463766-1D76-4A56-A48F-26612B2D9687}" name="Country of Origin" dataDxfId="450" dataCellStyle="Normal 9 3"/>
    <tableColumn id="4" xr3:uid="{2127EF18-3FB7-4EFB-8464-C59A0228886F}" name="MFG Part Number" dataDxfId="449" dataCellStyle="Normal 14 2"/>
    <tableColumn id="5" xr3:uid="{6DC09EF8-6FF2-476D-A457-A943BAF1856E}" name="Cage Code" dataDxfId="448" dataCellStyle="Normal 14 2"/>
    <tableColumn id="6" xr3:uid="{270D9814-B8EF-4BDC-91BC-E7341E00B664}" name="Replacement" dataDxfId="447" dataCellStyle="Normal 14 2"/>
    <tableColumn id="7" xr3:uid="{C135EA44-0A25-4EB1-8476-CD8E1C942092}" name="Quantity" dataDxfId="446" dataCellStyle="Normal 14 2"/>
    <tableColumn id="8" xr3:uid="{5B50167A-BF66-4C51-ADB9-98B6F0F99275}" name="Unit Price" dataDxfId="445" dataCellStyle="Normal 14 2"/>
    <tableColumn id="9" xr3:uid="{FC1D2134-77CF-4BC3-8E6D-35829310F776}" name="Extended price" dataDxfId="444">
      <calculatedColumnFormula>+G2*H2</calculatedColumnFormula>
    </tableColumn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8ED1F43-5E97-49AC-B6D2-F4691F560A0C}" name="Table39" displayName="Table39" ref="A1:I40" totalsRowShown="0" headerRowBorderDxfId="443" tableBorderDxfId="442" totalsRowBorderDxfId="441">
  <autoFilter ref="A1:I40" xr:uid="{08ED1F43-5E97-49AC-B6D2-F4691F560A0C}"/>
  <sortState xmlns:xlrd2="http://schemas.microsoft.com/office/spreadsheetml/2017/richdata2" ref="A2:I40">
    <sortCondition ref="E1:E40"/>
  </sortState>
  <tableColumns count="9">
    <tableColumn id="1" xr3:uid="{D4DDAB75-4FC0-49F8-9556-B4A1F567B2B7}" name="Nomenclature" dataDxfId="440" dataCellStyle="Normal 9"/>
    <tableColumn id="2" xr3:uid="{6E928012-64B8-4D58-985A-ACAD984B1A19}" name="Part Number" dataDxfId="439"/>
    <tableColumn id="3" xr3:uid="{34F6A17D-A6EE-4D3F-8CAD-501FC153FEDD}" name="Country of Origin" dataDxfId="438" dataCellStyle="Normal 9 3"/>
    <tableColumn id="4" xr3:uid="{0256C27E-1F3E-49CF-B099-1CE7F190C4CD}" name="MFG Part Number" dataDxfId="437" dataCellStyle="Normal 9 2"/>
    <tableColumn id="5" xr3:uid="{D14DBE07-ED21-41F0-9474-21CE241D13CA}" name="Cage Code" dataDxfId="436" dataCellStyle="Normal 9 2"/>
    <tableColumn id="6" xr3:uid="{6AD6253E-C483-4A96-ABAE-E7E778737BBB}" name="Replacement" dataDxfId="435" dataCellStyle="Normal 9 2"/>
    <tableColumn id="7" xr3:uid="{15FBF906-BC0D-41F6-8938-7E9D8732C919}" name="Quantity" dataDxfId="434" dataCellStyle="Normal 9"/>
    <tableColumn id="8" xr3:uid="{DB10B89A-3895-46CE-B1C1-C5FB2DB45F81}" name="Unit Price" dataDxfId="433" dataCellStyle="Normal 9"/>
    <tableColumn id="9" xr3:uid="{51EA3AE9-387A-48FD-A048-3358BF70BC06}" name="Extended price" dataDxfId="432" dataCellStyle="Normal 14 2">
      <calculatedColumnFormula>+G2*H2</calculatedColumnFormula>
    </tableColumn>
  </tableColumns>
  <tableStyleInfo name="TableStyleLight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48B9F5B2-71B9-4F32-9672-FC87BD96E4D6}" name="Table40" displayName="Table40" ref="A1:I30" totalsRowShown="0" headerRowBorderDxfId="431" tableBorderDxfId="430" totalsRowBorderDxfId="429">
  <autoFilter ref="A1:I30" xr:uid="{48B9F5B2-71B9-4F32-9672-FC87BD96E4D6}"/>
  <sortState xmlns:xlrd2="http://schemas.microsoft.com/office/spreadsheetml/2017/richdata2" ref="A2:I30">
    <sortCondition ref="E1:E30"/>
  </sortState>
  <tableColumns count="9">
    <tableColumn id="1" xr3:uid="{A9D36C52-8FE3-4659-A8D5-8E1EB4C03BB4}" name="Nomenclature" dataDxfId="428" dataCellStyle="Normal 9"/>
    <tableColumn id="2" xr3:uid="{BD76FB77-286E-4589-8A7E-AA9897989DEC}" name="Part Number" dataDxfId="427"/>
    <tableColumn id="3" xr3:uid="{6A9A81AE-2E04-4B27-B46B-1142291D52C2}" name="Country of Origin" dataDxfId="426" dataCellStyle="Normal 9 3"/>
    <tableColumn id="4" xr3:uid="{8EF7DF14-7CC8-48CC-AA97-357BD1084A78}" name="MFG Part Number" dataDxfId="425"/>
    <tableColumn id="5" xr3:uid="{C0B63A1D-0062-44E8-AF6E-F5E70D82E01A}" name="Cage Code" dataDxfId="424"/>
    <tableColumn id="6" xr3:uid="{F35BE6CF-FA39-478A-8986-81BBEA39D692}" name="Replacement" dataDxfId="423"/>
    <tableColumn id="7" xr3:uid="{EF99B34E-D6EF-4E21-BB1E-42B6F4DA329F}" name="Quantity" dataDxfId="422" dataCellStyle="Normal 9"/>
    <tableColumn id="8" xr3:uid="{CB23B1AF-C068-4C92-B116-9EA8822110F7}" name="Unit Price" dataDxfId="421" dataCellStyle="Normal 9"/>
    <tableColumn id="9" xr3:uid="{F8927A1F-B762-42B0-BED5-57329E2660B5}" name="Extended price" dataDxfId="420" dataCellStyle="Normal 14 2">
      <calculatedColumnFormula>+G2*H2</calculatedColumnFormula>
    </tableColumn>
  </tableColumns>
  <tableStyleInfo name="TableStyleLight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7000000}" name="Table16" displayName="Table16" ref="A1:I125" totalsRowCount="1" headerRowDxfId="419" headerRowBorderDxfId="418" tableBorderDxfId="417" headerRowCellStyle="Normal 9 2">
  <autoFilter ref="A1:I124" xr:uid="{00000000-000C-0000-FFFF-FFFF07000000}"/>
  <sortState xmlns:xlrd2="http://schemas.microsoft.com/office/spreadsheetml/2017/richdata2" ref="A2:I124">
    <sortCondition ref="E1:E124"/>
  </sortState>
  <tableColumns count="9">
    <tableColumn id="1" xr3:uid="{00000000-0010-0000-0700-000001000000}" name="Nomenclature" totalsRowDxfId="416"/>
    <tableColumn id="2" xr3:uid="{00000000-0010-0000-0700-000002000000}" name="Part Number" totalsRowDxfId="415"/>
    <tableColumn id="8" xr3:uid="{00000000-0010-0000-0700-000008000000}" name="Country of Origin" dataDxfId="414" totalsRowDxfId="413"/>
    <tableColumn id="3" xr3:uid="{00000000-0010-0000-0700-000003000000}" name="MFG Part Number" dataDxfId="412" totalsRowDxfId="411" dataCellStyle="Normal 9 2" totalsRowCellStyle="Normal 9 2"/>
    <tableColumn id="4" xr3:uid="{00000000-0010-0000-0700-000004000000}" name="Cage Code" dataDxfId="410" totalsRowDxfId="409"/>
    <tableColumn id="10" xr3:uid="{00000000-0010-0000-0700-00000A000000}" name="Replacement" dataDxfId="408" totalsRowDxfId="407"/>
    <tableColumn id="5" xr3:uid="{00000000-0010-0000-0700-000005000000}" name="Quantity" dataDxfId="406" totalsRowDxfId="405"/>
    <tableColumn id="6" xr3:uid="{00000000-0010-0000-0700-000006000000}" name="Unit Price" dataDxfId="404" totalsRowDxfId="403" dataCellStyle="Normal 9 2" totalsRowCellStyle="Normal 9 2"/>
    <tableColumn id="9" xr3:uid="{00000000-0010-0000-0700-000009000000}" name="Extended price" totalsRowFunction="custom" dataDxfId="402" totalsRowDxfId="401">
      <calculatedColumnFormula>+Table16[[#This Row],[Quantity]]*Table16[[#This Row],[Unit Price]]</calculatedColumnFormula>
      <totalsRowFormula>SUM(I2:I124)</totalsRowFormula>
    </tableColumn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6420A3C7-ED19-4D51-9B97-66D1624092F9}" name="Table41" displayName="Table41" ref="A1:I161" totalsRowShown="0" headerRowBorderDxfId="400" tableBorderDxfId="399" totalsRowBorderDxfId="398">
  <autoFilter ref="A1:I161" xr:uid="{6420A3C7-ED19-4D51-9B97-66D1624092F9}"/>
  <sortState xmlns:xlrd2="http://schemas.microsoft.com/office/spreadsheetml/2017/richdata2" ref="A2:I161">
    <sortCondition ref="E1:E161"/>
  </sortState>
  <tableColumns count="9">
    <tableColumn id="1" xr3:uid="{4679325B-78A9-469D-B0A5-B58B88BB0604}" name="Nomenclature" dataDxfId="397" dataCellStyle="Normal 9"/>
    <tableColumn id="2" xr3:uid="{ED16AC52-F366-47F9-B768-FDD1AC128AB1}" name="Part Number" dataDxfId="396"/>
    <tableColumn id="3" xr3:uid="{57F2D9B2-2B56-4259-B802-70E432248399}" name="Country of Origin" dataDxfId="395" dataCellStyle="Normal 9 3"/>
    <tableColumn id="4" xr3:uid="{29ADA557-7317-4AC3-B4EA-7358B4BB1EAC}" name="MFG Part Number" dataDxfId="394"/>
    <tableColumn id="5" xr3:uid="{AEADC087-A609-44F5-927C-E9955C42AC7F}" name="Cage Code" dataDxfId="393"/>
    <tableColumn id="6" xr3:uid="{96F99F74-E2E8-4629-8D2B-F77A12A74ED7}" name="Replacement" dataDxfId="392"/>
    <tableColumn id="7" xr3:uid="{ED6CB6E9-3E80-44EE-8523-5FD1EF8BE2A0}" name="Quantity" dataDxfId="391" dataCellStyle="Normal 9"/>
    <tableColumn id="8" xr3:uid="{4396EFE6-580F-4360-997C-D87A7934D3F2}" name="Unit Price" dataDxfId="390" dataCellStyle="Normal 9"/>
    <tableColumn id="9" xr3:uid="{8F14F747-31E0-4182-8468-C197A66083BF}" name="Extended price" dataDxfId="389" dataCellStyle="Normal 9">
      <calculatedColumnFormula>+G2*H2</calculatedColumnFormula>
    </tableColumn>
  </tableColumns>
  <tableStyleInfo name="TableStyleLight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AF973DB-B31B-49F0-BE78-AB514C4084BD}" name="Table42" displayName="Table42" ref="A1:I35" totalsRowShown="0" headerRowBorderDxfId="388" tableBorderDxfId="387" totalsRowBorderDxfId="386">
  <autoFilter ref="A1:I35" xr:uid="{6AF973DB-B31B-49F0-BE78-AB514C4084BD}"/>
  <sortState xmlns:xlrd2="http://schemas.microsoft.com/office/spreadsheetml/2017/richdata2" ref="A2:I35">
    <sortCondition ref="E1:E35"/>
  </sortState>
  <tableColumns count="9">
    <tableColumn id="1" xr3:uid="{3F383080-3A75-4EB2-BDD9-129837000203}" name="Nomenclature" dataDxfId="385" dataCellStyle="Normal 9"/>
    <tableColumn id="2" xr3:uid="{E373D10C-569B-40F8-AF47-80CB2062DA3C}" name="Part Number" dataDxfId="384"/>
    <tableColumn id="3" xr3:uid="{91DB1567-B59F-42AE-A739-D8A86220C4E3}" name="Country of Origin" dataDxfId="383" dataCellStyle="Normal 9 3"/>
    <tableColumn id="4" xr3:uid="{E150EFC8-EE2C-4662-A5DC-BAE889366D3B}" name="MFG Part Number" dataDxfId="382"/>
    <tableColumn id="5" xr3:uid="{73176165-19BB-4334-B940-1C0D9265EFFE}" name="Cage Code" dataDxfId="381"/>
    <tableColumn id="6" xr3:uid="{95CD4439-806B-47FA-B4E5-82E636B1D369}" name="Replacement" dataDxfId="380"/>
    <tableColumn id="7" xr3:uid="{B6E41648-1E1B-4C75-906C-4739710FFC91}" name="Quantity" dataDxfId="379" dataCellStyle="Normal 9 3 5"/>
    <tableColumn id="8" xr3:uid="{568FACF4-DB24-4240-A24B-BEE74B973157}" name="Unit Price" dataDxfId="378" dataCellStyle="Normal 9 4"/>
    <tableColumn id="9" xr3:uid="{DD930924-10BD-460B-9319-363BE4009BEB}" name="Extended price" dataDxfId="377" dataCellStyle="Normal 9 3 5">
      <calculatedColumnFormula>+G2*H2</calculatedColumnFormula>
    </tableColumn>
  </tableColumns>
  <tableStyleInfo name="TableStyleLight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8000000}" name="Table19" displayName="Table19" ref="A1:I129" totalsRowCount="1" headerRowDxfId="376" headerRowBorderDxfId="375" tableBorderDxfId="374" totalsRowBorderDxfId="373" headerRowCellStyle="Normal 9 2">
  <autoFilter ref="A1:I128" xr:uid="{00000000-000C-0000-FFFF-FFFF08000000}"/>
  <sortState xmlns:xlrd2="http://schemas.microsoft.com/office/spreadsheetml/2017/richdata2" ref="A2:I128">
    <sortCondition ref="E1:E128"/>
  </sortState>
  <tableColumns count="9">
    <tableColumn id="1" xr3:uid="{00000000-0010-0000-0800-000001000000}" name="Nomenclature" totalsRowDxfId="372" dataCellStyle="Normal 9 2" totalsRowCellStyle="Normal 9 2"/>
    <tableColumn id="2" xr3:uid="{00000000-0010-0000-0800-000002000000}" name="Part Number" totalsRowDxfId="371" dataCellStyle="Normal 9 2" totalsRowCellStyle="Normal 9 2"/>
    <tableColumn id="8" xr3:uid="{00000000-0010-0000-0800-000008000000}" name="Country of Origin" dataDxfId="370" totalsRowDxfId="369" dataCellStyle="Normal 9 2" totalsRowCellStyle="Normal 9 2"/>
    <tableColumn id="3" xr3:uid="{00000000-0010-0000-0800-000003000000}" name="MFG Part Number" dataDxfId="368" totalsRowDxfId="367" dataCellStyle="Normal 9 2" totalsRowCellStyle="Normal 9 2"/>
    <tableColumn id="4" xr3:uid="{00000000-0010-0000-0800-000004000000}" name="Cage Code" dataDxfId="366" totalsRowDxfId="365" dataCellStyle="Normal 9 2" totalsRowCellStyle="Normal 9 2"/>
    <tableColumn id="10" xr3:uid="{00000000-0010-0000-0800-00000A000000}" name="Replacement" dataDxfId="364" totalsRowDxfId="363" dataCellStyle="Normal 9 2" totalsRowCellStyle="Normal 9 2"/>
    <tableColumn id="5" xr3:uid="{00000000-0010-0000-0800-000005000000}" name="Quantity" dataDxfId="362" totalsRowDxfId="361" dataCellStyle="Normal 9 2" totalsRowCellStyle="Normal 9 2"/>
    <tableColumn id="6" xr3:uid="{00000000-0010-0000-0800-000006000000}" name="Unit Price" dataDxfId="360" totalsRowDxfId="359" dataCellStyle="Normal 9 2" totalsRowCellStyle="Normal 9 2"/>
    <tableColumn id="9" xr3:uid="{00000000-0010-0000-0800-000009000000}" name="Extended price" totalsRowFunction="custom" dataDxfId="358" totalsRowDxfId="357" dataCellStyle="Normal 9 2" totalsRowCellStyle="Normal 9 2">
      <calculatedColumnFormula>+Table19[[#This Row],[Quantity]]*Table19[[#This Row],[Unit Price]]</calculatedColumnFormula>
      <totalsRowFormula>SUM(I2:I128)</totalsRowFormula>
    </tableColumn>
  </tableColumns>
  <tableStyleInfo name="TableStyleLight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7A56547-42F6-4AD6-AC13-40FD9D61BE6C}" name="Table43" displayName="Table43" ref="A1:I28" totalsRowShown="0" headerRowBorderDxfId="356" tableBorderDxfId="355" totalsRowBorderDxfId="354">
  <autoFilter ref="A1:I28" xr:uid="{27A56547-42F6-4AD6-AC13-40FD9D61BE6C}"/>
  <sortState xmlns:xlrd2="http://schemas.microsoft.com/office/spreadsheetml/2017/richdata2" ref="A2:I28">
    <sortCondition ref="E1:E28"/>
  </sortState>
  <tableColumns count="9">
    <tableColumn id="1" xr3:uid="{3B52D351-A32D-40EA-85E8-C0145DF3854F}" name="Nomenclature" dataDxfId="353" dataCellStyle="Normal 14"/>
    <tableColumn id="2" xr3:uid="{C584212E-A22A-4F99-8CED-5FF3216EB97A}" name="Part Number" dataDxfId="352" dataCellStyle="Normal 9 3"/>
    <tableColumn id="3" xr3:uid="{0F0325F5-22F8-4226-B89A-E99705ECF314}" name="Country of Origin" dataDxfId="351" dataCellStyle="Normal 9 3"/>
    <tableColumn id="4" xr3:uid="{E95FAE8B-BEB6-422A-BFEE-9FFD45C93A6F}" name="MFG Part Number" dataDxfId="350"/>
    <tableColumn id="5" xr3:uid="{B81B8CA5-D344-498E-8BD1-F2C8D303E9B2}" name="Cage Code" dataDxfId="349"/>
    <tableColumn id="6" xr3:uid="{D136AA69-FF54-419B-AB40-DB13F385865D}" name="Replacement" dataDxfId="348"/>
    <tableColumn id="7" xr3:uid="{42868372-A578-4EB3-B357-DDD1F5751210}" name="Quantity" dataDxfId="347" dataCellStyle="Normal 9 2"/>
    <tableColumn id="8" xr3:uid="{14B72B8B-AEDF-4633-AEFC-3A9EF9F3D002}" name="Unit Price" dataDxfId="346" dataCellStyle="Normal 9 2"/>
    <tableColumn id="9" xr3:uid="{A6FDFC91-8553-4E62-BD4F-7A439FCC28E1}" name="Extended price" dataDxfId="345" dataCellStyle="Normal 9 3">
      <calculatedColumnFormula>+G2*H2</calculatedColumnFormula>
    </tableColumn>
  </tableColumns>
  <tableStyleInfo name="TableStyleLight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18CEA28-D23F-485F-B149-ADAD97828D77}" name="Table44" displayName="Table44" ref="A1:I18" totalsRowShown="0" headerRowBorderDxfId="344" tableBorderDxfId="343" totalsRowBorderDxfId="342">
  <autoFilter ref="A1:I18" xr:uid="{218CEA28-D23F-485F-B149-ADAD97828D77}"/>
  <sortState xmlns:xlrd2="http://schemas.microsoft.com/office/spreadsheetml/2017/richdata2" ref="A2:I18">
    <sortCondition ref="E1:E18"/>
  </sortState>
  <tableColumns count="9">
    <tableColumn id="1" xr3:uid="{0D79C167-2A5F-4C3F-97E6-398E02EB30EA}" name="Nomenclature" dataDxfId="341" dataCellStyle="Normal 9 3"/>
    <tableColumn id="2" xr3:uid="{7E286BD6-20F8-451D-9A76-0293CF30B06D}" name="Part Number" dataDxfId="340" dataCellStyle="Normal 9 3"/>
    <tableColumn id="3" xr3:uid="{0EA41A63-C949-43AB-9FF1-1739A60A6717}" name="Country of Origin" dataDxfId="339" dataCellStyle="Normal 9 3"/>
    <tableColumn id="4" xr3:uid="{61AB56AF-DC62-4DF5-92E3-61C08182A1C2}" name="MFG Part Number" dataDxfId="338" dataCellStyle="Normal 9 3"/>
    <tableColumn id="5" xr3:uid="{E8F7D2E4-B9D0-48F0-9042-E5DD85895F16}" name="Cage Code" dataDxfId="337" dataCellStyle="Normal 9 3"/>
    <tableColumn id="6" xr3:uid="{F9AD6BAA-412F-483B-A9B9-C2E6FEDE5BE5}" name="Replacement" dataDxfId="336" dataCellStyle="Normal 9 3"/>
    <tableColumn id="7" xr3:uid="{11536C7E-6E31-455F-8972-DE6C1420BFA6}" name="Quantity" dataDxfId="335" dataCellStyle="Normal 9 3"/>
    <tableColumn id="8" xr3:uid="{F35AB172-1659-4CF6-830F-733E4FDD3467}" name="Unit Price" dataDxfId="334" dataCellStyle="Normal 9 3"/>
    <tableColumn id="9" xr3:uid="{7A9C6543-7B3D-4F68-BD18-FF320FF66921}" name="Extended price" dataDxfId="333" dataCellStyle="Normal 9 3">
      <calculatedColumnFormula>+G2*H2</calculatedColumnFormula>
    </tableColumn>
  </tableColumns>
  <tableStyleInfo name="TableStyleLight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482B33E-E2E7-4CE8-8ED1-4D019B11653A}" name="Table45" displayName="Table45" ref="A1:I51" totalsRowShown="0" headerRowBorderDxfId="332" tableBorderDxfId="331" totalsRowBorderDxfId="330">
  <autoFilter ref="A1:I51" xr:uid="{2482B33E-E2E7-4CE8-8ED1-4D019B11653A}"/>
  <sortState xmlns:xlrd2="http://schemas.microsoft.com/office/spreadsheetml/2017/richdata2" ref="A2:I51">
    <sortCondition ref="E1:E51"/>
  </sortState>
  <tableColumns count="9">
    <tableColumn id="1" xr3:uid="{CD434327-620D-4C61-9DC5-70FBC17D7A84}" name="Nomenclature" dataDxfId="329" dataCellStyle="Normal 9 2"/>
    <tableColumn id="2" xr3:uid="{42723DA2-71EA-4324-B673-D02FED59747D}" name="Part Number" dataDxfId="328"/>
    <tableColumn id="3" xr3:uid="{16D8B4F2-0EF8-4062-ADCC-74F0FA35D999}" name="Country of Origin" dataDxfId="327" dataCellStyle="Normal 9 3"/>
    <tableColumn id="4" xr3:uid="{3D794559-7386-437B-B874-C0D18CDB5280}" name="MFG Part Number" dataDxfId="326"/>
    <tableColumn id="5" xr3:uid="{5E0A8A59-D07A-42A7-A6CD-CC1942F6D598}" name="Cage Code" dataDxfId="325"/>
    <tableColumn id="6" xr3:uid="{97C09063-B055-40FF-AD25-6FAB4BF9297D}" name="Replacement" dataDxfId="324"/>
    <tableColumn id="7" xr3:uid="{7FAA1F58-C0A4-4F4D-8D7A-F049941E1678}" name="Quantity" dataDxfId="323" dataCellStyle="Normal 9 4"/>
    <tableColumn id="8" xr3:uid="{7BD928DC-241A-42C6-A29C-9BCDF255E2F7}" name="Unit Price" dataDxfId="322" dataCellStyle="Normal 9 4"/>
    <tableColumn id="9" xr3:uid="{1068BAA8-AC0D-474F-943A-2772AF3E5145}" name="Extended price" dataDxfId="321">
      <calculatedColumnFormula>+G2*H2</calculatedColumnFormula>
    </tableColumn>
  </tableColumns>
  <tableStyleInfo name="TableStyleLight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BB57EF6-A9C1-4F32-A995-B5A846F4A989}" name="Table46" displayName="Table46" ref="A1:I19" totalsRowShown="0" headerRowBorderDxfId="320" tableBorderDxfId="319" totalsRowBorderDxfId="318">
  <autoFilter ref="A1:I19" xr:uid="{5BB57EF6-A9C1-4F32-A995-B5A846F4A989}"/>
  <sortState xmlns:xlrd2="http://schemas.microsoft.com/office/spreadsheetml/2017/richdata2" ref="A2:I19">
    <sortCondition ref="E1:E19"/>
  </sortState>
  <tableColumns count="9">
    <tableColumn id="1" xr3:uid="{AFB8FBFB-28A4-46E8-95B9-141767925935}" name="Nomenclature" dataDxfId="317" dataCellStyle="Normal 14 2"/>
    <tableColumn id="2" xr3:uid="{AF461B68-B235-4E95-B14B-333A5A6797B1}" name="Part Number" dataDxfId="316"/>
    <tableColumn id="3" xr3:uid="{395DACF1-9154-47C7-B821-2CE224C8CC17}" name="Country of Origin" dataDxfId="315" dataCellStyle="Normal 9 3"/>
    <tableColumn id="4" xr3:uid="{05906CA0-6DB3-4791-B6CE-15DFDBD1720E}" name="MFG Part Number" dataDxfId="314"/>
    <tableColumn id="5" xr3:uid="{489E2456-4DDE-4F58-ABAC-CDD1FFDDA0A6}" name="Cage Code" dataDxfId="313"/>
    <tableColumn id="6" xr3:uid="{9D278630-6421-470E-98D0-BC83362CE171}" name="Replacement" dataDxfId="312"/>
    <tableColumn id="7" xr3:uid="{30F41B6B-0C39-4DFE-BEE2-97DD20AA8AE2}" name="Quantity" dataDxfId="311" dataCellStyle="Normal 9 4"/>
    <tableColumn id="8" xr3:uid="{1C0698A2-83F5-49AE-A58A-1D5090F65AFF}" name="Unit Price" dataDxfId="310" dataCellStyle="Normal 14 2"/>
    <tableColumn id="9" xr3:uid="{821FBC13-65D1-4894-8F4E-226A82DCD4CF}" name="Extended price" dataDxfId="309" dataCellStyle="Normal 14 2">
      <calculatedColumnFormula>+G2*H2</calculatedColumnFormula>
    </tableColumn>
  </tableColumns>
  <tableStyleInfo name="TableStyleLight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8C80FC1-11A8-407F-BFA1-F778B2E4E03F}" name="Table47" displayName="Table47" ref="A1:H4" totalsRowShown="0" headerRowBorderDxfId="308" tableBorderDxfId="307" totalsRowBorderDxfId="306">
  <autoFilter ref="A1:H4" xr:uid="{38C80FC1-11A8-407F-BFA1-F778B2E4E03F}"/>
  <sortState xmlns:xlrd2="http://schemas.microsoft.com/office/spreadsheetml/2017/richdata2" ref="A2:H4">
    <sortCondition ref="E1:E4"/>
  </sortState>
  <tableColumns count="8">
    <tableColumn id="1" xr3:uid="{710DFF44-29C2-441F-BCB5-C60DD667B14E}" name="Nomenclature" dataDxfId="305" dataCellStyle="Normal 9"/>
    <tableColumn id="2" xr3:uid="{4F9036D2-0D14-4F50-AE68-A82B11CCC590}" name="Part Number" dataDxfId="304"/>
    <tableColumn id="3" xr3:uid="{239047FC-CB5E-4740-9BA9-801DC846C075}" name="Country of Origin" dataDxfId="303" dataCellStyle="Normal 9 3"/>
    <tableColumn id="4" xr3:uid="{1E8D862B-4825-47F0-8E01-F28B473F044E}" name="MFG Part Number" dataDxfId="302"/>
    <tableColumn id="5" xr3:uid="{861B19C3-493D-488E-A9AE-7D89A1295531}" name="Cage Code" dataDxfId="301"/>
    <tableColumn id="6" xr3:uid="{EDFE2EB8-089C-4563-BBAB-586C9CF84C96}" name="Quantity" dataDxfId="300" dataCellStyle="Normal 9 4"/>
    <tableColumn id="7" xr3:uid="{F6CE4EF3-BE0A-4AA0-A6D5-39749E3CC72D}" name="Unit Price" dataDxfId="299"/>
    <tableColumn id="8" xr3:uid="{02A8508F-A154-47BB-9D58-FDA922C8B8D0}" name="Extended price" dataDxfId="298"/>
  </tableColumns>
  <tableStyleInfo name="TableStyleLight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D6590CA-D846-4BE2-A34D-8A0241DEEDF0}" name="Table48" displayName="Table48" ref="A1:H3" totalsRowShown="0" headerRowBorderDxfId="297">
  <autoFilter ref="A1:H3" xr:uid="{0D6590CA-D846-4BE2-A34D-8A0241DEEDF0}"/>
  <sortState xmlns:xlrd2="http://schemas.microsoft.com/office/spreadsheetml/2017/richdata2" ref="A2:H3">
    <sortCondition ref="E1:E3"/>
  </sortState>
  <tableColumns count="8">
    <tableColumn id="1" xr3:uid="{FA348A34-F148-4265-869A-0F0DD4789EAC}" name="Nomenclature" dataDxfId="296" dataCellStyle="Normal 9 3"/>
    <tableColumn id="2" xr3:uid="{96B0804B-DF14-4FD1-8A71-48EA66613881}" name="Part Number" dataDxfId="295"/>
    <tableColumn id="3" xr3:uid="{109B7AC5-37D4-40BE-B880-22986B4FFA65}" name="Country of Origin" dataDxfId="294" dataCellStyle="Normal 9 3"/>
    <tableColumn id="4" xr3:uid="{90607014-0F20-46EA-AF27-226AEB627327}" name="MFG Part Number" dataDxfId="293"/>
    <tableColumn id="5" xr3:uid="{CFB5F4F4-AF17-4C86-8CC3-9BE523041E18}" name="Cage Code" dataDxfId="292"/>
    <tableColumn id="6" xr3:uid="{8B019D35-2F84-4645-B07F-67B2206551CF}" name="Quantity" dataDxfId="291" dataCellStyle="Hyperlink"/>
    <tableColumn id="7" xr3:uid="{C9F839CE-0767-41CD-ACD4-8A4FCFB71A39}" name="Unit Price" dataDxfId="290" dataCellStyle="Normal 9 3"/>
    <tableColumn id="8" xr3:uid="{D54A7263-6D43-4087-8CE2-40EF8BF49ECE}" name="Extended price" dataDxfId="289" dataCellStyle="Normal 9 3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2FC9487E-A0F8-4133-9816-404C442AFC8C}" name="Table49" displayName="Table49" ref="A1:H253" totalsRowShown="0" headerRowDxfId="288" headerRowBorderDxfId="287" tableBorderDxfId="286" headerRowCellStyle="Normal 14 2">
  <autoFilter ref="A1:H253" xr:uid="{2FC9487E-A0F8-4133-9816-404C442AFC8C}"/>
  <sortState xmlns:xlrd2="http://schemas.microsoft.com/office/spreadsheetml/2017/richdata2" ref="A2:H253">
    <sortCondition ref="E1:E253"/>
  </sortState>
  <tableColumns count="8">
    <tableColumn id="1" xr3:uid="{D96BDFE5-11A9-4AF6-8A74-12F83CBD423C}" name="Nomenclature" dataDxfId="285" dataCellStyle="Normal 9"/>
    <tableColumn id="2" xr3:uid="{E12725C5-1EC9-46E9-A62C-DE139CCB5601}" name="Part Number" dataDxfId="284"/>
    <tableColumn id="3" xr3:uid="{81A16E05-471A-418F-999C-DD459E334AF7}" name="Country of Origin" dataDxfId="283" dataCellStyle="Normal 9 3"/>
    <tableColumn id="4" xr3:uid="{2DBC2432-4C33-405D-9279-A1B6FC15603B}" name="MFG Part Number" dataDxfId="282"/>
    <tableColumn id="5" xr3:uid="{D9FCFA09-8E8E-40CE-B3A3-B9D4139FB98F}" name="Cage Code" dataDxfId="281"/>
    <tableColumn id="6" xr3:uid="{C478798C-EDCB-400D-94A7-E7FE5ADE82DD}" name="Quantity" dataDxfId="280" dataCellStyle="Normal 14 2"/>
    <tableColumn id="7" xr3:uid="{72BD2E35-6627-4866-B50A-7240B96CD623}" name="Unit Price" dataDxfId="279" dataCellStyle="Normal 14 2"/>
    <tableColumn id="8" xr3:uid="{B1A1142C-887E-436C-B2E3-1B6591FE9087}" name="Extended price" dataDxfId="278" dataCellStyle="Normal 14 2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5971D6B-742D-4AEF-84B5-9200B3BC6CDC}" name="Table50" displayName="Table50" ref="A1:H74" totalsRowShown="0" tableBorderDxfId="277">
  <autoFilter ref="A1:H74" xr:uid="{D5971D6B-742D-4AEF-84B5-9200B3BC6CDC}"/>
  <sortState xmlns:xlrd2="http://schemas.microsoft.com/office/spreadsheetml/2017/richdata2" ref="A2:H74">
    <sortCondition ref="E1:E74"/>
  </sortState>
  <tableColumns count="8">
    <tableColumn id="1" xr3:uid="{19B2DFD2-612F-4B88-93B6-00C65392AEEE}" name="Nomenclature" dataDxfId="276"/>
    <tableColumn id="2" xr3:uid="{9AEB7371-03C4-47BF-900A-93469E01764B}" name="Part Number" dataDxfId="275"/>
    <tableColumn id="3" xr3:uid="{FDBF907F-4809-4DAA-B922-57E5FB0375DA}" name="Country of Origin" dataDxfId="274" dataCellStyle="Normal 9 3"/>
    <tableColumn id="4" xr3:uid="{A83842F8-9AF1-4687-8993-9CE3D45450D2}" name="MFG Part Number" dataDxfId="273"/>
    <tableColumn id="5" xr3:uid="{989655E5-BF51-4525-B364-67D27B92F853}" name="Cage Code" dataDxfId="272"/>
    <tableColumn id="6" xr3:uid="{B5F6633B-8084-45EF-9A70-6DA3DE614FE2}" name="Quantity" dataDxfId="271"/>
    <tableColumn id="7" xr3:uid="{05236A66-909B-4121-8285-C3FC1D34C91F}" name="Unit Price" dataDxfId="270"/>
    <tableColumn id="8" xr3:uid="{B06253FA-64D5-4771-A2BA-933E2D1D943B}" name="Extended price" dataDxfId="269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950764E2-0A41-422A-A764-3D2944473F21}" name="Table51" displayName="Table51" ref="A1:H18" totalsRowShown="0" headerRowBorderDxfId="268" tableBorderDxfId="267" totalsRowBorderDxfId="266">
  <autoFilter ref="A1:H18" xr:uid="{950764E2-0A41-422A-A764-3D2944473F21}"/>
  <sortState xmlns:xlrd2="http://schemas.microsoft.com/office/spreadsheetml/2017/richdata2" ref="A2:H18">
    <sortCondition ref="E1:E18"/>
  </sortState>
  <tableColumns count="8">
    <tableColumn id="1" xr3:uid="{7C9515EC-FFCE-4D5F-9A7F-F3BDC5A2455A}" name="Nomenclature" dataDxfId="265" dataCellStyle="Normal 9"/>
    <tableColumn id="2" xr3:uid="{53032320-7A2B-4474-938E-F58CA34D4FEA}" name="Part Number" dataDxfId="264"/>
    <tableColumn id="3" xr3:uid="{4343CA94-59E9-479F-9FB3-A184185C7D36}" name="Country of Origin" dataDxfId="263" dataCellStyle="Normal 9 3"/>
    <tableColumn id="4" xr3:uid="{9BB8AF38-A29B-4AFB-8A36-E00671A2CB4D}" name="MFG Part Number" dataDxfId="262"/>
    <tableColumn id="5" xr3:uid="{FCE8582C-8A2F-40EA-89F7-D7AFFEF460F6}" name="Cage Code" dataDxfId="261"/>
    <tableColumn id="6" xr3:uid="{932A319A-022A-4F82-A8EC-4DA1452AF5A3}" name="Quantity" dataDxfId="260"/>
    <tableColumn id="7" xr3:uid="{DBA2687F-660D-4D0D-A3C5-1C900B2BDC15}" name="Unit Price" dataDxfId="259"/>
    <tableColumn id="8" xr3:uid="{DB00A6CD-7B4E-4A1C-9C55-4DCE4D94BB8C}" name="Extended price" dataDxfId="258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9C96C70F-0E9F-4F34-B2DA-40F97CA09892}" name="Table52" displayName="Table52" ref="A1:I46" totalsRowShown="0" headerRowDxfId="257" dataDxfId="255" headerRowBorderDxfId="256" tableBorderDxfId="254" totalsRowBorderDxfId="253" headerRowCellStyle="Normal 14 2" dataCellStyle="Normal 14 2">
  <autoFilter ref="A1:I46" xr:uid="{9C96C70F-0E9F-4F34-B2DA-40F97CA09892}"/>
  <sortState xmlns:xlrd2="http://schemas.microsoft.com/office/spreadsheetml/2017/richdata2" ref="A2:I46">
    <sortCondition ref="F1:F46"/>
  </sortState>
  <tableColumns count="9">
    <tableColumn id="1" xr3:uid="{4D47545C-8371-410C-9D79-CF54B95C408B}" name="Nomenclature" dataDxfId="252" dataCellStyle="Normal 9"/>
    <tableColumn id="2" xr3:uid="{FECC77E0-FA3C-4056-BE9E-C54CC8D068C3}" name="Part Number" dataDxfId="251" dataCellStyle="Normal 14 2"/>
    <tableColumn id="3" xr3:uid="{487212AD-EDC4-48B9-A581-4B2FD4FF612A}" name="Snap-on Offering" dataDxfId="250" dataCellStyle="Normal 9 3"/>
    <tableColumn id="4" xr3:uid="{EC794D98-CE17-4B25-9D58-90B18C3B21A2}" name="Country of Origin" dataDxfId="249" dataCellStyle="Normal 9 3"/>
    <tableColumn id="5" xr3:uid="{FEBBD21E-E85E-4F0C-AFB0-91127E99968D}" name="MFG Part Number" dataDxfId="248" dataCellStyle="Normal 14 2"/>
    <tableColumn id="6" xr3:uid="{76D7AB02-2EEC-4BE1-8983-970767B2CE57}" name="Cage Code" dataDxfId="247" dataCellStyle="Normal 14 2"/>
    <tableColumn id="7" xr3:uid="{72C4FFE1-B423-4535-B1F3-50BAED485A9C}" name="Quantity" dataDxfId="246" dataCellStyle="Normal 14 2"/>
    <tableColumn id="8" xr3:uid="{BEDC1D67-4E37-4240-9040-8D9911DA4236}" name="Unit Price" dataDxfId="245" dataCellStyle="Normal 14 2"/>
    <tableColumn id="9" xr3:uid="{7FD4C6CF-4B05-4974-BCD3-F97F9AECAA26}" name="Extended price" dataDxfId="244" dataCellStyle="Normal 14 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le5" displayName="Table5" ref="A1:H4" totalsRowShown="0" headerRowDxfId="243" dataDxfId="241" headerRowBorderDxfId="242" tableBorderDxfId="240" headerRowCellStyle="Normal 9 2">
  <autoFilter ref="A1:H4" xr:uid="{00000000-000C-0000-FFFF-FFFF09000000}"/>
  <sortState xmlns:xlrd2="http://schemas.microsoft.com/office/spreadsheetml/2017/richdata2" ref="A2:H4">
    <sortCondition ref="E1:E4"/>
  </sortState>
  <tableColumns count="8">
    <tableColumn id="1" xr3:uid="{00000000-0010-0000-0900-000001000000}" name="Nomenclature" dataDxfId="239" dataCellStyle="Normal 3"/>
    <tableColumn id="2" xr3:uid="{00000000-0010-0000-0900-000002000000}" name="Part Number" dataDxfId="238"/>
    <tableColumn id="8" xr3:uid="{00000000-0010-0000-0900-000008000000}" name="Country of Origin" dataDxfId="237"/>
    <tableColumn id="3" xr3:uid="{00000000-0010-0000-0900-000003000000}" name="MFG Part Number" dataDxfId="236"/>
    <tableColumn id="4" xr3:uid="{00000000-0010-0000-0900-000004000000}" name="Cage Code" dataDxfId="235"/>
    <tableColumn id="5" xr3:uid="{00000000-0010-0000-0900-000005000000}" name="Quantity" dataDxfId="234" dataCellStyle="Normal 3"/>
    <tableColumn id="6" xr3:uid="{00000000-0010-0000-0900-000006000000}" name="Unit Price" dataDxfId="233" dataCellStyle="Normal 3"/>
    <tableColumn id="9" xr3:uid="{00000000-0010-0000-0900-000009000000}" name="Extended price" dataDxfId="232"/>
  </tableColumns>
  <tableStyleInfo name="TableStyleLight1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5418A2E9-7BB4-4DE0-9025-452CFD333582}" name="Table53" displayName="Table53" ref="A1:H22" totalsRowShown="0" headerRowBorderDxfId="231" tableBorderDxfId="230" totalsRowBorderDxfId="229">
  <autoFilter ref="A1:H22" xr:uid="{5418A2E9-7BB4-4DE0-9025-452CFD333582}"/>
  <sortState xmlns:xlrd2="http://schemas.microsoft.com/office/spreadsheetml/2017/richdata2" ref="A2:H22">
    <sortCondition ref="E1:E22"/>
  </sortState>
  <tableColumns count="8">
    <tableColumn id="1" xr3:uid="{FEDE4DC8-379F-459D-AC38-BB0C7B8BA005}" name="Nomenclature" dataDxfId="228" dataCellStyle="Normal 9"/>
    <tableColumn id="2" xr3:uid="{F84988B9-DE00-416C-AD94-4E7AFA329750}" name="Part Number" dataDxfId="227" dataCellStyle="Normal 9 3"/>
    <tableColumn id="3" xr3:uid="{ACE4F082-F112-4B58-97CE-1A40694FEDE1}" name="Country of Origin" dataDxfId="226" dataCellStyle="Normal 9 3"/>
    <tableColumn id="4" xr3:uid="{BC67388E-07FC-470F-8DF0-5F9DABB213EC}" name="MFG Part Number" dataDxfId="225"/>
    <tableColumn id="5" xr3:uid="{EBB968BF-2756-4714-B8C2-441CBD261B99}" name="Cage Code" dataDxfId="224"/>
    <tableColumn id="6" xr3:uid="{95D8B073-AE08-479C-87ED-91ABAE656C61}" name="Quantity" dataDxfId="223" dataCellStyle="Normal 14 2"/>
    <tableColumn id="7" xr3:uid="{C62C8462-6E27-4EEC-B9B4-10FB2BED42AE}" name="Unit Price" dataDxfId="222" dataCellStyle="Normal 14 2"/>
    <tableColumn id="8" xr3:uid="{3B096078-6D22-48DD-85BE-38A07D3428F8}" name="Extended price" dataDxfId="221" dataCellStyle="Normal 14 2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6FF831CF-7459-4E49-B0E6-8258F3954549}" name="Table54" displayName="Table54" ref="A1:H18" totalsRowShown="0" headerRowBorderDxfId="220" tableBorderDxfId="219" totalsRowBorderDxfId="218">
  <autoFilter ref="A1:H18" xr:uid="{6FF831CF-7459-4E49-B0E6-8258F3954549}"/>
  <sortState xmlns:xlrd2="http://schemas.microsoft.com/office/spreadsheetml/2017/richdata2" ref="A2:H18">
    <sortCondition ref="E1:E18"/>
  </sortState>
  <tableColumns count="8">
    <tableColumn id="1" xr3:uid="{74CC10A3-4717-4019-8864-E058A586DD3B}" name="Nomenclature"/>
    <tableColumn id="2" xr3:uid="{35EE147E-ABA4-4D2D-8AEA-DE2A3D6E0CAD}" name="Part Number" dataDxfId="217"/>
    <tableColumn id="3" xr3:uid="{B0EC6685-10B5-4A81-9D69-CFFD526425D5}" name="Country of Origin" dataDxfId="216" dataCellStyle="Normal 9 3"/>
    <tableColumn id="4" xr3:uid="{634B622E-BF3B-4FBE-9B57-DC703AC84B59}" name="MFG Part Number" dataDxfId="215"/>
    <tableColumn id="5" xr3:uid="{50E3A03C-8DAC-46DF-875A-75AEA307D936}" name="Cage Code" dataDxfId="214"/>
    <tableColumn id="6" xr3:uid="{E36B253B-DA63-4EF5-9358-E0527035EC98}" name="Quantity" dataDxfId="213" dataCellStyle="Normal 9 4"/>
    <tableColumn id="7" xr3:uid="{0011C31A-2B45-476C-9219-D6A90B51564C}" name="Unit Price" dataDxfId="212" dataCellStyle="Normal 14 2"/>
    <tableColumn id="8" xr3:uid="{0B0D1349-41DE-40F4-BF51-C4E206EF26AF}" name="Extended price" dataDxfId="211" dataCellStyle="Normal 14 2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DE4A314-6477-4E74-AD50-D3165B1E9D81}" name="Table55" displayName="Table55" ref="A1:H40" totalsRowShown="0" headerRowDxfId="210" dataDxfId="208" headerRowBorderDxfId="209" tableBorderDxfId="207" totalsRowBorderDxfId="206" headerRowCellStyle="Normal 14 2" dataCellStyle="Normal 14 2">
  <autoFilter ref="A1:H40" xr:uid="{1DE4A314-6477-4E74-AD50-D3165B1E9D81}"/>
  <sortState xmlns:xlrd2="http://schemas.microsoft.com/office/spreadsheetml/2017/richdata2" ref="A2:H40">
    <sortCondition ref="E1:E40"/>
  </sortState>
  <tableColumns count="8">
    <tableColumn id="1" xr3:uid="{4901BF2B-E545-4DD0-8B95-482069C2E8C1}" name="Nomenclature" dataDxfId="205" dataCellStyle="Normal 9"/>
    <tableColumn id="2" xr3:uid="{4CFEA503-96EB-4000-B53C-AF44D9C921A3}" name="Part Number" dataDxfId="204" dataCellStyle="Normal 14 2"/>
    <tableColumn id="3" xr3:uid="{170A1A73-4FC9-4E66-A30D-A5B72C35BD33}" name="Country of Origin" dataDxfId="203" dataCellStyle="Normal 9 3"/>
    <tableColumn id="4" xr3:uid="{E0E100DD-1B35-4B75-B14D-7951C6210FCE}" name="MFG Part Number" dataDxfId="202" dataCellStyle="Normal 14 2"/>
    <tableColumn id="5" xr3:uid="{1780D049-23DF-4705-87C7-F6D1DEB8E982}" name="Cage Code" dataDxfId="201" dataCellStyle="Normal 14 2"/>
    <tableColumn id="6" xr3:uid="{20E03B6F-E5E3-48F6-9E1D-AD37FCCE7E2D}" name="Quantity" dataDxfId="200" dataCellStyle="Normal 14 2"/>
    <tableColumn id="7" xr3:uid="{5FAAF7B4-69A6-42DF-9351-006592D80213}" name="Unit Price" dataDxfId="199" dataCellStyle="Normal 14 2"/>
    <tableColumn id="8" xr3:uid="{E9AD77AB-55DD-49DA-ACA5-F9130F756187}" name="Extended price" dataDxfId="198" dataCellStyle="Normal 14 2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A000000}" name="Table22" displayName="Table22" ref="A1:H12" totalsRowShown="0" headerRowDxfId="197" dataDxfId="195" headerRowBorderDxfId="196" tableBorderDxfId="194" headerRowCellStyle="Normal 9 2" dataCellStyle="Normal 14 2">
  <autoFilter ref="A1:H12" xr:uid="{00000000-000C-0000-FFFF-FFFF0A000000}"/>
  <sortState xmlns:xlrd2="http://schemas.microsoft.com/office/spreadsheetml/2017/richdata2" ref="A2:H12">
    <sortCondition ref="E1:E12"/>
  </sortState>
  <tableColumns count="8">
    <tableColumn id="1" xr3:uid="{00000000-0010-0000-0A00-000001000000}" name="Nomenclature" dataDxfId="193" totalsRowDxfId="192" dataCellStyle="Normal 9 2"/>
    <tableColumn id="2" xr3:uid="{00000000-0010-0000-0A00-000002000000}" name="Part Number" dataDxfId="191" totalsRowDxfId="190" dataCellStyle="Normal 14 2"/>
    <tableColumn id="8" xr3:uid="{00000000-0010-0000-0A00-000008000000}" name="Country of Origin" dataDxfId="189" totalsRowDxfId="188" dataCellStyle="Normal 14 2"/>
    <tableColumn id="3" xr3:uid="{00000000-0010-0000-0A00-000003000000}" name="MFG Part Number" dataDxfId="187" totalsRowDxfId="186" dataCellStyle="Normal 14 2"/>
    <tableColumn id="4" xr3:uid="{00000000-0010-0000-0A00-000004000000}" name="Cage Code" dataDxfId="185" totalsRowDxfId="184" dataCellStyle="Normal 14 2"/>
    <tableColumn id="5" xr3:uid="{00000000-0010-0000-0A00-000005000000}" name="Quantity" dataDxfId="183" totalsRowDxfId="182" dataCellStyle="Normal 9 2"/>
    <tableColumn id="6" xr3:uid="{00000000-0010-0000-0A00-000006000000}" name="Unit Price" dataDxfId="181" totalsRowDxfId="180" dataCellStyle="Normal 9 2"/>
    <tableColumn id="9" xr3:uid="{00000000-0010-0000-0A00-000009000000}" name="Extended price" dataDxfId="179" dataCellStyle="Normal 14 2"/>
  </tableColumns>
  <tableStyleInfo name="TableStyleLight1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93A5DC5D-9E82-4B15-856A-6952DE29C865}" name="Table56" displayName="Table56" ref="A1:H30" totalsRowShown="0" headerRowBorderDxfId="178" tableBorderDxfId="177" totalsRowBorderDxfId="176">
  <autoFilter ref="A1:H30" xr:uid="{93A5DC5D-9E82-4B15-856A-6952DE29C865}"/>
  <sortState xmlns:xlrd2="http://schemas.microsoft.com/office/spreadsheetml/2017/richdata2" ref="A2:H30">
    <sortCondition ref="E1:E30"/>
  </sortState>
  <tableColumns count="8">
    <tableColumn id="1" xr3:uid="{5A516FD5-E050-44C6-8462-4EBEEBFBC52F}" name="Nomenclature" dataDxfId="175" dataCellStyle="Normal 9"/>
    <tableColumn id="2" xr3:uid="{010886A1-ABB4-40F1-B03C-463A69929FB2}" name="Part Number" dataDxfId="174" dataCellStyle="Normal 14 2"/>
    <tableColumn id="3" xr3:uid="{AF06BE95-B68F-418E-942E-36729ED386C4}" name="Country of Origin" dataDxfId="173" dataCellStyle="Normal 9 3"/>
    <tableColumn id="4" xr3:uid="{438E0EAD-6AB8-4CFA-B792-FC91E0488ECD}" name="MFG Part Number" dataDxfId="172" dataCellStyle="Normal 9"/>
    <tableColumn id="5" xr3:uid="{07721A9F-775C-4A04-A9F2-637189BF671A}" name="Cage Code" dataDxfId="171" dataCellStyle="Normal 9"/>
    <tableColumn id="6" xr3:uid="{25B852BD-D3BD-4F27-BBE9-D06FA2E1B345}" name="Quantity" dataDxfId="170" dataCellStyle="Normal 9"/>
    <tableColumn id="7" xr3:uid="{02E99DF0-DD21-480E-93A6-C1C19667AA24}" name="Unit Price" dataDxfId="169" dataCellStyle="Normal 9 2"/>
    <tableColumn id="8" xr3:uid="{4DF1E7F0-358B-46C0-8D2F-AEC425F1FF14}" name="Extended price" dataDxfId="168" dataCellStyle="Normal 14 2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Table11" displayName="Table11" ref="A1:H103" totalsRowShown="0" headerRowDxfId="167" dataDxfId="165" headerRowBorderDxfId="166" tableBorderDxfId="164" headerRowCellStyle="Normal 9 2">
  <autoFilter ref="A1:H103" xr:uid="{00000000-000C-0000-FFFF-FFFF0B000000}"/>
  <sortState xmlns:xlrd2="http://schemas.microsoft.com/office/spreadsheetml/2017/richdata2" ref="A2:H103">
    <sortCondition ref="E1:E103"/>
  </sortState>
  <tableColumns count="8">
    <tableColumn id="1" xr3:uid="{00000000-0010-0000-0B00-000001000000}" name="Nomenclature" dataDxfId="163" dataCellStyle="Normal 9"/>
    <tableColumn id="2" xr3:uid="{00000000-0010-0000-0B00-000002000000}" name="Part Number" dataDxfId="162"/>
    <tableColumn id="8" xr3:uid="{00000000-0010-0000-0B00-000008000000}" name="Country of Origin" dataDxfId="161"/>
    <tableColumn id="3" xr3:uid="{00000000-0010-0000-0B00-000003000000}" name="MFG Part Number" dataDxfId="160"/>
    <tableColumn id="4" xr3:uid="{00000000-0010-0000-0B00-000004000000}" name="Cage Code" dataDxfId="159"/>
    <tableColumn id="5" xr3:uid="{00000000-0010-0000-0B00-000005000000}" name="Quantity" dataDxfId="158" dataCellStyle="Hyperlink"/>
    <tableColumn id="6" xr3:uid="{00000000-0010-0000-0B00-000006000000}" name="Unit Price" dataDxfId="157" dataCellStyle="Normal 9"/>
    <tableColumn id="7" xr3:uid="{2AE98FE8-1E93-4B2A-9DED-F6D5E617DC1C}" name="Extended price" dataDxfId="156"/>
  </tableColumns>
  <tableStyleInfo name="TableStyleLight15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17ED7-573B-4DB1-B370-70D3CF6F1913}" name="Table1" displayName="Table1" ref="A1:H75" totalsRowShown="0" headerRowBorderDxfId="155" tableBorderDxfId="154" totalsRowBorderDxfId="153">
  <autoFilter ref="A1:H75" xr:uid="{50717ED7-573B-4DB1-B370-70D3CF6F1913}"/>
  <sortState xmlns:xlrd2="http://schemas.microsoft.com/office/spreadsheetml/2017/richdata2" ref="A2:H75">
    <sortCondition ref="E1:E75"/>
  </sortState>
  <tableColumns count="8">
    <tableColumn id="1" xr3:uid="{E7AFEFB8-1FBB-4E69-A68C-CE2F89A395C8}" name="Nomenclature" dataDxfId="152" dataCellStyle="Normal 9"/>
    <tableColumn id="2" xr3:uid="{E3C4DE71-B2AD-40E2-9E8D-63E30A2EC0E3}" name="Part Number" dataDxfId="151" dataCellStyle="Normal 9 3"/>
    <tableColumn id="3" xr3:uid="{9C3B22ED-21D3-4F5F-8AB3-5445977D8BA2}" name="Country of Origin" dataDxfId="150" dataCellStyle="Normal 9 3"/>
    <tableColumn id="4" xr3:uid="{889BC84F-AAC9-4011-969F-8006B4B828D0}" name="MFG Part Number" dataDxfId="149"/>
    <tableColumn id="5" xr3:uid="{F654E670-CF98-42CE-B328-787C23E27ABA}" name="Cage Code" dataDxfId="148"/>
    <tableColumn id="6" xr3:uid="{5D06EB29-3016-4367-B2D7-FC5A6FB666F5}" name="Quantity" dataDxfId="147" dataCellStyle="Normal 9 2"/>
    <tableColumn id="7" xr3:uid="{FF395D4D-B795-448C-AC63-7CFB9FD586ED}" name="Unit Price" dataDxfId="146" dataCellStyle="Normal 9 2"/>
    <tableColumn id="8" xr3:uid="{F3DF0774-75B1-4F79-A197-D6F8A7BB2789}" name="Extended price" dataDxfId="145" dataCellStyle="Normal 9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C000000}" name="Table8" displayName="Table8" ref="A1:H92" totalsRowShown="0" headerRowDxfId="144" headerRowBorderDxfId="143" tableBorderDxfId="142" headerRowCellStyle="Normal 9 2">
  <autoFilter ref="A1:H92" xr:uid="{00000000-000C-0000-FFFF-FFFF0C000000}"/>
  <sortState xmlns:xlrd2="http://schemas.microsoft.com/office/spreadsheetml/2017/richdata2" ref="A2:H92">
    <sortCondition ref="E1:E92"/>
  </sortState>
  <tableColumns count="8">
    <tableColumn id="1" xr3:uid="{00000000-0010-0000-0C00-000001000000}" name="Nomenclature" dataDxfId="141" dataCellStyle="Normal 9"/>
    <tableColumn id="2" xr3:uid="{00000000-0010-0000-0C00-000002000000}" name="Part Number" dataDxfId="140" dataCellStyle="Normal 9 3"/>
    <tableColumn id="8" xr3:uid="{00000000-0010-0000-0C00-000008000000}" name="Country of Origin" dataDxfId="139" dataCellStyle="Normal 9 3"/>
    <tableColumn id="3" xr3:uid="{00000000-0010-0000-0C00-000003000000}" name="MFG Part Number" dataDxfId="138"/>
    <tableColumn id="4" xr3:uid="{00000000-0010-0000-0C00-000004000000}" name="Cage Code" dataDxfId="137"/>
    <tableColumn id="5" xr3:uid="{00000000-0010-0000-0C00-000005000000}" name="Quantity" dataDxfId="136" dataCellStyle="Normal 9 2"/>
    <tableColumn id="6" xr3:uid="{00000000-0010-0000-0C00-000006000000}" name="Unit Price" dataDxfId="135" dataCellStyle="Normal 9 2"/>
    <tableColumn id="9" xr3:uid="{00000000-0010-0000-0C00-000009000000}" name="Extended price" dataDxfId="134" dataCellStyle="Normal 9 2"/>
  </tableColumns>
  <tableStyleInfo name="TableStyleLight15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526D643-0A31-4597-B765-693FBE992753}" name="Table13" displayName="Table13" ref="A1:H11" totalsRowShown="0" headerRowBorderDxfId="133" tableBorderDxfId="132" totalsRowBorderDxfId="131">
  <autoFilter ref="A1:H11" xr:uid="{A526D643-0A31-4597-B765-693FBE992753}"/>
  <sortState xmlns:xlrd2="http://schemas.microsoft.com/office/spreadsheetml/2017/richdata2" ref="A2:H11">
    <sortCondition ref="E1:E11"/>
  </sortState>
  <tableColumns count="8">
    <tableColumn id="1" xr3:uid="{7FED1D3B-8092-401F-80D8-BAB7792B6176}" name="Nomenclature" dataDxfId="130" dataCellStyle="Normal 9 3"/>
    <tableColumn id="2" xr3:uid="{3A15F9DE-6ABB-4481-8C0C-7213BED0BD7D}" name="Part Number" dataDxfId="129"/>
    <tableColumn id="3" xr3:uid="{A5E7421F-AAE4-44E8-A91E-EA140FCE97B7}" name="Country of Origin" dataDxfId="128" dataCellStyle="Normal 9 3"/>
    <tableColumn id="4" xr3:uid="{02842708-2CC4-4CA3-9660-38E3A7135E4B}" name="MFG Part Number" dataDxfId="127"/>
    <tableColumn id="5" xr3:uid="{E5D6F200-0958-42D8-9F85-B19283F95A79}" name="Cage Code" dataDxfId="126"/>
    <tableColumn id="6" xr3:uid="{DF34D898-668D-4323-9F78-4C2E52C3CA31}" name="Quantity" dataDxfId="125" dataCellStyle="Normal 9 3"/>
    <tableColumn id="7" xr3:uid="{574D34DE-B633-4FFF-B522-AD02646DF50C}" name="Unit Price" dataDxfId="124" dataCellStyle="Normal 9 3"/>
    <tableColumn id="8" xr3:uid="{49E68BB8-62B1-4485-8763-A9198648DE38}" name="Extended price" dataDxfId="123" dataCellStyle="Normal 9 3"/>
  </tableColumns>
  <tableStyleInfo name="TableStyleLight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e7" displayName="Table7" ref="A1:H7" totalsRowShown="0" headerRowDxfId="122" headerRowBorderDxfId="121" tableBorderDxfId="120" headerRowCellStyle="Normal 9 2">
  <autoFilter ref="A1:H7" xr:uid="{00000000-000C-0000-FFFF-FFFF0D000000}"/>
  <sortState xmlns:xlrd2="http://schemas.microsoft.com/office/spreadsheetml/2017/richdata2" ref="A2:H7">
    <sortCondition ref="E1:E7"/>
  </sortState>
  <tableColumns count="8">
    <tableColumn id="1" xr3:uid="{00000000-0010-0000-0D00-000001000000}" name="Nomenclature" dataDxfId="119" dataCellStyle="Normal 9"/>
    <tableColumn id="2" xr3:uid="{00000000-0010-0000-0D00-000002000000}" name="Part Number" dataDxfId="118"/>
    <tableColumn id="8" xr3:uid="{00000000-0010-0000-0D00-000008000000}" name="Country of Origin" dataDxfId="117"/>
    <tableColumn id="3" xr3:uid="{00000000-0010-0000-0D00-000003000000}" name="MFG Part Number" dataDxfId="116"/>
    <tableColumn id="4" xr3:uid="{00000000-0010-0000-0D00-000004000000}" name="Cage Code" dataDxfId="115"/>
    <tableColumn id="5" xr3:uid="{00000000-0010-0000-0D00-000005000000}" name="Quantity" dataDxfId="114" dataCellStyle="Normal 9 3"/>
    <tableColumn id="6" xr3:uid="{00000000-0010-0000-0D00-000006000000}" name="Unit Price" dataDxfId="113" dataCellStyle="Normal 9 3"/>
    <tableColumn id="9" xr3:uid="{00000000-0010-0000-0D00-000009000000}" name="Extended price" dataDxfId="112" dataCellStyle="Normal 14 2"/>
  </tableColumns>
  <tableStyleInfo name="TableStyleLight15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1B8236B-44CD-4206-913D-5E5436D2A4A1}" name="Table29" displayName="Table29" ref="A1:H12" totalsRowShown="0" headerRowBorderDxfId="111" tableBorderDxfId="110" totalsRowBorderDxfId="109">
  <autoFilter ref="A1:H12" xr:uid="{21B8236B-44CD-4206-913D-5E5436D2A4A1}"/>
  <sortState xmlns:xlrd2="http://schemas.microsoft.com/office/spreadsheetml/2017/richdata2" ref="A2:H12">
    <sortCondition ref="E1:E12"/>
  </sortState>
  <tableColumns count="8">
    <tableColumn id="1" xr3:uid="{17769BA2-1ED7-4889-8189-B3900C3B1F26}" name="Nomenclature" dataDxfId="108" dataCellStyle="Normal 9"/>
    <tableColumn id="2" xr3:uid="{AD8F21B5-945F-48D6-8609-3DB1DAD9781E}" name="Part Number" dataDxfId="107"/>
    <tableColumn id="3" xr3:uid="{9A50FE94-9791-41C9-A7CF-144E00B8E1C5}" name="Country of Origin" dataDxfId="106" dataCellStyle="Normal 9 3"/>
    <tableColumn id="4" xr3:uid="{E54FA560-D9CD-4EFE-A693-0B0560377EB9}" name="MFG Part Number" dataDxfId="105"/>
    <tableColumn id="5" xr3:uid="{E4F95177-4159-45CE-A22F-B0A83735E5F7}" name="Cage Code" dataDxfId="104"/>
    <tableColumn id="6" xr3:uid="{7CEEAFC6-632C-4993-885E-DBDCB277B80A}" name="Quantity" dataDxfId="103" dataCellStyle="Normal 9 3"/>
    <tableColumn id="7" xr3:uid="{64CD54A7-243B-4EF4-AA65-DCD783A2DA08}" name="Unit Price" dataDxfId="102" dataCellStyle="Normal 9 3"/>
    <tableColumn id="8" xr3:uid="{78E40A47-56AE-4CD8-BB0B-E6329E220AD3}" name="Extended price" dataDxfId="101" dataCellStyle="Normal 14 2"/>
  </tableColumns>
  <tableStyleInfo name="TableStyleLight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E000000}" name="Table9" displayName="Table9" ref="A1:H77" totalsRowShown="0" headerRowDxfId="100" dataDxfId="98" headerRowBorderDxfId="99" tableBorderDxfId="97" headerRowCellStyle="Normal 14">
  <autoFilter ref="A1:H77" xr:uid="{00000000-000C-0000-FFFF-FFFF0E000000}"/>
  <sortState xmlns:xlrd2="http://schemas.microsoft.com/office/spreadsheetml/2017/richdata2" ref="A2:H77">
    <sortCondition ref="E1:E77"/>
  </sortState>
  <tableColumns count="8">
    <tableColumn id="1" xr3:uid="{00000000-0010-0000-0E00-000001000000}" name="Nomenclature" dataDxfId="96" dataCellStyle="Normal 9"/>
    <tableColumn id="2" xr3:uid="{00000000-0010-0000-0E00-000002000000}" name="Part Number" dataDxfId="95"/>
    <tableColumn id="8" xr3:uid="{00000000-0010-0000-0E00-000008000000}" name="Country of Origin" dataDxfId="94"/>
    <tableColumn id="3" xr3:uid="{00000000-0010-0000-0E00-000003000000}" name="MFG Part Number" dataDxfId="93"/>
    <tableColumn id="4" xr3:uid="{00000000-0010-0000-0E00-000004000000}" name="Cage Code" dataDxfId="92"/>
    <tableColumn id="5" xr3:uid="{00000000-0010-0000-0E00-000005000000}" name="Quantity" dataDxfId="91" dataCellStyle="Normal 9 3"/>
    <tableColumn id="6" xr3:uid="{00000000-0010-0000-0E00-000006000000}" name="Unit Price" dataDxfId="90" dataCellStyle="Normal 9 3"/>
    <tableColumn id="9" xr3:uid="{00000000-0010-0000-0E00-000009000000}" name="Extended price" dataDxfId="89"/>
  </tableColumns>
  <tableStyleInfo name="TableStyleLight15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152036D-A41F-40E2-9015-71AE0F2486E0}" name="Table35" displayName="Table35" ref="A1:H16" totalsRowShown="0" headerRowDxfId="88" headerRowBorderDxfId="87" tableBorderDxfId="86" totalsRowBorderDxfId="85" headerRowCellStyle="Normal 14">
  <autoFilter ref="A1:H16" xr:uid="{A152036D-A41F-40E2-9015-71AE0F2486E0}"/>
  <sortState xmlns:xlrd2="http://schemas.microsoft.com/office/spreadsheetml/2017/richdata2" ref="A2:H16">
    <sortCondition ref="E1:E16"/>
  </sortState>
  <tableColumns count="8">
    <tableColumn id="1" xr3:uid="{3FD66DCF-8FDF-4CA3-A559-A7620BAC6390}" name="Nomenclature" dataDxfId="84" dataCellStyle="Normal 9"/>
    <tableColumn id="2" xr3:uid="{0B7A8E44-1967-4626-946D-DBAA7E761852}" name="Part Number" dataDxfId="83"/>
    <tableColumn id="3" xr3:uid="{975FF453-B884-4DB1-8462-ECB105E8CEB8}" name="Country of Origin" dataDxfId="82" dataCellStyle="Normal 9 3"/>
    <tableColumn id="4" xr3:uid="{BE4C8302-E7BD-4EC1-BB87-F3608EAD2CD8}" name="MFG Part Number" dataDxfId="81"/>
    <tableColumn id="5" xr3:uid="{339F32B4-DA97-4FD4-A7BC-A431B9A1814D}" name="Cage Code" dataDxfId="80"/>
    <tableColumn id="6" xr3:uid="{F24F62C7-CDD4-4759-AA3E-D771D1E2E992}" name="Quantity" dataDxfId="79" dataCellStyle="Normal 9 3"/>
    <tableColumn id="7" xr3:uid="{017BFC98-C30B-45D0-B05B-F33FA01D1795}" name="Unit Price" dataDxfId="78" dataCellStyle="Normal 9 3"/>
    <tableColumn id="8" xr3:uid="{B2D8157D-F783-4CC1-A44A-3B3CA786FC09}" name="Extended price" dataDxfId="77"/>
  </tableColumns>
  <tableStyleInfo name="TableStyleLight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2D4BF1C3-D779-486A-B25C-8959FFF30146}" name="Table57" displayName="Table57" ref="A1:H3" totalsRowShown="0" headerRowDxfId="76" headerRowBorderDxfId="75" tableBorderDxfId="74" totalsRowBorderDxfId="73" headerRowCellStyle="Normal 14">
  <autoFilter ref="A1:H3" xr:uid="{2D4BF1C3-D779-486A-B25C-8959FFF30146}"/>
  <sortState xmlns:xlrd2="http://schemas.microsoft.com/office/spreadsheetml/2017/richdata2" ref="A2:H3">
    <sortCondition ref="E1:E3"/>
  </sortState>
  <tableColumns count="8">
    <tableColumn id="1" xr3:uid="{54B88ABE-C5E9-4F66-819C-0051BDEA1F71}" name="Nomenclature" dataDxfId="72" dataCellStyle="Normal 9"/>
    <tableColumn id="2" xr3:uid="{F5536988-B9D6-48F2-9F56-88D461072BF0}" name="Part Number" dataDxfId="71"/>
    <tableColumn id="3" xr3:uid="{16F90C44-14C3-4BA8-9680-A52A850E8DCD}" name="Country of Origin" dataDxfId="70" dataCellStyle="Normal 9 3"/>
    <tableColumn id="4" xr3:uid="{8957432B-7623-445A-BC5B-1B153ED51EDE}" name="MFG Part Number" dataDxfId="69"/>
    <tableColumn id="5" xr3:uid="{64264563-9E67-4037-AA1C-017FCE847413}" name="Cage Code" dataDxfId="68"/>
    <tableColumn id="6" xr3:uid="{6B88DA2C-8E9F-4ADF-8865-0331329C52BC}" name="Quantity" dataDxfId="67" dataCellStyle="Normal 9 3"/>
    <tableColumn id="7" xr3:uid="{F7FABC5C-A6D5-4606-AB03-0C361B23D786}" name="Unit Price" dataDxfId="66" dataCellStyle="Normal 9 3"/>
    <tableColumn id="8" xr3:uid="{F97CDF59-F51F-4AAE-BD7F-3843922DA78A}" name="Extended price" dataDxfId="65"/>
  </tableColumns>
  <tableStyleInfo name="TableStyleLight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A81481DE-4BB8-40B5-90E3-49520012DB45}" name="Table58" displayName="Table58" ref="A1:H43" totalsRowShown="0" headerRowDxfId="64" headerRowBorderDxfId="63" tableBorderDxfId="62" totalsRowBorderDxfId="61" headerRowCellStyle="Normal 14">
  <autoFilter ref="A1:H43" xr:uid="{A81481DE-4BB8-40B5-90E3-49520012DB45}"/>
  <sortState xmlns:xlrd2="http://schemas.microsoft.com/office/spreadsheetml/2017/richdata2" ref="A2:H43">
    <sortCondition ref="E1:E43"/>
  </sortState>
  <tableColumns count="8">
    <tableColumn id="1" xr3:uid="{8BDA9A79-68F6-4AD9-8AF7-CE302186AD5B}" name="Nomenclature" dataDxfId="60" dataCellStyle="Normal 9"/>
    <tableColumn id="2" xr3:uid="{EDD13F49-347B-44F1-833F-18FFDFB1AC9E}" name="Part Number" dataDxfId="59"/>
    <tableColumn id="3" xr3:uid="{7C491F63-86ED-4EFA-B61E-59D8D238972C}" name="Country of Origin" dataDxfId="58"/>
    <tableColumn id="4" xr3:uid="{9638E499-795C-427D-8BE4-4FECF0D40A49}" name="MFG Part Number" dataDxfId="57"/>
    <tableColumn id="5" xr3:uid="{C6463D92-F483-493C-8A23-86B921D5DF4A}" name="Cage Code" dataDxfId="56"/>
    <tableColumn id="6" xr3:uid="{C3C306A7-E7AD-4CEC-AF1C-914892CBA2EA}" name="Quantity" dataDxfId="55" dataCellStyle="Normal 9 3"/>
    <tableColumn id="7" xr3:uid="{5580B4B2-B706-4B82-BC28-8DE5E200C09F}" name="Unit Price" dataDxfId="54" dataCellStyle="Normal 9 3"/>
    <tableColumn id="8" xr3:uid="{737C89C9-70AD-4C29-A17D-9DC17BFC916C}" name="Extended price" dataDxfId="53"/>
  </tableColumns>
  <tableStyleInfo name="TableStyleLight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225BA89F-D694-4B45-9960-1D5941B07961}" name="Table59" displayName="Table59" ref="A1:H86" totalsRowShown="0" headerRowBorderDxfId="52" tableBorderDxfId="51" totalsRowBorderDxfId="50">
  <autoFilter ref="A1:H86" xr:uid="{225BA89F-D694-4B45-9960-1D5941B07961}"/>
  <sortState xmlns:xlrd2="http://schemas.microsoft.com/office/spreadsheetml/2017/richdata2" ref="A2:H86">
    <sortCondition ref="E1:E86"/>
  </sortState>
  <tableColumns count="8">
    <tableColumn id="1" xr3:uid="{C71049E5-9E40-46CB-9D4C-C067C66D936F}" name="Nomenclature" dataDxfId="49" dataCellStyle="Normal 9"/>
    <tableColumn id="2" xr3:uid="{87A433E6-1DE2-43BC-A8DD-BAF8C7CFAE6C}" name="Part Number" dataDxfId="48"/>
    <tableColumn id="3" xr3:uid="{DD0120D5-B1F2-4C7A-B1AE-96E3C9725DEE}" name="Country of Origin" dataDxfId="47" dataCellStyle="Normal 9 3"/>
    <tableColumn id="4" xr3:uid="{1C24DA53-12C0-4DDF-9FFB-ADD3197D6CC8}" name="MFG Part Number" dataDxfId="46"/>
    <tableColumn id="5" xr3:uid="{42E1E8C7-0299-4F80-93BC-81D92775C240}" name="Cage Code" dataDxfId="45"/>
    <tableColumn id="6" xr3:uid="{F28D2083-28C1-4C09-AC10-D145128C6F29}" name="Quantity" dataDxfId="44" dataCellStyle="Normal 9 3"/>
    <tableColumn id="7" xr3:uid="{8FC0BFA1-C68F-4EA4-A599-D13FFD7633C2}" name="Unit Price" dataDxfId="43" dataCellStyle="Normal 9 3"/>
    <tableColumn id="8" xr3:uid="{36F113CE-4C66-47B0-9269-B40A50E77EAB}" name="Extended price" dataDxfId="42"/>
  </tableColumns>
  <tableStyleInfo name="TableStyleLight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4F8ABF91-2BC9-4D61-B790-756A4EC5DDB7}" name="Table60" displayName="Table60" ref="A1:H10" totalsRowShown="0" headerRowBorderDxfId="41" tableBorderDxfId="40" totalsRowBorderDxfId="39">
  <autoFilter ref="A1:H10" xr:uid="{4F8ABF91-2BC9-4D61-B790-756A4EC5DDB7}"/>
  <sortState xmlns:xlrd2="http://schemas.microsoft.com/office/spreadsheetml/2017/richdata2" ref="A2:H10">
    <sortCondition ref="E1:E10"/>
  </sortState>
  <tableColumns count="8">
    <tableColumn id="1" xr3:uid="{62E3C5DE-CAE5-4370-BBDD-00D3D9B3F793}" name="Nomenclature" dataDxfId="38" dataCellStyle="Normal 9"/>
    <tableColumn id="2" xr3:uid="{FA2234BB-1821-440E-9FB3-8EDAB74BB862}" name="Part Number" dataDxfId="37"/>
    <tableColumn id="3" xr3:uid="{795ABCA3-6E00-4950-943B-C99975EE337C}" name="Country of Origin" dataDxfId="36" dataCellStyle="Normal 9 3"/>
    <tableColumn id="4" xr3:uid="{5C595E4A-6561-41DD-8068-E239AA2E3CBC}" name="MFG Part Number" dataDxfId="35"/>
    <tableColumn id="5" xr3:uid="{B5BECDB0-D53A-42A0-93E1-E6709C0B35C6}" name="Cage Code" dataDxfId="34"/>
    <tableColumn id="6" xr3:uid="{80FE0286-D736-4136-9C08-D299A4D542F0}" name="Quantity" dataDxfId="33" dataCellStyle="Normal 9 3"/>
    <tableColumn id="7" xr3:uid="{402CA8A3-1C5C-43C2-B543-907ABFF38AE7}" name="Unit Price" dataDxfId="32" dataCellStyle="Normal 9 3"/>
    <tableColumn id="8" xr3:uid="{5DDB6215-3172-4454-8DDE-FD9A02BDE6AE}" name="Extended price" dataDxfId="31"/>
  </tableColumns>
  <tableStyleInfo name="TableStyleLight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917E1878-A5C3-4F9F-A8CD-094D265F25F1}" name="Table61" displayName="Table61" ref="A1:H15" totalsRowShown="0" headerRowBorderDxfId="30" tableBorderDxfId="29" totalsRowBorderDxfId="28">
  <autoFilter ref="A1:H15" xr:uid="{917E1878-A5C3-4F9F-A8CD-094D265F25F1}"/>
  <sortState xmlns:xlrd2="http://schemas.microsoft.com/office/spreadsheetml/2017/richdata2" ref="A2:H15">
    <sortCondition ref="E1:E15"/>
  </sortState>
  <tableColumns count="8">
    <tableColumn id="1" xr3:uid="{5722FE7C-D33B-450C-A7B2-5E7CAAADA7D5}" name="Nomenclature" dataDxfId="27" dataCellStyle="Normal 9"/>
    <tableColumn id="2" xr3:uid="{B3B6AA54-7FC3-4368-ACEB-BB640066CCED}" name="Part Number" dataDxfId="26"/>
    <tableColumn id="3" xr3:uid="{ABC4911A-1539-4276-A016-D22EACD293A9}" name="Country of Origin" dataDxfId="25" dataCellStyle="Normal 9 3"/>
    <tableColumn id="4" xr3:uid="{56B9AE37-F154-4644-90C1-B2517D799055}" name="MFG Part Number" dataDxfId="24"/>
    <tableColumn id="5" xr3:uid="{190D97A7-B434-4C05-AFAA-93F159212FFE}" name="Cage Code" dataDxfId="23"/>
    <tableColumn id="6" xr3:uid="{383D48EF-3D4B-47EE-9C5A-7A0BD81A76A0}" name="Quantity" dataDxfId="22" dataCellStyle="Normal 9 3"/>
    <tableColumn id="7" xr3:uid="{92D0E4B9-3810-4EAE-A3BB-B254FEFE60B9}" name="Unit Price" dataDxfId="21" dataCellStyle="Normal 9 3"/>
    <tableColumn id="8" xr3:uid="{BB72C70C-57A5-4DE3-93BF-BB9E80556B44}" name="Extended price" dataDxfId="20"/>
  </tableColumns>
  <tableStyleInfo name="TableStyleLight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Table1517" displayName="Table1517" ref="A1:H8" totalsRowCount="1" headerRowDxfId="19" dataDxfId="17" headerRowBorderDxfId="18" tableBorderDxfId="16" headerRowCellStyle="Normal 9 2" dataCellStyle="Normal 9 3">
  <tableColumns count="8">
    <tableColumn id="1" xr3:uid="{00000000-0010-0000-0F00-000001000000}" name="Nomenclature" dataDxfId="15" totalsRowDxfId="14" dataCellStyle="Normal 9 3"/>
    <tableColumn id="2" xr3:uid="{00000000-0010-0000-0F00-000002000000}" name="Part Number" dataDxfId="13" totalsRowDxfId="12" dataCellStyle="Normal 9 3"/>
    <tableColumn id="8" xr3:uid="{00000000-0010-0000-0F00-000008000000}" name="Country of Origin" dataDxfId="11" totalsRowDxfId="10" dataCellStyle="Normal 9 3"/>
    <tableColumn id="3" xr3:uid="{00000000-0010-0000-0F00-000003000000}" name="MFG Part Number" dataDxfId="9" totalsRowDxfId="8" dataCellStyle="Normal 9 3"/>
    <tableColumn id="4" xr3:uid="{00000000-0010-0000-0F00-000004000000}" name="Cage Code" dataDxfId="7" totalsRowDxfId="6" dataCellStyle="Normal 9 3"/>
    <tableColumn id="5" xr3:uid="{00000000-0010-0000-0F00-000005000000}" name="Quantity" dataDxfId="5" totalsRowDxfId="4" dataCellStyle="Normal 9 3"/>
    <tableColumn id="6" xr3:uid="{00000000-0010-0000-0F00-000006000000}" name="Unit Price" dataDxfId="3" totalsRowDxfId="2" dataCellStyle="Normal 9 2"/>
    <tableColumn id="9" xr3:uid="{00000000-0010-0000-0F00-000009000000}" name="Extended price" totalsRowFunction="custom" dataDxfId="1" totalsRowDxfId="0" dataCellStyle="Normal 9 3">
      <calculatedColumnFormula>+Table1517[[#This Row],[Quantity]]*Table1517[[#This Row],[Unit Price]]</calculatedColumnFormula>
      <totalsRowFormula>SUM(H2:H7)</totalsRow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buy1.snapon.com/catalog/item.asp?search=true&amp;item_ID=273&amp;PartNo=VS32B&amp;group_id=560&amp;supersede=&amp;store=snapon-store&amp;tool=all" TargetMode="External"/><Relationship Id="rId3" Type="http://schemas.openxmlformats.org/officeDocument/2006/relationships/hyperlink" Target="http://buy1.snapon.com/catalog/item.asp?search=true&amp;item_ID=5236&amp;PartNo=VS24B&amp;group_id=560&amp;supersede=&amp;store=snapon-store&amp;tool=all" TargetMode="External"/><Relationship Id="rId7" Type="http://schemas.openxmlformats.org/officeDocument/2006/relationships/hyperlink" Target="http://buy1.snapon.com/catalog/item.asp?search=true&amp;item_ID=5245&amp;PartNo=VS40B&amp;group_id=560&amp;supersede=&amp;store=snapon-store&amp;tool=all" TargetMode="External"/><Relationship Id="rId2" Type="http://schemas.openxmlformats.org/officeDocument/2006/relationships/hyperlink" Target="http://buy1.snapon.com/catalog/item.asp?search=true&amp;item_ID=271&amp;PartNo=VS28B&amp;group_id=560&amp;supersede=&amp;store=snapon-store&amp;tool=all" TargetMode="External"/><Relationship Id="rId1" Type="http://schemas.openxmlformats.org/officeDocument/2006/relationships/hyperlink" Target="http://buy1.snapon.com/catalog/item.asp?search=true&amp;item_ID=5227&amp;PartNo=VS18B&amp;group_id=560&amp;supersede=&amp;store=snapon-store&amp;tool=all" TargetMode="External"/><Relationship Id="rId6" Type="http://schemas.openxmlformats.org/officeDocument/2006/relationships/hyperlink" Target="http://buy1.snapon.com/catalog/item.asp?search=true&amp;item_ID=5224&amp;PartNo=VS16B&amp;group_id=560&amp;supersede=&amp;store=snapon-store&amp;tool=all" TargetMode="External"/><Relationship Id="rId5" Type="http://schemas.openxmlformats.org/officeDocument/2006/relationships/hyperlink" Target="http://buy1.snapon.com/catalog/item.asp?search=true&amp;item_ID=5224&amp;PartNo=VS16B&amp;group_id=560&amp;supersede=&amp;store=snapon-store&amp;tool=all" TargetMode="External"/><Relationship Id="rId10" Type="http://schemas.openxmlformats.org/officeDocument/2006/relationships/table" Target="../tables/table5.xml"/><Relationship Id="rId4" Type="http://schemas.openxmlformats.org/officeDocument/2006/relationships/hyperlink" Target="http://buy1.snapon.com/catalog/item.asp?search=true&amp;item_ID=5243&amp;PartNo=VS36B&amp;group_id=560&amp;supersede=&amp;store=snapon-store&amp;tool=all" TargetMode="External"/><Relationship Id="rId9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4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5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53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54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55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57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printerSettings" Target="../printerSettings/printerSettings58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60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61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6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63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printerSettings" Target="../printerSettings/printerSettings6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65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1"/>
  <sheetViews>
    <sheetView topLeftCell="B1" workbookViewId="0">
      <selection activeCell="D13" sqref="D13"/>
    </sheetView>
  </sheetViews>
  <sheetFormatPr defaultColWidth="42.08984375" defaultRowHeight="15.5" x14ac:dyDescent="0.35"/>
  <cols>
    <col min="1" max="1" width="12" style="76" hidden="1" customWidth="1"/>
    <col min="2" max="2" width="11.36328125" style="76" bestFit="1" customWidth="1"/>
    <col min="3" max="3" width="38.453125" style="106" bestFit="1" customWidth="1"/>
    <col min="4" max="4" width="27" style="106" bestFit="1" customWidth="1"/>
    <col min="5" max="16384" width="42.08984375" style="106"/>
  </cols>
  <sheetData>
    <row r="1" spans="1:4" x14ac:dyDescent="0.35">
      <c r="A1" s="127" t="s">
        <v>2323</v>
      </c>
      <c r="B1" s="126" t="s">
        <v>1454</v>
      </c>
      <c r="C1" s="127" t="s">
        <v>0</v>
      </c>
      <c r="D1" s="126" t="s">
        <v>412</v>
      </c>
    </row>
    <row r="2" spans="1:4" x14ac:dyDescent="0.35">
      <c r="A2" s="180" t="s">
        <v>2283</v>
      </c>
      <c r="B2" s="180" t="s">
        <v>851</v>
      </c>
      <c r="C2" s="133" t="s">
        <v>1475</v>
      </c>
      <c r="D2" s="180" t="s">
        <v>843</v>
      </c>
    </row>
    <row r="3" spans="1:4" x14ac:dyDescent="0.35">
      <c r="A3" s="180"/>
      <c r="B3" s="180" t="s">
        <v>854</v>
      </c>
      <c r="C3" s="133" t="s">
        <v>1476</v>
      </c>
      <c r="D3" s="180" t="s">
        <v>1592</v>
      </c>
    </row>
    <row r="4" spans="1:4" x14ac:dyDescent="0.35">
      <c r="A4" s="180" t="s">
        <v>2284</v>
      </c>
      <c r="B4" s="180" t="s">
        <v>855</v>
      </c>
      <c r="C4" s="133" t="s">
        <v>1477</v>
      </c>
      <c r="D4" s="180" t="s">
        <v>646</v>
      </c>
    </row>
    <row r="5" spans="1:4" x14ac:dyDescent="0.35">
      <c r="A5" s="180" t="s">
        <v>2285</v>
      </c>
      <c r="B5" s="180" t="s">
        <v>857</v>
      </c>
      <c r="C5" s="133" t="s">
        <v>1478</v>
      </c>
      <c r="D5" s="180" t="s">
        <v>2605</v>
      </c>
    </row>
    <row r="6" spans="1:4" x14ac:dyDescent="0.35">
      <c r="A6" s="180" t="s">
        <v>2286</v>
      </c>
      <c r="B6" s="180" t="s">
        <v>860</v>
      </c>
      <c r="C6" s="133" t="s">
        <v>1479</v>
      </c>
      <c r="D6" s="180" t="s">
        <v>2216</v>
      </c>
    </row>
    <row r="7" spans="1:4" x14ac:dyDescent="0.35">
      <c r="A7" s="180" t="s">
        <v>2304</v>
      </c>
      <c r="B7" s="180" t="s">
        <v>863</v>
      </c>
      <c r="C7" s="133" t="s">
        <v>1480</v>
      </c>
      <c r="D7" s="180" t="s">
        <v>646</v>
      </c>
    </row>
    <row r="8" spans="1:4" x14ac:dyDescent="0.35">
      <c r="A8" s="180" t="s">
        <v>2287</v>
      </c>
      <c r="B8" s="180" t="s">
        <v>1457</v>
      </c>
      <c r="C8" s="133" t="s">
        <v>1481</v>
      </c>
      <c r="D8" s="180" t="s">
        <v>843</v>
      </c>
    </row>
    <row r="9" spans="1:4" x14ac:dyDescent="0.35">
      <c r="A9" s="180" t="s">
        <v>2305</v>
      </c>
      <c r="B9" s="180" t="s">
        <v>1455</v>
      </c>
      <c r="C9" s="133" t="s">
        <v>1482</v>
      </c>
      <c r="D9" s="180" t="s">
        <v>2604</v>
      </c>
    </row>
    <row r="10" spans="1:4" x14ac:dyDescent="0.35">
      <c r="A10" s="180" t="s">
        <v>2288</v>
      </c>
      <c r="B10" s="180" t="s">
        <v>1468</v>
      </c>
      <c r="C10" s="133" t="s">
        <v>1483</v>
      </c>
      <c r="D10" s="180" t="s">
        <v>2604</v>
      </c>
    </row>
    <row r="11" spans="1:4" x14ac:dyDescent="0.35">
      <c r="A11" s="180" t="s">
        <v>2306</v>
      </c>
      <c r="B11" s="180" t="s">
        <v>1582</v>
      </c>
      <c r="C11" s="133" t="s">
        <v>1730</v>
      </c>
      <c r="D11" s="180" t="s">
        <v>646</v>
      </c>
    </row>
    <row r="12" spans="1:4" x14ac:dyDescent="0.35">
      <c r="A12" s="180" t="s">
        <v>2289</v>
      </c>
      <c r="B12" s="180" t="s">
        <v>2246</v>
      </c>
      <c r="C12" s="133" t="s">
        <v>1729</v>
      </c>
      <c r="D12" s="180" t="s">
        <v>1592</v>
      </c>
    </row>
    <row r="13" spans="1:4" x14ac:dyDescent="0.35">
      <c r="A13" s="181"/>
      <c r="B13" s="180" t="s">
        <v>2247</v>
      </c>
      <c r="C13" s="133" t="s">
        <v>1756</v>
      </c>
      <c r="D13" s="180" t="s">
        <v>842</v>
      </c>
    </row>
    <row r="14" spans="1:4" x14ac:dyDescent="0.35">
      <c r="A14" s="181"/>
      <c r="B14" s="180" t="s">
        <v>2248</v>
      </c>
      <c r="C14" s="133" t="s">
        <v>1769</v>
      </c>
      <c r="D14" s="180" t="s">
        <v>782</v>
      </c>
    </row>
    <row r="15" spans="1:4" x14ac:dyDescent="0.35">
      <c r="A15" s="181"/>
      <c r="B15" s="180" t="s">
        <v>2249</v>
      </c>
      <c r="C15" s="133" t="s">
        <v>1770</v>
      </c>
      <c r="D15" s="180" t="s">
        <v>844</v>
      </c>
    </row>
    <row r="16" spans="1:4" x14ac:dyDescent="0.35">
      <c r="A16" s="181"/>
      <c r="B16" s="180" t="s">
        <v>2250</v>
      </c>
      <c r="C16" s="133" t="s">
        <v>1773</v>
      </c>
      <c r="D16" s="180" t="s">
        <v>843</v>
      </c>
    </row>
    <row r="17" spans="1:4" x14ac:dyDescent="0.35">
      <c r="A17" s="181"/>
      <c r="B17" s="180" t="s">
        <v>2251</v>
      </c>
      <c r="C17" s="133" t="s">
        <v>1803</v>
      </c>
      <c r="D17" s="180" t="s">
        <v>1592</v>
      </c>
    </row>
    <row r="18" spans="1:4" x14ac:dyDescent="0.35">
      <c r="A18" s="181"/>
      <c r="B18" s="180" t="s">
        <v>2252</v>
      </c>
      <c r="C18" s="133" t="s">
        <v>1690</v>
      </c>
      <c r="D18" s="180" t="s">
        <v>2577</v>
      </c>
    </row>
    <row r="19" spans="1:4" x14ac:dyDescent="0.35">
      <c r="A19" s="181"/>
      <c r="B19" s="180" t="s">
        <v>2253</v>
      </c>
      <c r="C19" s="133" t="s">
        <v>2033</v>
      </c>
      <c r="D19" s="180" t="s">
        <v>1592</v>
      </c>
    </row>
    <row r="20" spans="1:4" x14ac:dyDescent="0.35">
      <c r="A20" s="181"/>
      <c r="B20" s="180" t="s">
        <v>2254</v>
      </c>
      <c r="C20" s="133" t="s">
        <v>2025</v>
      </c>
      <c r="D20" s="180" t="s">
        <v>2453</v>
      </c>
    </row>
    <row r="21" spans="1:4" x14ac:dyDescent="0.35">
      <c r="A21" s="180" t="s">
        <v>2307</v>
      </c>
      <c r="B21" s="180" t="s">
        <v>2451</v>
      </c>
      <c r="C21" s="133" t="s">
        <v>2452</v>
      </c>
      <c r="D21" s="180" t="s">
        <v>1594</v>
      </c>
    </row>
    <row r="22" spans="1:4" x14ac:dyDescent="0.35">
      <c r="A22" s="181"/>
      <c r="B22" s="180" t="s">
        <v>2483</v>
      </c>
      <c r="C22" s="133" t="s">
        <v>2551</v>
      </c>
      <c r="D22" s="180" t="s">
        <v>1594</v>
      </c>
    </row>
    <row r="23" spans="1:4" x14ac:dyDescent="0.35">
      <c r="A23" s="180" t="s">
        <v>2307</v>
      </c>
      <c r="B23" s="180" t="s">
        <v>848</v>
      </c>
      <c r="C23" s="133" t="s">
        <v>2441</v>
      </c>
      <c r="D23" s="180" t="s">
        <v>844</v>
      </c>
    </row>
    <row r="24" spans="1:4" x14ac:dyDescent="0.35">
      <c r="A24" s="181"/>
      <c r="B24" s="180" t="s">
        <v>849</v>
      </c>
      <c r="C24" s="133" t="s">
        <v>1484</v>
      </c>
      <c r="D24" s="180" t="s">
        <v>843</v>
      </c>
    </row>
    <row r="25" spans="1:4" x14ac:dyDescent="0.35">
      <c r="A25" s="180" t="s">
        <v>2308</v>
      </c>
      <c r="B25" s="180" t="s">
        <v>850</v>
      </c>
      <c r="C25" s="133" t="s">
        <v>1485</v>
      </c>
      <c r="D25" s="180" t="s">
        <v>843</v>
      </c>
    </row>
    <row r="26" spans="1:4" x14ac:dyDescent="0.35">
      <c r="A26" s="180" t="s">
        <v>2309</v>
      </c>
      <c r="B26" s="180" t="s">
        <v>852</v>
      </c>
      <c r="C26" s="133" t="s">
        <v>1486</v>
      </c>
      <c r="D26" s="180" t="s">
        <v>2604</v>
      </c>
    </row>
    <row r="27" spans="1:4" x14ac:dyDescent="0.35">
      <c r="A27" s="180" t="s">
        <v>2282</v>
      </c>
      <c r="B27" s="180" t="s">
        <v>853</v>
      </c>
      <c r="C27" s="133" t="s">
        <v>1487</v>
      </c>
      <c r="D27" s="180" t="s">
        <v>843</v>
      </c>
    </row>
    <row r="28" spans="1:4" x14ac:dyDescent="0.35">
      <c r="A28" s="180" t="s">
        <v>2310</v>
      </c>
      <c r="B28" s="180" t="s">
        <v>856</v>
      </c>
      <c r="C28" s="133" t="s">
        <v>1488</v>
      </c>
      <c r="D28" s="180">
        <v>1490</v>
      </c>
    </row>
    <row r="29" spans="1:4" x14ac:dyDescent="0.35">
      <c r="A29" s="180" t="s">
        <v>2290</v>
      </c>
      <c r="B29" s="180" t="s">
        <v>858</v>
      </c>
      <c r="C29" s="133" t="s">
        <v>1489</v>
      </c>
      <c r="D29" s="180" t="s">
        <v>782</v>
      </c>
    </row>
    <row r="30" spans="1:4" x14ac:dyDescent="0.35">
      <c r="A30" s="180" t="s">
        <v>2291</v>
      </c>
      <c r="B30" s="180" t="s">
        <v>859</v>
      </c>
      <c r="C30" s="133" t="s">
        <v>1490</v>
      </c>
      <c r="D30" s="180" t="s">
        <v>844</v>
      </c>
    </row>
    <row r="31" spans="1:4" x14ac:dyDescent="0.35">
      <c r="A31" s="180" t="s">
        <v>2311</v>
      </c>
      <c r="B31" s="180" t="s">
        <v>861</v>
      </c>
      <c r="C31" s="133" t="s">
        <v>1491</v>
      </c>
      <c r="D31" s="180" t="s">
        <v>846</v>
      </c>
    </row>
    <row r="32" spans="1:4" x14ac:dyDescent="0.35">
      <c r="A32" s="180" t="s">
        <v>2292</v>
      </c>
      <c r="B32" s="180" t="s">
        <v>862</v>
      </c>
      <c r="C32" s="133" t="s">
        <v>1492</v>
      </c>
      <c r="D32" s="180" t="s">
        <v>2575</v>
      </c>
    </row>
    <row r="33" spans="1:4" x14ac:dyDescent="0.35">
      <c r="A33" s="180" t="s">
        <v>2293</v>
      </c>
      <c r="B33" s="180" t="s">
        <v>864</v>
      </c>
      <c r="C33" s="133" t="s">
        <v>1750</v>
      </c>
      <c r="D33" s="180" t="s">
        <v>847</v>
      </c>
    </row>
    <row r="34" spans="1:4" x14ac:dyDescent="0.35">
      <c r="A34" s="180" t="s">
        <v>2294</v>
      </c>
      <c r="B34" s="180" t="s">
        <v>865</v>
      </c>
      <c r="C34" s="133" t="s">
        <v>1493</v>
      </c>
      <c r="D34" s="180" t="s">
        <v>842</v>
      </c>
    </row>
    <row r="35" spans="1:4" x14ac:dyDescent="0.35">
      <c r="A35" s="180" t="s">
        <v>2312</v>
      </c>
      <c r="B35" s="180" t="s">
        <v>866</v>
      </c>
      <c r="C35" s="133" t="s">
        <v>1494</v>
      </c>
      <c r="D35" s="180" t="s">
        <v>782</v>
      </c>
    </row>
    <row r="36" spans="1:4" x14ac:dyDescent="0.35">
      <c r="A36" s="180" t="s">
        <v>2295</v>
      </c>
      <c r="B36" s="180" t="s">
        <v>2279</v>
      </c>
      <c r="C36" s="133" t="s">
        <v>1731</v>
      </c>
      <c r="D36" s="180" t="s">
        <v>646</v>
      </c>
    </row>
    <row r="37" spans="1:4" x14ac:dyDescent="0.35">
      <c r="A37" s="180" t="s">
        <v>2313</v>
      </c>
      <c r="B37" s="180" t="s">
        <v>867</v>
      </c>
      <c r="C37" s="133" t="s">
        <v>1495</v>
      </c>
      <c r="D37" s="180" t="s">
        <v>646</v>
      </c>
    </row>
    <row r="38" spans="1:4" x14ac:dyDescent="0.35">
      <c r="A38" s="180" t="s">
        <v>2296</v>
      </c>
      <c r="B38" s="180" t="s">
        <v>2280</v>
      </c>
      <c r="C38" s="133" t="s">
        <v>1734</v>
      </c>
      <c r="D38" s="180" t="s">
        <v>646</v>
      </c>
    </row>
    <row r="39" spans="1:4" x14ac:dyDescent="0.35">
      <c r="A39" s="180" t="s">
        <v>2314</v>
      </c>
      <c r="B39" s="180" t="s">
        <v>868</v>
      </c>
      <c r="C39" s="133" t="s">
        <v>1496</v>
      </c>
      <c r="D39" s="180" t="s">
        <v>843</v>
      </c>
    </row>
    <row r="40" spans="1:4" x14ac:dyDescent="0.35">
      <c r="A40" s="180" t="s">
        <v>2315</v>
      </c>
      <c r="B40" s="180" t="s">
        <v>1463</v>
      </c>
      <c r="C40" s="133" t="s">
        <v>1497</v>
      </c>
      <c r="D40" s="180" t="s">
        <v>847</v>
      </c>
    </row>
    <row r="41" spans="1:4" x14ac:dyDescent="0.35">
      <c r="A41" s="180" t="s">
        <v>2316</v>
      </c>
      <c r="B41" s="180" t="s">
        <v>1472</v>
      </c>
      <c r="C41" s="133" t="s">
        <v>1498</v>
      </c>
      <c r="D41" s="180" t="s">
        <v>2604</v>
      </c>
    </row>
    <row r="42" spans="1:4" x14ac:dyDescent="0.35">
      <c r="A42" s="180" t="s">
        <v>2297</v>
      </c>
      <c r="B42" s="180" t="s">
        <v>1464</v>
      </c>
      <c r="C42" s="133" t="s">
        <v>2464</v>
      </c>
      <c r="D42" s="180" t="s">
        <v>781</v>
      </c>
    </row>
    <row r="43" spans="1:4" x14ac:dyDescent="0.35">
      <c r="A43" s="180" t="s">
        <v>2317</v>
      </c>
      <c r="B43" s="180" t="s">
        <v>1456</v>
      </c>
      <c r="C43" s="133" t="s">
        <v>1778</v>
      </c>
      <c r="D43" s="180" t="s">
        <v>847</v>
      </c>
    </row>
    <row r="44" spans="1:4" x14ac:dyDescent="0.35">
      <c r="A44" s="181"/>
      <c r="B44" s="180" t="s">
        <v>1458</v>
      </c>
      <c r="C44" s="133" t="s">
        <v>1781</v>
      </c>
      <c r="D44" s="180" t="s">
        <v>1593</v>
      </c>
    </row>
    <row r="45" spans="1:4" x14ac:dyDescent="0.35">
      <c r="A45" s="181"/>
      <c r="B45" s="180" t="s">
        <v>1459</v>
      </c>
      <c r="C45" s="133" t="s">
        <v>1782</v>
      </c>
      <c r="D45" s="180" t="s">
        <v>847</v>
      </c>
    </row>
    <row r="46" spans="1:4" x14ac:dyDescent="0.35">
      <c r="A46" s="180" t="s">
        <v>2318</v>
      </c>
      <c r="B46" s="180" t="s">
        <v>1460</v>
      </c>
      <c r="C46" s="133" t="s">
        <v>1795</v>
      </c>
      <c r="D46" s="180" t="s">
        <v>843</v>
      </c>
    </row>
    <row r="47" spans="1:4" x14ac:dyDescent="0.35">
      <c r="A47" s="180" t="s">
        <v>2319</v>
      </c>
      <c r="B47" s="180" t="s">
        <v>1467</v>
      </c>
      <c r="C47" s="133" t="s">
        <v>1499</v>
      </c>
      <c r="D47" s="180" t="s">
        <v>646</v>
      </c>
    </row>
    <row r="48" spans="1:4" x14ac:dyDescent="0.35">
      <c r="A48" s="180" t="s">
        <v>2298</v>
      </c>
      <c r="B48" s="180" t="s">
        <v>1466</v>
      </c>
      <c r="C48" s="133" t="s">
        <v>1500</v>
      </c>
      <c r="D48" s="180" t="s">
        <v>1703</v>
      </c>
    </row>
    <row r="49" spans="1:4" x14ac:dyDescent="0.35">
      <c r="A49" s="180" t="s">
        <v>2320</v>
      </c>
      <c r="B49" s="180" t="s">
        <v>1473</v>
      </c>
      <c r="C49" s="133" t="s">
        <v>1501</v>
      </c>
      <c r="D49" s="180" t="s">
        <v>2604</v>
      </c>
    </row>
    <row r="50" spans="1:4" x14ac:dyDescent="0.35">
      <c r="A50" s="180" t="s">
        <v>2299</v>
      </c>
      <c r="B50" s="180" t="s">
        <v>1461</v>
      </c>
      <c r="C50" s="133" t="s">
        <v>1502</v>
      </c>
      <c r="D50" s="180" t="s">
        <v>2604</v>
      </c>
    </row>
    <row r="51" spans="1:4" x14ac:dyDescent="0.35">
      <c r="A51" s="180" t="s">
        <v>2300</v>
      </c>
      <c r="B51" s="180" t="s">
        <v>1465</v>
      </c>
      <c r="C51" s="133" t="s">
        <v>1792</v>
      </c>
      <c r="D51" s="180" t="s">
        <v>843</v>
      </c>
    </row>
    <row r="52" spans="1:4" x14ac:dyDescent="0.35">
      <c r="A52" s="180" t="s">
        <v>2321</v>
      </c>
      <c r="B52" s="180" t="s">
        <v>1471</v>
      </c>
      <c r="C52" s="133" t="s">
        <v>1503</v>
      </c>
      <c r="D52" s="180">
        <v>1490</v>
      </c>
    </row>
    <row r="53" spans="1:4" x14ac:dyDescent="0.35">
      <c r="A53" s="180" t="s">
        <v>2301</v>
      </c>
      <c r="B53" s="180" t="s">
        <v>1469</v>
      </c>
      <c r="C53" s="133" t="s">
        <v>1504</v>
      </c>
      <c r="D53" s="180" t="s">
        <v>2221</v>
      </c>
    </row>
    <row r="54" spans="1:4" x14ac:dyDescent="0.35">
      <c r="A54" s="180" t="s">
        <v>2302</v>
      </c>
      <c r="B54" s="180" t="s">
        <v>1470</v>
      </c>
      <c r="C54" s="133" t="s">
        <v>1505</v>
      </c>
      <c r="D54" s="180">
        <v>1490</v>
      </c>
    </row>
    <row r="55" spans="1:4" x14ac:dyDescent="0.35">
      <c r="A55" s="180" t="s">
        <v>2303</v>
      </c>
      <c r="B55" s="180" t="s">
        <v>1462</v>
      </c>
      <c r="C55" s="133" t="s">
        <v>1506</v>
      </c>
      <c r="D55" s="180" t="s">
        <v>844</v>
      </c>
    </row>
    <row r="56" spans="1:4" x14ac:dyDescent="0.35">
      <c r="A56" s="180" t="s">
        <v>2322</v>
      </c>
      <c r="B56" s="180" t="s">
        <v>2255</v>
      </c>
      <c r="C56" s="133" t="s">
        <v>1751</v>
      </c>
      <c r="D56" s="180" t="s">
        <v>847</v>
      </c>
    </row>
    <row r="57" spans="1:4" x14ac:dyDescent="0.35">
      <c r="A57" s="181"/>
      <c r="B57" s="180" t="s">
        <v>2270</v>
      </c>
      <c r="C57" s="133" t="s">
        <v>2465</v>
      </c>
      <c r="D57" s="180" t="s">
        <v>842</v>
      </c>
    </row>
    <row r="58" spans="1:4" x14ac:dyDescent="0.35">
      <c r="A58" s="181"/>
      <c r="B58" s="180" t="s">
        <v>2271</v>
      </c>
      <c r="C58" s="133" t="s">
        <v>1779</v>
      </c>
      <c r="D58" s="180" t="s">
        <v>847</v>
      </c>
    </row>
    <row r="59" spans="1:4" x14ac:dyDescent="0.35">
      <c r="A59" s="181"/>
      <c r="B59" s="180" t="s">
        <v>2274</v>
      </c>
      <c r="C59" s="133" t="s">
        <v>1794</v>
      </c>
      <c r="D59" s="180" t="s">
        <v>1797</v>
      </c>
    </row>
    <row r="60" spans="1:4" x14ac:dyDescent="0.35">
      <c r="A60" s="181"/>
      <c r="B60" s="180" t="s">
        <v>2269</v>
      </c>
      <c r="C60" s="133" t="s">
        <v>1793</v>
      </c>
      <c r="D60" s="180" t="s">
        <v>843</v>
      </c>
    </row>
    <row r="61" spans="1:4" x14ac:dyDescent="0.35">
      <c r="A61" s="181"/>
      <c r="B61" s="180" t="s">
        <v>2256</v>
      </c>
      <c r="C61" s="133" t="s">
        <v>1745</v>
      </c>
      <c r="D61" s="180" t="s">
        <v>847</v>
      </c>
    </row>
    <row r="62" spans="1:4" x14ac:dyDescent="0.35">
      <c r="A62" s="181"/>
      <c r="B62" s="180" t="s">
        <v>2257</v>
      </c>
      <c r="C62" s="133" t="s">
        <v>1746</v>
      </c>
      <c r="D62" s="180" t="s">
        <v>847</v>
      </c>
    </row>
    <row r="63" spans="1:4" x14ac:dyDescent="0.35">
      <c r="A63" s="181"/>
      <c r="B63" s="180" t="s">
        <v>2258</v>
      </c>
      <c r="C63" s="133" t="s">
        <v>1739</v>
      </c>
      <c r="D63" s="180" t="s">
        <v>846</v>
      </c>
    </row>
    <row r="64" spans="1:4" x14ac:dyDescent="0.35">
      <c r="A64" s="181"/>
      <c r="B64" s="180" t="s">
        <v>2276</v>
      </c>
      <c r="C64" s="133" t="s">
        <v>2044</v>
      </c>
      <c r="D64" s="180" t="s">
        <v>2604</v>
      </c>
    </row>
    <row r="65" spans="1:4" x14ac:dyDescent="0.35">
      <c r="A65" s="181"/>
      <c r="B65" s="180" t="s">
        <v>2277</v>
      </c>
      <c r="C65" s="133" t="s">
        <v>1733</v>
      </c>
      <c r="D65" s="180" t="s">
        <v>1593</v>
      </c>
    </row>
    <row r="66" spans="1:4" x14ac:dyDescent="0.35">
      <c r="A66" s="181"/>
      <c r="B66" s="180" t="s">
        <v>2278</v>
      </c>
      <c r="C66" s="133" t="s">
        <v>1732</v>
      </c>
      <c r="D66" s="180" t="s">
        <v>843</v>
      </c>
    </row>
    <row r="67" spans="1:4" x14ac:dyDescent="0.35">
      <c r="A67" s="181"/>
      <c r="B67" s="180" t="s">
        <v>2281</v>
      </c>
      <c r="C67" s="133" t="s">
        <v>1766</v>
      </c>
      <c r="D67" s="180" t="s">
        <v>843</v>
      </c>
    </row>
    <row r="68" spans="1:4" x14ac:dyDescent="0.35">
      <c r="A68" s="181"/>
      <c r="B68" s="180" t="s">
        <v>2272</v>
      </c>
      <c r="C68" s="133" t="s">
        <v>1786</v>
      </c>
      <c r="D68" s="180" t="s">
        <v>847</v>
      </c>
    </row>
    <row r="69" spans="1:4" x14ac:dyDescent="0.35">
      <c r="A69" s="181"/>
      <c r="B69" s="180" t="s">
        <v>2273</v>
      </c>
      <c r="C69" s="133" t="s">
        <v>1788</v>
      </c>
      <c r="D69" s="180" t="s">
        <v>846</v>
      </c>
    </row>
    <row r="70" spans="1:4" x14ac:dyDescent="0.35">
      <c r="A70" s="181"/>
      <c r="B70" s="180" t="s">
        <v>2275</v>
      </c>
      <c r="C70" s="133" t="s">
        <v>1802</v>
      </c>
      <c r="D70" s="180" t="s">
        <v>843</v>
      </c>
    </row>
    <row r="71" spans="1:4" x14ac:dyDescent="0.35">
      <c r="A71" s="181"/>
      <c r="B71" s="180" t="s">
        <v>2263</v>
      </c>
      <c r="C71" s="133" t="s">
        <v>2217</v>
      </c>
      <c r="D71" s="180" t="s">
        <v>847</v>
      </c>
    </row>
    <row r="72" spans="1:4" x14ac:dyDescent="0.35">
      <c r="A72" s="181"/>
      <c r="B72" s="180" t="s">
        <v>2264</v>
      </c>
      <c r="C72" s="133" t="s">
        <v>1692</v>
      </c>
      <c r="D72" s="180" t="s">
        <v>842</v>
      </c>
    </row>
    <row r="73" spans="1:4" x14ac:dyDescent="0.35">
      <c r="A73" s="181"/>
      <c r="B73" s="180" t="s">
        <v>2265</v>
      </c>
      <c r="C73" s="133" t="s">
        <v>1805</v>
      </c>
      <c r="D73" s="180" t="s">
        <v>846</v>
      </c>
    </row>
    <row r="74" spans="1:4" x14ac:dyDescent="0.35">
      <c r="A74" s="181"/>
      <c r="B74" s="180" t="s">
        <v>2266</v>
      </c>
      <c r="C74" s="133" t="s">
        <v>2550</v>
      </c>
      <c r="D74" s="180" t="s">
        <v>843</v>
      </c>
    </row>
    <row r="75" spans="1:4" x14ac:dyDescent="0.35">
      <c r="A75" s="181"/>
      <c r="B75" s="180" t="s">
        <v>2267</v>
      </c>
      <c r="C75" s="133" t="s">
        <v>2052</v>
      </c>
      <c r="D75" s="180" t="s">
        <v>846</v>
      </c>
    </row>
    <row r="76" spans="1:4" x14ac:dyDescent="0.35">
      <c r="A76" s="181"/>
      <c r="B76" s="180" t="s">
        <v>2268</v>
      </c>
      <c r="C76" s="133" t="s">
        <v>2031</v>
      </c>
      <c r="D76" s="180" t="s">
        <v>846</v>
      </c>
    </row>
    <row r="77" spans="1:4" x14ac:dyDescent="0.35">
      <c r="A77" s="181"/>
      <c r="B77" s="180" t="s">
        <v>2259</v>
      </c>
      <c r="C77" s="133" t="s">
        <v>2029</v>
      </c>
      <c r="D77" s="180" t="s">
        <v>843</v>
      </c>
    </row>
    <row r="78" spans="1:4" x14ac:dyDescent="0.35">
      <c r="A78" s="181"/>
      <c r="B78" s="180" t="s">
        <v>2260</v>
      </c>
      <c r="C78" s="133" t="s">
        <v>2027</v>
      </c>
      <c r="D78" s="180" t="s">
        <v>843</v>
      </c>
    </row>
    <row r="79" spans="1:4" x14ac:dyDescent="0.35">
      <c r="A79" s="181"/>
      <c r="B79" s="180" t="s">
        <v>2261</v>
      </c>
      <c r="C79" s="133" t="s">
        <v>2028</v>
      </c>
      <c r="D79" s="180" t="s">
        <v>847</v>
      </c>
    </row>
    <row r="80" spans="1:4" x14ac:dyDescent="0.35">
      <c r="A80" s="181"/>
      <c r="B80" s="180" t="s">
        <v>2262</v>
      </c>
      <c r="C80" s="133" t="s">
        <v>2034</v>
      </c>
      <c r="D80" s="180" t="s">
        <v>842</v>
      </c>
    </row>
    <row r="81" spans="1:4" s="206" customFormat="1" x14ac:dyDescent="0.35">
      <c r="A81" s="181"/>
      <c r="B81" s="180" t="s">
        <v>2552</v>
      </c>
      <c r="C81" s="133" t="s">
        <v>2553</v>
      </c>
      <c r="D81" s="180" t="s">
        <v>843</v>
      </c>
    </row>
  </sheetData>
  <autoFilter ref="B1:D81" xr:uid="{00000000-0009-0000-0000-000000000000}">
    <sortState xmlns:xlrd2="http://schemas.microsoft.com/office/spreadsheetml/2017/richdata2" ref="B2:D83">
      <sortCondition ref="B1:B83"/>
    </sortState>
  </autoFilter>
  <sortState xmlns:xlrd2="http://schemas.microsoft.com/office/spreadsheetml/2017/richdata2" ref="C2:D81">
    <sortCondition ref="C2:C81"/>
  </sortState>
  <hyperlinks>
    <hyperlink ref="C2" location="'Tool Set, Flight Equipment'!A1" display="Tool Set, Flight Equipment" xr:uid="{00000000-0004-0000-0000-000000000000}"/>
    <hyperlink ref="C3" location="'Tool Set, Flight E Shop Equip'!A1" display="Tool Set, Flight E Shop Equip" xr:uid="{00000000-0004-0000-0000-000001000000}"/>
    <hyperlink ref="C4" location="'Tool Set, Structure Box (A)'!A1" display="Tool Set, Structure Box (A)" xr:uid="{00000000-0004-0000-0000-000002000000}"/>
    <hyperlink ref="C5" location="'Tool Set, LO Composite (A)'!A1" display="Tool Set, LO Composite (A)" xr:uid="{00000000-0004-0000-0000-000003000000}"/>
    <hyperlink ref="C6" location="'Tool Set, Structure Box (BC)'!A1" display="Tool Set, Structure Box (B/C)" xr:uid="{00000000-0004-0000-0000-000004000000}"/>
    <hyperlink ref="C7" location="'Tool Set, Power Plants (A)'!A1" display="Tool Set, Power Plants (A)" xr:uid="{00000000-0004-0000-0000-000005000000}"/>
    <hyperlink ref="C9" location="'Tool Set, Tire Back Shop (A)'!A1" display="Tool Set, Tire Back Shop (A)" xr:uid="{00000000-0004-0000-0000-000006000000}"/>
    <hyperlink ref="C10" location="'Tool Set, ECS (BC)'!A1" display="Tool Set, ECS (B/C)" xr:uid="{00000000-0004-0000-0000-000007000000}"/>
    <hyperlink ref="C11" location="'Tool Set, Support Equip (AB)'!A1" display="Tool Set, Support Equipment" xr:uid="{00000000-0004-0000-0000-000008000000}"/>
    <hyperlink ref="C23" location="'Tool Set, AF Hyd (BC)'!A1" display="Tool Set, Airframe/Hydraulic (B/C)" xr:uid="{00000000-0004-0000-0000-000009000000}"/>
    <hyperlink ref="C24" location="'Tool Set, PP Shop (BC)'!A1" display="Tool Set, Power Plant Shop (B/C)" xr:uid="{00000000-0004-0000-0000-00000A000000}"/>
    <hyperlink ref="C25" location="'Tool Set, Lift Systems (B)'!A1" display="Tool Set, Lift Systems (B)" xr:uid="{00000000-0004-0000-0000-00000B000000}"/>
    <hyperlink ref="C26" location="'Tool Set, Egress (A)'!A1" display="Tool Set, Egress (A)" xr:uid="{00000000-0004-0000-0000-00000C000000}"/>
    <hyperlink ref="C27" location="'Tool Set, Egress (BC)'!A1" display="Tool Set, Egress (B/C) " xr:uid="{00000000-0004-0000-0000-00000D000000}"/>
    <hyperlink ref="C28" location="'Tool Set, Torque Head '!A1" display="Tool Set, Torque Head " xr:uid="{00000000-0004-0000-0000-00000E000000}"/>
    <hyperlink ref="C29" location="'Tool Set, Fuels  (A)'!A1" display="Tool Set, Fuels  (A)" xr:uid="{00000000-0004-0000-0000-00000F000000}"/>
    <hyperlink ref="C30" location="'Tool Set, Fuels (BC)'!A1" display="Tool Set, Fuels  (B/C)" xr:uid="{00000000-0004-0000-0000-000010000000}"/>
    <hyperlink ref="C31" location="'Tool Set, Panel Kit (A)'!A1" display="Tool Set, Panel Kit (A)" xr:uid="{00000000-0004-0000-0000-000011000000}"/>
    <hyperlink ref="C32" location="'Tool Set, Tire Wheel (A)'!A1" display="Tool Set, Tire Wheel (A)" xr:uid="{00000000-0004-0000-0000-000012000000}"/>
    <hyperlink ref="C33" location="'Tool Set, OML Pouch (A)'!A1" display="Tool Set, OML Pouch (A)" xr:uid="{00000000-0004-0000-0000-000013000000}"/>
    <hyperlink ref="C34" location="'Tool Set, Tire Wheel (C)'!A1" display="Tool Set, Tire Wheel (C)" xr:uid="{00000000-0004-0000-0000-000014000000}"/>
    <hyperlink ref="C35" location="'Tool Set, Avi Maint (A)'!A1" display="Tool Set, Avionics Maint  (A)" xr:uid="{00000000-0004-0000-0000-000015000000}"/>
    <hyperlink ref="C37" location="'Tool Set, Gun Jam Clearing (A)'!A1" display="Tool Set, Gun Jam Clearing Box (A)" xr:uid="{00000000-0004-0000-0000-000016000000}"/>
    <hyperlink ref="C39" location="'Tool Set, Gun Jam Clearing (BC)'!A1" display="Tool Set, Gun Jam Clearing (B/C)" xr:uid="{00000000-0004-0000-0000-000017000000}"/>
    <hyperlink ref="C40" location="'Tool Set, Wpns Load Kit (BC)'!A1" display="Tool Set, Wpns Load Kit (B/C)" xr:uid="{00000000-0004-0000-0000-000018000000}"/>
    <hyperlink ref="C57" location="'Tool Box, Oxygen Use Only (BC)'!A1" display="Tool Set, Oxygen Use Only (B/C)" xr:uid="{00000000-0004-0000-0000-000019000000}"/>
    <hyperlink ref="C45" location="'Tool Set, 310 Shop Pouch (C)'!A1" display="Tool Set, 310 Shop Pouch (B/C)" xr:uid="{00000000-0004-0000-0000-00001A000000}"/>
    <hyperlink ref="C46" location="'Tool Set, Traffic Directing (B)'!A1" display="Tool Set, Traffic Directing (B)" xr:uid="{00000000-0004-0000-0000-00001B000000}"/>
    <hyperlink ref="C47" location="'Tool Set, Crew Chief (A)'!A1" display="Tool Set, Crew Chief (A)" xr:uid="{00000000-0004-0000-0000-00001C000000}"/>
    <hyperlink ref="C48" location="'Tool Set, CC Pouch (BC)'!A1" display="Tool Set, Cross Country Pouch (B/C)" xr:uid="{00000000-0004-0000-0000-00001D000000}"/>
    <hyperlink ref="C49" location="'Fuel Shop Dispatch (A)'!A1" display="Tool Set, Fuel Shop Dispatch (A)" xr:uid="{00000000-0004-0000-0000-00001E000000}"/>
    <hyperlink ref="C50" location="'Tool Set, LO Dispatch (A)'!A1" display="Tool Set, LO Dispatch (A)" xr:uid="{00000000-0004-0000-0000-00001F000000}"/>
    <hyperlink ref="C51" location="'Tool Set, Fastener (A)'!A1" display="Tool Set, Fastener (A)" xr:uid="{00000000-0004-0000-0000-000020000000}"/>
    <hyperlink ref="C52" location="'Tool Set, Eddie Bolt'!A1" display="Tool Set, Eddie Bolt  " xr:uid="{00000000-0004-0000-0000-000021000000}"/>
    <hyperlink ref="C53" location="'Tool Set, Rivet'!A1" display="Tool Set, Rivet " xr:uid="{00000000-0004-0000-0000-000022000000}"/>
    <hyperlink ref="C54" location="'Tool Set, Captive Fastener'!A1" display="Tool Set, Captive Fastener " xr:uid="{00000000-0004-0000-0000-000023000000}"/>
    <hyperlink ref="C55" location="'Tool Set, LO Composite (BC)'!A1" display="Tool Set, LO Composite (B/C)" xr:uid="{00000000-0004-0000-0000-000024000000}"/>
    <hyperlink ref="C18" location="'Tool Set, Mask Oxygen Only'!A1" display="Tool Set, Mask Oxygen Only" xr:uid="{00000000-0004-0000-0000-000025000000}"/>
    <hyperlink ref="C71" location="'Tool Set, Oxygen Use Only'!A1" display="Tool Set, Oxygen Use Only" xr:uid="{00000000-0004-0000-0000-000026000000}"/>
    <hyperlink ref="C72" location="'Tool Set, LO Dispatch (BC)'!A1" display="Tool Set, LO Dispatch (B/C)" xr:uid="{00000000-0004-0000-0000-000027000000}"/>
    <hyperlink ref="C36" location="'Tool Set, Avi Electrical (A)'!A1" display="Tool Set, Avionics/Electrical (A)" xr:uid="{00000000-0004-0000-0000-000028000000}"/>
    <hyperlink ref="C64" location="'Tool Set, Avionics Maint (B) '!A1" display="Tool Set, Avionics Maint (B/C)" xr:uid="{00000000-0004-0000-0000-000029000000}"/>
    <hyperlink ref="C38" location="'Tool Set, Weapons (A)'!A1" display="Tool Set, Weapons (A)" xr:uid="{00000000-0004-0000-0000-00002A000000}"/>
    <hyperlink ref="C73" location="'Tool Set, Panel Line Box (B)'!A1" display="Tool Set, Panel Line Box (B)" xr:uid="{00000000-0004-0000-0000-00002B000000}"/>
    <hyperlink ref="C12" location="'Tool Set, AF Shop Equip (BC)'!A1" display="Tool Set, Airframe Shop Equip (B/C)" xr:uid="{00000000-0004-0000-0000-00002C000000}"/>
    <hyperlink ref="C8" location="'Tool Set, Engine (BC)'!A1" display="Tool Set, Engine (B/C)" xr:uid="{00000000-0004-0000-0000-00002D000000}"/>
    <hyperlink ref="C66" location="'Tool Set, Avionics Line (B)'!A1" display="Tool Set, Avionics Line (B)" xr:uid="{00000000-0004-0000-0000-00002E000000}"/>
    <hyperlink ref="C65" location="'Tool Set, Avi Maint Pouch (B)'!A1" display="Tool Set, Avionics Maint Pouch (B)" xr:uid="{00000000-0004-0000-0000-00002F000000}"/>
    <hyperlink ref="C61" location="'Tool Set, AF Servicing Pouch(B)'!A1" display="Tool Set, Airframes Servicing Pouch (B)" xr:uid="{00000000-0004-0000-0000-000030000000}"/>
    <hyperlink ref="C62" location="'Tool Set, AF Servicing Pouch(C)'!A1" display="Tool Set, Airframes Servicing Pouch (C)" xr:uid="{00000000-0004-0000-0000-000031000000}"/>
    <hyperlink ref="C56" location="'Tool Set, OML Pouch (BC)'!A1" display="Tool Set, OML Pouch (B/C)" xr:uid="{00000000-0004-0000-0000-000032000000}"/>
    <hyperlink ref="C43" location="'Tool Set, 13B FS Pouch (B)'!A1" display="Tool Set, 13B Flight Service Pouch (B)" xr:uid="{00000000-0004-0000-0000-000033000000}"/>
    <hyperlink ref="C58" location="'Tool Set, 13B FS Pouch (C)'!A1" display="Tool Set, 13B Flight Service Pouch (C)" xr:uid="{00000000-0004-0000-0000-000034000000}"/>
    <hyperlink ref="C42" location="'Tool Box, Oxygen Use Only (A)'!A1" display="Tool Set, Oxygen Use Only (A)" xr:uid="{00000000-0004-0000-0000-000035000000}"/>
    <hyperlink ref="C13" location="'Tool Set, MALs Tire Buildup (B)'!A1" display="Tool Set, MALS Tire Buildup (B)" xr:uid="{00000000-0004-0000-0000-000036000000}"/>
    <hyperlink ref="C63" location="'Tool Set, PL Tire Removal (B)'!A1" display="Tool Set, Power Line Tire Removal (B)" xr:uid="{00000000-0004-0000-0000-000037000000}"/>
    <hyperlink ref="C67" location="'Tool Set, Weapons Maint (BC)'!A1" display="Tool Set, Weapons Maintenance (B/C)" xr:uid="{00000000-0004-0000-0000-000038000000}"/>
    <hyperlink ref="C14" location="'Tool Set, Ordnance Shop (B)'!A1" display="Tool Set, Ordnance Shop (B)" xr:uid="{00000000-0004-0000-0000-000039000000}"/>
    <hyperlink ref="C15" location="'Tool Set, Ordnance Shop (C)'!A1" display="Tool Set, Ordnance Shop (C)" xr:uid="{00000000-0004-0000-0000-00003A000000}"/>
    <hyperlink ref="C16" location="'Tool Set, Gun Maint Shop (BC)'!A1" display="Tool Set, Gun Maintenance Shop (BC)" xr:uid="{00000000-0004-0000-0000-00003B000000}"/>
    <hyperlink ref="C44" location="'Tool Set, 310 FS Pouch (B)'!A1" display="Tool Set, 310 Flight Servicing Pouch (B)" xr:uid="{00000000-0004-0000-0000-00003C000000}"/>
    <hyperlink ref="C68" location="'Tool Set, 110 FR Pouch (C)'!A1" display="Tool Set, 110 Flight Recovery Pouch (C)" xr:uid="{00000000-0004-0000-0000-00003D000000}"/>
    <hyperlink ref="C69" location="'Tool Set, 040 Inspect Box (C)'!A1" display="Tool Set, 040 Inspection Box (C)" xr:uid="{00000000-0004-0000-0000-00003E000000}"/>
    <hyperlink ref="C60" location="'Tool Set, Fastener (BC)'!A1" display="Tool Set, Fastener (B/C)" xr:uid="{00000000-0004-0000-0000-00003F000000}"/>
    <hyperlink ref="C59" location="'Tool Set, Traffic Directing (C)'!A1" display="Tool Set, Traffic Directing (C)" xr:uid="{00000000-0004-0000-0000-000040000000}"/>
    <hyperlink ref="C70" location="'Tool Set, Ordnance TD (B)'!A1" display="Tool Set, Ordnance Traffic Directing (B)" xr:uid="{00000000-0004-0000-0000-000041000000}"/>
    <hyperlink ref="C17" location="'Tool Set, LO Shop Equip (BC)'!A1" display="Tool Set, LO Shop Equipment (B/C)" xr:uid="{00000000-0004-0000-0000-000042000000}"/>
    <hyperlink ref="C20" location="'Tool Set, Supplemental (BC)'!A1" display="Tool Set, Supplemental (B/C)" xr:uid="{00000000-0004-0000-0000-000043000000}"/>
    <hyperlink ref="C77" location="'Tool Set, Avi Maint (C)'!A1" display="Tool Set, Avionics Maintenance (C)" xr:uid="{00000000-0004-0000-0000-000044000000}"/>
    <hyperlink ref="C78" location="'Tool Set, Avi TS (C)'!A1" display="Tool Set, Avionics Troubleshooter (C)" xr:uid="{00000000-0004-0000-0000-000045000000}"/>
    <hyperlink ref="C79" location="'Tool Set, Avi TS Pouch (C)'!A1" display="Tool Set, Avionics Troubleshooter Pouch (C)" xr:uid="{00000000-0004-0000-0000-000046000000}"/>
    <hyperlink ref="C80" location="'Tool Set, EOTS Maint (C)'!A1" display="Tool Set, EOTS Maintenance (B/C)" xr:uid="{00000000-0004-0000-0000-000047000000}"/>
    <hyperlink ref="C74" location="'Tool Set, Electrical Main (C)'!A1" display="Tool Set, Electrical Maintenance (C)" xr:uid="{00000000-0004-0000-0000-000048000000}"/>
    <hyperlink ref="C75" location="'Tool Set, Electrical TS (C)'!A1" display="Tool Set, Electrical Troubleshooter (C)" xr:uid="{00000000-0004-0000-0000-000049000000}"/>
    <hyperlink ref="C76" location="'Tool Set, Wire Repair (C)'!A1" display="Tool Set, Wire Repair (C)" xr:uid="{00000000-0004-0000-0000-00004A000000}"/>
    <hyperlink ref="C19" location="'Tool Set, Electrical Shop (C)'!A1" display="Tool Set, Electrical Shop Equipment (C)" xr:uid="{00000000-0004-0000-0000-00004B000000}"/>
    <hyperlink ref="C21" location="'Tool Set, Master Puller Kit (AB'!A1" display="Tool Set, Master Puller Kit (A/B)" xr:uid="{00000000-0004-0000-0000-00004C000000}"/>
    <hyperlink ref="C41" location="'Tool Set, Egress Dispatch (A)'!A1" display="Tool Set, Egress Dispatch (A)" xr:uid="{00000000-0004-0000-0000-00004D000000}"/>
    <hyperlink ref="C22" location="'Tool Set, Seat Survival'!A1" display="Tool Set, Seat Survival" xr:uid="{00000000-0004-0000-0000-00004E000000}"/>
    <hyperlink ref="C81" location="'Tool Set, Control Surfaces'!A1" display="Tool Set, Control Surfaces" xr:uid="{00000000-0004-0000-0000-00004F000000}"/>
  </hyperlinks>
  <pageMargins left="0.7" right="0.7" top="0.75" bottom="0.75" header="0.3" footer="0.3"/>
  <pageSetup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8"/>
  <sheetViews>
    <sheetView zoomScale="85" zoomScaleNormal="85" workbookViewId="0">
      <pane ySplit="1" topLeftCell="A2" activePane="bottomLeft" state="frozen"/>
      <selection activeCell="C26" sqref="C26"/>
      <selection pane="bottomLeft" activeCell="H49" sqref="H49"/>
    </sheetView>
  </sheetViews>
  <sheetFormatPr defaultColWidth="9.08984375" defaultRowHeight="15.5" x14ac:dyDescent="0.35"/>
  <cols>
    <col min="1" max="1" width="59.6328125" style="22" bestFit="1" customWidth="1"/>
    <col min="2" max="2" width="15.6328125" style="22" bestFit="1" customWidth="1"/>
    <col min="3" max="3" width="21.08984375" style="257" bestFit="1" customWidth="1"/>
    <col min="4" max="4" width="20.08984375" style="22" bestFit="1" customWidth="1"/>
    <col min="5" max="5" width="12.453125" style="11" bestFit="1" customWidth="1"/>
    <col min="6" max="6" width="18" style="251" customWidth="1"/>
    <col min="7" max="7" width="12" style="11" customWidth="1"/>
    <col min="8" max="8" width="11.08984375" style="11" bestFit="1" customWidth="1"/>
    <col min="9" max="9" width="16.90625" style="251" bestFit="1" customWidth="1"/>
    <col min="10" max="10" width="14.90625" style="11" bestFit="1" customWidth="1"/>
    <col min="11" max="12" width="9.08984375" style="11"/>
    <col min="13" max="13" width="16.54296875" style="11" bestFit="1" customWidth="1"/>
    <col min="14" max="16384" width="9.08984375" style="11"/>
  </cols>
  <sheetData>
    <row r="1" spans="1:9" x14ac:dyDescent="0.35">
      <c r="A1" s="260" t="s">
        <v>0</v>
      </c>
      <c r="B1" s="261" t="s">
        <v>1</v>
      </c>
      <c r="C1" s="261" t="s">
        <v>2700</v>
      </c>
      <c r="D1" s="261" t="s">
        <v>1598</v>
      </c>
      <c r="E1" s="261" t="s">
        <v>1599</v>
      </c>
      <c r="F1" s="261" t="s">
        <v>2699</v>
      </c>
      <c r="G1" s="262" t="s">
        <v>364</v>
      </c>
      <c r="H1" s="304" t="s">
        <v>2697</v>
      </c>
      <c r="I1" s="304" t="s">
        <v>2696</v>
      </c>
    </row>
    <row r="2" spans="1:9" x14ac:dyDescent="0.35">
      <c r="A2" s="258" t="s">
        <v>2245</v>
      </c>
      <c r="B2" s="15" t="s">
        <v>2481</v>
      </c>
      <c r="C2" s="388"/>
      <c r="D2" s="15"/>
      <c r="E2" s="15">
        <v>55719</v>
      </c>
      <c r="F2" s="388"/>
      <c r="G2" s="26">
        <v>1</v>
      </c>
      <c r="H2" s="416"/>
      <c r="I2" s="417">
        <f>+Table20[[#This Row],[Quantity]]*Table20[[#This Row],[Unit price]]</f>
        <v>0</v>
      </c>
    </row>
    <row r="3" spans="1:9" x14ac:dyDescent="0.35">
      <c r="A3" s="258" t="s">
        <v>1293</v>
      </c>
      <c r="B3" s="15" t="s">
        <v>1627</v>
      </c>
      <c r="C3" s="388"/>
      <c r="D3" s="15"/>
      <c r="E3" s="15">
        <v>55719</v>
      </c>
      <c r="F3" s="388"/>
      <c r="G3" s="26">
        <v>1</v>
      </c>
      <c r="H3" s="416"/>
      <c r="I3" s="417">
        <f>+Table20[[#This Row],[Quantity]]*Table20[[#This Row],[Unit price]]</f>
        <v>0</v>
      </c>
    </row>
    <row r="4" spans="1:9" x14ac:dyDescent="0.35">
      <c r="A4" s="258" t="s">
        <v>1378</v>
      </c>
      <c r="B4" s="15" t="s">
        <v>1625</v>
      </c>
      <c r="C4" s="388"/>
      <c r="D4" s="15"/>
      <c r="E4" s="15">
        <v>55719</v>
      </c>
      <c r="F4" s="388"/>
      <c r="G4" s="26">
        <v>1</v>
      </c>
      <c r="H4" s="416"/>
      <c r="I4" s="417">
        <f>+Table20[[#This Row],[Quantity]]*Table20[[#This Row],[Unit price]]</f>
        <v>0</v>
      </c>
    </row>
    <row r="5" spans="1:9" x14ac:dyDescent="0.35">
      <c r="A5" s="258" t="s">
        <v>144</v>
      </c>
      <c r="B5" s="15" t="s">
        <v>1601</v>
      </c>
      <c r="C5" s="388"/>
      <c r="D5" s="15"/>
      <c r="E5" s="15">
        <v>55719</v>
      </c>
      <c r="F5" s="388"/>
      <c r="G5" s="26">
        <v>1</v>
      </c>
      <c r="H5" s="416"/>
      <c r="I5" s="417">
        <f>+Table20[[#This Row],[Quantity]]*Table20[[#This Row],[Unit price]]</f>
        <v>0</v>
      </c>
    </row>
    <row r="6" spans="1:9" x14ac:dyDescent="0.35">
      <c r="A6" s="258" t="s">
        <v>2455</v>
      </c>
      <c r="B6" s="15" t="s">
        <v>2454</v>
      </c>
      <c r="C6" s="388"/>
      <c r="D6" s="15"/>
      <c r="E6" s="15">
        <v>55719</v>
      </c>
      <c r="F6" s="388"/>
      <c r="G6" s="26">
        <v>1</v>
      </c>
      <c r="H6" s="416"/>
      <c r="I6" s="417">
        <f>+Table20[[#This Row],[Quantity]]*Table20[[#This Row],[Unit price]]</f>
        <v>0</v>
      </c>
    </row>
    <row r="7" spans="1:9" x14ac:dyDescent="0.35">
      <c r="A7" s="258" t="s">
        <v>953</v>
      </c>
      <c r="B7" s="15" t="s">
        <v>238</v>
      </c>
      <c r="C7" s="388"/>
      <c r="D7" s="15"/>
      <c r="E7" s="15">
        <v>55719</v>
      </c>
      <c r="F7" s="388"/>
      <c r="G7" s="26">
        <v>1</v>
      </c>
      <c r="H7" s="416"/>
      <c r="I7" s="417">
        <f>+Table20[[#This Row],[Quantity]]*Table20[[#This Row],[Unit price]]</f>
        <v>0</v>
      </c>
    </row>
    <row r="8" spans="1:9" x14ac:dyDescent="0.35">
      <c r="A8" s="258" t="s">
        <v>2444</v>
      </c>
      <c r="B8" s="15" t="s">
        <v>2442</v>
      </c>
      <c r="C8" s="388"/>
      <c r="D8" s="15"/>
      <c r="E8" s="15">
        <v>55719</v>
      </c>
      <c r="F8" s="388"/>
      <c r="G8" s="26">
        <v>1</v>
      </c>
      <c r="H8" s="416"/>
      <c r="I8" s="417">
        <f>+Table20[[#This Row],[Quantity]]*Table20[[#This Row],[Unit price]]</f>
        <v>0</v>
      </c>
    </row>
    <row r="9" spans="1:9" x14ac:dyDescent="0.35">
      <c r="A9" s="258" t="s">
        <v>1358</v>
      </c>
      <c r="B9" s="15" t="s">
        <v>2234</v>
      </c>
      <c r="C9" s="388"/>
      <c r="D9" s="15"/>
      <c r="E9" s="15">
        <v>55719</v>
      </c>
      <c r="F9" s="388"/>
      <c r="G9" s="26">
        <v>1</v>
      </c>
      <c r="H9" s="416"/>
      <c r="I9" s="417">
        <f>+Table20[[#This Row],[Quantity]]*Table20[[#This Row],[Unit price]]</f>
        <v>0</v>
      </c>
    </row>
    <row r="10" spans="1:9" x14ac:dyDescent="0.35">
      <c r="A10" s="258" t="s">
        <v>408</v>
      </c>
      <c r="B10" s="15" t="s">
        <v>1562</v>
      </c>
      <c r="C10" s="388"/>
      <c r="D10" s="15"/>
      <c r="E10" s="15">
        <v>55719</v>
      </c>
      <c r="F10" s="388"/>
      <c r="G10" s="26">
        <v>1</v>
      </c>
      <c r="H10" s="416"/>
      <c r="I10" s="417">
        <f>+Table20[[#This Row],[Quantity]]*Table20[[#This Row],[Unit price]]</f>
        <v>0</v>
      </c>
    </row>
    <row r="11" spans="1:9" x14ac:dyDescent="0.35">
      <c r="A11" s="258" t="s">
        <v>1643</v>
      </c>
      <c r="B11" s="15" t="s">
        <v>1642</v>
      </c>
      <c r="C11" s="388"/>
      <c r="D11" s="15"/>
      <c r="E11" s="15">
        <v>55719</v>
      </c>
      <c r="F11" s="388"/>
      <c r="G11" s="26">
        <v>1</v>
      </c>
      <c r="H11" s="416"/>
      <c r="I11" s="417">
        <f>+Table20[[#This Row],[Quantity]]*Table20[[#This Row],[Unit price]]</f>
        <v>0</v>
      </c>
    </row>
    <row r="12" spans="1:9" x14ac:dyDescent="0.35">
      <c r="A12" s="258" t="s">
        <v>1333</v>
      </c>
      <c r="B12" s="15" t="s">
        <v>542</v>
      </c>
      <c r="C12" s="388"/>
      <c r="D12" s="15"/>
      <c r="E12" s="15">
        <v>55719</v>
      </c>
      <c r="F12" s="388"/>
      <c r="G12" s="26">
        <v>1</v>
      </c>
      <c r="H12" s="416"/>
      <c r="I12" s="417">
        <f>+Table20[[#This Row],[Quantity]]*Table20[[#This Row],[Unit price]]</f>
        <v>0</v>
      </c>
    </row>
    <row r="13" spans="1:9" x14ac:dyDescent="0.35">
      <c r="A13" s="258" t="s">
        <v>1684</v>
      </c>
      <c r="B13" s="15" t="s">
        <v>1685</v>
      </c>
      <c r="C13" s="388"/>
      <c r="D13" s="15"/>
      <c r="E13" s="15">
        <v>55719</v>
      </c>
      <c r="F13" s="388"/>
      <c r="G13" s="26">
        <v>1</v>
      </c>
      <c r="H13" s="416"/>
      <c r="I13" s="417">
        <f>+Table20[[#This Row],[Quantity]]*Table20[[#This Row],[Unit price]]</f>
        <v>0</v>
      </c>
    </row>
    <row r="14" spans="1:9" x14ac:dyDescent="0.35">
      <c r="A14" s="258" t="s">
        <v>1390</v>
      </c>
      <c r="B14" s="252" t="s">
        <v>494</v>
      </c>
      <c r="C14" s="388"/>
      <c r="D14" s="15"/>
      <c r="E14" s="15">
        <v>55719</v>
      </c>
      <c r="F14" s="388"/>
      <c r="G14" s="26">
        <v>1</v>
      </c>
      <c r="H14" s="416"/>
      <c r="I14" s="417">
        <f>+Table20[[#This Row],[Quantity]]*Table20[[#This Row],[Unit price]]</f>
        <v>0</v>
      </c>
    </row>
    <row r="15" spans="1:9" x14ac:dyDescent="0.35">
      <c r="A15" s="258" t="s">
        <v>1686</v>
      </c>
      <c r="B15" s="15" t="s">
        <v>1687</v>
      </c>
      <c r="C15" s="388"/>
      <c r="D15" s="15"/>
      <c r="E15" s="15">
        <v>55719</v>
      </c>
      <c r="F15" s="388"/>
      <c r="G15" s="26">
        <v>1</v>
      </c>
      <c r="H15" s="416"/>
      <c r="I15" s="417">
        <f>+Table20[[#This Row],[Quantity]]*Table20[[#This Row],[Unit price]]</f>
        <v>0</v>
      </c>
    </row>
    <row r="16" spans="1:9" x14ac:dyDescent="0.35">
      <c r="A16" s="258" t="s">
        <v>1399</v>
      </c>
      <c r="B16" s="15" t="s">
        <v>2574</v>
      </c>
      <c r="C16" s="388"/>
      <c r="D16" s="15"/>
      <c r="E16" s="15">
        <v>55719</v>
      </c>
      <c r="F16" s="388"/>
      <c r="G16" s="26">
        <v>1</v>
      </c>
      <c r="H16" s="416"/>
      <c r="I16" s="417">
        <f>+Table20[[#This Row],[Quantity]]*Table20[[#This Row],[Unit price]]</f>
        <v>0</v>
      </c>
    </row>
    <row r="17" spans="1:9" x14ac:dyDescent="0.35">
      <c r="A17" s="258" t="s">
        <v>1084</v>
      </c>
      <c r="B17" s="15" t="s">
        <v>546</v>
      </c>
      <c r="C17" s="388"/>
      <c r="D17" s="15"/>
      <c r="E17" s="15">
        <v>55719</v>
      </c>
      <c r="F17" s="388"/>
      <c r="G17" s="26">
        <v>1</v>
      </c>
      <c r="H17" s="416"/>
      <c r="I17" s="417">
        <f>+Table20[[#This Row],[Quantity]]*Table20[[#This Row],[Unit price]]</f>
        <v>0</v>
      </c>
    </row>
    <row r="18" spans="1:9" x14ac:dyDescent="0.35">
      <c r="A18" s="258" t="s">
        <v>1200</v>
      </c>
      <c r="B18" s="15" t="s">
        <v>59</v>
      </c>
      <c r="C18" s="388"/>
      <c r="D18" s="15"/>
      <c r="E18" s="15">
        <v>55719</v>
      </c>
      <c r="F18" s="388"/>
      <c r="G18" s="26">
        <v>1</v>
      </c>
      <c r="H18" s="416"/>
      <c r="I18" s="417">
        <f>+Table20[[#This Row],[Quantity]]*Table20[[#This Row],[Unit price]]</f>
        <v>0</v>
      </c>
    </row>
    <row r="19" spans="1:9" x14ac:dyDescent="0.35">
      <c r="A19" s="258" t="s">
        <v>1626</v>
      </c>
      <c r="B19" s="15" t="s">
        <v>1624</v>
      </c>
      <c r="C19" s="388"/>
      <c r="D19" s="15"/>
      <c r="E19" s="15">
        <v>55719</v>
      </c>
      <c r="F19" s="388"/>
      <c r="G19" s="26">
        <v>1</v>
      </c>
      <c r="H19" s="416"/>
      <c r="I19" s="417">
        <f>+Table20[[#This Row],[Quantity]]*Table20[[#This Row],[Unit price]]</f>
        <v>0</v>
      </c>
    </row>
    <row r="20" spans="1:9" x14ac:dyDescent="0.35">
      <c r="A20" s="258" t="s">
        <v>1221</v>
      </c>
      <c r="B20" s="15" t="s">
        <v>534</v>
      </c>
      <c r="C20" s="388"/>
      <c r="D20" s="15"/>
      <c r="E20" s="15">
        <v>55719</v>
      </c>
      <c r="F20" s="388"/>
      <c r="G20" s="26">
        <v>1</v>
      </c>
      <c r="H20" s="416"/>
      <c r="I20" s="417">
        <f>+Table20[[#This Row],[Quantity]]*Table20[[#This Row],[Unit price]]</f>
        <v>0</v>
      </c>
    </row>
    <row r="21" spans="1:9" x14ac:dyDescent="0.35">
      <c r="A21" s="258" t="s">
        <v>2598</v>
      </c>
      <c r="B21" s="15" t="s">
        <v>548</v>
      </c>
      <c r="C21" s="388"/>
      <c r="D21" s="15"/>
      <c r="E21" s="15">
        <v>55719</v>
      </c>
      <c r="F21" s="388"/>
      <c r="G21" s="26">
        <v>1</v>
      </c>
      <c r="H21" s="416"/>
      <c r="I21" s="417">
        <f>+Table20[[#This Row],[Quantity]]*Table20[[#This Row],[Unit price]]</f>
        <v>0</v>
      </c>
    </row>
    <row r="22" spans="1:9" x14ac:dyDescent="0.35">
      <c r="A22" s="258" t="s">
        <v>2594</v>
      </c>
      <c r="B22" s="15" t="s">
        <v>757</v>
      </c>
      <c r="C22" s="388"/>
      <c r="D22" s="15"/>
      <c r="E22" s="15">
        <v>55719</v>
      </c>
      <c r="F22" s="388"/>
      <c r="G22" s="26">
        <v>1</v>
      </c>
      <c r="H22" s="416"/>
      <c r="I22" s="417">
        <f>+Table20[[#This Row],[Quantity]]*Table20[[#This Row],[Unit price]]</f>
        <v>0</v>
      </c>
    </row>
    <row r="23" spans="1:9" x14ac:dyDescent="0.35">
      <c r="A23" s="258" t="s">
        <v>2596</v>
      </c>
      <c r="B23" s="15" t="s">
        <v>545</v>
      </c>
      <c r="C23" s="388"/>
      <c r="D23" s="15"/>
      <c r="E23" s="15">
        <v>55719</v>
      </c>
      <c r="F23" s="388"/>
      <c r="G23" s="26">
        <v>1</v>
      </c>
      <c r="H23" s="416"/>
      <c r="I23" s="417">
        <f>+Table20[[#This Row],[Quantity]]*Table20[[#This Row],[Unit price]]</f>
        <v>0</v>
      </c>
    </row>
    <row r="24" spans="1:9" x14ac:dyDescent="0.35">
      <c r="A24" s="258" t="s">
        <v>1295</v>
      </c>
      <c r="B24" s="15" t="s">
        <v>1680</v>
      </c>
      <c r="C24" s="388"/>
      <c r="D24" s="15"/>
      <c r="E24" s="15">
        <v>55719</v>
      </c>
      <c r="F24" s="388"/>
      <c r="G24" s="26">
        <v>1</v>
      </c>
      <c r="H24" s="416"/>
      <c r="I24" s="417">
        <f>+Table20[[#This Row],[Quantity]]*Table20[[#This Row],[Unit price]]</f>
        <v>0</v>
      </c>
    </row>
    <row r="25" spans="1:9" x14ac:dyDescent="0.35">
      <c r="A25" s="258" t="s">
        <v>1297</v>
      </c>
      <c r="B25" s="15" t="s">
        <v>1622</v>
      </c>
      <c r="C25" s="388"/>
      <c r="D25" s="15"/>
      <c r="E25" s="15">
        <v>55719</v>
      </c>
      <c r="F25" s="388"/>
      <c r="G25" s="26">
        <v>1</v>
      </c>
      <c r="H25" s="416"/>
      <c r="I25" s="417">
        <f>+Table20[[#This Row],[Quantity]]*Table20[[#This Row],[Unit price]]</f>
        <v>0</v>
      </c>
    </row>
    <row r="26" spans="1:9" x14ac:dyDescent="0.35">
      <c r="A26" s="258" t="s">
        <v>1083</v>
      </c>
      <c r="B26" s="15" t="s">
        <v>491</v>
      </c>
      <c r="C26" s="388"/>
      <c r="D26" s="15"/>
      <c r="E26" s="15">
        <v>55719</v>
      </c>
      <c r="F26" s="388"/>
      <c r="G26" s="26">
        <v>1</v>
      </c>
      <c r="H26" s="416"/>
      <c r="I26" s="417">
        <f>+Table20[[#This Row],[Quantity]]*Table20[[#This Row],[Unit price]]</f>
        <v>0</v>
      </c>
    </row>
    <row r="27" spans="1:9" x14ac:dyDescent="0.35">
      <c r="A27" s="258" t="s">
        <v>1138</v>
      </c>
      <c r="B27" s="15" t="s">
        <v>547</v>
      </c>
      <c r="C27" s="388"/>
      <c r="D27" s="15"/>
      <c r="E27" s="15">
        <v>55719</v>
      </c>
      <c r="F27" s="388"/>
      <c r="G27" s="26">
        <v>1</v>
      </c>
      <c r="H27" s="416"/>
      <c r="I27" s="417">
        <f>+Table20[[#This Row],[Quantity]]*Table20[[#This Row],[Unit price]]</f>
        <v>0</v>
      </c>
    </row>
    <row r="28" spans="1:9" x14ac:dyDescent="0.35">
      <c r="A28" s="258" t="s">
        <v>1432</v>
      </c>
      <c r="B28" s="15" t="s">
        <v>216</v>
      </c>
      <c r="C28" s="388"/>
      <c r="D28" s="15"/>
      <c r="E28" s="15">
        <v>55719</v>
      </c>
      <c r="F28" s="388"/>
      <c r="G28" s="26">
        <v>1</v>
      </c>
      <c r="H28" s="416"/>
      <c r="I28" s="417">
        <f>+Table20[[#This Row],[Quantity]]*Table20[[#This Row],[Unit price]]</f>
        <v>0</v>
      </c>
    </row>
    <row r="29" spans="1:9" x14ac:dyDescent="0.35">
      <c r="A29" s="258" t="s">
        <v>2485</v>
      </c>
      <c r="B29" s="15" t="s">
        <v>1717</v>
      </c>
      <c r="C29" s="388"/>
      <c r="D29" s="15"/>
      <c r="E29" s="15">
        <v>55719</v>
      </c>
      <c r="F29" s="388"/>
      <c r="G29" s="26">
        <v>1</v>
      </c>
      <c r="H29" s="416"/>
      <c r="I29" s="417">
        <f>+Table20[[#This Row],[Quantity]]*Table20[[#This Row],[Unit price]]</f>
        <v>0</v>
      </c>
    </row>
    <row r="30" spans="1:9" x14ac:dyDescent="0.35">
      <c r="A30" s="258" t="s">
        <v>1042</v>
      </c>
      <c r="B30" s="15" t="s">
        <v>714</v>
      </c>
      <c r="C30" s="388"/>
      <c r="D30" s="15"/>
      <c r="E30" s="15">
        <v>55719</v>
      </c>
      <c r="F30" s="388"/>
      <c r="G30" s="26">
        <v>1</v>
      </c>
      <c r="H30" s="416"/>
      <c r="I30" s="417">
        <f>+Table20[[#This Row],[Quantity]]*Table20[[#This Row],[Unit price]]</f>
        <v>0</v>
      </c>
    </row>
    <row r="31" spans="1:9" x14ac:dyDescent="0.35">
      <c r="A31" s="258" t="s">
        <v>64</v>
      </c>
      <c r="B31" s="15" t="s">
        <v>483</v>
      </c>
      <c r="C31" s="388"/>
      <c r="D31" s="15"/>
      <c r="E31" s="15">
        <v>55719</v>
      </c>
      <c r="F31" s="388"/>
      <c r="G31" s="26">
        <v>1</v>
      </c>
      <c r="H31" s="416"/>
      <c r="I31" s="417">
        <f>+Table20[[#This Row],[Quantity]]*Table20[[#This Row],[Unit price]]</f>
        <v>0</v>
      </c>
    </row>
    <row r="32" spans="1:9" x14ac:dyDescent="0.35">
      <c r="A32" s="258" t="s">
        <v>1377</v>
      </c>
      <c r="B32" s="15" t="s">
        <v>143</v>
      </c>
      <c r="C32" s="388"/>
      <c r="D32" s="15"/>
      <c r="E32" s="15">
        <v>55719</v>
      </c>
      <c r="F32" s="388"/>
      <c r="G32" s="26">
        <v>1</v>
      </c>
      <c r="H32" s="416"/>
      <c r="I32" s="417">
        <f>+Table20[[#This Row],[Quantity]]*Table20[[#This Row],[Unit price]]</f>
        <v>0</v>
      </c>
    </row>
    <row r="33" spans="1:10" x14ac:dyDescent="0.35">
      <c r="A33" s="258" t="s">
        <v>1426</v>
      </c>
      <c r="B33" s="15" t="s">
        <v>2472</v>
      </c>
      <c r="C33" s="388"/>
      <c r="D33" s="15"/>
      <c r="E33" s="15">
        <v>55719</v>
      </c>
      <c r="F33" s="388"/>
      <c r="G33" s="26">
        <v>1</v>
      </c>
      <c r="H33" s="416"/>
      <c r="I33" s="417">
        <f>+Table20[[#This Row],[Quantity]]*Table20[[#This Row],[Unit price]]</f>
        <v>0</v>
      </c>
    </row>
    <row r="34" spans="1:10" x14ac:dyDescent="0.35">
      <c r="A34" s="258" t="s">
        <v>930</v>
      </c>
      <c r="B34" s="15" t="s">
        <v>88</v>
      </c>
      <c r="C34" s="388"/>
      <c r="D34" s="15"/>
      <c r="E34" s="15">
        <v>55719</v>
      </c>
      <c r="F34" s="388"/>
      <c r="G34" s="26">
        <v>1</v>
      </c>
      <c r="H34" s="416"/>
      <c r="I34" s="417">
        <f>+Table20[[#This Row],[Quantity]]*Table20[[#This Row],[Unit price]]</f>
        <v>0</v>
      </c>
    </row>
    <row r="35" spans="1:10" x14ac:dyDescent="0.35">
      <c r="A35" s="258" t="s">
        <v>1160</v>
      </c>
      <c r="B35" s="15" t="s">
        <v>467</v>
      </c>
      <c r="C35" s="388"/>
      <c r="D35" s="15"/>
      <c r="E35" s="15">
        <v>55719</v>
      </c>
      <c r="F35" s="388"/>
      <c r="G35" s="26">
        <v>1</v>
      </c>
      <c r="H35" s="416"/>
      <c r="I35" s="417">
        <f>+Table20[[#This Row],[Quantity]]*Table20[[#This Row],[Unit price]]</f>
        <v>0</v>
      </c>
    </row>
    <row r="36" spans="1:10" s="251" customFormat="1" x14ac:dyDescent="0.35">
      <c r="A36" s="258" t="s">
        <v>2541</v>
      </c>
      <c r="B36" s="252" t="s">
        <v>1688</v>
      </c>
      <c r="C36" s="388"/>
      <c r="D36" s="252"/>
      <c r="E36" s="252">
        <v>55719</v>
      </c>
      <c r="F36" s="388"/>
      <c r="G36" s="200">
        <v>2</v>
      </c>
      <c r="H36" s="416"/>
      <c r="I36" s="417">
        <f>+Table20[[#This Row],[Quantity]]*Table20[[#This Row],[Unit price]]</f>
        <v>0</v>
      </c>
    </row>
    <row r="37" spans="1:10" x14ac:dyDescent="0.35">
      <c r="A37" s="258" t="s">
        <v>881</v>
      </c>
      <c r="B37" s="15" t="s">
        <v>417</v>
      </c>
      <c r="C37" s="388"/>
      <c r="D37" s="15"/>
      <c r="E37" s="15">
        <v>55719</v>
      </c>
      <c r="F37" s="388"/>
      <c r="G37" s="26">
        <v>1</v>
      </c>
      <c r="H37" s="416"/>
      <c r="I37" s="417">
        <f>+Table20[[#This Row],[Quantity]]*Table20[[#This Row],[Unit price]]</f>
        <v>0</v>
      </c>
      <c r="J37" s="123"/>
    </row>
    <row r="38" spans="1:10" x14ac:dyDescent="0.35">
      <c r="A38" s="258" t="s">
        <v>10</v>
      </c>
      <c r="B38" s="15" t="s">
        <v>418</v>
      </c>
      <c r="C38" s="388"/>
      <c r="D38" s="15"/>
      <c r="E38" s="15">
        <v>55719</v>
      </c>
      <c r="F38" s="388"/>
      <c r="G38" s="26">
        <v>1</v>
      </c>
      <c r="H38" s="416"/>
      <c r="I38" s="417">
        <f>+Table20[[#This Row],[Quantity]]*Table20[[#This Row],[Unit price]]</f>
        <v>0</v>
      </c>
      <c r="J38" s="123"/>
    </row>
    <row r="39" spans="1:10" x14ac:dyDescent="0.35">
      <c r="A39" s="258" t="s">
        <v>122</v>
      </c>
      <c r="B39" s="15" t="s">
        <v>123</v>
      </c>
      <c r="C39" s="388"/>
      <c r="D39" s="15"/>
      <c r="E39" s="15">
        <v>55719</v>
      </c>
      <c r="F39" s="388"/>
      <c r="G39" s="26">
        <v>1</v>
      </c>
      <c r="H39" s="416"/>
      <c r="I39" s="417">
        <f>+Table20[[#This Row],[Quantity]]*Table20[[#This Row],[Unit price]]</f>
        <v>0</v>
      </c>
    </row>
    <row r="40" spans="1:10" x14ac:dyDescent="0.35">
      <c r="A40" s="258" t="s">
        <v>120</v>
      </c>
      <c r="B40" s="15" t="s">
        <v>121</v>
      </c>
      <c r="C40" s="388"/>
      <c r="D40" s="15"/>
      <c r="E40" s="15">
        <v>55719</v>
      </c>
      <c r="F40" s="388"/>
      <c r="G40" s="26">
        <v>1</v>
      </c>
      <c r="H40" s="416"/>
      <c r="I40" s="417">
        <f>+Table20[[#This Row],[Quantity]]*Table20[[#This Row],[Unit price]]</f>
        <v>0</v>
      </c>
    </row>
    <row r="41" spans="1:10" x14ac:dyDescent="0.35">
      <c r="I41" s="397">
        <f>SUM(I2:I40)</f>
        <v>0</v>
      </c>
    </row>
    <row r="42" spans="1:10" x14ac:dyDescent="0.35">
      <c r="A42" s="289"/>
      <c r="B42" s="278"/>
      <c r="C42" s="278"/>
      <c r="D42" s="267"/>
      <c r="E42" s="278"/>
      <c r="F42" s="278"/>
      <c r="G42" s="278"/>
      <c r="H42" s="251"/>
    </row>
    <row r="43" spans="1:10" x14ac:dyDescent="0.35">
      <c r="A43" s="289"/>
      <c r="B43" s="278"/>
      <c r="C43" s="278"/>
      <c r="D43" s="267"/>
      <c r="E43" s="278"/>
      <c r="F43" s="278"/>
      <c r="G43" s="278"/>
      <c r="H43" s="251"/>
    </row>
    <row r="44" spans="1:10" ht="17.5" x14ac:dyDescent="0.35">
      <c r="A44" s="309" t="s">
        <v>1520</v>
      </c>
      <c r="B44" s="311"/>
    </row>
    <row r="45" spans="1:10" ht="17.5" x14ac:dyDescent="0.35">
      <c r="A45" s="309" t="s">
        <v>2367</v>
      </c>
      <c r="B45" s="311"/>
    </row>
    <row r="46" spans="1:10" ht="17.5" x14ac:dyDescent="0.35">
      <c r="A46" s="310" t="s">
        <v>2609</v>
      </c>
      <c r="B46" s="311"/>
    </row>
    <row r="47" spans="1:10" ht="18" x14ac:dyDescent="0.4">
      <c r="A47" s="308" t="s">
        <v>2694</v>
      </c>
      <c r="B47" s="387">
        <f>+I41</f>
        <v>0</v>
      </c>
    </row>
    <row r="48" spans="1:10" ht="17.5" x14ac:dyDescent="0.35">
      <c r="A48" s="280"/>
    </row>
  </sheetData>
  <printOptions gridLines="1"/>
  <pageMargins left="0.5" right="0.5" top="0.5" bottom="0.5" header="0.3" footer="0.3"/>
  <pageSetup scale="8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3"/>
  <sheetViews>
    <sheetView zoomScale="85" zoomScaleNormal="85" workbookViewId="0">
      <pane ySplit="1" topLeftCell="A52" activePane="bottomLeft" state="frozen"/>
      <selection activeCell="C26" sqref="C26"/>
      <selection pane="bottomLeft" activeCell="E76" sqref="E76"/>
    </sheetView>
  </sheetViews>
  <sheetFormatPr defaultColWidth="9.08984375" defaultRowHeight="15.5" x14ac:dyDescent="0.35"/>
  <cols>
    <col min="1" max="1" width="51.6328125" style="16" bestFit="1" customWidth="1"/>
    <col min="2" max="2" width="20.6328125" style="17" bestFit="1" customWidth="1"/>
    <col min="3" max="3" width="21.36328125" style="17" customWidth="1"/>
    <col min="4" max="4" width="21.81640625" style="17" customWidth="1"/>
    <col min="5" max="5" width="26.453125" style="17" bestFit="1" customWidth="1"/>
    <col min="6" max="6" width="18" style="251" customWidth="1"/>
    <col min="7" max="7" width="12.08984375" style="17" customWidth="1"/>
    <col min="8" max="8" width="51.90625" style="16" bestFit="1" customWidth="1"/>
    <col min="9" max="9" width="18.6328125" style="16" customWidth="1"/>
    <col min="10" max="10" width="39.6328125" style="16" customWidth="1"/>
    <col min="11" max="11" width="28.6328125" style="16" bestFit="1" customWidth="1"/>
    <col min="12" max="16384" width="9.08984375" style="16"/>
  </cols>
  <sheetData>
    <row r="1" spans="1:9" x14ac:dyDescent="0.35">
      <c r="A1" s="544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61" t="s">
        <v>2699</v>
      </c>
      <c r="G1" s="13" t="s">
        <v>364</v>
      </c>
      <c r="H1" s="409" t="s">
        <v>2695</v>
      </c>
      <c r="I1" s="404" t="s">
        <v>2696</v>
      </c>
    </row>
    <row r="2" spans="1:9" x14ac:dyDescent="0.35">
      <c r="A2" s="258" t="s">
        <v>2613</v>
      </c>
      <c r="B2" s="62" t="s">
        <v>646</v>
      </c>
      <c r="C2" s="388"/>
      <c r="D2" s="62"/>
      <c r="E2" s="62">
        <v>55719</v>
      </c>
      <c r="F2" s="388"/>
      <c r="G2" s="26">
        <v>1</v>
      </c>
      <c r="H2" s="410"/>
      <c r="I2" s="411">
        <f t="shared" ref="I2:I33" si="0">+G2*H2</f>
        <v>0</v>
      </c>
    </row>
    <row r="3" spans="1:9" ht="31" x14ac:dyDescent="0.35">
      <c r="A3" s="258" t="s">
        <v>2330</v>
      </c>
      <c r="B3" s="62" t="s">
        <v>2579</v>
      </c>
      <c r="C3" s="388"/>
      <c r="D3" s="62"/>
      <c r="E3" s="62">
        <v>55719</v>
      </c>
      <c r="F3" s="388"/>
      <c r="G3" s="26">
        <v>1</v>
      </c>
      <c r="H3" s="410"/>
      <c r="I3" s="411">
        <f t="shared" si="0"/>
        <v>0</v>
      </c>
    </row>
    <row r="4" spans="1:9" x14ac:dyDescent="0.35">
      <c r="A4" s="258" t="s">
        <v>158</v>
      </c>
      <c r="B4" s="62" t="s">
        <v>2341</v>
      </c>
      <c r="C4" s="388"/>
      <c r="D4" s="62"/>
      <c r="E4" s="62">
        <v>55719</v>
      </c>
      <c r="F4" s="388"/>
      <c r="G4" s="26">
        <v>1</v>
      </c>
      <c r="H4" s="410"/>
      <c r="I4" s="411">
        <f t="shared" si="0"/>
        <v>0</v>
      </c>
    </row>
    <row r="5" spans="1:9" x14ac:dyDescent="0.35">
      <c r="A5" s="258" t="s">
        <v>1332</v>
      </c>
      <c r="B5" s="62" t="s">
        <v>2328</v>
      </c>
      <c r="C5" s="388"/>
      <c r="D5" s="62"/>
      <c r="E5" s="62">
        <v>55719</v>
      </c>
      <c r="F5" s="388"/>
      <c r="G5" s="26">
        <v>1</v>
      </c>
      <c r="H5" s="314"/>
      <c r="I5" s="411">
        <f t="shared" si="0"/>
        <v>0</v>
      </c>
    </row>
    <row r="6" spans="1:9" ht="31" x14ac:dyDescent="0.35">
      <c r="A6" s="258" t="s">
        <v>2458</v>
      </c>
      <c r="B6" s="62" t="s">
        <v>2233</v>
      </c>
      <c r="C6" s="388"/>
      <c r="D6" s="62"/>
      <c r="E6" s="62">
        <v>55719</v>
      </c>
      <c r="F6" s="388"/>
      <c r="G6" s="26">
        <v>1</v>
      </c>
      <c r="H6" s="314"/>
      <c r="I6" s="411">
        <f t="shared" si="0"/>
        <v>0</v>
      </c>
    </row>
    <row r="7" spans="1:9" x14ac:dyDescent="0.35">
      <c r="A7" s="258" t="s">
        <v>154</v>
      </c>
      <c r="B7" s="62" t="s">
        <v>2228</v>
      </c>
      <c r="C7" s="388"/>
      <c r="D7" s="62"/>
      <c r="E7" s="62">
        <v>55719</v>
      </c>
      <c r="F7" s="388"/>
      <c r="G7" s="26">
        <v>1</v>
      </c>
      <c r="H7" s="314"/>
      <c r="I7" s="411">
        <f t="shared" si="0"/>
        <v>0</v>
      </c>
    </row>
    <row r="8" spans="1:9" x14ac:dyDescent="0.35">
      <c r="A8" s="258" t="s">
        <v>812</v>
      </c>
      <c r="B8" s="62" t="s">
        <v>2229</v>
      </c>
      <c r="C8" s="388"/>
      <c r="D8" s="62"/>
      <c r="E8" s="62">
        <v>55719</v>
      </c>
      <c r="F8" s="388"/>
      <c r="G8" s="26">
        <v>1</v>
      </c>
      <c r="H8" s="314"/>
      <c r="I8" s="411">
        <f t="shared" si="0"/>
        <v>0</v>
      </c>
    </row>
    <row r="9" spans="1:9" x14ac:dyDescent="0.35">
      <c r="A9" s="258" t="s">
        <v>2455</v>
      </c>
      <c r="B9" s="252" t="s">
        <v>2454</v>
      </c>
      <c r="C9" s="388"/>
      <c r="D9" s="252"/>
      <c r="E9" s="252">
        <v>55719</v>
      </c>
      <c r="F9" s="388"/>
      <c r="G9" s="26">
        <v>1</v>
      </c>
      <c r="H9" s="410"/>
      <c r="I9" s="411">
        <f t="shared" si="0"/>
        <v>0</v>
      </c>
    </row>
    <row r="10" spans="1:9" x14ac:dyDescent="0.35">
      <c r="A10" s="258" t="s">
        <v>1347</v>
      </c>
      <c r="B10" s="62">
        <v>1992</v>
      </c>
      <c r="C10" s="388"/>
      <c r="D10" s="62"/>
      <c r="E10" s="62">
        <v>55719</v>
      </c>
      <c r="F10" s="388"/>
      <c r="G10" s="26">
        <v>1</v>
      </c>
      <c r="H10" s="410"/>
      <c r="I10" s="411">
        <f t="shared" si="0"/>
        <v>0</v>
      </c>
    </row>
    <row r="11" spans="1:9" x14ac:dyDescent="0.35">
      <c r="A11" s="258" t="s">
        <v>740</v>
      </c>
      <c r="B11" s="62">
        <v>21259951</v>
      </c>
      <c r="C11" s="388"/>
      <c r="D11" s="62"/>
      <c r="E11" s="62">
        <v>55719</v>
      </c>
      <c r="F11" s="388"/>
      <c r="G11" s="26">
        <v>1</v>
      </c>
      <c r="H11" s="410"/>
      <c r="I11" s="411">
        <f t="shared" si="0"/>
        <v>0</v>
      </c>
    </row>
    <row r="12" spans="1:9" x14ac:dyDescent="0.35">
      <c r="A12" s="258" t="s">
        <v>17</v>
      </c>
      <c r="B12" s="62" t="s">
        <v>2473</v>
      </c>
      <c r="C12" s="388"/>
      <c r="D12" s="62"/>
      <c r="E12" s="62">
        <v>55719</v>
      </c>
      <c r="F12" s="388"/>
      <c r="G12" s="26">
        <v>1</v>
      </c>
      <c r="H12" s="410"/>
      <c r="I12" s="411">
        <f t="shared" si="0"/>
        <v>0</v>
      </c>
    </row>
    <row r="13" spans="1:9" x14ac:dyDescent="0.35">
      <c r="A13" s="258" t="s">
        <v>1315</v>
      </c>
      <c r="B13" s="62" t="s">
        <v>803</v>
      </c>
      <c r="C13" s="388"/>
      <c r="D13" s="62"/>
      <c r="E13" s="62">
        <v>55719</v>
      </c>
      <c r="F13" s="388"/>
      <c r="G13" s="26">
        <v>1</v>
      </c>
      <c r="H13" s="410"/>
      <c r="I13" s="411">
        <f t="shared" si="0"/>
        <v>0</v>
      </c>
    </row>
    <row r="14" spans="1:9" x14ac:dyDescent="0.35">
      <c r="A14" s="258" t="s">
        <v>1316</v>
      </c>
      <c r="B14" s="253" t="s">
        <v>804</v>
      </c>
      <c r="C14" s="388"/>
      <c r="D14" s="253"/>
      <c r="E14" s="253">
        <v>55719</v>
      </c>
      <c r="F14" s="388"/>
      <c r="G14" s="200">
        <v>1</v>
      </c>
      <c r="H14" s="410"/>
      <c r="I14" s="411">
        <f t="shared" si="0"/>
        <v>0</v>
      </c>
    </row>
    <row r="15" spans="1:9" x14ac:dyDescent="0.35">
      <c r="A15" s="258" t="s">
        <v>1317</v>
      </c>
      <c r="B15" s="62" t="s">
        <v>635</v>
      </c>
      <c r="C15" s="388"/>
      <c r="D15" s="62"/>
      <c r="E15" s="62">
        <v>55719</v>
      </c>
      <c r="F15" s="388"/>
      <c r="G15" s="26">
        <v>1</v>
      </c>
      <c r="H15" s="410"/>
      <c r="I15" s="411">
        <f t="shared" si="0"/>
        <v>0</v>
      </c>
    </row>
    <row r="16" spans="1:9" x14ac:dyDescent="0.35">
      <c r="A16" s="258" t="s">
        <v>1318</v>
      </c>
      <c r="B16" s="62" t="s">
        <v>631</v>
      </c>
      <c r="C16" s="388"/>
      <c r="D16" s="62"/>
      <c r="E16" s="62">
        <v>55719</v>
      </c>
      <c r="F16" s="388"/>
      <c r="G16" s="26">
        <v>1</v>
      </c>
      <c r="H16" s="410"/>
      <c r="I16" s="411">
        <f t="shared" si="0"/>
        <v>0</v>
      </c>
    </row>
    <row r="17" spans="1:9" x14ac:dyDescent="0.35">
      <c r="A17" s="258" t="s">
        <v>1319</v>
      </c>
      <c r="B17" s="62" t="s">
        <v>632</v>
      </c>
      <c r="C17" s="388"/>
      <c r="D17" s="62"/>
      <c r="E17" s="62">
        <v>55719</v>
      </c>
      <c r="F17" s="388"/>
      <c r="G17" s="26">
        <v>1</v>
      </c>
      <c r="H17" s="410"/>
      <c r="I17" s="411">
        <f t="shared" si="0"/>
        <v>0</v>
      </c>
    </row>
    <row r="18" spans="1:9" x14ac:dyDescent="0.35">
      <c r="A18" s="258" t="s">
        <v>1320</v>
      </c>
      <c r="B18" s="62" t="s">
        <v>633</v>
      </c>
      <c r="C18" s="388"/>
      <c r="D18" s="62"/>
      <c r="E18" s="62">
        <v>55719</v>
      </c>
      <c r="F18" s="388"/>
      <c r="G18" s="26">
        <v>1</v>
      </c>
      <c r="H18" s="410"/>
      <c r="I18" s="411">
        <f t="shared" si="0"/>
        <v>0</v>
      </c>
    </row>
    <row r="19" spans="1:9" x14ac:dyDescent="0.35">
      <c r="A19" s="258" t="s">
        <v>1321</v>
      </c>
      <c r="B19" s="62" t="s">
        <v>634</v>
      </c>
      <c r="C19" s="388"/>
      <c r="D19" s="62"/>
      <c r="E19" s="62">
        <v>55719</v>
      </c>
      <c r="F19" s="388"/>
      <c r="G19" s="26">
        <v>1</v>
      </c>
      <c r="H19" s="410"/>
      <c r="I19" s="411">
        <f t="shared" si="0"/>
        <v>0</v>
      </c>
    </row>
    <row r="20" spans="1:9" x14ac:dyDescent="0.35">
      <c r="A20" s="258" t="s">
        <v>1326</v>
      </c>
      <c r="B20" s="62" t="s">
        <v>637</v>
      </c>
      <c r="C20" s="388"/>
      <c r="D20" s="62"/>
      <c r="E20" s="62">
        <v>55719</v>
      </c>
      <c r="F20" s="388"/>
      <c r="G20" s="26">
        <v>5</v>
      </c>
      <c r="H20" s="410"/>
      <c r="I20" s="411">
        <f t="shared" si="0"/>
        <v>0</v>
      </c>
    </row>
    <row r="21" spans="1:9" x14ac:dyDescent="0.35">
      <c r="A21" s="258" t="s">
        <v>1324</v>
      </c>
      <c r="B21" s="62" t="s">
        <v>639</v>
      </c>
      <c r="C21" s="388"/>
      <c r="D21" s="62"/>
      <c r="E21" s="62">
        <v>55719</v>
      </c>
      <c r="F21" s="388"/>
      <c r="G21" s="26">
        <v>5</v>
      </c>
      <c r="H21" s="410"/>
      <c r="I21" s="411">
        <f t="shared" si="0"/>
        <v>0</v>
      </c>
    </row>
    <row r="22" spans="1:9" x14ac:dyDescent="0.35">
      <c r="A22" s="258" t="s">
        <v>1325</v>
      </c>
      <c r="B22" s="62" t="s">
        <v>638</v>
      </c>
      <c r="C22" s="388"/>
      <c r="D22" s="62"/>
      <c r="E22" s="62">
        <v>55719</v>
      </c>
      <c r="F22" s="388"/>
      <c r="G22" s="26">
        <v>5</v>
      </c>
      <c r="H22" s="410"/>
      <c r="I22" s="411">
        <f t="shared" si="0"/>
        <v>0</v>
      </c>
    </row>
    <row r="23" spans="1:9" x14ac:dyDescent="0.35">
      <c r="A23" s="258" t="s">
        <v>1329</v>
      </c>
      <c r="B23" s="62" t="s">
        <v>641</v>
      </c>
      <c r="C23" s="388"/>
      <c r="D23" s="62"/>
      <c r="E23" s="62">
        <v>55719</v>
      </c>
      <c r="F23" s="388"/>
      <c r="G23" s="26">
        <v>5</v>
      </c>
      <c r="H23" s="410"/>
      <c r="I23" s="411">
        <f t="shared" si="0"/>
        <v>0</v>
      </c>
    </row>
    <row r="24" spans="1:9" x14ac:dyDescent="0.35">
      <c r="A24" s="258" t="s">
        <v>1327</v>
      </c>
      <c r="B24" s="62" t="s">
        <v>640</v>
      </c>
      <c r="C24" s="388"/>
      <c r="D24" s="62"/>
      <c r="E24" s="62">
        <v>55719</v>
      </c>
      <c r="F24" s="388"/>
      <c r="G24" s="26">
        <v>5</v>
      </c>
      <c r="H24" s="410"/>
      <c r="I24" s="411">
        <f t="shared" si="0"/>
        <v>0</v>
      </c>
    </row>
    <row r="25" spans="1:9" x14ac:dyDescent="0.35">
      <c r="A25" s="258" t="s">
        <v>1322</v>
      </c>
      <c r="B25" s="62" t="s">
        <v>643</v>
      </c>
      <c r="C25" s="388"/>
      <c r="D25" s="62"/>
      <c r="E25" s="62">
        <v>55719</v>
      </c>
      <c r="F25" s="388"/>
      <c r="G25" s="26">
        <v>5</v>
      </c>
      <c r="H25" s="410"/>
      <c r="I25" s="411">
        <f t="shared" si="0"/>
        <v>0</v>
      </c>
    </row>
    <row r="26" spans="1:9" x14ac:dyDescent="0.35">
      <c r="A26" s="258" t="s">
        <v>1328</v>
      </c>
      <c r="B26" s="62" t="s">
        <v>952</v>
      </c>
      <c r="C26" s="388"/>
      <c r="D26" s="62"/>
      <c r="E26" s="62">
        <v>55719</v>
      </c>
      <c r="F26" s="388"/>
      <c r="G26" s="26">
        <v>5</v>
      </c>
      <c r="H26" s="410"/>
      <c r="I26" s="411">
        <f t="shared" si="0"/>
        <v>0</v>
      </c>
    </row>
    <row r="27" spans="1:9" x14ac:dyDescent="0.35">
      <c r="A27" s="258" t="s">
        <v>1323</v>
      </c>
      <c r="B27" s="62" t="s">
        <v>642</v>
      </c>
      <c r="C27" s="388"/>
      <c r="D27" s="62"/>
      <c r="E27" s="62">
        <v>55719</v>
      </c>
      <c r="F27" s="388"/>
      <c r="G27" s="26">
        <v>5</v>
      </c>
      <c r="H27" s="314"/>
      <c r="I27" s="411">
        <f t="shared" si="0"/>
        <v>0</v>
      </c>
    </row>
    <row r="28" spans="1:9" x14ac:dyDescent="0.35">
      <c r="A28" s="258" t="s">
        <v>1211</v>
      </c>
      <c r="B28" s="62" t="s">
        <v>604</v>
      </c>
      <c r="C28" s="388"/>
      <c r="D28" s="62"/>
      <c r="E28" s="62">
        <v>55719</v>
      </c>
      <c r="F28" s="388"/>
      <c r="G28" s="26">
        <v>1</v>
      </c>
      <c r="H28" s="314"/>
      <c r="I28" s="411">
        <f t="shared" si="0"/>
        <v>0</v>
      </c>
    </row>
    <row r="29" spans="1:9" ht="31" x14ac:dyDescent="0.35">
      <c r="A29" s="258" t="s">
        <v>1416</v>
      </c>
      <c r="B29" s="62" t="s">
        <v>672</v>
      </c>
      <c r="C29" s="388"/>
      <c r="D29" s="62"/>
      <c r="E29" s="62">
        <v>55719</v>
      </c>
      <c r="F29" s="388"/>
      <c r="G29" s="26">
        <v>1</v>
      </c>
      <c r="H29" s="314"/>
      <c r="I29" s="411">
        <f t="shared" si="0"/>
        <v>0</v>
      </c>
    </row>
    <row r="30" spans="1:9" x14ac:dyDescent="0.35">
      <c r="A30" s="258" t="s">
        <v>1419</v>
      </c>
      <c r="B30" s="62" t="s">
        <v>663</v>
      </c>
      <c r="C30" s="388"/>
      <c r="D30" s="62"/>
      <c r="E30" s="62">
        <v>55719</v>
      </c>
      <c r="F30" s="388"/>
      <c r="G30" s="26">
        <v>5</v>
      </c>
      <c r="H30" s="314"/>
      <c r="I30" s="411">
        <f t="shared" si="0"/>
        <v>0</v>
      </c>
    </row>
    <row r="31" spans="1:9" x14ac:dyDescent="0.35">
      <c r="A31" s="258" t="s">
        <v>1417</v>
      </c>
      <c r="B31" s="62" t="s">
        <v>551</v>
      </c>
      <c r="C31" s="388"/>
      <c r="D31" s="62"/>
      <c r="E31" s="62">
        <v>55719</v>
      </c>
      <c r="F31" s="388"/>
      <c r="G31" s="26">
        <v>5</v>
      </c>
      <c r="H31" s="314"/>
      <c r="I31" s="411">
        <f t="shared" si="0"/>
        <v>0</v>
      </c>
    </row>
    <row r="32" spans="1:9" ht="31" x14ac:dyDescent="0.35">
      <c r="A32" s="258" t="s">
        <v>1422</v>
      </c>
      <c r="B32" s="62" t="s">
        <v>155</v>
      </c>
      <c r="C32" s="388"/>
      <c r="D32" s="62"/>
      <c r="E32" s="62">
        <v>55719</v>
      </c>
      <c r="F32" s="388"/>
      <c r="G32" s="26">
        <v>1</v>
      </c>
      <c r="H32" s="314"/>
      <c r="I32" s="411">
        <f t="shared" si="0"/>
        <v>0</v>
      </c>
    </row>
    <row r="33" spans="1:9" x14ac:dyDescent="0.35">
      <c r="A33" s="258" t="s">
        <v>1421</v>
      </c>
      <c r="B33" s="62" t="s">
        <v>664</v>
      </c>
      <c r="C33" s="388"/>
      <c r="D33" s="62"/>
      <c r="E33" s="62">
        <v>55719</v>
      </c>
      <c r="F33" s="388"/>
      <c r="G33" s="26">
        <v>5</v>
      </c>
      <c r="H33" s="314"/>
      <c r="I33" s="411">
        <f t="shared" si="0"/>
        <v>0</v>
      </c>
    </row>
    <row r="34" spans="1:9" x14ac:dyDescent="0.35">
      <c r="A34" s="258" t="s">
        <v>1420</v>
      </c>
      <c r="B34" s="62" t="s">
        <v>552</v>
      </c>
      <c r="C34" s="388"/>
      <c r="D34" s="62"/>
      <c r="E34" s="62">
        <v>55719</v>
      </c>
      <c r="F34" s="388"/>
      <c r="G34" s="26">
        <v>5</v>
      </c>
      <c r="H34" s="314"/>
      <c r="I34" s="411">
        <f t="shared" ref="I34:I62" si="1">+G34*H34</f>
        <v>0</v>
      </c>
    </row>
    <row r="35" spans="1:9" x14ac:dyDescent="0.35">
      <c r="A35" s="258" t="s">
        <v>1418</v>
      </c>
      <c r="B35" s="62" t="s">
        <v>665</v>
      </c>
      <c r="C35" s="388"/>
      <c r="D35" s="62"/>
      <c r="E35" s="62">
        <v>55719</v>
      </c>
      <c r="F35" s="388"/>
      <c r="G35" s="26">
        <v>5</v>
      </c>
      <c r="H35" s="314"/>
      <c r="I35" s="411">
        <f t="shared" si="1"/>
        <v>0</v>
      </c>
    </row>
    <row r="36" spans="1:9" x14ac:dyDescent="0.35">
      <c r="A36" s="258" t="s">
        <v>1424</v>
      </c>
      <c r="B36" s="62" t="s">
        <v>761</v>
      </c>
      <c r="C36" s="388"/>
      <c r="D36" s="62"/>
      <c r="E36" s="62">
        <v>55719</v>
      </c>
      <c r="F36" s="388"/>
      <c r="G36" s="26">
        <v>5</v>
      </c>
      <c r="H36" s="314"/>
      <c r="I36" s="411">
        <f t="shared" si="1"/>
        <v>0</v>
      </c>
    </row>
    <row r="37" spans="1:9" x14ac:dyDescent="0.35">
      <c r="A37" s="258" t="s">
        <v>1425</v>
      </c>
      <c r="B37" s="62" t="s">
        <v>762</v>
      </c>
      <c r="C37" s="388"/>
      <c r="D37" s="62"/>
      <c r="E37" s="62">
        <v>55719</v>
      </c>
      <c r="F37" s="388"/>
      <c r="G37" s="26">
        <v>5</v>
      </c>
      <c r="H37" s="314"/>
      <c r="I37" s="411">
        <f t="shared" si="1"/>
        <v>0</v>
      </c>
    </row>
    <row r="38" spans="1:9" x14ac:dyDescent="0.35">
      <c r="A38" s="258" t="s">
        <v>1400</v>
      </c>
      <c r="B38" s="62" t="s">
        <v>1628</v>
      </c>
      <c r="C38" s="388"/>
      <c r="D38" s="62"/>
      <c r="E38" s="62">
        <v>55719</v>
      </c>
      <c r="F38" s="388"/>
      <c r="G38" s="26">
        <v>1</v>
      </c>
      <c r="H38" s="314"/>
      <c r="I38" s="411">
        <f t="shared" si="1"/>
        <v>0</v>
      </c>
    </row>
    <row r="39" spans="1:9" x14ac:dyDescent="0.35">
      <c r="A39" s="258" t="s">
        <v>1401</v>
      </c>
      <c r="B39" s="62" t="s">
        <v>1629</v>
      </c>
      <c r="C39" s="388"/>
      <c r="D39" s="62"/>
      <c r="E39" s="62">
        <v>55719</v>
      </c>
      <c r="F39" s="388"/>
      <c r="G39" s="26">
        <v>1</v>
      </c>
      <c r="H39" s="314"/>
      <c r="I39" s="411">
        <f t="shared" si="1"/>
        <v>0</v>
      </c>
    </row>
    <row r="40" spans="1:9" x14ac:dyDescent="0.35">
      <c r="A40" s="258" t="s">
        <v>1402</v>
      </c>
      <c r="B40" s="62" t="s">
        <v>1630</v>
      </c>
      <c r="C40" s="388"/>
      <c r="D40" s="62"/>
      <c r="E40" s="62">
        <v>55719</v>
      </c>
      <c r="F40" s="388"/>
      <c r="G40" s="26">
        <v>1</v>
      </c>
      <c r="H40" s="314"/>
      <c r="I40" s="411">
        <f t="shared" si="1"/>
        <v>0</v>
      </c>
    </row>
    <row r="41" spans="1:9" x14ac:dyDescent="0.35">
      <c r="A41" s="258" t="s">
        <v>1403</v>
      </c>
      <c r="B41" s="62" t="s">
        <v>1631</v>
      </c>
      <c r="C41" s="388"/>
      <c r="D41" s="62"/>
      <c r="E41" s="62">
        <v>55719</v>
      </c>
      <c r="F41" s="388"/>
      <c r="G41" s="26">
        <v>1</v>
      </c>
      <c r="H41" s="314"/>
      <c r="I41" s="411">
        <f t="shared" si="1"/>
        <v>0</v>
      </c>
    </row>
    <row r="42" spans="1:9" x14ac:dyDescent="0.35">
      <c r="A42" s="258" t="s">
        <v>1404</v>
      </c>
      <c r="B42" s="62" t="s">
        <v>1632</v>
      </c>
      <c r="C42" s="388"/>
      <c r="D42" s="62"/>
      <c r="E42" s="62">
        <v>55719</v>
      </c>
      <c r="F42" s="388"/>
      <c r="G42" s="26">
        <v>1</v>
      </c>
      <c r="H42" s="314"/>
      <c r="I42" s="411">
        <f t="shared" si="1"/>
        <v>0</v>
      </c>
    </row>
    <row r="43" spans="1:9" ht="31" x14ac:dyDescent="0.35">
      <c r="A43" s="258" t="s">
        <v>1596</v>
      </c>
      <c r="B43" s="62" t="s">
        <v>553</v>
      </c>
      <c r="C43" s="315"/>
      <c r="D43" s="62"/>
      <c r="E43" s="62">
        <v>55719</v>
      </c>
      <c r="F43" s="315"/>
      <c r="G43" s="26">
        <v>1</v>
      </c>
      <c r="H43" s="314"/>
      <c r="I43" s="411">
        <f t="shared" si="1"/>
        <v>0</v>
      </c>
    </row>
    <row r="44" spans="1:9" ht="31" x14ac:dyDescent="0.35">
      <c r="A44" s="258" t="s">
        <v>46</v>
      </c>
      <c r="B44" s="62" t="s">
        <v>207</v>
      </c>
      <c r="C44" s="340"/>
      <c r="D44" s="62"/>
      <c r="E44" s="62">
        <v>55719</v>
      </c>
      <c r="F44" s="340"/>
      <c r="G44" s="26">
        <v>1</v>
      </c>
      <c r="H44" s="314"/>
      <c r="I44" s="411">
        <f t="shared" si="1"/>
        <v>0</v>
      </c>
    </row>
    <row r="45" spans="1:9" x14ac:dyDescent="0.35">
      <c r="A45" s="258" t="s">
        <v>936</v>
      </c>
      <c r="B45" s="62" t="s">
        <v>185</v>
      </c>
      <c r="C45" s="388"/>
      <c r="D45" s="62"/>
      <c r="E45" s="62">
        <v>55719</v>
      </c>
      <c r="F45" s="388"/>
      <c r="G45" s="26">
        <v>1</v>
      </c>
      <c r="H45" s="314"/>
      <c r="I45" s="411">
        <f t="shared" si="1"/>
        <v>0</v>
      </c>
    </row>
    <row r="46" spans="1:9" x14ac:dyDescent="0.35">
      <c r="A46" s="258" t="s">
        <v>929</v>
      </c>
      <c r="B46" s="62" t="s">
        <v>20</v>
      </c>
      <c r="C46" s="388"/>
      <c r="D46" s="62"/>
      <c r="E46" s="62">
        <v>55719</v>
      </c>
      <c r="F46" s="388"/>
      <c r="G46" s="26">
        <v>2</v>
      </c>
      <c r="H46" s="314"/>
      <c r="I46" s="411">
        <f t="shared" si="1"/>
        <v>0</v>
      </c>
    </row>
    <row r="47" spans="1:9" x14ac:dyDescent="0.35">
      <c r="A47" s="258" t="s">
        <v>1084</v>
      </c>
      <c r="B47" s="62" t="s">
        <v>546</v>
      </c>
      <c r="C47" s="388"/>
      <c r="D47" s="62"/>
      <c r="E47" s="62">
        <v>55719</v>
      </c>
      <c r="F47" s="388"/>
      <c r="G47" s="26">
        <v>2</v>
      </c>
      <c r="H47" s="314"/>
      <c r="I47" s="411">
        <f t="shared" si="1"/>
        <v>0</v>
      </c>
    </row>
    <row r="48" spans="1:9" x14ac:dyDescent="0.35">
      <c r="A48" s="258" t="s">
        <v>909</v>
      </c>
      <c r="B48" s="62" t="s">
        <v>108</v>
      </c>
      <c r="C48" s="388"/>
      <c r="D48" s="62"/>
      <c r="E48" s="62">
        <v>55719</v>
      </c>
      <c r="F48" s="388"/>
      <c r="G48" s="26">
        <v>1</v>
      </c>
      <c r="H48" s="314"/>
      <c r="I48" s="411">
        <f t="shared" si="1"/>
        <v>0</v>
      </c>
    </row>
    <row r="49" spans="1:9" x14ac:dyDescent="0.35">
      <c r="A49" s="258" t="s">
        <v>1209</v>
      </c>
      <c r="B49" s="62" t="s">
        <v>554</v>
      </c>
      <c r="C49" s="388"/>
      <c r="D49" s="62"/>
      <c r="E49" s="62">
        <v>55719</v>
      </c>
      <c r="F49" s="388"/>
      <c r="G49" s="26">
        <v>1</v>
      </c>
      <c r="H49" s="314"/>
      <c r="I49" s="411">
        <f t="shared" si="1"/>
        <v>0</v>
      </c>
    </row>
    <row r="50" spans="1:9" x14ac:dyDescent="0.35">
      <c r="A50" s="258" t="s">
        <v>1626</v>
      </c>
      <c r="B50" s="62" t="s">
        <v>1624</v>
      </c>
      <c r="C50" s="388"/>
      <c r="D50" s="62"/>
      <c r="E50" s="62">
        <v>55719</v>
      </c>
      <c r="F50" s="388"/>
      <c r="G50" s="26">
        <v>1</v>
      </c>
      <c r="H50" s="314"/>
      <c r="I50" s="411">
        <f t="shared" si="1"/>
        <v>0</v>
      </c>
    </row>
    <row r="51" spans="1:9" x14ac:dyDescent="0.35">
      <c r="A51" s="258" t="s">
        <v>1214</v>
      </c>
      <c r="B51" s="62" t="s">
        <v>573</v>
      </c>
      <c r="C51" s="388"/>
      <c r="D51" s="62"/>
      <c r="E51" s="62">
        <v>55719</v>
      </c>
      <c r="F51" s="388"/>
      <c r="G51" s="26">
        <v>1</v>
      </c>
      <c r="H51" s="314"/>
      <c r="I51" s="411">
        <f t="shared" si="1"/>
        <v>0</v>
      </c>
    </row>
    <row r="52" spans="1:9" x14ac:dyDescent="0.35">
      <c r="A52" s="258" t="s">
        <v>1221</v>
      </c>
      <c r="B52" s="62" t="s">
        <v>534</v>
      </c>
      <c r="C52" s="388"/>
      <c r="D52" s="62"/>
      <c r="E52" s="62">
        <v>55719</v>
      </c>
      <c r="F52" s="388"/>
      <c r="G52" s="26">
        <v>1</v>
      </c>
      <c r="H52" s="314"/>
      <c r="I52" s="411">
        <f t="shared" si="1"/>
        <v>0</v>
      </c>
    </row>
    <row r="53" spans="1:9" x14ac:dyDescent="0.35">
      <c r="A53" s="258" t="s">
        <v>168</v>
      </c>
      <c r="B53" s="62" t="s">
        <v>536</v>
      </c>
      <c r="C53" s="388"/>
      <c r="D53" s="62"/>
      <c r="E53" s="62">
        <v>55719</v>
      </c>
      <c r="F53" s="388"/>
      <c r="G53" s="26">
        <v>1</v>
      </c>
      <c r="H53" s="314"/>
      <c r="I53" s="411">
        <f t="shared" si="1"/>
        <v>0</v>
      </c>
    </row>
    <row r="54" spans="1:9" ht="31" x14ac:dyDescent="0.35">
      <c r="A54" s="258" t="s">
        <v>2597</v>
      </c>
      <c r="B54" s="62" t="s">
        <v>428</v>
      </c>
      <c r="C54" s="388"/>
      <c r="D54" s="62"/>
      <c r="E54" s="62">
        <v>55719</v>
      </c>
      <c r="F54" s="388"/>
      <c r="G54" s="26">
        <v>1</v>
      </c>
      <c r="H54" s="314"/>
      <c r="I54" s="411">
        <f t="shared" si="1"/>
        <v>0</v>
      </c>
    </row>
    <row r="55" spans="1:9" ht="31" x14ac:dyDescent="0.35">
      <c r="A55" s="258" t="s">
        <v>2599</v>
      </c>
      <c r="B55" s="62" t="s">
        <v>555</v>
      </c>
      <c r="C55" s="388"/>
      <c r="D55" s="62"/>
      <c r="E55" s="62">
        <v>55719</v>
      </c>
      <c r="F55" s="388"/>
      <c r="G55" s="26">
        <v>1</v>
      </c>
      <c r="H55" s="314"/>
      <c r="I55" s="411">
        <f t="shared" si="1"/>
        <v>0</v>
      </c>
    </row>
    <row r="56" spans="1:9" ht="31" x14ac:dyDescent="0.35">
      <c r="A56" s="258" t="s">
        <v>2600</v>
      </c>
      <c r="B56" s="62" t="s">
        <v>556</v>
      </c>
      <c r="C56" s="388"/>
      <c r="D56" s="62"/>
      <c r="E56" s="62">
        <v>55719</v>
      </c>
      <c r="F56" s="388"/>
      <c r="G56" s="26">
        <v>1</v>
      </c>
      <c r="H56" s="314"/>
      <c r="I56" s="411">
        <f t="shared" si="1"/>
        <v>0</v>
      </c>
    </row>
    <row r="57" spans="1:9" x14ac:dyDescent="0.35">
      <c r="A57" s="258" t="s">
        <v>1286</v>
      </c>
      <c r="B57" s="62" t="s">
        <v>557</v>
      </c>
      <c r="C57" s="388"/>
      <c r="D57" s="62"/>
      <c r="E57" s="62">
        <v>55719</v>
      </c>
      <c r="F57" s="388"/>
      <c r="G57" s="26">
        <v>1</v>
      </c>
      <c r="H57" s="314"/>
      <c r="I57" s="411">
        <f t="shared" si="1"/>
        <v>0</v>
      </c>
    </row>
    <row r="58" spans="1:9" x14ac:dyDescent="0.35">
      <c r="A58" s="258" t="s">
        <v>1301</v>
      </c>
      <c r="B58" s="62" t="s">
        <v>1615</v>
      </c>
      <c r="C58" s="388"/>
      <c r="D58" s="62"/>
      <c r="E58" s="62">
        <v>55719</v>
      </c>
      <c r="F58" s="388"/>
      <c r="G58" s="26">
        <v>1</v>
      </c>
      <c r="H58" s="314"/>
      <c r="I58" s="411">
        <f t="shared" si="1"/>
        <v>0</v>
      </c>
    </row>
    <row r="59" spans="1:9" x14ac:dyDescent="0.35">
      <c r="A59" s="258" t="s">
        <v>2365</v>
      </c>
      <c r="B59" s="62" t="s">
        <v>610</v>
      </c>
      <c r="C59" s="388"/>
      <c r="D59" s="62"/>
      <c r="E59" s="62">
        <v>55719</v>
      </c>
      <c r="F59" s="388"/>
      <c r="G59" s="26">
        <v>1</v>
      </c>
      <c r="H59" s="410"/>
      <c r="I59" s="411">
        <f t="shared" si="1"/>
        <v>0</v>
      </c>
    </row>
    <row r="60" spans="1:9" x14ac:dyDescent="0.35">
      <c r="A60" s="258" t="s">
        <v>1354</v>
      </c>
      <c r="B60" s="62" t="s">
        <v>613</v>
      </c>
      <c r="C60" s="388"/>
      <c r="D60" s="62"/>
      <c r="E60" s="62">
        <v>55719</v>
      </c>
      <c r="F60" s="388"/>
      <c r="G60" s="26">
        <v>1</v>
      </c>
      <c r="H60" s="410"/>
      <c r="I60" s="411">
        <f t="shared" si="1"/>
        <v>0</v>
      </c>
    </row>
    <row r="61" spans="1:9" x14ac:dyDescent="0.35">
      <c r="A61" s="258" t="s">
        <v>1346</v>
      </c>
      <c r="B61" s="62" t="s">
        <v>760</v>
      </c>
      <c r="C61" s="388"/>
      <c r="D61" s="62"/>
      <c r="E61" s="62">
        <v>55719</v>
      </c>
      <c r="F61" s="388"/>
      <c r="G61" s="26">
        <v>1</v>
      </c>
      <c r="H61" s="410"/>
      <c r="I61" s="411">
        <f t="shared" si="1"/>
        <v>0</v>
      </c>
    </row>
    <row r="62" spans="1:9" ht="31" x14ac:dyDescent="0.35">
      <c r="A62" s="258" t="s">
        <v>1383</v>
      </c>
      <c r="B62" s="62" t="s">
        <v>243</v>
      </c>
      <c r="C62" s="388"/>
      <c r="D62" s="62"/>
      <c r="E62" s="62">
        <v>55719</v>
      </c>
      <c r="F62" s="388"/>
      <c r="G62" s="26">
        <v>1</v>
      </c>
      <c r="H62" s="410"/>
      <c r="I62" s="411">
        <f t="shared" si="1"/>
        <v>0</v>
      </c>
    </row>
    <row r="63" spans="1:9" x14ac:dyDescent="0.35">
      <c r="A63" s="258" t="s">
        <v>1428</v>
      </c>
      <c r="B63" s="62" t="s">
        <v>442</v>
      </c>
      <c r="C63" s="388"/>
      <c r="D63" s="62"/>
      <c r="E63" s="62">
        <v>55719</v>
      </c>
      <c r="F63" s="388"/>
      <c r="G63" s="26">
        <v>1</v>
      </c>
      <c r="H63" s="411" t="s">
        <v>2693</v>
      </c>
      <c r="I63" s="411" t="s">
        <v>2698</v>
      </c>
    </row>
    <row r="64" spans="1:9" x14ac:dyDescent="0.35">
      <c r="A64" s="258" t="s">
        <v>1449</v>
      </c>
      <c r="B64" s="62" t="s">
        <v>670</v>
      </c>
      <c r="C64" s="388"/>
      <c r="D64" s="62"/>
      <c r="E64" s="62">
        <v>55719</v>
      </c>
      <c r="F64" s="388"/>
      <c r="G64" s="26">
        <v>1</v>
      </c>
      <c r="H64" s="410"/>
      <c r="I64" s="411">
        <f t="shared" ref="I64:I75" si="2">+G64*H64</f>
        <v>0</v>
      </c>
    </row>
    <row r="65" spans="1:9" x14ac:dyDescent="0.35">
      <c r="A65" s="258" t="s">
        <v>1042</v>
      </c>
      <c r="B65" s="62" t="s">
        <v>429</v>
      </c>
      <c r="C65" s="388"/>
      <c r="D65" s="62"/>
      <c r="E65" s="62">
        <v>55719</v>
      </c>
      <c r="F65" s="388"/>
      <c r="G65" s="26">
        <v>1</v>
      </c>
      <c r="H65" s="410"/>
      <c r="I65" s="411">
        <f t="shared" si="2"/>
        <v>0</v>
      </c>
    </row>
    <row r="66" spans="1:9" x14ac:dyDescent="0.35">
      <c r="A66" s="258" t="s">
        <v>1109</v>
      </c>
      <c r="B66" s="62" t="s">
        <v>340</v>
      </c>
      <c r="C66" s="388"/>
      <c r="D66" s="62"/>
      <c r="E66" s="62">
        <v>55719</v>
      </c>
      <c r="F66" s="388"/>
      <c r="G66" s="26">
        <v>1</v>
      </c>
      <c r="H66" s="410"/>
      <c r="I66" s="411">
        <f t="shared" si="2"/>
        <v>0</v>
      </c>
    </row>
    <row r="67" spans="1:9" x14ac:dyDescent="0.35">
      <c r="A67" s="258" t="s">
        <v>362</v>
      </c>
      <c r="B67" s="62" t="s">
        <v>431</v>
      </c>
      <c r="C67" s="388"/>
      <c r="D67" s="62"/>
      <c r="E67" s="62">
        <v>55719</v>
      </c>
      <c r="F67" s="388"/>
      <c r="G67" s="26">
        <v>1</v>
      </c>
      <c r="H67" s="410"/>
      <c r="I67" s="411">
        <f t="shared" si="2"/>
        <v>0</v>
      </c>
    </row>
    <row r="68" spans="1:9" x14ac:dyDescent="0.35">
      <c r="A68" s="258" t="s">
        <v>1380</v>
      </c>
      <c r="B68" s="62" t="s">
        <v>361</v>
      </c>
      <c r="C68" s="388"/>
      <c r="D68" s="62"/>
      <c r="E68" s="62">
        <v>55719</v>
      </c>
      <c r="F68" s="388"/>
      <c r="G68" s="26">
        <v>1</v>
      </c>
      <c r="H68" s="410"/>
      <c r="I68" s="411">
        <f t="shared" si="2"/>
        <v>0</v>
      </c>
    </row>
    <row r="69" spans="1:9" x14ac:dyDescent="0.35">
      <c r="A69" s="258" t="s">
        <v>169</v>
      </c>
      <c r="B69" s="62" t="s">
        <v>1607</v>
      </c>
      <c r="C69" s="388"/>
      <c r="D69" s="62"/>
      <c r="E69" s="62">
        <v>55719</v>
      </c>
      <c r="F69" s="388"/>
      <c r="G69" s="26">
        <v>2</v>
      </c>
      <c r="H69" s="410"/>
      <c r="I69" s="411">
        <f t="shared" si="2"/>
        <v>0</v>
      </c>
    </row>
    <row r="70" spans="1:9" x14ac:dyDescent="0.35">
      <c r="A70" s="258" t="s">
        <v>166</v>
      </c>
      <c r="B70" s="62" t="s">
        <v>2230</v>
      </c>
      <c r="C70" s="388"/>
      <c r="D70" s="62"/>
      <c r="E70" s="62">
        <v>55719</v>
      </c>
      <c r="F70" s="388"/>
      <c r="G70" s="26">
        <v>1</v>
      </c>
      <c r="H70" s="410"/>
      <c r="I70" s="411">
        <f t="shared" si="2"/>
        <v>0</v>
      </c>
    </row>
    <row r="71" spans="1:9" x14ac:dyDescent="0.35">
      <c r="A71" s="258" t="s">
        <v>167</v>
      </c>
      <c r="B71" s="62" t="s">
        <v>2231</v>
      </c>
      <c r="C71" s="388"/>
      <c r="D71" s="62"/>
      <c r="E71" s="62">
        <v>55719</v>
      </c>
      <c r="F71" s="388"/>
      <c r="G71" s="26">
        <v>1</v>
      </c>
      <c r="H71" s="410"/>
      <c r="I71" s="411">
        <f t="shared" si="2"/>
        <v>0</v>
      </c>
    </row>
    <row r="72" spans="1:9" x14ac:dyDescent="0.35">
      <c r="A72" s="258" t="s">
        <v>165</v>
      </c>
      <c r="B72" s="62" t="s">
        <v>2232</v>
      </c>
      <c r="C72" s="315"/>
      <c r="D72" s="62"/>
      <c r="E72" s="62">
        <v>55719</v>
      </c>
      <c r="F72" s="315"/>
      <c r="G72" s="26">
        <v>1</v>
      </c>
      <c r="H72" s="410"/>
      <c r="I72" s="411">
        <f t="shared" si="2"/>
        <v>0</v>
      </c>
    </row>
    <row r="73" spans="1:9" x14ac:dyDescent="0.35">
      <c r="A73" s="258" t="s">
        <v>2360</v>
      </c>
      <c r="B73" s="62" t="s">
        <v>358</v>
      </c>
      <c r="C73" s="340"/>
      <c r="D73" s="62"/>
      <c r="E73" s="62">
        <v>55719</v>
      </c>
      <c r="F73" s="340"/>
      <c r="G73" s="26">
        <v>1</v>
      </c>
      <c r="H73" s="410"/>
      <c r="I73" s="411">
        <f t="shared" si="2"/>
        <v>0</v>
      </c>
    </row>
    <row r="74" spans="1:9" x14ac:dyDescent="0.35">
      <c r="A74" s="258" t="s">
        <v>1282</v>
      </c>
      <c r="B74" s="62" t="s">
        <v>550</v>
      </c>
      <c r="C74" s="315"/>
      <c r="D74" s="62"/>
      <c r="E74" s="62">
        <v>55719</v>
      </c>
      <c r="F74" s="388"/>
      <c r="G74" s="26">
        <v>1</v>
      </c>
      <c r="H74" s="410"/>
      <c r="I74" s="411">
        <f t="shared" si="2"/>
        <v>0</v>
      </c>
    </row>
    <row r="75" spans="1:9" x14ac:dyDescent="0.35">
      <c r="A75" s="258" t="s">
        <v>19</v>
      </c>
      <c r="B75" s="62" t="s">
        <v>242</v>
      </c>
      <c r="C75" s="315"/>
      <c r="D75" s="62"/>
      <c r="E75" s="62">
        <v>55719</v>
      </c>
      <c r="F75" s="388"/>
      <c r="G75" s="26">
        <v>1</v>
      </c>
      <c r="H75" s="410"/>
      <c r="I75" s="411">
        <f t="shared" si="2"/>
        <v>0</v>
      </c>
    </row>
    <row r="76" spans="1:9" x14ac:dyDescent="0.35">
      <c r="F76"/>
      <c r="I76" s="412">
        <f>SUM(I2:I75)</f>
        <v>0</v>
      </c>
    </row>
    <row r="77" spans="1:9" x14ac:dyDescent="0.35">
      <c r="F77"/>
    </row>
    <row r="78" spans="1:9" x14ac:dyDescent="0.35">
      <c r="F78"/>
    </row>
    <row r="79" spans="1:9" ht="17.5" x14ac:dyDescent="0.35">
      <c r="A79" s="309" t="s">
        <v>1521</v>
      </c>
      <c r="B79" s="312"/>
      <c r="C79" s="249"/>
      <c r="D79" s="3"/>
      <c r="E79" s="3"/>
      <c r="F79"/>
      <c r="G79" s="3"/>
      <c r="H79" s="37"/>
      <c r="I79" s="4"/>
    </row>
    <row r="80" spans="1:9" ht="17.5" x14ac:dyDescent="0.35">
      <c r="A80" s="309" t="s">
        <v>2460</v>
      </c>
      <c r="B80" s="312"/>
      <c r="C80" s="249"/>
      <c r="D80" s="3"/>
      <c r="E80" s="3"/>
      <c r="F80"/>
      <c r="G80" s="3"/>
      <c r="H80" s="37"/>
      <c r="I80" s="4"/>
    </row>
    <row r="81" spans="1:9" ht="17.5" x14ac:dyDescent="0.35">
      <c r="A81" s="316" t="s">
        <v>2610</v>
      </c>
      <c r="B81" s="312"/>
      <c r="C81" s="249"/>
      <c r="D81" s="249"/>
      <c r="E81" s="249"/>
      <c r="F81"/>
      <c r="G81" s="249"/>
      <c r="H81" s="250"/>
      <c r="I81" s="248"/>
    </row>
    <row r="82" spans="1:9" ht="18" x14ac:dyDescent="0.4">
      <c r="A82" s="308" t="s">
        <v>2694</v>
      </c>
      <c r="B82" s="413">
        <f>+I76</f>
        <v>0</v>
      </c>
      <c r="C82" s="249"/>
      <c r="D82" s="249"/>
      <c r="E82" s="249"/>
      <c r="F82"/>
      <c r="G82" s="249"/>
      <c r="H82" s="250"/>
      <c r="I82" s="248"/>
    </row>
    <row r="83" spans="1:9" x14ac:dyDescent="0.35">
      <c r="F83"/>
    </row>
    <row r="84" spans="1:9" x14ac:dyDescent="0.35">
      <c r="F84"/>
    </row>
    <row r="85" spans="1:9" x14ac:dyDescent="0.35">
      <c r="F85"/>
    </row>
    <row r="86" spans="1:9" x14ac:dyDescent="0.35">
      <c r="F86"/>
    </row>
    <row r="87" spans="1:9" x14ac:dyDescent="0.35">
      <c r="F87"/>
    </row>
    <row r="88" spans="1:9" x14ac:dyDescent="0.35">
      <c r="F88"/>
    </row>
    <row r="89" spans="1:9" x14ac:dyDescent="0.35">
      <c r="F89"/>
    </row>
    <row r="90" spans="1:9" x14ac:dyDescent="0.35">
      <c r="F90"/>
    </row>
    <row r="91" spans="1:9" x14ac:dyDescent="0.35">
      <c r="F91"/>
    </row>
    <row r="92" spans="1:9" x14ac:dyDescent="0.35">
      <c r="F92"/>
    </row>
    <row r="93" spans="1:9" x14ac:dyDescent="0.35">
      <c r="F93"/>
    </row>
    <row r="94" spans="1:9" s="182" customFormat="1" x14ac:dyDescent="0.35">
      <c r="A94" s="16"/>
      <c r="B94" s="17"/>
      <c r="C94" s="17"/>
      <c r="D94" s="17"/>
      <c r="E94" s="17"/>
      <c r="F94"/>
      <c r="G94" s="17"/>
      <c r="H94" s="16"/>
      <c r="I94" s="16"/>
    </row>
    <row r="95" spans="1:9" x14ac:dyDescent="0.35">
      <c r="F95"/>
    </row>
    <row r="96" spans="1:9" x14ac:dyDescent="0.35">
      <c r="F96"/>
    </row>
    <row r="97" spans="1:9" x14ac:dyDescent="0.35">
      <c r="F97"/>
    </row>
    <row r="98" spans="1:9" x14ac:dyDescent="0.35">
      <c r="F98"/>
    </row>
    <row r="99" spans="1:9" x14ac:dyDescent="0.35">
      <c r="F99"/>
    </row>
    <row r="100" spans="1:9" x14ac:dyDescent="0.35">
      <c r="F100"/>
    </row>
    <row r="101" spans="1:9" x14ac:dyDescent="0.35">
      <c r="F101"/>
    </row>
    <row r="102" spans="1:9" x14ac:dyDescent="0.35">
      <c r="F102"/>
    </row>
    <row r="103" spans="1:9" x14ac:dyDescent="0.35">
      <c r="F103"/>
    </row>
    <row r="104" spans="1:9" x14ac:dyDescent="0.35">
      <c r="F104"/>
    </row>
    <row r="105" spans="1:9" x14ac:dyDescent="0.35">
      <c r="F105"/>
    </row>
    <row r="106" spans="1:9" x14ac:dyDescent="0.35">
      <c r="F106"/>
    </row>
    <row r="107" spans="1:9" s="182" customFormat="1" x14ac:dyDescent="0.35">
      <c r="A107" s="16"/>
      <c r="B107" s="17"/>
      <c r="C107" s="17"/>
      <c r="D107" s="17"/>
      <c r="E107" s="17"/>
      <c r="F107"/>
      <c r="G107" s="17"/>
      <c r="H107" s="16"/>
      <c r="I107" s="16"/>
    </row>
    <row r="108" spans="1:9" x14ac:dyDescent="0.35">
      <c r="F108"/>
    </row>
    <row r="109" spans="1:9" x14ac:dyDescent="0.35">
      <c r="F109"/>
    </row>
    <row r="110" spans="1:9" x14ac:dyDescent="0.35">
      <c r="F110"/>
    </row>
    <row r="111" spans="1:9" x14ac:dyDescent="0.35">
      <c r="F111"/>
    </row>
    <row r="112" spans="1:9" x14ac:dyDescent="0.35">
      <c r="F112"/>
    </row>
    <row r="113" spans="6:6" x14ac:dyDescent="0.35">
      <c r="F113"/>
    </row>
    <row r="114" spans="6:6" x14ac:dyDescent="0.35">
      <c r="F114"/>
    </row>
    <row r="115" spans="6:6" x14ac:dyDescent="0.35">
      <c r="F115"/>
    </row>
    <row r="130" spans="1:9" s="4" customFormat="1" ht="17.5" x14ac:dyDescent="0.35">
      <c r="A130" s="16"/>
      <c r="B130" s="17"/>
      <c r="C130" s="17"/>
      <c r="D130" s="17"/>
      <c r="E130" s="17"/>
      <c r="F130" s="251"/>
      <c r="G130" s="17"/>
      <c r="H130" s="16"/>
      <c r="I130" s="16"/>
    </row>
    <row r="131" spans="1:9" s="4" customFormat="1" ht="17.5" x14ac:dyDescent="0.35">
      <c r="A131" s="16"/>
      <c r="B131" s="17"/>
      <c r="C131" s="17"/>
      <c r="D131" s="17"/>
      <c r="E131" s="17"/>
      <c r="F131" s="251"/>
      <c r="G131" s="17"/>
      <c r="H131" s="16"/>
      <c r="I131" s="16"/>
    </row>
    <row r="132" spans="1:9" s="248" customFormat="1" ht="17.5" x14ac:dyDescent="0.35">
      <c r="A132" s="16"/>
      <c r="B132" s="17"/>
      <c r="C132" s="17"/>
      <c r="D132" s="17"/>
      <c r="E132" s="17"/>
      <c r="F132" s="251"/>
      <c r="G132" s="17"/>
      <c r="H132" s="16"/>
      <c r="I132" s="16"/>
    </row>
    <row r="133" spans="1:9" s="248" customFormat="1" ht="17.5" x14ac:dyDescent="0.35">
      <c r="A133" s="16"/>
      <c r="B133" s="17"/>
      <c r="C133" s="17"/>
      <c r="D133" s="17"/>
      <c r="E133" s="17"/>
      <c r="F133" s="251"/>
      <c r="G133" s="17"/>
      <c r="H133" s="16"/>
      <c r="I133" s="16"/>
    </row>
  </sheetData>
  <pageMargins left="0.5" right="0.5" top="0.5" bottom="0.5" header="0.3" footer="0.3"/>
  <pageSetup scale="6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2"/>
  <sheetViews>
    <sheetView workbookViewId="0">
      <pane ySplit="1" topLeftCell="A2" activePane="bottomLeft" state="frozen"/>
      <selection activeCell="G1" sqref="G1:G1048576"/>
      <selection pane="bottomLeft" activeCell="E2" sqref="E2"/>
    </sheetView>
  </sheetViews>
  <sheetFormatPr defaultColWidth="9.08984375" defaultRowHeight="15.5" x14ac:dyDescent="0.35"/>
  <cols>
    <col min="1" max="1" width="56.453125" style="137" bestFit="1" customWidth="1"/>
    <col min="2" max="2" width="16.453125" style="76" bestFit="1" customWidth="1"/>
    <col min="3" max="3" width="24.6328125" style="76" customWidth="1"/>
    <col min="4" max="4" width="22.90625" style="76" bestFit="1" customWidth="1"/>
    <col min="5" max="5" width="26.453125" style="76" bestFit="1" customWidth="1"/>
    <col min="6" max="6" width="18" style="251" customWidth="1"/>
    <col min="7" max="7" width="11.90625" style="76" customWidth="1"/>
    <col min="8" max="8" width="13.08984375" style="415" customWidth="1"/>
    <col min="9" max="9" width="18.6328125" style="386" customWidth="1"/>
    <col min="10" max="10" width="18" style="106" bestFit="1" customWidth="1"/>
    <col min="11" max="16384" width="9.08984375" style="106"/>
  </cols>
  <sheetData>
    <row r="1" spans="1:9" x14ac:dyDescent="0.35">
      <c r="A1" s="553" t="s">
        <v>0</v>
      </c>
      <c r="B1" s="85" t="s">
        <v>1</v>
      </c>
      <c r="C1" s="281" t="s">
        <v>2700</v>
      </c>
      <c r="D1" s="21" t="s">
        <v>1598</v>
      </c>
      <c r="E1" s="21" t="s">
        <v>1599</v>
      </c>
      <c r="F1" s="261" t="s">
        <v>2699</v>
      </c>
      <c r="G1" s="85" t="s">
        <v>364</v>
      </c>
      <c r="H1" s="409" t="s">
        <v>2695</v>
      </c>
      <c r="I1" s="404" t="s">
        <v>2696</v>
      </c>
    </row>
    <row r="2" spans="1:9" x14ac:dyDescent="0.35">
      <c r="A2" s="554" t="s">
        <v>2612</v>
      </c>
      <c r="B2" s="62" t="s">
        <v>2605</v>
      </c>
      <c r="C2" s="315"/>
      <c r="D2" s="62" t="s">
        <v>2605</v>
      </c>
      <c r="E2" s="62">
        <v>55719</v>
      </c>
      <c r="F2" s="388"/>
      <c r="G2" s="31">
        <v>1</v>
      </c>
      <c r="H2" s="414"/>
      <c r="I2" s="419">
        <f t="shared" ref="I2:I32" si="0">+G2*H2</f>
        <v>0</v>
      </c>
    </row>
    <row r="3" spans="1:9" x14ac:dyDescent="0.35">
      <c r="A3" s="554" t="s">
        <v>1347</v>
      </c>
      <c r="B3" s="62">
        <v>1992</v>
      </c>
      <c r="C3" s="315"/>
      <c r="D3" s="62"/>
      <c r="E3" s="62">
        <v>55719</v>
      </c>
      <c r="F3" s="388"/>
      <c r="G3" s="31">
        <v>1</v>
      </c>
      <c r="H3" s="414"/>
      <c r="I3" s="419">
        <f t="shared" si="0"/>
        <v>0</v>
      </c>
    </row>
    <row r="4" spans="1:9" x14ac:dyDescent="0.35">
      <c r="A4" s="554" t="s">
        <v>1315</v>
      </c>
      <c r="B4" s="203" t="s">
        <v>803</v>
      </c>
      <c r="C4" s="315"/>
      <c r="D4" s="203"/>
      <c r="E4" s="203">
        <v>55719</v>
      </c>
      <c r="F4" s="388"/>
      <c r="G4" s="31">
        <v>1</v>
      </c>
      <c r="H4" s="414"/>
      <c r="I4" s="419">
        <f t="shared" si="0"/>
        <v>0</v>
      </c>
    </row>
    <row r="5" spans="1:9" x14ac:dyDescent="0.35">
      <c r="A5" s="554" t="s">
        <v>1316</v>
      </c>
      <c r="B5" s="62" t="s">
        <v>804</v>
      </c>
      <c r="C5" s="315"/>
      <c r="D5" s="62"/>
      <c r="E5" s="62">
        <v>55719</v>
      </c>
      <c r="F5" s="388"/>
      <c r="G5" s="31">
        <v>1</v>
      </c>
      <c r="H5" s="414"/>
      <c r="I5" s="419">
        <f t="shared" si="0"/>
        <v>0</v>
      </c>
    </row>
    <row r="6" spans="1:9" x14ac:dyDescent="0.35">
      <c r="A6" s="554" t="s">
        <v>1332</v>
      </c>
      <c r="B6" s="62" t="s">
        <v>2328</v>
      </c>
      <c r="C6" s="315"/>
      <c r="D6" s="62"/>
      <c r="E6" s="62">
        <v>55719</v>
      </c>
      <c r="F6" s="388"/>
      <c r="G6" s="31">
        <v>1</v>
      </c>
      <c r="H6" s="414"/>
      <c r="I6" s="419">
        <f t="shared" si="0"/>
        <v>0</v>
      </c>
    </row>
    <row r="7" spans="1:9" x14ac:dyDescent="0.35">
      <c r="A7" s="554" t="s">
        <v>16</v>
      </c>
      <c r="B7" s="62" t="s">
        <v>360</v>
      </c>
      <c r="C7" s="315"/>
      <c r="D7" s="62"/>
      <c r="E7" s="62">
        <v>55719</v>
      </c>
      <c r="F7" s="388"/>
      <c r="G7" s="31">
        <v>1</v>
      </c>
      <c r="H7" s="414"/>
      <c r="I7" s="419">
        <f t="shared" si="0"/>
        <v>0</v>
      </c>
    </row>
    <row r="8" spans="1:9" x14ac:dyDescent="0.35">
      <c r="A8" s="554" t="s">
        <v>2443</v>
      </c>
      <c r="B8" s="62" t="s">
        <v>2439</v>
      </c>
      <c r="C8" s="315"/>
      <c r="D8" s="62"/>
      <c r="E8" s="62">
        <v>55719</v>
      </c>
      <c r="F8" s="388"/>
      <c r="G8" s="31">
        <v>1</v>
      </c>
      <c r="H8" s="414"/>
      <c r="I8" s="419">
        <f t="shared" si="0"/>
        <v>0</v>
      </c>
    </row>
    <row r="9" spans="1:9" x14ac:dyDescent="0.35">
      <c r="A9" s="554" t="s">
        <v>15</v>
      </c>
      <c r="B9" s="62" t="s">
        <v>424</v>
      </c>
      <c r="C9" s="315"/>
      <c r="D9" s="62"/>
      <c r="E9" s="62">
        <v>55719</v>
      </c>
      <c r="F9" s="388"/>
      <c r="G9" s="31">
        <v>1</v>
      </c>
      <c r="H9" s="414"/>
      <c r="I9" s="419">
        <f t="shared" si="0"/>
        <v>0</v>
      </c>
    </row>
    <row r="10" spans="1:9" x14ac:dyDescent="0.35">
      <c r="A10" s="554" t="s">
        <v>883</v>
      </c>
      <c r="B10" s="62" t="s">
        <v>235</v>
      </c>
      <c r="C10" s="315"/>
      <c r="D10" s="62"/>
      <c r="E10" s="62">
        <v>55719</v>
      </c>
      <c r="F10" s="388"/>
      <c r="G10" s="31">
        <v>2</v>
      </c>
      <c r="H10" s="414"/>
      <c r="I10" s="419">
        <f t="shared" si="0"/>
        <v>0</v>
      </c>
    </row>
    <row r="11" spans="1:9" x14ac:dyDescent="0.35">
      <c r="A11" s="554" t="s">
        <v>935</v>
      </c>
      <c r="B11" s="62" t="s">
        <v>359</v>
      </c>
      <c r="C11" s="315"/>
      <c r="D11" s="62"/>
      <c r="E11" s="62">
        <v>55719</v>
      </c>
      <c r="F11" s="388"/>
      <c r="G11" s="31">
        <v>5</v>
      </c>
      <c r="H11" s="414"/>
      <c r="I11" s="419">
        <f t="shared" si="0"/>
        <v>0</v>
      </c>
    </row>
    <row r="12" spans="1:9" x14ac:dyDescent="0.35">
      <c r="A12" s="554" t="s">
        <v>936</v>
      </c>
      <c r="B12" s="62" t="s">
        <v>185</v>
      </c>
      <c r="C12" s="315"/>
      <c r="D12" s="62"/>
      <c r="E12" s="62">
        <v>55719</v>
      </c>
      <c r="F12" s="388"/>
      <c r="G12" s="31">
        <v>5</v>
      </c>
      <c r="H12" s="414"/>
      <c r="I12" s="419">
        <f t="shared" si="0"/>
        <v>0</v>
      </c>
    </row>
    <row r="13" spans="1:9" x14ac:dyDescent="0.35">
      <c r="A13" s="554" t="s">
        <v>889</v>
      </c>
      <c r="B13" s="62" t="s">
        <v>227</v>
      </c>
      <c r="C13" s="315"/>
      <c r="D13" s="62"/>
      <c r="E13" s="62">
        <v>55719</v>
      </c>
      <c r="F13" s="388"/>
      <c r="G13" s="31">
        <v>4</v>
      </c>
      <c r="H13" s="414"/>
      <c r="I13" s="419">
        <f t="shared" si="0"/>
        <v>0</v>
      </c>
    </row>
    <row r="14" spans="1:9" x14ac:dyDescent="0.35">
      <c r="A14" s="554" t="s">
        <v>890</v>
      </c>
      <c r="B14" s="62" t="s">
        <v>228</v>
      </c>
      <c r="C14" s="315"/>
      <c r="D14" s="62"/>
      <c r="E14" s="62">
        <v>55719</v>
      </c>
      <c r="F14" s="388"/>
      <c r="G14" s="31">
        <v>4</v>
      </c>
      <c r="H14" s="414"/>
      <c r="I14" s="419">
        <f t="shared" si="0"/>
        <v>0</v>
      </c>
    </row>
    <row r="15" spans="1:9" x14ac:dyDescent="0.35">
      <c r="A15" s="554" t="s">
        <v>6</v>
      </c>
      <c r="B15" s="62" t="s">
        <v>87</v>
      </c>
      <c r="C15" s="315"/>
      <c r="D15" s="62"/>
      <c r="E15" s="62">
        <v>55719</v>
      </c>
      <c r="F15" s="388"/>
      <c r="G15" s="31">
        <v>1</v>
      </c>
      <c r="H15" s="414"/>
      <c r="I15" s="419">
        <f t="shared" si="0"/>
        <v>0</v>
      </c>
    </row>
    <row r="16" spans="1:9" x14ac:dyDescent="0.35">
      <c r="A16" s="554" t="s">
        <v>1084</v>
      </c>
      <c r="B16" s="62" t="s">
        <v>546</v>
      </c>
      <c r="C16" s="315"/>
      <c r="D16" s="62"/>
      <c r="E16" s="62">
        <v>55719</v>
      </c>
      <c r="F16" s="388"/>
      <c r="G16" s="31">
        <v>2</v>
      </c>
      <c r="H16" s="414"/>
      <c r="I16" s="419">
        <f t="shared" si="0"/>
        <v>0</v>
      </c>
    </row>
    <row r="17" spans="1:9" x14ac:dyDescent="0.35">
      <c r="A17" s="554" t="s">
        <v>1626</v>
      </c>
      <c r="B17" s="62" t="s">
        <v>1624</v>
      </c>
      <c r="C17" s="315"/>
      <c r="D17" s="62"/>
      <c r="E17" s="220">
        <v>55719</v>
      </c>
      <c r="F17" s="388"/>
      <c r="G17" s="31">
        <v>2</v>
      </c>
      <c r="H17" s="414"/>
      <c r="I17" s="419">
        <f t="shared" si="0"/>
        <v>0</v>
      </c>
    </row>
    <row r="18" spans="1:9" x14ac:dyDescent="0.35">
      <c r="A18" s="554" t="s">
        <v>141</v>
      </c>
      <c r="B18" s="62" t="s">
        <v>668</v>
      </c>
      <c r="C18" s="315"/>
      <c r="D18" s="62"/>
      <c r="E18" s="220">
        <v>55719</v>
      </c>
      <c r="F18" s="388"/>
      <c r="G18" s="31">
        <v>2</v>
      </c>
      <c r="H18" s="414"/>
      <c r="I18" s="419">
        <f t="shared" si="0"/>
        <v>0</v>
      </c>
    </row>
    <row r="19" spans="1:9" x14ac:dyDescent="0.35">
      <c r="A19" s="554" t="s">
        <v>168</v>
      </c>
      <c r="B19" s="62" t="s">
        <v>536</v>
      </c>
      <c r="C19" s="315"/>
      <c r="D19" s="62"/>
      <c r="E19" s="62">
        <v>55719</v>
      </c>
      <c r="F19" s="388"/>
      <c r="G19" s="31">
        <v>2</v>
      </c>
      <c r="H19" s="414"/>
      <c r="I19" s="419">
        <f t="shared" si="0"/>
        <v>0</v>
      </c>
    </row>
    <row r="20" spans="1:9" x14ac:dyDescent="0.35">
      <c r="A20" s="554" t="s">
        <v>2597</v>
      </c>
      <c r="B20" s="62" t="s">
        <v>428</v>
      </c>
      <c r="C20" s="315"/>
      <c r="D20" s="62"/>
      <c r="E20" s="62">
        <v>55719</v>
      </c>
      <c r="F20" s="388"/>
      <c r="G20" s="31">
        <v>4</v>
      </c>
      <c r="H20" s="414"/>
      <c r="I20" s="419">
        <f t="shared" si="0"/>
        <v>0</v>
      </c>
    </row>
    <row r="21" spans="1:9" x14ac:dyDescent="0.35">
      <c r="A21" s="554" t="s">
        <v>2599</v>
      </c>
      <c r="B21" s="253" t="s">
        <v>555</v>
      </c>
      <c r="C21" s="315"/>
      <c r="D21" s="253"/>
      <c r="E21" s="253">
        <v>55719</v>
      </c>
      <c r="F21" s="388"/>
      <c r="G21" s="201">
        <v>2</v>
      </c>
      <c r="H21" s="414"/>
      <c r="I21" s="419">
        <f t="shared" si="0"/>
        <v>0</v>
      </c>
    </row>
    <row r="22" spans="1:9" x14ac:dyDescent="0.35">
      <c r="A22" s="554" t="s">
        <v>1285</v>
      </c>
      <c r="B22" s="62" t="s">
        <v>636</v>
      </c>
      <c r="C22" s="315"/>
      <c r="D22" s="62"/>
      <c r="E22" s="220">
        <v>55719</v>
      </c>
      <c r="F22" s="388"/>
      <c r="G22" s="31">
        <v>1</v>
      </c>
      <c r="H22" s="414"/>
      <c r="I22" s="419">
        <f t="shared" si="0"/>
        <v>0</v>
      </c>
    </row>
    <row r="23" spans="1:9" x14ac:dyDescent="0.35">
      <c r="A23" s="554" t="s">
        <v>2594</v>
      </c>
      <c r="B23" s="62" t="s">
        <v>757</v>
      </c>
      <c r="C23" s="315"/>
      <c r="D23" s="62"/>
      <c r="E23" s="220">
        <v>55719</v>
      </c>
      <c r="F23" s="388"/>
      <c r="G23" s="31">
        <v>4</v>
      </c>
      <c r="H23" s="414"/>
      <c r="I23" s="419">
        <f t="shared" si="0"/>
        <v>0</v>
      </c>
    </row>
    <row r="24" spans="1:9" x14ac:dyDescent="0.35">
      <c r="A24" s="554" t="s">
        <v>1286</v>
      </c>
      <c r="B24" s="62" t="s">
        <v>557</v>
      </c>
      <c r="C24" s="315"/>
      <c r="D24" s="62"/>
      <c r="E24" s="220">
        <v>55719</v>
      </c>
      <c r="F24" s="388"/>
      <c r="G24" s="31">
        <v>2</v>
      </c>
      <c r="H24" s="414"/>
      <c r="I24" s="419">
        <f t="shared" si="0"/>
        <v>0</v>
      </c>
    </row>
    <row r="25" spans="1:9" x14ac:dyDescent="0.35">
      <c r="A25" s="554" t="s">
        <v>1295</v>
      </c>
      <c r="B25" s="62" t="s">
        <v>1680</v>
      </c>
      <c r="C25" s="315"/>
      <c r="D25" s="62"/>
      <c r="E25" s="220">
        <v>55719</v>
      </c>
      <c r="F25" s="388"/>
      <c r="G25" s="31">
        <v>2</v>
      </c>
      <c r="H25" s="414"/>
      <c r="I25" s="419">
        <f t="shared" si="0"/>
        <v>0</v>
      </c>
    </row>
    <row r="26" spans="1:9" x14ac:dyDescent="0.35">
      <c r="A26" s="554" t="s">
        <v>1296</v>
      </c>
      <c r="B26" s="253" t="s">
        <v>1623</v>
      </c>
      <c r="C26" s="315"/>
      <c r="D26" s="253"/>
      <c r="E26" s="253">
        <v>55719</v>
      </c>
      <c r="F26" s="388"/>
      <c r="G26" s="201">
        <v>2</v>
      </c>
      <c r="H26" s="414"/>
      <c r="I26" s="419">
        <f t="shared" si="0"/>
        <v>0</v>
      </c>
    </row>
    <row r="27" spans="1:9" x14ac:dyDescent="0.35">
      <c r="A27" s="554" t="s">
        <v>1297</v>
      </c>
      <c r="B27" s="253" t="s">
        <v>1622</v>
      </c>
      <c r="C27" s="315"/>
      <c r="D27" s="253"/>
      <c r="E27" s="253">
        <v>55719</v>
      </c>
      <c r="F27" s="388"/>
      <c r="G27" s="31">
        <v>2</v>
      </c>
      <c r="H27" s="414"/>
      <c r="I27" s="419">
        <f t="shared" si="0"/>
        <v>0</v>
      </c>
    </row>
    <row r="28" spans="1:9" x14ac:dyDescent="0.35">
      <c r="A28" s="258" t="s">
        <v>2455</v>
      </c>
      <c r="B28" s="252" t="s">
        <v>2454</v>
      </c>
      <c r="C28" s="315"/>
      <c r="D28" s="252"/>
      <c r="E28" s="252">
        <v>55719</v>
      </c>
      <c r="F28" s="388"/>
      <c r="G28" s="31">
        <v>2</v>
      </c>
      <c r="H28" s="414"/>
      <c r="I28" s="419">
        <f t="shared" si="0"/>
        <v>0</v>
      </c>
    </row>
    <row r="29" spans="1:9" x14ac:dyDescent="0.35">
      <c r="A29" s="554" t="s">
        <v>2365</v>
      </c>
      <c r="B29" s="62" t="s">
        <v>610</v>
      </c>
      <c r="C29" s="315"/>
      <c r="D29" s="62"/>
      <c r="E29" s="62">
        <v>55719</v>
      </c>
      <c r="F29" s="388"/>
      <c r="G29" s="31">
        <v>1</v>
      </c>
      <c r="H29" s="414"/>
      <c r="I29" s="419">
        <f t="shared" si="0"/>
        <v>0</v>
      </c>
    </row>
    <row r="30" spans="1:9" x14ac:dyDescent="0.35">
      <c r="A30" s="554" t="s">
        <v>2342</v>
      </c>
      <c r="B30" s="62" t="s">
        <v>2343</v>
      </c>
      <c r="C30" s="315"/>
      <c r="D30" s="62"/>
      <c r="E30" s="62">
        <v>55719</v>
      </c>
      <c r="F30" s="388"/>
      <c r="G30" s="31">
        <v>6</v>
      </c>
      <c r="H30" s="414"/>
      <c r="I30" s="419">
        <f t="shared" si="0"/>
        <v>0</v>
      </c>
    </row>
    <row r="31" spans="1:9" x14ac:dyDescent="0.35">
      <c r="A31" s="554" t="s">
        <v>1449</v>
      </c>
      <c r="B31" s="62" t="s">
        <v>670</v>
      </c>
      <c r="C31" s="315"/>
      <c r="D31" s="62"/>
      <c r="E31" s="62">
        <v>55719</v>
      </c>
      <c r="F31" s="388"/>
      <c r="G31" s="31">
        <v>1</v>
      </c>
      <c r="H31" s="414"/>
      <c r="I31" s="419">
        <f t="shared" si="0"/>
        <v>0</v>
      </c>
    </row>
    <row r="32" spans="1:9" x14ac:dyDescent="0.35">
      <c r="A32" s="554" t="s">
        <v>2364</v>
      </c>
      <c r="B32" s="62" t="s">
        <v>669</v>
      </c>
      <c r="C32" s="315"/>
      <c r="D32" s="62"/>
      <c r="E32" s="62">
        <v>55719</v>
      </c>
      <c r="F32" s="388"/>
      <c r="G32" s="31">
        <v>1</v>
      </c>
      <c r="H32" s="414"/>
      <c r="I32" s="419">
        <f t="shared" si="0"/>
        <v>0</v>
      </c>
    </row>
    <row r="33" spans="1:9" x14ac:dyDescent="0.35">
      <c r="A33" s="554" t="s">
        <v>1359</v>
      </c>
      <c r="B33" s="62" t="s">
        <v>615</v>
      </c>
      <c r="C33" s="315"/>
      <c r="D33" s="62"/>
      <c r="E33" s="62">
        <v>55719</v>
      </c>
      <c r="F33" s="388"/>
      <c r="G33" s="31">
        <v>1</v>
      </c>
      <c r="H33" s="414"/>
      <c r="I33" s="419">
        <f t="shared" ref="I33:I49" si="1">+G33*H33</f>
        <v>0</v>
      </c>
    </row>
    <row r="34" spans="1:9" x14ac:dyDescent="0.35">
      <c r="A34" s="554" t="s">
        <v>1361</v>
      </c>
      <c r="B34" s="62" t="s">
        <v>666</v>
      </c>
      <c r="C34" s="315"/>
      <c r="D34" s="62"/>
      <c r="E34" s="62">
        <v>55719</v>
      </c>
      <c r="F34" s="388"/>
      <c r="G34" s="31">
        <v>1</v>
      </c>
      <c r="H34" s="414"/>
      <c r="I34" s="419">
        <f t="shared" si="1"/>
        <v>0</v>
      </c>
    </row>
    <row r="35" spans="1:9" x14ac:dyDescent="0.35">
      <c r="A35" s="554" t="s">
        <v>1362</v>
      </c>
      <c r="B35" s="62" t="s">
        <v>667</v>
      </c>
      <c r="C35" s="315"/>
      <c r="D35" s="62"/>
      <c r="E35" s="62">
        <v>55719</v>
      </c>
      <c r="F35" s="388"/>
      <c r="G35" s="31">
        <v>1</v>
      </c>
      <c r="H35" s="414"/>
      <c r="I35" s="419">
        <f t="shared" si="1"/>
        <v>0</v>
      </c>
    </row>
    <row r="36" spans="1:9" x14ac:dyDescent="0.35">
      <c r="A36" s="554" t="s">
        <v>1380</v>
      </c>
      <c r="B36" s="62" t="s">
        <v>361</v>
      </c>
      <c r="C36" s="315"/>
      <c r="D36" s="62"/>
      <c r="E36" s="62">
        <v>55719</v>
      </c>
      <c r="F36" s="388"/>
      <c r="G36" s="31">
        <v>1</v>
      </c>
      <c r="H36" s="414"/>
      <c r="I36" s="419">
        <f t="shared" si="1"/>
        <v>0</v>
      </c>
    </row>
    <row r="37" spans="1:9" x14ac:dyDescent="0.35">
      <c r="A37" s="554" t="s">
        <v>101</v>
      </c>
      <c r="B37" s="62" t="s">
        <v>1670</v>
      </c>
      <c r="C37" s="315"/>
      <c r="D37" s="62"/>
      <c r="E37" s="62">
        <v>55719</v>
      </c>
      <c r="F37" s="388"/>
      <c r="G37" s="31">
        <v>4</v>
      </c>
      <c r="H37" s="414"/>
      <c r="I37" s="419">
        <f t="shared" si="1"/>
        <v>0</v>
      </c>
    </row>
    <row r="38" spans="1:9" x14ac:dyDescent="0.35">
      <c r="A38" s="554" t="s">
        <v>169</v>
      </c>
      <c r="B38" s="62" t="s">
        <v>1607</v>
      </c>
      <c r="C38" s="315"/>
      <c r="D38" s="62"/>
      <c r="E38" s="62">
        <v>55719</v>
      </c>
      <c r="F38" s="388"/>
      <c r="G38" s="31">
        <v>3</v>
      </c>
      <c r="H38" s="414"/>
      <c r="I38" s="419">
        <f t="shared" si="1"/>
        <v>0</v>
      </c>
    </row>
    <row r="39" spans="1:9" x14ac:dyDescent="0.35">
      <c r="A39" s="554" t="s">
        <v>166</v>
      </c>
      <c r="B39" s="62" t="s">
        <v>2230</v>
      </c>
      <c r="C39" s="315"/>
      <c r="D39" s="62"/>
      <c r="E39" s="62">
        <v>55719</v>
      </c>
      <c r="F39" s="388"/>
      <c r="G39" s="31">
        <v>1</v>
      </c>
      <c r="H39" s="414"/>
      <c r="I39" s="419">
        <f t="shared" si="1"/>
        <v>0</v>
      </c>
    </row>
    <row r="40" spans="1:9" x14ac:dyDescent="0.35">
      <c r="A40" s="554" t="s">
        <v>167</v>
      </c>
      <c r="B40" s="62" t="s">
        <v>2231</v>
      </c>
      <c r="C40" s="315"/>
      <c r="D40" s="62"/>
      <c r="E40" s="62">
        <v>55719</v>
      </c>
      <c r="F40" s="388"/>
      <c r="G40" s="31">
        <v>1</v>
      </c>
      <c r="H40" s="414"/>
      <c r="I40" s="419">
        <f t="shared" si="1"/>
        <v>0</v>
      </c>
    </row>
    <row r="41" spans="1:9" x14ac:dyDescent="0.35">
      <c r="A41" s="554" t="s">
        <v>165</v>
      </c>
      <c r="B41" s="62" t="s">
        <v>2232</v>
      </c>
      <c r="C41" s="315"/>
      <c r="D41" s="62"/>
      <c r="E41" s="62">
        <v>55719</v>
      </c>
      <c r="F41" s="388"/>
      <c r="G41" s="31">
        <v>1</v>
      </c>
      <c r="H41" s="414"/>
      <c r="I41" s="419">
        <f t="shared" si="1"/>
        <v>0</v>
      </c>
    </row>
    <row r="42" spans="1:9" x14ac:dyDescent="0.35">
      <c r="A42" s="554" t="s">
        <v>930</v>
      </c>
      <c r="B42" s="62" t="s">
        <v>88</v>
      </c>
      <c r="C42" s="315"/>
      <c r="D42" s="62"/>
      <c r="E42" s="62">
        <v>55719</v>
      </c>
      <c r="F42" s="388"/>
      <c r="G42" s="31">
        <v>1</v>
      </c>
      <c r="H42" s="414"/>
      <c r="I42" s="419">
        <f t="shared" si="1"/>
        <v>0</v>
      </c>
    </row>
    <row r="43" spans="1:9" x14ac:dyDescent="0.35">
      <c r="A43" s="554" t="s">
        <v>2484</v>
      </c>
      <c r="B43" s="62" t="s">
        <v>2223</v>
      </c>
      <c r="C43" s="315"/>
      <c r="D43" s="62"/>
      <c r="E43" s="62">
        <v>55719</v>
      </c>
      <c r="F43" s="388"/>
      <c r="G43" s="31">
        <v>2</v>
      </c>
      <c r="H43" s="414"/>
      <c r="I43" s="419">
        <f t="shared" si="1"/>
        <v>0</v>
      </c>
    </row>
    <row r="44" spans="1:9" x14ac:dyDescent="0.35">
      <c r="A44" s="554" t="s">
        <v>1407</v>
      </c>
      <c r="B44" s="62" t="s">
        <v>662</v>
      </c>
      <c r="C44" s="315"/>
      <c r="D44" s="62"/>
      <c r="E44" s="62">
        <v>55719</v>
      </c>
      <c r="F44" s="388"/>
      <c r="G44" s="31">
        <v>1</v>
      </c>
      <c r="H44" s="414"/>
      <c r="I44" s="419">
        <f t="shared" si="1"/>
        <v>0</v>
      </c>
    </row>
    <row r="45" spans="1:9" x14ac:dyDescent="0.35">
      <c r="A45" s="554" t="s">
        <v>1263</v>
      </c>
      <c r="B45" s="62" t="s">
        <v>488</v>
      </c>
      <c r="C45" s="315"/>
      <c r="D45" s="62"/>
      <c r="E45" s="62">
        <v>55719</v>
      </c>
      <c r="F45" s="388"/>
      <c r="G45" s="31">
        <v>5</v>
      </c>
      <c r="H45" s="414"/>
      <c r="I45" s="419">
        <f t="shared" si="1"/>
        <v>0</v>
      </c>
    </row>
    <row r="46" spans="1:9" x14ac:dyDescent="0.35">
      <c r="A46" s="554" t="s">
        <v>2360</v>
      </c>
      <c r="B46" s="62" t="s">
        <v>358</v>
      </c>
      <c r="C46" s="315"/>
      <c r="D46" s="62"/>
      <c r="E46" s="62">
        <v>55719</v>
      </c>
      <c r="F46" s="388"/>
      <c r="G46" s="31">
        <v>5</v>
      </c>
      <c r="H46" s="414"/>
      <c r="I46" s="419">
        <f t="shared" si="1"/>
        <v>0</v>
      </c>
    </row>
    <row r="47" spans="1:9" x14ac:dyDescent="0.35">
      <c r="A47" s="554" t="s">
        <v>2361</v>
      </c>
      <c r="B47" s="62" t="s">
        <v>196</v>
      </c>
      <c r="C47" s="315"/>
      <c r="D47" s="62"/>
      <c r="E47" s="62">
        <v>55719</v>
      </c>
      <c r="F47" s="388"/>
      <c r="G47" s="31">
        <v>5</v>
      </c>
      <c r="H47" s="414"/>
      <c r="I47" s="419">
        <f t="shared" si="1"/>
        <v>0</v>
      </c>
    </row>
    <row r="48" spans="1:9" x14ac:dyDescent="0.35">
      <c r="A48" s="554" t="s">
        <v>19</v>
      </c>
      <c r="B48" s="62" t="s">
        <v>242</v>
      </c>
      <c r="C48" s="315"/>
      <c r="D48" s="62"/>
      <c r="E48" s="62">
        <v>55719</v>
      </c>
      <c r="F48" s="388"/>
      <c r="G48" s="31">
        <v>2</v>
      </c>
      <c r="H48" s="414"/>
      <c r="I48" s="419">
        <f t="shared" si="1"/>
        <v>0</v>
      </c>
    </row>
    <row r="49" spans="1:9" x14ac:dyDescent="0.35">
      <c r="A49" s="554" t="s">
        <v>362</v>
      </c>
      <c r="B49" s="62" t="s">
        <v>363</v>
      </c>
      <c r="C49" s="315"/>
      <c r="D49" s="62"/>
      <c r="E49" s="62">
        <v>55719</v>
      </c>
      <c r="F49" s="315"/>
      <c r="G49" s="31">
        <v>1</v>
      </c>
      <c r="H49" s="414"/>
      <c r="I49" s="419">
        <f t="shared" si="1"/>
        <v>0</v>
      </c>
    </row>
    <row r="50" spans="1:9" x14ac:dyDescent="0.35">
      <c r="B50" s="114"/>
      <c r="C50" s="114"/>
      <c r="D50" s="114"/>
      <c r="E50" s="114"/>
      <c r="I50" s="386">
        <f>SUM(I2:I49)</f>
        <v>0</v>
      </c>
    </row>
    <row r="51" spans="1:9" ht="17.5" x14ac:dyDescent="0.35">
      <c r="A51" s="309" t="s">
        <v>1516</v>
      </c>
      <c r="B51" s="312"/>
      <c r="C51" s="249"/>
      <c r="D51" s="3"/>
      <c r="E51" s="3"/>
      <c r="G51" s="3"/>
      <c r="H51" s="396"/>
      <c r="I51" s="406"/>
    </row>
    <row r="52" spans="1:9" ht="17.5" x14ac:dyDescent="0.35">
      <c r="A52" s="309" t="s">
        <v>2368</v>
      </c>
      <c r="B52" s="312"/>
      <c r="C52" s="249"/>
      <c r="D52" s="3"/>
      <c r="E52" s="3"/>
      <c r="G52" s="3"/>
      <c r="H52" s="396"/>
      <c r="I52" s="406"/>
    </row>
    <row r="53" spans="1:9" ht="17.5" x14ac:dyDescent="0.35">
      <c r="A53" s="316" t="s">
        <v>2611</v>
      </c>
      <c r="B53" s="201"/>
    </row>
    <row r="54" spans="1:9" ht="17.5" x14ac:dyDescent="0.35">
      <c r="A54" s="319" t="s">
        <v>2694</v>
      </c>
      <c r="B54" s="413">
        <f>+I50</f>
        <v>0</v>
      </c>
    </row>
    <row r="77" spans="1:9" s="182" customFormat="1" x14ac:dyDescent="0.35">
      <c r="A77" s="137"/>
      <c r="B77" s="76"/>
      <c r="C77" s="76"/>
      <c r="D77" s="76"/>
      <c r="E77" s="76"/>
      <c r="F77" s="251"/>
      <c r="G77" s="76"/>
      <c r="H77" s="415"/>
      <c r="I77" s="386"/>
    </row>
    <row r="111" spans="1:9" s="4" customFormat="1" ht="17.5" x14ac:dyDescent="0.35">
      <c r="A111" s="137"/>
      <c r="B111" s="76"/>
      <c r="C111" s="76"/>
      <c r="D111" s="76"/>
      <c r="E111" s="76"/>
      <c r="F111" s="251"/>
      <c r="G111" s="76"/>
      <c r="H111" s="415"/>
      <c r="I111" s="386"/>
    </row>
    <row r="112" spans="1:9" s="4" customFormat="1" ht="17.5" x14ac:dyDescent="0.35">
      <c r="A112" s="137"/>
      <c r="B112" s="76"/>
      <c r="C112" s="76"/>
      <c r="D112" s="76"/>
      <c r="E112" s="76"/>
      <c r="F112" s="251"/>
      <c r="G112" s="76"/>
      <c r="H112" s="415"/>
      <c r="I112" s="38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7"/>
  <sheetViews>
    <sheetView workbookViewId="0">
      <pane ySplit="1" topLeftCell="A105" activePane="bottomLeft" state="frozen"/>
      <selection activeCell="G1" sqref="G1:G1048576"/>
      <selection pane="bottomLeft" activeCell="A110" sqref="A110:I155"/>
    </sheetView>
  </sheetViews>
  <sheetFormatPr defaultColWidth="9.08984375" defaultRowHeight="15.5" x14ac:dyDescent="0.35"/>
  <cols>
    <col min="1" max="1" width="69.36328125" style="287" bestFit="1" customWidth="1"/>
    <col min="2" max="2" width="20.6328125" style="287" bestFit="1" customWidth="1"/>
    <col min="3" max="3" width="21.1796875" style="287" customWidth="1"/>
    <col min="4" max="4" width="21.81640625" style="287" customWidth="1"/>
    <col min="5" max="5" width="17" style="287" bestFit="1" customWidth="1"/>
    <col min="6" max="6" width="17" style="287" customWidth="1"/>
    <col min="7" max="7" width="11.90625" style="287" customWidth="1"/>
    <col min="8" max="8" width="22.453125" style="412" customWidth="1"/>
    <col min="9" max="9" width="18.6328125" style="412" customWidth="1"/>
    <col min="10" max="16384" width="9.08984375" style="285"/>
  </cols>
  <sheetData>
    <row r="1" spans="1:9" x14ac:dyDescent="0.35">
      <c r="A1" s="557" t="s">
        <v>0</v>
      </c>
      <c r="B1" s="283" t="s">
        <v>1</v>
      </c>
      <c r="C1" s="281" t="s">
        <v>2700</v>
      </c>
      <c r="D1" s="283" t="s">
        <v>1598</v>
      </c>
      <c r="E1" s="283" t="s">
        <v>1599</v>
      </c>
      <c r="F1" s="261" t="s">
        <v>2699</v>
      </c>
      <c r="G1" s="282" t="s">
        <v>364</v>
      </c>
      <c r="H1" s="409" t="s">
        <v>2695</v>
      </c>
      <c r="I1" s="404" t="s">
        <v>2696</v>
      </c>
    </row>
    <row r="2" spans="1:9" x14ac:dyDescent="0.35">
      <c r="A2" s="558" t="s">
        <v>1347</v>
      </c>
      <c r="B2" s="170">
        <v>1992</v>
      </c>
      <c r="C2" s="436"/>
      <c r="D2" s="170"/>
      <c r="E2" s="170">
        <v>55719</v>
      </c>
      <c r="F2" s="388"/>
      <c r="G2" s="10">
        <v>1</v>
      </c>
      <c r="H2" s="414"/>
      <c r="I2" s="420">
        <f t="shared" ref="I2:I33" si="0">+H2*G2</f>
        <v>0</v>
      </c>
    </row>
    <row r="3" spans="1:9" x14ac:dyDescent="0.35">
      <c r="A3" s="558" t="s">
        <v>740</v>
      </c>
      <c r="B3" s="170">
        <v>21259951</v>
      </c>
      <c r="C3" s="436"/>
      <c r="D3" s="170"/>
      <c r="E3" s="170">
        <v>55719</v>
      </c>
      <c r="F3" s="388"/>
      <c r="G3" s="10">
        <v>1</v>
      </c>
      <c r="H3" s="414"/>
      <c r="I3" s="420">
        <f t="shared" si="0"/>
        <v>0</v>
      </c>
    </row>
    <row r="4" spans="1:9" x14ac:dyDescent="0.35">
      <c r="A4" s="558" t="s">
        <v>17</v>
      </c>
      <c r="B4" s="170" t="s">
        <v>2473</v>
      </c>
      <c r="C4" s="436"/>
      <c r="D4" s="170"/>
      <c r="E4" s="170">
        <v>55719</v>
      </c>
      <c r="F4" s="388"/>
      <c r="G4" s="10">
        <v>1</v>
      </c>
      <c r="H4" s="414"/>
      <c r="I4" s="420">
        <f t="shared" si="0"/>
        <v>0</v>
      </c>
    </row>
    <row r="5" spans="1:9" x14ac:dyDescent="0.35">
      <c r="A5" s="558" t="s">
        <v>1309</v>
      </c>
      <c r="B5" s="170" t="s">
        <v>770</v>
      </c>
      <c r="C5" s="436"/>
      <c r="D5" s="170"/>
      <c r="E5" s="170">
        <v>55719</v>
      </c>
      <c r="F5" s="388"/>
      <c r="G5" s="10">
        <v>2</v>
      </c>
      <c r="H5" s="414"/>
      <c r="I5" s="420">
        <f t="shared" si="0"/>
        <v>0</v>
      </c>
    </row>
    <row r="6" spans="1:9" x14ac:dyDescent="0.35">
      <c r="A6" s="558" t="s">
        <v>1315</v>
      </c>
      <c r="B6" s="170" t="s">
        <v>803</v>
      </c>
      <c r="C6" s="436"/>
      <c r="D6" s="170"/>
      <c r="E6" s="170">
        <v>55719</v>
      </c>
      <c r="F6" s="388"/>
      <c r="G6" s="10">
        <v>1</v>
      </c>
      <c r="H6" s="414"/>
      <c r="I6" s="420">
        <f t="shared" si="0"/>
        <v>0</v>
      </c>
    </row>
    <row r="7" spans="1:9" x14ac:dyDescent="0.35">
      <c r="A7" s="558" t="s">
        <v>1316</v>
      </c>
      <c r="B7" s="170" t="s">
        <v>804</v>
      </c>
      <c r="C7" s="436"/>
      <c r="D7" s="170"/>
      <c r="E7" s="170">
        <v>55719</v>
      </c>
      <c r="F7" s="388"/>
      <c r="G7" s="10">
        <v>1</v>
      </c>
      <c r="H7" s="414"/>
      <c r="I7" s="420">
        <f t="shared" si="0"/>
        <v>0</v>
      </c>
    </row>
    <row r="8" spans="1:9" x14ac:dyDescent="0.35">
      <c r="A8" s="558" t="s">
        <v>158</v>
      </c>
      <c r="B8" s="170" t="s">
        <v>2341</v>
      </c>
      <c r="C8" s="436"/>
      <c r="D8" s="170"/>
      <c r="E8" s="170">
        <v>55719</v>
      </c>
      <c r="F8" s="388"/>
      <c r="G8" s="10">
        <v>1</v>
      </c>
      <c r="H8" s="414"/>
      <c r="I8" s="420">
        <f t="shared" si="0"/>
        <v>0</v>
      </c>
    </row>
    <row r="9" spans="1:9" x14ac:dyDescent="0.35">
      <c r="A9" s="558" t="s">
        <v>1317</v>
      </c>
      <c r="B9" s="170" t="s">
        <v>635</v>
      </c>
      <c r="C9" s="436"/>
      <c r="D9" s="170"/>
      <c r="E9" s="170">
        <v>55719</v>
      </c>
      <c r="F9" s="388"/>
      <c r="G9" s="10">
        <v>1</v>
      </c>
      <c r="H9" s="414"/>
      <c r="I9" s="420">
        <f t="shared" si="0"/>
        <v>0</v>
      </c>
    </row>
    <row r="10" spans="1:9" x14ac:dyDescent="0.35">
      <c r="A10" s="558" t="s">
        <v>1318</v>
      </c>
      <c r="B10" s="170" t="s">
        <v>631</v>
      </c>
      <c r="C10" s="436"/>
      <c r="D10" s="170"/>
      <c r="E10" s="170">
        <v>55719</v>
      </c>
      <c r="F10" s="388"/>
      <c r="G10" s="10">
        <v>1</v>
      </c>
      <c r="H10" s="414"/>
      <c r="I10" s="420">
        <f t="shared" si="0"/>
        <v>0</v>
      </c>
    </row>
    <row r="11" spans="1:9" x14ac:dyDescent="0.35">
      <c r="A11" s="558" t="s">
        <v>1319</v>
      </c>
      <c r="B11" s="170" t="s">
        <v>632</v>
      </c>
      <c r="C11" s="436"/>
      <c r="D11" s="170"/>
      <c r="E11" s="170">
        <v>55719</v>
      </c>
      <c r="F11" s="388"/>
      <c r="G11" s="10">
        <v>1</v>
      </c>
      <c r="H11" s="414"/>
      <c r="I11" s="420">
        <f t="shared" si="0"/>
        <v>0</v>
      </c>
    </row>
    <row r="12" spans="1:9" x14ac:dyDescent="0.35">
      <c r="A12" s="558" t="s">
        <v>1320</v>
      </c>
      <c r="B12" s="170" t="s">
        <v>633</v>
      </c>
      <c r="C12" s="436"/>
      <c r="D12" s="170"/>
      <c r="E12" s="170">
        <v>55719</v>
      </c>
      <c r="F12" s="388"/>
      <c r="G12" s="10">
        <v>1</v>
      </c>
      <c r="H12" s="414"/>
      <c r="I12" s="420">
        <f t="shared" si="0"/>
        <v>0</v>
      </c>
    </row>
    <row r="13" spans="1:9" x14ac:dyDescent="0.35">
      <c r="A13" s="558" t="s">
        <v>1321</v>
      </c>
      <c r="B13" s="170" t="s">
        <v>634</v>
      </c>
      <c r="C13" s="436"/>
      <c r="D13" s="170"/>
      <c r="E13" s="170">
        <v>55719</v>
      </c>
      <c r="F13" s="388"/>
      <c r="G13" s="10">
        <v>1</v>
      </c>
      <c r="H13" s="414"/>
      <c r="I13" s="420">
        <f t="shared" si="0"/>
        <v>0</v>
      </c>
    </row>
    <row r="14" spans="1:9" x14ac:dyDescent="0.35">
      <c r="A14" s="558" t="s">
        <v>1332</v>
      </c>
      <c r="B14" s="170" t="s">
        <v>2328</v>
      </c>
      <c r="C14" s="436"/>
      <c r="D14" s="170"/>
      <c r="E14" s="170">
        <v>55719</v>
      </c>
      <c r="F14" s="388"/>
      <c r="G14" s="10">
        <v>1</v>
      </c>
      <c r="H14" s="414"/>
      <c r="I14" s="420">
        <f t="shared" si="0"/>
        <v>0</v>
      </c>
    </row>
    <row r="15" spans="1:9" x14ac:dyDescent="0.35">
      <c r="A15" s="558" t="s">
        <v>16</v>
      </c>
      <c r="B15" s="170" t="s">
        <v>360</v>
      </c>
      <c r="C15" s="436"/>
      <c r="D15" s="170"/>
      <c r="E15" s="170">
        <v>55719</v>
      </c>
      <c r="F15" s="388"/>
      <c r="G15" s="10">
        <v>1</v>
      </c>
      <c r="H15" s="414"/>
      <c r="I15" s="420">
        <f t="shared" si="0"/>
        <v>0</v>
      </c>
    </row>
    <row r="16" spans="1:9" x14ac:dyDescent="0.35">
      <c r="A16" s="558" t="s">
        <v>1409</v>
      </c>
      <c r="B16" s="170" t="s">
        <v>535</v>
      </c>
      <c r="C16" s="436"/>
      <c r="D16" s="170"/>
      <c r="E16" s="170">
        <v>55719</v>
      </c>
      <c r="F16" s="388"/>
      <c r="G16" s="10">
        <v>1</v>
      </c>
      <c r="H16" s="414"/>
      <c r="I16" s="420">
        <f t="shared" si="0"/>
        <v>0</v>
      </c>
    </row>
    <row r="17" spans="1:9" x14ac:dyDescent="0.35">
      <c r="A17" s="558" t="s">
        <v>1416</v>
      </c>
      <c r="B17" s="170" t="s">
        <v>672</v>
      </c>
      <c r="C17" s="436"/>
      <c r="D17" s="170"/>
      <c r="E17" s="170">
        <v>55719</v>
      </c>
      <c r="F17" s="388"/>
      <c r="G17" s="10">
        <v>1</v>
      </c>
      <c r="H17" s="414"/>
      <c r="I17" s="420">
        <f t="shared" si="0"/>
        <v>0</v>
      </c>
    </row>
    <row r="18" spans="1:9" x14ac:dyDescent="0.35">
      <c r="A18" s="558" t="s">
        <v>1844</v>
      </c>
      <c r="B18" s="170" t="s">
        <v>1843</v>
      </c>
      <c r="C18" s="436"/>
      <c r="D18" s="170"/>
      <c r="E18" s="170">
        <v>55719</v>
      </c>
      <c r="F18" s="388"/>
      <c r="G18" s="10">
        <v>1</v>
      </c>
      <c r="H18" s="414"/>
      <c r="I18" s="420">
        <f t="shared" si="0"/>
        <v>0</v>
      </c>
    </row>
    <row r="19" spans="1:9" x14ac:dyDescent="0.35">
      <c r="A19" s="558" t="s">
        <v>1400</v>
      </c>
      <c r="B19" s="170" t="s">
        <v>1628</v>
      </c>
      <c r="C19" s="436"/>
      <c r="D19" s="170"/>
      <c r="E19" s="170">
        <v>55719</v>
      </c>
      <c r="F19" s="388"/>
      <c r="G19" s="10">
        <v>1</v>
      </c>
      <c r="H19" s="414"/>
      <c r="I19" s="420">
        <f t="shared" si="0"/>
        <v>0</v>
      </c>
    </row>
    <row r="20" spans="1:9" x14ac:dyDescent="0.35">
      <c r="A20" s="558" t="s">
        <v>1401</v>
      </c>
      <c r="B20" s="170" t="s">
        <v>1629</v>
      </c>
      <c r="C20" s="436"/>
      <c r="D20" s="170"/>
      <c r="E20" s="170">
        <v>55719</v>
      </c>
      <c r="F20" s="388"/>
      <c r="G20" s="10">
        <v>1</v>
      </c>
      <c r="H20" s="414"/>
      <c r="I20" s="420">
        <f t="shared" si="0"/>
        <v>0</v>
      </c>
    </row>
    <row r="21" spans="1:9" x14ac:dyDescent="0.35">
      <c r="A21" s="558" t="s">
        <v>1402</v>
      </c>
      <c r="B21" s="170" t="s">
        <v>1630</v>
      </c>
      <c r="C21" s="436"/>
      <c r="D21" s="170"/>
      <c r="E21" s="170">
        <v>55719</v>
      </c>
      <c r="F21" s="388"/>
      <c r="G21" s="10">
        <v>1</v>
      </c>
      <c r="H21" s="414"/>
      <c r="I21" s="420">
        <f t="shared" si="0"/>
        <v>0</v>
      </c>
    </row>
    <row r="22" spans="1:9" x14ac:dyDescent="0.35">
      <c r="A22" s="558" t="s">
        <v>1403</v>
      </c>
      <c r="B22" s="170" t="s">
        <v>1631</v>
      </c>
      <c r="C22" s="436"/>
      <c r="D22" s="170"/>
      <c r="E22" s="170">
        <v>55719</v>
      </c>
      <c r="F22" s="388"/>
      <c r="G22" s="10">
        <v>1</v>
      </c>
      <c r="H22" s="414"/>
      <c r="I22" s="420">
        <f t="shared" si="0"/>
        <v>0</v>
      </c>
    </row>
    <row r="23" spans="1:9" x14ac:dyDescent="0.35">
      <c r="A23" s="558" t="s">
        <v>1404</v>
      </c>
      <c r="B23" s="170" t="s">
        <v>1632</v>
      </c>
      <c r="C23" s="436"/>
      <c r="D23" s="170"/>
      <c r="E23" s="170">
        <v>55719</v>
      </c>
      <c r="F23" s="388"/>
      <c r="G23" s="10">
        <v>1</v>
      </c>
      <c r="H23" s="414"/>
      <c r="I23" s="420">
        <f t="shared" si="0"/>
        <v>0</v>
      </c>
    </row>
    <row r="24" spans="1:9" x14ac:dyDescent="0.35">
      <c r="A24" s="558" t="s">
        <v>1298</v>
      </c>
      <c r="B24" s="170" t="s">
        <v>661</v>
      </c>
      <c r="C24" s="436"/>
      <c r="D24" s="170" t="s">
        <v>1603</v>
      </c>
      <c r="E24" s="170">
        <v>55719</v>
      </c>
      <c r="F24" s="388"/>
      <c r="G24" s="10">
        <v>1</v>
      </c>
      <c r="H24" s="414"/>
      <c r="I24" s="420">
        <f t="shared" si="0"/>
        <v>0</v>
      </c>
    </row>
    <row r="25" spans="1:9" x14ac:dyDescent="0.35">
      <c r="A25" s="558" t="s">
        <v>1596</v>
      </c>
      <c r="B25" s="170" t="s">
        <v>553</v>
      </c>
      <c r="C25" s="436"/>
      <c r="D25" s="170"/>
      <c r="E25" s="170">
        <v>55719</v>
      </c>
      <c r="F25" s="388"/>
      <c r="G25" s="10">
        <v>1</v>
      </c>
      <c r="H25" s="414"/>
      <c r="I25" s="420">
        <f t="shared" si="0"/>
        <v>0</v>
      </c>
    </row>
    <row r="26" spans="1:9" x14ac:dyDescent="0.35">
      <c r="A26" s="558" t="s">
        <v>46</v>
      </c>
      <c r="B26" s="170" t="s">
        <v>207</v>
      </c>
      <c r="C26" s="436"/>
      <c r="D26" s="170"/>
      <c r="E26" s="170">
        <v>55719</v>
      </c>
      <c r="F26" s="388"/>
      <c r="G26" s="10">
        <v>1</v>
      </c>
      <c r="H26" s="414"/>
      <c r="I26" s="420">
        <f t="shared" si="0"/>
        <v>0</v>
      </c>
    </row>
    <row r="27" spans="1:9" x14ac:dyDescent="0.35">
      <c r="A27" s="558" t="s">
        <v>970</v>
      </c>
      <c r="B27" s="170" t="s">
        <v>230</v>
      </c>
      <c r="C27" s="436"/>
      <c r="D27" s="170"/>
      <c r="E27" s="170">
        <v>55719</v>
      </c>
      <c r="F27" s="388"/>
      <c r="G27" s="10">
        <v>1</v>
      </c>
      <c r="H27" s="414"/>
      <c r="I27" s="420">
        <f t="shared" si="0"/>
        <v>0</v>
      </c>
    </row>
    <row r="28" spans="1:9" x14ac:dyDescent="0.35">
      <c r="A28" s="558" t="s">
        <v>1172</v>
      </c>
      <c r="B28" s="170" t="s">
        <v>372</v>
      </c>
      <c r="C28" s="436"/>
      <c r="D28" s="170"/>
      <c r="E28" s="170">
        <v>55719</v>
      </c>
      <c r="F28" s="388"/>
      <c r="G28" s="10">
        <v>1</v>
      </c>
      <c r="H28" s="414"/>
      <c r="I28" s="420">
        <f t="shared" si="0"/>
        <v>0</v>
      </c>
    </row>
    <row r="29" spans="1:9" x14ac:dyDescent="0.35">
      <c r="A29" s="558" t="s">
        <v>874</v>
      </c>
      <c r="B29" s="170" t="s">
        <v>206</v>
      </c>
      <c r="C29" s="436"/>
      <c r="D29" s="170"/>
      <c r="E29" s="170">
        <v>55719</v>
      </c>
      <c r="F29" s="388"/>
      <c r="G29" s="10">
        <v>1</v>
      </c>
      <c r="H29" s="414"/>
      <c r="I29" s="420">
        <f t="shared" si="0"/>
        <v>0</v>
      </c>
    </row>
    <row r="30" spans="1:9" x14ac:dyDescent="0.35">
      <c r="A30" s="558" t="s">
        <v>875</v>
      </c>
      <c r="B30" s="170" t="s">
        <v>231</v>
      </c>
      <c r="C30" s="436"/>
      <c r="D30" s="170"/>
      <c r="E30" s="170">
        <v>55719</v>
      </c>
      <c r="F30" s="388"/>
      <c r="G30" s="10">
        <v>1</v>
      </c>
      <c r="H30" s="414"/>
      <c r="I30" s="420">
        <f t="shared" si="0"/>
        <v>0</v>
      </c>
    </row>
    <row r="31" spans="1:9" x14ac:dyDescent="0.35">
      <c r="A31" s="558" t="s">
        <v>873</v>
      </c>
      <c r="B31" s="170" t="s">
        <v>217</v>
      </c>
      <c r="C31" s="436"/>
      <c r="D31" s="170"/>
      <c r="E31" s="170">
        <v>55719</v>
      </c>
      <c r="F31" s="388"/>
      <c r="G31" s="10">
        <v>1</v>
      </c>
      <c r="H31" s="414"/>
      <c r="I31" s="420">
        <f t="shared" si="0"/>
        <v>0</v>
      </c>
    </row>
    <row r="32" spans="1:9" x14ac:dyDescent="0.35">
      <c r="A32" s="558" t="s">
        <v>905</v>
      </c>
      <c r="B32" s="170" t="s">
        <v>378</v>
      </c>
      <c r="C32" s="436"/>
      <c r="D32" s="170"/>
      <c r="E32" s="170">
        <v>55719</v>
      </c>
      <c r="F32" s="388"/>
      <c r="G32" s="10">
        <v>1</v>
      </c>
      <c r="H32" s="414"/>
      <c r="I32" s="420">
        <f t="shared" si="0"/>
        <v>0</v>
      </c>
    </row>
    <row r="33" spans="1:9" x14ac:dyDescent="0.35">
      <c r="A33" s="558" t="s">
        <v>1178</v>
      </c>
      <c r="B33" s="170" t="s">
        <v>379</v>
      </c>
      <c r="C33" s="436"/>
      <c r="D33" s="170"/>
      <c r="E33" s="170">
        <v>55719</v>
      </c>
      <c r="F33" s="388"/>
      <c r="G33" s="10">
        <v>2</v>
      </c>
      <c r="H33" s="414"/>
      <c r="I33" s="420">
        <f t="shared" si="0"/>
        <v>0</v>
      </c>
    </row>
    <row r="34" spans="1:9" x14ac:dyDescent="0.35">
      <c r="A34" s="558" t="s">
        <v>906</v>
      </c>
      <c r="B34" s="170" t="s">
        <v>381</v>
      </c>
      <c r="C34" s="436"/>
      <c r="D34" s="170"/>
      <c r="E34" s="170">
        <v>55719</v>
      </c>
      <c r="F34" s="388"/>
      <c r="G34" s="10">
        <v>1</v>
      </c>
      <c r="H34" s="414"/>
      <c r="I34" s="420">
        <f t="shared" ref="I34:I65" si="1">+H34*G34</f>
        <v>0</v>
      </c>
    </row>
    <row r="35" spans="1:9" x14ac:dyDescent="0.35">
      <c r="A35" s="558" t="s">
        <v>907</v>
      </c>
      <c r="B35" s="170" t="s">
        <v>382</v>
      </c>
      <c r="C35" s="436"/>
      <c r="D35" s="170"/>
      <c r="E35" s="170">
        <v>55719</v>
      </c>
      <c r="F35" s="388"/>
      <c r="G35" s="10">
        <v>2</v>
      </c>
      <c r="H35" s="414"/>
      <c r="I35" s="420">
        <f t="shared" si="1"/>
        <v>0</v>
      </c>
    </row>
    <row r="36" spans="1:9" x14ac:dyDescent="0.35">
      <c r="A36" s="558" t="s">
        <v>877</v>
      </c>
      <c r="B36" s="170" t="s">
        <v>365</v>
      </c>
      <c r="C36" s="436"/>
      <c r="D36" s="170"/>
      <c r="E36" s="170">
        <v>55719</v>
      </c>
      <c r="F36" s="388"/>
      <c r="G36" s="10">
        <v>1</v>
      </c>
      <c r="H36" s="414"/>
      <c r="I36" s="420">
        <f t="shared" si="1"/>
        <v>0</v>
      </c>
    </row>
    <row r="37" spans="1:9" x14ac:dyDescent="0.35">
      <c r="A37" s="558" t="s">
        <v>880</v>
      </c>
      <c r="B37" s="170" t="s">
        <v>366</v>
      </c>
      <c r="C37" s="436"/>
      <c r="D37" s="170"/>
      <c r="E37" s="170">
        <v>55719</v>
      </c>
      <c r="F37" s="388"/>
      <c r="G37" s="10">
        <v>1</v>
      </c>
      <c r="H37" s="414"/>
      <c r="I37" s="420">
        <f t="shared" si="1"/>
        <v>0</v>
      </c>
    </row>
    <row r="38" spans="1:9" x14ac:dyDescent="0.35">
      <c r="A38" s="558" t="s">
        <v>878</v>
      </c>
      <c r="B38" s="170" t="s">
        <v>94</v>
      </c>
      <c r="C38" s="436"/>
      <c r="D38" s="170"/>
      <c r="E38" s="170">
        <v>55719</v>
      </c>
      <c r="F38" s="388"/>
      <c r="G38" s="10">
        <v>1</v>
      </c>
      <c r="H38" s="414"/>
      <c r="I38" s="420">
        <f t="shared" si="1"/>
        <v>0</v>
      </c>
    </row>
    <row r="39" spans="1:9" x14ac:dyDescent="0.35">
      <c r="A39" s="558" t="s">
        <v>872</v>
      </c>
      <c r="B39" s="170" t="s">
        <v>367</v>
      </c>
      <c r="C39" s="436"/>
      <c r="D39" s="170"/>
      <c r="E39" s="170">
        <v>55719</v>
      </c>
      <c r="F39" s="388"/>
      <c r="G39" s="10">
        <v>1</v>
      </c>
      <c r="H39" s="414"/>
      <c r="I39" s="420">
        <f t="shared" si="1"/>
        <v>0</v>
      </c>
    </row>
    <row r="40" spans="1:9" x14ac:dyDescent="0.35">
      <c r="A40" s="558" t="s">
        <v>876</v>
      </c>
      <c r="B40" s="170" t="s">
        <v>368</v>
      </c>
      <c r="C40" s="436"/>
      <c r="D40" s="170"/>
      <c r="E40" s="170">
        <v>55719</v>
      </c>
      <c r="F40" s="388"/>
      <c r="G40" s="10">
        <v>1</v>
      </c>
      <c r="H40" s="414"/>
      <c r="I40" s="420">
        <f t="shared" si="1"/>
        <v>0</v>
      </c>
    </row>
    <row r="41" spans="1:9" x14ac:dyDescent="0.35">
      <c r="A41" s="558" t="s">
        <v>879</v>
      </c>
      <c r="B41" s="170" t="s">
        <v>369</v>
      </c>
      <c r="C41" s="436"/>
      <c r="D41" s="170"/>
      <c r="E41" s="170">
        <v>55719</v>
      </c>
      <c r="F41" s="388"/>
      <c r="G41" s="10">
        <v>1</v>
      </c>
      <c r="H41" s="414"/>
      <c r="I41" s="420">
        <f t="shared" si="1"/>
        <v>0</v>
      </c>
    </row>
    <row r="42" spans="1:9" x14ac:dyDescent="0.35">
      <c r="A42" s="558" t="s">
        <v>871</v>
      </c>
      <c r="B42" s="170" t="s">
        <v>95</v>
      </c>
      <c r="C42" s="436"/>
      <c r="D42" s="170"/>
      <c r="E42" s="170">
        <v>55719</v>
      </c>
      <c r="F42" s="388"/>
      <c r="G42" s="10">
        <v>2</v>
      </c>
      <c r="H42" s="414"/>
      <c r="I42" s="420">
        <f t="shared" si="1"/>
        <v>0</v>
      </c>
    </row>
    <row r="43" spans="1:9" x14ac:dyDescent="0.35">
      <c r="A43" s="558" t="s">
        <v>908</v>
      </c>
      <c r="B43" s="170" t="s">
        <v>748</v>
      </c>
      <c r="C43" s="436"/>
      <c r="D43" s="170"/>
      <c r="E43" s="170">
        <v>55719</v>
      </c>
      <c r="F43" s="388"/>
      <c r="G43" s="10">
        <v>1</v>
      </c>
      <c r="H43" s="414"/>
      <c r="I43" s="420">
        <f t="shared" si="1"/>
        <v>0</v>
      </c>
    </row>
    <row r="44" spans="1:9" x14ac:dyDescent="0.35">
      <c r="A44" s="558" t="s">
        <v>1658</v>
      </c>
      <c r="B44" s="170" t="s">
        <v>1648</v>
      </c>
      <c r="C44" s="436"/>
      <c r="D44" s="170"/>
      <c r="E44" s="170">
        <v>55719</v>
      </c>
      <c r="F44" s="388"/>
      <c r="G44" s="10">
        <v>1</v>
      </c>
      <c r="H44" s="414"/>
      <c r="I44" s="420">
        <f t="shared" si="1"/>
        <v>0</v>
      </c>
    </row>
    <row r="45" spans="1:9" x14ac:dyDescent="0.35">
      <c r="A45" s="558" t="s">
        <v>1659</v>
      </c>
      <c r="B45" s="170" t="s">
        <v>1649</v>
      </c>
      <c r="C45" s="436"/>
      <c r="D45" s="170"/>
      <c r="E45" s="170">
        <v>55719</v>
      </c>
      <c r="F45" s="315"/>
      <c r="G45" s="10">
        <v>1</v>
      </c>
      <c r="H45" s="414"/>
      <c r="I45" s="420">
        <f t="shared" si="1"/>
        <v>0</v>
      </c>
    </row>
    <row r="46" spans="1:9" x14ac:dyDescent="0.35">
      <c r="A46" s="558" t="s">
        <v>1657</v>
      </c>
      <c r="B46" s="170" t="s">
        <v>1647</v>
      </c>
      <c r="C46" s="436"/>
      <c r="D46" s="170"/>
      <c r="E46" s="170">
        <v>55719</v>
      </c>
      <c r="F46" s="340"/>
      <c r="G46" s="10">
        <v>1</v>
      </c>
      <c r="H46" s="414"/>
      <c r="I46" s="420">
        <f t="shared" si="1"/>
        <v>0</v>
      </c>
    </row>
    <row r="47" spans="1:9" x14ac:dyDescent="0.35">
      <c r="A47" s="558" t="s">
        <v>1656</v>
      </c>
      <c r="B47" s="170" t="s">
        <v>1646</v>
      </c>
      <c r="C47" s="436"/>
      <c r="D47" s="170"/>
      <c r="E47" s="170">
        <v>55719</v>
      </c>
      <c r="F47" s="388"/>
      <c r="G47" s="10">
        <v>1</v>
      </c>
      <c r="H47" s="414"/>
      <c r="I47" s="420">
        <f t="shared" si="1"/>
        <v>0</v>
      </c>
    </row>
    <row r="48" spans="1:9" x14ac:dyDescent="0.35">
      <c r="A48" s="558" t="s">
        <v>1451</v>
      </c>
      <c r="B48" s="170" t="s">
        <v>1450</v>
      </c>
      <c r="C48" s="436"/>
      <c r="D48" s="170"/>
      <c r="E48" s="170">
        <v>55719</v>
      </c>
      <c r="F48" s="388"/>
      <c r="G48" s="10">
        <v>1</v>
      </c>
      <c r="H48" s="414"/>
      <c r="I48" s="420">
        <f t="shared" si="1"/>
        <v>0</v>
      </c>
    </row>
    <row r="49" spans="1:9" x14ac:dyDescent="0.35">
      <c r="A49" s="558" t="s">
        <v>1661</v>
      </c>
      <c r="B49" s="170" t="s">
        <v>1651</v>
      </c>
      <c r="C49" s="436"/>
      <c r="D49" s="170"/>
      <c r="E49" s="170">
        <v>55719</v>
      </c>
      <c r="F49" s="388"/>
      <c r="G49" s="10">
        <v>1</v>
      </c>
      <c r="H49" s="414"/>
      <c r="I49" s="420">
        <f t="shared" si="1"/>
        <v>0</v>
      </c>
    </row>
    <row r="50" spans="1:9" x14ac:dyDescent="0.35">
      <c r="A50" s="558" t="s">
        <v>1660</v>
      </c>
      <c r="B50" s="170" t="s">
        <v>1650</v>
      </c>
      <c r="C50" s="436"/>
      <c r="D50" s="170"/>
      <c r="E50" s="170">
        <v>55719</v>
      </c>
      <c r="F50" s="388"/>
      <c r="G50" s="10">
        <v>1</v>
      </c>
      <c r="H50" s="414"/>
      <c r="I50" s="420">
        <f t="shared" si="1"/>
        <v>0</v>
      </c>
    </row>
    <row r="51" spans="1:9" x14ac:dyDescent="0.35">
      <c r="A51" s="558" t="s">
        <v>929</v>
      </c>
      <c r="B51" s="170" t="s">
        <v>20</v>
      </c>
      <c r="C51" s="436"/>
      <c r="D51" s="170"/>
      <c r="E51" s="170">
        <v>55719</v>
      </c>
      <c r="F51" s="388"/>
      <c r="G51" s="10">
        <v>2</v>
      </c>
      <c r="H51" s="414"/>
      <c r="I51" s="420">
        <f t="shared" si="1"/>
        <v>0</v>
      </c>
    </row>
    <row r="52" spans="1:9" x14ac:dyDescent="0.35">
      <c r="A52" s="558" t="s">
        <v>2330</v>
      </c>
      <c r="B52" s="170" t="s">
        <v>2579</v>
      </c>
      <c r="C52" s="436"/>
      <c r="D52" s="170"/>
      <c r="E52" s="170">
        <v>55719</v>
      </c>
      <c r="F52" s="388"/>
      <c r="G52" s="10">
        <v>1</v>
      </c>
      <c r="H52" s="414"/>
      <c r="I52" s="420">
        <f t="shared" si="1"/>
        <v>0</v>
      </c>
    </row>
    <row r="53" spans="1:9" x14ac:dyDescent="0.35">
      <c r="A53" s="558" t="s">
        <v>2458</v>
      </c>
      <c r="B53" s="170" t="s">
        <v>2233</v>
      </c>
      <c r="C53" s="436"/>
      <c r="D53" s="170"/>
      <c r="E53" s="170">
        <v>55719</v>
      </c>
      <c r="F53" s="388"/>
      <c r="G53" s="10">
        <v>1</v>
      </c>
      <c r="H53" s="414"/>
      <c r="I53" s="420">
        <f t="shared" si="1"/>
        <v>0</v>
      </c>
    </row>
    <row r="54" spans="1:9" x14ac:dyDescent="0.35">
      <c r="A54" s="558" t="s">
        <v>6</v>
      </c>
      <c r="B54" s="170" t="s">
        <v>87</v>
      </c>
      <c r="C54" s="436"/>
      <c r="D54" s="170"/>
      <c r="E54" s="170">
        <v>55719</v>
      </c>
      <c r="F54" s="388"/>
      <c r="G54" s="10">
        <v>1</v>
      </c>
      <c r="H54" s="414"/>
      <c r="I54" s="420">
        <f t="shared" si="1"/>
        <v>0</v>
      </c>
    </row>
    <row r="55" spans="1:9" x14ac:dyDescent="0.35">
      <c r="A55" s="558" t="s">
        <v>1086</v>
      </c>
      <c r="B55" s="170" t="s">
        <v>767</v>
      </c>
      <c r="C55" s="436"/>
      <c r="D55" s="170"/>
      <c r="E55" s="170">
        <v>55719</v>
      </c>
      <c r="F55" s="388"/>
      <c r="G55" s="10">
        <v>1</v>
      </c>
      <c r="H55" s="414"/>
      <c r="I55" s="420">
        <f t="shared" si="1"/>
        <v>0</v>
      </c>
    </row>
    <row r="56" spans="1:9" x14ac:dyDescent="0.35">
      <c r="A56" s="558" t="s">
        <v>1087</v>
      </c>
      <c r="B56" s="170" t="s">
        <v>769</v>
      </c>
      <c r="C56" s="436"/>
      <c r="D56" s="170"/>
      <c r="E56" s="170">
        <v>55719</v>
      </c>
      <c r="F56" s="388"/>
      <c r="G56" s="10">
        <v>1</v>
      </c>
      <c r="H56" s="414"/>
      <c r="I56" s="420">
        <f t="shared" si="1"/>
        <v>0</v>
      </c>
    </row>
    <row r="57" spans="1:9" x14ac:dyDescent="0.35">
      <c r="A57" s="558" t="s">
        <v>1084</v>
      </c>
      <c r="B57" s="170" t="s">
        <v>546</v>
      </c>
      <c r="C57" s="436"/>
      <c r="D57" s="170"/>
      <c r="E57" s="170">
        <v>55719</v>
      </c>
      <c r="F57" s="388"/>
      <c r="G57" s="10">
        <v>2</v>
      </c>
      <c r="H57" s="414"/>
      <c r="I57" s="420">
        <f t="shared" si="1"/>
        <v>0</v>
      </c>
    </row>
    <row r="58" spans="1:9" x14ac:dyDescent="0.35">
      <c r="A58" s="558" t="s">
        <v>1384</v>
      </c>
      <c r="B58" s="170" t="s">
        <v>600</v>
      </c>
      <c r="C58" s="436"/>
      <c r="D58" s="170"/>
      <c r="E58" s="170">
        <v>55719</v>
      </c>
      <c r="F58" s="388"/>
      <c r="G58" s="10">
        <v>1</v>
      </c>
      <c r="H58" s="414"/>
      <c r="I58" s="420">
        <f t="shared" si="1"/>
        <v>0</v>
      </c>
    </row>
    <row r="59" spans="1:9" x14ac:dyDescent="0.35">
      <c r="A59" s="558" t="s">
        <v>909</v>
      </c>
      <c r="B59" s="170" t="s">
        <v>108</v>
      </c>
      <c r="C59" s="436"/>
      <c r="D59" s="170"/>
      <c r="E59" s="170">
        <v>55719</v>
      </c>
      <c r="F59" s="388"/>
      <c r="G59" s="10">
        <v>1</v>
      </c>
      <c r="H59" s="414"/>
      <c r="I59" s="420">
        <f t="shared" si="1"/>
        <v>0</v>
      </c>
    </row>
    <row r="60" spans="1:9" x14ac:dyDescent="0.35">
      <c r="A60" s="558" t="s">
        <v>1209</v>
      </c>
      <c r="B60" s="170" t="s">
        <v>554</v>
      </c>
      <c r="C60" s="436"/>
      <c r="D60" s="170"/>
      <c r="E60" s="170">
        <v>55719</v>
      </c>
      <c r="F60" s="388"/>
      <c r="G60" s="10">
        <v>1</v>
      </c>
      <c r="H60" s="414"/>
      <c r="I60" s="420">
        <f t="shared" si="1"/>
        <v>0</v>
      </c>
    </row>
    <row r="61" spans="1:9" x14ac:dyDescent="0.35">
      <c r="A61" s="558" t="s">
        <v>1626</v>
      </c>
      <c r="B61" s="170" t="s">
        <v>1624</v>
      </c>
      <c r="C61" s="436"/>
      <c r="D61" s="170"/>
      <c r="E61" s="170">
        <v>55719</v>
      </c>
      <c r="F61" s="388"/>
      <c r="G61" s="10">
        <v>1</v>
      </c>
      <c r="H61" s="414"/>
      <c r="I61" s="420">
        <f t="shared" si="1"/>
        <v>0</v>
      </c>
    </row>
    <row r="62" spans="1:9" x14ac:dyDescent="0.35">
      <c r="A62" s="558" t="s">
        <v>910</v>
      </c>
      <c r="B62" s="170" t="s">
        <v>438</v>
      </c>
      <c r="C62" s="436"/>
      <c r="D62" s="170"/>
      <c r="E62" s="170">
        <v>55719</v>
      </c>
      <c r="F62" s="388"/>
      <c r="G62" s="10">
        <v>1</v>
      </c>
      <c r="H62" s="414"/>
      <c r="I62" s="420">
        <f t="shared" si="1"/>
        <v>0</v>
      </c>
    </row>
    <row r="63" spans="1:9" x14ac:dyDescent="0.35">
      <c r="A63" s="558" t="s">
        <v>911</v>
      </c>
      <c r="B63" s="170" t="s">
        <v>439</v>
      </c>
      <c r="C63" s="436"/>
      <c r="D63" s="170"/>
      <c r="E63" s="170">
        <v>55719</v>
      </c>
      <c r="F63" s="388"/>
      <c r="G63" s="10">
        <v>1</v>
      </c>
      <c r="H63" s="414"/>
      <c r="I63" s="420">
        <f t="shared" si="1"/>
        <v>0</v>
      </c>
    </row>
    <row r="64" spans="1:9" x14ac:dyDescent="0.35">
      <c r="A64" s="558" t="s">
        <v>31</v>
      </c>
      <c r="B64" s="170" t="s">
        <v>21</v>
      </c>
      <c r="C64" s="436"/>
      <c r="D64" s="170"/>
      <c r="E64" s="170">
        <v>55719</v>
      </c>
      <c r="F64" s="388"/>
      <c r="G64" s="10">
        <v>1</v>
      </c>
      <c r="H64" s="414"/>
      <c r="I64" s="420">
        <f t="shared" si="1"/>
        <v>0</v>
      </c>
    </row>
    <row r="65" spans="1:9" x14ac:dyDescent="0.35">
      <c r="A65" s="558" t="s">
        <v>1214</v>
      </c>
      <c r="B65" s="170" t="s">
        <v>573</v>
      </c>
      <c r="C65" s="436"/>
      <c r="D65" s="170"/>
      <c r="E65" s="170">
        <v>55719</v>
      </c>
      <c r="F65" s="388"/>
      <c r="G65" s="10">
        <v>1</v>
      </c>
      <c r="H65" s="414"/>
      <c r="I65" s="420">
        <f t="shared" si="1"/>
        <v>0</v>
      </c>
    </row>
    <row r="66" spans="1:9" x14ac:dyDescent="0.35">
      <c r="A66" s="558" t="s">
        <v>141</v>
      </c>
      <c r="B66" s="170" t="s">
        <v>668</v>
      </c>
      <c r="C66" s="436"/>
      <c r="D66" s="170"/>
      <c r="E66" s="170">
        <v>55719</v>
      </c>
      <c r="F66" s="388"/>
      <c r="G66" s="10">
        <v>1</v>
      </c>
      <c r="H66" s="414"/>
      <c r="I66" s="420">
        <f t="shared" ref="I66:I97" si="2">+H66*G66</f>
        <v>0</v>
      </c>
    </row>
    <row r="67" spans="1:9" x14ac:dyDescent="0.35">
      <c r="A67" s="558" t="s">
        <v>1221</v>
      </c>
      <c r="B67" s="170" t="s">
        <v>534</v>
      </c>
      <c r="C67" s="436"/>
      <c r="D67" s="170"/>
      <c r="E67" s="170">
        <v>55719</v>
      </c>
      <c r="F67" s="388"/>
      <c r="G67" s="10">
        <v>1</v>
      </c>
      <c r="H67" s="414"/>
      <c r="I67" s="420">
        <f t="shared" si="2"/>
        <v>0</v>
      </c>
    </row>
    <row r="68" spans="1:9" x14ac:dyDescent="0.35">
      <c r="A68" s="558" t="s">
        <v>168</v>
      </c>
      <c r="B68" s="170" t="s">
        <v>536</v>
      </c>
      <c r="C68" s="436"/>
      <c r="D68" s="170"/>
      <c r="E68" s="170">
        <v>55719</v>
      </c>
      <c r="F68" s="388"/>
      <c r="G68" s="10">
        <v>1</v>
      </c>
      <c r="H68" s="414"/>
      <c r="I68" s="420">
        <f t="shared" si="2"/>
        <v>0</v>
      </c>
    </row>
    <row r="69" spans="1:9" x14ac:dyDescent="0.35">
      <c r="A69" s="558" t="s">
        <v>2597</v>
      </c>
      <c r="B69" s="170" t="s">
        <v>428</v>
      </c>
      <c r="C69" s="436"/>
      <c r="D69" s="170"/>
      <c r="E69" s="170">
        <v>55719</v>
      </c>
      <c r="F69" s="388"/>
      <c r="G69" s="10">
        <v>1</v>
      </c>
      <c r="H69" s="414"/>
      <c r="I69" s="420">
        <f t="shared" si="2"/>
        <v>0</v>
      </c>
    </row>
    <row r="70" spans="1:9" x14ac:dyDescent="0.35">
      <c r="A70" s="558" t="s">
        <v>2599</v>
      </c>
      <c r="B70" s="170" t="s">
        <v>555</v>
      </c>
      <c r="C70" s="436"/>
      <c r="D70" s="170"/>
      <c r="E70" s="170">
        <v>55719</v>
      </c>
      <c r="F70" s="388"/>
      <c r="G70" s="10">
        <v>1</v>
      </c>
      <c r="H70" s="414"/>
      <c r="I70" s="420">
        <f t="shared" si="2"/>
        <v>0</v>
      </c>
    </row>
    <row r="71" spans="1:9" x14ac:dyDescent="0.35">
      <c r="A71" s="558" t="s">
        <v>2600</v>
      </c>
      <c r="B71" s="170" t="s">
        <v>556</v>
      </c>
      <c r="C71" s="436"/>
      <c r="D71" s="170"/>
      <c r="E71" s="170">
        <v>55719</v>
      </c>
      <c r="F71" s="388"/>
      <c r="G71" s="10">
        <v>1</v>
      </c>
      <c r="H71" s="414"/>
      <c r="I71" s="420">
        <f t="shared" si="2"/>
        <v>0</v>
      </c>
    </row>
    <row r="72" spans="1:9" x14ac:dyDescent="0.35">
      <c r="A72" s="558" t="s">
        <v>2594</v>
      </c>
      <c r="B72" s="170" t="s">
        <v>757</v>
      </c>
      <c r="C72" s="436"/>
      <c r="D72" s="170"/>
      <c r="E72" s="170">
        <v>55719</v>
      </c>
      <c r="F72" s="388"/>
      <c r="G72" s="10">
        <v>1</v>
      </c>
      <c r="H72" s="414"/>
      <c r="I72" s="420">
        <f t="shared" si="2"/>
        <v>0</v>
      </c>
    </row>
    <row r="73" spans="1:9" x14ac:dyDescent="0.35">
      <c r="A73" s="558" t="s">
        <v>154</v>
      </c>
      <c r="B73" s="170" t="s">
        <v>2228</v>
      </c>
      <c r="C73" s="436"/>
      <c r="D73" s="170"/>
      <c r="E73" s="170">
        <v>55719</v>
      </c>
      <c r="F73" s="388"/>
      <c r="G73" s="10">
        <v>1</v>
      </c>
      <c r="H73" s="414"/>
      <c r="I73" s="420">
        <f t="shared" si="2"/>
        <v>0</v>
      </c>
    </row>
    <row r="74" spans="1:9" x14ac:dyDescent="0.35">
      <c r="A74" s="558" t="s">
        <v>812</v>
      </c>
      <c r="B74" s="170" t="s">
        <v>2229</v>
      </c>
      <c r="C74" s="436"/>
      <c r="D74" s="170"/>
      <c r="E74" s="170">
        <v>55719</v>
      </c>
      <c r="F74" s="388"/>
      <c r="G74" s="10">
        <v>1</v>
      </c>
      <c r="H74" s="414"/>
      <c r="I74" s="420">
        <f t="shared" si="2"/>
        <v>0</v>
      </c>
    </row>
    <row r="75" spans="1:9" x14ac:dyDescent="0.35">
      <c r="A75" s="558" t="s">
        <v>1297</v>
      </c>
      <c r="B75" s="170" t="s">
        <v>1622</v>
      </c>
      <c r="C75" s="436"/>
      <c r="D75" s="170"/>
      <c r="E75" s="170">
        <v>55719</v>
      </c>
      <c r="F75" s="388"/>
      <c r="G75" s="10">
        <v>1</v>
      </c>
      <c r="H75" s="414"/>
      <c r="I75" s="420">
        <f t="shared" si="2"/>
        <v>0</v>
      </c>
    </row>
    <row r="76" spans="1:9" x14ac:dyDescent="0.35">
      <c r="A76" s="558" t="s">
        <v>2455</v>
      </c>
      <c r="B76" s="266" t="s">
        <v>2454</v>
      </c>
      <c r="C76" s="436"/>
      <c r="D76" s="266"/>
      <c r="E76" s="266">
        <v>55719</v>
      </c>
      <c r="F76" s="388"/>
      <c r="G76" s="10">
        <v>1</v>
      </c>
      <c r="H76" s="414"/>
      <c r="I76" s="420">
        <f t="shared" si="2"/>
        <v>0</v>
      </c>
    </row>
    <row r="77" spans="1:9" x14ac:dyDescent="0.35">
      <c r="A77" s="558" t="s">
        <v>898</v>
      </c>
      <c r="B77" s="170" t="s">
        <v>277</v>
      </c>
      <c r="C77" s="436"/>
      <c r="D77" s="170"/>
      <c r="E77" s="170">
        <v>55719</v>
      </c>
      <c r="F77" s="388"/>
      <c r="G77" s="10">
        <v>1</v>
      </c>
      <c r="H77" s="414"/>
      <c r="I77" s="420">
        <f t="shared" si="2"/>
        <v>0</v>
      </c>
    </row>
    <row r="78" spans="1:9" x14ac:dyDescent="0.35">
      <c r="A78" s="558" t="s">
        <v>146</v>
      </c>
      <c r="B78" s="170" t="s">
        <v>278</v>
      </c>
      <c r="C78" s="436"/>
      <c r="D78" s="170"/>
      <c r="E78" s="170">
        <v>55719</v>
      </c>
      <c r="F78" s="388"/>
      <c r="G78" s="10">
        <v>1</v>
      </c>
      <c r="H78" s="414"/>
      <c r="I78" s="420">
        <f t="shared" si="2"/>
        <v>0</v>
      </c>
    </row>
    <row r="79" spans="1:9" x14ac:dyDescent="0.35">
      <c r="A79" s="558" t="s">
        <v>913</v>
      </c>
      <c r="B79" s="170" t="s">
        <v>319</v>
      </c>
      <c r="C79" s="436"/>
      <c r="D79" s="170"/>
      <c r="E79" s="170">
        <v>55719</v>
      </c>
      <c r="F79" s="388"/>
      <c r="G79" s="10">
        <v>1</v>
      </c>
      <c r="H79" s="414"/>
      <c r="I79" s="420">
        <f t="shared" si="2"/>
        <v>0</v>
      </c>
    </row>
    <row r="80" spans="1:9" x14ac:dyDescent="0.35">
      <c r="A80" s="558" t="s">
        <v>1666</v>
      </c>
      <c r="B80" s="170" t="s">
        <v>1682</v>
      </c>
      <c r="C80" s="436"/>
      <c r="D80" s="170"/>
      <c r="E80" s="170">
        <v>55719</v>
      </c>
      <c r="F80" s="388"/>
      <c r="G80" s="10">
        <v>1</v>
      </c>
      <c r="H80" s="414"/>
      <c r="I80" s="420">
        <f t="shared" si="2"/>
        <v>0</v>
      </c>
    </row>
    <row r="81" spans="1:9" x14ac:dyDescent="0.35">
      <c r="A81" s="558" t="s">
        <v>2365</v>
      </c>
      <c r="B81" s="170" t="s">
        <v>610</v>
      </c>
      <c r="C81" s="436"/>
      <c r="D81" s="170"/>
      <c r="E81" s="170">
        <v>55719</v>
      </c>
      <c r="F81" s="388"/>
      <c r="G81" s="10">
        <v>1</v>
      </c>
      <c r="H81" s="414"/>
      <c r="I81" s="420">
        <f t="shared" si="2"/>
        <v>0</v>
      </c>
    </row>
    <row r="82" spans="1:9" x14ac:dyDescent="0.35">
      <c r="A82" s="558" t="s">
        <v>140</v>
      </c>
      <c r="B82" s="170" t="s">
        <v>942</v>
      </c>
      <c r="C82" s="436"/>
      <c r="D82" s="170"/>
      <c r="E82" s="170">
        <v>55719</v>
      </c>
      <c r="F82" s="388"/>
      <c r="G82" s="10">
        <v>1</v>
      </c>
      <c r="H82" s="414"/>
      <c r="I82" s="420">
        <f t="shared" si="2"/>
        <v>0</v>
      </c>
    </row>
    <row r="83" spans="1:9" x14ac:dyDescent="0.35">
      <c r="A83" s="558" t="s">
        <v>1336</v>
      </c>
      <c r="B83" s="170" t="s">
        <v>520</v>
      </c>
      <c r="C83" s="436"/>
      <c r="D83" s="170"/>
      <c r="E83" s="170">
        <v>55719</v>
      </c>
      <c r="F83" s="388"/>
      <c r="G83" s="10">
        <v>1</v>
      </c>
      <c r="H83" s="414"/>
      <c r="I83" s="420">
        <f t="shared" si="2"/>
        <v>0</v>
      </c>
    </row>
    <row r="84" spans="1:9" x14ac:dyDescent="0.35">
      <c r="A84" s="558" t="s">
        <v>1350</v>
      </c>
      <c r="B84" s="170" t="s">
        <v>521</v>
      </c>
      <c r="C84" s="436"/>
      <c r="D84" s="170"/>
      <c r="E84" s="170">
        <v>55719</v>
      </c>
      <c r="F84" s="388"/>
      <c r="G84" s="10">
        <v>1</v>
      </c>
      <c r="H84" s="414"/>
      <c r="I84" s="420">
        <f t="shared" si="2"/>
        <v>0</v>
      </c>
    </row>
    <row r="85" spans="1:9" x14ac:dyDescent="0.35">
      <c r="A85" s="558" t="s">
        <v>1383</v>
      </c>
      <c r="B85" s="170" t="s">
        <v>243</v>
      </c>
      <c r="C85" s="436"/>
      <c r="D85" s="170"/>
      <c r="E85" s="170">
        <v>55719</v>
      </c>
      <c r="F85" s="388"/>
      <c r="G85" s="10">
        <v>1</v>
      </c>
      <c r="H85" s="414"/>
      <c r="I85" s="420">
        <f t="shared" si="2"/>
        <v>0</v>
      </c>
    </row>
    <row r="86" spans="1:9" x14ac:dyDescent="0.35">
      <c r="A86" s="558" t="s">
        <v>923</v>
      </c>
      <c r="B86" s="170" t="s">
        <v>399</v>
      </c>
      <c r="C86" s="436"/>
      <c r="D86" s="170"/>
      <c r="E86" s="170">
        <v>55719</v>
      </c>
      <c r="F86" s="388"/>
      <c r="G86" s="10">
        <v>1</v>
      </c>
      <c r="H86" s="414"/>
      <c r="I86" s="420">
        <f t="shared" si="2"/>
        <v>0</v>
      </c>
    </row>
    <row r="87" spans="1:9" x14ac:dyDescent="0.35">
      <c r="A87" s="558" t="s">
        <v>924</v>
      </c>
      <c r="B87" s="170" t="s">
        <v>435</v>
      </c>
      <c r="C87" s="436"/>
      <c r="D87" s="170"/>
      <c r="E87" s="170">
        <v>55719</v>
      </c>
      <c r="F87" s="388"/>
      <c r="G87" s="10">
        <v>1</v>
      </c>
      <c r="H87" s="414"/>
      <c r="I87" s="420">
        <f t="shared" si="2"/>
        <v>0</v>
      </c>
    </row>
    <row r="88" spans="1:9" x14ac:dyDescent="0.35">
      <c r="A88" s="558" t="s">
        <v>1449</v>
      </c>
      <c r="B88" s="170" t="s">
        <v>670</v>
      </c>
      <c r="C88" s="436"/>
      <c r="D88" s="170"/>
      <c r="E88" s="170">
        <v>55719</v>
      </c>
      <c r="F88" s="388"/>
      <c r="G88" s="10">
        <v>1</v>
      </c>
      <c r="H88" s="414"/>
      <c r="I88" s="420">
        <f t="shared" si="2"/>
        <v>0</v>
      </c>
    </row>
    <row r="89" spans="1:9" x14ac:dyDescent="0.35">
      <c r="A89" s="558" t="s">
        <v>869</v>
      </c>
      <c r="B89" s="170" t="s">
        <v>353</v>
      </c>
      <c r="C89" s="436"/>
      <c r="D89" s="170"/>
      <c r="E89" s="170">
        <v>55719</v>
      </c>
      <c r="F89" s="315"/>
      <c r="G89" s="10">
        <v>2</v>
      </c>
      <c r="H89" s="414"/>
      <c r="I89" s="420">
        <f t="shared" si="2"/>
        <v>0</v>
      </c>
    </row>
    <row r="90" spans="1:9" x14ac:dyDescent="0.35">
      <c r="A90" s="558" t="s">
        <v>958</v>
      </c>
      <c r="B90" s="170" t="s">
        <v>352</v>
      </c>
      <c r="C90" s="436"/>
      <c r="D90" s="170"/>
      <c r="E90" s="170">
        <v>55719</v>
      </c>
      <c r="F90" s="340"/>
      <c r="G90" s="10">
        <v>2</v>
      </c>
      <c r="H90" s="414"/>
      <c r="I90" s="420">
        <f t="shared" si="2"/>
        <v>0</v>
      </c>
    </row>
    <row r="91" spans="1:9" x14ac:dyDescent="0.35">
      <c r="A91" s="558" t="s">
        <v>2476</v>
      </c>
      <c r="B91" s="170" t="s">
        <v>1755</v>
      </c>
      <c r="C91" s="436"/>
      <c r="D91" s="170"/>
      <c r="E91" s="170">
        <v>55719</v>
      </c>
      <c r="F91" s="388"/>
      <c r="G91" s="10">
        <v>1</v>
      </c>
      <c r="H91" s="414"/>
      <c r="I91" s="420">
        <f t="shared" si="2"/>
        <v>0</v>
      </c>
    </row>
    <row r="92" spans="1:9" x14ac:dyDescent="0.35">
      <c r="A92" s="558" t="s">
        <v>362</v>
      </c>
      <c r="B92" s="170" t="s">
        <v>431</v>
      </c>
      <c r="C92" s="436"/>
      <c r="D92" s="170"/>
      <c r="E92" s="170">
        <v>55719</v>
      </c>
      <c r="F92" s="388"/>
      <c r="G92" s="10">
        <v>1</v>
      </c>
      <c r="H92" s="414"/>
      <c r="I92" s="420">
        <f t="shared" si="2"/>
        <v>0</v>
      </c>
    </row>
    <row r="93" spans="1:9" x14ac:dyDescent="0.35">
      <c r="A93" s="558" t="s">
        <v>2457</v>
      </c>
      <c r="B93" s="170" t="s">
        <v>1605</v>
      </c>
      <c r="C93" s="436"/>
      <c r="D93" s="170"/>
      <c r="E93" s="170">
        <v>55719</v>
      </c>
      <c r="F93" s="388"/>
      <c r="G93" s="10">
        <v>1</v>
      </c>
      <c r="H93" s="414"/>
      <c r="I93" s="420">
        <f t="shared" si="2"/>
        <v>0</v>
      </c>
    </row>
    <row r="94" spans="1:9" x14ac:dyDescent="0.35">
      <c r="A94" s="558" t="s">
        <v>926</v>
      </c>
      <c r="B94" s="170" t="s">
        <v>747</v>
      </c>
      <c r="C94" s="436"/>
      <c r="D94" s="170"/>
      <c r="E94" s="170">
        <v>55719</v>
      </c>
      <c r="F94" s="388"/>
      <c r="G94" s="10">
        <v>1</v>
      </c>
      <c r="H94" s="414"/>
      <c r="I94" s="420">
        <f t="shared" si="2"/>
        <v>0</v>
      </c>
    </row>
    <row r="95" spans="1:9" x14ac:dyDescent="0.35">
      <c r="A95" s="558" t="s">
        <v>927</v>
      </c>
      <c r="B95" s="170" t="s">
        <v>774</v>
      </c>
      <c r="C95" s="436"/>
      <c r="D95" s="170"/>
      <c r="E95" s="170">
        <v>55719</v>
      </c>
      <c r="F95" s="388"/>
      <c r="G95" s="10">
        <v>1</v>
      </c>
      <c r="H95" s="414"/>
      <c r="I95" s="420">
        <f t="shared" si="2"/>
        <v>0</v>
      </c>
    </row>
    <row r="96" spans="1:9" x14ac:dyDescent="0.35">
      <c r="A96" s="558" t="s">
        <v>928</v>
      </c>
      <c r="B96" s="170" t="s">
        <v>775</v>
      </c>
      <c r="C96" s="436"/>
      <c r="D96" s="170"/>
      <c r="E96" s="170">
        <v>55719</v>
      </c>
      <c r="F96" s="388"/>
      <c r="G96" s="10">
        <v>1</v>
      </c>
      <c r="H96" s="414"/>
      <c r="I96" s="420">
        <f t="shared" si="2"/>
        <v>0</v>
      </c>
    </row>
    <row r="97" spans="1:9" x14ac:dyDescent="0.35">
      <c r="A97" s="558" t="s">
        <v>1380</v>
      </c>
      <c r="B97" s="170" t="s">
        <v>361</v>
      </c>
      <c r="C97" s="436"/>
      <c r="D97" s="170"/>
      <c r="E97" s="170">
        <v>55719</v>
      </c>
      <c r="F97" s="388"/>
      <c r="G97" s="10">
        <v>1</v>
      </c>
      <c r="H97" s="414"/>
      <c r="I97" s="420">
        <f t="shared" si="2"/>
        <v>0</v>
      </c>
    </row>
    <row r="98" spans="1:9" x14ac:dyDescent="0.35">
      <c r="A98" s="558" t="s">
        <v>1046</v>
      </c>
      <c r="B98" s="170" t="s">
        <v>203</v>
      </c>
      <c r="C98" s="436"/>
      <c r="D98" s="170"/>
      <c r="E98" s="170">
        <v>55719</v>
      </c>
      <c r="F98" s="388"/>
      <c r="G98" s="10">
        <v>1</v>
      </c>
      <c r="H98" s="414"/>
      <c r="I98" s="420">
        <f t="shared" ref="I98:I104" si="3">+H98*G98</f>
        <v>0</v>
      </c>
    </row>
    <row r="99" spans="1:9" s="286" customFormat="1" ht="17.5" x14ac:dyDescent="0.35">
      <c r="A99" s="558" t="s">
        <v>166</v>
      </c>
      <c r="B99" s="170" t="s">
        <v>2230</v>
      </c>
      <c r="C99" s="436"/>
      <c r="D99" s="170"/>
      <c r="E99" s="170">
        <v>55719</v>
      </c>
      <c r="F99" s="388"/>
      <c r="G99" s="10">
        <v>1</v>
      </c>
      <c r="H99" s="414"/>
      <c r="I99" s="420">
        <f t="shared" si="3"/>
        <v>0</v>
      </c>
    </row>
    <row r="100" spans="1:9" s="286" customFormat="1" ht="17.5" x14ac:dyDescent="0.35">
      <c r="A100" s="558" t="s">
        <v>1112</v>
      </c>
      <c r="B100" s="170" t="s">
        <v>790</v>
      </c>
      <c r="C100" s="436"/>
      <c r="D100" s="170"/>
      <c r="E100" s="170">
        <v>55719</v>
      </c>
      <c r="F100" s="388"/>
      <c r="G100" s="10">
        <v>1</v>
      </c>
      <c r="H100" s="414"/>
      <c r="I100" s="420">
        <f t="shared" si="3"/>
        <v>0</v>
      </c>
    </row>
    <row r="101" spans="1:9" s="286" customFormat="1" ht="17.5" x14ac:dyDescent="0.35">
      <c r="A101" s="558" t="s">
        <v>1106</v>
      </c>
      <c r="B101" s="170" t="s">
        <v>749</v>
      </c>
      <c r="C101" s="436"/>
      <c r="D101" s="170"/>
      <c r="E101" s="170">
        <v>55719</v>
      </c>
      <c r="F101" s="388"/>
      <c r="G101" s="10">
        <v>1</v>
      </c>
      <c r="H101" s="414"/>
      <c r="I101" s="420">
        <f t="shared" si="3"/>
        <v>0</v>
      </c>
    </row>
    <row r="102" spans="1:9" s="286" customFormat="1" ht="17.5" x14ac:dyDescent="0.35">
      <c r="A102" s="558" t="s">
        <v>1845</v>
      </c>
      <c r="B102" s="170" t="s">
        <v>1846</v>
      </c>
      <c r="C102" s="436"/>
      <c r="D102" s="170"/>
      <c r="E102" s="170">
        <v>55719</v>
      </c>
      <c r="F102" s="388"/>
      <c r="G102" s="10">
        <v>1</v>
      </c>
      <c r="H102" s="414"/>
      <c r="I102" s="420">
        <f t="shared" si="3"/>
        <v>0</v>
      </c>
    </row>
    <row r="103" spans="1:9" s="286" customFormat="1" ht="17.5" x14ac:dyDescent="0.35">
      <c r="A103" s="558" t="s">
        <v>1282</v>
      </c>
      <c r="B103" s="170" t="s">
        <v>550</v>
      </c>
      <c r="C103" s="436"/>
      <c r="D103" s="170"/>
      <c r="E103" s="170">
        <v>55719</v>
      </c>
      <c r="F103" s="388"/>
      <c r="G103" s="10">
        <v>1</v>
      </c>
      <c r="H103" s="414"/>
      <c r="I103" s="420">
        <f t="shared" si="3"/>
        <v>0</v>
      </c>
    </row>
    <row r="104" spans="1:9" s="286" customFormat="1" ht="17.5" x14ac:dyDescent="0.35">
      <c r="A104" s="558" t="s">
        <v>19</v>
      </c>
      <c r="B104" s="170" t="s">
        <v>242</v>
      </c>
      <c r="C104" s="436"/>
      <c r="D104" s="170"/>
      <c r="E104" s="170">
        <v>55719</v>
      </c>
      <c r="F104" s="388"/>
      <c r="G104" s="10">
        <v>1</v>
      </c>
      <c r="H104" s="414"/>
      <c r="I104" s="420">
        <f t="shared" si="3"/>
        <v>0</v>
      </c>
    </row>
    <row r="105" spans="1:9" s="286" customFormat="1" ht="46.5" x14ac:dyDescent="0.35">
      <c r="A105" s="558" t="s">
        <v>1428</v>
      </c>
      <c r="B105" s="170" t="s">
        <v>442</v>
      </c>
      <c r="C105" s="436"/>
      <c r="D105" s="170"/>
      <c r="E105" s="170">
        <v>55719</v>
      </c>
      <c r="F105" s="388"/>
      <c r="G105" s="10">
        <v>1</v>
      </c>
      <c r="H105" s="414" t="s">
        <v>2693</v>
      </c>
      <c r="I105" s="420"/>
    </row>
    <row r="106" spans="1:9" s="286" customFormat="1" ht="17.5" x14ac:dyDescent="0.35">
      <c r="A106" s="558" t="s">
        <v>1413</v>
      </c>
      <c r="B106" s="170" t="s">
        <v>587</v>
      </c>
      <c r="C106" s="436"/>
      <c r="D106" s="170"/>
      <c r="E106" s="170">
        <v>55719</v>
      </c>
      <c r="F106" s="388"/>
      <c r="G106" s="10">
        <v>1</v>
      </c>
      <c r="H106" s="414"/>
      <c r="I106" s="420">
        <f>+H106*G106</f>
        <v>0</v>
      </c>
    </row>
    <row r="107" spans="1:9" s="286" customFormat="1" ht="17.5" x14ac:dyDescent="0.35">
      <c r="A107" s="558" t="s">
        <v>1042</v>
      </c>
      <c r="B107" s="170" t="s">
        <v>429</v>
      </c>
      <c r="C107" s="436"/>
      <c r="D107" s="170"/>
      <c r="E107" s="170">
        <v>55719</v>
      </c>
      <c r="F107" s="388"/>
      <c r="G107" s="10">
        <v>1</v>
      </c>
      <c r="H107" s="414"/>
      <c r="I107" s="420">
        <f>+H107*G107</f>
        <v>0</v>
      </c>
    </row>
    <row r="108" spans="1:9" s="286" customFormat="1" ht="17.5" x14ac:dyDescent="0.35">
      <c r="A108" s="558" t="s">
        <v>1109</v>
      </c>
      <c r="B108" s="170" t="s">
        <v>340</v>
      </c>
      <c r="C108" s="436"/>
      <c r="D108" s="170"/>
      <c r="E108" s="170">
        <v>55719</v>
      </c>
      <c r="F108" s="388"/>
      <c r="G108" s="10">
        <v>1</v>
      </c>
      <c r="H108" s="414"/>
      <c r="I108" s="420">
        <f>+H108*G108</f>
        <v>0</v>
      </c>
    </row>
    <row r="109" spans="1:9" s="286" customFormat="1" ht="17.5" x14ac:dyDescent="0.35">
      <c r="A109" s="558" t="s">
        <v>1271</v>
      </c>
      <c r="B109" s="170" t="s">
        <v>558</v>
      </c>
      <c r="C109" s="436"/>
      <c r="D109" s="170"/>
      <c r="E109" s="170">
        <v>55719</v>
      </c>
      <c r="F109" s="388"/>
      <c r="G109" s="10">
        <v>2</v>
      </c>
      <c r="H109" s="414"/>
      <c r="I109" s="420">
        <f>+H109*G109</f>
        <v>0</v>
      </c>
    </row>
    <row r="110" spans="1:9" s="286" customFormat="1" ht="17.5" x14ac:dyDescent="0.35">
      <c r="A110" s="287"/>
      <c r="B110" s="287"/>
      <c r="C110" s="287"/>
      <c r="D110" s="287"/>
      <c r="E110" s="287"/>
      <c r="F110"/>
      <c r="G110" s="287"/>
      <c r="H110" s="412"/>
      <c r="I110" s="406">
        <f>SUM(I2:I109)</f>
        <v>0</v>
      </c>
    </row>
    <row r="111" spans="1:9" s="286" customFormat="1" ht="17.5" x14ac:dyDescent="0.35">
      <c r="A111" s="287"/>
      <c r="B111" s="287"/>
      <c r="C111" s="287"/>
      <c r="D111" s="287"/>
      <c r="E111" s="287"/>
      <c r="F111"/>
      <c r="G111" s="287"/>
      <c r="H111" s="412"/>
      <c r="I111" s="406"/>
    </row>
    <row r="112" spans="1:9" s="286" customFormat="1" ht="17.5" x14ac:dyDescent="0.35">
      <c r="A112" s="287"/>
      <c r="B112" s="287"/>
      <c r="C112" s="287"/>
      <c r="D112" s="287"/>
      <c r="E112" s="287"/>
      <c r="F112"/>
      <c r="G112" s="287"/>
      <c r="H112" s="412"/>
      <c r="I112" s="412"/>
    </row>
    <row r="113" spans="1:9" s="286" customFormat="1" ht="17.5" x14ac:dyDescent="0.35">
      <c r="A113" s="320" t="s">
        <v>1522</v>
      </c>
      <c r="B113" s="321"/>
      <c r="C113" s="288"/>
      <c r="D113" s="288"/>
      <c r="E113" s="288"/>
      <c r="F113"/>
      <c r="G113" s="288"/>
      <c r="H113" s="396"/>
      <c r="I113" s="412"/>
    </row>
    <row r="114" spans="1:9" s="286" customFormat="1" ht="17.5" x14ac:dyDescent="0.35">
      <c r="A114" s="320" t="s">
        <v>2370</v>
      </c>
      <c r="B114" s="320"/>
      <c r="F114"/>
      <c r="H114" s="406"/>
      <c r="I114" s="412"/>
    </row>
    <row r="115" spans="1:9" s="286" customFormat="1" ht="17.5" x14ac:dyDescent="0.35">
      <c r="A115" s="322" t="s">
        <v>2614</v>
      </c>
      <c r="B115" s="266"/>
      <c r="C115" s="287"/>
      <c r="D115" s="287"/>
      <c r="E115" s="287"/>
      <c r="F115"/>
      <c r="G115" s="287"/>
      <c r="H115" s="412"/>
      <c r="I115" s="412"/>
    </row>
    <row r="116" spans="1:9" s="286" customFormat="1" ht="17.5" x14ac:dyDescent="0.35">
      <c r="A116" s="319" t="s">
        <v>2694</v>
      </c>
      <c r="B116" s="413">
        <f>+I110</f>
        <v>0</v>
      </c>
      <c r="C116" s="287"/>
      <c r="D116" s="287"/>
      <c r="E116" s="287"/>
      <c r="F116"/>
      <c r="G116" s="287"/>
      <c r="H116" s="412"/>
      <c r="I116" s="412"/>
    </row>
    <row r="117" spans="1:9" s="286" customFormat="1" ht="17.5" x14ac:dyDescent="0.35">
      <c r="A117" s="287"/>
      <c r="B117" s="287"/>
      <c r="C117" s="287"/>
      <c r="D117" s="287"/>
      <c r="E117" s="287"/>
      <c r="F117"/>
      <c r="G117" s="287"/>
      <c r="H117" s="412"/>
      <c r="I117" s="412"/>
    </row>
    <row r="118" spans="1:9" s="286" customFormat="1" ht="17.5" x14ac:dyDescent="0.35">
      <c r="A118" s="287"/>
      <c r="B118" s="287"/>
      <c r="C118" s="287"/>
      <c r="D118" s="287"/>
      <c r="E118" s="287"/>
      <c r="F118"/>
      <c r="G118" s="287"/>
      <c r="H118" s="412"/>
      <c r="I118" s="412"/>
    </row>
    <row r="119" spans="1:9" s="286" customFormat="1" ht="17.5" x14ac:dyDescent="0.35">
      <c r="A119" s="287"/>
      <c r="B119" s="287"/>
      <c r="C119" s="287"/>
      <c r="D119" s="287"/>
      <c r="E119" s="287"/>
      <c r="F119"/>
      <c r="G119" s="287"/>
      <c r="H119" s="412"/>
      <c r="I119" s="412"/>
    </row>
    <row r="120" spans="1:9" s="286" customFormat="1" ht="17.5" x14ac:dyDescent="0.35">
      <c r="A120" s="287"/>
      <c r="B120" s="287"/>
      <c r="C120" s="287"/>
      <c r="D120" s="287"/>
      <c r="E120" s="287"/>
      <c r="F120"/>
      <c r="G120" s="287"/>
      <c r="H120" s="412"/>
      <c r="I120" s="412"/>
    </row>
    <row r="121" spans="1:9" s="286" customFormat="1" ht="17.5" x14ac:dyDescent="0.35">
      <c r="A121" s="287"/>
      <c r="B121" s="287"/>
      <c r="C121" s="287"/>
      <c r="D121" s="287"/>
      <c r="E121" s="287"/>
      <c r="F121"/>
      <c r="G121" s="287"/>
      <c r="H121" s="412"/>
      <c r="I121" s="412"/>
    </row>
    <row r="122" spans="1:9" s="286" customFormat="1" ht="17.5" x14ac:dyDescent="0.35">
      <c r="A122" s="287"/>
      <c r="B122" s="287"/>
      <c r="C122" s="287"/>
      <c r="D122" s="287"/>
      <c r="E122" s="287"/>
      <c r="F122"/>
      <c r="G122" s="287"/>
      <c r="H122" s="412"/>
      <c r="I122" s="412"/>
    </row>
    <row r="123" spans="1:9" s="286" customFormat="1" ht="17.5" x14ac:dyDescent="0.35">
      <c r="A123" s="287"/>
      <c r="B123" s="287"/>
      <c r="C123" s="287"/>
      <c r="D123" s="287"/>
      <c r="E123" s="287"/>
      <c r="F123"/>
      <c r="G123" s="287"/>
      <c r="H123" s="412"/>
      <c r="I123" s="412"/>
    </row>
    <row r="124" spans="1:9" s="286" customFormat="1" ht="17.5" x14ac:dyDescent="0.35">
      <c r="A124" s="287"/>
      <c r="B124" s="287"/>
      <c r="C124" s="287"/>
      <c r="D124" s="287"/>
      <c r="E124" s="287"/>
      <c r="F124"/>
      <c r="G124" s="287"/>
      <c r="H124" s="412"/>
      <c r="I124" s="412"/>
    </row>
    <row r="125" spans="1:9" s="286" customFormat="1" ht="17.5" x14ac:dyDescent="0.35">
      <c r="A125" s="287"/>
      <c r="B125" s="287"/>
      <c r="C125" s="287"/>
      <c r="D125" s="287"/>
      <c r="E125" s="287"/>
      <c r="F125"/>
      <c r="G125" s="287"/>
      <c r="H125" s="412"/>
      <c r="I125" s="412"/>
    </row>
    <row r="126" spans="1:9" s="286" customFormat="1" ht="17.5" x14ac:dyDescent="0.35">
      <c r="A126" s="287"/>
      <c r="B126" s="287"/>
      <c r="C126" s="287"/>
      <c r="D126" s="287"/>
      <c r="E126" s="287"/>
      <c r="F126"/>
      <c r="G126" s="287"/>
      <c r="H126" s="412"/>
      <c r="I126" s="412"/>
    </row>
    <row r="127" spans="1:9" s="286" customFormat="1" ht="17.5" x14ac:dyDescent="0.35">
      <c r="A127" s="287"/>
      <c r="B127" s="287"/>
      <c r="C127" s="287"/>
      <c r="D127" s="287"/>
      <c r="E127" s="287"/>
      <c r="F127"/>
      <c r="G127" s="287"/>
      <c r="H127" s="412"/>
      <c r="I127" s="412"/>
    </row>
    <row r="128" spans="1:9" s="286" customFormat="1" ht="17.5" x14ac:dyDescent="0.35">
      <c r="A128" s="287"/>
      <c r="B128" s="287"/>
      <c r="C128" s="287"/>
      <c r="D128" s="287"/>
      <c r="E128" s="287"/>
      <c r="F128"/>
      <c r="G128" s="287"/>
      <c r="H128" s="412"/>
      <c r="I128" s="412"/>
    </row>
    <row r="129" spans="1:9" s="286" customFormat="1" ht="17.5" x14ac:dyDescent="0.35">
      <c r="A129" s="287"/>
      <c r="B129" s="287"/>
      <c r="C129" s="287"/>
      <c r="D129" s="287"/>
      <c r="E129" s="287"/>
      <c r="F129"/>
      <c r="G129" s="287"/>
      <c r="H129" s="412"/>
      <c r="I129" s="412"/>
    </row>
    <row r="130" spans="1:9" s="286" customFormat="1" ht="17.5" x14ac:dyDescent="0.35">
      <c r="A130" s="287"/>
      <c r="B130" s="287"/>
      <c r="C130" s="287"/>
      <c r="D130" s="287"/>
      <c r="E130" s="287"/>
      <c r="F130"/>
      <c r="G130" s="287"/>
      <c r="H130" s="412"/>
      <c r="I130" s="412"/>
    </row>
    <row r="131" spans="1:9" x14ac:dyDescent="0.35">
      <c r="F131"/>
    </row>
    <row r="132" spans="1:9" x14ac:dyDescent="0.35">
      <c r="F132"/>
    </row>
    <row r="133" spans="1:9" x14ac:dyDescent="0.35">
      <c r="F133"/>
    </row>
    <row r="134" spans="1:9" x14ac:dyDescent="0.35">
      <c r="F134"/>
    </row>
    <row r="135" spans="1:9" x14ac:dyDescent="0.35">
      <c r="F135"/>
    </row>
    <row r="136" spans="1:9" x14ac:dyDescent="0.35">
      <c r="F136"/>
    </row>
    <row r="137" spans="1:9" x14ac:dyDescent="0.35">
      <c r="F137"/>
    </row>
    <row r="138" spans="1:9" x14ac:dyDescent="0.35">
      <c r="F138"/>
    </row>
    <row r="139" spans="1:9" x14ac:dyDescent="0.35">
      <c r="F139"/>
    </row>
    <row r="140" spans="1:9" x14ac:dyDescent="0.35">
      <c r="F140"/>
    </row>
    <row r="141" spans="1:9" x14ac:dyDescent="0.35">
      <c r="F141"/>
    </row>
    <row r="142" spans="1:9" x14ac:dyDescent="0.35">
      <c r="F142"/>
    </row>
    <row r="143" spans="1:9" s="286" customFormat="1" ht="17.5" x14ac:dyDescent="0.35">
      <c r="A143" s="287"/>
      <c r="B143" s="287"/>
      <c r="C143" s="287"/>
      <c r="D143" s="287"/>
      <c r="E143" s="287"/>
      <c r="F143" s="287"/>
      <c r="G143" s="287"/>
      <c r="H143" s="412"/>
      <c r="I143" s="412"/>
    </row>
    <row r="148" spans="1:9" s="286" customFormat="1" ht="17.5" x14ac:dyDescent="0.35">
      <c r="A148" s="287"/>
      <c r="B148" s="287"/>
      <c r="C148" s="287"/>
      <c r="D148" s="287"/>
      <c r="E148" s="287"/>
      <c r="F148" s="287"/>
      <c r="G148" s="287"/>
      <c r="H148" s="412"/>
      <c r="I148" s="412"/>
    </row>
    <row r="149" spans="1:9" s="286" customFormat="1" ht="17.5" x14ac:dyDescent="0.35">
      <c r="A149" s="287"/>
      <c r="B149" s="287"/>
      <c r="C149" s="287"/>
      <c r="D149" s="287"/>
      <c r="E149" s="287"/>
      <c r="F149" s="287"/>
      <c r="G149" s="287"/>
      <c r="H149" s="412"/>
      <c r="I149" s="412"/>
    </row>
    <row r="150" spans="1:9" s="286" customFormat="1" ht="17.5" x14ac:dyDescent="0.35">
      <c r="A150" s="287"/>
      <c r="B150" s="287"/>
      <c r="C150" s="287"/>
      <c r="D150" s="287"/>
      <c r="E150" s="287"/>
      <c r="F150" s="287"/>
      <c r="G150" s="287"/>
      <c r="H150" s="412"/>
      <c r="I150" s="412"/>
    </row>
    <row r="151" spans="1:9" s="286" customFormat="1" ht="17.5" x14ac:dyDescent="0.35">
      <c r="A151" s="287"/>
      <c r="B151" s="287"/>
      <c r="C151" s="287"/>
      <c r="D151" s="287"/>
      <c r="E151" s="287"/>
      <c r="F151" s="287"/>
      <c r="G151" s="287"/>
      <c r="H151" s="412"/>
      <c r="I151" s="412"/>
    </row>
    <row r="153" spans="1:9" s="286" customFormat="1" ht="17.5" x14ac:dyDescent="0.35">
      <c r="A153" s="287"/>
      <c r="B153" s="287"/>
      <c r="C153" s="287"/>
      <c r="D153" s="287"/>
      <c r="E153" s="287"/>
      <c r="F153" s="287"/>
      <c r="G153" s="287"/>
      <c r="H153" s="412"/>
      <c r="I153" s="412"/>
    </row>
    <row r="156" spans="1:9" s="286" customFormat="1" ht="17.5" x14ac:dyDescent="0.35">
      <c r="A156" s="287"/>
      <c r="B156" s="287"/>
      <c r="C156" s="287"/>
      <c r="D156" s="287"/>
      <c r="E156" s="287"/>
      <c r="F156" s="287"/>
      <c r="G156" s="287"/>
      <c r="H156" s="412"/>
      <c r="I156" s="412"/>
    </row>
    <row r="157" spans="1:9" s="286" customFormat="1" ht="17.5" x14ac:dyDescent="0.35">
      <c r="A157" s="287"/>
      <c r="B157" s="287"/>
      <c r="C157" s="287"/>
      <c r="D157" s="287"/>
      <c r="E157" s="287"/>
      <c r="F157" s="287"/>
      <c r="G157" s="287"/>
      <c r="H157" s="412"/>
      <c r="I157" s="412"/>
    </row>
  </sheetData>
  <sortState xmlns:xlrd2="http://schemas.microsoft.com/office/spreadsheetml/2017/richdata2" ref="A2:H114">
    <sortCondition ref="B2:B114"/>
  </sortState>
  <pageMargins left="0.5" right="0.5" top="0.5" bottom="0.5" header="0.3" footer="0.3"/>
  <pageSetup scale="6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5"/>
  <sheetViews>
    <sheetView workbookViewId="0">
      <pane ySplit="1" topLeftCell="A246" activePane="bottomLeft" state="frozen"/>
      <selection activeCell="G1" sqref="G1:G1048576"/>
      <selection pane="bottomLeft" activeCell="F275" sqref="F275"/>
    </sheetView>
  </sheetViews>
  <sheetFormatPr defaultColWidth="9.08984375" defaultRowHeight="15.5" x14ac:dyDescent="0.35"/>
  <cols>
    <col min="1" max="1" width="70.08984375" style="81" bestFit="1" customWidth="1"/>
    <col min="2" max="2" width="19.453125" style="81" bestFit="1" customWidth="1"/>
    <col min="3" max="3" width="21.1796875" style="81" customWidth="1"/>
    <col min="4" max="4" width="21.81640625" style="81" customWidth="1"/>
    <col min="5" max="5" width="14.36328125" style="81" customWidth="1"/>
    <col min="6" max="6" width="18" style="251" customWidth="1"/>
    <col min="7" max="7" width="11.90625" style="74" customWidth="1"/>
    <col min="8" max="8" width="13.08984375" style="426" customWidth="1"/>
    <col min="9" max="9" width="18.6328125" style="426" customWidth="1"/>
    <col min="10" max="10" width="18.6328125" style="74" bestFit="1" customWidth="1"/>
    <col min="11" max="16384" width="9.08984375" style="74"/>
  </cols>
  <sheetData>
    <row r="1" spans="1:9" x14ac:dyDescent="0.35">
      <c r="A1" s="559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61" t="s">
        <v>2699</v>
      </c>
      <c r="G1" s="85" t="s">
        <v>364</v>
      </c>
      <c r="H1" s="421" t="s">
        <v>2695</v>
      </c>
      <c r="I1" s="421" t="s">
        <v>2696</v>
      </c>
    </row>
    <row r="2" spans="1:9" x14ac:dyDescent="0.35">
      <c r="A2" s="554" t="s">
        <v>1406</v>
      </c>
      <c r="B2" s="62" t="s">
        <v>2482</v>
      </c>
      <c r="C2" s="315"/>
      <c r="D2" s="62"/>
      <c r="E2" s="62">
        <v>55719</v>
      </c>
      <c r="F2" s="388"/>
      <c r="G2" s="31">
        <v>1</v>
      </c>
      <c r="H2" s="422"/>
      <c r="I2" s="419">
        <f t="shared" ref="I2:I65" si="0">+G2*H2</f>
        <v>0</v>
      </c>
    </row>
    <row r="3" spans="1:9" x14ac:dyDescent="0.35">
      <c r="A3" s="554" t="s">
        <v>17</v>
      </c>
      <c r="B3" s="253" t="s">
        <v>2473</v>
      </c>
      <c r="C3" s="315"/>
      <c r="D3" s="253"/>
      <c r="E3" s="253">
        <v>55719</v>
      </c>
      <c r="F3" s="388"/>
      <c r="G3" s="201">
        <v>1</v>
      </c>
      <c r="H3" s="422"/>
      <c r="I3" s="419">
        <f t="shared" si="0"/>
        <v>0</v>
      </c>
    </row>
    <row r="4" spans="1:9" x14ac:dyDescent="0.35">
      <c r="A4" s="223" t="s">
        <v>2447</v>
      </c>
      <c r="B4" s="207" t="s">
        <v>2448</v>
      </c>
      <c r="C4" s="315"/>
      <c r="D4" s="207"/>
      <c r="E4" s="207">
        <v>55719</v>
      </c>
      <c r="F4" s="388"/>
      <c r="G4" s="221">
        <v>1</v>
      </c>
      <c r="H4" s="423"/>
      <c r="I4" s="419">
        <f t="shared" si="0"/>
        <v>0</v>
      </c>
    </row>
    <row r="5" spans="1:9" x14ac:dyDescent="0.35">
      <c r="A5" s="554" t="s">
        <v>1310</v>
      </c>
      <c r="B5" s="62" t="s">
        <v>384</v>
      </c>
      <c r="C5" s="315"/>
      <c r="D5" s="62"/>
      <c r="E5" s="62">
        <v>55719</v>
      </c>
      <c r="F5" s="388"/>
      <c r="G5" s="31">
        <v>1</v>
      </c>
      <c r="H5" s="422"/>
      <c r="I5" s="419">
        <f t="shared" si="0"/>
        <v>0</v>
      </c>
    </row>
    <row r="6" spans="1:9" x14ac:dyDescent="0.35">
      <c r="A6" s="554" t="s">
        <v>968</v>
      </c>
      <c r="B6" s="62" t="s">
        <v>176</v>
      </c>
      <c r="C6" s="315"/>
      <c r="D6" s="62"/>
      <c r="E6" s="62">
        <v>55719</v>
      </c>
      <c r="F6" s="388"/>
      <c r="G6" s="31">
        <v>1</v>
      </c>
      <c r="H6" s="422"/>
      <c r="I6" s="419">
        <f t="shared" si="0"/>
        <v>0</v>
      </c>
    </row>
    <row r="7" spans="1:9" x14ac:dyDescent="0.35">
      <c r="A7" s="554" t="s">
        <v>973</v>
      </c>
      <c r="B7" s="62" t="s">
        <v>288</v>
      </c>
      <c r="C7" s="315"/>
      <c r="D7" s="62"/>
      <c r="E7" s="62">
        <v>55719</v>
      </c>
      <c r="F7" s="388"/>
      <c r="G7" s="31">
        <v>1</v>
      </c>
      <c r="H7" s="422"/>
      <c r="I7" s="419">
        <f t="shared" si="0"/>
        <v>0</v>
      </c>
    </row>
    <row r="8" spans="1:9" x14ac:dyDescent="0.35">
      <c r="A8" s="554" t="s">
        <v>971</v>
      </c>
      <c r="B8" s="62" t="s">
        <v>287</v>
      </c>
      <c r="C8" s="315"/>
      <c r="D8" s="62"/>
      <c r="E8" s="62">
        <v>55719</v>
      </c>
      <c r="F8" s="388"/>
      <c r="G8" s="31">
        <v>1</v>
      </c>
      <c r="H8" s="422"/>
      <c r="I8" s="419">
        <f t="shared" si="0"/>
        <v>0</v>
      </c>
    </row>
    <row r="9" spans="1:9" x14ac:dyDescent="0.35">
      <c r="A9" s="554" t="s">
        <v>976</v>
      </c>
      <c r="B9" s="62" t="s">
        <v>290</v>
      </c>
      <c r="C9" s="315"/>
      <c r="D9" s="62"/>
      <c r="E9" s="62">
        <v>55719</v>
      </c>
      <c r="F9" s="388"/>
      <c r="G9" s="31">
        <v>1</v>
      </c>
      <c r="H9" s="422"/>
      <c r="I9" s="419">
        <f t="shared" si="0"/>
        <v>0</v>
      </c>
    </row>
    <row r="10" spans="1:9" x14ac:dyDescent="0.35">
      <c r="A10" s="554" t="s">
        <v>1311</v>
      </c>
      <c r="B10" s="62" t="s">
        <v>385</v>
      </c>
      <c r="C10" s="315"/>
      <c r="D10" s="62"/>
      <c r="E10" s="62">
        <v>55719</v>
      </c>
      <c r="F10" s="388"/>
      <c r="G10" s="31">
        <v>1</v>
      </c>
      <c r="H10" s="422"/>
      <c r="I10" s="419">
        <f t="shared" si="0"/>
        <v>0</v>
      </c>
    </row>
    <row r="11" spans="1:9" x14ac:dyDescent="0.35">
      <c r="A11" s="554" t="s">
        <v>1027</v>
      </c>
      <c r="B11" s="62" t="s">
        <v>96</v>
      </c>
      <c r="C11" s="315"/>
      <c r="D11" s="62"/>
      <c r="E11" s="62">
        <v>55719</v>
      </c>
      <c r="F11" s="388"/>
      <c r="G11" s="31">
        <v>1</v>
      </c>
      <c r="H11" s="422"/>
      <c r="I11" s="419">
        <f t="shared" si="0"/>
        <v>0</v>
      </c>
    </row>
    <row r="12" spans="1:9" s="141" customFormat="1" x14ac:dyDescent="0.35">
      <c r="A12" s="554" t="s">
        <v>964</v>
      </c>
      <c r="B12" s="62" t="s">
        <v>289</v>
      </c>
      <c r="C12" s="315"/>
      <c r="D12" s="62"/>
      <c r="E12" s="62">
        <v>55719</v>
      </c>
      <c r="F12" s="388"/>
      <c r="G12" s="31">
        <v>1</v>
      </c>
      <c r="H12" s="422"/>
      <c r="I12" s="419">
        <f t="shared" si="0"/>
        <v>0</v>
      </c>
    </row>
    <row r="13" spans="1:9" x14ac:dyDescent="0.35">
      <c r="A13" s="554" t="s">
        <v>965</v>
      </c>
      <c r="B13" s="62" t="s">
        <v>383</v>
      </c>
      <c r="C13" s="315"/>
      <c r="D13" s="62"/>
      <c r="E13" s="62">
        <v>55719</v>
      </c>
      <c r="F13" s="388"/>
      <c r="G13" s="31">
        <v>1</v>
      </c>
      <c r="H13" s="422"/>
      <c r="I13" s="419">
        <f t="shared" si="0"/>
        <v>0</v>
      </c>
    </row>
    <row r="14" spans="1:9" x14ac:dyDescent="0.35">
      <c r="A14" s="554" t="s">
        <v>963</v>
      </c>
      <c r="B14" s="62" t="s">
        <v>286</v>
      </c>
      <c r="C14" s="315"/>
      <c r="D14" s="62"/>
      <c r="E14" s="62">
        <v>55719</v>
      </c>
      <c r="F14" s="388"/>
      <c r="G14" s="31">
        <v>1</v>
      </c>
      <c r="H14" s="422"/>
      <c r="I14" s="419">
        <f t="shared" si="0"/>
        <v>0</v>
      </c>
    </row>
    <row r="15" spans="1:9" x14ac:dyDescent="0.35">
      <c r="A15" s="554" t="s">
        <v>966</v>
      </c>
      <c r="B15" s="62" t="s">
        <v>291</v>
      </c>
      <c r="C15" s="315"/>
      <c r="D15" s="62"/>
      <c r="E15" s="62">
        <v>55719</v>
      </c>
      <c r="F15" s="388"/>
      <c r="G15" s="31">
        <v>1</v>
      </c>
      <c r="H15" s="422"/>
      <c r="I15" s="419">
        <f t="shared" si="0"/>
        <v>0</v>
      </c>
    </row>
    <row r="16" spans="1:9" x14ac:dyDescent="0.35">
      <c r="A16" s="554" t="s">
        <v>985</v>
      </c>
      <c r="B16" s="62" t="s">
        <v>591</v>
      </c>
      <c r="C16" s="315"/>
      <c r="D16" s="62"/>
      <c r="E16" s="62">
        <v>55719</v>
      </c>
      <c r="F16" s="388"/>
      <c r="G16" s="31">
        <v>1</v>
      </c>
      <c r="H16" s="422"/>
      <c r="I16" s="419">
        <f t="shared" si="0"/>
        <v>0</v>
      </c>
    </row>
    <row r="17" spans="1:9" x14ac:dyDescent="0.35">
      <c r="A17" s="554" t="s">
        <v>16</v>
      </c>
      <c r="B17" s="62" t="s">
        <v>360</v>
      </c>
      <c r="C17" s="315"/>
      <c r="D17" s="62"/>
      <c r="E17" s="62">
        <v>55719</v>
      </c>
      <c r="F17" s="388"/>
      <c r="G17" s="31">
        <v>1</v>
      </c>
      <c r="H17" s="422"/>
      <c r="I17" s="419">
        <f t="shared" si="0"/>
        <v>0</v>
      </c>
    </row>
    <row r="18" spans="1:9" x14ac:dyDescent="0.35">
      <c r="A18" s="554" t="s">
        <v>1397</v>
      </c>
      <c r="B18" s="253" t="s">
        <v>602</v>
      </c>
      <c r="C18" s="315"/>
      <c r="D18" s="253"/>
      <c r="E18" s="253">
        <v>55719</v>
      </c>
      <c r="F18" s="388"/>
      <c r="G18" s="201">
        <v>1</v>
      </c>
      <c r="H18" s="422"/>
      <c r="I18" s="419">
        <f t="shared" si="0"/>
        <v>0</v>
      </c>
    </row>
    <row r="19" spans="1:9" x14ac:dyDescent="0.35">
      <c r="A19" s="554" t="s">
        <v>1211</v>
      </c>
      <c r="B19" s="62" t="s">
        <v>604</v>
      </c>
      <c r="C19" s="315"/>
      <c r="D19" s="62"/>
      <c r="E19" s="62">
        <v>55719</v>
      </c>
      <c r="F19" s="388"/>
      <c r="G19" s="31">
        <v>1</v>
      </c>
      <c r="H19" s="422"/>
      <c r="I19" s="419">
        <f t="shared" si="0"/>
        <v>0</v>
      </c>
    </row>
    <row r="20" spans="1:9" x14ac:dyDescent="0.35">
      <c r="A20" s="554" t="s">
        <v>1026</v>
      </c>
      <c r="B20" s="62" t="s">
        <v>336</v>
      </c>
      <c r="C20" s="315"/>
      <c r="D20" s="62"/>
      <c r="E20" s="62">
        <v>55719</v>
      </c>
      <c r="F20" s="388"/>
      <c r="G20" s="31">
        <v>1</v>
      </c>
      <c r="H20" s="422"/>
      <c r="I20" s="419">
        <f t="shared" si="0"/>
        <v>0</v>
      </c>
    </row>
    <row r="21" spans="1:9" x14ac:dyDescent="0.35">
      <c r="A21" s="554" t="s">
        <v>1022</v>
      </c>
      <c r="B21" s="62" t="s">
        <v>269</v>
      </c>
      <c r="C21" s="315"/>
      <c r="D21" s="62"/>
      <c r="E21" s="62">
        <v>55719</v>
      </c>
      <c r="F21" s="388"/>
      <c r="G21" s="31">
        <v>1</v>
      </c>
      <c r="H21" s="422"/>
      <c r="I21" s="419">
        <f t="shared" si="0"/>
        <v>0</v>
      </c>
    </row>
    <row r="22" spans="1:9" x14ac:dyDescent="0.35">
      <c r="A22" s="554" t="s">
        <v>1024</v>
      </c>
      <c r="B22" s="62" t="s">
        <v>76</v>
      </c>
      <c r="C22" s="315"/>
      <c r="D22" s="62"/>
      <c r="E22" s="62">
        <v>55719</v>
      </c>
      <c r="F22" s="388"/>
      <c r="G22" s="31">
        <v>1</v>
      </c>
      <c r="H22" s="422"/>
      <c r="I22" s="419">
        <f t="shared" si="0"/>
        <v>0</v>
      </c>
    </row>
    <row r="23" spans="1:9" x14ac:dyDescent="0.35">
      <c r="A23" s="554" t="s">
        <v>896</v>
      </c>
      <c r="B23" s="62" t="s">
        <v>272</v>
      </c>
      <c r="C23" s="315"/>
      <c r="D23" s="62"/>
      <c r="E23" s="62">
        <v>55719</v>
      </c>
      <c r="F23" s="388"/>
      <c r="G23" s="31">
        <v>1</v>
      </c>
      <c r="H23" s="422"/>
      <c r="I23" s="419">
        <f t="shared" si="0"/>
        <v>0</v>
      </c>
    </row>
    <row r="24" spans="1:9" x14ac:dyDescent="0.35">
      <c r="A24" s="554" t="s">
        <v>2583</v>
      </c>
      <c r="B24" s="62" t="s">
        <v>78</v>
      </c>
      <c r="C24" s="315"/>
      <c r="D24" s="62"/>
      <c r="E24" s="62">
        <v>55719</v>
      </c>
      <c r="F24" s="388"/>
      <c r="G24" s="31">
        <v>1</v>
      </c>
      <c r="H24" s="422"/>
      <c r="I24" s="419">
        <f t="shared" si="0"/>
        <v>0</v>
      </c>
    </row>
    <row r="25" spans="1:9" x14ac:dyDescent="0.35">
      <c r="A25" s="554" t="s">
        <v>1025</v>
      </c>
      <c r="B25" s="62" t="s">
        <v>212</v>
      </c>
      <c r="C25" s="315"/>
      <c r="D25" s="62"/>
      <c r="E25" s="62">
        <v>55719</v>
      </c>
      <c r="F25" s="388"/>
      <c r="G25" s="31">
        <v>1</v>
      </c>
      <c r="H25" s="422"/>
      <c r="I25" s="419">
        <f t="shared" si="0"/>
        <v>0</v>
      </c>
    </row>
    <row r="26" spans="1:9" x14ac:dyDescent="0.35">
      <c r="A26" s="554" t="s">
        <v>897</v>
      </c>
      <c r="B26" s="62" t="s">
        <v>267</v>
      </c>
      <c r="C26" s="315"/>
      <c r="D26" s="62"/>
      <c r="E26" s="62">
        <v>55719</v>
      </c>
      <c r="F26" s="388"/>
      <c r="G26" s="31">
        <v>1</v>
      </c>
      <c r="H26" s="422"/>
      <c r="I26" s="419">
        <f t="shared" si="0"/>
        <v>0</v>
      </c>
    </row>
    <row r="27" spans="1:9" x14ac:dyDescent="0.35">
      <c r="A27" s="554" t="s">
        <v>1002</v>
      </c>
      <c r="B27" s="62" t="s">
        <v>264</v>
      </c>
      <c r="C27" s="315"/>
      <c r="D27" s="62"/>
      <c r="E27" s="62">
        <v>55719</v>
      </c>
      <c r="F27" s="388"/>
      <c r="G27" s="31">
        <v>1</v>
      </c>
      <c r="H27" s="422"/>
      <c r="I27" s="419">
        <f t="shared" si="0"/>
        <v>0</v>
      </c>
    </row>
    <row r="28" spans="1:9" x14ac:dyDescent="0.35">
      <c r="A28" s="554" t="s">
        <v>2584</v>
      </c>
      <c r="B28" s="62" t="s">
        <v>263</v>
      </c>
      <c r="C28" s="315"/>
      <c r="D28" s="62"/>
      <c r="E28" s="62">
        <v>55719</v>
      </c>
      <c r="F28" s="388"/>
      <c r="G28" s="31">
        <v>1</v>
      </c>
      <c r="H28" s="422"/>
      <c r="I28" s="419">
        <f t="shared" si="0"/>
        <v>0</v>
      </c>
    </row>
    <row r="29" spans="1:9" x14ac:dyDescent="0.35">
      <c r="A29" s="554" t="s">
        <v>15</v>
      </c>
      <c r="B29" s="62" t="s">
        <v>424</v>
      </c>
      <c r="C29" s="315"/>
      <c r="D29" s="62"/>
      <c r="E29" s="62">
        <v>55719</v>
      </c>
      <c r="F29" s="388"/>
      <c r="G29" s="31">
        <v>4</v>
      </c>
      <c r="H29" s="422"/>
      <c r="I29" s="419">
        <f t="shared" si="0"/>
        <v>0</v>
      </c>
    </row>
    <row r="30" spans="1:9" x14ac:dyDescent="0.35">
      <c r="A30" s="554" t="s">
        <v>1019</v>
      </c>
      <c r="B30" s="62" t="s">
        <v>90</v>
      </c>
      <c r="C30" s="315"/>
      <c r="D30" s="62"/>
      <c r="E30" s="62">
        <v>55719</v>
      </c>
      <c r="F30" s="388"/>
      <c r="G30" s="31">
        <v>2</v>
      </c>
      <c r="H30" s="422"/>
      <c r="I30" s="419">
        <f t="shared" si="0"/>
        <v>0</v>
      </c>
    </row>
    <row r="31" spans="1:9" x14ac:dyDescent="0.35">
      <c r="A31" s="554" t="s">
        <v>883</v>
      </c>
      <c r="B31" s="62" t="s">
        <v>235</v>
      </c>
      <c r="C31" s="315"/>
      <c r="D31" s="62"/>
      <c r="E31" s="62">
        <v>55719</v>
      </c>
      <c r="F31" s="388"/>
      <c r="G31" s="31">
        <v>1</v>
      </c>
      <c r="H31" s="422"/>
      <c r="I31" s="419">
        <f t="shared" si="0"/>
        <v>0</v>
      </c>
    </row>
    <row r="32" spans="1:9" x14ac:dyDescent="0.35">
      <c r="A32" s="554" t="s">
        <v>1171</v>
      </c>
      <c r="B32" s="62" t="s">
        <v>371</v>
      </c>
      <c r="C32" s="315"/>
      <c r="D32" s="62"/>
      <c r="E32" s="62">
        <v>55719</v>
      </c>
      <c r="F32" s="388"/>
      <c r="G32" s="31">
        <v>1</v>
      </c>
      <c r="H32" s="422"/>
      <c r="I32" s="419">
        <f t="shared" si="0"/>
        <v>0</v>
      </c>
    </row>
    <row r="33" spans="1:9" x14ac:dyDescent="0.35">
      <c r="A33" s="554" t="s">
        <v>970</v>
      </c>
      <c r="B33" s="62" t="s">
        <v>230</v>
      </c>
      <c r="C33" s="315"/>
      <c r="D33" s="62"/>
      <c r="E33" s="62">
        <v>55719</v>
      </c>
      <c r="F33" s="388"/>
      <c r="G33" s="31">
        <v>1</v>
      </c>
      <c r="H33" s="422"/>
      <c r="I33" s="419">
        <f t="shared" si="0"/>
        <v>0</v>
      </c>
    </row>
    <row r="34" spans="1:9" x14ac:dyDescent="0.35">
      <c r="A34" s="554" t="s">
        <v>1172</v>
      </c>
      <c r="B34" s="62" t="s">
        <v>372</v>
      </c>
      <c r="C34" s="315"/>
      <c r="D34" s="62"/>
      <c r="E34" s="62">
        <v>55719</v>
      </c>
      <c r="F34" s="388"/>
      <c r="G34" s="31">
        <v>1</v>
      </c>
      <c r="H34" s="422"/>
      <c r="I34" s="419">
        <f t="shared" si="0"/>
        <v>0</v>
      </c>
    </row>
    <row r="35" spans="1:9" x14ac:dyDescent="0.35">
      <c r="A35" s="554" t="s">
        <v>874</v>
      </c>
      <c r="B35" s="62" t="s">
        <v>206</v>
      </c>
      <c r="C35" s="315"/>
      <c r="D35" s="62"/>
      <c r="E35" s="62">
        <v>55719</v>
      </c>
      <c r="F35" s="388"/>
      <c r="G35" s="31">
        <v>1</v>
      </c>
      <c r="H35" s="422"/>
      <c r="I35" s="419">
        <f t="shared" si="0"/>
        <v>0</v>
      </c>
    </row>
    <row r="36" spans="1:9" x14ac:dyDescent="0.35">
      <c r="A36" s="554" t="s">
        <v>1115</v>
      </c>
      <c r="B36" s="62" t="s">
        <v>373</v>
      </c>
      <c r="C36" s="315"/>
      <c r="D36" s="62"/>
      <c r="E36" s="62">
        <v>55719</v>
      </c>
      <c r="F36" s="388"/>
      <c r="G36" s="31">
        <v>1</v>
      </c>
      <c r="H36" s="422"/>
      <c r="I36" s="419">
        <f t="shared" si="0"/>
        <v>0</v>
      </c>
    </row>
    <row r="37" spans="1:9" x14ac:dyDescent="0.35">
      <c r="A37" s="554" t="s">
        <v>875</v>
      </c>
      <c r="B37" s="62" t="s">
        <v>231</v>
      </c>
      <c r="C37" s="315"/>
      <c r="D37" s="62"/>
      <c r="E37" s="62">
        <v>55719</v>
      </c>
      <c r="F37" s="388"/>
      <c r="G37" s="31">
        <v>1</v>
      </c>
      <c r="H37" s="422"/>
      <c r="I37" s="419">
        <f t="shared" si="0"/>
        <v>0</v>
      </c>
    </row>
    <row r="38" spans="1:9" x14ac:dyDescent="0.35">
      <c r="A38" s="554" t="s">
        <v>1173</v>
      </c>
      <c r="B38" s="62" t="s">
        <v>374</v>
      </c>
      <c r="C38" s="315"/>
      <c r="D38" s="62"/>
      <c r="E38" s="62">
        <v>55719</v>
      </c>
      <c r="F38" s="388"/>
      <c r="G38" s="31">
        <v>1</v>
      </c>
      <c r="H38" s="422"/>
      <c r="I38" s="419">
        <f t="shared" si="0"/>
        <v>0</v>
      </c>
    </row>
    <row r="39" spans="1:9" x14ac:dyDescent="0.35">
      <c r="A39" s="554" t="s">
        <v>1174</v>
      </c>
      <c r="B39" s="62" t="s">
        <v>940</v>
      </c>
      <c r="C39" s="315"/>
      <c r="D39" s="62"/>
      <c r="E39" s="62">
        <v>55719</v>
      </c>
      <c r="F39" s="388"/>
      <c r="G39" s="31">
        <v>1</v>
      </c>
      <c r="H39" s="422"/>
      <c r="I39" s="419">
        <f t="shared" si="0"/>
        <v>0</v>
      </c>
    </row>
    <row r="40" spans="1:9" x14ac:dyDescent="0.35">
      <c r="A40" s="554" t="s">
        <v>873</v>
      </c>
      <c r="B40" s="62" t="s">
        <v>217</v>
      </c>
      <c r="C40" s="315"/>
      <c r="D40" s="62"/>
      <c r="E40" s="62">
        <v>55719</v>
      </c>
      <c r="F40" s="388"/>
      <c r="G40" s="31">
        <v>1</v>
      </c>
      <c r="H40" s="422"/>
      <c r="I40" s="419">
        <f t="shared" si="0"/>
        <v>0</v>
      </c>
    </row>
    <row r="41" spans="1:9" x14ac:dyDescent="0.35">
      <c r="A41" s="554" t="s">
        <v>1175</v>
      </c>
      <c r="B41" s="62" t="s">
        <v>375</v>
      </c>
      <c r="C41" s="315"/>
      <c r="D41" s="62"/>
      <c r="E41" s="62">
        <v>55719</v>
      </c>
      <c r="F41" s="388"/>
      <c r="G41" s="31">
        <v>1</v>
      </c>
      <c r="H41" s="422"/>
      <c r="I41" s="419">
        <f t="shared" si="0"/>
        <v>0</v>
      </c>
    </row>
    <row r="42" spans="1:9" x14ac:dyDescent="0.35">
      <c r="A42" s="554" t="s">
        <v>1111</v>
      </c>
      <c r="B42" s="62" t="s">
        <v>341</v>
      </c>
      <c r="C42" s="315"/>
      <c r="D42" s="62"/>
      <c r="E42" s="62">
        <v>55719</v>
      </c>
      <c r="F42" s="388"/>
      <c r="G42" s="31">
        <v>1</v>
      </c>
      <c r="H42" s="422"/>
      <c r="I42" s="419">
        <f t="shared" si="0"/>
        <v>0</v>
      </c>
    </row>
    <row r="43" spans="1:9" x14ac:dyDescent="0.35">
      <c r="A43" s="554" t="s">
        <v>1176</v>
      </c>
      <c r="B43" s="62" t="s">
        <v>376</v>
      </c>
      <c r="C43" s="315"/>
      <c r="D43" s="62"/>
      <c r="E43" s="62">
        <v>55719</v>
      </c>
      <c r="F43" s="388"/>
      <c r="G43" s="31">
        <v>1</v>
      </c>
      <c r="H43" s="422"/>
      <c r="I43" s="419">
        <f t="shared" si="0"/>
        <v>0</v>
      </c>
    </row>
    <row r="44" spans="1:9" x14ac:dyDescent="0.35">
      <c r="A44" s="554" t="s">
        <v>1177</v>
      </c>
      <c r="B44" s="62" t="s">
        <v>377</v>
      </c>
      <c r="C44" s="315"/>
      <c r="D44" s="62"/>
      <c r="E44" s="62">
        <v>55719</v>
      </c>
      <c r="F44" s="388"/>
      <c r="G44" s="31">
        <v>1</v>
      </c>
      <c r="H44" s="422"/>
      <c r="I44" s="419">
        <f t="shared" si="0"/>
        <v>0</v>
      </c>
    </row>
    <row r="45" spans="1:9" x14ac:dyDescent="0.35">
      <c r="A45" s="554" t="s">
        <v>905</v>
      </c>
      <c r="B45" s="62" t="s">
        <v>378</v>
      </c>
      <c r="C45" s="315"/>
      <c r="D45" s="62"/>
      <c r="E45" s="62">
        <v>55719</v>
      </c>
      <c r="F45" s="388"/>
      <c r="G45" s="31">
        <v>1</v>
      </c>
      <c r="H45" s="422"/>
      <c r="I45" s="419">
        <f t="shared" si="0"/>
        <v>0</v>
      </c>
    </row>
    <row r="46" spans="1:9" x14ac:dyDescent="0.35">
      <c r="A46" s="554" t="s">
        <v>1178</v>
      </c>
      <c r="B46" s="62" t="s">
        <v>379</v>
      </c>
      <c r="C46" s="315"/>
      <c r="D46" s="62"/>
      <c r="E46" s="62">
        <v>55719</v>
      </c>
      <c r="F46" s="388"/>
      <c r="G46" s="31">
        <v>1</v>
      </c>
      <c r="H46" s="422"/>
      <c r="I46" s="419">
        <f t="shared" si="0"/>
        <v>0</v>
      </c>
    </row>
    <row r="47" spans="1:9" x14ac:dyDescent="0.35">
      <c r="A47" s="554" t="s">
        <v>1116</v>
      </c>
      <c r="B47" s="62" t="s">
        <v>380</v>
      </c>
      <c r="C47" s="315"/>
      <c r="D47" s="62"/>
      <c r="E47" s="62">
        <v>55719</v>
      </c>
      <c r="F47" s="388"/>
      <c r="G47" s="31">
        <v>1</v>
      </c>
      <c r="H47" s="422"/>
      <c r="I47" s="419">
        <f t="shared" si="0"/>
        <v>0</v>
      </c>
    </row>
    <row r="48" spans="1:9" x14ac:dyDescent="0.35">
      <c r="A48" s="554" t="s">
        <v>906</v>
      </c>
      <c r="B48" s="62" t="s">
        <v>381</v>
      </c>
      <c r="C48" s="315"/>
      <c r="D48" s="62"/>
      <c r="E48" s="62">
        <v>55719</v>
      </c>
      <c r="F48" s="388"/>
      <c r="G48" s="31">
        <v>1</v>
      </c>
      <c r="H48" s="422"/>
      <c r="I48" s="419">
        <f t="shared" si="0"/>
        <v>0</v>
      </c>
    </row>
    <row r="49" spans="1:9" x14ac:dyDescent="0.35">
      <c r="A49" s="554" t="s">
        <v>1179</v>
      </c>
      <c r="B49" s="62" t="s">
        <v>7</v>
      </c>
      <c r="C49" s="315"/>
      <c r="D49" s="62"/>
      <c r="E49" s="62">
        <v>55719</v>
      </c>
      <c r="F49" s="388"/>
      <c r="G49" s="31">
        <v>1</v>
      </c>
      <c r="H49" s="422"/>
      <c r="I49" s="419">
        <f t="shared" si="0"/>
        <v>0</v>
      </c>
    </row>
    <row r="50" spans="1:9" x14ac:dyDescent="0.35">
      <c r="A50" s="554" t="s">
        <v>907</v>
      </c>
      <c r="B50" s="62" t="s">
        <v>382</v>
      </c>
      <c r="C50" s="315"/>
      <c r="D50" s="62"/>
      <c r="E50" s="62">
        <v>55719</v>
      </c>
      <c r="F50" s="388"/>
      <c r="G50" s="31">
        <v>1</v>
      </c>
      <c r="H50" s="422"/>
      <c r="I50" s="419">
        <f t="shared" si="0"/>
        <v>0</v>
      </c>
    </row>
    <row r="51" spans="1:9" x14ac:dyDescent="0.35">
      <c r="A51" s="554" t="s">
        <v>877</v>
      </c>
      <c r="B51" s="62" t="s">
        <v>365</v>
      </c>
      <c r="C51" s="315"/>
      <c r="D51" s="62"/>
      <c r="E51" s="62">
        <v>55719</v>
      </c>
      <c r="F51" s="388"/>
      <c r="G51" s="31">
        <v>1</v>
      </c>
      <c r="H51" s="422"/>
      <c r="I51" s="419">
        <f t="shared" si="0"/>
        <v>0</v>
      </c>
    </row>
    <row r="52" spans="1:9" x14ac:dyDescent="0.35">
      <c r="A52" s="554" t="s">
        <v>975</v>
      </c>
      <c r="B52" s="62" t="s">
        <v>356</v>
      </c>
      <c r="C52" s="315"/>
      <c r="D52" s="62"/>
      <c r="E52" s="62">
        <v>55719</v>
      </c>
      <c r="F52" s="388"/>
      <c r="G52" s="31">
        <v>1</v>
      </c>
      <c r="H52" s="422"/>
      <c r="I52" s="419">
        <f t="shared" si="0"/>
        <v>0</v>
      </c>
    </row>
    <row r="53" spans="1:9" x14ac:dyDescent="0.35">
      <c r="A53" s="554" t="s">
        <v>967</v>
      </c>
      <c r="B53" s="62" t="s">
        <v>44</v>
      </c>
      <c r="C53" s="315"/>
      <c r="D53" s="62"/>
      <c r="E53" s="62">
        <v>55719</v>
      </c>
      <c r="F53" s="315"/>
      <c r="G53" s="31">
        <v>1</v>
      </c>
      <c r="H53" s="422"/>
      <c r="I53" s="419">
        <f t="shared" si="0"/>
        <v>0</v>
      </c>
    </row>
    <row r="54" spans="1:9" x14ac:dyDescent="0.35">
      <c r="A54" s="554" t="s">
        <v>880</v>
      </c>
      <c r="B54" s="62" t="s">
        <v>366</v>
      </c>
      <c r="C54" s="315"/>
      <c r="D54" s="62"/>
      <c r="E54" s="62">
        <v>55719</v>
      </c>
      <c r="F54" s="340"/>
      <c r="G54" s="31">
        <v>1</v>
      </c>
      <c r="H54" s="422"/>
      <c r="I54" s="419">
        <f t="shared" si="0"/>
        <v>0</v>
      </c>
    </row>
    <row r="55" spans="1:9" x14ac:dyDescent="0.35">
      <c r="A55" s="554" t="s">
        <v>878</v>
      </c>
      <c r="B55" s="62" t="s">
        <v>94</v>
      </c>
      <c r="C55" s="315"/>
      <c r="D55" s="62"/>
      <c r="E55" s="62">
        <v>55719</v>
      </c>
      <c r="F55" s="388"/>
      <c r="G55" s="31">
        <v>1</v>
      </c>
      <c r="H55" s="422"/>
      <c r="I55" s="419">
        <f t="shared" si="0"/>
        <v>0</v>
      </c>
    </row>
    <row r="56" spans="1:9" x14ac:dyDescent="0.35">
      <c r="A56" s="554" t="s">
        <v>872</v>
      </c>
      <c r="B56" s="62" t="s">
        <v>367</v>
      </c>
      <c r="C56" s="315"/>
      <c r="D56" s="62"/>
      <c r="E56" s="62">
        <v>55719</v>
      </c>
      <c r="F56" s="388"/>
      <c r="G56" s="31">
        <v>1</v>
      </c>
      <c r="H56" s="422"/>
      <c r="I56" s="419">
        <f t="shared" si="0"/>
        <v>0</v>
      </c>
    </row>
    <row r="57" spans="1:9" x14ac:dyDescent="0.35">
      <c r="A57" s="554" t="s">
        <v>876</v>
      </c>
      <c r="B57" s="62" t="s">
        <v>368</v>
      </c>
      <c r="C57" s="315"/>
      <c r="D57" s="62"/>
      <c r="E57" s="62">
        <v>55719</v>
      </c>
      <c r="F57" s="388"/>
      <c r="G57" s="31">
        <v>1</v>
      </c>
      <c r="H57" s="422"/>
      <c r="I57" s="419">
        <f t="shared" si="0"/>
        <v>0</v>
      </c>
    </row>
    <row r="58" spans="1:9" x14ac:dyDescent="0.35">
      <c r="A58" s="554" t="s">
        <v>972</v>
      </c>
      <c r="B58" s="62" t="s">
        <v>175</v>
      </c>
      <c r="C58" s="315"/>
      <c r="D58" s="62"/>
      <c r="E58" s="62">
        <v>55719</v>
      </c>
      <c r="F58" s="388"/>
      <c r="G58" s="31">
        <v>1</v>
      </c>
      <c r="H58" s="422"/>
      <c r="I58" s="419">
        <f t="shared" si="0"/>
        <v>0</v>
      </c>
    </row>
    <row r="59" spans="1:9" x14ac:dyDescent="0.35">
      <c r="A59" s="554" t="s">
        <v>879</v>
      </c>
      <c r="B59" s="62" t="s">
        <v>369</v>
      </c>
      <c r="C59" s="315"/>
      <c r="D59" s="62"/>
      <c r="E59" s="62">
        <v>55719</v>
      </c>
      <c r="F59" s="388"/>
      <c r="G59" s="31">
        <v>1</v>
      </c>
      <c r="H59" s="422"/>
      <c r="I59" s="419">
        <f t="shared" si="0"/>
        <v>0</v>
      </c>
    </row>
    <row r="60" spans="1:9" x14ac:dyDescent="0.35">
      <c r="A60" s="554" t="s">
        <v>1180</v>
      </c>
      <c r="B60" s="62" t="s">
        <v>370</v>
      </c>
      <c r="C60" s="315"/>
      <c r="D60" s="62"/>
      <c r="E60" s="62">
        <v>55719</v>
      </c>
      <c r="F60" s="388"/>
      <c r="G60" s="31">
        <v>1</v>
      </c>
      <c r="H60" s="422"/>
      <c r="I60" s="419">
        <f t="shared" si="0"/>
        <v>0</v>
      </c>
    </row>
    <row r="61" spans="1:9" x14ac:dyDescent="0.35">
      <c r="A61" s="554" t="s">
        <v>871</v>
      </c>
      <c r="B61" s="62" t="s">
        <v>95</v>
      </c>
      <c r="C61" s="315"/>
      <c r="D61" s="62"/>
      <c r="E61" s="62">
        <v>55719</v>
      </c>
      <c r="F61" s="388"/>
      <c r="G61" s="31">
        <v>1</v>
      </c>
      <c r="H61" s="422"/>
      <c r="I61" s="419">
        <f t="shared" si="0"/>
        <v>0</v>
      </c>
    </row>
    <row r="62" spans="1:9" x14ac:dyDescent="0.35">
      <c r="A62" s="554" t="s">
        <v>1101</v>
      </c>
      <c r="B62" s="62" t="s">
        <v>1570</v>
      </c>
      <c r="C62" s="315"/>
      <c r="D62" s="62"/>
      <c r="E62" s="62">
        <v>55719</v>
      </c>
      <c r="F62" s="388"/>
      <c r="G62" s="31">
        <v>1</v>
      </c>
      <c r="H62" s="422"/>
      <c r="I62" s="419">
        <f t="shared" si="0"/>
        <v>0</v>
      </c>
    </row>
    <row r="63" spans="1:9" x14ac:dyDescent="0.35">
      <c r="A63" s="554" t="s">
        <v>1103</v>
      </c>
      <c r="B63" s="62" t="s">
        <v>1571</v>
      </c>
      <c r="C63" s="315"/>
      <c r="D63" s="62"/>
      <c r="E63" s="62">
        <v>55719</v>
      </c>
      <c r="F63" s="388"/>
      <c r="G63" s="31">
        <v>1</v>
      </c>
      <c r="H63" s="422"/>
      <c r="I63" s="419">
        <f t="shared" si="0"/>
        <v>0</v>
      </c>
    </row>
    <row r="64" spans="1:9" x14ac:dyDescent="0.35">
      <c r="A64" s="554" t="s">
        <v>1100</v>
      </c>
      <c r="B64" s="62" t="s">
        <v>756</v>
      </c>
      <c r="C64" s="315"/>
      <c r="D64" s="62"/>
      <c r="E64" s="62">
        <v>55719</v>
      </c>
      <c r="F64" s="388"/>
      <c r="G64" s="31">
        <v>1</v>
      </c>
      <c r="H64" s="422"/>
      <c r="I64" s="419">
        <f t="shared" si="0"/>
        <v>0</v>
      </c>
    </row>
    <row r="65" spans="1:9" x14ac:dyDescent="0.35">
      <c r="A65" s="554" t="s">
        <v>1104</v>
      </c>
      <c r="B65" s="62" t="s">
        <v>1572</v>
      </c>
      <c r="C65" s="315"/>
      <c r="D65" s="62"/>
      <c r="E65" s="62">
        <v>55719</v>
      </c>
      <c r="F65" s="388"/>
      <c r="G65" s="31">
        <v>1</v>
      </c>
      <c r="H65" s="422"/>
      <c r="I65" s="419">
        <f t="shared" si="0"/>
        <v>0</v>
      </c>
    </row>
    <row r="66" spans="1:9" x14ac:dyDescent="0.35">
      <c r="A66" s="554" t="s">
        <v>1102</v>
      </c>
      <c r="B66" s="62" t="s">
        <v>1573</v>
      </c>
      <c r="C66" s="315"/>
      <c r="D66" s="62"/>
      <c r="E66" s="62">
        <v>55719</v>
      </c>
      <c r="F66" s="388"/>
      <c r="G66" s="31">
        <v>1</v>
      </c>
      <c r="H66" s="422"/>
      <c r="I66" s="419">
        <f t="shared" ref="I66:I129" si="1">+G66*H66</f>
        <v>0</v>
      </c>
    </row>
    <row r="67" spans="1:9" x14ac:dyDescent="0.35">
      <c r="A67" s="554" t="s">
        <v>33</v>
      </c>
      <c r="B67" s="62" t="s">
        <v>1565</v>
      </c>
      <c r="C67" s="315"/>
      <c r="D67" s="62"/>
      <c r="E67" s="62">
        <v>55719</v>
      </c>
      <c r="F67" s="388"/>
      <c r="G67" s="31">
        <v>1</v>
      </c>
      <c r="H67" s="422"/>
      <c r="I67" s="419">
        <f t="shared" si="1"/>
        <v>0</v>
      </c>
    </row>
    <row r="68" spans="1:9" x14ac:dyDescent="0.35">
      <c r="A68" s="554" t="s">
        <v>834</v>
      </c>
      <c r="B68" s="62" t="s">
        <v>1568</v>
      </c>
      <c r="C68" s="315"/>
      <c r="D68" s="62"/>
      <c r="E68" s="62">
        <v>55719</v>
      </c>
      <c r="F68" s="388"/>
      <c r="G68" s="31">
        <v>1</v>
      </c>
      <c r="H68" s="422"/>
      <c r="I68" s="419">
        <f t="shared" si="1"/>
        <v>0</v>
      </c>
    </row>
    <row r="69" spans="1:9" x14ac:dyDescent="0.35">
      <c r="A69" s="554" t="s">
        <v>1069</v>
      </c>
      <c r="B69" s="62" t="s">
        <v>1569</v>
      </c>
      <c r="C69" s="315"/>
      <c r="D69" s="62"/>
      <c r="E69" s="62">
        <v>55719</v>
      </c>
      <c r="F69" s="388"/>
      <c r="G69" s="31">
        <v>1</v>
      </c>
      <c r="H69" s="422"/>
      <c r="I69" s="419">
        <f t="shared" si="1"/>
        <v>0</v>
      </c>
    </row>
    <row r="70" spans="1:9" x14ac:dyDescent="0.35">
      <c r="A70" s="554" t="s">
        <v>1182</v>
      </c>
      <c r="B70" s="62" t="s">
        <v>99</v>
      </c>
      <c r="C70" s="315"/>
      <c r="D70" s="62"/>
      <c r="E70" s="62">
        <v>55719</v>
      </c>
      <c r="F70" s="388"/>
      <c r="G70" s="31">
        <v>1</v>
      </c>
      <c r="H70" s="422"/>
      <c r="I70" s="419">
        <f t="shared" si="1"/>
        <v>0</v>
      </c>
    </row>
    <row r="71" spans="1:9" x14ac:dyDescent="0.35">
      <c r="A71" s="554" t="s">
        <v>1185</v>
      </c>
      <c r="B71" s="62" t="s">
        <v>193</v>
      </c>
      <c r="C71" s="315"/>
      <c r="D71" s="62"/>
      <c r="E71" s="62">
        <v>55719</v>
      </c>
      <c r="F71" s="388"/>
      <c r="G71" s="31">
        <v>1</v>
      </c>
      <c r="H71" s="422"/>
      <c r="I71" s="419">
        <f t="shared" si="1"/>
        <v>0</v>
      </c>
    </row>
    <row r="72" spans="1:9" x14ac:dyDescent="0.35">
      <c r="A72" s="554" t="s">
        <v>2345</v>
      </c>
      <c r="B72" s="62" t="s">
        <v>2346</v>
      </c>
      <c r="C72" s="315"/>
      <c r="D72" s="62"/>
      <c r="E72" s="62">
        <v>55719</v>
      </c>
      <c r="F72" s="388"/>
      <c r="G72" s="31">
        <v>1</v>
      </c>
      <c r="H72" s="422"/>
      <c r="I72" s="419">
        <f t="shared" si="1"/>
        <v>0</v>
      </c>
    </row>
    <row r="73" spans="1:9" x14ac:dyDescent="0.35">
      <c r="A73" s="554" t="s">
        <v>2347</v>
      </c>
      <c r="B73" s="62" t="s">
        <v>1841</v>
      </c>
      <c r="C73" s="315"/>
      <c r="D73" s="62"/>
      <c r="E73" s="62">
        <v>55719</v>
      </c>
      <c r="F73" s="388"/>
      <c r="G73" s="31">
        <v>1</v>
      </c>
      <c r="H73" s="422"/>
      <c r="I73" s="419">
        <f t="shared" si="1"/>
        <v>0</v>
      </c>
    </row>
    <row r="74" spans="1:9" x14ac:dyDescent="0.35">
      <c r="A74" s="554" t="s">
        <v>2348</v>
      </c>
      <c r="B74" s="62" t="s">
        <v>1842</v>
      </c>
      <c r="C74" s="315"/>
      <c r="D74" s="62"/>
      <c r="E74" s="62">
        <v>55719</v>
      </c>
      <c r="F74" s="388"/>
      <c r="G74" s="31">
        <v>1</v>
      </c>
      <c r="H74" s="422"/>
      <c r="I74" s="419">
        <f t="shared" si="1"/>
        <v>0</v>
      </c>
    </row>
    <row r="75" spans="1:9" x14ac:dyDescent="0.35">
      <c r="A75" s="554" t="s">
        <v>2349</v>
      </c>
      <c r="B75" s="62" t="s">
        <v>2350</v>
      </c>
      <c r="C75" s="315"/>
      <c r="D75" s="62"/>
      <c r="E75" s="62">
        <v>55719</v>
      </c>
      <c r="F75" s="388"/>
      <c r="G75" s="31">
        <v>1</v>
      </c>
      <c r="H75" s="422"/>
      <c r="I75" s="419">
        <f t="shared" si="1"/>
        <v>0</v>
      </c>
    </row>
    <row r="76" spans="1:9" x14ac:dyDescent="0.35">
      <c r="A76" s="554" t="s">
        <v>2339</v>
      </c>
      <c r="B76" s="62" t="s">
        <v>2340</v>
      </c>
      <c r="C76" s="315"/>
      <c r="D76" s="62"/>
      <c r="E76" s="62">
        <v>55719</v>
      </c>
      <c r="F76" s="315"/>
      <c r="G76" s="31">
        <v>1</v>
      </c>
      <c r="H76" s="422"/>
      <c r="I76" s="419">
        <f t="shared" si="1"/>
        <v>0</v>
      </c>
    </row>
    <row r="77" spans="1:9" x14ac:dyDescent="0.35">
      <c r="A77" s="554" t="s">
        <v>889</v>
      </c>
      <c r="B77" s="62" t="s">
        <v>227</v>
      </c>
      <c r="C77" s="315"/>
      <c r="D77" s="62"/>
      <c r="E77" s="62">
        <v>55719</v>
      </c>
      <c r="F77" s="340"/>
      <c r="G77" s="31">
        <v>1</v>
      </c>
      <c r="H77" s="422"/>
      <c r="I77" s="419">
        <f t="shared" si="1"/>
        <v>0</v>
      </c>
    </row>
    <row r="78" spans="1:9" x14ac:dyDescent="0.35">
      <c r="A78" s="554" t="s">
        <v>890</v>
      </c>
      <c r="B78" s="62" t="s">
        <v>228</v>
      </c>
      <c r="C78" s="315"/>
      <c r="D78" s="62"/>
      <c r="E78" s="62">
        <v>55719</v>
      </c>
      <c r="F78" s="388"/>
      <c r="G78" s="31">
        <v>1</v>
      </c>
      <c r="H78" s="422"/>
      <c r="I78" s="419">
        <f t="shared" si="1"/>
        <v>0</v>
      </c>
    </row>
    <row r="79" spans="1:9" x14ac:dyDescent="0.35">
      <c r="A79" s="554" t="s">
        <v>929</v>
      </c>
      <c r="B79" s="62" t="s">
        <v>20</v>
      </c>
      <c r="C79" s="315"/>
      <c r="D79" s="62"/>
      <c r="E79" s="62">
        <v>55719</v>
      </c>
      <c r="F79" s="388"/>
      <c r="G79" s="31">
        <v>1</v>
      </c>
      <c r="H79" s="422"/>
      <c r="I79" s="419">
        <f t="shared" si="1"/>
        <v>0</v>
      </c>
    </row>
    <row r="80" spans="1:9" x14ac:dyDescent="0.35">
      <c r="A80" s="554" t="s">
        <v>38</v>
      </c>
      <c r="B80" s="62" t="s">
        <v>200</v>
      </c>
      <c r="C80" s="315"/>
      <c r="D80" s="62"/>
      <c r="E80" s="62">
        <v>55719</v>
      </c>
      <c r="F80" s="388"/>
      <c r="G80" s="31">
        <v>1</v>
      </c>
      <c r="H80" s="422"/>
      <c r="I80" s="419">
        <f t="shared" si="1"/>
        <v>0</v>
      </c>
    </row>
    <row r="81" spans="1:9" x14ac:dyDescent="0.35">
      <c r="A81" s="554" t="s">
        <v>1191</v>
      </c>
      <c r="B81" s="62" t="s">
        <v>603</v>
      </c>
      <c r="C81" s="315"/>
      <c r="D81" s="62"/>
      <c r="E81" s="62">
        <v>55719</v>
      </c>
      <c r="F81" s="388"/>
      <c r="G81" s="31">
        <v>1</v>
      </c>
      <c r="H81" s="422"/>
      <c r="I81" s="419">
        <f t="shared" si="1"/>
        <v>0</v>
      </c>
    </row>
    <row r="82" spans="1:9" x14ac:dyDescent="0.35">
      <c r="A82" s="554" t="s">
        <v>5</v>
      </c>
      <c r="B82" s="62" t="s">
        <v>333</v>
      </c>
      <c r="C82" s="315"/>
      <c r="D82" s="62"/>
      <c r="E82" s="62">
        <v>55719</v>
      </c>
      <c r="F82" s="388"/>
      <c r="G82" s="31">
        <v>1</v>
      </c>
      <c r="H82" s="422"/>
      <c r="I82" s="419">
        <f t="shared" si="1"/>
        <v>0</v>
      </c>
    </row>
    <row r="83" spans="1:9" x14ac:dyDescent="0.35">
      <c r="A83" s="554" t="s">
        <v>6</v>
      </c>
      <c r="B83" s="62" t="s">
        <v>87</v>
      </c>
      <c r="C83" s="315"/>
      <c r="D83" s="62"/>
      <c r="E83" s="62">
        <v>55719</v>
      </c>
      <c r="F83" s="388"/>
      <c r="G83" s="31">
        <v>1</v>
      </c>
      <c r="H83" s="422"/>
      <c r="I83" s="419">
        <f t="shared" si="1"/>
        <v>0</v>
      </c>
    </row>
    <row r="84" spans="1:9" x14ac:dyDescent="0.35">
      <c r="A84" s="554" t="s">
        <v>1194</v>
      </c>
      <c r="B84" s="62" t="s">
        <v>943</v>
      </c>
      <c r="C84" s="315"/>
      <c r="D84" s="62"/>
      <c r="E84" s="62">
        <v>55719</v>
      </c>
      <c r="F84" s="388"/>
      <c r="G84" s="31">
        <v>1</v>
      </c>
      <c r="H84" s="422"/>
      <c r="I84" s="419">
        <f t="shared" si="1"/>
        <v>0</v>
      </c>
    </row>
    <row r="85" spans="1:9" x14ac:dyDescent="0.35">
      <c r="A85" s="554" t="s">
        <v>1195</v>
      </c>
      <c r="B85" s="62" t="s">
        <v>944</v>
      </c>
      <c r="C85" s="315"/>
      <c r="D85" s="62"/>
      <c r="E85" s="62">
        <v>55719</v>
      </c>
      <c r="F85" s="388"/>
      <c r="G85" s="31">
        <v>1</v>
      </c>
      <c r="H85" s="422"/>
      <c r="I85" s="419">
        <f t="shared" si="1"/>
        <v>0</v>
      </c>
    </row>
    <row r="86" spans="1:9" x14ac:dyDescent="0.35">
      <c r="A86" s="554" t="s">
        <v>1196</v>
      </c>
      <c r="B86" s="62" t="s">
        <v>766</v>
      </c>
      <c r="C86" s="315"/>
      <c r="D86" s="62"/>
      <c r="E86" s="62">
        <v>55719</v>
      </c>
      <c r="F86" s="388"/>
      <c r="G86" s="31">
        <v>1</v>
      </c>
      <c r="H86" s="422"/>
      <c r="I86" s="419">
        <f t="shared" si="1"/>
        <v>0</v>
      </c>
    </row>
    <row r="87" spans="1:9" x14ac:dyDescent="0.35">
      <c r="A87" s="554" t="s">
        <v>1197</v>
      </c>
      <c r="B87" s="62" t="s">
        <v>945</v>
      </c>
      <c r="C87" s="315"/>
      <c r="D87" s="62"/>
      <c r="E87" s="62">
        <v>55719</v>
      </c>
      <c r="F87" s="388"/>
      <c r="G87" s="31">
        <v>1</v>
      </c>
      <c r="H87" s="422"/>
      <c r="I87" s="419">
        <f t="shared" si="1"/>
        <v>0</v>
      </c>
    </row>
    <row r="88" spans="1:9" x14ac:dyDescent="0.35">
      <c r="A88" s="554" t="s">
        <v>1198</v>
      </c>
      <c r="B88" s="62" t="s">
        <v>946</v>
      </c>
      <c r="C88" s="315"/>
      <c r="D88" s="62"/>
      <c r="E88" s="62">
        <v>55719</v>
      </c>
      <c r="F88" s="388"/>
      <c r="G88" s="31">
        <v>1</v>
      </c>
      <c r="H88" s="422"/>
      <c r="I88" s="419">
        <f t="shared" si="1"/>
        <v>0</v>
      </c>
    </row>
    <row r="89" spans="1:9" x14ac:dyDescent="0.35">
      <c r="A89" s="554" t="s">
        <v>1199</v>
      </c>
      <c r="B89" s="62" t="s">
        <v>947</v>
      </c>
      <c r="C89" s="315"/>
      <c r="D89" s="62"/>
      <c r="E89" s="62">
        <v>55719</v>
      </c>
      <c r="F89" s="388"/>
      <c r="G89" s="31">
        <v>1</v>
      </c>
      <c r="H89" s="422"/>
      <c r="I89" s="419">
        <f t="shared" si="1"/>
        <v>0</v>
      </c>
    </row>
    <row r="90" spans="1:9" x14ac:dyDescent="0.35">
      <c r="A90" s="554" t="s">
        <v>1086</v>
      </c>
      <c r="B90" s="62" t="s">
        <v>767</v>
      </c>
      <c r="C90" s="315"/>
      <c r="D90" s="62"/>
      <c r="E90" s="62">
        <v>55719</v>
      </c>
      <c r="F90" s="388"/>
      <c r="G90" s="31">
        <v>1</v>
      </c>
      <c r="H90" s="422"/>
      <c r="I90" s="419">
        <f t="shared" si="1"/>
        <v>0</v>
      </c>
    </row>
    <row r="91" spans="1:9" x14ac:dyDescent="0.35">
      <c r="A91" s="554" t="s">
        <v>181</v>
      </c>
      <c r="B91" s="62" t="s">
        <v>328</v>
      </c>
      <c r="C91" s="315"/>
      <c r="D91" s="62"/>
      <c r="E91" s="62">
        <v>55719</v>
      </c>
      <c r="F91" s="388"/>
      <c r="G91" s="31">
        <v>1</v>
      </c>
      <c r="H91" s="422"/>
      <c r="I91" s="419">
        <f t="shared" si="1"/>
        <v>0</v>
      </c>
    </row>
    <row r="92" spans="1:9" x14ac:dyDescent="0.35">
      <c r="A92" s="554" t="s">
        <v>11</v>
      </c>
      <c r="B92" s="62" t="s">
        <v>326</v>
      </c>
      <c r="C92" s="315"/>
      <c r="D92" s="62"/>
      <c r="E92" s="62">
        <v>55719</v>
      </c>
      <c r="F92" s="388"/>
      <c r="G92" s="31">
        <v>1</v>
      </c>
      <c r="H92" s="422"/>
      <c r="I92" s="419">
        <f t="shared" si="1"/>
        <v>0</v>
      </c>
    </row>
    <row r="93" spans="1:9" x14ac:dyDescent="0.35">
      <c r="A93" s="554" t="s">
        <v>12</v>
      </c>
      <c r="B93" s="62" t="s">
        <v>327</v>
      </c>
      <c r="C93" s="315"/>
      <c r="D93" s="62"/>
      <c r="E93" s="62">
        <v>55719</v>
      </c>
      <c r="F93" s="388"/>
      <c r="G93" s="31">
        <v>1</v>
      </c>
      <c r="H93" s="422"/>
      <c r="I93" s="419">
        <f t="shared" si="1"/>
        <v>0</v>
      </c>
    </row>
    <row r="94" spans="1:9" x14ac:dyDescent="0.35">
      <c r="A94" s="554" t="s">
        <v>43</v>
      </c>
      <c r="B94" s="62" t="s">
        <v>765</v>
      </c>
      <c r="C94" s="315"/>
      <c r="D94" s="62"/>
      <c r="E94" s="62">
        <v>55719</v>
      </c>
      <c r="F94" s="388"/>
      <c r="G94" s="31">
        <v>1</v>
      </c>
      <c r="H94" s="422"/>
      <c r="I94" s="419">
        <f t="shared" si="1"/>
        <v>0</v>
      </c>
    </row>
    <row r="95" spans="1:9" x14ac:dyDescent="0.35">
      <c r="A95" s="554" t="s">
        <v>1084</v>
      </c>
      <c r="B95" s="62" t="s">
        <v>546</v>
      </c>
      <c r="C95" s="315"/>
      <c r="D95" s="62"/>
      <c r="E95" s="62">
        <v>55719</v>
      </c>
      <c r="F95" s="388"/>
      <c r="G95" s="31">
        <v>2</v>
      </c>
      <c r="H95" s="422"/>
      <c r="I95" s="419">
        <f t="shared" si="1"/>
        <v>0</v>
      </c>
    </row>
    <row r="96" spans="1:9" x14ac:dyDescent="0.35">
      <c r="A96" s="554" t="s">
        <v>1034</v>
      </c>
      <c r="B96" s="62" t="s">
        <v>792</v>
      </c>
      <c r="C96" s="315"/>
      <c r="D96" s="62"/>
      <c r="E96" s="62">
        <v>55719</v>
      </c>
      <c r="F96" s="388"/>
      <c r="G96" s="31">
        <v>2</v>
      </c>
      <c r="H96" s="422"/>
      <c r="I96" s="419">
        <f t="shared" si="1"/>
        <v>0</v>
      </c>
    </row>
    <row r="97" spans="1:9" x14ac:dyDescent="0.35">
      <c r="A97" s="554" t="s">
        <v>3</v>
      </c>
      <c r="B97" s="62" t="s">
        <v>414</v>
      </c>
      <c r="C97" s="315"/>
      <c r="D97" s="62"/>
      <c r="E97" s="62">
        <v>55719</v>
      </c>
      <c r="F97" s="388"/>
      <c r="G97" s="31">
        <v>1</v>
      </c>
      <c r="H97" s="422"/>
      <c r="I97" s="419">
        <f t="shared" si="1"/>
        <v>0</v>
      </c>
    </row>
    <row r="98" spans="1:9" x14ac:dyDescent="0.35">
      <c r="A98" s="554" t="s">
        <v>1201</v>
      </c>
      <c r="B98" s="62" t="s">
        <v>948</v>
      </c>
      <c r="C98" s="315"/>
      <c r="D98" s="62"/>
      <c r="E98" s="62">
        <v>55719</v>
      </c>
      <c r="F98" s="315"/>
      <c r="G98" s="31">
        <v>1</v>
      </c>
      <c r="H98" s="422"/>
      <c r="I98" s="419">
        <f t="shared" si="1"/>
        <v>0</v>
      </c>
    </row>
    <row r="99" spans="1:9" x14ac:dyDescent="0.35">
      <c r="A99" s="554" t="s">
        <v>1202</v>
      </c>
      <c r="B99" s="62" t="s">
        <v>949</v>
      </c>
      <c r="C99" s="315"/>
      <c r="D99" s="62"/>
      <c r="E99" s="62">
        <v>55719</v>
      </c>
      <c r="F99" s="340"/>
      <c r="G99" s="31">
        <v>1</v>
      </c>
      <c r="H99" s="422"/>
      <c r="I99" s="419">
        <f t="shared" si="1"/>
        <v>0</v>
      </c>
    </row>
    <row r="100" spans="1:9" x14ac:dyDescent="0.35">
      <c r="A100" s="554" t="s">
        <v>1203</v>
      </c>
      <c r="B100" s="62" t="s">
        <v>950</v>
      </c>
      <c r="C100" s="315"/>
      <c r="D100" s="62"/>
      <c r="E100" s="62">
        <v>55719</v>
      </c>
      <c r="F100" s="388"/>
      <c r="G100" s="31">
        <v>1</v>
      </c>
      <c r="H100" s="422"/>
      <c r="I100" s="419">
        <f t="shared" si="1"/>
        <v>0</v>
      </c>
    </row>
    <row r="101" spans="1:9" x14ac:dyDescent="0.35">
      <c r="A101" s="554" t="s">
        <v>1204</v>
      </c>
      <c r="B101" s="62" t="s">
        <v>951</v>
      </c>
      <c r="C101" s="315"/>
      <c r="D101" s="62"/>
      <c r="E101" s="62">
        <v>55719</v>
      </c>
      <c r="F101" s="388"/>
      <c r="G101" s="31">
        <v>1</v>
      </c>
      <c r="H101" s="422"/>
      <c r="I101" s="419">
        <f t="shared" si="1"/>
        <v>0</v>
      </c>
    </row>
    <row r="102" spans="1:9" x14ac:dyDescent="0.35">
      <c r="A102" s="554" t="s">
        <v>4</v>
      </c>
      <c r="B102" s="62" t="s">
        <v>332</v>
      </c>
      <c r="C102" s="315"/>
      <c r="D102" s="62"/>
      <c r="E102" s="62">
        <v>55719</v>
      </c>
      <c r="F102" s="388"/>
      <c r="G102" s="31">
        <v>1</v>
      </c>
      <c r="H102" s="422"/>
      <c r="I102" s="419">
        <f t="shared" si="1"/>
        <v>0</v>
      </c>
    </row>
    <row r="103" spans="1:9" x14ac:dyDescent="0.35">
      <c r="A103" s="554" t="s">
        <v>1205</v>
      </c>
      <c r="B103" s="62" t="s">
        <v>324</v>
      </c>
      <c r="C103" s="315"/>
      <c r="D103" s="62"/>
      <c r="E103" s="62">
        <v>55719</v>
      </c>
      <c r="F103" s="388"/>
      <c r="G103" s="31">
        <v>1</v>
      </c>
      <c r="H103" s="422"/>
      <c r="I103" s="419">
        <f t="shared" si="1"/>
        <v>0</v>
      </c>
    </row>
    <row r="104" spans="1:9" x14ac:dyDescent="0.35">
      <c r="A104" s="554" t="s">
        <v>97</v>
      </c>
      <c r="B104" s="62" t="s">
        <v>325</v>
      </c>
      <c r="C104" s="315"/>
      <c r="D104" s="62"/>
      <c r="E104" s="62">
        <v>55719</v>
      </c>
      <c r="F104" s="388"/>
      <c r="G104" s="31">
        <v>1</v>
      </c>
      <c r="H104" s="422"/>
      <c r="I104" s="419">
        <f t="shared" si="1"/>
        <v>0</v>
      </c>
    </row>
    <row r="105" spans="1:9" x14ac:dyDescent="0.35">
      <c r="A105" s="554" t="s">
        <v>177</v>
      </c>
      <c r="B105" s="62" t="s">
        <v>601</v>
      </c>
      <c r="C105" s="315"/>
      <c r="D105" s="62"/>
      <c r="E105" s="62">
        <v>55719</v>
      </c>
      <c r="F105" s="388"/>
      <c r="G105" s="31">
        <v>1</v>
      </c>
      <c r="H105" s="422"/>
      <c r="I105" s="419">
        <f t="shared" si="1"/>
        <v>0</v>
      </c>
    </row>
    <row r="106" spans="1:9" x14ac:dyDescent="0.35">
      <c r="A106" s="554" t="s">
        <v>1208</v>
      </c>
      <c r="B106" s="62" t="s">
        <v>525</v>
      </c>
      <c r="C106" s="315"/>
      <c r="D106" s="62"/>
      <c r="E106" s="62">
        <v>55719</v>
      </c>
      <c r="F106" s="388"/>
      <c r="G106" s="31">
        <v>1</v>
      </c>
      <c r="H106" s="422"/>
      <c r="I106" s="419">
        <f t="shared" si="1"/>
        <v>0</v>
      </c>
    </row>
    <row r="107" spans="1:9" x14ac:dyDescent="0.35">
      <c r="A107" s="554" t="s">
        <v>144</v>
      </c>
      <c r="B107" s="62" t="s">
        <v>1601</v>
      </c>
      <c r="C107" s="315"/>
      <c r="D107" s="62"/>
      <c r="E107" s="62">
        <v>55719</v>
      </c>
      <c r="F107" s="388"/>
      <c r="G107" s="31">
        <v>1</v>
      </c>
      <c r="H107" s="422"/>
      <c r="I107" s="419">
        <f t="shared" si="1"/>
        <v>0</v>
      </c>
    </row>
    <row r="108" spans="1:9" x14ac:dyDescent="0.35">
      <c r="A108" s="554" t="s">
        <v>1306</v>
      </c>
      <c r="B108" s="62" t="s">
        <v>515</v>
      </c>
      <c r="C108" s="315"/>
      <c r="D108" s="62"/>
      <c r="E108" s="62">
        <v>55719</v>
      </c>
      <c r="F108" s="388"/>
      <c r="G108" s="31">
        <v>1</v>
      </c>
      <c r="H108" s="422"/>
      <c r="I108" s="419">
        <f t="shared" si="1"/>
        <v>0</v>
      </c>
    </row>
    <row r="109" spans="1:9" x14ac:dyDescent="0.35">
      <c r="A109" s="554" t="s">
        <v>159</v>
      </c>
      <c r="B109" s="62" t="s">
        <v>427</v>
      </c>
      <c r="C109" s="315"/>
      <c r="D109" s="62"/>
      <c r="E109" s="62">
        <v>55719</v>
      </c>
      <c r="F109" s="388"/>
      <c r="G109" s="31">
        <v>1</v>
      </c>
      <c r="H109" s="422"/>
      <c r="I109" s="419">
        <f t="shared" si="1"/>
        <v>0</v>
      </c>
    </row>
    <row r="110" spans="1:9" x14ac:dyDescent="0.35">
      <c r="A110" s="554" t="s">
        <v>52</v>
      </c>
      <c r="B110" s="62" t="s">
        <v>2445</v>
      </c>
      <c r="C110" s="315"/>
      <c r="D110" s="62"/>
      <c r="E110" s="62">
        <v>55719</v>
      </c>
      <c r="F110" s="388"/>
      <c r="G110" s="31">
        <v>1</v>
      </c>
      <c r="H110" s="422"/>
      <c r="I110" s="419">
        <f t="shared" si="1"/>
        <v>0</v>
      </c>
    </row>
    <row r="111" spans="1:9" x14ac:dyDescent="0.35">
      <c r="A111" s="554" t="s">
        <v>53</v>
      </c>
      <c r="B111" s="62" t="s">
        <v>472</v>
      </c>
      <c r="C111" s="315"/>
      <c r="D111" s="62"/>
      <c r="E111" s="62">
        <v>55719</v>
      </c>
      <c r="F111" s="388"/>
      <c r="G111" s="31">
        <v>1</v>
      </c>
      <c r="H111" s="422"/>
      <c r="I111" s="419">
        <f t="shared" si="1"/>
        <v>0</v>
      </c>
    </row>
    <row r="112" spans="1:9" x14ac:dyDescent="0.35">
      <c r="A112" s="554" t="s">
        <v>1217</v>
      </c>
      <c r="B112" s="62" t="s">
        <v>778</v>
      </c>
      <c r="C112" s="315"/>
      <c r="D112" s="62"/>
      <c r="E112" s="62">
        <v>55719</v>
      </c>
      <c r="F112" s="388"/>
      <c r="G112" s="31">
        <v>1</v>
      </c>
      <c r="H112" s="422"/>
      <c r="I112" s="419">
        <f t="shared" si="1"/>
        <v>0</v>
      </c>
    </row>
    <row r="113" spans="1:9" x14ac:dyDescent="0.35">
      <c r="A113" s="554" t="s">
        <v>1218</v>
      </c>
      <c r="B113" s="62" t="s">
        <v>470</v>
      </c>
      <c r="C113" s="315"/>
      <c r="D113" s="62"/>
      <c r="E113" s="62">
        <v>55719</v>
      </c>
      <c r="F113" s="388"/>
      <c r="G113" s="31">
        <v>1</v>
      </c>
      <c r="H113" s="422"/>
      <c r="I113" s="419">
        <f t="shared" si="1"/>
        <v>0</v>
      </c>
    </row>
    <row r="114" spans="1:9" x14ac:dyDescent="0.35">
      <c r="A114" s="554" t="s">
        <v>1219</v>
      </c>
      <c r="B114" s="62" t="s">
        <v>777</v>
      </c>
      <c r="C114" s="315"/>
      <c r="D114" s="62"/>
      <c r="E114" s="62">
        <v>55719</v>
      </c>
      <c r="F114" s="388"/>
      <c r="G114" s="31">
        <v>1</v>
      </c>
      <c r="H114" s="422"/>
      <c r="I114" s="419">
        <f t="shared" si="1"/>
        <v>0</v>
      </c>
    </row>
    <row r="115" spans="1:9" x14ac:dyDescent="0.35">
      <c r="A115" s="554" t="s">
        <v>2594</v>
      </c>
      <c r="B115" s="62" t="s">
        <v>757</v>
      </c>
      <c r="C115" s="315"/>
      <c r="D115" s="62"/>
      <c r="E115" s="62">
        <v>55719</v>
      </c>
      <c r="F115" s="388"/>
      <c r="G115" s="31">
        <v>1</v>
      </c>
      <c r="H115" s="422"/>
      <c r="I115" s="419">
        <f t="shared" si="1"/>
        <v>0</v>
      </c>
    </row>
    <row r="116" spans="1:9" x14ac:dyDescent="0.35">
      <c r="A116" s="554" t="s">
        <v>2326</v>
      </c>
      <c r="B116" s="62" t="s">
        <v>2324</v>
      </c>
      <c r="C116" s="315"/>
      <c r="D116" s="62"/>
      <c r="E116" s="62">
        <v>55719</v>
      </c>
      <c r="F116" s="388"/>
      <c r="G116" s="31">
        <v>1</v>
      </c>
      <c r="H116" s="422"/>
      <c r="I116" s="419">
        <f t="shared" si="1"/>
        <v>0</v>
      </c>
    </row>
    <row r="117" spans="1:9" x14ac:dyDescent="0.35">
      <c r="A117" s="554" t="s">
        <v>1760</v>
      </c>
      <c r="B117" s="62" t="s">
        <v>311</v>
      </c>
      <c r="C117" s="315"/>
      <c r="D117" s="62"/>
      <c r="E117" s="62">
        <v>55719</v>
      </c>
      <c r="F117" s="388"/>
      <c r="G117" s="31">
        <v>1</v>
      </c>
      <c r="H117" s="422"/>
      <c r="I117" s="419">
        <f t="shared" si="1"/>
        <v>0</v>
      </c>
    </row>
    <row r="118" spans="1:9" x14ac:dyDescent="0.35">
      <c r="A118" s="554" t="s">
        <v>1137</v>
      </c>
      <c r="B118" s="62" t="s">
        <v>312</v>
      </c>
      <c r="C118" s="315"/>
      <c r="D118" s="62"/>
      <c r="E118" s="62">
        <v>55719</v>
      </c>
      <c r="F118" s="388"/>
      <c r="G118" s="31">
        <v>1</v>
      </c>
      <c r="H118" s="422"/>
      <c r="I118" s="419">
        <f t="shared" si="1"/>
        <v>0</v>
      </c>
    </row>
    <row r="119" spans="1:9" x14ac:dyDescent="0.35">
      <c r="A119" s="554" t="s">
        <v>1011</v>
      </c>
      <c r="B119" s="62" t="s">
        <v>282</v>
      </c>
      <c r="C119" s="315"/>
      <c r="D119" s="62"/>
      <c r="E119" s="62">
        <v>55719</v>
      </c>
      <c r="F119" s="388"/>
      <c r="G119" s="31">
        <v>1</v>
      </c>
      <c r="H119" s="422"/>
      <c r="I119" s="419">
        <f t="shared" si="1"/>
        <v>0</v>
      </c>
    </row>
    <row r="120" spans="1:9" x14ac:dyDescent="0.35">
      <c r="A120" s="554" t="s">
        <v>1013</v>
      </c>
      <c r="B120" s="62" t="s">
        <v>283</v>
      </c>
      <c r="C120" s="315"/>
      <c r="D120" s="62"/>
      <c r="E120" s="62">
        <v>55719</v>
      </c>
      <c r="F120" s="388"/>
      <c r="G120" s="31">
        <v>1</v>
      </c>
      <c r="H120" s="422"/>
      <c r="I120" s="419">
        <f t="shared" si="1"/>
        <v>0</v>
      </c>
    </row>
    <row r="121" spans="1:9" x14ac:dyDescent="0.35">
      <c r="A121" s="554" t="s">
        <v>1007</v>
      </c>
      <c r="B121" s="62" t="s">
        <v>313</v>
      </c>
      <c r="C121" s="315"/>
      <c r="D121" s="62"/>
      <c r="E121" s="62">
        <v>55719</v>
      </c>
      <c r="F121" s="388"/>
      <c r="G121" s="31">
        <v>1</v>
      </c>
      <c r="H121" s="422"/>
      <c r="I121" s="419">
        <f t="shared" si="1"/>
        <v>0</v>
      </c>
    </row>
    <row r="122" spans="1:9" x14ac:dyDescent="0.35">
      <c r="A122" s="554" t="s">
        <v>1014</v>
      </c>
      <c r="B122" s="62" t="s">
        <v>314</v>
      </c>
      <c r="C122" s="315"/>
      <c r="D122" s="62"/>
      <c r="E122" s="62">
        <v>55719</v>
      </c>
      <c r="F122" s="388"/>
      <c r="G122" s="31">
        <v>1</v>
      </c>
      <c r="H122" s="422"/>
      <c r="I122" s="419">
        <f t="shared" si="1"/>
        <v>0</v>
      </c>
    </row>
    <row r="123" spans="1:9" x14ac:dyDescent="0.35">
      <c r="A123" s="554" t="s">
        <v>1012</v>
      </c>
      <c r="B123" s="62" t="s">
        <v>285</v>
      </c>
      <c r="C123" s="315"/>
      <c r="D123" s="62"/>
      <c r="E123" s="62">
        <v>55719</v>
      </c>
      <c r="F123" s="388"/>
      <c r="G123" s="31">
        <v>1</v>
      </c>
      <c r="H123" s="422"/>
      <c r="I123" s="419">
        <f t="shared" si="1"/>
        <v>0</v>
      </c>
    </row>
    <row r="124" spans="1:9" x14ac:dyDescent="0.35">
      <c r="A124" s="554" t="s">
        <v>1008</v>
      </c>
      <c r="B124" s="62" t="s">
        <v>173</v>
      </c>
      <c r="C124" s="315"/>
      <c r="D124" s="62"/>
      <c r="E124" s="62">
        <v>55719</v>
      </c>
      <c r="F124" s="388"/>
      <c r="G124" s="31">
        <v>1</v>
      </c>
      <c r="H124" s="422"/>
      <c r="I124" s="419">
        <f t="shared" si="1"/>
        <v>0</v>
      </c>
    </row>
    <row r="125" spans="1:9" x14ac:dyDescent="0.35">
      <c r="A125" s="554" t="s">
        <v>899</v>
      </c>
      <c r="B125" s="62" t="s">
        <v>281</v>
      </c>
      <c r="C125" s="315"/>
      <c r="D125" s="62"/>
      <c r="E125" s="62">
        <v>55719</v>
      </c>
      <c r="F125" s="388"/>
      <c r="G125" s="31">
        <v>1</v>
      </c>
      <c r="H125" s="422"/>
      <c r="I125" s="419">
        <f t="shared" si="1"/>
        <v>0</v>
      </c>
    </row>
    <row r="126" spans="1:9" x14ac:dyDescent="0.35">
      <c r="A126" s="554" t="s">
        <v>1759</v>
      </c>
      <c r="B126" s="62" t="s">
        <v>280</v>
      </c>
      <c r="C126" s="315"/>
      <c r="D126" s="62"/>
      <c r="E126" s="62">
        <v>55719</v>
      </c>
      <c r="F126" s="388"/>
      <c r="G126" s="31">
        <v>1</v>
      </c>
      <c r="H126" s="422"/>
      <c r="I126" s="419">
        <f t="shared" si="1"/>
        <v>0</v>
      </c>
    </row>
    <row r="127" spans="1:9" x14ac:dyDescent="0.35">
      <c r="A127" s="554" t="s">
        <v>2334</v>
      </c>
      <c r="B127" s="62" t="s">
        <v>284</v>
      </c>
      <c r="C127" s="315"/>
      <c r="D127" s="62"/>
      <c r="E127" s="62">
        <v>55719</v>
      </c>
      <c r="F127" s="388"/>
      <c r="G127" s="31">
        <v>1</v>
      </c>
      <c r="H127" s="422"/>
      <c r="I127" s="419">
        <f t="shared" si="1"/>
        <v>0</v>
      </c>
    </row>
    <row r="128" spans="1:9" x14ac:dyDescent="0.35">
      <c r="A128" s="554" t="s">
        <v>1010</v>
      </c>
      <c r="B128" s="62" t="s">
        <v>114</v>
      </c>
      <c r="C128" s="315"/>
      <c r="D128" s="62"/>
      <c r="E128" s="62">
        <v>55719</v>
      </c>
      <c r="F128" s="388"/>
      <c r="G128" s="31">
        <v>1</v>
      </c>
      <c r="H128" s="422"/>
      <c r="I128" s="419">
        <f t="shared" si="1"/>
        <v>0</v>
      </c>
    </row>
    <row r="129" spans="1:9" x14ac:dyDescent="0.35">
      <c r="A129" s="554" t="s">
        <v>1762</v>
      </c>
      <c r="B129" s="62" t="s">
        <v>113</v>
      </c>
      <c r="C129" s="315"/>
      <c r="D129" s="62"/>
      <c r="E129" s="62">
        <v>55719</v>
      </c>
      <c r="F129" s="388"/>
      <c r="G129" s="31">
        <v>1</v>
      </c>
      <c r="H129" s="422"/>
      <c r="I129" s="419">
        <f t="shared" si="1"/>
        <v>0</v>
      </c>
    </row>
    <row r="130" spans="1:9" x14ac:dyDescent="0.35">
      <c r="A130" s="554" t="s">
        <v>898</v>
      </c>
      <c r="B130" s="62" t="s">
        <v>277</v>
      </c>
      <c r="C130" s="315"/>
      <c r="D130" s="62"/>
      <c r="E130" s="62">
        <v>55719</v>
      </c>
      <c r="F130" s="388"/>
      <c r="G130" s="31">
        <v>1</v>
      </c>
      <c r="H130" s="422"/>
      <c r="I130" s="419">
        <f t="shared" ref="I130:I193" si="2">+G130*H130</f>
        <v>0</v>
      </c>
    </row>
    <row r="131" spans="1:9" x14ac:dyDescent="0.35">
      <c r="A131" s="554" t="s">
        <v>146</v>
      </c>
      <c r="B131" s="62" t="s">
        <v>278</v>
      </c>
      <c r="C131" s="315"/>
      <c r="D131" s="62"/>
      <c r="E131" s="62">
        <v>55719</v>
      </c>
      <c r="F131" s="388"/>
      <c r="G131" s="31">
        <v>1</v>
      </c>
      <c r="H131" s="422"/>
      <c r="I131" s="419">
        <f t="shared" si="2"/>
        <v>0</v>
      </c>
    </row>
    <row r="132" spans="1:9" x14ac:dyDescent="0.35">
      <c r="A132" s="554" t="s">
        <v>1140</v>
      </c>
      <c r="B132" s="62" t="s">
        <v>315</v>
      </c>
      <c r="C132" s="315"/>
      <c r="D132" s="62"/>
      <c r="E132" s="62">
        <v>55719</v>
      </c>
      <c r="F132" s="388"/>
      <c r="G132" s="31">
        <v>1</v>
      </c>
      <c r="H132" s="422"/>
      <c r="I132" s="419">
        <f t="shared" si="2"/>
        <v>0</v>
      </c>
    </row>
    <row r="133" spans="1:9" x14ac:dyDescent="0.35">
      <c r="A133" s="554" t="s">
        <v>1139</v>
      </c>
      <c r="B133" s="62" t="s">
        <v>316</v>
      </c>
      <c r="C133" s="315"/>
      <c r="D133" s="62"/>
      <c r="E133" s="62">
        <v>55719</v>
      </c>
      <c r="F133" s="388"/>
      <c r="G133" s="31">
        <v>1</v>
      </c>
      <c r="H133" s="422"/>
      <c r="I133" s="419">
        <f t="shared" si="2"/>
        <v>0</v>
      </c>
    </row>
    <row r="134" spans="1:9" x14ac:dyDescent="0.35">
      <c r="A134" s="554" t="s">
        <v>1141</v>
      </c>
      <c r="B134" s="62" t="s">
        <v>317</v>
      </c>
      <c r="C134" s="315"/>
      <c r="D134" s="62"/>
      <c r="E134" s="62">
        <v>55719</v>
      </c>
      <c r="F134" s="388"/>
      <c r="G134" s="31">
        <v>1</v>
      </c>
      <c r="H134" s="422"/>
      <c r="I134" s="419">
        <f t="shared" si="2"/>
        <v>0</v>
      </c>
    </row>
    <row r="135" spans="1:9" x14ac:dyDescent="0.35">
      <c r="A135" s="554" t="s">
        <v>1142</v>
      </c>
      <c r="B135" s="62" t="s">
        <v>318</v>
      </c>
      <c r="C135" s="315"/>
      <c r="D135" s="62"/>
      <c r="E135" s="62">
        <v>55719</v>
      </c>
      <c r="F135" s="315"/>
      <c r="G135" s="31">
        <v>1</v>
      </c>
      <c r="H135" s="422"/>
      <c r="I135" s="419">
        <f t="shared" si="2"/>
        <v>0</v>
      </c>
    </row>
    <row r="136" spans="1:9" x14ac:dyDescent="0.35">
      <c r="A136" s="554" t="s">
        <v>913</v>
      </c>
      <c r="B136" s="62" t="s">
        <v>319</v>
      </c>
      <c r="C136" s="315"/>
      <c r="D136" s="62"/>
      <c r="E136" s="62">
        <v>55719</v>
      </c>
      <c r="F136" s="340"/>
      <c r="G136" s="31">
        <v>1</v>
      </c>
      <c r="H136" s="422"/>
      <c r="I136" s="419">
        <f t="shared" si="2"/>
        <v>0</v>
      </c>
    </row>
    <row r="137" spans="1:9" x14ac:dyDescent="0.35">
      <c r="A137" s="554" t="s">
        <v>1009</v>
      </c>
      <c r="B137" s="62" t="s">
        <v>320</v>
      </c>
      <c r="C137" s="315"/>
      <c r="D137" s="62"/>
      <c r="E137" s="62">
        <v>55719</v>
      </c>
      <c r="F137" s="388"/>
      <c r="G137" s="31">
        <v>1</v>
      </c>
      <c r="H137" s="422"/>
      <c r="I137" s="419">
        <f t="shared" si="2"/>
        <v>0</v>
      </c>
    </row>
    <row r="138" spans="1:9" x14ac:dyDescent="0.35">
      <c r="A138" s="554" t="s">
        <v>2344</v>
      </c>
      <c r="B138" s="62" t="s">
        <v>279</v>
      </c>
      <c r="C138" s="315"/>
      <c r="D138" s="62"/>
      <c r="E138" s="62">
        <v>55719</v>
      </c>
      <c r="F138" s="388"/>
      <c r="G138" s="31">
        <v>1</v>
      </c>
      <c r="H138" s="422"/>
      <c r="I138" s="419">
        <f t="shared" si="2"/>
        <v>0</v>
      </c>
    </row>
    <row r="139" spans="1:9" x14ac:dyDescent="0.35">
      <c r="A139" s="554" t="s">
        <v>1147</v>
      </c>
      <c r="B139" s="62" t="s">
        <v>305</v>
      </c>
      <c r="C139" s="315"/>
      <c r="D139" s="62"/>
      <c r="E139" s="62">
        <v>55719</v>
      </c>
      <c r="F139" s="388"/>
      <c r="G139" s="31">
        <v>1</v>
      </c>
      <c r="H139" s="422"/>
      <c r="I139" s="419">
        <f t="shared" si="2"/>
        <v>0</v>
      </c>
    </row>
    <row r="140" spans="1:9" x14ac:dyDescent="0.35">
      <c r="A140" s="554" t="s">
        <v>1030</v>
      </c>
      <c r="B140" s="62" t="s">
        <v>306</v>
      </c>
      <c r="C140" s="315"/>
      <c r="D140" s="62"/>
      <c r="E140" s="62">
        <v>55719</v>
      </c>
      <c r="F140" s="388"/>
      <c r="G140" s="31">
        <v>1</v>
      </c>
      <c r="H140" s="422"/>
      <c r="I140" s="419">
        <f t="shared" si="2"/>
        <v>0</v>
      </c>
    </row>
    <row r="141" spans="1:9" x14ac:dyDescent="0.35">
      <c r="A141" s="554" t="s">
        <v>1148</v>
      </c>
      <c r="B141" s="62" t="s">
        <v>307</v>
      </c>
      <c r="C141" s="315"/>
      <c r="D141" s="62"/>
      <c r="E141" s="62">
        <v>55719</v>
      </c>
      <c r="F141" s="388"/>
      <c r="G141" s="31">
        <v>1</v>
      </c>
      <c r="H141" s="422"/>
      <c r="I141" s="419">
        <f t="shared" si="2"/>
        <v>0</v>
      </c>
    </row>
    <row r="142" spans="1:9" x14ac:dyDescent="0.35">
      <c r="A142" s="554" t="s">
        <v>1149</v>
      </c>
      <c r="B142" s="62" t="s">
        <v>308</v>
      </c>
      <c r="C142" s="315"/>
      <c r="D142" s="62"/>
      <c r="E142" s="62">
        <v>55719</v>
      </c>
      <c r="F142" s="388"/>
      <c r="G142" s="31">
        <v>1</v>
      </c>
      <c r="H142" s="422"/>
      <c r="I142" s="419">
        <f t="shared" si="2"/>
        <v>0</v>
      </c>
    </row>
    <row r="143" spans="1:9" x14ac:dyDescent="0.35">
      <c r="A143" s="554" t="s">
        <v>1150</v>
      </c>
      <c r="B143" s="62" t="s">
        <v>309</v>
      </c>
      <c r="C143" s="315"/>
      <c r="D143" s="62"/>
      <c r="E143" s="62">
        <v>55719</v>
      </c>
      <c r="F143" s="388"/>
      <c r="G143" s="31">
        <v>1</v>
      </c>
      <c r="H143" s="422"/>
      <c r="I143" s="419">
        <f t="shared" si="2"/>
        <v>0</v>
      </c>
    </row>
    <row r="144" spans="1:9" x14ac:dyDescent="0.35">
      <c r="A144" s="554" t="s">
        <v>1016</v>
      </c>
      <c r="B144" s="62" t="s">
        <v>310</v>
      </c>
      <c r="C144" s="315"/>
      <c r="D144" s="62"/>
      <c r="E144" s="62">
        <v>55719</v>
      </c>
      <c r="F144" s="388"/>
      <c r="G144" s="31">
        <v>1</v>
      </c>
      <c r="H144" s="422"/>
      <c r="I144" s="419">
        <f t="shared" si="2"/>
        <v>0</v>
      </c>
    </row>
    <row r="145" spans="1:9" x14ac:dyDescent="0.35">
      <c r="A145" s="554" t="s">
        <v>900</v>
      </c>
      <c r="B145" s="62" t="s">
        <v>301</v>
      </c>
      <c r="C145" s="315"/>
      <c r="D145" s="62"/>
      <c r="E145" s="62">
        <v>55719</v>
      </c>
      <c r="F145" s="388"/>
      <c r="G145" s="31">
        <v>1</v>
      </c>
      <c r="H145" s="422"/>
      <c r="I145" s="419">
        <f t="shared" si="2"/>
        <v>0</v>
      </c>
    </row>
    <row r="146" spans="1:9" x14ac:dyDescent="0.35">
      <c r="A146" s="554" t="s">
        <v>922</v>
      </c>
      <c r="B146" s="62" t="s">
        <v>302</v>
      </c>
      <c r="C146" s="315"/>
      <c r="D146" s="62"/>
      <c r="E146" s="62">
        <v>55719</v>
      </c>
      <c r="F146" s="388"/>
      <c r="G146" s="31">
        <v>1</v>
      </c>
      <c r="H146" s="422"/>
      <c r="I146" s="419">
        <f t="shared" si="2"/>
        <v>0</v>
      </c>
    </row>
    <row r="147" spans="1:9" x14ac:dyDescent="0.35">
      <c r="A147" s="554" t="s">
        <v>1151</v>
      </c>
      <c r="B147" s="62" t="s">
        <v>303</v>
      </c>
      <c r="C147" s="315"/>
      <c r="D147" s="62"/>
      <c r="E147" s="62">
        <v>55719</v>
      </c>
      <c r="F147" s="388"/>
      <c r="G147" s="31">
        <v>1</v>
      </c>
      <c r="H147" s="422"/>
      <c r="I147" s="419">
        <f t="shared" si="2"/>
        <v>0</v>
      </c>
    </row>
    <row r="148" spans="1:9" x14ac:dyDescent="0.35">
      <c r="A148" s="554" t="s">
        <v>1152</v>
      </c>
      <c r="B148" s="62" t="s">
        <v>304</v>
      </c>
      <c r="C148" s="315"/>
      <c r="D148" s="62"/>
      <c r="E148" s="62">
        <v>55719</v>
      </c>
      <c r="F148" s="388"/>
      <c r="G148" s="31">
        <v>1</v>
      </c>
      <c r="H148" s="422"/>
      <c r="I148" s="419">
        <f t="shared" si="2"/>
        <v>0</v>
      </c>
    </row>
    <row r="149" spans="1:9" x14ac:dyDescent="0.35">
      <c r="A149" s="554" t="s">
        <v>1348</v>
      </c>
      <c r="B149" s="62" t="s">
        <v>518</v>
      </c>
      <c r="C149" s="315"/>
      <c r="D149" s="62"/>
      <c r="E149" s="62">
        <v>55719</v>
      </c>
      <c r="F149" s="388"/>
      <c r="G149" s="31">
        <v>1</v>
      </c>
      <c r="H149" s="422"/>
      <c r="I149" s="419">
        <f t="shared" si="2"/>
        <v>0</v>
      </c>
    </row>
    <row r="150" spans="1:9" x14ac:dyDescent="0.35">
      <c r="A150" s="554" t="s">
        <v>1337</v>
      </c>
      <c r="B150" s="62" t="s">
        <v>572</v>
      </c>
      <c r="C150" s="315"/>
      <c r="D150" s="62"/>
      <c r="E150" s="62">
        <v>55719</v>
      </c>
      <c r="F150" s="388"/>
      <c r="G150" s="31">
        <v>2</v>
      </c>
      <c r="H150" s="422"/>
      <c r="I150" s="419">
        <f t="shared" si="2"/>
        <v>0</v>
      </c>
    </row>
    <row r="151" spans="1:9" x14ac:dyDescent="0.35">
      <c r="A151" s="554" t="s">
        <v>1338</v>
      </c>
      <c r="B151" s="62" t="s">
        <v>461</v>
      </c>
      <c r="C151" s="315"/>
      <c r="D151" s="62"/>
      <c r="E151" s="62">
        <v>55719</v>
      </c>
      <c r="F151" s="388"/>
      <c r="G151" s="31">
        <v>1</v>
      </c>
      <c r="H151" s="422"/>
      <c r="I151" s="419">
        <f t="shared" si="2"/>
        <v>0</v>
      </c>
    </row>
    <row r="152" spans="1:9" x14ac:dyDescent="0.35">
      <c r="A152" s="554" t="s">
        <v>1339</v>
      </c>
      <c r="B152" s="62" t="s">
        <v>567</v>
      </c>
      <c r="C152" s="315"/>
      <c r="D152" s="62"/>
      <c r="E152" s="62">
        <v>55719</v>
      </c>
      <c r="F152" s="388"/>
      <c r="G152" s="31">
        <v>1</v>
      </c>
      <c r="H152" s="422"/>
      <c r="I152" s="419">
        <f t="shared" si="2"/>
        <v>0</v>
      </c>
    </row>
    <row r="153" spans="1:9" x14ac:dyDescent="0.35">
      <c r="A153" s="554" t="s">
        <v>1340</v>
      </c>
      <c r="B153" s="62" t="s">
        <v>568</v>
      </c>
      <c r="C153" s="315"/>
      <c r="D153" s="62"/>
      <c r="E153" s="62">
        <v>55719</v>
      </c>
      <c r="F153" s="388"/>
      <c r="G153" s="31">
        <v>1</v>
      </c>
      <c r="H153" s="422"/>
      <c r="I153" s="419">
        <f t="shared" si="2"/>
        <v>0</v>
      </c>
    </row>
    <row r="154" spans="1:9" x14ac:dyDescent="0.35">
      <c r="A154" s="554" t="s">
        <v>1341</v>
      </c>
      <c r="B154" s="62" t="s">
        <v>462</v>
      </c>
      <c r="C154" s="315"/>
      <c r="D154" s="62"/>
      <c r="E154" s="62">
        <v>55719</v>
      </c>
      <c r="F154" s="388"/>
      <c r="G154" s="31">
        <v>1</v>
      </c>
      <c r="H154" s="422"/>
      <c r="I154" s="419">
        <f t="shared" si="2"/>
        <v>0</v>
      </c>
    </row>
    <row r="155" spans="1:9" x14ac:dyDescent="0.35">
      <c r="A155" s="554" t="s">
        <v>1342</v>
      </c>
      <c r="B155" s="62" t="s">
        <v>569</v>
      </c>
      <c r="C155" s="315"/>
      <c r="D155" s="62"/>
      <c r="E155" s="62">
        <v>55719</v>
      </c>
      <c r="F155" s="388"/>
      <c r="G155" s="31">
        <v>1</v>
      </c>
      <c r="H155" s="422"/>
      <c r="I155" s="419">
        <f t="shared" si="2"/>
        <v>0</v>
      </c>
    </row>
    <row r="156" spans="1:9" x14ac:dyDescent="0.35">
      <c r="A156" s="554" t="s">
        <v>1343</v>
      </c>
      <c r="B156" s="62" t="s">
        <v>570</v>
      </c>
      <c r="C156" s="315"/>
      <c r="D156" s="62"/>
      <c r="E156" s="62">
        <v>55719</v>
      </c>
      <c r="F156" s="388"/>
      <c r="G156" s="31">
        <v>2</v>
      </c>
      <c r="H156" s="422"/>
      <c r="I156" s="419">
        <f t="shared" si="2"/>
        <v>0</v>
      </c>
    </row>
    <row r="157" spans="1:9" x14ac:dyDescent="0.35">
      <c r="A157" s="554" t="s">
        <v>1344</v>
      </c>
      <c r="B157" s="62" t="s">
        <v>571</v>
      </c>
      <c r="C157" s="315"/>
      <c r="D157" s="62"/>
      <c r="E157" s="62">
        <v>55719</v>
      </c>
      <c r="F157" s="388"/>
      <c r="G157" s="31">
        <v>1</v>
      </c>
      <c r="H157" s="422"/>
      <c r="I157" s="419">
        <f t="shared" si="2"/>
        <v>0</v>
      </c>
    </row>
    <row r="158" spans="1:9" x14ac:dyDescent="0.35">
      <c r="A158" s="554" t="s">
        <v>1346</v>
      </c>
      <c r="B158" s="62" t="s">
        <v>760</v>
      </c>
      <c r="C158" s="315"/>
      <c r="D158" s="62"/>
      <c r="E158" s="62">
        <v>55719</v>
      </c>
      <c r="F158" s="315"/>
      <c r="G158" s="31">
        <v>1</v>
      </c>
      <c r="H158" s="422"/>
      <c r="I158" s="419">
        <f t="shared" si="2"/>
        <v>0</v>
      </c>
    </row>
    <row r="159" spans="1:9" x14ac:dyDescent="0.35">
      <c r="A159" s="554" t="s">
        <v>1345</v>
      </c>
      <c r="B159" s="62" t="s">
        <v>522</v>
      </c>
      <c r="C159" s="315"/>
      <c r="D159" s="62"/>
      <c r="E159" s="62">
        <v>55719</v>
      </c>
      <c r="F159" s="340"/>
      <c r="G159" s="31">
        <v>1</v>
      </c>
      <c r="H159" s="422"/>
      <c r="I159" s="419">
        <f t="shared" si="2"/>
        <v>0</v>
      </c>
    </row>
    <row r="160" spans="1:9" x14ac:dyDescent="0.35">
      <c r="A160" s="554" t="s">
        <v>1383</v>
      </c>
      <c r="B160" s="62" t="s">
        <v>243</v>
      </c>
      <c r="C160" s="315"/>
      <c r="D160" s="62"/>
      <c r="E160" s="62">
        <v>55719</v>
      </c>
      <c r="F160" s="388"/>
      <c r="G160" s="31">
        <v>1</v>
      </c>
      <c r="H160" s="422"/>
      <c r="I160" s="419">
        <f t="shared" si="2"/>
        <v>0</v>
      </c>
    </row>
    <row r="161" spans="1:9" x14ac:dyDescent="0.35">
      <c r="A161" s="554" t="s">
        <v>2548</v>
      </c>
      <c r="B161" s="62" t="s">
        <v>208</v>
      </c>
      <c r="C161" s="315"/>
      <c r="D161" s="62"/>
      <c r="E161" s="62">
        <v>55719</v>
      </c>
      <c r="F161" s="388"/>
      <c r="G161" s="31">
        <v>1</v>
      </c>
      <c r="H161" s="422"/>
      <c r="I161" s="419">
        <f t="shared" si="2"/>
        <v>0</v>
      </c>
    </row>
    <row r="162" spans="1:9" x14ac:dyDescent="0.35">
      <c r="A162" s="554" t="s">
        <v>2546</v>
      </c>
      <c r="B162" s="62" t="s">
        <v>209</v>
      </c>
      <c r="C162" s="315"/>
      <c r="D162" s="62"/>
      <c r="E162" s="62">
        <v>55719</v>
      </c>
      <c r="F162" s="388"/>
      <c r="G162" s="31">
        <v>1</v>
      </c>
      <c r="H162" s="422"/>
      <c r="I162" s="419">
        <f t="shared" si="2"/>
        <v>0</v>
      </c>
    </row>
    <row r="163" spans="1:9" x14ac:dyDescent="0.35">
      <c r="A163" s="554" t="s">
        <v>1433</v>
      </c>
      <c r="B163" s="62" t="s">
        <v>323</v>
      </c>
      <c r="C163" s="315"/>
      <c r="D163" s="62"/>
      <c r="E163" s="62">
        <v>55719</v>
      </c>
      <c r="F163" s="388"/>
      <c r="G163" s="31">
        <v>1</v>
      </c>
      <c r="H163" s="422"/>
      <c r="I163" s="419">
        <f t="shared" si="2"/>
        <v>0</v>
      </c>
    </row>
    <row r="164" spans="1:9" x14ac:dyDescent="0.35">
      <c r="A164" s="554" t="s">
        <v>2547</v>
      </c>
      <c r="B164" s="62" t="s">
        <v>210</v>
      </c>
      <c r="C164" s="315"/>
      <c r="D164" s="62"/>
      <c r="E164" s="62">
        <v>55719</v>
      </c>
      <c r="F164" s="388"/>
      <c r="G164" s="31">
        <v>1</v>
      </c>
      <c r="H164" s="422"/>
      <c r="I164" s="419">
        <f t="shared" si="2"/>
        <v>0</v>
      </c>
    </row>
    <row r="165" spans="1:9" x14ac:dyDescent="0.35">
      <c r="A165" s="554" t="s">
        <v>2544</v>
      </c>
      <c r="B165" s="62" t="s">
        <v>40</v>
      </c>
      <c r="C165" s="315"/>
      <c r="D165" s="62"/>
      <c r="E165" s="62">
        <v>55719</v>
      </c>
      <c r="F165" s="388"/>
      <c r="G165" s="31">
        <v>1</v>
      </c>
      <c r="H165" s="422"/>
      <c r="I165" s="419">
        <f t="shared" si="2"/>
        <v>0</v>
      </c>
    </row>
    <row r="166" spans="1:9" x14ac:dyDescent="0.35">
      <c r="A166" s="554" t="s">
        <v>2543</v>
      </c>
      <c r="B166" s="62" t="s">
        <v>39</v>
      </c>
      <c r="C166" s="315"/>
      <c r="D166" s="62"/>
      <c r="E166" s="62">
        <v>55719</v>
      </c>
      <c r="F166" s="388"/>
      <c r="G166" s="31">
        <v>1</v>
      </c>
      <c r="H166" s="422"/>
      <c r="I166" s="419">
        <f t="shared" si="2"/>
        <v>0</v>
      </c>
    </row>
    <row r="167" spans="1:9" x14ac:dyDescent="0.35">
      <c r="A167" s="554" t="s">
        <v>2545</v>
      </c>
      <c r="B167" s="62" t="s">
        <v>41</v>
      </c>
      <c r="C167" s="315"/>
      <c r="D167" s="62"/>
      <c r="E167" s="62">
        <v>55719</v>
      </c>
      <c r="F167" s="388"/>
      <c r="G167" s="31">
        <v>1</v>
      </c>
      <c r="H167" s="422"/>
      <c r="I167" s="419">
        <f t="shared" si="2"/>
        <v>0</v>
      </c>
    </row>
    <row r="168" spans="1:9" x14ac:dyDescent="0.35">
      <c r="A168" s="554" t="s">
        <v>1440</v>
      </c>
      <c r="B168" s="62" t="s">
        <v>321</v>
      </c>
      <c r="C168" s="315"/>
      <c r="D168" s="62"/>
      <c r="E168" s="62">
        <v>55719</v>
      </c>
      <c r="F168" s="388"/>
      <c r="G168" s="31">
        <v>1</v>
      </c>
      <c r="H168" s="422"/>
      <c r="I168" s="419">
        <f t="shared" si="2"/>
        <v>0</v>
      </c>
    </row>
    <row r="169" spans="1:9" x14ac:dyDescent="0.35">
      <c r="A169" s="554" t="s">
        <v>1441</v>
      </c>
      <c r="B169" s="62" t="s">
        <v>322</v>
      </c>
      <c r="C169" s="315"/>
      <c r="D169" s="62"/>
      <c r="E169" s="62">
        <v>55719</v>
      </c>
      <c r="F169" s="388"/>
      <c r="G169" s="31">
        <v>1</v>
      </c>
      <c r="H169" s="422"/>
      <c r="I169" s="419">
        <f t="shared" si="2"/>
        <v>0</v>
      </c>
    </row>
    <row r="170" spans="1:9" x14ac:dyDescent="0.35">
      <c r="A170" s="554" t="s">
        <v>2542</v>
      </c>
      <c r="B170" s="62" t="s">
        <v>292</v>
      </c>
      <c r="C170" s="315"/>
      <c r="D170" s="62"/>
      <c r="E170" s="62">
        <v>55719</v>
      </c>
      <c r="F170" s="388"/>
      <c r="G170" s="31">
        <v>1</v>
      </c>
      <c r="H170" s="422"/>
      <c r="I170" s="419">
        <f t="shared" si="2"/>
        <v>0</v>
      </c>
    </row>
    <row r="171" spans="1:9" x14ac:dyDescent="0.35">
      <c r="A171" s="554" t="s">
        <v>1222</v>
      </c>
      <c r="B171" s="62" t="s">
        <v>811</v>
      </c>
      <c r="C171" s="315"/>
      <c r="D171" s="62"/>
      <c r="E171" s="62">
        <v>55719</v>
      </c>
      <c r="F171" s="388"/>
      <c r="G171" s="31">
        <v>1</v>
      </c>
      <c r="H171" s="422"/>
      <c r="I171" s="419">
        <f t="shared" si="2"/>
        <v>0</v>
      </c>
    </row>
    <row r="172" spans="1:9" x14ac:dyDescent="0.35">
      <c r="A172" s="554" t="s">
        <v>1224</v>
      </c>
      <c r="B172" s="62" t="s">
        <v>398</v>
      </c>
      <c r="C172" s="315"/>
      <c r="D172" s="62"/>
      <c r="E172" s="62">
        <v>55719</v>
      </c>
      <c r="F172" s="388"/>
      <c r="G172" s="31">
        <v>1</v>
      </c>
      <c r="H172" s="422"/>
      <c r="I172" s="419">
        <f t="shared" si="2"/>
        <v>0</v>
      </c>
    </row>
    <row r="173" spans="1:9" x14ac:dyDescent="0.35">
      <c r="A173" s="554" t="s">
        <v>923</v>
      </c>
      <c r="B173" s="62" t="s">
        <v>399</v>
      </c>
      <c r="C173" s="315"/>
      <c r="D173" s="62"/>
      <c r="E173" s="62">
        <v>55719</v>
      </c>
      <c r="F173" s="388"/>
      <c r="G173" s="31">
        <v>1</v>
      </c>
      <c r="H173" s="422"/>
      <c r="I173" s="419">
        <f t="shared" si="2"/>
        <v>0</v>
      </c>
    </row>
    <row r="174" spans="1:9" x14ac:dyDescent="0.35">
      <c r="A174" s="554" t="s">
        <v>1225</v>
      </c>
      <c r="B174" s="62" t="s">
        <v>400</v>
      </c>
      <c r="C174" s="315"/>
      <c r="D174" s="62"/>
      <c r="E174" s="62">
        <v>55719</v>
      </c>
      <c r="F174" s="388"/>
      <c r="G174" s="31">
        <v>1</v>
      </c>
      <c r="H174" s="422"/>
      <c r="I174" s="419">
        <f t="shared" si="2"/>
        <v>0</v>
      </c>
    </row>
    <row r="175" spans="1:9" x14ac:dyDescent="0.35">
      <c r="A175" s="554" t="s">
        <v>48</v>
      </c>
      <c r="B175" s="62" t="s">
        <v>335</v>
      </c>
      <c r="C175" s="315"/>
      <c r="D175" s="62"/>
      <c r="E175" s="62">
        <v>55719</v>
      </c>
      <c r="F175" s="388"/>
      <c r="G175" s="31">
        <v>1</v>
      </c>
      <c r="H175" s="422"/>
      <c r="I175" s="419">
        <f t="shared" si="2"/>
        <v>0</v>
      </c>
    </row>
    <row r="176" spans="1:9" x14ac:dyDescent="0.35">
      <c r="A176" s="554" t="s">
        <v>1226</v>
      </c>
      <c r="B176" s="62" t="s">
        <v>401</v>
      </c>
      <c r="C176" s="315"/>
      <c r="D176" s="62"/>
      <c r="E176" s="62">
        <v>55719</v>
      </c>
      <c r="F176" s="388"/>
      <c r="G176" s="31">
        <v>1</v>
      </c>
      <c r="H176" s="422"/>
      <c r="I176" s="419">
        <f t="shared" si="2"/>
        <v>0</v>
      </c>
    </row>
    <row r="177" spans="1:9" x14ac:dyDescent="0.35">
      <c r="A177" s="554" t="s">
        <v>1228</v>
      </c>
      <c r="B177" s="62" t="s">
        <v>331</v>
      </c>
      <c r="C177" s="315"/>
      <c r="D177" s="62"/>
      <c r="E177" s="62">
        <v>55719</v>
      </c>
      <c r="F177" s="388"/>
      <c r="G177" s="31">
        <v>1</v>
      </c>
      <c r="H177" s="422"/>
      <c r="I177" s="419">
        <f t="shared" si="2"/>
        <v>0</v>
      </c>
    </row>
    <row r="178" spans="1:9" x14ac:dyDescent="0.35">
      <c r="A178" s="554" t="s">
        <v>1036</v>
      </c>
      <c r="B178" s="62" t="s">
        <v>423</v>
      </c>
      <c r="C178" s="315"/>
      <c r="D178" s="62"/>
      <c r="E178" s="62">
        <v>55719</v>
      </c>
      <c r="F178" s="388"/>
      <c r="G178" s="31">
        <v>2</v>
      </c>
      <c r="H178" s="422"/>
      <c r="I178" s="419">
        <f t="shared" si="2"/>
        <v>0</v>
      </c>
    </row>
    <row r="179" spans="1:9" x14ac:dyDescent="0.35">
      <c r="A179" s="554" t="s">
        <v>2486</v>
      </c>
      <c r="B179" s="62" t="s">
        <v>809</v>
      </c>
      <c r="C179" s="315"/>
      <c r="D179" s="62"/>
      <c r="E179" s="62">
        <v>55719</v>
      </c>
      <c r="F179" s="388"/>
      <c r="G179" s="31">
        <v>1</v>
      </c>
      <c r="H179" s="422"/>
      <c r="I179" s="419">
        <f t="shared" si="2"/>
        <v>0</v>
      </c>
    </row>
    <row r="180" spans="1:9" x14ac:dyDescent="0.35">
      <c r="A180" s="554" t="s">
        <v>953</v>
      </c>
      <c r="B180" s="62" t="s">
        <v>238</v>
      </c>
      <c r="C180" s="315"/>
      <c r="D180" s="62"/>
      <c r="E180" s="62">
        <v>55719</v>
      </c>
      <c r="F180" s="388"/>
      <c r="G180" s="31">
        <v>1</v>
      </c>
      <c r="H180" s="422"/>
      <c r="I180" s="419">
        <f t="shared" si="2"/>
        <v>0</v>
      </c>
    </row>
    <row r="181" spans="1:9" x14ac:dyDescent="0.35">
      <c r="A181" s="554" t="s">
        <v>954</v>
      </c>
      <c r="B181" s="62" t="s">
        <v>239</v>
      </c>
      <c r="C181" s="315"/>
      <c r="D181" s="62"/>
      <c r="E181" s="62">
        <v>55719</v>
      </c>
      <c r="F181" s="315"/>
      <c r="G181" s="31">
        <v>1</v>
      </c>
      <c r="H181" s="422"/>
      <c r="I181" s="419">
        <f t="shared" si="2"/>
        <v>0</v>
      </c>
    </row>
    <row r="182" spans="1:9" x14ac:dyDescent="0.35">
      <c r="A182" s="554" t="s">
        <v>1031</v>
      </c>
      <c r="B182" s="62" t="s">
        <v>240</v>
      </c>
      <c r="C182" s="315"/>
      <c r="D182" s="62"/>
      <c r="E182" s="62">
        <v>55719</v>
      </c>
      <c r="F182" s="340"/>
      <c r="G182" s="31">
        <v>1</v>
      </c>
      <c r="H182" s="422"/>
      <c r="I182" s="419">
        <f t="shared" si="2"/>
        <v>0</v>
      </c>
    </row>
    <row r="183" spans="1:9" x14ac:dyDescent="0.35">
      <c r="A183" s="554" t="s">
        <v>1583</v>
      </c>
      <c r="B183" s="62" t="s">
        <v>223</v>
      </c>
      <c r="C183" s="315"/>
      <c r="D183" s="62"/>
      <c r="E183" s="62">
        <v>55719</v>
      </c>
      <c r="F183" s="388"/>
      <c r="G183" s="31">
        <v>1</v>
      </c>
      <c r="H183" s="422"/>
      <c r="I183" s="419">
        <f t="shared" si="2"/>
        <v>0</v>
      </c>
    </row>
    <row r="184" spans="1:9" x14ac:dyDescent="0.35">
      <c r="A184" s="554" t="s">
        <v>1584</v>
      </c>
      <c r="B184" s="62" t="s">
        <v>221</v>
      </c>
      <c r="C184" s="315"/>
      <c r="D184" s="62"/>
      <c r="E184" s="62">
        <v>55719</v>
      </c>
      <c r="F184" s="388"/>
      <c r="G184" s="31">
        <v>1</v>
      </c>
      <c r="H184" s="422"/>
      <c r="I184" s="419">
        <f t="shared" si="2"/>
        <v>0</v>
      </c>
    </row>
    <row r="185" spans="1:9" x14ac:dyDescent="0.35">
      <c r="A185" s="554" t="s">
        <v>1585</v>
      </c>
      <c r="B185" s="62" t="s">
        <v>225</v>
      </c>
      <c r="C185" s="315"/>
      <c r="D185" s="62"/>
      <c r="E185" s="62">
        <v>55719</v>
      </c>
      <c r="F185" s="388"/>
      <c r="G185" s="31">
        <v>1</v>
      </c>
      <c r="H185" s="422"/>
      <c r="I185" s="419">
        <f t="shared" si="2"/>
        <v>0</v>
      </c>
    </row>
    <row r="186" spans="1:9" x14ac:dyDescent="0.35">
      <c r="A186" s="554" t="s">
        <v>1586</v>
      </c>
      <c r="B186" s="62" t="s">
        <v>219</v>
      </c>
      <c r="C186" s="315"/>
      <c r="D186" s="62"/>
      <c r="E186" s="62">
        <v>55719</v>
      </c>
      <c r="F186" s="388"/>
      <c r="G186" s="31">
        <v>1</v>
      </c>
      <c r="H186" s="422"/>
      <c r="I186" s="419">
        <f t="shared" si="2"/>
        <v>0</v>
      </c>
    </row>
    <row r="187" spans="1:9" x14ac:dyDescent="0.35">
      <c r="A187" s="554" t="s">
        <v>1587</v>
      </c>
      <c r="B187" s="62" t="s">
        <v>226</v>
      </c>
      <c r="C187" s="315"/>
      <c r="D187" s="62"/>
      <c r="E187" s="62">
        <v>55719</v>
      </c>
      <c r="F187" s="388"/>
      <c r="G187" s="31">
        <v>1</v>
      </c>
      <c r="H187" s="422"/>
      <c r="I187" s="419">
        <f t="shared" si="2"/>
        <v>0</v>
      </c>
    </row>
    <row r="188" spans="1:9" x14ac:dyDescent="0.35">
      <c r="A188" s="554" t="s">
        <v>1588</v>
      </c>
      <c r="B188" s="62" t="s">
        <v>222</v>
      </c>
      <c r="C188" s="315"/>
      <c r="D188" s="62"/>
      <c r="E188" s="62">
        <v>55719</v>
      </c>
      <c r="F188" s="388"/>
      <c r="G188" s="31">
        <v>1</v>
      </c>
      <c r="H188" s="422"/>
      <c r="I188" s="419">
        <f t="shared" si="2"/>
        <v>0</v>
      </c>
    </row>
    <row r="189" spans="1:9" x14ac:dyDescent="0.35">
      <c r="A189" s="554" t="s">
        <v>1589</v>
      </c>
      <c r="B189" s="62" t="s">
        <v>220</v>
      </c>
      <c r="C189" s="315"/>
      <c r="D189" s="62"/>
      <c r="E189" s="62">
        <v>55719</v>
      </c>
      <c r="F189" s="388"/>
      <c r="G189" s="31">
        <v>1</v>
      </c>
      <c r="H189" s="422"/>
      <c r="I189" s="419">
        <f t="shared" si="2"/>
        <v>0</v>
      </c>
    </row>
    <row r="190" spans="1:9" x14ac:dyDescent="0.35">
      <c r="A190" s="554" t="s">
        <v>1590</v>
      </c>
      <c r="B190" s="253" t="s">
        <v>224</v>
      </c>
      <c r="C190" s="315"/>
      <c r="D190" s="253"/>
      <c r="E190" s="253">
        <v>55719</v>
      </c>
      <c r="F190" s="388"/>
      <c r="G190" s="201">
        <v>1</v>
      </c>
      <c r="H190" s="422"/>
      <c r="I190" s="419">
        <f t="shared" si="2"/>
        <v>0</v>
      </c>
    </row>
    <row r="191" spans="1:9" x14ac:dyDescent="0.35">
      <c r="A191" s="554" t="s">
        <v>1591</v>
      </c>
      <c r="B191" s="62" t="s">
        <v>218</v>
      </c>
      <c r="C191" s="315"/>
      <c r="D191" s="62"/>
      <c r="E191" s="62">
        <v>55719</v>
      </c>
      <c r="F191" s="388"/>
      <c r="G191" s="31">
        <v>1</v>
      </c>
      <c r="H191" s="422"/>
      <c r="I191" s="419">
        <f t="shared" si="2"/>
        <v>0</v>
      </c>
    </row>
    <row r="192" spans="1:9" x14ac:dyDescent="0.35">
      <c r="A192" s="554" t="s">
        <v>22</v>
      </c>
      <c r="B192" s="62" t="s">
        <v>245</v>
      </c>
      <c r="C192" s="315"/>
      <c r="D192" s="62"/>
      <c r="E192" s="62">
        <v>55719</v>
      </c>
      <c r="F192" s="388"/>
      <c r="G192" s="31">
        <v>1</v>
      </c>
      <c r="H192" s="422"/>
      <c r="I192" s="419">
        <f t="shared" si="2"/>
        <v>0</v>
      </c>
    </row>
    <row r="193" spans="1:9" x14ac:dyDescent="0.35">
      <c r="A193" s="554" t="s">
        <v>24</v>
      </c>
      <c r="B193" s="62" t="s">
        <v>255</v>
      </c>
      <c r="C193" s="315"/>
      <c r="D193" s="62"/>
      <c r="E193" s="62">
        <v>55719</v>
      </c>
      <c r="F193" s="388"/>
      <c r="G193" s="31">
        <v>1</v>
      </c>
      <c r="H193" s="422"/>
      <c r="I193" s="419">
        <f t="shared" si="2"/>
        <v>0</v>
      </c>
    </row>
    <row r="194" spans="1:9" x14ac:dyDescent="0.35">
      <c r="A194" s="554" t="s">
        <v>1049</v>
      </c>
      <c r="B194" s="62" t="s">
        <v>110</v>
      </c>
      <c r="C194" s="315"/>
      <c r="D194" s="62"/>
      <c r="E194" s="62">
        <v>55719</v>
      </c>
      <c r="F194" s="388"/>
      <c r="G194" s="31">
        <v>1</v>
      </c>
      <c r="H194" s="422"/>
      <c r="I194" s="419">
        <f t="shared" ref="I194:I257" si="3">+G194*H194</f>
        <v>0</v>
      </c>
    </row>
    <row r="195" spans="1:9" x14ac:dyDescent="0.35">
      <c r="A195" s="554" t="s">
        <v>26</v>
      </c>
      <c r="B195" s="62" t="s">
        <v>257</v>
      </c>
      <c r="C195" s="315"/>
      <c r="D195" s="62"/>
      <c r="E195" s="62">
        <v>55719</v>
      </c>
      <c r="F195" s="388"/>
      <c r="G195" s="31">
        <v>1</v>
      </c>
      <c r="H195" s="422"/>
      <c r="I195" s="419">
        <f t="shared" si="3"/>
        <v>0</v>
      </c>
    </row>
    <row r="196" spans="1:9" x14ac:dyDescent="0.35">
      <c r="A196" s="554" t="s">
        <v>23</v>
      </c>
      <c r="B196" s="62" t="s">
        <v>252</v>
      </c>
      <c r="C196" s="315"/>
      <c r="D196" s="62"/>
      <c r="E196" s="62">
        <v>55719</v>
      </c>
      <c r="F196" s="388"/>
      <c r="G196" s="31">
        <v>1</v>
      </c>
      <c r="H196" s="422"/>
      <c r="I196" s="419">
        <f t="shared" si="3"/>
        <v>0</v>
      </c>
    </row>
    <row r="197" spans="1:9" x14ac:dyDescent="0.35">
      <c r="A197" s="554" t="s">
        <v>1099</v>
      </c>
      <c r="B197" s="62" t="s">
        <v>426</v>
      </c>
      <c r="C197" s="315"/>
      <c r="D197" s="62"/>
      <c r="E197" s="62">
        <v>55719</v>
      </c>
      <c r="F197" s="388"/>
      <c r="G197" s="31">
        <v>1</v>
      </c>
      <c r="H197" s="422"/>
      <c r="I197" s="419">
        <f t="shared" si="3"/>
        <v>0</v>
      </c>
    </row>
    <row r="198" spans="1:9" x14ac:dyDescent="0.35">
      <c r="A198" s="554" t="s">
        <v>1078</v>
      </c>
      <c r="B198" s="62" t="s">
        <v>270</v>
      </c>
      <c r="C198" s="315"/>
      <c r="D198" s="62"/>
      <c r="E198" s="62">
        <v>55719</v>
      </c>
      <c r="F198" s="388"/>
      <c r="G198" s="31">
        <v>1</v>
      </c>
      <c r="H198" s="422"/>
      <c r="I198" s="419">
        <f t="shared" si="3"/>
        <v>0</v>
      </c>
    </row>
    <row r="199" spans="1:9" x14ac:dyDescent="0.35">
      <c r="A199" s="554" t="s">
        <v>1076</v>
      </c>
      <c r="B199" s="62" t="s">
        <v>77</v>
      </c>
      <c r="C199" s="315"/>
      <c r="D199" s="62"/>
      <c r="E199" s="62">
        <v>55719</v>
      </c>
      <c r="F199" s="388"/>
      <c r="G199" s="31">
        <v>1</v>
      </c>
      <c r="H199" s="422"/>
      <c r="I199" s="419">
        <f t="shared" si="3"/>
        <v>0</v>
      </c>
    </row>
    <row r="200" spans="1:9" x14ac:dyDescent="0.35">
      <c r="A200" s="554" t="s">
        <v>1072</v>
      </c>
      <c r="B200" s="62" t="s">
        <v>395</v>
      </c>
      <c r="C200" s="315"/>
      <c r="D200" s="62"/>
      <c r="E200" s="62">
        <v>55719</v>
      </c>
      <c r="F200" s="388"/>
      <c r="G200" s="31">
        <v>1</v>
      </c>
      <c r="H200" s="422"/>
      <c r="I200" s="419">
        <f t="shared" si="3"/>
        <v>0</v>
      </c>
    </row>
    <row r="201" spans="1:9" x14ac:dyDescent="0.35">
      <c r="A201" s="554" t="s">
        <v>1003</v>
      </c>
      <c r="B201" s="62" t="s">
        <v>265</v>
      </c>
      <c r="C201" s="315"/>
      <c r="D201" s="62"/>
      <c r="E201" s="62">
        <v>55719</v>
      </c>
      <c r="F201" s="388"/>
      <c r="G201" s="31">
        <v>1</v>
      </c>
      <c r="H201" s="422"/>
      <c r="I201" s="419">
        <f t="shared" si="3"/>
        <v>0</v>
      </c>
    </row>
    <row r="202" spans="1:9" x14ac:dyDescent="0.35">
      <c r="A202" s="554" t="s">
        <v>1073</v>
      </c>
      <c r="B202" s="62" t="s">
        <v>396</v>
      </c>
      <c r="C202" s="315"/>
      <c r="D202" s="62"/>
      <c r="E202" s="62">
        <v>55719</v>
      </c>
      <c r="F202" s="388"/>
      <c r="G202" s="31">
        <v>1</v>
      </c>
      <c r="H202" s="422"/>
      <c r="I202" s="419">
        <f t="shared" si="3"/>
        <v>0</v>
      </c>
    </row>
    <row r="203" spans="1:9" x14ac:dyDescent="0.35">
      <c r="A203" s="554" t="s">
        <v>1001</v>
      </c>
      <c r="B203" s="62" t="s">
        <v>268</v>
      </c>
      <c r="C203" s="315"/>
      <c r="D203" s="62"/>
      <c r="E203" s="62">
        <v>55719</v>
      </c>
      <c r="F203" s="388"/>
      <c r="G203" s="31">
        <v>1</v>
      </c>
      <c r="H203" s="422"/>
      <c r="I203" s="419">
        <f t="shared" si="3"/>
        <v>0</v>
      </c>
    </row>
    <row r="204" spans="1:9" x14ac:dyDescent="0.35">
      <c r="A204" s="554" t="s">
        <v>1074</v>
      </c>
      <c r="B204" s="62" t="s">
        <v>397</v>
      </c>
      <c r="C204" s="315"/>
      <c r="D204" s="62"/>
      <c r="E204" s="62">
        <v>55719</v>
      </c>
      <c r="F204" s="388"/>
      <c r="G204" s="31">
        <v>1</v>
      </c>
      <c r="H204" s="422"/>
      <c r="I204" s="419">
        <f t="shared" si="3"/>
        <v>0</v>
      </c>
    </row>
    <row r="205" spans="1:9" x14ac:dyDescent="0.35">
      <c r="A205" s="554" t="s">
        <v>1071</v>
      </c>
      <c r="B205" s="62" t="s">
        <v>394</v>
      </c>
      <c r="C205" s="315"/>
      <c r="D205" s="62"/>
      <c r="E205" s="62">
        <v>55719</v>
      </c>
      <c r="F205" s="315"/>
      <c r="G205" s="31">
        <v>1</v>
      </c>
      <c r="H205" s="422"/>
      <c r="I205" s="419">
        <f t="shared" si="3"/>
        <v>0</v>
      </c>
    </row>
    <row r="206" spans="1:9" x14ac:dyDescent="0.35">
      <c r="A206" s="554" t="s">
        <v>887</v>
      </c>
      <c r="B206" s="62" t="s">
        <v>405</v>
      </c>
      <c r="C206" s="315"/>
      <c r="D206" s="62"/>
      <c r="E206" s="62">
        <v>55719</v>
      </c>
      <c r="F206" s="340"/>
      <c r="G206" s="31">
        <v>1</v>
      </c>
      <c r="H206" s="422"/>
      <c r="I206" s="419">
        <f t="shared" si="3"/>
        <v>0</v>
      </c>
    </row>
    <row r="207" spans="1:9" x14ac:dyDescent="0.35">
      <c r="A207" s="554" t="s">
        <v>1360</v>
      </c>
      <c r="B207" s="62" t="s">
        <v>145</v>
      </c>
      <c r="C207" s="315"/>
      <c r="D207" s="62"/>
      <c r="E207" s="62">
        <v>55719</v>
      </c>
      <c r="F207" s="388"/>
      <c r="G207" s="31">
        <v>1</v>
      </c>
      <c r="H207" s="422"/>
      <c r="I207" s="419">
        <f t="shared" si="3"/>
        <v>0</v>
      </c>
    </row>
    <row r="208" spans="1:9" x14ac:dyDescent="0.35">
      <c r="A208" s="554" t="s">
        <v>991</v>
      </c>
      <c r="B208" s="62" t="s">
        <v>194</v>
      </c>
      <c r="C208" s="315"/>
      <c r="D208" s="62"/>
      <c r="E208" s="62">
        <v>55719</v>
      </c>
      <c r="F208" s="388"/>
      <c r="G208" s="31">
        <v>1</v>
      </c>
      <c r="H208" s="422"/>
      <c r="I208" s="419">
        <f t="shared" si="3"/>
        <v>0</v>
      </c>
    </row>
    <row r="209" spans="1:9" x14ac:dyDescent="0.35">
      <c r="A209" s="554" t="s">
        <v>1363</v>
      </c>
      <c r="B209" s="62" t="s">
        <v>403</v>
      </c>
      <c r="C209" s="315"/>
      <c r="D209" s="62"/>
      <c r="E209" s="62">
        <v>55719</v>
      </c>
      <c r="F209" s="388"/>
      <c r="G209" s="31">
        <v>1</v>
      </c>
      <c r="H209" s="422"/>
      <c r="I209" s="419">
        <f t="shared" si="3"/>
        <v>0</v>
      </c>
    </row>
    <row r="210" spans="1:9" x14ac:dyDescent="0.35">
      <c r="A210" s="554" t="s">
        <v>983</v>
      </c>
      <c r="B210" s="62" t="s">
        <v>337</v>
      </c>
      <c r="C210" s="315"/>
      <c r="D210" s="62"/>
      <c r="E210" s="62">
        <v>55719</v>
      </c>
      <c r="F210" s="388"/>
      <c r="G210" s="31">
        <v>1</v>
      </c>
      <c r="H210" s="422"/>
      <c r="I210" s="419">
        <f t="shared" si="3"/>
        <v>0</v>
      </c>
    </row>
    <row r="211" spans="1:9" x14ac:dyDescent="0.35">
      <c r="A211" s="554" t="s">
        <v>2457</v>
      </c>
      <c r="B211" s="62" t="s">
        <v>1605</v>
      </c>
      <c r="C211" s="315"/>
      <c r="D211" s="62"/>
      <c r="E211" s="62">
        <v>55719</v>
      </c>
      <c r="F211" s="388"/>
      <c r="G211" s="31">
        <v>1</v>
      </c>
      <c r="H211" s="422"/>
      <c r="I211" s="419">
        <f t="shared" si="3"/>
        <v>0</v>
      </c>
    </row>
    <row r="212" spans="1:9" x14ac:dyDescent="0.35">
      <c r="A212" s="554" t="s">
        <v>1243</v>
      </c>
      <c r="B212" s="62" t="s">
        <v>407</v>
      </c>
      <c r="C212" s="315"/>
      <c r="D212" s="62"/>
      <c r="E212" s="62">
        <v>55719</v>
      </c>
      <c r="F212" s="388"/>
      <c r="G212" s="31">
        <v>1</v>
      </c>
      <c r="H212" s="422"/>
      <c r="I212" s="419">
        <f t="shared" si="3"/>
        <v>0</v>
      </c>
    </row>
    <row r="213" spans="1:9" x14ac:dyDescent="0.35">
      <c r="A213" s="554" t="s">
        <v>928</v>
      </c>
      <c r="B213" s="62" t="s">
        <v>775</v>
      </c>
      <c r="C213" s="315"/>
      <c r="D213" s="62"/>
      <c r="E213" s="62">
        <v>55719</v>
      </c>
      <c r="F213" s="388"/>
      <c r="G213" s="31">
        <v>1</v>
      </c>
      <c r="H213" s="422"/>
      <c r="I213" s="419">
        <f t="shared" si="3"/>
        <v>0</v>
      </c>
    </row>
    <row r="214" spans="1:9" x14ac:dyDescent="0.35">
      <c r="A214" s="554" t="s">
        <v>1067</v>
      </c>
      <c r="B214" s="62" t="s">
        <v>260</v>
      </c>
      <c r="C214" s="315"/>
      <c r="D214" s="62"/>
      <c r="E214" s="62">
        <v>55719</v>
      </c>
      <c r="F214" s="388"/>
      <c r="G214" s="31">
        <v>1</v>
      </c>
      <c r="H214" s="422"/>
      <c r="I214" s="419">
        <f t="shared" si="3"/>
        <v>0</v>
      </c>
    </row>
    <row r="215" spans="1:9" x14ac:dyDescent="0.35">
      <c r="A215" s="554" t="s">
        <v>1248</v>
      </c>
      <c r="B215" s="62" t="s">
        <v>392</v>
      </c>
      <c r="C215" s="315"/>
      <c r="D215" s="62"/>
      <c r="E215" s="62">
        <v>55719</v>
      </c>
      <c r="F215" s="388"/>
      <c r="G215" s="31">
        <v>1</v>
      </c>
      <c r="H215" s="422"/>
      <c r="I215" s="419">
        <f t="shared" si="3"/>
        <v>0</v>
      </c>
    </row>
    <row r="216" spans="1:9" x14ac:dyDescent="0.35">
      <c r="A216" s="554" t="s">
        <v>999</v>
      </c>
      <c r="B216" s="62" t="s">
        <v>393</v>
      </c>
      <c r="C216" s="315"/>
      <c r="D216" s="62"/>
      <c r="E216" s="62">
        <v>55719</v>
      </c>
      <c r="F216" s="388"/>
      <c r="G216" s="31">
        <v>1</v>
      </c>
      <c r="H216" s="422"/>
      <c r="I216" s="419">
        <f t="shared" si="3"/>
        <v>0</v>
      </c>
    </row>
    <row r="217" spans="1:9" x14ac:dyDescent="0.35">
      <c r="A217" s="554" t="s">
        <v>1000</v>
      </c>
      <c r="B217" s="62" t="s">
        <v>295</v>
      </c>
      <c r="C217" s="315"/>
      <c r="D217" s="62"/>
      <c r="E217" s="62">
        <v>55719</v>
      </c>
      <c r="F217" s="388"/>
      <c r="G217" s="31">
        <v>1</v>
      </c>
      <c r="H217" s="422"/>
      <c r="I217" s="419">
        <f t="shared" si="3"/>
        <v>0</v>
      </c>
    </row>
    <row r="218" spans="1:9" x14ac:dyDescent="0.35">
      <c r="A218" s="554" t="s">
        <v>1249</v>
      </c>
      <c r="B218" s="62" t="s">
        <v>390</v>
      </c>
      <c r="C218" s="315"/>
      <c r="D218" s="62"/>
      <c r="E218" s="62">
        <v>55719</v>
      </c>
      <c r="F218" s="388"/>
      <c r="G218" s="31">
        <v>1</v>
      </c>
      <c r="H218" s="422"/>
      <c r="I218" s="419">
        <f t="shared" si="3"/>
        <v>0</v>
      </c>
    </row>
    <row r="219" spans="1:9" x14ac:dyDescent="0.35">
      <c r="A219" s="554" t="s">
        <v>1066</v>
      </c>
      <c r="B219" s="62" t="s">
        <v>70</v>
      </c>
      <c r="C219" s="315"/>
      <c r="D219" s="62"/>
      <c r="E219" s="62">
        <v>55719</v>
      </c>
      <c r="F219" s="388"/>
      <c r="G219" s="31">
        <v>1</v>
      </c>
      <c r="H219" s="422"/>
      <c r="I219" s="419">
        <f t="shared" si="3"/>
        <v>0</v>
      </c>
    </row>
    <row r="220" spans="1:9" x14ac:dyDescent="0.35">
      <c r="A220" s="554" t="s">
        <v>1068</v>
      </c>
      <c r="B220" s="62" t="s">
        <v>262</v>
      </c>
      <c r="C220" s="315"/>
      <c r="D220" s="62"/>
      <c r="E220" s="62">
        <v>55719</v>
      </c>
      <c r="F220" s="388"/>
      <c r="G220" s="31">
        <v>1</v>
      </c>
      <c r="H220" s="422"/>
      <c r="I220" s="419">
        <f t="shared" si="3"/>
        <v>0</v>
      </c>
    </row>
    <row r="221" spans="1:9" x14ac:dyDescent="0.35">
      <c r="A221" s="554" t="s">
        <v>1065</v>
      </c>
      <c r="B221" s="62" t="s">
        <v>259</v>
      </c>
      <c r="C221" s="315"/>
      <c r="D221" s="62"/>
      <c r="E221" s="62">
        <v>55719</v>
      </c>
      <c r="F221" s="388"/>
      <c r="G221" s="31">
        <v>1</v>
      </c>
      <c r="H221" s="422"/>
      <c r="I221" s="419">
        <f t="shared" si="3"/>
        <v>0</v>
      </c>
    </row>
    <row r="222" spans="1:9" x14ac:dyDescent="0.35">
      <c r="A222" s="554" t="s">
        <v>1250</v>
      </c>
      <c r="B222" s="62" t="s">
        <v>391</v>
      </c>
      <c r="C222" s="315"/>
      <c r="D222" s="62"/>
      <c r="E222" s="62">
        <v>55719</v>
      </c>
      <c r="F222" s="388"/>
      <c r="G222" s="31">
        <v>1</v>
      </c>
      <c r="H222" s="422"/>
      <c r="I222" s="419">
        <f t="shared" si="3"/>
        <v>0</v>
      </c>
    </row>
    <row r="223" spans="1:9" x14ac:dyDescent="0.35">
      <c r="A223" s="554" t="s">
        <v>1046</v>
      </c>
      <c r="B223" s="62" t="s">
        <v>203</v>
      </c>
      <c r="C223" s="315"/>
      <c r="D223" s="62"/>
      <c r="E223" s="62">
        <v>55719</v>
      </c>
      <c r="F223" s="388"/>
      <c r="G223" s="31">
        <v>1</v>
      </c>
      <c r="H223" s="422"/>
      <c r="I223" s="419">
        <f t="shared" si="3"/>
        <v>0</v>
      </c>
    </row>
    <row r="224" spans="1:9" x14ac:dyDescent="0.35">
      <c r="A224" s="554" t="s">
        <v>993</v>
      </c>
      <c r="B224" s="62" t="s">
        <v>249</v>
      </c>
      <c r="C224" s="315"/>
      <c r="D224" s="62"/>
      <c r="E224" s="62">
        <v>55719</v>
      </c>
      <c r="F224" s="388"/>
      <c r="G224" s="31">
        <v>1</v>
      </c>
      <c r="H224" s="422"/>
      <c r="I224" s="419">
        <f t="shared" si="3"/>
        <v>0</v>
      </c>
    </row>
    <row r="225" spans="1:9" x14ac:dyDescent="0.35">
      <c r="A225" s="554" t="s">
        <v>994</v>
      </c>
      <c r="B225" s="62" t="s">
        <v>389</v>
      </c>
      <c r="C225" s="315"/>
      <c r="D225" s="62"/>
      <c r="E225" s="62">
        <v>55719</v>
      </c>
      <c r="F225" s="388"/>
      <c r="G225" s="31">
        <v>1</v>
      </c>
      <c r="H225" s="422"/>
      <c r="I225" s="419">
        <f t="shared" si="3"/>
        <v>0</v>
      </c>
    </row>
    <row r="226" spans="1:9" x14ac:dyDescent="0.35">
      <c r="A226" s="554" t="s">
        <v>81</v>
      </c>
      <c r="B226" s="62" t="s">
        <v>109</v>
      </c>
      <c r="C226" s="315"/>
      <c r="D226" s="62"/>
      <c r="E226" s="62">
        <v>55719</v>
      </c>
      <c r="F226" s="388"/>
      <c r="G226" s="31">
        <v>1</v>
      </c>
      <c r="H226" s="422"/>
      <c r="I226" s="419">
        <f t="shared" si="3"/>
        <v>0</v>
      </c>
    </row>
    <row r="227" spans="1:9" x14ac:dyDescent="0.35">
      <c r="A227" s="554" t="s">
        <v>1252</v>
      </c>
      <c r="B227" s="62" t="s">
        <v>330</v>
      </c>
      <c r="C227" s="315"/>
      <c r="D227" s="62"/>
      <c r="E227" s="62">
        <v>55719</v>
      </c>
      <c r="F227" s="388"/>
      <c r="G227" s="31">
        <v>1</v>
      </c>
      <c r="H227" s="422"/>
      <c r="I227" s="419">
        <f t="shared" si="3"/>
        <v>0</v>
      </c>
    </row>
    <row r="228" spans="1:9" x14ac:dyDescent="0.35">
      <c r="A228" s="554" t="s">
        <v>978</v>
      </c>
      <c r="B228" s="62" t="s">
        <v>234</v>
      </c>
      <c r="C228" s="315"/>
      <c r="D228" s="62"/>
      <c r="E228" s="62">
        <v>55719</v>
      </c>
      <c r="F228" s="388"/>
      <c r="G228" s="31">
        <v>1</v>
      </c>
      <c r="H228" s="422"/>
      <c r="I228" s="419">
        <f t="shared" si="3"/>
        <v>0</v>
      </c>
    </row>
    <row r="229" spans="1:9" x14ac:dyDescent="0.35">
      <c r="A229" s="554" t="s">
        <v>9</v>
      </c>
      <c r="B229" s="62" t="s">
        <v>329</v>
      </c>
      <c r="C229" s="315"/>
      <c r="D229" s="62"/>
      <c r="E229" s="62">
        <v>55719</v>
      </c>
      <c r="F229" s="388"/>
      <c r="G229" s="31">
        <v>1</v>
      </c>
      <c r="H229" s="422"/>
      <c r="I229" s="419">
        <f t="shared" si="3"/>
        <v>0</v>
      </c>
    </row>
    <row r="230" spans="1:9" x14ac:dyDescent="0.35">
      <c r="A230" s="554" t="s">
        <v>930</v>
      </c>
      <c r="B230" s="62" t="s">
        <v>88</v>
      </c>
      <c r="C230" s="315"/>
      <c r="D230" s="62"/>
      <c r="E230" s="62">
        <v>55719</v>
      </c>
      <c r="F230" s="388"/>
      <c r="G230" s="31">
        <v>2</v>
      </c>
      <c r="H230" s="422"/>
      <c r="I230" s="419">
        <f t="shared" si="3"/>
        <v>0</v>
      </c>
    </row>
    <row r="231" spans="1:9" x14ac:dyDescent="0.35">
      <c r="A231" s="554" t="s">
        <v>1254</v>
      </c>
      <c r="B231" s="62" t="s">
        <v>1578</v>
      </c>
      <c r="C231" s="315"/>
      <c r="D231" s="62"/>
      <c r="E231" s="62">
        <v>55719</v>
      </c>
      <c r="F231" s="388"/>
      <c r="G231" s="31">
        <v>1</v>
      </c>
      <c r="H231" s="422"/>
      <c r="I231" s="419">
        <f t="shared" si="3"/>
        <v>0</v>
      </c>
    </row>
    <row r="232" spans="1:9" x14ac:dyDescent="0.35">
      <c r="A232" s="554" t="s">
        <v>1255</v>
      </c>
      <c r="B232" s="62" t="s">
        <v>1579</v>
      </c>
      <c r="C232" s="315"/>
      <c r="D232" s="62"/>
      <c r="E232" s="62">
        <v>55719</v>
      </c>
      <c r="F232" s="388"/>
      <c r="G232" s="31">
        <v>1</v>
      </c>
      <c r="H232" s="422"/>
      <c r="I232" s="419">
        <f t="shared" si="3"/>
        <v>0</v>
      </c>
    </row>
    <row r="233" spans="1:9" x14ac:dyDescent="0.35">
      <c r="A233" s="554" t="s">
        <v>1256</v>
      </c>
      <c r="B233" s="62" t="s">
        <v>1577</v>
      </c>
      <c r="C233" s="315"/>
      <c r="D233" s="62"/>
      <c r="E233" s="62">
        <v>55719</v>
      </c>
      <c r="F233" s="388"/>
      <c r="G233" s="31">
        <v>1</v>
      </c>
      <c r="H233" s="422"/>
      <c r="I233" s="419">
        <f t="shared" si="3"/>
        <v>0</v>
      </c>
    </row>
    <row r="234" spans="1:9" x14ac:dyDescent="0.35">
      <c r="A234" s="554" t="s">
        <v>29</v>
      </c>
      <c r="B234" s="62" t="s">
        <v>1564</v>
      </c>
      <c r="C234" s="315"/>
      <c r="D234" s="62"/>
      <c r="E234" s="62">
        <v>55719</v>
      </c>
      <c r="F234" s="388"/>
      <c r="G234" s="31">
        <v>1</v>
      </c>
      <c r="H234" s="422"/>
      <c r="I234" s="419">
        <f t="shared" si="3"/>
        <v>0</v>
      </c>
    </row>
    <row r="235" spans="1:9" x14ac:dyDescent="0.35">
      <c r="A235" s="554" t="s">
        <v>28</v>
      </c>
      <c r="B235" s="62" t="s">
        <v>2242</v>
      </c>
      <c r="C235" s="315"/>
      <c r="D235" s="62"/>
      <c r="E235" s="62">
        <v>55719</v>
      </c>
      <c r="F235" s="388"/>
      <c r="G235" s="31">
        <v>1</v>
      </c>
      <c r="H235" s="422"/>
      <c r="I235" s="419">
        <f t="shared" si="3"/>
        <v>0</v>
      </c>
    </row>
    <row r="236" spans="1:9" x14ac:dyDescent="0.35">
      <c r="A236" s="554" t="s">
        <v>833</v>
      </c>
      <c r="B236" s="62" t="s">
        <v>244</v>
      </c>
      <c r="C236" s="315"/>
      <c r="D236" s="62"/>
      <c r="E236" s="62">
        <v>55719</v>
      </c>
      <c r="F236" s="388"/>
      <c r="G236" s="31">
        <v>1</v>
      </c>
      <c r="H236" s="422"/>
      <c r="I236" s="419">
        <f t="shared" si="3"/>
        <v>0</v>
      </c>
    </row>
    <row r="237" spans="1:9" x14ac:dyDescent="0.35">
      <c r="A237" s="554" t="s">
        <v>1064</v>
      </c>
      <c r="B237" s="62" t="s">
        <v>1576</v>
      </c>
      <c r="C237" s="315"/>
      <c r="D237" s="62"/>
      <c r="E237" s="62">
        <v>55719</v>
      </c>
      <c r="F237" s="388"/>
      <c r="G237" s="31">
        <v>1</v>
      </c>
      <c r="H237" s="422"/>
      <c r="I237" s="419">
        <f t="shared" si="3"/>
        <v>0</v>
      </c>
    </row>
    <row r="238" spans="1:9" x14ac:dyDescent="0.35">
      <c r="A238" s="554" t="s">
        <v>1058</v>
      </c>
      <c r="B238" s="62" t="s">
        <v>1563</v>
      </c>
      <c r="C238" s="315"/>
      <c r="D238" s="62"/>
      <c r="E238" s="62">
        <v>55719</v>
      </c>
      <c r="F238" s="388"/>
      <c r="G238" s="31">
        <v>1</v>
      </c>
      <c r="H238" s="422"/>
      <c r="I238" s="419">
        <f t="shared" si="3"/>
        <v>0</v>
      </c>
    </row>
    <row r="239" spans="1:9" x14ac:dyDescent="0.35">
      <c r="A239" s="554" t="s">
        <v>1257</v>
      </c>
      <c r="B239" s="62" t="s">
        <v>1600</v>
      </c>
      <c r="C239" s="315"/>
      <c r="D239" s="62"/>
      <c r="E239" s="62">
        <v>55719</v>
      </c>
      <c r="F239" s="315"/>
      <c r="G239" s="31">
        <v>1</v>
      </c>
      <c r="H239" s="422"/>
      <c r="I239" s="419">
        <f t="shared" si="3"/>
        <v>0</v>
      </c>
    </row>
    <row r="240" spans="1:9" x14ac:dyDescent="0.35">
      <c r="A240" s="554" t="s">
        <v>1156</v>
      </c>
      <c r="B240" s="62" t="s">
        <v>61</v>
      </c>
      <c r="C240" s="315"/>
      <c r="D240" s="62"/>
      <c r="E240" s="62">
        <v>55719</v>
      </c>
      <c r="F240" s="340"/>
      <c r="G240" s="31">
        <v>1</v>
      </c>
      <c r="H240" s="422"/>
      <c r="I240" s="419">
        <f t="shared" si="3"/>
        <v>0</v>
      </c>
    </row>
    <row r="241" spans="1:9" x14ac:dyDescent="0.35">
      <c r="A241" s="554" t="s">
        <v>1061</v>
      </c>
      <c r="B241" s="62" t="s">
        <v>73</v>
      </c>
      <c r="C241" s="315"/>
      <c r="D241" s="62"/>
      <c r="E241" s="62">
        <v>55719</v>
      </c>
      <c r="F241" s="388"/>
      <c r="G241" s="31">
        <v>1</v>
      </c>
      <c r="H241" s="422"/>
      <c r="I241" s="419">
        <f t="shared" si="3"/>
        <v>0</v>
      </c>
    </row>
    <row r="242" spans="1:9" x14ac:dyDescent="0.35">
      <c r="A242" s="554" t="s">
        <v>1167</v>
      </c>
      <c r="B242" s="62" t="s">
        <v>387</v>
      </c>
      <c r="C242" s="315"/>
      <c r="D242" s="62"/>
      <c r="E242" s="62">
        <v>55719</v>
      </c>
      <c r="F242" s="388"/>
      <c r="G242" s="31">
        <v>2</v>
      </c>
      <c r="H242" s="422"/>
      <c r="I242" s="419">
        <f t="shared" si="3"/>
        <v>0</v>
      </c>
    </row>
    <row r="243" spans="1:9" x14ac:dyDescent="0.35">
      <c r="A243" s="554" t="s">
        <v>1060</v>
      </c>
      <c r="B243" s="62" t="s">
        <v>74</v>
      </c>
      <c r="C243" s="315"/>
      <c r="D243" s="62"/>
      <c r="E243" s="62">
        <v>55719</v>
      </c>
      <c r="F243" s="388"/>
      <c r="G243" s="31">
        <v>1</v>
      </c>
      <c r="H243" s="422"/>
      <c r="I243" s="419">
        <f t="shared" si="3"/>
        <v>0</v>
      </c>
    </row>
    <row r="244" spans="1:9" x14ac:dyDescent="0.35">
      <c r="A244" s="554" t="s">
        <v>1062</v>
      </c>
      <c r="B244" s="62" t="s">
        <v>261</v>
      </c>
      <c r="C244" s="315"/>
      <c r="D244" s="62"/>
      <c r="E244" s="62">
        <v>55719</v>
      </c>
      <c r="F244" s="388"/>
      <c r="G244" s="31">
        <v>1</v>
      </c>
      <c r="H244" s="422"/>
      <c r="I244" s="419">
        <f t="shared" si="3"/>
        <v>0</v>
      </c>
    </row>
    <row r="245" spans="1:9" x14ac:dyDescent="0.35">
      <c r="A245" s="554" t="s">
        <v>997</v>
      </c>
      <c r="B245" s="62" t="s">
        <v>388</v>
      </c>
      <c r="C245" s="315"/>
      <c r="D245" s="62"/>
      <c r="E245" s="62">
        <v>55719</v>
      </c>
      <c r="F245" s="388"/>
      <c r="G245" s="31">
        <v>1</v>
      </c>
      <c r="H245" s="422"/>
      <c r="I245" s="419">
        <f t="shared" si="3"/>
        <v>0</v>
      </c>
    </row>
    <row r="246" spans="1:9" x14ac:dyDescent="0.35">
      <c r="A246" s="554" t="s">
        <v>1059</v>
      </c>
      <c r="B246" s="62" t="s">
        <v>69</v>
      </c>
      <c r="C246" s="315"/>
      <c r="D246" s="62"/>
      <c r="E246" s="62">
        <v>55719</v>
      </c>
      <c r="F246" s="388"/>
      <c r="G246" s="31">
        <v>2</v>
      </c>
      <c r="H246" s="422"/>
      <c r="I246" s="419">
        <f t="shared" si="3"/>
        <v>0</v>
      </c>
    </row>
    <row r="247" spans="1:9" x14ac:dyDescent="0.35">
      <c r="A247" s="554" t="s">
        <v>1063</v>
      </c>
      <c r="B247" s="62" t="s">
        <v>71</v>
      </c>
      <c r="C247" s="315"/>
      <c r="D247" s="62"/>
      <c r="E247" s="62">
        <v>55719</v>
      </c>
      <c r="F247" s="388"/>
      <c r="G247" s="31">
        <v>1</v>
      </c>
      <c r="H247" s="422"/>
      <c r="I247" s="419">
        <f t="shared" si="3"/>
        <v>0</v>
      </c>
    </row>
    <row r="248" spans="1:9" x14ac:dyDescent="0.35">
      <c r="A248" s="554" t="s">
        <v>1057</v>
      </c>
      <c r="B248" s="62" t="s">
        <v>72</v>
      </c>
      <c r="C248" s="315"/>
      <c r="D248" s="62"/>
      <c r="E248" s="62">
        <v>55719</v>
      </c>
      <c r="F248" s="388"/>
      <c r="G248" s="31">
        <v>1</v>
      </c>
      <c r="H248" s="422"/>
      <c r="I248" s="419">
        <f t="shared" si="3"/>
        <v>0</v>
      </c>
    </row>
    <row r="249" spans="1:9" x14ac:dyDescent="0.35">
      <c r="A249" s="554" t="s">
        <v>1259</v>
      </c>
      <c r="B249" s="62" t="s">
        <v>386</v>
      </c>
      <c r="C249" s="315"/>
      <c r="D249" s="62"/>
      <c r="E249" s="62">
        <v>55719</v>
      </c>
      <c r="F249" s="388"/>
      <c r="G249" s="31">
        <v>1</v>
      </c>
      <c r="H249" s="422"/>
      <c r="I249" s="419">
        <f t="shared" si="3"/>
        <v>0</v>
      </c>
    </row>
    <row r="250" spans="1:9" x14ac:dyDescent="0.35">
      <c r="A250" s="554" t="s">
        <v>14</v>
      </c>
      <c r="B250" s="62" t="s">
        <v>334</v>
      </c>
      <c r="C250" s="315"/>
      <c r="D250" s="62"/>
      <c r="E250" s="62">
        <v>55719</v>
      </c>
      <c r="F250" s="388"/>
      <c r="G250" s="31">
        <v>1</v>
      </c>
      <c r="H250" s="422"/>
      <c r="I250" s="419">
        <f t="shared" si="3"/>
        <v>0</v>
      </c>
    </row>
    <row r="251" spans="1:9" x14ac:dyDescent="0.35">
      <c r="A251" s="554" t="s">
        <v>36</v>
      </c>
      <c r="B251" s="62" t="s">
        <v>37</v>
      </c>
      <c r="C251" s="315"/>
      <c r="D251" s="62"/>
      <c r="E251" s="62">
        <v>55719</v>
      </c>
      <c r="F251" s="388"/>
      <c r="G251" s="31">
        <v>1</v>
      </c>
      <c r="H251" s="422"/>
      <c r="I251" s="419">
        <f t="shared" si="3"/>
        <v>0</v>
      </c>
    </row>
    <row r="252" spans="1:9" x14ac:dyDescent="0.35">
      <c r="A252" s="554" t="s">
        <v>1266</v>
      </c>
      <c r="B252" s="62" t="s">
        <v>186</v>
      </c>
      <c r="C252" s="315"/>
      <c r="D252" s="62"/>
      <c r="E252" s="62">
        <v>55719</v>
      </c>
      <c r="F252" s="388"/>
      <c r="G252" s="31">
        <v>1</v>
      </c>
      <c r="H252" s="422"/>
      <c r="I252" s="419">
        <f t="shared" si="3"/>
        <v>0</v>
      </c>
    </row>
    <row r="253" spans="1:9" x14ac:dyDescent="0.35">
      <c r="A253" s="554" t="s">
        <v>1270</v>
      </c>
      <c r="B253" s="62" t="s">
        <v>402</v>
      </c>
      <c r="C253" s="315"/>
      <c r="D253" s="62"/>
      <c r="E253" s="62">
        <v>55719</v>
      </c>
      <c r="F253" s="388"/>
      <c r="G253" s="31">
        <v>1</v>
      </c>
      <c r="H253" s="422"/>
      <c r="I253" s="419">
        <f t="shared" si="3"/>
        <v>0</v>
      </c>
    </row>
    <row r="254" spans="1:9" x14ac:dyDescent="0.35">
      <c r="A254" s="554" t="s">
        <v>57</v>
      </c>
      <c r="B254" s="62" t="s">
        <v>58</v>
      </c>
      <c r="C254" s="315"/>
      <c r="D254" s="62"/>
      <c r="E254" s="62">
        <v>55719</v>
      </c>
      <c r="F254" s="388"/>
      <c r="G254" s="31">
        <v>1</v>
      </c>
      <c r="H254" s="422"/>
      <c r="I254" s="419">
        <f t="shared" si="3"/>
        <v>0</v>
      </c>
    </row>
    <row r="255" spans="1:9" x14ac:dyDescent="0.35">
      <c r="A255" s="554" t="s">
        <v>132</v>
      </c>
      <c r="B255" s="62" t="s">
        <v>133</v>
      </c>
      <c r="C255" s="315"/>
      <c r="D255" s="62"/>
      <c r="E255" s="62">
        <v>55719</v>
      </c>
      <c r="F255" s="388"/>
      <c r="G255" s="31">
        <v>1</v>
      </c>
      <c r="H255" s="422"/>
      <c r="I255" s="419">
        <f t="shared" si="3"/>
        <v>0</v>
      </c>
    </row>
    <row r="256" spans="1:9" x14ac:dyDescent="0.35">
      <c r="A256" s="554" t="s">
        <v>163</v>
      </c>
      <c r="B256" s="62" t="s">
        <v>164</v>
      </c>
      <c r="C256" s="315"/>
      <c r="D256" s="62"/>
      <c r="E256" s="62">
        <v>55719</v>
      </c>
      <c r="F256" s="388"/>
      <c r="G256" s="31">
        <v>1</v>
      </c>
      <c r="H256" s="422"/>
      <c r="I256" s="419">
        <f t="shared" si="3"/>
        <v>0</v>
      </c>
    </row>
    <row r="257" spans="1:10" x14ac:dyDescent="0.35">
      <c r="A257" s="554" t="s">
        <v>122</v>
      </c>
      <c r="B257" s="62" t="s">
        <v>123</v>
      </c>
      <c r="C257" s="315"/>
      <c r="D257" s="62"/>
      <c r="E257" s="62">
        <v>55719</v>
      </c>
      <c r="F257" s="388"/>
      <c r="G257" s="31">
        <v>1</v>
      </c>
      <c r="H257" s="422"/>
      <c r="I257" s="419">
        <f t="shared" si="3"/>
        <v>0</v>
      </c>
    </row>
    <row r="258" spans="1:10" x14ac:dyDescent="0.35">
      <c r="A258" s="554" t="s">
        <v>128</v>
      </c>
      <c r="B258" s="62" t="s">
        <v>129</v>
      </c>
      <c r="C258" s="315"/>
      <c r="D258" s="62"/>
      <c r="E258" s="62">
        <v>55719</v>
      </c>
      <c r="F258" s="388"/>
      <c r="G258" s="31">
        <v>1</v>
      </c>
      <c r="H258" s="422"/>
      <c r="I258" s="419">
        <f t="shared" ref="I258:I270" si="4">+G258*H258</f>
        <v>0</v>
      </c>
    </row>
    <row r="259" spans="1:10" x14ac:dyDescent="0.35">
      <c r="A259" s="554" t="s">
        <v>161</v>
      </c>
      <c r="B259" s="62" t="s">
        <v>162</v>
      </c>
      <c r="C259" s="315"/>
      <c r="D259" s="62"/>
      <c r="E259" s="62">
        <v>55719</v>
      </c>
      <c r="F259" s="388"/>
      <c r="G259" s="31">
        <v>1</v>
      </c>
      <c r="H259" s="422"/>
      <c r="I259" s="419">
        <f t="shared" si="4"/>
        <v>0</v>
      </c>
    </row>
    <row r="260" spans="1:10" x14ac:dyDescent="0.35">
      <c r="A260" s="554" t="s">
        <v>130</v>
      </c>
      <c r="B260" s="62" t="s">
        <v>131</v>
      </c>
      <c r="C260" s="315"/>
      <c r="D260" s="62"/>
      <c r="E260" s="62">
        <v>55719</v>
      </c>
      <c r="F260" s="388"/>
      <c r="G260" s="31">
        <v>1</v>
      </c>
      <c r="H260" s="422"/>
      <c r="I260" s="419">
        <f t="shared" si="4"/>
        <v>0</v>
      </c>
    </row>
    <row r="261" spans="1:10" x14ac:dyDescent="0.35">
      <c r="A261" s="554" t="s">
        <v>299</v>
      </c>
      <c r="B261" s="62" t="s">
        <v>300</v>
      </c>
      <c r="C261" s="315"/>
      <c r="D261" s="62"/>
      <c r="E261" s="62">
        <v>55719</v>
      </c>
      <c r="F261" s="388"/>
      <c r="G261" s="31">
        <v>1</v>
      </c>
      <c r="H261" s="422"/>
      <c r="I261" s="419">
        <f t="shared" si="4"/>
        <v>0</v>
      </c>
    </row>
    <row r="262" spans="1:10" x14ac:dyDescent="0.35">
      <c r="A262" s="554" t="s">
        <v>120</v>
      </c>
      <c r="B262" s="62" t="s">
        <v>121</v>
      </c>
      <c r="C262" s="315"/>
      <c r="D262" s="62"/>
      <c r="E262" s="62">
        <v>55719</v>
      </c>
      <c r="F262" s="388"/>
      <c r="G262" s="31">
        <v>1</v>
      </c>
      <c r="H262" s="422"/>
      <c r="I262" s="419">
        <f t="shared" si="4"/>
        <v>0</v>
      </c>
    </row>
    <row r="263" spans="1:10" x14ac:dyDescent="0.35">
      <c r="A263" s="554" t="s">
        <v>126</v>
      </c>
      <c r="B263" s="62" t="s">
        <v>127</v>
      </c>
      <c r="C263" s="315"/>
      <c r="D263" s="62"/>
      <c r="E263" s="62">
        <v>55719</v>
      </c>
      <c r="F263" s="315"/>
      <c r="G263" s="31">
        <v>1</v>
      </c>
      <c r="H263" s="422"/>
      <c r="I263" s="419">
        <f t="shared" si="4"/>
        <v>0</v>
      </c>
    </row>
    <row r="264" spans="1:10" x14ac:dyDescent="0.35">
      <c r="A264" s="554" t="s">
        <v>1276</v>
      </c>
      <c r="B264" s="62" t="s">
        <v>298</v>
      </c>
      <c r="C264" s="315"/>
      <c r="D264" s="62"/>
      <c r="E264" s="62">
        <v>55719</v>
      </c>
      <c r="F264" s="340"/>
      <c r="G264" s="31">
        <v>1</v>
      </c>
      <c r="H264" s="422"/>
      <c r="I264" s="419">
        <f t="shared" si="4"/>
        <v>0</v>
      </c>
    </row>
    <row r="265" spans="1:10" x14ac:dyDescent="0.35">
      <c r="A265" s="554" t="s">
        <v>124</v>
      </c>
      <c r="B265" s="62" t="s">
        <v>125</v>
      </c>
      <c r="C265" s="315"/>
      <c r="D265" s="62"/>
      <c r="E265" s="62">
        <v>55719</v>
      </c>
      <c r="F265" s="388"/>
      <c r="G265" s="31">
        <v>1</v>
      </c>
      <c r="H265" s="422"/>
      <c r="I265" s="419">
        <f t="shared" si="4"/>
        <v>0</v>
      </c>
    </row>
    <row r="266" spans="1:10" x14ac:dyDescent="0.35">
      <c r="A266" s="554" t="s">
        <v>1277</v>
      </c>
      <c r="B266" s="62" t="s">
        <v>160</v>
      </c>
      <c r="C266" s="315"/>
      <c r="D266" s="62"/>
      <c r="E266" s="62">
        <v>55719</v>
      </c>
      <c r="F266" s="388"/>
      <c r="G266" s="31">
        <v>1</v>
      </c>
      <c r="H266" s="422"/>
      <c r="I266" s="419">
        <f t="shared" si="4"/>
        <v>0</v>
      </c>
    </row>
    <row r="267" spans="1:10" x14ac:dyDescent="0.35">
      <c r="A267" s="234" t="s">
        <v>1041</v>
      </c>
      <c r="B267" s="239" t="s">
        <v>241</v>
      </c>
      <c r="C267" s="315"/>
      <c r="D267" s="172"/>
      <c r="E267" s="172">
        <v>55719</v>
      </c>
      <c r="F267" s="388"/>
      <c r="G267" s="224">
        <v>1</v>
      </c>
      <c r="H267" s="425"/>
      <c r="I267" s="419">
        <f t="shared" si="4"/>
        <v>0</v>
      </c>
    </row>
    <row r="268" spans="1:10" x14ac:dyDescent="0.35">
      <c r="A268" s="554" t="s">
        <v>19</v>
      </c>
      <c r="B268" s="62" t="s">
        <v>242</v>
      </c>
      <c r="C268" s="315"/>
      <c r="D268" s="62"/>
      <c r="E268" s="62">
        <v>55719</v>
      </c>
      <c r="F268" s="388"/>
      <c r="G268" s="31">
        <v>2</v>
      </c>
      <c r="H268" s="422"/>
      <c r="I268" s="419">
        <f t="shared" si="4"/>
        <v>0</v>
      </c>
    </row>
    <row r="269" spans="1:10" x14ac:dyDescent="0.35">
      <c r="A269" s="554" t="s">
        <v>1362</v>
      </c>
      <c r="B269" s="62" t="s">
        <v>404</v>
      </c>
      <c r="C269" s="315"/>
      <c r="D269" s="62"/>
      <c r="E269" s="62">
        <v>55719</v>
      </c>
      <c r="F269" s="340"/>
      <c r="G269" s="31">
        <v>1</v>
      </c>
      <c r="H269" s="422"/>
      <c r="I269" s="419">
        <f t="shared" si="4"/>
        <v>0</v>
      </c>
    </row>
    <row r="270" spans="1:10" x14ac:dyDescent="0.35">
      <c r="A270" s="554" t="s">
        <v>1109</v>
      </c>
      <c r="B270" s="253" t="s">
        <v>340</v>
      </c>
      <c r="C270" s="315"/>
      <c r="D270" s="253"/>
      <c r="E270" s="253">
        <v>55719</v>
      </c>
      <c r="F270" s="388"/>
      <c r="G270" s="201">
        <v>1</v>
      </c>
      <c r="H270" s="422"/>
      <c r="I270" s="419">
        <f t="shared" si="4"/>
        <v>0</v>
      </c>
    </row>
    <row r="271" spans="1:10" x14ac:dyDescent="0.35">
      <c r="A271" s="555" t="s">
        <v>2381</v>
      </c>
      <c r="B271" s="244" t="s">
        <v>646</v>
      </c>
      <c r="C271" s="547"/>
      <c r="D271" s="244"/>
      <c r="E271" s="244">
        <v>55719</v>
      </c>
      <c r="F271" s="548"/>
      <c r="G271" s="556">
        <v>1</v>
      </c>
      <c r="H271" s="560"/>
      <c r="I271" s="565">
        <v>0</v>
      </c>
      <c r="J271" s="564"/>
    </row>
    <row r="272" spans="1:10" x14ac:dyDescent="0.35">
      <c r="A272" s="74"/>
      <c r="G272" s="81"/>
      <c r="H272" s="427"/>
    </row>
    <row r="273" spans="1:9" ht="17.5" x14ac:dyDescent="0.35">
      <c r="A273" s="309" t="s">
        <v>1528</v>
      </c>
      <c r="B273" s="312"/>
      <c r="C273" s="249"/>
      <c r="D273" s="3"/>
      <c r="E273" s="3"/>
      <c r="G273" s="3"/>
      <c r="H273" s="396"/>
      <c r="I273" s="406"/>
    </row>
    <row r="274" spans="1:9" ht="17.5" x14ac:dyDescent="0.35">
      <c r="A274" s="309" t="s">
        <v>2371</v>
      </c>
      <c r="B274" s="312"/>
      <c r="C274" s="249"/>
      <c r="D274" s="3"/>
      <c r="E274" s="3"/>
      <c r="G274" s="3"/>
      <c r="H274" s="396"/>
      <c r="I274" s="406"/>
    </row>
    <row r="275" spans="1:9" ht="17.5" x14ac:dyDescent="0.35">
      <c r="A275" s="322" t="s">
        <v>2640</v>
      </c>
      <c r="B275" s="201"/>
      <c r="G275" s="81"/>
    </row>
    <row r="276" spans="1:9" ht="17.5" x14ac:dyDescent="0.35">
      <c r="A276" s="319" t="s">
        <v>2694</v>
      </c>
      <c r="B276" s="413">
        <f>+I271</f>
        <v>0</v>
      </c>
      <c r="G276" s="81"/>
    </row>
    <row r="302" spans="1:9" s="4" customFormat="1" ht="17.5" x14ac:dyDescent="0.35">
      <c r="A302" s="81"/>
      <c r="B302" s="81"/>
      <c r="C302" s="81"/>
      <c r="D302" s="81"/>
      <c r="E302" s="81"/>
      <c r="F302" s="251"/>
      <c r="G302" s="74"/>
      <c r="H302" s="426"/>
      <c r="I302" s="426"/>
    </row>
    <row r="303" spans="1:9" s="4" customFormat="1" ht="17.5" x14ac:dyDescent="0.35">
      <c r="A303" s="81"/>
      <c r="B303" s="81"/>
      <c r="C303" s="81"/>
      <c r="D303" s="81"/>
      <c r="E303" s="81"/>
      <c r="F303" s="251"/>
      <c r="G303" s="74"/>
      <c r="H303" s="426"/>
      <c r="I303" s="426"/>
    </row>
    <row r="304" spans="1:9" ht="54" customHeight="1" x14ac:dyDescent="0.35"/>
    <row r="305" ht="26.25" customHeight="1" x14ac:dyDescent="0.35"/>
  </sheetData>
  <hyperlinks>
    <hyperlink ref="B255" r:id="rId1" xr:uid="{00000000-0004-0000-0600-000000000000}"/>
    <hyperlink ref="B260" r:id="rId2" xr:uid="{00000000-0004-0000-0600-000001000000}"/>
    <hyperlink ref="B258" r:id="rId3" xr:uid="{00000000-0004-0000-0600-000002000000}"/>
    <hyperlink ref="B263" r:id="rId4" xr:uid="{00000000-0004-0000-0600-000003000000}"/>
    <hyperlink ref="B257" r:id="rId5" display="VS16B" xr:uid="{00000000-0004-0000-0600-000004000000}"/>
    <hyperlink ref="B254" r:id="rId6" xr:uid="{00000000-0004-0000-0600-000005000000}"/>
    <hyperlink ref="B265" r:id="rId7" xr:uid="{00000000-0004-0000-0600-000006000000}"/>
    <hyperlink ref="B262" r:id="rId8" xr:uid="{00000000-0004-0000-0600-000007000000}"/>
  </hyperlinks>
  <pageMargins left="0.7" right="0.7" top="0.75" bottom="0.75" header="0.3" footer="0.3"/>
  <pageSetup scale="95" orientation="landscape" r:id="rId9"/>
  <tableParts count="1"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1"/>
  <sheetViews>
    <sheetView workbookViewId="0">
      <pane ySplit="1" topLeftCell="A85" activePane="bottomLeft" state="frozen"/>
      <selection activeCell="G1" sqref="G1:G1048576"/>
      <selection pane="bottomLeft" activeCell="E115" sqref="E115"/>
    </sheetView>
  </sheetViews>
  <sheetFormatPr defaultColWidth="9.08984375" defaultRowHeight="15.5" x14ac:dyDescent="0.35"/>
  <cols>
    <col min="1" max="1" width="63.90625" style="16" bestFit="1" customWidth="1"/>
    <col min="2" max="2" width="16.08984375" style="17" customWidth="1"/>
    <col min="3" max="3" width="21.1796875" style="17" customWidth="1"/>
    <col min="4" max="4" width="21.81640625" style="17" customWidth="1"/>
    <col min="5" max="5" width="14.36328125" style="17" customWidth="1"/>
    <col min="6" max="6" width="18" style="251" customWidth="1"/>
    <col min="7" max="7" width="11.90625" style="17" customWidth="1"/>
    <col min="8" max="8" width="13.08984375" style="412" customWidth="1"/>
    <col min="9" max="9" width="18.6328125" style="412" customWidth="1"/>
    <col min="10" max="16384" width="9.08984375" style="16"/>
  </cols>
  <sheetData>
    <row r="1" spans="1:9" x14ac:dyDescent="0.35">
      <c r="A1" s="13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61" t="s">
        <v>2699</v>
      </c>
      <c r="G1" s="13" t="s">
        <v>364</v>
      </c>
      <c r="H1" s="393" t="s">
        <v>2695</v>
      </c>
      <c r="I1" s="561" t="s">
        <v>2696</v>
      </c>
    </row>
    <row r="2" spans="1:9" x14ac:dyDescent="0.35">
      <c r="A2" s="139" t="s">
        <v>408</v>
      </c>
      <c r="B2" s="253" t="s">
        <v>1562</v>
      </c>
      <c r="C2" s="315"/>
      <c r="D2" s="253"/>
      <c r="E2" s="253">
        <v>55719</v>
      </c>
      <c r="F2" s="388"/>
      <c r="G2" s="252">
        <v>1</v>
      </c>
      <c r="H2" s="410"/>
      <c r="I2" s="562">
        <f t="shared" ref="I2:I33" si="0">+G2*H2</f>
        <v>0</v>
      </c>
    </row>
    <row r="3" spans="1:9" x14ac:dyDescent="0.35">
      <c r="A3" s="168" t="s">
        <v>1596</v>
      </c>
      <c r="B3" s="45" t="s">
        <v>553</v>
      </c>
      <c r="C3" s="315"/>
      <c r="D3" s="45"/>
      <c r="E3" s="45">
        <v>55719</v>
      </c>
      <c r="F3" s="388"/>
      <c r="G3" s="29">
        <v>1</v>
      </c>
      <c r="H3" s="428"/>
      <c r="I3" s="562">
        <f t="shared" si="0"/>
        <v>0</v>
      </c>
    </row>
    <row r="4" spans="1:9" x14ac:dyDescent="0.35">
      <c r="A4" s="8" t="s">
        <v>894</v>
      </c>
      <c r="B4" s="253" t="s">
        <v>441</v>
      </c>
      <c r="C4" s="315"/>
      <c r="D4" s="253"/>
      <c r="E4" s="253">
        <v>55719</v>
      </c>
      <c r="F4" s="388"/>
      <c r="G4" s="10">
        <v>1</v>
      </c>
      <c r="H4" s="429"/>
      <c r="I4" s="562">
        <f t="shared" si="0"/>
        <v>0</v>
      </c>
    </row>
    <row r="5" spans="1:9" s="74" customFormat="1" x14ac:dyDescent="0.35">
      <c r="A5" s="214" t="s">
        <v>1026</v>
      </c>
      <c r="B5" s="62" t="s">
        <v>336</v>
      </c>
      <c r="C5" s="315"/>
      <c r="D5" s="62"/>
      <c r="E5" s="62">
        <v>55719</v>
      </c>
      <c r="F5" s="388"/>
      <c r="G5" s="252">
        <v>1</v>
      </c>
      <c r="H5" s="410"/>
      <c r="I5" s="562">
        <f t="shared" si="0"/>
        <v>0</v>
      </c>
    </row>
    <row r="6" spans="1:9" x14ac:dyDescent="0.35">
      <c r="A6" s="8" t="s">
        <v>893</v>
      </c>
      <c r="B6" s="62" t="s">
        <v>149</v>
      </c>
      <c r="C6" s="315"/>
      <c r="D6" s="62"/>
      <c r="E6" s="62">
        <v>55719</v>
      </c>
      <c r="F6" s="388"/>
      <c r="G6" s="10">
        <v>1</v>
      </c>
      <c r="H6" s="429"/>
      <c r="I6" s="562">
        <f t="shared" si="0"/>
        <v>0</v>
      </c>
    </row>
    <row r="7" spans="1:9" x14ac:dyDescent="0.35">
      <c r="A7" s="8" t="s">
        <v>895</v>
      </c>
      <c r="B7" s="253" t="s">
        <v>357</v>
      </c>
      <c r="C7" s="315"/>
      <c r="D7" s="253"/>
      <c r="E7" s="253">
        <v>55719</v>
      </c>
      <c r="F7" s="388"/>
      <c r="G7" s="10">
        <v>1</v>
      </c>
      <c r="H7" s="429"/>
      <c r="I7" s="562">
        <f t="shared" si="0"/>
        <v>0</v>
      </c>
    </row>
    <row r="8" spans="1:9" x14ac:dyDescent="0.35">
      <c r="A8" s="61" t="s">
        <v>1024</v>
      </c>
      <c r="B8" s="253" t="s">
        <v>76</v>
      </c>
      <c r="C8" s="315"/>
      <c r="D8" s="253"/>
      <c r="E8" s="253">
        <v>55719</v>
      </c>
      <c r="F8" s="388"/>
      <c r="G8" s="252">
        <v>1</v>
      </c>
      <c r="H8" s="410"/>
      <c r="I8" s="562">
        <f t="shared" si="0"/>
        <v>0</v>
      </c>
    </row>
    <row r="9" spans="1:9" x14ac:dyDescent="0.35">
      <c r="A9" s="8" t="s">
        <v>1019</v>
      </c>
      <c r="B9" s="62" t="s">
        <v>90</v>
      </c>
      <c r="C9" s="315"/>
      <c r="D9" s="62"/>
      <c r="E9" s="62">
        <v>55719</v>
      </c>
      <c r="F9" s="388"/>
      <c r="G9" s="10">
        <v>2</v>
      </c>
      <c r="H9" s="429"/>
      <c r="I9" s="562">
        <f t="shared" si="0"/>
        <v>0</v>
      </c>
    </row>
    <row r="10" spans="1:9" x14ac:dyDescent="0.35">
      <c r="A10" s="61" t="s">
        <v>1122</v>
      </c>
      <c r="B10" s="62" t="s">
        <v>706</v>
      </c>
      <c r="C10" s="315"/>
      <c r="D10" s="62"/>
      <c r="E10" s="62">
        <v>55719</v>
      </c>
      <c r="F10" s="388"/>
      <c r="G10" s="252">
        <v>1</v>
      </c>
      <c r="H10" s="410"/>
      <c r="I10" s="562">
        <f t="shared" si="0"/>
        <v>0</v>
      </c>
    </row>
    <row r="11" spans="1:9" x14ac:dyDescent="0.35">
      <c r="A11" s="166" t="s">
        <v>883</v>
      </c>
      <c r="B11" s="62" t="s">
        <v>235</v>
      </c>
      <c r="C11" s="315"/>
      <c r="D11" s="62"/>
      <c r="E11" s="62">
        <v>55719</v>
      </c>
      <c r="F11" s="388"/>
      <c r="G11" s="10">
        <v>1</v>
      </c>
      <c r="H11" s="429"/>
      <c r="I11" s="562">
        <f t="shared" si="0"/>
        <v>0</v>
      </c>
    </row>
    <row r="12" spans="1:9" x14ac:dyDescent="0.35">
      <c r="A12" s="167" t="s">
        <v>980</v>
      </c>
      <c r="B12" s="30" t="s">
        <v>236</v>
      </c>
      <c r="C12" s="315"/>
      <c r="D12" s="62"/>
      <c r="E12" s="62">
        <v>55719</v>
      </c>
      <c r="F12" s="388"/>
      <c r="G12" s="10">
        <v>1</v>
      </c>
      <c r="H12" s="429"/>
      <c r="I12" s="562">
        <f t="shared" si="0"/>
        <v>0</v>
      </c>
    </row>
    <row r="13" spans="1:9" x14ac:dyDescent="0.35">
      <c r="A13" s="8" t="s">
        <v>970</v>
      </c>
      <c r="B13" s="253" t="s">
        <v>230</v>
      </c>
      <c r="C13" s="315"/>
      <c r="D13" s="62"/>
      <c r="E13" s="62">
        <v>55719</v>
      </c>
      <c r="F13" s="388"/>
      <c r="G13" s="10">
        <v>1</v>
      </c>
      <c r="H13" s="429"/>
      <c r="I13" s="562">
        <f t="shared" si="0"/>
        <v>0</v>
      </c>
    </row>
    <row r="14" spans="1:9" x14ac:dyDescent="0.35">
      <c r="A14" s="8" t="s">
        <v>874</v>
      </c>
      <c r="B14" s="62" t="s">
        <v>206</v>
      </c>
      <c r="C14" s="315"/>
      <c r="D14" s="62"/>
      <c r="E14" s="62">
        <v>55719</v>
      </c>
      <c r="F14" s="388"/>
      <c r="G14" s="10">
        <v>1</v>
      </c>
      <c r="H14" s="429"/>
      <c r="I14" s="562">
        <f t="shared" si="0"/>
        <v>0</v>
      </c>
    </row>
    <row r="15" spans="1:9" x14ac:dyDescent="0.35">
      <c r="A15" s="8" t="s">
        <v>873</v>
      </c>
      <c r="B15" s="62" t="s">
        <v>217</v>
      </c>
      <c r="C15" s="315"/>
      <c r="D15" s="62"/>
      <c r="E15" s="62">
        <v>55719</v>
      </c>
      <c r="F15" s="388"/>
      <c r="G15" s="10">
        <v>1</v>
      </c>
      <c r="H15" s="429"/>
      <c r="I15" s="562">
        <f t="shared" si="0"/>
        <v>0</v>
      </c>
    </row>
    <row r="16" spans="1:9" x14ac:dyDescent="0.35">
      <c r="A16" s="214" t="s">
        <v>1111</v>
      </c>
      <c r="B16" s="62" t="s">
        <v>341</v>
      </c>
      <c r="C16" s="315"/>
      <c r="D16" s="62"/>
      <c r="E16" s="62">
        <v>55719</v>
      </c>
      <c r="F16" s="388"/>
      <c r="G16" s="252">
        <v>1</v>
      </c>
      <c r="H16" s="410"/>
      <c r="I16" s="562">
        <f t="shared" si="0"/>
        <v>0</v>
      </c>
    </row>
    <row r="17" spans="1:9" x14ac:dyDescent="0.35">
      <c r="A17" s="8" t="s">
        <v>880</v>
      </c>
      <c r="B17" s="62" t="s">
        <v>366</v>
      </c>
      <c r="C17" s="315"/>
      <c r="D17" s="62"/>
      <c r="E17" s="62">
        <v>55719</v>
      </c>
      <c r="F17" s="388"/>
      <c r="G17" s="10">
        <v>1</v>
      </c>
      <c r="H17" s="429"/>
      <c r="I17" s="562">
        <f t="shared" si="0"/>
        <v>0</v>
      </c>
    </row>
    <row r="18" spans="1:9" x14ac:dyDescent="0.35">
      <c r="A18" s="8" t="s">
        <v>878</v>
      </c>
      <c r="B18" s="62" t="s">
        <v>94</v>
      </c>
      <c r="C18" s="315"/>
      <c r="D18" s="62"/>
      <c r="E18" s="62">
        <v>55719</v>
      </c>
      <c r="F18" s="388"/>
      <c r="G18" s="10">
        <v>1</v>
      </c>
      <c r="H18" s="429"/>
      <c r="I18" s="562">
        <f t="shared" si="0"/>
        <v>0</v>
      </c>
    </row>
    <row r="19" spans="1:9" x14ac:dyDescent="0.35">
      <c r="A19" s="8" t="s">
        <v>872</v>
      </c>
      <c r="B19" s="62" t="s">
        <v>367</v>
      </c>
      <c r="C19" s="315"/>
      <c r="D19" s="62"/>
      <c r="E19" s="62">
        <v>55719</v>
      </c>
      <c r="F19" s="388"/>
      <c r="G19" s="10">
        <v>1</v>
      </c>
      <c r="H19" s="429"/>
      <c r="I19" s="562">
        <f t="shared" si="0"/>
        <v>0</v>
      </c>
    </row>
    <row r="20" spans="1:9" x14ac:dyDescent="0.35">
      <c r="A20" s="8" t="s">
        <v>876</v>
      </c>
      <c r="B20" s="62" t="s">
        <v>368</v>
      </c>
      <c r="C20" s="315"/>
      <c r="D20" s="62"/>
      <c r="E20" s="62">
        <v>55719</v>
      </c>
      <c r="F20" s="388"/>
      <c r="G20" s="10">
        <v>1</v>
      </c>
      <c r="H20" s="429"/>
      <c r="I20" s="562">
        <f t="shared" si="0"/>
        <v>0</v>
      </c>
    </row>
    <row r="21" spans="1:9" x14ac:dyDescent="0.35">
      <c r="A21" s="61" t="s">
        <v>972</v>
      </c>
      <c r="B21" s="62" t="s">
        <v>175</v>
      </c>
      <c r="C21" s="315"/>
      <c r="D21" s="62"/>
      <c r="E21" s="62">
        <v>55719</v>
      </c>
      <c r="F21" s="388"/>
      <c r="G21" s="252">
        <v>1</v>
      </c>
      <c r="H21" s="410"/>
      <c r="I21" s="562">
        <f t="shared" si="0"/>
        <v>0</v>
      </c>
    </row>
    <row r="22" spans="1:9" x14ac:dyDescent="0.35">
      <c r="A22" s="8" t="s">
        <v>879</v>
      </c>
      <c r="B22" s="62" t="s">
        <v>369</v>
      </c>
      <c r="C22" s="315"/>
      <c r="D22" s="62"/>
      <c r="E22" s="62">
        <v>55719</v>
      </c>
      <c r="F22" s="388"/>
      <c r="G22" s="10">
        <v>1</v>
      </c>
      <c r="H22" s="429"/>
      <c r="I22" s="562">
        <f t="shared" si="0"/>
        <v>0</v>
      </c>
    </row>
    <row r="23" spans="1:9" x14ac:dyDescent="0.35">
      <c r="A23" s="8" t="s">
        <v>1180</v>
      </c>
      <c r="B23" s="62" t="s">
        <v>370</v>
      </c>
      <c r="C23" s="315"/>
      <c r="D23" s="62"/>
      <c r="E23" s="62">
        <v>55719</v>
      </c>
      <c r="F23" s="388"/>
      <c r="G23" s="10">
        <v>1</v>
      </c>
      <c r="H23" s="429"/>
      <c r="I23" s="562">
        <f t="shared" si="0"/>
        <v>0</v>
      </c>
    </row>
    <row r="24" spans="1:9" x14ac:dyDescent="0.35">
      <c r="A24" s="8" t="s">
        <v>871</v>
      </c>
      <c r="B24" s="62" t="s">
        <v>95</v>
      </c>
      <c r="C24" s="315"/>
      <c r="D24" s="62"/>
      <c r="E24" s="62">
        <v>55719</v>
      </c>
      <c r="F24" s="388"/>
      <c r="G24" s="10">
        <v>1</v>
      </c>
      <c r="H24" s="429"/>
      <c r="I24" s="562">
        <f t="shared" si="0"/>
        <v>0</v>
      </c>
    </row>
    <row r="25" spans="1:9" s="108" customFormat="1" x14ac:dyDescent="0.35">
      <c r="A25" s="202" t="s">
        <v>2339</v>
      </c>
      <c r="B25" s="201" t="s">
        <v>2340</v>
      </c>
      <c r="C25" s="315"/>
      <c r="D25" s="201"/>
      <c r="E25" s="201">
        <v>55719</v>
      </c>
      <c r="F25" s="388"/>
      <c r="G25" s="201">
        <v>1</v>
      </c>
      <c r="H25" s="422"/>
      <c r="I25" s="562">
        <f t="shared" si="0"/>
        <v>0</v>
      </c>
    </row>
    <row r="26" spans="1:9" x14ac:dyDescent="0.35">
      <c r="A26" s="61" t="s">
        <v>1721</v>
      </c>
      <c r="B26" s="253" t="s">
        <v>1723</v>
      </c>
      <c r="C26" s="315"/>
      <c r="D26" s="253"/>
      <c r="E26" s="253">
        <v>55719</v>
      </c>
      <c r="F26" s="388"/>
      <c r="G26" s="252">
        <v>1</v>
      </c>
      <c r="H26" s="410"/>
      <c r="I26" s="562">
        <f t="shared" si="0"/>
        <v>0</v>
      </c>
    </row>
    <row r="27" spans="1:9" x14ac:dyDescent="0.35">
      <c r="A27" s="61" t="s">
        <v>1720</v>
      </c>
      <c r="B27" s="62" t="s">
        <v>1724</v>
      </c>
      <c r="C27" s="315"/>
      <c r="D27" s="62"/>
      <c r="E27" s="62">
        <v>55719</v>
      </c>
      <c r="F27" s="388"/>
      <c r="G27" s="252">
        <v>1</v>
      </c>
      <c r="H27" s="410"/>
      <c r="I27" s="562">
        <f t="shared" si="0"/>
        <v>0</v>
      </c>
    </row>
    <row r="28" spans="1:9" x14ac:dyDescent="0.35">
      <c r="A28" s="214" t="s">
        <v>38</v>
      </c>
      <c r="B28" s="62" t="s">
        <v>200</v>
      </c>
      <c r="C28" s="315"/>
      <c r="D28" s="62"/>
      <c r="E28" s="62">
        <v>55719</v>
      </c>
      <c r="F28" s="388"/>
      <c r="G28" s="252">
        <v>1</v>
      </c>
      <c r="H28" s="410"/>
      <c r="I28" s="562">
        <f t="shared" si="0"/>
        <v>0</v>
      </c>
    </row>
    <row r="29" spans="1:9" x14ac:dyDescent="0.35">
      <c r="A29" s="8" t="s">
        <v>107</v>
      </c>
      <c r="B29" s="62" t="s">
        <v>507</v>
      </c>
      <c r="C29" s="315"/>
      <c r="D29" s="62"/>
      <c r="E29" s="62">
        <v>55719</v>
      </c>
      <c r="F29" s="388"/>
      <c r="G29" s="10">
        <v>1</v>
      </c>
      <c r="H29" s="429"/>
      <c r="I29" s="562">
        <f t="shared" si="0"/>
        <v>0</v>
      </c>
    </row>
    <row r="30" spans="1:9" x14ac:dyDescent="0.35">
      <c r="A30" s="8" t="s">
        <v>6</v>
      </c>
      <c r="B30" s="62" t="s">
        <v>87</v>
      </c>
      <c r="C30" s="315"/>
      <c r="D30" s="62"/>
      <c r="E30" s="62">
        <v>55719</v>
      </c>
      <c r="F30" s="388"/>
      <c r="G30" s="10">
        <v>1</v>
      </c>
      <c r="H30" s="429"/>
      <c r="I30" s="562">
        <f t="shared" si="0"/>
        <v>0</v>
      </c>
    </row>
    <row r="31" spans="1:9" x14ac:dyDescent="0.35">
      <c r="A31" s="8" t="s">
        <v>293</v>
      </c>
      <c r="B31" s="62" t="s">
        <v>42</v>
      </c>
      <c r="C31" s="315"/>
      <c r="D31" s="62"/>
      <c r="E31" s="62">
        <v>55719</v>
      </c>
      <c r="F31" s="388"/>
      <c r="G31" s="252">
        <v>1</v>
      </c>
      <c r="H31" s="430"/>
      <c r="I31" s="562">
        <f t="shared" si="0"/>
        <v>0</v>
      </c>
    </row>
    <row r="32" spans="1:9" x14ac:dyDescent="0.35">
      <c r="A32" s="61" t="s">
        <v>3</v>
      </c>
      <c r="B32" s="62" t="s">
        <v>414</v>
      </c>
      <c r="C32" s="315"/>
      <c r="D32" s="62"/>
      <c r="E32" s="62">
        <v>55719</v>
      </c>
      <c r="F32" s="388"/>
      <c r="G32" s="252">
        <v>1</v>
      </c>
      <c r="H32" s="410"/>
      <c r="I32" s="562">
        <f t="shared" si="0"/>
        <v>0</v>
      </c>
    </row>
    <row r="33" spans="1:9" x14ac:dyDescent="0.35">
      <c r="A33" s="8" t="s">
        <v>1725</v>
      </c>
      <c r="B33" s="62" t="s">
        <v>1726</v>
      </c>
      <c r="C33" s="315"/>
      <c r="D33" s="62"/>
      <c r="E33" s="62">
        <v>55719</v>
      </c>
      <c r="F33" s="388"/>
      <c r="G33" s="10">
        <v>1</v>
      </c>
      <c r="H33" s="429"/>
      <c r="I33" s="562">
        <f t="shared" si="0"/>
        <v>0</v>
      </c>
    </row>
    <row r="34" spans="1:9" x14ac:dyDescent="0.35">
      <c r="A34" s="8" t="s">
        <v>739</v>
      </c>
      <c r="B34" s="62" t="s">
        <v>454</v>
      </c>
      <c r="C34" s="315"/>
      <c r="D34" s="62"/>
      <c r="E34" s="62">
        <v>55719</v>
      </c>
      <c r="F34" s="388"/>
      <c r="G34" s="252">
        <v>1</v>
      </c>
      <c r="H34" s="430"/>
      <c r="I34" s="562">
        <f t="shared" ref="I34:I65" si="1">+G34*H34</f>
        <v>0</v>
      </c>
    </row>
    <row r="35" spans="1:9" x14ac:dyDescent="0.35">
      <c r="A35" s="8" t="s">
        <v>1306</v>
      </c>
      <c r="B35" s="253" t="s">
        <v>515</v>
      </c>
      <c r="C35" s="315"/>
      <c r="D35" s="253"/>
      <c r="E35" s="253">
        <v>55719</v>
      </c>
      <c r="F35" s="388"/>
      <c r="G35" s="10">
        <v>1</v>
      </c>
      <c r="H35" s="429"/>
      <c r="I35" s="562">
        <f t="shared" si="1"/>
        <v>0</v>
      </c>
    </row>
    <row r="36" spans="1:9" x14ac:dyDescent="0.35">
      <c r="A36" s="214" t="s">
        <v>159</v>
      </c>
      <c r="B36" s="253" t="s">
        <v>427</v>
      </c>
      <c r="C36" s="315"/>
      <c r="D36" s="62"/>
      <c r="E36" s="62">
        <v>55719</v>
      </c>
      <c r="F36" s="388"/>
      <c r="G36" s="252">
        <v>1</v>
      </c>
      <c r="H36" s="410"/>
      <c r="I36" s="562">
        <f t="shared" si="1"/>
        <v>0</v>
      </c>
    </row>
    <row r="37" spans="1:9" x14ac:dyDescent="0.35">
      <c r="A37" s="8" t="s">
        <v>52</v>
      </c>
      <c r="B37" s="62" t="s">
        <v>2445</v>
      </c>
      <c r="C37" s="315"/>
      <c r="D37" s="62"/>
      <c r="E37" s="62">
        <v>55719</v>
      </c>
      <c r="F37" s="388"/>
      <c r="G37" s="10">
        <v>1</v>
      </c>
      <c r="H37" s="429"/>
      <c r="I37" s="562">
        <f t="shared" si="1"/>
        <v>0</v>
      </c>
    </row>
    <row r="38" spans="1:9" x14ac:dyDescent="0.35">
      <c r="A38" s="8" t="s">
        <v>53</v>
      </c>
      <c r="B38" s="62" t="s">
        <v>472</v>
      </c>
      <c r="C38" s="315"/>
      <c r="D38" s="62"/>
      <c r="E38" s="62">
        <v>55719</v>
      </c>
      <c r="F38" s="388"/>
      <c r="G38" s="10">
        <v>1</v>
      </c>
      <c r="H38" s="429"/>
      <c r="I38" s="562">
        <f t="shared" si="1"/>
        <v>0</v>
      </c>
    </row>
    <row r="39" spans="1:9" x14ac:dyDescent="0.35">
      <c r="A39" s="169" t="s">
        <v>1285</v>
      </c>
      <c r="B39" s="45" t="s">
        <v>636</v>
      </c>
      <c r="C39" s="315"/>
      <c r="D39" s="45"/>
      <c r="E39" s="45">
        <v>55719</v>
      </c>
      <c r="F39" s="388"/>
      <c r="G39" s="29">
        <v>1</v>
      </c>
      <c r="H39" s="428"/>
      <c r="I39" s="562">
        <f t="shared" si="1"/>
        <v>0</v>
      </c>
    </row>
    <row r="40" spans="1:9" x14ac:dyDescent="0.35">
      <c r="A40" s="8" t="s">
        <v>1760</v>
      </c>
      <c r="B40" s="253" t="s">
        <v>311</v>
      </c>
      <c r="C40" s="315"/>
      <c r="D40" s="253"/>
      <c r="E40" s="253">
        <v>55719</v>
      </c>
      <c r="F40" s="388"/>
      <c r="G40" s="10">
        <v>1</v>
      </c>
      <c r="H40" s="429"/>
      <c r="I40" s="562">
        <f t="shared" si="1"/>
        <v>0</v>
      </c>
    </row>
    <row r="41" spans="1:9" x14ac:dyDescent="0.35">
      <c r="A41" s="8" t="s">
        <v>1011</v>
      </c>
      <c r="B41" s="62" t="s">
        <v>282</v>
      </c>
      <c r="C41" s="315"/>
      <c r="D41" s="62"/>
      <c r="E41" s="62">
        <v>55719</v>
      </c>
      <c r="F41" s="388"/>
      <c r="G41" s="10">
        <v>1</v>
      </c>
      <c r="H41" s="429"/>
      <c r="I41" s="562">
        <f t="shared" si="1"/>
        <v>0</v>
      </c>
    </row>
    <row r="42" spans="1:9" x14ac:dyDescent="0.35">
      <c r="A42" s="8" t="s">
        <v>1007</v>
      </c>
      <c r="B42" s="62" t="s">
        <v>313</v>
      </c>
      <c r="C42" s="315"/>
      <c r="D42" s="62"/>
      <c r="E42" s="62">
        <v>55719</v>
      </c>
      <c r="F42" s="388"/>
      <c r="G42" s="10">
        <v>1</v>
      </c>
      <c r="H42" s="429"/>
      <c r="I42" s="562">
        <f t="shared" si="1"/>
        <v>0</v>
      </c>
    </row>
    <row r="43" spans="1:9" x14ac:dyDescent="0.35">
      <c r="A43" s="8" t="s">
        <v>1014</v>
      </c>
      <c r="B43" s="62" t="s">
        <v>314</v>
      </c>
      <c r="C43" s="315"/>
      <c r="D43" s="62"/>
      <c r="E43" s="62">
        <v>55719</v>
      </c>
      <c r="F43" s="388"/>
      <c r="G43" s="10">
        <v>1</v>
      </c>
      <c r="H43" s="429"/>
      <c r="I43" s="562">
        <f t="shared" si="1"/>
        <v>0</v>
      </c>
    </row>
    <row r="44" spans="1:9" x14ac:dyDescent="0.35">
      <c r="A44" s="8" t="s">
        <v>1008</v>
      </c>
      <c r="B44" s="253" t="s">
        <v>173</v>
      </c>
      <c r="C44" s="315"/>
      <c r="D44" s="253"/>
      <c r="E44" s="253">
        <v>55719</v>
      </c>
      <c r="F44" s="388"/>
      <c r="G44" s="10">
        <v>1</v>
      </c>
      <c r="H44" s="429"/>
      <c r="I44" s="562">
        <f t="shared" si="1"/>
        <v>0</v>
      </c>
    </row>
    <row r="45" spans="1:9" x14ac:dyDescent="0.35">
      <c r="A45" s="8" t="s">
        <v>899</v>
      </c>
      <c r="B45" s="253" t="s">
        <v>281</v>
      </c>
      <c r="C45" s="315"/>
      <c r="D45" s="62"/>
      <c r="E45" s="253">
        <v>55719</v>
      </c>
      <c r="F45" s="388"/>
      <c r="G45" s="10">
        <v>1</v>
      </c>
      <c r="H45" s="429"/>
      <c r="I45" s="562">
        <f t="shared" si="1"/>
        <v>0</v>
      </c>
    </row>
    <row r="46" spans="1:9" x14ac:dyDescent="0.35">
      <c r="A46" s="8" t="s">
        <v>1759</v>
      </c>
      <c r="B46" s="62" t="s">
        <v>280</v>
      </c>
      <c r="C46" s="315"/>
      <c r="D46" s="62"/>
      <c r="E46" s="62">
        <v>55719</v>
      </c>
      <c r="F46" s="388"/>
      <c r="G46" s="10">
        <v>1</v>
      </c>
      <c r="H46" s="429"/>
      <c r="I46" s="562">
        <f t="shared" si="1"/>
        <v>0</v>
      </c>
    </row>
    <row r="47" spans="1:9" x14ac:dyDescent="0.35">
      <c r="A47" s="8" t="s">
        <v>2334</v>
      </c>
      <c r="B47" s="253" t="s">
        <v>284</v>
      </c>
      <c r="C47" s="315"/>
      <c r="D47" s="253"/>
      <c r="E47" s="253">
        <v>55719</v>
      </c>
      <c r="F47" s="388"/>
      <c r="G47" s="10">
        <v>1</v>
      </c>
      <c r="H47" s="429"/>
      <c r="I47" s="562">
        <f t="shared" si="1"/>
        <v>0</v>
      </c>
    </row>
    <row r="48" spans="1:9" x14ac:dyDescent="0.35">
      <c r="A48" s="8" t="s">
        <v>1009</v>
      </c>
      <c r="B48" s="62" t="s">
        <v>320</v>
      </c>
      <c r="C48" s="315"/>
      <c r="D48" s="62"/>
      <c r="E48" s="62">
        <v>55719</v>
      </c>
      <c r="F48" s="388"/>
      <c r="G48" s="10">
        <v>1</v>
      </c>
      <c r="H48" s="429"/>
      <c r="I48" s="562">
        <f t="shared" si="1"/>
        <v>0</v>
      </c>
    </row>
    <row r="49" spans="1:9" x14ac:dyDescent="0.35">
      <c r="A49" s="8" t="s">
        <v>2344</v>
      </c>
      <c r="B49" s="62" t="s">
        <v>279</v>
      </c>
      <c r="C49" s="315"/>
      <c r="D49" s="62"/>
      <c r="E49" s="62">
        <v>55719</v>
      </c>
      <c r="F49" s="388"/>
      <c r="G49" s="10">
        <v>1</v>
      </c>
      <c r="H49" s="429"/>
      <c r="I49" s="562">
        <f t="shared" si="1"/>
        <v>0</v>
      </c>
    </row>
    <row r="50" spans="1:9" x14ac:dyDescent="0.35">
      <c r="A50" s="8" t="s">
        <v>731</v>
      </c>
      <c r="B50" s="62" t="s">
        <v>492</v>
      </c>
      <c r="C50" s="315"/>
      <c r="D50" s="62"/>
      <c r="E50" s="62">
        <v>55719</v>
      </c>
      <c r="F50" s="315"/>
      <c r="G50" s="10">
        <v>1</v>
      </c>
      <c r="H50" s="429"/>
      <c r="I50" s="562">
        <f t="shared" si="1"/>
        <v>0</v>
      </c>
    </row>
    <row r="51" spans="1:9" x14ac:dyDescent="0.35">
      <c r="A51" s="168" t="s">
        <v>1334</v>
      </c>
      <c r="B51" s="62" t="s">
        <v>575</v>
      </c>
      <c r="C51" s="315"/>
      <c r="D51" s="62"/>
      <c r="E51" s="62">
        <v>55719</v>
      </c>
      <c r="F51" s="340"/>
      <c r="G51" s="10">
        <v>1</v>
      </c>
      <c r="H51" s="429"/>
      <c r="I51" s="562">
        <f t="shared" si="1"/>
        <v>0</v>
      </c>
    </row>
    <row r="52" spans="1:9" x14ac:dyDescent="0.35">
      <c r="A52" s="8" t="s">
        <v>1348</v>
      </c>
      <c r="B52" s="62" t="s">
        <v>518</v>
      </c>
      <c r="C52" s="315"/>
      <c r="D52" s="62"/>
      <c r="E52" s="62">
        <v>55719</v>
      </c>
      <c r="F52" s="388"/>
      <c r="G52" s="10">
        <v>1</v>
      </c>
      <c r="H52" s="429"/>
      <c r="I52" s="562">
        <f t="shared" si="1"/>
        <v>0</v>
      </c>
    </row>
    <row r="53" spans="1:9" x14ac:dyDescent="0.35">
      <c r="A53" s="138" t="s">
        <v>1337</v>
      </c>
      <c r="B53" s="62" t="s">
        <v>572</v>
      </c>
      <c r="C53" s="315"/>
      <c r="D53" s="62"/>
      <c r="E53" s="62">
        <v>55719</v>
      </c>
      <c r="F53" s="314"/>
      <c r="G53" s="10">
        <v>1</v>
      </c>
      <c r="H53" s="429"/>
      <c r="I53" s="562">
        <f t="shared" si="1"/>
        <v>0</v>
      </c>
    </row>
    <row r="54" spans="1:9" x14ac:dyDescent="0.35">
      <c r="A54" s="138" t="s">
        <v>1338</v>
      </c>
      <c r="B54" s="62" t="s">
        <v>461</v>
      </c>
      <c r="C54" s="315"/>
      <c r="D54" s="62"/>
      <c r="E54" s="62">
        <v>55719</v>
      </c>
      <c r="F54" s="314"/>
      <c r="G54" s="10">
        <v>1</v>
      </c>
      <c r="H54" s="429"/>
      <c r="I54" s="562">
        <f t="shared" si="1"/>
        <v>0</v>
      </c>
    </row>
    <row r="55" spans="1:9" x14ac:dyDescent="0.35">
      <c r="A55" s="563" t="s">
        <v>1339</v>
      </c>
      <c r="B55" s="62" t="s">
        <v>567</v>
      </c>
      <c r="C55" s="315"/>
      <c r="D55" s="62"/>
      <c r="E55" s="62">
        <v>55719</v>
      </c>
      <c r="F55" s="314"/>
      <c r="G55" s="10">
        <v>1</v>
      </c>
      <c r="H55" s="429"/>
      <c r="I55" s="562">
        <f t="shared" si="1"/>
        <v>0</v>
      </c>
    </row>
    <row r="56" spans="1:9" x14ac:dyDescent="0.35">
      <c r="A56" s="138" t="s">
        <v>1340</v>
      </c>
      <c r="B56" s="62" t="s">
        <v>568</v>
      </c>
      <c r="C56" s="315"/>
      <c r="D56" s="62"/>
      <c r="E56" s="62">
        <v>55719</v>
      </c>
      <c r="F56" s="314"/>
      <c r="G56" s="10">
        <v>1</v>
      </c>
      <c r="H56" s="429"/>
      <c r="I56" s="562">
        <f t="shared" si="1"/>
        <v>0</v>
      </c>
    </row>
    <row r="57" spans="1:9" x14ac:dyDescent="0.35">
      <c r="A57" s="138" t="s">
        <v>1341</v>
      </c>
      <c r="B57" s="62" t="s">
        <v>462</v>
      </c>
      <c r="C57" s="315"/>
      <c r="D57" s="62"/>
      <c r="E57" s="62">
        <v>55719</v>
      </c>
      <c r="F57" s="314"/>
      <c r="G57" s="10">
        <v>1</v>
      </c>
      <c r="H57" s="429"/>
      <c r="I57" s="562">
        <f t="shared" si="1"/>
        <v>0</v>
      </c>
    </row>
    <row r="58" spans="1:9" x14ac:dyDescent="0.35">
      <c r="A58" s="138" t="s">
        <v>1342</v>
      </c>
      <c r="B58" s="62" t="s">
        <v>569</v>
      </c>
      <c r="C58" s="315"/>
      <c r="D58" s="62"/>
      <c r="E58" s="62">
        <v>55719</v>
      </c>
      <c r="F58" s="314"/>
      <c r="G58" s="10">
        <v>1</v>
      </c>
      <c r="H58" s="429"/>
      <c r="I58" s="562">
        <f t="shared" si="1"/>
        <v>0</v>
      </c>
    </row>
    <row r="59" spans="1:9" x14ac:dyDescent="0.35">
      <c r="A59" s="138" t="s">
        <v>1343</v>
      </c>
      <c r="B59" s="62" t="s">
        <v>570</v>
      </c>
      <c r="C59" s="315"/>
      <c r="D59" s="62"/>
      <c r="E59" s="62">
        <v>55719</v>
      </c>
      <c r="F59" s="314"/>
      <c r="G59" s="10">
        <v>1</v>
      </c>
      <c r="H59" s="429"/>
      <c r="I59" s="562">
        <f t="shared" si="1"/>
        <v>0</v>
      </c>
    </row>
    <row r="60" spans="1:9" x14ac:dyDescent="0.35">
      <c r="A60" s="138" t="s">
        <v>1344</v>
      </c>
      <c r="B60" s="62" t="s">
        <v>571</v>
      </c>
      <c r="C60" s="315"/>
      <c r="D60" s="62"/>
      <c r="E60" s="62">
        <v>55719</v>
      </c>
      <c r="F60" s="314"/>
      <c r="G60" s="10">
        <v>1</v>
      </c>
      <c r="H60" s="429"/>
      <c r="I60" s="562">
        <f t="shared" si="1"/>
        <v>0</v>
      </c>
    </row>
    <row r="61" spans="1:9" x14ac:dyDescent="0.35">
      <c r="A61" s="138" t="s">
        <v>1345</v>
      </c>
      <c r="B61" s="62" t="s">
        <v>522</v>
      </c>
      <c r="C61" s="315"/>
      <c r="D61" s="62"/>
      <c r="E61" s="62">
        <v>55719</v>
      </c>
      <c r="F61" s="314"/>
      <c r="G61" s="10">
        <v>1</v>
      </c>
      <c r="H61" s="429"/>
      <c r="I61" s="562">
        <f t="shared" si="1"/>
        <v>0</v>
      </c>
    </row>
    <row r="62" spans="1:9" x14ac:dyDescent="0.35">
      <c r="A62" s="8" t="s">
        <v>885</v>
      </c>
      <c r="B62" s="62" t="s">
        <v>229</v>
      </c>
      <c r="C62" s="315"/>
      <c r="D62" s="62"/>
      <c r="E62" s="62">
        <v>55719</v>
      </c>
      <c r="F62" s="314"/>
      <c r="G62" s="10">
        <v>1</v>
      </c>
      <c r="H62" s="429"/>
      <c r="I62" s="562">
        <f t="shared" si="1"/>
        <v>0</v>
      </c>
    </row>
    <row r="63" spans="1:9" x14ac:dyDescent="0.35">
      <c r="A63" s="214" t="s">
        <v>2548</v>
      </c>
      <c r="B63" s="62" t="s">
        <v>208</v>
      </c>
      <c r="C63" s="315"/>
      <c r="D63" s="62"/>
      <c r="E63" s="62">
        <v>55719</v>
      </c>
      <c r="F63" s="314"/>
      <c r="G63" s="252">
        <v>1</v>
      </c>
      <c r="H63" s="410"/>
      <c r="I63" s="562">
        <f t="shared" si="1"/>
        <v>0</v>
      </c>
    </row>
    <row r="64" spans="1:9" x14ac:dyDescent="0.35">
      <c r="A64" s="214" t="s">
        <v>2546</v>
      </c>
      <c r="B64" s="62" t="s">
        <v>209</v>
      </c>
      <c r="C64" s="315"/>
      <c r="D64" s="62"/>
      <c r="E64" s="62">
        <v>55719</v>
      </c>
      <c r="F64" s="314"/>
      <c r="G64" s="252">
        <v>1</v>
      </c>
      <c r="H64" s="410"/>
      <c r="I64" s="562">
        <f t="shared" si="1"/>
        <v>0</v>
      </c>
    </row>
    <row r="65" spans="1:9" x14ac:dyDescent="0.35">
      <c r="A65" s="214" t="s">
        <v>2547</v>
      </c>
      <c r="B65" s="253" t="s">
        <v>210</v>
      </c>
      <c r="C65" s="315"/>
      <c r="D65" s="253"/>
      <c r="E65" s="253">
        <v>55719</v>
      </c>
      <c r="F65" s="314"/>
      <c r="G65" s="252">
        <v>1</v>
      </c>
      <c r="H65" s="410"/>
      <c r="I65" s="562">
        <f t="shared" si="1"/>
        <v>0</v>
      </c>
    </row>
    <row r="66" spans="1:9" x14ac:dyDescent="0.35">
      <c r="A66" s="61" t="s">
        <v>24</v>
      </c>
      <c r="B66" s="62" t="s">
        <v>255</v>
      </c>
      <c r="C66" s="315"/>
      <c r="D66" s="62"/>
      <c r="E66" s="62">
        <v>55719</v>
      </c>
      <c r="F66" s="314"/>
      <c r="G66" s="252">
        <v>1</v>
      </c>
      <c r="H66" s="410"/>
      <c r="I66" s="562">
        <f t="shared" ref="I66:I97" si="2">+G66*H66</f>
        <v>0</v>
      </c>
    </row>
    <row r="67" spans="1:9" x14ac:dyDescent="0.35">
      <c r="A67" s="8" t="s">
        <v>1099</v>
      </c>
      <c r="B67" s="62" t="s">
        <v>426</v>
      </c>
      <c r="C67" s="315"/>
      <c r="D67" s="62"/>
      <c r="E67" s="62">
        <v>55719</v>
      </c>
      <c r="F67" s="314"/>
      <c r="G67" s="10">
        <v>1</v>
      </c>
      <c r="H67" s="429"/>
      <c r="I67" s="562">
        <f t="shared" si="2"/>
        <v>0</v>
      </c>
    </row>
    <row r="68" spans="1:9" x14ac:dyDescent="0.35">
      <c r="A68" s="8" t="s">
        <v>1078</v>
      </c>
      <c r="B68" s="62" t="s">
        <v>270</v>
      </c>
      <c r="C68" s="315"/>
      <c r="D68" s="62"/>
      <c r="E68" s="62">
        <v>55719</v>
      </c>
      <c r="F68" s="314"/>
      <c r="G68" s="10">
        <v>1</v>
      </c>
      <c r="H68" s="429"/>
      <c r="I68" s="562">
        <f t="shared" si="2"/>
        <v>0</v>
      </c>
    </row>
    <row r="69" spans="1:9" x14ac:dyDescent="0.35">
      <c r="A69" s="14" t="s">
        <v>1364</v>
      </c>
      <c r="B69" s="62" t="s">
        <v>785</v>
      </c>
      <c r="C69" s="315"/>
      <c r="D69" s="62"/>
      <c r="E69" s="62">
        <v>55719</v>
      </c>
      <c r="F69" s="314"/>
      <c r="G69" s="15">
        <v>1</v>
      </c>
      <c r="H69" s="410"/>
      <c r="I69" s="562">
        <f t="shared" si="2"/>
        <v>0</v>
      </c>
    </row>
    <row r="70" spans="1:9" x14ac:dyDescent="0.35">
      <c r="A70" s="214" t="s">
        <v>1365</v>
      </c>
      <c r="B70" s="62" t="s">
        <v>786</v>
      </c>
      <c r="C70" s="315"/>
      <c r="D70" s="62"/>
      <c r="E70" s="62">
        <v>55719</v>
      </c>
      <c r="F70" s="314"/>
      <c r="G70" s="15">
        <v>1</v>
      </c>
      <c r="H70" s="410"/>
      <c r="I70" s="562">
        <f t="shared" si="2"/>
        <v>0</v>
      </c>
    </row>
    <row r="71" spans="1:9" x14ac:dyDescent="0.35">
      <c r="A71" s="8" t="s">
        <v>362</v>
      </c>
      <c r="B71" s="62" t="s">
        <v>431</v>
      </c>
      <c r="C71" s="315"/>
      <c r="D71" s="62"/>
      <c r="E71" s="62">
        <v>55719</v>
      </c>
      <c r="F71" s="314"/>
      <c r="G71" s="10">
        <v>1</v>
      </c>
      <c r="H71" s="429"/>
      <c r="I71" s="562">
        <f t="shared" si="2"/>
        <v>0</v>
      </c>
    </row>
    <row r="72" spans="1:9" x14ac:dyDescent="0.35">
      <c r="A72" s="8" t="s">
        <v>1110</v>
      </c>
      <c r="B72" s="62" t="s">
        <v>422</v>
      </c>
      <c r="C72" s="315"/>
      <c r="D72" s="62"/>
      <c r="E72" s="62">
        <v>55719</v>
      </c>
      <c r="F72" s="314"/>
      <c r="G72" s="10">
        <v>1</v>
      </c>
      <c r="H72" s="429"/>
      <c r="I72" s="562">
        <f t="shared" si="2"/>
        <v>0</v>
      </c>
    </row>
    <row r="73" spans="1:9" x14ac:dyDescent="0.35">
      <c r="A73" s="8" t="s">
        <v>1067</v>
      </c>
      <c r="B73" s="253" t="s">
        <v>260</v>
      </c>
      <c r="C73" s="315"/>
      <c r="D73" s="253"/>
      <c r="E73" s="253">
        <v>55719</v>
      </c>
      <c r="F73" s="314"/>
      <c r="G73" s="10">
        <v>1</v>
      </c>
      <c r="H73" s="429"/>
      <c r="I73" s="562">
        <f t="shared" si="2"/>
        <v>0</v>
      </c>
    </row>
    <row r="74" spans="1:9" x14ac:dyDescent="0.35">
      <c r="A74" s="8" t="s">
        <v>1065</v>
      </c>
      <c r="B74" s="62" t="s">
        <v>259</v>
      </c>
      <c r="C74" s="315"/>
      <c r="D74" s="62"/>
      <c r="E74" s="62">
        <v>55719</v>
      </c>
      <c r="F74" s="314"/>
      <c r="G74" s="10">
        <v>1</v>
      </c>
      <c r="H74" s="429"/>
      <c r="I74" s="562">
        <f t="shared" si="2"/>
        <v>0</v>
      </c>
    </row>
    <row r="75" spans="1:9" x14ac:dyDescent="0.35">
      <c r="A75" s="61" t="s">
        <v>1051</v>
      </c>
      <c r="B75" s="62" t="s">
        <v>254</v>
      </c>
      <c r="C75" s="315"/>
      <c r="D75" s="62"/>
      <c r="E75" s="62">
        <v>55719</v>
      </c>
      <c r="F75" s="314"/>
      <c r="G75" s="15">
        <v>1</v>
      </c>
      <c r="H75" s="410"/>
      <c r="I75" s="562">
        <f t="shared" si="2"/>
        <v>0</v>
      </c>
    </row>
    <row r="76" spans="1:9" x14ac:dyDescent="0.35">
      <c r="A76" s="8" t="s">
        <v>9</v>
      </c>
      <c r="B76" s="62" t="s">
        <v>329</v>
      </c>
      <c r="C76" s="315"/>
      <c r="D76" s="62"/>
      <c r="E76" s="62">
        <v>55719</v>
      </c>
      <c r="F76" s="314"/>
      <c r="G76" s="10">
        <v>1</v>
      </c>
      <c r="H76" s="429"/>
      <c r="I76" s="562">
        <f t="shared" si="2"/>
        <v>0</v>
      </c>
    </row>
    <row r="77" spans="1:9" x14ac:dyDescent="0.35">
      <c r="A77" s="8" t="s">
        <v>930</v>
      </c>
      <c r="B77" s="253" t="s">
        <v>88</v>
      </c>
      <c r="C77" s="315"/>
      <c r="D77" s="253"/>
      <c r="E77" s="253">
        <v>55719</v>
      </c>
      <c r="F77" s="314"/>
      <c r="G77" s="10">
        <v>1</v>
      </c>
      <c r="H77" s="429"/>
      <c r="I77" s="562">
        <f t="shared" si="2"/>
        <v>0</v>
      </c>
    </row>
    <row r="78" spans="1:9" x14ac:dyDescent="0.35">
      <c r="A78" s="61" t="s">
        <v>28</v>
      </c>
      <c r="B78" s="253" t="s">
        <v>2242</v>
      </c>
      <c r="C78" s="315"/>
      <c r="D78" s="62"/>
      <c r="E78" s="253">
        <v>55719</v>
      </c>
      <c r="F78" s="314"/>
      <c r="G78" s="252">
        <v>1</v>
      </c>
      <c r="H78" s="410"/>
      <c r="I78" s="562">
        <f t="shared" si="2"/>
        <v>0</v>
      </c>
    </row>
    <row r="79" spans="1:9" x14ac:dyDescent="0.35">
      <c r="A79" s="8" t="s">
        <v>1258</v>
      </c>
      <c r="B79" s="62" t="s">
        <v>342</v>
      </c>
      <c r="C79" s="315"/>
      <c r="D79" s="62"/>
      <c r="E79" s="62">
        <v>55719</v>
      </c>
      <c r="F79" s="314"/>
      <c r="G79" s="10">
        <v>1</v>
      </c>
      <c r="H79" s="429"/>
      <c r="I79" s="562">
        <f t="shared" si="2"/>
        <v>0</v>
      </c>
    </row>
    <row r="80" spans="1:9" x14ac:dyDescent="0.35">
      <c r="A80" s="8" t="s">
        <v>1114</v>
      </c>
      <c r="B80" s="62" t="s">
        <v>91</v>
      </c>
      <c r="C80" s="315"/>
      <c r="D80" s="62"/>
      <c r="E80" s="62">
        <v>55719</v>
      </c>
      <c r="F80" s="314"/>
      <c r="G80" s="10">
        <v>1</v>
      </c>
      <c r="H80" s="429"/>
      <c r="I80" s="562">
        <f t="shared" si="2"/>
        <v>0</v>
      </c>
    </row>
    <row r="81" spans="1:9" x14ac:dyDescent="0.35">
      <c r="A81" s="8" t="s">
        <v>1061</v>
      </c>
      <c r="B81" s="62" t="s">
        <v>73</v>
      </c>
      <c r="C81" s="315"/>
      <c r="D81" s="62"/>
      <c r="E81" s="62">
        <v>55719</v>
      </c>
      <c r="F81" s="314"/>
      <c r="G81" s="10">
        <v>1</v>
      </c>
      <c r="H81" s="429"/>
      <c r="I81" s="562">
        <f t="shared" si="2"/>
        <v>0</v>
      </c>
    </row>
    <row r="82" spans="1:9" x14ac:dyDescent="0.35">
      <c r="A82" s="8" t="s">
        <v>1060</v>
      </c>
      <c r="B82" s="253" t="s">
        <v>74</v>
      </c>
      <c r="C82" s="315"/>
      <c r="D82" s="62"/>
      <c r="E82" s="253">
        <v>55719</v>
      </c>
      <c r="F82" s="314"/>
      <c r="G82" s="10">
        <v>1</v>
      </c>
      <c r="H82" s="429"/>
      <c r="I82" s="562">
        <f t="shared" si="2"/>
        <v>0</v>
      </c>
    </row>
    <row r="83" spans="1:9" x14ac:dyDescent="0.35">
      <c r="A83" s="8" t="s">
        <v>1062</v>
      </c>
      <c r="B83" s="253" t="s">
        <v>261</v>
      </c>
      <c r="C83" s="315"/>
      <c r="D83" s="62"/>
      <c r="E83" s="253">
        <v>55719</v>
      </c>
      <c r="F83" s="314"/>
      <c r="G83" s="10">
        <v>1</v>
      </c>
      <c r="H83" s="429"/>
      <c r="I83" s="562">
        <f t="shared" si="2"/>
        <v>0</v>
      </c>
    </row>
    <row r="84" spans="1:9" x14ac:dyDescent="0.35">
      <c r="A84" s="8" t="s">
        <v>1057</v>
      </c>
      <c r="B84" s="62" t="s">
        <v>72</v>
      </c>
      <c r="C84" s="315"/>
      <c r="D84" s="62"/>
      <c r="E84" s="62">
        <v>55719</v>
      </c>
      <c r="F84" s="314"/>
      <c r="G84" s="10">
        <v>1</v>
      </c>
      <c r="H84" s="429"/>
      <c r="I84" s="562">
        <f t="shared" si="2"/>
        <v>0</v>
      </c>
    </row>
    <row r="85" spans="1:9" x14ac:dyDescent="0.35">
      <c r="A85" s="61" t="s">
        <v>214</v>
      </c>
      <c r="B85" s="62" t="s">
        <v>197</v>
      </c>
      <c r="C85" s="315"/>
      <c r="D85" s="62"/>
      <c r="E85" s="62">
        <v>55719</v>
      </c>
      <c r="F85" s="314"/>
      <c r="G85" s="252">
        <v>1</v>
      </c>
      <c r="H85" s="410"/>
      <c r="I85" s="562">
        <f t="shared" si="2"/>
        <v>0</v>
      </c>
    </row>
    <row r="86" spans="1:9" x14ac:dyDescent="0.35">
      <c r="A86" s="8" t="s">
        <v>870</v>
      </c>
      <c r="B86" s="62" t="s">
        <v>416</v>
      </c>
      <c r="C86" s="315"/>
      <c r="D86" s="62"/>
      <c r="E86" s="62">
        <v>55719</v>
      </c>
      <c r="F86" s="314"/>
      <c r="G86" s="10">
        <v>1</v>
      </c>
      <c r="H86" s="429"/>
      <c r="I86" s="562">
        <f t="shared" si="2"/>
        <v>0</v>
      </c>
    </row>
    <row r="87" spans="1:9" x14ac:dyDescent="0.35">
      <c r="A87" s="8" t="s">
        <v>1260</v>
      </c>
      <c r="B87" s="62" t="s">
        <v>501</v>
      </c>
      <c r="C87" s="315"/>
      <c r="D87" s="62"/>
      <c r="E87" s="62">
        <v>55719</v>
      </c>
      <c r="F87" s="314"/>
      <c r="G87" s="10">
        <v>1</v>
      </c>
      <c r="H87" s="429"/>
      <c r="I87" s="562">
        <f t="shared" si="2"/>
        <v>0</v>
      </c>
    </row>
    <row r="88" spans="1:9" x14ac:dyDescent="0.35">
      <c r="A88" s="61" t="s">
        <v>1722</v>
      </c>
      <c r="B88" s="62" t="s">
        <v>585</v>
      </c>
      <c r="C88" s="315"/>
      <c r="D88" s="62"/>
      <c r="E88" s="62">
        <v>55719</v>
      </c>
      <c r="F88" s="314"/>
      <c r="G88" s="252">
        <v>1</v>
      </c>
      <c r="H88" s="410"/>
      <c r="I88" s="562">
        <f t="shared" si="2"/>
        <v>0</v>
      </c>
    </row>
    <row r="89" spans="1:9" x14ac:dyDescent="0.35">
      <c r="A89" s="214" t="s">
        <v>36</v>
      </c>
      <c r="B89" s="62" t="s">
        <v>37</v>
      </c>
      <c r="C89" s="315"/>
      <c r="D89" s="62"/>
      <c r="E89" s="62">
        <v>55719</v>
      </c>
      <c r="F89" s="314"/>
      <c r="G89" s="252">
        <v>1</v>
      </c>
      <c r="H89" s="410"/>
      <c r="I89" s="562">
        <f t="shared" si="2"/>
        <v>0</v>
      </c>
    </row>
    <row r="90" spans="1:9" x14ac:dyDescent="0.35">
      <c r="A90" s="8" t="s">
        <v>104</v>
      </c>
      <c r="B90" s="62" t="s">
        <v>506</v>
      </c>
      <c r="C90" s="315"/>
      <c r="D90" s="62"/>
      <c r="E90" s="62">
        <v>55719</v>
      </c>
      <c r="F90" s="314"/>
      <c r="G90" s="10">
        <v>1</v>
      </c>
      <c r="H90" s="429"/>
      <c r="I90" s="562">
        <f t="shared" si="2"/>
        <v>0</v>
      </c>
    </row>
    <row r="91" spans="1:9" x14ac:dyDescent="0.35">
      <c r="A91" s="8" t="s">
        <v>1719</v>
      </c>
      <c r="B91" s="62" t="s">
        <v>178</v>
      </c>
      <c r="C91" s="315"/>
      <c r="D91" s="62"/>
      <c r="E91" s="62">
        <v>55719</v>
      </c>
      <c r="F91" s="314"/>
      <c r="G91" s="10">
        <v>1</v>
      </c>
      <c r="H91" s="429"/>
      <c r="I91" s="562">
        <f t="shared" si="2"/>
        <v>0</v>
      </c>
    </row>
    <row r="92" spans="1:9" x14ac:dyDescent="0.35">
      <c r="A92" s="8" t="s">
        <v>881</v>
      </c>
      <c r="B92" s="62" t="s">
        <v>417</v>
      </c>
      <c r="C92" s="315"/>
      <c r="D92" s="62"/>
      <c r="E92" s="62">
        <v>55719</v>
      </c>
      <c r="F92" s="314"/>
      <c r="G92" s="10">
        <v>1</v>
      </c>
      <c r="H92" s="429"/>
      <c r="I92" s="562">
        <f t="shared" si="2"/>
        <v>0</v>
      </c>
    </row>
    <row r="93" spans="1:9" x14ac:dyDescent="0.35">
      <c r="A93" s="8" t="s">
        <v>10</v>
      </c>
      <c r="B93" s="62" t="s">
        <v>418</v>
      </c>
      <c r="C93" s="315"/>
      <c r="D93" s="62"/>
      <c r="E93" s="62">
        <v>55719</v>
      </c>
      <c r="F93" s="314"/>
      <c r="G93" s="10">
        <v>1</v>
      </c>
      <c r="H93" s="429"/>
      <c r="I93" s="562">
        <f t="shared" si="2"/>
        <v>0</v>
      </c>
    </row>
    <row r="94" spans="1:9" x14ac:dyDescent="0.35">
      <c r="A94" s="61" t="s">
        <v>1283</v>
      </c>
      <c r="B94" s="29" t="s">
        <v>2581</v>
      </c>
      <c r="C94" s="315"/>
      <c r="D94" s="29"/>
      <c r="E94" s="29">
        <v>55719</v>
      </c>
      <c r="F94" s="314"/>
      <c r="G94" s="29">
        <v>2</v>
      </c>
      <c r="H94" s="428"/>
      <c r="I94" s="562">
        <f t="shared" si="2"/>
        <v>0</v>
      </c>
    </row>
    <row r="95" spans="1:9" x14ac:dyDescent="0.35">
      <c r="A95" s="66" t="s">
        <v>1043</v>
      </c>
      <c r="B95" s="253" t="s">
        <v>1044</v>
      </c>
      <c r="C95" s="315"/>
      <c r="D95" s="62"/>
      <c r="E95" s="62">
        <v>55719</v>
      </c>
      <c r="F95" s="314"/>
      <c r="G95" s="10">
        <v>1</v>
      </c>
      <c r="H95" s="429"/>
      <c r="I95" s="562">
        <f t="shared" si="2"/>
        <v>0</v>
      </c>
    </row>
    <row r="96" spans="1:9" x14ac:dyDescent="0.35">
      <c r="A96" s="8" t="s">
        <v>1272</v>
      </c>
      <c r="B96" s="62" t="s">
        <v>577</v>
      </c>
      <c r="C96" s="315"/>
      <c r="D96" s="62"/>
      <c r="E96" s="62">
        <v>55719</v>
      </c>
      <c r="F96" s="314"/>
      <c r="G96" s="10">
        <v>1</v>
      </c>
      <c r="H96" s="429"/>
      <c r="I96" s="562">
        <f t="shared" si="2"/>
        <v>0</v>
      </c>
    </row>
    <row r="97" spans="1:9" x14ac:dyDescent="0.35">
      <c r="A97" s="8" t="s">
        <v>1273</v>
      </c>
      <c r="B97" s="62" t="s">
        <v>578</v>
      </c>
      <c r="C97" s="315"/>
      <c r="D97" s="62"/>
      <c r="E97" s="62">
        <v>55719</v>
      </c>
      <c r="F97" s="314"/>
      <c r="G97" s="10">
        <v>1</v>
      </c>
      <c r="H97" s="429"/>
      <c r="I97" s="562">
        <f t="shared" si="2"/>
        <v>0</v>
      </c>
    </row>
    <row r="98" spans="1:9" x14ac:dyDescent="0.35">
      <c r="A98" s="8" t="s">
        <v>119</v>
      </c>
      <c r="B98" s="62" t="s">
        <v>514</v>
      </c>
      <c r="C98" s="315"/>
      <c r="D98" s="62"/>
      <c r="E98" s="62">
        <v>55719</v>
      </c>
      <c r="F98" s="314"/>
      <c r="G98" s="10">
        <v>1</v>
      </c>
      <c r="H98" s="429"/>
      <c r="I98" s="562">
        <f t="shared" ref="I98:I114" si="3">+G98*H98</f>
        <v>0</v>
      </c>
    </row>
    <row r="99" spans="1:9" x14ac:dyDescent="0.35">
      <c r="A99" s="8" t="s">
        <v>1274</v>
      </c>
      <c r="B99" s="62" t="s">
        <v>576</v>
      </c>
      <c r="C99" s="315"/>
      <c r="D99" s="62"/>
      <c r="E99" s="62">
        <v>55719</v>
      </c>
      <c r="F99" s="314"/>
      <c r="G99" s="10">
        <v>1</v>
      </c>
      <c r="H99" s="429"/>
      <c r="I99" s="562">
        <f t="shared" si="3"/>
        <v>0</v>
      </c>
    </row>
    <row r="100" spans="1:9" x14ac:dyDescent="0.35">
      <c r="A100" s="8" t="s">
        <v>115</v>
      </c>
      <c r="B100" s="253" t="s">
        <v>511</v>
      </c>
      <c r="C100" s="315"/>
      <c r="D100" s="62"/>
      <c r="E100" s="62">
        <v>55719</v>
      </c>
      <c r="F100" s="314"/>
      <c r="G100" s="10">
        <v>1</v>
      </c>
      <c r="H100" s="429"/>
      <c r="I100" s="562">
        <f t="shared" si="3"/>
        <v>0</v>
      </c>
    </row>
    <row r="101" spans="1:9" x14ac:dyDescent="0.35">
      <c r="A101" s="8" t="s">
        <v>192</v>
      </c>
      <c r="B101" s="62" t="s">
        <v>513</v>
      </c>
      <c r="C101" s="315"/>
      <c r="D101" s="62"/>
      <c r="E101" s="62">
        <v>55719</v>
      </c>
      <c r="F101" s="314"/>
      <c r="G101" s="10">
        <v>1</v>
      </c>
      <c r="H101" s="429"/>
      <c r="I101" s="562">
        <f t="shared" si="3"/>
        <v>0</v>
      </c>
    </row>
    <row r="102" spans="1:9" x14ac:dyDescent="0.35">
      <c r="A102" s="8" t="s">
        <v>118</v>
      </c>
      <c r="B102" s="62" t="s">
        <v>512</v>
      </c>
      <c r="C102" s="315"/>
      <c r="D102" s="62"/>
      <c r="E102" s="62">
        <v>55719</v>
      </c>
      <c r="F102" s="314"/>
      <c r="G102" s="10">
        <v>1</v>
      </c>
      <c r="H102" s="429"/>
      <c r="I102" s="562">
        <f t="shared" si="3"/>
        <v>0</v>
      </c>
    </row>
    <row r="103" spans="1:9" x14ac:dyDescent="0.35">
      <c r="A103" s="171" t="s">
        <v>1665</v>
      </c>
      <c r="B103" s="253" t="s">
        <v>1655</v>
      </c>
      <c r="C103" s="315"/>
      <c r="D103" s="253"/>
      <c r="E103" s="253">
        <v>55719</v>
      </c>
      <c r="F103" s="314"/>
      <c r="G103" s="252">
        <v>1</v>
      </c>
      <c r="H103" s="410"/>
      <c r="I103" s="562">
        <f t="shared" si="3"/>
        <v>0</v>
      </c>
    </row>
    <row r="104" spans="1:9" x14ac:dyDescent="0.35">
      <c r="A104" s="171" t="s">
        <v>1664</v>
      </c>
      <c r="B104" s="30" t="s">
        <v>1654</v>
      </c>
      <c r="C104" s="315"/>
      <c r="D104" s="62"/>
      <c r="E104" s="62">
        <v>55719</v>
      </c>
      <c r="F104" s="314"/>
      <c r="G104" s="252">
        <v>1</v>
      </c>
      <c r="H104" s="410"/>
      <c r="I104" s="562">
        <f t="shared" si="3"/>
        <v>0</v>
      </c>
    </row>
    <row r="105" spans="1:9" x14ac:dyDescent="0.35">
      <c r="A105" s="171" t="s">
        <v>1662</v>
      </c>
      <c r="B105" s="62" t="s">
        <v>1652</v>
      </c>
      <c r="C105" s="315"/>
      <c r="D105" s="62"/>
      <c r="E105" s="62">
        <v>55719</v>
      </c>
      <c r="F105" s="314"/>
      <c r="G105" s="252">
        <v>1</v>
      </c>
      <c r="H105" s="410"/>
      <c r="I105" s="562">
        <f t="shared" si="3"/>
        <v>0</v>
      </c>
    </row>
    <row r="106" spans="1:9" x14ac:dyDescent="0.35">
      <c r="A106" s="8" t="s">
        <v>13</v>
      </c>
      <c r="B106" s="62" t="s">
        <v>420</v>
      </c>
      <c r="C106" s="315"/>
      <c r="D106" s="62"/>
      <c r="E106" s="45">
        <v>55719</v>
      </c>
      <c r="F106" s="314"/>
      <c r="G106" s="10">
        <v>1</v>
      </c>
      <c r="H106" s="429"/>
      <c r="I106" s="562">
        <f t="shared" si="3"/>
        <v>0</v>
      </c>
    </row>
    <row r="107" spans="1:9" x14ac:dyDescent="0.35">
      <c r="A107" s="61" t="s">
        <v>1284</v>
      </c>
      <c r="B107" s="29" t="s">
        <v>1707</v>
      </c>
      <c r="C107" s="315"/>
      <c r="D107" s="29"/>
      <c r="E107" s="29">
        <v>55719</v>
      </c>
      <c r="F107" s="314"/>
      <c r="G107" s="29">
        <v>2</v>
      </c>
      <c r="H107" s="428"/>
      <c r="I107" s="562">
        <f t="shared" si="3"/>
        <v>0</v>
      </c>
    </row>
    <row r="108" spans="1:9" x14ac:dyDescent="0.35">
      <c r="A108" s="8" t="s">
        <v>4</v>
      </c>
      <c r="B108" s="62" t="s">
        <v>86</v>
      </c>
      <c r="C108" s="315"/>
      <c r="D108" s="62"/>
      <c r="E108" s="62">
        <v>55719</v>
      </c>
      <c r="F108" s="314"/>
      <c r="G108" s="252">
        <v>1</v>
      </c>
      <c r="H108" s="410"/>
      <c r="I108" s="562">
        <f t="shared" si="3"/>
        <v>0</v>
      </c>
    </row>
    <row r="109" spans="1:9" x14ac:dyDescent="0.35">
      <c r="A109" s="8" t="s">
        <v>5</v>
      </c>
      <c r="B109" s="62" t="s">
        <v>415</v>
      </c>
      <c r="C109" s="315"/>
      <c r="D109" s="62"/>
      <c r="E109" s="62">
        <v>55719</v>
      </c>
      <c r="F109" s="314"/>
      <c r="G109" s="10">
        <v>1</v>
      </c>
      <c r="H109" s="429"/>
      <c r="I109" s="562">
        <f t="shared" si="3"/>
        <v>0</v>
      </c>
    </row>
    <row r="110" spans="1:9" x14ac:dyDescent="0.35">
      <c r="A110" s="8" t="s">
        <v>97</v>
      </c>
      <c r="B110" s="62" t="s">
        <v>457</v>
      </c>
      <c r="C110" s="315"/>
      <c r="D110" s="62"/>
      <c r="E110" s="62">
        <v>55719</v>
      </c>
      <c r="F110" s="314"/>
      <c r="G110" s="10">
        <v>1</v>
      </c>
      <c r="H110" s="429"/>
      <c r="I110" s="562">
        <f t="shared" si="3"/>
        <v>0</v>
      </c>
    </row>
    <row r="111" spans="1:9" x14ac:dyDescent="0.35">
      <c r="A111" s="8" t="s">
        <v>181</v>
      </c>
      <c r="B111" s="62" t="s">
        <v>182</v>
      </c>
      <c r="C111" s="315"/>
      <c r="D111" s="62"/>
      <c r="E111" s="62">
        <v>55719</v>
      </c>
      <c r="F111" s="314"/>
      <c r="G111" s="10">
        <v>1</v>
      </c>
      <c r="H111" s="429"/>
      <c r="I111" s="562">
        <f t="shared" si="3"/>
        <v>0</v>
      </c>
    </row>
    <row r="112" spans="1:9" x14ac:dyDescent="0.35">
      <c r="A112" s="8" t="s">
        <v>11</v>
      </c>
      <c r="B112" s="62" t="s">
        <v>233</v>
      </c>
      <c r="C112" s="315"/>
      <c r="D112" s="62"/>
      <c r="E112" s="62">
        <v>55719</v>
      </c>
      <c r="F112" s="314"/>
      <c r="G112" s="10">
        <v>1</v>
      </c>
      <c r="H112" s="429"/>
      <c r="I112" s="562">
        <f t="shared" si="3"/>
        <v>0</v>
      </c>
    </row>
    <row r="113" spans="1:9" x14ac:dyDescent="0.35">
      <c r="A113" s="8" t="s">
        <v>12</v>
      </c>
      <c r="B113" s="253" t="s">
        <v>150</v>
      </c>
      <c r="C113" s="315"/>
      <c r="D113" s="62"/>
      <c r="E113" s="62">
        <v>55719</v>
      </c>
      <c r="F113" s="314"/>
      <c r="G113" s="10">
        <v>1</v>
      </c>
      <c r="H113" s="429"/>
      <c r="I113" s="562">
        <f t="shared" si="3"/>
        <v>0</v>
      </c>
    </row>
    <row r="114" spans="1:9" x14ac:dyDescent="0.35">
      <c r="A114" s="8" t="s">
        <v>1042</v>
      </c>
      <c r="B114" s="253" t="s">
        <v>429</v>
      </c>
      <c r="C114" s="315"/>
      <c r="D114" s="253"/>
      <c r="E114" s="253">
        <v>55719</v>
      </c>
      <c r="F114" s="314"/>
      <c r="G114" s="10">
        <v>1</v>
      </c>
      <c r="H114" s="429"/>
      <c r="I114" s="562">
        <f t="shared" si="3"/>
        <v>0</v>
      </c>
    </row>
    <row r="115" spans="1:9" x14ac:dyDescent="0.35">
      <c r="A115" s="96"/>
      <c r="B115" s="97"/>
      <c r="C115" s="97"/>
      <c r="D115" s="97"/>
      <c r="E115" s="97"/>
      <c r="G115" s="98"/>
      <c r="H115" s="431"/>
      <c r="I115" s="412">
        <f>SUM(I2:I114)</f>
        <v>0</v>
      </c>
    </row>
    <row r="116" spans="1:9" x14ac:dyDescent="0.35">
      <c r="A116" s="96"/>
      <c r="B116" s="97"/>
      <c r="C116" s="97"/>
      <c r="D116" s="97"/>
      <c r="E116" s="97"/>
      <c r="G116" s="98"/>
      <c r="H116" s="431"/>
    </row>
    <row r="117" spans="1:9" x14ac:dyDescent="0.35">
      <c r="A117" s="96"/>
      <c r="B117" s="97"/>
      <c r="C117" s="97"/>
      <c r="D117" s="97"/>
      <c r="E117" s="97"/>
      <c r="G117" s="98"/>
      <c r="H117" s="431"/>
    </row>
    <row r="118" spans="1:9" s="4" customFormat="1" ht="17.5" x14ac:dyDescent="0.35">
      <c r="A118" s="309" t="s">
        <v>1706</v>
      </c>
      <c r="B118" s="312"/>
      <c r="C118" s="249"/>
      <c r="D118" s="3"/>
      <c r="E118" s="3"/>
      <c r="F118" s="251"/>
      <c r="G118" s="3"/>
      <c r="H118" s="396"/>
      <c r="I118" s="406"/>
    </row>
    <row r="119" spans="1:9" s="4" customFormat="1" ht="17.5" x14ac:dyDescent="0.35">
      <c r="A119" s="309" t="s">
        <v>2372</v>
      </c>
      <c r="B119" s="312"/>
      <c r="C119" s="249"/>
      <c r="D119" s="3"/>
      <c r="E119" s="3"/>
      <c r="F119" s="251"/>
      <c r="G119" s="3"/>
      <c r="H119" s="432"/>
      <c r="I119" s="406"/>
    </row>
    <row r="120" spans="1:9" ht="17.5" x14ac:dyDescent="0.35">
      <c r="A120" s="322" t="s">
        <v>2641</v>
      </c>
      <c r="B120" s="252"/>
    </row>
    <row r="121" spans="1:9" ht="17.5" x14ac:dyDescent="0.35">
      <c r="A121" s="319" t="s">
        <v>2694</v>
      </c>
      <c r="B121" s="413">
        <f>+I115</f>
        <v>0</v>
      </c>
    </row>
  </sheetData>
  <pageMargins left="0.5" right="0.5" top="0.5" bottom="0.5" header="0.3" footer="0.3"/>
  <pageSetup scale="8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5"/>
  <sheetViews>
    <sheetView workbookViewId="0">
      <pane ySplit="1" topLeftCell="A17" activePane="bottomLeft" state="frozen"/>
      <selection activeCell="G1" sqref="G1:G1048576"/>
      <selection pane="bottomLeft" activeCell="A43" sqref="A43:I50"/>
    </sheetView>
  </sheetViews>
  <sheetFormatPr defaultColWidth="9.08984375" defaultRowHeight="15.5" x14ac:dyDescent="0.35"/>
  <cols>
    <col min="1" max="1" width="63.90625" style="106" bestFit="1" customWidth="1"/>
    <col min="2" max="2" width="16.453125" style="76" bestFit="1" customWidth="1"/>
    <col min="3" max="3" width="21.1796875" style="76" customWidth="1"/>
    <col min="4" max="4" width="21.81640625" style="76" customWidth="1"/>
    <col min="5" max="5" width="14.36328125" style="76" customWidth="1"/>
    <col min="6" max="6" width="18" style="251" customWidth="1"/>
    <col min="7" max="7" width="11.90625" style="76" customWidth="1"/>
    <col min="8" max="8" width="17.453125" style="386" bestFit="1" customWidth="1"/>
    <col min="9" max="9" width="18.6328125" style="386" customWidth="1"/>
    <col min="10" max="10" width="25.08984375" style="106" bestFit="1" customWidth="1"/>
    <col min="11" max="16384" width="9.08984375" style="106"/>
  </cols>
  <sheetData>
    <row r="1" spans="1:9" x14ac:dyDescent="0.35">
      <c r="A1" s="559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61" t="s">
        <v>2699</v>
      </c>
      <c r="G1" s="85" t="s">
        <v>364</v>
      </c>
      <c r="H1" s="393" t="s">
        <v>2695</v>
      </c>
      <c r="I1" s="404" t="s">
        <v>2696</v>
      </c>
    </row>
    <row r="2" spans="1:9" x14ac:dyDescent="0.35">
      <c r="A2" s="566" t="s">
        <v>893</v>
      </c>
      <c r="B2" s="115" t="s">
        <v>149</v>
      </c>
      <c r="C2" s="315"/>
      <c r="D2" s="115"/>
      <c r="E2" s="115">
        <v>55719</v>
      </c>
      <c r="F2" s="388"/>
      <c r="G2" s="31">
        <v>1</v>
      </c>
      <c r="H2" s="408"/>
      <c r="I2" s="419">
        <f t="shared" ref="I2:I42" si="0">+G2*H2</f>
        <v>0</v>
      </c>
    </row>
    <row r="3" spans="1:9" x14ac:dyDescent="0.35">
      <c r="A3" s="566" t="s">
        <v>15</v>
      </c>
      <c r="B3" s="115" t="s">
        <v>424</v>
      </c>
      <c r="C3" s="315"/>
      <c r="D3" s="115"/>
      <c r="E3" s="115">
        <v>55719</v>
      </c>
      <c r="F3" s="388"/>
      <c r="G3" s="31">
        <v>1</v>
      </c>
      <c r="H3" s="408"/>
      <c r="I3" s="419">
        <f t="shared" si="0"/>
        <v>0</v>
      </c>
    </row>
    <row r="4" spans="1:9" x14ac:dyDescent="0.35">
      <c r="A4" s="566" t="s">
        <v>1019</v>
      </c>
      <c r="B4" s="115" t="s">
        <v>90</v>
      </c>
      <c r="C4" s="315"/>
      <c r="D4" s="115"/>
      <c r="E4" s="115">
        <v>55719</v>
      </c>
      <c r="F4" s="388"/>
      <c r="G4" s="31">
        <v>1</v>
      </c>
      <c r="H4" s="408"/>
      <c r="I4" s="419">
        <f t="shared" si="0"/>
        <v>0</v>
      </c>
    </row>
    <row r="5" spans="1:9" x14ac:dyDescent="0.35">
      <c r="A5" s="566" t="s">
        <v>883</v>
      </c>
      <c r="B5" s="115" t="s">
        <v>235</v>
      </c>
      <c r="C5" s="315"/>
      <c r="D5" s="115"/>
      <c r="E5" s="115">
        <v>55719</v>
      </c>
      <c r="F5" s="388"/>
      <c r="G5" s="31">
        <v>1</v>
      </c>
      <c r="H5" s="408"/>
      <c r="I5" s="419">
        <f t="shared" si="0"/>
        <v>0</v>
      </c>
    </row>
    <row r="6" spans="1:9" x14ac:dyDescent="0.35">
      <c r="A6" s="566" t="s">
        <v>980</v>
      </c>
      <c r="B6" s="115" t="s">
        <v>236</v>
      </c>
      <c r="C6" s="315"/>
      <c r="D6" s="115"/>
      <c r="E6" s="115">
        <v>55719</v>
      </c>
      <c r="F6" s="388"/>
      <c r="G6" s="31">
        <v>1</v>
      </c>
      <c r="H6" s="408"/>
      <c r="I6" s="419">
        <f t="shared" si="0"/>
        <v>0</v>
      </c>
    </row>
    <row r="7" spans="1:9" x14ac:dyDescent="0.35">
      <c r="A7" s="566" t="s">
        <v>1084</v>
      </c>
      <c r="B7" s="115" t="s">
        <v>546</v>
      </c>
      <c r="C7" s="315"/>
      <c r="D7" s="115"/>
      <c r="E7" s="115">
        <v>55719</v>
      </c>
      <c r="F7" s="388"/>
      <c r="G7" s="31">
        <v>2</v>
      </c>
      <c r="H7" s="408"/>
      <c r="I7" s="419">
        <f t="shared" si="0"/>
        <v>0</v>
      </c>
    </row>
    <row r="8" spans="1:9" ht="15" customHeight="1" x14ac:dyDescent="0.35">
      <c r="A8" s="566" t="s">
        <v>1035</v>
      </c>
      <c r="B8" s="115" t="s">
        <v>421</v>
      </c>
      <c r="C8" s="315"/>
      <c r="D8" s="115"/>
      <c r="E8" s="115">
        <v>55719</v>
      </c>
      <c r="F8" s="388"/>
      <c r="G8" s="31">
        <v>1</v>
      </c>
      <c r="H8" s="408"/>
      <c r="I8" s="419">
        <f t="shared" si="0"/>
        <v>0</v>
      </c>
    </row>
    <row r="9" spans="1:9" x14ac:dyDescent="0.35">
      <c r="A9" s="566" t="s">
        <v>1208</v>
      </c>
      <c r="B9" s="115" t="s">
        <v>525</v>
      </c>
      <c r="C9" s="315"/>
      <c r="D9" s="115"/>
      <c r="E9" s="115">
        <v>55719</v>
      </c>
      <c r="F9" s="388"/>
      <c r="G9" s="31">
        <v>1</v>
      </c>
      <c r="H9" s="408"/>
      <c r="I9" s="419">
        <f t="shared" si="0"/>
        <v>0</v>
      </c>
    </row>
    <row r="10" spans="1:9" ht="15" customHeight="1" x14ac:dyDescent="0.35">
      <c r="A10" s="566" t="s">
        <v>1388</v>
      </c>
      <c r="B10" s="115" t="s">
        <v>1619</v>
      </c>
      <c r="C10" s="315"/>
      <c r="D10" s="115"/>
      <c r="E10" s="115">
        <v>55719</v>
      </c>
      <c r="F10" s="388"/>
      <c r="G10" s="31">
        <v>1</v>
      </c>
      <c r="H10" s="408"/>
      <c r="I10" s="419">
        <f t="shared" si="0"/>
        <v>0</v>
      </c>
    </row>
    <row r="11" spans="1:9" x14ac:dyDescent="0.35">
      <c r="A11" s="566" t="s">
        <v>1389</v>
      </c>
      <c r="B11" s="115" t="s">
        <v>1617</v>
      </c>
      <c r="C11" s="315"/>
      <c r="D11" s="115"/>
      <c r="E11" s="115">
        <v>55719</v>
      </c>
      <c r="F11" s="388"/>
      <c r="G11" s="31">
        <v>1</v>
      </c>
      <c r="H11" s="408"/>
      <c r="I11" s="419">
        <f t="shared" si="0"/>
        <v>0</v>
      </c>
    </row>
    <row r="12" spans="1:9" x14ac:dyDescent="0.35">
      <c r="A12" s="566" t="s">
        <v>718</v>
      </c>
      <c r="B12" s="115" t="s">
        <v>1618</v>
      </c>
      <c r="C12" s="315"/>
      <c r="D12" s="115"/>
      <c r="E12" s="115">
        <v>55719</v>
      </c>
      <c r="F12" s="388"/>
      <c r="G12" s="31">
        <v>1</v>
      </c>
      <c r="H12" s="408"/>
      <c r="I12" s="419">
        <f t="shared" si="0"/>
        <v>0</v>
      </c>
    </row>
    <row r="13" spans="1:9" ht="15" customHeight="1" x14ac:dyDescent="0.35">
      <c r="A13" s="566" t="s">
        <v>1305</v>
      </c>
      <c r="B13" s="115" t="s">
        <v>524</v>
      </c>
      <c r="C13" s="315"/>
      <c r="D13" s="115"/>
      <c r="E13" s="115">
        <v>55719</v>
      </c>
      <c r="F13" s="388"/>
      <c r="G13" s="31">
        <v>1</v>
      </c>
      <c r="H13" s="408"/>
      <c r="I13" s="419">
        <f t="shared" si="0"/>
        <v>0</v>
      </c>
    </row>
    <row r="14" spans="1:9" x14ac:dyDescent="0.35">
      <c r="A14" s="566" t="s">
        <v>1306</v>
      </c>
      <c r="B14" s="115" t="s">
        <v>515</v>
      </c>
      <c r="C14" s="315"/>
      <c r="D14" s="115"/>
      <c r="E14" s="115">
        <v>55719</v>
      </c>
      <c r="F14" s="388"/>
      <c r="G14" s="31">
        <v>1</v>
      </c>
      <c r="H14" s="408"/>
      <c r="I14" s="419">
        <f t="shared" si="0"/>
        <v>0</v>
      </c>
    </row>
    <row r="15" spans="1:9" x14ac:dyDescent="0.35">
      <c r="A15" s="566" t="s">
        <v>159</v>
      </c>
      <c r="B15" s="115" t="s">
        <v>427</v>
      </c>
      <c r="C15" s="315"/>
      <c r="D15" s="115"/>
      <c r="E15" s="115">
        <v>55719</v>
      </c>
      <c r="F15" s="388"/>
      <c r="G15" s="31">
        <v>1</v>
      </c>
      <c r="H15" s="408"/>
      <c r="I15" s="419">
        <f t="shared" si="0"/>
        <v>0</v>
      </c>
    </row>
    <row r="16" spans="1:9" x14ac:dyDescent="0.35">
      <c r="A16" s="566" t="s">
        <v>1301</v>
      </c>
      <c r="B16" s="115" t="s">
        <v>1615</v>
      </c>
      <c r="C16" s="315"/>
      <c r="D16" s="115"/>
      <c r="E16" s="115">
        <v>55719</v>
      </c>
      <c r="F16" s="388"/>
      <c r="G16" s="31">
        <v>1</v>
      </c>
      <c r="H16" s="408"/>
      <c r="I16" s="419">
        <f t="shared" si="0"/>
        <v>0</v>
      </c>
    </row>
    <row r="17" spans="1:9" x14ac:dyDescent="0.35">
      <c r="A17" s="566" t="s">
        <v>1349</v>
      </c>
      <c r="B17" s="115" t="s">
        <v>768</v>
      </c>
      <c r="C17" s="315"/>
      <c r="D17" s="115"/>
      <c r="E17" s="115">
        <v>55719</v>
      </c>
      <c r="F17" s="388"/>
      <c r="G17" s="31">
        <v>1</v>
      </c>
      <c r="H17" s="408"/>
      <c r="I17" s="419">
        <f t="shared" si="0"/>
        <v>0</v>
      </c>
    </row>
    <row r="18" spans="1:9" x14ac:dyDescent="0.35">
      <c r="A18" s="566" t="s">
        <v>1356</v>
      </c>
      <c r="B18" s="115" t="s">
        <v>788</v>
      </c>
      <c r="C18" s="315"/>
      <c r="D18" s="115"/>
      <c r="E18" s="115">
        <v>55719</v>
      </c>
      <c r="F18" s="388"/>
      <c r="G18" s="31">
        <v>1</v>
      </c>
      <c r="H18" s="408"/>
      <c r="I18" s="419">
        <f t="shared" si="0"/>
        <v>0</v>
      </c>
    </row>
    <row r="19" spans="1:9" x14ac:dyDescent="0.35">
      <c r="A19" s="566" t="s">
        <v>1343</v>
      </c>
      <c r="B19" s="115" t="s">
        <v>570</v>
      </c>
      <c r="C19" s="315"/>
      <c r="D19" s="115"/>
      <c r="E19" s="115">
        <v>55719</v>
      </c>
      <c r="F19" s="388"/>
      <c r="G19" s="31">
        <v>1</v>
      </c>
      <c r="H19" s="408"/>
      <c r="I19" s="419">
        <f t="shared" si="0"/>
        <v>0</v>
      </c>
    </row>
    <row r="20" spans="1:9" x14ac:dyDescent="0.35">
      <c r="A20" s="566" t="s">
        <v>954</v>
      </c>
      <c r="B20" s="115" t="s">
        <v>239</v>
      </c>
      <c r="C20" s="315"/>
      <c r="D20" s="115"/>
      <c r="E20" s="115">
        <v>55719</v>
      </c>
      <c r="F20" s="388"/>
      <c r="G20" s="31">
        <v>3</v>
      </c>
      <c r="H20" s="408"/>
      <c r="I20" s="419">
        <f t="shared" si="0"/>
        <v>0</v>
      </c>
    </row>
    <row r="21" spans="1:9" x14ac:dyDescent="0.35">
      <c r="A21" s="566" t="s">
        <v>1588</v>
      </c>
      <c r="B21" s="115" t="s">
        <v>222</v>
      </c>
      <c r="C21" s="315"/>
      <c r="D21" s="115"/>
      <c r="E21" s="115">
        <v>55719</v>
      </c>
      <c r="F21" s="388"/>
      <c r="G21" s="31">
        <v>3</v>
      </c>
      <c r="H21" s="408"/>
      <c r="I21" s="419">
        <f t="shared" si="0"/>
        <v>0</v>
      </c>
    </row>
    <row r="22" spans="1:9" x14ac:dyDescent="0.35">
      <c r="A22" s="566" t="s">
        <v>1241</v>
      </c>
      <c r="B22" s="115" t="s">
        <v>526</v>
      </c>
      <c r="C22" s="315"/>
      <c r="D22" s="115"/>
      <c r="E22" s="115">
        <v>55719</v>
      </c>
      <c r="F22" s="388"/>
      <c r="G22" s="31">
        <v>1</v>
      </c>
      <c r="H22" s="408"/>
      <c r="I22" s="419">
        <f t="shared" si="0"/>
        <v>0</v>
      </c>
    </row>
    <row r="23" spans="1:9" x14ac:dyDescent="0.35">
      <c r="A23" s="566" t="s">
        <v>1075</v>
      </c>
      <c r="B23" s="115" t="s">
        <v>411</v>
      </c>
      <c r="C23" s="315"/>
      <c r="D23" s="115"/>
      <c r="E23" s="115">
        <v>55719</v>
      </c>
      <c r="F23" s="388"/>
      <c r="G23" s="31">
        <v>1</v>
      </c>
      <c r="H23" s="408"/>
      <c r="I23" s="419">
        <f t="shared" si="0"/>
        <v>0</v>
      </c>
    </row>
    <row r="24" spans="1:9" x14ac:dyDescent="0.35">
      <c r="A24" s="566" t="s">
        <v>1077</v>
      </c>
      <c r="B24" s="115" t="s">
        <v>266</v>
      </c>
      <c r="C24" s="315"/>
      <c r="D24" s="115"/>
      <c r="E24" s="115">
        <v>55719</v>
      </c>
      <c r="F24" s="388"/>
      <c r="G24" s="31">
        <v>1</v>
      </c>
      <c r="H24" s="408"/>
      <c r="I24" s="419">
        <f t="shared" si="0"/>
        <v>0</v>
      </c>
    </row>
    <row r="25" spans="1:9" x14ac:dyDescent="0.35">
      <c r="A25" s="566" t="s">
        <v>1076</v>
      </c>
      <c r="B25" s="115" t="s">
        <v>77</v>
      </c>
      <c r="C25" s="315"/>
      <c r="D25" s="115"/>
      <c r="E25" s="115">
        <v>55719</v>
      </c>
      <c r="F25" s="388"/>
      <c r="G25" s="31">
        <v>1</v>
      </c>
      <c r="H25" s="408"/>
      <c r="I25" s="419">
        <f t="shared" si="0"/>
        <v>0</v>
      </c>
    </row>
    <row r="26" spans="1:9" x14ac:dyDescent="0.35">
      <c r="A26" s="566" t="s">
        <v>1072</v>
      </c>
      <c r="B26" s="115" t="s">
        <v>395</v>
      </c>
      <c r="C26" s="315"/>
      <c r="D26" s="115"/>
      <c r="E26" s="115">
        <v>55719</v>
      </c>
      <c r="F26" s="388"/>
      <c r="G26" s="31">
        <v>1</v>
      </c>
      <c r="H26" s="408"/>
      <c r="I26" s="419">
        <f t="shared" si="0"/>
        <v>0</v>
      </c>
    </row>
    <row r="27" spans="1:9" x14ac:dyDescent="0.35">
      <c r="A27" s="566" t="s">
        <v>1001</v>
      </c>
      <c r="B27" s="115" t="s">
        <v>268</v>
      </c>
      <c r="C27" s="315"/>
      <c r="D27" s="115"/>
      <c r="E27" s="115">
        <v>55719</v>
      </c>
      <c r="F27" s="388"/>
      <c r="G27" s="31">
        <v>1</v>
      </c>
      <c r="H27" s="408"/>
      <c r="I27" s="419">
        <f t="shared" si="0"/>
        <v>0</v>
      </c>
    </row>
    <row r="28" spans="1:9" x14ac:dyDescent="0.35">
      <c r="A28" s="566" t="s">
        <v>1377</v>
      </c>
      <c r="B28" s="115" t="s">
        <v>143</v>
      </c>
      <c r="C28" s="315"/>
      <c r="D28" s="115"/>
      <c r="E28" s="115">
        <v>55719</v>
      </c>
      <c r="F28" s="388"/>
      <c r="G28" s="31">
        <v>1</v>
      </c>
      <c r="H28" s="408"/>
      <c r="I28" s="419">
        <f t="shared" si="0"/>
        <v>0</v>
      </c>
    </row>
    <row r="29" spans="1:9" x14ac:dyDescent="0.35">
      <c r="A29" s="566" t="s">
        <v>1246</v>
      </c>
      <c r="B29" s="115" t="s">
        <v>528</v>
      </c>
      <c r="C29" s="315"/>
      <c r="D29" s="115"/>
      <c r="E29" s="115">
        <v>55719</v>
      </c>
      <c r="F29" s="388"/>
      <c r="G29" s="31">
        <v>1</v>
      </c>
      <c r="H29" s="408"/>
      <c r="I29" s="419">
        <f t="shared" si="0"/>
        <v>0</v>
      </c>
    </row>
    <row r="30" spans="1:9" x14ac:dyDescent="0.35">
      <c r="A30" s="566" t="s">
        <v>1360</v>
      </c>
      <c r="B30" s="115" t="s">
        <v>145</v>
      </c>
      <c r="C30" s="315"/>
      <c r="D30" s="115"/>
      <c r="E30" s="115">
        <v>55719</v>
      </c>
      <c r="F30" s="388"/>
      <c r="G30" s="31">
        <v>1</v>
      </c>
      <c r="H30" s="408"/>
      <c r="I30" s="419">
        <f t="shared" si="0"/>
        <v>0</v>
      </c>
    </row>
    <row r="31" spans="1:9" x14ac:dyDescent="0.35">
      <c r="A31" s="566" t="s">
        <v>992</v>
      </c>
      <c r="B31" s="115" t="s">
        <v>527</v>
      </c>
      <c r="C31" s="315"/>
      <c r="D31" s="115"/>
      <c r="E31" s="115">
        <v>55719</v>
      </c>
      <c r="F31" s="388"/>
      <c r="G31" s="31">
        <v>1</v>
      </c>
      <c r="H31" s="408"/>
      <c r="I31" s="419">
        <f t="shared" si="0"/>
        <v>0</v>
      </c>
    </row>
    <row r="32" spans="1:9" x14ac:dyDescent="0.35">
      <c r="A32" s="566" t="s">
        <v>2593</v>
      </c>
      <c r="B32" s="115" t="s">
        <v>1616</v>
      </c>
      <c r="C32" s="315"/>
      <c r="D32" s="115"/>
      <c r="E32" s="115">
        <v>55719</v>
      </c>
      <c r="F32" s="388"/>
      <c r="G32" s="31">
        <v>1</v>
      </c>
      <c r="H32" s="408"/>
      <c r="I32" s="419">
        <f t="shared" si="0"/>
        <v>0</v>
      </c>
    </row>
    <row r="33" spans="1:9" x14ac:dyDescent="0.35">
      <c r="A33" s="566" t="s">
        <v>930</v>
      </c>
      <c r="B33" s="115" t="s">
        <v>88</v>
      </c>
      <c r="C33" s="315"/>
      <c r="D33" s="115"/>
      <c r="E33" s="115">
        <v>55719</v>
      </c>
      <c r="F33" s="388"/>
      <c r="G33" s="31">
        <v>1</v>
      </c>
      <c r="H33" s="408"/>
      <c r="I33" s="419">
        <f t="shared" si="0"/>
        <v>0</v>
      </c>
    </row>
    <row r="34" spans="1:9" x14ac:dyDescent="0.35">
      <c r="A34" s="566" t="s">
        <v>1055</v>
      </c>
      <c r="B34" s="115" t="s">
        <v>531</v>
      </c>
      <c r="C34" s="315"/>
      <c r="D34" s="115"/>
      <c r="E34" s="115">
        <v>55719</v>
      </c>
      <c r="F34" s="388"/>
      <c r="G34" s="31">
        <v>1</v>
      </c>
      <c r="H34" s="408"/>
      <c r="I34" s="419">
        <f t="shared" si="0"/>
        <v>0</v>
      </c>
    </row>
    <row r="35" spans="1:9" x14ac:dyDescent="0.35">
      <c r="A35" s="566" t="s">
        <v>1060</v>
      </c>
      <c r="B35" s="115" t="s">
        <v>74</v>
      </c>
      <c r="C35" s="315"/>
      <c r="D35" s="115"/>
      <c r="E35" s="115">
        <v>55719</v>
      </c>
      <c r="F35" s="388"/>
      <c r="G35" s="31">
        <v>1</v>
      </c>
      <c r="H35" s="408"/>
      <c r="I35" s="419">
        <f t="shared" si="0"/>
        <v>0</v>
      </c>
    </row>
    <row r="36" spans="1:9" x14ac:dyDescent="0.35">
      <c r="A36" s="566" t="s">
        <v>19</v>
      </c>
      <c r="B36" s="115" t="s">
        <v>242</v>
      </c>
      <c r="C36" s="315"/>
      <c r="D36" s="115"/>
      <c r="E36" s="115">
        <v>55719</v>
      </c>
      <c r="F36" s="388"/>
      <c r="G36" s="31">
        <v>2</v>
      </c>
      <c r="H36" s="408"/>
      <c r="I36" s="419">
        <f t="shared" si="0"/>
        <v>0</v>
      </c>
    </row>
    <row r="37" spans="1:9" x14ac:dyDescent="0.35">
      <c r="A37" s="234" t="s">
        <v>1595</v>
      </c>
      <c r="B37" s="115" t="s">
        <v>2604</v>
      </c>
      <c r="C37" s="315"/>
      <c r="D37" s="115"/>
      <c r="E37" s="115">
        <v>55719</v>
      </c>
      <c r="F37" s="388"/>
      <c r="G37" s="31">
        <v>1</v>
      </c>
      <c r="H37" s="408"/>
      <c r="I37" s="419">
        <f t="shared" si="0"/>
        <v>0</v>
      </c>
    </row>
    <row r="38" spans="1:9" s="74" customFormat="1" x14ac:dyDescent="0.35">
      <c r="A38" s="566" t="s">
        <v>12</v>
      </c>
      <c r="B38" s="115" t="s">
        <v>150</v>
      </c>
      <c r="C38" s="315"/>
      <c r="D38" s="115"/>
      <c r="E38" s="115">
        <v>55719</v>
      </c>
      <c r="F38" s="388"/>
      <c r="G38" s="31">
        <v>1</v>
      </c>
      <c r="H38" s="408"/>
      <c r="I38" s="419">
        <f t="shared" si="0"/>
        <v>0</v>
      </c>
    </row>
    <row r="39" spans="1:9" x14ac:dyDescent="0.35">
      <c r="A39" s="566" t="s">
        <v>1042</v>
      </c>
      <c r="B39" s="115" t="s">
        <v>429</v>
      </c>
      <c r="C39" s="315"/>
      <c r="D39" s="115"/>
      <c r="E39" s="115">
        <v>55719</v>
      </c>
      <c r="F39" s="388"/>
      <c r="G39" s="31">
        <v>1</v>
      </c>
      <c r="H39" s="408"/>
      <c r="I39" s="419">
        <f t="shared" si="0"/>
        <v>0</v>
      </c>
    </row>
    <row r="40" spans="1:9" x14ac:dyDescent="0.35">
      <c r="A40" s="566" t="s">
        <v>4</v>
      </c>
      <c r="B40" s="115" t="s">
        <v>86</v>
      </c>
      <c r="C40" s="315"/>
      <c r="D40" s="115"/>
      <c r="E40" s="115">
        <v>55719</v>
      </c>
      <c r="F40" s="388"/>
      <c r="G40" s="31">
        <v>1</v>
      </c>
      <c r="H40" s="408"/>
      <c r="I40" s="419">
        <f t="shared" si="0"/>
        <v>0</v>
      </c>
    </row>
    <row r="41" spans="1:9" x14ac:dyDescent="0.35">
      <c r="A41" s="566" t="s">
        <v>97</v>
      </c>
      <c r="B41" s="115" t="s">
        <v>457</v>
      </c>
      <c r="C41" s="315"/>
      <c r="D41" s="115"/>
      <c r="E41" s="115">
        <v>55719</v>
      </c>
      <c r="F41" s="388"/>
      <c r="G41" s="31">
        <v>1</v>
      </c>
      <c r="H41" s="408"/>
      <c r="I41" s="419">
        <f t="shared" si="0"/>
        <v>0</v>
      </c>
    </row>
    <row r="42" spans="1:9" x14ac:dyDescent="0.35">
      <c r="A42" s="566" t="s">
        <v>2602</v>
      </c>
      <c r="B42" s="207" t="s">
        <v>2603</v>
      </c>
      <c r="C42" s="315"/>
      <c r="D42" s="207"/>
      <c r="E42" s="207">
        <v>55719</v>
      </c>
      <c r="F42" s="388"/>
      <c r="G42" s="201">
        <v>1</v>
      </c>
      <c r="H42" s="408"/>
      <c r="I42" s="419">
        <f t="shared" si="0"/>
        <v>0</v>
      </c>
    </row>
    <row r="43" spans="1:9" x14ac:dyDescent="0.35">
      <c r="B43" s="81"/>
      <c r="C43" s="81"/>
      <c r="D43" s="81"/>
      <c r="E43" s="81"/>
      <c r="F43"/>
      <c r="G43" s="81"/>
      <c r="I43" s="386">
        <f>SUM(I2:I42)</f>
        <v>0</v>
      </c>
    </row>
    <row r="44" spans="1:9" ht="15" customHeight="1" x14ac:dyDescent="0.35">
      <c r="F44"/>
    </row>
    <row r="45" spans="1:9" x14ac:dyDescent="0.35">
      <c r="F45"/>
    </row>
    <row r="46" spans="1:9" ht="17.5" x14ac:dyDescent="0.35">
      <c r="A46" s="309" t="s">
        <v>1512</v>
      </c>
      <c r="B46" s="312"/>
      <c r="C46" s="249"/>
      <c r="D46" s="3"/>
      <c r="E46" s="3"/>
      <c r="F46"/>
      <c r="G46" s="3"/>
      <c r="H46" s="396"/>
      <c r="I46" s="406"/>
    </row>
    <row r="47" spans="1:9" ht="15.75" customHeight="1" x14ac:dyDescent="0.35">
      <c r="A47" s="309" t="s">
        <v>2373</v>
      </c>
      <c r="B47" s="312"/>
      <c r="C47" s="249"/>
      <c r="D47" s="3"/>
      <c r="E47" s="3"/>
      <c r="F47"/>
      <c r="G47" s="3"/>
      <c r="H47" s="396"/>
      <c r="I47" s="406"/>
    </row>
    <row r="48" spans="1:9" ht="15.75" customHeight="1" x14ac:dyDescent="0.35">
      <c r="A48" s="322" t="s">
        <v>2642</v>
      </c>
      <c r="B48" s="201"/>
      <c r="F48"/>
    </row>
    <row r="49" spans="1:9" s="104" customFormat="1" ht="17.5" x14ac:dyDescent="0.35">
      <c r="A49" s="319" t="s">
        <v>2694</v>
      </c>
      <c r="B49" s="413">
        <f>+I43</f>
        <v>0</v>
      </c>
      <c r="C49" s="76"/>
      <c r="D49" s="76"/>
      <c r="E49" s="76"/>
      <c r="F49"/>
      <c r="G49" s="76"/>
      <c r="H49" s="386"/>
      <c r="I49" s="386"/>
    </row>
    <row r="50" spans="1:9" s="104" customFormat="1" x14ac:dyDescent="0.35">
      <c r="A50" s="106"/>
      <c r="B50" s="76"/>
      <c r="C50" s="76"/>
      <c r="D50" s="76"/>
      <c r="E50" s="76"/>
      <c r="F50" s="251"/>
      <c r="G50" s="76"/>
      <c r="H50" s="386"/>
      <c r="I50" s="386"/>
    </row>
    <row r="51" spans="1:9" x14ac:dyDescent="0.35">
      <c r="F51" s="278"/>
    </row>
    <row r="52" spans="1:9" x14ac:dyDescent="0.35">
      <c r="F52" s="278"/>
    </row>
    <row r="54" spans="1:9" s="4" customFormat="1" ht="17.5" x14ac:dyDescent="0.35">
      <c r="A54" s="106"/>
      <c r="B54" s="76"/>
      <c r="C54" s="76"/>
      <c r="D54" s="76"/>
      <c r="E54" s="76"/>
      <c r="F54" s="251"/>
      <c r="G54" s="76"/>
      <c r="H54" s="386"/>
      <c r="I54" s="386"/>
    </row>
    <row r="55" spans="1:9" s="4" customFormat="1" ht="17.5" x14ac:dyDescent="0.35">
      <c r="A55" s="106"/>
      <c r="B55" s="76"/>
      <c r="C55" s="76"/>
      <c r="D55" s="76"/>
      <c r="E55" s="76"/>
      <c r="F55" s="251"/>
      <c r="G55" s="76"/>
      <c r="H55" s="386"/>
      <c r="I55" s="386"/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9"/>
  <sheetViews>
    <sheetView workbookViewId="0">
      <pane ySplit="1" topLeftCell="A102" activePane="bottomLeft" state="frozen"/>
      <selection activeCell="G1" sqref="G1:G1048576"/>
      <selection pane="bottomLeft" activeCell="A117" sqref="A109:XFD117"/>
    </sheetView>
  </sheetViews>
  <sheetFormatPr defaultColWidth="9.08984375" defaultRowHeight="17.5" x14ac:dyDescent="0.35"/>
  <cols>
    <col min="1" max="1" width="63.90625" style="153" bestFit="1" customWidth="1"/>
    <col min="2" max="2" width="16.453125" style="156" bestFit="1" customWidth="1"/>
    <col min="3" max="3" width="21.1796875" style="76" customWidth="1"/>
    <col min="4" max="4" width="21.81640625" style="156" customWidth="1"/>
    <col min="5" max="5" width="14.36328125" style="156" customWidth="1"/>
    <col min="6" max="6" width="18" style="251" customWidth="1"/>
    <col min="7" max="7" width="11.90625" style="156" customWidth="1"/>
    <col min="8" max="8" width="13.08984375" style="435" customWidth="1"/>
    <col min="9" max="9" width="18.6328125" style="435" customWidth="1"/>
    <col min="10" max="10" width="21" style="153" bestFit="1" customWidth="1"/>
    <col min="11" max="16384" width="9.08984375" style="153"/>
  </cols>
  <sheetData>
    <row r="1" spans="1:9" x14ac:dyDescent="0.35">
      <c r="A1" s="567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61" t="s">
        <v>2699</v>
      </c>
      <c r="G1" s="23" t="s">
        <v>364</v>
      </c>
      <c r="H1" s="393" t="s">
        <v>2695</v>
      </c>
      <c r="I1" s="561" t="s">
        <v>2696</v>
      </c>
    </row>
    <row r="2" spans="1:9" x14ac:dyDescent="0.35">
      <c r="A2" s="234" t="s">
        <v>1595</v>
      </c>
      <c r="B2" s="102" t="s">
        <v>2604</v>
      </c>
      <c r="C2" s="315"/>
      <c r="D2" s="102"/>
      <c r="E2" s="102">
        <v>55719</v>
      </c>
      <c r="F2" s="384"/>
      <c r="G2" s="43">
        <v>1</v>
      </c>
      <c r="H2" s="434"/>
      <c r="I2" s="569">
        <f t="shared" ref="I2:I33" si="0">+G2*H2</f>
        <v>0</v>
      </c>
    </row>
    <row r="3" spans="1:9" x14ac:dyDescent="0.35">
      <c r="A3" s="568" t="s">
        <v>4</v>
      </c>
      <c r="B3" s="102" t="s">
        <v>86</v>
      </c>
      <c r="C3" s="315"/>
      <c r="D3" s="102"/>
      <c r="E3" s="102">
        <v>55719</v>
      </c>
      <c r="F3" s="384"/>
      <c r="G3" s="43">
        <v>1</v>
      </c>
      <c r="H3" s="434"/>
      <c r="I3" s="569">
        <f t="shared" si="0"/>
        <v>0</v>
      </c>
    </row>
    <row r="4" spans="1:9" x14ac:dyDescent="0.35">
      <c r="A4" s="568" t="s">
        <v>5</v>
      </c>
      <c r="B4" s="102" t="s">
        <v>415</v>
      </c>
      <c r="C4" s="315"/>
      <c r="D4" s="102"/>
      <c r="E4" s="102">
        <v>55719</v>
      </c>
      <c r="F4" s="384"/>
      <c r="G4" s="43">
        <v>1</v>
      </c>
      <c r="H4" s="434"/>
      <c r="I4" s="569">
        <f t="shared" si="0"/>
        <v>0</v>
      </c>
    </row>
    <row r="5" spans="1:9" x14ac:dyDescent="0.35">
      <c r="A5" s="568" t="s">
        <v>6</v>
      </c>
      <c r="B5" s="102" t="s">
        <v>87</v>
      </c>
      <c r="C5" s="315"/>
      <c r="D5" s="102"/>
      <c r="E5" s="102">
        <v>55719</v>
      </c>
      <c r="F5" s="384"/>
      <c r="G5" s="43">
        <v>2</v>
      </c>
      <c r="H5" s="434"/>
      <c r="I5" s="569">
        <f t="shared" si="0"/>
        <v>0</v>
      </c>
    </row>
    <row r="6" spans="1:9" x14ac:dyDescent="0.35">
      <c r="A6" s="568" t="s">
        <v>1028</v>
      </c>
      <c r="B6" s="102" t="s">
        <v>741</v>
      </c>
      <c r="C6" s="315"/>
      <c r="D6" s="102"/>
      <c r="E6" s="102">
        <v>55719</v>
      </c>
      <c r="F6" s="384"/>
      <c r="G6" s="43">
        <v>1</v>
      </c>
      <c r="H6" s="434"/>
      <c r="I6" s="569">
        <f t="shared" si="0"/>
        <v>0</v>
      </c>
    </row>
    <row r="7" spans="1:9" x14ac:dyDescent="0.35">
      <c r="A7" s="568" t="s">
        <v>1113</v>
      </c>
      <c r="B7" s="102" t="s">
        <v>92</v>
      </c>
      <c r="C7" s="315"/>
      <c r="D7" s="102"/>
      <c r="E7" s="102">
        <v>55719</v>
      </c>
      <c r="F7" s="384"/>
      <c r="G7" s="43">
        <v>1</v>
      </c>
      <c r="H7" s="434"/>
      <c r="I7" s="569">
        <f t="shared" si="0"/>
        <v>0</v>
      </c>
    </row>
    <row r="8" spans="1:9" x14ac:dyDescent="0.35">
      <c r="A8" s="568" t="s">
        <v>1260</v>
      </c>
      <c r="B8" s="102" t="s">
        <v>501</v>
      </c>
      <c r="C8" s="315"/>
      <c r="D8" s="102"/>
      <c r="E8" s="102">
        <v>55719</v>
      </c>
      <c r="F8" s="384"/>
      <c r="G8" s="43">
        <v>1</v>
      </c>
      <c r="H8" s="434"/>
      <c r="I8" s="569">
        <f t="shared" si="0"/>
        <v>0</v>
      </c>
    </row>
    <row r="9" spans="1:9" x14ac:dyDescent="0.35">
      <c r="A9" s="568" t="s">
        <v>1806</v>
      </c>
      <c r="B9" s="102" t="s">
        <v>1807</v>
      </c>
      <c r="C9" s="315"/>
      <c r="D9" s="102"/>
      <c r="E9" s="102">
        <v>55719</v>
      </c>
      <c r="F9" s="384"/>
      <c r="G9" s="43">
        <v>1</v>
      </c>
      <c r="H9" s="434"/>
      <c r="I9" s="569">
        <f t="shared" si="0"/>
        <v>0</v>
      </c>
    </row>
    <row r="10" spans="1:9" x14ac:dyDescent="0.35">
      <c r="A10" s="568" t="s">
        <v>870</v>
      </c>
      <c r="B10" s="102" t="s">
        <v>416</v>
      </c>
      <c r="C10" s="315"/>
      <c r="D10" s="102"/>
      <c r="E10" s="102">
        <v>55719</v>
      </c>
      <c r="F10" s="384"/>
      <c r="G10" s="43">
        <v>1</v>
      </c>
      <c r="H10" s="434"/>
      <c r="I10" s="569">
        <f t="shared" si="0"/>
        <v>0</v>
      </c>
    </row>
    <row r="11" spans="1:9" x14ac:dyDescent="0.35">
      <c r="A11" s="568" t="s">
        <v>1112</v>
      </c>
      <c r="B11" s="102" t="s">
        <v>790</v>
      </c>
      <c r="C11" s="315"/>
      <c r="D11" s="102"/>
      <c r="E11" s="102">
        <v>55719</v>
      </c>
      <c r="F11" s="384"/>
      <c r="G11" s="43">
        <v>1</v>
      </c>
      <c r="H11" s="434"/>
      <c r="I11" s="569">
        <f t="shared" si="0"/>
        <v>0</v>
      </c>
    </row>
    <row r="12" spans="1:9" x14ac:dyDescent="0.35">
      <c r="A12" s="568" t="s">
        <v>1114</v>
      </c>
      <c r="B12" s="102" t="s">
        <v>91</v>
      </c>
      <c r="C12" s="315"/>
      <c r="D12" s="102"/>
      <c r="E12" s="102">
        <v>55719</v>
      </c>
      <c r="F12" s="384"/>
      <c r="G12" s="43">
        <v>1</v>
      </c>
      <c r="H12" s="434"/>
      <c r="I12" s="569">
        <f t="shared" si="0"/>
        <v>0</v>
      </c>
    </row>
    <row r="13" spans="1:9" x14ac:dyDescent="0.35">
      <c r="A13" s="568" t="s">
        <v>1105</v>
      </c>
      <c r="B13" s="102" t="s">
        <v>93</v>
      </c>
      <c r="C13" s="315"/>
      <c r="D13" s="102"/>
      <c r="E13" s="102">
        <v>55719</v>
      </c>
      <c r="F13" s="384"/>
      <c r="G13" s="43">
        <v>1</v>
      </c>
      <c r="H13" s="434"/>
      <c r="I13" s="569">
        <f t="shared" si="0"/>
        <v>0</v>
      </c>
    </row>
    <row r="14" spans="1:9" x14ac:dyDescent="0.35">
      <c r="A14" s="568" t="s">
        <v>1027</v>
      </c>
      <c r="B14" s="102" t="s">
        <v>96</v>
      </c>
      <c r="C14" s="315"/>
      <c r="D14" s="102"/>
      <c r="E14" s="102">
        <v>55719</v>
      </c>
      <c r="F14" s="384"/>
      <c r="G14" s="43">
        <v>1</v>
      </c>
      <c r="H14" s="434"/>
      <c r="I14" s="569">
        <f t="shared" si="0"/>
        <v>0</v>
      </c>
    </row>
    <row r="15" spans="1:9" x14ac:dyDescent="0.35">
      <c r="A15" s="568" t="s">
        <v>871</v>
      </c>
      <c r="B15" s="102" t="s">
        <v>95</v>
      </c>
      <c r="C15" s="315"/>
      <c r="D15" s="102"/>
      <c r="E15" s="102">
        <v>55719</v>
      </c>
      <c r="F15" s="384"/>
      <c r="G15" s="43">
        <v>1</v>
      </c>
      <c r="H15" s="434"/>
      <c r="I15" s="569">
        <f t="shared" si="0"/>
        <v>0</v>
      </c>
    </row>
    <row r="16" spans="1:9" x14ac:dyDescent="0.35">
      <c r="A16" s="568" t="s">
        <v>968</v>
      </c>
      <c r="B16" s="102" t="s">
        <v>176</v>
      </c>
      <c r="C16" s="315"/>
      <c r="D16" s="102"/>
      <c r="E16" s="102">
        <v>55719</v>
      </c>
      <c r="F16" s="384"/>
      <c r="G16" s="43">
        <v>1</v>
      </c>
      <c r="H16" s="434"/>
      <c r="I16" s="569">
        <f t="shared" si="0"/>
        <v>0</v>
      </c>
    </row>
    <row r="17" spans="1:9" x14ac:dyDescent="0.35">
      <c r="A17" s="568" t="s">
        <v>872</v>
      </c>
      <c r="B17" s="102" t="s">
        <v>367</v>
      </c>
      <c r="C17" s="315"/>
      <c r="D17" s="102"/>
      <c r="E17" s="102">
        <v>55719</v>
      </c>
      <c r="F17" s="384"/>
      <c r="G17" s="43">
        <v>1</v>
      </c>
      <c r="H17" s="434"/>
      <c r="I17" s="569">
        <f t="shared" si="0"/>
        <v>0</v>
      </c>
    </row>
    <row r="18" spans="1:9" x14ac:dyDescent="0.35">
      <c r="A18" s="568" t="s">
        <v>874</v>
      </c>
      <c r="B18" s="102" t="s">
        <v>206</v>
      </c>
      <c r="C18" s="315"/>
      <c r="D18" s="102"/>
      <c r="E18" s="102">
        <v>55719</v>
      </c>
      <c r="F18" s="384"/>
      <c r="G18" s="43">
        <v>1</v>
      </c>
      <c r="H18" s="434"/>
      <c r="I18" s="569">
        <f t="shared" si="0"/>
        <v>0</v>
      </c>
    </row>
    <row r="19" spans="1:9" x14ac:dyDescent="0.35">
      <c r="A19" s="568" t="s">
        <v>970</v>
      </c>
      <c r="B19" s="102" t="s">
        <v>230</v>
      </c>
      <c r="C19" s="315"/>
      <c r="D19" s="102"/>
      <c r="E19" s="102">
        <v>55719</v>
      </c>
      <c r="F19" s="384"/>
      <c r="G19" s="43">
        <v>1</v>
      </c>
      <c r="H19" s="434"/>
      <c r="I19" s="569">
        <f t="shared" si="0"/>
        <v>0</v>
      </c>
    </row>
    <row r="20" spans="1:9" x14ac:dyDescent="0.35">
      <c r="A20" s="568" t="s">
        <v>1179</v>
      </c>
      <c r="B20" s="102" t="s">
        <v>7</v>
      </c>
      <c r="C20" s="315"/>
      <c r="D20" s="102"/>
      <c r="E20" s="102">
        <v>55719</v>
      </c>
      <c r="F20" s="384"/>
      <c r="G20" s="43">
        <v>1</v>
      </c>
      <c r="H20" s="434"/>
      <c r="I20" s="569">
        <f t="shared" si="0"/>
        <v>0</v>
      </c>
    </row>
    <row r="21" spans="1:9" x14ac:dyDescent="0.35">
      <c r="A21" s="568" t="s">
        <v>879</v>
      </c>
      <c r="B21" s="102" t="s">
        <v>369</v>
      </c>
      <c r="C21" s="315"/>
      <c r="D21" s="102"/>
      <c r="E21" s="102">
        <v>55719</v>
      </c>
      <c r="F21" s="384"/>
      <c r="G21" s="43">
        <v>1</v>
      </c>
      <c r="H21" s="434"/>
      <c r="I21" s="569">
        <f t="shared" si="0"/>
        <v>0</v>
      </c>
    </row>
    <row r="22" spans="1:9" x14ac:dyDescent="0.35">
      <c r="A22" s="568" t="s">
        <v>880</v>
      </c>
      <c r="B22" s="102" t="s">
        <v>366</v>
      </c>
      <c r="C22" s="315"/>
      <c r="D22" s="102"/>
      <c r="E22" s="102">
        <v>55719</v>
      </c>
      <c r="F22" s="384"/>
      <c r="G22" s="43">
        <v>1</v>
      </c>
      <c r="H22" s="434"/>
      <c r="I22" s="569">
        <f t="shared" si="0"/>
        <v>0</v>
      </c>
    </row>
    <row r="23" spans="1:9" x14ac:dyDescent="0.35">
      <c r="A23" s="568" t="s">
        <v>104</v>
      </c>
      <c r="B23" s="102" t="s">
        <v>506</v>
      </c>
      <c r="C23" s="315"/>
      <c r="D23" s="102"/>
      <c r="E23" s="102">
        <v>55719</v>
      </c>
      <c r="F23" s="384"/>
      <c r="G23" s="43">
        <v>1</v>
      </c>
      <c r="H23" s="434"/>
      <c r="I23" s="569">
        <f t="shared" si="0"/>
        <v>0</v>
      </c>
    </row>
    <row r="24" spans="1:9" x14ac:dyDescent="0.35">
      <c r="A24" s="568" t="s">
        <v>105</v>
      </c>
      <c r="B24" s="102" t="s">
        <v>106</v>
      </c>
      <c r="C24" s="315"/>
      <c r="D24" s="102"/>
      <c r="E24" s="102">
        <v>55719</v>
      </c>
      <c r="F24" s="384"/>
      <c r="G24" s="43">
        <v>1</v>
      </c>
      <c r="H24" s="434"/>
      <c r="I24" s="569">
        <f t="shared" si="0"/>
        <v>0</v>
      </c>
    </row>
    <row r="25" spans="1:9" x14ac:dyDescent="0.35">
      <c r="A25" s="568" t="s">
        <v>10</v>
      </c>
      <c r="B25" s="102" t="s">
        <v>418</v>
      </c>
      <c r="C25" s="315"/>
      <c r="D25" s="102"/>
      <c r="E25" s="102">
        <v>55719</v>
      </c>
      <c r="F25" s="384"/>
      <c r="G25" s="43">
        <v>1</v>
      </c>
      <c r="H25" s="434"/>
      <c r="I25" s="569">
        <f t="shared" si="0"/>
        <v>0</v>
      </c>
    </row>
    <row r="26" spans="1:9" x14ac:dyDescent="0.35">
      <c r="A26" s="568" t="s">
        <v>97</v>
      </c>
      <c r="B26" s="102" t="s">
        <v>457</v>
      </c>
      <c r="C26" s="315"/>
      <c r="D26" s="102"/>
      <c r="E26" s="102">
        <v>55719</v>
      </c>
      <c r="F26" s="384"/>
      <c r="G26" s="43">
        <v>1</v>
      </c>
      <c r="H26" s="434"/>
      <c r="I26" s="569">
        <f t="shared" si="0"/>
        <v>0</v>
      </c>
    </row>
    <row r="27" spans="1:9" x14ac:dyDescent="0.35">
      <c r="A27" s="568" t="s">
        <v>881</v>
      </c>
      <c r="B27" s="102" t="s">
        <v>417</v>
      </c>
      <c r="C27" s="315"/>
      <c r="D27" s="102"/>
      <c r="E27" s="102">
        <v>55719</v>
      </c>
      <c r="F27" s="384"/>
      <c r="G27" s="43">
        <v>1</v>
      </c>
      <c r="H27" s="434"/>
      <c r="I27" s="569">
        <f t="shared" si="0"/>
        <v>0</v>
      </c>
    </row>
    <row r="28" spans="1:9" x14ac:dyDescent="0.35">
      <c r="A28" s="568" t="s">
        <v>181</v>
      </c>
      <c r="B28" s="102" t="s">
        <v>182</v>
      </c>
      <c r="C28" s="315"/>
      <c r="D28" s="102"/>
      <c r="E28" s="102">
        <v>55719</v>
      </c>
      <c r="F28" s="384"/>
      <c r="G28" s="43">
        <v>1</v>
      </c>
      <c r="H28" s="434"/>
      <c r="I28" s="569">
        <f t="shared" si="0"/>
        <v>0</v>
      </c>
    </row>
    <row r="29" spans="1:9" x14ac:dyDescent="0.35">
      <c r="A29" s="568" t="s">
        <v>11</v>
      </c>
      <c r="B29" s="102" t="s">
        <v>233</v>
      </c>
      <c r="C29" s="315"/>
      <c r="D29" s="102"/>
      <c r="E29" s="102">
        <v>55719</v>
      </c>
      <c r="F29" s="384"/>
      <c r="G29" s="43">
        <v>1</v>
      </c>
      <c r="H29" s="434"/>
      <c r="I29" s="569">
        <f t="shared" si="0"/>
        <v>0</v>
      </c>
    </row>
    <row r="30" spans="1:9" x14ac:dyDescent="0.35">
      <c r="A30" s="568" t="s">
        <v>12</v>
      </c>
      <c r="B30" s="102" t="s">
        <v>150</v>
      </c>
      <c r="C30" s="315"/>
      <c r="D30" s="102"/>
      <c r="E30" s="102">
        <v>55719</v>
      </c>
      <c r="F30" s="384"/>
      <c r="G30" s="43">
        <v>1</v>
      </c>
      <c r="H30" s="434"/>
      <c r="I30" s="569">
        <f t="shared" si="0"/>
        <v>0</v>
      </c>
    </row>
    <row r="31" spans="1:9" x14ac:dyDescent="0.35">
      <c r="A31" s="568" t="s">
        <v>107</v>
      </c>
      <c r="B31" s="102" t="s">
        <v>507</v>
      </c>
      <c r="C31" s="315"/>
      <c r="D31" s="102"/>
      <c r="E31" s="102">
        <v>55719</v>
      </c>
      <c r="F31" s="384"/>
      <c r="G31" s="43">
        <v>1</v>
      </c>
      <c r="H31" s="434"/>
      <c r="I31" s="569">
        <f t="shared" si="0"/>
        <v>0</v>
      </c>
    </row>
    <row r="32" spans="1:9" x14ac:dyDescent="0.35">
      <c r="A32" s="568" t="s">
        <v>883</v>
      </c>
      <c r="B32" s="102" t="s">
        <v>235</v>
      </c>
      <c r="C32" s="315"/>
      <c r="D32" s="102"/>
      <c r="E32" s="102">
        <v>55719</v>
      </c>
      <c r="F32" s="384"/>
      <c r="G32" s="43">
        <v>1</v>
      </c>
      <c r="H32" s="434"/>
      <c r="I32" s="569">
        <f t="shared" si="0"/>
        <v>0</v>
      </c>
    </row>
    <row r="33" spans="1:9" x14ac:dyDescent="0.35">
      <c r="A33" s="568" t="s">
        <v>1725</v>
      </c>
      <c r="B33" s="102" t="s">
        <v>1726</v>
      </c>
      <c r="C33" s="315"/>
      <c r="D33" s="102"/>
      <c r="E33" s="102">
        <v>55719</v>
      </c>
      <c r="F33" s="384"/>
      <c r="G33" s="43">
        <v>1</v>
      </c>
      <c r="H33" s="434"/>
      <c r="I33" s="569">
        <f t="shared" si="0"/>
        <v>0</v>
      </c>
    </row>
    <row r="34" spans="1:9" x14ac:dyDescent="0.35">
      <c r="A34" s="568" t="s">
        <v>930</v>
      </c>
      <c r="B34" s="102" t="s">
        <v>88</v>
      </c>
      <c r="C34" s="315"/>
      <c r="D34" s="102"/>
      <c r="E34" s="102">
        <v>55719</v>
      </c>
      <c r="F34" s="384"/>
      <c r="G34" s="43">
        <v>1</v>
      </c>
      <c r="H34" s="434"/>
      <c r="I34" s="569">
        <f t="shared" ref="I34:I65" si="1">+G34*H34</f>
        <v>0</v>
      </c>
    </row>
    <row r="35" spans="1:9" x14ac:dyDescent="0.35">
      <c r="A35" s="568" t="s">
        <v>1019</v>
      </c>
      <c r="B35" s="102" t="s">
        <v>90</v>
      </c>
      <c r="C35" s="315"/>
      <c r="D35" s="102"/>
      <c r="E35" s="102">
        <v>55719</v>
      </c>
      <c r="F35" s="384"/>
      <c r="G35" s="43">
        <v>1</v>
      </c>
      <c r="H35" s="434"/>
      <c r="I35" s="569">
        <f t="shared" si="1"/>
        <v>0</v>
      </c>
    </row>
    <row r="36" spans="1:9" x14ac:dyDescent="0.35">
      <c r="A36" s="568" t="s">
        <v>1818</v>
      </c>
      <c r="B36" s="102" t="s">
        <v>1819</v>
      </c>
      <c r="C36" s="315"/>
      <c r="D36" s="102"/>
      <c r="E36" s="102">
        <v>55719</v>
      </c>
      <c r="F36" s="384"/>
      <c r="G36" s="43">
        <v>1</v>
      </c>
      <c r="H36" s="434"/>
      <c r="I36" s="569">
        <f t="shared" si="1"/>
        <v>0</v>
      </c>
    </row>
    <row r="37" spans="1:9" x14ac:dyDescent="0.35">
      <c r="A37" s="568" t="s">
        <v>14</v>
      </c>
      <c r="B37" s="102" t="s">
        <v>334</v>
      </c>
      <c r="C37" s="315"/>
      <c r="D37" s="102"/>
      <c r="E37" s="102">
        <v>55719</v>
      </c>
      <c r="F37" s="384"/>
      <c r="G37" s="43">
        <v>1</v>
      </c>
      <c r="H37" s="434"/>
      <c r="I37" s="569">
        <f t="shared" si="1"/>
        <v>0</v>
      </c>
    </row>
    <row r="38" spans="1:9" x14ac:dyDescent="0.35">
      <c r="A38" s="568" t="s">
        <v>15</v>
      </c>
      <c r="B38" s="102" t="s">
        <v>424</v>
      </c>
      <c r="C38" s="315"/>
      <c r="D38" s="102"/>
      <c r="E38" s="102">
        <v>55719</v>
      </c>
      <c r="F38" s="384"/>
      <c r="G38" s="43">
        <v>2</v>
      </c>
      <c r="H38" s="434"/>
      <c r="I38" s="569">
        <f t="shared" si="1"/>
        <v>0</v>
      </c>
    </row>
    <row r="39" spans="1:9" x14ac:dyDescent="0.35">
      <c r="A39" s="568" t="s">
        <v>1155</v>
      </c>
      <c r="B39" s="102" t="s">
        <v>789</v>
      </c>
      <c r="C39" s="315"/>
      <c r="D39" s="102"/>
      <c r="E39" s="102">
        <v>55719</v>
      </c>
      <c r="F39" s="384"/>
      <c r="G39" s="43">
        <v>1</v>
      </c>
      <c r="H39" s="434"/>
      <c r="I39" s="569">
        <f t="shared" si="1"/>
        <v>0</v>
      </c>
    </row>
    <row r="40" spans="1:9" x14ac:dyDescent="0.35">
      <c r="A40" s="568" t="s">
        <v>171</v>
      </c>
      <c r="B40" s="102" t="s">
        <v>565</v>
      </c>
      <c r="C40" s="315"/>
      <c r="D40" s="102"/>
      <c r="E40" s="102">
        <v>55719</v>
      </c>
      <c r="F40" s="384"/>
      <c r="G40" s="43">
        <v>1</v>
      </c>
      <c r="H40" s="434"/>
      <c r="I40" s="569">
        <f t="shared" si="1"/>
        <v>0</v>
      </c>
    </row>
    <row r="41" spans="1:9" x14ac:dyDescent="0.35">
      <c r="A41" s="568" t="s">
        <v>16</v>
      </c>
      <c r="B41" s="102" t="s">
        <v>360</v>
      </c>
      <c r="C41" s="315"/>
      <c r="D41" s="102"/>
      <c r="E41" s="102">
        <v>55719</v>
      </c>
      <c r="F41" s="384"/>
      <c r="G41" s="43">
        <v>1</v>
      </c>
      <c r="H41" s="434"/>
      <c r="I41" s="569">
        <f t="shared" si="1"/>
        <v>0</v>
      </c>
    </row>
    <row r="42" spans="1:9" x14ac:dyDescent="0.35">
      <c r="A42" s="568" t="s">
        <v>1099</v>
      </c>
      <c r="B42" s="102" t="s">
        <v>426</v>
      </c>
      <c r="C42" s="315"/>
      <c r="D42" s="102"/>
      <c r="E42" s="102">
        <v>55719</v>
      </c>
      <c r="F42" s="384"/>
      <c r="G42" s="43">
        <v>1</v>
      </c>
      <c r="H42" s="434"/>
      <c r="I42" s="569">
        <f t="shared" si="1"/>
        <v>0</v>
      </c>
    </row>
    <row r="43" spans="1:9" x14ac:dyDescent="0.35">
      <c r="A43" s="568" t="s">
        <v>1037</v>
      </c>
      <c r="B43" s="102" t="s">
        <v>1613</v>
      </c>
      <c r="C43" s="315"/>
      <c r="D43" s="102"/>
      <c r="E43" s="102">
        <v>55719</v>
      </c>
      <c r="F43" s="384"/>
      <c r="G43" s="43">
        <v>1</v>
      </c>
      <c r="H43" s="434"/>
      <c r="I43" s="569">
        <f t="shared" si="1"/>
        <v>0</v>
      </c>
    </row>
    <row r="44" spans="1:9" x14ac:dyDescent="0.35">
      <c r="A44" s="568" t="s">
        <v>159</v>
      </c>
      <c r="B44" s="102" t="s">
        <v>427</v>
      </c>
      <c r="C44" s="315"/>
      <c r="D44" s="102"/>
      <c r="E44" s="102">
        <v>55719</v>
      </c>
      <c r="F44" s="384"/>
      <c r="G44" s="43">
        <v>1</v>
      </c>
      <c r="H44" s="434"/>
      <c r="I44" s="569">
        <f t="shared" si="1"/>
        <v>0</v>
      </c>
    </row>
    <row r="45" spans="1:9" x14ac:dyDescent="0.35">
      <c r="A45" s="568" t="s">
        <v>885</v>
      </c>
      <c r="B45" s="102" t="s">
        <v>229</v>
      </c>
      <c r="C45" s="315"/>
      <c r="D45" s="102"/>
      <c r="E45" s="102">
        <v>55719</v>
      </c>
      <c r="F45" s="384"/>
      <c r="G45" s="43">
        <v>1</v>
      </c>
      <c r="H45" s="434"/>
      <c r="I45" s="569">
        <f t="shared" si="1"/>
        <v>0</v>
      </c>
    </row>
    <row r="46" spans="1:9" x14ac:dyDescent="0.35">
      <c r="A46" s="568" t="s">
        <v>2595</v>
      </c>
      <c r="B46" s="102" t="s">
        <v>508</v>
      </c>
      <c r="C46" s="315"/>
      <c r="D46" s="102"/>
      <c r="E46" s="102">
        <v>55719</v>
      </c>
      <c r="F46" s="384"/>
      <c r="G46" s="43">
        <v>1</v>
      </c>
      <c r="H46" s="434"/>
      <c r="I46" s="569">
        <f t="shared" si="1"/>
        <v>0</v>
      </c>
    </row>
    <row r="47" spans="1:9" ht="17.25" customHeight="1" x14ac:dyDescent="0.35">
      <c r="A47" s="568" t="s">
        <v>1042</v>
      </c>
      <c r="B47" s="102" t="s">
        <v>429</v>
      </c>
      <c r="C47" s="315"/>
      <c r="D47" s="102"/>
      <c r="E47" s="102">
        <v>55719</v>
      </c>
      <c r="F47" s="384"/>
      <c r="G47" s="43">
        <v>1</v>
      </c>
      <c r="H47" s="434"/>
      <c r="I47" s="569">
        <f t="shared" si="1"/>
        <v>0</v>
      </c>
    </row>
    <row r="48" spans="1:9" x14ac:dyDescent="0.35">
      <c r="A48" s="568" t="s">
        <v>1235</v>
      </c>
      <c r="B48" s="102" t="s">
        <v>497</v>
      </c>
      <c r="C48" s="315"/>
      <c r="D48" s="102"/>
      <c r="E48" s="102">
        <v>55719</v>
      </c>
      <c r="F48" s="384"/>
      <c r="G48" s="43">
        <v>1</v>
      </c>
      <c r="H48" s="434"/>
      <c r="I48" s="569">
        <f t="shared" si="1"/>
        <v>0</v>
      </c>
    </row>
    <row r="49" spans="1:9" x14ac:dyDescent="0.35">
      <c r="A49" s="568" t="s">
        <v>991</v>
      </c>
      <c r="B49" s="102" t="s">
        <v>509</v>
      </c>
      <c r="C49" s="315"/>
      <c r="D49" s="102"/>
      <c r="E49" s="102">
        <v>55719</v>
      </c>
      <c r="F49" s="384"/>
      <c r="G49" s="43">
        <v>1</v>
      </c>
      <c r="H49" s="434"/>
      <c r="I49" s="569">
        <f t="shared" si="1"/>
        <v>0</v>
      </c>
    </row>
    <row r="50" spans="1:9" x14ac:dyDescent="0.35">
      <c r="A50" s="568" t="s">
        <v>992</v>
      </c>
      <c r="B50" s="102" t="s">
        <v>584</v>
      </c>
      <c r="C50" s="315"/>
      <c r="D50" s="102"/>
      <c r="E50" s="102">
        <v>55719</v>
      </c>
      <c r="F50" s="384"/>
      <c r="G50" s="43">
        <v>1</v>
      </c>
      <c r="H50" s="434"/>
      <c r="I50" s="569">
        <f t="shared" si="1"/>
        <v>0</v>
      </c>
    </row>
    <row r="51" spans="1:9" x14ac:dyDescent="0.35">
      <c r="A51" s="568" t="s">
        <v>19</v>
      </c>
      <c r="B51" s="102" t="s">
        <v>242</v>
      </c>
      <c r="C51" s="315"/>
      <c r="D51" s="102"/>
      <c r="E51" s="102">
        <v>55719</v>
      </c>
      <c r="F51" s="384"/>
      <c r="G51" s="43">
        <v>1</v>
      </c>
      <c r="H51" s="434"/>
      <c r="I51" s="569">
        <f t="shared" si="1"/>
        <v>0</v>
      </c>
    </row>
    <row r="52" spans="1:9" x14ac:dyDescent="0.35">
      <c r="A52" s="568" t="s">
        <v>81</v>
      </c>
      <c r="B52" s="102" t="s">
        <v>109</v>
      </c>
      <c r="C52" s="315"/>
      <c r="D52" s="102"/>
      <c r="E52" s="102">
        <v>55719</v>
      </c>
      <c r="F52" s="384"/>
      <c r="G52" s="43">
        <v>1</v>
      </c>
      <c r="H52" s="434"/>
      <c r="I52" s="569">
        <f t="shared" si="1"/>
        <v>0</v>
      </c>
    </row>
    <row r="53" spans="1:9" x14ac:dyDescent="0.35">
      <c r="A53" s="568" t="s">
        <v>923</v>
      </c>
      <c r="B53" s="102" t="s">
        <v>399</v>
      </c>
      <c r="C53" s="315"/>
      <c r="D53" s="102"/>
      <c r="E53" s="102">
        <v>55719</v>
      </c>
      <c r="F53" s="384"/>
      <c r="G53" s="43">
        <v>1</v>
      </c>
      <c r="H53" s="434"/>
      <c r="I53" s="569">
        <f t="shared" si="1"/>
        <v>0</v>
      </c>
    </row>
    <row r="54" spans="1:9" x14ac:dyDescent="0.35">
      <c r="A54" s="568" t="s">
        <v>997</v>
      </c>
      <c r="B54" s="102" t="s">
        <v>388</v>
      </c>
      <c r="C54" s="315"/>
      <c r="D54" s="102"/>
      <c r="E54" s="102">
        <v>55719</v>
      </c>
      <c r="F54" s="384"/>
      <c r="G54" s="43">
        <v>1</v>
      </c>
      <c r="H54" s="434"/>
      <c r="I54" s="569">
        <f t="shared" si="1"/>
        <v>0</v>
      </c>
    </row>
    <row r="55" spans="1:9" x14ac:dyDescent="0.35">
      <c r="A55" s="568" t="s">
        <v>1057</v>
      </c>
      <c r="B55" s="102" t="s">
        <v>72</v>
      </c>
      <c r="C55" s="315"/>
      <c r="D55" s="102"/>
      <c r="E55" s="102">
        <v>55719</v>
      </c>
      <c r="F55" s="384"/>
      <c r="G55" s="43">
        <v>1</v>
      </c>
      <c r="H55" s="434"/>
      <c r="I55" s="569">
        <f t="shared" si="1"/>
        <v>0</v>
      </c>
    </row>
    <row r="56" spans="1:9" x14ac:dyDescent="0.35">
      <c r="A56" s="568" t="s">
        <v>2244</v>
      </c>
      <c r="B56" s="102" t="s">
        <v>1813</v>
      </c>
      <c r="C56" s="315"/>
      <c r="D56" s="102"/>
      <c r="E56" s="102">
        <v>55719</v>
      </c>
      <c r="F56" s="384"/>
      <c r="G56" s="43">
        <v>1</v>
      </c>
      <c r="H56" s="434"/>
      <c r="I56" s="569">
        <f t="shared" si="1"/>
        <v>0</v>
      </c>
    </row>
    <row r="57" spans="1:9" x14ac:dyDescent="0.35">
      <c r="A57" s="568" t="s">
        <v>1059</v>
      </c>
      <c r="B57" s="102" t="s">
        <v>69</v>
      </c>
      <c r="C57" s="315"/>
      <c r="D57" s="102"/>
      <c r="E57" s="102">
        <v>55719</v>
      </c>
      <c r="F57" s="384"/>
      <c r="G57" s="43">
        <v>1</v>
      </c>
      <c r="H57" s="434"/>
      <c r="I57" s="569">
        <f t="shared" si="1"/>
        <v>0</v>
      </c>
    </row>
    <row r="58" spans="1:9" x14ac:dyDescent="0.35">
      <c r="A58" s="568" t="s">
        <v>1060</v>
      </c>
      <c r="B58" s="102" t="s">
        <v>74</v>
      </c>
      <c r="C58" s="315"/>
      <c r="D58" s="102"/>
      <c r="E58" s="102">
        <v>55719</v>
      </c>
      <c r="F58" s="384"/>
      <c r="G58" s="43">
        <v>1</v>
      </c>
      <c r="H58" s="434"/>
      <c r="I58" s="569">
        <f t="shared" si="1"/>
        <v>0</v>
      </c>
    </row>
    <row r="59" spans="1:9" x14ac:dyDescent="0.35">
      <c r="A59" s="568" t="s">
        <v>1061</v>
      </c>
      <c r="B59" s="102" t="s">
        <v>73</v>
      </c>
      <c r="C59" s="315"/>
      <c r="D59" s="102"/>
      <c r="E59" s="102">
        <v>55719</v>
      </c>
      <c r="F59" s="384"/>
      <c r="G59" s="43">
        <v>1</v>
      </c>
      <c r="H59" s="434"/>
      <c r="I59" s="569">
        <f t="shared" si="1"/>
        <v>0</v>
      </c>
    </row>
    <row r="60" spans="1:9" x14ac:dyDescent="0.35">
      <c r="A60" s="568" t="s">
        <v>998</v>
      </c>
      <c r="B60" s="102" t="s">
        <v>596</v>
      </c>
      <c r="C60" s="315"/>
      <c r="D60" s="102"/>
      <c r="E60" s="102">
        <v>55719</v>
      </c>
      <c r="F60" s="384"/>
      <c r="G60" s="43">
        <v>1</v>
      </c>
      <c r="H60" s="434"/>
      <c r="I60" s="569">
        <f t="shared" si="1"/>
        <v>0</v>
      </c>
    </row>
    <row r="61" spans="1:9" x14ac:dyDescent="0.35">
      <c r="A61" s="568" t="s">
        <v>1816</v>
      </c>
      <c r="B61" s="102" t="s">
        <v>1817</v>
      </c>
      <c r="C61" s="315"/>
      <c r="D61" s="102"/>
      <c r="E61" s="102">
        <v>55719</v>
      </c>
      <c r="F61" s="384"/>
      <c r="G61" s="43">
        <v>1</v>
      </c>
      <c r="H61" s="434"/>
      <c r="I61" s="569">
        <f t="shared" si="1"/>
        <v>0</v>
      </c>
    </row>
    <row r="62" spans="1:9" x14ac:dyDescent="0.35">
      <c r="A62" s="568" t="s">
        <v>1062</v>
      </c>
      <c r="B62" s="102" t="s">
        <v>261</v>
      </c>
      <c r="C62" s="315"/>
      <c r="D62" s="102"/>
      <c r="E62" s="102">
        <v>55719</v>
      </c>
      <c r="F62" s="384"/>
      <c r="G62" s="43">
        <v>1</v>
      </c>
      <c r="H62" s="434"/>
      <c r="I62" s="569">
        <f t="shared" si="1"/>
        <v>0</v>
      </c>
    </row>
    <row r="63" spans="1:9" x14ac:dyDescent="0.35">
      <c r="A63" s="568" t="s">
        <v>1063</v>
      </c>
      <c r="B63" s="102" t="s">
        <v>71</v>
      </c>
      <c r="C63" s="315"/>
      <c r="D63" s="102"/>
      <c r="E63" s="102">
        <v>55719</v>
      </c>
      <c r="F63" s="384"/>
      <c r="G63" s="43">
        <v>1</v>
      </c>
      <c r="H63" s="434"/>
      <c r="I63" s="569">
        <f t="shared" si="1"/>
        <v>0</v>
      </c>
    </row>
    <row r="64" spans="1:9" x14ac:dyDescent="0.35">
      <c r="A64" s="568" t="s">
        <v>1168</v>
      </c>
      <c r="B64" s="102" t="s">
        <v>75</v>
      </c>
      <c r="C64" s="315"/>
      <c r="D64" s="102"/>
      <c r="E64" s="102">
        <v>55719</v>
      </c>
      <c r="F64" s="384"/>
      <c r="G64" s="43">
        <v>1</v>
      </c>
      <c r="H64" s="434"/>
      <c r="I64" s="569">
        <f t="shared" si="1"/>
        <v>0</v>
      </c>
    </row>
    <row r="65" spans="1:9" x14ac:dyDescent="0.35">
      <c r="A65" s="568" t="s">
        <v>2504</v>
      </c>
      <c r="B65" s="102" t="s">
        <v>1808</v>
      </c>
      <c r="C65" s="315"/>
      <c r="D65" s="102"/>
      <c r="E65" s="102">
        <v>55719</v>
      </c>
      <c r="F65" s="384"/>
      <c r="G65" s="43">
        <v>1</v>
      </c>
      <c r="H65" s="434"/>
      <c r="I65" s="569">
        <f t="shared" si="1"/>
        <v>0</v>
      </c>
    </row>
    <row r="66" spans="1:9" x14ac:dyDescent="0.35">
      <c r="A66" s="568" t="s">
        <v>1065</v>
      </c>
      <c r="B66" s="102" t="s">
        <v>259</v>
      </c>
      <c r="C66" s="315"/>
      <c r="D66" s="102"/>
      <c r="E66" s="102">
        <v>55719</v>
      </c>
      <c r="F66" s="384"/>
      <c r="G66" s="43">
        <v>1</v>
      </c>
      <c r="H66" s="434"/>
      <c r="I66" s="569">
        <f t="shared" ref="I66:I97" si="2">+G66*H66</f>
        <v>0</v>
      </c>
    </row>
    <row r="67" spans="1:9" x14ac:dyDescent="0.35">
      <c r="A67" s="568" t="s">
        <v>1066</v>
      </c>
      <c r="B67" s="102" t="s">
        <v>70</v>
      </c>
      <c r="C67" s="315"/>
      <c r="D67" s="102"/>
      <c r="E67" s="102">
        <v>55719</v>
      </c>
      <c r="F67" s="384"/>
      <c r="G67" s="43">
        <v>1</v>
      </c>
      <c r="H67" s="434"/>
      <c r="I67" s="569">
        <f t="shared" si="2"/>
        <v>0</v>
      </c>
    </row>
    <row r="68" spans="1:9" x14ac:dyDescent="0.35">
      <c r="A68" s="568" t="s">
        <v>999</v>
      </c>
      <c r="B68" s="102" t="s">
        <v>393</v>
      </c>
      <c r="C68" s="315"/>
      <c r="D68" s="102"/>
      <c r="E68" s="102">
        <v>55719</v>
      </c>
      <c r="F68" s="384"/>
      <c r="G68" s="43">
        <v>1</v>
      </c>
      <c r="H68" s="434"/>
      <c r="I68" s="569">
        <f t="shared" si="2"/>
        <v>0</v>
      </c>
    </row>
    <row r="69" spans="1:9" x14ac:dyDescent="0.35">
      <c r="A69" s="568" t="s">
        <v>1067</v>
      </c>
      <c r="B69" s="102" t="s">
        <v>260</v>
      </c>
      <c r="C69" s="315"/>
      <c r="D69" s="102"/>
      <c r="E69" s="102">
        <v>55719</v>
      </c>
      <c r="F69" s="384"/>
      <c r="G69" s="43">
        <v>1</v>
      </c>
      <c r="H69" s="434"/>
      <c r="I69" s="569">
        <f t="shared" si="2"/>
        <v>0</v>
      </c>
    </row>
    <row r="70" spans="1:9" x14ac:dyDescent="0.35">
      <c r="A70" s="568" t="s">
        <v>1000</v>
      </c>
      <c r="B70" s="102" t="s">
        <v>295</v>
      </c>
      <c r="C70" s="315"/>
      <c r="D70" s="102"/>
      <c r="E70" s="102">
        <v>55719</v>
      </c>
      <c r="F70" s="384"/>
      <c r="G70" s="43">
        <v>1</v>
      </c>
      <c r="H70" s="434"/>
      <c r="I70" s="569">
        <f t="shared" si="2"/>
        <v>0</v>
      </c>
    </row>
    <row r="71" spans="1:9" x14ac:dyDescent="0.35">
      <c r="A71" s="568" t="s">
        <v>896</v>
      </c>
      <c r="B71" s="102" t="s">
        <v>272</v>
      </c>
      <c r="C71" s="315"/>
      <c r="D71" s="102"/>
      <c r="E71" s="102">
        <v>55719</v>
      </c>
      <c r="F71" s="384"/>
      <c r="G71" s="43">
        <v>1</v>
      </c>
      <c r="H71" s="434"/>
      <c r="I71" s="569">
        <f t="shared" si="2"/>
        <v>0</v>
      </c>
    </row>
    <row r="72" spans="1:9" x14ac:dyDescent="0.35">
      <c r="A72" s="568" t="s">
        <v>1025</v>
      </c>
      <c r="B72" s="102" t="s">
        <v>212</v>
      </c>
      <c r="C72" s="315"/>
      <c r="D72" s="102"/>
      <c r="E72" s="102">
        <v>55719</v>
      </c>
      <c r="F72" s="384"/>
      <c r="G72" s="43">
        <v>1</v>
      </c>
      <c r="H72" s="434"/>
      <c r="I72" s="569">
        <f t="shared" si="2"/>
        <v>0</v>
      </c>
    </row>
    <row r="73" spans="1:9" x14ac:dyDescent="0.35">
      <c r="A73" s="568" t="s">
        <v>2583</v>
      </c>
      <c r="B73" s="102" t="s">
        <v>78</v>
      </c>
      <c r="C73" s="315"/>
      <c r="D73" s="102"/>
      <c r="E73" s="102">
        <v>55719</v>
      </c>
      <c r="F73" s="384"/>
      <c r="G73" s="43">
        <v>1</v>
      </c>
      <c r="H73" s="434"/>
      <c r="I73" s="569">
        <f t="shared" si="2"/>
        <v>0</v>
      </c>
    </row>
    <row r="74" spans="1:9" x14ac:dyDescent="0.35">
      <c r="A74" s="568" t="s">
        <v>897</v>
      </c>
      <c r="B74" s="102" t="s">
        <v>267</v>
      </c>
      <c r="C74" s="315"/>
      <c r="D74" s="102"/>
      <c r="E74" s="102">
        <v>55719</v>
      </c>
      <c r="F74" s="384"/>
      <c r="G74" s="43">
        <v>1</v>
      </c>
      <c r="H74" s="434"/>
      <c r="I74" s="569">
        <f t="shared" si="2"/>
        <v>0</v>
      </c>
    </row>
    <row r="75" spans="1:9" x14ac:dyDescent="0.35">
      <c r="A75" s="568" t="s">
        <v>345</v>
      </c>
      <c r="B75" s="102" t="s">
        <v>1815</v>
      </c>
      <c r="C75" s="315"/>
      <c r="D75" s="102"/>
      <c r="E75" s="102">
        <v>55719</v>
      </c>
      <c r="F75" s="384"/>
      <c r="G75" s="43">
        <v>1</v>
      </c>
      <c r="H75" s="434"/>
      <c r="I75" s="569">
        <f t="shared" si="2"/>
        <v>0</v>
      </c>
    </row>
    <row r="76" spans="1:9" x14ac:dyDescent="0.35">
      <c r="A76" s="568" t="s">
        <v>1809</v>
      </c>
      <c r="B76" s="102" t="s">
        <v>1811</v>
      </c>
      <c r="C76" s="315"/>
      <c r="D76" s="102"/>
      <c r="E76" s="102">
        <v>55719</v>
      </c>
      <c r="F76" s="384"/>
      <c r="G76" s="43">
        <v>1</v>
      </c>
      <c r="H76" s="434"/>
      <c r="I76" s="569">
        <f t="shared" si="2"/>
        <v>0</v>
      </c>
    </row>
    <row r="77" spans="1:9" x14ac:dyDescent="0.35">
      <c r="A77" s="568" t="s">
        <v>1079</v>
      </c>
      <c r="B77" s="102" t="s">
        <v>510</v>
      </c>
      <c r="C77" s="315"/>
      <c r="D77" s="102"/>
      <c r="E77" s="102">
        <v>55719</v>
      </c>
      <c r="F77" s="384"/>
      <c r="G77" s="43">
        <v>1</v>
      </c>
      <c r="H77" s="434"/>
      <c r="I77" s="569">
        <f t="shared" si="2"/>
        <v>0</v>
      </c>
    </row>
    <row r="78" spans="1:9" x14ac:dyDescent="0.35">
      <c r="A78" s="568" t="s">
        <v>1810</v>
      </c>
      <c r="B78" s="102" t="s">
        <v>1812</v>
      </c>
      <c r="C78" s="315"/>
      <c r="D78" s="102"/>
      <c r="E78" s="102">
        <v>55719</v>
      </c>
      <c r="F78" s="384"/>
      <c r="G78" s="43">
        <v>1</v>
      </c>
      <c r="H78" s="434"/>
      <c r="I78" s="569">
        <f t="shared" si="2"/>
        <v>0</v>
      </c>
    </row>
    <row r="79" spans="1:9" x14ac:dyDescent="0.35">
      <c r="A79" s="568" t="s">
        <v>36</v>
      </c>
      <c r="B79" s="102" t="s">
        <v>37</v>
      </c>
      <c r="C79" s="315"/>
      <c r="D79" s="102"/>
      <c r="E79" s="102">
        <v>55719</v>
      </c>
      <c r="F79" s="384"/>
      <c r="G79" s="43">
        <v>1</v>
      </c>
      <c r="H79" s="434"/>
      <c r="I79" s="569">
        <f t="shared" si="2"/>
        <v>0</v>
      </c>
    </row>
    <row r="80" spans="1:9" x14ac:dyDescent="0.35">
      <c r="A80" s="568" t="s">
        <v>38</v>
      </c>
      <c r="B80" s="102" t="s">
        <v>200</v>
      </c>
      <c r="C80" s="315"/>
      <c r="D80" s="102"/>
      <c r="E80" s="102">
        <v>55719</v>
      </c>
      <c r="F80" s="384"/>
      <c r="G80" s="43">
        <v>1</v>
      </c>
      <c r="H80" s="434"/>
      <c r="I80" s="569">
        <f t="shared" si="2"/>
        <v>0</v>
      </c>
    </row>
    <row r="81" spans="1:9" x14ac:dyDescent="0.35">
      <c r="A81" s="568" t="s">
        <v>1006</v>
      </c>
      <c r="B81" s="102" t="s">
        <v>111</v>
      </c>
      <c r="C81" s="315"/>
      <c r="D81" s="102"/>
      <c r="E81" s="102">
        <v>55719</v>
      </c>
      <c r="F81" s="384"/>
      <c r="G81" s="43">
        <v>1</v>
      </c>
      <c r="H81" s="434"/>
      <c r="I81" s="569">
        <f t="shared" si="2"/>
        <v>0</v>
      </c>
    </row>
    <row r="82" spans="1:9" x14ac:dyDescent="0.35">
      <c r="A82" s="568" t="s">
        <v>2344</v>
      </c>
      <c r="B82" s="102" t="s">
        <v>279</v>
      </c>
      <c r="C82" s="315"/>
      <c r="D82" s="102"/>
      <c r="E82" s="102">
        <v>55719</v>
      </c>
      <c r="F82" s="384"/>
      <c r="G82" s="43">
        <v>1</v>
      </c>
      <c r="H82" s="434"/>
      <c r="I82" s="569">
        <f t="shared" si="2"/>
        <v>0</v>
      </c>
    </row>
    <row r="83" spans="1:9" x14ac:dyDescent="0.35">
      <c r="A83" s="568" t="s">
        <v>1760</v>
      </c>
      <c r="B83" s="102" t="s">
        <v>311</v>
      </c>
      <c r="C83" s="315"/>
      <c r="D83" s="102"/>
      <c r="E83" s="102">
        <v>55719</v>
      </c>
      <c r="F83" s="384"/>
      <c r="G83" s="43">
        <v>1</v>
      </c>
      <c r="H83" s="434"/>
      <c r="I83" s="569">
        <f t="shared" si="2"/>
        <v>0</v>
      </c>
    </row>
    <row r="84" spans="1:9" x14ac:dyDescent="0.35">
      <c r="A84" s="568" t="s">
        <v>2068</v>
      </c>
      <c r="B84" s="102" t="s">
        <v>1814</v>
      </c>
      <c r="C84" s="315"/>
      <c r="D84" s="102"/>
      <c r="E84" s="102">
        <v>55719</v>
      </c>
      <c r="F84" s="384"/>
      <c r="G84" s="43">
        <v>1</v>
      </c>
      <c r="H84" s="434"/>
      <c r="I84" s="569">
        <f t="shared" si="2"/>
        <v>0</v>
      </c>
    </row>
    <row r="85" spans="1:9" x14ac:dyDescent="0.35">
      <c r="A85" s="568" t="s">
        <v>900</v>
      </c>
      <c r="B85" s="102" t="s">
        <v>301</v>
      </c>
      <c r="C85" s="315"/>
      <c r="D85" s="102"/>
      <c r="E85" s="102">
        <v>55719</v>
      </c>
      <c r="F85" s="384"/>
      <c r="G85" s="43">
        <v>1</v>
      </c>
      <c r="H85" s="434"/>
      <c r="I85" s="569">
        <f t="shared" si="2"/>
        <v>0</v>
      </c>
    </row>
    <row r="86" spans="1:9" x14ac:dyDescent="0.35">
      <c r="A86" s="568" t="s">
        <v>1015</v>
      </c>
      <c r="B86" s="102" t="s">
        <v>296</v>
      </c>
      <c r="C86" s="315"/>
      <c r="D86" s="102"/>
      <c r="E86" s="102">
        <v>55719</v>
      </c>
      <c r="F86" s="384"/>
      <c r="G86" s="43">
        <v>1</v>
      </c>
      <c r="H86" s="434"/>
      <c r="I86" s="569">
        <f t="shared" si="2"/>
        <v>0</v>
      </c>
    </row>
    <row r="87" spans="1:9" x14ac:dyDescent="0.35">
      <c r="A87" s="568" t="s">
        <v>922</v>
      </c>
      <c r="B87" s="102" t="s">
        <v>302</v>
      </c>
      <c r="C87" s="315"/>
      <c r="D87" s="102"/>
      <c r="E87" s="102">
        <v>55719</v>
      </c>
      <c r="F87" s="384"/>
      <c r="G87" s="43">
        <v>1</v>
      </c>
      <c r="H87" s="434"/>
      <c r="I87" s="569">
        <f t="shared" si="2"/>
        <v>0</v>
      </c>
    </row>
    <row r="88" spans="1:9" x14ac:dyDescent="0.35">
      <c r="A88" s="568" t="s">
        <v>2334</v>
      </c>
      <c r="B88" s="102" t="s">
        <v>284</v>
      </c>
      <c r="C88" s="315"/>
      <c r="D88" s="102"/>
      <c r="E88" s="102">
        <v>55719</v>
      </c>
      <c r="F88" s="384"/>
      <c r="G88" s="43">
        <v>1</v>
      </c>
      <c r="H88" s="434"/>
      <c r="I88" s="569">
        <f t="shared" si="2"/>
        <v>0</v>
      </c>
    </row>
    <row r="89" spans="1:9" x14ac:dyDescent="0.35">
      <c r="A89" s="568" t="s">
        <v>1762</v>
      </c>
      <c r="B89" s="102" t="s">
        <v>113</v>
      </c>
      <c r="C89" s="315"/>
      <c r="D89" s="102"/>
      <c r="E89" s="102">
        <v>55719</v>
      </c>
      <c r="F89" s="384"/>
      <c r="G89" s="43">
        <v>1</v>
      </c>
      <c r="H89" s="434"/>
      <c r="I89" s="569">
        <f t="shared" si="2"/>
        <v>0</v>
      </c>
    </row>
    <row r="90" spans="1:9" x14ac:dyDescent="0.35">
      <c r="A90" s="568" t="s">
        <v>115</v>
      </c>
      <c r="B90" s="102" t="s">
        <v>511</v>
      </c>
      <c r="C90" s="315"/>
      <c r="D90" s="102"/>
      <c r="E90" s="102">
        <v>55719</v>
      </c>
      <c r="F90" s="384"/>
      <c r="G90" s="43">
        <v>1</v>
      </c>
      <c r="H90" s="434"/>
      <c r="I90" s="569">
        <f t="shared" si="2"/>
        <v>0</v>
      </c>
    </row>
    <row r="91" spans="1:9" x14ac:dyDescent="0.35">
      <c r="A91" s="568" t="s">
        <v>118</v>
      </c>
      <c r="B91" s="102" t="s">
        <v>512</v>
      </c>
      <c r="C91" s="315"/>
      <c r="D91" s="102"/>
      <c r="E91" s="102">
        <v>55719</v>
      </c>
      <c r="F91" s="384"/>
      <c r="G91" s="43">
        <v>1</v>
      </c>
      <c r="H91" s="434"/>
      <c r="I91" s="569">
        <f t="shared" si="2"/>
        <v>0</v>
      </c>
    </row>
    <row r="92" spans="1:9" x14ac:dyDescent="0.35">
      <c r="A92" s="568" t="s">
        <v>192</v>
      </c>
      <c r="B92" s="102" t="s">
        <v>513</v>
      </c>
      <c r="C92" s="315"/>
      <c r="D92" s="102"/>
      <c r="E92" s="102">
        <v>55719</v>
      </c>
      <c r="F92" s="384"/>
      <c r="G92" s="43">
        <v>1</v>
      </c>
      <c r="H92" s="434"/>
      <c r="I92" s="569">
        <f t="shared" si="2"/>
        <v>0</v>
      </c>
    </row>
    <row r="93" spans="1:9" x14ac:dyDescent="0.35">
      <c r="A93" s="568" t="s">
        <v>120</v>
      </c>
      <c r="B93" s="102" t="s">
        <v>121</v>
      </c>
      <c r="C93" s="315"/>
      <c r="D93" s="102"/>
      <c r="E93" s="102">
        <v>55719</v>
      </c>
      <c r="F93" s="384"/>
      <c r="G93" s="43">
        <v>1</v>
      </c>
      <c r="H93" s="434"/>
      <c r="I93" s="569">
        <f t="shared" si="2"/>
        <v>0</v>
      </c>
    </row>
    <row r="94" spans="1:9" x14ac:dyDescent="0.35">
      <c r="A94" s="568" t="s">
        <v>57</v>
      </c>
      <c r="B94" s="102" t="s">
        <v>58</v>
      </c>
      <c r="C94" s="315"/>
      <c r="D94" s="102"/>
      <c r="E94" s="102">
        <v>55719</v>
      </c>
      <c r="F94" s="384"/>
      <c r="G94" s="43">
        <v>1</v>
      </c>
      <c r="H94" s="434"/>
      <c r="I94" s="569">
        <f t="shared" si="2"/>
        <v>0</v>
      </c>
    </row>
    <row r="95" spans="1:9" x14ac:dyDescent="0.35">
      <c r="A95" s="568" t="s">
        <v>122</v>
      </c>
      <c r="B95" s="102" t="s">
        <v>123</v>
      </c>
      <c r="C95" s="315"/>
      <c r="D95" s="102"/>
      <c r="E95" s="102">
        <v>55719</v>
      </c>
      <c r="F95" s="384"/>
      <c r="G95" s="43">
        <v>1</v>
      </c>
      <c r="H95" s="434"/>
      <c r="I95" s="569">
        <f t="shared" si="2"/>
        <v>0</v>
      </c>
    </row>
    <row r="96" spans="1:9" x14ac:dyDescent="0.35">
      <c r="A96" s="568" t="s">
        <v>124</v>
      </c>
      <c r="B96" s="102" t="s">
        <v>125</v>
      </c>
      <c r="C96" s="315"/>
      <c r="D96" s="102"/>
      <c r="E96" s="102">
        <v>55719</v>
      </c>
      <c r="F96" s="384"/>
      <c r="G96" s="43">
        <v>1</v>
      </c>
      <c r="H96" s="434"/>
      <c r="I96" s="569">
        <f t="shared" si="2"/>
        <v>0</v>
      </c>
    </row>
    <row r="97" spans="1:11" x14ac:dyDescent="0.35">
      <c r="A97" s="568" t="s">
        <v>126</v>
      </c>
      <c r="B97" s="102" t="s">
        <v>127</v>
      </c>
      <c r="C97" s="315"/>
      <c r="D97" s="102"/>
      <c r="E97" s="102">
        <v>55719</v>
      </c>
      <c r="F97" s="384"/>
      <c r="G97" s="43">
        <v>1</v>
      </c>
      <c r="H97" s="434"/>
      <c r="I97" s="569">
        <f t="shared" si="2"/>
        <v>0</v>
      </c>
    </row>
    <row r="98" spans="1:11" x14ac:dyDescent="0.35">
      <c r="A98" s="568" t="s">
        <v>128</v>
      </c>
      <c r="B98" s="102" t="s">
        <v>129</v>
      </c>
      <c r="C98" s="315"/>
      <c r="D98" s="102"/>
      <c r="E98" s="102">
        <v>55719</v>
      </c>
      <c r="F98" s="384"/>
      <c r="G98" s="43">
        <v>1</v>
      </c>
      <c r="H98" s="434"/>
      <c r="I98" s="569">
        <f t="shared" ref="I98:I108" si="3">+G98*H98</f>
        <v>0</v>
      </c>
    </row>
    <row r="99" spans="1:11" x14ac:dyDescent="0.35">
      <c r="A99" s="568" t="s">
        <v>130</v>
      </c>
      <c r="B99" s="102" t="s">
        <v>131</v>
      </c>
      <c r="C99" s="315"/>
      <c r="D99" s="102"/>
      <c r="E99" s="102">
        <v>55719</v>
      </c>
      <c r="F99" s="384"/>
      <c r="G99" s="43">
        <v>1</v>
      </c>
      <c r="H99" s="434"/>
      <c r="I99" s="569">
        <f t="shared" si="3"/>
        <v>0</v>
      </c>
    </row>
    <row r="100" spans="1:11" x14ac:dyDescent="0.35">
      <c r="A100" s="568" t="s">
        <v>132</v>
      </c>
      <c r="B100" s="102" t="s">
        <v>133</v>
      </c>
      <c r="C100" s="315"/>
      <c r="D100" s="102"/>
      <c r="E100" s="102">
        <v>55719</v>
      </c>
      <c r="F100" s="384"/>
      <c r="G100" s="43">
        <v>1</v>
      </c>
      <c r="H100" s="434"/>
      <c r="I100" s="569">
        <f t="shared" si="3"/>
        <v>0</v>
      </c>
    </row>
    <row r="101" spans="1:11" x14ac:dyDescent="0.35">
      <c r="A101" s="568" t="s">
        <v>1287</v>
      </c>
      <c r="B101" s="102" t="s">
        <v>134</v>
      </c>
      <c r="C101" s="315"/>
      <c r="D101" s="102"/>
      <c r="E101" s="102">
        <v>55719</v>
      </c>
      <c r="F101" s="384"/>
      <c r="G101" s="43">
        <v>1</v>
      </c>
      <c r="H101" s="434"/>
      <c r="I101" s="569">
        <f t="shared" si="3"/>
        <v>0</v>
      </c>
    </row>
    <row r="102" spans="1:11" x14ac:dyDescent="0.35">
      <c r="A102" s="568" t="s">
        <v>2547</v>
      </c>
      <c r="B102" s="102" t="s">
        <v>210</v>
      </c>
      <c r="C102" s="315"/>
      <c r="D102" s="102"/>
      <c r="E102" s="102">
        <v>55719</v>
      </c>
      <c r="F102" s="384"/>
      <c r="G102" s="43">
        <v>1</v>
      </c>
      <c r="H102" s="434"/>
      <c r="I102" s="569">
        <f t="shared" si="3"/>
        <v>0</v>
      </c>
    </row>
    <row r="103" spans="1:11" x14ac:dyDescent="0.35">
      <c r="A103" s="568" t="s">
        <v>2548</v>
      </c>
      <c r="B103" s="102" t="s">
        <v>208</v>
      </c>
      <c r="C103" s="315"/>
      <c r="D103" s="102"/>
      <c r="E103" s="102">
        <v>55719</v>
      </c>
      <c r="F103" s="384"/>
      <c r="G103" s="43">
        <v>1</v>
      </c>
      <c r="H103" s="434"/>
      <c r="I103" s="569">
        <f t="shared" si="3"/>
        <v>0</v>
      </c>
    </row>
    <row r="104" spans="1:11" x14ac:dyDescent="0.35">
      <c r="A104" s="568" t="s">
        <v>2542</v>
      </c>
      <c r="B104" s="102" t="s">
        <v>292</v>
      </c>
      <c r="C104" s="315"/>
      <c r="D104" s="102"/>
      <c r="E104" s="102">
        <v>55719</v>
      </c>
      <c r="F104" s="384"/>
      <c r="G104" s="43">
        <v>1</v>
      </c>
      <c r="H104" s="434"/>
      <c r="I104" s="569">
        <f t="shared" si="3"/>
        <v>0</v>
      </c>
    </row>
    <row r="105" spans="1:11" x14ac:dyDescent="0.35">
      <c r="A105" s="568" t="s">
        <v>2543</v>
      </c>
      <c r="B105" s="102" t="s">
        <v>39</v>
      </c>
      <c r="C105" s="315"/>
      <c r="D105" s="102"/>
      <c r="E105" s="102">
        <v>55719</v>
      </c>
      <c r="F105" s="384"/>
      <c r="G105" s="43">
        <v>1</v>
      </c>
      <c r="H105" s="434"/>
      <c r="I105" s="569">
        <f t="shared" si="3"/>
        <v>0</v>
      </c>
    </row>
    <row r="106" spans="1:11" x14ac:dyDescent="0.35">
      <c r="A106" s="568" t="s">
        <v>2544</v>
      </c>
      <c r="B106" s="102" t="s">
        <v>40</v>
      </c>
      <c r="C106" s="315"/>
      <c r="D106" s="102"/>
      <c r="E106" s="102">
        <v>55719</v>
      </c>
      <c r="F106" s="384"/>
      <c r="G106" s="43">
        <v>1</v>
      </c>
      <c r="H106" s="434"/>
      <c r="I106" s="569">
        <f t="shared" si="3"/>
        <v>0</v>
      </c>
    </row>
    <row r="107" spans="1:11" x14ac:dyDescent="0.35">
      <c r="A107" s="568" t="s">
        <v>2545</v>
      </c>
      <c r="B107" s="102" t="s">
        <v>41</v>
      </c>
      <c r="C107" s="315"/>
      <c r="D107" s="102"/>
      <c r="E107" s="102">
        <v>55719</v>
      </c>
      <c r="F107" s="384"/>
      <c r="G107" s="43">
        <v>1</v>
      </c>
      <c r="H107" s="434"/>
      <c r="I107" s="569">
        <f t="shared" si="3"/>
        <v>0</v>
      </c>
      <c r="J107" s="154"/>
      <c r="K107" s="155"/>
    </row>
    <row r="108" spans="1:11" x14ac:dyDescent="0.35">
      <c r="A108" s="568" t="s">
        <v>13</v>
      </c>
      <c r="B108" s="221" t="s">
        <v>420</v>
      </c>
      <c r="C108" s="315"/>
      <c r="D108" s="221"/>
      <c r="E108" s="221">
        <v>55719</v>
      </c>
      <c r="F108" s="384"/>
      <c r="G108" s="43">
        <v>1</v>
      </c>
      <c r="H108" s="434"/>
      <c r="I108" s="569">
        <f t="shared" si="3"/>
        <v>0</v>
      </c>
    </row>
    <row r="109" spans="1:11" x14ac:dyDescent="0.35">
      <c r="I109" s="435">
        <f>SUM(I2:I108)</f>
        <v>0</v>
      </c>
    </row>
    <row r="111" spans="1:11" x14ac:dyDescent="0.35">
      <c r="A111" s="309" t="s">
        <v>1509</v>
      </c>
      <c r="B111" s="312"/>
      <c r="D111" s="3"/>
      <c r="E111" s="3"/>
      <c r="G111" s="3"/>
      <c r="H111" s="396"/>
      <c r="I111" s="406"/>
    </row>
    <row r="112" spans="1:11" x14ac:dyDescent="0.35">
      <c r="A112" s="309" t="s">
        <v>2374</v>
      </c>
      <c r="B112" s="312"/>
      <c r="D112" s="3"/>
      <c r="E112" s="3"/>
      <c r="G112" s="3"/>
      <c r="H112" s="396"/>
      <c r="I112" s="406"/>
    </row>
    <row r="113" spans="1:9" x14ac:dyDescent="0.35">
      <c r="A113" s="310" t="s">
        <v>2689</v>
      </c>
      <c r="B113" s="385"/>
    </row>
    <row r="114" spans="1:9" x14ac:dyDescent="0.35">
      <c r="A114" s="319" t="s">
        <v>2694</v>
      </c>
      <c r="B114" s="413">
        <f>+I109</f>
        <v>0</v>
      </c>
    </row>
    <row r="118" spans="1:9" s="4" customFormat="1" x14ac:dyDescent="0.35">
      <c r="A118" s="153"/>
      <c r="B118" s="156"/>
      <c r="C118" s="76"/>
      <c r="D118" s="156"/>
      <c r="E118" s="156"/>
      <c r="F118" s="251"/>
      <c r="G118" s="156"/>
      <c r="H118" s="435"/>
      <c r="I118" s="435"/>
    </row>
    <row r="119" spans="1:9" s="4" customFormat="1" x14ac:dyDescent="0.35">
      <c r="A119" s="153"/>
      <c r="B119" s="156"/>
      <c r="C119" s="76"/>
      <c r="D119" s="156"/>
      <c r="E119" s="156"/>
      <c r="F119" s="251"/>
      <c r="G119" s="156"/>
      <c r="H119" s="435"/>
      <c r="I119" s="435"/>
    </row>
  </sheetData>
  <sortState xmlns:xlrd2="http://schemas.microsoft.com/office/spreadsheetml/2017/richdata2" ref="A2:F108">
    <sortCondition ref="A2:A108"/>
  </sortState>
  <pageMargins left="0.7" right="0.7" top="0.75" bottom="0.75" header="0.3" footer="0.3"/>
  <pageSetup scale="90" fitToHeight="0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45"/>
  <sheetViews>
    <sheetView workbookViewId="0">
      <pane ySplit="1" topLeftCell="A207" activePane="bottomLeft" state="frozen"/>
      <selection activeCell="C26" sqref="C26"/>
      <selection pane="bottomLeft" activeCell="D238" sqref="D238"/>
    </sheetView>
  </sheetViews>
  <sheetFormatPr defaultColWidth="9.08984375" defaultRowHeight="15.5" x14ac:dyDescent="0.35"/>
  <cols>
    <col min="1" max="1" width="70" style="106" customWidth="1"/>
    <col min="2" max="2" width="25.36328125" style="206" customWidth="1"/>
    <col min="3" max="3" width="29.90625" style="206" customWidth="1"/>
    <col min="4" max="4" width="21.81640625" style="106" customWidth="1"/>
    <col min="5" max="5" width="28.36328125" style="106" customWidth="1"/>
    <col min="6" max="6" width="28.36328125" style="206" customWidth="1"/>
    <col min="7" max="7" width="12.90625" style="76" customWidth="1"/>
    <col min="8" max="8" width="43.90625" style="426" customWidth="1"/>
    <col min="9" max="9" width="21.36328125" style="386" bestFit="1" customWidth="1"/>
    <col min="10" max="16384" width="9.08984375" style="106"/>
  </cols>
  <sheetData>
    <row r="1" spans="1:9" x14ac:dyDescent="0.35">
      <c r="A1" s="544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61" t="s">
        <v>2699</v>
      </c>
      <c r="G1" s="13" t="s">
        <v>364</v>
      </c>
      <c r="H1" s="393" t="s">
        <v>2695</v>
      </c>
      <c r="I1" s="404" t="s">
        <v>2696</v>
      </c>
    </row>
    <row r="2" spans="1:9" x14ac:dyDescent="0.35">
      <c r="A2" s="566" t="s">
        <v>713</v>
      </c>
      <c r="B2" s="253">
        <v>2050</v>
      </c>
      <c r="C2" s="315"/>
      <c r="D2" s="253"/>
      <c r="E2" s="253">
        <v>55719</v>
      </c>
      <c r="F2" s="388"/>
      <c r="G2" s="201">
        <v>1</v>
      </c>
      <c r="H2" s="408"/>
      <c r="I2" s="419">
        <f t="shared" ref="I2:I65" si="0">+G2*H2</f>
        <v>0</v>
      </c>
    </row>
    <row r="3" spans="1:9" x14ac:dyDescent="0.35">
      <c r="A3" s="566" t="s">
        <v>1091</v>
      </c>
      <c r="B3" s="253" t="s">
        <v>1610</v>
      </c>
      <c r="C3" s="315"/>
      <c r="D3" s="62"/>
      <c r="E3" s="62">
        <v>55719</v>
      </c>
      <c r="F3" s="388"/>
      <c r="G3" s="31">
        <v>1</v>
      </c>
      <c r="H3" s="408"/>
      <c r="I3" s="419">
        <f t="shared" si="0"/>
        <v>0</v>
      </c>
    </row>
    <row r="4" spans="1:9" x14ac:dyDescent="0.35">
      <c r="A4" s="566" t="s">
        <v>1386</v>
      </c>
      <c r="B4" s="253" t="s">
        <v>1638</v>
      </c>
      <c r="C4" s="315"/>
      <c r="D4" s="62"/>
      <c r="E4" s="62">
        <v>55719</v>
      </c>
      <c r="F4" s="388"/>
      <c r="G4" s="31">
        <v>1</v>
      </c>
      <c r="H4" s="408"/>
      <c r="I4" s="419">
        <f t="shared" si="0"/>
        <v>0</v>
      </c>
    </row>
    <row r="5" spans="1:9" s="184" customFormat="1" x14ac:dyDescent="0.35">
      <c r="A5" s="566" t="s">
        <v>17</v>
      </c>
      <c r="B5" s="253" t="s">
        <v>2473</v>
      </c>
      <c r="C5" s="315"/>
      <c r="D5" s="62"/>
      <c r="E5" s="62">
        <v>55719</v>
      </c>
      <c r="F5" s="388"/>
      <c r="G5" s="31">
        <v>1</v>
      </c>
      <c r="H5" s="408"/>
      <c r="I5" s="419">
        <f t="shared" si="0"/>
        <v>0</v>
      </c>
    </row>
    <row r="6" spans="1:9" x14ac:dyDescent="0.35">
      <c r="A6" s="566" t="s">
        <v>408</v>
      </c>
      <c r="B6" s="253" t="s">
        <v>1562</v>
      </c>
      <c r="C6" s="315"/>
      <c r="D6" s="62"/>
      <c r="E6" s="62">
        <v>55719</v>
      </c>
      <c r="F6" s="388"/>
      <c r="G6" s="31">
        <v>1</v>
      </c>
      <c r="H6" s="408"/>
      <c r="I6" s="419">
        <f t="shared" si="0"/>
        <v>0</v>
      </c>
    </row>
    <row r="7" spans="1:9" x14ac:dyDescent="0.35">
      <c r="A7" s="566" t="s">
        <v>1037</v>
      </c>
      <c r="B7" s="253" t="s">
        <v>1613</v>
      </c>
      <c r="C7" s="315"/>
      <c r="D7" s="62"/>
      <c r="E7" s="62">
        <v>55719</v>
      </c>
      <c r="F7" s="388"/>
      <c r="G7" s="31">
        <v>1</v>
      </c>
      <c r="H7" s="408"/>
      <c r="I7" s="419">
        <f t="shared" si="0"/>
        <v>0</v>
      </c>
    </row>
    <row r="8" spans="1:9" x14ac:dyDescent="0.35">
      <c r="A8" s="223" t="s">
        <v>2381</v>
      </c>
      <c r="B8" s="253" t="s">
        <v>646</v>
      </c>
      <c r="C8" s="315"/>
      <c r="D8" s="62"/>
      <c r="E8" s="62">
        <v>55719</v>
      </c>
      <c r="F8" s="388"/>
      <c r="G8" s="31">
        <v>1</v>
      </c>
      <c r="H8" s="408"/>
      <c r="I8" s="419">
        <f t="shared" si="0"/>
        <v>0</v>
      </c>
    </row>
    <row r="9" spans="1:9" x14ac:dyDescent="0.35">
      <c r="A9" s="566" t="s">
        <v>1313</v>
      </c>
      <c r="B9" s="253" t="s">
        <v>477</v>
      </c>
      <c r="C9" s="315"/>
      <c r="D9" s="62"/>
      <c r="E9" s="62">
        <v>55719</v>
      </c>
      <c r="F9" s="388"/>
      <c r="G9" s="31">
        <v>1</v>
      </c>
      <c r="H9" s="408"/>
      <c r="I9" s="419">
        <f t="shared" si="0"/>
        <v>0</v>
      </c>
    </row>
    <row r="10" spans="1:9" x14ac:dyDescent="0.35">
      <c r="A10" s="566" t="s">
        <v>1396</v>
      </c>
      <c r="B10" s="253" t="s">
        <v>630</v>
      </c>
      <c r="C10" s="315"/>
      <c r="D10" s="62"/>
      <c r="E10" s="62">
        <v>55719</v>
      </c>
      <c r="F10" s="388"/>
      <c r="G10" s="31">
        <v>1</v>
      </c>
      <c r="H10" s="408"/>
      <c r="I10" s="419">
        <f t="shared" si="0"/>
        <v>0</v>
      </c>
    </row>
    <row r="11" spans="1:9" x14ac:dyDescent="0.35">
      <c r="A11" s="566" t="s">
        <v>1397</v>
      </c>
      <c r="B11" s="253" t="s">
        <v>602</v>
      </c>
      <c r="C11" s="315"/>
      <c r="D11" s="62"/>
      <c r="E11" s="62">
        <v>55719</v>
      </c>
      <c r="F11" s="388"/>
      <c r="G11" s="31">
        <v>1</v>
      </c>
      <c r="H11" s="408"/>
      <c r="I11" s="419">
        <f t="shared" si="0"/>
        <v>0</v>
      </c>
    </row>
    <row r="12" spans="1:9" x14ac:dyDescent="0.35">
      <c r="A12" s="566" t="s">
        <v>1727</v>
      </c>
      <c r="B12" s="253" t="s">
        <v>1728</v>
      </c>
      <c r="C12" s="315"/>
      <c r="D12" s="62"/>
      <c r="E12" s="62">
        <v>55719</v>
      </c>
      <c r="F12" s="388"/>
      <c r="G12" s="31">
        <v>1</v>
      </c>
      <c r="H12" s="408"/>
      <c r="I12" s="419">
        <f t="shared" si="0"/>
        <v>0</v>
      </c>
    </row>
    <row r="13" spans="1:9" x14ac:dyDescent="0.35">
      <c r="A13" s="566" t="s">
        <v>1398</v>
      </c>
      <c r="B13" s="253" t="s">
        <v>612</v>
      </c>
      <c r="C13" s="315"/>
      <c r="D13" s="62"/>
      <c r="E13" s="62">
        <v>55719</v>
      </c>
      <c r="F13" s="388"/>
      <c r="G13" s="31">
        <v>1</v>
      </c>
      <c r="H13" s="408"/>
      <c r="I13" s="419">
        <f t="shared" si="0"/>
        <v>0</v>
      </c>
    </row>
    <row r="14" spans="1:9" x14ac:dyDescent="0.35">
      <c r="A14" s="566" t="s">
        <v>1408</v>
      </c>
      <c r="B14" s="253" t="s">
        <v>732</v>
      </c>
      <c r="C14" s="315"/>
      <c r="D14" s="62"/>
      <c r="E14" s="62">
        <v>55719</v>
      </c>
      <c r="F14" s="388"/>
      <c r="G14" s="31">
        <v>1</v>
      </c>
      <c r="H14" s="408"/>
      <c r="I14" s="419">
        <f t="shared" si="0"/>
        <v>0</v>
      </c>
    </row>
    <row r="15" spans="1:9" x14ac:dyDescent="0.35">
      <c r="A15" s="566" t="s">
        <v>1411</v>
      </c>
      <c r="B15" s="253" t="s">
        <v>49</v>
      </c>
      <c r="C15" s="315"/>
      <c r="D15" s="62"/>
      <c r="E15" s="62">
        <v>55719</v>
      </c>
      <c r="F15" s="388"/>
      <c r="G15" s="31">
        <v>1</v>
      </c>
      <c r="H15" s="408"/>
      <c r="I15" s="419">
        <f t="shared" si="0"/>
        <v>0</v>
      </c>
    </row>
    <row r="16" spans="1:9" x14ac:dyDescent="0.35">
      <c r="A16" s="566" t="s">
        <v>1412</v>
      </c>
      <c r="B16" s="253" t="s">
        <v>480</v>
      </c>
      <c r="C16" s="315"/>
      <c r="D16" s="62"/>
      <c r="E16" s="62">
        <v>55719</v>
      </c>
      <c r="F16" s="388"/>
      <c r="G16" s="31">
        <v>1</v>
      </c>
      <c r="H16" s="408"/>
      <c r="I16" s="419">
        <f t="shared" si="0"/>
        <v>0</v>
      </c>
    </row>
    <row r="17" spans="1:9" x14ac:dyDescent="0.35">
      <c r="A17" s="566" t="s">
        <v>1414</v>
      </c>
      <c r="B17" s="253" t="s">
        <v>614</v>
      </c>
      <c r="C17" s="315"/>
      <c r="D17" s="62"/>
      <c r="E17" s="62">
        <v>55719</v>
      </c>
      <c r="F17" s="388"/>
      <c r="G17" s="31">
        <v>1</v>
      </c>
      <c r="H17" s="408"/>
      <c r="I17" s="419">
        <f t="shared" si="0"/>
        <v>0</v>
      </c>
    </row>
    <row r="18" spans="1:9" x14ac:dyDescent="0.35">
      <c r="A18" s="566" t="s">
        <v>1423</v>
      </c>
      <c r="B18" s="253" t="s">
        <v>609</v>
      </c>
      <c r="C18" s="315"/>
      <c r="D18" s="62"/>
      <c r="E18" s="62">
        <v>55719</v>
      </c>
      <c r="F18" s="388"/>
      <c r="G18" s="31">
        <v>1</v>
      </c>
      <c r="H18" s="408"/>
      <c r="I18" s="419">
        <f t="shared" si="0"/>
        <v>0</v>
      </c>
    </row>
    <row r="19" spans="1:9" x14ac:dyDescent="0.35">
      <c r="A19" s="566" t="s">
        <v>1596</v>
      </c>
      <c r="B19" s="253" t="s">
        <v>553</v>
      </c>
      <c r="C19" s="315"/>
      <c r="D19" s="62"/>
      <c r="E19" s="62">
        <v>55719</v>
      </c>
      <c r="F19" s="388"/>
      <c r="G19" s="31">
        <v>1</v>
      </c>
      <c r="H19" s="408"/>
      <c r="I19" s="419">
        <f t="shared" si="0"/>
        <v>0</v>
      </c>
    </row>
    <row r="20" spans="1:9" x14ac:dyDescent="0.35">
      <c r="A20" s="566" t="s">
        <v>892</v>
      </c>
      <c r="B20" s="253" t="s">
        <v>440</v>
      </c>
      <c r="C20" s="315"/>
      <c r="D20" s="62"/>
      <c r="E20" s="62">
        <v>55719</v>
      </c>
      <c r="F20" s="388"/>
      <c r="G20" s="31">
        <v>1</v>
      </c>
      <c r="H20" s="408"/>
      <c r="I20" s="419">
        <f t="shared" si="0"/>
        <v>0</v>
      </c>
    </row>
    <row r="21" spans="1:9" x14ac:dyDescent="0.35">
      <c r="A21" s="566" t="s">
        <v>894</v>
      </c>
      <c r="B21" s="253" t="s">
        <v>441</v>
      </c>
      <c r="C21" s="315"/>
      <c r="D21" s="62"/>
      <c r="E21" s="62">
        <v>55719</v>
      </c>
      <c r="F21" s="388"/>
      <c r="G21" s="31">
        <v>1</v>
      </c>
      <c r="H21" s="408"/>
      <c r="I21" s="419">
        <f t="shared" si="0"/>
        <v>0</v>
      </c>
    </row>
    <row r="22" spans="1:9" x14ac:dyDescent="0.35">
      <c r="A22" s="566" t="s">
        <v>893</v>
      </c>
      <c r="B22" s="253" t="s">
        <v>149</v>
      </c>
      <c r="C22" s="315"/>
      <c r="D22" s="62"/>
      <c r="E22" s="62">
        <v>55719</v>
      </c>
      <c r="F22" s="388"/>
      <c r="G22" s="31">
        <v>1</v>
      </c>
      <c r="H22" s="408"/>
      <c r="I22" s="419">
        <f t="shared" si="0"/>
        <v>0</v>
      </c>
    </row>
    <row r="23" spans="1:9" x14ac:dyDescent="0.35">
      <c r="A23" s="566" t="s">
        <v>895</v>
      </c>
      <c r="B23" s="253" t="s">
        <v>357</v>
      </c>
      <c r="C23" s="315"/>
      <c r="D23" s="62"/>
      <c r="E23" s="62">
        <v>55719</v>
      </c>
      <c r="F23" s="388"/>
      <c r="G23" s="31">
        <v>1</v>
      </c>
      <c r="H23" s="408"/>
      <c r="I23" s="419">
        <f t="shared" si="0"/>
        <v>0</v>
      </c>
    </row>
    <row r="24" spans="1:9" x14ac:dyDescent="0.35">
      <c r="A24" s="566" t="s">
        <v>1020</v>
      </c>
      <c r="B24" s="253" t="s">
        <v>271</v>
      </c>
      <c r="C24" s="315"/>
      <c r="D24" s="62"/>
      <c r="E24" s="62">
        <v>55719</v>
      </c>
      <c r="F24" s="388"/>
      <c r="G24" s="31">
        <v>1</v>
      </c>
      <c r="H24" s="408"/>
      <c r="I24" s="419">
        <f t="shared" si="0"/>
        <v>0</v>
      </c>
    </row>
    <row r="25" spans="1:9" x14ac:dyDescent="0.35">
      <c r="A25" s="566" t="s">
        <v>1022</v>
      </c>
      <c r="B25" s="253" t="s">
        <v>269</v>
      </c>
      <c r="C25" s="315"/>
      <c r="D25" s="62"/>
      <c r="E25" s="62">
        <v>55719</v>
      </c>
      <c r="F25" s="388"/>
      <c r="G25" s="31">
        <v>1</v>
      </c>
      <c r="H25" s="408"/>
      <c r="I25" s="419">
        <f t="shared" si="0"/>
        <v>0</v>
      </c>
    </row>
    <row r="26" spans="1:9" x14ac:dyDescent="0.35">
      <c r="A26" s="566" t="s">
        <v>1023</v>
      </c>
      <c r="B26" s="253" t="s">
        <v>76</v>
      </c>
      <c r="C26" s="315"/>
      <c r="D26" s="62"/>
      <c r="E26" s="62">
        <v>55719</v>
      </c>
      <c r="F26" s="388"/>
      <c r="G26" s="31">
        <v>1</v>
      </c>
      <c r="H26" s="408"/>
      <c r="I26" s="419">
        <f t="shared" si="0"/>
        <v>0</v>
      </c>
    </row>
    <row r="27" spans="1:9" x14ac:dyDescent="0.35">
      <c r="A27" s="566" t="s">
        <v>896</v>
      </c>
      <c r="B27" s="253" t="s">
        <v>272</v>
      </c>
      <c r="C27" s="315"/>
      <c r="D27" s="62"/>
      <c r="E27" s="62">
        <v>55719</v>
      </c>
      <c r="F27" s="388"/>
      <c r="G27" s="31">
        <v>1</v>
      </c>
      <c r="H27" s="408"/>
      <c r="I27" s="419">
        <f t="shared" si="0"/>
        <v>0</v>
      </c>
    </row>
    <row r="28" spans="1:9" x14ac:dyDescent="0.35">
      <c r="A28" s="566" t="s">
        <v>2583</v>
      </c>
      <c r="B28" s="253" t="s">
        <v>78</v>
      </c>
      <c r="C28" s="315"/>
      <c r="D28" s="62"/>
      <c r="E28" s="62">
        <v>55719</v>
      </c>
      <c r="F28" s="388"/>
      <c r="G28" s="31">
        <v>1</v>
      </c>
      <c r="H28" s="408"/>
      <c r="I28" s="419">
        <f t="shared" si="0"/>
        <v>0</v>
      </c>
    </row>
    <row r="29" spans="1:9" x14ac:dyDescent="0.35">
      <c r="A29" s="566" t="s">
        <v>897</v>
      </c>
      <c r="B29" s="253" t="s">
        <v>267</v>
      </c>
      <c r="C29" s="315"/>
      <c r="D29" s="62"/>
      <c r="E29" s="62">
        <v>55719</v>
      </c>
      <c r="F29" s="388"/>
      <c r="G29" s="31">
        <v>1</v>
      </c>
      <c r="H29" s="408"/>
      <c r="I29" s="419">
        <f t="shared" si="0"/>
        <v>0</v>
      </c>
    </row>
    <row r="30" spans="1:9" x14ac:dyDescent="0.35">
      <c r="A30" s="566" t="s">
        <v>15</v>
      </c>
      <c r="B30" s="253" t="s">
        <v>424</v>
      </c>
      <c r="C30" s="315"/>
      <c r="D30" s="62"/>
      <c r="E30" s="62">
        <v>55719</v>
      </c>
      <c r="F30" s="388"/>
      <c r="G30" s="31">
        <v>1</v>
      </c>
      <c r="H30" s="408"/>
      <c r="I30" s="419">
        <f t="shared" si="0"/>
        <v>0</v>
      </c>
    </row>
    <row r="31" spans="1:9" x14ac:dyDescent="0.35">
      <c r="A31" s="566" t="s">
        <v>1019</v>
      </c>
      <c r="B31" s="253" t="s">
        <v>90</v>
      </c>
      <c r="C31" s="315"/>
      <c r="D31" s="62"/>
      <c r="E31" s="62">
        <v>55719</v>
      </c>
      <c r="F31" s="388"/>
      <c r="G31" s="31">
        <v>1</v>
      </c>
      <c r="H31" s="408"/>
      <c r="I31" s="419">
        <f t="shared" si="0"/>
        <v>0</v>
      </c>
    </row>
    <row r="32" spans="1:9" x14ac:dyDescent="0.35">
      <c r="A32" s="566" t="s">
        <v>1120</v>
      </c>
      <c r="B32" s="253" t="s">
        <v>85</v>
      </c>
      <c r="C32" s="315"/>
      <c r="D32" s="62"/>
      <c r="E32" s="62">
        <v>55719</v>
      </c>
      <c r="F32" s="388"/>
      <c r="G32" s="31">
        <v>1</v>
      </c>
      <c r="H32" s="408"/>
      <c r="I32" s="419">
        <f t="shared" si="0"/>
        <v>0</v>
      </c>
    </row>
    <row r="33" spans="1:9" x14ac:dyDescent="0.35">
      <c r="A33" s="566" t="s">
        <v>1122</v>
      </c>
      <c r="B33" s="253" t="s">
        <v>706</v>
      </c>
      <c r="C33" s="315"/>
      <c r="D33" s="62"/>
      <c r="E33" s="62">
        <v>55719</v>
      </c>
      <c r="F33" s="388"/>
      <c r="G33" s="31">
        <v>1</v>
      </c>
      <c r="H33" s="408"/>
      <c r="I33" s="419">
        <f t="shared" si="0"/>
        <v>0</v>
      </c>
    </row>
    <row r="34" spans="1:9" x14ac:dyDescent="0.35">
      <c r="A34" s="566" t="s">
        <v>1123</v>
      </c>
      <c r="B34" s="253" t="s">
        <v>540</v>
      </c>
      <c r="C34" s="315"/>
      <c r="D34" s="62"/>
      <c r="E34" s="62">
        <v>55719</v>
      </c>
      <c r="F34" s="388"/>
      <c r="G34" s="31">
        <v>1</v>
      </c>
      <c r="H34" s="408"/>
      <c r="I34" s="419">
        <f t="shared" si="0"/>
        <v>0</v>
      </c>
    </row>
    <row r="35" spans="1:9" x14ac:dyDescent="0.35">
      <c r="A35" s="566" t="s">
        <v>1124</v>
      </c>
      <c r="B35" s="253" t="s">
        <v>708</v>
      </c>
      <c r="C35" s="315"/>
      <c r="D35" s="62"/>
      <c r="E35" s="62">
        <v>55719</v>
      </c>
      <c r="F35" s="388"/>
      <c r="G35" s="31">
        <v>1</v>
      </c>
      <c r="H35" s="408"/>
      <c r="I35" s="419">
        <f t="shared" si="0"/>
        <v>0</v>
      </c>
    </row>
    <row r="36" spans="1:9" x14ac:dyDescent="0.35">
      <c r="A36" s="566" t="s">
        <v>1125</v>
      </c>
      <c r="B36" s="253" t="s">
        <v>707</v>
      </c>
      <c r="C36" s="315"/>
      <c r="D36" s="62"/>
      <c r="E36" s="62">
        <v>55719</v>
      </c>
      <c r="F36" s="388"/>
      <c r="G36" s="31">
        <v>1</v>
      </c>
      <c r="H36" s="408"/>
      <c r="I36" s="419">
        <f t="shared" si="0"/>
        <v>0</v>
      </c>
    </row>
    <row r="37" spans="1:9" x14ac:dyDescent="0.35">
      <c r="A37" s="566" t="s">
        <v>903</v>
      </c>
      <c r="B37" s="253" t="s">
        <v>645</v>
      </c>
      <c r="C37" s="315"/>
      <c r="D37" s="62"/>
      <c r="E37" s="62">
        <v>55719</v>
      </c>
      <c r="F37" s="388"/>
      <c r="G37" s="31">
        <v>1</v>
      </c>
      <c r="H37" s="408"/>
      <c r="I37" s="419">
        <f t="shared" si="0"/>
        <v>0</v>
      </c>
    </row>
    <row r="38" spans="1:9" x14ac:dyDescent="0.35">
      <c r="A38" s="566" t="s">
        <v>1127</v>
      </c>
      <c r="B38" s="253" t="s">
        <v>539</v>
      </c>
      <c r="C38" s="315"/>
      <c r="D38" s="62"/>
      <c r="E38" s="62">
        <v>55719</v>
      </c>
      <c r="F38" s="388"/>
      <c r="G38" s="31">
        <v>1</v>
      </c>
      <c r="H38" s="408"/>
      <c r="I38" s="419">
        <f t="shared" si="0"/>
        <v>0</v>
      </c>
    </row>
    <row r="39" spans="1:9" x14ac:dyDescent="0.35">
      <c r="A39" s="566" t="s">
        <v>904</v>
      </c>
      <c r="B39" s="253" t="s">
        <v>538</v>
      </c>
      <c r="C39" s="315"/>
      <c r="D39" s="62"/>
      <c r="E39" s="62">
        <v>55719</v>
      </c>
      <c r="F39" s="388"/>
      <c r="G39" s="31">
        <v>1</v>
      </c>
      <c r="H39" s="408"/>
      <c r="I39" s="419">
        <f t="shared" si="0"/>
        <v>0</v>
      </c>
    </row>
    <row r="40" spans="1:9" x14ac:dyDescent="0.35">
      <c r="A40" s="566" t="s">
        <v>1129</v>
      </c>
      <c r="B40" s="253" t="s">
        <v>51</v>
      </c>
      <c r="C40" s="315"/>
      <c r="D40" s="62"/>
      <c r="E40" s="62">
        <v>55719</v>
      </c>
      <c r="F40" s="388"/>
      <c r="G40" s="31">
        <v>1</v>
      </c>
      <c r="H40" s="408"/>
      <c r="I40" s="419">
        <f t="shared" si="0"/>
        <v>0</v>
      </c>
    </row>
    <row r="41" spans="1:9" x14ac:dyDescent="0.35">
      <c r="A41" s="566" t="s">
        <v>2492</v>
      </c>
      <c r="B41" s="253" t="s">
        <v>696</v>
      </c>
      <c r="C41" s="315"/>
      <c r="D41" s="62"/>
      <c r="E41" s="62">
        <v>55719</v>
      </c>
      <c r="F41" s="388"/>
      <c r="G41" s="31">
        <v>1</v>
      </c>
      <c r="H41" s="408"/>
      <c r="I41" s="419">
        <f t="shared" si="0"/>
        <v>0</v>
      </c>
    </row>
    <row r="42" spans="1:9" x14ac:dyDescent="0.35">
      <c r="A42" s="566" t="s">
        <v>2493</v>
      </c>
      <c r="B42" s="253" t="s">
        <v>704</v>
      </c>
      <c r="C42" s="315"/>
      <c r="D42" s="62"/>
      <c r="E42" s="62">
        <v>55719</v>
      </c>
      <c r="F42" s="388"/>
      <c r="G42" s="31">
        <v>1</v>
      </c>
      <c r="H42" s="408"/>
      <c r="I42" s="419">
        <f t="shared" si="0"/>
        <v>0</v>
      </c>
    </row>
    <row r="43" spans="1:9" x14ac:dyDescent="0.35">
      <c r="A43" s="566" t="s">
        <v>2494</v>
      </c>
      <c r="B43" s="253" t="s">
        <v>705</v>
      </c>
      <c r="C43" s="315"/>
      <c r="D43" s="62"/>
      <c r="E43" s="62">
        <v>55719</v>
      </c>
      <c r="F43" s="388"/>
      <c r="G43" s="31">
        <v>1</v>
      </c>
      <c r="H43" s="408"/>
      <c r="I43" s="419">
        <f t="shared" si="0"/>
        <v>0</v>
      </c>
    </row>
    <row r="44" spans="1:9" x14ac:dyDescent="0.35">
      <c r="A44" s="566" t="s">
        <v>2495</v>
      </c>
      <c r="B44" s="253" t="s">
        <v>703</v>
      </c>
      <c r="C44" s="315"/>
      <c r="D44" s="62"/>
      <c r="E44" s="62">
        <v>55719</v>
      </c>
      <c r="F44" s="388"/>
      <c r="G44" s="31">
        <v>1</v>
      </c>
      <c r="H44" s="408"/>
      <c r="I44" s="419">
        <f t="shared" si="0"/>
        <v>0</v>
      </c>
    </row>
    <row r="45" spans="1:9" x14ac:dyDescent="0.35">
      <c r="A45" s="566" t="s">
        <v>2496</v>
      </c>
      <c r="B45" s="253" t="s">
        <v>702</v>
      </c>
      <c r="C45" s="315"/>
      <c r="D45" s="62"/>
      <c r="E45" s="62">
        <v>55719</v>
      </c>
      <c r="F45" s="388"/>
      <c r="G45" s="31">
        <v>1</v>
      </c>
      <c r="H45" s="408"/>
      <c r="I45" s="419">
        <f t="shared" si="0"/>
        <v>0</v>
      </c>
    </row>
    <row r="46" spans="1:9" x14ac:dyDescent="0.35">
      <c r="A46" s="566" t="s">
        <v>2497</v>
      </c>
      <c r="B46" s="253" t="s">
        <v>701</v>
      </c>
      <c r="C46" s="315"/>
      <c r="D46" s="62"/>
      <c r="E46" s="62">
        <v>55719</v>
      </c>
      <c r="F46" s="388"/>
      <c r="G46" s="31">
        <v>1</v>
      </c>
      <c r="H46" s="408"/>
      <c r="I46" s="419">
        <f t="shared" si="0"/>
        <v>0</v>
      </c>
    </row>
    <row r="47" spans="1:9" x14ac:dyDescent="0.35">
      <c r="A47" s="566" t="s">
        <v>2498</v>
      </c>
      <c r="B47" s="253" t="s">
        <v>700</v>
      </c>
      <c r="C47" s="315"/>
      <c r="D47" s="62"/>
      <c r="E47" s="62">
        <v>55719</v>
      </c>
      <c r="F47" s="388"/>
      <c r="G47" s="31">
        <v>1</v>
      </c>
      <c r="H47" s="408"/>
      <c r="I47" s="419">
        <f t="shared" si="0"/>
        <v>0</v>
      </c>
    </row>
    <row r="48" spans="1:9" x14ac:dyDescent="0.35">
      <c r="A48" s="566" t="s">
        <v>2499</v>
      </c>
      <c r="B48" s="253" t="s">
        <v>699</v>
      </c>
      <c r="C48" s="315"/>
      <c r="D48" s="62"/>
      <c r="E48" s="62">
        <v>55719</v>
      </c>
      <c r="F48" s="388"/>
      <c r="G48" s="31">
        <v>1</v>
      </c>
      <c r="H48" s="408"/>
      <c r="I48" s="419">
        <f t="shared" si="0"/>
        <v>0</v>
      </c>
    </row>
    <row r="49" spans="1:9" x14ac:dyDescent="0.35">
      <c r="A49" s="566" t="s">
        <v>2500</v>
      </c>
      <c r="B49" s="253" t="s">
        <v>698</v>
      </c>
      <c r="C49" s="315"/>
      <c r="D49" s="62"/>
      <c r="E49" s="62">
        <v>55719</v>
      </c>
      <c r="F49" s="315"/>
      <c r="G49" s="31">
        <v>1</v>
      </c>
      <c r="H49" s="408"/>
      <c r="I49" s="419">
        <f t="shared" si="0"/>
        <v>0</v>
      </c>
    </row>
    <row r="50" spans="1:9" x14ac:dyDescent="0.35">
      <c r="A50" s="566" t="s">
        <v>2501</v>
      </c>
      <c r="B50" s="253" t="s">
        <v>697</v>
      </c>
      <c r="C50" s="315"/>
      <c r="D50" s="62"/>
      <c r="E50" s="62">
        <v>55719</v>
      </c>
      <c r="F50" s="340"/>
      <c r="G50" s="31">
        <v>1</v>
      </c>
      <c r="H50" s="408"/>
      <c r="I50" s="419">
        <f t="shared" si="0"/>
        <v>0</v>
      </c>
    </row>
    <row r="51" spans="1:9" x14ac:dyDescent="0.35">
      <c r="A51" s="566" t="s">
        <v>1303</v>
      </c>
      <c r="B51" s="253" t="s">
        <v>581</v>
      </c>
      <c r="C51" s="315"/>
      <c r="D51" s="62"/>
      <c r="E51" s="62">
        <v>55719</v>
      </c>
      <c r="F51" s="388"/>
      <c r="G51" s="31">
        <v>1</v>
      </c>
      <c r="H51" s="408"/>
      <c r="I51" s="419">
        <f t="shared" si="0"/>
        <v>0</v>
      </c>
    </row>
    <row r="52" spans="1:9" x14ac:dyDescent="0.35">
      <c r="A52" s="566" t="s">
        <v>877</v>
      </c>
      <c r="B52" s="253" t="s">
        <v>365</v>
      </c>
      <c r="C52" s="315"/>
      <c r="D52" s="62"/>
      <c r="E52" s="62">
        <v>55719</v>
      </c>
      <c r="F52" s="388"/>
      <c r="G52" s="31">
        <v>1</v>
      </c>
      <c r="H52" s="408"/>
      <c r="I52" s="419">
        <f t="shared" si="0"/>
        <v>0</v>
      </c>
    </row>
    <row r="53" spans="1:9" x14ac:dyDescent="0.35">
      <c r="A53" s="566" t="s">
        <v>880</v>
      </c>
      <c r="B53" s="253" t="s">
        <v>366</v>
      </c>
      <c r="C53" s="315"/>
      <c r="D53" s="62"/>
      <c r="E53" s="62">
        <v>55719</v>
      </c>
      <c r="F53" s="388"/>
      <c r="G53" s="31">
        <v>1</v>
      </c>
      <c r="H53" s="408"/>
      <c r="I53" s="419">
        <f t="shared" si="0"/>
        <v>0</v>
      </c>
    </row>
    <row r="54" spans="1:9" x14ac:dyDescent="0.35">
      <c r="A54" s="566" t="s">
        <v>871</v>
      </c>
      <c r="B54" s="253" t="s">
        <v>95</v>
      </c>
      <c r="C54" s="315"/>
      <c r="D54" s="62"/>
      <c r="E54" s="62">
        <v>55719</v>
      </c>
      <c r="F54" s="388"/>
      <c r="G54" s="31">
        <v>1</v>
      </c>
      <c r="H54" s="408"/>
      <c r="I54" s="419">
        <f t="shared" si="0"/>
        <v>0</v>
      </c>
    </row>
    <row r="55" spans="1:9" x14ac:dyDescent="0.35">
      <c r="A55" s="566" t="s">
        <v>67</v>
      </c>
      <c r="B55" s="253" t="s">
        <v>204</v>
      </c>
      <c r="C55" s="315"/>
      <c r="D55" s="62"/>
      <c r="E55" s="62">
        <v>55719</v>
      </c>
      <c r="F55" s="388"/>
      <c r="G55" s="31">
        <v>1</v>
      </c>
      <c r="H55" s="408"/>
      <c r="I55" s="419">
        <f t="shared" si="0"/>
        <v>0</v>
      </c>
    </row>
    <row r="56" spans="1:9" x14ac:dyDescent="0.35">
      <c r="A56" s="566" t="s">
        <v>2505</v>
      </c>
      <c r="B56" s="253" t="s">
        <v>681</v>
      </c>
      <c r="C56" s="315"/>
      <c r="D56" s="62"/>
      <c r="E56" s="62">
        <v>55719</v>
      </c>
      <c r="F56" s="388"/>
      <c r="G56" s="31">
        <v>1</v>
      </c>
      <c r="H56" s="408"/>
      <c r="I56" s="419">
        <f t="shared" si="0"/>
        <v>0</v>
      </c>
    </row>
    <row r="57" spans="1:9" x14ac:dyDescent="0.35">
      <c r="A57" s="566" t="s">
        <v>2506</v>
      </c>
      <c r="B57" s="253" t="s">
        <v>680</v>
      </c>
      <c r="C57" s="315"/>
      <c r="D57" s="62"/>
      <c r="E57" s="62">
        <v>55719</v>
      </c>
      <c r="F57" s="388"/>
      <c r="G57" s="31">
        <v>1</v>
      </c>
      <c r="H57" s="408"/>
      <c r="I57" s="419">
        <f t="shared" si="0"/>
        <v>0</v>
      </c>
    </row>
    <row r="58" spans="1:9" x14ac:dyDescent="0.35">
      <c r="A58" s="566" t="s">
        <v>2507</v>
      </c>
      <c r="B58" s="253" t="s">
        <v>679</v>
      </c>
      <c r="C58" s="315"/>
      <c r="D58" s="62"/>
      <c r="E58" s="62">
        <v>55719</v>
      </c>
      <c r="F58" s="388"/>
      <c r="G58" s="31">
        <v>1</v>
      </c>
      <c r="H58" s="408"/>
      <c r="I58" s="419">
        <f t="shared" si="0"/>
        <v>0</v>
      </c>
    </row>
    <row r="59" spans="1:9" x14ac:dyDescent="0.35">
      <c r="A59" s="566" t="s">
        <v>68</v>
      </c>
      <c r="B59" s="253" t="s">
        <v>205</v>
      </c>
      <c r="C59" s="315"/>
      <c r="D59" s="62"/>
      <c r="E59" s="62">
        <v>55719</v>
      </c>
      <c r="F59" s="388"/>
      <c r="G59" s="31">
        <v>1</v>
      </c>
      <c r="H59" s="408"/>
      <c r="I59" s="419">
        <f t="shared" si="0"/>
        <v>0</v>
      </c>
    </row>
    <row r="60" spans="1:9" x14ac:dyDescent="0.35">
      <c r="A60" s="566" t="s">
        <v>2508</v>
      </c>
      <c r="B60" s="253" t="s">
        <v>678</v>
      </c>
      <c r="C60" s="315"/>
      <c r="D60" s="62"/>
      <c r="E60" s="62">
        <v>55719</v>
      </c>
      <c r="F60" s="388"/>
      <c r="G60" s="31">
        <v>1</v>
      </c>
      <c r="H60" s="408"/>
      <c r="I60" s="419">
        <f t="shared" si="0"/>
        <v>0</v>
      </c>
    </row>
    <row r="61" spans="1:9" x14ac:dyDescent="0.35">
      <c r="A61" s="566" t="s">
        <v>2509</v>
      </c>
      <c r="B61" s="253" t="s">
        <v>677</v>
      </c>
      <c r="C61" s="315"/>
      <c r="D61" s="62"/>
      <c r="E61" s="62">
        <v>55719</v>
      </c>
      <c r="F61" s="388"/>
      <c r="G61" s="31">
        <v>1</v>
      </c>
      <c r="H61" s="408"/>
      <c r="I61" s="419">
        <f t="shared" si="0"/>
        <v>0</v>
      </c>
    </row>
    <row r="62" spans="1:9" x14ac:dyDescent="0.35">
      <c r="A62" s="566" t="s">
        <v>2510</v>
      </c>
      <c r="B62" s="253" t="s">
        <v>676</v>
      </c>
      <c r="C62" s="315"/>
      <c r="D62" s="62"/>
      <c r="E62" s="62">
        <v>55719</v>
      </c>
      <c r="F62" s="388"/>
      <c r="G62" s="31">
        <v>1</v>
      </c>
      <c r="H62" s="408"/>
      <c r="I62" s="419">
        <f t="shared" si="0"/>
        <v>0</v>
      </c>
    </row>
    <row r="63" spans="1:9" x14ac:dyDescent="0.35">
      <c r="A63" s="566" t="s">
        <v>2511</v>
      </c>
      <c r="B63" s="253" t="s">
        <v>675</v>
      </c>
      <c r="C63" s="315"/>
      <c r="D63" s="62"/>
      <c r="E63" s="62">
        <v>55719</v>
      </c>
      <c r="F63" s="388"/>
      <c r="G63" s="31">
        <v>1</v>
      </c>
      <c r="H63" s="408"/>
      <c r="I63" s="419">
        <f t="shared" si="0"/>
        <v>0</v>
      </c>
    </row>
    <row r="64" spans="1:9" x14ac:dyDescent="0.35">
      <c r="A64" s="566" t="s">
        <v>2512</v>
      </c>
      <c r="B64" s="253" t="s">
        <v>674</v>
      </c>
      <c r="C64" s="315"/>
      <c r="D64" s="62"/>
      <c r="E64" s="62">
        <v>55719</v>
      </c>
      <c r="F64" s="388"/>
      <c r="G64" s="31">
        <v>1</v>
      </c>
      <c r="H64" s="408"/>
      <c r="I64" s="419">
        <f t="shared" si="0"/>
        <v>0</v>
      </c>
    </row>
    <row r="65" spans="1:9" x14ac:dyDescent="0.35">
      <c r="A65" s="566" t="s">
        <v>2513</v>
      </c>
      <c r="B65" s="253" t="s">
        <v>759</v>
      </c>
      <c r="C65" s="315"/>
      <c r="D65" s="62"/>
      <c r="E65" s="62">
        <v>55719</v>
      </c>
      <c r="F65" s="388"/>
      <c r="G65" s="31">
        <v>1</v>
      </c>
      <c r="H65" s="408"/>
      <c r="I65" s="419">
        <f t="shared" si="0"/>
        <v>0</v>
      </c>
    </row>
    <row r="66" spans="1:9" x14ac:dyDescent="0.35">
      <c r="A66" s="566" t="s">
        <v>2514</v>
      </c>
      <c r="B66" s="253" t="s">
        <v>683</v>
      </c>
      <c r="C66" s="315"/>
      <c r="D66" s="62"/>
      <c r="E66" s="62">
        <v>55719</v>
      </c>
      <c r="F66" s="388"/>
      <c r="G66" s="31">
        <v>1</v>
      </c>
      <c r="H66" s="408"/>
      <c r="I66" s="419">
        <f t="shared" ref="I66:I129" si="1">+G66*H66</f>
        <v>0</v>
      </c>
    </row>
    <row r="67" spans="1:9" x14ac:dyDescent="0.35">
      <c r="A67" s="566" t="s">
        <v>2515</v>
      </c>
      <c r="B67" s="253" t="s">
        <v>682</v>
      </c>
      <c r="C67" s="315"/>
      <c r="D67" s="62"/>
      <c r="E67" s="62">
        <v>55719</v>
      </c>
      <c r="F67" s="388"/>
      <c r="G67" s="31">
        <v>1</v>
      </c>
      <c r="H67" s="408"/>
      <c r="I67" s="419">
        <f t="shared" si="1"/>
        <v>0</v>
      </c>
    </row>
    <row r="68" spans="1:9" x14ac:dyDescent="0.35">
      <c r="A68" s="566" t="s">
        <v>38</v>
      </c>
      <c r="B68" s="253" t="s">
        <v>200</v>
      </c>
      <c r="C68" s="315"/>
      <c r="D68" s="62"/>
      <c r="E68" s="62">
        <v>55719</v>
      </c>
      <c r="F68" s="388"/>
      <c r="G68" s="31">
        <v>1</v>
      </c>
      <c r="H68" s="408"/>
      <c r="I68" s="419">
        <f t="shared" si="1"/>
        <v>0</v>
      </c>
    </row>
    <row r="69" spans="1:9" x14ac:dyDescent="0.35">
      <c r="A69" s="566" t="s">
        <v>882</v>
      </c>
      <c r="B69" s="253" t="s">
        <v>419</v>
      </c>
      <c r="C69" s="315"/>
      <c r="D69" s="62"/>
      <c r="E69" s="62">
        <v>55719</v>
      </c>
      <c r="F69" s="388"/>
      <c r="G69" s="31">
        <v>1</v>
      </c>
      <c r="H69" s="408"/>
      <c r="I69" s="419">
        <f t="shared" si="1"/>
        <v>0</v>
      </c>
    </row>
    <row r="70" spans="1:9" x14ac:dyDescent="0.35">
      <c r="A70" s="566" t="s">
        <v>107</v>
      </c>
      <c r="B70" s="253" t="s">
        <v>507</v>
      </c>
      <c r="C70" s="315"/>
      <c r="D70" s="62"/>
      <c r="E70" s="62">
        <v>55719</v>
      </c>
      <c r="F70" s="388"/>
      <c r="G70" s="31">
        <v>1</v>
      </c>
      <c r="H70" s="408"/>
      <c r="I70" s="419">
        <f t="shared" si="1"/>
        <v>0</v>
      </c>
    </row>
    <row r="71" spans="1:9" x14ac:dyDescent="0.35">
      <c r="A71" s="566" t="s">
        <v>1192</v>
      </c>
      <c r="B71" s="253" t="s">
        <v>406</v>
      </c>
      <c r="C71" s="315"/>
      <c r="D71" s="62"/>
      <c r="E71" s="62">
        <v>55719</v>
      </c>
      <c r="F71" s="388"/>
      <c r="G71" s="31">
        <v>1</v>
      </c>
      <c r="H71" s="408"/>
      <c r="I71" s="419">
        <f t="shared" si="1"/>
        <v>0</v>
      </c>
    </row>
    <row r="72" spans="1:9" x14ac:dyDescent="0.35">
      <c r="A72" s="566" t="s">
        <v>6</v>
      </c>
      <c r="B72" s="253" t="s">
        <v>87</v>
      </c>
      <c r="C72" s="315"/>
      <c r="D72" s="62"/>
      <c r="E72" s="62">
        <v>55719</v>
      </c>
      <c r="F72" s="315"/>
      <c r="G72" s="31">
        <v>1</v>
      </c>
      <c r="H72" s="408"/>
      <c r="I72" s="419">
        <f t="shared" si="1"/>
        <v>0</v>
      </c>
    </row>
    <row r="73" spans="1:9" x14ac:dyDescent="0.35">
      <c r="A73" s="566" t="s">
        <v>174</v>
      </c>
      <c r="B73" s="253" t="s">
        <v>215</v>
      </c>
      <c r="C73" s="315"/>
      <c r="D73" s="62"/>
      <c r="E73" s="62">
        <v>55719</v>
      </c>
      <c r="F73" s="340"/>
      <c r="G73" s="31">
        <v>1</v>
      </c>
      <c r="H73" s="408"/>
      <c r="I73" s="419">
        <f t="shared" si="1"/>
        <v>0</v>
      </c>
    </row>
    <row r="74" spans="1:9" x14ac:dyDescent="0.35">
      <c r="A74" s="566" t="s">
        <v>293</v>
      </c>
      <c r="B74" s="253" t="s">
        <v>42</v>
      </c>
      <c r="C74" s="315"/>
      <c r="D74" s="62"/>
      <c r="E74" s="62">
        <v>55719</v>
      </c>
      <c r="F74" s="388"/>
      <c r="G74" s="31">
        <v>1</v>
      </c>
      <c r="H74" s="408"/>
      <c r="I74" s="419">
        <f t="shared" si="1"/>
        <v>0</v>
      </c>
    </row>
    <row r="75" spans="1:9" x14ac:dyDescent="0.35">
      <c r="A75" s="566" t="s">
        <v>1084</v>
      </c>
      <c r="B75" s="253" t="s">
        <v>546</v>
      </c>
      <c r="C75" s="315"/>
      <c r="D75" s="62"/>
      <c r="E75" s="62">
        <v>55719</v>
      </c>
      <c r="F75" s="388"/>
      <c r="G75" s="31">
        <v>1</v>
      </c>
      <c r="H75" s="408"/>
      <c r="I75" s="419">
        <f t="shared" si="1"/>
        <v>0</v>
      </c>
    </row>
    <row r="76" spans="1:9" x14ac:dyDescent="0.35">
      <c r="A76" s="566" t="s">
        <v>1034</v>
      </c>
      <c r="B76" s="253" t="s">
        <v>792</v>
      </c>
      <c r="C76" s="315"/>
      <c r="D76" s="62"/>
      <c r="E76" s="62">
        <v>55719</v>
      </c>
      <c r="F76" s="388"/>
      <c r="G76" s="31">
        <v>1</v>
      </c>
      <c r="H76" s="408"/>
      <c r="I76" s="419">
        <f t="shared" si="1"/>
        <v>0</v>
      </c>
    </row>
    <row r="77" spans="1:9" x14ac:dyDescent="0.35">
      <c r="A77" s="566" t="s">
        <v>1035</v>
      </c>
      <c r="B77" s="253" t="s">
        <v>421</v>
      </c>
      <c r="C77" s="315"/>
      <c r="D77" s="62"/>
      <c r="E77" s="62">
        <v>55719</v>
      </c>
      <c r="F77" s="388"/>
      <c r="G77" s="31">
        <v>1</v>
      </c>
      <c r="H77" s="408"/>
      <c r="I77" s="419">
        <f t="shared" si="1"/>
        <v>0</v>
      </c>
    </row>
    <row r="78" spans="1:9" x14ac:dyDescent="0.35">
      <c r="A78" s="566" t="s">
        <v>1207</v>
      </c>
      <c r="B78" s="253" t="s">
        <v>611</v>
      </c>
      <c r="C78" s="315"/>
      <c r="D78" s="62"/>
      <c r="E78" s="62">
        <v>55719</v>
      </c>
      <c r="F78" s="388"/>
      <c r="G78" s="31">
        <v>1</v>
      </c>
      <c r="H78" s="408"/>
      <c r="I78" s="419">
        <f t="shared" si="1"/>
        <v>0</v>
      </c>
    </row>
    <row r="79" spans="1:9" x14ac:dyDescent="0.35">
      <c r="A79" s="566" t="s">
        <v>718</v>
      </c>
      <c r="B79" s="253" t="s">
        <v>1618</v>
      </c>
      <c r="C79" s="315"/>
      <c r="D79" s="62"/>
      <c r="E79" s="62">
        <v>55719</v>
      </c>
      <c r="F79" s="388"/>
      <c r="G79" s="31">
        <v>1</v>
      </c>
      <c r="H79" s="408"/>
      <c r="I79" s="419">
        <f t="shared" si="1"/>
        <v>0</v>
      </c>
    </row>
    <row r="80" spans="1:9" x14ac:dyDescent="0.35">
      <c r="A80" s="566" t="s">
        <v>2478</v>
      </c>
      <c r="B80" s="253" t="s">
        <v>2479</v>
      </c>
      <c r="C80" s="315"/>
      <c r="D80" s="62"/>
      <c r="E80" s="62">
        <v>55719</v>
      </c>
      <c r="F80" s="388"/>
      <c r="G80" s="31">
        <v>1</v>
      </c>
      <c r="H80" s="408"/>
      <c r="I80" s="419">
        <f t="shared" si="1"/>
        <v>0</v>
      </c>
    </row>
    <row r="81" spans="1:9" x14ac:dyDescent="0.35">
      <c r="A81" s="566" t="s">
        <v>2594</v>
      </c>
      <c r="B81" s="253" t="s">
        <v>757</v>
      </c>
      <c r="C81" s="315"/>
      <c r="D81" s="62"/>
      <c r="E81" s="62">
        <v>55719</v>
      </c>
      <c r="F81" s="388"/>
      <c r="G81" s="31">
        <v>1</v>
      </c>
      <c r="H81" s="408"/>
      <c r="I81" s="419">
        <f t="shared" si="1"/>
        <v>0</v>
      </c>
    </row>
    <row r="82" spans="1:9" x14ac:dyDescent="0.35">
      <c r="A82" s="566" t="s">
        <v>1452</v>
      </c>
      <c r="B82" s="253" t="s">
        <v>1679</v>
      </c>
      <c r="C82" s="315"/>
      <c r="D82" s="62">
        <v>690</v>
      </c>
      <c r="E82" s="62">
        <v>55719</v>
      </c>
      <c r="F82" s="388"/>
      <c r="G82" s="31">
        <v>1</v>
      </c>
      <c r="H82" s="408"/>
      <c r="I82" s="419">
        <f t="shared" si="1"/>
        <v>0</v>
      </c>
    </row>
    <row r="83" spans="1:9" x14ac:dyDescent="0.35">
      <c r="A83" s="566" t="s">
        <v>1082</v>
      </c>
      <c r="B83" s="253" t="s">
        <v>274</v>
      </c>
      <c r="C83" s="315"/>
      <c r="D83" s="62"/>
      <c r="E83" s="62">
        <v>55719</v>
      </c>
      <c r="F83" s="388"/>
      <c r="G83" s="31">
        <v>1</v>
      </c>
      <c r="H83" s="408"/>
      <c r="I83" s="419">
        <f t="shared" si="1"/>
        <v>0</v>
      </c>
    </row>
    <row r="84" spans="1:9" x14ac:dyDescent="0.35">
      <c r="A84" s="566" t="s">
        <v>1081</v>
      </c>
      <c r="B84" s="253" t="s">
        <v>276</v>
      </c>
      <c r="C84" s="315"/>
      <c r="D84" s="62"/>
      <c r="E84" s="62">
        <v>55719</v>
      </c>
      <c r="F84" s="388"/>
      <c r="G84" s="31">
        <v>1</v>
      </c>
      <c r="H84" s="408"/>
      <c r="I84" s="419">
        <f t="shared" si="1"/>
        <v>0</v>
      </c>
    </row>
    <row r="85" spans="1:9" x14ac:dyDescent="0.35">
      <c r="A85" s="566" t="s">
        <v>912</v>
      </c>
      <c r="B85" s="253" t="s">
        <v>445</v>
      </c>
      <c r="C85" s="315"/>
      <c r="D85" s="62"/>
      <c r="E85" s="62">
        <v>55719</v>
      </c>
      <c r="F85" s="388"/>
      <c r="G85" s="31">
        <v>1</v>
      </c>
      <c r="H85" s="408"/>
      <c r="I85" s="419">
        <f t="shared" si="1"/>
        <v>0</v>
      </c>
    </row>
    <row r="86" spans="1:9" x14ac:dyDescent="0.35">
      <c r="A86" s="566" t="s">
        <v>1018</v>
      </c>
      <c r="B86" s="253" t="s">
        <v>493</v>
      </c>
      <c r="C86" s="315"/>
      <c r="D86" s="62"/>
      <c r="E86" s="62">
        <v>55719</v>
      </c>
      <c r="F86" s="388"/>
      <c r="G86" s="31">
        <v>2</v>
      </c>
      <c r="H86" s="408"/>
      <c r="I86" s="419">
        <f t="shared" si="1"/>
        <v>0</v>
      </c>
    </row>
    <row r="87" spans="1:9" x14ac:dyDescent="0.35">
      <c r="A87" s="566" t="s">
        <v>2588</v>
      </c>
      <c r="B87" s="253" t="s">
        <v>273</v>
      </c>
      <c r="C87" s="315"/>
      <c r="D87" s="62"/>
      <c r="E87" s="62">
        <v>55719</v>
      </c>
      <c r="F87" s="388"/>
      <c r="G87" s="31">
        <v>1</v>
      </c>
      <c r="H87" s="408"/>
      <c r="I87" s="419">
        <f t="shared" si="1"/>
        <v>0</v>
      </c>
    </row>
    <row r="88" spans="1:9" x14ac:dyDescent="0.35">
      <c r="A88" s="566" t="s">
        <v>1007</v>
      </c>
      <c r="B88" s="253" t="s">
        <v>313</v>
      </c>
      <c r="C88" s="315"/>
      <c r="D88" s="62"/>
      <c r="E88" s="62">
        <v>55719</v>
      </c>
      <c r="F88" s="388"/>
      <c r="G88" s="31">
        <v>1</v>
      </c>
      <c r="H88" s="408"/>
      <c r="I88" s="419">
        <f t="shared" si="1"/>
        <v>0</v>
      </c>
    </row>
    <row r="89" spans="1:9" x14ac:dyDescent="0.35">
      <c r="A89" s="566" t="s">
        <v>2589</v>
      </c>
      <c r="B89" s="253" t="s">
        <v>599</v>
      </c>
      <c r="C89" s="315"/>
      <c r="D89" s="62"/>
      <c r="E89" s="62">
        <v>55719</v>
      </c>
      <c r="F89" s="388"/>
      <c r="G89" s="31">
        <v>1</v>
      </c>
      <c r="H89" s="408"/>
      <c r="I89" s="419">
        <f t="shared" si="1"/>
        <v>0</v>
      </c>
    </row>
    <row r="90" spans="1:9" x14ac:dyDescent="0.35">
      <c r="A90" s="566" t="s">
        <v>1083</v>
      </c>
      <c r="B90" s="253" t="s">
        <v>491</v>
      </c>
      <c r="C90" s="315"/>
      <c r="D90" s="62"/>
      <c r="E90" s="62">
        <v>55719</v>
      </c>
      <c r="F90" s="388"/>
      <c r="G90" s="31">
        <v>1</v>
      </c>
      <c r="H90" s="408"/>
      <c r="I90" s="419">
        <f t="shared" si="1"/>
        <v>0</v>
      </c>
    </row>
    <row r="91" spans="1:9" x14ac:dyDescent="0.35">
      <c r="A91" s="566" t="s">
        <v>1008</v>
      </c>
      <c r="B91" s="253" t="s">
        <v>173</v>
      </c>
      <c r="C91" s="315"/>
      <c r="D91" s="62"/>
      <c r="E91" s="62">
        <v>55719</v>
      </c>
      <c r="F91" s="388"/>
      <c r="G91" s="31">
        <v>1</v>
      </c>
      <c r="H91" s="408"/>
      <c r="I91" s="419">
        <f t="shared" si="1"/>
        <v>0</v>
      </c>
    </row>
    <row r="92" spans="1:9" x14ac:dyDescent="0.35">
      <c r="A92" s="566" t="s">
        <v>899</v>
      </c>
      <c r="B92" s="253" t="s">
        <v>281</v>
      </c>
      <c r="C92" s="315"/>
      <c r="D92" s="62"/>
      <c r="E92" s="62">
        <v>55719</v>
      </c>
      <c r="F92" s="388"/>
      <c r="G92" s="31">
        <v>1</v>
      </c>
      <c r="H92" s="408"/>
      <c r="I92" s="419">
        <f t="shared" si="1"/>
        <v>0</v>
      </c>
    </row>
    <row r="93" spans="1:9" x14ac:dyDescent="0.35">
      <c r="A93" s="566" t="s">
        <v>1759</v>
      </c>
      <c r="B93" s="253" t="s">
        <v>280</v>
      </c>
      <c r="C93" s="315"/>
      <c r="D93" s="62"/>
      <c r="E93" s="62">
        <v>55719</v>
      </c>
      <c r="F93" s="315"/>
      <c r="G93" s="31">
        <v>1</v>
      </c>
      <c r="H93" s="408"/>
      <c r="I93" s="419">
        <f t="shared" si="1"/>
        <v>0</v>
      </c>
    </row>
    <row r="94" spans="1:9" x14ac:dyDescent="0.35">
      <c r="A94" s="566" t="s">
        <v>2334</v>
      </c>
      <c r="B94" s="253" t="s">
        <v>284</v>
      </c>
      <c r="C94" s="315"/>
      <c r="D94" s="62"/>
      <c r="E94" s="62">
        <v>55719</v>
      </c>
      <c r="F94" s="340"/>
      <c r="G94" s="31">
        <v>1</v>
      </c>
      <c r="H94" s="408"/>
      <c r="I94" s="419">
        <f t="shared" si="1"/>
        <v>0</v>
      </c>
    </row>
    <row r="95" spans="1:9" x14ac:dyDescent="0.35">
      <c r="A95" s="566" t="s">
        <v>1138</v>
      </c>
      <c r="B95" s="253" t="s">
        <v>547</v>
      </c>
      <c r="C95" s="315"/>
      <c r="D95" s="62"/>
      <c r="E95" s="62">
        <v>55719</v>
      </c>
      <c r="F95" s="388"/>
      <c r="G95" s="31">
        <v>1</v>
      </c>
      <c r="H95" s="408"/>
      <c r="I95" s="419">
        <f t="shared" si="1"/>
        <v>0</v>
      </c>
    </row>
    <row r="96" spans="1:9" x14ac:dyDescent="0.35">
      <c r="A96" s="566" t="s">
        <v>898</v>
      </c>
      <c r="B96" s="253" t="s">
        <v>277</v>
      </c>
      <c r="C96" s="315"/>
      <c r="D96" s="62"/>
      <c r="E96" s="62">
        <v>55719</v>
      </c>
      <c r="F96" s="388"/>
      <c r="G96" s="31">
        <v>1</v>
      </c>
      <c r="H96" s="408"/>
      <c r="I96" s="419">
        <f t="shared" si="1"/>
        <v>0</v>
      </c>
    </row>
    <row r="97" spans="1:9" x14ac:dyDescent="0.35">
      <c r="A97" s="566" t="s">
        <v>146</v>
      </c>
      <c r="B97" s="253" t="s">
        <v>278</v>
      </c>
      <c r="C97" s="315"/>
      <c r="D97" s="62"/>
      <c r="E97" s="62">
        <v>55719</v>
      </c>
      <c r="F97" s="388"/>
      <c r="G97" s="31">
        <v>1</v>
      </c>
      <c r="H97" s="408"/>
      <c r="I97" s="419">
        <f t="shared" si="1"/>
        <v>0</v>
      </c>
    </row>
    <row r="98" spans="1:9" x14ac:dyDescent="0.35">
      <c r="A98" s="566" t="s">
        <v>2344</v>
      </c>
      <c r="B98" s="253" t="s">
        <v>279</v>
      </c>
      <c r="C98" s="315"/>
      <c r="D98" s="62"/>
      <c r="E98" s="62">
        <v>55719</v>
      </c>
      <c r="F98" s="388"/>
      <c r="G98" s="31">
        <v>1</v>
      </c>
      <c r="H98" s="408"/>
      <c r="I98" s="419">
        <f t="shared" si="1"/>
        <v>0</v>
      </c>
    </row>
    <row r="99" spans="1:9" x14ac:dyDescent="0.35">
      <c r="A99" s="566" t="s">
        <v>914</v>
      </c>
      <c r="B99" s="253" t="s">
        <v>444</v>
      </c>
      <c r="C99" s="315"/>
      <c r="D99" s="62"/>
      <c r="E99" s="62">
        <v>55719</v>
      </c>
      <c r="F99" s="388"/>
      <c r="G99" s="31">
        <v>1</v>
      </c>
      <c r="H99" s="408"/>
      <c r="I99" s="419">
        <f t="shared" si="1"/>
        <v>0</v>
      </c>
    </row>
    <row r="100" spans="1:9" x14ac:dyDescent="0.35">
      <c r="A100" s="566" t="s">
        <v>2530</v>
      </c>
      <c r="B100" s="253" t="s">
        <v>730</v>
      </c>
      <c r="C100" s="315"/>
      <c r="D100" s="62"/>
      <c r="E100" s="62">
        <v>55719</v>
      </c>
      <c r="F100" s="388"/>
      <c r="G100" s="31">
        <v>1</v>
      </c>
      <c r="H100" s="408"/>
      <c r="I100" s="419">
        <f t="shared" si="1"/>
        <v>0</v>
      </c>
    </row>
    <row r="101" spans="1:9" x14ac:dyDescent="0.35">
      <c r="A101" s="566" t="s">
        <v>2531</v>
      </c>
      <c r="B101" s="253" t="s">
        <v>728</v>
      </c>
      <c r="C101" s="315"/>
      <c r="D101" s="62"/>
      <c r="E101" s="62">
        <v>55719</v>
      </c>
      <c r="F101" s="388"/>
      <c r="G101" s="31">
        <v>1</v>
      </c>
      <c r="H101" s="408"/>
      <c r="I101" s="419">
        <f t="shared" si="1"/>
        <v>0</v>
      </c>
    </row>
    <row r="102" spans="1:9" x14ac:dyDescent="0.35">
      <c r="A102" s="566" t="s">
        <v>2532</v>
      </c>
      <c r="B102" s="253" t="s">
        <v>729</v>
      </c>
      <c r="C102" s="315"/>
      <c r="D102" s="62"/>
      <c r="E102" s="62">
        <v>55719</v>
      </c>
      <c r="F102" s="388"/>
      <c r="G102" s="31">
        <v>1</v>
      </c>
      <c r="H102" s="408"/>
      <c r="I102" s="419">
        <f t="shared" si="1"/>
        <v>0</v>
      </c>
    </row>
    <row r="103" spans="1:9" x14ac:dyDescent="0.35">
      <c r="A103" s="566" t="s">
        <v>2533</v>
      </c>
      <c r="B103" s="253" t="s">
        <v>720</v>
      </c>
      <c r="C103" s="315"/>
      <c r="D103" s="62"/>
      <c r="E103" s="62">
        <v>55719</v>
      </c>
      <c r="F103" s="388"/>
      <c r="G103" s="31">
        <v>1</v>
      </c>
      <c r="H103" s="408"/>
      <c r="I103" s="419">
        <f t="shared" si="1"/>
        <v>0</v>
      </c>
    </row>
    <row r="104" spans="1:9" x14ac:dyDescent="0.35">
      <c r="A104" s="566" t="s">
        <v>2534</v>
      </c>
      <c r="B104" s="253" t="s">
        <v>721</v>
      </c>
      <c r="C104" s="315"/>
      <c r="D104" s="62"/>
      <c r="E104" s="62">
        <v>55719</v>
      </c>
      <c r="F104" s="388"/>
      <c r="G104" s="31">
        <v>1</v>
      </c>
      <c r="H104" s="408"/>
      <c r="I104" s="419">
        <f t="shared" si="1"/>
        <v>0</v>
      </c>
    </row>
    <row r="105" spans="1:9" x14ac:dyDescent="0.35">
      <c r="A105" s="566" t="s">
        <v>2535</v>
      </c>
      <c r="B105" s="253" t="s">
        <v>722</v>
      </c>
      <c r="C105" s="315"/>
      <c r="D105" s="62"/>
      <c r="E105" s="62">
        <v>55719</v>
      </c>
      <c r="F105" s="388"/>
      <c r="G105" s="31">
        <v>1</v>
      </c>
      <c r="H105" s="408"/>
      <c r="I105" s="419">
        <f t="shared" si="1"/>
        <v>0</v>
      </c>
    </row>
    <row r="106" spans="1:9" x14ac:dyDescent="0.35">
      <c r="A106" s="566" t="s">
        <v>2536</v>
      </c>
      <c r="B106" s="253" t="s">
        <v>723</v>
      </c>
      <c r="C106" s="315"/>
      <c r="D106" s="62"/>
      <c r="E106" s="62">
        <v>55719</v>
      </c>
      <c r="F106" s="388"/>
      <c r="G106" s="31">
        <v>1</v>
      </c>
      <c r="H106" s="408"/>
      <c r="I106" s="419">
        <f t="shared" si="1"/>
        <v>0</v>
      </c>
    </row>
    <row r="107" spans="1:9" x14ac:dyDescent="0.35">
      <c r="A107" s="566" t="s">
        <v>2537</v>
      </c>
      <c r="B107" s="253" t="s">
        <v>724</v>
      </c>
      <c r="C107" s="315"/>
      <c r="D107" s="62"/>
      <c r="E107" s="62">
        <v>55719</v>
      </c>
      <c r="F107" s="388"/>
      <c r="G107" s="31">
        <v>1</v>
      </c>
      <c r="H107" s="408"/>
      <c r="I107" s="419">
        <f t="shared" si="1"/>
        <v>0</v>
      </c>
    </row>
    <row r="108" spans="1:9" x14ac:dyDescent="0.35">
      <c r="A108" s="566" t="s">
        <v>2538</v>
      </c>
      <c r="B108" s="253" t="s">
        <v>725</v>
      </c>
      <c r="C108" s="315"/>
      <c r="D108" s="62"/>
      <c r="E108" s="62">
        <v>55719</v>
      </c>
      <c r="F108" s="388"/>
      <c r="G108" s="31">
        <v>1</v>
      </c>
      <c r="H108" s="408"/>
      <c r="I108" s="419">
        <f t="shared" si="1"/>
        <v>0</v>
      </c>
    </row>
    <row r="109" spans="1:9" x14ac:dyDescent="0.35">
      <c r="A109" s="566" t="s">
        <v>2539</v>
      </c>
      <c r="B109" s="253" t="s">
        <v>726</v>
      </c>
      <c r="C109" s="315"/>
      <c r="D109" s="62"/>
      <c r="E109" s="62">
        <v>55719</v>
      </c>
      <c r="F109" s="388"/>
      <c r="G109" s="31">
        <v>1</v>
      </c>
      <c r="H109" s="408"/>
      <c r="I109" s="419">
        <f t="shared" si="1"/>
        <v>0</v>
      </c>
    </row>
    <row r="110" spans="1:9" x14ac:dyDescent="0.35">
      <c r="A110" s="566" t="s">
        <v>2529</v>
      </c>
      <c r="B110" s="253" t="s">
        <v>727</v>
      </c>
      <c r="C110" s="315"/>
      <c r="D110" s="62"/>
      <c r="E110" s="62">
        <v>55719</v>
      </c>
      <c r="F110" s="388"/>
      <c r="G110" s="31">
        <v>1</v>
      </c>
      <c r="H110" s="408"/>
      <c r="I110" s="419">
        <f t="shared" si="1"/>
        <v>0</v>
      </c>
    </row>
    <row r="111" spans="1:9" x14ac:dyDescent="0.35">
      <c r="A111" s="566" t="s">
        <v>731</v>
      </c>
      <c r="B111" s="253" t="s">
        <v>492</v>
      </c>
      <c r="C111" s="315"/>
      <c r="D111" s="62"/>
      <c r="E111" s="62">
        <v>55719</v>
      </c>
      <c r="F111" s="388"/>
      <c r="G111" s="31">
        <v>1</v>
      </c>
      <c r="H111" s="408"/>
      <c r="I111" s="419">
        <f t="shared" si="1"/>
        <v>0</v>
      </c>
    </row>
    <row r="112" spans="1:9" x14ac:dyDescent="0.35">
      <c r="A112" s="566" t="s">
        <v>900</v>
      </c>
      <c r="B112" s="253" t="s">
        <v>301</v>
      </c>
      <c r="C112" s="315"/>
      <c r="D112" s="62"/>
      <c r="E112" s="62">
        <v>55719</v>
      </c>
      <c r="F112" s="388"/>
      <c r="G112" s="31">
        <v>1</v>
      </c>
      <c r="H112" s="408"/>
      <c r="I112" s="419">
        <f t="shared" si="1"/>
        <v>0</v>
      </c>
    </row>
    <row r="113" spans="1:9" x14ac:dyDescent="0.35">
      <c r="A113" s="566" t="s">
        <v>1299</v>
      </c>
      <c r="B113" s="253" t="s">
        <v>1580</v>
      </c>
      <c r="C113" s="315"/>
      <c r="D113" s="62"/>
      <c r="E113" s="62">
        <v>55719</v>
      </c>
      <c r="F113" s="388"/>
      <c r="G113" s="31">
        <v>1</v>
      </c>
      <c r="H113" s="408"/>
      <c r="I113" s="419">
        <f t="shared" si="1"/>
        <v>0</v>
      </c>
    </row>
    <row r="114" spans="1:9" x14ac:dyDescent="0.35">
      <c r="A114" s="566" t="s">
        <v>2366</v>
      </c>
      <c r="B114" s="253" t="s">
        <v>610</v>
      </c>
      <c r="C114" s="315"/>
      <c r="D114" s="62"/>
      <c r="E114" s="62">
        <v>55719</v>
      </c>
      <c r="F114" s="388"/>
      <c r="G114" s="31">
        <v>1</v>
      </c>
      <c r="H114" s="408"/>
      <c r="I114" s="419">
        <f t="shared" si="1"/>
        <v>0</v>
      </c>
    </row>
    <row r="115" spans="1:9" x14ac:dyDescent="0.35">
      <c r="A115" s="566" t="s">
        <v>1335</v>
      </c>
      <c r="B115" s="253" t="s">
        <v>533</v>
      </c>
      <c r="C115" s="315"/>
      <c r="D115" s="62"/>
      <c r="E115" s="62">
        <v>55719</v>
      </c>
      <c r="F115" s="340"/>
      <c r="G115" s="31">
        <v>1</v>
      </c>
      <c r="H115" s="408"/>
      <c r="I115" s="419">
        <f t="shared" si="1"/>
        <v>0</v>
      </c>
    </row>
    <row r="116" spans="1:9" x14ac:dyDescent="0.35">
      <c r="A116" s="566" t="s">
        <v>1354</v>
      </c>
      <c r="B116" s="253" t="s">
        <v>613</v>
      </c>
      <c r="C116" s="315"/>
      <c r="D116" s="62"/>
      <c r="E116" s="62">
        <v>55719</v>
      </c>
      <c r="F116" s="388"/>
      <c r="G116" s="31">
        <v>1</v>
      </c>
      <c r="H116" s="408"/>
      <c r="I116" s="419">
        <f t="shared" si="1"/>
        <v>0</v>
      </c>
    </row>
    <row r="117" spans="1:9" x14ac:dyDescent="0.35">
      <c r="A117" s="566" t="s">
        <v>1355</v>
      </c>
      <c r="B117" s="253" t="s">
        <v>516</v>
      </c>
      <c r="C117" s="315"/>
      <c r="D117" s="62"/>
      <c r="E117" s="62">
        <v>55719</v>
      </c>
      <c r="F117" s="388"/>
      <c r="G117" s="31">
        <v>1</v>
      </c>
      <c r="H117" s="408"/>
      <c r="I117" s="419">
        <f t="shared" si="1"/>
        <v>0</v>
      </c>
    </row>
    <row r="118" spans="1:9" x14ac:dyDescent="0.35">
      <c r="A118" s="566" t="s">
        <v>1346</v>
      </c>
      <c r="B118" s="253" t="s">
        <v>760</v>
      </c>
      <c r="C118" s="315"/>
      <c r="D118" s="62"/>
      <c r="E118" s="62">
        <v>55719</v>
      </c>
      <c r="F118" s="388"/>
      <c r="G118" s="31">
        <v>1</v>
      </c>
      <c r="H118" s="408"/>
      <c r="I118" s="419">
        <f t="shared" si="1"/>
        <v>0</v>
      </c>
    </row>
    <row r="119" spans="1:9" x14ac:dyDescent="0.35">
      <c r="A119" s="566" t="s">
        <v>1383</v>
      </c>
      <c r="B119" s="253" t="s">
        <v>243</v>
      </c>
      <c r="C119" s="315"/>
      <c r="D119" s="62"/>
      <c r="E119" s="62">
        <v>55719</v>
      </c>
      <c r="F119" s="388"/>
      <c r="G119" s="31">
        <v>1</v>
      </c>
      <c r="H119" s="408"/>
      <c r="I119" s="419">
        <f t="shared" si="1"/>
        <v>0</v>
      </c>
    </row>
    <row r="120" spans="1:9" x14ac:dyDescent="0.35">
      <c r="A120" s="566" t="s">
        <v>1430</v>
      </c>
      <c r="B120" s="253" t="s">
        <v>717</v>
      </c>
      <c r="C120" s="315"/>
      <c r="D120" s="62"/>
      <c r="E120" s="62">
        <v>55719</v>
      </c>
      <c r="F120" s="388"/>
      <c r="G120" s="31">
        <v>1</v>
      </c>
      <c r="H120" s="408"/>
      <c r="I120" s="419">
        <f t="shared" si="1"/>
        <v>0</v>
      </c>
    </row>
    <row r="121" spans="1:9" x14ac:dyDescent="0.35">
      <c r="A121" s="566" t="s">
        <v>1431</v>
      </c>
      <c r="B121" s="253" t="s">
        <v>719</v>
      </c>
      <c r="C121" s="315"/>
      <c r="D121" s="62"/>
      <c r="E121" s="62">
        <v>55719</v>
      </c>
      <c r="F121" s="388"/>
      <c r="G121" s="31">
        <v>1</v>
      </c>
      <c r="H121" s="408"/>
      <c r="I121" s="419">
        <f t="shared" si="1"/>
        <v>0</v>
      </c>
    </row>
    <row r="122" spans="1:9" x14ac:dyDescent="0.35">
      <c r="A122" s="566" t="s">
        <v>885</v>
      </c>
      <c r="B122" s="253" t="s">
        <v>229</v>
      </c>
      <c r="C122" s="315"/>
      <c r="D122" s="62"/>
      <c r="E122" s="62">
        <v>55719</v>
      </c>
      <c r="F122" s="388"/>
      <c r="G122" s="31">
        <v>1</v>
      </c>
      <c r="H122" s="408"/>
      <c r="I122" s="419">
        <f t="shared" si="1"/>
        <v>0</v>
      </c>
    </row>
    <row r="123" spans="1:9" x14ac:dyDescent="0.35">
      <c r="A123" s="234" t="s">
        <v>1644</v>
      </c>
      <c r="B123" s="253" t="s">
        <v>1645</v>
      </c>
      <c r="C123" s="315"/>
      <c r="D123" s="62"/>
      <c r="E123" s="62">
        <v>55719</v>
      </c>
      <c r="F123" s="388"/>
      <c r="G123" s="55">
        <v>1</v>
      </c>
      <c r="H123" s="408"/>
      <c r="I123" s="419">
        <f t="shared" si="1"/>
        <v>0</v>
      </c>
    </row>
    <row r="124" spans="1:9" x14ac:dyDescent="0.35">
      <c r="A124" s="566" t="s">
        <v>1223</v>
      </c>
      <c r="B124" s="253" t="s">
        <v>618</v>
      </c>
      <c r="C124" s="315"/>
      <c r="D124" s="62"/>
      <c r="E124" s="62">
        <v>55719</v>
      </c>
      <c r="F124" s="388"/>
      <c r="G124" s="31">
        <v>1</v>
      </c>
      <c r="H124" s="408"/>
      <c r="I124" s="419">
        <f t="shared" si="1"/>
        <v>0</v>
      </c>
    </row>
    <row r="125" spans="1:9" x14ac:dyDescent="0.35">
      <c r="A125" s="566" t="s">
        <v>1224</v>
      </c>
      <c r="B125" s="253" t="s">
        <v>398</v>
      </c>
      <c r="C125" s="315"/>
      <c r="D125" s="62"/>
      <c r="E125" s="62">
        <v>55719</v>
      </c>
      <c r="F125" s="388"/>
      <c r="G125" s="31">
        <v>1</v>
      </c>
      <c r="H125" s="408"/>
      <c r="I125" s="419">
        <f t="shared" si="1"/>
        <v>0</v>
      </c>
    </row>
    <row r="126" spans="1:9" x14ac:dyDescent="0.35">
      <c r="A126" s="566" t="s">
        <v>923</v>
      </c>
      <c r="B126" s="253" t="s">
        <v>399</v>
      </c>
      <c r="C126" s="315"/>
      <c r="D126" s="62"/>
      <c r="E126" s="62">
        <v>55719</v>
      </c>
      <c r="F126" s="388"/>
      <c r="G126" s="31">
        <v>1</v>
      </c>
      <c r="H126" s="408"/>
      <c r="I126" s="419">
        <f t="shared" si="1"/>
        <v>0</v>
      </c>
    </row>
    <row r="127" spans="1:9" x14ac:dyDescent="0.35">
      <c r="A127" s="566" t="s">
        <v>924</v>
      </c>
      <c r="B127" s="253" t="s">
        <v>435</v>
      </c>
      <c r="C127" s="315"/>
      <c r="D127" s="62"/>
      <c r="E127" s="62">
        <v>55719</v>
      </c>
      <c r="F127" s="388"/>
      <c r="G127" s="31">
        <v>1</v>
      </c>
      <c r="H127" s="408"/>
      <c r="I127" s="419">
        <f t="shared" si="1"/>
        <v>0</v>
      </c>
    </row>
    <row r="128" spans="1:9" x14ac:dyDescent="0.35">
      <c r="A128" s="566" t="s">
        <v>1036</v>
      </c>
      <c r="B128" s="253" t="s">
        <v>423</v>
      </c>
      <c r="C128" s="315"/>
      <c r="D128" s="62"/>
      <c r="E128" s="62">
        <v>55719</v>
      </c>
      <c r="F128" s="388"/>
      <c r="G128" s="31">
        <v>1</v>
      </c>
      <c r="H128" s="408"/>
      <c r="I128" s="419">
        <f t="shared" si="1"/>
        <v>0</v>
      </c>
    </row>
    <row r="129" spans="1:9" x14ac:dyDescent="0.35">
      <c r="A129" s="566" t="s">
        <v>2337</v>
      </c>
      <c r="B129" s="253" t="s">
        <v>2357</v>
      </c>
      <c r="C129" s="315"/>
      <c r="D129" s="62"/>
      <c r="E129" s="62">
        <v>55719</v>
      </c>
      <c r="F129" s="388"/>
      <c r="G129" s="31">
        <v>1</v>
      </c>
      <c r="H129" s="408"/>
      <c r="I129" s="419">
        <f t="shared" si="1"/>
        <v>0</v>
      </c>
    </row>
    <row r="130" spans="1:9" x14ac:dyDescent="0.35">
      <c r="A130" s="566" t="s">
        <v>1229</v>
      </c>
      <c r="B130" s="253" t="s">
        <v>625</v>
      </c>
      <c r="C130" s="315"/>
      <c r="D130" s="62"/>
      <c r="E130" s="62">
        <v>55719</v>
      </c>
      <c r="F130" s="388"/>
      <c r="G130" s="31">
        <v>1</v>
      </c>
      <c r="H130" s="408"/>
      <c r="I130" s="419">
        <f t="shared" ref="I130:I193" si="2">+G130*H130</f>
        <v>0</v>
      </c>
    </row>
    <row r="131" spans="1:9" x14ac:dyDescent="0.35">
      <c r="A131" s="566" t="s">
        <v>1230</v>
      </c>
      <c r="B131" s="253" t="s">
        <v>626</v>
      </c>
      <c r="C131" s="315"/>
      <c r="D131" s="62"/>
      <c r="E131" s="62">
        <v>55719</v>
      </c>
      <c r="F131" s="388"/>
      <c r="G131" s="201">
        <v>1</v>
      </c>
      <c r="H131" s="408"/>
      <c r="I131" s="419">
        <f t="shared" si="2"/>
        <v>0</v>
      </c>
    </row>
    <row r="132" spans="1:9" x14ac:dyDescent="0.35">
      <c r="A132" s="566" t="s">
        <v>1231</v>
      </c>
      <c r="B132" s="253" t="s">
        <v>627</v>
      </c>
      <c r="C132" s="315"/>
      <c r="D132" s="62"/>
      <c r="E132" s="62">
        <v>55719</v>
      </c>
      <c r="F132" s="388"/>
      <c r="G132" s="31">
        <v>1</v>
      </c>
      <c r="H132" s="408"/>
      <c r="I132" s="419">
        <f t="shared" si="2"/>
        <v>0</v>
      </c>
    </row>
    <row r="133" spans="1:9" x14ac:dyDescent="0.35">
      <c r="A133" s="566" t="s">
        <v>1232</v>
      </c>
      <c r="B133" s="253" t="s">
        <v>628</v>
      </c>
      <c r="C133" s="315"/>
      <c r="D133" s="62"/>
      <c r="E133" s="62">
        <v>55719</v>
      </c>
      <c r="F133" s="388"/>
      <c r="G133" s="31">
        <v>1</v>
      </c>
      <c r="H133" s="408"/>
      <c r="I133" s="419">
        <f t="shared" si="2"/>
        <v>0</v>
      </c>
    </row>
    <row r="134" spans="1:9" x14ac:dyDescent="0.35">
      <c r="A134" s="566" t="s">
        <v>1233</v>
      </c>
      <c r="B134" s="253" t="s">
        <v>629</v>
      </c>
      <c r="C134" s="315"/>
      <c r="D134" s="62"/>
      <c r="E134" s="62">
        <v>55719</v>
      </c>
      <c r="F134" s="388"/>
      <c r="G134" s="31">
        <v>1</v>
      </c>
      <c r="H134" s="408"/>
      <c r="I134" s="419">
        <f t="shared" si="2"/>
        <v>0</v>
      </c>
    </row>
    <row r="135" spans="1:9" x14ac:dyDescent="0.35">
      <c r="A135" s="566" t="s">
        <v>2487</v>
      </c>
      <c r="B135" s="253" t="s">
        <v>620</v>
      </c>
      <c r="C135" s="315"/>
      <c r="D135" s="62"/>
      <c r="E135" s="62">
        <v>55719</v>
      </c>
      <c r="F135" s="388"/>
      <c r="G135" s="31">
        <v>1</v>
      </c>
      <c r="H135" s="408"/>
      <c r="I135" s="419">
        <f t="shared" si="2"/>
        <v>0</v>
      </c>
    </row>
    <row r="136" spans="1:9" x14ac:dyDescent="0.35">
      <c r="A136" s="566" t="s">
        <v>2488</v>
      </c>
      <c r="B136" s="253" t="s">
        <v>621</v>
      </c>
      <c r="C136" s="315"/>
      <c r="D136" s="62"/>
      <c r="E136" s="62">
        <v>55719</v>
      </c>
      <c r="F136" s="388"/>
      <c r="G136" s="31">
        <v>1</v>
      </c>
      <c r="H136" s="408"/>
      <c r="I136" s="419">
        <f t="shared" si="2"/>
        <v>0</v>
      </c>
    </row>
    <row r="137" spans="1:9" x14ac:dyDescent="0.35">
      <c r="A137" s="566" t="s">
        <v>2489</v>
      </c>
      <c r="B137" s="253" t="s">
        <v>622</v>
      </c>
      <c r="C137" s="315"/>
      <c r="D137" s="62"/>
      <c r="E137" s="62">
        <v>55719</v>
      </c>
      <c r="F137" s="315"/>
      <c r="G137" s="31">
        <v>1</v>
      </c>
      <c r="H137" s="408"/>
      <c r="I137" s="419">
        <f t="shared" si="2"/>
        <v>0</v>
      </c>
    </row>
    <row r="138" spans="1:9" x14ac:dyDescent="0.35">
      <c r="A138" s="566" t="s">
        <v>2490</v>
      </c>
      <c r="B138" s="253" t="s">
        <v>623</v>
      </c>
      <c r="C138" s="315"/>
      <c r="D138" s="62"/>
      <c r="E138" s="62">
        <v>55719</v>
      </c>
      <c r="F138" s="340"/>
      <c r="G138" s="31">
        <v>1</v>
      </c>
      <c r="H138" s="408"/>
      <c r="I138" s="419">
        <f t="shared" si="2"/>
        <v>0</v>
      </c>
    </row>
    <row r="139" spans="1:9" x14ac:dyDescent="0.35">
      <c r="A139" s="566" t="s">
        <v>2491</v>
      </c>
      <c r="B139" s="253" t="s">
        <v>624</v>
      </c>
      <c r="C139" s="315"/>
      <c r="D139" s="62"/>
      <c r="E139" s="62">
        <v>55719</v>
      </c>
      <c r="F139" s="388"/>
      <c r="G139" s="31">
        <v>1</v>
      </c>
      <c r="H139" s="408"/>
      <c r="I139" s="419">
        <f t="shared" si="2"/>
        <v>0</v>
      </c>
    </row>
    <row r="140" spans="1:9" x14ac:dyDescent="0.35">
      <c r="A140" s="566" t="s">
        <v>1099</v>
      </c>
      <c r="B140" s="253" t="s">
        <v>426</v>
      </c>
      <c r="C140" s="315"/>
      <c r="D140" s="62"/>
      <c r="E140" s="62">
        <v>55719</v>
      </c>
      <c r="F140" s="388"/>
      <c r="G140" s="31">
        <v>1</v>
      </c>
      <c r="H140" s="408"/>
      <c r="I140" s="419">
        <f t="shared" si="2"/>
        <v>0</v>
      </c>
    </row>
    <row r="141" spans="1:9" x14ac:dyDescent="0.35">
      <c r="A141" s="566" t="s">
        <v>1075</v>
      </c>
      <c r="B141" s="253" t="s">
        <v>411</v>
      </c>
      <c r="C141" s="315"/>
      <c r="D141" s="62"/>
      <c r="E141" s="62">
        <v>55719</v>
      </c>
      <c r="F141" s="388"/>
      <c r="G141" s="31">
        <v>1</v>
      </c>
      <c r="H141" s="408"/>
      <c r="I141" s="419">
        <f t="shared" si="2"/>
        <v>0</v>
      </c>
    </row>
    <row r="142" spans="1:9" x14ac:dyDescent="0.35">
      <c r="A142" s="566" t="s">
        <v>1077</v>
      </c>
      <c r="B142" s="253" t="s">
        <v>266</v>
      </c>
      <c r="C142" s="315"/>
      <c r="D142" s="62"/>
      <c r="E142" s="62">
        <v>55719</v>
      </c>
      <c r="F142" s="388"/>
      <c r="G142" s="31">
        <v>1</v>
      </c>
      <c r="H142" s="408"/>
      <c r="I142" s="419">
        <f t="shared" si="2"/>
        <v>0</v>
      </c>
    </row>
    <row r="143" spans="1:9" x14ac:dyDescent="0.35">
      <c r="A143" s="566" t="s">
        <v>1070</v>
      </c>
      <c r="B143" s="253" t="s">
        <v>582</v>
      </c>
      <c r="C143" s="315"/>
      <c r="D143" s="62"/>
      <c r="E143" s="62">
        <v>55719</v>
      </c>
      <c r="F143" s="388"/>
      <c r="G143" s="31">
        <v>1</v>
      </c>
      <c r="H143" s="408"/>
      <c r="I143" s="419">
        <f t="shared" si="2"/>
        <v>0</v>
      </c>
    </row>
    <row r="144" spans="1:9" x14ac:dyDescent="0.35">
      <c r="A144" s="566" t="s">
        <v>1078</v>
      </c>
      <c r="B144" s="253" t="s">
        <v>270</v>
      </c>
      <c r="C144" s="315"/>
      <c r="D144" s="62"/>
      <c r="E144" s="62">
        <v>55719</v>
      </c>
      <c r="F144" s="388"/>
      <c r="G144" s="31">
        <v>1</v>
      </c>
      <c r="H144" s="408"/>
      <c r="I144" s="419">
        <f t="shared" si="2"/>
        <v>0</v>
      </c>
    </row>
    <row r="145" spans="1:9" x14ac:dyDescent="0.35">
      <c r="A145" s="566" t="s">
        <v>1076</v>
      </c>
      <c r="B145" s="253" t="s">
        <v>77</v>
      </c>
      <c r="C145" s="315"/>
      <c r="D145" s="62"/>
      <c r="E145" s="62">
        <v>55719</v>
      </c>
      <c r="F145" s="388"/>
      <c r="G145" s="31">
        <v>1</v>
      </c>
      <c r="H145" s="408"/>
      <c r="I145" s="419">
        <f t="shared" si="2"/>
        <v>0</v>
      </c>
    </row>
    <row r="146" spans="1:9" x14ac:dyDescent="0.35">
      <c r="A146" s="566" t="s">
        <v>1072</v>
      </c>
      <c r="B146" s="253" t="s">
        <v>395</v>
      </c>
      <c r="C146" s="315"/>
      <c r="D146" s="62"/>
      <c r="E146" s="62">
        <v>55719</v>
      </c>
      <c r="F146" s="388"/>
      <c r="G146" s="31">
        <v>1</v>
      </c>
      <c r="H146" s="408"/>
      <c r="I146" s="419">
        <f t="shared" si="2"/>
        <v>0</v>
      </c>
    </row>
    <row r="147" spans="1:9" x14ac:dyDescent="0.35">
      <c r="A147" s="566" t="s">
        <v>1003</v>
      </c>
      <c r="B147" s="253" t="s">
        <v>265</v>
      </c>
      <c r="C147" s="315"/>
      <c r="D147" s="62"/>
      <c r="E147" s="62">
        <v>55719</v>
      </c>
      <c r="F147" s="388"/>
      <c r="G147" s="31">
        <v>1</v>
      </c>
      <c r="H147" s="408"/>
      <c r="I147" s="419">
        <f t="shared" si="2"/>
        <v>0</v>
      </c>
    </row>
    <row r="148" spans="1:9" x14ac:dyDescent="0.35">
      <c r="A148" s="566" t="s">
        <v>1073</v>
      </c>
      <c r="B148" s="253" t="s">
        <v>396</v>
      </c>
      <c r="C148" s="315"/>
      <c r="D148" s="62"/>
      <c r="E148" s="62">
        <v>55719</v>
      </c>
      <c r="F148" s="388"/>
      <c r="G148" s="31">
        <v>1</v>
      </c>
      <c r="H148" s="408"/>
      <c r="I148" s="419">
        <f t="shared" si="2"/>
        <v>0</v>
      </c>
    </row>
    <row r="149" spans="1:9" x14ac:dyDescent="0.35">
      <c r="A149" s="566" t="s">
        <v>1001</v>
      </c>
      <c r="B149" s="253" t="s">
        <v>268</v>
      </c>
      <c r="C149" s="315"/>
      <c r="D149" s="62"/>
      <c r="E149" s="62">
        <v>55719</v>
      </c>
      <c r="F149" s="388"/>
      <c r="G149" s="31">
        <v>1</v>
      </c>
      <c r="H149" s="408"/>
      <c r="I149" s="419">
        <f t="shared" si="2"/>
        <v>0</v>
      </c>
    </row>
    <row r="150" spans="1:9" x14ac:dyDescent="0.35">
      <c r="A150" s="566" t="s">
        <v>1074</v>
      </c>
      <c r="B150" s="253" t="s">
        <v>397</v>
      </c>
      <c r="C150" s="315"/>
      <c r="D150" s="62"/>
      <c r="E150" s="62">
        <v>55719</v>
      </c>
      <c r="F150" s="388"/>
      <c r="G150" s="31">
        <v>1</v>
      </c>
      <c r="H150" s="408"/>
      <c r="I150" s="419">
        <f t="shared" si="2"/>
        <v>0</v>
      </c>
    </row>
    <row r="151" spans="1:9" x14ac:dyDescent="0.35">
      <c r="A151" s="566" t="s">
        <v>2516</v>
      </c>
      <c r="B151" s="253" t="s">
        <v>693</v>
      </c>
      <c r="C151" s="315"/>
      <c r="D151" s="62"/>
      <c r="E151" s="62">
        <v>55719</v>
      </c>
      <c r="F151" s="388"/>
      <c r="G151" s="31">
        <v>1</v>
      </c>
      <c r="H151" s="408"/>
      <c r="I151" s="419">
        <f t="shared" si="2"/>
        <v>0</v>
      </c>
    </row>
    <row r="152" spans="1:9" x14ac:dyDescent="0.35">
      <c r="A152" s="566" t="s">
        <v>2517</v>
      </c>
      <c r="B152" s="253" t="s">
        <v>692</v>
      </c>
      <c r="C152" s="315"/>
      <c r="D152" s="62"/>
      <c r="E152" s="62">
        <v>55719</v>
      </c>
      <c r="F152" s="388"/>
      <c r="G152" s="31">
        <v>1</v>
      </c>
      <c r="H152" s="408"/>
      <c r="I152" s="419">
        <f t="shared" si="2"/>
        <v>0</v>
      </c>
    </row>
    <row r="153" spans="1:9" x14ac:dyDescent="0.35">
      <c r="A153" s="566" t="s">
        <v>2518</v>
      </c>
      <c r="B153" s="253" t="s">
        <v>691</v>
      </c>
      <c r="C153" s="315"/>
      <c r="D153" s="62"/>
      <c r="E153" s="62">
        <v>55719</v>
      </c>
      <c r="F153" s="388"/>
      <c r="G153" s="31">
        <v>1</v>
      </c>
      <c r="H153" s="408"/>
      <c r="I153" s="419">
        <f t="shared" si="2"/>
        <v>0</v>
      </c>
    </row>
    <row r="154" spans="1:9" x14ac:dyDescent="0.35">
      <c r="A154" s="566" t="s">
        <v>2519</v>
      </c>
      <c r="B154" s="253" t="s">
        <v>690</v>
      </c>
      <c r="C154" s="315"/>
      <c r="D154" s="62"/>
      <c r="E154" s="62">
        <v>55719</v>
      </c>
      <c r="F154" s="388"/>
      <c r="G154" s="31">
        <v>1</v>
      </c>
      <c r="H154" s="408"/>
      <c r="I154" s="419">
        <f t="shared" si="2"/>
        <v>0</v>
      </c>
    </row>
    <row r="155" spans="1:9" x14ac:dyDescent="0.35">
      <c r="A155" s="566" t="s">
        <v>2520</v>
      </c>
      <c r="B155" s="253" t="s">
        <v>689</v>
      </c>
      <c r="C155" s="315"/>
      <c r="D155" s="62"/>
      <c r="E155" s="62">
        <v>55719</v>
      </c>
      <c r="F155" s="388"/>
      <c r="G155" s="31">
        <v>1</v>
      </c>
      <c r="H155" s="408"/>
      <c r="I155" s="419">
        <f t="shared" si="2"/>
        <v>0</v>
      </c>
    </row>
    <row r="156" spans="1:9" x14ac:dyDescent="0.35">
      <c r="A156" s="566" t="s">
        <v>2521</v>
      </c>
      <c r="B156" s="253" t="s">
        <v>688</v>
      </c>
      <c r="C156" s="315"/>
      <c r="D156" s="62"/>
      <c r="E156" s="62">
        <v>55719</v>
      </c>
      <c r="F156" s="388"/>
      <c r="G156" s="31">
        <v>1</v>
      </c>
      <c r="H156" s="408"/>
      <c r="I156" s="419">
        <f t="shared" si="2"/>
        <v>0</v>
      </c>
    </row>
    <row r="157" spans="1:9" x14ac:dyDescent="0.35">
      <c r="A157" s="566" t="s">
        <v>2522</v>
      </c>
      <c r="B157" s="253" t="s">
        <v>687</v>
      </c>
      <c r="C157" s="315"/>
      <c r="D157" s="62"/>
      <c r="E157" s="62">
        <v>55719</v>
      </c>
      <c r="F157" s="388"/>
      <c r="G157" s="31">
        <v>1</v>
      </c>
      <c r="H157" s="408"/>
      <c r="I157" s="419">
        <f t="shared" si="2"/>
        <v>0</v>
      </c>
    </row>
    <row r="158" spans="1:9" x14ac:dyDescent="0.35">
      <c r="A158" s="566" t="s">
        <v>2523</v>
      </c>
      <c r="B158" s="253" t="s">
        <v>686</v>
      </c>
      <c r="C158" s="315"/>
      <c r="D158" s="62"/>
      <c r="E158" s="62">
        <v>55719</v>
      </c>
      <c r="F158" s="388"/>
      <c r="G158" s="31">
        <v>1</v>
      </c>
      <c r="H158" s="408"/>
      <c r="I158" s="419">
        <f t="shared" si="2"/>
        <v>0</v>
      </c>
    </row>
    <row r="159" spans="1:9" x14ac:dyDescent="0.35">
      <c r="A159" s="566" t="s">
        <v>2524</v>
      </c>
      <c r="B159" s="253" t="s">
        <v>685</v>
      </c>
      <c r="C159" s="315"/>
      <c r="D159" s="62"/>
      <c r="E159" s="62">
        <v>55719</v>
      </c>
      <c r="F159" s="388"/>
      <c r="G159" s="31">
        <v>1</v>
      </c>
      <c r="H159" s="408"/>
      <c r="I159" s="419">
        <f t="shared" si="2"/>
        <v>0</v>
      </c>
    </row>
    <row r="160" spans="1:9" x14ac:dyDescent="0.35">
      <c r="A160" s="566" t="s">
        <v>2525</v>
      </c>
      <c r="B160" s="253" t="s">
        <v>684</v>
      </c>
      <c r="C160" s="315"/>
      <c r="D160" s="62"/>
      <c r="E160" s="62">
        <v>55719</v>
      </c>
      <c r="F160" s="315"/>
      <c r="G160" s="31">
        <v>1</v>
      </c>
      <c r="H160" s="408"/>
      <c r="I160" s="419">
        <f t="shared" si="2"/>
        <v>0</v>
      </c>
    </row>
    <row r="161" spans="1:9" x14ac:dyDescent="0.35">
      <c r="A161" s="566" t="s">
        <v>2526</v>
      </c>
      <c r="B161" s="253" t="s">
        <v>619</v>
      </c>
      <c r="C161" s="315"/>
      <c r="D161" s="62"/>
      <c r="E161" s="62">
        <v>55719</v>
      </c>
      <c r="F161" s="340"/>
      <c r="G161" s="31">
        <v>1</v>
      </c>
      <c r="H161" s="408"/>
      <c r="I161" s="419">
        <f t="shared" si="2"/>
        <v>0</v>
      </c>
    </row>
    <row r="162" spans="1:9" x14ac:dyDescent="0.35">
      <c r="A162" s="566" t="s">
        <v>2527</v>
      </c>
      <c r="B162" s="253" t="s">
        <v>695</v>
      </c>
      <c r="C162" s="315"/>
      <c r="D162" s="62"/>
      <c r="E162" s="62">
        <v>55719</v>
      </c>
      <c r="F162" s="388"/>
      <c r="G162" s="31">
        <v>1</v>
      </c>
      <c r="H162" s="408"/>
      <c r="I162" s="419">
        <f t="shared" si="2"/>
        <v>0</v>
      </c>
    </row>
    <row r="163" spans="1:9" x14ac:dyDescent="0.35">
      <c r="A163" s="566" t="s">
        <v>2528</v>
      </c>
      <c r="B163" s="253" t="s">
        <v>694</v>
      </c>
      <c r="C163" s="315"/>
      <c r="D163" s="62"/>
      <c r="E163" s="62">
        <v>55719</v>
      </c>
      <c r="F163" s="388"/>
      <c r="G163" s="31">
        <v>1</v>
      </c>
      <c r="H163" s="408"/>
      <c r="I163" s="419">
        <f t="shared" si="2"/>
        <v>0</v>
      </c>
    </row>
    <row r="164" spans="1:9" x14ac:dyDescent="0.35">
      <c r="A164" s="566" t="s">
        <v>1042</v>
      </c>
      <c r="B164" s="253" t="s">
        <v>714</v>
      </c>
      <c r="C164" s="315"/>
      <c r="D164" s="62"/>
      <c r="E164" s="62">
        <v>55719</v>
      </c>
      <c r="F164" s="388"/>
      <c r="G164" s="31">
        <v>1</v>
      </c>
      <c r="H164" s="408"/>
      <c r="I164" s="419">
        <f t="shared" si="2"/>
        <v>0</v>
      </c>
    </row>
    <row r="165" spans="1:9" x14ac:dyDescent="0.35">
      <c r="A165" s="566" t="s">
        <v>1367</v>
      </c>
      <c r="B165" s="253" t="s">
        <v>616</v>
      </c>
      <c r="C165" s="315"/>
      <c r="D165" s="62"/>
      <c r="E165" s="62">
        <v>55719</v>
      </c>
      <c r="F165" s="388"/>
      <c r="G165" s="31">
        <v>1</v>
      </c>
      <c r="H165" s="408"/>
      <c r="I165" s="419">
        <f t="shared" si="2"/>
        <v>0</v>
      </c>
    </row>
    <row r="166" spans="1:9" x14ac:dyDescent="0.35">
      <c r="A166" s="566" t="s">
        <v>1109</v>
      </c>
      <c r="B166" s="253" t="s">
        <v>430</v>
      </c>
      <c r="C166" s="315"/>
      <c r="D166" s="62"/>
      <c r="E166" s="62">
        <v>55719</v>
      </c>
      <c r="F166" s="388"/>
      <c r="G166" s="31">
        <v>1</v>
      </c>
      <c r="H166" s="408"/>
      <c r="I166" s="419">
        <f t="shared" si="2"/>
        <v>0</v>
      </c>
    </row>
    <row r="167" spans="1:9" x14ac:dyDescent="0.35">
      <c r="A167" s="566" t="s">
        <v>362</v>
      </c>
      <c r="B167" s="253" t="s">
        <v>431</v>
      </c>
      <c r="C167" s="315"/>
      <c r="D167" s="62"/>
      <c r="E167" s="62">
        <v>55719</v>
      </c>
      <c r="F167" s="388"/>
      <c r="G167" s="31">
        <v>1</v>
      </c>
      <c r="H167" s="408"/>
      <c r="I167" s="419">
        <f t="shared" si="2"/>
        <v>0</v>
      </c>
    </row>
    <row r="168" spans="1:9" x14ac:dyDescent="0.35">
      <c r="A168" s="566" t="s">
        <v>1381</v>
      </c>
      <c r="B168" s="253" t="s">
        <v>712</v>
      </c>
      <c r="C168" s="315"/>
      <c r="D168" s="62"/>
      <c r="E168" s="62">
        <v>55719</v>
      </c>
      <c r="F168" s="388"/>
      <c r="G168" s="31">
        <v>1</v>
      </c>
      <c r="H168" s="408"/>
      <c r="I168" s="419">
        <f t="shared" si="2"/>
        <v>0</v>
      </c>
    </row>
    <row r="169" spans="1:9" x14ac:dyDescent="0.35">
      <c r="A169" s="566" t="s">
        <v>1245</v>
      </c>
      <c r="B169" s="253" t="s">
        <v>481</v>
      </c>
      <c r="C169" s="315"/>
      <c r="D169" s="62"/>
      <c r="E169" s="62">
        <v>55719</v>
      </c>
      <c r="F169" s="388"/>
      <c r="G169" s="31">
        <v>1</v>
      </c>
      <c r="H169" s="408"/>
      <c r="I169" s="419">
        <f t="shared" si="2"/>
        <v>0</v>
      </c>
    </row>
    <row r="170" spans="1:9" x14ac:dyDescent="0.35">
      <c r="A170" s="566" t="s">
        <v>1067</v>
      </c>
      <c r="B170" s="253" t="s">
        <v>260</v>
      </c>
      <c r="C170" s="315"/>
      <c r="D170" s="62"/>
      <c r="E170" s="62">
        <v>55719</v>
      </c>
      <c r="F170" s="388"/>
      <c r="G170" s="31">
        <v>1</v>
      </c>
      <c r="H170" s="408"/>
      <c r="I170" s="419">
        <f t="shared" si="2"/>
        <v>0</v>
      </c>
    </row>
    <row r="171" spans="1:9" x14ac:dyDescent="0.35">
      <c r="A171" s="566" t="s">
        <v>1248</v>
      </c>
      <c r="B171" s="253" t="s">
        <v>392</v>
      </c>
      <c r="C171" s="315"/>
      <c r="D171" s="62"/>
      <c r="E171" s="62">
        <v>55719</v>
      </c>
      <c r="F171" s="388"/>
      <c r="G171" s="31">
        <v>1</v>
      </c>
      <c r="H171" s="408"/>
      <c r="I171" s="419">
        <f t="shared" si="2"/>
        <v>0</v>
      </c>
    </row>
    <row r="172" spans="1:9" x14ac:dyDescent="0.35">
      <c r="A172" s="566" t="s">
        <v>999</v>
      </c>
      <c r="B172" s="253" t="s">
        <v>393</v>
      </c>
      <c r="C172" s="315"/>
      <c r="D172" s="62"/>
      <c r="E172" s="62">
        <v>55719</v>
      </c>
      <c r="F172" s="388"/>
      <c r="G172" s="31">
        <v>1</v>
      </c>
      <c r="H172" s="408"/>
      <c r="I172" s="419">
        <f t="shared" si="2"/>
        <v>0</v>
      </c>
    </row>
    <row r="173" spans="1:9" x14ac:dyDescent="0.35">
      <c r="A173" s="566" t="s">
        <v>1000</v>
      </c>
      <c r="B173" s="253" t="s">
        <v>295</v>
      </c>
      <c r="C173" s="315"/>
      <c r="D173" s="62"/>
      <c r="E173" s="62">
        <v>55719</v>
      </c>
      <c r="F173" s="388"/>
      <c r="G173" s="31">
        <v>1</v>
      </c>
      <c r="H173" s="408"/>
      <c r="I173" s="419">
        <f t="shared" si="2"/>
        <v>0</v>
      </c>
    </row>
    <row r="174" spans="1:9" x14ac:dyDescent="0.35">
      <c r="A174" s="566" t="s">
        <v>1249</v>
      </c>
      <c r="B174" s="253" t="s">
        <v>390</v>
      </c>
      <c r="C174" s="315"/>
      <c r="D174" s="62"/>
      <c r="E174" s="62">
        <v>55719</v>
      </c>
      <c r="F174" s="388"/>
      <c r="G174" s="31">
        <v>1</v>
      </c>
      <c r="H174" s="408"/>
      <c r="I174" s="419">
        <f t="shared" si="2"/>
        <v>0</v>
      </c>
    </row>
    <row r="175" spans="1:9" x14ac:dyDescent="0.35">
      <c r="A175" s="566" t="s">
        <v>1065</v>
      </c>
      <c r="B175" s="253" t="s">
        <v>259</v>
      </c>
      <c r="C175" s="315"/>
      <c r="D175" s="62"/>
      <c r="E175" s="62">
        <v>55719</v>
      </c>
      <c r="F175" s="388"/>
      <c r="G175" s="31">
        <v>1</v>
      </c>
      <c r="H175" s="408"/>
      <c r="I175" s="419">
        <f t="shared" si="2"/>
        <v>0</v>
      </c>
    </row>
    <row r="176" spans="1:9" x14ac:dyDescent="0.35">
      <c r="A176" s="566" t="s">
        <v>1250</v>
      </c>
      <c r="B176" s="253" t="s">
        <v>391</v>
      </c>
      <c r="C176" s="315"/>
      <c r="D176" s="62"/>
      <c r="E176" s="62">
        <v>55719</v>
      </c>
      <c r="F176" s="388"/>
      <c r="G176" s="31">
        <v>1</v>
      </c>
      <c r="H176" s="408"/>
      <c r="I176" s="419">
        <f t="shared" si="2"/>
        <v>0</v>
      </c>
    </row>
    <row r="177" spans="1:9" x14ac:dyDescent="0.35">
      <c r="A177" s="566" t="s">
        <v>1054</v>
      </c>
      <c r="B177" s="253" t="s">
        <v>258</v>
      </c>
      <c r="C177" s="315"/>
      <c r="D177" s="62"/>
      <c r="E177" s="62">
        <v>55719</v>
      </c>
      <c r="F177" s="388"/>
      <c r="G177" s="31">
        <v>1</v>
      </c>
      <c r="H177" s="408"/>
      <c r="I177" s="419">
        <f t="shared" si="2"/>
        <v>0</v>
      </c>
    </row>
    <row r="178" spans="1:9" x14ac:dyDescent="0.35">
      <c r="A178" s="566" t="s">
        <v>1048</v>
      </c>
      <c r="B178" s="253" t="s">
        <v>250</v>
      </c>
      <c r="C178" s="315"/>
      <c r="D178" s="62"/>
      <c r="E178" s="62">
        <v>55719</v>
      </c>
      <c r="F178" s="388"/>
      <c r="G178" s="31">
        <v>1</v>
      </c>
      <c r="H178" s="408"/>
      <c r="I178" s="419">
        <f t="shared" si="2"/>
        <v>0</v>
      </c>
    </row>
    <row r="179" spans="1:9" x14ac:dyDescent="0.35">
      <c r="A179" s="566" t="s">
        <v>1053</v>
      </c>
      <c r="B179" s="253" t="s">
        <v>437</v>
      </c>
      <c r="C179" s="315"/>
      <c r="D179" s="62"/>
      <c r="E179" s="62">
        <v>55719</v>
      </c>
      <c r="F179" s="388"/>
      <c r="G179" s="31">
        <v>1</v>
      </c>
      <c r="H179" s="408"/>
      <c r="I179" s="419">
        <f t="shared" si="2"/>
        <v>0</v>
      </c>
    </row>
    <row r="180" spans="1:9" x14ac:dyDescent="0.35">
      <c r="A180" s="566" t="s">
        <v>1050</v>
      </c>
      <c r="B180" s="253" t="s">
        <v>471</v>
      </c>
      <c r="C180" s="315"/>
      <c r="D180" s="62"/>
      <c r="E180" s="62">
        <v>55719</v>
      </c>
      <c r="F180" s="388"/>
      <c r="G180" s="31">
        <v>1</v>
      </c>
      <c r="H180" s="408"/>
      <c r="I180" s="419">
        <f t="shared" si="2"/>
        <v>0</v>
      </c>
    </row>
    <row r="181" spans="1:9" x14ac:dyDescent="0.35">
      <c r="A181" s="566" t="s">
        <v>79</v>
      </c>
      <c r="B181" s="253" t="s">
        <v>247</v>
      </c>
      <c r="C181" s="315"/>
      <c r="D181" s="62"/>
      <c r="E181" s="62">
        <v>55719</v>
      </c>
      <c r="F181" s="388"/>
      <c r="G181" s="31">
        <v>1</v>
      </c>
      <c r="H181" s="408"/>
      <c r="I181" s="419">
        <f t="shared" si="2"/>
        <v>0</v>
      </c>
    </row>
    <row r="182" spans="1:9" x14ac:dyDescent="0.35">
      <c r="A182" s="566" t="s">
        <v>1046</v>
      </c>
      <c r="B182" s="253" t="s">
        <v>203</v>
      </c>
      <c r="C182" s="315"/>
      <c r="D182" s="62"/>
      <c r="E182" s="62">
        <v>55719</v>
      </c>
      <c r="F182" s="315"/>
      <c r="G182" s="31">
        <v>1</v>
      </c>
      <c r="H182" s="408"/>
      <c r="I182" s="419">
        <f t="shared" si="2"/>
        <v>0</v>
      </c>
    </row>
    <row r="183" spans="1:9" x14ac:dyDescent="0.35">
      <c r="A183" s="566" t="s">
        <v>993</v>
      </c>
      <c r="B183" s="253" t="s">
        <v>249</v>
      </c>
      <c r="C183" s="315"/>
      <c r="D183" s="62"/>
      <c r="E183" s="62">
        <v>55719</v>
      </c>
      <c r="F183" s="340"/>
      <c r="G183" s="31">
        <v>1</v>
      </c>
      <c r="H183" s="408"/>
      <c r="I183" s="419">
        <f t="shared" si="2"/>
        <v>0</v>
      </c>
    </row>
    <row r="184" spans="1:9" x14ac:dyDescent="0.35">
      <c r="A184" s="566" t="s">
        <v>81</v>
      </c>
      <c r="B184" s="253" t="s">
        <v>109</v>
      </c>
      <c r="C184" s="315"/>
      <c r="D184" s="62"/>
      <c r="E184" s="62">
        <v>55719</v>
      </c>
      <c r="F184" s="388"/>
      <c r="G184" s="31">
        <v>1</v>
      </c>
      <c r="H184" s="408"/>
      <c r="I184" s="419">
        <f t="shared" si="2"/>
        <v>0</v>
      </c>
    </row>
    <row r="185" spans="1:9" x14ac:dyDescent="0.35">
      <c r="A185" s="566" t="s">
        <v>9</v>
      </c>
      <c r="B185" s="253" t="s">
        <v>329</v>
      </c>
      <c r="C185" s="315"/>
      <c r="D185" s="62"/>
      <c r="E185" s="62">
        <v>55719</v>
      </c>
      <c r="F185" s="388"/>
      <c r="G185" s="31">
        <v>1</v>
      </c>
      <c r="H185" s="408"/>
      <c r="I185" s="419">
        <f t="shared" si="2"/>
        <v>0</v>
      </c>
    </row>
    <row r="186" spans="1:9" x14ac:dyDescent="0.35">
      <c r="A186" s="566" t="s">
        <v>169</v>
      </c>
      <c r="B186" s="253" t="s">
        <v>1607</v>
      </c>
      <c r="C186" s="315"/>
      <c r="D186" s="62"/>
      <c r="E186" s="62">
        <v>55719</v>
      </c>
      <c r="F186" s="388"/>
      <c r="G186" s="31">
        <v>1</v>
      </c>
      <c r="H186" s="408"/>
      <c r="I186" s="419">
        <f t="shared" si="2"/>
        <v>0</v>
      </c>
    </row>
    <row r="187" spans="1:9" x14ac:dyDescent="0.35">
      <c r="A187" s="566" t="s">
        <v>1212</v>
      </c>
      <c r="B187" s="253" t="s">
        <v>1635</v>
      </c>
      <c r="C187" s="315"/>
      <c r="D187" s="62"/>
      <c r="E187" s="62">
        <v>55719</v>
      </c>
      <c r="F187" s="388"/>
      <c r="G187" s="31">
        <v>1</v>
      </c>
      <c r="H187" s="408"/>
      <c r="I187" s="419">
        <f t="shared" si="2"/>
        <v>0</v>
      </c>
    </row>
    <row r="188" spans="1:9" x14ac:dyDescent="0.35">
      <c r="A188" s="566" t="s">
        <v>930</v>
      </c>
      <c r="B188" s="253" t="s">
        <v>88</v>
      </c>
      <c r="C188" s="315"/>
      <c r="D188" s="62"/>
      <c r="E188" s="62">
        <v>55719</v>
      </c>
      <c r="F188" s="388"/>
      <c r="G188" s="31">
        <v>1</v>
      </c>
      <c r="H188" s="408"/>
      <c r="I188" s="419">
        <f t="shared" si="2"/>
        <v>0</v>
      </c>
    </row>
    <row r="189" spans="1:9" x14ac:dyDescent="0.35">
      <c r="A189" s="566" t="s">
        <v>2484</v>
      </c>
      <c r="B189" s="253" t="s">
        <v>2223</v>
      </c>
      <c r="C189" s="315"/>
      <c r="D189" s="62"/>
      <c r="E189" s="62">
        <v>55719</v>
      </c>
      <c r="F189" s="388"/>
      <c r="G189" s="31">
        <v>1</v>
      </c>
      <c r="H189" s="408"/>
      <c r="I189" s="419">
        <f t="shared" si="2"/>
        <v>0</v>
      </c>
    </row>
    <row r="190" spans="1:9" x14ac:dyDescent="0.35">
      <c r="A190" s="566" t="s">
        <v>1261</v>
      </c>
      <c r="B190" s="253" t="s">
        <v>1636</v>
      </c>
      <c r="C190" s="315"/>
      <c r="D190" s="62"/>
      <c r="E190" s="62">
        <v>55719</v>
      </c>
      <c r="F190" s="388"/>
      <c r="G190" s="31">
        <v>1</v>
      </c>
      <c r="H190" s="408"/>
      <c r="I190" s="419">
        <f t="shared" si="2"/>
        <v>0</v>
      </c>
    </row>
    <row r="191" spans="1:9" x14ac:dyDescent="0.35">
      <c r="A191" s="566" t="s">
        <v>1158</v>
      </c>
      <c r="B191" s="253" t="s">
        <v>487</v>
      </c>
      <c r="C191" s="315"/>
      <c r="D191" s="62"/>
      <c r="E191" s="62">
        <v>55719</v>
      </c>
      <c r="F191" s="388"/>
      <c r="G191" s="31">
        <v>1</v>
      </c>
      <c r="H191" s="408"/>
      <c r="I191" s="419">
        <f t="shared" si="2"/>
        <v>0</v>
      </c>
    </row>
    <row r="192" spans="1:9" x14ac:dyDescent="0.35">
      <c r="A192" s="566" t="s">
        <v>1159</v>
      </c>
      <c r="B192" s="253" t="s">
        <v>484</v>
      </c>
      <c r="C192" s="315"/>
      <c r="D192" s="62"/>
      <c r="E192" s="62">
        <v>55719</v>
      </c>
      <c r="F192" s="388"/>
      <c r="G192" s="31">
        <v>1</v>
      </c>
      <c r="H192" s="408"/>
      <c r="I192" s="419">
        <f t="shared" si="2"/>
        <v>0</v>
      </c>
    </row>
    <row r="193" spans="1:9" x14ac:dyDescent="0.35">
      <c r="A193" s="566" t="s">
        <v>931</v>
      </c>
      <c r="B193" s="253" t="s">
        <v>66</v>
      </c>
      <c r="C193" s="315"/>
      <c r="D193" s="62"/>
      <c r="E193" s="62">
        <v>55719</v>
      </c>
      <c r="F193" s="388"/>
      <c r="G193" s="31">
        <v>1</v>
      </c>
      <c r="H193" s="408"/>
      <c r="I193" s="419">
        <f t="shared" si="2"/>
        <v>0</v>
      </c>
    </row>
    <row r="194" spans="1:9" x14ac:dyDescent="0.35">
      <c r="A194" s="566" t="s">
        <v>932</v>
      </c>
      <c r="B194" s="253" t="s">
        <v>432</v>
      </c>
      <c r="C194" s="315"/>
      <c r="D194" s="62"/>
      <c r="E194" s="62">
        <v>55719</v>
      </c>
      <c r="F194" s="388"/>
      <c r="G194" s="31">
        <v>1</v>
      </c>
      <c r="H194" s="408"/>
      <c r="I194" s="419">
        <f t="shared" ref="I194:I218" si="3">+G194*H194</f>
        <v>0</v>
      </c>
    </row>
    <row r="195" spans="1:9" x14ac:dyDescent="0.35">
      <c r="A195" s="566" t="s">
        <v>1160</v>
      </c>
      <c r="B195" s="253" t="s">
        <v>467</v>
      </c>
      <c r="C195" s="315"/>
      <c r="D195" s="62"/>
      <c r="E195" s="62">
        <v>55719</v>
      </c>
      <c r="F195" s="388"/>
      <c r="G195" s="31">
        <v>1</v>
      </c>
      <c r="H195" s="408"/>
      <c r="I195" s="419">
        <f t="shared" si="3"/>
        <v>0</v>
      </c>
    </row>
    <row r="196" spans="1:9" x14ac:dyDescent="0.35">
      <c r="A196" s="566" t="s">
        <v>1161</v>
      </c>
      <c r="B196" s="253" t="s">
        <v>617</v>
      </c>
      <c r="C196" s="315"/>
      <c r="D196" s="62"/>
      <c r="E196" s="62">
        <v>55719</v>
      </c>
      <c r="F196" s="388"/>
      <c r="G196" s="31">
        <v>1</v>
      </c>
      <c r="H196" s="408"/>
      <c r="I196" s="419">
        <f t="shared" si="3"/>
        <v>0</v>
      </c>
    </row>
    <row r="197" spans="1:9" x14ac:dyDescent="0.35">
      <c r="A197" s="566" t="s">
        <v>934</v>
      </c>
      <c r="B197" s="253" t="s">
        <v>434</v>
      </c>
      <c r="C197" s="315"/>
      <c r="D197" s="62"/>
      <c r="E197" s="62">
        <v>55719</v>
      </c>
      <c r="F197" s="388"/>
      <c r="G197" s="31">
        <v>1</v>
      </c>
      <c r="H197" s="408"/>
      <c r="I197" s="419">
        <f t="shared" si="3"/>
        <v>0</v>
      </c>
    </row>
    <row r="198" spans="1:9" x14ac:dyDescent="0.35">
      <c r="A198" s="566" t="s">
        <v>1163</v>
      </c>
      <c r="B198" s="253" t="s">
        <v>83</v>
      </c>
      <c r="C198" s="315"/>
      <c r="D198" s="62"/>
      <c r="E198" s="62">
        <v>55719</v>
      </c>
      <c r="F198" s="388"/>
      <c r="G198" s="31">
        <v>1</v>
      </c>
      <c r="H198" s="408"/>
      <c r="I198" s="419">
        <f t="shared" si="3"/>
        <v>0</v>
      </c>
    </row>
    <row r="199" spans="1:9" x14ac:dyDescent="0.35">
      <c r="A199" s="566" t="s">
        <v>1165</v>
      </c>
      <c r="B199" s="253" t="s">
        <v>478</v>
      </c>
      <c r="C199" s="315"/>
      <c r="D199" s="62"/>
      <c r="E199" s="62">
        <v>55719</v>
      </c>
      <c r="F199" s="388"/>
      <c r="G199" s="31">
        <v>1</v>
      </c>
      <c r="H199" s="408"/>
      <c r="I199" s="419">
        <f t="shared" si="3"/>
        <v>0</v>
      </c>
    </row>
    <row r="200" spans="1:9" x14ac:dyDescent="0.35">
      <c r="A200" s="566" t="s">
        <v>1166</v>
      </c>
      <c r="B200" s="253" t="s">
        <v>485</v>
      </c>
      <c r="C200" s="315"/>
      <c r="D200" s="62"/>
      <c r="E200" s="62">
        <v>55719</v>
      </c>
      <c r="F200" s="388"/>
      <c r="G200" s="31">
        <v>1</v>
      </c>
      <c r="H200" s="408"/>
      <c r="I200" s="419">
        <f t="shared" si="3"/>
        <v>0</v>
      </c>
    </row>
    <row r="201" spans="1:9" x14ac:dyDescent="0.35">
      <c r="A201" s="566" t="s">
        <v>1114</v>
      </c>
      <c r="B201" s="253" t="s">
        <v>91</v>
      </c>
      <c r="C201" s="315"/>
      <c r="D201" s="62"/>
      <c r="E201" s="62">
        <v>55719</v>
      </c>
      <c r="F201" s="388"/>
      <c r="G201" s="31">
        <v>1</v>
      </c>
      <c r="H201" s="408"/>
      <c r="I201" s="419">
        <f t="shared" si="3"/>
        <v>0</v>
      </c>
    </row>
    <row r="202" spans="1:9" x14ac:dyDescent="0.35">
      <c r="A202" s="566" t="s">
        <v>1061</v>
      </c>
      <c r="B202" s="253" t="s">
        <v>73</v>
      </c>
      <c r="C202" s="315"/>
      <c r="D202" s="62"/>
      <c r="E202" s="62">
        <v>55719</v>
      </c>
      <c r="F202" s="388"/>
      <c r="G202" s="31">
        <v>1</v>
      </c>
      <c r="H202" s="408"/>
      <c r="I202" s="419">
        <f t="shared" si="3"/>
        <v>0</v>
      </c>
    </row>
    <row r="203" spans="1:9" x14ac:dyDescent="0.35">
      <c r="A203" s="566" t="s">
        <v>1060</v>
      </c>
      <c r="B203" s="253" t="s">
        <v>74</v>
      </c>
      <c r="C203" s="315"/>
      <c r="D203" s="62"/>
      <c r="E203" s="62">
        <v>55719</v>
      </c>
      <c r="F203" s="388"/>
      <c r="G203" s="31">
        <v>1</v>
      </c>
      <c r="H203" s="408"/>
      <c r="I203" s="419">
        <f t="shared" si="3"/>
        <v>0</v>
      </c>
    </row>
    <row r="204" spans="1:9" x14ac:dyDescent="0.35">
      <c r="A204" s="566" t="s">
        <v>1062</v>
      </c>
      <c r="B204" s="253" t="s">
        <v>261</v>
      </c>
      <c r="C204" s="315"/>
      <c r="D204" s="62"/>
      <c r="E204" s="62">
        <v>55719</v>
      </c>
      <c r="F204" s="388"/>
      <c r="G204" s="31">
        <v>1</v>
      </c>
      <c r="H204" s="408"/>
      <c r="I204" s="419">
        <f t="shared" si="3"/>
        <v>0</v>
      </c>
    </row>
    <row r="205" spans="1:9" x14ac:dyDescent="0.35">
      <c r="A205" s="566" t="s">
        <v>997</v>
      </c>
      <c r="B205" s="253" t="s">
        <v>388</v>
      </c>
      <c r="C205" s="315"/>
      <c r="D205" s="62"/>
      <c r="E205" s="62">
        <v>55719</v>
      </c>
      <c r="F205" s="315"/>
      <c r="G205" s="31">
        <v>2</v>
      </c>
      <c r="H205" s="408"/>
      <c r="I205" s="419">
        <f t="shared" si="3"/>
        <v>0</v>
      </c>
    </row>
    <row r="206" spans="1:9" x14ac:dyDescent="0.35">
      <c r="A206" s="566" t="s">
        <v>1168</v>
      </c>
      <c r="B206" s="253" t="s">
        <v>75</v>
      </c>
      <c r="C206" s="315"/>
      <c r="D206" s="62"/>
      <c r="E206" s="62">
        <v>55719</v>
      </c>
      <c r="F206" s="340"/>
      <c r="G206" s="31">
        <v>1</v>
      </c>
      <c r="H206" s="408"/>
      <c r="I206" s="419">
        <f t="shared" si="3"/>
        <v>0</v>
      </c>
    </row>
    <row r="207" spans="1:9" x14ac:dyDescent="0.35">
      <c r="A207" s="566" t="s">
        <v>1057</v>
      </c>
      <c r="B207" s="253" t="s">
        <v>72</v>
      </c>
      <c r="C207" s="315"/>
      <c r="D207" s="62"/>
      <c r="E207" s="62">
        <v>55719</v>
      </c>
      <c r="F207" s="388"/>
      <c r="G207" s="31">
        <v>1</v>
      </c>
      <c r="H207" s="408"/>
      <c r="I207" s="419">
        <f t="shared" si="3"/>
        <v>0</v>
      </c>
    </row>
    <row r="208" spans="1:9" x14ac:dyDescent="0.35">
      <c r="A208" s="566" t="s">
        <v>14</v>
      </c>
      <c r="B208" s="253" t="s">
        <v>334</v>
      </c>
      <c r="C208" s="315"/>
      <c r="D208" s="62"/>
      <c r="E208" s="62">
        <v>55719</v>
      </c>
      <c r="F208" s="388"/>
      <c r="G208" s="31">
        <v>1</v>
      </c>
      <c r="H208" s="408"/>
      <c r="I208" s="419">
        <f t="shared" si="3"/>
        <v>0</v>
      </c>
    </row>
    <row r="209" spans="1:9" x14ac:dyDescent="0.35">
      <c r="A209" s="566" t="s">
        <v>881</v>
      </c>
      <c r="B209" s="253" t="s">
        <v>417</v>
      </c>
      <c r="C209" s="315"/>
      <c r="D209" s="62"/>
      <c r="E209" s="62">
        <v>55719</v>
      </c>
      <c r="F209" s="388"/>
      <c r="G209" s="31">
        <v>1</v>
      </c>
      <c r="H209" s="408"/>
      <c r="I209" s="419">
        <f t="shared" si="3"/>
        <v>0</v>
      </c>
    </row>
    <row r="210" spans="1:9" x14ac:dyDescent="0.35">
      <c r="A210" s="566" t="s">
        <v>1262</v>
      </c>
      <c r="B210" s="253" t="s">
        <v>746</v>
      </c>
      <c r="C210" s="315"/>
      <c r="D210" s="62"/>
      <c r="E210" s="62">
        <v>55719</v>
      </c>
      <c r="F210" s="388"/>
      <c r="G210" s="31">
        <v>1</v>
      </c>
      <c r="H210" s="408"/>
      <c r="I210" s="419">
        <f t="shared" si="3"/>
        <v>0</v>
      </c>
    </row>
    <row r="211" spans="1:9" x14ac:dyDescent="0.35">
      <c r="A211" s="566" t="s">
        <v>2503</v>
      </c>
      <c r="B211" s="253" t="s">
        <v>1676</v>
      </c>
      <c r="C211" s="315"/>
      <c r="D211" s="62"/>
      <c r="E211" s="62">
        <v>55719</v>
      </c>
      <c r="F211" s="388"/>
      <c r="G211" s="31">
        <v>1</v>
      </c>
      <c r="H211" s="408"/>
      <c r="I211" s="419">
        <f t="shared" si="3"/>
        <v>0</v>
      </c>
    </row>
    <row r="212" spans="1:9" x14ac:dyDescent="0.35">
      <c r="A212" s="566" t="s">
        <v>19</v>
      </c>
      <c r="B212" s="253" t="s">
        <v>242</v>
      </c>
      <c r="C212" s="315"/>
      <c r="D212" s="62"/>
      <c r="E212" s="62">
        <v>55719</v>
      </c>
      <c r="F212" s="388"/>
      <c r="G212" s="31">
        <v>1</v>
      </c>
      <c r="H212" s="408"/>
      <c r="I212" s="419">
        <f t="shared" si="3"/>
        <v>0</v>
      </c>
    </row>
    <row r="213" spans="1:9" x14ac:dyDescent="0.35">
      <c r="A213" s="566" t="s">
        <v>13</v>
      </c>
      <c r="B213" s="253" t="s">
        <v>420</v>
      </c>
      <c r="C213" s="315"/>
      <c r="D213" s="62"/>
      <c r="E213" s="62">
        <v>55719</v>
      </c>
      <c r="F213" s="388"/>
      <c r="G213" s="31">
        <v>1</v>
      </c>
      <c r="H213" s="408"/>
      <c r="I213" s="419">
        <f t="shared" si="3"/>
        <v>0</v>
      </c>
    </row>
    <row r="214" spans="1:9" x14ac:dyDescent="0.35">
      <c r="A214" s="566" t="s">
        <v>5</v>
      </c>
      <c r="B214" s="253" t="s">
        <v>415</v>
      </c>
      <c r="C214" s="315"/>
      <c r="D214" s="62"/>
      <c r="E214" s="62">
        <v>55719</v>
      </c>
      <c r="F214" s="388"/>
      <c r="G214" s="31">
        <v>1</v>
      </c>
      <c r="H214" s="408"/>
      <c r="I214" s="419">
        <f t="shared" si="3"/>
        <v>0</v>
      </c>
    </row>
    <row r="215" spans="1:9" x14ac:dyDescent="0.35">
      <c r="A215" s="566" t="s">
        <v>11</v>
      </c>
      <c r="B215" s="253" t="s">
        <v>233</v>
      </c>
      <c r="C215" s="315"/>
      <c r="D215" s="62"/>
      <c r="E215" s="62">
        <v>55719</v>
      </c>
      <c r="F215" s="388"/>
      <c r="G215" s="31">
        <v>1</v>
      </c>
      <c r="H215" s="408"/>
      <c r="I215" s="419">
        <f t="shared" si="3"/>
        <v>0</v>
      </c>
    </row>
    <row r="216" spans="1:9" x14ac:dyDescent="0.35">
      <c r="A216" s="566" t="s">
        <v>12</v>
      </c>
      <c r="B216" s="253" t="s">
        <v>150</v>
      </c>
      <c r="C216" s="315"/>
      <c r="D216" s="62"/>
      <c r="E216" s="62">
        <v>55719</v>
      </c>
      <c r="F216" s="388"/>
      <c r="G216" s="31">
        <v>1</v>
      </c>
      <c r="H216" s="408"/>
      <c r="I216" s="419">
        <f t="shared" si="3"/>
        <v>0</v>
      </c>
    </row>
    <row r="217" spans="1:9" x14ac:dyDescent="0.35">
      <c r="A217" s="566" t="s">
        <v>1668</v>
      </c>
      <c r="B217" s="253" t="s">
        <v>2356</v>
      </c>
      <c r="C217" s="315"/>
      <c r="D217" s="62"/>
      <c r="E217" s="62">
        <v>55719</v>
      </c>
      <c r="F217" s="388"/>
      <c r="G217" s="31">
        <v>1</v>
      </c>
      <c r="H217" s="408"/>
      <c r="I217" s="419">
        <f t="shared" si="3"/>
        <v>0</v>
      </c>
    </row>
    <row r="218" spans="1:9" x14ac:dyDescent="0.35">
      <c r="A218" s="566" t="s">
        <v>1668</v>
      </c>
      <c r="B218" s="253" t="s">
        <v>2225</v>
      </c>
      <c r="C218" s="315"/>
      <c r="D218" s="62"/>
      <c r="E218" s="62">
        <v>55719</v>
      </c>
      <c r="F218" s="388"/>
      <c r="G218" s="31">
        <v>1</v>
      </c>
      <c r="H218" s="408"/>
      <c r="I218" s="419">
        <f t="shared" si="3"/>
        <v>0</v>
      </c>
    </row>
    <row r="219" spans="1:9" x14ac:dyDescent="0.35">
      <c r="A219" s="566" t="s">
        <v>1428</v>
      </c>
      <c r="B219" s="253" t="s">
        <v>442</v>
      </c>
      <c r="C219" s="315"/>
      <c r="D219" s="62"/>
      <c r="E219" s="62">
        <v>55719</v>
      </c>
      <c r="F219" s="388"/>
      <c r="G219" s="31">
        <v>1</v>
      </c>
      <c r="H219" s="408" t="s">
        <v>2693</v>
      </c>
      <c r="I219" s="419"/>
    </row>
    <row r="220" spans="1:9" x14ac:dyDescent="0.35">
      <c r="A220" s="566" t="s">
        <v>1246</v>
      </c>
      <c r="B220" s="253" t="s">
        <v>715</v>
      </c>
      <c r="C220" s="315"/>
      <c r="D220" s="62"/>
      <c r="E220" s="62">
        <v>55719</v>
      </c>
      <c r="F220" s="388"/>
      <c r="G220" s="31">
        <v>1</v>
      </c>
      <c r="H220" s="408"/>
      <c r="I220" s="419">
        <f t="shared" ref="I220:I230" si="4">+G220*H220</f>
        <v>0</v>
      </c>
    </row>
    <row r="221" spans="1:9" x14ac:dyDescent="0.35">
      <c r="A221" s="566" t="s">
        <v>1360</v>
      </c>
      <c r="B221" s="253" t="s">
        <v>464</v>
      </c>
      <c r="C221" s="315"/>
      <c r="D221" s="62"/>
      <c r="E221" s="62">
        <v>55719</v>
      </c>
      <c r="F221" s="388"/>
      <c r="G221" s="31">
        <v>1</v>
      </c>
      <c r="H221" s="408"/>
      <c r="I221" s="419">
        <f t="shared" si="4"/>
        <v>0</v>
      </c>
    </row>
    <row r="222" spans="1:9" x14ac:dyDescent="0.35">
      <c r="A222" s="566" t="s">
        <v>992</v>
      </c>
      <c r="B222" s="253" t="s">
        <v>709</v>
      </c>
      <c r="C222" s="315"/>
      <c r="D222" s="62"/>
      <c r="E222" s="62">
        <v>55719</v>
      </c>
      <c r="F222" s="388"/>
      <c r="G222" s="31">
        <v>1</v>
      </c>
      <c r="H222" s="408"/>
      <c r="I222" s="419">
        <f t="shared" si="4"/>
        <v>0</v>
      </c>
    </row>
    <row r="223" spans="1:9" x14ac:dyDescent="0.35">
      <c r="A223" s="566" t="s">
        <v>1362</v>
      </c>
      <c r="B223" s="253" t="s">
        <v>716</v>
      </c>
      <c r="C223" s="315"/>
      <c r="D223" s="62"/>
      <c r="E223" s="62">
        <v>55719</v>
      </c>
      <c r="F223" s="388"/>
      <c r="G223" s="31">
        <v>1</v>
      </c>
      <c r="H223" s="408"/>
      <c r="I223" s="419">
        <f t="shared" si="4"/>
        <v>0</v>
      </c>
    </row>
    <row r="224" spans="1:9" x14ac:dyDescent="0.35">
      <c r="A224" s="566" t="s">
        <v>1363</v>
      </c>
      <c r="B224" s="253" t="s">
        <v>710</v>
      </c>
      <c r="C224" s="315"/>
      <c r="D224" s="62"/>
      <c r="E224" s="62">
        <v>55719</v>
      </c>
      <c r="F224" s="388"/>
      <c r="G224" s="31">
        <v>1</v>
      </c>
      <c r="H224" s="408"/>
      <c r="I224" s="419">
        <f t="shared" si="4"/>
        <v>0</v>
      </c>
    </row>
    <row r="225" spans="1:9" x14ac:dyDescent="0.35">
      <c r="A225" s="566" t="s">
        <v>64</v>
      </c>
      <c r="B225" s="253" t="s">
        <v>711</v>
      </c>
      <c r="C225" s="315"/>
      <c r="D225" s="62"/>
      <c r="E225" s="62">
        <v>55719</v>
      </c>
      <c r="F225" s="388"/>
      <c r="G225" s="31">
        <v>1</v>
      </c>
      <c r="H225" s="408"/>
      <c r="I225" s="419">
        <f t="shared" si="4"/>
        <v>0</v>
      </c>
    </row>
    <row r="226" spans="1:9" x14ac:dyDescent="0.35">
      <c r="A226" s="566" t="s">
        <v>2502</v>
      </c>
      <c r="B226" s="253" t="s">
        <v>1453</v>
      </c>
      <c r="C226" s="315"/>
      <c r="D226" s="62"/>
      <c r="E226" s="62">
        <v>55719</v>
      </c>
      <c r="F226" s="315"/>
      <c r="G226" s="31">
        <v>1</v>
      </c>
      <c r="H226" s="408"/>
      <c r="I226" s="419">
        <f t="shared" si="4"/>
        <v>0</v>
      </c>
    </row>
    <row r="227" spans="1:9" x14ac:dyDescent="0.35">
      <c r="A227" s="566" t="s">
        <v>4</v>
      </c>
      <c r="B227" s="253" t="s">
        <v>86</v>
      </c>
      <c r="C227" s="315"/>
      <c r="D227" s="62"/>
      <c r="E227" s="62">
        <v>55719</v>
      </c>
      <c r="F227" s="340"/>
      <c r="G227" s="31">
        <v>1</v>
      </c>
      <c r="H227" s="408"/>
      <c r="I227" s="437">
        <f t="shared" si="4"/>
        <v>0</v>
      </c>
    </row>
    <row r="228" spans="1:9" s="119" customFormat="1" x14ac:dyDescent="0.35">
      <c r="A228" s="566" t="s">
        <v>97</v>
      </c>
      <c r="B228" s="253" t="s">
        <v>457</v>
      </c>
      <c r="C228" s="315"/>
      <c r="D228" s="62"/>
      <c r="E228" s="62">
        <v>55719</v>
      </c>
      <c r="F228" s="388"/>
      <c r="G228" s="31">
        <v>1</v>
      </c>
      <c r="H228" s="408"/>
      <c r="I228" s="419">
        <f t="shared" si="4"/>
        <v>0</v>
      </c>
    </row>
    <row r="229" spans="1:9" x14ac:dyDescent="0.35">
      <c r="A229" s="566" t="s">
        <v>1667</v>
      </c>
      <c r="B229" s="253" t="s">
        <v>2219</v>
      </c>
      <c r="C229" s="315"/>
      <c r="D229" s="62"/>
      <c r="E229" s="62">
        <v>55719</v>
      </c>
      <c r="F229" s="388"/>
      <c r="G229" s="31">
        <v>1</v>
      </c>
      <c r="H229" s="408"/>
      <c r="I229" s="419">
        <f t="shared" si="4"/>
        <v>0</v>
      </c>
    </row>
    <row r="230" spans="1:9" x14ac:dyDescent="0.35">
      <c r="A230" s="566" t="s">
        <v>1667</v>
      </c>
      <c r="B230" s="253" t="s">
        <v>2220</v>
      </c>
      <c r="C230" s="315"/>
      <c r="D230" s="253"/>
      <c r="E230" s="253">
        <v>55719</v>
      </c>
      <c r="F230" s="388"/>
      <c r="G230" s="201">
        <v>1</v>
      </c>
      <c r="H230" s="408"/>
      <c r="I230" s="419">
        <f t="shared" si="4"/>
        <v>0</v>
      </c>
    </row>
    <row r="231" spans="1:9" x14ac:dyDescent="0.35">
      <c r="A231" s="72"/>
      <c r="I231" s="386">
        <f>SUM(I2:I230)</f>
        <v>0</v>
      </c>
    </row>
    <row r="232" spans="1:9" ht="17.5" x14ac:dyDescent="0.35">
      <c r="A232" s="309" t="s">
        <v>1529</v>
      </c>
      <c r="B232" s="312"/>
      <c r="C232" s="249"/>
      <c r="D232" s="3"/>
      <c r="E232" s="3"/>
      <c r="F232" s="249"/>
      <c r="G232" s="3"/>
      <c r="H232" s="396"/>
      <c r="I232" s="406"/>
    </row>
    <row r="233" spans="1:9" ht="17.5" x14ac:dyDescent="0.35">
      <c r="A233" s="309" t="s">
        <v>2375</v>
      </c>
      <c r="B233" s="312"/>
      <c r="C233" s="249"/>
      <c r="D233" s="3"/>
      <c r="E233" s="3"/>
      <c r="F233" s="249"/>
      <c r="G233" s="3"/>
      <c r="H233" s="396"/>
      <c r="I233" s="406"/>
    </row>
    <row r="234" spans="1:9" ht="17.5" x14ac:dyDescent="0.35">
      <c r="A234" s="310" t="s">
        <v>2688</v>
      </c>
      <c r="B234" s="202"/>
    </row>
    <row r="235" spans="1:9" s="119" customFormat="1" ht="17.5" x14ac:dyDescent="0.35">
      <c r="A235" s="319" t="s">
        <v>2694</v>
      </c>
      <c r="B235" s="413">
        <f>+I231</f>
        <v>0</v>
      </c>
      <c r="C235" s="206"/>
      <c r="D235" s="106"/>
      <c r="E235" s="106"/>
      <c r="F235" s="206"/>
      <c r="G235" s="76"/>
      <c r="H235" s="426"/>
      <c r="I235" s="386"/>
    </row>
    <row r="236" spans="1:9" s="119" customFormat="1" x14ac:dyDescent="0.35">
      <c r="A236" s="106"/>
      <c r="B236" s="206"/>
      <c r="C236" s="206"/>
      <c r="D236" s="106"/>
      <c r="E236" s="106"/>
      <c r="F236" s="206"/>
      <c r="G236" s="76"/>
      <c r="H236" s="426"/>
      <c r="I236" s="386"/>
    </row>
    <row r="237" spans="1:9" s="119" customFormat="1" x14ac:dyDescent="0.35">
      <c r="A237" s="106"/>
      <c r="B237" s="206"/>
      <c r="C237" s="206"/>
      <c r="D237" s="106"/>
      <c r="E237" s="106"/>
      <c r="F237" s="206"/>
      <c r="G237" s="76"/>
      <c r="H237" s="426"/>
      <c r="I237" s="386"/>
    </row>
    <row r="238" spans="1:9" s="119" customFormat="1" x14ac:dyDescent="0.35">
      <c r="A238" s="106"/>
      <c r="B238" s="206"/>
      <c r="C238" s="206"/>
      <c r="D238" s="106"/>
      <c r="E238" s="106"/>
      <c r="F238" s="206"/>
      <c r="G238" s="76"/>
      <c r="H238" s="426"/>
      <c r="I238" s="386"/>
    </row>
    <row r="240" spans="1:9" s="206" customFormat="1" x14ac:dyDescent="0.35">
      <c r="A240" s="106"/>
      <c r="D240" s="106"/>
      <c r="E240" s="106"/>
      <c r="G240" s="76"/>
      <c r="H240" s="426"/>
      <c r="I240" s="386"/>
    </row>
    <row r="244" spans="1:9" s="4" customFormat="1" ht="17.5" x14ac:dyDescent="0.35">
      <c r="A244" s="106"/>
      <c r="B244" s="206"/>
      <c r="C244" s="206"/>
      <c r="D244" s="106"/>
      <c r="E244" s="106"/>
      <c r="F244" s="206"/>
      <c r="G244" s="76"/>
      <c r="H244" s="426"/>
      <c r="I244" s="386"/>
    </row>
    <row r="245" spans="1:9" s="4" customFormat="1" ht="17.5" x14ac:dyDescent="0.35">
      <c r="A245" s="106"/>
      <c r="B245" s="206"/>
      <c r="C245" s="206"/>
      <c r="D245" s="106"/>
      <c r="E245" s="106"/>
      <c r="F245" s="206"/>
      <c r="G245" s="76"/>
      <c r="H245" s="426"/>
      <c r="I245" s="38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6"/>
  <sheetViews>
    <sheetView workbookViewId="0">
      <pane ySplit="1" topLeftCell="A2" activePane="bottomLeft" state="frozen"/>
      <selection activeCell="C26" sqref="C26"/>
      <selection pane="bottomLeft" activeCell="F14" sqref="F14"/>
    </sheetView>
  </sheetViews>
  <sheetFormatPr defaultColWidth="9.08984375" defaultRowHeight="15.5" x14ac:dyDescent="0.35"/>
  <cols>
    <col min="1" max="1" width="60.54296875" style="17" bestFit="1" customWidth="1"/>
    <col min="2" max="2" width="16.08984375" style="17" customWidth="1"/>
    <col min="3" max="3" width="21.1796875" style="17" customWidth="1"/>
    <col min="4" max="4" width="21.81640625" style="17" customWidth="1"/>
    <col min="5" max="5" width="26.453125" style="17" bestFit="1" customWidth="1"/>
    <col min="6" max="6" width="26.453125" style="17" customWidth="1"/>
    <col min="7" max="7" width="11.90625" style="17" customWidth="1"/>
    <col min="8" max="8" width="13.08984375" style="16" customWidth="1"/>
    <col min="9" max="9" width="18.6328125" style="16" customWidth="1"/>
    <col min="10" max="16384" width="9.08984375" style="16"/>
  </cols>
  <sheetData>
    <row r="1" spans="1:9" x14ac:dyDescent="0.35">
      <c r="A1" s="544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61" t="s">
        <v>2699</v>
      </c>
      <c r="G1" s="13" t="s">
        <v>364</v>
      </c>
      <c r="H1" s="326" t="s">
        <v>2695</v>
      </c>
      <c r="I1" s="305" t="s">
        <v>2696</v>
      </c>
    </row>
    <row r="2" spans="1:9" ht="15" customHeight="1" x14ac:dyDescent="0.35">
      <c r="A2" s="571" t="s">
        <v>1326</v>
      </c>
      <c r="B2" s="9" t="s">
        <v>637</v>
      </c>
      <c r="C2" s="315"/>
      <c r="D2" s="9"/>
      <c r="E2" s="9">
        <v>55719</v>
      </c>
      <c r="F2" s="388"/>
      <c r="G2" s="15">
        <v>5</v>
      </c>
      <c r="H2" s="410"/>
      <c r="I2" s="411">
        <f>+G2*H2</f>
        <v>0</v>
      </c>
    </row>
    <row r="3" spans="1:9" x14ac:dyDescent="0.35">
      <c r="A3" s="571" t="s">
        <v>1324</v>
      </c>
      <c r="B3" s="9" t="s">
        <v>639</v>
      </c>
      <c r="C3" s="315"/>
      <c r="D3" s="9"/>
      <c r="E3" s="9">
        <v>55719</v>
      </c>
      <c r="F3" s="388"/>
      <c r="G3" s="15">
        <v>5</v>
      </c>
      <c r="H3" s="410"/>
      <c r="I3" s="411">
        <f t="shared" ref="I3:I10" si="0">+G3*H3</f>
        <v>0</v>
      </c>
    </row>
    <row r="4" spans="1:9" x14ac:dyDescent="0.35">
      <c r="A4" s="571" t="s">
        <v>1325</v>
      </c>
      <c r="B4" s="9" t="s">
        <v>638</v>
      </c>
      <c r="C4" s="315"/>
      <c r="D4" s="9"/>
      <c r="E4" s="9">
        <v>55719</v>
      </c>
      <c r="F4" s="388"/>
      <c r="G4" s="15">
        <v>5</v>
      </c>
      <c r="H4" s="410"/>
      <c r="I4" s="411">
        <f t="shared" si="0"/>
        <v>0</v>
      </c>
    </row>
    <row r="5" spans="1:9" ht="15" customHeight="1" x14ac:dyDescent="0.35">
      <c r="A5" s="571" t="s">
        <v>1329</v>
      </c>
      <c r="B5" s="9" t="s">
        <v>641</v>
      </c>
      <c r="C5" s="315"/>
      <c r="D5" s="9"/>
      <c r="E5" s="9">
        <v>55719</v>
      </c>
      <c r="F5" s="388"/>
      <c r="G5" s="15">
        <v>5</v>
      </c>
      <c r="H5" s="410"/>
      <c r="I5" s="411">
        <f t="shared" si="0"/>
        <v>0</v>
      </c>
    </row>
    <row r="6" spans="1:9" x14ac:dyDescent="0.35">
      <c r="A6" s="571" t="s">
        <v>1327</v>
      </c>
      <c r="B6" s="9" t="s">
        <v>640</v>
      </c>
      <c r="C6" s="315"/>
      <c r="D6" s="9"/>
      <c r="E6" s="9">
        <v>55719</v>
      </c>
      <c r="F6" s="388"/>
      <c r="G6" s="15">
        <v>5</v>
      </c>
      <c r="H6" s="410"/>
      <c r="I6" s="411">
        <f t="shared" si="0"/>
        <v>0</v>
      </c>
    </row>
    <row r="7" spans="1:9" x14ac:dyDescent="0.35">
      <c r="A7" s="571" t="s">
        <v>1322</v>
      </c>
      <c r="B7" s="9" t="s">
        <v>643</v>
      </c>
      <c r="C7" s="315"/>
      <c r="D7" s="9"/>
      <c r="E7" s="9">
        <v>55719</v>
      </c>
      <c r="F7" s="388"/>
      <c r="G7" s="15">
        <v>5</v>
      </c>
      <c r="H7" s="410"/>
      <c r="I7" s="411">
        <f t="shared" si="0"/>
        <v>0</v>
      </c>
    </row>
    <row r="8" spans="1:9" x14ac:dyDescent="0.35">
      <c r="A8" s="571" t="s">
        <v>1328</v>
      </c>
      <c r="B8" s="9" t="s">
        <v>952</v>
      </c>
      <c r="C8" s="315"/>
      <c r="D8" s="9"/>
      <c r="E8" s="9">
        <v>55719</v>
      </c>
      <c r="F8" s="388"/>
      <c r="G8" s="15">
        <v>5</v>
      </c>
      <c r="H8" s="410"/>
      <c r="I8" s="411">
        <f t="shared" si="0"/>
        <v>0</v>
      </c>
    </row>
    <row r="9" spans="1:9" x14ac:dyDescent="0.35">
      <c r="A9" s="571" t="s">
        <v>1323</v>
      </c>
      <c r="B9" s="9" t="s">
        <v>642</v>
      </c>
      <c r="C9" s="315"/>
      <c r="D9" s="9"/>
      <c r="E9" s="9">
        <v>55719</v>
      </c>
      <c r="F9" s="388"/>
      <c r="G9" s="15">
        <v>5</v>
      </c>
      <c r="H9" s="410"/>
      <c r="I9" s="411">
        <f t="shared" si="0"/>
        <v>0</v>
      </c>
    </row>
    <row r="10" spans="1:9" x14ac:dyDescent="0.35">
      <c r="A10" s="572" t="s">
        <v>169</v>
      </c>
      <c r="B10" s="546" t="s">
        <v>1607</v>
      </c>
      <c r="C10" s="547"/>
      <c r="D10" s="546"/>
      <c r="E10" s="546">
        <v>55719</v>
      </c>
      <c r="F10" s="548"/>
      <c r="G10" s="549">
        <v>2</v>
      </c>
      <c r="H10" s="551"/>
      <c r="I10" s="552">
        <f t="shared" si="0"/>
        <v>0</v>
      </c>
    </row>
    <row r="11" spans="1:9" x14ac:dyDescent="0.35">
      <c r="H11" s="412"/>
      <c r="I11" s="412">
        <f>SUM(I2:I10)</f>
        <v>0</v>
      </c>
    </row>
    <row r="13" spans="1:9" s="4" customFormat="1" ht="17.5" x14ac:dyDescent="0.35">
      <c r="A13" s="309" t="s">
        <v>1718</v>
      </c>
      <c r="B13" s="312"/>
      <c r="C13" s="249"/>
      <c r="D13" s="3"/>
      <c r="E13" s="3"/>
      <c r="F13" s="249"/>
      <c r="G13" s="3"/>
      <c r="H13" s="37"/>
    </row>
    <row r="14" spans="1:9" s="4" customFormat="1" ht="17.5" x14ac:dyDescent="0.35">
      <c r="A14" s="309" t="s">
        <v>2369</v>
      </c>
      <c r="B14" s="312"/>
      <c r="C14" s="249"/>
      <c r="D14" s="3"/>
      <c r="E14" s="3"/>
      <c r="F14" s="249"/>
      <c r="G14" s="3"/>
      <c r="H14" s="37"/>
    </row>
    <row r="15" spans="1:9" ht="17.5" x14ac:dyDescent="0.35">
      <c r="A15" s="310" t="s">
        <v>2687</v>
      </c>
      <c r="B15" s="252"/>
    </row>
    <row r="16" spans="1:9" ht="17.5" x14ac:dyDescent="0.35">
      <c r="A16" s="319" t="s">
        <v>2694</v>
      </c>
      <c r="B16" s="413">
        <f>+I11</f>
        <v>0</v>
      </c>
    </row>
  </sheetData>
  <pageMargins left="0.5" right="0.5" top="0.5" bottom="0.5" header="0.3" footer="0.3"/>
  <pageSetup scale="60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8"/>
  <sheetViews>
    <sheetView workbookViewId="0">
      <pane ySplit="1" topLeftCell="A2" activePane="bottomLeft" state="frozen"/>
      <selection activeCell="C26" sqref="C26"/>
      <selection pane="bottomLeft" activeCell="I2" sqref="I2"/>
    </sheetView>
  </sheetViews>
  <sheetFormatPr defaultColWidth="9.08984375" defaultRowHeight="15.5" x14ac:dyDescent="0.35"/>
  <cols>
    <col min="1" max="1" width="63.90625" style="41" bestFit="1" customWidth="1"/>
    <col min="2" max="2" width="16.08984375" style="41" customWidth="1"/>
    <col min="3" max="3" width="21.1796875" style="41" customWidth="1"/>
    <col min="4" max="4" width="21.81640625" style="41" customWidth="1"/>
    <col min="5" max="5" width="14.36328125" style="41" customWidth="1"/>
    <col min="6" max="6" width="16.453125" style="41" customWidth="1"/>
    <col min="7" max="7" width="11.90625" style="41" customWidth="1"/>
    <col min="8" max="8" width="13.08984375" style="407" customWidth="1"/>
    <col min="9" max="9" width="18.6328125" style="407" customWidth="1"/>
    <col min="10" max="16384" width="9.08984375" style="41"/>
  </cols>
  <sheetData>
    <row r="1" spans="1:9" x14ac:dyDescent="0.35">
      <c r="A1" s="567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61" t="s">
        <v>2699</v>
      </c>
      <c r="G1" s="23" t="s">
        <v>364</v>
      </c>
      <c r="H1" s="393" t="s">
        <v>2695</v>
      </c>
      <c r="I1" s="404" t="s">
        <v>2696</v>
      </c>
    </row>
    <row r="2" spans="1:9" x14ac:dyDescent="0.35">
      <c r="A2" s="568" t="s">
        <v>1091</v>
      </c>
      <c r="B2" s="73" t="s">
        <v>1610</v>
      </c>
      <c r="C2" s="388"/>
      <c r="D2" s="73"/>
      <c r="E2" s="73">
        <v>55719</v>
      </c>
      <c r="F2" s="388"/>
      <c r="G2" s="43">
        <v>1</v>
      </c>
      <c r="H2" s="394"/>
      <c r="I2" s="405">
        <f t="shared" ref="I2:I26" si="0">+G2*H2</f>
        <v>0</v>
      </c>
    </row>
    <row r="3" spans="1:9" x14ac:dyDescent="0.35">
      <c r="A3" s="568" t="s">
        <v>986</v>
      </c>
      <c r="B3" s="73" t="s">
        <v>460</v>
      </c>
      <c r="C3" s="388"/>
      <c r="D3" s="73"/>
      <c r="E3" s="73">
        <v>55719</v>
      </c>
      <c r="F3" s="388"/>
      <c r="G3" s="43">
        <v>1</v>
      </c>
      <c r="H3" s="394"/>
      <c r="I3" s="405">
        <f t="shared" si="0"/>
        <v>0</v>
      </c>
    </row>
    <row r="4" spans="1:9" x14ac:dyDescent="0.35">
      <c r="A4" s="568" t="s">
        <v>982</v>
      </c>
      <c r="B4" s="73" t="s">
        <v>213</v>
      </c>
      <c r="C4" s="388"/>
      <c r="D4" s="73"/>
      <c r="E4" s="73">
        <v>55719</v>
      </c>
      <c r="F4" s="388"/>
      <c r="G4" s="43">
        <v>1</v>
      </c>
      <c r="H4" s="394"/>
      <c r="I4" s="405">
        <f t="shared" si="0"/>
        <v>0</v>
      </c>
    </row>
    <row r="5" spans="1:9" x14ac:dyDescent="0.35">
      <c r="A5" s="568" t="s">
        <v>1019</v>
      </c>
      <c r="B5" s="73" t="s">
        <v>90</v>
      </c>
      <c r="C5" s="388"/>
      <c r="D5" s="73"/>
      <c r="E5" s="73">
        <v>55719</v>
      </c>
      <c r="F5" s="388"/>
      <c r="G5" s="43">
        <v>1</v>
      </c>
      <c r="H5" s="394"/>
      <c r="I5" s="405">
        <f t="shared" si="0"/>
        <v>0</v>
      </c>
    </row>
    <row r="6" spans="1:9" x14ac:dyDescent="0.35">
      <c r="A6" s="568" t="s">
        <v>883</v>
      </c>
      <c r="B6" s="73" t="s">
        <v>235</v>
      </c>
      <c r="C6" s="388"/>
      <c r="D6" s="73"/>
      <c r="E6" s="73">
        <v>55719</v>
      </c>
      <c r="F6" s="388"/>
      <c r="G6" s="43">
        <v>1</v>
      </c>
      <c r="H6" s="394"/>
      <c r="I6" s="405">
        <f t="shared" si="0"/>
        <v>0</v>
      </c>
    </row>
    <row r="7" spans="1:9" x14ac:dyDescent="0.35">
      <c r="A7" s="568" t="s">
        <v>107</v>
      </c>
      <c r="B7" s="73" t="s">
        <v>507</v>
      </c>
      <c r="C7" s="388"/>
      <c r="D7" s="73"/>
      <c r="E7" s="73">
        <v>55719</v>
      </c>
      <c r="F7" s="388"/>
      <c r="G7" s="43">
        <v>1</v>
      </c>
      <c r="H7" s="394"/>
      <c r="I7" s="405">
        <f t="shared" si="0"/>
        <v>0</v>
      </c>
    </row>
    <row r="8" spans="1:9" x14ac:dyDescent="0.35">
      <c r="A8" s="568" t="s">
        <v>6</v>
      </c>
      <c r="B8" s="73" t="s">
        <v>87</v>
      </c>
      <c r="C8" s="388"/>
      <c r="D8" s="73"/>
      <c r="E8" s="73">
        <v>55719</v>
      </c>
      <c r="F8" s="388"/>
      <c r="G8" s="43">
        <v>1</v>
      </c>
      <c r="H8" s="394"/>
      <c r="I8" s="405">
        <f t="shared" si="0"/>
        <v>0</v>
      </c>
    </row>
    <row r="9" spans="1:9" x14ac:dyDescent="0.35">
      <c r="A9" s="568" t="s">
        <v>1290</v>
      </c>
      <c r="B9" s="73" t="s">
        <v>1639</v>
      </c>
      <c r="C9" s="388"/>
      <c r="D9" s="73"/>
      <c r="E9" s="73">
        <v>55719</v>
      </c>
      <c r="F9" s="388"/>
      <c r="G9" s="43">
        <v>1</v>
      </c>
      <c r="H9" s="394"/>
      <c r="I9" s="405">
        <f t="shared" si="0"/>
        <v>0</v>
      </c>
    </row>
    <row r="10" spans="1:9" x14ac:dyDescent="0.35">
      <c r="A10" s="568" t="s">
        <v>1306</v>
      </c>
      <c r="B10" s="73" t="s">
        <v>515</v>
      </c>
      <c r="C10" s="388"/>
      <c r="D10" s="73"/>
      <c r="E10" s="73">
        <v>55719</v>
      </c>
      <c r="F10" s="388"/>
      <c r="G10" s="43">
        <v>1</v>
      </c>
      <c r="H10" s="394"/>
      <c r="I10" s="405">
        <f t="shared" si="0"/>
        <v>0</v>
      </c>
    </row>
    <row r="11" spans="1:9" x14ac:dyDescent="0.35">
      <c r="A11" s="568" t="s">
        <v>780</v>
      </c>
      <c r="B11" s="73" t="s">
        <v>779</v>
      </c>
      <c r="C11" s="388"/>
      <c r="D11" s="73" t="s">
        <v>1602</v>
      </c>
      <c r="E11" s="73">
        <v>55719</v>
      </c>
      <c r="F11" s="388"/>
      <c r="G11" s="43">
        <v>1</v>
      </c>
      <c r="H11" s="394"/>
      <c r="I11" s="405">
        <f t="shared" si="0"/>
        <v>0</v>
      </c>
    </row>
    <row r="12" spans="1:9" x14ac:dyDescent="0.35">
      <c r="A12" s="568" t="s">
        <v>1075</v>
      </c>
      <c r="B12" s="73" t="s">
        <v>411</v>
      </c>
      <c r="C12" s="388"/>
      <c r="D12" s="73"/>
      <c r="E12" s="73">
        <v>55719</v>
      </c>
      <c r="F12" s="388"/>
      <c r="G12" s="43">
        <v>1</v>
      </c>
      <c r="H12" s="394"/>
      <c r="I12" s="405">
        <f t="shared" si="0"/>
        <v>0</v>
      </c>
    </row>
    <row r="13" spans="1:9" x14ac:dyDescent="0.35">
      <c r="A13" s="568" t="s">
        <v>1077</v>
      </c>
      <c r="B13" s="73" t="s">
        <v>266</v>
      </c>
      <c r="C13" s="388"/>
      <c r="D13" s="73"/>
      <c r="E13" s="73">
        <v>55719</v>
      </c>
      <c r="F13" s="388"/>
      <c r="G13" s="43">
        <v>1</v>
      </c>
      <c r="H13" s="394"/>
      <c r="I13" s="405">
        <f t="shared" si="0"/>
        <v>0</v>
      </c>
    </row>
    <row r="14" spans="1:9" x14ac:dyDescent="0.35">
      <c r="A14" s="568" t="s">
        <v>1070</v>
      </c>
      <c r="B14" s="73" t="s">
        <v>582</v>
      </c>
      <c r="C14" s="388"/>
      <c r="D14" s="73"/>
      <c r="E14" s="73">
        <v>55719</v>
      </c>
      <c r="F14" s="388"/>
      <c r="G14" s="43">
        <v>1</v>
      </c>
      <c r="H14" s="394"/>
      <c r="I14" s="405">
        <f t="shared" si="0"/>
        <v>0</v>
      </c>
    </row>
    <row r="15" spans="1:9" x14ac:dyDescent="0.35">
      <c r="A15" s="568" t="s">
        <v>1078</v>
      </c>
      <c r="B15" s="73" t="s">
        <v>270</v>
      </c>
      <c r="C15" s="388"/>
      <c r="D15" s="73"/>
      <c r="E15" s="73">
        <v>55719</v>
      </c>
      <c r="F15" s="388"/>
      <c r="G15" s="43">
        <v>1</v>
      </c>
      <c r="H15" s="394"/>
      <c r="I15" s="405">
        <f t="shared" si="0"/>
        <v>0</v>
      </c>
    </row>
    <row r="16" spans="1:9" x14ac:dyDescent="0.35">
      <c r="A16" s="568" t="s">
        <v>1076</v>
      </c>
      <c r="B16" s="73" t="s">
        <v>77</v>
      </c>
      <c r="C16" s="388"/>
      <c r="D16" s="73"/>
      <c r="E16" s="73">
        <v>55719</v>
      </c>
      <c r="F16" s="388"/>
      <c r="G16" s="43">
        <v>1</v>
      </c>
      <c r="H16" s="394"/>
      <c r="I16" s="405">
        <f t="shared" si="0"/>
        <v>0</v>
      </c>
    </row>
    <row r="17" spans="1:9" x14ac:dyDescent="0.35">
      <c r="A17" s="568" t="s">
        <v>1072</v>
      </c>
      <c r="B17" s="73" t="s">
        <v>395</v>
      </c>
      <c r="C17" s="388"/>
      <c r="D17" s="73"/>
      <c r="E17" s="73">
        <v>55719</v>
      </c>
      <c r="F17" s="388"/>
      <c r="G17" s="43">
        <v>1</v>
      </c>
      <c r="H17" s="394"/>
      <c r="I17" s="405">
        <f t="shared" si="0"/>
        <v>0</v>
      </c>
    </row>
    <row r="18" spans="1:9" x14ac:dyDescent="0.35">
      <c r="A18" s="568" t="s">
        <v>1003</v>
      </c>
      <c r="B18" s="73" t="s">
        <v>265</v>
      </c>
      <c r="C18" s="388"/>
      <c r="D18" s="73"/>
      <c r="E18" s="73">
        <v>55719</v>
      </c>
      <c r="F18" s="388"/>
      <c r="G18" s="43">
        <v>1</v>
      </c>
      <c r="H18" s="394"/>
      <c r="I18" s="405">
        <f t="shared" si="0"/>
        <v>0</v>
      </c>
    </row>
    <row r="19" spans="1:9" x14ac:dyDescent="0.35">
      <c r="A19" s="568" t="s">
        <v>1073</v>
      </c>
      <c r="B19" s="73" t="s">
        <v>396</v>
      </c>
      <c r="C19" s="388"/>
      <c r="D19" s="73"/>
      <c r="E19" s="73">
        <v>55719</v>
      </c>
      <c r="F19" s="388"/>
      <c r="G19" s="43">
        <v>1</v>
      </c>
      <c r="H19" s="394"/>
      <c r="I19" s="405">
        <f t="shared" si="0"/>
        <v>0</v>
      </c>
    </row>
    <row r="20" spans="1:9" x14ac:dyDescent="0.35">
      <c r="A20" s="568" t="s">
        <v>1001</v>
      </c>
      <c r="B20" s="73" t="s">
        <v>268</v>
      </c>
      <c r="C20" s="388"/>
      <c r="D20" s="73"/>
      <c r="E20" s="73">
        <v>55719</v>
      </c>
      <c r="F20" s="388"/>
      <c r="G20" s="43">
        <v>1</v>
      </c>
      <c r="H20" s="394"/>
      <c r="I20" s="405">
        <f t="shared" si="0"/>
        <v>0</v>
      </c>
    </row>
    <row r="21" spans="1:9" x14ac:dyDescent="0.35">
      <c r="A21" s="568" t="s">
        <v>1246</v>
      </c>
      <c r="B21" s="73" t="s">
        <v>528</v>
      </c>
      <c r="C21" s="388"/>
      <c r="D21" s="73"/>
      <c r="E21" s="73">
        <v>55719</v>
      </c>
      <c r="F21" s="388"/>
      <c r="G21" s="43">
        <v>1</v>
      </c>
      <c r="H21" s="394"/>
      <c r="I21" s="405">
        <f t="shared" si="0"/>
        <v>0</v>
      </c>
    </row>
    <row r="22" spans="1:9" x14ac:dyDescent="0.35">
      <c r="A22" s="568" t="s">
        <v>991</v>
      </c>
      <c r="B22" s="73" t="s">
        <v>194</v>
      </c>
      <c r="C22" s="388"/>
      <c r="D22" s="73"/>
      <c r="E22" s="73">
        <v>55719</v>
      </c>
      <c r="F22" s="388"/>
      <c r="G22" s="43">
        <v>1</v>
      </c>
      <c r="H22" s="394"/>
      <c r="I22" s="405">
        <f t="shared" si="0"/>
        <v>0</v>
      </c>
    </row>
    <row r="23" spans="1:9" x14ac:dyDescent="0.35">
      <c r="A23" s="568" t="s">
        <v>992</v>
      </c>
      <c r="B23" s="73" t="s">
        <v>527</v>
      </c>
      <c r="C23" s="388"/>
      <c r="D23" s="73"/>
      <c r="E23" s="73">
        <v>55719</v>
      </c>
      <c r="F23" s="388"/>
      <c r="G23" s="43">
        <v>1</v>
      </c>
      <c r="H23" s="394"/>
      <c r="I23" s="405">
        <f t="shared" si="0"/>
        <v>0</v>
      </c>
    </row>
    <row r="24" spans="1:9" x14ac:dyDescent="0.35">
      <c r="A24" s="568" t="s">
        <v>1245</v>
      </c>
      <c r="B24" s="73" t="s">
        <v>481</v>
      </c>
      <c r="C24" s="388"/>
      <c r="D24" s="73"/>
      <c r="E24" s="73">
        <v>55719</v>
      </c>
      <c r="F24" s="388"/>
      <c r="G24" s="43">
        <v>1</v>
      </c>
      <c r="H24" s="394"/>
      <c r="I24" s="405">
        <f t="shared" si="0"/>
        <v>0</v>
      </c>
    </row>
    <row r="25" spans="1:9" x14ac:dyDescent="0.35">
      <c r="A25" s="568" t="s">
        <v>998</v>
      </c>
      <c r="B25" s="73" t="s">
        <v>596</v>
      </c>
      <c r="C25" s="388"/>
      <c r="D25" s="73"/>
      <c r="E25" s="73">
        <v>55719</v>
      </c>
      <c r="F25" s="388"/>
      <c r="G25" s="43">
        <v>1</v>
      </c>
      <c r="H25" s="394"/>
      <c r="I25" s="405">
        <f t="shared" si="0"/>
        <v>0</v>
      </c>
    </row>
    <row r="26" spans="1:9" x14ac:dyDescent="0.35">
      <c r="A26" s="566" t="s">
        <v>2602</v>
      </c>
      <c r="B26" s="207" t="s">
        <v>2603</v>
      </c>
      <c r="C26" s="388"/>
      <c r="D26" s="207"/>
      <c r="E26" s="207">
        <v>55719</v>
      </c>
      <c r="F26" s="388"/>
      <c r="G26" s="201">
        <v>1</v>
      </c>
      <c r="H26" s="408"/>
      <c r="I26" s="405">
        <f t="shared" si="0"/>
        <v>0</v>
      </c>
    </row>
    <row r="27" spans="1:9" x14ac:dyDescent="0.35">
      <c r="I27" s="407">
        <f>SUM(I2:I26)</f>
        <v>0</v>
      </c>
    </row>
    <row r="32" spans="1:9" ht="17.5" x14ac:dyDescent="0.35">
      <c r="A32" s="309" t="s">
        <v>1757</v>
      </c>
      <c r="B32" s="312"/>
      <c r="C32" s="249"/>
      <c r="D32" s="3"/>
      <c r="E32" s="3"/>
      <c r="F32" s="249"/>
      <c r="G32" s="3"/>
      <c r="H32" s="396"/>
      <c r="I32" s="406"/>
    </row>
    <row r="33" spans="1:9" ht="17.5" x14ac:dyDescent="0.35">
      <c r="A33" s="309" t="s">
        <v>2393</v>
      </c>
      <c r="B33" s="312"/>
      <c r="C33" s="249"/>
      <c r="D33" s="3"/>
      <c r="E33" s="3"/>
      <c r="F33" s="249"/>
      <c r="G33" s="3"/>
      <c r="H33" s="396"/>
      <c r="I33" s="406"/>
    </row>
    <row r="34" spans="1:9" ht="17.5" x14ac:dyDescent="0.35">
      <c r="A34" s="310" t="s">
        <v>2686</v>
      </c>
      <c r="B34" s="42"/>
    </row>
    <row r="35" spans="1:9" ht="17.5" x14ac:dyDescent="0.35">
      <c r="A35" s="319" t="s">
        <v>2694</v>
      </c>
      <c r="B35" s="413">
        <f>+I27</f>
        <v>0</v>
      </c>
    </row>
    <row r="37" spans="1:9" s="4" customFormat="1" ht="17.5" x14ac:dyDescent="0.35">
      <c r="A37" s="41"/>
      <c r="B37" s="41"/>
      <c r="C37" s="41"/>
      <c r="D37" s="41"/>
      <c r="E37" s="41"/>
      <c r="F37" s="41"/>
      <c r="G37" s="41"/>
      <c r="H37" s="407"/>
      <c r="I37" s="407"/>
    </row>
    <row r="38" spans="1:9" s="4" customFormat="1" ht="17.5" x14ac:dyDescent="0.35">
      <c r="A38" s="41"/>
      <c r="B38" s="41"/>
      <c r="C38" s="41"/>
      <c r="D38" s="41"/>
      <c r="E38" s="41"/>
      <c r="F38" s="41"/>
      <c r="G38" s="41"/>
      <c r="H38" s="407"/>
      <c r="I38" s="407"/>
    </row>
  </sheetData>
  <sortState xmlns:xlrd2="http://schemas.microsoft.com/office/spreadsheetml/2017/richdata2" ref="A2:H26">
    <sortCondition ref="B2:B26"/>
  </sortState>
  <pageMargins left="0.7" right="0.7" top="0.75" bottom="0.75" header="0.3" footer="0.3"/>
  <pageSetup scale="55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7"/>
  <sheetViews>
    <sheetView workbookViewId="0">
      <pane ySplit="1" topLeftCell="A2" activePane="bottomLeft" state="frozen"/>
      <selection activeCell="C26" sqref="C26"/>
      <selection pane="bottomLeft" activeCell="E21" sqref="E21"/>
    </sheetView>
  </sheetViews>
  <sheetFormatPr defaultColWidth="9.08984375" defaultRowHeight="15.5" x14ac:dyDescent="0.35"/>
  <cols>
    <col min="1" max="1" width="61.36328125" style="51" bestFit="1" customWidth="1"/>
    <col min="2" max="2" width="16.453125" style="52" bestFit="1" customWidth="1"/>
    <col min="3" max="3" width="21.1796875" style="218" customWidth="1"/>
    <col min="4" max="4" width="21.81640625" style="52" customWidth="1"/>
    <col min="5" max="5" width="14.36328125" style="52" customWidth="1"/>
    <col min="6" max="6" width="16.453125" style="218" customWidth="1"/>
    <col min="7" max="7" width="11.90625" style="218" customWidth="1"/>
    <col min="8" max="8" width="16.36328125" style="438" customWidth="1"/>
    <col min="9" max="9" width="18.6328125" style="439" customWidth="1"/>
    <col min="10" max="10" width="17" style="51" bestFit="1" customWidth="1"/>
    <col min="11" max="16384" width="9.08984375" style="51"/>
  </cols>
  <sheetData>
    <row r="1" spans="1:9" x14ac:dyDescent="0.35">
      <c r="A1" s="591" t="s">
        <v>0</v>
      </c>
      <c r="B1" s="592" t="s">
        <v>1</v>
      </c>
      <c r="C1" s="592" t="s">
        <v>2700</v>
      </c>
      <c r="D1" s="592" t="s">
        <v>1598</v>
      </c>
      <c r="E1" s="592" t="s">
        <v>1599</v>
      </c>
      <c r="F1" s="592" t="s">
        <v>2699</v>
      </c>
      <c r="G1" s="591" t="s">
        <v>364</v>
      </c>
      <c r="H1" s="593" t="s">
        <v>2695</v>
      </c>
      <c r="I1" s="594" t="s">
        <v>2696</v>
      </c>
    </row>
    <row r="2" spans="1:9" x14ac:dyDescent="0.35">
      <c r="A2" s="595" t="s">
        <v>2470</v>
      </c>
      <c r="B2" s="596" t="s">
        <v>2471</v>
      </c>
      <c r="C2" s="575"/>
      <c r="D2" s="596"/>
      <c r="E2" s="596">
        <v>55719</v>
      </c>
      <c r="F2" s="577"/>
      <c r="G2" s="596">
        <v>1</v>
      </c>
      <c r="H2" s="597"/>
      <c r="I2" s="580">
        <f>Table28[[#This Row],[Quantity]]*Table28[[#This Row],[Unit Price]]</f>
        <v>0</v>
      </c>
    </row>
    <row r="3" spans="1:9" x14ac:dyDescent="0.35">
      <c r="A3" s="573" t="s">
        <v>2382</v>
      </c>
      <c r="B3" s="574" t="s">
        <v>782</v>
      </c>
      <c r="C3" s="575"/>
      <c r="D3" s="576"/>
      <c r="E3" s="576" t="s">
        <v>1604</v>
      </c>
      <c r="F3" s="577"/>
      <c r="G3" s="578">
        <v>1</v>
      </c>
      <c r="H3" s="579"/>
      <c r="I3" s="580">
        <f>Table28[[#This Row],[Quantity]]*Table28[[#This Row],[Unit Price]]</f>
        <v>0</v>
      </c>
    </row>
    <row r="4" spans="1:9" x14ac:dyDescent="0.35">
      <c r="A4" s="581" t="s">
        <v>1410</v>
      </c>
      <c r="B4" s="582" t="s">
        <v>138</v>
      </c>
      <c r="C4" s="575"/>
      <c r="D4" s="583"/>
      <c r="E4" s="583" t="s">
        <v>1604</v>
      </c>
      <c r="F4" s="577"/>
      <c r="G4" s="584">
        <v>1</v>
      </c>
      <c r="H4" s="579"/>
      <c r="I4" s="580">
        <f>Table28[[#This Row],[Quantity]]*Table28[[#This Row],[Unit Price]]</f>
        <v>0</v>
      </c>
    </row>
    <row r="5" spans="1:9" x14ac:dyDescent="0.35">
      <c r="A5" s="573" t="s">
        <v>48</v>
      </c>
      <c r="B5" s="574" t="s">
        <v>335</v>
      </c>
      <c r="C5" s="575"/>
      <c r="D5" s="576"/>
      <c r="E5" s="576" t="s">
        <v>1604</v>
      </c>
      <c r="F5" s="577"/>
      <c r="G5" s="578">
        <v>1</v>
      </c>
      <c r="H5" s="579"/>
      <c r="I5" s="580">
        <f>Table28[[#This Row],[Quantity]]*Table28[[#This Row],[Unit Price]]</f>
        <v>0</v>
      </c>
    </row>
    <row r="6" spans="1:9" x14ac:dyDescent="0.35">
      <c r="A6" s="581" t="s">
        <v>1110</v>
      </c>
      <c r="B6" s="582" t="s">
        <v>422</v>
      </c>
      <c r="C6" s="575"/>
      <c r="D6" s="583"/>
      <c r="E6" s="583" t="s">
        <v>1604</v>
      </c>
      <c r="F6" s="577"/>
      <c r="G6" s="584">
        <v>1</v>
      </c>
      <c r="H6" s="579"/>
      <c r="I6" s="580">
        <f>Table28[[#This Row],[Quantity]]*Table28[[#This Row],[Unit Price]]</f>
        <v>0</v>
      </c>
    </row>
    <row r="7" spans="1:9" x14ac:dyDescent="0.35">
      <c r="A7" s="581" t="s">
        <v>1048</v>
      </c>
      <c r="B7" s="582" t="s">
        <v>250</v>
      </c>
      <c r="C7" s="575"/>
      <c r="D7" s="583"/>
      <c r="E7" s="583" t="s">
        <v>1604</v>
      </c>
      <c r="F7" s="577"/>
      <c r="G7" s="584">
        <v>1</v>
      </c>
      <c r="H7" s="579"/>
      <c r="I7" s="580">
        <f>Table28[[#This Row],[Quantity]]*Table28[[#This Row],[Unit Price]]</f>
        <v>0</v>
      </c>
    </row>
    <row r="8" spans="1:9" x14ac:dyDescent="0.35">
      <c r="A8" s="573" t="s">
        <v>995</v>
      </c>
      <c r="B8" s="574" t="s">
        <v>251</v>
      </c>
      <c r="C8" s="575"/>
      <c r="D8" s="576"/>
      <c r="E8" s="576" t="s">
        <v>1604</v>
      </c>
      <c r="F8" s="577"/>
      <c r="G8" s="578">
        <v>1</v>
      </c>
      <c r="H8" s="579"/>
      <c r="I8" s="580">
        <f>Table28[[#This Row],[Quantity]]*Table28[[#This Row],[Unit Price]]</f>
        <v>0</v>
      </c>
    </row>
    <row r="9" spans="1:9" x14ac:dyDescent="0.35">
      <c r="A9" s="581" t="s">
        <v>57</v>
      </c>
      <c r="B9" s="582" t="s">
        <v>58</v>
      </c>
      <c r="C9" s="575"/>
      <c r="D9" s="583"/>
      <c r="E9" s="583" t="s">
        <v>1604</v>
      </c>
      <c r="F9" s="577"/>
      <c r="G9" s="584">
        <v>1</v>
      </c>
      <c r="H9" s="579"/>
      <c r="I9" s="580">
        <f>Table28[[#This Row],[Quantity]]*Table28[[#This Row],[Unit Price]]</f>
        <v>0</v>
      </c>
    </row>
    <row r="10" spans="1:9" x14ac:dyDescent="0.35">
      <c r="A10" s="573" t="s">
        <v>1005</v>
      </c>
      <c r="B10" s="574" t="s">
        <v>597</v>
      </c>
      <c r="C10" s="575"/>
      <c r="D10" s="576"/>
      <c r="E10" s="576" t="s">
        <v>1604</v>
      </c>
      <c r="F10" s="577"/>
      <c r="G10" s="578">
        <v>1</v>
      </c>
      <c r="H10" s="579"/>
      <c r="I10" s="580">
        <f>Table28[[#This Row],[Quantity]]*Table28[[#This Row],[Unit Price]]</f>
        <v>0</v>
      </c>
    </row>
    <row r="11" spans="1:9" ht="16" thickBot="1" x14ac:dyDescent="0.4">
      <c r="A11" s="581" t="s">
        <v>13</v>
      </c>
      <c r="B11" s="582" t="s">
        <v>420</v>
      </c>
      <c r="C11" s="575"/>
      <c r="D11" s="583"/>
      <c r="E11" s="583" t="s">
        <v>1604</v>
      </c>
      <c r="F11" s="577"/>
      <c r="G11" s="584">
        <v>1</v>
      </c>
      <c r="H11" s="579"/>
      <c r="I11" s="580">
        <f>Table28[[#This Row],[Quantity]]*Table28[[#This Row],[Unit Price]]</f>
        <v>0</v>
      </c>
    </row>
    <row r="12" spans="1:9" ht="16" thickTop="1" x14ac:dyDescent="0.35">
      <c r="A12" s="585"/>
      <c r="B12" s="586"/>
      <c r="C12" s="586"/>
      <c r="D12" s="587"/>
      <c r="E12" s="587"/>
      <c r="F12" s="587"/>
      <c r="G12" s="588"/>
      <c r="H12" s="589"/>
      <c r="I12" s="590">
        <f>SUM(I2:I11)</f>
        <v>0</v>
      </c>
    </row>
    <row r="13" spans="1:9" x14ac:dyDescent="0.35">
      <c r="G13" s="238"/>
    </row>
    <row r="14" spans="1:9" ht="17.5" x14ac:dyDescent="0.35">
      <c r="A14" s="309" t="s">
        <v>1768</v>
      </c>
      <c r="B14" s="309"/>
      <c r="C14" s="248"/>
      <c r="D14" s="4"/>
      <c r="E14" s="4"/>
      <c r="F14" s="248"/>
      <c r="G14" s="3"/>
      <c r="H14" s="440"/>
    </row>
    <row r="15" spans="1:9" ht="17.5" x14ac:dyDescent="0.35">
      <c r="A15" s="309" t="s">
        <v>2437</v>
      </c>
      <c r="B15" s="309"/>
      <c r="C15" s="248"/>
      <c r="D15" s="4"/>
      <c r="E15" s="4"/>
      <c r="F15" s="248"/>
      <c r="G15" s="3"/>
      <c r="H15" s="440"/>
    </row>
    <row r="16" spans="1:9" ht="17.5" x14ac:dyDescent="0.35">
      <c r="A16" s="310" t="s">
        <v>2685</v>
      </c>
      <c r="B16" s="24"/>
    </row>
    <row r="17" spans="1:2" ht="17.5" x14ac:dyDescent="0.35">
      <c r="A17" s="319" t="s">
        <v>2694</v>
      </c>
      <c r="B17" s="413">
        <f>+'Tool Set, Ordnance Shop (B)'!$I$12</f>
        <v>0</v>
      </c>
    </row>
  </sheetData>
  <sortState xmlns:xlrd2="http://schemas.microsoft.com/office/spreadsheetml/2017/richdata2" ref="A3:H14">
    <sortCondition ref="B3:B14"/>
  </sortState>
  <printOptions gridLines="1"/>
  <pageMargins left="0.5" right="0.5" top="0.5" bottom="0.5" header="0.3" footer="0.3"/>
  <pageSetup scale="65" orientation="landscape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FC17"/>
  <sheetViews>
    <sheetView workbookViewId="0">
      <pane ySplit="1" topLeftCell="A2" activePane="bottomLeft" state="frozen"/>
      <selection activeCell="C26" sqref="C26"/>
      <selection pane="bottomLeft" activeCell="D22" sqref="D22"/>
    </sheetView>
  </sheetViews>
  <sheetFormatPr defaultColWidth="9.08984375" defaultRowHeight="15.5" x14ac:dyDescent="0.35"/>
  <cols>
    <col min="1" max="1" width="75.453125" style="51" bestFit="1" customWidth="1"/>
    <col min="2" max="2" width="15.36328125" style="52" bestFit="1" customWidth="1"/>
    <col min="3" max="3" width="20.36328125" style="218" bestFit="1" customWidth="1"/>
    <col min="4" max="4" width="20.08984375" style="52" bestFit="1" customWidth="1"/>
    <col min="5" max="5" width="12.453125" style="52" bestFit="1" customWidth="1"/>
    <col min="6" max="6" width="12.453125" style="218" customWidth="1"/>
    <col min="7" max="7" width="10.54296875" style="218" customWidth="1"/>
    <col min="8" max="8" width="11.36328125" style="443" bestFit="1" customWidth="1"/>
    <col min="9" max="9" width="16.90625" style="441" bestFit="1" customWidth="1"/>
    <col min="10" max="10" width="17" style="51" bestFit="1" customWidth="1"/>
    <col min="11" max="16384" width="9.08984375" style="51"/>
  </cols>
  <sheetData>
    <row r="1" spans="1:16383" x14ac:dyDescent="0.35">
      <c r="A1" s="211" t="s">
        <v>0</v>
      </c>
      <c r="B1" s="232" t="s">
        <v>1</v>
      </c>
      <c r="C1" s="281" t="s">
        <v>2700</v>
      </c>
      <c r="D1" s="232" t="s">
        <v>1598</v>
      </c>
      <c r="E1" s="232" t="s">
        <v>1599</v>
      </c>
      <c r="F1" s="261" t="s">
        <v>2699</v>
      </c>
      <c r="G1" s="211" t="s">
        <v>364</v>
      </c>
      <c r="H1" s="393" t="s">
        <v>2695</v>
      </c>
      <c r="I1" s="404" t="s">
        <v>2696</v>
      </c>
    </row>
    <row r="2" spans="1:16383" x14ac:dyDescent="0.35">
      <c r="A2" s="598" t="s">
        <v>2470</v>
      </c>
      <c r="B2" s="599" t="s">
        <v>2471</v>
      </c>
      <c r="C2" s="388"/>
      <c r="D2" s="599"/>
      <c r="E2" s="599">
        <v>55719</v>
      </c>
      <c r="F2" s="388"/>
      <c r="G2" s="599">
        <v>1</v>
      </c>
      <c r="H2" s="451"/>
      <c r="I2" s="441">
        <f>+Table15[[#This Row],[Quantity]]*Table15[[#This Row],[Unit Price]]</f>
        <v>0</v>
      </c>
    </row>
    <row r="3" spans="1:16383" s="58" customFormat="1" ht="15" customHeight="1" x14ac:dyDescent="0.35">
      <c r="A3" s="42" t="s">
        <v>1410</v>
      </c>
      <c r="B3" s="252" t="s">
        <v>138</v>
      </c>
      <c r="C3" s="388"/>
      <c r="D3" s="62"/>
      <c r="E3" s="62" t="s">
        <v>1604</v>
      </c>
      <c r="F3" s="388"/>
      <c r="G3" s="222">
        <v>1</v>
      </c>
      <c r="H3" s="425"/>
      <c r="I3" s="441">
        <f>+Table15[[#This Row],[Quantity]]*Table15[[#This Row],[Unit Price]]</f>
        <v>0</v>
      </c>
    </row>
    <row r="4" spans="1:16383" s="58" customFormat="1" x14ac:dyDescent="0.35">
      <c r="A4" s="42" t="s">
        <v>48</v>
      </c>
      <c r="B4" s="15" t="s">
        <v>335</v>
      </c>
      <c r="C4" s="388"/>
      <c r="D4" s="62"/>
      <c r="E4" s="62" t="s">
        <v>1604</v>
      </c>
      <c r="F4" s="388"/>
      <c r="G4" s="222">
        <v>1</v>
      </c>
      <c r="H4" s="425"/>
      <c r="I4" s="441">
        <f>+Table15[[#This Row],[Quantity]]*Table15[[#This Row],[Unit Price]]</f>
        <v>0</v>
      </c>
    </row>
    <row r="5" spans="1:16383" s="58" customFormat="1" x14ac:dyDescent="0.35">
      <c r="A5" s="42" t="s">
        <v>1110</v>
      </c>
      <c r="B5" s="296" t="s">
        <v>422</v>
      </c>
      <c r="C5" s="388"/>
      <c r="D5" s="62"/>
      <c r="E5" s="62" t="s">
        <v>1604</v>
      </c>
      <c r="F5" s="388"/>
      <c r="G5" s="222">
        <v>1</v>
      </c>
      <c r="H5" s="425"/>
      <c r="I5" s="441">
        <f>+Table15[[#This Row],[Quantity]]*Table15[[#This Row],[Unit Price]]</f>
        <v>0</v>
      </c>
    </row>
    <row r="6" spans="1:16383" x14ac:dyDescent="0.35">
      <c r="A6" s="42" t="s">
        <v>1048</v>
      </c>
      <c r="B6" s="38" t="s">
        <v>250</v>
      </c>
      <c r="C6" s="444"/>
      <c r="D6" s="62"/>
      <c r="E6" s="62" t="s">
        <v>1604</v>
      </c>
      <c r="F6" s="388"/>
      <c r="G6" s="222">
        <v>1</v>
      </c>
      <c r="H6" s="425"/>
      <c r="I6" s="441">
        <f>+Table15[[#This Row],[Quantity]]*Table15[[#This Row],[Unit Price]]</f>
        <v>0</v>
      </c>
    </row>
    <row r="7" spans="1:16383" x14ac:dyDescent="0.35">
      <c r="A7" s="42" t="s">
        <v>995</v>
      </c>
      <c r="B7" s="252" t="s">
        <v>251</v>
      </c>
      <c r="C7" s="388"/>
      <c r="D7" s="62"/>
      <c r="E7" s="62" t="s">
        <v>1604</v>
      </c>
      <c r="F7" s="388"/>
      <c r="G7" s="222">
        <v>1</v>
      </c>
      <c r="H7" s="425"/>
      <c r="I7" s="441">
        <f>+Table15[[#This Row],[Quantity]]*Table15[[#This Row],[Unit Price]]</f>
        <v>0</v>
      </c>
    </row>
    <row r="8" spans="1:16383" x14ac:dyDescent="0.35">
      <c r="A8" s="42" t="s">
        <v>57</v>
      </c>
      <c r="B8" s="252" t="s">
        <v>58</v>
      </c>
      <c r="C8" s="388"/>
      <c r="D8" s="62"/>
      <c r="E8" s="62" t="s">
        <v>1604</v>
      </c>
      <c r="F8" s="388"/>
      <c r="G8" s="222">
        <v>1</v>
      </c>
      <c r="H8" s="425"/>
      <c r="I8" s="441">
        <f>+Table15[[#This Row],[Quantity]]*Table15[[#This Row],[Unit Price]]</f>
        <v>0</v>
      </c>
    </row>
    <row r="9" spans="1:16383" x14ac:dyDescent="0.35">
      <c r="A9" s="42" t="s">
        <v>1005</v>
      </c>
      <c r="B9" s="15" t="s">
        <v>597</v>
      </c>
      <c r="C9" s="388"/>
      <c r="D9" s="62"/>
      <c r="E9" s="62" t="s">
        <v>1604</v>
      </c>
      <c r="F9" s="388"/>
      <c r="G9" s="222">
        <v>1</v>
      </c>
      <c r="H9" s="425"/>
      <c r="I9" s="441">
        <f>+Table15[[#This Row],[Quantity]]*Table15[[#This Row],[Unit Price]]</f>
        <v>0</v>
      </c>
    </row>
    <row r="10" spans="1:16383" x14ac:dyDescent="0.35">
      <c r="A10" s="42" t="s">
        <v>13</v>
      </c>
      <c r="B10" s="15" t="s">
        <v>420</v>
      </c>
      <c r="C10" s="388"/>
      <c r="D10" s="253"/>
      <c r="E10" s="129" t="s">
        <v>1604</v>
      </c>
      <c r="F10" s="388"/>
      <c r="G10" s="222">
        <v>1</v>
      </c>
      <c r="H10" s="425"/>
      <c r="I10" s="441">
        <f>+Table15[[#This Row],[Quantity]]*Table15[[#This Row],[Unit Price]]</f>
        <v>0</v>
      </c>
    </row>
    <row r="11" spans="1:16383" x14ac:dyDescent="0.35">
      <c r="A11" s="448"/>
      <c r="B11" s="446"/>
      <c r="C11" s="446"/>
      <c r="D11" s="445"/>
      <c r="E11" s="445"/>
      <c r="F11" s="445"/>
      <c r="G11" s="447"/>
      <c r="H11" s="449"/>
      <c r="I11" s="450">
        <f>SUM(I2:I10)</f>
        <v>0</v>
      </c>
    </row>
    <row r="12" spans="1:16383" x14ac:dyDescent="0.35">
      <c r="G12" s="238"/>
    </row>
    <row r="14" spans="1:16383" ht="17.5" x14ac:dyDescent="0.35">
      <c r="A14" s="309" t="s">
        <v>1767</v>
      </c>
      <c r="B14" s="309"/>
      <c r="C14" s="248"/>
      <c r="D14" s="4"/>
      <c r="E14" s="4"/>
      <c r="F14" s="248"/>
      <c r="G14" s="3"/>
      <c r="H14" s="406"/>
      <c r="I14" s="40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4"/>
      <c r="GHQ14" s="4"/>
      <c r="GHR14" s="4"/>
      <c r="GHS14" s="4"/>
      <c r="GHT14" s="4"/>
      <c r="GHU14" s="4"/>
      <c r="GHV14" s="4"/>
      <c r="GHW14" s="4"/>
      <c r="GHX14" s="4"/>
      <c r="GHY14" s="4"/>
      <c r="GHZ14" s="4"/>
      <c r="GIA14" s="4"/>
      <c r="GIB14" s="4"/>
      <c r="GIC14" s="4"/>
      <c r="GID14" s="4"/>
      <c r="GIE14" s="4"/>
      <c r="GIF14" s="4"/>
      <c r="GIG14" s="4"/>
      <c r="GIH14" s="4"/>
      <c r="GII14" s="4"/>
      <c r="GIJ14" s="4"/>
      <c r="GIK14" s="4"/>
      <c r="GIL14" s="4"/>
      <c r="GIM14" s="4"/>
      <c r="GIN14" s="4"/>
      <c r="GIO14" s="4"/>
      <c r="GIP14" s="4"/>
      <c r="GIQ14" s="4"/>
      <c r="GIR14" s="4"/>
      <c r="GIS14" s="4"/>
      <c r="GIT14" s="4"/>
      <c r="GIU14" s="4"/>
      <c r="GIV14" s="4"/>
      <c r="GIW14" s="4"/>
      <c r="GIX14" s="4"/>
      <c r="GIY14" s="4"/>
      <c r="GIZ14" s="4"/>
      <c r="GJA14" s="4"/>
      <c r="GJB14" s="4"/>
      <c r="GJC14" s="4"/>
      <c r="GJD14" s="4"/>
      <c r="GJE14" s="4"/>
      <c r="GJF14" s="4"/>
      <c r="GJG14" s="4"/>
      <c r="GJH14" s="4"/>
      <c r="GJI14" s="4"/>
      <c r="GJJ14" s="4"/>
      <c r="GJK14" s="4"/>
      <c r="GJL14" s="4"/>
      <c r="GJM14" s="4"/>
      <c r="GJN14" s="4"/>
      <c r="GJO14" s="4"/>
      <c r="GJP14" s="4"/>
      <c r="GJQ14" s="4"/>
      <c r="GJR14" s="4"/>
      <c r="GJS14" s="4"/>
      <c r="GJT14" s="4"/>
      <c r="GJU14" s="4"/>
      <c r="GJV14" s="4"/>
      <c r="GJW14" s="4"/>
      <c r="GJX14" s="4"/>
      <c r="GJY14" s="4"/>
      <c r="GJZ14" s="4"/>
      <c r="GKA14" s="4"/>
      <c r="GKB14" s="4"/>
      <c r="GKC14" s="4"/>
      <c r="GKD14" s="4"/>
      <c r="GKE14" s="4"/>
      <c r="GKF14" s="4"/>
      <c r="GKG14" s="4"/>
      <c r="GKH14" s="4"/>
      <c r="GKI14" s="4"/>
      <c r="GKJ14" s="4"/>
      <c r="GKK14" s="4"/>
      <c r="GKL14" s="4"/>
      <c r="GKM14" s="4"/>
      <c r="GKN14" s="4"/>
      <c r="GKO14" s="4"/>
      <c r="GKP14" s="4"/>
      <c r="GKQ14" s="4"/>
      <c r="GKR14" s="4"/>
      <c r="GKS14" s="4"/>
      <c r="GKT14" s="4"/>
      <c r="GKU14" s="4"/>
      <c r="GKV14" s="4"/>
      <c r="GKW14" s="4"/>
      <c r="GKX14" s="4"/>
      <c r="GKY14" s="4"/>
      <c r="GKZ14" s="4"/>
      <c r="GLA14" s="4"/>
      <c r="GLB14" s="4"/>
      <c r="GLC14" s="4"/>
      <c r="GLD14" s="4"/>
      <c r="GLE14" s="4"/>
      <c r="GLF14" s="4"/>
      <c r="GLG14" s="4"/>
      <c r="GLH14" s="4"/>
      <c r="GLI14" s="4"/>
      <c r="GLJ14" s="4"/>
      <c r="GLK14" s="4"/>
      <c r="GLL14" s="4"/>
      <c r="GLM14" s="4"/>
      <c r="GLN14" s="4"/>
      <c r="GLO14" s="4"/>
      <c r="GLP14" s="4"/>
      <c r="GLQ14" s="4"/>
      <c r="GLR14" s="4"/>
      <c r="GLS14" s="4"/>
      <c r="GLT14" s="4"/>
      <c r="GLU14" s="4"/>
      <c r="GLV14" s="4"/>
      <c r="GLW14" s="4"/>
      <c r="GLX14" s="4"/>
      <c r="GLY14" s="4"/>
      <c r="GLZ14" s="4"/>
      <c r="GMA14" s="4"/>
      <c r="GMB14" s="4"/>
      <c r="GMC14" s="4"/>
      <c r="GMD14" s="4"/>
      <c r="GME14" s="4"/>
      <c r="GMF14" s="4"/>
      <c r="GMG14" s="4"/>
      <c r="GMH14" s="4"/>
      <c r="GMI14" s="4"/>
      <c r="GMJ14" s="4"/>
      <c r="GMK14" s="4"/>
      <c r="GML14" s="4"/>
      <c r="GMM14" s="4"/>
      <c r="GMN14" s="4"/>
      <c r="GMO14" s="4"/>
      <c r="GMP14" s="4"/>
      <c r="GMQ14" s="4"/>
      <c r="GMR14" s="4"/>
      <c r="GMS14" s="4"/>
      <c r="GMT14" s="4"/>
      <c r="GMU14" s="4"/>
      <c r="GMV14" s="4"/>
      <c r="GMW14" s="4"/>
      <c r="GMX14" s="4"/>
      <c r="GMY14" s="4"/>
      <c r="GMZ14" s="4"/>
      <c r="GNA14" s="4"/>
      <c r="GNB14" s="4"/>
      <c r="GNC14" s="4"/>
      <c r="GND14" s="4"/>
      <c r="GNE14" s="4"/>
      <c r="GNF14" s="4"/>
      <c r="GNG14" s="4"/>
      <c r="GNH14" s="4"/>
      <c r="GNI14" s="4"/>
      <c r="GNJ14" s="4"/>
      <c r="GNK14" s="4"/>
      <c r="GNL14" s="4"/>
      <c r="GNM14" s="4"/>
      <c r="GNN14" s="4"/>
      <c r="GNO14" s="4"/>
      <c r="GNP14" s="4"/>
      <c r="GNQ14" s="4"/>
      <c r="GNR14" s="4"/>
      <c r="GNS14" s="4"/>
      <c r="GNT14" s="4"/>
      <c r="GNU14" s="4"/>
      <c r="GNV14" s="4"/>
      <c r="GNW14" s="4"/>
      <c r="GNX14" s="4"/>
      <c r="GNY14" s="4"/>
      <c r="GNZ14" s="4"/>
      <c r="GOA14" s="4"/>
      <c r="GOB14" s="4"/>
      <c r="GOC14" s="4"/>
      <c r="GOD14" s="4"/>
      <c r="GOE14" s="4"/>
      <c r="GOF14" s="4"/>
      <c r="GOG14" s="4"/>
      <c r="GOH14" s="4"/>
      <c r="GOI14" s="4"/>
      <c r="GOJ14" s="4"/>
      <c r="GOK14" s="4"/>
      <c r="GOL14" s="4"/>
      <c r="GOM14" s="4"/>
      <c r="GON14" s="4"/>
      <c r="GOO14" s="4"/>
      <c r="GOP14" s="4"/>
      <c r="GOQ14" s="4"/>
      <c r="GOR14" s="4"/>
      <c r="GOS14" s="4"/>
      <c r="GOT14" s="4"/>
      <c r="GOU14" s="4"/>
      <c r="GOV14" s="4"/>
      <c r="GOW14" s="4"/>
      <c r="GOX14" s="4"/>
      <c r="GOY14" s="4"/>
      <c r="GOZ14" s="4"/>
      <c r="GPA14" s="4"/>
      <c r="GPB14" s="4"/>
      <c r="GPC14" s="4"/>
      <c r="GPD14" s="4"/>
      <c r="GPE14" s="4"/>
      <c r="GPF14" s="4"/>
      <c r="GPG14" s="4"/>
      <c r="GPH14" s="4"/>
      <c r="GPI14" s="4"/>
      <c r="GPJ14" s="4"/>
      <c r="GPK14" s="4"/>
      <c r="GPL14" s="4"/>
      <c r="GPM14" s="4"/>
      <c r="GPN14" s="4"/>
      <c r="GPO14" s="4"/>
      <c r="GPP14" s="4"/>
      <c r="GPQ14" s="4"/>
      <c r="GPR14" s="4"/>
      <c r="GPS14" s="4"/>
      <c r="GPT14" s="4"/>
      <c r="GPU14" s="4"/>
      <c r="GPV14" s="4"/>
      <c r="GPW14" s="4"/>
      <c r="GPX14" s="4"/>
      <c r="GPY14" s="4"/>
      <c r="GPZ14" s="4"/>
      <c r="GQA14" s="4"/>
      <c r="GQB14" s="4"/>
      <c r="GQC14" s="4"/>
      <c r="GQD14" s="4"/>
      <c r="GQE14" s="4"/>
      <c r="GQF14" s="4"/>
      <c r="GQG14" s="4"/>
      <c r="GQH14" s="4"/>
      <c r="GQI14" s="4"/>
      <c r="GQJ14" s="4"/>
      <c r="GQK14" s="4"/>
      <c r="GQL14" s="4"/>
      <c r="GQM14" s="4"/>
      <c r="GQN14" s="4"/>
      <c r="GQO14" s="4"/>
      <c r="GQP14" s="4"/>
      <c r="GQQ14" s="4"/>
      <c r="GQR14" s="4"/>
      <c r="GQS14" s="4"/>
      <c r="GQT14" s="4"/>
      <c r="GQU14" s="4"/>
      <c r="GQV14" s="4"/>
      <c r="GQW14" s="4"/>
      <c r="GQX14" s="4"/>
      <c r="GQY14" s="4"/>
      <c r="GQZ14" s="4"/>
      <c r="GRA14" s="4"/>
      <c r="GRB14" s="4"/>
      <c r="GRC14" s="4"/>
      <c r="GRD14" s="4"/>
      <c r="GRE14" s="4"/>
      <c r="GRF14" s="4"/>
      <c r="GRG14" s="4"/>
      <c r="GRH14" s="4"/>
      <c r="GRI14" s="4"/>
      <c r="GRJ14" s="4"/>
      <c r="GRK14" s="4"/>
      <c r="GRL14" s="4"/>
      <c r="GRM14" s="4"/>
      <c r="GRN14" s="4"/>
      <c r="GRO14" s="4"/>
      <c r="GRP14" s="4"/>
      <c r="GRQ14" s="4"/>
      <c r="GRR14" s="4"/>
      <c r="GRS14" s="4"/>
      <c r="GRT14" s="4"/>
      <c r="GRU14" s="4"/>
      <c r="GRV14" s="4"/>
      <c r="GRW14" s="4"/>
      <c r="GRX14" s="4"/>
      <c r="GRY14" s="4"/>
      <c r="GRZ14" s="4"/>
      <c r="GSA14" s="4"/>
      <c r="GSB14" s="4"/>
      <c r="GSC14" s="4"/>
      <c r="GSD14" s="4"/>
      <c r="GSE14" s="4"/>
      <c r="GSF14" s="4"/>
      <c r="GSG14" s="4"/>
      <c r="GSH14" s="4"/>
      <c r="GSI14" s="4"/>
      <c r="GSJ14" s="4"/>
      <c r="GSK14" s="4"/>
      <c r="GSL14" s="4"/>
      <c r="GSM14" s="4"/>
      <c r="GSN14" s="4"/>
      <c r="GSO14" s="4"/>
      <c r="GSP14" s="4"/>
      <c r="GSQ14" s="4"/>
      <c r="GSR14" s="4"/>
      <c r="GSS14" s="4"/>
      <c r="GST14" s="4"/>
      <c r="GSU14" s="4"/>
      <c r="GSV14" s="4"/>
      <c r="GSW14" s="4"/>
      <c r="GSX14" s="4"/>
      <c r="GSY14" s="4"/>
      <c r="GSZ14" s="4"/>
      <c r="GTA14" s="4"/>
      <c r="GTB14" s="4"/>
      <c r="GTC14" s="4"/>
      <c r="GTD14" s="4"/>
      <c r="GTE14" s="4"/>
      <c r="GTF14" s="4"/>
      <c r="GTG14" s="4"/>
      <c r="GTH14" s="4"/>
      <c r="GTI14" s="4"/>
      <c r="GTJ14" s="4"/>
      <c r="GTK14" s="4"/>
      <c r="GTL14" s="4"/>
      <c r="GTM14" s="4"/>
      <c r="GTN14" s="4"/>
      <c r="GTO14" s="4"/>
      <c r="GTP14" s="4"/>
      <c r="GTQ14" s="4"/>
      <c r="GTR14" s="4"/>
      <c r="GTS14" s="4"/>
      <c r="GTT14" s="4"/>
      <c r="GTU14" s="4"/>
      <c r="GTV14" s="4"/>
      <c r="GTW14" s="4"/>
      <c r="GTX14" s="4"/>
      <c r="GTY14" s="4"/>
      <c r="GTZ14" s="4"/>
      <c r="GUA14" s="4"/>
      <c r="GUB14" s="4"/>
      <c r="GUC14" s="4"/>
      <c r="GUD14" s="4"/>
      <c r="GUE14" s="4"/>
      <c r="GUF14" s="4"/>
      <c r="GUG14" s="4"/>
      <c r="GUH14" s="4"/>
      <c r="GUI14" s="4"/>
      <c r="GUJ14" s="4"/>
      <c r="GUK14" s="4"/>
      <c r="GUL14" s="4"/>
      <c r="GUM14" s="4"/>
      <c r="GUN14" s="4"/>
      <c r="GUO14" s="4"/>
      <c r="GUP14" s="4"/>
      <c r="GUQ14" s="4"/>
      <c r="GUR14" s="4"/>
      <c r="GUS14" s="4"/>
      <c r="GUT14" s="4"/>
      <c r="GUU14" s="4"/>
      <c r="GUV14" s="4"/>
      <c r="GUW14" s="4"/>
      <c r="GUX14" s="4"/>
      <c r="GUY14" s="4"/>
      <c r="GUZ14" s="4"/>
      <c r="GVA14" s="4"/>
      <c r="GVB14" s="4"/>
      <c r="GVC14" s="4"/>
      <c r="GVD14" s="4"/>
      <c r="GVE14" s="4"/>
      <c r="GVF14" s="4"/>
      <c r="GVG14" s="4"/>
      <c r="GVH14" s="4"/>
      <c r="GVI14" s="4"/>
      <c r="GVJ14" s="4"/>
      <c r="GVK14" s="4"/>
      <c r="GVL14" s="4"/>
      <c r="GVM14" s="4"/>
      <c r="GVN14" s="4"/>
      <c r="GVO14" s="4"/>
      <c r="GVP14" s="4"/>
      <c r="GVQ14" s="4"/>
      <c r="GVR14" s="4"/>
      <c r="GVS14" s="4"/>
      <c r="GVT14" s="4"/>
      <c r="GVU14" s="4"/>
      <c r="GVV14" s="4"/>
      <c r="GVW14" s="4"/>
      <c r="GVX14" s="4"/>
      <c r="GVY14" s="4"/>
      <c r="GVZ14" s="4"/>
      <c r="GWA14" s="4"/>
      <c r="GWB14" s="4"/>
      <c r="GWC14" s="4"/>
      <c r="GWD14" s="4"/>
      <c r="GWE14" s="4"/>
      <c r="GWF14" s="4"/>
      <c r="GWG14" s="4"/>
      <c r="GWH14" s="4"/>
      <c r="GWI14" s="4"/>
      <c r="GWJ14" s="4"/>
      <c r="GWK14" s="4"/>
      <c r="GWL14" s="4"/>
      <c r="GWM14" s="4"/>
      <c r="GWN14" s="4"/>
      <c r="GWO14" s="4"/>
      <c r="GWP14" s="4"/>
      <c r="GWQ14" s="4"/>
      <c r="GWR14" s="4"/>
      <c r="GWS14" s="4"/>
      <c r="GWT14" s="4"/>
      <c r="GWU14" s="4"/>
      <c r="GWV14" s="4"/>
      <c r="GWW14" s="4"/>
      <c r="GWX14" s="4"/>
      <c r="GWY14" s="4"/>
      <c r="GWZ14" s="4"/>
      <c r="GXA14" s="4"/>
      <c r="GXB14" s="4"/>
      <c r="GXC14" s="4"/>
      <c r="GXD14" s="4"/>
      <c r="GXE14" s="4"/>
      <c r="GXF14" s="4"/>
      <c r="GXG14" s="4"/>
      <c r="GXH14" s="4"/>
      <c r="GXI14" s="4"/>
      <c r="GXJ14" s="4"/>
      <c r="GXK14" s="4"/>
      <c r="GXL14" s="4"/>
      <c r="GXM14" s="4"/>
      <c r="GXN14" s="4"/>
      <c r="GXO14" s="4"/>
      <c r="GXP14" s="4"/>
      <c r="GXQ14" s="4"/>
      <c r="GXR14" s="4"/>
      <c r="GXS14" s="4"/>
      <c r="GXT14" s="4"/>
      <c r="GXU14" s="4"/>
      <c r="GXV14" s="4"/>
      <c r="GXW14" s="4"/>
      <c r="GXX14" s="4"/>
      <c r="GXY14" s="4"/>
      <c r="GXZ14" s="4"/>
      <c r="GYA14" s="4"/>
      <c r="GYB14" s="4"/>
      <c r="GYC14" s="4"/>
      <c r="GYD14" s="4"/>
      <c r="GYE14" s="4"/>
      <c r="GYF14" s="4"/>
      <c r="GYG14" s="4"/>
      <c r="GYH14" s="4"/>
      <c r="GYI14" s="4"/>
      <c r="GYJ14" s="4"/>
      <c r="GYK14" s="4"/>
      <c r="GYL14" s="4"/>
      <c r="GYM14" s="4"/>
      <c r="GYN14" s="4"/>
      <c r="GYO14" s="4"/>
      <c r="GYP14" s="4"/>
      <c r="GYQ14" s="4"/>
      <c r="GYR14" s="4"/>
      <c r="GYS14" s="4"/>
      <c r="GYT14" s="4"/>
      <c r="GYU14" s="4"/>
      <c r="GYV14" s="4"/>
      <c r="GYW14" s="4"/>
      <c r="GYX14" s="4"/>
      <c r="GYY14" s="4"/>
      <c r="GYZ14" s="4"/>
      <c r="GZA14" s="4"/>
      <c r="GZB14" s="4"/>
      <c r="GZC14" s="4"/>
      <c r="GZD14" s="4"/>
      <c r="GZE14" s="4"/>
      <c r="GZF14" s="4"/>
      <c r="GZG14" s="4"/>
      <c r="GZH14" s="4"/>
      <c r="GZI14" s="4"/>
      <c r="GZJ14" s="4"/>
      <c r="GZK14" s="4"/>
      <c r="GZL14" s="4"/>
      <c r="GZM14" s="4"/>
      <c r="GZN14" s="4"/>
      <c r="GZO14" s="4"/>
      <c r="GZP14" s="4"/>
      <c r="GZQ14" s="4"/>
      <c r="GZR14" s="4"/>
      <c r="GZS14" s="4"/>
      <c r="GZT14" s="4"/>
      <c r="GZU14" s="4"/>
      <c r="GZV14" s="4"/>
      <c r="GZW14" s="4"/>
      <c r="GZX14" s="4"/>
      <c r="GZY14" s="4"/>
      <c r="GZZ14" s="4"/>
      <c r="HAA14" s="4"/>
      <c r="HAB14" s="4"/>
      <c r="HAC14" s="4"/>
      <c r="HAD14" s="4"/>
      <c r="HAE14" s="4"/>
      <c r="HAF14" s="4"/>
      <c r="HAG14" s="4"/>
      <c r="HAH14" s="4"/>
      <c r="HAI14" s="4"/>
      <c r="HAJ14" s="4"/>
      <c r="HAK14" s="4"/>
      <c r="HAL14" s="4"/>
      <c r="HAM14" s="4"/>
      <c r="HAN14" s="4"/>
      <c r="HAO14" s="4"/>
      <c r="HAP14" s="4"/>
      <c r="HAQ14" s="4"/>
      <c r="HAR14" s="4"/>
      <c r="HAS14" s="4"/>
      <c r="HAT14" s="4"/>
      <c r="HAU14" s="4"/>
      <c r="HAV14" s="4"/>
      <c r="HAW14" s="4"/>
      <c r="HAX14" s="4"/>
      <c r="HAY14" s="4"/>
      <c r="HAZ14" s="4"/>
      <c r="HBA14" s="4"/>
      <c r="HBB14" s="4"/>
      <c r="HBC14" s="4"/>
      <c r="HBD14" s="4"/>
      <c r="HBE14" s="4"/>
      <c r="HBF14" s="4"/>
      <c r="HBG14" s="4"/>
      <c r="HBH14" s="4"/>
      <c r="HBI14" s="4"/>
      <c r="HBJ14" s="4"/>
      <c r="HBK14" s="4"/>
      <c r="HBL14" s="4"/>
      <c r="HBM14" s="4"/>
      <c r="HBN14" s="4"/>
      <c r="HBO14" s="4"/>
      <c r="HBP14" s="4"/>
      <c r="HBQ14" s="4"/>
      <c r="HBR14" s="4"/>
      <c r="HBS14" s="4"/>
      <c r="HBT14" s="4"/>
      <c r="HBU14" s="4"/>
      <c r="HBV14" s="4"/>
      <c r="HBW14" s="4"/>
      <c r="HBX14" s="4"/>
      <c r="HBY14" s="4"/>
      <c r="HBZ14" s="4"/>
      <c r="HCA14" s="4"/>
      <c r="HCB14" s="4"/>
      <c r="HCC14" s="4"/>
      <c r="HCD14" s="4"/>
      <c r="HCE14" s="4"/>
      <c r="HCF14" s="4"/>
      <c r="HCG14" s="4"/>
      <c r="HCH14" s="4"/>
      <c r="HCI14" s="4"/>
      <c r="HCJ14" s="4"/>
      <c r="HCK14" s="4"/>
      <c r="HCL14" s="4"/>
      <c r="HCM14" s="4"/>
      <c r="HCN14" s="4"/>
      <c r="HCO14" s="4"/>
      <c r="HCP14" s="4"/>
      <c r="HCQ14" s="4"/>
      <c r="HCR14" s="4"/>
      <c r="HCS14" s="4"/>
      <c r="HCT14" s="4"/>
      <c r="HCU14" s="4"/>
      <c r="HCV14" s="4"/>
      <c r="HCW14" s="4"/>
      <c r="HCX14" s="4"/>
      <c r="HCY14" s="4"/>
      <c r="HCZ14" s="4"/>
      <c r="HDA14" s="4"/>
      <c r="HDB14" s="4"/>
      <c r="HDC14" s="4"/>
      <c r="HDD14" s="4"/>
      <c r="HDE14" s="4"/>
      <c r="HDF14" s="4"/>
      <c r="HDG14" s="4"/>
      <c r="HDH14" s="4"/>
      <c r="HDI14" s="4"/>
      <c r="HDJ14" s="4"/>
      <c r="HDK14" s="4"/>
      <c r="HDL14" s="4"/>
      <c r="HDM14" s="4"/>
      <c r="HDN14" s="4"/>
      <c r="HDO14" s="4"/>
      <c r="HDP14" s="4"/>
      <c r="HDQ14" s="4"/>
      <c r="HDR14" s="4"/>
      <c r="HDS14" s="4"/>
      <c r="HDT14" s="4"/>
      <c r="HDU14" s="4"/>
      <c r="HDV14" s="4"/>
      <c r="HDW14" s="4"/>
      <c r="HDX14" s="4"/>
      <c r="HDY14" s="4"/>
      <c r="HDZ14" s="4"/>
      <c r="HEA14" s="4"/>
      <c r="HEB14" s="4"/>
      <c r="HEC14" s="4"/>
      <c r="HED14" s="4"/>
      <c r="HEE14" s="4"/>
      <c r="HEF14" s="4"/>
      <c r="HEG14" s="4"/>
      <c r="HEH14" s="4"/>
      <c r="HEI14" s="4"/>
      <c r="HEJ14" s="4"/>
      <c r="HEK14" s="4"/>
      <c r="HEL14" s="4"/>
      <c r="HEM14" s="4"/>
      <c r="HEN14" s="4"/>
      <c r="HEO14" s="4"/>
      <c r="HEP14" s="4"/>
      <c r="HEQ14" s="4"/>
      <c r="HER14" s="4"/>
      <c r="HES14" s="4"/>
      <c r="HET14" s="4"/>
      <c r="HEU14" s="4"/>
      <c r="HEV14" s="4"/>
      <c r="HEW14" s="4"/>
      <c r="HEX14" s="4"/>
      <c r="HEY14" s="4"/>
      <c r="HEZ14" s="4"/>
      <c r="HFA14" s="4"/>
      <c r="HFB14" s="4"/>
      <c r="HFC14" s="4"/>
      <c r="HFD14" s="4"/>
      <c r="HFE14" s="4"/>
      <c r="HFF14" s="4"/>
      <c r="HFG14" s="4"/>
      <c r="HFH14" s="4"/>
      <c r="HFI14" s="4"/>
      <c r="HFJ14" s="4"/>
      <c r="HFK14" s="4"/>
      <c r="HFL14" s="4"/>
      <c r="HFM14" s="4"/>
      <c r="HFN14" s="4"/>
      <c r="HFO14" s="4"/>
      <c r="HFP14" s="4"/>
      <c r="HFQ14" s="4"/>
      <c r="HFR14" s="4"/>
      <c r="HFS14" s="4"/>
      <c r="HFT14" s="4"/>
      <c r="HFU14" s="4"/>
      <c r="HFV14" s="4"/>
      <c r="HFW14" s="4"/>
      <c r="HFX14" s="4"/>
      <c r="HFY14" s="4"/>
      <c r="HFZ14" s="4"/>
      <c r="HGA14" s="4"/>
      <c r="HGB14" s="4"/>
      <c r="HGC14" s="4"/>
      <c r="HGD14" s="4"/>
      <c r="HGE14" s="4"/>
      <c r="HGF14" s="4"/>
      <c r="HGG14" s="4"/>
      <c r="HGH14" s="4"/>
      <c r="HGI14" s="4"/>
      <c r="HGJ14" s="4"/>
      <c r="HGK14" s="4"/>
      <c r="HGL14" s="4"/>
      <c r="HGM14" s="4"/>
      <c r="HGN14" s="4"/>
      <c r="HGO14" s="4"/>
      <c r="HGP14" s="4"/>
      <c r="HGQ14" s="4"/>
      <c r="HGR14" s="4"/>
      <c r="HGS14" s="4"/>
      <c r="HGT14" s="4"/>
      <c r="HGU14" s="4"/>
      <c r="HGV14" s="4"/>
      <c r="HGW14" s="4"/>
      <c r="HGX14" s="4"/>
      <c r="HGY14" s="4"/>
      <c r="HGZ14" s="4"/>
      <c r="HHA14" s="4"/>
      <c r="HHB14" s="4"/>
      <c r="HHC14" s="4"/>
      <c r="HHD14" s="4"/>
      <c r="HHE14" s="4"/>
      <c r="HHF14" s="4"/>
      <c r="HHG14" s="4"/>
      <c r="HHH14" s="4"/>
      <c r="HHI14" s="4"/>
      <c r="HHJ14" s="4"/>
      <c r="HHK14" s="4"/>
      <c r="HHL14" s="4"/>
      <c r="HHM14" s="4"/>
      <c r="HHN14" s="4"/>
      <c r="HHO14" s="4"/>
      <c r="HHP14" s="4"/>
      <c r="HHQ14" s="4"/>
      <c r="HHR14" s="4"/>
      <c r="HHS14" s="4"/>
      <c r="HHT14" s="4"/>
      <c r="HHU14" s="4"/>
      <c r="HHV14" s="4"/>
      <c r="HHW14" s="4"/>
      <c r="HHX14" s="4"/>
      <c r="HHY14" s="4"/>
      <c r="HHZ14" s="4"/>
      <c r="HIA14" s="4"/>
      <c r="HIB14" s="4"/>
      <c r="HIC14" s="4"/>
      <c r="HID14" s="4"/>
      <c r="HIE14" s="4"/>
      <c r="HIF14" s="4"/>
      <c r="HIG14" s="4"/>
      <c r="HIH14" s="4"/>
      <c r="HII14" s="4"/>
      <c r="HIJ14" s="4"/>
      <c r="HIK14" s="4"/>
      <c r="HIL14" s="4"/>
      <c r="HIM14" s="4"/>
      <c r="HIN14" s="4"/>
      <c r="HIO14" s="4"/>
      <c r="HIP14" s="4"/>
      <c r="HIQ14" s="4"/>
      <c r="HIR14" s="4"/>
      <c r="HIS14" s="4"/>
      <c r="HIT14" s="4"/>
      <c r="HIU14" s="4"/>
      <c r="HIV14" s="4"/>
      <c r="HIW14" s="4"/>
      <c r="HIX14" s="4"/>
      <c r="HIY14" s="4"/>
      <c r="HIZ14" s="4"/>
      <c r="HJA14" s="4"/>
      <c r="HJB14" s="4"/>
      <c r="HJC14" s="4"/>
      <c r="HJD14" s="4"/>
      <c r="HJE14" s="4"/>
      <c r="HJF14" s="4"/>
      <c r="HJG14" s="4"/>
      <c r="HJH14" s="4"/>
      <c r="HJI14" s="4"/>
      <c r="HJJ14" s="4"/>
      <c r="HJK14" s="4"/>
      <c r="HJL14" s="4"/>
      <c r="HJM14" s="4"/>
      <c r="HJN14" s="4"/>
      <c r="HJO14" s="4"/>
      <c r="HJP14" s="4"/>
      <c r="HJQ14" s="4"/>
      <c r="HJR14" s="4"/>
      <c r="HJS14" s="4"/>
      <c r="HJT14" s="4"/>
      <c r="HJU14" s="4"/>
      <c r="HJV14" s="4"/>
      <c r="HJW14" s="4"/>
      <c r="HJX14" s="4"/>
      <c r="HJY14" s="4"/>
      <c r="HJZ14" s="4"/>
      <c r="HKA14" s="4"/>
      <c r="HKB14" s="4"/>
      <c r="HKC14" s="4"/>
      <c r="HKD14" s="4"/>
      <c r="HKE14" s="4"/>
      <c r="HKF14" s="4"/>
      <c r="HKG14" s="4"/>
      <c r="HKH14" s="4"/>
      <c r="HKI14" s="4"/>
      <c r="HKJ14" s="4"/>
      <c r="HKK14" s="4"/>
      <c r="HKL14" s="4"/>
      <c r="HKM14" s="4"/>
      <c r="HKN14" s="4"/>
      <c r="HKO14" s="4"/>
      <c r="HKP14" s="4"/>
      <c r="HKQ14" s="4"/>
      <c r="HKR14" s="4"/>
      <c r="HKS14" s="4"/>
      <c r="HKT14" s="4"/>
      <c r="HKU14" s="4"/>
      <c r="HKV14" s="4"/>
      <c r="HKW14" s="4"/>
      <c r="HKX14" s="4"/>
      <c r="HKY14" s="4"/>
      <c r="HKZ14" s="4"/>
      <c r="HLA14" s="4"/>
      <c r="HLB14" s="4"/>
      <c r="HLC14" s="4"/>
      <c r="HLD14" s="4"/>
      <c r="HLE14" s="4"/>
      <c r="HLF14" s="4"/>
      <c r="HLG14" s="4"/>
      <c r="HLH14" s="4"/>
      <c r="HLI14" s="4"/>
      <c r="HLJ14" s="4"/>
      <c r="HLK14" s="4"/>
      <c r="HLL14" s="4"/>
      <c r="HLM14" s="4"/>
      <c r="HLN14" s="4"/>
      <c r="HLO14" s="4"/>
      <c r="HLP14" s="4"/>
      <c r="HLQ14" s="4"/>
      <c r="HLR14" s="4"/>
      <c r="HLS14" s="4"/>
      <c r="HLT14" s="4"/>
      <c r="HLU14" s="4"/>
      <c r="HLV14" s="4"/>
      <c r="HLW14" s="4"/>
      <c r="HLX14" s="4"/>
      <c r="HLY14" s="4"/>
      <c r="HLZ14" s="4"/>
      <c r="HMA14" s="4"/>
      <c r="HMB14" s="4"/>
      <c r="HMC14" s="4"/>
      <c r="HMD14" s="4"/>
      <c r="HME14" s="4"/>
      <c r="HMF14" s="4"/>
      <c r="HMG14" s="4"/>
      <c r="HMH14" s="4"/>
      <c r="HMI14" s="4"/>
      <c r="HMJ14" s="4"/>
      <c r="HMK14" s="4"/>
      <c r="HML14" s="4"/>
      <c r="HMM14" s="4"/>
      <c r="HMN14" s="4"/>
      <c r="HMO14" s="4"/>
      <c r="HMP14" s="4"/>
      <c r="HMQ14" s="4"/>
      <c r="HMR14" s="4"/>
      <c r="HMS14" s="4"/>
      <c r="HMT14" s="4"/>
      <c r="HMU14" s="4"/>
      <c r="HMV14" s="4"/>
      <c r="HMW14" s="4"/>
      <c r="HMX14" s="4"/>
      <c r="HMY14" s="4"/>
      <c r="HMZ14" s="4"/>
      <c r="HNA14" s="4"/>
      <c r="HNB14" s="4"/>
      <c r="HNC14" s="4"/>
      <c r="HND14" s="4"/>
      <c r="HNE14" s="4"/>
      <c r="HNF14" s="4"/>
      <c r="HNG14" s="4"/>
      <c r="HNH14" s="4"/>
      <c r="HNI14" s="4"/>
      <c r="HNJ14" s="4"/>
      <c r="HNK14" s="4"/>
      <c r="HNL14" s="4"/>
      <c r="HNM14" s="4"/>
      <c r="HNN14" s="4"/>
      <c r="HNO14" s="4"/>
      <c r="HNP14" s="4"/>
      <c r="HNQ14" s="4"/>
      <c r="HNR14" s="4"/>
      <c r="HNS14" s="4"/>
      <c r="HNT14" s="4"/>
      <c r="HNU14" s="4"/>
      <c r="HNV14" s="4"/>
      <c r="HNW14" s="4"/>
      <c r="HNX14" s="4"/>
      <c r="HNY14" s="4"/>
      <c r="HNZ14" s="4"/>
      <c r="HOA14" s="4"/>
      <c r="HOB14" s="4"/>
      <c r="HOC14" s="4"/>
      <c r="HOD14" s="4"/>
      <c r="HOE14" s="4"/>
      <c r="HOF14" s="4"/>
      <c r="HOG14" s="4"/>
      <c r="HOH14" s="4"/>
      <c r="HOI14" s="4"/>
      <c r="HOJ14" s="4"/>
      <c r="HOK14" s="4"/>
      <c r="HOL14" s="4"/>
      <c r="HOM14" s="4"/>
      <c r="HON14" s="4"/>
      <c r="HOO14" s="4"/>
      <c r="HOP14" s="4"/>
      <c r="HOQ14" s="4"/>
      <c r="HOR14" s="4"/>
      <c r="HOS14" s="4"/>
      <c r="HOT14" s="4"/>
      <c r="HOU14" s="4"/>
      <c r="HOV14" s="4"/>
      <c r="HOW14" s="4"/>
      <c r="HOX14" s="4"/>
      <c r="HOY14" s="4"/>
      <c r="HOZ14" s="4"/>
      <c r="HPA14" s="4"/>
      <c r="HPB14" s="4"/>
      <c r="HPC14" s="4"/>
      <c r="HPD14" s="4"/>
      <c r="HPE14" s="4"/>
      <c r="HPF14" s="4"/>
      <c r="HPG14" s="4"/>
      <c r="HPH14" s="4"/>
      <c r="HPI14" s="4"/>
      <c r="HPJ14" s="4"/>
      <c r="HPK14" s="4"/>
      <c r="HPL14" s="4"/>
      <c r="HPM14" s="4"/>
      <c r="HPN14" s="4"/>
      <c r="HPO14" s="4"/>
      <c r="HPP14" s="4"/>
      <c r="HPQ14" s="4"/>
      <c r="HPR14" s="4"/>
      <c r="HPS14" s="4"/>
      <c r="HPT14" s="4"/>
      <c r="HPU14" s="4"/>
      <c r="HPV14" s="4"/>
      <c r="HPW14" s="4"/>
      <c r="HPX14" s="4"/>
      <c r="HPY14" s="4"/>
      <c r="HPZ14" s="4"/>
      <c r="HQA14" s="4"/>
      <c r="HQB14" s="4"/>
      <c r="HQC14" s="4"/>
      <c r="HQD14" s="4"/>
      <c r="HQE14" s="4"/>
      <c r="HQF14" s="4"/>
      <c r="HQG14" s="4"/>
      <c r="HQH14" s="4"/>
      <c r="HQI14" s="4"/>
      <c r="HQJ14" s="4"/>
      <c r="HQK14" s="4"/>
      <c r="HQL14" s="4"/>
      <c r="HQM14" s="4"/>
      <c r="HQN14" s="4"/>
      <c r="HQO14" s="4"/>
      <c r="HQP14" s="4"/>
      <c r="HQQ14" s="4"/>
      <c r="HQR14" s="4"/>
      <c r="HQS14" s="4"/>
      <c r="HQT14" s="4"/>
      <c r="HQU14" s="4"/>
      <c r="HQV14" s="4"/>
      <c r="HQW14" s="4"/>
      <c r="HQX14" s="4"/>
      <c r="HQY14" s="4"/>
      <c r="HQZ14" s="4"/>
      <c r="HRA14" s="4"/>
      <c r="HRB14" s="4"/>
      <c r="HRC14" s="4"/>
      <c r="HRD14" s="4"/>
      <c r="HRE14" s="4"/>
      <c r="HRF14" s="4"/>
      <c r="HRG14" s="4"/>
      <c r="HRH14" s="4"/>
      <c r="HRI14" s="4"/>
      <c r="HRJ14" s="4"/>
      <c r="HRK14" s="4"/>
      <c r="HRL14" s="4"/>
      <c r="HRM14" s="4"/>
      <c r="HRN14" s="4"/>
      <c r="HRO14" s="4"/>
      <c r="HRP14" s="4"/>
      <c r="HRQ14" s="4"/>
      <c r="HRR14" s="4"/>
      <c r="HRS14" s="4"/>
      <c r="HRT14" s="4"/>
      <c r="HRU14" s="4"/>
      <c r="HRV14" s="4"/>
      <c r="HRW14" s="4"/>
      <c r="HRX14" s="4"/>
      <c r="HRY14" s="4"/>
      <c r="HRZ14" s="4"/>
      <c r="HSA14" s="4"/>
      <c r="HSB14" s="4"/>
      <c r="HSC14" s="4"/>
      <c r="HSD14" s="4"/>
      <c r="HSE14" s="4"/>
      <c r="HSF14" s="4"/>
      <c r="HSG14" s="4"/>
      <c r="HSH14" s="4"/>
      <c r="HSI14" s="4"/>
      <c r="HSJ14" s="4"/>
      <c r="HSK14" s="4"/>
      <c r="HSL14" s="4"/>
      <c r="HSM14" s="4"/>
      <c r="HSN14" s="4"/>
      <c r="HSO14" s="4"/>
      <c r="HSP14" s="4"/>
      <c r="HSQ14" s="4"/>
      <c r="HSR14" s="4"/>
      <c r="HSS14" s="4"/>
      <c r="HST14" s="4"/>
      <c r="HSU14" s="4"/>
      <c r="HSV14" s="4"/>
      <c r="HSW14" s="4"/>
      <c r="HSX14" s="4"/>
      <c r="HSY14" s="4"/>
      <c r="HSZ14" s="4"/>
      <c r="HTA14" s="4"/>
      <c r="HTB14" s="4"/>
      <c r="HTC14" s="4"/>
      <c r="HTD14" s="4"/>
      <c r="HTE14" s="4"/>
      <c r="HTF14" s="4"/>
      <c r="HTG14" s="4"/>
      <c r="HTH14" s="4"/>
      <c r="HTI14" s="4"/>
      <c r="HTJ14" s="4"/>
      <c r="HTK14" s="4"/>
      <c r="HTL14" s="4"/>
      <c r="HTM14" s="4"/>
      <c r="HTN14" s="4"/>
      <c r="HTO14" s="4"/>
      <c r="HTP14" s="4"/>
      <c r="HTQ14" s="4"/>
      <c r="HTR14" s="4"/>
      <c r="HTS14" s="4"/>
      <c r="HTT14" s="4"/>
      <c r="HTU14" s="4"/>
      <c r="HTV14" s="4"/>
      <c r="HTW14" s="4"/>
      <c r="HTX14" s="4"/>
      <c r="HTY14" s="4"/>
      <c r="HTZ14" s="4"/>
      <c r="HUA14" s="4"/>
      <c r="HUB14" s="4"/>
      <c r="HUC14" s="4"/>
      <c r="HUD14" s="4"/>
      <c r="HUE14" s="4"/>
      <c r="HUF14" s="4"/>
      <c r="HUG14" s="4"/>
      <c r="HUH14" s="4"/>
      <c r="HUI14" s="4"/>
      <c r="HUJ14" s="4"/>
      <c r="HUK14" s="4"/>
      <c r="HUL14" s="4"/>
      <c r="HUM14" s="4"/>
      <c r="HUN14" s="4"/>
      <c r="HUO14" s="4"/>
      <c r="HUP14" s="4"/>
      <c r="HUQ14" s="4"/>
      <c r="HUR14" s="4"/>
      <c r="HUS14" s="4"/>
      <c r="HUT14" s="4"/>
      <c r="HUU14" s="4"/>
      <c r="HUV14" s="4"/>
      <c r="HUW14" s="4"/>
      <c r="HUX14" s="4"/>
      <c r="HUY14" s="4"/>
      <c r="HUZ14" s="4"/>
      <c r="HVA14" s="4"/>
      <c r="HVB14" s="4"/>
      <c r="HVC14" s="4"/>
      <c r="HVD14" s="4"/>
      <c r="HVE14" s="4"/>
      <c r="HVF14" s="4"/>
      <c r="HVG14" s="4"/>
      <c r="HVH14" s="4"/>
      <c r="HVI14" s="4"/>
      <c r="HVJ14" s="4"/>
      <c r="HVK14" s="4"/>
      <c r="HVL14" s="4"/>
      <c r="HVM14" s="4"/>
      <c r="HVN14" s="4"/>
      <c r="HVO14" s="4"/>
      <c r="HVP14" s="4"/>
      <c r="HVQ14" s="4"/>
      <c r="HVR14" s="4"/>
      <c r="HVS14" s="4"/>
      <c r="HVT14" s="4"/>
      <c r="HVU14" s="4"/>
      <c r="HVV14" s="4"/>
      <c r="HVW14" s="4"/>
      <c r="HVX14" s="4"/>
      <c r="HVY14" s="4"/>
      <c r="HVZ14" s="4"/>
      <c r="HWA14" s="4"/>
      <c r="HWB14" s="4"/>
      <c r="HWC14" s="4"/>
      <c r="HWD14" s="4"/>
      <c r="HWE14" s="4"/>
      <c r="HWF14" s="4"/>
      <c r="HWG14" s="4"/>
      <c r="HWH14" s="4"/>
      <c r="HWI14" s="4"/>
      <c r="HWJ14" s="4"/>
      <c r="HWK14" s="4"/>
      <c r="HWL14" s="4"/>
      <c r="HWM14" s="4"/>
      <c r="HWN14" s="4"/>
      <c r="HWO14" s="4"/>
      <c r="HWP14" s="4"/>
      <c r="HWQ14" s="4"/>
      <c r="HWR14" s="4"/>
      <c r="HWS14" s="4"/>
      <c r="HWT14" s="4"/>
      <c r="HWU14" s="4"/>
      <c r="HWV14" s="4"/>
      <c r="HWW14" s="4"/>
      <c r="HWX14" s="4"/>
      <c r="HWY14" s="4"/>
      <c r="HWZ14" s="4"/>
      <c r="HXA14" s="4"/>
      <c r="HXB14" s="4"/>
      <c r="HXC14" s="4"/>
      <c r="HXD14" s="4"/>
      <c r="HXE14" s="4"/>
      <c r="HXF14" s="4"/>
      <c r="HXG14" s="4"/>
      <c r="HXH14" s="4"/>
      <c r="HXI14" s="4"/>
      <c r="HXJ14" s="4"/>
      <c r="HXK14" s="4"/>
      <c r="HXL14" s="4"/>
      <c r="HXM14" s="4"/>
      <c r="HXN14" s="4"/>
      <c r="HXO14" s="4"/>
      <c r="HXP14" s="4"/>
      <c r="HXQ14" s="4"/>
      <c r="HXR14" s="4"/>
      <c r="HXS14" s="4"/>
      <c r="HXT14" s="4"/>
      <c r="HXU14" s="4"/>
      <c r="HXV14" s="4"/>
      <c r="HXW14" s="4"/>
      <c r="HXX14" s="4"/>
      <c r="HXY14" s="4"/>
      <c r="HXZ14" s="4"/>
      <c r="HYA14" s="4"/>
      <c r="HYB14" s="4"/>
      <c r="HYC14" s="4"/>
      <c r="HYD14" s="4"/>
      <c r="HYE14" s="4"/>
      <c r="HYF14" s="4"/>
      <c r="HYG14" s="4"/>
      <c r="HYH14" s="4"/>
      <c r="HYI14" s="4"/>
      <c r="HYJ14" s="4"/>
      <c r="HYK14" s="4"/>
      <c r="HYL14" s="4"/>
      <c r="HYM14" s="4"/>
      <c r="HYN14" s="4"/>
      <c r="HYO14" s="4"/>
      <c r="HYP14" s="4"/>
      <c r="HYQ14" s="4"/>
      <c r="HYR14" s="4"/>
      <c r="HYS14" s="4"/>
      <c r="HYT14" s="4"/>
      <c r="HYU14" s="4"/>
      <c r="HYV14" s="4"/>
      <c r="HYW14" s="4"/>
      <c r="HYX14" s="4"/>
      <c r="HYY14" s="4"/>
      <c r="HYZ14" s="4"/>
      <c r="HZA14" s="4"/>
      <c r="HZB14" s="4"/>
      <c r="HZC14" s="4"/>
      <c r="HZD14" s="4"/>
      <c r="HZE14" s="4"/>
      <c r="HZF14" s="4"/>
      <c r="HZG14" s="4"/>
      <c r="HZH14" s="4"/>
      <c r="HZI14" s="4"/>
      <c r="HZJ14" s="4"/>
      <c r="HZK14" s="4"/>
      <c r="HZL14" s="4"/>
      <c r="HZM14" s="4"/>
      <c r="HZN14" s="4"/>
      <c r="HZO14" s="4"/>
      <c r="HZP14" s="4"/>
      <c r="HZQ14" s="4"/>
      <c r="HZR14" s="4"/>
      <c r="HZS14" s="4"/>
      <c r="HZT14" s="4"/>
      <c r="HZU14" s="4"/>
      <c r="HZV14" s="4"/>
      <c r="HZW14" s="4"/>
      <c r="HZX14" s="4"/>
      <c r="HZY14" s="4"/>
      <c r="HZZ14" s="4"/>
      <c r="IAA14" s="4"/>
      <c r="IAB14" s="4"/>
      <c r="IAC14" s="4"/>
      <c r="IAD14" s="4"/>
      <c r="IAE14" s="4"/>
      <c r="IAF14" s="4"/>
      <c r="IAG14" s="4"/>
      <c r="IAH14" s="4"/>
      <c r="IAI14" s="4"/>
      <c r="IAJ14" s="4"/>
      <c r="IAK14" s="4"/>
      <c r="IAL14" s="4"/>
      <c r="IAM14" s="4"/>
      <c r="IAN14" s="4"/>
      <c r="IAO14" s="4"/>
      <c r="IAP14" s="4"/>
      <c r="IAQ14" s="4"/>
      <c r="IAR14" s="4"/>
      <c r="IAS14" s="4"/>
      <c r="IAT14" s="4"/>
      <c r="IAU14" s="4"/>
      <c r="IAV14" s="4"/>
      <c r="IAW14" s="4"/>
      <c r="IAX14" s="4"/>
      <c r="IAY14" s="4"/>
      <c r="IAZ14" s="4"/>
      <c r="IBA14" s="4"/>
      <c r="IBB14" s="4"/>
      <c r="IBC14" s="4"/>
      <c r="IBD14" s="4"/>
      <c r="IBE14" s="4"/>
      <c r="IBF14" s="4"/>
      <c r="IBG14" s="4"/>
      <c r="IBH14" s="4"/>
      <c r="IBI14" s="4"/>
      <c r="IBJ14" s="4"/>
      <c r="IBK14" s="4"/>
      <c r="IBL14" s="4"/>
      <c r="IBM14" s="4"/>
      <c r="IBN14" s="4"/>
      <c r="IBO14" s="4"/>
      <c r="IBP14" s="4"/>
      <c r="IBQ14" s="4"/>
      <c r="IBR14" s="4"/>
      <c r="IBS14" s="4"/>
      <c r="IBT14" s="4"/>
      <c r="IBU14" s="4"/>
      <c r="IBV14" s="4"/>
      <c r="IBW14" s="4"/>
      <c r="IBX14" s="4"/>
      <c r="IBY14" s="4"/>
      <c r="IBZ14" s="4"/>
      <c r="ICA14" s="4"/>
      <c r="ICB14" s="4"/>
      <c r="ICC14" s="4"/>
      <c r="ICD14" s="4"/>
      <c r="ICE14" s="4"/>
      <c r="ICF14" s="4"/>
      <c r="ICG14" s="4"/>
      <c r="ICH14" s="4"/>
      <c r="ICI14" s="4"/>
      <c r="ICJ14" s="4"/>
      <c r="ICK14" s="4"/>
      <c r="ICL14" s="4"/>
      <c r="ICM14" s="4"/>
      <c r="ICN14" s="4"/>
      <c r="ICO14" s="4"/>
      <c r="ICP14" s="4"/>
      <c r="ICQ14" s="4"/>
      <c r="ICR14" s="4"/>
      <c r="ICS14" s="4"/>
      <c r="ICT14" s="4"/>
      <c r="ICU14" s="4"/>
      <c r="ICV14" s="4"/>
      <c r="ICW14" s="4"/>
      <c r="ICX14" s="4"/>
      <c r="ICY14" s="4"/>
      <c r="ICZ14" s="4"/>
      <c r="IDA14" s="4"/>
      <c r="IDB14" s="4"/>
      <c r="IDC14" s="4"/>
      <c r="IDD14" s="4"/>
      <c r="IDE14" s="4"/>
      <c r="IDF14" s="4"/>
      <c r="IDG14" s="4"/>
      <c r="IDH14" s="4"/>
      <c r="IDI14" s="4"/>
      <c r="IDJ14" s="4"/>
      <c r="IDK14" s="4"/>
      <c r="IDL14" s="4"/>
      <c r="IDM14" s="4"/>
      <c r="IDN14" s="4"/>
      <c r="IDO14" s="4"/>
      <c r="IDP14" s="4"/>
      <c r="IDQ14" s="4"/>
      <c r="IDR14" s="4"/>
      <c r="IDS14" s="4"/>
      <c r="IDT14" s="4"/>
      <c r="IDU14" s="4"/>
      <c r="IDV14" s="4"/>
      <c r="IDW14" s="4"/>
      <c r="IDX14" s="4"/>
      <c r="IDY14" s="4"/>
      <c r="IDZ14" s="4"/>
      <c r="IEA14" s="4"/>
      <c r="IEB14" s="4"/>
      <c r="IEC14" s="4"/>
      <c r="IED14" s="4"/>
      <c r="IEE14" s="4"/>
      <c r="IEF14" s="4"/>
      <c r="IEG14" s="4"/>
      <c r="IEH14" s="4"/>
      <c r="IEI14" s="4"/>
      <c r="IEJ14" s="4"/>
      <c r="IEK14" s="4"/>
      <c r="IEL14" s="4"/>
      <c r="IEM14" s="4"/>
      <c r="IEN14" s="4"/>
      <c r="IEO14" s="4"/>
      <c r="IEP14" s="4"/>
      <c r="IEQ14" s="4"/>
      <c r="IER14" s="4"/>
      <c r="IES14" s="4"/>
      <c r="IET14" s="4"/>
      <c r="IEU14" s="4"/>
      <c r="IEV14" s="4"/>
      <c r="IEW14" s="4"/>
      <c r="IEX14" s="4"/>
      <c r="IEY14" s="4"/>
      <c r="IEZ14" s="4"/>
      <c r="IFA14" s="4"/>
      <c r="IFB14" s="4"/>
      <c r="IFC14" s="4"/>
      <c r="IFD14" s="4"/>
      <c r="IFE14" s="4"/>
      <c r="IFF14" s="4"/>
      <c r="IFG14" s="4"/>
      <c r="IFH14" s="4"/>
      <c r="IFI14" s="4"/>
      <c r="IFJ14" s="4"/>
      <c r="IFK14" s="4"/>
      <c r="IFL14" s="4"/>
      <c r="IFM14" s="4"/>
      <c r="IFN14" s="4"/>
      <c r="IFO14" s="4"/>
      <c r="IFP14" s="4"/>
      <c r="IFQ14" s="4"/>
      <c r="IFR14" s="4"/>
      <c r="IFS14" s="4"/>
      <c r="IFT14" s="4"/>
      <c r="IFU14" s="4"/>
      <c r="IFV14" s="4"/>
      <c r="IFW14" s="4"/>
      <c r="IFX14" s="4"/>
      <c r="IFY14" s="4"/>
      <c r="IFZ14" s="4"/>
      <c r="IGA14" s="4"/>
      <c r="IGB14" s="4"/>
      <c r="IGC14" s="4"/>
      <c r="IGD14" s="4"/>
      <c r="IGE14" s="4"/>
      <c r="IGF14" s="4"/>
      <c r="IGG14" s="4"/>
      <c r="IGH14" s="4"/>
      <c r="IGI14" s="4"/>
      <c r="IGJ14" s="4"/>
      <c r="IGK14" s="4"/>
      <c r="IGL14" s="4"/>
      <c r="IGM14" s="4"/>
      <c r="IGN14" s="4"/>
      <c r="IGO14" s="4"/>
      <c r="IGP14" s="4"/>
      <c r="IGQ14" s="4"/>
      <c r="IGR14" s="4"/>
      <c r="IGS14" s="4"/>
      <c r="IGT14" s="4"/>
      <c r="IGU14" s="4"/>
      <c r="IGV14" s="4"/>
      <c r="IGW14" s="4"/>
      <c r="IGX14" s="4"/>
      <c r="IGY14" s="4"/>
      <c r="IGZ14" s="4"/>
      <c r="IHA14" s="4"/>
      <c r="IHB14" s="4"/>
      <c r="IHC14" s="4"/>
      <c r="IHD14" s="4"/>
      <c r="IHE14" s="4"/>
      <c r="IHF14" s="4"/>
      <c r="IHG14" s="4"/>
      <c r="IHH14" s="4"/>
      <c r="IHI14" s="4"/>
      <c r="IHJ14" s="4"/>
      <c r="IHK14" s="4"/>
      <c r="IHL14" s="4"/>
      <c r="IHM14" s="4"/>
      <c r="IHN14" s="4"/>
      <c r="IHO14" s="4"/>
      <c r="IHP14" s="4"/>
      <c r="IHQ14" s="4"/>
      <c r="IHR14" s="4"/>
      <c r="IHS14" s="4"/>
      <c r="IHT14" s="4"/>
      <c r="IHU14" s="4"/>
      <c r="IHV14" s="4"/>
      <c r="IHW14" s="4"/>
      <c r="IHX14" s="4"/>
      <c r="IHY14" s="4"/>
      <c r="IHZ14" s="4"/>
      <c r="IIA14" s="4"/>
      <c r="IIB14" s="4"/>
      <c r="IIC14" s="4"/>
      <c r="IID14" s="4"/>
      <c r="IIE14" s="4"/>
      <c r="IIF14" s="4"/>
      <c r="IIG14" s="4"/>
      <c r="IIH14" s="4"/>
      <c r="III14" s="4"/>
      <c r="IIJ14" s="4"/>
      <c r="IIK14" s="4"/>
      <c r="IIL14" s="4"/>
      <c r="IIM14" s="4"/>
      <c r="IIN14" s="4"/>
      <c r="IIO14" s="4"/>
      <c r="IIP14" s="4"/>
      <c r="IIQ14" s="4"/>
      <c r="IIR14" s="4"/>
      <c r="IIS14" s="4"/>
      <c r="IIT14" s="4"/>
      <c r="IIU14" s="4"/>
      <c r="IIV14" s="4"/>
      <c r="IIW14" s="4"/>
      <c r="IIX14" s="4"/>
      <c r="IIY14" s="4"/>
      <c r="IIZ14" s="4"/>
      <c r="IJA14" s="4"/>
      <c r="IJB14" s="4"/>
      <c r="IJC14" s="4"/>
      <c r="IJD14" s="4"/>
      <c r="IJE14" s="4"/>
      <c r="IJF14" s="4"/>
      <c r="IJG14" s="4"/>
      <c r="IJH14" s="4"/>
      <c r="IJI14" s="4"/>
      <c r="IJJ14" s="4"/>
      <c r="IJK14" s="4"/>
      <c r="IJL14" s="4"/>
      <c r="IJM14" s="4"/>
      <c r="IJN14" s="4"/>
      <c r="IJO14" s="4"/>
      <c r="IJP14" s="4"/>
      <c r="IJQ14" s="4"/>
      <c r="IJR14" s="4"/>
      <c r="IJS14" s="4"/>
      <c r="IJT14" s="4"/>
      <c r="IJU14" s="4"/>
      <c r="IJV14" s="4"/>
      <c r="IJW14" s="4"/>
      <c r="IJX14" s="4"/>
      <c r="IJY14" s="4"/>
      <c r="IJZ14" s="4"/>
      <c r="IKA14" s="4"/>
      <c r="IKB14" s="4"/>
      <c r="IKC14" s="4"/>
      <c r="IKD14" s="4"/>
      <c r="IKE14" s="4"/>
      <c r="IKF14" s="4"/>
      <c r="IKG14" s="4"/>
      <c r="IKH14" s="4"/>
      <c r="IKI14" s="4"/>
      <c r="IKJ14" s="4"/>
      <c r="IKK14" s="4"/>
      <c r="IKL14" s="4"/>
      <c r="IKM14" s="4"/>
      <c r="IKN14" s="4"/>
      <c r="IKO14" s="4"/>
      <c r="IKP14" s="4"/>
      <c r="IKQ14" s="4"/>
      <c r="IKR14" s="4"/>
      <c r="IKS14" s="4"/>
      <c r="IKT14" s="4"/>
      <c r="IKU14" s="4"/>
      <c r="IKV14" s="4"/>
      <c r="IKW14" s="4"/>
      <c r="IKX14" s="4"/>
      <c r="IKY14" s="4"/>
      <c r="IKZ14" s="4"/>
      <c r="ILA14" s="4"/>
      <c r="ILB14" s="4"/>
      <c r="ILC14" s="4"/>
      <c r="ILD14" s="4"/>
      <c r="ILE14" s="4"/>
      <c r="ILF14" s="4"/>
      <c r="ILG14" s="4"/>
      <c r="ILH14" s="4"/>
      <c r="ILI14" s="4"/>
      <c r="ILJ14" s="4"/>
      <c r="ILK14" s="4"/>
      <c r="ILL14" s="4"/>
      <c r="ILM14" s="4"/>
      <c r="ILN14" s="4"/>
      <c r="ILO14" s="4"/>
      <c r="ILP14" s="4"/>
      <c r="ILQ14" s="4"/>
      <c r="ILR14" s="4"/>
      <c r="ILS14" s="4"/>
      <c r="ILT14" s="4"/>
      <c r="ILU14" s="4"/>
      <c r="ILV14" s="4"/>
      <c r="ILW14" s="4"/>
      <c r="ILX14" s="4"/>
      <c r="ILY14" s="4"/>
      <c r="ILZ14" s="4"/>
      <c r="IMA14" s="4"/>
      <c r="IMB14" s="4"/>
      <c r="IMC14" s="4"/>
      <c r="IMD14" s="4"/>
      <c r="IME14" s="4"/>
      <c r="IMF14" s="4"/>
      <c r="IMG14" s="4"/>
      <c r="IMH14" s="4"/>
      <c r="IMI14" s="4"/>
      <c r="IMJ14" s="4"/>
      <c r="IMK14" s="4"/>
      <c r="IML14" s="4"/>
      <c r="IMM14" s="4"/>
      <c r="IMN14" s="4"/>
      <c r="IMO14" s="4"/>
      <c r="IMP14" s="4"/>
      <c r="IMQ14" s="4"/>
      <c r="IMR14" s="4"/>
      <c r="IMS14" s="4"/>
      <c r="IMT14" s="4"/>
      <c r="IMU14" s="4"/>
      <c r="IMV14" s="4"/>
      <c r="IMW14" s="4"/>
      <c r="IMX14" s="4"/>
      <c r="IMY14" s="4"/>
      <c r="IMZ14" s="4"/>
      <c r="INA14" s="4"/>
      <c r="INB14" s="4"/>
      <c r="INC14" s="4"/>
      <c r="IND14" s="4"/>
      <c r="INE14" s="4"/>
      <c r="INF14" s="4"/>
      <c r="ING14" s="4"/>
      <c r="INH14" s="4"/>
      <c r="INI14" s="4"/>
      <c r="INJ14" s="4"/>
      <c r="INK14" s="4"/>
      <c r="INL14" s="4"/>
      <c r="INM14" s="4"/>
      <c r="INN14" s="4"/>
      <c r="INO14" s="4"/>
      <c r="INP14" s="4"/>
      <c r="INQ14" s="4"/>
      <c r="INR14" s="4"/>
      <c r="INS14" s="4"/>
      <c r="INT14" s="4"/>
      <c r="INU14" s="4"/>
      <c r="INV14" s="4"/>
      <c r="INW14" s="4"/>
      <c r="INX14" s="4"/>
      <c r="INY14" s="4"/>
      <c r="INZ14" s="4"/>
      <c r="IOA14" s="4"/>
      <c r="IOB14" s="4"/>
      <c r="IOC14" s="4"/>
      <c r="IOD14" s="4"/>
      <c r="IOE14" s="4"/>
      <c r="IOF14" s="4"/>
      <c r="IOG14" s="4"/>
      <c r="IOH14" s="4"/>
      <c r="IOI14" s="4"/>
      <c r="IOJ14" s="4"/>
      <c r="IOK14" s="4"/>
      <c r="IOL14" s="4"/>
      <c r="IOM14" s="4"/>
      <c r="ION14" s="4"/>
      <c r="IOO14" s="4"/>
      <c r="IOP14" s="4"/>
      <c r="IOQ14" s="4"/>
      <c r="IOR14" s="4"/>
      <c r="IOS14" s="4"/>
      <c r="IOT14" s="4"/>
      <c r="IOU14" s="4"/>
      <c r="IOV14" s="4"/>
      <c r="IOW14" s="4"/>
      <c r="IOX14" s="4"/>
      <c r="IOY14" s="4"/>
      <c r="IOZ14" s="4"/>
      <c r="IPA14" s="4"/>
      <c r="IPB14" s="4"/>
      <c r="IPC14" s="4"/>
      <c r="IPD14" s="4"/>
      <c r="IPE14" s="4"/>
      <c r="IPF14" s="4"/>
      <c r="IPG14" s="4"/>
      <c r="IPH14" s="4"/>
      <c r="IPI14" s="4"/>
      <c r="IPJ14" s="4"/>
      <c r="IPK14" s="4"/>
      <c r="IPL14" s="4"/>
      <c r="IPM14" s="4"/>
      <c r="IPN14" s="4"/>
      <c r="IPO14" s="4"/>
      <c r="IPP14" s="4"/>
      <c r="IPQ14" s="4"/>
      <c r="IPR14" s="4"/>
      <c r="IPS14" s="4"/>
      <c r="IPT14" s="4"/>
      <c r="IPU14" s="4"/>
      <c r="IPV14" s="4"/>
      <c r="IPW14" s="4"/>
      <c r="IPX14" s="4"/>
      <c r="IPY14" s="4"/>
      <c r="IPZ14" s="4"/>
      <c r="IQA14" s="4"/>
      <c r="IQB14" s="4"/>
      <c r="IQC14" s="4"/>
      <c r="IQD14" s="4"/>
      <c r="IQE14" s="4"/>
      <c r="IQF14" s="4"/>
      <c r="IQG14" s="4"/>
      <c r="IQH14" s="4"/>
      <c r="IQI14" s="4"/>
      <c r="IQJ14" s="4"/>
      <c r="IQK14" s="4"/>
      <c r="IQL14" s="4"/>
      <c r="IQM14" s="4"/>
      <c r="IQN14" s="4"/>
      <c r="IQO14" s="4"/>
      <c r="IQP14" s="4"/>
      <c r="IQQ14" s="4"/>
      <c r="IQR14" s="4"/>
      <c r="IQS14" s="4"/>
      <c r="IQT14" s="4"/>
      <c r="IQU14" s="4"/>
      <c r="IQV14" s="4"/>
      <c r="IQW14" s="4"/>
      <c r="IQX14" s="4"/>
      <c r="IQY14" s="4"/>
      <c r="IQZ14" s="4"/>
      <c r="IRA14" s="4"/>
      <c r="IRB14" s="4"/>
      <c r="IRC14" s="4"/>
      <c r="IRD14" s="4"/>
      <c r="IRE14" s="4"/>
      <c r="IRF14" s="4"/>
      <c r="IRG14" s="4"/>
      <c r="IRH14" s="4"/>
      <c r="IRI14" s="4"/>
      <c r="IRJ14" s="4"/>
      <c r="IRK14" s="4"/>
      <c r="IRL14" s="4"/>
      <c r="IRM14" s="4"/>
      <c r="IRN14" s="4"/>
      <c r="IRO14" s="4"/>
      <c r="IRP14" s="4"/>
      <c r="IRQ14" s="4"/>
      <c r="IRR14" s="4"/>
      <c r="IRS14" s="4"/>
      <c r="IRT14" s="4"/>
      <c r="IRU14" s="4"/>
      <c r="IRV14" s="4"/>
      <c r="IRW14" s="4"/>
      <c r="IRX14" s="4"/>
      <c r="IRY14" s="4"/>
      <c r="IRZ14" s="4"/>
      <c r="ISA14" s="4"/>
      <c r="ISB14" s="4"/>
      <c r="ISC14" s="4"/>
      <c r="ISD14" s="4"/>
      <c r="ISE14" s="4"/>
      <c r="ISF14" s="4"/>
      <c r="ISG14" s="4"/>
      <c r="ISH14" s="4"/>
      <c r="ISI14" s="4"/>
      <c r="ISJ14" s="4"/>
      <c r="ISK14" s="4"/>
      <c r="ISL14" s="4"/>
      <c r="ISM14" s="4"/>
      <c r="ISN14" s="4"/>
      <c r="ISO14" s="4"/>
      <c r="ISP14" s="4"/>
      <c r="ISQ14" s="4"/>
      <c r="ISR14" s="4"/>
      <c r="ISS14" s="4"/>
      <c r="IST14" s="4"/>
      <c r="ISU14" s="4"/>
      <c r="ISV14" s="4"/>
      <c r="ISW14" s="4"/>
      <c r="ISX14" s="4"/>
      <c r="ISY14" s="4"/>
      <c r="ISZ14" s="4"/>
      <c r="ITA14" s="4"/>
      <c r="ITB14" s="4"/>
      <c r="ITC14" s="4"/>
      <c r="ITD14" s="4"/>
      <c r="ITE14" s="4"/>
      <c r="ITF14" s="4"/>
      <c r="ITG14" s="4"/>
      <c r="ITH14" s="4"/>
      <c r="ITI14" s="4"/>
      <c r="ITJ14" s="4"/>
      <c r="ITK14" s="4"/>
      <c r="ITL14" s="4"/>
      <c r="ITM14" s="4"/>
      <c r="ITN14" s="4"/>
      <c r="ITO14" s="4"/>
      <c r="ITP14" s="4"/>
      <c r="ITQ14" s="4"/>
      <c r="ITR14" s="4"/>
      <c r="ITS14" s="4"/>
      <c r="ITT14" s="4"/>
      <c r="ITU14" s="4"/>
      <c r="ITV14" s="4"/>
      <c r="ITW14" s="4"/>
      <c r="ITX14" s="4"/>
      <c r="ITY14" s="4"/>
      <c r="ITZ14" s="4"/>
      <c r="IUA14" s="4"/>
      <c r="IUB14" s="4"/>
      <c r="IUC14" s="4"/>
      <c r="IUD14" s="4"/>
      <c r="IUE14" s="4"/>
      <c r="IUF14" s="4"/>
      <c r="IUG14" s="4"/>
      <c r="IUH14" s="4"/>
      <c r="IUI14" s="4"/>
      <c r="IUJ14" s="4"/>
      <c r="IUK14" s="4"/>
      <c r="IUL14" s="4"/>
      <c r="IUM14" s="4"/>
      <c r="IUN14" s="4"/>
      <c r="IUO14" s="4"/>
      <c r="IUP14" s="4"/>
      <c r="IUQ14" s="4"/>
      <c r="IUR14" s="4"/>
      <c r="IUS14" s="4"/>
      <c r="IUT14" s="4"/>
      <c r="IUU14" s="4"/>
      <c r="IUV14" s="4"/>
      <c r="IUW14" s="4"/>
      <c r="IUX14" s="4"/>
      <c r="IUY14" s="4"/>
      <c r="IUZ14" s="4"/>
      <c r="IVA14" s="4"/>
      <c r="IVB14" s="4"/>
      <c r="IVC14" s="4"/>
      <c r="IVD14" s="4"/>
      <c r="IVE14" s="4"/>
      <c r="IVF14" s="4"/>
      <c r="IVG14" s="4"/>
      <c r="IVH14" s="4"/>
      <c r="IVI14" s="4"/>
      <c r="IVJ14" s="4"/>
      <c r="IVK14" s="4"/>
      <c r="IVL14" s="4"/>
      <c r="IVM14" s="4"/>
      <c r="IVN14" s="4"/>
      <c r="IVO14" s="4"/>
      <c r="IVP14" s="4"/>
      <c r="IVQ14" s="4"/>
      <c r="IVR14" s="4"/>
      <c r="IVS14" s="4"/>
      <c r="IVT14" s="4"/>
      <c r="IVU14" s="4"/>
      <c r="IVV14" s="4"/>
      <c r="IVW14" s="4"/>
      <c r="IVX14" s="4"/>
      <c r="IVY14" s="4"/>
      <c r="IVZ14" s="4"/>
      <c r="IWA14" s="4"/>
      <c r="IWB14" s="4"/>
      <c r="IWC14" s="4"/>
      <c r="IWD14" s="4"/>
      <c r="IWE14" s="4"/>
      <c r="IWF14" s="4"/>
      <c r="IWG14" s="4"/>
      <c r="IWH14" s="4"/>
      <c r="IWI14" s="4"/>
      <c r="IWJ14" s="4"/>
      <c r="IWK14" s="4"/>
      <c r="IWL14" s="4"/>
      <c r="IWM14" s="4"/>
      <c r="IWN14" s="4"/>
      <c r="IWO14" s="4"/>
      <c r="IWP14" s="4"/>
      <c r="IWQ14" s="4"/>
      <c r="IWR14" s="4"/>
      <c r="IWS14" s="4"/>
      <c r="IWT14" s="4"/>
      <c r="IWU14" s="4"/>
      <c r="IWV14" s="4"/>
      <c r="IWW14" s="4"/>
      <c r="IWX14" s="4"/>
      <c r="IWY14" s="4"/>
      <c r="IWZ14" s="4"/>
      <c r="IXA14" s="4"/>
      <c r="IXB14" s="4"/>
      <c r="IXC14" s="4"/>
      <c r="IXD14" s="4"/>
      <c r="IXE14" s="4"/>
      <c r="IXF14" s="4"/>
      <c r="IXG14" s="4"/>
      <c r="IXH14" s="4"/>
      <c r="IXI14" s="4"/>
      <c r="IXJ14" s="4"/>
      <c r="IXK14" s="4"/>
      <c r="IXL14" s="4"/>
      <c r="IXM14" s="4"/>
      <c r="IXN14" s="4"/>
      <c r="IXO14" s="4"/>
      <c r="IXP14" s="4"/>
      <c r="IXQ14" s="4"/>
      <c r="IXR14" s="4"/>
      <c r="IXS14" s="4"/>
      <c r="IXT14" s="4"/>
      <c r="IXU14" s="4"/>
      <c r="IXV14" s="4"/>
      <c r="IXW14" s="4"/>
      <c r="IXX14" s="4"/>
      <c r="IXY14" s="4"/>
      <c r="IXZ14" s="4"/>
      <c r="IYA14" s="4"/>
      <c r="IYB14" s="4"/>
      <c r="IYC14" s="4"/>
      <c r="IYD14" s="4"/>
      <c r="IYE14" s="4"/>
      <c r="IYF14" s="4"/>
      <c r="IYG14" s="4"/>
      <c r="IYH14" s="4"/>
      <c r="IYI14" s="4"/>
      <c r="IYJ14" s="4"/>
      <c r="IYK14" s="4"/>
      <c r="IYL14" s="4"/>
      <c r="IYM14" s="4"/>
      <c r="IYN14" s="4"/>
      <c r="IYO14" s="4"/>
      <c r="IYP14" s="4"/>
      <c r="IYQ14" s="4"/>
      <c r="IYR14" s="4"/>
      <c r="IYS14" s="4"/>
      <c r="IYT14" s="4"/>
      <c r="IYU14" s="4"/>
      <c r="IYV14" s="4"/>
      <c r="IYW14" s="4"/>
      <c r="IYX14" s="4"/>
      <c r="IYY14" s="4"/>
      <c r="IYZ14" s="4"/>
      <c r="IZA14" s="4"/>
      <c r="IZB14" s="4"/>
      <c r="IZC14" s="4"/>
      <c r="IZD14" s="4"/>
      <c r="IZE14" s="4"/>
      <c r="IZF14" s="4"/>
      <c r="IZG14" s="4"/>
      <c r="IZH14" s="4"/>
      <c r="IZI14" s="4"/>
      <c r="IZJ14" s="4"/>
      <c r="IZK14" s="4"/>
      <c r="IZL14" s="4"/>
      <c r="IZM14" s="4"/>
      <c r="IZN14" s="4"/>
      <c r="IZO14" s="4"/>
      <c r="IZP14" s="4"/>
      <c r="IZQ14" s="4"/>
      <c r="IZR14" s="4"/>
      <c r="IZS14" s="4"/>
      <c r="IZT14" s="4"/>
      <c r="IZU14" s="4"/>
      <c r="IZV14" s="4"/>
      <c r="IZW14" s="4"/>
      <c r="IZX14" s="4"/>
      <c r="IZY14" s="4"/>
      <c r="IZZ14" s="4"/>
      <c r="JAA14" s="4"/>
      <c r="JAB14" s="4"/>
      <c r="JAC14" s="4"/>
      <c r="JAD14" s="4"/>
      <c r="JAE14" s="4"/>
      <c r="JAF14" s="4"/>
      <c r="JAG14" s="4"/>
      <c r="JAH14" s="4"/>
      <c r="JAI14" s="4"/>
      <c r="JAJ14" s="4"/>
      <c r="JAK14" s="4"/>
      <c r="JAL14" s="4"/>
      <c r="JAM14" s="4"/>
      <c r="JAN14" s="4"/>
      <c r="JAO14" s="4"/>
      <c r="JAP14" s="4"/>
      <c r="JAQ14" s="4"/>
      <c r="JAR14" s="4"/>
      <c r="JAS14" s="4"/>
      <c r="JAT14" s="4"/>
      <c r="JAU14" s="4"/>
      <c r="JAV14" s="4"/>
      <c r="JAW14" s="4"/>
      <c r="JAX14" s="4"/>
      <c r="JAY14" s="4"/>
      <c r="JAZ14" s="4"/>
      <c r="JBA14" s="4"/>
      <c r="JBB14" s="4"/>
      <c r="JBC14" s="4"/>
      <c r="JBD14" s="4"/>
      <c r="JBE14" s="4"/>
      <c r="JBF14" s="4"/>
      <c r="JBG14" s="4"/>
      <c r="JBH14" s="4"/>
      <c r="JBI14" s="4"/>
      <c r="JBJ14" s="4"/>
      <c r="JBK14" s="4"/>
      <c r="JBL14" s="4"/>
      <c r="JBM14" s="4"/>
      <c r="JBN14" s="4"/>
      <c r="JBO14" s="4"/>
      <c r="JBP14" s="4"/>
      <c r="JBQ14" s="4"/>
      <c r="JBR14" s="4"/>
      <c r="JBS14" s="4"/>
      <c r="JBT14" s="4"/>
      <c r="JBU14" s="4"/>
      <c r="JBV14" s="4"/>
      <c r="JBW14" s="4"/>
      <c r="JBX14" s="4"/>
      <c r="JBY14" s="4"/>
      <c r="JBZ14" s="4"/>
      <c r="JCA14" s="4"/>
      <c r="JCB14" s="4"/>
      <c r="JCC14" s="4"/>
      <c r="JCD14" s="4"/>
      <c r="JCE14" s="4"/>
      <c r="JCF14" s="4"/>
      <c r="JCG14" s="4"/>
      <c r="JCH14" s="4"/>
      <c r="JCI14" s="4"/>
      <c r="JCJ14" s="4"/>
      <c r="JCK14" s="4"/>
      <c r="JCL14" s="4"/>
      <c r="JCM14" s="4"/>
      <c r="JCN14" s="4"/>
      <c r="JCO14" s="4"/>
      <c r="JCP14" s="4"/>
      <c r="JCQ14" s="4"/>
      <c r="JCR14" s="4"/>
      <c r="JCS14" s="4"/>
      <c r="JCT14" s="4"/>
      <c r="JCU14" s="4"/>
      <c r="JCV14" s="4"/>
      <c r="JCW14" s="4"/>
      <c r="JCX14" s="4"/>
      <c r="JCY14" s="4"/>
      <c r="JCZ14" s="4"/>
      <c r="JDA14" s="4"/>
      <c r="JDB14" s="4"/>
      <c r="JDC14" s="4"/>
      <c r="JDD14" s="4"/>
      <c r="JDE14" s="4"/>
      <c r="JDF14" s="4"/>
      <c r="JDG14" s="4"/>
      <c r="JDH14" s="4"/>
      <c r="JDI14" s="4"/>
      <c r="JDJ14" s="4"/>
      <c r="JDK14" s="4"/>
      <c r="JDL14" s="4"/>
      <c r="JDM14" s="4"/>
      <c r="JDN14" s="4"/>
      <c r="JDO14" s="4"/>
      <c r="JDP14" s="4"/>
      <c r="JDQ14" s="4"/>
      <c r="JDR14" s="4"/>
      <c r="JDS14" s="4"/>
      <c r="JDT14" s="4"/>
      <c r="JDU14" s="4"/>
      <c r="JDV14" s="4"/>
      <c r="JDW14" s="4"/>
      <c r="JDX14" s="4"/>
      <c r="JDY14" s="4"/>
      <c r="JDZ14" s="4"/>
      <c r="JEA14" s="4"/>
      <c r="JEB14" s="4"/>
      <c r="JEC14" s="4"/>
      <c r="JED14" s="4"/>
      <c r="JEE14" s="4"/>
      <c r="JEF14" s="4"/>
      <c r="JEG14" s="4"/>
      <c r="JEH14" s="4"/>
      <c r="JEI14" s="4"/>
      <c r="JEJ14" s="4"/>
      <c r="JEK14" s="4"/>
      <c r="JEL14" s="4"/>
      <c r="JEM14" s="4"/>
      <c r="JEN14" s="4"/>
      <c r="JEO14" s="4"/>
      <c r="JEP14" s="4"/>
      <c r="JEQ14" s="4"/>
      <c r="JER14" s="4"/>
      <c r="JES14" s="4"/>
      <c r="JET14" s="4"/>
      <c r="JEU14" s="4"/>
      <c r="JEV14" s="4"/>
      <c r="JEW14" s="4"/>
      <c r="JEX14" s="4"/>
      <c r="JEY14" s="4"/>
      <c r="JEZ14" s="4"/>
      <c r="JFA14" s="4"/>
      <c r="JFB14" s="4"/>
      <c r="JFC14" s="4"/>
      <c r="JFD14" s="4"/>
      <c r="JFE14" s="4"/>
      <c r="JFF14" s="4"/>
      <c r="JFG14" s="4"/>
      <c r="JFH14" s="4"/>
      <c r="JFI14" s="4"/>
      <c r="JFJ14" s="4"/>
      <c r="JFK14" s="4"/>
      <c r="JFL14" s="4"/>
      <c r="JFM14" s="4"/>
      <c r="JFN14" s="4"/>
      <c r="JFO14" s="4"/>
      <c r="JFP14" s="4"/>
      <c r="JFQ14" s="4"/>
      <c r="JFR14" s="4"/>
      <c r="JFS14" s="4"/>
      <c r="JFT14" s="4"/>
      <c r="JFU14" s="4"/>
      <c r="JFV14" s="4"/>
      <c r="JFW14" s="4"/>
      <c r="JFX14" s="4"/>
      <c r="JFY14" s="4"/>
      <c r="JFZ14" s="4"/>
      <c r="JGA14" s="4"/>
      <c r="JGB14" s="4"/>
      <c r="JGC14" s="4"/>
      <c r="JGD14" s="4"/>
      <c r="JGE14" s="4"/>
      <c r="JGF14" s="4"/>
      <c r="JGG14" s="4"/>
      <c r="JGH14" s="4"/>
      <c r="JGI14" s="4"/>
      <c r="JGJ14" s="4"/>
      <c r="JGK14" s="4"/>
      <c r="JGL14" s="4"/>
      <c r="JGM14" s="4"/>
      <c r="JGN14" s="4"/>
      <c r="JGO14" s="4"/>
      <c r="JGP14" s="4"/>
      <c r="JGQ14" s="4"/>
      <c r="JGR14" s="4"/>
      <c r="JGS14" s="4"/>
      <c r="JGT14" s="4"/>
      <c r="JGU14" s="4"/>
      <c r="JGV14" s="4"/>
      <c r="JGW14" s="4"/>
      <c r="JGX14" s="4"/>
      <c r="JGY14" s="4"/>
      <c r="JGZ14" s="4"/>
      <c r="JHA14" s="4"/>
      <c r="JHB14" s="4"/>
      <c r="JHC14" s="4"/>
      <c r="JHD14" s="4"/>
      <c r="JHE14" s="4"/>
      <c r="JHF14" s="4"/>
      <c r="JHG14" s="4"/>
      <c r="JHH14" s="4"/>
      <c r="JHI14" s="4"/>
      <c r="JHJ14" s="4"/>
      <c r="JHK14" s="4"/>
      <c r="JHL14" s="4"/>
      <c r="JHM14" s="4"/>
      <c r="JHN14" s="4"/>
      <c r="JHO14" s="4"/>
      <c r="JHP14" s="4"/>
      <c r="JHQ14" s="4"/>
      <c r="JHR14" s="4"/>
      <c r="JHS14" s="4"/>
      <c r="JHT14" s="4"/>
      <c r="JHU14" s="4"/>
      <c r="JHV14" s="4"/>
      <c r="JHW14" s="4"/>
      <c r="JHX14" s="4"/>
      <c r="JHY14" s="4"/>
      <c r="JHZ14" s="4"/>
      <c r="JIA14" s="4"/>
      <c r="JIB14" s="4"/>
      <c r="JIC14" s="4"/>
      <c r="JID14" s="4"/>
      <c r="JIE14" s="4"/>
      <c r="JIF14" s="4"/>
      <c r="JIG14" s="4"/>
      <c r="JIH14" s="4"/>
      <c r="JII14" s="4"/>
      <c r="JIJ14" s="4"/>
      <c r="JIK14" s="4"/>
      <c r="JIL14" s="4"/>
      <c r="JIM14" s="4"/>
      <c r="JIN14" s="4"/>
      <c r="JIO14" s="4"/>
      <c r="JIP14" s="4"/>
      <c r="JIQ14" s="4"/>
      <c r="JIR14" s="4"/>
      <c r="JIS14" s="4"/>
      <c r="JIT14" s="4"/>
      <c r="JIU14" s="4"/>
      <c r="JIV14" s="4"/>
      <c r="JIW14" s="4"/>
      <c r="JIX14" s="4"/>
      <c r="JIY14" s="4"/>
      <c r="JIZ14" s="4"/>
      <c r="JJA14" s="4"/>
      <c r="JJB14" s="4"/>
      <c r="JJC14" s="4"/>
      <c r="JJD14" s="4"/>
      <c r="JJE14" s="4"/>
      <c r="JJF14" s="4"/>
      <c r="JJG14" s="4"/>
      <c r="JJH14" s="4"/>
      <c r="JJI14" s="4"/>
      <c r="JJJ14" s="4"/>
      <c r="JJK14" s="4"/>
      <c r="JJL14" s="4"/>
      <c r="JJM14" s="4"/>
      <c r="JJN14" s="4"/>
      <c r="JJO14" s="4"/>
      <c r="JJP14" s="4"/>
      <c r="JJQ14" s="4"/>
      <c r="JJR14" s="4"/>
      <c r="JJS14" s="4"/>
      <c r="JJT14" s="4"/>
      <c r="JJU14" s="4"/>
      <c r="JJV14" s="4"/>
      <c r="JJW14" s="4"/>
      <c r="JJX14" s="4"/>
      <c r="JJY14" s="4"/>
      <c r="JJZ14" s="4"/>
      <c r="JKA14" s="4"/>
      <c r="JKB14" s="4"/>
      <c r="JKC14" s="4"/>
      <c r="JKD14" s="4"/>
      <c r="JKE14" s="4"/>
      <c r="JKF14" s="4"/>
      <c r="JKG14" s="4"/>
      <c r="JKH14" s="4"/>
      <c r="JKI14" s="4"/>
      <c r="JKJ14" s="4"/>
      <c r="JKK14" s="4"/>
      <c r="JKL14" s="4"/>
      <c r="JKM14" s="4"/>
      <c r="JKN14" s="4"/>
      <c r="JKO14" s="4"/>
      <c r="JKP14" s="4"/>
      <c r="JKQ14" s="4"/>
      <c r="JKR14" s="4"/>
      <c r="JKS14" s="4"/>
      <c r="JKT14" s="4"/>
      <c r="JKU14" s="4"/>
      <c r="JKV14" s="4"/>
      <c r="JKW14" s="4"/>
      <c r="JKX14" s="4"/>
      <c r="JKY14" s="4"/>
      <c r="JKZ14" s="4"/>
      <c r="JLA14" s="4"/>
      <c r="JLB14" s="4"/>
      <c r="JLC14" s="4"/>
      <c r="JLD14" s="4"/>
      <c r="JLE14" s="4"/>
      <c r="JLF14" s="4"/>
      <c r="JLG14" s="4"/>
      <c r="JLH14" s="4"/>
      <c r="JLI14" s="4"/>
      <c r="JLJ14" s="4"/>
      <c r="JLK14" s="4"/>
      <c r="JLL14" s="4"/>
      <c r="JLM14" s="4"/>
      <c r="JLN14" s="4"/>
      <c r="JLO14" s="4"/>
      <c r="JLP14" s="4"/>
      <c r="JLQ14" s="4"/>
      <c r="JLR14" s="4"/>
      <c r="JLS14" s="4"/>
      <c r="JLT14" s="4"/>
      <c r="JLU14" s="4"/>
      <c r="JLV14" s="4"/>
      <c r="JLW14" s="4"/>
      <c r="JLX14" s="4"/>
      <c r="JLY14" s="4"/>
      <c r="JLZ14" s="4"/>
      <c r="JMA14" s="4"/>
      <c r="JMB14" s="4"/>
      <c r="JMC14" s="4"/>
      <c r="JMD14" s="4"/>
      <c r="JME14" s="4"/>
      <c r="JMF14" s="4"/>
      <c r="JMG14" s="4"/>
      <c r="JMH14" s="4"/>
      <c r="JMI14" s="4"/>
      <c r="JMJ14" s="4"/>
      <c r="JMK14" s="4"/>
      <c r="JML14" s="4"/>
      <c r="JMM14" s="4"/>
      <c r="JMN14" s="4"/>
      <c r="JMO14" s="4"/>
      <c r="JMP14" s="4"/>
      <c r="JMQ14" s="4"/>
      <c r="JMR14" s="4"/>
      <c r="JMS14" s="4"/>
      <c r="JMT14" s="4"/>
      <c r="JMU14" s="4"/>
      <c r="JMV14" s="4"/>
      <c r="JMW14" s="4"/>
      <c r="JMX14" s="4"/>
      <c r="JMY14" s="4"/>
      <c r="JMZ14" s="4"/>
      <c r="JNA14" s="4"/>
      <c r="JNB14" s="4"/>
      <c r="JNC14" s="4"/>
      <c r="JND14" s="4"/>
      <c r="JNE14" s="4"/>
      <c r="JNF14" s="4"/>
      <c r="JNG14" s="4"/>
      <c r="JNH14" s="4"/>
      <c r="JNI14" s="4"/>
      <c r="JNJ14" s="4"/>
      <c r="JNK14" s="4"/>
      <c r="JNL14" s="4"/>
      <c r="JNM14" s="4"/>
      <c r="JNN14" s="4"/>
      <c r="JNO14" s="4"/>
      <c r="JNP14" s="4"/>
      <c r="JNQ14" s="4"/>
      <c r="JNR14" s="4"/>
      <c r="JNS14" s="4"/>
      <c r="JNT14" s="4"/>
      <c r="JNU14" s="4"/>
      <c r="JNV14" s="4"/>
      <c r="JNW14" s="4"/>
      <c r="JNX14" s="4"/>
      <c r="JNY14" s="4"/>
      <c r="JNZ14" s="4"/>
      <c r="JOA14" s="4"/>
      <c r="JOB14" s="4"/>
      <c r="JOC14" s="4"/>
      <c r="JOD14" s="4"/>
      <c r="JOE14" s="4"/>
      <c r="JOF14" s="4"/>
      <c r="JOG14" s="4"/>
      <c r="JOH14" s="4"/>
      <c r="JOI14" s="4"/>
      <c r="JOJ14" s="4"/>
      <c r="JOK14" s="4"/>
      <c r="JOL14" s="4"/>
      <c r="JOM14" s="4"/>
      <c r="JON14" s="4"/>
      <c r="JOO14" s="4"/>
      <c r="JOP14" s="4"/>
      <c r="JOQ14" s="4"/>
      <c r="JOR14" s="4"/>
      <c r="JOS14" s="4"/>
      <c r="JOT14" s="4"/>
      <c r="JOU14" s="4"/>
      <c r="JOV14" s="4"/>
      <c r="JOW14" s="4"/>
      <c r="JOX14" s="4"/>
      <c r="JOY14" s="4"/>
      <c r="JOZ14" s="4"/>
      <c r="JPA14" s="4"/>
      <c r="JPB14" s="4"/>
      <c r="JPC14" s="4"/>
      <c r="JPD14" s="4"/>
      <c r="JPE14" s="4"/>
      <c r="JPF14" s="4"/>
      <c r="JPG14" s="4"/>
      <c r="JPH14" s="4"/>
      <c r="JPI14" s="4"/>
      <c r="JPJ14" s="4"/>
      <c r="JPK14" s="4"/>
      <c r="JPL14" s="4"/>
      <c r="JPM14" s="4"/>
      <c r="JPN14" s="4"/>
      <c r="JPO14" s="4"/>
      <c r="JPP14" s="4"/>
      <c r="JPQ14" s="4"/>
      <c r="JPR14" s="4"/>
      <c r="JPS14" s="4"/>
      <c r="JPT14" s="4"/>
      <c r="JPU14" s="4"/>
      <c r="JPV14" s="4"/>
      <c r="JPW14" s="4"/>
      <c r="JPX14" s="4"/>
      <c r="JPY14" s="4"/>
      <c r="JPZ14" s="4"/>
      <c r="JQA14" s="4"/>
      <c r="JQB14" s="4"/>
      <c r="JQC14" s="4"/>
      <c r="JQD14" s="4"/>
      <c r="JQE14" s="4"/>
      <c r="JQF14" s="4"/>
      <c r="JQG14" s="4"/>
      <c r="JQH14" s="4"/>
      <c r="JQI14" s="4"/>
      <c r="JQJ14" s="4"/>
      <c r="JQK14" s="4"/>
      <c r="JQL14" s="4"/>
      <c r="JQM14" s="4"/>
      <c r="JQN14" s="4"/>
      <c r="JQO14" s="4"/>
      <c r="JQP14" s="4"/>
      <c r="JQQ14" s="4"/>
      <c r="JQR14" s="4"/>
      <c r="JQS14" s="4"/>
      <c r="JQT14" s="4"/>
      <c r="JQU14" s="4"/>
      <c r="JQV14" s="4"/>
      <c r="JQW14" s="4"/>
      <c r="JQX14" s="4"/>
      <c r="JQY14" s="4"/>
      <c r="JQZ14" s="4"/>
      <c r="JRA14" s="4"/>
      <c r="JRB14" s="4"/>
      <c r="JRC14" s="4"/>
      <c r="JRD14" s="4"/>
      <c r="JRE14" s="4"/>
      <c r="JRF14" s="4"/>
      <c r="JRG14" s="4"/>
      <c r="JRH14" s="4"/>
      <c r="JRI14" s="4"/>
      <c r="JRJ14" s="4"/>
      <c r="JRK14" s="4"/>
      <c r="JRL14" s="4"/>
      <c r="JRM14" s="4"/>
      <c r="JRN14" s="4"/>
      <c r="JRO14" s="4"/>
      <c r="JRP14" s="4"/>
      <c r="JRQ14" s="4"/>
      <c r="JRR14" s="4"/>
      <c r="JRS14" s="4"/>
      <c r="JRT14" s="4"/>
      <c r="JRU14" s="4"/>
      <c r="JRV14" s="4"/>
      <c r="JRW14" s="4"/>
      <c r="JRX14" s="4"/>
      <c r="JRY14" s="4"/>
      <c r="JRZ14" s="4"/>
      <c r="JSA14" s="4"/>
      <c r="JSB14" s="4"/>
      <c r="JSC14" s="4"/>
      <c r="JSD14" s="4"/>
      <c r="JSE14" s="4"/>
      <c r="JSF14" s="4"/>
      <c r="JSG14" s="4"/>
      <c r="JSH14" s="4"/>
      <c r="JSI14" s="4"/>
      <c r="JSJ14" s="4"/>
      <c r="JSK14" s="4"/>
      <c r="JSL14" s="4"/>
      <c r="JSM14" s="4"/>
      <c r="JSN14" s="4"/>
      <c r="JSO14" s="4"/>
      <c r="JSP14" s="4"/>
      <c r="JSQ14" s="4"/>
      <c r="JSR14" s="4"/>
      <c r="JSS14" s="4"/>
      <c r="JST14" s="4"/>
      <c r="JSU14" s="4"/>
      <c r="JSV14" s="4"/>
      <c r="JSW14" s="4"/>
      <c r="JSX14" s="4"/>
      <c r="JSY14" s="4"/>
      <c r="JSZ14" s="4"/>
      <c r="JTA14" s="4"/>
      <c r="JTB14" s="4"/>
      <c r="JTC14" s="4"/>
      <c r="JTD14" s="4"/>
      <c r="JTE14" s="4"/>
      <c r="JTF14" s="4"/>
      <c r="JTG14" s="4"/>
      <c r="JTH14" s="4"/>
      <c r="JTI14" s="4"/>
      <c r="JTJ14" s="4"/>
      <c r="JTK14" s="4"/>
      <c r="JTL14" s="4"/>
      <c r="JTM14" s="4"/>
      <c r="JTN14" s="4"/>
      <c r="JTO14" s="4"/>
      <c r="JTP14" s="4"/>
      <c r="JTQ14" s="4"/>
      <c r="JTR14" s="4"/>
      <c r="JTS14" s="4"/>
      <c r="JTT14" s="4"/>
      <c r="JTU14" s="4"/>
      <c r="JTV14" s="4"/>
      <c r="JTW14" s="4"/>
      <c r="JTX14" s="4"/>
      <c r="JTY14" s="4"/>
      <c r="JTZ14" s="4"/>
      <c r="JUA14" s="4"/>
      <c r="JUB14" s="4"/>
      <c r="JUC14" s="4"/>
      <c r="JUD14" s="4"/>
      <c r="JUE14" s="4"/>
      <c r="JUF14" s="4"/>
      <c r="JUG14" s="4"/>
      <c r="JUH14" s="4"/>
      <c r="JUI14" s="4"/>
      <c r="JUJ14" s="4"/>
      <c r="JUK14" s="4"/>
      <c r="JUL14" s="4"/>
      <c r="JUM14" s="4"/>
      <c r="JUN14" s="4"/>
      <c r="JUO14" s="4"/>
      <c r="JUP14" s="4"/>
      <c r="JUQ14" s="4"/>
      <c r="JUR14" s="4"/>
      <c r="JUS14" s="4"/>
      <c r="JUT14" s="4"/>
      <c r="JUU14" s="4"/>
      <c r="JUV14" s="4"/>
      <c r="JUW14" s="4"/>
      <c r="JUX14" s="4"/>
      <c r="JUY14" s="4"/>
      <c r="JUZ14" s="4"/>
      <c r="JVA14" s="4"/>
      <c r="JVB14" s="4"/>
      <c r="JVC14" s="4"/>
      <c r="JVD14" s="4"/>
      <c r="JVE14" s="4"/>
      <c r="JVF14" s="4"/>
      <c r="JVG14" s="4"/>
      <c r="JVH14" s="4"/>
      <c r="JVI14" s="4"/>
      <c r="JVJ14" s="4"/>
      <c r="JVK14" s="4"/>
      <c r="JVL14" s="4"/>
      <c r="JVM14" s="4"/>
      <c r="JVN14" s="4"/>
      <c r="JVO14" s="4"/>
      <c r="JVP14" s="4"/>
      <c r="JVQ14" s="4"/>
      <c r="JVR14" s="4"/>
      <c r="JVS14" s="4"/>
      <c r="JVT14" s="4"/>
      <c r="JVU14" s="4"/>
      <c r="JVV14" s="4"/>
      <c r="JVW14" s="4"/>
      <c r="JVX14" s="4"/>
      <c r="JVY14" s="4"/>
      <c r="JVZ14" s="4"/>
      <c r="JWA14" s="4"/>
      <c r="JWB14" s="4"/>
      <c r="JWC14" s="4"/>
      <c r="JWD14" s="4"/>
      <c r="JWE14" s="4"/>
      <c r="JWF14" s="4"/>
      <c r="JWG14" s="4"/>
      <c r="JWH14" s="4"/>
      <c r="JWI14" s="4"/>
      <c r="JWJ14" s="4"/>
      <c r="JWK14" s="4"/>
      <c r="JWL14" s="4"/>
      <c r="JWM14" s="4"/>
      <c r="JWN14" s="4"/>
      <c r="JWO14" s="4"/>
      <c r="JWP14" s="4"/>
      <c r="JWQ14" s="4"/>
      <c r="JWR14" s="4"/>
      <c r="JWS14" s="4"/>
      <c r="JWT14" s="4"/>
      <c r="JWU14" s="4"/>
      <c r="JWV14" s="4"/>
      <c r="JWW14" s="4"/>
      <c r="JWX14" s="4"/>
      <c r="JWY14" s="4"/>
      <c r="JWZ14" s="4"/>
      <c r="JXA14" s="4"/>
      <c r="JXB14" s="4"/>
      <c r="JXC14" s="4"/>
      <c r="JXD14" s="4"/>
      <c r="JXE14" s="4"/>
      <c r="JXF14" s="4"/>
      <c r="JXG14" s="4"/>
      <c r="JXH14" s="4"/>
      <c r="JXI14" s="4"/>
      <c r="JXJ14" s="4"/>
      <c r="JXK14" s="4"/>
      <c r="JXL14" s="4"/>
      <c r="JXM14" s="4"/>
      <c r="JXN14" s="4"/>
      <c r="JXO14" s="4"/>
      <c r="JXP14" s="4"/>
      <c r="JXQ14" s="4"/>
      <c r="JXR14" s="4"/>
      <c r="JXS14" s="4"/>
      <c r="JXT14" s="4"/>
      <c r="JXU14" s="4"/>
      <c r="JXV14" s="4"/>
      <c r="JXW14" s="4"/>
      <c r="JXX14" s="4"/>
      <c r="JXY14" s="4"/>
      <c r="JXZ14" s="4"/>
      <c r="JYA14" s="4"/>
      <c r="JYB14" s="4"/>
      <c r="JYC14" s="4"/>
      <c r="JYD14" s="4"/>
      <c r="JYE14" s="4"/>
      <c r="JYF14" s="4"/>
      <c r="JYG14" s="4"/>
      <c r="JYH14" s="4"/>
      <c r="JYI14" s="4"/>
      <c r="JYJ14" s="4"/>
      <c r="JYK14" s="4"/>
      <c r="JYL14" s="4"/>
      <c r="JYM14" s="4"/>
      <c r="JYN14" s="4"/>
      <c r="JYO14" s="4"/>
      <c r="JYP14" s="4"/>
      <c r="JYQ14" s="4"/>
      <c r="JYR14" s="4"/>
      <c r="JYS14" s="4"/>
      <c r="JYT14" s="4"/>
      <c r="JYU14" s="4"/>
      <c r="JYV14" s="4"/>
      <c r="JYW14" s="4"/>
      <c r="JYX14" s="4"/>
      <c r="JYY14" s="4"/>
      <c r="JYZ14" s="4"/>
      <c r="JZA14" s="4"/>
      <c r="JZB14" s="4"/>
      <c r="JZC14" s="4"/>
      <c r="JZD14" s="4"/>
      <c r="JZE14" s="4"/>
      <c r="JZF14" s="4"/>
      <c r="JZG14" s="4"/>
      <c r="JZH14" s="4"/>
      <c r="JZI14" s="4"/>
      <c r="JZJ14" s="4"/>
      <c r="JZK14" s="4"/>
      <c r="JZL14" s="4"/>
      <c r="JZM14" s="4"/>
      <c r="JZN14" s="4"/>
      <c r="JZO14" s="4"/>
      <c r="JZP14" s="4"/>
      <c r="JZQ14" s="4"/>
      <c r="JZR14" s="4"/>
      <c r="JZS14" s="4"/>
      <c r="JZT14" s="4"/>
      <c r="JZU14" s="4"/>
      <c r="JZV14" s="4"/>
      <c r="JZW14" s="4"/>
      <c r="JZX14" s="4"/>
      <c r="JZY14" s="4"/>
      <c r="JZZ14" s="4"/>
      <c r="KAA14" s="4"/>
      <c r="KAB14" s="4"/>
      <c r="KAC14" s="4"/>
      <c r="KAD14" s="4"/>
      <c r="KAE14" s="4"/>
      <c r="KAF14" s="4"/>
      <c r="KAG14" s="4"/>
      <c r="KAH14" s="4"/>
      <c r="KAI14" s="4"/>
      <c r="KAJ14" s="4"/>
      <c r="KAK14" s="4"/>
      <c r="KAL14" s="4"/>
      <c r="KAM14" s="4"/>
      <c r="KAN14" s="4"/>
      <c r="KAO14" s="4"/>
      <c r="KAP14" s="4"/>
      <c r="KAQ14" s="4"/>
      <c r="KAR14" s="4"/>
      <c r="KAS14" s="4"/>
      <c r="KAT14" s="4"/>
      <c r="KAU14" s="4"/>
      <c r="KAV14" s="4"/>
      <c r="KAW14" s="4"/>
      <c r="KAX14" s="4"/>
      <c r="KAY14" s="4"/>
      <c r="KAZ14" s="4"/>
      <c r="KBA14" s="4"/>
      <c r="KBB14" s="4"/>
      <c r="KBC14" s="4"/>
      <c r="KBD14" s="4"/>
      <c r="KBE14" s="4"/>
      <c r="KBF14" s="4"/>
      <c r="KBG14" s="4"/>
      <c r="KBH14" s="4"/>
      <c r="KBI14" s="4"/>
      <c r="KBJ14" s="4"/>
      <c r="KBK14" s="4"/>
      <c r="KBL14" s="4"/>
      <c r="KBM14" s="4"/>
      <c r="KBN14" s="4"/>
      <c r="KBO14" s="4"/>
      <c r="KBP14" s="4"/>
      <c r="KBQ14" s="4"/>
      <c r="KBR14" s="4"/>
      <c r="KBS14" s="4"/>
      <c r="KBT14" s="4"/>
      <c r="KBU14" s="4"/>
      <c r="KBV14" s="4"/>
      <c r="KBW14" s="4"/>
      <c r="KBX14" s="4"/>
      <c r="KBY14" s="4"/>
      <c r="KBZ14" s="4"/>
      <c r="KCA14" s="4"/>
      <c r="KCB14" s="4"/>
      <c r="KCC14" s="4"/>
      <c r="KCD14" s="4"/>
      <c r="KCE14" s="4"/>
      <c r="KCF14" s="4"/>
      <c r="KCG14" s="4"/>
      <c r="KCH14" s="4"/>
      <c r="KCI14" s="4"/>
      <c r="KCJ14" s="4"/>
      <c r="KCK14" s="4"/>
      <c r="KCL14" s="4"/>
      <c r="KCM14" s="4"/>
      <c r="KCN14" s="4"/>
      <c r="KCO14" s="4"/>
      <c r="KCP14" s="4"/>
      <c r="KCQ14" s="4"/>
      <c r="KCR14" s="4"/>
      <c r="KCS14" s="4"/>
      <c r="KCT14" s="4"/>
      <c r="KCU14" s="4"/>
      <c r="KCV14" s="4"/>
      <c r="KCW14" s="4"/>
      <c r="KCX14" s="4"/>
      <c r="KCY14" s="4"/>
      <c r="KCZ14" s="4"/>
      <c r="KDA14" s="4"/>
      <c r="KDB14" s="4"/>
      <c r="KDC14" s="4"/>
      <c r="KDD14" s="4"/>
      <c r="KDE14" s="4"/>
      <c r="KDF14" s="4"/>
      <c r="KDG14" s="4"/>
      <c r="KDH14" s="4"/>
      <c r="KDI14" s="4"/>
      <c r="KDJ14" s="4"/>
      <c r="KDK14" s="4"/>
      <c r="KDL14" s="4"/>
      <c r="KDM14" s="4"/>
      <c r="KDN14" s="4"/>
      <c r="KDO14" s="4"/>
      <c r="KDP14" s="4"/>
      <c r="KDQ14" s="4"/>
      <c r="KDR14" s="4"/>
      <c r="KDS14" s="4"/>
      <c r="KDT14" s="4"/>
      <c r="KDU14" s="4"/>
      <c r="KDV14" s="4"/>
      <c r="KDW14" s="4"/>
      <c r="KDX14" s="4"/>
      <c r="KDY14" s="4"/>
      <c r="KDZ14" s="4"/>
      <c r="KEA14" s="4"/>
      <c r="KEB14" s="4"/>
      <c r="KEC14" s="4"/>
      <c r="KED14" s="4"/>
      <c r="KEE14" s="4"/>
      <c r="KEF14" s="4"/>
      <c r="KEG14" s="4"/>
      <c r="KEH14" s="4"/>
      <c r="KEI14" s="4"/>
      <c r="KEJ14" s="4"/>
      <c r="KEK14" s="4"/>
      <c r="KEL14" s="4"/>
      <c r="KEM14" s="4"/>
      <c r="KEN14" s="4"/>
      <c r="KEO14" s="4"/>
      <c r="KEP14" s="4"/>
      <c r="KEQ14" s="4"/>
      <c r="KER14" s="4"/>
      <c r="KES14" s="4"/>
      <c r="KET14" s="4"/>
      <c r="KEU14" s="4"/>
      <c r="KEV14" s="4"/>
      <c r="KEW14" s="4"/>
      <c r="KEX14" s="4"/>
      <c r="KEY14" s="4"/>
      <c r="KEZ14" s="4"/>
      <c r="KFA14" s="4"/>
      <c r="KFB14" s="4"/>
      <c r="KFC14" s="4"/>
      <c r="KFD14" s="4"/>
      <c r="KFE14" s="4"/>
      <c r="KFF14" s="4"/>
      <c r="KFG14" s="4"/>
      <c r="KFH14" s="4"/>
      <c r="KFI14" s="4"/>
      <c r="KFJ14" s="4"/>
      <c r="KFK14" s="4"/>
      <c r="KFL14" s="4"/>
      <c r="KFM14" s="4"/>
      <c r="KFN14" s="4"/>
      <c r="KFO14" s="4"/>
      <c r="KFP14" s="4"/>
      <c r="KFQ14" s="4"/>
      <c r="KFR14" s="4"/>
      <c r="KFS14" s="4"/>
      <c r="KFT14" s="4"/>
      <c r="KFU14" s="4"/>
      <c r="KFV14" s="4"/>
      <c r="KFW14" s="4"/>
      <c r="KFX14" s="4"/>
      <c r="KFY14" s="4"/>
      <c r="KFZ14" s="4"/>
      <c r="KGA14" s="4"/>
      <c r="KGB14" s="4"/>
      <c r="KGC14" s="4"/>
      <c r="KGD14" s="4"/>
      <c r="KGE14" s="4"/>
      <c r="KGF14" s="4"/>
      <c r="KGG14" s="4"/>
      <c r="KGH14" s="4"/>
      <c r="KGI14" s="4"/>
      <c r="KGJ14" s="4"/>
      <c r="KGK14" s="4"/>
      <c r="KGL14" s="4"/>
      <c r="KGM14" s="4"/>
      <c r="KGN14" s="4"/>
      <c r="KGO14" s="4"/>
      <c r="KGP14" s="4"/>
      <c r="KGQ14" s="4"/>
      <c r="KGR14" s="4"/>
      <c r="KGS14" s="4"/>
      <c r="KGT14" s="4"/>
      <c r="KGU14" s="4"/>
      <c r="KGV14" s="4"/>
      <c r="KGW14" s="4"/>
      <c r="KGX14" s="4"/>
      <c r="KGY14" s="4"/>
      <c r="KGZ14" s="4"/>
      <c r="KHA14" s="4"/>
      <c r="KHB14" s="4"/>
      <c r="KHC14" s="4"/>
      <c r="KHD14" s="4"/>
      <c r="KHE14" s="4"/>
      <c r="KHF14" s="4"/>
      <c r="KHG14" s="4"/>
      <c r="KHH14" s="4"/>
      <c r="KHI14" s="4"/>
      <c r="KHJ14" s="4"/>
      <c r="KHK14" s="4"/>
      <c r="KHL14" s="4"/>
      <c r="KHM14" s="4"/>
      <c r="KHN14" s="4"/>
      <c r="KHO14" s="4"/>
      <c r="KHP14" s="4"/>
      <c r="KHQ14" s="4"/>
      <c r="KHR14" s="4"/>
      <c r="KHS14" s="4"/>
      <c r="KHT14" s="4"/>
      <c r="KHU14" s="4"/>
      <c r="KHV14" s="4"/>
      <c r="KHW14" s="4"/>
      <c r="KHX14" s="4"/>
      <c r="KHY14" s="4"/>
      <c r="KHZ14" s="4"/>
      <c r="KIA14" s="4"/>
      <c r="KIB14" s="4"/>
      <c r="KIC14" s="4"/>
      <c r="KID14" s="4"/>
      <c r="KIE14" s="4"/>
      <c r="KIF14" s="4"/>
      <c r="KIG14" s="4"/>
      <c r="KIH14" s="4"/>
      <c r="KII14" s="4"/>
      <c r="KIJ14" s="4"/>
      <c r="KIK14" s="4"/>
      <c r="KIL14" s="4"/>
      <c r="KIM14" s="4"/>
      <c r="KIN14" s="4"/>
      <c r="KIO14" s="4"/>
      <c r="KIP14" s="4"/>
      <c r="KIQ14" s="4"/>
      <c r="KIR14" s="4"/>
      <c r="KIS14" s="4"/>
      <c r="KIT14" s="4"/>
      <c r="KIU14" s="4"/>
      <c r="KIV14" s="4"/>
      <c r="KIW14" s="4"/>
      <c r="KIX14" s="4"/>
      <c r="KIY14" s="4"/>
      <c r="KIZ14" s="4"/>
      <c r="KJA14" s="4"/>
      <c r="KJB14" s="4"/>
      <c r="KJC14" s="4"/>
      <c r="KJD14" s="4"/>
      <c r="KJE14" s="4"/>
      <c r="KJF14" s="4"/>
      <c r="KJG14" s="4"/>
      <c r="KJH14" s="4"/>
      <c r="KJI14" s="4"/>
      <c r="KJJ14" s="4"/>
      <c r="KJK14" s="4"/>
      <c r="KJL14" s="4"/>
      <c r="KJM14" s="4"/>
      <c r="KJN14" s="4"/>
      <c r="KJO14" s="4"/>
      <c r="KJP14" s="4"/>
      <c r="KJQ14" s="4"/>
      <c r="KJR14" s="4"/>
      <c r="KJS14" s="4"/>
      <c r="KJT14" s="4"/>
      <c r="KJU14" s="4"/>
      <c r="KJV14" s="4"/>
      <c r="KJW14" s="4"/>
      <c r="KJX14" s="4"/>
      <c r="KJY14" s="4"/>
      <c r="KJZ14" s="4"/>
      <c r="KKA14" s="4"/>
      <c r="KKB14" s="4"/>
      <c r="KKC14" s="4"/>
      <c r="KKD14" s="4"/>
      <c r="KKE14" s="4"/>
      <c r="KKF14" s="4"/>
      <c r="KKG14" s="4"/>
      <c r="KKH14" s="4"/>
      <c r="KKI14" s="4"/>
      <c r="KKJ14" s="4"/>
      <c r="KKK14" s="4"/>
      <c r="KKL14" s="4"/>
      <c r="KKM14" s="4"/>
      <c r="KKN14" s="4"/>
      <c r="KKO14" s="4"/>
      <c r="KKP14" s="4"/>
      <c r="KKQ14" s="4"/>
      <c r="KKR14" s="4"/>
      <c r="KKS14" s="4"/>
      <c r="KKT14" s="4"/>
      <c r="KKU14" s="4"/>
      <c r="KKV14" s="4"/>
      <c r="KKW14" s="4"/>
      <c r="KKX14" s="4"/>
      <c r="KKY14" s="4"/>
      <c r="KKZ14" s="4"/>
      <c r="KLA14" s="4"/>
      <c r="KLB14" s="4"/>
      <c r="KLC14" s="4"/>
      <c r="KLD14" s="4"/>
      <c r="KLE14" s="4"/>
      <c r="KLF14" s="4"/>
      <c r="KLG14" s="4"/>
      <c r="KLH14" s="4"/>
      <c r="KLI14" s="4"/>
      <c r="KLJ14" s="4"/>
      <c r="KLK14" s="4"/>
      <c r="KLL14" s="4"/>
      <c r="KLM14" s="4"/>
      <c r="KLN14" s="4"/>
      <c r="KLO14" s="4"/>
      <c r="KLP14" s="4"/>
      <c r="KLQ14" s="4"/>
      <c r="KLR14" s="4"/>
      <c r="KLS14" s="4"/>
      <c r="KLT14" s="4"/>
      <c r="KLU14" s="4"/>
      <c r="KLV14" s="4"/>
      <c r="KLW14" s="4"/>
      <c r="KLX14" s="4"/>
      <c r="KLY14" s="4"/>
      <c r="KLZ14" s="4"/>
      <c r="KMA14" s="4"/>
      <c r="KMB14" s="4"/>
      <c r="KMC14" s="4"/>
      <c r="KMD14" s="4"/>
      <c r="KME14" s="4"/>
      <c r="KMF14" s="4"/>
      <c r="KMG14" s="4"/>
      <c r="KMH14" s="4"/>
      <c r="KMI14" s="4"/>
      <c r="KMJ14" s="4"/>
      <c r="KMK14" s="4"/>
      <c r="KML14" s="4"/>
      <c r="KMM14" s="4"/>
      <c r="KMN14" s="4"/>
      <c r="KMO14" s="4"/>
      <c r="KMP14" s="4"/>
      <c r="KMQ14" s="4"/>
      <c r="KMR14" s="4"/>
      <c r="KMS14" s="4"/>
      <c r="KMT14" s="4"/>
      <c r="KMU14" s="4"/>
      <c r="KMV14" s="4"/>
      <c r="KMW14" s="4"/>
      <c r="KMX14" s="4"/>
      <c r="KMY14" s="4"/>
      <c r="KMZ14" s="4"/>
      <c r="KNA14" s="4"/>
      <c r="KNB14" s="4"/>
      <c r="KNC14" s="4"/>
      <c r="KND14" s="4"/>
      <c r="KNE14" s="4"/>
      <c r="KNF14" s="4"/>
      <c r="KNG14" s="4"/>
      <c r="KNH14" s="4"/>
      <c r="KNI14" s="4"/>
      <c r="KNJ14" s="4"/>
      <c r="KNK14" s="4"/>
      <c r="KNL14" s="4"/>
      <c r="KNM14" s="4"/>
      <c r="KNN14" s="4"/>
      <c r="KNO14" s="4"/>
      <c r="KNP14" s="4"/>
      <c r="KNQ14" s="4"/>
      <c r="KNR14" s="4"/>
      <c r="KNS14" s="4"/>
      <c r="KNT14" s="4"/>
      <c r="KNU14" s="4"/>
      <c r="KNV14" s="4"/>
      <c r="KNW14" s="4"/>
      <c r="KNX14" s="4"/>
      <c r="KNY14" s="4"/>
      <c r="KNZ14" s="4"/>
      <c r="KOA14" s="4"/>
      <c r="KOB14" s="4"/>
      <c r="KOC14" s="4"/>
      <c r="KOD14" s="4"/>
      <c r="KOE14" s="4"/>
      <c r="KOF14" s="4"/>
      <c r="KOG14" s="4"/>
      <c r="KOH14" s="4"/>
      <c r="KOI14" s="4"/>
      <c r="KOJ14" s="4"/>
      <c r="KOK14" s="4"/>
      <c r="KOL14" s="4"/>
      <c r="KOM14" s="4"/>
      <c r="KON14" s="4"/>
      <c r="KOO14" s="4"/>
      <c r="KOP14" s="4"/>
      <c r="KOQ14" s="4"/>
      <c r="KOR14" s="4"/>
      <c r="KOS14" s="4"/>
      <c r="KOT14" s="4"/>
      <c r="KOU14" s="4"/>
      <c r="KOV14" s="4"/>
      <c r="KOW14" s="4"/>
      <c r="KOX14" s="4"/>
      <c r="KOY14" s="4"/>
      <c r="KOZ14" s="4"/>
      <c r="KPA14" s="4"/>
      <c r="KPB14" s="4"/>
      <c r="KPC14" s="4"/>
      <c r="KPD14" s="4"/>
      <c r="KPE14" s="4"/>
      <c r="KPF14" s="4"/>
      <c r="KPG14" s="4"/>
      <c r="KPH14" s="4"/>
      <c r="KPI14" s="4"/>
      <c r="KPJ14" s="4"/>
      <c r="KPK14" s="4"/>
      <c r="KPL14" s="4"/>
      <c r="KPM14" s="4"/>
      <c r="KPN14" s="4"/>
      <c r="KPO14" s="4"/>
      <c r="KPP14" s="4"/>
      <c r="KPQ14" s="4"/>
      <c r="KPR14" s="4"/>
      <c r="KPS14" s="4"/>
      <c r="KPT14" s="4"/>
      <c r="KPU14" s="4"/>
      <c r="KPV14" s="4"/>
      <c r="KPW14" s="4"/>
      <c r="KPX14" s="4"/>
      <c r="KPY14" s="4"/>
      <c r="KPZ14" s="4"/>
      <c r="KQA14" s="4"/>
      <c r="KQB14" s="4"/>
      <c r="KQC14" s="4"/>
      <c r="KQD14" s="4"/>
      <c r="KQE14" s="4"/>
      <c r="KQF14" s="4"/>
      <c r="KQG14" s="4"/>
      <c r="KQH14" s="4"/>
      <c r="KQI14" s="4"/>
      <c r="KQJ14" s="4"/>
      <c r="KQK14" s="4"/>
      <c r="KQL14" s="4"/>
      <c r="KQM14" s="4"/>
      <c r="KQN14" s="4"/>
      <c r="KQO14" s="4"/>
      <c r="KQP14" s="4"/>
      <c r="KQQ14" s="4"/>
      <c r="KQR14" s="4"/>
      <c r="KQS14" s="4"/>
      <c r="KQT14" s="4"/>
      <c r="KQU14" s="4"/>
      <c r="KQV14" s="4"/>
      <c r="KQW14" s="4"/>
      <c r="KQX14" s="4"/>
      <c r="KQY14" s="4"/>
      <c r="KQZ14" s="4"/>
      <c r="KRA14" s="4"/>
      <c r="KRB14" s="4"/>
      <c r="KRC14" s="4"/>
      <c r="KRD14" s="4"/>
      <c r="KRE14" s="4"/>
      <c r="KRF14" s="4"/>
      <c r="KRG14" s="4"/>
      <c r="KRH14" s="4"/>
      <c r="KRI14" s="4"/>
      <c r="KRJ14" s="4"/>
      <c r="KRK14" s="4"/>
      <c r="KRL14" s="4"/>
      <c r="KRM14" s="4"/>
      <c r="KRN14" s="4"/>
      <c r="KRO14" s="4"/>
      <c r="KRP14" s="4"/>
      <c r="KRQ14" s="4"/>
      <c r="KRR14" s="4"/>
      <c r="KRS14" s="4"/>
      <c r="KRT14" s="4"/>
      <c r="KRU14" s="4"/>
      <c r="KRV14" s="4"/>
      <c r="KRW14" s="4"/>
      <c r="KRX14" s="4"/>
      <c r="KRY14" s="4"/>
      <c r="KRZ14" s="4"/>
      <c r="KSA14" s="4"/>
      <c r="KSB14" s="4"/>
      <c r="KSC14" s="4"/>
      <c r="KSD14" s="4"/>
      <c r="KSE14" s="4"/>
      <c r="KSF14" s="4"/>
      <c r="KSG14" s="4"/>
      <c r="KSH14" s="4"/>
      <c r="KSI14" s="4"/>
      <c r="KSJ14" s="4"/>
      <c r="KSK14" s="4"/>
      <c r="KSL14" s="4"/>
      <c r="KSM14" s="4"/>
      <c r="KSN14" s="4"/>
      <c r="KSO14" s="4"/>
      <c r="KSP14" s="4"/>
      <c r="KSQ14" s="4"/>
      <c r="KSR14" s="4"/>
      <c r="KSS14" s="4"/>
      <c r="KST14" s="4"/>
      <c r="KSU14" s="4"/>
      <c r="KSV14" s="4"/>
      <c r="KSW14" s="4"/>
      <c r="KSX14" s="4"/>
      <c r="KSY14" s="4"/>
      <c r="KSZ14" s="4"/>
      <c r="KTA14" s="4"/>
      <c r="KTB14" s="4"/>
      <c r="KTC14" s="4"/>
      <c r="KTD14" s="4"/>
      <c r="KTE14" s="4"/>
      <c r="KTF14" s="4"/>
      <c r="KTG14" s="4"/>
      <c r="KTH14" s="4"/>
      <c r="KTI14" s="4"/>
      <c r="KTJ14" s="4"/>
      <c r="KTK14" s="4"/>
      <c r="KTL14" s="4"/>
      <c r="KTM14" s="4"/>
      <c r="KTN14" s="4"/>
      <c r="KTO14" s="4"/>
      <c r="KTP14" s="4"/>
      <c r="KTQ14" s="4"/>
      <c r="KTR14" s="4"/>
      <c r="KTS14" s="4"/>
      <c r="KTT14" s="4"/>
      <c r="KTU14" s="4"/>
      <c r="KTV14" s="4"/>
      <c r="KTW14" s="4"/>
      <c r="KTX14" s="4"/>
      <c r="KTY14" s="4"/>
      <c r="KTZ14" s="4"/>
      <c r="KUA14" s="4"/>
      <c r="KUB14" s="4"/>
      <c r="KUC14" s="4"/>
      <c r="KUD14" s="4"/>
      <c r="KUE14" s="4"/>
      <c r="KUF14" s="4"/>
      <c r="KUG14" s="4"/>
      <c r="KUH14" s="4"/>
      <c r="KUI14" s="4"/>
      <c r="KUJ14" s="4"/>
      <c r="KUK14" s="4"/>
      <c r="KUL14" s="4"/>
      <c r="KUM14" s="4"/>
      <c r="KUN14" s="4"/>
      <c r="KUO14" s="4"/>
      <c r="KUP14" s="4"/>
      <c r="KUQ14" s="4"/>
      <c r="KUR14" s="4"/>
      <c r="KUS14" s="4"/>
      <c r="KUT14" s="4"/>
      <c r="KUU14" s="4"/>
      <c r="KUV14" s="4"/>
      <c r="KUW14" s="4"/>
      <c r="KUX14" s="4"/>
      <c r="KUY14" s="4"/>
      <c r="KUZ14" s="4"/>
      <c r="KVA14" s="4"/>
      <c r="KVB14" s="4"/>
      <c r="KVC14" s="4"/>
      <c r="KVD14" s="4"/>
      <c r="KVE14" s="4"/>
      <c r="KVF14" s="4"/>
      <c r="KVG14" s="4"/>
      <c r="KVH14" s="4"/>
      <c r="KVI14" s="4"/>
      <c r="KVJ14" s="4"/>
      <c r="KVK14" s="4"/>
      <c r="KVL14" s="4"/>
      <c r="KVM14" s="4"/>
      <c r="KVN14" s="4"/>
      <c r="KVO14" s="4"/>
      <c r="KVP14" s="4"/>
      <c r="KVQ14" s="4"/>
      <c r="KVR14" s="4"/>
      <c r="KVS14" s="4"/>
      <c r="KVT14" s="4"/>
      <c r="KVU14" s="4"/>
      <c r="KVV14" s="4"/>
      <c r="KVW14" s="4"/>
      <c r="KVX14" s="4"/>
      <c r="KVY14" s="4"/>
      <c r="KVZ14" s="4"/>
      <c r="KWA14" s="4"/>
      <c r="KWB14" s="4"/>
      <c r="KWC14" s="4"/>
      <c r="KWD14" s="4"/>
      <c r="KWE14" s="4"/>
      <c r="KWF14" s="4"/>
      <c r="KWG14" s="4"/>
      <c r="KWH14" s="4"/>
      <c r="KWI14" s="4"/>
      <c r="KWJ14" s="4"/>
      <c r="KWK14" s="4"/>
      <c r="KWL14" s="4"/>
      <c r="KWM14" s="4"/>
      <c r="KWN14" s="4"/>
      <c r="KWO14" s="4"/>
      <c r="KWP14" s="4"/>
      <c r="KWQ14" s="4"/>
      <c r="KWR14" s="4"/>
      <c r="KWS14" s="4"/>
      <c r="KWT14" s="4"/>
      <c r="KWU14" s="4"/>
      <c r="KWV14" s="4"/>
      <c r="KWW14" s="4"/>
      <c r="KWX14" s="4"/>
      <c r="KWY14" s="4"/>
      <c r="KWZ14" s="4"/>
      <c r="KXA14" s="4"/>
      <c r="KXB14" s="4"/>
      <c r="KXC14" s="4"/>
      <c r="KXD14" s="4"/>
      <c r="KXE14" s="4"/>
      <c r="KXF14" s="4"/>
      <c r="KXG14" s="4"/>
      <c r="KXH14" s="4"/>
      <c r="KXI14" s="4"/>
      <c r="KXJ14" s="4"/>
      <c r="KXK14" s="4"/>
      <c r="KXL14" s="4"/>
      <c r="KXM14" s="4"/>
      <c r="KXN14" s="4"/>
      <c r="KXO14" s="4"/>
      <c r="KXP14" s="4"/>
      <c r="KXQ14" s="4"/>
      <c r="KXR14" s="4"/>
      <c r="KXS14" s="4"/>
      <c r="KXT14" s="4"/>
      <c r="KXU14" s="4"/>
      <c r="KXV14" s="4"/>
      <c r="KXW14" s="4"/>
      <c r="KXX14" s="4"/>
      <c r="KXY14" s="4"/>
      <c r="KXZ14" s="4"/>
      <c r="KYA14" s="4"/>
      <c r="KYB14" s="4"/>
      <c r="KYC14" s="4"/>
      <c r="KYD14" s="4"/>
      <c r="KYE14" s="4"/>
      <c r="KYF14" s="4"/>
      <c r="KYG14" s="4"/>
      <c r="KYH14" s="4"/>
      <c r="KYI14" s="4"/>
      <c r="KYJ14" s="4"/>
      <c r="KYK14" s="4"/>
      <c r="KYL14" s="4"/>
      <c r="KYM14" s="4"/>
      <c r="KYN14" s="4"/>
      <c r="KYO14" s="4"/>
      <c r="KYP14" s="4"/>
      <c r="KYQ14" s="4"/>
      <c r="KYR14" s="4"/>
      <c r="KYS14" s="4"/>
      <c r="KYT14" s="4"/>
      <c r="KYU14" s="4"/>
      <c r="KYV14" s="4"/>
      <c r="KYW14" s="4"/>
      <c r="KYX14" s="4"/>
      <c r="KYY14" s="4"/>
      <c r="KYZ14" s="4"/>
      <c r="KZA14" s="4"/>
      <c r="KZB14" s="4"/>
      <c r="KZC14" s="4"/>
      <c r="KZD14" s="4"/>
      <c r="KZE14" s="4"/>
      <c r="KZF14" s="4"/>
      <c r="KZG14" s="4"/>
      <c r="KZH14" s="4"/>
      <c r="KZI14" s="4"/>
      <c r="KZJ14" s="4"/>
      <c r="KZK14" s="4"/>
      <c r="KZL14" s="4"/>
      <c r="KZM14" s="4"/>
      <c r="KZN14" s="4"/>
      <c r="KZO14" s="4"/>
      <c r="KZP14" s="4"/>
      <c r="KZQ14" s="4"/>
      <c r="KZR14" s="4"/>
      <c r="KZS14" s="4"/>
      <c r="KZT14" s="4"/>
      <c r="KZU14" s="4"/>
      <c r="KZV14" s="4"/>
      <c r="KZW14" s="4"/>
      <c r="KZX14" s="4"/>
      <c r="KZY14" s="4"/>
      <c r="KZZ14" s="4"/>
      <c r="LAA14" s="4"/>
      <c r="LAB14" s="4"/>
      <c r="LAC14" s="4"/>
      <c r="LAD14" s="4"/>
      <c r="LAE14" s="4"/>
      <c r="LAF14" s="4"/>
      <c r="LAG14" s="4"/>
      <c r="LAH14" s="4"/>
      <c r="LAI14" s="4"/>
      <c r="LAJ14" s="4"/>
      <c r="LAK14" s="4"/>
      <c r="LAL14" s="4"/>
      <c r="LAM14" s="4"/>
      <c r="LAN14" s="4"/>
      <c r="LAO14" s="4"/>
      <c r="LAP14" s="4"/>
      <c r="LAQ14" s="4"/>
      <c r="LAR14" s="4"/>
      <c r="LAS14" s="4"/>
      <c r="LAT14" s="4"/>
      <c r="LAU14" s="4"/>
      <c r="LAV14" s="4"/>
      <c r="LAW14" s="4"/>
      <c r="LAX14" s="4"/>
      <c r="LAY14" s="4"/>
      <c r="LAZ14" s="4"/>
      <c r="LBA14" s="4"/>
      <c r="LBB14" s="4"/>
      <c r="LBC14" s="4"/>
      <c r="LBD14" s="4"/>
      <c r="LBE14" s="4"/>
      <c r="LBF14" s="4"/>
      <c r="LBG14" s="4"/>
      <c r="LBH14" s="4"/>
      <c r="LBI14" s="4"/>
      <c r="LBJ14" s="4"/>
      <c r="LBK14" s="4"/>
      <c r="LBL14" s="4"/>
      <c r="LBM14" s="4"/>
      <c r="LBN14" s="4"/>
      <c r="LBO14" s="4"/>
      <c r="LBP14" s="4"/>
      <c r="LBQ14" s="4"/>
      <c r="LBR14" s="4"/>
      <c r="LBS14" s="4"/>
      <c r="LBT14" s="4"/>
      <c r="LBU14" s="4"/>
      <c r="LBV14" s="4"/>
      <c r="LBW14" s="4"/>
      <c r="LBX14" s="4"/>
      <c r="LBY14" s="4"/>
      <c r="LBZ14" s="4"/>
      <c r="LCA14" s="4"/>
      <c r="LCB14" s="4"/>
      <c r="LCC14" s="4"/>
      <c r="LCD14" s="4"/>
      <c r="LCE14" s="4"/>
      <c r="LCF14" s="4"/>
      <c r="LCG14" s="4"/>
      <c r="LCH14" s="4"/>
      <c r="LCI14" s="4"/>
      <c r="LCJ14" s="4"/>
      <c r="LCK14" s="4"/>
      <c r="LCL14" s="4"/>
      <c r="LCM14" s="4"/>
      <c r="LCN14" s="4"/>
      <c r="LCO14" s="4"/>
      <c r="LCP14" s="4"/>
      <c r="LCQ14" s="4"/>
      <c r="LCR14" s="4"/>
      <c r="LCS14" s="4"/>
      <c r="LCT14" s="4"/>
      <c r="LCU14" s="4"/>
      <c r="LCV14" s="4"/>
      <c r="LCW14" s="4"/>
      <c r="LCX14" s="4"/>
      <c r="LCY14" s="4"/>
      <c r="LCZ14" s="4"/>
      <c r="LDA14" s="4"/>
      <c r="LDB14" s="4"/>
      <c r="LDC14" s="4"/>
      <c r="LDD14" s="4"/>
      <c r="LDE14" s="4"/>
      <c r="LDF14" s="4"/>
      <c r="LDG14" s="4"/>
      <c r="LDH14" s="4"/>
      <c r="LDI14" s="4"/>
      <c r="LDJ14" s="4"/>
      <c r="LDK14" s="4"/>
      <c r="LDL14" s="4"/>
      <c r="LDM14" s="4"/>
      <c r="LDN14" s="4"/>
      <c r="LDO14" s="4"/>
      <c r="LDP14" s="4"/>
      <c r="LDQ14" s="4"/>
      <c r="LDR14" s="4"/>
      <c r="LDS14" s="4"/>
      <c r="LDT14" s="4"/>
      <c r="LDU14" s="4"/>
      <c r="LDV14" s="4"/>
      <c r="LDW14" s="4"/>
      <c r="LDX14" s="4"/>
      <c r="LDY14" s="4"/>
      <c r="LDZ14" s="4"/>
      <c r="LEA14" s="4"/>
      <c r="LEB14" s="4"/>
      <c r="LEC14" s="4"/>
      <c r="LED14" s="4"/>
      <c r="LEE14" s="4"/>
      <c r="LEF14" s="4"/>
      <c r="LEG14" s="4"/>
      <c r="LEH14" s="4"/>
      <c r="LEI14" s="4"/>
      <c r="LEJ14" s="4"/>
      <c r="LEK14" s="4"/>
      <c r="LEL14" s="4"/>
      <c r="LEM14" s="4"/>
      <c r="LEN14" s="4"/>
      <c r="LEO14" s="4"/>
      <c r="LEP14" s="4"/>
      <c r="LEQ14" s="4"/>
      <c r="LER14" s="4"/>
      <c r="LES14" s="4"/>
      <c r="LET14" s="4"/>
      <c r="LEU14" s="4"/>
      <c r="LEV14" s="4"/>
      <c r="LEW14" s="4"/>
      <c r="LEX14" s="4"/>
      <c r="LEY14" s="4"/>
      <c r="LEZ14" s="4"/>
      <c r="LFA14" s="4"/>
      <c r="LFB14" s="4"/>
      <c r="LFC14" s="4"/>
      <c r="LFD14" s="4"/>
      <c r="LFE14" s="4"/>
      <c r="LFF14" s="4"/>
      <c r="LFG14" s="4"/>
      <c r="LFH14" s="4"/>
      <c r="LFI14" s="4"/>
      <c r="LFJ14" s="4"/>
      <c r="LFK14" s="4"/>
      <c r="LFL14" s="4"/>
      <c r="LFM14" s="4"/>
      <c r="LFN14" s="4"/>
      <c r="LFO14" s="4"/>
      <c r="LFP14" s="4"/>
      <c r="LFQ14" s="4"/>
      <c r="LFR14" s="4"/>
      <c r="LFS14" s="4"/>
      <c r="LFT14" s="4"/>
      <c r="LFU14" s="4"/>
      <c r="LFV14" s="4"/>
      <c r="LFW14" s="4"/>
      <c r="LFX14" s="4"/>
      <c r="LFY14" s="4"/>
      <c r="LFZ14" s="4"/>
      <c r="LGA14" s="4"/>
      <c r="LGB14" s="4"/>
      <c r="LGC14" s="4"/>
      <c r="LGD14" s="4"/>
      <c r="LGE14" s="4"/>
      <c r="LGF14" s="4"/>
      <c r="LGG14" s="4"/>
      <c r="LGH14" s="4"/>
      <c r="LGI14" s="4"/>
      <c r="LGJ14" s="4"/>
      <c r="LGK14" s="4"/>
      <c r="LGL14" s="4"/>
      <c r="LGM14" s="4"/>
      <c r="LGN14" s="4"/>
      <c r="LGO14" s="4"/>
      <c r="LGP14" s="4"/>
      <c r="LGQ14" s="4"/>
      <c r="LGR14" s="4"/>
      <c r="LGS14" s="4"/>
      <c r="LGT14" s="4"/>
      <c r="LGU14" s="4"/>
      <c r="LGV14" s="4"/>
      <c r="LGW14" s="4"/>
      <c r="LGX14" s="4"/>
      <c r="LGY14" s="4"/>
      <c r="LGZ14" s="4"/>
      <c r="LHA14" s="4"/>
      <c r="LHB14" s="4"/>
      <c r="LHC14" s="4"/>
      <c r="LHD14" s="4"/>
      <c r="LHE14" s="4"/>
      <c r="LHF14" s="4"/>
      <c r="LHG14" s="4"/>
      <c r="LHH14" s="4"/>
      <c r="LHI14" s="4"/>
      <c r="LHJ14" s="4"/>
      <c r="LHK14" s="4"/>
      <c r="LHL14" s="4"/>
      <c r="LHM14" s="4"/>
      <c r="LHN14" s="4"/>
      <c r="LHO14" s="4"/>
      <c r="LHP14" s="4"/>
      <c r="LHQ14" s="4"/>
      <c r="LHR14" s="4"/>
      <c r="LHS14" s="4"/>
      <c r="LHT14" s="4"/>
      <c r="LHU14" s="4"/>
      <c r="LHV14" s="4"/>
      <c r="LHW14" s="4"/>
      <c r="LHX14" s="4"/>
      <c r="LHY14" s="4"/>
      <c r="LHZ14" s="4"/>
      <c r="LIA14" s="4"/>
      <c r="LIB14" s="4"/>
      <c r="LIC14" s="4"/>
      <c r="LID14" s="4"/>
      <c r="LIE14" s="4"/>
      <c r="LIF14" s="4"/>
      <c r="LIG14" s="4"/>
      <c r="LIH14" s="4"/>
      <c r="LII14" s="4"/>
      <c r="LIJ14" s="4"/>
      <c r="LIK14" s="4"/>
      <c r="LIL14" s="4"/>
      <c r="LIM14" s="4"/>
      <c r="LIN14" s="4"/>
      <c r="LIO14" s="4"/>
      <c r="LIP14" s="4"/>
      <c r="LIQ14" s="4"/>
      <c r="LIR14" s="4"/>
      <c r="LIS14" s="4"/>
      <c r="LIT14" s="4"/>
      <c r="LIU14" s="4"/>
      <c r="LIV14" s="4"/>
      <c r="LIW14" s="4"/>
      <c r="LIX14" s="4"/>
      <c r="LIY14" s="4"/>
      <c r="LIZ14" s="4"/>
      <c r="LJA14" s="4"/>
      <c r="LJB14" s="4"/>
      <c r="LJC14" s="4"/>
      <c r="LJD14" s="4"/>
      <c r="LJE14" s="4"/>
      <c r="LJF14" s="4"/>
      <c r="LJG14" s="4"/>
      <c r="LJH14" s="4"/>
      <c r="LJI14" s="4"/>
      <c r="LJJ14" s="4"/>
      <c r="LJK14" s="4"/>
      <c r="LJL14" s="4"/>
      <c r="LJM14" s="4"/>
      <c r="LJN14" s="4"/>
      <c r="LJO14" s="4"/>
      <c r="LJP14" s="4"/>
      <c r="LJQ14" s="4"/>
      <c r="LJR14" s="4"/>
      <c r="LJS14" s="4"/>
      <c r="LJT14" s="4"/>
      <c r="LJU14" s="4"/>
      <c r="LJV14" s="4"/>
      <c r="LJW14" s="4"/>
      <c r="LJX14" s="4"/>
      <c r="LJY14" s="4"/>
      <c r="LJZ14" s="4"/>
      <c r="LKA14" s="4"/>
      <c r="LKB14" s="4"/>
      <c r="LKC14" s="4"/>
      <c r="LKD14" s="4"/>
      <c r="LKE14" s="4"/>
      <c r="LKF14" s="4"/>
      <c r="LKG14" s="4"/>
      <c r="LKH14" s="4"/>
      <c r="LKI14" s="4"/>
      <c r="LKJ14" s="4"/>
      <c r="LKK14" s="4"/>
      <c r="LKL14" s="4"/>
      <c r="LKM14" s="4"/>
      <c r="LKN14" s="4"/>
      <c r="LKO14" s="4"/>
      <c r="LKP14" s="4"/>
      <c r="LKQ14" s="4"/>
      <c r="LKR14" s="4"/>
      <c r="LKS14" s="4"/>
      <c r="LKT14" s="4"/>
      <c r="LKU14" s="4"/>
      <c r="LKV14" s="4"/>
      <c r="LKW14" s="4"/>
      <c r="LKX14" s="4"/>
      <c r="LKY14" s="4"/>
      <c r="LKZ14" s="4"/>
      <c r="LLA14" s="4"/>
      <c r="LLB14" s="4"/>
      <c r="LLC14" s="4"/>
      <c r="LLD14" s="4"/>
      <c r="LLE14" s="4"/>
      <c r="LLF14" s="4"/>
      <c r="LLG14" s="4"/>
      <c r="LLH14" s="4"/>
      <c r="LLI14" s="4"/>
      <c r="LLJ14" s="4"/>
      <c r="LLK14" s="4"/>
      <c r="LLL14" s="4"/>
      <c r="LLM14" s="4"/>
      <c r="LLN14" s="4"/>
      <c r="LLO14" s="4"/>
      <c r="LLP14" s="4"/>
      <c r="LLQ14" s="4"/>
      <c r="LLR14" s="4"/>
      <c r="LLS14" s="4"/>
      <c r="LLT14" s="4"/>
      <c r="LLU14" s="4"/>
      <c r="LLV14" s="4"/>
      <c r="LLW14" s="4"/>
      <c r="LLX14" s="4"/>
      <c r="LLY14" s="4"/>
      <c r="LLZ14" s="4"/>
      <c r="LMA14" s="4"/>
      <c r="LMB14" s="4"/>
      <c r="LMC14" s="4"/>
      <c r="LMD14" s="4"/>
      <c r="LME14" s="4"/>
      <c r="LMF14" s="4"/>
      <c r="LMG14" s="4"/>
      <c r="LMH14" s="4"/>
      <c r="LMI14" s="4"/>
      <c r="LMJ14" s="4"/>
      <c r="LMK14" s="4"/>
      <c r="LML14" s="4"/>
      <c r="LMM14" s="4"/>
      <c r="LMN14" s="4"/>
      <c r="LMO14" s="4"/>
      <c r="LMP14" s="4"/>
      <c r="LMQ14" s="4"/>
      <c r="LMR14" s="4"/>
      <c r="LMS14" s="4"/>
      <c r="LMT14" s="4"/>
      <c r="LMU14" s="4"/>
      <c r="LMV14" s="4"/>
      <c r="LMW14" s="4"/>
      <c r="LMX14" s="4"/>
      <c r="LMY14" s="4"/>
      <c r="LMZ14" s="4"/>
      <c r="LNA14" s="4"/>
      <c r="LNB14" s="4"/>
      <c r="LNC14" s="4"/>
      <c r="LND14" s="4"/>
      <c r="LNE14" s="4"/>
      <c r="LNF14" s="4"/>
      <c r="LNG14" s="4"/>
      <c r="LNH14" s="4"/>
      <c r="LNI14" s="4"/>
      <c r="LNJ14" s="4"/>
      <c r="LNK14" s="4"/>
      <c r="LNL14" s="4"/>
      <c r="LNM14" s="4"/>
      <c r="LNN14" s="4"/>
      <c r="LNO14" s="4"/>
      <c r="LNP14" s="4"/>
      <c r="LNQ14" s="4"/>
      <c r="LNR14" s="4"/>
      <c r="LNS14" s="4"/>
      <c r="LNT14" s="4"/>
      <c r="LNU14" s="4"/>
      <c r="LNV14" s="4"/>
      <c r="LNW14" s="4"/>
      <c r="LNX14" s="4"/>
      <c r="LNY14" s="4"/>
      <c r="LNZ14" s="4"/>
      <c r="LOA14" s="4"/>
      <c r="LOB14" s="4"/>
      <c r="LOC14" s="4"/>
      <c r="LOD14" s="4"/>
      <c r="LOE14" s="4"/>
      <c r="LOF14" s="4"/>
      <c r="LOG14" s="4"/>
      <c r="LOH14" s="4"/>
      <c r="LOI14" s="4"/>
      <c r="LOJ14" s="4"/>
      <c r="LOK14" s="4"/>
      <c r="LOL14" s="4"/>
      <c r="LOM14" s="4"/>
      <c r="LON14" s="4"/>
      <c r="LOO14" s="4"/>
      <c r="LOP14" s="4"/>
      <c r="LOQ14" s="4"/>
      <c r="LOR14" s="4"/>
      <c r="LOS14" s="4"/>
      <c r="LOT14" s="4"/>
      <c r="LOU14" s="4"/>
      <c r="LOV14" s="4"/>
      <c r="LOW14" s="4"/>
      <c r="LOX14" s="4"/>
      <c r="LOY14" s="4"/>
      <c r="LOZ14" s="4"/>
      <c r="LPA14" s="4"/>
      <c r="LPB14" s="4"/>
      <c r="LPC14" s="4"/>
      <c r="LPD14" s="4"/>
      <c r="LPE14" s="4"/>
      <c r="LPF14" s="4"/>
      <c r="LPG14" s="4"/>
      <c r="LPH14" s="4"/>
      <c r="LPI14" s="4"/>
      <c r="LPJ14" s="4"/>
      <c r="LPK14" s="4"/>
      <c r="LPL14" s="4"/>
      <c r="LPM14" s="4"/>
      <c r="LPN14" s="4"/>
      <c r="LPO14" s="4"/>
      <c r="LPP14" s="4"/>
      <c r="LPQ14" s="4"/>
      <c r="LPR14" s="4"/>
      <c r="LPS14" s="4"/>
      <c r="LPT14" s="4"/>
      <c r="LPU14" s="4"/>
      <c r="LPV14" s="4"/>
      <c r="LPW14" s="4"/>
      <c r="LPX14" s="4"/>
      <c r="LPY14" s="4"/>
      <c r="LPZ14" s="4"/>
      <c r="LQA14" s="4"/>
      <c r="LQB14" s="4"/>
      <c r="LQC14" s="4"/>
      <c r="LQD14" s="4"/>
      <c r="LQE14" s="4"/>
      <c r="LQF14" s="4"/>
      <c r="LQG14" s="4"/>
      <c r="LQH14" s="4"/>
      <c r="LQI14" s="4"/>
      <c r="LQJ14" s="4"/>
      <c r="LQK14" s="4"/>
      <c r="LQL14" s="4"/>
      <c r="LQM14" s="4"/>
      <c r="LQN14" s="4"/>
      <c r="LQO14" s="4"/>
      <c r="LQP14" s="4"/>
      <c r="LQQ14" s="4"/>
      <c r="LQR14" s="4"/>
      <c r="LQS14" s="4"/>
      <c r="LQT14" s="4"/>
      <c r="LQU14" s="4"/>
      <c r="LQV14" s="4"/>
      <c r="LQW14" s="4"/>
      <c r="LQX14" s="4"/>
      <c r="LQY14" s="4"/>
      <c r="LQZ14" s="4"/>
      <c r="LRA14" s="4"/>
      <c r="LRB14" s="4"/>
      <c r="LRC14" s="4"/>
      <c r="LRD14" s="4"/>
      <c r="LRE14" s="4"/>
      <c r="LRF14" s="4"/>
      <c r="LRG14" s="4"/>
      <c r="LRH14" s="4"/>
      <c r="LRI14" s="4"/>
      <c r="LRJ14" s="4"/>
      <c r="LRK14" s="4"/>
      <c r="LRL14" s="4"/>
      <c r="LRM14" s="4"/>
      <c r="LRN14" s="4"/>
      <c r="LRO14" s="4"/>
      <c r="LRP14" s="4"/>
      <c r="LRQ14" s="4"/>
      <c r="LRR14" s="4"/>
      <c r="LRS14" s="4"/>
      <c r="LRT14" s="4"/>
      <c r="LRU14" s="4"/>
      <c r="LRV14" s="4"/>
      <c r="LRW14" s="4"/>
      <c r="LRX14" s="4"/>
      <c r="LRY14" s="4"/>
      <c r="LRZ14" s="4"/>
      <c r="LSA14" s="4"/>
      <c r="LSB14" s="4"/>
      <c r="LSC14" s="4"/>
      <c r="LSD14" s="4"/>
      <c r="LSE14" s="4"/>
      <c r="LSF14" s="4"/>
      <c r="LSG14" s="4"/>
      <c r="LSH14" s="4"/>
      <c r="LSI14" s="4"/>
      <c r="LSJ14" s="4"/>
      <c r="LSK14" s="4"/>
      <c r="LSL14" s="4"/>
      <c r="LSM14" s="4"/>
      <c r="LSN14" s="4"/>
      <c r="LSO14" s="4"/>
      <c r="LSP14" s="4"/>
      <c r="LSQ14" s="4"/>
      <c r="LSR14" s="4"/>
      <c r="LSS14" s="4"/>
      <c r="LST14" s="4"/>
      <c r="LSU14" s="4"/>
      <c r="LSV14" s="4"/>
      <c r="LSW14" s="4"/>
      <c r="LSX14" s="4"/>
      <c r="LSY14" s="4"/>
      <c r="LSZ14" s="4"/>
      <c r="LTA14" s="4"/>
      <c r="LTB14" s="4"/>
      <c r="LTC14" s="4"/>
      <c r="LTD14" s="4"/>
      <c r="LTE14" s="4"/>
      <c r="LTF14" s="4"/>
      <c r="LTG14" s="4"/>
      <c r="LTH14" s="4"/>
      <c r="LTI14" s="4"/>
      <c r="LTJ14" s="4"/>
      <c r="LTK14" s="4"/>
      <c r="LTL14" s="4"/>
      <c r="LTM14" s="4"/>
      <c r="LTN14" s="4"/>
      <c r="LTO14" s="4"/>
      <c r="LTP14" s="4"/>
      <c r="LTQ14" s="4"/>
      <c r="LTR14" s="4"/>
      <c r="LTS14" s="4"/>
      <c r="LTT14" s="4"/>
      <c r="LTU14" s="4"/>
      <c r="LTV14" s="4"/>
      <c r="LTW14" s="4"/>
      <c r="LTX14" s="4"/>
      <c r="LTY14" s="4"/>
      <c r="LTZ14" s="4"/>
      <c r="LUA14" s="4"/>
      <c r="LUB14" s="4"/>
      <c r="LUC14" s="4"/>
      <c r="LUD14" s="4"/>
      <c r="LUE14" s="4"/>
      <c r="LUF14" s="4"/>
      <c r="LUG14" s="4"/>
      <c r="LUH14" s="4"/>
      <c r="LUI14" s="4"/>
      <c r="LUJ14" s="4"/>
      <c r="LUK14" s="4"/>
      <c r="LUL14" s="4"/>
      <c r="LUM14" s="4"/>
      <c r="LUN14" s="4"/>
      <c r="LUO14" s="4"/>
      <c r="LUP14" s="4"/>
      <c r="LUQ14" s="4"/>
      <c r="LUR14" s="4"/>
      <c r="LUS14" s="4"/>
      <c r="LUT14" s="4"/>
      <c r="LUU14" s="4"/>
      <c r="LUV14" s="4"/>
      <c r="LUW14" s="4"/>
      <c r="LUX14" s="4"/>
      <c r="LUY14" s="4"/>
      <c r="LUZ14" s="4"/>
      <c r="LVA14" s="4"/>
      <c r="LVB14" s="4"/>
      <c r="LVC14" s="4"/>
      <c r="LVD14" s="4"/>
      <c r="LVE14" s="4"/>
      <c r="LVF14" s="4"/>
      <c r="LVG14" s="4"/>
      <c r="LVH14" s="4"/>
      <c r="LVI14" s="4"/>
      <c r="LVJ14" s="4"/>
      <c r="LVK14" s="4"/>
      <c r="LVL14" s="4"/>
      <c r="LVM14" s="4"/>
      <c r="LVN14" s="4"/>
      <c r="LVO14" s="4"/>
      <c r="LVP14" s="4"/>
      <c r="LVQ14" s="4"/>
      <c r="LVR14" s="4"/>
      <c r="LVS14" s="4"/>
      <c r="LVT14" s="4"/>
      <c r="LVU14" s="4"/>
      <c r="LVV14" s="4"/>
      <c r="LVW14" s="4"/>
      <c r="LVX14" s="4"/>
      <c r="LVY14" s="4"/>
      <c r="LVZ14" s="4"/>
      <c r="LWA14" s="4"/>
      <c r="LWB14" s="4"/>
      <c r="LWC14" s="4"/>
      <c r="LWD14" s="4"/>
      <c r="LWE14" s="4"/>
      <c r="LWF14" s="4"/>
      <c r="LWG14" s="4"/>
      <c r="LWH14" s="4"/>
      <c r="LWI14" s="4"/>
      <c r="LWJ14" s="4"/>
      <c r="LWK14" s="4"/>
      <c r="LWL14" s="4"/>
      <c r="LWM14" s="4"/>
      <c r="LWN14" s="4"/>
      <c r="LWO14" s="4"/>
      <c r="LWP14" s="4"/>
      <c r="LWQ14" s="4"/>
      <c r="LWR14" s="4"/>
      <c r="LWS14" s="4"/>
      <c r="LWT14" s="4"/>
      <c r="LWU14" s="4"/>
      <c r="LWV14" s="4"/>
      <c r="LWW14" s="4"/>
      <c r="LWX14" s="4"/>
      <c r="LWY14" s="4"/>
      <c r="LWZ14" s="4"/>
      <c r="LXA14" s="4"/>
      <c r="LXB14" s="4"/>
      <c r="LXC14" s="4"/>
      <c r="LXD14" s="4"/>
      <c r="LXE14" s="4"/>
      <c r="LXF14" s="4"/>
      <c r="LXG14" s="4"/>
      <c r="LXH14" s="4"/>
      <c r="LXI14" s="4"/>
      <c r="LXJ14" s="4"/>
      <c r="LXK14" s="4"/>
      <c r="LXL14" s="4"/>
      <c r="LXM14" s="4"/>
      <c r="LXN14" s="4"/>
      <c r="LXO14" s="4"/>
      <c r="LXP14" s="4"/>
      <c r="LXQ14" s="4"/>
      <c r="LXR14" s="4"/>
      <c r="LXS14" s="4"/>
      <c r="LXT14" s="4"/>
      <c r="LXU14" s="4"/>
      <c r="LXV14" s="4"/>
      <c r="LXW14" s="4"/>
      <c r="LXX14" s="4"/>
      <c r="LXY14" s="4"/>
      <c r="LXZ14" s="4"/>
      <c r="LYA14" s="4"/>
      <c r="LYB14" s="4"/>
      <c r="LYC14" s="4"/>
      <c r="LYD14" s="4"/>
      <c r="LYE14" s="4"/>
      <c r="LYF14" s="4"/>
      <c r="LYG14" s="4"/>
      <c r="LYH14" s="4"/>
      <c r="LYI14" s="4"/>
      <c r="LYJ14" s="4"/>
      <c r="LYK14" s="4"/>
      <c r="LYL14" s="4"/>
      <c r="LYM14" s="4"/>
      <c r="LYN14" s="4"/>
      <c r="LYO14" s="4"/>
      <c r="LYP14" s="4"/>
      <c r="LYQ14" s="4"/>
      <c r="LYR14" s="4"/>
      <c r="LYS14" s="4"/>
      <c r="LYT14" s="4"/>
      <c r="LYU14" s="4"/>
      <c r="LYV14" s="4"/>
      <c r="LYW14" s="4"/>
      <c r="LYX14" s="4"/>
      <c r="LYY14" s="4"/>
      <c r="LYZ14" s="4"/>
      <c r="LZA14" s="4"/>
      <c r="LZB14" s="4"/>
      <c r="LZC14" s="4"/>
      <c r="LZD14" s="4"/>
      <c r="LZE14" s="4"/>
      <c r="LZF14" s="4"/>
      <c r="LZG14" s="4"/>
      <c r="LZH14" s="4"/>
      <c r="LZI14" s="4"/>
      <c r="LZJ14" s="4"/>
      <c r="LZK14" s="4"/>
      <c r="LZL14" s="4"/>
      <c r="LZM14" s="4"/>
      <c r="LZN14" s="4"/>
      <c r="LZO14" s="4"/>
      <c r="LZP14" s="4"/>
      <c r="LZQ14" s="4"/>
      <c r="LZR14" s="4"/>
      <c r="LZS14" s="4"/>
      <c r="LZT14" s="4"/>
      <c r="LZU14" s="4"/>
      <c r="LZV14" s="4"/>
      <c r="LZW14" s="4"/>
      <c r="LZX14" s="4"/>
      <c r="LZY14" s="4"/>
      <c r="LZZ14" s="4"/>
      <c r="MAA14" s="4"/>
      <c r="MAB14" s="4"/>
      <c r="MAC14" s="4"/>
      <c r="MAD14" s="4"/>
      <c r="MAE14" s="4"/>
      <c r="MAF14" s="4"/>
      <c r="MAG14" s="4"/>
      <c r="MAH14" s="4"/>
      <c r="MAI14" s="4"/>
      <c r="MAJ14" s="4"/>
      <c r="MAK14" s="4"/>
      <c r="MAL14" s="4"/>
      <c r="MAM14" s="4"/>
      <c r="MAN14" s="4"/>
      <c r="MAO14" s="4"/>
      <c r="MAP14" s="4"/>
      <c r="MAQ14" s="4"/>
      <c r="MAR14" s="4"/>
      <c r="MAS14" s="4"/>
      <c r="MAT14" s="4"/>
      <c r="MAU14" s="4"/>
      <c r="MAV14" s="4"/>
      <c r="MAW14" s="4"/>
      <c r="MAX14" s="4"/>
      <c r="MAY14" s="4"/>
      <c r="MAZ14" s="4"/>
      <c r="MBA14" s="4"/>
      <c r="MBB14" s="4"/>
      <c r="MBC14" s="4"/>
      <c r="MBD14" s="4"/>
      <c r="MBE14" s="4"/>
      <c r="MBF14" s="4"/>
      <c r="MBG14" s="4"/>
      <c r="MBH14" s="4"/>
      <c r="MBI14" s="4"/>
      <c r="MBJ14" s="4"/>
      <c r="MBK14" s="4"/>
      <c r="MBL14" s="4"/>
      <c r="MBM14" s="4"/>
      <c r="MBN14" s="4"/>
      <c r="MBO14" s="4"/>
      <c r="MBP14" s="4"/>
      <c r="MBQ14" s="4"/>
      <c r="MBR14" s="4"/>
      <c r="MBS14" s="4"/>
      <c r="MBT14" s="4"/>
      <c r="MBU14" s="4"/>
      <c r="MBV14" s="4"/>
      <c r="MBW14" s="4"/>
      <c r="MBX14" s="4"/>
      <c r="MBY14" s="4"/>
      <c r="MBZ14" s="4"/>
      <c r="MCA14" s="4"/>
      <c r="MCB14" s="4"/>
      <c r="MCC14" s="4"/>
      <c r="MCD14" s="4"/>
      <c r="MCE14" s="4"/>
      <c r="MCF14" s="4"/>
      <c r="MCG14" s="4"/>
      <c r="MCH14" s="4"/>
      <c r="MCI14" s="4"/>
      <c r="MCJ14" s="4"/>
      <c r="MCK14" s="4"/>
      <c r="MCL14" s="4"/>
      <c r="MCM14" s="4"/>
      <c r="MCN14" s="4"/>
      <c r="MCO14" s="4"/>
      <c r="MCP14" s="4"/>
      <c r="MCQ14" s="4"/>
      <c r="MCR14" s="4"/>
      <c r="MCS14" s="4"/>
      <c r="MCT14" s="4"/>
      <c r="MCU14" s="4"/>
      <c r="MCV14" s="4"/>
      <c r="MCW14" s="4"/>
      <c r="MCX14" s="4"/>
      <c r="MCY14" s="4"/>
      <c r="MCZ14" s="4"/>
      <c r="MDA14" s="4"/>
      <c r="MDB14" s="4"/>
      <c r="MDC14" s="4"/>
      <c r="MDD14" s="4"/>
      <c r="MDE14" s="4"/>
      <c r="MDF14" s="4"/>
      <c r="MDG14" s="4"/>
      <c r="MDH14" s="4"/>
      <c r="MDI14" s="4"/>
      <c r="MDJ14" s="4"/>
      <c r="MDK14" s="4"/>
      <c r="MDL14" s="4"/>
      <c r="MDM14" s="4"/>
      <c r="MDN14" s="4"/>
      <c r="MDO14" s="4"/>
      <c r="MDP14" s="4"/>
      <c r="MDQ14" s="4"/>
      <c r="MDR14" s="4"/>
      <c r="MDS14" s="4"/>
      <c r="MDT14" s="4"/>
      <c r="MDU14" s="4"/>
      <c r="MDV14" s="4"/>
      <c r="MDW14" s="4"/>
      <c r="MDX14" s="4"/>
      <c r="MDY14" s="4"/>
      <c r="MDZ14" s="4"/>
      <c r="MEA14" s="4"/>
      <c r="MEB14" s="4"/>
      <c r="MEC14" s="4"/>
      <c r="MED14" s="4"/>
      <c r="MEE14" s="4"/>
      <c r="MEF14" s="4"/>
      <c r="MEG14" s="4"/>
      <c r="MEH14" s="4"/>
      <c r="MEI14" s="4"/>
      <c r="MEJ14" s="4"/>
      <c r="MEK14" s="4"/>
      <c r="MEL14" s="4"/>
      <c r="MEM14" s="4"/>
      <c r="MEN14" s="4"/>
      <c r="MEO14" s="4"/>
      <c r="MEP14" s="4"/>
      <c r="MEQ14" s="4"/>
      <c r="MER14" s="4"/>
      <c r="MES14" s="4"/>
      <c r="MET14" s="4"/>
      <c r="MEU14" s="4"/>
      <c r="MEV14" s="4"/>
      <c r="MEW14" s="4"/>
      <c r="MEX14" s="4"/>
      <c r="MEY14" s="4"/>
      <c r="MEZ14" s="4"/>
      <c r="MFA14" s="4"/>
      <c r="MFB14" s="4"/>
      <c r="MFC14" s="4"/>
      <c r="MFD14" s="4"/>
      <c r="MFE14" s="4"/>
      <c r="MFF14" s="4"/>
      <c r="MFG14" s="4"/>
      <c r="MFH14" s="4"/>
      <c r="MFI14" s="4"/>
      <c r="MFJ14" s="4"/>
      <c r="MFK14" s="4"/>
      <c r="MFL14" s="4"/>
      <c r="MFM14" s="4"/>
      <c r="MFN14" s="4"/>
      <c r="MFO14" s="4"/>
      <c r="MFP14" s="4"/>
      <c r="MFQ14" s="4"/>
      <c r="MFR14" s="4"/>
      <c r="MFS14" s="4"/>
      <c r="MFT14" s="4"/>
      <c r="MFU14" s="4"/>
      <c r="MFV14" s="4"/>
      <c r="MFW14" s="4"/>
      <c r="MFX14" s="4"/>
      <c r="MFY14" s="4"/>
      <c r="MFZ14" s="4"/>
      <c r="MGA14" s="4"/>
      <c r="MGB14" s="4"/>
      <c r="MGC14" s="4"/>
      <c r="MGD14" s="4"/>
      <c r="MGE14" s="4"/>
      <c r="MGF14" s="4"/>
      <c r="MGG14" s="4"/>
      <c r="MGH14" s="4"/>
      <c r="MGI14" s="4"/>
      <c r="MGJ14" s="4"/>
      <c r="MGK14" s="4"/>
      <c r="MGL14" s="4"/>
      <c r="MGM14" s="4"/>
      <c r="MGN14" s="4"/>
      <c r="MGO14" s="4"/>
      <c r="MGP14" s="4"/>
      <c r="MGQ14" s="4"/>
      <c r="MGR14" s="4"/>
      <c r="MGS14" s="4"/>
      <c r="MGT14" s="4"/>
      <c r="MGU14" s="4"/>
      <c r="MGV14" s="4"/>
      <c r="MGW14" s="4"/>
      <c r="MGX14" s="4"/>
      <c r="MGY14" s="4"/>
      <c r="MGZ14" s="4"/>
      <c r="MHA14" s="4"/>
      <c r="MHB14" s="4"/>
      <c r="MHC14" s="4"/>
      <c r="MHD14" s="4"/>
      <c r="MHE14" s="4"/>
      <c r="MHF14" s="4"/>
      <c r="MHG14" s="4"/>
      <c r="MHH14" s="4"/>
      <c r="MHI14" s="4"/>
      <c r="MHJ14" s="4"/>
      <c r="MHK14" s="4"/>
      <c r="MHL14" s="4"/>
      <c r="MHM14" s="4"/>
      <c r="MHN14" s="4"/>
      <c r="MHO14" s="4"/>
      <c r="MHP14" s="4"/>
      <c r="MHQ14" s="4"/>
      <c r="MHR14" s="4"/>
      <c r="MHS14" s="4"/>
      <c r="MHT14" s="4"/>
      <c r="MHU14" s="4"/>
      <c r="MHV14" s="4"/>
      <c r="MHW14" s="4"/>
      <c r="MHX14" s="4"/>
      <c r="MHY14" s="4"/>
      <c r="MHZ14" s="4"/>
      <c r="MIA14" s="4"/>
      <c r="MIB14" s="4"/>
      <c r="MIC14" s="4"/>
      <c r="MID14" s="4"/>
      <c r="MIE14" s="4"/>
      <c r="MIF14" s="4"/>
      <c r="MIG14" s="4"/>
      <c r="MIH14" s="4"/>
      <c r="MII14" s="4"/>
      <c r="MIJ14" s="4"/>
      <c r="MIK14" s="4"/>
      <c r="MIL14" s="4"/>
      <c r="MIM14" s="4"/>
      <c r="MIN14" s="4"/>
      <c r="MIO14" s="4"/>
      <c r="MIP14" s="4"/>
      <c r="MIQ14" s="4"/>
      <c r="MIR14" s="4"/>
      <c r="MIS14" s="4"/>
      <c r="MIT14" s="4"/>
      <c r="MIU14" s="4"/>
      <c r="MIV14" s="4"/>
      <c r="MIW14" s="4"/>
      <c r="MIX14" s="4"/>
      <c r="MIY14" s="4"/>
      <c r="MIZ14" s="4"/>
      <c r="MJA14" s="4"/>
      <c r="MJB14" s="4"/>
      <c r="MJC14" s="4"/>
      <c r="MJD14" s="4"/>
      <c r="MJE14" s="4"/>
      <c r="MJF14" s="4"/>
      <c r="MJG14" s="4"/>
      <c r="MJH14" s="4"/>
      <c r="MJI14" s="4"/>
      <c r="MJJ14" s="4"/>
      <c r="MJK14" s="4"/>
      <c r="MJL14" s="4"/>
      <c r="MJM14" s="4"/>
      <c r="MJN14" s="4"/>
      <c r="MJO14" s="4"/>
      <c r="MJP14" s="4"/>
      <c r="MJQ14" s="4"/>
      <c r="MJR14" s="4"/>
      <c r="MJS14" s="4"/>
      <c r="MJT14" s="4"/>
      <c r="MJU14" s="4"/>
      <c r="MJV14" s="4"/>
      <c r="MJW14" s="4"/>
      <c r="MJX14" s="4"/>
      <c r="MJY14" s="4"/>
      <c r="MJZ14" s="4"/>
      <c r="MKA14" s="4"/>
      <c r="MKB14" s="4"/>
      <c r="MKC14" s="4"/>
      <c r="MKD14" s="4"/>
      <c r="MKE14" s="4"/>
      <c r="MKF14" s="4"/>
      <c r="MKG14" s="4"/>
      <c r="MKH14" s="4"/>
      <c r="MKI14" s="4"/>
      <c r="MKJ14" s="4"/>
      <c r="MKK14" s="4"/>
      <c r="MKL14" s="4"/>
      <c r="MKM14" s="4"/>
      <c r="MKN14" s="4"/>
      <c r="MKO14" s="4"/>
      <c r="MKP14" s="4"/>
      <c r="MKQ14" s="4"/>
      <c r="MKR14" s="4"/>
      <c r="MKS14" s="4"/>
      <c r="MKT14" s="4"/>
      <c r="MKU14" s="4"/>
      <c r="MKV14" s="4"/>
      <c r="MKW14" s="4"/>
      <c r="MKX14" s="4"/>
      <c r="MKY14" s="4"/>
      <c r="MKZ14" s="4"/>
      <c r="MLA14" s="4"/>
      <c r="MLB14" s="4"/>
      <c r="MLC14" s="4"/>
      <c r="MLD14" s="4"/>
      <c r="MLE14" s="4"/>
      <c r="MLF14" s="4"/>
      <c r="MLG14" s="4"/>
      <c r="MLH14" s="4"/>
      <c r="MLI14" s="4"/>
      <c r="MLJ14" s="4"/>
      <c r="MLK14" s="4"/>
      <c r="MLL14" s="4"/>
      <c r="MLM14" s="4"/>
      <c r="MLN14" s="4"/>
      <c r="MLO14" s="4"/>
      <c r="MLP14" s="4"/>
      <c r="MLQ14" s="4"/>
      <c r="MLR14" s="4"/>
      <c r="MLS14" s="4"/>
      <c r="MLT14" s="4"/>
      <c r="MLU14" s="4"/>
      <c r="MLV14" s="4"/>
      <c r="MLW14" s="4"/>
      <c r="MLX14" s="4"/>
      <c r="MLY14" s="4"/>
      <c r="MLZ14" s="4"/>
      <c r="MMA14" s="4"/>
      <c r="MMB14" s="4"/>
      <c r="MMC14" s="4"/>
      <c r="MMD14" s="4"/>
      <c r="MME14" s="4"/>
      <c r="MMF14" s="4"/>
      <c r="MMG14" s="4"/>
      <c r="MMH14" s="4"/>
      <c r="MMI14" s="4"/>
      <c r="MMJ14" s="4"/>
      <c r="MMK14" s="4"/>
      <c r="MML14" s="4"/>
      <c r="MMM14" s="4"/>
      <c r="MMN14" s="4"/>
      <c r="MMO14" s="4"/>
      <c r="MMP14" s="4"/>
      <c r="MMQ14" s="4"/>
      <c r="MMR14" s="4"/>
      <c r="MMS14" s="4"/>
      <c r="MMT14" s="4"/>
      <c r="MMU14" s="4"/>
      <c r="MMV14" s="4"/>
      <c r="MMW14" s="4"/>
      <c r="MMX14" s="4"/>
      <c r="MMY14" s="4"/>
      <c r="MMZ14" s="4"/>
      <c r="MNA14" s="4"/>
      <c r="MNB14" s="4"/>
      <c r="MNC14" s="4"/>
      <c r="MND14" s="4"/>
      <c r="MNE14" s="4"/>
      <c r="MNF14" s="4"/>
      <c r="MNG14" s="4"/>
      <c r="MNH14" s="4"/>
      <c r="MNI14" s="4"/>
      <c r="MNJ14" s="4"/>
      <c r="MNK14" s="4"/>
      <c r="MNL14" s="4"/>
      <c r="MNM14" s="4"/>
      <c r="MNN14" s="4"/>
      <c r="MNO14" s="4"/>
      <c r="MNP14" s="4"/>
      <c r="MNQ14" s="4"/>
      <c r="MNR14" s="4"/>
      <c r="MNS14" s="4"/>
      <c r="MNT14" s="4"/>
      <c r="MNU14" s="4"/>
      <c r="MNV14" s="4"/>
      <c r="MNW14" s="4"/>
      <c r="MNX14" s="4"/>
      <c r="MNY14" s="4"/>
      <c r="MNZ14" s="4"/>
      <c r="MOA14" s="4"/>
      <c r="MOB14" s="4"/>
      <c r="MOC14" s="4"/>
      <c r="MOD14" s="4"/>
      <c r="MOE14" s="4"/>
      <c r="MOF14" s="4"/>
      <c r="MOG14" s="4"/>
      <c r="MOH14" s="4"/>
      <c r="MOI14" s="4"/>
      <c r="MOJ14" s="4"/>
      <c r="MOK14" s="4"/>
      <c r="MOL14" s="4"/>
      <c r="MOM14" s="4"/>
      <c r="MON14" s="4"/>
      <c r="MOO14" s="4"/>
      <c r="MOP14" s="4"/>
      <c r="MOQ14" s="4"/>
      <c r="MOR14" s="4"/>
      <c r="MOS14" s="4"/>
      <c r="MOT14" s="4"/>
      <c r="MOU14" s="4"/>
      <c r="MOV14" s="4"/>
      <c r="MOW14" s="4"/>
      <c r="MOX14" s="4"/>
      <c r="MOY14" s="4"/>
      <c r="MOZ14" s="4"/>
      <c r="MPA14" s="4"/>
      <c r="MPB14" s="4"/>
      <c r="MPC14" s="4"/>
      <c r="MPD14" s="4"/>
      <c r="MPE14" s="4"/>
      <c r="MPF14" s="4"/>
      <c r="MPG14" s="4"/>
      <c r="MPH14" s="4"/>
      <c r="MPI14" s="4"/>
      <c r="MPJ14" s="4"/>
      <c r="MPK14" s="4"/>
      <c r="MPL14" s="4"/>
      <c r="MPM14" s="4"/>
      <c r="MPN14" s="4"/>
      <c r="MPO14" s="4"/>
      <c r="MPP14" s="4"/>
      <c r="MPQ14" s="4"/>
      <c r="MPR14" s="4"/>
      <c r="MPS14" s="4"/>
      <c r="MPT14" s="4"/>
      <c r="MPU14" s="4"/>
      <c r="MPV14" s="4"/>
      <c r="MPW14" s="4"/>
      <c r="MPX14" s="4"/>
      <c r="MPY14" s="4"/>
      <c r="MPZ14" s="4"/>
      <c r="MQA14" s="4"/>
      <c r="MQB14" s="4"/>
      <c r="MQC14" s="4"/>
      <c r="MQD14" s="4"/>
      <c r="MQE14" s="4"/>
      <c r="MQF14" s="4"/>
      <c r="MQG14" s="4"/>
      <c r="MQH14" s="4"/>
      <c r="MQI14" s="4"/>
      <c r="MQJ14" s="4"/>
      <c r="MQK14" s="4"/>
      <c r="MQL14" s="4"/>
      <c r="MQM14" s="4"/>
      <c r="MQN14" s="4"/>
      <c r="MQO14" s="4"/>
      <c r="MQP14" s="4"/>
      <c r="MQQ14" s="4"/>
      <c r="MQR14" s="4"/>
      <c r="MQS14" s="4"/>
      <c r="MQT14" s="4"/>
      <c r="MQU14" s="4"/>
      <c r="MQV14" s="4"/>
      <c r="MQW14" s="4"/>
      <c r="MQX14" s="4"/>
      <c r="MQY14" s="4"/>
      <c r="MQZ14" s="4"/>
      <c r="MRA14" s="4"/>
      <c r="MRB14" s="4"/>
      <c r="MRC14" s="4"/>
      <c r="MRD14" s="4"/>
      <c r="MRE14" s="4"/>
      <c r="MRF14" s="4"/>
      <c r="MRG14" s="4"/>
      <c r="MRH14" s="4"/>
      <c r="MRI14" s="4"/>
      <c r="MRJ14" s="4"/>
      <c r="MRK14" s="4"/>
      <c r="MRL14" s="4"/>
      <c r="MRM14" s="4"/>
      <c r="MRN14" s="4"/>
      <c r="MRO14" s="4"/>
      <c r="MRP14" s="4"/>
      <c r="MRQ14" s="4"/>
      <c r="MRR14" s="4"/>
      <c r="MRS14" s="4"/>
      <c r="MRT14" s="4"/>
      <c r="MRU14" s="4"/>
      <c r="MRV14" s="4"/>
      <c r="MRW14" s="4"/>
      <c r="MRX14" s="4"/>
      <c r="MRY14" s="4"/>
      <c r="MRZ14" s="4"/>
      <c r="MSA14" s="4"/>
      <c r="MSB14" s="4"/>
      <c r="MSC14" s="4"/>
      <c r="MSD14" s="4"/>
      <c r="MSE14" s="4"/>
      <c r="MSF14" s="4"/>
      <c r="MSG14" s="4"/>
      <c r="MSH14" s="4"/>
      <c r="MSI14" s="4"/>
      <c r="MSJ14" s="4"/>
      <c r="MSK14" s="4"/>
      <c r="MSL14" s="4"/>
      <c r="MSM14" s="4"/>
      <c r="MSN14" s="4"/>
      <c r="MSO14" s="4"/>
      <c r="MSP14" s="4"/>
      <c r="MSQ14" s="4"/>
      <c r="MSR14" s="4"/>
      <c r="MSS14" s="4"/>
      <c r="MST14" s="4"/>
      <c r="MSU14" s="4"/>
      <c r="MSV14" s="4"/>
      <c r="MSW14" s="4"/>
      <c r="MSX14" s="4"/>
      <c r="MSY14" s="4"/>
      <c r="MSZ14" s="4"/>
      <c r="MTA14" s="4"/>
      <c r="MTB14" s="4"/>
      <c r="MTC14" s="4"/>
      <c r="MTD14" s="4"/>
      <c r="MTE14" s="4"/>
      <c r="MTF14" s="4"/>
      <c r="MTG14" s="4"/>
      <c r="MTH14" s="4"/>
      <c r="MTI14" s="4"/>
      <c r="MTJ14" s="4"/>
      <c r="MTK14" s="4"/>
      <c r="MTL14" s="4"/>
      <c r="MTM14" s="4"/>
      <c r="MTN14" s="4"/>
      <c r="MTO14" s="4"/>
      <c r="MTP14" s="4"/>
      <c r="MTQ14" s="4"/>
      <c r="MTR14" s="4"/>
      <c r="MTS14" s="4"/>
      <c r="MTT14" s="4"/>
      <c r="MTU14" s="4"/>
      <c r="MTV14" s="4"/>
      <c r="MTW14" s="4"/>
      <c r="MTX14" s="4"/>
      <c r="MTY14" s="4"/>
      <c r="MTZ14" s="4"/>
      <c r="MUA14" s="4"/>
      <c r="MUB14" s="4"/>
      <c r="MUC14" s="4"/>
      <c r="MUD14" s="4"/>
      <c r="MUE14" s="4"/>
      <c r="MUF14" s="4"/>
      <c r="MUG14" s="4"/>
      <c r="MUH14" s="4"/>
      <c r="MUI14" s="4"/>
      <c r="MUJ14" s="4"/>
      <c r="MUK14" s="4"/>
      <c r="MUL14" s="4"/>
      <c r="MUM14" s="4"/>
      <c r="MUN14" s="4"/>
      <c r="MUO14" s="4"/>
      <c r="MUP14" s="4"/>
      <c r="MUQ14" s="4"/>
      <c r="MUR14" s="4"/>
      <c r="MUS14" s="4"/>
      <c r="MUT14" s="4"/>
      <c r="MUU14" s="4"/>
      <c r="MUV14" s="4"/>
      <c r="MUW14" s="4"/>
      <c r="MUX14" s="4"/>
      <c r="MUY14" s="4"/>
      <c r="MUZ14" s="4"/>
      <c r="MVA14" s="4"/>
      <c r="MVB14" s="4"/>
      <c r="MVC14" s="4"/>
      <c r="MVD14" s="4"/>
      <c r="MVE14" s="4"/>
      <c r="MVF14" s="4"/>
      <c r="MVG14" s="4"/>
      <c r="MVH14" s="4"/>
      <c r="MVI14" s="4"/>
      <c r="MVJ14" s="4"/>
      <c r="MVK14" s="4"/>
      <c r="MVL14" s="4"/>
      <c r="MVM14" s="4"/>
      <c r="MVN14" s="4"/>
      <c r="MVO14" s="4"/>
      <c r="MVP14" s="4"/>
      <c r="MVQ14" s="4"/>
      <c r="MVR14" s="4"/>
      <c r="MVS14" s="4"/>
      <c r="MVT14" s="4"/>
      <c r="MVU14" s="4"/>
      <c r="MVV14" s="4"/>
      <c r="MVW14" s="4"/>
      <c r="MVX14" s="4"/>
      <c r="MVY14" s="4"/>
      <c r="MVZ14" s="4"/>
      <c r="MWA14" s="4"/>
      <c r="MWB14" s="4"/>
      <c r="MWC14" s="4"/>
      <c r="MWD14" s="4"/>
      <c r="MWE14" s="4"/>
      <c r="MWF14" s="4"/>
      <c r="MWG14" s="4"/>
      <c r="MWH14" s="4"/>
      <c r="MWI14" s="4"/>
      <c r="MWJ14" s="4"/>
      <c r="MWK14" s="4"/>
      <c r="MWL14" s="4"/>
      <c r="MWM14" s="4"/>
      <c r="MWN14" s="4"/>
      <c r="MWO14" s="4"/>
      <c r="MWP14" s="4"/>
      <c r="MWQ14" s="4"/>
      <c r="MWR14" s="4"/>
      <c r="MWS14" s="4"/>
      <c r="MWT14" s="4"/>
      <c r="MWU14" s="4"/>
      <c r="MWV14" s="4"/>
      <c r="MWW14" s="4"/>
      <c r="MWX14" s="4"/>
      <c r="MWY14" s="4"/>
      <c r="MWZ14" s="4"/>
      <c r="MXA14" s="4"/>
      <c r="MXB14" s="4"/>
      <c r="MXC14" s="4"/>
      <c r="MXD14" s="4"/>
      <c r="MXE14" s="4"/>
      <c r="MXF14" s="4"/>
      <c r="MXG14" s="4"/>
      <c r="MXH14" s="4"/>
      <c r="MXI14" s="4"/>
      <c r="MXJ14" s="4"/>
      <c r="MXK14" s="4"/>
      <c r="MXL14" s="4"/>
      <c r="MXM14" s="4"/>
      <c r="MXN14" s="4"/>
      <c r="MXO14" s="4"/>
      <c r="MXP14" s="4"/>
      <c r="MXQ14" s="4"/>
      <c r="MXR14" s="4"/>
      <c r="MXS14" s="4"/>
      <c r="MXT14" s="4"/>
      <c r="MXU14" s="4"/>
      <c r="MXV14" s="4"/>
      <c r="MXW14" s="4"/>
      <c r="MXX14" s="4"/>
      <c r="MXY14" s="4"/>
      <c r="MXZ14" s="4"/>
      <c r="MYA14" s="4"/>
      <c r="MYB14" s="4"/>
      <c r="MYC14" s="4"/>
      <c r="MYD14" s="4"/>
      <c r="MYE14" s="4"/>
      <c r="MYF14" s="4"/>
      <c r="MYG14" s="4"/>
      <c r="MYH14" s="4"/>
      <c r="MYI14" s="4"/>
      <c r="MYJ14" s="4"/>
      <c r="MYK14" s="4"/>
      <c r="MYL14" s="4"/>
      <c r="MYM14" s="4"/>
      <c r="MYN14" s="4"/>
      <c r="MYO14" s="4"/>
      <c r="MYP14" s="4"/>
      <c r="MYQ14" s="4"/>
      <c r="MYR14" s="4"/>
      <c r="MYS14" s="4"/>
      <c r="MYT14" s="4"/>
      <c r="MYU14" s="4"/>
      <c r="MYV14" s="4"/>
      <c r="MYW14" s="4"/>
      <c r="MYX14" s="4"/>
      <c r="MYY14" s="4"/>
      <c r="MYZ14" s="4"/>
      <c r="MZA14" s="4"/>
      <c r="MZB14" s="4"/>
      <c r="MZC14" s="4"/>
      <c r="MZD14" s="4"/>
      <c r="MZE14" s="4"/>
      <c r="MZF14" s="4"/>
      <c r="MZG14" s="4"/>
      <c r="MZH14" s="4"/>
      <c r="MZI14" s="4"/>
      <c r="MZJ14" s="4"/>
      <c r="MZK14" s="4"/>
      <c r="MZL14" s="4"/>
      <c r="MZM14" s="4"/>
      <c r="MZN14" s="4"/>
      <c r="MZO14" s="4"/>
      <c r="MZP14" s="4"/>
      <c r="MZQ14" s="4"/>
      <c r="MZR14" s="4"/>
      <c r="MZS14" s="4"/>
      <c r="MZT14" s="4"/>
      <c r="MZU14" s="4"/>
      <c r="MZV14" s="4"/>
      <c r="MZW14" s="4"/>
      <c r="MZX14" s="4"/>
      <c r="MZY14" s="4"/>
      <c r="MZZ14" s="4"/>
      <c r="NAA14" s="4"/>
      <c r="NAB14" s="4"/>
      <c r="NAC14" s="4"/>
      <c r="NAD14" s="4"/>
      <c r="NAE14" s="4"/>
      <c r="NAF14" s="4"/>
      <c r="NAG14" s="4"/>
      <c r="NAH14" s="4"/>
      <c r="NAI14" s="4"/>
      <c r="NAJ14" s="4"/>
      <c r="NAK14" s="4"/>
      <c r="NAL14" s="4"/>
      <c r="NAM14" s="4"/>
      <c r="NAN14" s="4"/>
      <c r="NAO14" s="4"/>
      <c r="NAP14" s="4"/>
      <c r="NAQ14" s="4"/>
      <c r="NAR14" s="4"/>
      <c r="NAS14" s="4"/>
      <c r="NAT14" s="4"/>
      <c r="NAU14" s="4"/>
      <c r="NAV14" s="4"/>
      <c r="NAW14" s="4"/>
      <c r="NAX14" s="4"/>
      <c r="NAY14" s="4"/>
      <c r="NAZ14" s="4"/>
      <c r="NBA14" s="4"/>
      <c r="NBB14" s="4"/>
      <c r="NBC14" s="4"/>
      <c r="NBD14" s="4"/>
      <c r="NBE14" s="4"/>
      <c r="NBF14" s="4"/>
      <c r="NBG14" s="4"/>
      <c r="NBH14" s="4"/>
      <c r="NBI14" s="4"/>
      <c r="NBJ14" s="4"/>
      <c r="NBK14" s="4"/>
      <c r="NBL14" s="4"/>
      <c r="NBM14" s="4"/>
      <c r="NBN14" s="4"/>
      <c r="NBO14" s="4"/>
      <c r="NBP14" s="4"/>
      <c r="NBQ14" s="4"/>
      <c r="NBR14" s="4"/>
      <c r="NBS14" s="4"/>
      <c r="NBT14" s="4"/>
      <c r="NBU14" s="4"/>
      <c r="NBV14" s="4"/>
      <c r="NBW14" s="4"/>
      <c r="NBX14" s="4"/>
      <c r="NBY14" s="4"/>
      <c r="NBZ14" s="4"/>
      <c r="NCA14" s="4"/>
      <c r="NCB14" s="4"/>
      <c r="NCC14" s="4"/>
      <c r="NCD14" s="4"/>
      <c r="NCE14" s="4"/>
      <c r="NCF14" s="4"/>
      <c r="NCG14" s="4"/>
      <c r="NCH14" s="4"/>
      <c r="NCI14" s="4"/>
      <c r="NCJ14" s="4"/>
      <c r="NCK14" s="4"/>
      <c r="NCL14" s="4"/>
      <c r="NCM14" s="4"/>
      <c r="NCN14" s="4"/>
      <c r="NCO14" s="4"/>
      <c r="NCP14" s="4"/>
      <c r="NCQ14" s="4"/>
      <c r="NCR14" s="4"/>
      <c r="NCS14" s="4"/>
      <c r="NCT14" s="4"/>
      <c r="NCU14" s="4"/>
      <c r="NCV14" s="4"/>
      <c r="NCW14" s="4"/>
      <c r="NCX14" s="4"/>
      <c r="NCY14" s="4"/>
      <c r="NCZ14" s="4"/>
      <c r="NDA14" s="4"/>
      <c r="NDB14" s="4"/>
      <c r="NDC14" s="4"/>
      <c r="NDD14" s="4"/>
      <c r="NDE14" s="4"/>
      <c r="NDF14" s="4"/>
      <c r="NDG14" s="4"/>
      <c r="NDH14" s="4"/>
      <c r="NDI14" s="4"/>
      <c r="NDJ14" s="4"/>
      <c r="NDK14" s="4"/>
      <c r="NDL14" s="4"/>
      <c r="NDM14" s="4"/>
      <c r="NDN14" s="4"/>
      <c r="NDO14" s="4"/>
      <c r="NDP14" s="4"/>
      <c r="NDQ14" s="4"/>
      <c r="NDR14" s="4"/>
      <c r="NDS14" s="4"/>
      <c r="NDT14" s="4"/>
      <c r="NDU14" s="4"/>
      <c r="NDV14" s="4"/>
      <c r="NDW14" s="4"/>
      <c r="NDX14" s="4"/>
      <c r="NDY14" s="4"/>
      <c r="NDZ14" s="4"/>
      <c r="NEA14" s="4"/>
      <c r="NEB14" s="4"/>
      <c r="NEC14" s="4"/>
      <c r="NED14" s="4"/>
      <c r="NEE14" s="4"/>
      <c r="NEF14" s="4"/>
      <c r="NEG14" s="4"/>
      <c r="NEH14" s="4"/>
      <c r="NEI14" s="4"/>
      <c r="NEJ14" s="4"/>
      <c r="NEK14" s="4"/>
      <c r="NEL14" s="4"/>
      <c r="NEM14" s="4"/>
      <c r="NEN14" s="4"/>
      <c r="NEO14" s="4"/>
      <c r="NEP14" s="4"/>
      <c r="NEQ14" s="4"/>
      <c r="NER14" s="4"/>
      <c r="NES14" s="4"/>
      <c r="NET14" s="4"/>
      <c r="NEU14" s="4"/>
      <c r="NEV14" s="4"/>
      <c r="NEW14" s="4"/>
      <c r="NEX14" s="4"/>
      <c r="NEY14" s="4"/>
      <c r="NEZ14" s="4"/>
      <c r="NFA14" s="4"/>
      <c r="NFB14" s="4"/>
      <c r="NFC14" s="4"/>
      <c r="NFD14" s="4"/>
      <c r="NFE14" s="4"/>
      <c r="NFF14" s="4"/>
      <c r="NFG14" s="4"/>
      <c r="NFH14" s="4"/>
      <c r="NFI14" s="4"/>
      <c r="NFJ14" s="4"/>
      <c r="NFK14" s="4"/>
      <c r="NFL14" s="4"/>
      <c r="NFM14" s="4"/>
      <c r="NFN14" s="4"/>
      <c r="NFO14" s="4"/>
      <c r="NFP14" s="4"/>
      <c r="NFQ14" s="4"/>
      <c r="NFR14" s="4"/>
      <c r="NFS14" s="4"/>
      <c r="NFT14" s="4"/>
      <c r="NFU14" s="4"/>
      <c r="NFV14" s="4"/>
      <c r="NFW14" s="4"/>
      <c r="NFX14" s="4"/>
      <c r="NFY14" s="4"/>
      <c r="NFZ14" s="4"/>
      <c r="NGA14" s="4"/>
      <c r="NGB14" s="4"/>
      <c r="NGC14" s="4"/>
      <c r="NGD14" s="4"/>
      <c r="NGE14" s="4"/>
      <c r="NGF14" s="4"/>
      <c r="NGG14" s="4"/>
      <c r="NGH14" s="4"/>
      <c r="NGI14" s="4"/>
      <c r="NGJ14" s="4"/>
      <c r="NGK14" s="4"/>
      <c r="NGL14" s="4"/>
      <c r="NGM14" s="4"/>
      <c r="NGN14" s="4"/>
      <c r="NGO14" s="4"/>
      <c r="NGP14" s="4"/>
      <c r="NGQ14" s="4"/>
      <c r="NGR14" s="4"/>
      <c r="NGS14" s="4"/>
      <c r="NGT14" s="4"/>
      <c r="NGU14" s="4"/>
      <c r="NGV14" s="4"/>
      <c r="NGW14" s="4"/>
      <c r="NGX14" s="4"/>
      <c r="NGY14" s="4"/>
      <c r="NGZ14" s="4"/>
      <c r="NHA14" s="4"/>
      <c r="NHB14" s="4"/>
      <c r="NHC14" s="4"/>
      <c r="NHD14" s="4"/>
      <c r="NHE14" s="4"/>
      <c r="NHF14" s="4"/>
      <c r="NHG14" s="4"/>
      <c r="NHH14" s="4"/>
      <c r="NHI14" s="4"/>
      <c r="NHJ14" s="4"/>
      <c r="NHK14" s="4"/>
      <c r="NHL14" s="4"/>
      <c r="NHM14" s="4"/>
      <c r="NHN14" s="4"/>
      <c r="NHO14" s="4"/>
      <c r="NHP14" s="4"/>
      <c r="NHQ14" s="4"/>
      <c r="NHR14" s="4"/>
      <c r="NHS14" s="4"/>
      <c r="NHT14" s="4"/>
      <c r="NHU14" s="4"/>
      <c r="NHV14" s="4"/>
      <c r="NHW14" s="4"/>
      <c r="NHX14" s="4"/>
      <c r="NHY14" s="4"/>
      <c r="NHZ14" s="4"/>
      <c r="NIA14" s="4"/>
      <c r="NIB14" s="4"/>
      <c r="NIC14" s="4"/>
      <c r="NID14" s="4"/>
      <c r="NIE14" s="4"/>
      <c r="NIF14" s="4"/>
      <c r="NIG14" s="4"/>
      <c r="NIH14" s="4"/>
      <c r="NII14" s="4"/>
      <c r="NIJ14" s="4"/>
      <c r="NIK14" s="4"/>
      <c r="NIL14" s="4"/>
      <c r="NIM14" s="4"/>
      <c r="NIN14" s="4"/>
      <c r="NIO14" s="4"/>
      <c r="NIP14" s="4"/>
      <c r="NIQ14" s="4"/>
      <c r="NIR14" s="4"/>
      <c r="NIS14" s="4"/>
      <c r="NIT14" s="4"/>
      <c r="NIU14" s="4"/>
      <c r="NIV14" s="4"/>
      <c r="NIW14" s="4"/>
      <c r="NIX14" s="4"/>
      <c r="NIY14" s="4"/>
      <c r="NIZ14" s="4"/>
      <c r="NJA14" s="4"/>
      <c r="NJB14" s="4"/>
      <c r="NJC14" s="4"/>
      <c r="NJD14" s="4"/>
      <c r="NJE14" s="4"/>
      <c r="NJF14" s="4"/>
      <c r="NJG14" s="4"/>
      <c r="NJH14" s="4"/>
      <c r="NJI14" s="4"/>
      <c r="NJJ14" s="4"/>
      <c r="NJK14" s="4"/>
      <c r="NJL14" s="4"/>
      <c r="NJM14" s="4"/>
      <c r="NJN14" s="4"/>
      <c r="NJO14" s="4"/>
      <c r="NJP14" s="4"/>
      <c r="NJQ14" s="4"/>
      <c r="NJR14" s="4"/>
      <c r="NJS14" s="4"/>
      <c r="NJT14" s="4"/>
      <c r="NJU14" s="4"/>
      <c r="NJV14" s="4"/>
      <c r="NJW14" s="4"/>
      <c r="NJX14" s="4"/>
      <c r="NJY14" s="4"/>
      <c r="NJZ14" s="4"/>
      <c r="NKA14" s="4"/>
      <c r="NKB14" s="4"/>
      <c r="NKC14" s="4"/>
      <c r="NKD14" s="4"/>
      <c r="NKE14" s="4"/>
      <c r="NKF14" s="4"/>
      <c r="NKG14" s="4"/>
      <c r="NKH14" s="4"/>
      <c r="NKI14" s="4"/>
      <c r="NKJ14" s="4"/>
      <c r="NKK14" s="4"/>
      <c r="NKL14" s="4"/>
      <c r="NKM14" s="4"/>
      <c r="NKN14" s="4"/>
      <c r="NKO14" s="4"/>
      <c r="NKP14" s="4"/>
      <c r="NKQ14" s="4"/>
      <c r="NKR14" s="4"/>
      <c r="NKS14" s="4"/>
      <c r="NKT14" s="4"/>
      <c r="NKU14" s="4"/>
      <c r="NKV14" s="4"/>
      <c r="NKW14" s="4"/>
      <c r="NKX14" s="4"/>
      <c r="NKY14" s="4"/>
      <c r="NKZ14" s="4"/>
      <c r="NLA14" s="4"/>
      <c r="NLB14" s="4"/>
      <c r="NLC14" s="4"/>
      <c r="NLD14" s="4"/>
      <c r="NLE14" s="4"/>
      <c r="NLF14" s="4"/>
      <c r="NLG14" s="4"/>
      <c r="NLH14" s="4"/>
      <c r="NLI14" s="4"/>
      <c r="NLJ14" s="4"/>
      <c r="NLK14" s="4"/>
      <c r="NLL14" s="4"/>
      <c r="NLM14" s="4"/>
      <c r="NLN14" s="4"/>
      <c r="NLO14" s="4"/>
      <c r="NLP14" s="4"/>
      <c r="NLQ14" s="4"/>
      <c r="NLR14" s="4"/>
      <c r="NLS14" s="4"/>
      <c r="NLT14" s="4"/>
      <c r="NLU14" s="4"/>
      <c r="NLV14" s="4"/>
      <c r="NLW14" s="4"/>
      <c r="NLX14" s="4"/>
      <c r="NLY14" s="4"/>
      <c r="NLZ14" s="4"/>
      <c r="NMA14" s="4"/>
      <c r="NMB14" s="4"/>
      <c r="NMC14" s="4"/>
      <c r="NMD14" s="4"/>
      <c r="NME14" s="4"/>
      <c r="NMF14" s="4"/>
      <c r="NMG14" s="4"/>
      <c r="NMH14" s="4"/>
      <c r="NMI14" s="4"/>
      <c r="NMJ14" s="4"/>
      <c r="NMK14" s="4"/>
      <c r="NML14" s="4"/>
      <c r="NMM14" s="4"/>
      <c r="NMN14" s="4"/>
      <c r="NMO14" s="4"/>
      <c r="NMP14" s="4"/>
      <c r="NMQ14" s="4"/>
      <c r="NMR14" s="4"/>
      <c r="NMS14" s="4"/>
      <c r="NMT14" s="4"/>
      <c r="NMU14" s="4"/>
      <c r="NMV14" s="4"/>
      <c r="NMW14" s="4"/>
      <c r="NMX14" s="4"/>
      <c r="NMY14" s="4"/>
      <c r="NMZ14" s="4"/>
      <c r="NNA14" s="4"/>
      <c r="NNB14" s="4"/>
      <c r="NNC14" s="4"/>
      <c r="NND14" s="4"/>
      <c r="NNE14" s="4"/>
      <c r="NNF14" s="4"/>
      <c r="NNG14" s="4"/>
      <c r="NNH14" s="4"/>
      <c r="NNI14" s="4"/>
      <c r="NNJ14" s="4"/>
      <c r="NNK14" s="4"/>
      <c r="NNL14" s="4"/>
      <c r="NNM14" s="4"/>
      <c r="NNN14" s="4"/>
      <c r="NNO14" s="4"/>
      <c r="NNP14" s="4"/>
      <c r="NNQ14" s="4"/>
      <c r="NNR14" s="4"/>
      <c r="NNS14" s="4"/>
      <c r="NNT14" s="4"/>
      <c r="NNU14" s="4"/>
      <c r="NNV14" s="4"/>
      <c r="NNW14" s="4"/>
      <c r="NNX14" s="4"/>
      <c r="NNY14" s="4"/>
      <c r="NNZ14" s="4"/>
      <c r="NOA14" s="4"/>
      <c r="NOB14" s="4"/>
      <c r="NOC14" s="4"/>
      <c r="NOD14" s="4"/>
      <c r="NOE14" s="4"/>
      <c r="NOF14" s="4"/>
      <c r="NOG14" s="4"/>
      <c r="NOH14" s="4"/>
      <c r="NOI14" s="4"/>
      <c r="NOJ14" s="4"/>
      <c r="NOK14" s="4"/>
      <c r="NOL14" s="4"/>
      <c r="NOM14" s="4"/>
      <c r="NON14" s="4"/>
      <c r="NOO14" s="4"/>
      <c r="NOP14" s="4"/>
      <c r="NOQ14" s="4"/>
      <c r="NOR14" s="4"/>
      <c r="NOS14" s="4"/>
      <c r="NOT14" s="4"/>
      <c r="NOU14" s="4"/>
      <c r="NOV14" s="4"/>
      <c r="NOW14" s="4"/>
      <c r="NOX14" s="4"/>
      <c r="NOY14" s="4"/>
      <c r="NOZ14" s="4"/>
      <c r="NPA14" s="4"/>
      <c r="NPB14" s="4"/>
      <c r="NPC14" s="4"/>
      <c r="NPD14" s="4"/>
      <c r="NPE14" s="4"/>
      <c r="NPF14" s="4"/>
      <c r="NPG14" s="4"/>
      <c r="NPH14" s="4"/>
      <c r="NPI14" s="4"/>
      <c r="NPJ14" s="4"/>
      <c r="NPK14" s="4"/>
      <c r="NPL14" s="4"/>
      <c r="NPM14" s="4"/>
      <c r="NPN14" s="4"/>
      <c r="NPO14" s="4"/>
      <c r="NPP14" s="4"/>
      <c r="NPQ14" s="4"/>
      <c r="NPR14" s="4"/>
      <c r="NPS14" s="4"/>
      <c r="NPT14" s="4"/>
      <c r="NPU14" s="4"/>
      <c r="NPV14" s="4"/>
      <c r="NPW14" s="4"/>
      <c r="NPX14" s="4"/>
      <c r="NPY14" s="4"/>
      <c r="NPZ14" s="4"/>
      <c r="NQA14" s="4"/>
      <c r="NQB14" s="4"/>
      <c r="NQC14" s="4"/>
      <c r="NQD14" s="4"/>
      <c r="NQE14" s="4"/>
      <c r="NQF14" s="4"/>
      <c r="NQG14" s="4"/>
      <c r="NQH14" s="4"/>
      <c r="NQI14" s="4"/>
      <c r="NQJ14" s="4"/>
      <c r="NQK14" s="4"/>
      <c r="NQL14" s="4"/>
      <c r="NQM14" s="4"/>
      <c r="NQN14" s="4"/>
      <c r="NQO14" s="4"/>
      <c r="NQP14" s="4"/>
      <c r="NQQ14" s="4"/>
      <c r="NQR14" s="4"/>
      <c r="NQS14" s="4"/>
      <c r="NQT14" s="4"/>
      <c r="NQU14" s="4"/>
      <c r="NQV14" s="4"/>
      <c r="NQW14" s="4"/>
      <c r="NQX14" s="4"/>
      <c r="NQY14" s="4"/>
      <c r="NQZ14" s="4"/>
      <c r="NRA14" s="4"/>
      <c r="NRB14" s="4"/>
      <c r="NRC14" s="4"/>
      <c r="NRD14" s="4"/>
      <c r="NRE14" s="4"/>
      <c r="NRF14" s="4"/>
      <c r="NRG14" s="4"/>
      <c r="NRH14" s="4"/>
      <c r="NRI14" s="4"/>
      <c r="NRJ14" s="4"/>
      <c r="NRK14" s="4"/>
      <c r="NRL14" s="4"/>
      <c r="NRM14" s="4"/>
      <c r="NRN14" s="4"/>
      <c r="NRO14" s="4"/>
      <c r="NRP14" s="4"/>
      <c r="NRQ14" s="4"/>
      <c r="NRR14" s="4"/>
      <c r="NRS14" s="4"/>
      <c r="NRT14" s="4"/>
      <c r="NRU14" s="4"/>
      <c r="NRV14" s="4"/>
      <c r="NRW14" s="4"/>
      <c r="NRX14" s="4"/>
      <c r="NRY14" s="4"/>
      <c r="NRZ14" s="4"/>
      <c r="NSA14" s="4"/>
      <c r="NSB14" s="4"/>
      <c r="NSC14" s="4"/>
      <c r="NSD14" s="4"/>
      <c r="NSE14" s="4"/>
      <c r="NSF14" s="4"/>
      <c r="NSG14" s="4"/>
      <c r="NSH14" s="4"/>
      <c r="NSI14" s="4"/>
      <c r="NSJ14" s="4"/>
      <c r="NSK14" s="4"/>
      <c r="NSL14" s="4"/>
      <c r="NSM14" s="4"/>
      <c r="NSN14" s="4"/>
      <c r="NSO14" s="4"/>
      <c r="NSP14" s="4"/>
      <c r="NSQ14" s="4"/>
      <c r="NSR14" s="4"/>
      <c r="NSS14" s="4"/>
      <c r="NST14" s="4"/>
      <c r="NSU14" s="4"/>
      <c r="NSV14" s="4"/>
      <c r="NSW14" s="4"/>
      <c r="NSX14" s="4"/>
      <c r="NSY14" s="4"/>
      <c r="NSZ14" s="4"/>
      <c r="NTA14" s="4"/>
      <c r="NTB14" s="4"/>
      <c r="NTC14" s="4"/>
      <c r="NTD14" s="4"/>
      <c r="NTE14" s="4"/>
      <c r="NTF14" s="4"/>
      <c r="NTG14" s="4"/>
      <c r="NTH14" s="4"/>
      <c r="NTI14" s="4"/>
      <c r="NTJ14" s="4"/>
      <c r="NTK14" s="4"/>
      <c r="NTL14" s="4"/>
      <c r="NTM14" s="4"/>
      <c r="NTN14" s="4"/>
      <c r="NTO14" s="4"/>
      <c r="NTP14" s="4"/>
      <c r="NTQ14" s="4"/>
      <c r="NTR14" s="4"/>
      <c r="NTS14" s="4"/>
      <c r="NTT14" s="4"/>
      <c r="NTU14" s="4"/>
      <c r="NTV14" s="4"/>
      <c r="NTW14" s="4"/>
      <c r="NTX14" s="4"/>
      <c r="NTY14" s="4"/>
      <c r="NTZ14" s="4"/>
      <c r="NUA14" s="4"/>
      <c r="NUB14" s="4"/>
      <c r="NUC14" s="4"/>
      <c r="NUD14" s="4"/>
      <c r="NUE14" s="4"/>
      <c r="NUF14" s="4"/>
      <c r="NUG14" s="4"/>
      <c r="NUH14" s="4"/>
      <c r="NUI14" s="4"/>
      <c r="NUJ14" s="4"/>
      <c r="NUK14" s="4"/>
      <c r="NUL14" s="4"/>
      <c r="NUM14" s="4"/>
      <c r="NUN14" s="4"/>
      <c r="NUO14" s="4"/>
      <c r="NUP14" s="4"/>
      <c r="NUQ14" s="4"/>
      <c r="NUR14" s="4"/>
      <c r="NUS14" s="4"/>
      <c r="NUT14" s="4"/>
      <c r="NUU14" s="4"/>
      <c r="NUV14" s="4"/>
      <c r="NUW14" s="4"/>
      <c r="NUX14" s="4"/>
      <c r="NUY14" s="4"/>
      <c r="NUZ14" s="4"/>
      <c r="NVA14" s="4"/>
      <c r="NVB14" s="4"/>
      <c r="NVC14" s="4"/>
      <c r="NVD14" s="4"/>
      <c r="NVE14" s="4"/>
      <c r="NVF14" s="4"/>
      <c r="NVG14" s="4"/>
      <c r="NVH14" s="4"/>
      <c r="NVI14" s="4"/>
      <c r="NVJ14" s="4"/>
      <c r="NVK14" s="4"/>
      <c r="NVL14" s="4"/>
      <c r="NVM14" s="4"/>
      <c r="NVN14" s="4"/>
      <c r="NVO14" s="4"/>
      <c r="NVP14" s="4"/>
      <c r="NVQ14" s="4"/>
      <c r="NVR14" s="4"/>
      <c r="NVS14" s="4"/>
      <c r="NVT14" s="4"/>
      <c r="NVU14" s="4"/>
      <c r="NVV14" s="4"/>
      <c r="NVW14" s="4"/>
      <c r="NVX14" s="4"/>
      <c r="NVY14" s="4"/>
      <c r="NVZ14" s="4"/>
      <c r="NWA14" s="4"/>
      <c r="NWB14" s="4"/>
      <c r="NWC14" s="4"/>
      <c r="NWD14" s="4"/>
      <c r="NWE14" s="4"/>
      <c r="NWF14" s="4"/>
      <c r="NWG14" s="4"/>
      <c r="NWH14" s="4"/>
      <c r="NWI14" s="4"/>
      <c r="NWJ14" s="4"/>
      <c r="NWK14" s="4"/>
      <c r="NWL14" s="4"/>
      <c r="NWM14" s="4"/>
      <c r="NWN14" s="4"/>
      <c r="NWO14" s="4"/>
      <c r="NWP14" s="4"/>
      <c r="NWQ14" s="4"/>
      <c r="NWR14" s="4"/>
      <c r="NWS14" s="4"/>
      <c r="NWT14" s="4"/>
      <c r="NWU14" s="4"/>
      <c r="NWV14" s="4"/>
      <c r="NWW14" s="4"/>
      <c r="NWX14" s="4"/>
      <c r="NWY14" s="4"/>
      <c r="NWZ14" s="4"/>
      <c r="NXA14" s="4"/>
      <c r="NXB14" s="4"/>
      <c r="NXC14" s="4"/>
      <c r="NXD14" s="4"/>
      <c r="NXE14" s="4"/>
      <c r="NXF14" s="4"/>
      <c r="NXG14" s="4"/>
      <c r="NXH14" s="4"/>
      <c r="NXI14" s="4"/>
      <c r="NXJ14" s="4"/>
      <c r="NXK14" s="4"/>
      <c r="NXL14" s="4"/>
      <c r="NXM14" s="4"/>
      <c r="NXN14" s="4"/>
      <c r="NXO14" s="4"/>
      <c r="NXP14" s="4"/>
      <c r="NXQ14" s="4"/>
      <c r="NXR14" s="4"/>
      <c r="NXS14" s="4"/>
      <c r="NXT14" s="4"/>
      <c r="NXU14" s="4"/>
      <c r="NXV14" s="4"/>
      <c r="NXW14" s="4"/>
      <c r="NXX14" s="4"/>
      <c r="NXY14" s="4"/>
      <c r="NXZ14" s="4"/>
      <c r="NYA14" s="4"/>
      <c r="NYB14" s="4"/>
      <c r="NYC14" s="4"/>
      <c r="NYD14" s="4"/>
      <c r="NYE14" s="4"/>
      <c r="NYF14" s="4"/>
      <c r="NYG14" s="4"/>
      <c r="NYH14" s="4"/>
      <c r="NYI14" s="4"/>
      <c r="NYJ14" s="4"/>
      <c r="NYK14" s="4"/>
      <c r="NYL14" s="4"/>
      <c r="NYM14" s="4"/>
      <c r="NYN14" s="4"/>
      <c r="NYO14" s="4"/>
      <c r="NYP14" s="4"/>
      <c r="NYQ14" s="4"/>
      <c r="NYR14" s="4"/>
      <c r="NYS14" s="4"/>
      <c r="NYT14" s="4"/>
      <c r="NYU14" s="4"/>
      <c r="NYV14" s="4"/>
      <c r="NYW14" s="4"/>
      <c r="NYX14" s="4"/>
      <c r="NYY14" s="4"/>
      <c r="NYZ14" s="4"/>
      <c r="NZA14" s="4"/>
      <c r="NZB14" s="4"/>
      <c r="NZC14" s="4"/>
      <c r="NZD14" s="4"/>
      <c r="NZE14" s="4"/>
      <c r="NZF14" s="4"/>
      <c r="NZG14" s="4"/>
      <c r="NZH14" s="4"/>
      <c r="NZI14" s="4"/>
      <c r="NZJ14" s="4"/>
      <c r="NZK14" s="4"/>
      <c r="NZL14" s="4"/>
      <c r="NZM14" s="4"/>
      <c r="NZN14" s="4"/>
      <c r="NZO14" s="4"/>
      <c r="NZP14" s="4"/>
      <c r="NZQ14" s="4"/>
      <c r="NZR14" s="4"/>
      <c r="NZS14" s="4"/>
      <c r="NZT14" s="4"/>
      <c r="NZU14" s="4"/>
      <c r="NZV14" s="4"/>
      <c r="NZW14" s="4"/>
      <c r="NZX14" s="4"/>
      <c r="NZY14" s="4"/>
      <c r="NZZ14" s="4"/>
      <c r="OAA14" s="4"/>
      <c r="OAB14" s="4"/>
      <c r="OAC14" s="4"/>
      <c r="OAD14" s="4"/>
      <c r="OAE14" s="4"/>
      <c r="OAF14" s="4"/>
      <c r="OAG14" s="4"/>
      <c r="OAH14" s="4"/>
      <c r="OAI14" s="4"/>
      <c r="OAJ14" s="4"/>
      <c r="OAK14" s="4"/>
      <c r="OAL14" s="4"/>
      <c r="OAM14" s="4"/>
      <c r="OAN14" s="4"/>
      <c r="OAO14" s="4"/>
      <c r="OAP14" s="4"/>
      <c r="OAQ14" s="4"/>
      <c r="OAR14" s="4"/>
      <c r="OAS14" s="4"/>
      <c r="OAT14" s="4"/>
      <c r="OAU14" s="4"/>
      <c r="OAV14" s="4"/>
      <c r="OAW14" s="4"/>
      <c r="OAX14" s="4"/>
      <c r="OAY14" s="4"/>
      <c r="OAZ14" s="4"/>
      <c r="OBA14" s="4"/>
      <c r="OBB14" s="4"/>
      <c r="OBC14" s="4"/>
      <c r="OBD14" s="4"/>
      <c r="OBE14" s="4"/>
      <c r="OBF14" s="4"/>
      <c r="OBG14" s="4"/>
      <c r="OBH14" s="4"/>
      <c r="OBI14" s="4"/>
      <c r="OBJ14" s="4"/>
      <c r="OBK14" s="4"/>
      <c r="OBL14" s="4"/>
      <c r="OBM14" s="4"/>
      <c r="OBN14" s="4"/>
      <c r="OBO14" s="4"/>
      <c r="OBP14" s="4"/>
      <c r="OBQ14" s="4"/>
      <c r="OBR14" s="4"/>
      <c r="OBS14" s="4"/>
      <c r="OBT14" s="4"/>
      <c r="OBU14" s="4"/>
      <c r="OBV14" s="4"/>
      <c r="OBW14" s="4"/>
      <c r="OBX14" s="4"/>
      <c r="OBY14" s="4"/>
      <c r="OBZ14" s="4"/>
      <c r="OCA14" s="4"/>
      <c r="OCB14" s="4"/>
      <c r="OCC14" s="4"/>
      <c r="OCD14" s="4"/>
      <c r="OCE14" s="4"/>
      <c r="OCF14" s="4"/>
      <c r="OCG14" s="4"/>
      <c r="OCH14" s="4"/>
      <c r="OCI14" s="4"/>
      <c r="OCJ14" s="4"/>
      <c r="OCK14" s="4"/>
      <c r="OCL14" s="4"/>
      <c r="OCM14" s="4"/>
      <c r="OCN14" s="4"/>
      <c r="OCO14" s="4"/>
      <c r="OCP14" s="4"/>
      <c r="OCQ14" s="4"/>
      <c r="OCR14" s="4"/>
      <c r="OCS14" s="4"/>
      <c r="OCT14" s="4"/>
      <c r="OCU14" s="4"/>
      <c r="OCV14" s="4"/>
      <c r="OCW14" s="4"/>
      <c r="OCX14" s="4"/>
      <c r="OCY14" s="4"/>
      <c r="OCZ14" s="4"/>
      <c r="ODA14" s="4"/>
      <c r="ODB14" s="4"/>
      <c r="ODC14" s="4"/>
      <c r="ODD14" s="4"/>
      <c r="ODE14" s="4"/>
      <c r="ODF14" s="4"/>
      <c r="ODG14" s="4"/>
      <c r="ODH14" s="4"/>
      <c r="ODI14" s="4"/>
      <c r="ODJ14" s="4"/>
      <c r="ODK14" s="4"/>
      <c r="ODL14" s="4"/>
      <c r="ODM14" s="4"/>
      <c r="ODN14" s="4"/>
      <c r="ODO14" s="4"/>
      <c r="ODP14" s="4"/>
      <c r="ODQ14" s="4"/>
      <c r="ODR14" s="4"/>
      <c r="ODS14" s="4"/>
      <c r="ODT14" s="4"/>
      <c r="ODU14" s="4"/>
      <c r="ODV14" s="4"/>
      <c r="ODW14" s="4"/>
      <c r="ODX14" s="4"/>
      <c r="ODY14" s="4"/>
      <c r="ODZ14" s="4"/>
      <c r="OEA14" s="4"/>
      <c r="OEB14" s="4"/>
      <c r="OEC14" s="4"/>
      <c r="OED14" s="4"/>
      <c r="OEE14" s="4"/>
      <c r="OEF14" s="4"/>
      <c r="OEG14" s="4"/>
      <c r="OEH14" s="4"/>
      <c r="OEI14" s="4"/>
      <c r="OEJ14" s="4"/>
      <c r="OEK14" s="4"/>
      <c r="OEL14" s="4"/>
      <c r="OEM14" s="4"/>
      <c r="OEN14" s="4"/>
      <c r="OEO14" s="4"/>
      <c r="OEP14" s="4"/>
      <c r="OEQ14" s="4"/>
      <c r="OER14" s="4"/>
      <c r="OES14" s="4"/>
      <c r="OET14" s="4"/>
      <c r="OEU14" s="4"/>
      <c r="OEV14" s="4"/>
      <c r="OEW14" s="4"/>
      <c r="OEX14" s="4"/>
      <c r="OEY14" s="4"/>
      <c r="OEZ14" s="4"/>
      <c r="OFA14" s="4"/>
      <c r="OFB14" s="4"/>
      <c r="OFC14" s="4"/>
      <c r="OFD14" s="4"/>
      <c r="OFE14" s="4"/>
      <c r="OFF14" s="4"/>
      <c r="OFG14" s="4"/>
      <c r="OFH14" s="4"/>
      <c r="OFI14" s="4"/>
      <c r="OFJ14" s="4"/>
      <c r="OFK14" s="4"/>
      <c r="OFL14" s="4"/>
      <c r="OFM14" s="4"/>
      <c r="OFN14" s="4"/>
      <c r="OFO14" s="4"/>
      <c r="OFP14" s="4"/>
      <c r="OFQ14" s="4"/>
      <c r="OFR14" s="4"/>
      <c r="OFS14" s="4"/>
      <c r="OFT14" s="4"/>
      <c r="OFU14" s="4"/>
      <c r="OFV14" s="4"/>
      <c r="OFW14" s="4"/>
      <c r="OFX14" s="4"/>
      <c r="OFY14" s="4"/>
      <c r="OFZ14" s="4"/>
      <c r="OGA14" s="4"/>
      <c r="OGB14" s="4"/>
      <c r="OGC14" s="4"/>
      <c r="OGD14" s="4"/>
      <c r="OGE14" s="4"/>
      <c r="OGF14" s="4"/>
      <c r="OGG14" s="4"/>
      <c r="OGH14" s="4"/>
      <c r="OGI14" s="4"/>
      <c r="OGJ14" s="4"/>
      <c r="OGK14" s="4"/>
      <c r="OGL14" s="4"/>
      <c r="OGM14" s="4"/>
      <c r="OGN14" s="4"/>
      <c r="OGO14" s="4"/>
      <c r="OGP14" s="4"/>
      <c r="OGQ14" s="4"/>
      <c r="OGR14" s="4"/>
      <c r="OGS14" s="4"/>
      <c r="OGT14" s="4"/>
      <c r="OGU14" s="4"/>
      <c r="OGV14" s="4"/>
      <c r="OGW14" s="4"/>
      <c r="OGX14" s="4"/>
      <c r="OGY14" s="4"/>
      <c r="OGZ14" s="4"/>
      <c r="OHA14" s="4"/>
      <c r="OHB14" s="4"/>
      <c r="OHC14" s="4"/>
      <c r="OHD14" s="4"/>
      <c r="OHE14" s="4"/>
      <c r="OHF14" s="4"/>
      <c r="OHG14" s="4"/>
      <c r="OHH14" s="4"/>
      <c r="OHI14" s="4"/>
      <c r="OHJ14" s="4"/>
      <c r="OHK14" s="4"/>
      <c r="OHL14" s="4"/>
      <c r="OHM14" s="4"/>
      <c r="OHN14" s="4"/>
      <c r="OHO14" s="4"/>
      <c r="OHP14" s="4"/>
      <c r="OHQ14" s="4"/>
      <c r="OHR14" s="4"/>
      <c r="OHS14" s="4"/>
      <c r="OHT14" s="4"/>
      <c r="OHU14" s="4"/>
      <c r="OHV14" s="4"/>
      <c r="OHW14" s="4"/>
      <c r="OHX14" s="4"/>
      <c r="OHY14" s="4"/>
      <c r="OHZ14" s="4"/>
      <c r="OIA14" s="4"/>
      <c r="OIB14" s="4"/>
      <c r="OIC14" s="4"/>
      <c r="OID14" s="4"/>
      <c r="OIE14" s="4"/>
      <c r="OIF14" s="4"/>
      <c r="OIG14" s="4"/>
      <c r="OIH14" s="4"/>
      <c r="OII14" s="4"/>
      <c r="OIJ14" s="4"/>
      <c r="OIK14" s="4"/>
      <c r="OIL14" s="4"/>
      <c r="OIM14" s="4"/>
      <c r="OIN14" s="4"/>
      <c r="OIO14" s="4"/>
      <c r="OIP14" s="4"/>
      <c r="OIQ14" s="4"/>
      <c r="OIR14" s="4"/>
      <c r="OIS14" s="4"/>
      <c r="OIT14" s="4"/>
      <c r="OIU14" s="4"/>
      <c r="OIV14" s="4"/>
      <c r="OIW14" s="4"/>
      <c r="OIX14" s="4"/>
      <c r="OIY14" s="4"/>
      <c r="OIZ14" s="4"/>
      <c r="OJA14" s="4"/>
      <c r="OJB14" s="4"/>
      <c r="OJC14" s="4"/>
      <c r="OJD14" s="4"/>
      <c r="OJE14" s="4"/>
      <c r="OJF14" s="4"/>
      <c r="OJG14" s="4"/>
      <c r="OJH14" s="4"/>
      <c r="OJI14" s="4"/>
      <c r="OJJ14" s="4"/>
      <c r="OJK14" s="4"/>
      <c r="OJL14" s="4"/>
      <c r="OJM14" s="4"/>
      <c r="OJN14" s="4"/>
      <c r="OJO14" s="4"/>
      <c r="OJP14" s="4"/>
      <c r="OJQ14" s="4"/>
      <c r="OJR14" s="4"/>
      <c r="OJS14" s="4"/>
      <c r="OJT14" s="4"/>
      <c r="OJU14" s="4"/>
      <c r="OJV14" s="4"/>
      <c r="OJW14" s="4"/>
      <c r="OJX14" s="4"/>
      <c r="OJY14" s="4"/>
      <c r="OJZ14" s="4"/>
      <c r="OKA14" s="4"/>
      <c r="OKB14" s="4"/>
      <c r="OKC14" s="4"/>
      <c r="OKD14" s="4"/>
      <c r="OKE14" s="4"/>
      <c r="OKF14" s="4"/>
      <c r="OKG14" s="4"/>
      <c r="OKH14" s="4"/>
      <c r="OKI14" s="4"/>
      <c r="OKJ14" s="4"/>
      <c r="OKK14" s="4"/>
      <c r="OKL14" s="4"/>
      <c r="OKM14" s="4"/>
      <c r="OKN14" s="4"/>
      <c r="OKO14" s="4"/>
      <c r="OKP14" s="4"/>
      <c r="OKQ14" s="4"/>
      <c r="OKR14" s="4"/>
      <c r="OKS14" s="4"/>
      <c r="OKT14" s="4"/>
      <c r="OKU14" s="4"/>
      <c r="OKV14" s="4"/>
      <c r="OKW14" s="4"/>
      <c r="OKX14" s="4"/>
      <c r="OKY14" s="4"/>
      <c r="OKZ14" s="4"/>
      <c r="OLA14" s="4"/>
      <c r="OLB14" s="4"/>
      <c r="OLC14" s="4"/>
      <c r="OLD14" s="4"/>
      <c r="OLE14" s="4"/>
      <c r="OLF14" s="4"/>
      <c r="OLG14" s="4"/>
      <c r="OLH14" s="4"/>
      <c r="OLI14" s="4"/>
      <c r="OLJ14" s="4"/>
      <c r="OLK14" s="4"/>
      <c r="OLL14" s="4"/>
      <c r="OLM14" s="4"/>
      <c r="OLN14" s="4"/>
      <c r="OLO14" s="4"/>
      <c r="OLP14" s="4"/>
      <c r="OLQ14" s="4"/>
      <c r="OLR14" s="4"/>
      <c r="OLS14" s="4"/>
      <c r="OLT14" s="4"/>
      <c r="OLU14" s="4"/>
      <c r="OLV14" s="4"/>
      <c r="OLW14" s="4"/>
      <c r="OLX14" s="4"/>
      <c r="OLY14" s="4"/>
      <c r="OLZ14" s="4"/>
      <c r="OMA14" s="4"/>
      <c r="OMB14" s="4"/>
      <c r="OMC14" s="4"/>
      <c r="OMD14" s="4"/>
      <c r="OME14" s="4"/>
      <c r="OMF14" s="4"/>
      <c r="OMG14" s="4"/>
      <c r="OMH14" s="4"/>
      <c r="OMI14" s="4"/>
      <c r="OMJ14" s="4"/>
      <c r="OMK14" s="4"/>
      <c r="OML14" s="4"/>
      <c r="OMM14" s="4"/>
      <c r="OMN14" s="4"/>
      <c r="OMO14" s="4"/>
      <c r="OMP14" s="4"/>
      <c r="OMQ14" s="4"/>
      <c r="OMR14" s="4"/>
      <c r="OMS14" s="4"/>
      <c r="OMT14" s="4"/>
      <c r="OMU14" s="4"/>
      <c r="OMV14" s="4"/>
      <c r="OMW14" s="4"/>
      <c r="OMX14" s="4"/>
      <c r="OMY14" s="4"/>
      <c r="OMZ14" s="4"/>
      <c r="ONA14" s="4"/>
      <c r="ONB14" s="4"/>
      <c r="ONC14" s="4"/>
      <c r="OND14" s="4"/>
      <c r="ONE14" s="4"/>
      <c r="ONF14" s="4"/>
      <c r="ONG14" s="4"/>
      <c r="ONH14" s="4"/>
      <c r="ONI14" s="4"/>
      <c r="ONJ14" s="4"/>
      <c r="ONK14" s="4"/>
      <c r="ONL14" s="4"/>
      <c r="ONM14" s="4"/>
      <c r="ONN14" s="4"/>
      <c r="ONO14" s="4"/>
      <c r="ONP14" s="4"/>
      <c r="ONQ14" s="4"/>
      <c r="ONR14" s="4"/>
      <c r="ONS14" s="4"/>
      <c r="ONT14" s="4"/>
      <c r="ONU14" s="4"/>
      <c r="ONV14" s="4"/>
      <c r="ONW14" s="4"/>
      <c r="ONX14" s="4"/>
      <c r="ONY14" s="4"/>
      <c r="ONZ14" s="4"/>
      <c r="OOA14" s="4"/>
      <c r="OOB14" s="4"/>
      <c r="OOC14" s="4"/>
      <c r="OOD14" s="4"/>
      <c r="OOE14" s="4"/>
      <c r="OOF14" s="4"/>
      <c r="OOG14" s="4"/>
      <c r="OOH14" s="4"/>
      <c r="OOI14" s="4"/>
      <c r="OOJ14" s="4"/>
      <c r="OOK14" s="4"/>
      <c r="OOL14" s="4"/>
      <c r="OOM14" s="4"/>
      <c r="OON14" s="4"/>
      <c r="OOO14" s="4"/>
      <c r="OOP14" s="4"/>
      <c r="OOQ14" s="4"/>
      <c r="OOR14" s="4"/>
      <c r="OOS14" s="4"/>
      <c r="OOT14" s="4"/>
      <c r="OOU14" s="4"/>
      <c r="OOV14" s="4"/>
      <c r="OOW14" s="4"/>
      <c r="OOX14" s="4"/>
      <c r="OOY14" s="4"/>
      <c r="OOZ14" s="4"/>
      <c r="OPA14" s="4"/>
      <c r="OPB14" s="4"/>
      <c r="OPC14" s="4"/>
      <c r="OPD14" s="4"/>
      <c r="OPE14" s="4"/>
      <c r="OPF14" s="4"/>
      <c r="OPG14" s="4"/>
      <c r="OPH14" s="4"/>
      <c r="OPI14" s="4"/>
      <c r="OPJ14" s="4"/>
      <c r="OPK14" s="4"/>
      <c r="OPL14" s="4"/>
      <c r="OPM14" s="4"/>
      <c r="OPN14" s="4"/>
      <c r="OPO14" s="4"/>
      <c r="OPP14" s="4"/>
      <c r="OPQ14" s="4"/>
      <c r="OPR14" s="4"/>
      <c r="OPS14" s="4"/>
      <c r="OPT14" s="4"/>
      <c r="OPU14" s="4"/>
      <c r="OPV14" s="4"/>
      <c r="OPW14" s="4"/>
      <c r="OPX14" s="4"/>
      <c r="OPY14" s="4"/>
      <c r="OPZ14" s="4"/>
      <c r="OQA14" s="4"/>
      <c r="OQB14" s="4"/>
      <c r="OQC14" s="4"/>
      <c r="OQD14" s="4"/>
      <c r="OQE14" s="4"/>
      <c r="OQF14" s="4"/>
      <c r="OQG14" s="4"/>
      <c r="OQH14" s="4"/>
      <c r="OQI14" s="4"/>
      <c r="OQJ14" s="4"/>
      <c r="OQK14" s="4"/>
      <c r="OQL14" s="4"/>
      <c r="OQM14" s="4"/>
      <c r="OQN14" s="4"/>
      <c r="OQO14" s="4"/>
      <c r="OQP14" s="4"/>
      <c r="OQQ14" s="4"/>
      <c r="OQR14" s="4"/>
      <c r="OQS14" s="4"/>
      <c r="OQT14" s="4"/>
      <c r="OQU14" s="4"/>
      <c r="OQV14" s="4"/>
      <c r="OQW14" s="4"/>
      <c r="OQX14" s="4"/>
      <c r="OQY14" s="4"/>
      <c r="OQZ14" s="4"/>
      <c r="ORA14" s="4"/>
      <c r="ORB14" s="4"/>
      <c r="ORC14" s="4"/>
      <c r="ORD14" s="4"/>
      <c r="ORE14" s="4"/>
      <c r="ORF14" s="4"/>
      <c r="ORG14" s="4"/>
      <c r="ORH14" s="4"/>
      <c r="ORI14" s="4"/>
      <c r="ORJ14" s="4"/>
      <c r="ORK14" s="4"/>
      <c r="ORL14" s="4"/>
      <c r="ORM14" s="4"/>
      <c r="ORN14" s="4"/>
      <c r="ORO14" s="4"/>
      <c r="ORP14" s="4"/>
      <c r="ORQ14" s="4"/>
      <c r="ORR14" s="4"/>
      <c r="ORS14" s="4"/>
      <c r="ORT14" s="4"/>
      <c r="ORU14" s="4"/>
      <c r="ORV14" s="4"/>
      <c r="ORW14" s="4"/>
      <c r="ORX14" s="4"/>
      <c r="ORY14" s="4"/>
      <c r="ORZ14" s="4"/>
      <c r="OSA14" s="4"/>
      <c r="OSB14" s="4"/>
      <c r="OSC14" s="4"/>
      <c r="OSD14" s="4"/>
      <c r="OSE14" s="4"/>
      <c r="OSF14" s="4"/>
      <c r="OSG14" s="4"/>
      <c r="OSH14" s="4"/>
      <c r="OSI14" s="4"/>
      <c r="OSJ14" s="4"/>
      <c r="OSK14" s="4"/>
      <c r="OSL14" s="4"/>
      <c r="OSM14" s="4"/>
      <c r="OSN14" s="4"/>
      <c r="OSO14" s="4"/>
      <c r="OSP14" s="4"/>
      <c r="OSQ14" s="4"/>
      <c r="OSR14" s="4"/>
      <c r="OSS14" s="4"/>
      <c r="OST14" s="4"/>
      <c r="OSU14" s="4"/>
      <c r="OSV14" s="4"/>
      <c r="OSW14" s="4"/>
      <c r="OSX14" s="4"/>
      <c r="OSY14" s="4"/>
      <c r="OSZ14" s="4"/>
      <c r="OTA14" s="4"/>
      <c r="OTB14" s="4"/>
      <c r="OTC14" s="4"/>
      <c r="OTD14" s="4"/>
      <c r="OTE14" s="4"/>
      <c r="OTF14" s="4"/>
      <c r="OTG14" s="4"/>
      <c r="OTH14" s="4"/>
      <c r="OTI14" s="4"/>
      <c r="OTJ14" s="4"/>
      <c r="OTK14" s="4"/>
      <c r="OTL14" s="4"/>
      <c r="OTM14" s="4"/>
      <c r="OTN14" s="4"/>
      <c r="OTO14" s="4"/>
      <c r="OTP14" s="4"/>
      <c r="OTQ14" s="4"/>
      <c r="OTR14" s="4"/>
      <c r="OTS14" s="4"/>
      <c r="OTT14" s="4"/>
      <c r="OTU14" s="4"/>
      <c r="OTV14" s="4"/>
      <c r="OTW14" s="4"/>
      <c r="OTX14" s="4"/>
      <c r="OTY14" s="4"/>
      <c r="OTZ14" s="4"/>
      <c r="OUA14" s="4"/>
      <c r="OUB14" s="4"/>
      <c r="OUC14" s="4"/>
      <c r="OUD14" s="4"/>
      <c r="OUE14" s="4"/>
      <c r="OUF14" s="4"/>
      <c r="OUG14" s="4"/>
      <c r="OUH14" s="4"/>
      <c r="OUI14" s="4"/>
      <c r="OUJ14" s="4"/>
      <c r="OUK14" s="4"/>
      <c r="OUL14" s="4"/>
      <c r="OUM14" s="4"/>
      <c r="OUN14" s="4"/>
      <c r="OUO14" s="4"/>
      <c r="OUP14" s="4"/>
      <c r="OUQ14" s="4"/>
      <c r="OUR14" s="4"/>
      <c r="OUS14" s="4"/>
      <c r="OUT14" s="4"/>
      <c r="OUU14" s="4"/>
      <c r="OUV14" s="4"/>
      <c r="OUW14" s="4"/>
      <c r="OUX14" s="4"/>
      <c r="OUY14" s="4"/>
      <c r="OUZ14" s="4"/>
      <c r="OVA14" s="4"/>
      <c r="OVB14" s="4"/>
      <c r="OVC14" s="4"/>
      <c r="OVD14" s="4"/>
      <c r="OVE14" s="4"/>
      <c r="OVF14" s="4"/>
      <c r="OVG14" s="4"/>
      <c r="OVH14" s="4"/>
      <c r="OVI14" s="4"/>
      <c r="OVJ14" s="4"/>
      <c r="OVK14" s="4"/>
      <c r="OVL14" s="4"/>
      <c r="OVM14" s="4"/>
      <c r="OVN14" s="4"/>
      <c r="OVO14" s="4"/>
      <c r="OVP14" s="4"/>
      <c r="OVQ14" s="4"/>
      <c r="OVR14" s="4"/>
      <c r="OVS14" s="4"/>
      <c r="OVT14" s="4"/>
      <c r="OVU14" s="4"/>
      <c r="OVV14" s="4"/>
      <c r="OVW14" s="4"/>
      <c r="OVX14" s="4"/>
      <c r="OVY14" s="4"/>
      <c r="OVZ14" s="4"/>
      <c r="OWA14" s="4"/>
      <c r="OWB14" s="4"/>
      <c r="OWC14" s="4"/>
      <c r="OWD14" s="4"/>
      <c r="OWE14" s="4"/>
      <c r="OWF14" s="4"/>
      <c r="OWG14" s="4"/>
      <c r="OWH14" s="4"/>
      <c r="OWI14" s="4"/>
      <c r="OWJ14" s="4"/>
      <c r="OWK14" s="4"/>
      <c r="OWL14" s="4"/>
      <c r="OWM14" s="4"/>
      <c r="OWN14" s="4"/>
      <c r="OWO14" s="4"/>
      <c r="OWP14" s="4"/>
      <c r="OWQ14" s="4"/>
      <c r="OWR14" s="4"/>
      <c r="OWS14" s="4"/>
      <c r="OWT14" s="4"/>
      <c r="OWU14" s="4"/>
      <c r="OWV14" s="4"/>
      <c r="OWW14" s="4"/>
      <c r="OWX14" s="4"/>
      <c r="OWY14" s="4"/>
      <c r="OWZ14" s="4"/>
      <c r="OXA14" s="4"/>
      <c r="OXB14" s="4"/>
      <c r="OXC14" s="4"/>
      <c r="OXD14" s="4"/>
      <c r="OXE14" s="4"/>
      <c r="OXF14" s="4"/>
      <c r="OXG14" s="4"/>
      <c r="OXH14" s="4"/>
      <c r="OXI14" s="4"/>
      <c r="OXJ14" s="4"/>
      <c r="OXK14" s="4"/>
      <c r="OXL14" s="4"/>
      <c r="OXM14" s="4"/>
      <c r="OXN14" s="4"/>
      <c r="OXO14" s="4"/>
      <c r="OXP14" s="4"/>
      <c r="OXQ14" s="4"/>
      <c r="OXR14" s="4"/>
      <c r="OXS14" s="4"/>
      <c r="OXT14" s="4"/>
      <c r="OXU14" s="4"/>
      <c r="OXV14" s="4"/>
      <c r="OXW14" s="4"/>
      <c r="OXX14" s="4"/>
      <c r="OXY14" s="4"/>
      <c r="OXZ14" s="4"/>
      <c r="OYA14" s="4"/>
      <c r="OYB14" s="4"/>
      <c r="OYC14" s="4"/>
      <c r="OYD14" s="4"/>
      <c r="OYE14" s="4"/>
      <c r="OYF14" s="4"/>
      <c r="OYG14" s="4"/>
      <c r="OYH14" s="4"/>
      <c r="OYI14" s="4"/>
      <c r="OYJ14" s="4"/>
      <c r="OYK14" s="4"/>
      <c r="OYL14" s="4"/>
      <c r="OYM14" s="4"/>
      <c r="OYN14" s="4"/>
      <c r="OYO14" s="4"/>
      <c r="OYP14" s="4"/>
      <c r="OYQ14" s="4"/>
      <c r="OYR14" s="4"/>
      <c r="OYS14" s="4"/>
      <c r="OYT14" s="4"/>
      <c r="OYU14" s="4"/>
      <c r="OYV14" s="4"/>
      <c r="OYW14" s="4"/>
      <c r="OYX14" s="4"/>
      <c r="OYY14" s="4"/>
      <c r="OYZ14" s="4"/>
      <c r="OZA14" s="4"/>
      <c r="OZB14" s="4"/>
      <c r="OZC14" s="4"/>
      <c r="OZD14" s="4"/>
      <c r="OZE14" s="4"/>
      <c r="OZF14" s="4"/>
      <c r="OZG14" s="4"/>
      <c r="OZH14" s="4"/>
      <c r="OZI14" s="4"/>
      <c r="OZJ14" s="4"/>
      <c r="OZK14" s="4"/>
      <c r="OZL14" s="4"/>
      <c r="OZM14" s="4"/>
      <c r="OZN14" s="4"/>
      <c r="OZO14" s="4"/>
      <c r="OZP14" s="4"/>
      <c r="OZQ14" s="4"/>
      <c r="OZR14" s="4"/>
      <c r="OZS14" s="4"/>
      <c r="OZT14" s="4"/>
      <c r="OZU14" s="4"/>
      <c r="OZV14" s="4"/>
      <c r="OZW14" s="4"/>
      <c r="OZX14" s="4"/>
      <c r="OZY14" s="4"/>
      <c r="OZZ14" s="4"/>
      <c r="PAA14" s="4"/>
      <c r="PAB14" s="4"/>
      <c r="PAC14" s="4"/>
      <c r="PAD14" s="4"/>
      <c r="PAE14" s="4"/>
      <c r="PAF14" s="4"/>
      <c r="PAG14" s="4"/>
      <c r="PAH14" s="4"/>
      <c r="PAI14" s="4"/>
      <c r="PAJ14" s="4"/>
      <c r="PAK14" s="4"/>
      <c r="PAL14" s="4"/>
      <c r="PAM14" s="4"/>
      <c r="PAN14" s="4"/>
      <c r="PAO14" s="4"/>
      <c r="PAP14" s="4"/>
      <c r="PAQ14" s="4"/>
      <c r="PAR14" s="4"/>
      <c r="PAS14" s="4"/>
      <c r="PAT14" s="4"/>
      <c r="PAU14" s="4"/>
      <c r="PAV14" s="4"/>
      <c r="PAW14" s="4"/>
      <c r="PAX14" s="4"/>
      <c r="PAY14" s="4"/>
      <c r="PAZ14" s="4"/>
      <c r="PBA14" s="4"/>
      <c r="PBB14" s="4"/>
      <c r="PBC14" s="4"/>
      <c r="PBD14" s="4"/>
      <c r="PBE14" s="4"/>
      <c r="PBF14" s="4"/>
      <c r="PBG14" s="4"/>
      <c r="PBH14" s="4"/>
      <c r="PBI14" s="4"/>
      <c r="PBJ14" s="4"/>
      <c r="PBK14" s="4"/>
      <c r="PBL14" s="4"/>
      <c r="PBM14" s="4"/>
      <c r="PBN14" s="4"/>
      <c r="PBO14" s="4"/>
      <c r="PBP14" s="4"/>
      <c r="PBQ14" s="4"/>
      <c r="PBR14" s="4"/>
      <c r="PBS14" s="4"/>
      <c r="PBT14" s="4"/>
      <c r="PBU14" s="4"/>
      <c r="PBV14" s="4"/>
      <c r="PBW14" s="4"/>
      <c r="PBX14" s="4"/>
      <c r="PBY14" s="4"/>
      <c r="PBZ14" s="4"/>
      <c r="PCA14" s="4"/>
      <c r="PCB14" s="4"/>
      <c r="PCC14" s="4"/>
      <c r="PCD14" s="4"/>
      <c r="PCE14" s="4"/>
      <c r="PCF14" s="4"/>
      <c r="PCG14" s="4"/>
      <c r="PCH14" s="4"/>
      <c r="PCI14" s="4"/>
      <c r="PCJ14" s="4"/>
      <c r="PCK14" s="4"/>
      <c r="PCL14" s="4"/>
      <c r="PCM14" s="4"/>
      <c r="PCN14" s="4"/>
      <c r="PCO14" s="4"/>
      <c r="PCP14" s="4"/>
      <c r="PCQ14" s="4"/>
      <c r="PCR14" s="4"/>
      <c r="PCS14" s="4"/>
      <c r="PCT14" s="4"/>
      <c r="PCU14" s="4"/>
      <c r="PCV14" s="4"/>
      <c r="PCW14" s="4"/>
      <c r="PCX14" s="4"/>
      <c r="PCY14" s="4"/>
      <c r="PCZ14" s="4"/>
      <c r="PDA14" s="4"/>
      <c r="PDB14" s="4"/>
      <c r="PDC14" s="4"/>
      <c r="PDD14" s="4"/>
      <c r="PDE14" s="4"/>
      <c r="PDF14" s="4"/>
      <c r="PDG14" s="4"/>
      <c r="PDH14" s="4"/>
      <c r="PDI14" s="4"/>
      <c r="PDJ14" s="4"/>
      <c r="PDK14" s="4"/>
      <c r="PDL14" s="4"/>
      <c r="PDM14" s="4"/>
      <c r="PDN14" s="4"/>
      <c r="PDO14" s="4"/>
      <c r="PDP14" s="4"/>
      <c r="PDQ14" s="4"/>
      <c r="PDR14" s="4"/>
      <c r="PDS14" s="4"/>
      <c r="PDT14" s="4"/>
      <c r="PDU14" s="4"/>
      <c r="PDV14" s="4"/>
      <c r="PDW14" s="4"/>
      <c r="PDX14" s="4"/>
      <c r="PDY14" s="4"/>
      <c r="PDZ14" s="4"/>
      <c r="PEA14" s="4"/>
      <c r="PEB14" s="4"/>
      <c r="PEC14" s="4"/>
      <c r="PED14" s="4"/>
      <c r="PEE14" s="4"/>
      <c r="PEF14" s="4"/>
      <c r="PEG14" s="4"/>
      <c r="PEH14" s="4"/>
      <c r="PEI14" s="4"/>
      <c r="PEJ14" s="4"/>
      <c r="PEK14" s="4"/>
      <c r="PEL14" s="4"/>
      <c r="PEM14" s="4"/>
      <c r="PEN14" s="4"/>
      <c r="PEO14" s="4"/>
      <c r="PEP14" s="4"/>
      <c r="PEQ14" s="4"/>
      <c r="PER14" s="4"/>
      <c r="PES14" s="4"/>
      <c r="PET14" s="4"/>
      <c r="PEU14" s="4"/>
      <c r="PEV14" s="4"/>
      <c r="PEW14" s="4"/>
      <c r="PEX14" s="4"/>
      <c r="PEY14" s="4"/>
      <c r="PEZ14" s="4"/>
      <c r="PFA14" s="4"/>
      <c r="PFB14" s="4"/>
      <c r="PFC14" s="4"/>
      <c r="PFD14" s="4"/>
      <c r="PFE14" s="4"/>
      <c r="PFF14" s="4"/>
      <c r="PFG14" s="4"/>
      <c r="PFH14" s="4"/>
      <c r="PFI14" s="4"/>
      <c r="PFJ14" s="4"/>
      <c r="PFK14" s="4"/>
      <c r="PFL14" s="4"/>
      <c r="PFM14" s="4"/>
      <c r="PFN14" s="4"/>
      <c r="PFO14" s="4"/>
      <c r="PFP14" s="4"/>
      <c r="PFQ14" s="4"/>
      <c r="PFR14" s="4"/>
      <c r="PFS14" s="4"/>
      <c r="PFT14" s="4"/>
      <c r="PFU14" s="4"/>
      <c r="PFV14" s="4"/>
      <c r="PFW14" s="4"/>
      <c r="PFX14" s="4"/>
      <c r="PFY14" s="4"/>
      <c r="PFZ14" s="4"/>
      <c r="PGA14" s="4"/>
      <c r="PGB14" s="4"/>
      <c r="PGC14" s="4"/>
      <c r="PGD14" s="4"/>
      <c r="PGE14" s="4"/>
      <c r="PGF14" s="4"/>
      <c r="PGG14" s="4"/>
      <c r="PGH14" s="4"/>
      <c r="PGI14" s="4"/>
      <c r="PGJ14" s="4"/>
      <c r="PGK14" s="4"/>
      <c r="PGL14" s="4"/>
      <c r="PGM14" s="4"/>
      <c r="PGN14" s="4"/>
      <c r="PGO14" s="4"/>
      <c r="PGP14" s="4"/>
      <c r="PGQ14" s="4"/>
      <c r="PGR14" s="4"/>
      <c r="PGS14" s="4"/>
      <c r="PGT14" s="4"/>
      <c r="PGU14" s="4"/>
      <c r="PGV14" s="4"/>
      <c r="PGW14" s="4"/>
      <c r="PGX14" s="4"/>
      <c r="PGY14" s="4"/>
      <c r="PGZ14" s="4"/>
      <c r="PHA14" s="4"/>
      <c r="PHB14" s="4"/>
      <c r="PHC14" s="4"/>
      <c r="PHD14" s="4"/>
      <c r="PHE14" s="4"/>
      <c r="PHF14" s="4"/>
      <c r="PHG14" s="4"/>
      <c r="PHH14" s="4"/>
      <c r="PHI14" s="4"/>
      <c r="PHJ14" s="4"/>
      <c r="PHK14" s="4"/>
      <c r="PHL14" s="4"/>
      <c r="PHM14" s="4"/>
      <c r="PHN14" s="4"/>
      <c r="PHO14" s="4"/>
      <c r="PHP14" s="4"/>
      <c r="PHQ14" s="4"/>
      <c r="PHR14" s="4"/>
      <c r="PHS14" s="4"/>
      <c r="PHT14" s="4"/>
      <c r="PHU14" s="4"/>
      <c r="PHV14" s="4"/>
      <c r="PHW14" s="4"/>
      <c r="PHX14" s="4"/>
      <c r="PHY14" s="4"/>
      <c r="PHZ14" s="4"/>
      <c r="PIA14" s="4"/>
      <c r="PIB14" s="4"/>
      <c r="PIC14" s="4"/>
      <c r="PID14" s="4"/>
      <c r="PIE14" s="4"/>
      <c r="PIF14" s="4"/>
      <c r="PIG14" s="4"/>
      <c r="PIH14" s="4"/>
      <c r="PII14" s="4"/>
      <c r="PIJ14" s="4"/>
      <c r="PIK14" s="4"/>
      <c r="PIL14" s="4"/>
      <c r="PIM14" s="4"/>
      <c r="PIN14" s="4"/>
      <c r="PIO14" s="4"/>
      <c r="PIP14" s="4"/>
      <c r="PIQ14" s="4"/>
      <c r="PIR14" s="4"/>
      <c r="PIS14" s="4"/>
      <c r="PIT14" s="4"/>
      <c r="PIU14" s="4"/>
      <c r="PIV14" s="4"/>
      <c r="PIW14" s="4"/>
      <c r="PIX14" s="4"/>
      <c r="PIY14" s="4"/>
      <c r="PIZ14" s="4"/>
      <c r="PJA14" s="4"/>
      <c r="PJB14" s="4"/>
      <c r="PJC14" s="4"/>
      <c r="PJD14" s="4"/>
      <c r="PJE14" s="4"/>
      <c r="PJF14" s="4"/>
      <c r="PJG14" s="4"/>
      <c r="PJH14" s="4"/>
      <c r="PJI14" s="4"/>
      <c r="PJJ14" s="4"/>
      <c r="PJK14" s="4"/>
      <c r="PJL14" s="4"/>
      <c r="PJM14" s="4"/>
      <c r="PJN14" s="4"/>
      <c r="PJO14" s="4"/>
      <c r="PJP14" s="4"/>
      <c r="PJQ14" s="4"/>
      <c r="PJR14" s="4"/>
      <c r="PJS14" s="4"/>
      <c r="PJT14" s="4"/>
      <c r="PJU14" s="4"/>
      <c r="PJV14" s="4"/>
      <c r="PJW14" s="4"/>
      <c r="PJX14" s="4"/>
      <c r="PJY14" s="4"/>
      <c r="PJZ14" s="4"/>
      <c r="PKA14" s="4"/>
      <c r="PKB14" s="4"/>
      <c r="PKC14" s="4"/>
      <c r="PKD14" s="4"/>
      <c r="PKE14" s="4"/>
      <c r="PKF14" s="4"/>
      <c r="PKG14" s="4"/>
      <c r="PKH14" s="4"/>
      <c r="PKI14" s="4"/>
      <c r="PKJ14" s="4"/>
      <c r="PKK14" s="4"/>
      <c r="PKL14" s="4"/>
      <c r="PKM14" s="4"/>
      <c r="PKN14" s="4"/>
      <c r="PKO14" s="4"/>
      <c r="PKP14" s="4"/>
      <c r="PKQ14" s="4"/>
      <c r="PKR14" s="4"/>
      <c r="PKS14" s="4"/>
      <c r="PKT14" s="4"/>
      <c r="PKU14" s="4"/>
      <c r="PKV14" s="4"/>
      <c r="PKW14" s="4"/>
      <c r="PKX14" s="4"/>
      <c r="PKY14" s="4"/>
      <c r="PKZ14" s="4"/>
      <c r="PLA14" s="4"/>
      <c r="PLB14" s="4"/>
      <c r="PLC14" s="4"/>
      <c r="PLD14" s="4"/>
      <c r="PLE14" s="4"/>
      <c r="PLF14" s="4"/>
      <c r="PLG14" s="4"/>
      <c r="PLH14" s="4"/>
      <c r="PLI14" s="4"/>
      <c r="PLJ14" s="4"/>
      <c r="PLK14" s="4"/>
      <c r="PLL14" s="4"/>
      <c r="PLM14" s="4"/>
      <c r="PLN14" s="4"/>
      <c r="PLO14" s="4"/>
      <c r="PLP14" s="4"/>
      <c r="PLQ14" s="4"/>
      <c r="PLR14" s="4"/>
      <c r="PLS14" s="4"/>
      <c r="PLT14" s="4"/>
      <c r="PLU14" s="4"/>
      <c r="PLV14" s="4"/>
      <c r="PLW14" s="4"/>
      <c r="PLX14" s="4"/>
      <c r="PLY14" s="4"/>
      <c r="PLZ14" s="4"/>
      <c r="PMA14" s="4"/>
      <c r="PMB14" s="4"/>
      <c r="PMC14" s="4"/>
      <c r="PMD14" s="4"/>
      <c r="PME14" s="4"/>
      <c r="PMF14" s="4"/>
      <c r="PMG14" s="4"/>
      <c r="PMH14" s="4"/>
      <c r="PMI14" s="4"/>
      <c r="PMJ14" s="4"/>
      <c r="PMK14" s="4"/>
      <c r="PML14" s="4"/>
      <c r="PMM14" s="4"/>
      <c r="PMN14" s="4"/>
      <c r="PMO14" s="4"/>
      <c r="PMP14" s="4"/>
      <c r="PMQ14" s="4"/>
      <c r="PMR14" s="4"/>
      <c r="PMS14" s="4"/>
      <c r="PMT14" s="4"/>
      <c r="PMU14" s="4"/>
      <c r="PMV14" s="4"/>
      <c r="PMW14" s="4"/>
      <c r="PMX14" s="4"/>
      <c r="PMY14" s="4"/>
      <c r="PMZ14" s="4"/>
      <c r="PNA14" s="4"/>
      <c r="PNB14" s="4"/>
      <c r="PNC14" s="4"/>
      <c r="PND14" s="4"/>
      <c r="PNE14" s="4"/>
      <c r="PNF14" s="4"/>
      <c r="PNG14" s="4"/>
      <c r="PNH14" s="4"/>
      <c r="PNI14" s="4"/>
      <c r="PNJ14" s="4"/>
      <c r="PNK14" s="4"/>
      <c r="PNL14" s="4"/>
      <c r="PNM14" s="4"/>
      <c r="PNN14" s="4"/>
      <c r="PNO14" s="4"/>
      <c r="PNP14" s="4"/>
      <c r="PNQ14" s="4"/>
      <c r="PNR14" s="4"/>
      <c r="PNS14" s="4"/>
      <c r="PNT14" s="4"/>
      <c r="PNU14" s="4"/>
      <c r="PNV14" s="4"/>
      <c r="PNW14" s="4"/>
      <c r="PNX14" s="4"/>
      <c r="PNY14" s="4"/>
      <c r="PNZ14" s="4"/>
      <c r="POA14" s="4"/>
      <c r="POB14" s="4"/>
      <c r="POC14" s="4"/>
      <c r="POD14" s="4"/>
      <c r="POE14" s="4"/>
      <c r="POF14" s="4"/>
      <c r="POG14" s="4"/>
      <c r="POH14" s="4"/>
      <c r="POI14" s="4"/>
      <c r="POJ14" s="4"/>
      <c r="POK14" s="4"/>
      <c r="POL14" s="4"/>
      <c r="POM14" s="4"/>
      <c r="PON14" s="4"/>
      <c r="POO14" s="4"/>
      <c r="POP14" s="4"/>
      <c r="POQ14" s="4"/>
      <c r="POR14" s="4"/>
      <c r="POS14" s="4"/>
      <c r="POT14" s="4"/>
      <c r="POU14" s="4"/>
      <c r="POV14" s="4"/>
      <c r="POW14" s="4"/>
      <c r="POX14" s="4"/>
      <c r="POY14" s="4"/>
      <c r="POZ14" s="4"/>
      <c r="PPA14" s="4"/>
      <c r="PPB14" s="4"/>
      <c r="PPC14" s="4"/>
      <c r="PPD14" s="4"/>
      <c r="PPE14" s="4"/>
      <c r="PPF14" s="4"/>
      <c r="PPG14" s="4"/>
      <c r="PPH14" s="4"/>
      <c r="PPI14" s="4"/>
      <c r="PPJ14" s="4"/>
      <c r="PPK14" s="4"/>
      <c r="PPL14" s="4"/>
      <c r="PPM14" s="4"/>
      <c r="PPN14" s="4"/>
      <c r="PPO14" s="4"/>
      <c r="PPP14" s="4"/>
      <c r="PPQ14" s="4"/>
      <c r="PPR14" s="4"/>
      <c r="PPS14" s="4"/>
      <c r="PPT14" s="4"/>
      <c r="PPU14" s="4"/>
      <c r="PPV14" s="4"/>
      <c r="PPW14" s="4"/>
      <c r="PPX14" s="4"/>
      <c r="PPY14" s="4"/>
      <c r="PPZ14" s="4"/>
      <c r="PQA14" s="4"/>
      <c r="PQB14" s="4"/>
      <c r="PQC14" s="4"/>
      <c r="PQD14" s="4"/>
      <c r="PQE14" s="4"/>
      <c r="PQF14" s="4"/>
      <c r="PQG14" s="4"/>
      <c r="PQH14" s="4"/>
      <c r="PQI14" s="4"/>
      <c r="PQJ14" s="4"/>
      <c r="PQK14" s="4"/>
      <c r="PQL14" s="4"/>
      <c r="PQM14" s="4"/>
      <c r="PQN14" s="4"/>
      <c r="PQO14" s="4"/>
      <c r="PQP14" s="4"/>
      <c r="PQQ14" s="4"/>
      <c r="PQR14" s="4"/>
      <c r="PQS14" s="4"/>
      <c r="PQT14" s="4"/>
      <c r="PQU14" s="4"/>
      <c r="PQV14" s="4"/>
      <c r="PQW14" s="4"/>
      <c r="PQX14" s="4"/>
      <c r="PQY14" s="4"/>
      <c r="PQZ14" s="4"/>
      <c r="PRA14" s="4"/>
      <c r="PRB14" s="4"/>
      <c r="PRC14" s="4"/>
      <c r="PRD14" s="4"/>
      <c r="PRE14" s="4"/>
      <c r="PRF14" s="4"/>
      <c r="PRG14" s="4"/>
      <c r="PRH14" s="4"/>
      <c r="PRI14" s="4"/>
      <c r="PRJ14" s="4"/>
      <c r="PRK14" s="4"/>
      <c r="PRL14" s="4"/>
      <c r="PRM14" s="4"/>
      <c r="PRN14" s="4"/>
      <c r="PRO14" s="4"/>
      <c r="PRP14" s="4"/>
      <c r="PRQ14" s="4"/>
      <c r="PRR14" s="4"/>
      <c r="PRS14" s="4"/>
      <c r="PRT14" s="4"/>
      <c r="PRU14" s="4"/>
      <c r="PRV14" s="4"/>
      <c r="PRW14" s="4"/>
      <c r="PRX14" s="4"/>
      <c r="PRY14" s="4"/>
      <c r="PRZ14" s="4"/>
      <c r="PSA14" s="4"/>
      <c r="PSB14" s="4"/>
      <c r="PSC14" s="4"/>
      <c r="PSD14" s="4"/>
      <c r="PSE14" s="4"/>
      <c r="PSF14" s="4"/>
      <c r="PSG14" s="4"/>
      <c r="PSH14" s="4"/>
      <c r="PSI14" s="4"/>
      <c r="PSJ14" s="4"/>
      <c r="PSK14" s="4"/>
      <c r="PSL14" s="4"/>
      <c r="PSM14" s="4"/>
      <c r="PSN14" s="4"/>
      <c r="PSO14" s="4"/>
      <c r="PSP14" s="4"/>
      <c r="PSQ14" s="4"/>
      <c r="PSR14" s="4"/>
      <c r="PSS14" s="4"/>
      <c r="PST14" s="4"/>
      <c r="PSU14" s="4"/>
      <c r="PSV14" s="4"/>
      <c r="PSW14" s="4"/>
      <c r="PSX14" s="4"/>
      <c r="PSY14" s="4"/>
      <c r="PSZ14" s="4"/>
      <c r="PTA14" s="4"/>
      <c r="PTB14" s="4"/>
      <c r="PTC14" s="4"/>
      <c r="PTD14" s="4"/>
      <c r="PTE14" s="4"/>
      <c r="PTF14" s="4"/>
      <c r="PTG14" s="4"/>
      <c r="PTH14" s="4"/>
      <c r="PTI14" s="4"/>
      <c r="PTJ14" s="4"/>
      <c r="PTK14" s="4"/>
      <c r="PTL14" s="4"/>
      <c r="PTM14" s="4"/>
      <c r="PTN14" s="4"/>
      <c r="PTO14" s="4"/>
      <c r="PTP14" s="4"/>
      <c r="PTQ14" s="4"/>
      <c r="PTR14" s="4"/>
      <c r="PTS14" s="4"/>
      <c r="PTT14" s="4"/>
      <c r="PTU14" s="4"/>
      <c r="PTV14" s="4"/>
      <c r="PTW14" s="4"/>
      <c r="PTX14" s="4"/>
      <c r="PTY14" s="4"/>
      <c r="PTZ14" s="4"/>
      <c r="PUA14" s="4"/>
      <c r="PUB14" s="4"/>
      <c r="PUC14" s="4"/>
      <c r="PUD14" s="4"/>
      <c r="PUE14" s="4"/>
      <c r="PUF14" s="4"/>
      <c r="PUG14" s="4"/>
      <c r="PUH14" s="4"/>
      <c r="PUI14" s="4"/>
      <c r="PUJ14" s="4"/>
      <c r="PUK14" s="4"/>
      <c r="PUL14" s="4"/>
      <c r="PUM14" s="4"/>
      <c r="PUN14" s="4"/>
      <c r="PUO14" s="4"/>
      <c r="PUP14" s="4"/>
      <c r="PUQ14" s="4"/>
      <c r="PUR14" s="4"/>
      <c r="PUS14" s="4"/>
      <c r="PUT14" s="4"/>
      <c r="PUU14" s="4"/>
      <c r="PUV14" s="4"/>
      <c r="PUW14" s="4"/>
      <c r="PUX14" s="4"/>
      <c r="PUY14" s="4"/>
      <c r="PUZ14" s="4"/>
      <c r="PVA14" s="4"/>
      <c r="PVB14" s="4"/>
      <c r="PVC14" s="4"/>
      <c r="PVD14" s="4"/>
      <c r="PVE14" s="4"/>
      <c r="PVF14" s="4"/>
      <c r="PVG14" s="4"/>
      <c r="PVH14" s="4"/>
      <c r="PVI14" s="4"/>
      <c r="PVJ14" s="4"/>
      <c r="PVK14" s="4"/>
      <c r="PVL14" s="4"/>
      <c r="PVM14" s="4"/>
      <c r="PVN14" s="4"/>
      <c r="PVO14" s="4"/>
      <c r="PVP14" s="4"/>
      <c r="PVQ14" s="4"/>
      <c r="PVR14" s="4"/>
      <c r="PVS14" s="4"/>
      <c r="PVT14" s="4"/>
      <c r="PVU14" s="4"/>
      <c r="PVV14" s="4"/>
      <c r="PVW14" s="4"/>
      <c r="PVX14" s="4"/>
      <c r="PVY14" s="4"/>
      <c r="PVZ14" s="4"/>
      <c r="PWA14" s="4"/>
      <c r="PWB14" s="4"/>
      <c r="PWC14" s="4"/>
      <c r="PWD14" s="4"/>
      <c r="PWE14" s="4"/>
      <c r="PWF14" s="4"/>
      <c r="PWG14" s="4"/>
      <c r="PWH14" s="4"/>
      <c r="PWI14" s="4"/>
      <c r="PWJ14" s="4"/>
      <c r="PWK14" s="4"/>
      <c r="PWL14" s="4"/>
      <c r="PWM14" s="4"/>
      <c r="PWN14" s="4"/>
      <c r="PWO14" s="4"/>
      <c r="PWP14" s="4"/>
      <c r="PWQ14" s="4"/>
      <c r="PWR14" s="4"/>
      <c r="PWS14" s="4"/>
      <c r="PWT14" s="4"/>
      <c r="PWU14" s="4"/>
      <c r="PWV14" s="4"/>
      <c r="PWW14" s="4"/>
      <c r="PWX14" s="4"/>
      <c r="PWY14" s="4"/>
      <c r="PWZ14" s="4"/>
      <c r="PXA14" s="4"/>
      <c r="PXB14" s="4"/>
      <c r="PXC14" s="4"/>
      <c r="PXD14" s="4"/>
      <c r="PXE14" s="4"/>
      <c r="PXF14" s="4"/>
      <c r="PXG14" s="4"/>
      <c r="PXH14" s="4"/>
      <c r="PXI14" s="4"/>
      <c r="PXJ14" s="4"/>
      <c r="PXK14" s="4"/>
      <c r="PXL14" s="4"/>
      <c r="PXM14" s="4"/>
      <c r="PXN14" s="4"/>
      <c r="PXO14" s="4"/>
      <c r="PXP14" s="4"/>
      <c r="PXQ14" s="4"/>
      <c r="PXR14" s="4"/>
      <c r="PXS14" s="4"/>
      <c r="PXT14" s="4"/>
      <c r="PXU14" s="4"/>
      <c r="PXV14" s="4"/>
      <c r="PXW14" s="4"/>
      <c r="PXX14" s="4"/>
      <c r="PXY14" s="4"/>
      <c r="PXZ14" s="4"/>
      <c r="PYA14" s="4"/>
      <c r="PYB14" s="4"/>
      <c r="PYC14" s="4"/>
      <c r="PYD14" s="4"/>
      <c r="PYE14" s="4"/>
      <c r="PYF14" s="4"/>
      <c r="PYG14" s="4"/>
      <c r="PYH14" s="4"/>
      <c r="PYI14" s="4"/>
      <c r="PYJ14" s="4"/>
      <c r="PYK14" s="4"/>
      <c r="PYL14" s="4"/>
      <c r="PYM14" s="4"/>
      <c r="PYN14" s="4"/>
      <c r="PYO14" s="4"/>
      <c r="PYP14" s="4"/>
      <c r="PYQ14" s="4"/>
      <c r="PYR14" s="4"/>
      <c r="PYS14" s="4"/>
      <c r="PYT14" s="4"/>
      <c r="PYU14" s="4"/>
      <c r="PYV14" s="4"/>
      <c r="PYW14" s="4"/>
      <c r="PYX14" s="4"/>
      <c r="PYY14" s="4"/>
      <c r="PYZ14" s="4"/>
      <c r="PZA14" s="4"/>
      <c r="PZB14" s="4"/>
      <c r="PZC14" s="4"/>
      <c r="PZD14" s="4"/>
      <c r="PZE14" s="4"/>
      <c r="PZF14" s="4"/>
      <c r="PZG14" s="4"/>
      <c r="PZH14" s="4"/>
      <c r="PZI14" s="4"/>
      <c r="PZJ14" s="4"/>
      <c r="PZK14" s="4"/>
      <c r="PZL14" s="4"/>
      <c r="PZM14" s="4"/>
      <c r="PZN14" s="4"/>
      <c r="PZO14" s="4"/>
      <c r="PZP14" s="4"/>
      <c r="PZQ14" s="4"/>
      <c r="PZR14" s="4"/>
      <c r="PZS14" s="4"/>
      <c r="PZT14" s="4"/>
      <c r="PZU14" s="4"/>
      <c r="PZV14" s="4"/>
      <c r="PZW14" s="4"/>
      <c r="PZX14" s="4"/>
      <c r="PZY14" s="4"/>
      <c r="PZZ14" s="4"/>
      <c r="QAA14" s="4"/>
      <c r="QAB14" s="4"/>
      <c r="QAC14" s="4"/>
      <c r="QAD14" s="4"/>
      <c r="QAE14" s="4"/>
      <c r="QAF14" s="4"/>
      <c r="QAG14" s="4"/>
      <c r="QAH14" s="4"/>
      <c r="QAI14" s="4"/>
      <c r="QAJ14" s="4"/>
      <c r="QAK14" s="4"/>
      <c r="QAL14" s="4"/>
      <c r="QAM14" s="4"/>
      <c r="QAN14" s="4"/>
      <c r="QAO14" s="4"/>
      <c r="QAP14" s="4"/>
      <c r="QAQ14" s="4"/>
      <c r="QAR14" s="4"/>
      <c r="QAS14" s="4"/>
      <c r="QAT14" s="4"/>
      <c r="QAU14" s="4"/>
      <c r="QAV14" s="4"/>
      <c r="QAW14" s="4"/>
      <c r="QAX14" s="4"/>
      <c r="QAY14" s="4"/>
      <c r="QAZ14" s="4"/>
      <c r="QBA14" s="4"/>
      <c r="QBB14" s="4"/>
      <c r="QBC14" s="4"/>
      <c r="QBD14" s="4"/>
      <c r="QBE14" s="4"/>
      <c r="QBF14" s="4"/>
      <c r="QBG14" s="4"/>
      <c r="QBH14" s="4"/>
      <c r="QBI14" s="4"/>
      <c r="QBJ14" s="4"/>
      <c r="QBK14" s="4"/>
      <c r="QBL14" s="4"/>
      <c r="QBM14" s="4"/>
      <c r="QBN14" s="4"/>
      <c r="QBO14" s="4"/>
      <c r="QBP14" s="4"/>
      <c r="QBQ14" s="4"/>
      <c r="QBR14" s="4"/>
      <c r="QBS14" s="4"/>
      <c r="QBT14" s="4"/>
      <c r="QBU14" s="4"/>
      <c r="QBV14" s="4"/>
      <c r="QBW14" s="4"/>
      <c r="QBX14" s="4"/>
      <c r="QBY14" s="4"/>
      <c r="QBZ14" s="4"/>
      <c r="QCA14" s="4"/>
      <c r="QCB14" s="4"/>
      <c r="QCC14" s="4"/>
      <c r="QCD14" s="4"/>
      <c r="QCE14" s="4"/>
      <c r="QCF14" s="4"/>
      <c r="QCG14" s="4"/>
      <c r="QCH14" s="4"/>
      <c r="QCI14" s="4"/>
      <c r="QCJ14" s="4"/>
      <c r="QCK14" s="4"/>
      <c r="QCL14" s="4"/>
      <c r="QCM14" s="4"/>
      <c r="QCN14" s="4"/>
      <c r="QCO14" s="4"/>
      <c r="QCP14" s="4"/>
      <c r="QCQ14" s="4"/>
      <c r="QCR14" s="4"/>
      <c r="QCS14" s="4"/>
      <c r="QCT14" s="4"/>
      <c r="QCU14" s="4"/>
      <c r="QCV14" s="4"/>
      <c r="QCW14" s="4"/>
      <c r="QCX14" s="4"/>
      <c r="QCY14" s="4"/>
      <c r="QCZ14" s="4"/>
      <c r="QDA14" s="4"/>
      <c r="QDB14" s="4"/>
      <c r="QDC14" s="4"/>
      <c r="QDD14" s="4"/>
      <c r="QDE14" s="4"/>
      <c r="QDF14" s="4"/>
      <c r="QDG14" s="4"/>
      <c r="QDH14" s="4"/>
      <c r="QDI14" s="4"/>
      <c r="QDJ14" s="4"/>
      <c r="QDK14" s="4"/>
      <c r="QDL14" s="4"/>
      <c r="QDM14" s="4"/>
      <c r="QDN14" s="4"/>
      <c r="QDO14" s="4"/>
      <c r="QDP14" s="4"/>
      <c r="QDQ14" s="4"/>
      <c r="QDR14" s="4"/>
      <c r="QDS14" s="4"/>
      <c r="QDT14" s="4"/>
      <c r="QDU14" s="4"/>
      <c r="QDV14" s="4"/>
      <c r="QDW14" s="4"/>
      <c r="QDX14" s="4"/>
      <c r="QDY14" s="4"/>
      <c r="QDZ14" s="4"/>
      <c r="QEA14" s="4"/>
      <c r="QEB14" s="4"/>
      <c r="QEC14" s="4"/>
      <c r="QED14" s="4"/>
      <c r="QEE14" s="4"/>
      <c r="QEF14" s="4"/>
      <c r="QEG14" s="4"/>
      <c r="QEH14" s="4"/>
      <c r="QEI14" s="4"/>
      <c r="QEJ14" s="4"/>
      <c r="QEK14" s="4"/>
      <c r="QEL14" s="4"/>
      <c r="QEM14" s="4"/>
      <c r="QEN14" s="4"/>
      <c r="QEO14" s="4"/>
      <c r="QEP14" s="4"/>
      <c r="QEQ14" s="4"/>
      <c r="QER14" s="4"/>
      <c r="QES14" s="4"/>
      <c r="QET14" s="4"/>
      <c r="QEU14" s="4"/>
      <c r="QEV14" s="4"/>
      <c r="QEW14" s="4"/>
      <c r="QEX14" s="4"/>
      <c r="QEY14" s="4"/>
      <c r="QEZ14" s="4"/>
      <c r="QFA14" s="4"/>
      <c r="QFB14" s="4"/>
      <c r="QFC14" s="4"/>
      <c r="QFD14" s="4"/>
      <c r="QFE14" s="4"/>
      <c r="QFF14" s="4"/>
      <c r="QFG14" s="4"/>
      <c r="QFH14" s="4"/>
      <c r="QFI14" s="4"/>
      <c r="QFJ14" s="4"/>
      <c r="QFK14" s="4"/>
      <c r="QFL14" s="4"/>
      <c r="QFM14" s="4"/>
      <c r="QFN14" s="4"/>
      <c r="QFO14" s="4"/>
      <c r="QFP14" s="4"/>
      <c r="QFQ14" s="4"/>
      <c r="QFR14" s="4"/>
      <c r="QFS14" s="4"/>
      <c r="QFT14" s="4"/>
      <c r="QFU14" s="4"/>
      <c r="QFV14" s="4"/>
      <c r="QFW14" s="4"/>
      <c r="QFX14" s="4"/>
      <c r="QFY14" s="4"/>
      <c r="QFZ14" s="4"/>
      <c r="QGA14" s="4"/>
      <c r="QGB14" s="4"/>
      <c r="QGC14" s="4"/>
      <c r="QGD14" s="4"/>
      <c r="QGE14" s="4"/>
      <c r="QGF14" s="4"/>
      <c r="QGG14" s="4"/>
      <c r="QGH14" s="4"/>
      <c r="QGI14" s="4"/>
      <c r="QGJ14" s="4"/>
      <c r="QGK14" s="4"/>
      <c r="QGL14" s="4"/>
      <c r="QGM14" s="4"/>
      <c r="QGN14" s="4"/>
      <c r="QGO14" s="4"/>
      <c r="QGP14" s="4"/>
      <c r="QGQ14" s="4"/>
      <c r="QGR14" s="4"/>
      <c r="QGS14" s="4"/>
      <c r="QGT14" s="4"/>
      <c r="QGU14" s="4"/>
      <c r="QGV14" s="4"/>
      <c r="QGW14" s="4"/>
      <c r="QGX14" s="4"/>
      <c r="QGY14" s="4"/>
      <c r="QGZ14" s="4"/>
      <c r="QHA14" s="4"/>
      <c r="QHB14" s="4"/>
      <c r="QHC14" s="4"/>
      <c r="QHD14" s="4"/>
      <c r="QHE14" s="4"/>
      <c r="QHF14" s="4"/>
      <c r="QHG14" s="4"/>
      <c r="QHH14" s="4"/>
      <c r="QHI14" s="4"/>
      <c r="QHJ14" s="4"/>
      <c r="QHK14" s="4"/>
      <c r="QHL14" s="4"/>
      <c r="QHM14" s="4"/>
      <c r="QHN14" s="4"/>
      <c r="QHO14" s="4"/>
      <c r="QHP14" s="4"/>
      <c r="QHQ14" s="4"/>
      <c r="QHR14" s="4"/>
      <c r="QHS14" s="4"/>
      <c r="QHT14" s="4"/>
      <c r="QHU14" s="4"/>
      <c r="QHV14" s="4"/>
      <c r="QHW14" s="4"/>
      <c r="QHX14" s="4"/>
      <c r="QHY14" s="4"/>
      <c r="QHZ14" s="4"/>
      <c r="QIA14" s="4"/>
      <c r="QIB14" s="4"/>
      <c r="QIC14" s="4"/>
      <c r="QID14" s="4"/>
      <c r="QIE14" s="4"/>
      <c r="QIF14" s="4"/>
      <c r="QIG14" s="4"/>
      <c r="QIH14" s="4"/>
      <c r="QII14" s="4"/>
      <c r="QIJ14" s="4"/>
      <c r="QIK14" s="4"/>
      <c r="QIL14" s="4"/>
      <c r="QIM14" s="4"/>
      <c r="QIN14" s="4"/>
      <c r="QIO14" s="4"/>
      <c r="QIP14" s="4"/>
      <c r="QIQ14" s="4"/>
      <c r="QIR14" s="4"/>
      <c r="QIS14" s="4"/>
      <c r="QIT14" s="4"/>
      <c r="QIU14" s="4"/>
      <c r="QIV14" s="4"/>
      <c r="QIW14" s="4"/>
      <c r="QIX14" s="4"/>
      <c r="QIY14" s="4"/>
      <c r="QIZ14" s="4"/>
      <c r="QJA14" s="4"/>
      <c r="QJB14" s="4"/>
      <c r="QJC14" s="4"/>
      <c r="QJD14" s="4"/>
      <c r="QJE14" s="4"/>
      <c r="QJF14" s="4"/>
      <c r="QJG14" s="4"/>
      <c r="QJH14" s="4"/>
      <c r="QJI14" s="4"/>
      <c r="QJJ14" s="4"/>
      <c r="QJK14" s="4"/>
      <c r="QJL14" s="4"/>
      <c r="QJM14" s="4"/>
      <c r="QJN14" s="4"/>
      <c r="QJO14" s="4"/>
      <c r="QJP14" s="4"/>
      <c r="QJQ14" s="4"/>
      <c r="QJR14" s="4"/>
      <c r="QJS14" s="4"/>
      <c r="QJT14" s="4"/>
      <c r="QJU14" s="4"/>
      <c r="QJV14" s="4"/>
      <c r="QJW14" s="4"/>
      <c r="QJX14" s="4"/>
      <c r="QJY14" s="4"/>
      <c r="QJZ14" s="4"/>
      <c r="QKA14" s="4"/>
      <c r="QKB14" s="4"/>
      <c r="QKC14" s="4"/>
      <c r="QKD14" s="4"/>
      <c r="QKE14" s="4"/>
      <c r="QKF14" s="4"/>
      <c r="QKG14" s="4"/>
      <c r="QKH14" s="4"/>
      <c r="QKI14" s="4"/>
      <c r="QKJ14" s="4"/>
      <c r="QKK14" s="4"/>
      <c r="QKL14" s="4"/>
      <c r="QKM14" s="4"/>
      <c r="QKN14" s="4"/>
      <c r="QKO14" s="4"/>
      <c r="QKP14" s="4"/>
      <c r="QKQ14" s="4"/>
      <c r="QKR14" s="4"/>
      <c r="QKS14" s="4"/>
      <c r="QKT14" s="4"/>
      <c r="QKU14" s="4"/>
      <c r="QKV14" s="4"/>
      <c r="QKW14" s="4"/>
      <c r="QKX14" s="4"/>
      <c r="QKY14" s="4"/>
      <c r="QKZ14" s="4"/>
      <c r="QLA14" s="4"/>
      <c r="QLB14" s="4"/>
      <c r="QLC14" s="4"/>
      <c r="QLD14" s="4"/>
      <c r="QLE14" s="4"/>
      <c r="QLF14" s="4"/>
      <c r="QLG14" s="4"/>
      <c r="QLH14" s="4"/>
      <c r="QLI14" s="4"/>
      <c r="QLJ14" s="4"/>
      <c r="QLK14" s="4"/>
      <c r="QLL14" s="4"/>
      <c r="QLM14" s="4"/>
      <c r="QLN14" s="4"/>
      <c r="QLO14" s="4"/>
      <c r="QLP14" s="4"/>
      <c r="QLQ14" s="4"/>
      <c r="QLR14" s="4"/>
      <c r="QLS14" s="4"/>
      <c r="QLT14" s="4"/>
      <c r="QLU14" s="4"/>
      <c r="QLV14" s="4"/>
      <c r="QLW14" s="4"/>
      <c r="QLX14" s="4"/>
      <c r="QLY14" s="4"/>
      <c r="QLZ14" s="4"/>
      <c r="QMA14" s="4"/>
      <c r="QMB14" s="4"/>
      <c r="QMC14" s="4"/>
      <c r="QMD14" s="4"/>
      <c r="QME14" s="4"/>
      <c r="QMF14" s="4"/>
      <c r="QMG14" s="4"/>
      <c r="QMH14" s="4"/>
      <c r="QMI14" s="4"/>
      <c r="QMJ14" s="4"/>
      <c r="QMK14" s="4"/>
      <c r="QML14" s="4"/>
      <c r="QMM14" s="4"/>
      <c r="QMN14" s="4"/>
      <c r="QMO14" s="4"/>
      <c r="QMP14" s="4"/>
      <c r="QMQ14" s="4"/>
      <c r="QMR14" s="4"/>
      <c r="QMS14" s="4"/>
      <c r="QMT14" s="4"/>
      <c r="QMU14" s="4"/>
      <c r="QMV14" s="4"/>
      <c r="QMW14" s="4"/>
      <c r="QMX14" s="4"/>
      <c r="QMY14" s="4"/>
      <c r="QMZ14" s="4"/>
      <c r="QNA14" s="4"/>
      <c r="QNB14" s="4"/>
      <c r="QNC14" s="4"/>
      <c r="QND14" s="4"/>
      <c r="QNE14" s="4"/>
      <c r="QNF14" s="4"/>
      <c r="QNG14" s="4"/>
      <c r="QNH14" s="4"/>
      <c r="QNI14" s="4"/>
      <c r="QNJ14" s="4"/>
      <c r="QNK14" s="4"/>
      <c r="QNL14" s="4"/>
      <c r="QNM14" s="4"/>
      <c r="QNN14" s="4"/>
      <c r="QNO14" s="4"/>
      <c r="QNP14" s="4"/>
      <c r="QNQ14" s="4"/>
      <c r="QNR14" s="4"/>
      <c r="QNS14" s="4"/>
      <c r="QNT14" s="4"/>
      <c r="QNU14" s="4"/>
      <c r="QNV14" s="4"/>
      <c r="QNW14" s="4"/>
      <c r="QNX14" s="4"/>
      <c r="QNY14" s="4"/>
      <c r="QNZ14" s="4"/>
      <c r="QOA14" s="4"/>
      <c r="QOB14" s="4"/>
      <c r="QOC14" s="4"/>
      <c r="QOD14" s="4"/>
      <c r="QOE14" s="4"/>
      <c r="QOF14" s="4"/>
      <c r="QOG14" s="4"/>
      <c r="QOH14" s="4"/>
      <c r="QOI14" s="4"/>
      <c r="QOJ14" s="4"/>
      <c r="QOK14" s="4"/>
      <c r="QOL14" s="4"/>
      <c r="QOM14" s="4"/>
      <c r="QON14" s="4"/>
      <c r="QOO14" s="4"/>
      <c r="QOP14" s="4"/>
      <c r="QOQ14" s="4"/>
      <c r="QOR14" s="4"/>
      <c r="QOS14" s="4"/>
      <c r="QOT14" s="4"/>
      <c r="QOU14" s="4"/>
      <c r="QOV14" s="4"/>
      <c r="QOW14" s="4"/>
      <c r="QOX14" s="4"/>
      <c r="QOY14" s="4"/>
      <c r="QOZ14" s="4"/>
      <c r="QPA14" s="4"/>
      <c r="QPB14" s="4"/>
      <c r="QPC14" s="4"/>
      <c r="QPD14" s="4"/>
      <c r="QPE14" s="4"/>
      <c r="QPF14" s="4"/>
      <c r="QPG14" s="4"/>
      <c r="QPH14" s="4"/>
      <c r="QPI14" s="4"/>
      <c r="QPJ14" s="4"/>
      <c r="QPK14" s="4"/>
      <c r="QPL14" s="4"/>
      <c r="QPM14" s="4"/>
      <c r="QPN14" s="4"/>
      <c r="QPO14" s="4"/>
      <c r="QPP14" s="4"/>
      <c r="QPQ14" s="4"/>
      <c r="QPR14" s="4"/>
      <c r="QPS14" s="4"/>
      <c r="QPT14" s="4"/>
      <c r="QPU14" s="4"/>
      <c r="QPV14" s="4"/>
      <c r="QPW14" s="4"/>
      <c r="QPX14" s="4"/>
      <c r="QPY14" s="4"/>
      <c r="QPZ14" s="4"/>
      <c r="QQA14" s="4"/>
      <c r="QQB14" s="4"/>
      <c r="QQC14" s="4"/>
      <c r="QQD14" s="4"/>
      <c r="QQE14" s="4"/>
      <c r="QQF14" s="4"/>
      <c r="QQG14" s="4"/>
      <c r="QQH14" s="4"/>
      <c r="QQI14" s="4"/>
      <c r="QQJ14" s="4"/>
      <c r="QQK14" s="4"/>
      <c r="QQL14" s="4"/>
      <c r="QQM14" s="4"/>
      <c r="QQN14" s="4"/>
      <c r="QQO14" s="4"/>
      <c r="QQP14" s="4"/>
      <c r="QQQ14" s="4"/>
      <c r="QQR14" s="4"/>
      <c r="QQS14" s="4"/>
      <c r="QQT14" s="4"/>
      <c r="QQU14" s="4"/>
      <c r="QQV14" s="4"/>
      <c r="QQW14" s="4"/>
      <c r="QQX14" s="4"/>
      <c r="QQY14" s="4"/>
      <c r="QQZ14" s="4"/>
      <c r="QRA14" s="4"/>
      <c r="QRB14" s="4"/>
      <c r="QRC14" s="4"/>
      <c r="QRD14" s="4"/>
      <c r="QRE14" s="4"/>
      <c r="QRF14" s="4"/>
      <c r="QRG14" s="4"/>
      <c r="QRH14" s="4"/>
      <c r="QRI14" s="4"/>
      <c r="QRJ14" s="4"/>
      <c r="QRK14" s="4"/>
      <c r="QRL14" s="4"/>
      <c r="QRM14" s="4"/>
      <c r="QRN14" s="4"/>
      <c r="QRO14" s="4"/>
      <c r="QRP14" s="4"/>
      <c r="QRQ14" s="4"/>
      <c r="QRR14" s="4"/>
      <c r="QRS14" s="4"/>
      <c r="QRT14" s="4"/>
      <c r="QRU14" s="4"/>
      <c r="QRV14" s="4"/>
      <c r="QRW14" s="4"/>
      <c r="QRX14" s="4"/>
      <c r="QRY14" s="4"/>
      <c r="QRZ14" s="4"/>
      <c r="QSA14" s="4"/>
      <c r="QSB14" s="4"/>
      <c r="QSC14" s="4"/>
      <c r="QSD14" s="4"/>
      <c r="QSE14" s="4"/>
      <c r="QSF14" s="4"/>
      <c r="QSG14" s="4"/>
      <c r="QSH14" s="4"/>
      <c r="QSI14" s="4"/>
      <c r="QSJ14" s="4"/>
      <c r="QSK14" s="4"/>
      <c r="QSL14" s="4"/>
      <c r="QSM14" s="4"/>
      <c r="QSN14" s="4"/>
      <c r="QSO14" s="4"/>
      <c r="QSP14" s="4"/>
      <c r="QSQ14" s="4"/>
      <c r="QSR14" s="4"/>
      <c r="QSS14" s="4"/>
      <c r="QST14" s="4"/>
      <c r="QSU14" s="4"/>
      <c r="QSV14" s="4"/>
      <c r="QSW14" s="4"/>
      <c r="QSX14" s="4"/>
      <c r="QSY14" s="4"/>
      <c r="QSZ14" s="4"/>
      <c r="QTA14" s="4"/>
      <c r="QTB14" s="4"/>
      <c r="QTC14" s="4"/>
      <c r="QTD14" s="4"/>
      <c r="QTE14" s="4"/>
      <c r="QTF14" s="4"/>
      <c r="QTG14" s="4"/>
      <c r="QTH14" s="4"/>
      <c r="QTI14" s="4"/>
      <c r="QTJ14" s="4"/>
      <c r="QTK14" s="4"/>
      <c r="QTL14" s="4"/>
      <c r="QTM14" s="4"/>
      <c r="QTN14" s="4"/>
      <c r="QTO14" s="4"/>
      <c r="QTP14" s="4"/>
      <c r="QTQ14" s="4"/>
      <c r="QTR14" s="4"/>
      <c r="QTS14" s="4"/>
      <c r="QTT14" s="4"/>
      <c r="QTU14" s="4"/>
      <c r="QTV14" s="4"/>
      <c r="QTW14" s="4"/>
      <c r="QTX14" s="4"/>
      <c r="QTY14" s="4"/>
      <c r="QTZ14" s="4"/>
      <c r="QUA14" s="4"/>
      <c r="QUB14" s="4"/>
      <c r="QUC14" s="4"/>
      <c r="QUD14" s="4"/>
      <c r="QUE14" s="4"/>
      <c r="QUF14" s="4"/>
      <c r="QUG14" s="4"/>
      <c r="QUH14" s="4"/>
      <c r="QUI14" s="4"/>
      <c r="QUJ14" s="4"/>
      <c r="QUK14" s="4"/>
      <c r="QUL14" s="4"/>
      <c r="QUM14" s="4"/>
      <c r="QUN14" s="4"/>
      <c r="QUO14" s="4"/>
      <c r="QUP14" s="4"/>
      <c r="QUQ14" s="4"/>
      <c r="QUR14" s="4"/>
      <c r="QUS14" s="4"/>
      <c r="QUT14" s="4"/>
      <c r="QUU14" s="4"/>
      <c r="QUV14" s="4"/>
      <c r="QUW14" s="4"/>
      <c r="QUX14" s="4"/>
      <c r="QUY14" s="4"/>
      <c r="QUZ14" s="4"/>
      <c r="QVA14" s="4"/>
      <c r="QVB14" s="4"/>
      <c r="QVC14" s="4"/>
      <c r="QVD14" s="4"/>
      <c r="QVE14" s="4"/>
      <c r="QVF14" s="4"/>
      <c r="QVG14" s="4"/>
      <c r="QVH14" s="4"/>
      <c r="QVI14" s="4"/>
      <c r="QVJ14" s="4"/>
      <c r="QVK14" s="4"/>
      <c r="QVL14" s="4"/>
      <c r="QVM14" s="4"/>
      <c r="QVN14" s="4"/>
      <c r="QVO14" s="4"/>
      <c r="QVP14" s="4"/>
      <c r="QVQ14" s="4"/>
      <c r="QVR14" s="4"/>
      <c r="QVS14" s="4"/>
      <c r="QVT14" s="4"/>
      <c r="QVU14" s="4"/>
      <c r="QVV14" s="4"/>
      <c r="QVW14" s="4"/>
      <c r="QVX14" s="4"/>
      <c r="QVY14" s="4"/>
      <c r="QVZ14" s="4"/>
      <c r="QWA14" s="4"/>
      <c r="QWB14" s="4"/>
      <c r="QWC14" s="4"/>
      <c r="QWD14" s="4"/>
      <c r="QWE14" s="4"/>
      <c r="QWF14" s="4"/>
      <c r="QWG14" s="4"/>
      <c r="QWH14" s="4"/>
      <c r="QWI14" s="4"/>
      <c r="QWJ14" s="4"/>
      <c r="QWK14" s="4"/>
      <c r="QWL14" s="4"/>
      <c r="QWM14" s="4"/>
      <c r="QWN14" s="4"/>
      <c r="QWO14" s="4"/>
      <c r="QWP14" s="4"/>
      <c r="QWQ14" s="4"/>
      <c r="QWR14" s="4"/>
      <c r="QWS14" s="4"/>
      <c r="QWT14" s="4"/>
      <c r="QWU14" s="4"/>
      <c r="QWV14" s="4"/>
      <c r="QWW14" s="4"/>
      <c r="QWX14" s="4"/>
      <c r="QWY14" s="4"/>
      <c r="QWZ14" s="4"/>
      <c r="QXA14" s="4"/>
      <c r="QXB14" s="4"/>
      <c r="QXC14" s="4"/>
      <c r="QXD14" s="4"/>
      <c r="QXE14" s="4"/>
      <c r="QXF14" s="4"/>
      <c r="QXG14" s="4"/>
      <c r="QXH14" s="4"/>
      <c r="QXI14" s="4"/>
      <c r="QXJ14" s="4"/>
      <c r="QXK14" s="4"/>
      <c r="QXL14" s="4"/>
      <c r="QXM14" s="4"/>
      <c r="QXN14" s="4"/>
      <c r="QXO14" s="4"/>
      <c r="QXP14" s="4"/>
      <c r="QXQ14" s="4"/>
      <c r="QXR14" s="4"/>
      <c r="QXS14" s="4"/>
      <c r="QXT14" s="4"/>
      <c r="QXU14" s="4"/>
      <c r="QXV14" s="4"/>
      <c r="QXW14" s="4"/>
      <c r="QXX14" s="4"/>
      <c r="QXY14" s="4"/>
      <c r="QXZ14" s="4"/>
      <c r="QYA14" s="4"/>
      <c r="QYB14" s="4"/>
      <c r="QYC14" s="4"/>
      <c r="QYD14" s="4"/>
      <c r="QYE14" s="4"/>
      <c r="QYF14" s="4"/>
      <c r="QYG14" s="4"/>
      <c r="QYH14" s="4"/>
      <c r="QYI14" s="4"/>
      <c r="QYJ14" s="4"/>
      <c r="QYK14" s="4"/>
      <c r="QYL14" s="4"/>
      <c r="QYM14" s="4"/>
      <c r="QYN14" s="4"/>
      <c r="QYO14" s="4"/>
      <c r="QYP14" s="4"/>
      <c r="QYQ14" s="4"/>
      <c r="QYR14" s="4"/>
      <c r="QYS14" s="4"/>
      <c r="QYT14" s="4"/>
      <c r="QYU14" s="4"/>
      <c r="QYV14" s="4"/>
      <c r="QYW14" s="4"/>
      <c r="QYX14" s="4"/>
      <c r="QYY14" s="4"/>
      <c r="QYZ14" s="4"/>
      <c r="QZA14" s="4"/>
      <c r="QZB14" s="4"/>
      <c r="QZC14" s="4"/>
      <c r="QZD14" s="4"/>
      <c r="QZE14" s="4"/>
      <c r="QZF14" s="4"/>
      <c r="QZG14" s="4"/>
      <c r="QZH14" s="4"/>
      <c r="QZI14" s="4"/>
      <c r="QZJ14" s="4"/>
      <c r="QZK14" s="4"/>
      <c r="QZL14" s="4"/>
      <c r="QZM14" s="4"/>
      <c r="QZN14" s="4"/>
      <c r="QZO14" s="4"/>
      <c r="QZP14" s="4"/>
      <c r="QZQ14" s="4"/>
      <c r="QZR14" s="4"/>
      <c r="QZS14" s="4"/>
      <c r="QZT14" s="4"/>
      <c r="QZU14" s="4"/>
      <c r="QZV14" s="4"/>
      <c r="QZW14" s="4"/>
      <c r="QZX14" s="4"/>
      <c r="QZY14" s="4"/>
      <c r="QZZ14" s="4"/>
      <c r="RAA14" s="4"/>
      <c r="RAB14" s="4"/>
      <c r="RAC14" s="4"/>
      <c r="RAD14" s="4"/>
      <c r="RAE14" s="4"/>
      <c r="RAF14" s="4"/>
      <c r="RAG14" s="4"/>
      <c r="RAH14" s="4"/>
      <c r="RAI14" s="4"/>
      <c r="RAJ14" s="4"/>
      <c r="RAK14" s="4"/>
      <c r="RAL14" s="4"/>
      <c r="RAM14" s="4"/>
      <c r="RAN14" s="4"/>
      <c r="RAO14" s="4"/>
      <c r="RAP14" s="4"/>
      <c r="RAQ14" s="4"/>
      <c r="RAR14" s="4"/>
      <c r="RAS14" s="4"/>
      <c r="RAT14" s="4"/>
      <c r="RAU14" s="4"/>
      <c r="RAV14" s="4"/>
      <c r="RAW14" s="4"/>
      <c r="RAX14" s="4"/>
      <c r="RAY14" s="4"/>
      <c r="RAZ14" s="4"/>
      <c r="RBA14" s="4"/>
      <c r="RBB14" s="4"/>
      <c r="RBC14" s="4"/>
      <c r="RBD14" s="4"/>
      <c r="RBE14" s="4"/>
      <c r="RBF14" s="4"/>
      <c r="RBG14" s="4"/>
      <c r="RBH14" s="4"/>
      <c r="RBI14" s="4"/>
      <c r="RBJ14" s="4"/>
      <c r="RBK14" s="4"/>
      <c r="RBL14" s="4"/>
      <c r="RBM14" s="4"/>
      <c r="RBN14" s="4"/>
      <c r="RBO14" s="4"/>
      <c r="RBP14" s="4"/>
      <c r="RBQ14" s="4"/>
      <c r="RBR14" s="4"/>
      <c r="RBS14" s="4"/>
      <c r="RBT14" s="4"/>
      <c r="RBU14" s="4"/>
      <c r="RBV14" s="4"/>
      <c r="RBW14" s="4"/>
      <c r="RBX14" s="4"/>
      <c r="RBY14" s="4"/>
      <c r="RBZ14" s="4"/>
      <c r="RCA14" s="4"/>
      <c r="RCB14" s="4"/>
      <c r="RCC14" s="4"/>
      <c r="RCD14" s="4"/>
      <c r="RCE14" s="4"/>
      <c r="RCF14" s="4"/>
      <c r="RCG14" s="4"/>
      <c r="RCH14" s="4"/>
      <c r="RCI14" s="4"/>
      <c r="RCJ14" s="4"/>
      <c r="RCK14" s="4"/>
      <c r="RCL14" s="4"/>
      <c r="RCM14" s="4"/>
      <c r="RCN14" s="4"/>
      <c r="RCO14" s="4"/>
      <c r="RCP14" s="4"/>
      <c r="RCQ14" s="4"/>
      <c r="RCR14" s="4"/>
      <c r="RCS14" s="4"/>
      <c r="RCT14" s="4"/>
      <c r="RCU14" s="4"/>
      <c r="RCV14" s="4"/>
      <c r="RCW14" s="4"/>
      <c r="RCX14" s="4"/>
      <c r="RCY14" s="4"/>
      <c r="RCZ14" s="4"/>
      <c r="RDA14" s="4"/>
      <c r="RDB14" s="4"/>
      <c r="RDC14" s="4"/>
      <c r="RDD14" s="4"/>
      <c r="RDE14" s="4"/>
      <c r="RDF14" s="4"/>
      <c r="RDG14" s="4"/>
      <c r="RDH14" s="4"/>
      <c r="RDI14" s="4"/>
      <c r="RDJ14" s="4"/>
      <c r="RDK14" s="4"/>
      <c r="RDL14" s="4"/>
      <c r="RDM14" s="4"/>
      <c r="RDN14" s="4"/>
      <c r="RDO14" s="4"/>
      <c r="RDP14" s="4"/>
      <c r="RDQ14" s="4"/>
      <c r="RDR14" s="4"/>
      <c r="RDS14" s="4"/>
      <c r="RDT14" s="4"/>
      <c r="RDU14" s="4"/>
      <c r="RDV14" s="4"/>
      <c r="RDW14" s="4"/>
      <c r="RDX14" s="4"/>
      <c r="RDY14" s="4"/>
      <c r="RDZ14" s="4"/>
      <c r="REA14" s="4"/>
      <c r="REB14" s="4"/>
      <c r="REC14" s="4"/>
      <c r="RED14" s="4"/>
      <c r="REE14" s="4"/>
      <c r="REF14" s="4"/>
      <c r="REG14" s="4"/>
      <c r="REH14" s="4"/>
      <c r="REI14" s="4"/>
      <c r="REJ14" s="4"/>
      <c r="REK14" s="4"/>
      <c r="REL14" s="4"/>
      <c r="REM14" s="4"/>
      <c r="REN14" s="4"/>
      <c r="REO14" s="4"/>
      <c r="REP14" s="4"/>
      <c r="REQ14" s="4"/>
      <c r="RER14" s="4"/>
      <c r="RES14" s="4"/>
      <c r="RET14" s="4"/>
      <c r="REU14" s="4"/>
      <c r="REV14" s="4"/>
      <c r="REW14" s="4"/>
      <c r="REX14" s="4"/>
      <c r="REY14" s="4"/>
      <c r="REZ14" s="4"/>
      <c r="RFA14" s="4"/>
      <c r="RFB14" s="4"/>
      <c r="RFC14" s="4"/>
      <c r="RFD14" s="4"/>
      <c r="RFE14" s="4"/>
      <c r="RFF14" s="4"/>
      <c r="RFG14" s="4"/>
      <c r="RFH14" s="4"/>
      <c r="RFI14" s="4"/>
      <c r="RFJ14" s="4"/>
      <c r="RFK14" s="4"/>
      <c r="RFL14" s="4"/>
      <c r="RFM14" s="4"/>
      <c r="RFN14" s="4"/>
      <c r="RFO14" s="4"/>
      <c r="RFP14" s="4"/>
      <c r="RFQ14" s="4"/>
      <c r="RFR14" s="4"/>
      <c r="RFS14" s="4"/>
      <c r="RFT14" s="4"/>
      <c r="RFU14" s="4"/>
      <c r="RFV14" s="4"/>
      <c r="RFW14" s="4"/>
      <c r="RFX14" s="4"/>
      <c r="RFY14" s="4"/>
      <c r="RFZ14" s="4"/>
      <c r="RGA14" s="4"/>
      <c r="RGB14" s="4"/>
      <c r="RGC14" s="4"/>
      <c r="RGD14" s="4"/>
      <c r="RGE14" s="4"/>
      <c r="RGF14" s="4"/>
      <c r="RGG14" s="4"/>
      <c r="RGH14" s="4"/>
      <c r="RGI14" s="4"/>
      <c r="RGJ14" s="4"/>
      <c r="RGK14" s="4"/>
      <c r="RGL14" s="4"/>
      <c r="RGM14" s="4"/>
      <c r="RGN14" s="4"/>
      <c r="RGO14" s="4"/>
      <c r="RGP14" s="4"/>
      <c r="RGQ14" s="4"/>
      <c r="RGR14" s="4"/>
      <c r="RGS14" s="4"/>
      <c r="RGT14" s="4"/>
      <c r="RGU14" s="4"/>
      <c r="RGV14" s="4"/>
      <c r="RGW14" s="4"/>
      <c r="RGX14" s="4"/>
      <c r="RGY14" s="4"/>
      <c r="RGZ14" s="4"/>
      <c r="RHA14" s="4"/>
      <c r="RHB14" s="4"/>
      <c r="RHC14" s="4"/>
      <c r="RHD14" s="4"/>
      <c r="RHE14" s="4"/>
      <c r="RHF14" s="4"/>
      <c r="RHG14" s="4"/>
      <c r="RHH14" s="4"/>
      <c r="RHI14" s="4"/>
      <c r="RHJ14" s="4"/>
      <c r="RHK14" s="4"/>
      <c r="RHL14" s="4"/>
      <c r="RHM14" s="4"/>
      <c r="RHN14" s="4"/>
      <c r="RHO14" s="4"/>
      <c r="RHP14" s="4"/>
      <c r="RHQ14" s="4"/>
      <c r="RHR14" s="4"/>
      <c r="RHS14" s="4"/>
      <c r="RHT14" s="4"/>
      <c r="RHU14" s="4"/>
      <c r="RHV14" s="4"/>
      <c r="RHW14" s="4"/>
      <c r="RHX14" s="4"/>
      <c r="RHY14" s="4"/>
      <c r="RHZ14" s="4"/>
      <c r="RIA14" s="4"/>
      <c r="RIB14" s="4"/>
      <c r="RIC14" s="4"/>
      <c r="RID14" s="4"/>
      <c r="RIE14" s="4"/>
      <c r="RIF14" s="4"/>
      <c r="RIG14" s="4"/>
      <c r="RIH14" s="4"/>
      <c r="RII14" s="4"/>
      <c r="RIJ14" s="4"/>
      <c r="RIK14" s="4"/>
      <c r="RIL14" s="4"/>
      <c r="RIM14" s="4"/>
      <c r="RIN14" s="4"/>
      <c r="RIO14" s="4"/>
      <c r="RIP14" s="4"/>
      <c r="RIQ14" s="4"/>
      <c r="RIR14" s="4"/>
      <c r="RIS14" s="4"/>
      <c r="RIT14" s="4"/>
      <c r="RIU14" s="4"/>
      <c r="RIV14" s="4"/>
      <c r="RIW14" s="4"/>
      <c r="RIX14" s="4"/>
      <c r="RIY14" s="4"/>
      <c r="RIZ14" s="4"/>
      <c r="RJA14" s="4"/>
      <c r="RJB14" s="4"/>
      <c r="RJC14" s="4"/>
      <c r="RJD14" s="4"/>
      <c r="RJE14" s="4"/>
      <c r="RJF14" s="4"/>
      <c r="RJG14" s="4"/>
      <c r="RJH14" s="4"/>
      <c r="RJI14" s="4"/>
      <c r="RJJ14" s="4"/>
      <c r="RJK14" s="4"/>
      <c r="RJL14" s="4"/>
      <c r="RJM14" s="4"/>
      <c r="RJN14" s="4"/>
      <c r="RJO14" s="4"/>
      <c r="RJP14" s="4"/>
      <c r="RJQ14" s="4"/>
      <c r="RJR14" s="4"/>
      <c r="RJS14" s="4"/>
      <c r="RJT14" s="4"/>
      <c r="RJU14" s="4"/>
      <c r="RJV14" s="4"/>
      <c r="RJW14" s="4"/>
      <c r="RJX14" s="4"/>
      <c r="RJY14" s="4"/>
      <c r="RJZ14" s="4"/>
      <c r="RKA14" s="4"/>
      <c r="RKB14" s="4"/>
      <c r="RKC14" s="4"/>
      <c r="RKD14" s="4"/>
      <c r="RKE14" s="4"/>
      <c r="RKF14" s="4"/>
      <c r="RKG14" s="4"/>
      <c r="RKH14" s="4"/>
      <c r="RKI14" s="4"/>
      <c r="RKJ14" s="4"/>
      <c r="RKK14" s="4"/>
      <c r="RKL14" s="4"/>
      <c r="RKM14" s="4"/>
      <c r="RKN14" s="4"/>
      <c r="RKO14" s="4"/>
      <c r="RKP14" s="4"/>
      <c r="RKQ14" s="4"/>
      <c r="RKR14" s="4"/>
      <c r="RKS14" s="4"/>
      <c r="RKT14" s="4"/>
      <c r="RKU14" s="4"/>
      <c r="RKV14" s="4"/>
      <c r="RKW14" s="4"/>
      <c r="RKX14" s="4"/>
      <c r="RKY14" s="4"/>
      <c r="RKZ14" s="4"/>
      <c r="RLA14" s="4"/>
      <c r="RLB14" s="4"/>
      <c r="RLC14" s="4"/>
      <c r="RLD14" s="4"/>
      <c r="RLE14" s="4"/>
      <c r="RLF14" s="4"/>
      <c r="RLG14" s="4"/>
      <c r="RLH14" s="4"/>
      <c r="RLI14" s="4"/>
      <c r="RLJ14" s="4"/>
      <c r="RLK14" s="4"/>
      <c r="RLL14" s="4"/>
      <c r="RLM14" s="4"/>
      <c r="RLN14" s="4"/>
      <c r="RLO14" s="4"/>
      <c r="RLP14" s="4"/>
      <c r="RLQ14" s="4"/>
      <c r="RLR14" s="4"/>
      <c r="RLS14" s="4"/>
      <c r="RLT14" s="4"/>
      <c r="RLU14" s="4"/>
      <c r="RLV14" s="4"/>
      <c r="RLW14" s="4"/>
      <c r="RLX14" s="4"/>
      <c r="RLY14" s="4"/>
      <c r="RLZ14" s="4"/>
      <c r="RMA14" s="4"/>
      <c r="RMB14" s="4"/>
      <c r="RMC14" s="4"/>
      <c r="RMD14" s="4"/>
      <c r="RME14" s="4"/>
      <c r="RMF14" s="4"/>
      <c r="RMG14" s="4"/>
      <c r="RMH14" s="4"/>
      <c r="RMI14" s="4"/>
      <c r="RMJ14" s="4"/>
      <c r="RMK14" s="4"/>
      <c r="RML14" s="4"/>
      <c r="RMM14" s="4"/>
      <c r="RMN14" s="4"/>
      <c r="RMO14" s="4"/>
      <c r="RMP14" s="4"/>
      <c r="RMQ14" s="4"/>
      <c r="RMR14" s="4"/>
      <c r="RMS14" s="4"/>
      <c r="RMT14" s="4"/>
      <c r="RMU14" s="4"/>
      <c r="RMV14" s="4"/>
      <c r="RMW14" s="4"/>
      <c r="RMX14" s="4"/>
      <c r="RMY14" s="4"/>
      <c r="RMZ14" s="4"/>
      <c r="RNA14" s="4"/>
      <c r="RNB14" s="4"/>
      <c r="RNC14" s="4"/>
      <c r="RND14" s="4"/>
      <c r="RNE14" s="4"/>
      <c r="RNF14" s="4"/>
      <c r="RNG14" s="4"/>
      <c r="RNH14" s="4"/>
      <c r="RNI14" s="4"/>
      <c r="RNJ14" s="4"/>
      <c r="RNK14" s="4"/>
      <c r="RNL14" s="4"/>
      <c r="RNM14" s="4"/>
      <c r="RNN14" s="4"/>
      <c r="RNO14" s="4"/>
      <c r="RNP14" s="4"/>
      <c r="RNQ14" s="4"/>
      <c r="RNR14" s="4"/>
      <c r="RNS14" s="4"/>
      <c r="RNT14" s="4"/>
      <c r="RNU14" s="4"/>
      <c r="RNV14" s="4"/>
      <c r="RNW14" s="4"/>
      <c r="RNX14" s="4"/>
      <c r="RNY14" s="4"/>
      <c r="RNZ14" s="4"/>
      <c r="ROA14" s="4"/>
      <c r="ROB14" s="4"/>
      <c r="ROC14" s="4"/>
      <c r="ROD14" s="4"/>
      <c r="ROE14" s="4"/>
      <c r="ROF14" s="4"/>
      <c r="ROG14" s="4"/>
      <c r="ROH14" s="4"/>
      <c r="ROI14" s="4"/>
      <c r="ROJ14" s="4"/>
      <c r="ROK14" s="4"/>
      <c r="ROL14" s="4"/>
      <c r="ROM14" s="4"/>
      <c r="RON14" s="4"/>
      <c r="ROO14" s="4"/>
      <c r="ROP14" s="4"/>
      <c r="ROQ14" s="4"/>
      <c r="ROR14" s="4"/>
      <c r="ROS14" s="4"/>
      <c r="ROT14" s="4"/>
      <c r="ROU14" s="4"/>
      <c r="ROV14" s="4"/>
      <c r="ROW14" s="4"/>
      <c r="ROX14" s="4"/>
      <c r="ROY14" s="4"/>
      <c r="ROZ14" s="4"/>
      <c r="RPA14" s="4"/>
      <c r="RPB14" s="4"/>
      <c r="RPC14" s="4"/>
      <c r="RPD14" s="4"/>
      <c r="RPE14" s="4"/>
      <c r="RPF14" s="4"/>
      <c r="RPG14" s="4"/>
      <c r="RPH14" s="4"/>
      <c r="RPI14" s="4"/>
      <c r="RPJ14" s="4"/>
      <c r="RPK14" s="4"/>
      <c r="RPL14" s="4"/>
      <c r="RPM14" s="4"/>
      <c r="RPN14" s="4"/>
      <c r="RPO14" s="4"/>
      <c r="RPP14" s="4"/>
      <c r="RPQ14" s="4"/>
      <c r="RPR14" s="4"/>
      <c r="RPS14" s="4"/>
      <c r="RPT14" s="4"/>
      <c r="RPU14" s="4"/>
      <c r="RPV14" s="4"/>
      <c r="RPW14" s="4"/>
      <c r="RPX14" s="4"/>
      <c r="RPY14" s="4"/>
      <c r="RPZ14" s="4"/>
      <c r="RQA14" s="4"/>
      <c r="RQB14" s="4"/>
      <c r="RQC14" s="4"/>
      <c r="RQD14" s="4"/>
      <c r="RQE14" s="4"/>
      <c r="RQF14" s="4"/>
      <c r="RQG14" s="4"/>
      <c r="RQH14" s="4"/>
      <c r="RQI14" s="4"/>
      <c r="RQJ14" s="4"/>
      <c r="RQK14" s="4"/>
      <c r="RQL14" s="4"/>
      <c r="RQM14" s="4"/>
      <c r="RQN14" s="4"/>
      <c r="RQO14" s="4"/>
      <c r="RQP14" s="4"/>
      <c r="RQQ14" s="4"/>
      <c r="RQR14" s="4"/>
      <c r="RQS14" s="4"/>
      <c r="RQT14" s="4"/>
      <c r="RQU14" s="4"/>
      <c r="RQV14" s="4"/>
      <c r="RQW14" s="4"/>
      <c r="RQX14" s="4"/>
      <c r="RQY14" s="4"/>
      <c r="RQZ14" s="4"/>
      <c r="RRA14" s="4"/>
      <c r="RRB14" s="4"/>
      <c r="RRC14" s="4"/>
      <c r="RRD14" s="4"/>
      <c r="RRE14" s="4"/>
      <c r="RRF14" s="4"/>
      <c r="RRG14" s="4"/>
      <c r="RRH14" s="4"/>
      <c r="RRI14" s="4"/>
      <c r="RRJ14" s="4"/>
      <c r="RRK14" s="4"/>
      <c r="RRL14" s="4"/>
      <c r="RRM14" s="4"/>
      <c r="RRN14" s="4"/>
      <c r="RRO14" s="4"/>
      <c r="RRP14" s="4"/>
      <c r="RRQ14" s="4"/>
      <c r="RRR14" s="4"/>
      <c r="RRS14" s="4"/>
      <c r="RRT14" s="4"/>
      <c r="RRU14" s="4"/>
      <c r="RRV14" s="4"/>
      <c r="RRW14" s="4"/>
      <c r="RRX14" s="4"/>
      <c r="RRY14" s="4"/>
      <c r="RRZ14" s="4"/>
      <c r="RSA14" s="4"/>
      <c r="RSB14" s="4"/>
      <c r="RSC14" s="4"/>
      <c r="RSD14" s="4"/>
      <c r="RSE14" s="4"/>
      <c r="RSF14" s="4"/>
      <c r="RSG14" s="4"/>
      <c r="RSH14" s="4"/>
      <c r="RSI14" s="4"/>
      <c r="RSJ14" s="4"/>
      <c r="RSK14" s="4"/>
      <c r="RSL14" s="4"/>
      <c r="RSM14" s="4"/>
      <c r="RSN14" s="4"/>
      <c r="RSO14" s="4"/>
      <c r="RSP14" s="4"/>
      <c r="RSQ14" s="4"/>
      <c r="RSR14" s="4"/>
      <c r="RSS14" s="4"/>
      <c r="RST14" s="4"/>
      <c r="RSU14" s="4"/>
      <c r="RSV14" s="4"/>
      <c r="RSW14" s="4"/>
      <c r="RSX14" s="4"/>
      <c r="RSY14" s="4"/>
      <c r="RSZ14" s="4"/>
      <c r="RTA14" s="4"/>
      <c r="RTB14" s="4"/>
      <c r="RTC14" s="4"/>
      <c r="RTD14" s="4"/>
      <c r="RTE14" s="4"/>
      <c r="RTF14" s="4"/>
      <c r="RTG14" s="4"/>
      <c r="RTH14" s="4"/>
      <c r="RTI14" s="4"/>
      <c r="RTJ14" s="4"/>
      <c r="RTK14" s="4"/>
      <c r="RTL14" s="4"/>
      <c r="RTM14" s="4"/>
      <c r="RTN14" s="4"/>
      <c r="RTO14" s="4"/>
      <c r="RTP14" s="4"/>
      <c r="RTQ14" s="4"/>
      <c r="RTR14" s="4"/>
      <c r="RTS14" s="4"/>
      <c r="RTT14" s="4"/>
      <c r="RTU14" s="4"/>
      <c r="RTV14" s="4"/>
      <c r="RTW14" s="4"/>
      <c r="RTX14" s="4"/>
      <c r="RTY14" s="4"/>
      <c r="RTZ14" s="4"/>
      <c r="RUA14" s="4"/>
      <c r="RUB14" s="4"/>
      <c r="RUC14" s="4"/>
      <c r="RUD14" s="4"/>
      <c r="RUE14" s="4"/>
      <c r="RUF14" s="4"/>
      <c r="RUG14" s="4"/>
      <c r="RUH14" s="4"/>
      <c r="RUI14" s="4"/>
      <c r="RUJ14" s="4"/>
      <c r="RUK14" s="4"/>
      <c r="RUL14" s="4"/>
      <c r="RUM14" s="4"/>
      <c r="RUN14" s="4"/>
      <c r="RUO14" s="4"/>
      <c r="RUP14" s="4"/>
      <c r="RUQ14" s="4"/>
      <c r="RUR14" s="4"/>
      <c r="RUS14" s="4"/>
      <c r="RUT14" s="4"/>
      <c r="RUU14" s="4"/>
      <c r="RUV14" s="4"/>
      <c r="RUW14" s="4"/>
      <c r="RUX14" s="4"/>
      <c r="RUY14" s="4"/>
      <c r="RUZ14" s="4"/>
      <c r="RVA14" s="4"/>
      <c r="RVB14" s="4"/>
      <c r="RVC14" s="4"/>
      <c r="RVD14" s="4"/>
      <c r="RVE14" s="4"/>
      <c r="RVF14" s="4"/>
      <c r="RVG14" s="4"/>
      <c r="RVH14" s="4"/>
      <c r="RVI14" s="4"/>
      <c r="RVJ14" s="4"/>
      <c r="RVK14" s="4"/>
      <c r="RVL14" s="4"/>
      <c r="RVM14" s="4"/>
      <c r="RVN14" s="4"/>
      <c r="RVO14" s="4"/>
      <c r="RVP14" s="4"/>
      <c r="RVQ14" s="4"/>
      <c r="RVR14" s="4"/>
      <c r="RVS14" s="4"/>
      <c r="RVT14" s="4"/>
      <c r="RVU14" s="4"/>
      <c r="RVV14" s="4"/>
      <c r="RVW14" s="4"/>
      <c r="RVX14" s="4"/>
      <c r="RVY14" s="4"/>
      <c r="RVZ14" s="4"/>
      <c r="RWA14" s="4"/>
      <c r="RWB14" s="4"/>
      <c r="RWC14" s="4"/>
      <c r="RWD14" s="4"/>
      <c r="RWE14" s="4"/>
      <c r="RWF14" s="4"/>
      <c r="RWG14" s="4"/>
      <c r="RWH14" s="4"/>
      <c r="RWI14" s="4"/>
      <c r="RWJ14" s="4"/>
      <c r="RWK14" s="4"/>
      <c r="RWL14" s="4"/>
      <c r="RWM14" s="4"/>
      <c r="RWN14" s="4"/>
      <c r="RWO14" s="4"/>
      <c r="RWP14" s="4"/>
      <c r="RWQ14" s="4"/>
      <c r="RWR14" s="4"/>
      <c r="RWS14" s="4"/>
      <c r="RWT14" s="4"/>
      <c r="RWU14" s="4"/>
      <c r="RWV14" s="4"/>
      <c r="RWW14" s="4"/>
      <c r="RWX14" s="4"/>
      <c r="RWY14" s="4"/>
      <c r="RWZ14" s="4"/>
      <c r="RXA14" s="4"/>
      <c r="RXB14" s="4"/>
      <c r="RXC14" s="4"/>
      <c r="RXD14" s="4"/>
      <c r="RXE14" s="4"/>
      <c r="RXF14" s="4"/>
      <c r="RXG14" s="4"/>
      <c r="RXH14" s="4"/>
      <c r="RXI14" s="4"/>
      <c r="RXJ14" s="4"/>
      <c r="RXK14" s="4"/>
      <c r="RXL14" s="4"/>
      <c r="RXM14" s="4"/>
      <c r="RXN14" s="4"/>
      <c r="RXO14" s="4"/>
      <c r="RXP14" s="4"/>
      <c r="RXQ14" s="4"/>
      <c r="RXR14" s="4"/>
      <c r="RXS14" s="4"/>
      <c r="RXT14" s="4"/>
      <c r="RXU14" s="4"/>
      <c r="RXV14" s="4"/>
      <c r="RXW14" s="4"/>
      <c r="RXX14" s="4"/>
      <c r="RXY14" s="4"/>
      <c r="RXZ14" s="4"/>
      <c r="RYA14" s="4"/>
      <c r="RYB14" s="4"/>
      <c r="RYC14" s="4"/>
      <c r="RYD14" s="4"/>
      <c r="RYE14" s="4"/>
      <c r="RYF14" s="4"/>
      <c r="RYG14" s="4"/>
      <c r="RYH14" s="4"/>
      <c r="RYI14" s="4"/>
      <c r="RYJ14" s="4"/>
      <c r="RYK14" s="4"/>
      <c r="RYL14" s="4"/>
      <c r="RYM14" s="4"/>
      <c r="RYN14" s="4"/>
      <c r="RYO14" s="4"/>
      <c r="RYP14" s="4"/>
      <c r="RYQ14" s="4"/>
      <c r="RYR14" s="4"/>
      <c r="RYS14" s="4"/>
      <c r="RYT14" s="4"/>
      <c r="RYU14" s="4"/>
      <c r="RYV14" s="4"/>
      <c r="RYW14" s="4"/>
      <c r="RYX14" s="4"/>
      <c r="RYY14" s="4"/>
      <c r="RYZ14" s="4"/>
      <c r="RZA14" s="4"/>
      <c r="RZB14" s="4"/>
      <c r="RZC14" s="4"/>
      <c r="RZD14" s="4"/>
      <c r="RZE14" s="4"/>
      <c r="RZF14" s="4"/>
      <c r="RZG14" s="4"/>
      <c r="RZH14" s="4"/>
      <c r="RZI14" s="4"/>
      <c r="RZJ14" s="4"/>
      <c r="RZK14" s="4"/>
      <c r="RZL14" s="4"/>
      <c r="RZM14" s="4"/>
      <c r="RZN14" s="4"/>
      <c r="RZO14" s="4"/>
      <c r="RZP14" s="4"/>
      <c r="RZQ14" s="4"/>
      <c r="RZR14" s="4"/>
      <c r="RZS14" s="4"/>
      <c r="RZT14" s="4"/>
      <c r="RZU14" s="4"/>
      <c r="RZV14" s="4"/>
      <c r="RZW14" s="4"/>
      <c r="RZX14" s="4"/>
      <c r="RZY14" s="4"/>
      <c r="RZZ14" s="4"/>
      <c r="SAA14" s="4"/>
      <c r="SAB14" s="4"/>
      <c r="SAC14" s="4"/>
      <c r="SAD14" s="4"/>
      <c r="SAE14" s="4"/>
      <c r="SAF14" s="4"/>
      <c r="SAG14" s="4"/>
      <c r="SAH14" s="4"/>
      <c r="SAI14" s="4"/>
      <c r="SAJ14" s="4"/>
      <c r="SAK14" s="4"/>
      <c r="SAL14" s="4"/>
      <c r="SAM14" s="4"/>
      <c r="SAN14" s="4"/>
      <c r="SAO14" s="4"/>
      <c r="SAP14" s="4"/>
      <c r="SAQ14" s="4"/>
      <c r="SAR14" s="4"/>
      <c r="SAS14" s="4"/>
      <c r="SAT14" s="4"/>
      <c r="SAU14" s="4"/>
      <c r="SAV14" s="4"/>
      <c r="SAW14" s="4"/>
      <c r="SAX14" s="4"/>
      <c r="SAY14" s="4"/>
      <c r="SAZ14" s="4"/>
      <c r="SBA14" s="4"/>
      <c r="SBB14" s="4"/>
      <c r="SBC14" s="4"/>
      <c r="SBD14" s="4"/>
      <c r="SBE14" s="4"/>
      <c r="SBF14" s="4"/>
      <c r="SBG14" s="4"/>
      <c r="SBH14" s="4"/>
      <c r="SBI14" s="4"/>
      <c r="SBJ14" s="4"/>
      <c r="SBK14" s="4"/>
      <c r="SBL14" s="4"/>
      <c r="SBM14" s="4"/>
      <c r="SBN14" s="4"/>
      <c r="SBO14" s="4"/>
      <c r="SBP14" s="4"/>
      <c r="SBQ14" s="4"/>
      <c r="SBR14" s="4"/>
      <c r="SBS14" s="4"/>
      <c r="SBT14" s="4"/>
      <c r="SBU14" s="4"/>
      <c r="SBV14" s="4"/>
      <c r="SBW14" s="4"/>
      <c r="SBX14" s="4"/>
      <c r="SBY14" s="4"/>
      <c r="SBZ14" s="4"/>
      <c r="SCA14" s="4"/>
      <c r="SCB14" s="4"/>
      <c r="SCC14" s="4"/>
      <c r="SCD14" s="4"/>
      <c r="SCE14" s="4"/>
      <c r="SCF14" s="4"/>
      <c r="SCG14" s="4"/>
      <c r="SCH14" s="4"/>
      <c r="SCI14" s="4"/>
      <c r="SCJ14" s="4"/>
      <c r="SCK14" s="4"/>
      <c r="SCL14" s="4"/>
      <c r="SCM14" s="4"/>
      <c r="SCN14" s="4"/>
      <c r="SCO14" s="4"/>
      <c r="SCP14" s="4"/>
      <c r="SCQ14" s="4"/>
      <c r="SCR14" s="4"/>
      <c r="SCS14" s="4"/>
      <c r="SCT14" s="4"/>
      <c r="SCU14" s="4"/>
      <c r="SCV14" s="4"/>
      <c r="SCW14" s="4"/>
      <c r="SCX14" s="4"/>
      <c r="SCY14" s="4"/>
      <c r="SCZ14" s="4"/>
      <c r="SDA14" s="4"/>
      <c r="SDB14" s="4"/>
      <c r="SDC14" s="4"/>
      <c r="SDD14" s="4"/>
      <c r="SDE14" s="4"/>
      <c r="SDF14" s="4"/>
      <c r="SDG14" s="4"/>
      <c r="SDH14" s="4"/>
      <c r="SDI14" s="4"/>
      <c r="SDJ14" s="4"/>
      <c r="SDK14" s="4"/>
      <c r="SDL14" s="4"/>
      <c r="SDM14" s="4"/>
      <c r="SDN14" s="4"/>
      <c r="SDO14" s="4"/>
      <c r="SDP14" s="4"/>
      <c r="SDQ14" s="4"/>
      <c r="SDR14" s="4"/>
      <c r="SDS14" s="4"/>
      <c r="SDT14" s="4"/>
      <c r="SDU14" s="4"/>
      <c r="SDV14" s="4"/>
      <c r="SDW14" s="4"/>
      <c r="SDX14" s="4"/>
      <c r="SDY14" s="4"/>
      <c r="SDZ14" s="4"/>
      <c r="SEA14" s="4"/>
      <c r="SEB14" s="4"/>
      <c r="SEC14" s="4"/>
      <c r="SED14" s="4"/>
      <c r="SEE14" s="4"/>
      <c r="SEF14" s="4"/>
      <c r="SEG14" s="4"/>
      <c r="SEH14" s="4"/>
      <c r="SEI14" s="4"/>
      <c r="SEJ14" s="4"/>
      <c r="SEK14" s="4"/>
      <c r="SEL14" s="4"/>
      <c r="SEM14" s="4"/>
      <c r="SEN14" s="4"/>
      <c r="SEO14" s="4"/>
      <c r="SEP14" s="4"/>
      <c r="SEQ14" s="4"/>
      <c r="SER14" s="4"/>
      <c r="SES14" s="4"/>
      <c r="SET14" s="4"/>
      <c r="SEU14" s="4"/>
      <c r="SEV14" s="4"/>
      <c r="SEW14" s="4"/>
      <c r="SEX14" s="4"/>
      <c r="SEY14" s="4"/>
      <c r="SEZ14" s="4"/>
      <c r="SFA14" s="4"/>
      <c r="SFB14" s="4"/>
      <c r="SFC14" s="4"/>
      <c r="SFD14" s="4"/>
      <c r="SFE14" s="4"/>
      <c r="SFF14" s="4"/>
      <c r="SFG14" s="4"/>
      <c r="SFH14" s="4"/>
      <c r="SFI14" s="4"/>
      <c r="SFJ14" s="4"/>
      <c r="SFK14" s="4"/>
      <c r="SFL14" s="4"/>
      <c r="SFM14" s="4"/>
      <c r="SFN14" s="4"/>
      <c r="SFO14" s="4"/>
      <c r="SFP14" s="4"/>
      <c r="SFQ14" s="4"/>
      <c r="SFR14" s="4"/>
      <c r="SFS14" s="4"/>
      <c r="SFT14" s="4"/>
      <c r="SFU14" s="4"/>
      <c r="SFV14" s="4"/>
      <c r="SFW14" s="4"/>
      <c r="SFX14" s="4"/>
      <c r="SFY14" s="4"/>
      <c r="SFZ14" s="4"/>
      <c r="SGA14" s="4"/>
      <c r="SGB14" s="4"/>
      <c r="SGC14" s="4"/>
      <c r="SGD14" s="4"/>
      <c r="SGE14" s="4"/>
      <c r="SGF14" s="4"/>
      <c r="SGG14" s="4"/>
      <c r="SGH14" s="4"/>
      <c r="SGI14" s="4"/>
      <c r="SGJ14" s="4"/>
      <c r="SGK14" s="4"/>
      <c r="SGL14" s="4"/>
      <c r="SGM14" s="4"/>
      <c r="SGN14" s="4"/>
      <c r="SGO14" s="4"/>
      <c r="SGP14" s="4"/>
      <c r="SGQ14" s="4"/>
      <c r="SGR14" s="4"/>
      <c r="SGS14" s="4"/>
      <c r="SGT14" s="4"/>
      <c r="SGU14" s="4"/>
      <c r="SGV14" s="4"/>
      <c r="SGW14" s="4"/>
      <c r="SGX14" s="4"/>
      <c r="SGY14" s="4"/>
      <c r="SGZ14" s="4"/>
      <c r="SHA14" s="4"/>
      <c r="SHB14" s="4"/>
      <c r="SHC14" s="4"/>
      <c r="SHD14" s="4"/>
      <c r="SHE14" s="4"/>
      <c r="SHF14" s="4"/>
      <c r="SHG14" s="4"/>
      <c r="SHH14" s="4"/>
      <c r="SHI14" s="4"/>
      <c r="SHJ14" s="4"/>
      <c r="SHK14" s="4"/>
      <c r="SHL14" s="4"/>
      <c r="SHM14" s="4"/>
      <c r="SHN14" s="4"/>
      <c r="SHO14" s="4"/>
      <c r="SHP14" s="4"/>
      <c r="SHQ14" s="4"/>
      <c r="SHR14" s="4"/>
      <c r="SHS14" s="4"/>
      <c r="SHT14" s="4"/>
      <c r="SHU14" s="4"/>
      <c r="SHV14" s="4"/>
      <c r="SHW14" s="4"/>
      <c r="SHX14" s="4"/>
      <c r="SHY14" s="4"/>
      <c r="SHZ14" s="4"/>
      <c r="SIA14" s="4"/>
      <c r="SIB14" s="4"/>
      <c r="SIC14" s="4"/>
      <c r="SID14" s="4"/>
      <c r="SIE14" s="4"/>
      <c r="SIF14" s="4"/>
      <c r="SIG14" s="4"/>
      <c r="SIH14" s="4"/>
      <c r="SII14" s="4"/>
      <c r="SIJ14" s="4"/>
      <c r="SIK14" s="4"/>
      <c r="SIL14" s="4"/>
      <c r="SIM14" s="4"/>
      <c r="SIN14" s="4"/>
      <c r="SIO14" s="4"/>
      <c r="SIP14" s="4"/>
      <c r="SIQ14" s="4"/>
      <c r="SIR14" s="4"/>
      <c r="SIS14" s="4"/>
      <c r="SIT14" s="4"/>
      <c r="SIU14" s="4"/>
      <c r="SIV14" s="4"/>
      <c r="SIW14" s="4"/>
      <c r="SIX14" s="4"/>
      <c r="SIY14" s="4"/>
      <c r="SIZ14" s="4"/>
      <c r="SJA14" s="4"/>
      <c r="SJB14" s="4"/>
      <c r="SJC14" s="4"/>
      <c r="SJD14" s="4"/>
      <c r="SJE14" s="4"/>
      <c r="SJF14" s="4"/>
      <c r="SJG14" s="4"/>
      <c r="SJH14" s="4"/>
      <c r="SJI14" s="4"/>
      <c r="SJJ14" s="4"/>
      <c r="SJK14" s="4"/>
      <c r="SJL14" s="4"/>
      <c r="SJM14" s="4"/>
      <c r="SJN14" s="4"/>
      <c r="SJO14" s="4"/>
      <c r="SJP14" s="4"/>
      <c r="SJQ14" s="4"/>
      <c r="SJR14" s="4"/>
      <c r="SJS14" s="4"/>
      <c r="SJT14" s="4"/>
      <c r="SJU14" s="4"/>
      <c r="SJV14" s="4"/>
      <c r="SJW14" s="4"/>
      <c r="SJX14" s="4"/>
      <c r="SJY14" s="4"/>
      <c r="SJZ14" s="4"/>
      <c r="SKA14" s="4"/>
      <c r="SKB14" s="4"/>
      <c r="SKC14" s="4"/>
      <c r="SKD14" s="4"/>
      <c r="SKE14" s="4"/>
      <c r="SKF14" s="4"/>
      <c r="SKG14" s="4"/>
      <c r="SKH14" s="4"/>
      <c r="SKI14" s="4"/>
      <c r="SKJ14" s="4"/>
      <c r="SKK14" s="4"/>
      <c r="SKL14" s="4"/>
      <c r="SKM14" s="4"/>
      <c r="SKN14" s="4"/>
      <c r="SKO14" s="4"/>
      <c r="SKP14" s="4"/>
      <c r="SKQ14" s="4"/>
      <c r="SKR14" s="4"/>
      <c r="SKS14" s="4"/>
      <c r="SKT14" s="4"/>
      <c r="SKU14" s="4"/>
      <c r="SKV14" s="4"/>
      <c r="SKW14" s="4"/>
      <c r="SKX14" s="4"/>
      <c r="SKY14" s="4"/>
      <c r="SKZ14" s="4"/>
      <c r="SLA14" s="4"/>
      <c r="SLB14" s="4"/>
      <c r="SLC14" s="4"/>
      <c r="SLD14" s="4"/>
      <c r="SLE14" s="4"/>
      <c r="SLF14" s="4"/>
      <c r="SLG14" s="4"/>
      <c r="SLH14" s="4"/>
      <c r="SLI14" s="4"/>
      <c r="SLJ14" s="4"/>
      <c r="SLK14" s="4"/>
      <c r="SLL14" s="4"/>
      <c r="SLM14" s="4"/>
      <c r="SLN14" s="4"/>
      <c r="SLO14" s="4"/>
      <c r="SLP14" s="4"/>
      <c r="SLQ14" s="4"/>
      <c r="SLR14" s="4"/>
      <c r="SLS14" s="4"/>
      <c r="SLT14" s="4"/>
      <c r="SLU14" s="4"/>
      <c r="SLV14" s="4"/>
      <c r="SLW14" s="4"/>
      <c r="SLX14" s="4"/>
      <c r="SLY14" s="4"/>
      <c r="SLZ14" s="4"/>
      <c r="SMA14" s="4"/>
      <c r="SMB14" s="4"/>
      <c r="SMC14" s="4"/>
      <c r="SMD14" s="4"/>
      <c r="SME14" s="4"/>
      <c r="SMF14" s="4"/>
      <c r="SMG14" s="4"/>
      <c r="SMH14" s="4"/>
      <c r="SMI14" s="4"/>
      <c r="SMJ14" s="4"/>
      <c r="SMK14" s="4"/>
      <c r="SML14" s="4"/>
      <c r="SMM14" s="4"/>
      <c r="SMN14" s="4"/>
      <c r="SMO14" s="4"/>
      <c r="SMP14" s="4"/>
      <c r="SMQ14" s="4"/>
      <c r="SMR14" s="4"/>
      <c r="SMS14" s="4"/>
      <c r="SMT14" s="4"/>
      <c r="SMU14" s="4"/>
      <c r="SMV14" s="4"/>
      <c r="SMW14" s="4"/>
      <c r="SMX14" s="4"/>
      <c r="SMY14" s="4"/>
      <c r="SMZ14" s="4"/>
      <c r="SNA14" s="4"/>
      <c r="SNB14" s="4"/>
      <c r="SNC14" s="4"/>
      <c r="SND14" s="4"/>
      <c r="SNE14" s="4"/>
      <c r="SNF14" s="4"/>
      <c r="SNG14" s="4"/>
      <c r="SNH14" s="4"/>
      <c r="SNI14" s="4"/>
      <c r="SNJ14" s="4"/>
      <c r="SNK14" s="4"/>
      <c r="SNL14" s="4"/>
      <c r="SNM14" s="4"/>
      <c r="SNN14" s="4"/>
      <c r="SNO14" s="4"/>
      <c r="SNP14" s="4"/>
      <c r="SNQ14" s="4"/>
      <c r="SNR14" s="4"/>
      <c r="SNS14" s="4"/>
      <c r="SNT14" s="4"/>
      <c r="SNU14" s="4"/>
      <c r="SNV14" s="4"/>
      <c r="SNW14" s="4"/>
      <c r="SNX14" s="4"/>
      <c r="SNY14" s="4"/>
      <c r="SNZ14" s="4"/>
      <c r="SOA14" s="4"/>
      <c r="SOB14" s="4"/>
      <c r="SOC14" s="4"/>
      <c r="SOD14" s="4"/>
      <c r="SOE14" s="4"/>
      <c r="SOF14" s="4"/>
      <c r="SOG14" s="4"/>
      <c r="SOH14" s="4"/>
      <c r="SOI14" s="4"/>
      <c r="SOJ14" s="4"/>
      <c r="SOK14" s="4"/>
      <c r="SOL14" s="4"/>
      <c r="SOM14" s="4"/>
      <c r="SON14" s="4"/>
      <c r="SOO14" s="4"/>
      <c r="SOP14" s="4"/>
      <c r="SOQ14" s="4"/>
      <c r="SOR14" s="4"/>
      <c r="SOS14" s="4"/>
      <c r="SOT14" s="4"/>
      <c r="SOU14" s="4"/>
      <c r="SOV14" s="4"/>
      <c r="SOW14" s="4"/>
      <c r="SOX14" s="4"/>
      <c r="SOY14" s="4"/>
      <c r="SOZ14" s="4"/>
      <c r="SPA14" s="4"/>
      <c r="SPB14" s="4"/>
      <c r="SPC14" s="4"/>
      <c r="SPD14" s="4"/>
      <c r="SPE14" s="4"/>
      <c r="SPF14" s="4"/>
      <c r="SPG14" s="4"/>
      <c r="SPH14" s="4"/>
      <c r="SPI14" s="4"/>
      <c r="SPJ14" s="4"/>
      <c r="SPK14" s="4"/>
      <c r="SPL14" s="4"/>
      <c r="SPM14" s="4"/>
      <c r="SPN14" s="4"/>
      <c r="SPO14" s="4"/>
      <c r="SPP14" s="4"/>
      <c r="SPQ14" s="4"/>
      <c r="SPR14" s="4"/>
      <c r="SPS14" s="4"/>
      <c r="SPT14" s="4"/>
      <c r="SPU14" s="4"/>
      <c r="SPV14" s="4"/>
      <c r="SPW14" s="4"/>
      <c r="SPX14" s="4"/>
      <c r="SPY14" s="4"/>
      <c r="SPZ14" s="4"/>
      <c r="SQA14" s="4"/>
      <c r="SQB14" s="4"/>
      <c r="SQC14" s="4"/>
      <c r="SQD14" s="4"/>
      <c r="SQE14" s="4"/>
      <c r="SQF14" s="4"/>
      <c r="SQG14" s="4"/>
      <c r="SQH14" s="4"/>
      <c r="SQI14" s="4"/>
      <c r="SQJ14" s="4"/>
      <c r="SQK14" s="4"/>
      <c r="SQL14" s="4"/>
      <c r="SQM14" s="4"/>
      <c r="SQN14" s="4"/>
      <c r="SQO14" s="4"/>
      <c r="SQP14" s="4"/>
      <c r="SQQ14" s="4"/>
      <c r="SQR14" s="4"/>
      <c r="SQS14" s="4"/>
      <c r="SQT14" s="4"/>
      <c r="SQU14" s="4"/>
      <c r="SQV14" s="4"/>
      <c r="SQW14" s="4"/>
      <c r="SQX14" s="4"/>
      <c r="SQY14" s="4"/>
      <c r="SQZ14" s="4"/>
      <c r="SRA14" s="4"/>
      <c r="SRB14" s="4"/>
      <c r="SRC14" s="4"/>
      <c r="SRD14" s="4"/>
      <c r="SRE14" s="4"/>
      <c r="SRF14" s="4"/>
      <c r="SRG14" s="4"/>
      <c r="SRH14" s="4"/>
      <c r="SRI14" s="4"/>
      <c r="SRJ14" s="4"/>
      <c r="SRK14" s="4"/>
      <c r="SRL14" s="4"/>
      <c r="SRM14" s="4"/>
      <c r="SRN14" s="4"/>
      <c r="SRO14" s="4"/>
      <c r="SRP14" s="4"/>
      <c r="SRQ14" s="4"/>
      <c r="SRR14" s="4"/>
      <c r="SRS14" s="4"/>
      <c r="SRT14" s="4"/>
      <c r="SRU14" s="4"/>
      <c r="SRV14" s="4"/>
      <c r="SRW14" s="4"/>
      <c r="SRX14" s="4"/>
      <c r="SRY14" s="4"/>
      <c r="SRZ14" s="4"/>
      <c r="SSA14" s="4"/>
      <c r="SSB14" s="4"/>
      <c r="SSC14" s="4"/>
      <c r="SSD14" s="4"/>
      <c r="SSE14" s="4"/>
      <c r="SSF14" s="4"/>
      <c r="SSG14" s="4"/>
      <c r="SSH14" s="4"/>
      <c r="SSI14" s="4"/>
      <c r="SSJ14" s="4"/>
      <c r="SSK14" s="4"/>
      <c r="SSL14" s="4"/>
      <c r="SSM14" s="4"/>
      <c r="SSN14" s="4"/>
      <c r="SSO14" s="4"/>
      <c r="SSP14" s="4"/>
      <c r="SSQ14" s="4"/>
      <c r="SSR14" s="4"/>
      <c r="SSS14" s="4"/>
      <c r="SST14" s="4"/>
      <c r="SSU14" s="4"/>
      <c r="SSV14" s="4"/>
      <c r="SSW14" s="4"/>
      <c r="SSX14" s="4"/>
      <c r="SSY14" s="4"/>
      <c r="SSZ14" s="4"/>
      <c r="STA14" s="4"/>
      <c r="STB14" s="4"/>
      <c r="STC14" s="4"/>
      <c r="STD14" s="4"/>
      <c r="STE14" s="4"/>
      <c r="STF14" s="4"/>
      <c r="STG14" s="4"/>
      <c r="STH14" s="4"/>
      <c r="STI14" s="4"/>
      <c r="STJ14" s="4"/>
      <c r="STK14" s="4"/>
      <c r="STL14" s="4"/>
      <c r="STM14" s="4"/>
      <c r="STN14" s="4"/>
      <c r="STO14" s="4"/>
      <c r="STP14" s="4"/>
      <c r="STQ14" s="4"/>
      <c r="STR14" s="4"/>
      <c r="STS14" s="4"/>
      <c r="STT14" s="4"/>
      <c r="STU14" s="4"/>
      <c r="STV14" s="4"/>
      <c r="STW14" s="4"/>
      <c r="STX14" s="4"/>
      <c r="STY14" s="4"/>
      <c r="STZ14" s="4"/>
      <c r="SUA14" s="4"/>
      <c r="SUB14" s="4"/>
      <c r="SUC14" s="4"/>
      <c r="SUD14" s="4"/>
      <c r="SUE14" s="4"/>
      <c r="SUF14" s="4"/>
      <c r="SUG14" s="4"/>
      <c r="SUH14" s="4"/>
      <c r="SUI14" s="4"/>
      <c r="SUJ14" s="4"/>
      <c r="SUK14" s="4"/>
      <c r="SUL14" s="4"/>
      <c r="SUM14" s="4"/>
      <c r="SUN14" s="4"/>
      <c r="SUO14" s="4"/>
      <c r="SUP14" s="4"/>
      <c r="SUQ14" s="4"/>
      <c r="SUR14" s="4"/>
      <c r="SUS14" s="4"/>
      <c r="SUT14" s="4"/>
      <c r="SUU14" s="4"/>
      <c r="SUV14" s="4"/>
      <c r="SUW14" s="4"/>
      <c r="SUX14" s="4"/>
      <c r="SUY14" s="4"/>
      <c r="SUZ14" s="4"/>
      <c r="SVA14" s="4"/>
      <c r="SVB14" s="4"/>
      <c r="SVC14" s="4"/>
      <c r="SVD14" s="4"/>
      <c r="SVE14" s="4"/>
      <c r="SVF14" s="4"/>
      <c r="SVG14" s="4"/>
      <c r="SVH14" s="4"/>
      <c r="SVI14" s="4"/>
      <c r="SVJ14" s="4"/>
      <c r="SVK14" s="4"/>
      <c r="SVL14" s="4"/>
      <c r="SVM14" s="4"/>
      <c r="SVN14" s="4"/>
      <c r="SVO14" s="4"/>
      <c r="SVP14" s="4"/>
      <c r="SVQ14" s="4"/>
      <c r="SVR14" s="4"/>
      <c r="SVS14" s="4"/>
      <c r="SVT14" s="4"/>
      <c r="SVU14" s="4"/>
      <c r="SVV14" s="4"/>
      <c r="SVW14" s="4"/>
      <c r="SVX14" s="4"/>
      <c r="SVY14" s="4"/>
      <c r="SVZ14" s="4"/>
      <c r="SWA14" s="4"/>
      <c r="SWB14" s="4"/>
      <c r="SWC14" s="4"/>
      <c r="SWD14" s="4"/>
      <c r="SWE14" s="4"/>
      <c r="SWF14" s="4"/>
      <c r="SWG14" s="4"/>
      <c r="SWH14" s="4"/>
      <c r="SWI14" s="4"/>
      <c r="SWJ14" s="4"/>
      <c r="SWK14" s="4"/>
      <c r="SWL14" s="4"/>
      <c r="SWM14" s="4"/>
      <c r="SWN14" s="4"/>
      <c r="SWO14" s="4"/>
      <c r="SWP14" s="4"/>
      <c r="SWQ14" s="4"/>
      <c r="SWR14" s="4"/>
      <c r="SWS14" s="4"/>
      <c r="SWT14" s="4"/>
      <c r="SWU14" s="4"/>
      <c r="SWV14" s="4"/>
      <c r="SWW14" s="4"/>
      <c r="SWX14" s="4"/>
      <c r="SWY14" s="4"/>
      <c r="SWZ14" s="4"/>
      <c r="SXA14" s="4"/>
      <c r="SXB14" s="4"/>
      <c r="SXC14" s="4"/>
      <c r="SXD14" s="4"/>
      <c r="SXE14" s="4"/>
      <c r="SXF14" s="4"/>
      <c r="SXG14" s="4"/>
      <c r="SXH14" s="4"/>
      <c r="SXI14" s="4"/>
      <c r="SXJ14" s="4"/>
      <c r="SXK14" s="4"/>
      <c r="SXL14" s="4"/>
      <c r="SXM14" s="4"/>
      <c r="SXN14" s="4"/>
      <c r="SXO14" s="4"/>
      <c r="SXP14" s="4"/>
      <c r="SXQ14" s="4"/>
      <c r="SXR14" s="4"/>
      <c r="SXS14" s="4"/>
      <c r="SXT14" s="4"/>
      <c r="SXU14" s="4"/>
      <c r="SXV14" s="4"/>
      <c r="SXW14" s="4"/>
      <c r="SXX14" s="4"/>
      <c r="SXY14" s="4"/>
      <c r="SXZ14" s="4"/>
      <c r="SYA14" s="4"/>
      <c r="SYB14" s="4"/>
      <c r="SYC14" s="4"/>
      <c r="SYD14" s="4"/>
      <c r="SYE14" s="4"/>
      <c r="SYF14" s="4"/>
      <c r="SYG14" s="4"/>
      <c r="SYH14" s="4"/>
      <c r="SYI14" s="4"/>
      <c r="SYJ14" s="4"/>
      <c r="SYK14" s="4"/>
      <c r="SYL14" s="4"/>
      <c r="SYM14" s="4"/>
      <c r="SYN14" s="4"/>
      <c r="SYO14" s="4"/>
      <c r="SYP14" s="4"/>
      <c r="SYQ14" s="4"/>
      <c r="SYR14" s="4"/>
      <c r="SYS14" s="4"/>
      <c r="SYT14" s="4"/>
      <c r="SYU14" s="4"/>
      <c r="SYV14" s="4"/>
      <c r="SYW14" s="4"/>
      <c r="SYX14" s="4"/>
      <c r="SYY14" s="4"/>
      <c r="SYZ14" s="4"/>
      <c r="SZA14" s="4"/>
      <c r="SZB14" s="4"/>
      <c r="SZC14" s="4"/>
      <c r="SZD14" s="4"/>
      <c r="SZE14" s="4"/>
      <c r="SZF14" s="4"/>
      <c r="SZG14" s="4"/>
      <c r="SZH14" s="4"/>
      <c r="SZI14" s="4"/>
      <c r="SZJ14" s="4"/>
      <c r="SZK14" s="4"/>
      <c r="SZL14" s="4"/>
      <c r="SZM14" s="4"/>
      <c r="SZN14" s="4"/>
      <c r="SZO14" s="4"/>
      <c r="SZP14" s="4"/>
      <c r="SZQ14" s="4"/>
      <c r="SZR14" s="4"/>
      <c r="SZS14" s="4"/>
      <c r="SZT14" s="4"/>
      <c r="SZU14" s="4"/>
      <c r="SZV14" s="4"/>
      <c r="SZW14" s="4"/>
      <c r="SZX14" s="4"/>
      <c r="SZY14" s="4"/>
      <c r="SZZ14" s="4"/>
      <c r="TAA14" s="4"/>
      <c r="TAB14" s="4"/>
      <c r="TAC14" s="4"/>
      <c r="TAD14" s="4"/>
      <c r="TAE14" s="4"/>
      <c r="TAF14" s="4"/>
      <c r="TAG14" s="4"/>
      <c r="TAH14" s="4"/>
      <c r="TAI14" s="4"/>
      <c r="TAJ14" s="4"/>
      <c r="TAK14" s="4"/>
      <c r="TAL14" s="4"/>
      <c r="TAM14" s="4"/>
      <c r="TAN14" s="4"/>
      <c r="TAO14" s="4"/>
      <c r="TAP14" s="4"/>
      <c r="TAQ14" s="4"/>
      <c r="TAR14" s="4"/>
      <c r="TAS14" s="4"/>
      <c r="TAT14" s="4"/>
      <c r="TAU14" s="4"/>
      <c r="TAV14" s="4"/>
      <c r="TAW14" s="4"/>
      <c r="TAX14" s="4"/>
      <c r="TAY14" s="4"/>
      <c r="TAZ14" s="4"/>
      <c r="TBA14" s="4"/>
      <c r="TBB14" s="4"/>
      <c r="TBC14" s="4"/>
      <c r="TBD14" s="4"/>
      <c r="TBE14" s="4"/>
      <c r="TBF14" s="4"/>
      <c r="TBG14" s="4"/>
      <c r="TBH14" s="4"/>
      <c r="TBI14" s="4"/>
      <c r="TBJ14" s="4"/>
      <c r="TBK14" s="4"/>
      <c r="TBL14" s="4"/>
      <c r="TBM14" s="4"/>
      <c r="TBN14" s="4"/>
      <c r="TBO14" s="4"/>
      <c r="TBP14" s="4"/>
      <c r="TBQ14" s="4"/>
      <c r="TBR14" s="4"/>
      <c r="TBS14" s="4"/>
      <c r="TBT14" s="4"/>
      <c r="TBU14" s="4"/>
      <c r="TBV14" s="4"/>
      <c r="TBW14" s="4"/>
      <c r="TBX14" s="4"/>
      <c r="TBY14" s="4"/>
      <c r="TBZ14" s="4"/>
      <c r="TCA14" s="4"/>
      <c r="TCB14" s="4"/>
      <c r="TCC14" s="4"/>
      <c r="TCD14" s="4"/>
      <c r="TCE14" s="4"/>
      <c r="TCF14" s="4"/>
      <c r="TCG14" s="4"/>
      <c r="TCH14" s="4"/>
      <c r="TCI14" s="4"/>
      <c r="TCJ14" s="4"/>
      <c r="TCK14" s="4"/>
      <c r="TCL14" s="4"/>
      <c r="TCM14" s="4"/>
      <c r="TCN14" s="4"/>
      <c r="TCO14" s="4"/>
      <c r="TCP14" s="4"/>
      <c r="TCQ14" s="4"/>
      <c r="TCR14" s="4"/>
      <c r="TCS14" s="4"/>
      <c r="TCT14" s="4"/>
      <c r="TCU14" s="4"/>
      <c r="TCV14" s="4"/>
      <c r="TCW14" s="4"/>
      <c r="TCX14" s="4"/>
      <c r="TCY14" s="4"/>
      <c r="TCZ14" s="4"/>
      <c r="TDA14" s="4"/>
      <c r="TDB14" s="4"/>
      <c r="TDC14" s="4"/>
      <c r="TDD14" s="4"/>
      <c r="TDE14" s="4"/>
      <c r="TDF14" s="4"/>
      <c r="TDG14" s="4"/>
      <c r="TDH14" s="4"/>
      <c r="TDI14" s="4"/>
      <c r="TDJ14" s="4"/>
      <c r="TDK14" s="4"/>
      <c r="TDL14" s="4"/>
      <c r="TDM14" s="4"/>
      <c r="TDN14" s="4"/>
      <c r="TDO14" s="4"/>
      <c r="TDP14" s="4"/>
      <c r="TDQ14" s="4"/>
      <c r="TDR14" s="4"/>
      <c r="TDS14" s="4"/>
      <c r="TDT14" s="4"/>
      <c r="TDU14" s="4"/>
      <c r="TDV14" s="4"/>
      <c r="TDW14" s="4"/>
      <c r="TDX14" s="4"/>
      <c r="TDY14" s="4"/>
      <c r="TDZ14" s="4"/>
      <c r="TEA14" s="4"/>
      <c r="TEB14" s="4"/>
      <c r="TEC14" s="4"/>
      <c r="TED14" s="4"/>
      <c r="TEE14" s="4"/>
      <c r="TEF14" s="4"/>
      <c r="TEG14" s="4"/>
      <c r="TEH14" s="4"/>
      <c r="TEI14" s="4"/>
      <c r="TEJ14" s="4"/>
      <c r="TEK14" s="4"/>
      <c r="TEL14" s="4"/>
      <c r="TEM14" s="4"/>
      <c r="TEN14" s="4"/>
      <c r="TEO14" s="4"/>
      <c r="TEP14" s="4"/>
      <c r="TEQ14" s="4"/>
      <c r="TER14" s="4"/>
      <c r="TES14" s="4"/>
      <c r="TET14" s="4"/>
      <c r="TEU14" s="4"/>
      <c r="TEV14" s="4"/>
      <c r="TEW14" s="4"/>
      <c r="TEX14" s="4"/>
      <c r="TEY14" s="4"/>
      <c r="TEZ14" s="4"/>
      <c r="TFA14" s="4"/>
      <c r="TFB14" s="4"/>
      <c r="TFC14" s="4"/>
      <c r="TFD14" s="4"/>
      <c r="TFE14" s="4"/>
      <c r="TFF14" s="4"/>
      <c r="TFG14" s="4"/>
      <c r="TFH14" s="4"/>
      <c r="TFI14" s="4"/>
      <c r="TFJ14" s="4"/>
      <c r="TFK14" s="4"/>
      <c r="TFL14" s="4"/>
      <c r="TFM14" s="4"/>
      <c r="TFN14" s="4"/>
      <c r="TFO14" s="4"/>
      <c r="TFP14" s="4"/>
      <c r="TFQ14" s="4"/>
      <c r="TFR14" s="4"/>
      <c r="TFS14" s="4"/>
      <c r="TFT14" s="4"/>
      <c r="TFU14" s="4"/>
      <c r="TFV14" s="4"/>
      <c r="TFW14" s="4"/>
      <c r="TFX14" s="4"/>
      <c r="TFY14" s="4"/>
      <c r="TFZ14" s="4"/>
      <c r="TGA14" s="4"/>
      <c r="TGB14" s="4"/>
      <c r="TGC14" s="4"/>
      <c r="TGD14" s="4"/>
      <c r="TGE14" s="4"/>
      <c r="TGF14" s="4"/>
      <c r="TGG14" s="4"/>
      <c r="TGH14" s="4"/>
      <c r="TGI14" s="4"/>
      <c r="TGJ14" s="4"/>
      <c r="TGK14" s="4"/>
      <c r="TGL14" s="4"/>
      <c r="TGM14" s="4"/>
      <c r="TGN14" s="4"/>
      <c r="TGO14" s="4"/>
      <c r="TGP14" s="4"/>
      <c r="TGQ14" s="4"/>
      <c r="TGR14" s="4"/>
      <c r="TGS14" s="4"/>
      <c r="TGT14" s="4"/>
      <c r="TGU14" s="4"/>
      <c r="TGV14" s="4"/>
      <c r="TGW14" s="4"/>
      <c r="TGX14" s="4"/>
      <c r="TGY14" s="4"/>
      <c r="TGZ14" s="4"/>
      <c r="THA14" s="4"/>
      <c r="THB14" s="4"/>
      <c r="THC14" s="4"/>
      <c r="THD14" s="4"/>
      <c r="THE14" s="4"/>
      <c r="THF14" s="4"/>
      <c r="THG14" s="4"/>
      <c r="THH14" s="4"/>
      <c r="THI14" s="4"/>
      <c r="THJ14" s="4"/>
      <c r="THK14" s="4"/>
      <c r="THL14" s="4"/>
      <c r="THM14" s="4"/>
      <c r="THN14" s="4"/>
      <c r="THO14" s="4"/>
      <c r="THP14" s="4"/>
      <c r="THQ14" s="4"/>
      <c r="THR14" s="4"/>
      <c r="THS14" s="4"/>
      <c r="THT14" s="4"/>
      <c r="THU14" s="4"/>
      <c r="THV14" s="4"/>
      <c r="THW14" s="4"/>
      <c r="THX14" s="4"/>
      <c r="THY14" s="4"/>
      <c r="THZ14" s="4"/>
      <c r="TIA14" s="4"/>
      <c r="TIB14" s="4"/>
      <c r="TIC14" s="4"/>
      <c r="TID14" s="4"/>
      <c r="TIE14" s="4"/>
      <c r="TIF14" s="4"/>
      <c r="TIG14" s="4"/>
      <c r="TIH14" s="4"/>
      <c r="TII14" s="4"/>
      <c r="TIJ14" s="4"/>
      <c r="TIK14" s="4"/>
      <c r="TIL14" s="4"/>
      <c r="TIM14" s="4"/>
      <c r="TIN14" s="4"/>
      <c r="TIO14" s="4"/>
      <c r="TIP14" s="4"/>
      <c r="TIQ14" s="4"/>
      <c r="TIR14" s="4"/>
      <c r="TIS14" s="4"/>
      <c r="TIT14" s="4"/>
      <c r="TIU14" s="4"/>
      <c r="TIV14" s="4"/>
      <c r="TIW14" s="4"/>
      <c r="TIX14" s="4"/>
      <c r="TIY14" s="4"/>
      <c r="TIZ14" s="4"/>
      <c r="TJA14" s="4"/>
      <c r="TJB14" s="4"/>
      <c r="TJC14" s="4"/>
      <c r="TJD14" s="4"/>
      <c r="TJE14" s="4"/>
      <c r="TJF14" s="4"/>
      <c r="TJG14" s="4"/>
      <c r="TJH14" s="4"/>
      <c r="TJI14" s="4"/>
      <c r="TJJ14" s="4"/>
      <c r="TJK14" s="4"/>
      <c r="TJL14" s="4"/>
      <c r="TJM14" s="4"/>
      <c r="TJN14" s="4"/>
      <c r="TJO14" s="4"/>
      <c r="TJP14" s="4"/>
      <c r="TJQ14" s="4"/>
      <c r="TJR14" s="4"/>
      <c r="TJS14" s="4"/>
      <c r="TJT14" s="4"/>
      <c r="TJU14" s="4"/>
      <c r="TJV14" s="4"/>
      <c r="TJW14" s="4"/>
      <c r="TJX14" s="4"/>
      <c r="TJY14" s="4"/>
      <c r="TJZ14" s="4"/>
      <c r="TKA14" s="4"/>
      <c r="TKB14" s="4"/>
      <c r="TKC14" s="4"/>
      <c r="TKD14" s="4"/>
      <c r="TKE14" s="4"/>
      <c r="TKF14" s="4"/>
      <c r="TKG14" s="4"/>
      <c r="TKH14" s="4"/>
      <c r="TKI14" s="4"/>
      <c r="TKJ14" s="4"/>
      <c r="TKK14" s="4"/>
      <c r="TKL14" s="4"/>
      <c r="TKM14" s="4"/>
      <c r="TKN14" s="4"/>
      <c r="TKO14" s="4"/>
      <c r="TKP14" s="4"/>
      <c r="TKQ14" s="4"/>
      <c r="TKR14" s="4"/>
      <c r="TKS14" s="4"/>
      <c r="TKT14" s="4"/>
      <c r="TKU14" s="4"/>
      <c r="TKV14" s="4"/>
      <c r="TKW14" s="4"/>
      <c r="TKX14" s="4"/>
      <c r="TKY14" s="4"/>
      <c r="TKZ14" s="4"/>
      <c r="TLA14" s="4"/>
      <c r="TLB14" s="4"/>
      <c r="TLC14" s="4"/>
      <c r="TLD14" s="4"/>
      <c r="TLE14" s="4"/>
      <c r="TLF14" s="4"/>
      <c r="TLG14" s="4"/>
      <c r="TLH14" s="4"/>
      <c r="TLI14" s="4"/>
      <c r="TLJ14" s="4"/>
      <c r="TLK14" s="4"/>
      <c r="TLL14" s="4"/>
      <c r="TLM14" s="4"/>
      <c r="TLN14" s="4"/>
      <c r="TLO14" s="4"/>
      <c r="TLP14" s="4"/>
      <c r="TLQ14" s="4"/>
      <c r="TLR14" s="4"/>
      <c r="TLS14" s="4"/>
      <c r="TLT14" s="4"/>
      <c r="TLU14" s="4"/>
      <c r="TLV14" s="4"/>
      <c r="TLW14" s="4"/>
      <c r="TLX14" s="4"/>
      <c r="TLY14" s="4"/>
      <c r="TLZ14" s="4"/>
      <c r="TMA14" s="4"/>
      <c r="TMB14" s="4"/>
      <c r="TMC14" s="4"/>
      <c r="TMD14" s="4"/>
      <c r="TME14" s="4"/>
      <c r="TMF14" s="4"/>
      <c r="TMG14" s="4"/>
      <c r="TMH14" s="4"/>
      <c r="TMI14" s="4"/>
      <c r="TMJ14" s="4"/>
      <c r="TMK14" s="4"/>
      <c r="TML14" s="4"/>
      <c r="TMM14" s="4"/>
      <c r="TMN14" s="4"/>
      <c r="TMO14" s="4"/>
      <c r="TMP14" s="4"/>
      <c r="TMQ14" s="4"/>
      <c r="TMR14" s="4"/>
      <c r="TMS14" s="4"/>
      <c r="TMT14" s="4"/>
      <c r="TMU14" s="4"/>
      <c r="TMV14" s="4"/>
      <c r="TMW14" s="4"/>
      <c r="TMX14" s="4"/>
      <c r="TMY14" s="4"/>
      <c r="TMZ14" s="4"/>
      <c r="TNA14" s="4"/>
      <c r="TNB14" s="4"/>
      <c r="TNC14" s="4"/>
      <c r="TND14" s="4"/>
      <c r="TNE14" s="4"/>
      <c r="TNF14" s="4"/>
      <c r="TNG14" s="4"/>
      <c r="TNH14" s="4"/>
      <c r="TNI14" s="4"/>
      <c r="TNJ14" s="4"/>
      <c r="TNK14" s="4"/>
      <c r="TNL14" s="4"/>
      <c r="TNM14" s="4"/>
      <c r="TNN14" s="4"/>
      <c r="TNO14" s="4"/>
      <c r="TNP14" s="4"/>
      <c r="TNQ14" s="4"/>
      <c r="TNR14" s="4"/>
      <c r="TNS14" s="4"/>
      <c r="TNT14" s="4"/>
      <c r="TNU14" s="4"/>
      <c r="TNV14" s="4"/>
      <c r="TNW14" s="4"/>
      <c r="TNX14" s="4"/>
      <c r="TNY14" s="4"/>
      <c r="TNZ14" s="4"/>
      <c r="TOA14" s="4"/>
      <c r="TOB14" s="4"/>
      <c r="TOC14" s="4"/>
      <c r="TOD14" s="4"/>
      <c r="TOE14" s="4"/>
      <c r="TOF14" s="4"/>
      <c r="TOG14" s="4"/>
      <c r="TOH14" s="4"/>
      <c r="TOI14" s="4"/>
      <c r="TOJ14" s="4"/>
      <c r="TOK14" s="4"/>
      <c r="TOL14" s="4"/>
      <c r="TOM14" s="4"/>
      <c r="TON14" s="4"/>
      <c r="TOO14" s="4"/>
      <c r="TOP14" s="4"/>
      <c r="TOQ14" s="4"/>
      <c r="TOR14" s="4"/>
      <c r="TOS14" s="4"/>
      <c r="TOT14" s="4"/>
      <c r="TOU14" s="4"/>
      <c r="TOV14" s="4"/>
      <c r="TOW14" s="4"/>
      <c r="TOX14" s="4"/>
      <c r="TOY14" s="4"/>
      <c r="TOZ14" s="4"/>
      <c r="TPA14" s="4"/>
      <c r="TPB14" s="4"/>
      <c r="TPC14" s="4"/>
      <c r="TPD14" s="4"/>
      <c r="TPE14" s="4"/>
      <c r="TPF14" s="4"/>
      <c r="TPG14" s="4"/>
      <c r="TPH14" s="4"/>
      <c r="TPI14" s="4"/>
      <c r="TPJ14" s="4"/>
      <c r="TPK14" s="4"/>
      <c r="TPL14" s="4"/>
      <c r="TPM14" s="4"/>
      <c r="TPN14" s="4"/>
      <c r="TPO14" s="4"/>
      <c r="TPP14" s="4"/>
      <c r="TPQ14" s="4"/>
      <c r="TPR14" s="4"/>
      <c r="TPS14" s="4"/>
      <c r="TPT14" s="4"/>
      <c r="TPU14" s="4"/>
      <c r="TPV14" s="4"/>
      <c r="TPW14" s="4"/>
      <c r="TPX14" s="4"/>
      <c r="TPY14" s="4"/>
      <c r="TPZ14" s="4"/>
      <c r="TQA14" s="4"/>
      <c r="TQB14" s="4"/>
      <c r="TQC14" s="4"/>
      <c r="TQD14" s="4"/>
      <c r="TQE14" s="4"/>
      <c r="TQF14" s="4"/>
      <c r="TQG14" s="4"/>
      <c r="TQH14" s="4"/>
      <c r="TQI14" s="4"/>
      <c r="TQJ14" s="4"/>
      <c r="TQK14" s="4"/>
      <c r="TQL14" s="4"/>
      <c r="TQM14" s="4"/>
      <c r="TQN14" s="4"/>
      <c r="TQO14" s="4"/>
      <c r="TQP14" s="4"/>
      <c r="TQQ14" s="4"/>
      <c r="TQR14" s="4"/>
      <c r="TQS14" s="4"/>
      <c r="TQT14" s="4"/>
      <c r="TQU14" s="4"/>
      <c r="TQV14" s="4"/>
      <c r="TQW14" s="4"/>
      <c r="TQX14" s="4"/>
      <c r="TQY14" s="4"/>
      <c r="TQZ14" s="4"/>
      <c r="TRA14" s="4"/>
      <c r="TRB14" s="4"/>
      <c r="TRC14" s="4"/>
      <c r="TRD14" s="4"/>
      <c r="TRE14" s="4"/>
      <c r="TRF14" s="4"/>
      <c r="TRG14" s="4"/>
      <c r="TRH14" s="4"/>
      <c r="TRI14" s="4"/>
      <c r="TRJ14" s="4"/>
      <c r="TRK14" s="4"/>
      <c r="TRL14" s="4"/>
      <c r="TRM14" s="4"/>
      <c r="TRN14" s="4"/>
      <c r="TRO14" s="4"/>
      <c r="TRP14" s="4"/>
      <c r="TRQ14" s="4"/>
      <c r="TRR14" s="4"/>
      <c r="TRS14" s="4"/>
      <c r="TRT14" s="4"/>
      <c r="TRU14" s="4"/>
      <c r="TRV14" s="4"/>
      <c r="TRW14" s="4"/>
      <c r="TRX14" s="4"/>
      <c r="TRY14" s="4"/>
      <c r="TRZ14" s="4"/>
      <c r="TSA14" s="4"/>
      <c r="TSB14" s="4"/>
      <c r="TSC14" s="4"/>
      <c r="TSD14" s="4"/>
      <c r="TSE14" s="4"/>
      <c r="TSF14" s="4"/>
      <c r="TSG14" s="4"/>
      <c r="TSH14" s="4"/>
      <c r="TSI14" s="4"/>
      <c r="TSJ14" s="4"/>
      <c r="TSK14" s="4"/>
      <c r="TSL14" s="4"/>
      <c r="TSM14" s="4"/>
      <c r="TSN14" s="4"/>
      <c r="TSO14" s="4"/>
      <c r="TSP14" s="4"/>
      <c r="TSQ14" s="4"/>
      <c r="TSR14" s="4"/>
      <c r="TSS14" s="4"/>
      <c r="TST14" s="4"/>
      <c r="TSU14" s="4"/>
      <c r="TSV14" s="4"/>
      <c r="TSW14" s="4"/>
      <c r="TSX14" s="4"/>
      <c r="TSY14" s="4"/>
      <c r="TSZ14" s="4"/>
      <c r="TTA14" s="4"/>
      <c r="TTB14" s="4"/>
      <c r="TTC14" s="4"/>
      <c r="TTD14" s="4"/>
      <c r="TTE14" s="4"/>
      <c r="TTF14" s="4"/>
      <c r="TTG14" s="4"/>
      <c r="TTH14" s="4"/>
      <c r="TTI14" s="4"/>
      <c r="TTJ14" s="4"/>
      <c r="TTK14" s="4"/>
      <c r="TTL14" s="4"/>
      <c r="TTM14" s="4"/>
      <c r="TTN14" s="4"/>
      <c r="TTO14" s="4"/>
      <c r="TTP14" s="4"/>
      <c r="TTQ14" s="4"/>
      <c r="TTR14" s="4"/>
      <c r="TTS14" s="4"/>
      <c r="TTT14" s="4"/>
      <c r="TTU14" s="4"/>
      <c r="TTV14" s="4"/>
      <c r="TTW14" s="4"/>
      <c r="TTX14" s="4"/>
      <c r="TTY14" s="4"/>
      <c r="TTZ14" s="4"/>
      <c r="TUA14" s="4"/>
      <c r="TUB14" s="4"/>
      <c r="TUC14" s="4"/>
      <c r="TUD14" s="4"/>
      <c r="TUE14" s="4"/>
      <c r="TUF14" s="4"/>
      <c r="TUG14" s="4"/>
      <c r="TUH14" s="4"/>
      <c r="TUI14" s="4"/>
      <c r="TUJ14" s="4"/>
      <c r="TUK14" s="4"/>
      <c r="TUL14" s="4"/>
      <c r="TUM14" s="4"/>
      <c r="TUN14" s="4"/>
      <c r="TUO14" s="4"/>
      <c r="TUP14" s="4"/>
      <c r="TUQ14" s="4"/>
      <c r="TUR14" s="4"/>
      <c r="TUS14" s="4"/>
      <c r="TUT14" s="4"/>
      <c r="TUU14" s="4"/>
      <c r="TUV14" s="4"/>
      <c r="TUW14" s="4"/>
      <c r="TUX14" s="4"/>
      <c r="TUY14" s="4"/>
      <c r="TUZ14" s="4"/>
      <c r="TVA14" s="4"/>
      <c r="TVB14" s="4"/>
      <c r="TVC14" s="4"/>
      <c r="TVD14" s="4"/>
      <c r="TVE14" s="4"/>
      <c r="TVF14" s="4"/>
      <c r="TVG14" s="4"/>
      <c r="TVH14" s="4"/>
      <c r="TVI14" s="4"/>
      <c r="TVJ14" s="4"/>
      <c r="TVK14" s="4"/>
      <c r="TVL14" s="4"/>
      <c r="TVM14" s="4"/>
      <c r="TVN14" s="4"/>
      <c r="TVO14" s="4"/>
      <c r="TVP14" s="4"/>
      <c r="TVQ14" s="4"/>
      <c r="TVR14" s="4"/>
      <c r="TVS14" s="4"/>
      <c r="TVT14" s="4"/>
      <c r="TVU14" s="4"/>
      <c r="TVV14" s="4"/>
      <c r="TVW14" s="4"/>
      <c r="TVX14" s="4"/>
      <c r="TVY14" s="4"/>
      <c r="TVZ14" s="4"/>
      <c r="TWA14" s="4"/>
      <c r="TWB14" s="4"/>
      <c r="TWC14" s="4"/>
      <c r="TWD14" s="4"/>
      <c r="TWE14" s="4"/>
      <c r="TWF14" s="4"/>
      <c r="TWG14" s="4"/>
      <c r="TWH14" s="4"/>
      <c r="TWI14" s="4"/>
      <c r="TWJ14" s="4"/>
      <c r="TWK14" s="4"/>
      <c r="TWL14" s="4"/>
      <c r="TWM14" s="4"/>
      <c r="TWN14" s="4"/>
      <c r="TWO14" s="4"/>
      <c r="TWP14" s="4"/>
      <c r="TWQ14" s="4"/>
      <c r="TWR14" s="4"/>
      <c r="TWS14" s="4"/>
      <c r="TWT14" s="4"/>
      <c r="TWU14" s="4"/>
      <c r="TWV14" s="4"/>
      <c r="TWW14" s="4"/>
      <c r="TWX14" s="4"/>
      <c r="TWY14" s="4"/>
      <c r="TWZ14" s="4"/>
      <c r="TXA14" s="4"/>
      <c r="TXB14" s="4"/>
      <c r="TXC14" s="4"/>
      <c r="TXD14" s="4"/>
      <c r="TXE14" s="4"/>
      <c r="TXF14" s="4"/>
      <c r="TXG14" s="4"/>
      <c r="TXH14" s="4"/>
      <c r="TXI14" s="4"/>
      <c r="TXJ14" s="4"/>
      <c r="TXK14" s="4"/>
      <c r="TXL14" s="4"/>
      <c r="TXM14" s="4"/>
      <c r="TXN14" s="4"/>
      <c r="TXO14" s="4"/>
      <c r="TXP14" s="4"/>
      <c r="TXQ14" s="4"/>
      <c r="TXR14" s="4"/>
      <c r="TXS14" s="4"/>
      <c r="TXT14" s="4"/>
      <c r="TXU14" s="4"/>
      <c r="TXV14" s="4"/>
      <c r="TXW14" s="4"/>
      <c r="TXX14" s="4"/>
      <c r="TXY14" s="4"/>
      <c r="TXZ14" s="4"/>
      <c r="TYA14" s="4"/>
      <c r="TYB14" s="4"/>
      <c r="TYC14" s="4"/>
      <c r="TYD14" s="4"/>
      <c r="TYE14" s="4"/>
      <c r="TYF14" s="4"/>
      <c r="TYG14" s="4"/>
      <c r="TYH14" s="4"/>
      <c r="TYI14" s="4"/>
      <c r="TYJ14" s="4"/>
      <c r="TYK14" s="4"/>
      <c r="TYL14" s="4"/>
      <c r="TYM14" s="4"/>
      <c r="TYN14" s="4"/>
      <c r="TYO14" s="4"/>
      <c r="TYP14" s="4"/>
      <c r="TYQ14" s="4"/>
      <c r="TYR14" s="4"/>
      <c r="TYS14" s="4"/>
      <c r="TYT14" s="4"/>
      <c r="TYU14" s="4"/>
      <c r="TYV14" s="4"/>
      <c r="TYW14" s="4"/>
      <c r="TYX14" s="4"/>
      <c r="TYY14" s="4"/>
      <c r="TYZ14" s="4"/>
      <c r="TZA14" s="4"/>
      <c r="TZB14" s="4"/>
      <c r="TZC14" s="4"/>
      <c r="TZD14" s="4"/>
      <c r="TZE14" s="4"/>
      <c r="TZF14" s="4"/>
      <c r="TZG14" s="4"/>
      <c r="TZH14" s="4"/>
      <c r="TZI14" s="4"/>
      <c r="TZJ14" s="4"/>
      <c r="TZK14" s="4"/>
      <c r="TZL14" s="4"/>
      <c r="TZM14" s="4"/>
      <c r="TZN14" s="4"/>
      <c r="TZO14" s="4"/>
      <c r="TZP14" s="4"/>
      <c r="TZQ14" s="4"/>
      <c r="TZR14" s="4"/>
      <c r="TZS14" s="4"/>
      <c r="TZT14" s="4"/>
      <c r="TZU14" s="4"/>
      <c r="TZV14" s="4"/>
      <c r="TZW14" s="4"/>
      <c r="TZX14" s="4"/>
      <c r="TZY14" s="4"/>
      <c r="TZZ14" s="4"/>
      <c r="UAA14" s="4"/>
      <c r="UAB14" s="4"/>
      <c r="UAC14" s="4"/>
      <c r="UAD14" s="4"/>
      <c r="UAE14" s="4"/>
      <c r="UAF14" s="4"/>
      <c r="UAG14" s="4"/>
      <c r="UAH14" s="4"/>
      <c r="UAI14" s="4"/>
      <c r="UAJ14" s="4"/>
      <c r="UAK14" s="4"/>
      <c r="UAL14" s="4"/>
      <c r="UAM14" s="4"/>
      <c r="UAN14" s="4"/>
      <c r="UAO14" s="4"/>
      <c r="UAP14" s="4"/>
      <c r="UAQ14" s="4"/>
      <c r="UAR14" s="4"/>
      <c r="UAS14" s="4"/>
      <c r="UAT14" s="4"/>
      <c r="UAU14" s="4"/>
      <c r="UAV14" s="4"/>
      <c r="UAW14" s="4"/>
      <c r="UAX14" s="4"/>
      <c r="UAY14" s="4"/>
      <c r="UAZ14" s="4"/>
      <c r="UBA14" s="4"/>
      <c r="UBB14" s="4"/>
      <c r="UBC14" s="4"/>
      <c r="UBD14" s="4"/>
      <c r="UBE14" s="4"/>
      <c r="UBF14" s="4"/>
      <c r="UBG14" s="4"/>
      <c r="UBH14" s="4"/>
      <c r="UBI14" s="4"/>
      <c r="UBJ14" s="4"/>
      <c r="UBK14" s="4"/>
      <c r="UBL14" s="4"/>
      <c r="UBM14" s="4"/>
      <c r="UBN14" s="4"/>
      <c r="UBO14" s="4"/>
      <c r="UBP14" s="4"/>
      <c r="UBQ14" s="4"/>
      <c r="UBR14" s="4"/>
      <c r="UBS14" s="4"/>
      <c r="UBT14" s="4"/>
      <c r="UBU14" s="4"/>
      <c r="UBV14" s="4"/>
      <c r="UBW14" s="4"/>
      <c r="UBX14" s="4"/>
      <c r="UBY14" s="4"/>
      <c r="UBZ14" s="4"/>
      <c r="UCA14" s="4"/>
      <c r="UCB14" s="4"/>
      <c r="UCC14" s="4"/>
      <c r="UCD14" s="4"/>
      <c r="UCE14" s="4"/>
      <c r="UCF14" s="4"/>
      <c r="UCG14" s="4"/>
      <c r="UCH14" s="4"/>
      <c r="UCI14" s="4"/>
      <c r="UCJ14" s="4"/>
      <c r="UCK14" s="4"/>
      <c r="UCL14" s="4"/>
      <c r="UCM14" s="4"/>
      <c r="UCN14" s="4"/>
      <c r="UCO14" s="4"/>
      <c r="UCP14" s="4"/>
      <c r="UCQ14" s="4"/>
      <c r="UCR14" s="4"/>
      <c r="UCS14" s="4"/>
      <c r="UCT14" s="4"/>
      <c r="UCU14" s="4"/>
      <c r="UCV14" s="4"/>
      <c r="UCW14" s="4"/>
      <c r="UCX14" s="4"/>
      <c r="UCY14" s="4"/>
      <c r="UCZ14" s="4"/>
      <c r="UDA14" s="4"/>
      <c r="UDB14" s="4"/>
      <c r="UDC14" s="4"/>
      <c r="UDD14" s="4"/>
      <c r="UDE14" s="4"/>
      <c r="UDF14" s="4"/>
      <c r="UDG14" s="4"/>
      <c r="UDH14" s="4"/>
      <c r="UDI14" s="4"/>
      <c r="UDJ14" s="4"/>
      <c r="UDK14" s="4"/>
      <c r="UDL14" s="4"/>
      <c r="UDM14" s="4"/>
      <c r="UDN14" s="4"/>
      <c r="UDO14" s="4"/>
      <c r="UDP14" s="4"/>
      <c r="UDQ14" s="4"/>
      <c r="UDR14" s="4"/>
      <c r="UDS14" s="4"/>
      <c r="UDT14" s="4"/>
      <c r="UDU14" s="4"/>
      <c r="UDV14" s="4"/>
      <c r="UDW14" s="4"/>
      <c r="UDX14" s="4"/>
      <c r="UDY14" s="4"/>
      <c r="UDZ14" s="4"/>
      <c r="UEA14" s="4"/>
      <c r="UEB14" s="4"/>
      <c r="UEC14" s="4"/>
      <c r="UED14" s="4"/>
      <c r="UEE14" s="4"/>
      <c r="UEF14" s="4"/>
      <c r="UEG14" s="4"/>
      <c r="UEH14" s="4"/>
      <c r="UEI14" s="4"/>
      <c r="UEJ14" s="4"/>
      <c r="UEK14" s="4"/>
      <c r="UEL14" s="4"/>
      <c r="UEM14" s="4"/>
      <c r="UEN14" s="4"/>
      <c r="UEO14" s="4"/>
      <c r="UEP14" s="4"/>
      <c r="UEQ14" s="4"/>
      <c r="UER14" s="4"/>
      <c r="UES14" s="4"/>
      <c r="UET14" s="4"/>
      <c r="UEU14" s="4"/>
      <c r="UEV14" s="4"/>
      <c r="UEW14" s="4"/>
      <c r="UEX14" s="4"/>
      <c r="UEY14" s="4"/>
      <c r="UEZ14" s="4"/>
      <c r="UFA14" s="4"/>
      <c r="UFB14" s="4"/>
      <c r="UFC14" s="4"/>
      <c r="UFD14" s="4"/>
      <c r="UFE14" s="4"/>
      <c r="UFF14" s="4"/>
      <c r="UFG14" s="4"/>
      <c r="UFH14" s="4"/>
      <c r="UFI14" s="4"/>
      <c r="UFJ14" s="4"/>
      <c r="UFK14" s="4"/>
      <c r="UFL14" s="4"/>
      <c r="UFM14" s="4"/>
      <c r="UFN14" s="4"/>
      <c r="UFO14" s="4"/>
      <c r="UFP14" s="4"/>
      <c r="UFQ14" s="4"/>
      <c r="UFR14" s="4"/>
      <c r="UFS14" s="4"/>
      <c r="UFT14" s="4"/>
      <c r="UFU14" s="4"/>
      <c r="UFV14" s="4"/>
      <c r="UFW14" s="4"/>
      <c r="UFX14" s="4"/>
      <c r="UFY14" s="4"/>
      <c r="UFZ14" s="4"/>
      <c r="UGA14" s="4"/>
      <c r="UGB14" s="4"/>
      <c r="UGC14" s="4"/>
      <c r="UGD14" s="4"/>
      <c r="UGE14" s="4"/>
      <c r="UGF14" s="4"/>
      <c r="UGG14" s="4"/>
      <c r="UGH14" s="4"/>
      <c r="UGI14" s="4"/>
      <c r="UGJ14" s="4"/>
      <c r="UGK14" s="4"/>
      <c r="UGL14" s="4"/>
      <c r="UGM14" s="4"/>
      <c r="UGN14" s="4"/>
      <c r="UGO14" s="4"/>
      <c r="UGP14" s="4"/>
      <c r="UGQ14" s="4"/>
      <c r="UGR14" s="4"/>
      <c r="UGS14" s="4"/>
      <c r="UGT14" s="4"/>
      <c r="UGU14" s="4"/>
      <c r="UGV14" s="4"/>
      <c r="UGW14" s="4"/>
      <c r="UGX14" s="4"/>
      <c r="UGY14" s="4"/>
      <c r="UGZ14" s="4"/>
      <c r="UHA14" s="4"/>
      <c r="UHB14" s="4"/>
      <c r="UHC14" s="4"/>
      <c r="UHD14" s="4"/>
      <c r="UHE14" s="4"/>
      <c r="UHF14" s="4"/>
      <c r="UHG14" s="4"/>
      <c r="UHH14" s="4"/>
      <c r="UHI14" s="4"/>
      <c r="UHJ14" s="4"/>
      <c r="UHK14" s="4"/>
      <c r="UHL14" s="4"/>
      <c r="UHM14" s="4"/>
      <c r="UHN14" s="4"/>
      <c r="UHO14" s="4"/>
      <c r="UHP14" s="4"/>
      <c r="UHQ14" s="4"/>
      <c r="UHR14" s="4"/>
      <c r="UHS14" s="4"/>
      <c r="UHT14" s="4"/>
      <c r="UHU14" s="4"/>
      <c r="UHV14" s="4"/>
      <c r="UHW14" s="4"/>
      <c r="UHX14" s="4"/>
      <c r="UHY14" s="4"/>
      <c r="UHZ14" s="4"/>
      <c r="UIA14" s="4"/>
      <c r="UIB14" s="4"/>
      <c r="UIC14" s="4"/>
      <c r="UID14" s="4"/>
      <c r="UIE14" s="4"/>
      <c r="UIF14" s="4"/>
      <c r="UIG14" s="4"/>
      <c r="UIH14" s="4"/>
      <c r="UII14" s="4"/>
      <c r="UIJ14" s="4"/>
      <c r="UIK14" s="4"/>
      <c r="UIL14" s="4"/>
      <c r="UIM14" s="4"/>
      <c r="UIN14" s="4"/>
      <c r="UIO14" s="4"/>
      <c r="UIP14" s="4"/>
      <c r="UIQ14" s="4"/>
      <c r="UIR14" s="4"/>
      <c r="UIS14" s="4"/>
      <c r="UIT14" s="4"/>
      <c r="UIU14" s="4"/>
      <c r="UIV14" s="4"/>
      <c r="UIW14" s="4"/>
      <c r="UIX14" s="4"/>
      <c r="UIY14" s="4"/>
      <c r="UIZ14" s="4"/>
      <c r="UJA14" s="4"/>
      <c r="UJB14" s="4"/>
      <c r="UJC14" s="4"/>
      <c r="UJD14" s="4"/>
      <c r="UJE14" s="4"/>
      <c r="UJF14" s="4"/>
      <c r="UJG14" s="4"/>
      <c r="UJH14" s="4"/>
      <c r="UJI14" s="4"/>
      <c r="UJJ14" s="4"/>
      <c r="UJK14" s="4"/>
      <c r="UJL14" s="4"/>
      <c r="UJM14" s="4"/>
      <c r="UJN14" s="4"/>
      <c r="UJO14" s="4"/>
      <c r="UJP14" s="4"/>
      <c r="UJQ14" s="4"/>
      <c r="UJR14" s="4"/>
      <c r="UJS14" s="4"/>
      <c r="UJT14" s="4"/>
      <c r="UJU14" s="4"/>
      <c r="UJV14" s="4"/>
      <c r="UJW14" s="4"/>
      <c r="UJX14" s="4"/>
      <c r="UJY14" s="4"/>
      <c r="UJZ14" s="4"/>
      <c r="UKA14" s="4"/>
      <c r="UKB14" s="4"/>
      <c r="UKC14" s="4"/>
      <c r="UKD14" s="4"/>
      <c r="UKE14" s="4"/>
      <c r="UKF14" s="4"/>
      <c r="UKG14" s="4"/>
      <c r="UKH14" s="4"/>
      <c r="UKI14" s="4"/>
      <c r="UKJ14" s="4"/>
      <c r="UKK14" s="4"/>
      <c r="UKL14" s="4"/>
      <c r="UKM14" s="4"/>
      <c r="UKN14" s="4"/>
      <c r="UKO14" s="4"/>
      <c r="UKP14" s="4"/>
      <c r="UKQ14" s="4"/>
      <c r="UKR14" s="4"/>
      <c r="UKS14" s="4"/>
      <c r="UKT14" s="4"/>
      <c r="UKU14" s="4"/>
      <c r="UKV14" s="4"/>
      <c r="UKW14" s="4"/>
      <c r="UKX14" s="4"/>
      <c r="UKY14" s="4"/>
      <c r="UKZ14" s="4"/>
      <c r="ULA14" s="4"/>
      <c r="ULB14" s="4"/>
      <c r="ULC14" s="4"/>
      <c r="ULD14" s="4"/>
      <c r="ULE14" s="4"/>
      <c r="ULF14" s="4"/>
      <c r="ULG14" s="4"/>
      <c r="ULH14" s="4"/>
      <c r="ULI14" s="4"/>
      <c r="ULJ14" s="4"/>
      <c r="ULK14" s="4"/>
      <c r="ULL14" s="4"/>
      <c r="ULM14" s="4"/>
      <c r="ULN14" s="4"/>
      <c r="ULO14" s="4"/>
      <c r="ULP14" s="4"/>
      <c r="ULQ14" s="4"/>
      <c r="ULR14" s="4"/>
      <c r="ULS14" s="4"/>
      <c r="ULT14" s="4"/>
      <c r="ULU14" s="4"/>
      <c r="ULV14" s="4"/>
      <c r="ULW14" s="4"/>
      <c r="ULX14" s="4"/>
      <c r="ULY14" s="4"/>
      <c r="ULZ14" s="4"/>
      <c r="UMA14" s="4"/>
      <c r="UMB14" s="4"/>
      <c r="UMC14" s="4"/>
      <c r="UMD14" s="4"/>
      <c r="UME14" s="4"/>
      <c r="UMF14" s="4"/>
      <c r="UMG14" s="4"/>
      <c r="UMH14" s="4"/>
      <c r="UMI14" s="4"/>
      <c r="UMJ14" s="4"/>
      <c r="UMK14" s="4"/>
      <c r="UML14" s="4"/>
      <c r="UMM14" s="4"/>
      <c r="UMN14" s="4"/>
      <c r="UMO14" s="4"/>
      <c r="UMP14" s="4"/>
      <c r="UMQ14" s="4"/>
      <c r="UMR14" s="4"/>
      <c r="UMS14" s="4"/>
      <c r="UMT14" s="4"/>
      <c r="UMU14" s="4"/>
      <c r="UMV14" s="4"/>
      <c r="UMW14" s="4"/>
      <c r="UMX14" s="4"/>
      <c r="UMY14" s="4"/>
      <c r="UMZ14" s="4"/>
      <c r="UNA14" s="4"/>
      <c r="UNB14" s="4"/>
      <c r="UNC14" s="4"/>
      <c r="UND14" s="4"/>
      <c r="UNE14" s="4"/>
      <c r="UNF14" s="4"/>
      <c r="UNG14" s="4"/>
      <c r="UNH14" s="4"/>
      <c r="UNI14" s="4"/>
      <c r="UNJ14" s="4"/>
      <c r="UNK14" s="4"/>
      <c r="UNL14" s="4"/>
      <c r="UNM14" s="4"/>
      <c r="UNN14" s="4"/>
      <c r="UNO14" s="4"/>
      <c r="UNP14" s="4"/>
      <c r="UNQ14" s="4"/>
      <c r="UNR14" s="4"/>
      <c r="UNS14" s="4"/>
      <c r="UNT14" s="4"/>
      <c r="UNU14" s="4"/>
      <c r="UNV14" s="4"/>
      <c r="UNW14" s="4"/>
      <c r="UNX14" s="4"/>
      <c r="UNY14" s="4"/>
      <c r="UNZ14" s="4"/>
      <c r="UOA14" s="4"/>
      <c r="UOB14" s="4"/>
      <c r="UOC14" s="4"/>
      <c r="UOD14" s="4"/>
      <c r="UOE14" s="4"/>
      <c r="UOF14" s="4"/>
      <c r="UOG14" s="4"/>
      <c r="UOH14" s="4"/>
      <c r="UOI14" s="4"/>
      <c r="UOJ14" s="4"/>
      <c r="UOK14" s="4"/>
      <c r="UOL14" s="4"/>
      <c r="UOM14" s="4"/>
      <c r="UON14" s="4"/>
      <c r="UOO14" s="4"/>
      <c r="UOP14" s="4"/>
      <c r="UOQ14" s="4"/>
      <c r="UOR14" s="4"/>
      <c r="UOS14" s="4"/>
      <c r="UOT14" s="4"/>
      <c r="UOU14" s="4"/>
      <c r="UOV14" s="4"/>
      <c r="UOW14" s="4"/>
      <c r="UOX14" s="4"/>
      <c r="UOY14" s="4"/>
      <c r="UOZ14" s="4"/>
      <c r="UPA14" s="4"/>
      <c r="UPB14" s="4"/>
      <c r="UPC14" s="4"/>
      <c r="UPD14" s="4"/>
      <c r="UPE14" s="4"/>
      <c r="UPF14" s="4"/>
      <c r="UPG14" s="4"/>
      <c r="UPH14" s="4"/>
      <c r="UPI14" s="4"/>
      <c r="UPJ14" s="4"/>
      <c r="UPK14" s="4"/>
      <c r="UPL14" s="4"/>
      <c r="UPM14" s="4"/>
      <c r="UPN14" s="4"/>
      <c r="UPO14" s="4"/>
      <c r="UPP14" s="4"/>
      <c r="UPQ14" s="4"/>
      <c r="UPR14" s="4"/>
      <c r="UPS14" s="4"/>
      <c r="UPT14" s="4"/>
      <c r="UPU14" s="4"/>
      <c r="UPV14" s="4"/>
      <c r="UPW14" s="4"/>
      <c r="UPX14" s="4"/>
      <c r="UPY14" s="4"/>
      <c r="UPZ14" s="4"/>
      <c r="UQA14" s="4"/>
      <c r="UQB14" s="4"/>
      <c r="UQC14" s="4"/>
      <c r="UQD14" s="4"/>
      <c r="UQE14" s="4"/>
      <c r="UQF14" s="4"/>
      <c r="UQG14" s="4"/>
      <c r="UQH14" s="4"/>
      <c r="UQI14" s="4"/>
      <c r="UQJ14" s="4"/>
      <c r="UQK14" s="4"/>
      <c r="UQL14" s="4"/>
      <c r="UQM14" s="4"/>
      <c r="UQN14" s="4"/>
      <c r="UQO14" s="4"/>
      <c r="UQP14" s="4"/>
      <c r="UQQ14" s="4"/>
      <c r="UQR14" s="4"/>
      <c r="UQS14" s="4"/>
      <c r="UQT14" s="4"/>
      <c r="UQU14" s="4"/>
      <c r="UQV14" s="4"/>
      <c r="UQW14" s="4"/>
      <c r="UQX14" s="4"/>
      <c r="UQY14" s="4"/>
      <c r="UQZ14" s="4"/>
      <c r="URA14" s="4"/>
      <c r="URB14" s="4"/>
      <c r="URC14" s="4"/>
      <c r="URD14" s="4"/>
      <c r="URE14" s="4"/>
      <c r="URF14" s="4"/>
      <c r="URG14" s="4"/>
      <c r="URH14" s="4"/>
      <c r="URI14" s="4"/>
      <c r="URJ14" s="4"/>
      <c r="URK14" s="4"/>
      <c r="URL14" s="4"/>
      <c r="URM14" s="4"/>
      <c r="URN14" s="4"/>
      <c r="URO14" s="4"/>
      <c r="URP14" s="4"/>
      <c r="URQ14" s="4"/>
      <c r="URR14" s="4"/>
      <c r="URS14" s="4"/>
      <c r="URT14" s="4"/>
      <c r="URU14" s="4"/>
      <c r="URV14" s="4"/>
      <c r="URW14" s="4"/>
      <c r="URX14" s="4"/>
      <c r="URY14" s="4"/>
      <c r="URZ14" s="4"/>
      <c r="USA14" s="4"/>
      <c r="USB14" s="4"/>
      <c r="USC14" s="4"/>
      <c r="USD14" s="4"/>
      <c r="USE14" s="4"/>
      <c r="USF14" s="4"/>
      <c r="USG14" s="4"/>
      <c r="USH14" s="4"/>
      <c r="USI14" s="4"/>
      <c r="USJ14" s="4"/>
      <c r="USK14" s="4"/>
      <c r="USL14" s="4"/>
      <c r="USM14" s="4"/>
      <c r="USN14" s="4"/>
      <c r="USO14" s="4"/>
      <c r="USP14" s="4"/>
      <c r="USQ14" s="4"/>
      <c r="USR14" s="4"/>
      <c r="USS14" s="4"/>
      <c r="UST14" s="4"/>
      <c r="USU14" s="4"/>
      <c r="USV14" s="4"/>
      <c r="USW14" s="4"/>
      <c r="USX14" s="4"/>
      <c r="USY14" s="4"/>
      <c r="USZ14" s="4"/>
      <c r="UTA14" s="4"/>
      <c r="UTB14" s="4"/>
      <c r="UTC14" s="4"/>
      <c r="UTD14" s="4"/>
      <c r="UTE14" s="4"/>
      <c r="UTF14" s="4"/>
      <c r="UTG14" s="4"/>
      <c r="UTH14" s="4"/>
      <c r="UTI14" s="4"/>
      <c r="UTJ14" s="4"/>
      <c r="UTK14" s="4"/>
      <c r="UTL14" s="4"/>
      <c r="UTM14" s="4"/>
      <c r="UTN14" s="4"/>
      <c r="UTO14" s="4"/>
      <c r="UTP14" s="4"/>
      <c r="UTQ14" s="4"/>
      <c r="UTR14" s="4"/>
      <c r="UTS14" s="4"/>
      <c r="UTT14" s="4"/>
      <c r="UTU14" s="4"/>
      <c r="UTV14" s="4"/>
      <c r="UTW14" s="4"/>
      <c r="UTX14" s="4"/>
      <c r="UTY14" s="4"/>
      <c r="UTZ14" s="4"/>
      <c r="UUA14" s="4"/>
      <c r="UUB14" s="4"/>
      <c r="UUC14" s="4"/>
      <c r="UUD14" s="4"/>
      <c r="UUE14" s="4"/>
      <c r="UUF14" s="4"/>
      <c r="UUG14" s="4"/>
      <c r="UUH14" s="4"/>
      <c r="UUI14" s="4"/>
      <c r="UUJ14" s="4"/>
      <c r="UUK14" s="4"/>
      <c r="UUL14" s="4"/>
      <c r="UUM14" s="4"/>
      <c r="UUN14" s="4"/>
      <c r="UUO14" s="4"/>
      <c r="UUP14" s="4"/>
      <c r="UUQ14" s="4"/>
      <c r="UUR14" s="4"/>
      <c r="UUS14" s="4"/>
      <c r="UUT14" s="4"/>
      <c r="UUU14" s="4"/>
      <c r="UUV14" s="4"/>
      <c r="UUW14" s="4"/>
      <c r="UUX14" s="4"/>
      <c r="UUY14" s="4"/>
      <c r="UUZ14" s="4"/>
      <c r="UVA14" s="4"/>
      <c r="UVB14" s="4"/>
      <c r="UVC14" s="4"/>
      <c r="UVD14" s="4"/>
      <c r="UVE14" s="4"/>
      <c r="UVF14" s="4"/>
      <c r="UVG14" s="4"/>
      <c r="UVH14" s="4"/>
      <c r="UVI14" s="4"/>
      <c r="UVJ14" s="4"/>
      <c r="UVK14" s="4"/>
      <c r="UVL14" s="4"/>
      <c r="UVM14" s="4"/>
      <c r="UVN14" s="4"/>
      <c r="UVO14" s="4"/>
      <c r="UVP14" s="4"/>
      <c r="UVQ14" s="4"/>
      <c r="UVR14" s="4"/>
      <c r="UVS14" s="4"/>
      <c r="UVT14" s="4"/>
      <c r="UVU14" s="4"/>
      <c r="UVV14" s="4"/>
      <c r="UVW14" s="4"/>
      <c r="UVX14" s="4"/>
      <c r="UVY14" s="4"/>
      <c r="UVZ14" s="4"/>
      <c r="UWA14" s="4"/>
      <c r="UWB14" s="4"/>
      <c r="UWC14" s="4"/>
      <c r="UWD14" s="4"/>
      <c r="UWE14" s="4"/>
      <c r="UWF14" s="4"/>
      <c r="UWG14" s="4"/>
      <c r="UWH14" s="4"/>
      <c r="UWI14" s="4"/>
      <c r="UWJ14" s="4"/>
      <c r="UWK14" s="4"/>
      <c r="UWL14" s="4"/>
      <c r="UWM14" s="4"/>
      <c r="UWN14" s="4"/>
      <c r="UWO14" s="4"/>
      <c r="UWP14" s="4"/>
      <c r="UWQ14" s="4"/>
      <c r="UWR14" s="4"/>
      <c r="UWS14" s="4"/>
      <c r="UWT14" s="4"/>
      <c r="UWU14" s="4"/>
      <c r="UWV14" s="4"/>
      <c r="UWW14" s="4"/>
      <c r="UWX14" s="4"/>
      <c r="UWY14" s="4"/>
      <c r="UWZ14" s="4"/>
      <c r="UXA14" s="4"/>
      <c r="UXB14" s="4"/>
      <c r="UXC14" s="4"/>
      <c r="UXD14" s="4"/>
      <c r="UXE14" s="4"/>
      <c r="UXF14" s="4"/>
      <c r="UXG14" s="4"/>
      <c r="UXH14" s="4"/>
      <c r="UXI14" s="4"/>
      <c r="UXJ14" s="4"/>
      <c r="UXK14" s="4"/>
      <c r="UXL14" s="4"/>
      <c r="UXM14" s="4"/>
      <c r="UXN14" s="4"/>
      <c r="UXO14" s="4"/>
      <c r="UXP14" s="4"/>
      <c r="UXQ14" s="4"/>
      <c r="UXR14" s="4"/>
      <c r="UXS14" s="4"/>
      <c r="UXT14" s="4"/>
      <c r="UXU14" s="4"/>
      <c r="UXV14" s="4"/>
      <c r="UXW14" s="4"/>
      <c r="UXX14" s="4"/>
      <c r="UXY14" s="4"/>
      <c r="UXZ14" s="4"/>
      <c r="UYA14" s="4"/>
      <c r="UYB14" s="4"/>
      <c r="UYC14" s="4"/>
      <c r="UYD14" s="4"/>
      <c r="UYE14" s="4"/>
      <c r="UYF14" s="4"/>
      <c r="UYG14" s="4"/>
      <c r="UYH14" s="4"/>
      <c r="UYI14" s="4"/>
      <c r="UYJ14" s="4"/>
      <c r="UYK14" s="4"/>
      <c r="UYL14" s="4"/>
      <c r="UYM14" s="4"/>
      <c r="UYN14" s="4"/>
      <c r="UYO14" s="4"/>
      <c r="UYP14" s="4"/>
      <c r="UYQ14" s="4"/>
      <c r="UYR14" s="4"/>
      <c r="UYS14" s="4"/>
      <c r="UYT14" s="4"/>
      <c r="UYU14" s="4"/>
      <c r="UYV14" s="4"/>
      <c r="UYW14" s="4"/>
      <c r="UYX14" s="4"/>
      <c r="UYY14" s="4"/>
      <c r="UYZ14" s="4"/>
      <c r="UZA14" s="4"/>
      <c r="UZB14" s="4"/>
      <c r="UZC14" s="4"/>
      <c r="UZD14" s="4"/>
      <c r="UZE14" s="4"/>
      <c r="UZF14" s="4"/>
      <c r="UZG14" s="4"/>
      <c r="UZH14" s="4"/>
      <c r="UZI14" s="4"/>
      <c r="UZJ14" s="4"/>
      <c r="UZK14" s="4"/>
      <c r="UZL14" s="4"/>
      <c r="UZM14" s="4"/>
      <c r="UZN14" s="4"/>
      <c r="UZO14" s="4"/>
      <c r="UZP14" s="4"/>
      <c r="UZQ14" s="4"/>
      <c r="UZR14" s="4"/>
      <c r="UZS14" s="4"/>
      <c r="UZT14" s="4"/>
      <c r="UZU14" s="4"/>
      <c r="UZV14" s="4"/>
      <c r="UZW14" s="4"/>
      <c r="UZX14" s="4"/>
      <c r="UZY14" s="4"/>
      <c r="UZZ14" s="4"/>
      <c r="VAA14" s="4"/>
      <c r="VAB14" s="4"/>
      <c r="VAC14" s="4"/>
      <c r="VAD14" s="4"/>
      <c r="VAE14" s="4"/>
      <c r="VAF14" s="4"/>
      <c r="VAG14" s="4"/>
      <c r="VAH14" s="4"/>
      <c r="VAI14" s="4"/>
      <c r="VAJ14" s="4"/>
      <c r="VAK14" s="4"/>
      <c r="VAL14" s="4"/>
      <c r="VAM14" s="4"/>
      <c r="VAN14" s="4"/>
      <c r="VAO14" s="4"/>
      <c r="VAP14" s="4"/>
      <c r="VAQ14" s="4"/>
      <c r="VAR14" s="4"/>
      <c r="VAS14" s="4"/>
      <c r="VAT14" s="4"/>
      <c r="VAU14" s="4"/>
      <c r="VAV14" s="4"/>
      <c r="VAW14" s="4"/>
      <c r="VAX14" s="4"/>
      <c r="VAY14" s="4"/>
      <c r="VAZ14" s="4"/>
      <c r="VBA14" s="4"/>
      <c r="VBB14" s="4"/>
      <c r="VBC14" s="4"/>
      <c r="VBD14" s="4"/>
      <c r="VBE14" s="4"/>
      <c r="VBF14" s="4"/>
      <c r="VBG14" s="4"/>
      <c r="VBH14" s="4"/>
      <c r="VBI14" s="4"/>
      <c r="VBJ14" s="4"/>
      <c r="VBK14" s="4"/>
      <c r="VBL14" s="4"/>
      <c r="VBM14" s="4"/>
      <c r="VBN14" s="4"/>
      <c r="VBO14" s="4"/>
      <c r="VBP14" s="4"/>
      <c r="VBQ14" s="4"/>
      <c r="VBR14" s="4"/>
      <c r="VBS14" s="4"/>
      <c r="VBT14" s="4"/>
      <c r="VBU14" s="4"/>
      <c r="VBV14" s="4"/>
      <c r="VBW14" s="4"/>
      <c r="VBX14" s="4"/>
      <c r="VBY14" s="4"/>
      <c r="VBZ14" s="4"/>
      <c r="VCA14" s="4"/>
      <c r="VCB14" s="4"/>
      <c r="VCC14" s="4"/>
      <c r="VCD14" s="4"/>
      <c r="VCE14" s="4"/>
      <c r="VCF14" s="4"/>
      <c r="VCG14" s="4"/>
      <c r="VCH14" s="4"/>
      <c r="VCI14" s="4"/>
      <c r="VCJ14" s="4"/>
      <c r="VCK14" s="4"/>
      <c r="VCL14" s="4"/>
      <c r="VCM14" s="4"/>
      <c r="VCN14" s="4"/>
      <c r="VCO14" s="4"/>
      <c r="VCP14" s="4"/>
      <c r="VCQ14" s="4"/>
      <c r="VCR14" s="4"/>
      <c r="VCS14" s="4"/>
      <c r="VCT14" s="4"/>
      <c r="VCU14" s="4"/>
      <c r="VCV14" s="4"/>
      <c r="VCW14" s="4"/>
      <c r="VCX14" s="4"/>
      <c r="VCY14" s="4"/>
      <c r="VCZ14" s="4"/>
      <c r="VDA14" s="4"/>
      <c r="VDB14" s="4"/>
      <c r="VDC14" s="4"/>
      <c r="VDD14" s="4"/>
      <c r="VDE14" s="4"/>
      <c r="VDF14" s="4"/>
      <c r="VDG14" s="4"/>
      <c r="VDH14" s="4"/>
      <c r="VDI14" s="4"/>
      <c r="VDJ14" s="4"/>
      <c r="VDK14" s="4"/>
      <c r="VDL14" s="4"/>
      <c r="VDM14" s="4"/>
      <c r="VDN14" s="4"/>
      <c r="VDO14" s="4"/>
      <c r="VDP14" s="4"/>
      <c r="VDQ14" s="4"/>
      <c r="VDR14" s="4"/>
      <c r="VDS14" s="4"/>
      <c r="VDT14" s="4"/>
      <c r="VDU14" s="4"/>
      <c r="VDV14" s="4"/>
      <c r="VDW14" s="4"/>
      <c r="VDX14" s="4"/>
      <c r="VDY14" s="4"/>
      <c r="VDZ14" s="4"/>
      <c r="VEA14" s="4"/>
      <c r="VEB14" s="4"/>
      <c r="VEC14" s="4"/>
      <c r="VED14" s="4"/>
      <c r="VEE14" s="4"/>
      <c r="VEF14" s="4"/>
      <c r="VEG14" s="4"/>
      <c r="VEH14" s="4"/>
      <c r="VEI14" s="4"/>
      <c r="VEJ14" s="4"/>
      <c r="VEK14" s="4"/>
      <c r="VEL14" s="4"/>
      <c r="VEM14" s="4"/>
      <c r="VEN14" s="4"/>
      <c r="VEO14" s="4"/>
      <c r="VEP14" s="4"/>
      <c r="VEQ14" s="4"/>
      <c r="VER14" s="4"/>
      <c r="VES14" s="4"/>
      <c r="VET14" s="4"/>
      <c r="VEU14" s="4"/>
      <c r="VEV14" s="4"/>
      <c r="VEW14" s="4"/>
      <c r="VEX14" s="4"/>
      <c r="VEY14" s="4"/>
      <c r="VEZ14" s="4"/>
      <c r="VFA14" s="4"/>
      <c r="VFB14" s="4"/>
      <c r="VFC14" s="4"/>
      <c r="VFD14" s="4"/>
      <c r="VFE14" s="4"/>
      <c r="VFF14" s="4"/>
      <c r="VFG14" s="4"/>
      <c r="VFH14" s="4"/>
      <c r="VFI14" s="4"/>
      <c r="VFJ14" s="4"/>
      <c r="VFK14" s="4"/>
      <c r="VFL14" s="4"/>
      <c r="VFM14" s="4"/>
      <c r="VFN14" s="4"/>
      <c r="VFO14" s="4"/>
      <c r="VFP14" s="4"/>
      <c r="VFQ14" s="4"/>
      <c r="VFR14" s="4"/>
      <c r="VFS14" s="4"/>
      <c r="VFT14" s="4"/>
      <c r="VFU14" s="4"/>
      <c r="VFV14" s="4"/>
      <c r="VFW14" s="4"/>
      <c r="VFX14" s="4"/>
      <c r="VFY14" s="4"/>
      <c r="VFZ14" s="4"/>
      <c r="VGA14" s="4"/>
      <c r="VGB14" s="4"/>
      <c r="VGC14" s="4"/>
      <c r="VGD14" s="4"/>
      <c r="VGE14" s="4"/>
      <c r="VGF14" s="4"/>
      <c r="VGG14" s="4"/>
      <c r="VGH14" s="4"/>
      <c r="VGI14" s="4"/>
      <c r="VGJ14" s="4"/>
      <c r="VGK14" s="4"/>
      <c r="VGL14" s="4"/>
      <c r="VGM14" s="4"/>
      <c r="VGN14" s="4"/>
      <c r="VGO14" s="4"/>
      <c r="VGP14" s="4"/>
      <c r="VGQ14" s="4"/>
      <c r="VGR14" s="4"/>
      <c r="VGS14" s="4"/>
      <c r="VGT14" s="4"/>
      <c r="VGU14" s="4"/>
      <c r="VGV14" s="4"/>
      <c r="VGW14" s="4"/>
      <c r="VGX14" s="4"/>
      <c r="VGY14" s="4"/>
      <c r="VGZ14" s="4"/>
      <c r="VHA14" s="4"/>
      <c r="VHB14" s="4"/>
      <c r="VHC14" s="4"/>
      <c r="VHD14" s="4"/>
      <c r="VHE14" s="4"/>
      <c r="VHF14" s="4"/>
      <c r="VHG14" s="4"/>
      <c r="VHH14" s="4"/>
      <c r="VHI14" s="4"/>
      <c r="VHJ14" s="4"/>
      <c r="VHK14" s="4"/>
      <c r="VHL14" s="4"/>
      <c r="VHM14" s="4"/>
      <c r="VHN14" s="4"/>
      <c r="VHO14" s="4"/>
      <c r="VHP14" s="4"/>
      <c r="VHQ14" s="4"/>
      <c r="VHR14" s="4"/>
      <c r="VHS14" s="4"/>
      <c r="VHT14" s="4"/>
      <c r="VHU14" s="4"/>
      <c r="VHV14" s="4"/>
      <c r="VHW14" s="4"/>
      <c r="VHX14" s="4"/>
      <c r="VHY14" s="4"/>
      <c r="VHZ14" s="4"/>
      <c r="VIA14" s="4"/>
      <c r="VIB14" s="4"/>
      <c r="VIC14" s="4"/>
      <c r="VID14" s="4"/>
      <c r="VIE14" s="4"/>
      <c r="VIF14" s="4"/>
      <c r="VIG14" s="4"/>
      <c r="VIH14" s="4"/>
      <c r="VII14" s="4"/>
      <c r="VIJ14" s="4"/>
      <c r="VIK14" s="4"/>
      <c r="VIL14" s="4"/>
      <c r="VIM14" s="4"/>
      <c r="VIN14" s="4"/>
      <c r="VIO14" s="4"/>
      <c r="VIP14" s="4"/>
      <c r="VIQ14" s="4"/>
      <c r="VIR14" s="4"/>
      <c r="VIS14" s="4"/>
      <c r="VIT14" s="4"/>
      <c r="VIU14" s="4"/>
      <c r="VIV14" s="4"/>
      <c r="VIW14" s="4"/>
      <c r="VIX14" s="4"/>
      <c r="VIY14" s="4"/>
      <c r="VIZ14" s="4"/>
      <c r="VJA14" s="4"/>
      <c r="VJB14" s="4"/>
      <c r="VJC14" s="4"/>
      <c r="VJD14" s="4"/>
      <c r="VJE14" s="4"/>
      <c r="VJF14" s="4"/>
      <c r="VJG14" s="4"/>
      <c r="VJH14" s="4"/>
      <c r="VJI14" s="4"/>
      <c r="VJJ14" s="4"/>
      <c r="VJK14" s="4"/>
      <c r="VJL14" s="4"/>
      <c r="VJM14" s="4"/>
      <c r="VJN14" s="4"/>
      <c r="VJO14" s="4"/>
      <c r="VJP14" s="4"/>
      <c r="VJQ14" s="4"/>
      <c r="VJR14" s="4"/>
      <c r="VJS14" s="4"/>
      <c r="VJT14" s="4"/>
      <c r="VJU14" s="4"/>
      <c r="VJV14" s="4"/>
      <c r="VJW14" s="4"/>
      <c r="VJX14" s="4"/>
      <c r="VJY14" s="4"/>
      <c r="VJZ14" s="4"/>
      <c r="VKA14" s="4"/>
      <c r="VKB14" s="4"/>
      <c r="VKC14" s="4"/>
      <c r="VKD14" s="4"/>
      <c r="VKE14" s="4"/>
      <c r="VKF14" s="4"/>
      <c r="VKG14" s="4"/>
      <c r="VKH14" s="4"/>
      <c r="VKI14" s="4"/>
      <c r="VKJ14" s="4"/>
      <c r="VKK14" s="4"/>
      <c r="VKL14" s="4"/>
      <c r="VKM14" s="4"/>
      <c r="VKN14" s="4"/>
      <c r="VKO14" s="4"/>
      <c r="VKP14" s="4"/>
      <c r="VKQ14" s="4"/>
      <c r="VKR14" s="4"/>
      <c r="VKS14" s="4"/>
      <c r="VKT14" s="4"/>
      <c r="VKU14" s="4"/>
      <c r="VKV14" s="4"/>
      <c r="VKW14" s="4"/>
      <c r="VKX14" s="4"/>
      <c r="VKY14" s="4"/>
      <c r="VKZ14" s="4"/>
      <c r="VLA14" s="4"/>
      <c r="VLB14" s="4"/>
      <c r="VLC14" s="4"/>
      <c r="VLD14" s="4"/>
      <c r="VLE14" s="4"/>
      <c r="VLF14" s="4"/>
      <c r="VLG14" s="4"/>
      <c r="VLH14" s="4"/>
      <c r="VLI14" s="4"/>
      <c r="VLJ14" s="4"/>
      <c r="VLK14" s="4"/>
      <c r="VLL14" s="4"/>
      <c r="VLM14" s="4"/>
      <c r="VLN14" s="4"/>
      <c r="VLO14" s="4"/>
      <c r="VLP14" s="4"/>
      <c r="VLQ14" s="4"/>
      <c r="VLR14" s="4"/>
      <c r="VLS14" s="4"/>
      <c r="VLT14" s="4"/>
      <c r="VLU14" s="4"/>
      <c r="VLV14" s="4"/>
      <c r="VLW14" s="4"/>
      <c r="VLX14" s="4"/>
      <c r="VLY14" s="4"/>
      <c r="VLZ14" s="4"/>
      <c r="VMA14" s="4"/>
      <c r="VMB14" s="4"/>
      <c r="VMC14" s="4"/>
      <c r="VMD14" s="4"/>
      <c r="VME14" s="4"/>
      <c r="VMF14" s="4"/>
      <c r="VMG14" s="4"/>
      <c r="VMH14" s="4"/>
      <c r="VMI14" s="4"/>
      <c r="VMJ14" s="4"/>
      <c r="VMK14" s="4"/>
      <c r="VML14" s="4"/>
      <c r="VMM14" s="4"/>
      <c r="VMN14" s="4"/>
      <c r="VMO14" s="4"/>
      <c r="VMP14" s="4"/>
      <c r="VMQ14" s="4"/>
      <c r="VMR14" s="4"/>
      <c r="VMS14" s="4"/>
      <c r="VMT14" s="4"/>
      <c r="VMU14" s="4"/>
      <c r="VMV14" s="4"/>
      <c r="VMW14" s="4"/>
      <c r="VMX14" s="4"/>
      <c r="VMY14" s="4"/>
      <c r="VMZ14" s="4"/>
      <c r="VNA14" s="4"/>
      <c r="VNB14" s="4"/>
      <c r="VNC14" s="4"/>
      <c r="VND14" s="4"/>
      <c r="VNE14" s="4"/>
      <c r="VNF14" s="4"/>
      <c r="VNG14" s="4"/>
      <c r="VNH14" s="4"/>
      <c r="VNI14" s="4"/>
      <c r="VNJ14" s="4"/>
      <c r="VNK14" s="4"/>
      <c r="VNL14" s="4"/>
      <c r="VNM14" s="4"/>
      <c r="VNN14" s="4"/>
      <c r="VNO14" s="4"/>
      <c r="VNP14" s="4"/>
      <c r="VNQ14" s="4"/>
      <c r="VNR14" s="4"/>
      <c r="VNS14" s="4"/>
      <c r="VNT14" s="4"/>
      <c r="VNU14" s="4"/>
      <c r="VNV14" s="4"/>
      <c r="VNW14" s="4"/>
      <c r="VNX14" s="4"/>
      <c r="VNY14" s="4"/>
      <c r="VNZ14" s="4"/>
      <c r="VOA14" s="4"/>
      <c r="VOB14" s="4"/>
      <c r="VOC14" s="4"/>
      <c r="VOD14" s="4"/>
      <c r="VOE14" s="4"/>
      <c r="VOF14" s="4"/>
      <c r="VOG14" s="4"/>
      <c r="VOH14" s="4"/>
      <c r="VOI14" s="4"/>
      <c r="VOJ14" s="4"/>
      <c r="VOK14" s="4"/>
      <c r="VOL14" s="4"/>
      <c r="VOM14" s="4"/>
      <c r="VON14" s="4"/>
      <c r="VOO14" s="4"/>
      <c r="VOP14" s="4"/>
      <c r="VOQ14" s="4"/>
      <c r="VOR14" s="4"/>
      <c r="VOS14" s="4"/>
      <c r="VOT14" s="4"/>
      <c r="VOU14" s="4"/>
      <c r="VOV14" s="4"/>
      <c r="VOW14" s="4"/>
      <c r="VOX14" s="4"/>
      <c r="VOY14" s="4"/>
      <c r="VOZ14" s="4"/>
      <c r="VPA14" s="4"/>
      <c r="VPB14" s="4"/>
      <c r="VPC14" s="4"/>
      <c r="VPD14" s="4"/>
      <c r="VPE14" s="4"/>
      <c r="VPF14" s="4"/>
      <c r="VPG14" s="4"/>
      <c r="VPH14" s="4"/>
      <c r="VPI14" s="4"/>
      <c r="VPJ14" s="4"/>
      <c r="VPK14" s="4"/>
      <c r="VPL14" s="4"/>
      <c r="VPM14" s="4"/>
      <c r="VPN14" s="4"/>
      <c r="VPO14" s="4"/>
      <c r="VPP14" s="4"/>
      <c r="VPQ14" s="4"/>
      <c r="VPR14" s="4"/>
      <c r="VPS14" s="4"/>
      <c r="VPT14" s="4"/>
      <c r="VPU14" s="4"/>
      <c r="VPV14" s="4"/>
      <c r="VPW14" s="4"/>
      <c r="VPX14" s="4"/>
      <c r="VPY14" s="4"/>
      <c r="VPZ14" s="4"/>
      <c r="VQA14" s="4"/>
      <c r="VQB14" s="4"/>
      <c r="VQC14" s="4"/>
      <c r="VQD14" s="4"/>
      <c r="VQE14" s="4"/>
      <c r="VQF14" s="4"/>
      <c r="VQG14" s="4"/>
      <c r="VQH14" s="4"/>
      <c r="VQI14" s="4"/>
      <c r="VQJ14" s="4"/>
      <c r="VQK14" s="4"/>
      <c r="VQL14" s="4"/>
      <c r="VQM14" s="4"/>
      <c r="VQN14" s="4"/>
      <c r="VQO14" s="4"/>
      <c r="VQP14" s="4"/>
      <c r="VQQ14" s="4"/>
      <c r="VQR14" s="4"/>
      <c r="VQS14" s="4"/>
      <c r="VQT14" s="4"/>
      <c r="VQU14" s="4"/>
      <c r="VQV14" s="4"/>
      <c r="VQW14" s="4"/>
      <c r="VQX14" s="4"/>
      <c r="VQY14" s="4"/>
      <c r="VQZ14" s="4"/>
      <c r="VRA14" s="4"/>
      <c r="VRB14" s="4"/>
      <c r="VRC14" s="4"/>
      <c r="VRD14" s="4"/>
      <c r="VRE14" s="4"/>
      <c r="VRF14" s="4"/>
      <c r="VRG14" s="4"/>
      <c r="VRH14" s="4"/>
      <c r="VRI14" s="4"/>
      <c r="VRJ14" s="4"/>
      <c r="VRK14" s="4"/>
      <c r="VRL14" s="4"/>
      <c r="VRM14" s="4"/>
      <c r="VRN14" s="4"/>
      <c r="VRO14" s="4"/>
      <c r="VRP14" s="4"/>
      <c r="VRQ14" s="4"/>
      <c r="VRR14" s="4"/>
      <c r="VRS14" s="4"/>
      <c r="VRT14" s="4"/>
      <c r="VRU14" s="4"/>
      <c r="VRV14" s="4"/>
      <c r="VRW14" s="4"/>
      <c r="VRX14" s="4"/>
      <c r="VRY14" s="4"/>
      <c r="VRZ14" s="4"/>
      <c r="VSA14" s="4"/>
      <c r="VSB14" s="4"/>
      <c r="VSC14" s="4"/>
      <c r="VSD14" s="4"/>
      <c r="VSE14" s="4"/>
      <c r="VSF14" s="4"/>
      <c r="VSG14" s="4"/>
      <c r="VSH14" s="4"/>
      <c r="VSI14" s="4"/>
      <c r="VSJ14" s="4"/>
      <c r="VSK14" s="4"/>
      <c r="VSL14" s="4"/>
      <c r="VSM14" s="4"/>
      <c r="VSN14" s="4"/>
      <c r="VSO14" s="4"/>
      <c r="VSP14" s="4"/>
      <c r="VSQ14" s="4"/>
      <c r="VSR14" s="4"/>
      <c r="VSS14" s="4"/>
      <c r="VST14" s="4"/>
      <c r="VSU14" s="4"/>
      <c r="VSV14" s="4"/>
      <c r="VSW14" s="4"/>
      <c r="VSX14" s="4"/>
      <c r="VSY14" s="4"/>
      <c r="VSZ14" s="4"/>
      <c r="VTA14" s="4"/>
      <c r="VTB14" s="4"/>
      <c r="VTC14" s="4"/>
      <c r="VTD14" s="4"/>
      <c r="VTE14" s="4"/>
      <c r="VTF14" s="4"/>
      <c r="VTG14" s="4"/>
      <c r="VTH14" s="4"/>
      <c r="VTI14" s="4"/>
      <c r="VTJ14" s="4"/>
      <c r="VTK14" s="4"/>
      <c r="VTL14" s="4"/>
      <c r="VTM14" s="4"/>
      <c r="VTN14" s="4"/>
      <c r="VTO14" s="4"/>
      <c r="VTP14" s="4"/>
      <c r="VTQ14" s="4"/>
      <c r="VTR14" s="4"/>
      <c r="VTS14" s="4"/>
      <c r="VTT14" s="4"/>
      <c r="VTU14" s="4"/>
      <c r="VTV14" s="4"/>
      <c r="VTW14" s="4"/>
      <c r="VTX14" s="4"/>
      <c r="VTY14" s="4"/>
      <c r="VTZ14" s="4"/>
      <c r="VUA14" s="4"/>
      <c r="VUB14" s="4"/>
      <c r="VUC14" s="4"/>
      <c r="VUD14" s="4"/>
      <c r="VUE14" s="4"/>
      <c r="VUF14" s="4"/>
      <c r="VUG14" s="4"/>
      <c r="VUH14" s="4"/>
      <c r="VUI14" s="4"/>
      <c r="VUJ14" s="4"/>
      <c r="VUK14" s="4"/>
      <c r="VUL14" s="4"/>
      <c r="VUM14" s="4"/>
      <c r="VUN14" s="4"/>
      <c r="VUO14" s="4"/>
      <c r="VUP14" s="4"/>
      <c r="VUQ14" s="4"/>
      <c r="VUR14" s="4"/>
      <c r="VUS14" s="4"/>
      <c r="VUT14" s="4"/>
      <c r="VUU14" s="4"/>
      <c r="VUV14" s="4"/>
      <c r="VUW14" s="4"/>
      <c r="VUX14" s="4"/>
      <c r="VUY14" s="4"/>
      <c r="VUZ14" s="4"/>
      <c r="VVA14" s="4"/>
      <c r="VVB14" s="4"/>
      <c r="VVC14" s="4"/>
      <c r="VVD14" s="4"/>
      <c r="VVE14" s="4"/>
      <c r="VVF14" s="4"/>
      <c r="VVG14" s="4"/>
      <c r="VVH14" s="4"/>
      <c r="VVI14" s="4"/>
      <c r="VVJ14" s="4"/>
      <c r="VVK14" s="4"/>
      <c r="VVL14" s="4"/>
      <c r="VVM14" s="4"/>
      <c r="VVN14" s="4"/>
      <c r="VVO14" s="4"/>
      <c r="VVP14" s="4"/>
      <c r="VVQ14" s="4"/>
      <c r="VVR14" s="4"/>
      <c r="VVS14" s="4"/>
      <c r="VVT14" s="4"/>
      <c r="VVU14" s="4"/>
      <c r="VVV14" s="4"/>
      <c r="VVW14" s="4"/>
      <c r="VVX14" s="4"/>
      <c r="VVY14" s="4"/>
      <c r="VVZ14" s="4"/>
      <c r="VWA14" s="4"/>
      <c r="VWB14" s="4"/>
      <c r="VWC14" s="4"/>
      <c r="VWD14" s="4"/>
      <c r="VWE14" s="4"/>
      <c r="VWF14" s="4"/>
      <c r="VWG14" s="4"/>
      <c r="VWH14" s="4"/>
      <c r="VWI14" s="4"/>
      <c r="VWJ14" s="4"/>
      <c r="VWK14" s="4"/>
      <c r="VWL14" s="4"/>
      <c r="VWM14" s="4"/>
      <c r="VWN14" s="4"/>
      <c r="VWO14" s="4"/>
      <c r="VWP14" s="4"/>
      <c r="VWQ14" s="4"/>
      <c r="VWR14" s="4"/>
      <c r="VWS14" s="4"/>
      <c r="VWT14" s="4"/>
      <c r="VWU14" s="4"/>
      <c r="VWV14" s="4"/>
      <c r="VWW14" s="4"/>
      <c r="VWX14" s="4"/>
      <c r="VWY14" s="4"/>
      <c r="VWZ14" s="4"/>
      <c r="VXA14" s="4"/>
      <c r="VXB14" s="4"/>
      <c r="VXC14" s="4"/>
      <c r="VXD14" s="4"/>
      <c r="VXE14" s="4"/>
      <c r="VXF14" s="4"/>
      <c r="VXG14" s="4"/>
      <c r="VXH14" s="4"/>
      <c r="VXI14" s="4"/>
      <c r="VXJ14" s="4"/>
      <c r="VXK14" s="4"/>
      <c r="VXL14" s="4"/>
      <c r="VXM14" s="4"/>
      <c r="VXN14" s="4"/>
      <c r="VXO14" s="4"/>
      <c r="VXP14" s="4"/>
      <c r="VXQ14" s="4"/>
      <c r="VXR14" s="4"/>
      <c r="VXS14" s="4"/>
      <c r="VXT14" s="4"/>
      <c r="VXU14" s="4"/>
      <c r="VXV14" s="4"/>
      <c r="VXW14" s="4"/>
      <c r="VXX14" s="4"/>
      <c r="VXY14" s="4"/>
      <c r="VXZ14" s="4"/>
      <c r="VYA14" s="4"/>
      <c r="VYB14" s="4"/>
      <c r="VYC14" s="4"/>
      <c r="VYD14" s="4"/>
      <c r="VYE14" s="4"/>
      <c r="VYF14" s="4"/>
      <c r="VYG14" s="4"/>
      <c r="VYH14" s="4"/>
      <c r="VYI14" s="4"/>
      <c r="VYJ14" s="4"/>
      <c r="VYK14" s="4"/>
      <c r="VYL14" s="4"/>
      <c r="VYM14" s="4"/>
      <c r="VYN14" s="4"/>
      <c r="VYO14" s="4"/>
      <c r="VYP14" s="4"/>
      <c r="VYQ14" s="4"/>
      <c r="VYR14" s="4"/>
      <c r="VYS14" s="4"/>
      <c r="VYT14" s="4"/>
      <c r="VYU14" s="4"/>
      <c r="VYV14" s="4"/>
      <c r="VYW14" s="4"/>
      <c r="VYX14" s="4"/>
      <c r="VYY14" s="4"/>
      <c r="VYZ14" s="4"/>
      <c r="VZA14" s="4"/>
      <c r="VZB14" s="4"/>
      <c r="VZC14" s="4"/>
      <c r="VZD14" s="4"/>
      <c r="VZE14" s="4"/>
      <c r="VZF14" s="4"/>
      <c r="VZG14" s="4"/>
      <c r="VZH14" s="4"/>
      <c r="VZI14" s="4"/>
      <c r="VZJ14" s="4"/>
      <c r="VZK14" s="4"/>
      <c r="VZL14" s="4"/>
      <c r="VZM14" s="4"/>
      <c r="VZN14" s="4"/>
      <c r="VZO14" s="4"/>
      <c r="VZP14" s="4"/>
      <c r="VZQ14" s="4"/>
      <c r="VZR14" s="4"/>
      <c r="VZS14" s="4"/>
      <c r="VZT14" s="4"/>
      <c r="VZU14" s="4"/>
      <c r="VZV14" s="4"/>
      <c r="VZW14" s="4"/>
      <c r="VZX14" s="4"/>
      <c r="VZY14" s="4"/>
      <c r="VZZ14" s="4"/>
      <c r="WAA14" s="4"/>
      <c r="WAB14" s="4"/>
      <c r="WAC14" s="4"/>
      <c r="WAD14" s="4"/>
      <c r="WAE14" s="4"/>
      <c r="WAF14" s="4"/>
      <c r="WAG14" s="4"/>
      <c r="WAH14" s="4"/>
      <c r="WAI14" s="4"/>
      <c r="WAJ14" s="4"/>
      <c r="WAK14" s="4"/>
      <c r="WAL14" s="4"/>
      <c r="WAM14" s="4"/>
      <c r="WAN14" s="4"/>
      <c r="WAO14" s="4"/>
      <c r="WAP14" s="4"/>
      <c r="WAQ14" s="4"/>
      <c r="WAR14" s="4"/>
      <c r="WAS14" s="4"/>
      <c r="WAT14" s="4"/>
      <c r="WAU14" s="4"/>
      <c r="WAV14" s="4"/>
      <c r="WAW14" s="4"/>
      <c r="WAX14" s="4"/>
      <c r="WAY14" s="4"/>
      <c r="WAZ14" s="4"/>
      <c r="WBA14" s="4"/>
      <c r="WBB14" s="4"/>
      <c r="WBC14" s="4"/>
      <c r="WBD14" s="4"/>
      <c r="WBE14" s="4"/>
      <c r="WBF14" s="4"/>
      <c r="WBG14" s="4"/>
      <c r="WBH14" s="4"/>
      <c r="WBI14" s="4"/>
      <c r="WBJ14" s="4"/>
      <c r="WBK14" s="4"/>
      <c r="WBL14" s="4"/>
      <c r="WBM14" s="4"/>
      <c r="WBN14" s="4"/>
      <c r="WBO14" s="4"/>
      <c r="WBP14" s="4"/>
      <c r="WBQ14" s="4"/>
      <c r="WBR14" s="4"/>
      <c r="WBS14" s="4"/>
      <c r="WBT14" s="4"/>
      <c r="WBU14" s="4"/>
      <c r="WBV14" s="4"/>
      <c r="WBW14" s="4"/>
      <c r="WBX14" s="4"/>
      <c r="WBY14" s="4"/>
      <c r="WBZ14" s="4"/>
      <c r="WCA14" s="4"/>
      <c r="WCB14" s="4"/>
      <c r="WCC14" s="4"/>
      <c r="WCD14" s="4"/>
      <c r="WCE14" s="4"/>
      <c r="WCF14" s="4"/>
      <c r="WCG14" s="4"/>
      <c r="WCH14" s="4"/>
      <c r="WCI14" s="4"/>
      <c r="WCJ14" s="4"/>
      <c r="WCK14" s="4"/>
      <c r="WCL14" s="4"/>
      <c r="WCM14" s="4"/>
      <c r="WCN14" s="4"/>
      <c r="WCO14" s="4"/>
      <c r="WCP14" s="4"/>
      <c r="WCQ14" s="4"/>
      <c r="WCR14" s="4"/>
      <c r="WCS14" s="4"/>
      <c r="WCT14" s="4"/>
      <c r="WCU14" s="4"/>
      <c r="WCV14" s="4"/>
      <c r="WCW14" s="4"/>
      <c r="WCX14" s="4"/>
      <c r="WCY14" s="4"/>
      <c r="WCZ14" s="4"/>
      <c r="WDA14" s="4"/>
      <c r="WDB14" s="4"/>
      <c r="WDC14" s="4"/>
      <c r="WDD14" s="4"/>
      <c r="WDE14" s="4"/>
      <c r="WDF14" s="4"/>
      <c r="WDG14" s="4"/>
      <c r="WDH14" s="4"/>
      <c r="WDI14" s="4"/>
      <c r="WDJ14" s="4"/>
      <c r="WDK14" s="4"/>
      <c r="WDL14" s="4"/>
      <c r="WDM14" s="4"/>
      <c r="WDN14" s="4"/>
      <c r="WDO14" s="4"/>
      <c r="WDP14" s="4"/>
      <c r="WDQ14" s="4"/>
      <c r="WDR14" s="4"/>
      <c r="WDS14" s="4"/>
      <c r="WDT14" s="4"/>
      <c r="WDU14" s="4"/>
      <c r="WDV14" s="4"/>
      <c r="WDW14" s="4"/>
      <c r="WDX14" s="4"/>
      <c r="WDY14" s="4"/>
      <c r="WDZ14" s="4"/>
      <c r="WEA14" s="4"/>
      <c r="WEB14" s="4"/>
      <c r="WEC14" s="4"/>
      <c r="WED14" s="4"/>
      <c r="WEE14" s="4"/>
      <c r="WEF14" s="4"/>
      <c r="WEG14" s="4"/>
      <c r="WEH14" s="4"/>
      <c r="WEI14" s="4"/>
      <c r="WEJ14" s="4"/>
      <c r="WEK14" s="4"/>
      <c r="WEL14" s="4"/>
      <c r="WEM14" s="4"/>
      <c r="WEN14" s="4"/>
      <c r="WEO14" s="4"/>
      <c r="WEP14" s="4"/>
      <c r="WEQ14" s="4"/>
      <c r="WER14" s="4"/>
      <c r="WES14" s="4"/>
      <c r="WET14" s="4"/>
      <c r="WEU14" s="4"/>
      <c r="WEV14" s="4"/>
      <c r="WEW14" s="4"/>
      <c r="WEX14" s="4"/>
      <c r="WEY14" s="4"/>
      <c r="WEZ14" s="4"/>
      <c r="WFA14" s="4"/>
      <c r="WFB14" s="4"/>
      <c r="WFC14" s="4"/>
      <c r="WFD14" s="4"/>
      <c r="WFE14" s="4"/>
      <c r="WFF14" s="4"/>
      <c r="WFG14" s="4"/>
      <c r="WFH14" s="4"/>
      <c r="WFI14" s="4"/>
      <c r="WFJ14" s="4"/>
      <c r="WFK14" s="4"/>
      <c r="WFL14" s="4"/>
      <c r="WFM14" s="4"/>
      <c r="WFN14" s="4"/>
      <c r="WFO14" s="4"/>
      <c r="WFP14" s="4"/>
      <c r="WFQ14" s="4"/>
      <c r="WFR14" s="4"/>
      <c r="WFS14" s="4"/>
      <c r="WFT14" s="4"/>
      <c r="WFU14" s="4"/>
      <c r="WFV14" s="4"/>
      <c r="WFW14" s="4"/>
      <c r="WFX14" s="4"/>
      <c r="WFY14" s="4"/>
      <c r="WFZ14" s="4"/>
      <c r="WGA14" s="4"/>
      <c r="WGB14" s="4"/>
      <c r="WGC14" s="4"/>
      <c r="WGD14" s="4"/>
      <c r="WGE14" s="4"/>
      <c r="WGF14" s="4"/>
      <c r="WGG14" s="4"/>
      <c r="WGH14" s="4"/>
      <c r="WGI14" s="4"/>
      <c r="WGJ14" s="4"/>
      <c r="WGK14" s="4"/>
      <c r="WGL14" s="4"/>
      <c r="WGM14" s="4"/>
      <c r="WGN14" s="4"/>
      <c r="WGO14" s="4"/>
      <c r="WGP14" s="4"/>
      <c r="WGQ14" s="4"/>
      <c r="WGR14" s="4"/>
      <c r="WGS14" s="4"/>
      <c r="WGT14" s="4"/>
      <c r="WGU14" s="4"/>
      <c r="WGV14" s="4"/>
      <c r="WGW14" s="4"/>
      <c r="WGX14" s="4"/>
      <c r="WGY14" s="4"/>
      <c r="WGZ14" s="4"/>
      <c r="WHA14" s="4"/>
      <c r="WHB14" s="4"/>
      <c r="WHC14" s="4"/>
      <c r="WHD14" s="4"/>
      <c r="WHE14" s="4"/>
      <c r="WHF14" s="4"/>
      <c r="WHG14" s="4"/>
      <c r="WHH14" s="4"/>
      <c r="WHI14" s="4"/>
      <c r="WHJ14" s="4"/>
      <c r="WHK14" s="4"/>
      <c r="WHL14" s="4"/>
      <c r="WHM14" s="4"/>
      <c r="WHN14" s="4"/>
      <c r="WHO14" s="4"/>
      <c r="WHP14" s="4"/>
      <c r="WHQ14" s="4"/>
      <c r="WHR14" s="4"/>
      <c r="WHS14" s="4"/>
      <c r="WHT14" s="4"/>
      <c r="WHU14" s="4"/>
      <c r="WHV14" s="4"/>
      <c r="WHW14" s="4"/>
      <c r="WHX14" s="4"/>
      <c r="WHY14" s="4"/>
      <c r="WHZ14" s="4"/>
      <c r="WIA14" s="4"/>
      <c r="WIB14" s="4"/>
      <c r="WIC14" s="4"/>
      <c r="WID14" s="4"/>
      <c r="WIE14" s="4"/>
      <c r="WIF14" s="4"/>
      <c r="WIG14" s="4"/>
      <c r="WIH14" s="4"/>
      <c r="WII14" s="4"/>
      <c r="WIJ14" s="4"/>
      <c r="WIK14" s="4"/>
      <c r="WIL14" s="4"/>
      <c r="WIM14" s="4"/>
      <c r="WIN14" s="4"/>
      <c r="WIO14" s="4"/>
      <c r="WIP14" s="4"/>
      <c r="WIQ14" s="4"/>
      <c r="WIR14" s="4"/>
      <c r="WIS14" s="4"/>
      <c r="WIT14" s="4"/>
      <c r="WIU14" s="4"/>
      <c r="WIV14" s="4"/>
      <c r="WIW14" s="4"/>
      <c r="WIX14" s="4"/>
      <c r="WIY14" s="4"/>
      <c r="WIZ14" s="4"/>
      <c r="WJA14" s="4"/>
      <c r="WJB14" s="4"/>
      <c r="WJC14" s="4"/>
      <c r="WJD14" s="4"/>
      <c r="WJE14" s="4"/>
      <c r="WJF14" s="4"/>
      <c r="WJG14" s="4"/>
      <c r="WJH14" s="4"/>
      <c r="WJI14" s="4"/>
      <c r="WJJ14" s="4"/>
      <c r="WJK14" s="4"/>
      <c r="WJL14" s="4"/>
      <c r="WJM14" s="4"/>
      <c r="WJN14" s="4"/>
      <c r="WJO14" s="4"/>
      <c r="WJP14" s="4"/>
      <c r="WJQ14" s="4"/>
      <c r="WJR14" s="4"/>
      <c r="WJS14" s="4"/>
      <c r="WJT14" s="4"/>
      <c r="WJU14" s="4"/>
      <c r="WJV14" s="4"/>
      <c r="WJW14" s="4"/>
      <c r="WJX14" s="4"/>
      <c r="WJY14" s="4"/>
      <c r="WJZ14" s="4"/>
      <c r="WKA14" s="4"/>
      <c r="WKB14" s="4"/>
      <c r="WKC14" s="4"/>
      <c r="WKD14" s="4"/>
      <c r="WKE14" s="4"/>
      <c r="WKF14" s="4"/>
      <c r="WKG14" s="4"/>
      <c r="WKH14" s="4"/>
      <c r="WKI14" s="4"/>
      <c r="WKJ14" s="4"/>
      <c r="WKK14" s="4"/>
      <c r="WKL14" s="4"/>
      <c r="WKM14" s="4"/>
      <c r="WKN14" s="4"/>
      <c r="WKO14" s="4"/>
      <c r="WKP14" s="4"/>
      <c r="WKQ14" s="4"/>
      <c r="WKR14" s="4"/>
      <c r="WKS14" s="4"/>
      <c r="WKT14" s="4"/>
      <c r="WKU14" s="4"/>
      <c r="WKV14" s="4"/>
      <c r="WKW14" s="4"/>
      <c r="WKX14" s="4"/>
      <c r="WKY14" s="4"/>
      <c r="WKZ14" s="4"/>
      <c r="WLA14" s="4"/>
      <c r="WLB14" s="4"/>
      <c r="WLC14" s="4"/>
      <c r="WLD14" s="4"/>
      <c r="WLE14" s="4"/>
      <c r="WLF14" s="4"/>
      <c r="WLG14" s="4"/>
      <c r="WLH14" s="4"/>
      <c r="WLI14" s="4"/>
      <c r="WLJ14" s="4"/>
      <c r="WLK14" s="4"/>
      <c r="WLL14" s="4"/>
      <c r="WLM14" s="4"/>
      <c r="WLN14" s="4"/>
      <c r="WLO14" s="4"/>
      <c r="WLP14" s="4"/>
      <c r="WLQ14" s="4"/>
      <c r="WLR14" s="4"/>
      <c r="WLS14" s="4"/>
      <c r="WLT14" s="4"/>
      <c r="WLU14" s="4"/>
      <c r="WLV14" s="4"/>
      <c r="WLW14" s="4"/>
      <c r="WLX14" s="4"/>
      <c r="WLY14" s="4"/>
      <c r="WLZ14" s="4"/>
      <c r="WMA14" s="4"/>
      <c r="WMB14" s="4"/>
      <c r="WMC14" s="4"/>
      <c r="WMD14" s="4"/>
      <c r="WME14" s="4"/>
      <c r="WMF14" s="4"/>
      <c r="WMG14" s="4"/>
      <c r="WMH14" s="4"/>
      <c r="WMI14" s="4"/>
      <c r="WMJ14" s="4"/>
      <c r="WMK14" s="4"/>
      <c r="WML14" s="4"/>
      <c r="WMM14" s="4"/>
      <c r="WMN14" s="4"/>
      <c r="WMO14" s="4"/>
      <c r="WMP14" s="4"/>
      <c r="WMQ14" s="4"/>
      <c r="WMR14" s="4"/>
      <c r="WMS14" s="4"/>
      <c r="WMT14" s="4"/>
      <c r="WMU14" s="4"/>
      <c r="WMV14" s="4"/>
      <c r="WMW14" s="4"/>
      <c r="WMX14" s="4"/>
      <c r="WMY14" s="4"/>
      <c r="WMZ14" s="4"/>
      <c r="WNA14" s="4"/>
      <c r="WNB14" s="4"/>
      <c r="WNC14" s="4"/>
      <c r="WND14" s="4"/>
      <c r="WNE14" s="4"/>
      <c r="WNF14" s="4"/>
      <c r="WNG14" s="4"/>
      <c r="WNH14" s="4"/>
      <c r="WNI14" s="4"/>
      <c r="WNJ14" s="4"/>
      <c r="WNK14" s="4"/>
      <c r="WNL14" s="4"/>
      <c r="WNM14" s="4"/>
      <c r="WNN14" s="4"/>
      <c r="WNO14" s="4"/>
      <c r="WNP14" s="4"/>
      <c r="WNQ14" s="4"/>
      <c r="WNR14" s="4"/>
      <c r="WNS14" s="4"/>
      <c r="WNT14" s="4"/>
      <c r="WNU14" s="4"/>
      <c r="WNV14" s="4"/>
      <c r="WNW14" s="4"/>
      <c r="WNX14" s="4"/>
      <c r="WNY14" s="4"/>
      <c r="WNZ14" s="4"/>
      <c r="WOA14" s="4"/>
      <c r="WOB14" s="4"/>
      <c r="WOC14" s="4"/>
      <c r="WOD14" s="4"/>
      <c r="WOE14" s="4"/>
      <c r="WOF14" s="4"/>
      <c r="WOG14" s="4"/>
      <c r="WOH14" s="4"/>
      <c r="WOI14" s="4"/>
      <c r="WOJ14" s="4"/>
      <c r="WOK14" s="4"/>
      <c r="WOL14" s="4"/>
      <c r="WOM14" s="4"/>
      <c r="WON14" s="4"/>
      <c r="WOO14" s="4"/>
      <c r="WOP14" s="4"/>
      <c r="WOQ14" s="4"/>
      <c r="WOR14" s="4"/>
      <c r="WOS14" s="4"/>
      <c r="WOT14" s="4"/>
      <c r="WOU14" s="4"/>
      <c r="WOV14" s="4"/>
      <c r="WOW14" s="4"/>
      <c r="WOX14" s="4"/>
      <c r="WOY14" s="4"/>
      <c r="WOZ14" s="4"/>
      <c r="WPA14" s="4"/>
      <c r="WPB14" s="4"/>
      <c r="WPC14" s="4"/>
      <c r="WPD14" s="4"/>
      <c r="WPE14" s="4"/>
      <c r="WPF14" s="4"/>
      <c r="WPG14" s="4"/>
      <c r="WPH14" s="4"/>
      <c r="WPI14" s="4"/>
      <c r="WPJ14" s="4"/>
      <c r="WPK14" s="4"/>
      <c r="WPL14" s="4"/>
      <c r="WPM14" s="4"/>
      <c r="WPN14" s="4"/>
      <c r="WPO14" s="4"/>
      <c r="WPP14" s="4"/>
      <c r="WPQ14" s="4"/>
      <c r="WPR14" s="4"/>
      <c r="WPS14" s="4"/>
      <c r="WPT14" s="4"/>
      <c r="WPU14" s="4"/>
      <c r="WPV14" s="4"/>
      <c r="WPW14" s="4"/>
      <c r="WPX14" s="4"/>
      <c r="WPY14" s="4"/>
      <c r="WPZ14" s="4"/>
      <c r="WQA14" s="4"/>
      <c r="WQB14" s="4"/>
      <c r="WQC14" s="4"/>
      <c r="WQD14" s="4"/>
      <c r="WQE14" s="4"/>
      <c r="WQF14" s="4"/>
      <c r="WQG14" s="4"/>
      <c r="WQH14" s="4"/>
      <c r="WQI14" s="4"/>
      <c r="WQJ14" s="4"/>
      <c r="WQK14" s="4"/>
      <c r="WQL14" s="4"/>
      <c r="WQM14" s="4"/>
      <c r="WQN14" s="4"/>
      <c r="WQO14" s="4"/>
      <c r="WQP14" s="4"/>
      <c r="WQQ14" s="4"/>
      <c r="WQR14" s="4"/>
      <c r="WQS14" s="4"/>
      <c r="WQT14" s="4"/>
      <c r="WQU14" s="4"/>
      <c r="WQV14" s="4"/>
      <c r="WQW14" s="4"/>
      <c r="WQX14" s="4"/>
      <c r="WQY14" s="4"/>
      <c r="WQZ14" s="4"/>
      <c r="WRA14" s="4"/>
      <c r="WRB14" s="4"/>
      <c r="WRC14" s="4"/>
      <c r="WRD14" s="4"/>
      <c r="WRE14" s="4"/>
      <c r="WRF14" s="4"/>
      <c r="WRG14" s="4"/>
      <c r="WRH14" s="4"/>
      <c r="WRI14" s="4"/>
      <c r="WRJ14" s="4"/>
      <c r="WRK14" s="4"/>
      <c r="WRL14" s="4"/>
      <c r="WRM14" s="4"/>
      <c r="WRN14" s="4"/>
      <c r="WRO14" s="4"/>
      <c r="WRP14" s="4"/>
      <c r="WRQ14" s="4"/>
      <c r="WRR14" s="4"/>
      <c r="WRS14" s="4"/>
      <c r="WRT14" s="4"/>
      <c r="WRU14" s="4"/>
      <c r="WRV14" s="4"/>
      <c r="WRW14" s="4"/>
      <c r="WRX14" s="4"/>
      <c r="WRY14" s="4"/>
      <c r="WRZ14" s="4"/>
      <c r="WSA14" s="4"/>
      <c r="WSB14" s="4"/>
      <c r="WSC14" s="4"/>
      <c r="WSD14" s="4"/>
      <c r="WSE14" s="4"/>
      <c r="WSF14" s="4"/>
      <c r="WSG14" s="4"/>
      <c r="WSH14" s="4"/>
      <c r="WSI14" s="4"/>
      <c r="WSJ14" s="4"/>
      <c r="WSK14" s="4"/>
      <c r="WSL14" s="4"/>
      <c r="WSM14" s="4"/>
      <c r="WSN14" s="4"/>
      <c r="WSO14" s="4"/>
      <c r="WSP14" s="4"/>
      <c r="WSQ14" s="4"/>
      <c r="WSR14" s="4"/>
      <c r="WSS14" s="4"/>
      <c r="WST14" s="4"/>
      <c r="WSU14" s="4"/>
      <c r="WSV14" s="4"/>
      <c r="WSW14" s="4"/>
      <c r="WSX14" s="4"/>
      <c r="WSY14" s="4"/>
      <c r="WSZ14" s="4"/>
      <c r="WTA14" s="4"/>
      <c r="WTB14" s="4"/>
      <c r="WTC14" s="4"/>
      <c r="WTD14" s="4"/>
      <c r="WTE14" s="4"/>
      <c r="WTF14" s="4"/>
      <c r="WTG14" s="4"/>
      <c r="WTH14" s="4"/>
      <c r="WTI14" s="4"/>
      <c r="WTJ14" s="4"/>
      <c r="WTK14" s="4"/>
      <c r="WTL14" s="4"/>
      <c r="WTM14" s="4"/>
      <c r="WTN14" s="4"/>
      <c r="WTO14" s="4"/>
      <c r="WTP14" s="4"/>
      <c r="WTQ14" s="4"/>
      <c r="WTR14" s="4"/>
      <c r="WTS14" s="4"/>
      <c r="WTT14" s="4"/>
      <c r="WTU14" s="4"/>
      <c r="WTV14" s="4"/>
      <c r="WTW14" s="4"/>
      <c r="WTX14" s="4"/>
      <c r="WTY14" s="4"/>
      <c r="WTZ14" s="4"/>
      <c r="WUA14" s="4"/>
      <c r="WUB14" s="4"/>
      <c r="WUC14" s="4"/>
      <c r="WUD14" s="4"/>
      <c r="WUE14" s="4"/>
      <c r="WUF14" s="4"/>
      <c r="WUG14" s="4"/>
      <c r="WUH14" s="4"/>
      <c r="WUI14" s="4"/>
      <c r="WUJ14" s="4"/>
      <c r="WUK14" s="4"/>
      <c r="WUL14" s="4"/>
      <c r="WUM14" s="4"/>
      <c r="WUN14" s="4"/>
      <c r="WUO14" s="4"/>
      <c r="WUP14" s="4"/>
      <c r="WUQ14" s="4"/>
      <c r="WUR14" s="4"/>
      <c r="WUS14" s="4"/>
      <c r="WUT14" s="4"/>
      <c r="WUU14" s="4"/>
      <c r="WUV14" s="4"/>
      <c r="WUW14" s="4"/>
      <c r="WUX14" s="4"/>
      <c r="WUY14" s="4"/>
      <c r="WUZ14" s="4"/>
      <c r="WVA14" s="4"/>
      <c r="WVB14" s="4"/>
      <c r="WVC14" s="4"/>
      <c r="WVD14" s="4"/>
      <c r="WVE14" s="4"/>
      <c r="WVF14" s="4"/>
      <c r="WVG14" s="4"/>
      <c r="WVH14" s="4"/>
      <c r="WVI14" s="4"/>
      <c r="WVJ14" s="4"/>
      <c r="WVK14" s="4"/>
      <c r="WVL14" s="4"/>
      <c r="WVM14" s="4"/>
      <c r="WVN14" s="4"/>
      <c r="WVO14" s="4"/>
      <c r="WVP14" s="4"/>
      <c r="WVQ14" s="4"/>
      <c r="WVR14" s="4"/>
      <c r="WVS14" s="4"/>
      <c r="WVT14" s="4"/>
      <c r="WVU14" s="4"/>
      <c r="WVV14" s="4"/>
      <c r="WVW14" s="4"/>
      <c r="WVX14" s="4"/>
      <c r="WVY14" s="4"/>
      <c r="WVZ14" s="4"/>
      <c r="WWA14" s="4"/>
      <c r="WWB14" s="4"/>
      <c r="WWC14" s="4"/>
      <c r="WWD14" s="4"/>
      <c r="WWE14" s="4"/>
      <c r="WWF14" s="4"/>
      <c r="WWG14" s="4"/>
      <c r="WWH14" s="4"/>
      <c r="WWI14" s="4"/>
      <c r="WWJ14" s="4"/>
      <c r="WWK14" s="4"/>
      <c r="WWL14" s="4"/>
      <c r="WWM14" s="4"/>
      <c r="WWN14" s="4"/>
      <c r="WWO14" s="4"/>
      <c r="WWP14" s="4"/>
      <c r="WWQ14" s="4"/>
      <c r="WWR14" s="4"/>
      <c r="WWS14" s="4"/>
      <c r="WWT14" s="4"/>
      <c r="WWU14" s="4"/>
      <c r="WWV14" s="4"/>
      <c r="WWW14" s="4"/>
      <c r="WWX14" s="4"/>
      <c r="WWY14" s="4"/>
      <c r="WWZ14" s="4"/>
      <c r="WXA14" s="4"/>
      <c r="WXB14" s="4"/>
      <c r="WXC14" s="4"/>
      <c r="WXD14" s="4"/>
      <c r="WXE14" s="4"/>
      <c r="WXF14" s="4"/>
      <c r="WXG14" s="4"/>
      <c r="WXH14" s="4"/>
      <c r="WXI14" s="4"/>
      <c r="WXJ14" s="4"/>
      <c r="WXK14" s="4"/>
      <c r="WXL14" s="4"/>
      <c r="WXM14" s="4"/>
      <c r="WXN14" s="4"/>
      <c r="WXO14" s="4"/>
      <c r="WXP14" s="4"/>
      <c r="WXQ14" s="4"/>
      <c r="WXR14" s="4"/>
      <c r="WXS14" s="4"/>
      <c r="WXT14" s="4"/>
      <c r="WXU14" s="4"/>
      <c r="WXV14" s="4"/>
      <c r="WXW14" s="4"/>
      <c r="WXX14" s="4"/>
      <c r="WXY14" s="4"/>
      <c r="WXZ14" s="4"/>
      <c r="WYA14" s="4"/>
      <c r="WYB14" s="4"/>
      <c r="WYC14" s="4"/>
      <c r="WYD14" s="4"/>
      <c r="WYE14" s="4"/>
      <c r="WYF14" s="4"/>
      <c r="WYG14" s="4"/>
      <c r="WYH14" s="4"/>
      <c r="WYI14" s="4"/>
      <c r="WYJ14" s="4"/>
      <c r="WYK14" s="4"/>
      <c r="WYL14" s="4"/>
      <c r="WYM14" s="4"/>
      <c r="WYN14" s="4"/>
      <c r="WYO14" s="4"/>
      <c r="WYP14" s="4"/>
      <c r="WYQ14" s="4"/>
      <c r="WYR14" s="4"/>
      <c r="WYS14" s="4"/>
      <c r="WYT14" s="4"/>
      <c r="WYU14" s="4"/>
      <c r="WYV14" s="4"/>
      <c r="WYW14" s="4"/>
      <c r="WYX14" s="4"/>
      <c r="WYY14" s="4"/>
      <c r="WYZ14" s="4"/>
      <c r="WZA14" s="4"/>
      <c r="WZB14" s="4"/>
      <c r="WZC14" s="4"/>
      <c r="WZD14" s="4"/>
      <c r="WZE14" s="4"/>
      <c r="WZF14" s="4"/>
      <c r="WZG14" s="4"/>
      <c r="WZH14" s="4"/>
      <c r="WZI14" s="4"/>
      <c r="WZJ14" s="4"/>
      <c r="WZK14" s="4"/>
      <c r="WZL14" s="4"/>
      <c r="WZM14" s="4"/>
      <c r="WZN14" s="4"/>
      <c r="WZO14" s="4"/>
      <c r="WZP14" s="4"/>
      <c r="WZQ14" s="4"/>
      <c r="WZR14" s="4"/>
      <c r="WZS14" s="4"/>
      <c r="WZT14" s="4"/>
      <c r="WZU14" s="4"/>
      <c r="WZV14" s="4"/>
      <c r="WZW14" s="4"/>
      <c r="WZX14" s="4"/>
      <c r="WZY14" s="4"/>
      <c r="WZZ14" s="4"/>
      <c r="XAA14" s="4"/>
      <c r="XAB14" s="4"/>
      <c r="XAC14" s="4"/>
      <c r="XAD14" s="4"/>
      <c r="XAE14" s="4"/>
      <c r="XAF14" s="4"/>
      <c r="XAG14" s="4"/>
      <c r="XAH14" s="4"/>
      <c r="XAI14" s="4"/>
      <c r="XAJ14" s="4"/>
      <c r="XAK14" s="4"/>
      <c r="XAL14" s="4"/>
      <c r="XAM14" s="4"/>
      <c r="XAN14" s="4"/>
      <c r="XAO14" s="4"/>
      <c r="XAP14" s="4"/>
      <c r="XAQ14" s="4"/>
      <c r="XAR14" s="4"/>
      <c r="XAS14" s="4"/>
      <c r="XAT14" s="4"/>
      <c r="XAU14" s="4"/>
      <c r="XAV14" s="4"/>
      <c r="XAW14" s="4"/>
      <c r="XAX14" s="4"/>
      <c r="XAY14" s="4"/>
      <c r="XAZ14" s="4"/>
      <c r="XBA14" s="4"/>
      <c r="XBB14" s="4"/>
      <c r="XBC14" s="4"/>
      <c r="XBD14" s="4"/>
      <c r="XBE14" s="4"/>
      <c r="XBF14" s="4"/>
      <c r="XBG14" s="4"/>
      <c r="XBH14" s="4"/>
      <c r="XBI14" s="4"/>
      <c r="XBJ14" s="4"/>
      <c r="XBK14" s="4"/>
      <c r="XBL14" s="4"/>
      <c r="XBM14" s="4"/>
      <c r="XBN14" s="4"/>
      <c r="XBO14" s="4"/>
      <c r="XBP14" s="4"/>
      <c r="XBQ14" s="4"/>
      <c r="XBR14" s="4"/>
      <c r="XBS14" s="4"/>
      <c r="XBT14" s="4"/>
      <c r="XBU14" s="4"/>
      <c r="XBV14" s="4"/>
      <c r="XBW14" s="4"/>
      <c r="XBX14" s="4"/>
      <c r="XBY14" s="4"/>
      <c r="XBZ14" s="4"/>
      <c r="XCA14" s="4"/>
      <c r="XCB14" s="4"/>
      <c r="XCC14" s="4"/>
      <c r="XCD14" s="4"/>
      <c r="XCE14" s="4"/>
      <c r="XCF14" s="4"/>
      <c r="XCG14" s="4"/>
      <c r="XCH14" s="4"/>
      <c r="XCI14" s="4"/>
      <c r="XCJ14" s="4"/>
      <c r="XCK14" s="4"/>
      <c r="XCL14" s="4"/>
      <c r="XCM14" s="4"/>
      <c r="XCN14" s="4"/>
      <c r="XCO14" s="4"/>
      <c r="XCP14" s="4"/>
      <c r="XCQ14" s="4"/>
      <c r="XCR14" s="4"/>
      <c r="XCS14" s="4"/>
      <c r="XCT14" s="4"/>
      <c r="XCU14" s="4"/>
      <c r="XCV14" s="4"/>
      <c r="XCW14" s="4"/>
      <c r="XCX14" s="4"/>
      <c r="XCY14" s="4"/>
      <c r="XCZ14" s="4"/>
      <c r="XDA14" s="4"/>
      <c r="XDB14" s="4"/>
      <c r="XDC14" s="4"/>
      <c r="XDD14" s="4"/>
      <c r="XDE14" s="4"/>
      <c r="XDF14" s="4"/>
      <c r="XDG14" s="4"/>
      <c r="XDH14" s="4"/>
      <c r="XDI14" s="4"/>
      <c r="XDJ14" s="4"/>
      <c r="XDK14" s="4"/>
      <c r="XDL14" s="4"/>
      <c r="XDM14" s="4"/>
      <c r="XDN14" s="4"/>
      <c r="XDO14" s="4"/>
      <c r="XDP14" s="4"/>
      <c r="XDQ14" s="4"/>
      <c r="XDR14" s="4"/>
      <c r="XDS14" s="4"/>
      <c r="XDT14" s="4"/>
      <c r="XDU14" s="4"/>
      <c r="XDV14" s="4"/>
      <c r="XDW14" s="4"/>
      <c r="XDX14" s="4"/>
      <c r="XDY14" s="4"/>
      <c r="XDZ14" s="4"/>
      <c r="XEA14" s="4"/>
      <c r="XEB14" s="4"/>
      <c r="XEC14" s="4"/>
      <c r="XED14" s="4"/>
      <c r="XEE14" s="4"/>
      <c r="XEF14" s="4"/>
      <c r="XEG14" s="4"/>
      <c r="XEH14" s="4"/>
      <c r="XEI14" s="4"/>
      <c r="XEJ14" s="4"/>
      <c r="XEK14" s="4"/>
      <c r="XEL14" s="4"/>
      <c r="XEM14" s="4"/>
      <c r="XEN14" s="4"/>
      <c r="XEO14" s="4"/>
      <c r="XEP14" s="4"/>
      <c r="XEQ14" s="4"/>
      <c r="XER14" s="4"/>
      <c r="XES14" s="4"/>
      <c r="XET14" s="4"/>
      <c r="XEU14" s="4"/>
      <c r="XEV14" s="4"/>
      <c r="XEW14" s="4"/>
      <c r="XEX14" s="4"/>
      <c r="XEY14" s="4"/>
      <c r="XEZ14" s="4"/>
      <c r="XFA14" s="4"/>
      <c r="XFB14" s="4"/>
      <c r="XFC14" s="4"/>
    </row>
    <row r="15" spans="1:16383" ht="17.5" x14ac:dyDescent="0.35">
      <c r="A15" s="309" t="s">
        <v>2436</v>
      </c>
      <c r="B15" s="309"/>
      <c r="C15" s="248"/>
      <c r="D15" s="4"/>
      <c r="E15" s="4"/>
      <c r="F15" s="248"/>
      <c r="G15" s="3"/>
      <c r="H15" s="406"/>
      <c r="I15" s="40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4"/>
      <c r="BOV15" s="4"/>
      <c r="BOW15" s="4"/>
      <c r="BOX15" s="4"/>
      <c r="BOY15" s="4"/>
      <c r="BOZ15" s="4"/>
      <c r="BPA15" s="4"/>
      <c r="BPB15" s="4"/>
      <c r="BPC15" s="4"/>
      <c r="BPD15" s="4"/>
      <c r="BPE15" s="4"/>
      <c r="BPF15" s="4"/>
      <c r="BPG15" s="4"/>
      <c r="BPH15" s="4"/>
      <c r="BPI15" s="4"/>
      <c r="BPJ15" s="4"/>
      <c r="BPK15" s="4"/>
      <c r="BPL15" s="4"/>
      <c r="BPM15" s="4"/>
      <c r="BPN15" s="4"/>
      <c r="BPO15" s="4"/>
      <c r="BPP15" s="4"/>
      <c r="BPQ15" s="4"/>
      <c r="BPR15" s="4"/>
      <c r="BPS15" s="4"/>
      <c r="BPT15" s="4"/>
      <c r="BPU15" s="4"/>
      <c r="BPV15" s="4"/>
      <c r="BPW15" s="4"/>
      <c r="BPX15" s="4"/>
      <c r="BPY15" s="4"/>
      <c r="BPZ15" s="4"/>
      <c r="BQA15" s="4"/>
      <c r="BQB15" s="4"/>
      <c r="BQC15" s="4"/>
      <c r="BQD15" s="4"/>
      <c r="BQE15" s="4"/>
      <c r="BQF15" s="4"/>
      <c r="BQG15" s="4"/>
      <c r="BQH15" s="4"/>
      <c r="BQI15" s="4"/>
      <c r="BQJ15" s="4"/>
      <c r="BQK15" s="4"/>
      <c r="BQL15" s="4"/>
      <c r="BQM15" s="4"/>
      <c r="BQN15" s="4"/>
      <c r="BQO15" s="4"/>
      <c r="BQP15" s="4"/>
      <c r="BQQ15" s="4"/>
      <c r="BQR15" s="4"/>
      <c r="BQS15" s="4"/>
      <c r="BQT15" s="4"/>
      <c r="BQU15" s="4"/>
      <c r="BQV15" s="4"/>
      <c r="BQW15" s="4"/>
      <c r="BQX15" s="4"/>
      <c r="BQY15" s="4"/>
      <c r="BQZ15" s="4"/>
      <c r="BRA15" s="4"/>
      <c r="BRB15" s="4"/>
      <c r="BRC15" s="4"/>
      <c r="BRD15" s="4"/>
      <c r="BRE15" s="4"/>
      <c r="BRF15" s="4"/>
      <c r="BRG15" s="4"/>
      <c r="BRH15" s="4"/>
      <c r="BRI15" s="4"/>
      <c r="BRJ15" s="4"/>
      <c r="BRK15" s="4"/>
      <c r="BRL15" s="4"/>
      <c r="BRM15" s="4"/>
      <c r="BRN15" s="4"/>
      <c r="BRO15" s="4"/>
      <c r="BRP15" s="4"/>
      <c r="BRQ15" s="4"/>
      <c r="BRR15" s="4"/>
      <c r="BRS15" s="4"/>
      <c r="BRT15" s="4"/>
      <c r="BRU15" s="4"/>
      <c r="BRV15" s="4"/>
      <c r="BRW15" s="4"/>
      <c r="BRX15" s="4"/>
      <c r="BRY15" s="4"/>
      <c r="BRZ15" s="4"/>
      <c r="BSA15" s="4"/>
      <c r="BSB15" s="4"/>
      <c r="BSC15" s="4"/>
      <c r="BSD15" s="4"/>
      <c r="BSE15" s="4"/>
      <c r="BSF15" s="4"/>
      <c r="BSG15" s="4"/>
      <c r="BSH15" s="4"/>
      <c r="BSI15" s="4"/>
      <c r="BSJ15" s="4"/>
      <c r="BSK15" s="4"/>
      <c r="BSL15" s="4"/>
      <c r="BSM15" s="4"/>
      <c r="BSN15" s="4"/>
      <c r="BSO15" s="4"/>
      <c r="BSP15" s="4"/>
      <c r="BSQ15" s="4"/>
      <c r="BSR15" s="4"/>
      <c r="BSS15" s="4"/>
      <c r="BST15" s="4"/>
      <c r="BSU15" s="4"/>
      <c r="BSV15" s="4"/>
      <c r="BSW15" s="4"/>
      <c r="BSX15" s="4"/>
      <c r="BSY15" s="4"/>
      <c r="BSZ15" s="4"/>
      <c r="BTA15" s="4"/>
      <c r="BTB15" s="4"/>
      <c r="BTC15" s="4"/>
      <c r="BTD15" s="4"/>
      <c r="BTE15" s="4"/>
      <c r="BTF15" s="4"/>
      <c r="BTG15" s="4"/>
      <c r="BTH15" s="4"/>
      <c r="BTI15" s="4"/>
      <c r="BTJ15" s="4"/>
      <c r="BTK15" s="4"/>
      <c r="BTL15" s="4"/>
      <c r="BTM15" s="4"/>
      <c r="BTN15" s="4"/>
      <c r="BTO15" s="4"/>
      <c r="BTP15" s="4"/>
      <c r="BTQ15" s="4"/>
      <c r="BTR15" s="4"/>
      <c r="BTS15" s="4"/>
      <c r="BTT15" s="4"/>
      <c r="BTU15" s="4"/>
      <c r="BTV15" s="4"/>
      <c r="BTW15" s="4"/>
      <c r="BTX15" s="4"/>
      <c r="BTY15" s="4"/>
      <c r="BTZ15" s="4"/>
      <c r="BUA15" s="4"/>
      <c r="BUB15" s="4"/>
      <c r="BUC15" s="4"/>
      <c r="BUD15" s="4"/>
      <c r="BUE15" s="4"/>
      <c r="BUF15" s="4"/>
      <c r="BUG15" s="4"/>
      <c r="BUH15" s="4"/>
      <c r="BUI15" s="4"/>
      <c r="BUJ15" s="4"/>
      <c r="BUK15" s="4"/>
      <c r="BUL15" s="4"/>
      <c r="BUM15" s="4"/>
      <c r="BUN15" s="4"/>
      <c r="BUO15" s="4"/>
      <c r="BUP15" s="4"/>
      <c r="BUQ15" s="4"/>
      <c r="BUR15" s="4"/>
      <c r="BUS15" s="4"/>
      <c r="BUT15" s="4"/>
      <c r="BUU15" s="4"/>
      <c r="BUV15" s="4"/>
      <c r="BUW15" s="4"/>
      <c r="BUX15" s="4"/>
      <c r="BUY15" s="4"/>
      <c r="BUZ15" s="4"/>
      <c r="BVA15" s="4"/>
      <c r="BVB15" s="4"/>
      <c r="BVC15" s="4"/>
      <c r="BVD15" s="4"/>
      <c r="BVE15" s="4"/>
      <c r="BVF15" s="4"/>
      <c r="BVG15" s="4"/>
      <c r="BVH15" s="4"/>
      <c r="BVI15" s="4"/>
      <c r="BVJ15" s="4"/>
      <c r="BVK15" s="4"/>
      <c r="BVL15" s="4"/>
      <c r="BVM15" s="4"/>
      <c r="BVN15" s="4"/>
      <c r="BVO15" s="4"/>
      <c r="BVP15" s="4"/>
      <c r="BVQ15" s="4"/>
      <c r="BVR15" s="4"/>
      <c r="BVS15" s="4"/>
      <c r="BVT15" s="4"/>
      <c r="BVU15" s="4"/>
      <c r="BVV15" s="4"/>
      <c r="BVW15" s="4"/>
      <c r="BVX15" s="4"/>
      <c r="BVY15" s="4"/>
      <c r="BVZ15" s="4"/>
      <c r="BWA15" s="4"/>
      <c r="BWB15" s="4"/>
      <c r="BWC15" s="4"/>
      <c r="BWD15" s="4"/>
      <c r="BWE15" s="4"/>
      <c r="BWF15" s="4"/>
      <c r="BWG15" s="4"/>
      <c r="BWH15" s="4"/>
      <c r="BWI15" s="4"/>
      <c r="BWJ15" s="4"/>
      <c r="BWK15" s="4"/>
      <c r="BWL15" s="4"/>
      <c r="BWM15" s="4"/>
      <c r="BWN15" s="4"/>
      <c r="BWO15" s="4"/>
      <c r="BWP15" s="4"/>
      <c r="BWQ15" s="4"/>
      <c r="BWR15" s="4"/>
      <c r="BWS15" s="4"/>
      <c r="BWT15" s="4"/>
      <c r="BWU15" s="4"/>
      <c r="BWV15" s="4"/>
      <c r="BWW15" s="4"/>
      <c r="BWX15" s="4"/>
      <c r="BWY15" s="4"/>
      <c r="BWZ15" s="4"/>
      <c r="BXA15" s="4"/>
      <c r="BXB15" s="4"/>
      <c r="BXC15" s="4"/>
      <c r="BXD15" s="4"/>
      <c r="BXE15" s="4"/>
      <c r="BXF15" s="4"/>
      <c r="BXG15" s="4"/>
      <c r="BXH15" s="4"/>
      <c r="BXI15" s="4"/>
      <c r="BXJ15" s="4"/>
      <c r="BXK15" s="4"/>
      <c r="BXL15" s="4"/>
      <c r="BXM15" s="4"/>
      <c r="BXN15" s="4"/>
      <c r="BXO15" s="4"/>
      <c r="BXP15" s="4"/>
      <c r="BXQ15" s="4"/>
      <c r="BXR15" s="4"/>
      <c r="BXS15" s="4"/>
      <c r="BXT15" s="4"/>
      <c r="BXU15" s="4"/>
      <c r="BXV15" s="4"/>
      <c r="BXW15" s="4"/>
      <c r="BXX15" s="4"/>
      <c r="BXY15" s="4"/>
      <c r="BXZ15" s="4"/>
      <c r="BYA15" s="4"/>
      <c r="BYB15" s="4"/>
      <c r="BYC15" s="4"/>
      <c r="BYD15" s="4"/>
      <c r="BYE15" s="4"/>
      <c r="BYF15" s="4"/>
      <c r="BYG15" s="4"/>
      <c r="BYH15" s="4"/>
      <c r="BYI15" s="4"/>
      <c r="BYJ15" s="4"/>
      <c r="BYK15" s="4"/>
      <c r="BYL15" s="4"/>
      <c r="BYM15" s="4"/>
      <c r="BYN15" s="4"/>
      <c r="BYO15" s="4"/>
      <c r="BYP15" s="4"/>
      <c r="BYQ15" s="4"/>
      <c r="BYR15" s="4"/>
      <c r="BYS15" s="4"/>
      <c r="BYT15" s="4"/>
      <c r="BYU15" s="4"/>
      <c r="BYV15" s="4"/>
      <c r="BYW15" s="4"/>
      <c r="BYX15" s="4"/>
      <c r="BYY15" s="4"/>
      <c r="BYZ15" s="4"/>
      <c r="BZA15" s="4"/>
      <c r="BZB15" s="4"/>
      <c r="BZC15" s="4"/>
      <c r="BZD15" s="4"/>
      <c r="BZE15" s="4"/>
      <c r="BZF15" s="4"/>
      <c r="BZG15" s="4"/>
      <c r="BZH15" s="4"/>
      <c r="BZI15" s="4"/>
      <c r="BZJ15" s="4"/>
      <c r="BZK15" s="4"/>
      <c r="BZL15" s="4"/>
      <c r="BZM15" s="4"/>
      <c r="BZN15" s="4"/>
      <c r="BZO15" s="4"/>
      <c r="BZP15" s="4"/>
      <c r="BZQ15" s="4"/>
      <c r="BZR15" s="4"/>
      <c r="BZS15" s="4"/>
      <c r="BZT15" s="4"/>
      <c r="BZU15" s="4"/>
      <c r="BZV15" s="4"/>
      <c r="BZW15" s="4"/>
      <c r="BZX15" s="4"/>
      <c r="BZY15" s="4"/>
      <c r="BZZ15" s="4"/>
      <c r="CAA15" s="4"/>
      <c r="CAB15" s="4"/>
      <c r="CAC15" s="4"/>
      <c r="CAD15" s="4"/>
      <c r="CAE15" s="4"/>
      <c r="CAF15" s="4"/>
      <c r="CAG15" s="4"/>
      <c r="CAH15" s="4"/>
      <c r="CAI15" s="4"/>
      <c r="CAJ15" s="4"/>
      <c r="CAK15" s="4"/>
      <c r="CAL15" s="4"/>
      <c r="CAM15" s="4"/>
      <c r="CAN15" s="4"/>
      <c r="CAO15" s="4"/>
      <c r="CAP15" s="4"/>
      <c r="CAQ15" s="4"/>
      <c r="CAR15" s="4"/>
      <c r="CAS15" s="4"/>
      <c r="CAT15" s="4"/>
      <c r="CAU15" s="4"/>
      <c r="CAV15" s="4"/>
      <c r="CAW15" s="4"/>
      <c r="CAX15" s="4"/>
      <c r="CAY15" s="4"/>
      <c r="CAZ15" s="4"/>
      <c r="CBA15" s="4"/>
      <c r="CBB15" s="4"/>
      <c r="CBC15" s="4"/>
      <c r="CBD15" s="4"/>
      <c r="CBE15" s="4"/>
      <c r="CBF15" s="4"/>
      <c r="CBG15" s="4"/>
      <c r="CBH15" s="4"/>
      <c r="CBI15" s="4"/>
      <c r="CBJ15" s="4"/>
      <c r="CBK15" s="4"/>
      <c r="CBL15" s="4"/>
      <c r="CBM15" s="4"/>
      <c r="CBN15" s="4"/>
      <c r="CBO15" s="4"/>
      <c r="CBP15" s="4"/>
      <c r="CBQ15" s="4"/>
      <c r="CBR15" s="4"/>
      <c r="CBS15" s="4"/>
      <c r="CBT15" s="4"/>
      <c r="CBU15" s="4"/>
      <c r="CBV15" s="4"/>
      <c r="CBW15" s="4"/>
      <c r="CBX15" s="4"/>
      <c r="CBY15" s="4"/>
      <c r="CBZ15" s="4"/>
      <c r="CCA15" s="4"/>
      <c r="CCB15" s="4"/>
      <c r="CCC15" s="4"/>
      <c r="CCD15" s="4"/>
      <c r="CCE15" s="4"/>
      <c r="CCF15" s="4"/>
      <c r="CCG15" s="4"/>
      <c r="CCH15" s="4"/>
      <c r="CCI15" s="4"/>
      <c r="CCJ15" s="4"/>
      <c r="CCK15" s="4"/>
      <c r="CCL15" s="4"/>
      <c r="CCM15" s="4"/>
      <c r="CCN15" s="4"/>
      <c r="CCO15" s="4"/>
      <c r="CCP15" s="4"/>
      <c r="CCQ15" s="4"/>
      <c r="CCR15" s="4"/>
      <c r="CCS15" s="4"/>
      <c r="CCT15" s="4"/>
      <c r="CCU15" s="4"/>
      <c r="CCV15" s="4"/>
      <c r="CCW15" s="4"/>
      <c r="CCX15" s="4"/>
      <c r="CCY15" s="4"/>
      <c r="CCZ15" s="4"/>
      <c r="CDA15" s="4"/>
      <c r="CDB15" s="4"/>
      <c r="CDC15" s="4"/>
      <c r="CDD15" s="4"/>
      <c r="CDE15" s="4"/>
      <c r="CDF15" s="4"/>
      <c r="CDG15" s="4"/>
      <c r="CDH15" s="4"/>
      <c r="CDI15" s="4"/>
      <c r="CDJ15" s="4"/>
      <c r="CDK15" s="4"/>
      <c r="CDL15" s="4"/>
      <c r="CDM15" s="4"/>
      <c r="CDN15" s="4"/>
      <c r="CDO15" s="4"/>
      <c r="CDP15" s="4"/>
      <c r="CDQ15" s="4"/>
      <c r="CDR15" s="4"/>
      <c r="CDS15" s="4"/>
      <c r="CDT15" s="4"/>
      <c r="CDU15" s="4"/>
      <c r="CDV15" s="4"/>
      <c r="CDW15" s="4"/>
      <c r="CDX15" s="4"/>
      <c r="CDY15" s="4"/>
      <c r="CDZ15" s="4"/>
      <c r="CEA15" s="4"/>
      <c r="CEB15" s="4"/>
      <c r="CEC15" s="4"/>
      <c r="CED15" s="4"/>
      <c r="CEE15" s="4"/>
      <c r="CEF15" s="4"/>
      <c r="CEG15" s="4"/>
      <c r="CEH15" s="4"/>
      <c r="CEI15" s="4"/>
      <c r="CEJ15" s="4"/>
      <c r="CEK15" s="4"/>
      <c r="CEL15" s="4"/>
      <c r="CEM15" s="4"/>
      <c r="CEN15" s="4"/>
      <c r="CEO15" s="4"/>
      <c r="CEP15" s="4"/>
      <c r="CEQ15" s="4"/>
      <c r="CER15" s="4"/>
      <c r="CES15" s="4"/>
      <c r="CET15" s="4"/>
      <c r="CEU15" s="4"/>
      <c r="CEV15" s="4"/>
      <c r="CEW15" s="4"/>
      <c r="CEX15" s="4"/>
      <c r="CEY15" s="4"/>
      <c r="CEZ15" s="4"/>
      <c r="CFA15" s="4"/>
      <c r="CFB15" s="4"/>
      <c r="CFC15" s="4"/>
      <c r="CFD15" s="4"/>
      <c r="CFE15" s="4"/>
      <c r="CFF15" s="4"/>
      <c r="CFG15" s="4"/>
      <c r="CFH15" s="4"/>
      <c r="CFI15" s="4"/>
      <c r="CFJ15" s="4"/>
      <c r="CFK15" s="4"/>
      <c r="CFL15" s="4"/>
      <c r="CFM15" s="4"/>
      <c r="CFN15" s="4"/>
      <c r="CFO15" s="4"/>
      <c r="CFP15" s="4"/>
      <c r="CFQ15" s="4"/>
      <c r="CFR15" s="4"/>
      <c r="CFS15" s="4"/>
      <c r="CFT15" s="4"/>
      <c r="CFU15" s="4"/>
      <c r="CFV15" s="4"/>
      <c r="CFW15" s="4"/>
      <c r="CFX15" s="4"/>
      <c r="CFY15" s="4"/>
      <c r="CFZ15" s="4"/>
      <c r="CGA15" s="4"/>
      <c r="CGB15" s="4"/>
      <c r="CGC15" s="4"/>
      <c r="CGD15" s="4"/>
      <c r="CGE15" s="4"/>
      <c r="CGF15" s="4"/>
      <c r="CGG15" s="4"/>
      <c r="CGH15" s="4"/>
      <c r="CGI15" s="4"/>
      <c r="CGJ15" s="4"/>
      <c r="CGK15" s="4"/>
      <c r="CGL15" s="4"/>
      <c r="CGM15" s="4"/>
      <c r="CGN15" s="4"/>
      <c r="CGO15" s="4"/>
      <c r="CGP15" s="4"/>
      <c r="CGQ15" s="4"/>
      <c r="CGR15" s="4"/>
      <c r="CGS15" s="4"/>
      <c r="CGT15" s="4"/>
      <c r="CGU15" s="4"/>
      <c r="CGV15" s="4"/>
      <c r="CGW15" s="4"/>
      <c r="CGX15" s="4"/>
      <c r="CGY15" s="4"/>
      <c r="CGZ15" s="4"/>
      <c r="CHA15" s="4"/>
      <c r="CHB15" s="4"/>
      <c r="CHC15" s="4"/>
      <c r="CHD15" s="4"/>
      <c r="CHE15" s="4"/>
      <c r="CHF15" s="4"/>
      <c r="CHG15" s="4"/>
      <c r="CHH15" s="4"/>
      <c r="CHI15" s="4"/>
      <c r="CHJ15" s="4"/>
      <c r="CHK15" s="4"/>
      <c r="CHL15" s="4"/>
      <c r="CHM15" s="4"/>
      <c r="CHN15" s="4"/>
      <c r="CHO15" s="4"/>
      <c r="CHP15" s="4"/>
      <c r="CHQ15" s="4"/>
      <c r="CHR15" s="4"/>
      <c r="CHS15" s="4"/>
      <c r="CHT15" s="4"/>
      <c r="CHU15" s="4"/>
      <c r="CHV15" s="4"/>
      <c r="CHW15" s="4"/>
      <c r="CHX15" s="4"/>
      <c r="CHY15" s="4"/>
      <c r="CHZ15" s="4"/>
      <c r="CIA15" s="4"/>
      <c r="CIB15" s="4"/>
      <c r="CIC15" s="4"/>
      <c r="CID15" s="4"/>
      <c r="CIE15" s="4"/>
      <c r="CIF15" s="4"/>
      <c r="CIG15" s="4"/>
      <c r="CIH15" s="4"/>
      <c r="CII15" s="4"/>
      <c r="CIJ15" s="4"/>
      <c r="CIK15" s="4"/>
      <c r="CIL15" s="4"/>
      <c r="CIM15" s="4"/>
      <c r="CIN15" s="4"/>
      <c r="CIO15" s="4"/>
      <c r="CIP15" s="4"/>
      <c r="CIQ15" s="4"/>
      <c r="CIR15" s="4"/>
      <c r="CIS15" s="4"/>
      <c r="CIT15" s="4"/>
      <c r="CIU15" s="4"/>
      <c r="CIV15" s="4"/>
      <c r="CIW15" s="4"/>
      <c r="CIX15" s="4"/>
      <c r="CIY15" s="4"/>
      <c r="CIZ15" s="4"/>
      <c r="CJA15" s="4"/>
      <c r="CJB15" s="4"/>
      <c r="CJC15" s="4"/>
      <c r="CJD15" s="4"/>
      <c r="CJE15" s="4"/>
      <c r="CJF15" s="4"/>
      <c r="CJG15" s="4"/>
      <c r="CJH15" s="4"/>
      <c r="CJI15" s="4"/>
      <c r="CJJ15" s="4"/>
      <c r="CJK15" s="4"/>
      <c r="CJL15" s="4"/>
      <c r="CJM15" s="4"/>
      <c r="CJN15" s="4"/>
      <c r="CJO15" s="4"/>
      <c r="CJP15" s="4"/>
      <c r="CJQ15" s="4"/>
      <c r="CJR15" s="4"/>
      <c r="CJS15" s="4"/>
      <c r="CJT15" s="4"/>
      <c r="CJU15" s="4"/>
      <c r="CJV15" s="4"/>
      <c r="CJW15" s="4"/>
      <c r="CJX15" s="4"/>
      <c r="CJY15" s="4"/>
      <c r="CJZ15" s="4"/>
      <c r="CKA15" s="4"/>
      <c r="CKB15" s="4"/>
      <c r="CKC15" s="4"/>
      <c r="CKD15" s="4"/>
      <c r="CKE15" s="4"/>
      <c r="CKF15" s="4"/>
      <c r="CKG15" s="4"/>
      <c r="CKH15" s="4"/>
      <c r="CKI15" s="4"/>
      <c r="CKJ15" s="4"/>
      <c r="CKK15" s="4"/>
      <c r="CKL15" s="4"/>
      <c r="CKM15" s="4"/>
      <c r="CKN15" s="4"/>
      <c r="CKO15" s="4"/>
      <c r="CKP15" s="4"/>
      <c r="CKQ15" s="4"/>
      <c r="CKR15" s="4"/>
      <c r="CKS15" s="4"/>
      <c r="CKT15" s="4"/>
      <c r="CKU15" s="4"/>
      <c r="CKV15" s="4"/>
      <c r="CKW15" s="4"/>
      <c r="CKX15" s="4"/>
      <c r="CKY15" s="4"/>
      <c r="CKZ15" s="4"/>
      <c r="CLA15" s="4"/>
      <c r="CLB15" s="4"/>
      <c r="CLC15" s="4"/>
      <c r="CLD15" s="4"/>
      <c r="CLE15" s="4"/>
      <c r="CLF15" s="4"/>
      <c r="CLG15" s="4"/>
      <c r="CLH15" s="4"/>
      <c r="CLI15" s="4"/>
      <c r="CLJ15" s="4"/>
      <c r="CLK15" s="4"/>
      <c r="CLL15" s="4"/>
      <c r="CLM15" s="4"/>
      <c r="CLN15" s="4"/>
      <c r="CLO15" s="4"/>
      <c r="CLP15" s="4"/>
      <c r="CLQ15" s="4"/>
      <c r="CLR15" s="4"/>
      <c r="CLS15" s="4"/>
      <c r="CLT15" s="4"/>
      <c r="CLU15" s="4"/>
      <c r="CLV15" s="4"/>
      <c r="CLW15" s="4"/>
      <c r="CLX15" s="4"/>
      <c r="CLY15" s="4"/>
      <c r="CLZ15" s="4"/>
      <c r="CMA15" s="4"/>
      <c r="CMB15" s="4"/>
      <c r="CMC15" s="4"/>
      <c r="CMD15" s="4"/>
      <c r="CME15" s="4"/>
      <c r="CMF15" s="4"/>
      <c r="CMG15" s="4"/>
      <c r="CMH15" s="4"/>
      <c r="CMI15" s="4"/>
      <c r="CMJ15" s="4"/>
      <c r="CMK15" s="4"/>
      <c r="CML15" s="4"/>
      <c r="CMM15" s="4"/>
      <c r="CMN15" s="4"/>
      <c r="CMO15" s="4"/>
      <c r="CMP15" s="4"/>
      <c r="CMQ15" s="4"/>
      <c r="CMR15" s="4"/>
      <c r="CMS15" s="4"/>
      <c r="CMT15" s="4"/>
      <c r="CMU15" s="4"/>
      <c r="CMV15" s="4"/>
      <c r="CMW15" s="4"/>
      <c r="CMX15" s="4"/>
      <c r="CMY15" s="4"/>
      <c r="CMZ15" s="4"/>
      <c r="CNA15" s="4"/>
      <c r="CNB15" s="4"/>
      <c r="CNC15" s="4"/>
      <c r="CND15" s="4"/>
      <c r="CNE15" s="4"/>
      <c r="CNF15" s="4"/>
      <c r="CNG15" s="4"/>
      <c r="CNH15" s="4"/>
      <c r="CNI15" s="4"/>
      <c r="CNJ15" s="4"/>
      <c r="CNK15" s="4"/>
      <c r="CNL15" s="4"/>
      <c r="CNM15" s="4"/>
      <c r="CNN15" s="4"/>
      <c r="CNO15" s="4"/>
      <c r="CNP15" s="4"/>
      <c r="CNQ15" s="4"/>
      <c r="CNR15" s="4"/>
      <c r="CNS15" s="4"/>
      <c r="CNT15" s="4"/>
      <c r="CNU15" s="4"/>
      <c r="CNV15" s="4"/>
      <c r="CNW15" s="4"/>
      <c r="CNX15" s="4"/>
      <c r="CNY15" s="4"/>
      <c r="CNZ15" s="4"/>
      <c r="COA15" s="4"/>
      <c r="COB15" s="4"/>
      <c r="COC15" s="4"/>
      <c r="COD15" s="4"/>
      <c r="COE15" s="4"/>
      <c r="COF15" s="4"/>
      <c r="COG15" s="4"/>
      <c r="COH15" s="4"/>
      <c r="COI15" s="4"/>
      <c r="COJ15" s="4"/>
      <c r="COK15" s="4"/>
      <c r="COL15" s="4"/>
      <c r="COM15" s="4"/>
      <c r="CON15" s="4"/>
      <c r="COO15" s="4"/>
      <c r="COP15" s="4"/>
      <c r="COQ15" s="4"/>
      <c r="COR15" s="4"/>
      <c r="COS15" s="4"/>
      <c r="COT15" s="4"/>
      <c r="COU15" s="4"/>
      <c r="COV15" s="4"/>
      <c r="COW15" s="4"/>
      <c r="COX15" s="4"/>
      <c r="COY15" s="4"/>
      <c r="COZ15" s="4"/>
      <c r="CPA15" s="4"/>
      <c r="CPB15" s="4"/>
      <c r="CPC15" s="4"/>
      <c r="CPD15" s="4"/>
      <c r="CPE15" s="4"/>
      <c r="CPF15" s="4"/>
      <c r="CPG15" s="4"/>
      <c r="CPH15" s="4"/>
      <c r="CPI15" s="4"/>
      <c r="CPJ15" s="4"/>
      <c r="CPK15" s="4"/>
      <c r="CPL15" s="4"/>
      <c r="CPM15" s="4"/>
      <c r="CPN15" s="4"/>
      <c r="CPO15" s="4"/>
      <c r="CPP15" s="4"/>
      <c r="CPQ15" s="4"/>
      <c r="CPR15" s="4"/>
      <c r="CPS15" s="4"/>
      <c r="CPT15" s="4"/>
      <c r="CPU15" s="4"/>
      <c r="CPV15" s="4"/>
      <c r="CPW15" s="4"/>
      <c r="CPX15" s="4"/>
      <c r="CPY15" s="4"/>
      <c r="CPZ15" s="4"/>
      <c r="CQA15" s="4"/>
      <c r="CQB15" s="4"/>
      <c r="CQC15" s="4"/>
      <c r="CQD15" s="4"/>
      <c r="CQE15" s="4"/>
      <c r="CQF15" s="4"/>
      <c r="CQG15" s="4"/>
      <c r="CQH15" s="4"/>
      <c r="CQI15" s="4"/>
      <c r="CQJ15" s="4"/>
      <c r="CQK15" s="4"/>
      <c r="CQL15" s="4"/>
      <c r="CQM15" s="4"/>
      <c r="CQN15" s="4"/>
      <c r="CQO15" s="4"/>
      <c r="CQP15" s="4"/>
      <c r="CQQ15" s="4"/>
      <c r="CQR15" s="4"/>
      <c r="CQS15" s="4"/>
      <c r="CQT15" s="4"/>
      <c r="CQU15" s="4"/>
      <c r="CQV15" s="4"/>
      <c r="CQW15" s="4"/>
      <c r="CQX15" s="4"/>
      <c r="CQY15" s="4"/>
      <c r="CQZ15" s="4"/>
      <c r="CRA15" s="4"/>
      <c r="CRB15" s="4"/>
      <c r="CRC15" s="4"/>
      <c r="CRD15" s="4"/>
      <c r="CRE15" s="4"/>
      <c r="CRF15" s="4"/>
      <c r="CRG15" s="4"/>
      <c r="CRH15" s="4"/>
      <c r="CRI15" s="4"/>
      <c r="CRJ15" s="4"/>
      <c r="CRK15" s="4"/>
      <c r="CRL15" s="4"/>
      <c r="CRM15" s="4"/>
      <c r="CRN15" s="4"/>
      <c r="CRO15" s="4"/>
      <c r="CRP15" s="4"/>
      <c r="CRQ15" s="4"/>
      <c r="CRR15" s="4"/>
      <c r="CRS15" s="4"/>
      <c r="CRT15" s="4"/>
      <c r="CRU15" s="4"/>
      <c r="CRV15" s="4"/>
      <c r="CRW15" s="4"/>
      <c r="CRX15" s="4"/>
      <c r="CRY15" s="4"/>
      <c r="CRZ15" s="4"/>
      <c r="CSA15" s="4"/>
      <c r="CSB15" s="4"/>
      <c r="CSC15" s="4"/>
      <c r="CSD15" s="4"/>
      <c r="CSE15" s="4"/>
      <c r="CSF15" s="4"/>
      <c r="CSG15" s="4"/>
      <c r="CSH15" s="4"/>
      <c r="CSI15" s="4"/>
      <c r="CSJ15" s="4"/>
      <c r="CSK15" s="4"/>
      <c r="CSL15" s="4"/>
      <c r="CSM15" s="4"/>
      <c r="CSN15" s="4"/>
      <c r="CSO15" s="4"/>
      <c r="CSP15" s="4"/>
      <c r="CSQ15" s="4"/>
      <c r="CSR15" s="4"/>
      <c r="CSS15" s="4"/>
      <c r="CST15" s="4"/>
      <c r="CSU15" s="4"/>
      <c r="CSV15" s="4"/>
      <c r="CSW15" s="4"/>
      <c r="CSX15" s="4"/>
      <c r="CSY15" s="4"/>
      <c r="CSZ15" s="4"/>
      <c r="CTA15" s="4"/>
      <c r="CTB15" s="4"/>
      <c r="CTC15" s="4"/>
      <c r="CTD15" s="4"/>
      <c r="CTE15" s="4"/>
      <c r="CTF15" s="4"/>
      <c r="CTG15" s="4"/>
      <c r="CTH15" s="4"/>
      <c r="CTI15" s="4"/>
      <c r="CTJ15" s="4"/>
      <c r="CTK15" s="4"/>
      <c r="CTL15" s="4"/>
      <c r="CTM15" s="4"/>
      <c r="CTN15" s="4"/>
      <c r="CTO15" s="4"/>
      <c r="CTP15" s="4"/>
      <c r="CTQ15" s="4"/>
      <c r="CTR15" s="4"/>
      <c r="CTS15" s="4"/>
      <c r="CTT15" s="4"/>
      <c r="CTU15" s="4"/>
      <c r="CTV15" s="4"/>
      <c r="CTW15" s="4"/>
      <c r="CTX15" s="4"/>
      <c r="CTY15" s="4"/>
      <c r="CTZ15" s="4"/>
      <c r="CUA15" s="4"/>
      <c r="CUB15" s="4"/>
      <c r="CUC15" s="4"/>
      <c r="CUD15" s="4"/>
      <c r="CUE15" s="4"/>
      <c r="CUF15" s="4"/>
      <c r="CUG15" s="4"/>
      <c r="CUH15" s="4"/>
      <c r="CUI15" s="4"/>
      <c r="CUJ15" s="4"/>
      <c r="CUK15" s="4"/>
      <c r="CUL15" s="4"/>
      <c r="CUM15" s="4"/>
      <c r="CUN15" s="4"/>
      <c r="CUO15" s="4"/>
      <c r="CUP15" s="4"/>
      <c r="CUQ15" s="4"/>
      <c r="CUR15" s="4"/>
      <c r="CUS15" s="4"/>
      <c r="CUT15" s="4"/>
      <c r="CUU15" s="4"/>
      <c r="CUV15" s="4"/>
      <c r="CUW15" s="4"/>
      <c r="CUX15" s="4"/>
      <c r="CUY15" s="4"/>
      <c r="CUZ15" s="4"/>
      <c r="CVA15" s="4"/>
      <c r="CVB15" s="4"/>
      <c r="CVC15" s="4"/>
      <c r="CVD15" s="4"/>
      <c r="CVE15" s="4"/>
      <c r="CVF15" s="4"/>
      <c r="CVG15" s="4"/>
      <c r="CVH15" s="4"/>
      <c r="CVI15" s="4"/>
      <c r="CVJ15" s="4"/>
      <c r="CVK15" s="4"/>
      <c r="CVL15" s="4"/>
      <c r="CVM15" s="4"/>
      <c r="CVN15" s="4"/>
      <c r="CVO15" s="4"/>
      <c r="CVP15" s="4"/>
      <c r="CVQ15" s="4"/>
      <c r="CVR15" s="4"/>
      <c r="CVS15" s="4"/>
      <c r="CVT15" s="4"/>
      <c r="CVU15" s="4"/>
      <c r="CVV15" s="4"/>
      <c r="CVW15" s="4"/>
      <c r="CVX15" s="4"/>
      <c r="CVY15" s="4"/>
      <c r="CVZ15" s="4"/>
      <c r="CWA15" s="4"/>
      <c r="CWB15" s="4"/>
      <c r="CWC15" s="4"/>
      <c r="CWD15" s="4"/>
      <c r="CWE15" s="4"/>
      <c r="CWF15" s="4"/>
      <c r="CWG15" s="4"/>
      <c r="CWH15" s="4"/>
      <c r="CWI15" s="4"/>
      <c r="CWJ15" s="4"/>
      <c r="CWK15" s="4"/>
      <c r="CWL15" s="4"/>
      <c r="CWM15" s="4"/>
      <c r="CWN15" s="4"/>
      <c r="CWO15" s="4"/>
      <c r="CWP15" s="4"/>
      <c r="CWQ15" s="4"/>
      <c r="CWR15" s="4"/>
      <c r="CWS15" s="4"/>
      <c r="CWT15" s="4"/>
      <c r="CWU15" s="4"/>
      <c r="CWV15" s="4"/>
      <c r="CWW15" s="4"/>
      <c r="CWX15" s="4"/>
      <c r="CWY15" s="4"/>
      <c r="CWZ15" s="4"/>
      <c r="CXA15" s="4"/>
      <c r="CXB15" s="4"/>
      <c r="CXC15" s="4"/>
      <c r="CXD15" s="4"/>
      <c r="CXE15" s="4"/>
      <c r="CXF15" s="4"/>
      <c r="CXG15" s="4"/>
      <c r="CXH15" s="4"/>
      <c r="CXI15" s="4"/>
      <c r="CXJ15" s="4"/>
      <c r="CXK15" s="4"/>
      <c r="CXL15" s="4"/>
      <c r="CXM15" s="4"/>
      <c r="CXN15" s="4"/>
      <c r="CXO15" s="4"/>
      <c r="CXP15" s="4"/>
      <c r="CXQ15" s="4"/>
      <c r="CXR15" s="4"/>
      <c r="CXS15" s="4"/>
      <c r="CXT15" s="4"/>
      <c r="CXU15" s="4"/>
      <c r="CXV15" s="4"/>
      <c r="CXW15" s="4"/>
      <c r="CXX15" s="4"/>
      <c r="CXY15" s="4"/>
      <c r="CXZ15" s="4"/>
      <c r="CYA15" s="4"/>
      <c r="CYB15" s="4"/>
      <c r="CYC15" s="4"/>
      <c r="CYD15" s="4"/>
      <c r="CYE15" s="4"/>
      <c r="CYF15" s="4"/>
      <c r="CYG15" s="4"/>
      <c r="CYH15" s="4"/>
      <c r="CYI15" s="4"/>
      <c r="CYJ15" s="4"/>
      <c r="CYK15" s="4"/>
      <c r="CYL15" s="4"/>
      <c r="CYM15" s="4"/>
      <c r="CYN15" s="4"/>
      <c r="CYO15" s="4"/>
      <c r="CYP15" s="4"/>
      <c r="CYQ15" s="4"/>
      <c r="CYR15" s="4"/>
      <c r="CYS15" s="4"/>
      <c r="CYT15" s="4"/>
      <c r="CYU15" s="4"/>
      <c r="CYV15" s="4"/>
      <c r="CYW15" s="4"/>
      <c r="CYX15" s="4"/>
      <c r="CYY15" s="4"/>
      <c r="CYZ15" s="4"/>
      <c r="CZA15" s="4"/>
      <c r="CZB15" s="4"/>
      <c r="CZC15" s="4"/>
      <c r="CZD15" s="4"/>
      <c r="CZE15" s="4"/>
      <c r="CZF15" s="4"/>
      <c r="CZG15" s="4"/>
      <c r="CZH15" s="4"/>
      <c r="CZI15" s="4"/>
      <c r="CZJ15" s="4"/>
      <c r="CZK15" s="4"/>
      <c r="CZL15" s="4"/>
      <c r="CZM15" s="4"/>
      <c r="CZN15" s="4"/>
      <c r="CZO15" s="4"/>
      <c r="CZP15" s="4"/>
      <c r="CZQ15" s="4"/>
      <c r="CZR15" s="4"/>
      <c r="CZS15" s="4"/>
      <c r="CZT15" s="4"/>
      <c r="CZU15" s="4"/>
      <c r="CZV15" s="4"/>
      <c r="CZW15" s="4"/>
      <c r="CZX15" s="4"/>
      <c r="CZY15" s="4"/>
      <c r="CZZ15" s="4"/>
      <c r="DAA15" s="4"/>
      <c r="DAB15" s="4"/>
      <c r="DAC15" s="4"/>
      <c r="DAD15" s="4"/>
      <c r="DAE15" s="4"/>
      <c r="DAF15" s="4"/>
      <c r="DAG15" s="4"/>
      <c r="DAH15" s="4"/>
      <c r="DAI15" s="4"/>
      <c r="DAJ15" s="4"/>
      <c r="DAK15" s="4"/>
      <c r="DAL15" s="4"/>
      <c r="DAM15" s="4"/>
      <c r="DAN15" s="4"/>
      <c r="DAO15" s="4"/>
      <c r="DAP15" s="4"/>
      <c r="DAQ15" s="4"/>
      <c r="DAR15" s="4"/>
      <c r="DAS15" s="4"/>
      <c r="DAT15" s="4"/>
      <c r="DAU15" s="4"/>
      <c r="DAV15" s="4"/>
      <c r="DAW15" s="4"/>
      <c r="DAX15" s="4"/>
      <c r="DAY15" s="4"/>
      <c r="DAZ15" s="4"/>
      <c r="DBA15" s="4"/>
      <c r="DBB15" s="4"/>
      <c r="DBC15" s="4"/>
      <c r="DBD15" s="4"/>
      <c r="DBE15" s="4"/>
      <c r="DBF15" s="4"/>
      <c r="DBG15" s="4"/>
      <c r="DBH15" s="4"/>
      <c r="DBI15" s="4"/>
      <c r="DBJ15" s="4"/>
      <c r="DBK15" s="4"/>
      <c r="DBL15" s="4"/>
      <c r="DBM15" s="4"/>
      <c r="DBN15" s="4"/>
      <c r="DBO15" s="4"/>
      <c r="DBP15" s="4"/>
      <c r="DBQ15" s="4"/>
      <c r="DBR15" s="4"/>
      <c r="DBS15" s="4"/>
      <c r="DBT15" s="4"/>
      <c r="DBU15" s="4"/>
      <c r="DBV15" s="4"/>
      <c r="DBW15" s="4"/>
      <c r="DBX15" s="4"/>
      <c r="DBY15" s="4"/>
      <c r="DBZ15" s="4"/>
      <c r="DCA15" s="4"/>
      <c r="DCB15" s="4"/>
      <c r="DCC15" s="4"/>
      <c r="DCD15" s="4"/>
      <c r="DCE15" s="4"/>
      <c r="DCF15" s="4"/>
      <c r="DCG15" s="4"/>
      <c r="DCH15" s="4"/>
      <c r="DCI15" s="4"/>
      <c r="DCJ15" s="4"/>
      <c r="DCK15" s="4"/>
      <c r="DCL15" s="4"/>
      <c r="DCM15" s="4"/>
      <c r="DCN15" s="4"/>
      <c r="DCO15" s="4"/>
      <c r="DCP15" s="4"/>
      <c r="DCQ15" s="4"/>
      <c r="DCR15" s="4"/>
      <c r="DCS15" s="4"/>
      <c r="DCT15" s="4"/>
      <c r="DCU15" s="4"/>
      <c r="DCV15" s="4"/>
      <c r="DCW15" s="4"/>
      <c r="DCX15" s="4"/>
      <c r="DCY15" s="4"/>
      <c r="DCZ15" s="4"/>
      <c r="DDA15" s="4"/>
      <c r="DDB15" s="4"/>
      <c r="DDC15" s="4"/>
      <c r="DDD15" s="4"/>
      <c r="DDE15" s="4"/>
      <c r="DDF15" s="4"/>
      <c r="DDG15" s="4"/>
      <c r="DDH15" s="4"/>
      <c r="DDI15" s="4"/>
      <c r="DDJ15" s="4"/>
      <c r="DDK15" s="4"/>
      <c r="DDL15" s="4"/>
      <c r="DDM15" s="4"/>
      <c r="DDN15" s="4"/>
      <c r="DDO15" s="4"/>
      <c r="DDP15" s="4"/>
      <c r="DDQ15" s="4"/>
      <c r="DDR15" s="4"/>
      <c r="DDS15" s="4"/>
      <c r="DDT15" s="4"/>
      <c r="DDU15" s="4"/>
      <c r="DDV15" s="4"/>
      <c r="DDW15" s="4"/>
      <c r="DDX15" s="4"/>
      <c r="DDY15" s="4"/>
      <c r="DDZ15" s="4"/>
      <c r="DEA15" s="4"/>
      <c r="DEB15" s="4"/>
      <c r="DEC15" s="4"/>
      <c r="DED15" s="4"/>
      <c r="DEE15" s="4"/>
      <c r="DEF15" s="4"/>
      <c r="DEG15" s="4"/>
      <c r="DEH15" s="4"/>
      <c r="DEI15" s="4"/>
      <c r="DEJ15" s="4"/>
      <c r="DEK15" s="4"/>
      <c r="DEL15" s="4"/>
      <c r="DEM15" s="4"/>
      <c r="DEN15" s="4"/>
      <c r="DEO15" s="4"/>
      <c r="DEP15" s="4"/>
      <c r="DEQ15" s="4"/>
      <c r="DER15" s="4"/>
      <c r="DES15" s="4"/>
      <c r="DET15" s="4"/>
      <c r="DEU15" s="4"/>
      <c r="DEV15" s="4"/>
      <c r="DEW15" s="4"/>
      <c r="DEX15" s="4"/>
      <c r="DEY15" s="4"/>
      <c r="DEZ15" s="4"/>
      <c r="DFA15" s="4"/>
      <c r="DFB15" s="4"/>
      <c r="DFC15" s="4"/>
      <c r="DFD15" s="4"/>
      <c r="DFE15" s="4"/>
      <c r="DFF15" s="4"/>
      <c r="DFG15" s="4"/>
      <c r="DFH15" s="4"/>
      <c r="DFI15" s="4"/>
      <c r="DFJ15" s="4"/>
      <c r="DFK15" s="4"/>
      <c r="DFL15" s="4"/>
      <c r="DFM15" s="4"/>
      <c r="DFN15" s="4"/>
      <c r="DFO15" s="4"/>
      <c r="DFP15" s="4"/>
      <c r="DFQ15" s="4"/>
      <c r="DFR15" s="4"/>
      <c r="DFS15" s="4"/>
      <c r="DFT15" s="4"/>
      <c r="DFU15" s="4"/>
      <c r="DFV15" s="4"/>
      <c r="DFW15" s="4"/>
      <c r="DFX15" s="4"/>
      <c r="DFY15" s="4"/>
      <c r="DFZ15" s="4"/>
      <c r="DGA15" s="4"/>
      <c r="DGB15" s="4"/>
      <c r="DGC15" s="4"/>
      <c r="DGD15" s="4"/>
      <c r="DGE15" s="4"/>
      <c r="DGF15" s="4"/>
      <c r="DGG15" s="4"/>
      <c r="DGH15" s="4"/>
      <c r="DGI15" s="4"/>
      <c r="DGJ15" s="4"/>
      <c r="DGK15" s="4"/>
      <c r="DGL15" s="4"/>
      <c r="DGM15" s="4"/>
      <c r="DGN15" s="4"/>
      <c r="DGO15" s="4"/>
      <c r="DGP15" s="4"/>
      <c r="DGQ15" s="4"/>
      <c r="DGR15" s="4"/>
      <c r="DGS15" s="4"/>
      <c r="DGT15" s="4"/>
      <c r="DGU15" s="4"/>
      <c r="DGV15" s="4"/>
      <c r="DGW15" s="4"/>
      <c r="DGX15" s="4"/>
      <c r="DGY15" s="4"/>
      <c r="DGZ15" s="4"/>
      <c r="DHA15" s="4"/>
      <c r="DHB15" s="4"/>
      <c r="DHC15" s="4"/>
      <c r="DHD15" s="4"/>
      <c r="DHE15" s="4"/>
      <c r="DHF15" s="4"/>
      <c r="DHG15" s="4"/>
      <c r="DHH15" s="4"/>
      <c r="DHI15" s="4"/>
      <c r="DHJ15" s="4"/>
      <c r="DHK15" s="4"/>
      <c r="DHL15" s="4"/>
      <c r="DHM15" s="4"/>
      <c r="DHN15" s="4"/>
      <c r="DHO15" s="4"/>
      <c r="DHP15" s="4"/>
      <c r="DHQ15" s="4"/>
      <c r="DHR15" s="4"/>
      <c r="DHS15" s="4"/>
      <c r="DHT15" s="4"/>
      <c r="DHU15" s="4"/>
      <c r="DHV15" s="4"/>
      <c r="DHW15" s="4"/>
      <c r="DHX15" s="4"/>
      <c r="DHY15" s="4"/>
      <c r="DHZ15" s="4"/>
      <c r="DIA15" s="4"/>
      <c r="DIB15" s="4"/>
      <c r="DIC15" s="4"/>
      <c r="DID15" s="4"/>
      <c r="DIE15" s="4"/>
      <c r="DIF15" s="4"/>
      <c r="DIG15" s="4"/>
      <c r="DIH15" s="4"/>
      <c r="DII15" s="4"/>
      <c r="DIJ15" s="4"/>
      <c r="DIK15" s="4"/>
      <c r="DIL15" s="4"/>
      <c r="DIM15" s="4"/>
      <c r="DIN15" s="4"/>
      <c r="DIO15" s="4"/>
      <c r="DIP15" s="4"/>
      <c r="DIQ15" s="4"/>
      <c r="DIR15" s="4"/>
      <c r="DIS15" s="4"/>
      <c r="DIT15" s="4"/>
      <c r="DIU15" s="4"/>
      <c r="DIV15" s="4"/>
      <c r="DIW15" s="4"/>
      <c r="DIX15" s="4"/>
      <c r="DIY15" s="4"/>
      <c r="DIZ15" s="4"/>
      <c r="DJA15" s="4"/>
      <c r="DJB15" s="4"/>
      <c r="DJC15" s="4"/>
      <c r="DJD15" s="4"/>
      <c r="DJE15" s="4"/>
      <c r="DJF15" s="4"/>
      <c r="DJG15" s="4"/>
      <c r="DJH15" s="4"/>
      <c r="DJI15" s="4"/>
      <c r="DJJ15" s="4"/>
      <c r="DJK15" s="4"/>
      <c r="DJL15" s="4"/>
      <c r="DJM15" s="4"/>
      <c r="DJN15" s="4"/>
      <c r="DJO15" s="4"/>
      <c r="DJP15" s="4"/>
      <c r="DJQ15" s="4"/>
      <c r="DJR15" s="4"/>
      <c r="DJS15" s="4"/>
      <c r="DJT15" s="4"/>
      <c r="DJU15" s="4"/>
      <c r="DJV15" s="4"/>
      <c r="DJW15" s="4"/>
      <c r="DJX15" s="4"/>
      <c r="DJY15" s="4"/>
      <c r="DJZ15" s="4"/>
      <c r="DKA15" s="4"/>
      <c r="DKB15" s="4"/>
      <c r="DKC15" s="4"/>
      <c r="DKD15" s="4"/>
      <c r="DKE15" s="4"/>
      <c r="DKF15" s="4"/>
      <c r="DKG15" s="4"/>
      <c r="DKH15" s="4"/>
      <c r="DKI15" s="4"/>
      <c r="DKJ15" s="4"/>
      <c r="DKK15" s="4"/>
      <c r="DKL15" s="4"/>
      <c r="DKM15" s="4"/>
      <c r="DKN15" s="4"/>
      <c r="DKO15" s="4"/>
      <c r="DKP15" s="4"/>
      <c r="DKQ15" s="4"/>
      <c r="DKR15" s="4"/>
      <c r="DKS15" s="4"/>
      <c r="DKT15" s="4"/>
      <c r="DKU15" s="4"/>
      <c r="DKV15" s="4"/>
      <c r="DKW15" s="4"/>
      <c r="DKX15" s="4"/>
      <c r="DKY15" s="4"/>
      <c r="DKZ15" s="4"/>
      <c r="DLA15" s="4"/>
      <c r="DLB15" s="4"/>
      <c r="DLC15" s="4"/>
      <c r="DLD15" s="4"/>
      <c r="DLE15" s="4"/>
      <c r="DLF15" s="4"/>
      <c r="DLG15" s="4"/>
      <c r="DLH15" s="4"/>
      <c r="DLI15" s="4"/>
      <c r="DLJ15" s="4"/>
      <c r="DLK15" s="4"/>
      <c r="DLL15" s="4"/>
      <c r="DLM15" s="4"/>
      <c r="DLN15" s="4"/>
      <c r="DLO15" s="4"/>
      <c r="DLP15" s="4"/>
      <c r="DLQ15" s="4"/>
      <c r="DLR15" s="4"/>
      <c r="DLS15" s="4"/>
      <c r="DLT15" s="4"/>
      <c r="DLU15" s="4"/>
      <c r="DLV15" s="4"/>
      <c r="DLW15" s="4"/>
      <c r="DLX15" s="4"/>
      <c r="DLY15" s="4"/>
      <c r="DLZ15" s="4"/>
      <c r="DMA15" s="4"/>
      <c r="DMB15" s="4"/>
      <c r="DMC15" s="4"/>
      <c r="DMD15" s="4"/>
      <c r="DME15" s="4"/>
      <c r="DMF15" s="4"/>
      <c r="DMG15" s="4"/>
      <c r="DMH15" s="4"/>
      <c r="DMI15" s="4"/>
      <c r="DMJ15" s="4"/>
      <c r="DMK15" s="4"/>
      <c r="DML15" s="4"/>
      <c r="DMM15" s="4"/>
      <c r="DMN15" s="4"/>
      <c r="DMO15" s="4"/>
      <c r="DMP15" s="4"/>
      <c r="DMQ15" s="4"/>
      <c r="DMR15" s="4"/>
      <c r="DMS15" s="4"/>
      <c r="DMT15" s="4"/>
      <c r="DMU15" s="4"/>
      <c r="DMV15" s="4"/>
      <c r="DMW15" s="4"/>
      <c r="DMX15" s="4"/>
      <c r="DMY15" s="4"/>
      <c r="DMZ15" s="4"/>
      <c r="DNA15" s="4"/>
      <c r="DNB15" s="4"/>
      <c r="DNC15" s="4"/>
      <c r="DND15" s="4"/>
      <c r="DNE15" s="4"/>
      <c r="DNF15" s="4"/>
      <c r="DNG15" s="4"/>
      <c r="DNH15" s="4"/>
      <c r="DNI15" s="4"/>
      <c r="DNJ15" s="4"/>
      <c r="DNK15" s="4"/>
      <c r="DNL15" s="4"/>
      <c r="DNM15" s="4"/>
      <c r="DNN15" s="4"/>
      <c r="DNO15" s="4"/>
      <c r="DNP15" s="4"/>
      <c r="DNQ15" s="4"/>
      <c r="DNR15" s="4"/>
      <c r="DNS15" s="4"/>
      <c r="DNT15" s="4"/>
      <c r="DNU15" s="4"/>
      <c r="DNV15" s="4"/>
      <c r="DNW15" s="4"/>
      <c r="DNX15" s="4"/>
      <c r="DNY15" s="4"/>
      <c r="DNZ15" s="4"/>
      <c r="DOA15" s="4"/>
      <c r="DOB15" s="4"/>
      <c r="DOC15" s="4"/>
      <c r="DOD15" s="4"/>
      <c r="DOE15" s="4"/>
      <c r="DOF15" s="4"/>
      <c r="DOG15" s="4"/>
      <c r="DOH15" s="4"/>
      <c r="DOI15" s="4"/>
      <c r="DOJ15" s="4"/>
      <c r="DOK15" s="4"/>
      <c r="DOL15" s="4"/>
      <c r="DOM15" s="4"/>
      <c r="DON15" s="4"/>
      <c r="DOO15" s="4"/>
      <c r="DOP15" s="4"/>
      <c r="DOQ15" s="4"/>
      <c r="DOR15" s="4"/>
      <c r="DOS15" s="4"/>
      <c r="DOT15" s="4"/>
      <c r="DOU15" s="4"/>
      <c r="DOV15" s="4"/>
      <c r="DOW15" s="4"/>
      <c r="DOX15" s="4"/>
      <c r="DOY15" s="4"/>
      <c r="DOZ15" s="4"/>
      <c r="DPA15" s="4"/>
      <c r="DPB15" s="4"/>
      <c r="DPC15" s="4"/>
      <c r="DPD15" s="4"/>
      <c r="DPE15" s="4"/>
      <c r="DPF15" s="4"/>
      <c r="DPG15" s="4"/>
      <c r="DPH15" s="4"/>
      <c r="DPI15" s="4"/>
      <c r="DPJ15" s="4"/>
      <c r="DPK15" s="4"/>
      <c r="DPL15" s="4"/>
      <c r="DPM15" s="4"/>
      <c r="DPN15" s="4"/>
      <c r="DPO15" s="4"/>
      <c r="DPP15" s="4"/>
      <c r="DPQ15" s="4"/>
      <c r="DPR15" s="4"/>
      <c r="DPS15" s="4"/>
      <c r="DPT15" s="4"/>
      <c r="DPU15" s="4"/>
      <c r="DPV15" s="4"/>
      <c r="DPW15" s="4"/>
      <c r="DPX15" s="4"/>
      <c r="DPY15" s="4"/>
      <c r="DPZ15" s="4"/>
      <c r="DQA15" s="4"/>
      <c r="DQB15" s="4"/>
      <c r="DQC15" s="4"/>
      <c r="DQD15" s="4"/>
      <c r="DQE15" s="4"/>
      <c r="DQF15" s="4"/>
      <c r="DQG15" s="4"/>
      <c r="DQH15" s="4"/>
      <c r="DQI15" s="4"/>
      <c r="DQJ15" s="4"/>
      <c r="DQK15" s="4"/>
      <c r="DQL15" s="4"/>
      <c r="DQM15" s="4"/>
      <c r="DQN15" s="4"/>
      <c r="DQO15" s="4"/>
      <c r="DQP15" s="4"/>
      <c r="DQQ15" s="4"/>
      <c r="DQR15" s="4"/>
      <c r="DQS15" s="4"/>
      <c r="DQT15" s="4"/>
      <c r="DQU15" s="4"/>
      <c r="DQV15" s="4"/>
      <c r="DQW15" s="4"/>
      <c r="DQX15" s="4"/>
      <c r="DQY15" s="4"/>
      <c r="DQZ15" s="4"/>
      <c r="DRA15" s="4"/>
      <c r="DRB15" s="4"/>
      <c r="DRC15" s="4"/>
      <c r="DRD15" s="4"/>
      <c r="DRE15" s="4"/>
      <c r="DRF15" s="4"/>
      <c r="DRG15" s="4"/>
      <c r="DRH15" s="4"/>
      <c r="DRI15" s="4"/>
      <c r="DRJ15" s="4"/>
      <c r="DRK15" s="4"/>
      <c r="DRL15" s="4"/>
      <c r="DRM15" s="4"/>
      <c r="DRN15" s="4"/>
      <c r="DRO15" s="4"/>
      <c r="DRP15" s="4"/>
      <c r="DRQ15" s="4"/>
      <c r="DRR15" s="4"/>
      <c r="DRS15" s="4"/>
      <c r="DRT15" s="4"/>
      <c r="DRU15" s="4"/>
      <c r="DRV15" s="4"/>
      <c r="DRW15" s="4"/>
      <c r="DRX15" s="4"/>
      <c r="DRY15" s="4"/>
      <c r="DRZ15" s="4"/>
      <c r="DSA15" s="4"/>
      <c r="DSB15" s="4"/>
      <c r="DSC15" s="4"/>
      <c r="DSD15" s="4"/>
      <c r="DSE15" s="4"/>
      <c r="DSF15" s="4"/>
      <c r="DSG15" s="4"/>
      <c r="DSH15" s="4"/>
      <c r="DSI15" s="4"/>
      <c r="DSJ15" s="4"/>
      <c r="DSK15" s="4"/>
      <c r="DSL15" s="4"/>
      <c r="DSM15" s="4"/>
      <c r="DSN15" s="4"/>
      <c r="DSO15" s="4"/>
      <c r="DSP15" s="4"/>
      <c r="DSQ15" s="4"/>
      <c r="DSR15" s="4"/>
      <c r="DSS15" s="4"/>
      <c r="DST15" s="4"/>
      <c r="DSU15" s="4"/>
      <c r="DSV15" s="4"/>
      <c r="DSW15" s="4"/>
      <c r="DSX15" s="4"/>
      <c r="DSY15" s="4"/>
      <c r="DSZ15" s="4"/>
      <c r="DTA15" s="4"/>
      <c r="DTB15" s="4"/>
      <c r="DTC15" s="4"/>
      <c r="DTD15" s="4"/>
      <c r="DTE15" s="4"/>
      <c r="DTF15" s="4"/>
      <c r="DTG15" s="4"/>
      <c r="DTH15" s="4"/>
      <c r="DTI15" s="4"/>
      <c r="DTJ15" s="4"/>
      <c r="DTK15" s="4"/>
      <c r="DTL15" s="4"/>
      <c r="DTM15" s="4"/>
      <c r="DTN15" s="4"/>
      <c r="DTO15" s="4"/>
      <c r="DTP15" s="4"/>
      <c r="DTQ15" s="4"/>
      <c r="DTR15" s="4"/>
      <c r="DTS15" s="4"/>
      <c r="DTT15" s="4"/>
      <c r="DTU15" s="4"/>
      <c r="DTV15" s="4"/>
      <c r="DTW15" s="4"/>
      <c r="DTX15" s="4"/>
      <c r="DTY15" s="4"/>
      <c r="DTZ15" s="4"/>
      <c r="DUA15" s="4"/>
      <c r="DUB15" s="4"/>
      <c r="DUC15" s="4"/>
      <c r="DUD15" s="4"/>
      <c r="DUE15" s="4"/>
      <c r="DUF15" s="4"/>
      <c r="DUG15" s="4"/>
      <c r="DUH15" s="4"/>
      <c r="DUI15" s="4"/>
      <c r="DUJ15" s="4"/>
      <c r="DUK15" s="4"/>
      <c r="DUL15" s="4"/>
      <c r="DUM15" s="4"/>
      <c r="DUN15" s="4"/>
      <c r="DUO15" s="4"/>
      <c r="DUP15" s="4"/>
      <c r="DUQ15" s="4"/>
      <c r="DUR15" s="4"/>
      <c r="DUS15" s="4"/>
      <c r="DUT15" s="4"/>
      <c r="DUU15" s="4"/>
      <c r="DUV15" s="4"/>
      <c r="DUW15" s="4"/>
      <c r="DUX15" s="4"/>
      <c r="DUY15" s="4"/>
      <c r="DUZ15" s="4"/>
      <c r="DVA15" s="4"/>
      <c r="DVB15" s="4"/>
      <c r="DVC15" s="4"/>
      <c r="DVD15" s="4"/>
      <c r="DVE15" s="4"/>
      <c r="DVF15" s="4"/>
      <c r="DVG15" s="4"/>
      <c r="DVH15" s="4"/>
      <c r="DVI15" s="4"/>
      <c r="DVJ15" s="4"/>
      <c r="DVK15" s="4"/>
      <c r="DVL15" s="4"/>
      <c r="DVM15" s="4"/>
      <c r="DVN15" s="4"/>
      <c r="DVO15" s="4"/>
      <c r="DVP15" s="4"/>
      <c r="DVQ15" s="4"/>
      <c r="DVR15" s="4"/>
      <c r="DVS15" s="4"/>
      <c r="DVT15" s="4"/>
      <c r="DVU15" s="4"/>
      <c r="DVV15" s="4"/>
      <c r="DVW15" s="4"/>
      <c r="DVX15" s="4"/>
      <c r="DVY15" s="4"/>
      <c r="DVZ15" s="4"/>
      <c r="DWA15" s="4"/>
      <c r="DWB15" s="4"/>
      <c r="DWC15" s="4"/>
      <c r="DWD15" s="4"/>
      <c r="DWE15" s="4"/>
      <c r="DWF15" s="4"/>
      <c r="DWG15" s="4"/>
      <c r="DWH15" s="4"/>
      <c r="DWI15" s="4"/>
      <c r="DWJ15" s="4"/>
      <c r="DWK15" s="4"/>
      <c r="DWL15" s="4"/>
      <c r="DWM15" s="4"/>
      <c r="DWN15" s="4"/>
      <c r="DWO15" s="4"/>
      <c r="DWP15" s="4"/>
      <c r="DWQ15" s="4"/>
      <c r="DWR15" s="4"/>
      <c r="DWS15" s="4"/>
      <c r="DWT15" s="4"/>
      <c r="DWU15" s="4"/>
      <c r="DWV15" s="4"/>
      <c r="DWW15" s="4"/>
      <c r="DWX15" s="4"/>
      <c r="DWY15" s="4"/>
      <c r="DWZ15" s="4"/>
      <c r="DXA15" s="4"/>
      <c r="DXB15" s="4"/>
      <c r="DXC15" s="4"/>
      <c r="DXD15" s="4"/>
      <c r="DXE15" s="4"/>
      <c r="DXF15" s="4"/>
      <c r="DXG15" s="4"/>
      <c r="DXH15" s="4"/>
      <c r="DXI15" s="4"/>
      <c r="DXJ15" s="4"/>
      <c r="DXK15" s="4"/>
      <c r="DXL15" s="4"/>
      <c r="DXM15" s="4"/>
      <c r="DXN15" s="4"/>
      <c r="DXO15" s="4"/>
      <c r="DXP15" s="4"/>
      <c r="DXQ15" s="4"/>
      <c r="DXR15" s="4"/>
      <c r="DXS15" s="4"/>
      <c r="DXT15" s="4"/>
      <c r="DXU15" s="4"/>
      <c r="DXV15" s="4"/>
      <c r="DXW15" s="4"/>
      <c r="DXX15" s="4"/>
      <c r="DXY15" s="4"/>
      <c r="DXZ15" s="4"/>
      <c r="DYA15" s="4"/>
      <c r="DYB15" s="4"/>
      <c r="DYC15" s="4"/>
      <c r="DYD15" s="4"/>
      <c r="DYE15" s="4"/>
      <c r="DYF15" s="4"/>
      <c r="DYG15" s="4"/>
      <c r="DYH15" s="4"/>
      <c r="DYI15" s="4"/>
      <c r="DYJ15" s="4"/>
      <c r="DYK15" s="4"/>
      <c r="DYL15" s="4"/>
      <c r="DYM15" s="4"/>
      <c r="DYN15" s="4"/>
      <c r="DYO15" s="4"/>
      <c r="DYP15" s="4"/>
      <c r="DYQ15" s="4"/>
      <c r="DYR15" s="4"/>
      <c r="DYS15" s="4"/>
      <c r="DYT15" s="4"/>
      <c r="DYU15" s="4"/>
      <c r="DYV15" s="4"/>
      <c r="DYW15" s="4"/>
      <c r="DYX15" s="4"/>
      <c r="DYY15" s="4"/>
      <c r="DYZ15" s="4"/>
      <c r="DZA15" s="4"/>
      <c r="DZB15" s="4"/>
      <c r="DZC15" s="4"/>
      <c r="DZD15" s="4"/>
      <c r="DZE15" s="4"/>
      <c r="DZF15" s="4"/>
      <c r="DZG15" s="4"/>
      <c r="DZH15" s="4"/>
      <c r="DZI15" s="4"/>
      <c r="DZJ15" s="4"/>
      <c r="DZK15" s="4"/>
      <c r="DZL15" s="4"/>
      <c r="DZM15" s="4"/>
      <c r="DZN15" s="4"/>
      <c r="DZO15" s="4"/>
      <c r="DZP15" s="4"/>
      <c r="DZQ15" s="4"/>
      <c r="DZR15" s="4"/>
      <c r="DZS15" s="4"/>
      <c r="DZT15" s="4"/>
      <c r="DZU15" s="4"/>
      <c r="DZV15" s="4"/>
      <c r="DZW15" s="4"/>
      <c r="DZX15" s="4"/>
      <c r="DZY15" s="4"/>
      <c r="DZZ15" s="4"/>
      <c r="EAA15" s="4"/>
      <c r="EAB15" s="4"/>
      <c r="EAC15" s="4"/>
      <c r="EAD15" s="4"/>
      <c r="EAE15" s="4"/>
      <c r="EAF15" s="4"/>
      <c r="EAG15" s="4"/>
      <c r="EAH15" s="4"/>
      <c r="EAI15" s="4"/>
      <c r="EAJ15" s="4"/>
      <c r="EAK15" s="4"/>
      <c r="EAL15" s="4"/>
      <c r="EAM15" s="4"/>
      <c r="EAN15" s="4"/>
      <c r="EAO15" s="4"/>
      <c r="EAP15" s="4"/>
      <c r="EAQ15" s="4"/>
      <c r="EAR15" s="4"/>
      <c r="EAS15" s="4"/>
      <c r="EAT15" s="4"/>
      <c r="EAU15" s="4"/>
      <c r="EAV15" s="4"/>
      <c r="EAW15" s="4"/>
      <c r="EAX15" s="4"/>
      <c r="EAY15" s="4"/>
      <c r="EAZ15" s="4"/>
      <c r="EBA15" s="4"/>
      <c r="EBB15" s="4"/>
      <c r="EBC15" s="4"/>
      <c r="EBD15" s="4"/>
      <c r="EBE15" s="4"/>
      <c r="EBF15" s="4"/>
      <c r="EBG15" s="4"/>
      <c r="EBH15" s="4"/>
      <c r="EBI15" s="4"/>
      <c r="EBJ15" s="4"/>
      <c r="EBK15" s="4"/>
      <c r="EBL15" s="4"/>
      <c r="EBM15" s="4"/>
      <c r="EBN15" s="4"/>
      <c r="EBO15" s="4"/>
      <c r="EBP15" s="4"/>
      <c r="EBQ15" s="4"/>
      <c r="EBR15" s="4"/>
      <c r="EBS15" s="4"/>
      <c r="EBT15" s="4"/>
      <c r="EBU15" s="4"/>
      <c r="EBV15" s="4"/>
      <c r="EBW15" s="4"/>
      <c r="EBX15" s="4"/>
      <c r="EBY15" s="4"/>
      <c r="EBZ15" s="4"/>
      <c r="ECA15" s="4"/>
      <c r="ECB15" s="4"/>
      <c r="ECC15" s="4"/>
      <c r="ECD15" s="4"/>
      <c r="ECE15" s="4"/>
      <c r="ECF15" s="4"/>
      <c r="ECG15" s="4"/>
      <c r="ECH15" s="4"/>
      <c r="ECI15" s="4"/>
      <c r="ECJ15" s="4"/>
      <c r="ECK15" s="4"/>
      <c r="ECL15" s="4"/>
      <c r="ECM15" s="4"/>
      <c r="ECN15" s="4"/>
      <c r="ECO15" s="4"/>
      <c r="ECP15" s="4"/>
      <c r="ECQ15" s="4"/>
      <c r="ECR15" s="4"/>
      <c r="ECS15" s="4"/>
      <c r="ECT15" s="4"/>
      <c r="ECU15" s="4"/>
      <c r="ECV15" s="4"/>
      <c r="ECW15" s="4"/>
      <c r="ECX15" s="4"/>
      <c r="ECY15" s="4"/>
      <c r="ECZ15" s="4"/>
      <c r="EDA15" s="4"/>
      <c r="EDB15" s="4"/>
      <c r="EDC15" s="4"/>
      <c r="EDD15" s="4"/>
      <c r="EDE15" s="4"/>
      <c r="EDF15" s="4"/>
      <c r="EDG15" s="4"/>
      <c r="EDH15" s="4"/>
      <c r="EDI15" s="4"/>
      <c r="EDJ15" s="4"/>
      <c r="EDK15" s="4"/>
      <c r="EDL15" s="4"/>
      <c r="EDM15" s="4"/>
      <c r="EDN15" s="4"/>
      <c r="EDO15" s="4"/>
      <c r="EDP15" s="4"/>
      <c r="EDQ15" s="4"/>
      <c r="EDR15" s="4"/>
      <c r="EDS15" s="4"/>
      <c r="EDT15" s="4"/>
      <c r="EDU15" s="4"/>
      <c r="EDV15" s="4"/>
      <c r="EDW15" s="4"/>
      <c r="EDX15" s="4"/>
      <c r="EDY15" s="4"/>
      <c r="EDZ15" s="4"/>
      <c r="EEA15" s="4"/>
      <c r="EEB15" s="4"/>
      <c r="EEC15" s="4"/>
      <c r="EED15" s="4"/>
      <c r="EEE15" s="4"/>
      <c r="EEF15" s="4"/>
      <c r="EEG15" s="4"/>
      <c r="EEH15" s="4"/>
      <c r="EEI15" s="4"/>
      <c r="EEJ15" s="4"/>
      <c r="EEK15" s="4"/>
      <c r="EEL15" s="4"/>
      <c r="EEM15" s="4"/>
      <c r="EEN15" s="4"/>
      <c r="EEO15" s="4"/>
      <c r="EEP15" s="4"/>
      <c r="EEQ15" s="4"/>
      <c r="EER15" s="4"/>
      <c r="EES15" s="4"/>
      <c r="EET15" s="4"/>
      <c r="EEU15" s="4"/>
      <c r="EEV15" s="4"/>
      <c r="EEW15" s="4"/>
      <c r="EEX15" s="4"/>
      <c r="EEY15" s="4"/>
      <c r="EEZ15" s="4"/>
      <c r="EFA15" s="4"/>
      <c r="EFB15" s="4"/>
      <c r="EFC15" s="4"/>
      <c r="EFD15" s="4"/>
      <c r="EFE15" s="4"/>
      <c r="EFF15" s="4"/>
      <c r="EFG15" s="4"/>
      <c r="EFH15" s="4"/>
      <c r="EFI15" s="4"/>
      <c r="EFJ15" s="4"/>
      <c r="EFK15" s="4"/>
      <c r="EFL15" s="4"/>
      <c r="EFM15" s="4"/>
      <c r="EFN15" s="4"/>
      <c r="EFO15" s="4"/>
      <c r="EFP15" s="4"/>
      <c r="EFQ15" s="4"/>
      <c r="EFR15" s="4"/>
      <c r="EFS15" s="4"/>
      <c r="EFT15" s="4"/>
      <c r="EFU15" s="4"/>
      <c r="EFV15" s="4"/>
      <c r="EFW15" s="4"/>
      <c r="EFX15" s="4"/>
      <c r="EFY15" s="4"/>
      <c r="EFZ15" s="4"/>
      <c r="EGA15" s="4"/>
      <c r="EGB15" s="4"/>
      <c r="EGC15" s="4"/>
      <c r="EGD15" s="4"/>
      <c r="EGE15" s="4"/>
      <c r="EGF15" s="4"/>
      <c r="EGG15" s="4"/>
      <c r="EGH15" s="4"/>
      <c r="EGI15" s="4"/>
      <c r="EGJ15" s="4"/>
      <c r="EGK15" s="4"/>
      <c r="EGL15" s="4"/>
      <c r="EGM15" s="4"/>
      <c r="EGN15" s="4"/>
      <c r="EGO15" s="4"/>
      <c r="EGP15" s="4"/>
      <c r="EGQ15" s="4"/>
      <c r="EGR15" s="4"/>
      <c r="EGS15" s="4"/>
      <c r="EGT15" s="4"/>
      <c r="EGU15" s="4"/>
      <c r="EGV15" s="4"/>
      <c r="EGW15" s="4"/>
      <c r="EGX15" s="4"/>
      <c r="EGY15" s="4"/>
      <c r="EGZ15" s="4"/>
      <c r="EHA15" s="4"/>
      <c r="EHB15" s="4"/>
      <c r="EHC15" s="4"/>
      <c r="EHD15" s="4"/>
      <c r="EHE15" s="4"/>
      <c r="EHF15" s="4"/>
      <c r="EHG15" s="4"/>
      <c r="EHH15" s="4"/>
      <c r="EHI15" s="4"/>
      <c r="EHJ15" s="4"/>
      <c r="EHK15" s="4"/>
      <c r="EHL15" s="4"/>
      <c r="EHM15" s="4"/>
      <c r="EHN15" s="4"/>
      <c r="EHO15" s="4"/>
      <c r="EHP15" s="4"/>
      <c r="EHQ15" s="4"/>
      <c r="EHR15" s="4"/>
      <c r="EHS15" s="4"/>
      <c r="EHT15" s="4"/>
      <c r="EHU15" s="4"/>
      <c r="EHV15" s="4"/>
      <c r="EHW15" s="4"/>
      <c r="EHX15" s="4"/>
      <c r="EHY15" s="4"/>
      <c r="EHZ15" s="4"/>
      <c r="EIA15" s="4"/>
      <c r="EIB15" s="4"/>
      <c r="EIC15" s="4"/>
      <c r="EID15" s="4"/>
      <c r="EIE15" s="4"/>
      <c r="EIF15" s="4"/>
      <c r="EIG15" s="4"/>
      <c r="EIH15" s="4"/>
      <c r="EII15" s="4"/>
      <c r="EIJ15" s="4"/>
      <c r="EIK15" s="4"/>
      <c r="EIL15" s="4"/>
      <c r="EIM15" s="4"/>
      <c r="EIN15" s="4"/>
      <c r="EIO15" s="4"/>
      <c r="EIP15" s="4"/>
      <c r="EIQ15" s="4"/>
      <c r="EIR15" s="4"/>
      <c r="EIS15" s="4"/>
      <c r="EIT15" s="4"/>
      <c r="EIU15" s="4"/>
      <c r="EIV15" s="4"/>
      <c r="EIW15" s="4"/>
      <c r="EIX15" s="4"/>
      <c r="EIY15" s="4"/>
      <c r="EIZ15" s="4"/>
      <c r="EJA15" s="4"/>
      <c r="EJB15" s="4"/>
      <c r="EJC15" s="4"/>
      <c r="EJD15" s="4"/>
      <c r="EJE15" s="4"/>
      <c r="EJF15" s="4"/>
      <c r="EJG15" s="4"/>
      <c r="EJH15" s="4"/>
      <c r="EJI15" s="4"/>
      <c r="EJJ15" s="4"/>
      <c r="EJK15" s="4"/>
      <c r="EJL15" s="4"/>
      <c r="EJM15" s="4"/>
      <c r="EJN15" s="4"/>
      <c r="EJO15" s="4"/>
      <c r="EJP15" s="4"/>
      <c r="EJQ15" s="4"/>
      <c r="EJR15" s="4"/>
      <c r="EJS15" s="4"/>
      <c r="EJT15" s="4"/>
      <c r="EJU15" s="4"/>
      <c r="EJV15" s="4"/>
      <c r="EJW15" s="4"/>
      <c r="EJX15" s="4"/>
      <c r="EJY15" s="4"/>
      <c r="EJZ15" s="4"/>
      <c r="EKA15" s="4"/>
      <c r="EKB15" s="4"/>
      <c r="EKC15" s="4"/>
      <c r="EKD15" s="4"/>
      <c r="EKE15" s="4"/>
      <c r="EKF15" s="4"/>
      <c r="EKG15" s="4"/>
      <c r="EKH15" s="4"/>
      <c r="EKI15" s="4"/>
      <c r="EKJ15" s="4"/>
      <c r="EKK15" s="4"/>
      <c r="EKL15" s="4"/>
      <c r="EKM15" s="4"/>
      <c r="EKN15" s="4"/>
      <c r="EKO15" s="4"/>
      <c r="EKP15" s="4"/>
      <c r="EKQ15" s="4"/>
      <c r="EKR15" s="4"/>
      <c r="EKS15" s="4"/>
      <c r="EKT15" s="4"/>
      <c r="EKU15" s="4"/>
      <c r="EKV15" s="4"/>
      <c r="EKW15" s="4"/>
      <c r="EKX15" s="4"/>
      <c r="EKY15" s="4"/>
      <c r="EKZ15" s="4"/>
      <c r="ELA15" s="4"/>
      <c r="ELB15" s="4"/>
      <c r="ELC15" s="4"/>
      <c r="ELD15" s="4"/>
      <c r="ELE15" s="4"/>
      <c r="ELF15" s="4"/>
      <c r="ELG15" s="4"/>
      <c r="ELH15" s="4"/>
      <c r="ELI15" s="4"/>
      <c r="ELJ15" s="4"/>
      <c r="ELK15" s="4"/>
      <c r="ELL15" s="4"/>
      <c r="ELM15" s="4"/>
      <c r="ELN15" s="4"/>
      <c r="ELO15" s="4"/>
      <c r="ELP15" s="4"/>
      <c r="ELQ15" s="4"/>
      <c r="ELR15" s="4"/>
      <c r="ELS15" s="4"/>
      <c r="ELT15" s="4"/>
      <c r="ELU15" s="4"/>
      <c r="ELV15" s="4"/>
      <c r="ELW15" s="4"/>
      <c r="ELX15" s="4"/>
      <c r="ELY15" s="4"/>
      <c r="ELZ15" s="4"/>
      <c r="EMA15" s="4"/>
      <c r="EMB15" s="4"/>
      <c r="EMC15" s="4"/>
      <c r="EMD15" s="4"/>
      <c r="EME15" s="4"/>
      <c r="EMF15" s="4"/>
      <c r="EMG15" s="4"/>
      <c r="EMH15" s="4"/>
      <c r="EMI15" s="4"/>
      <c r="EMJ15" s="4"/>
      <c r="EMK15" s="4"/>
      <c r="EML15" s="4"/>
      <c r="EMM15" s="4"/>
      <c r="EMN15" s="4"/>
      <c r="EMO15" s="4"/>
      <c r="EMP15" s="4"/>
      <c r="EMQ15" s="4"/>
      <c r="EMR15" s="4"/>
      <c r="EMS15" s="4"/>
      <c r="EMT15" s="4"/>
      <c r="EMU15" s="4"/>
      <c r="EMV15" s="4"/>
      <c r="EMW15" s="4"/>
      <c r="EMX15" s="4"/>
      <c r="EMY15" s="4"/>
      <c r="EMZ15" s="4"/>
      <c r="ENA15" s="4"/>
      <c r="ENB15" s="4"/>
      <c r="ENC15" s="4"/>
      <c r="END15" s="4"/>
      <c r="ENE15" s="4"/>
      <c r="ENF15" s="4"/>
      <c r="ENG15" s="4"/>
      <c r="ENH15" s="4"/>
      <c r="ENI15" s="4"/>
      <c r="ENJ15" s="4"/>
      <c r="ENK15" s="4"/>
      <c r="ENL15" s="4"/>
      <c r="ENM15" s="4"/>
      <c r="ENN15" s="4"/>
      <c r="ENO15" s="4"/>
      <c r="ENP15" s="4"/>
      <c r="ENQ15" s="4"/>
      <c r="ENR15" s="4"/>
      <c r="ENS15" s="4"/>
      <c r="ENT15" s="4"/>
      <c r="ENU15" s="4"/>
      <c r="ENV15" s="4"/>
      <c r="ENW15" s="4"/>
      <c r="ENX15" s="4"/>
      <c r="ENY15" s="4"/>
      <c r="ENZ15" s="4"/>
      <c r="EOA15" s="4"/>
      <c r="EOB15" s="4"/>
      <c r="EOC15" s="4"/>
      <c r="EOD15" s="4"/>
      <c r="EOE15" s="4"/>
      <c r="EOF15" s="4"/>
      <c r="EOG15" s="4"/>
      <c r="EOH15" s="4"/>
      <c r="EOI15" s="4"/>
      <c r="EOJ15" s="4"/>
      <c r="EOK15" s="4"/>
      <c r="EOL15" s="4"/>
      <c r="EOM15" s="4"/>
      <c r="EON15" s="4"/>
      <c r="EOO15" s="4"/>
      <c r="EOP15" s="4"/>
      <c r="EOQ15" s="4"/>
      <c r="EOR15" s="4"/>
      <c r="EOS15" s="4"/>
      <c r="EOT15" s="4"/>
      <c r="EOU15" s="4"/>
      <c r="EOV15" s="4"/>
      <c r="EOW15" s="4"/>
      <c r="EOX15" s="4"/>
      <c r="EOY15" s="4"/>
      <c r="EOZ15" s="4"/>
      <c r="EPA15" s="4"/>
      <c r="EPB15" s="4"/>
      <c r="EPC15" s="4"/>
      <c r="EPD15" s="4"/>
      <c r="EPE15" s="4"/>
      <c r="EPF15" s="4"/>
      <c r="EPG15" s="4"/>
      <c r="EPH15" s="4"/>
      <c r="EPI15" s="4"/>
      <c r="EPJ15" s="4"/>
      <c r="EPK15" s="4"/>
      <c r="EPL15" s="4"/>
      <c r="EPM15" s="4"/>
      <c r="EPN15" s="4"/>
      <c r="EPO15" s="4"/>
      <c r="EPP15" s="4"/>
      <c r="EPQ15" s="4"/>
      <c r="EPR15" s="4"/>
      <c r="EPS15" s="4"/>
      <c r="EPT15" s="4"/>
      <c r="EPU15" s="4"/>
      <c r="EPV15" s="4"/>
      <c r="EPW15" s="4"/>
      <c r="EPX15" s="4"/>
      <c r="EPY15" s="4"/>
      <c r="EPZ15" s="4"/>
      <c r="EQA15" s="4"/>
      <c r="EQB15" s="4"/>
      <c r="EQC15" s="4"/>
      <c r="EQD15" s="4"/>
      <c r="EQE15" s="4"/>
      <c r="EQF15" s="4"/>
      <c r="EQG15" s="4"/>
      <c r="EQH15" s="4"/>
      <c r="EQI15" s="4"/>
      <c r="EQJ15" s="4"/>
      <c r="EQK15" s="4"/>
      <c r="EQL15" s="4"/>
      <c r="EQM15" s="4"/>
      <c r="EQN15" s="4"/>
      <c r="EQO15" s="4"/>
      <c r="EQP15" s="4"/>
      <c r="EQQ15" s="4"/>
      <c r="EQR15" s="4"/>
      <c r="EQS15" s="4"/>
      <c r="EQT15" s="4"/>
      <c r="EQU15" s="4"/>
      <c r="EQV15" s="4"/>
      <c r="EQW15" s="4"/>
      <c r="EQX15" s="4"/>
      <c r="EQY15" s="4"/>
      <c r="EQZ15" s="4"/>
      <c r="ERA15" s="4"/>
      <c r="ERB15" s="4"/>
      <c r="ERC15" s="4"/>
      <c r="ERD15" s="4"/>
      <c r="ERE15" s="4"/>
      <c r="ERF15" s="4"/>
      <c r="ERG15" s="4"/>
      <c r="ERH15" s="4"/>
      <c r="ERI15" s="4"/>
      <c r="ERJ15" s="4"/>
      <c r="ERK15" s="4"/>
      <c r="ERL15" s="4"/>
      <c r="ERM15" s="4"/>
      <c r="ERN15" s="4"/>
      <c r="ERO15" s="4"/>
      <c r="ERP15" s="4"/>
      <c r="ERQ15" s="4"/>
      <c r="ERR15" s="4"/>
      <c r="ERS15" s="4"/>
      <c r="ERT15" s="4"/>
      <c r="ERU15" s="4"/>
      <c r="ERV15" s="4"/>
      <c r="ERW15" s="4"/>
      <c r="ERX15" s="4"/>
      <c r="ERY15" s="4"/>
      <c r="ERZ15" s="4"/>
      <c r="ESA15" s="4"/>
      <c r="ESB15" s="4"/>
      <c r="ESC15" s="4"/>
      <c r="ESD15" s="4"/>
      <c r="ESE15" s="4"/>
      <c r="ESF15" s="4"/>
      <c r="ESG15" s="4"/>
      <c r="ESH15" s="4"/>
      <c r="ESI15" s="4"/>
      <c r="ESJ15" s="4"/>
      <c r="ESK15" s="4"/>
      <c r="ESL15" s="4"/>
      <c r="ESM15" s="4"/>
      <c r="ESN15" s="4"/>
      <c r="ESO15" s="4"/>
      <c r="ESP15" s="4"/>
      <c r="ESQ15" s="4"/>
      <c r="ESR15" s="4"/>
      <c r="ESS15" s="4"/>
      <c r="EST15" s="4"/>
      <c r="ESU15" s="4"/>
      <c r="ESV15" s="4"/>
      <c r="ESW15" s="4"/>
      <c r="ESX15" s="4"/>
      <c r="ESY15" s="4"/>
      <c r="ESZ15" s="4"/>
      <c r="ETA15" s="4"/>
      <c r="ETB15" s="4"/>
      <c r="ETC15" s="4"/>
      <c r="ETD15" s="4"/>
      <c r="ETE15" s="4"/>
      <c r="ETF15" s="4"/>
      <c r="ETG15" s="4"/>
      <c r="ETH15" s="4"/>
      <c r="ETI15" s="4"/>
      <c r="ETJ15" s="4"/>
      <c r="ETK15" s="4"/>
      <c r="ETL15" s="4"/>
      <c r="ETM15" s="4"/>
      <c r="ETN15" s="4"/>
      <c r="ETO15" s="4"/>
      <c r="ETP15" s="4"/>
      <c r="ETQ15" s="4"/>
      <c r="ETR15" s="4"/>
      <c r="ETS15" s="4"/>
      <c r="ETT15" s="4"/>
      <c r="ETU15" s="4"/>
      <c r="ETV15" s="4"/>
      <c r="ETW15" s="4"/>
      <c r="ETX15" s="4"/>
      <c r="ETY15" s="4"/>
      <c r="ETZ15" s="4"/>
      <c r="EUA15" s="4"/>
      <c r="EUB15" s="4"/>
      <c r="EUC15" s="4"/>
      <c r="EUD15" s="4"/>
      <c r="EUE15" s="4"/>
      <c r="EUF15" s="4"/>
      <c r="EUG15" s="4"/>
      <c r="EUH15" s="4"/>
      <c r="EUI15" s="4"/>
      <c r="EUJ15" s="4"/>
      <c r="EUK15" s="4"/>
      <c r="EUL15" s="4"/>
      <c r="EUM15" s="4"/>
      <c r="EUN15" s="4"/>
      <c r="EUO15" s="4"/>
      <c r="EUP15" s="4"/>
      <c r="EUQ15" s="4"/>
      <c r="EUR15" s="4"/>
      <c r="EUS15" s="4"/>
      <c r="EUT15" s="4"/>
      <c r="EUU15" s="4"/>
      <c r="EUV15" s="4"/>
      <c r="EUW15" s="4"/>
      <c r="EUX15" s="4"/>
      <c r="EUY15" s="4"/>
      <c r="EUZ15" s="4"/>
      <c r="EVA15" s="4"/>
      <c r="EVB15" s="4"/>
      <c r="EVC15" s="4"/>
      <c r="EVD15" s="4"/>
      <c r="EVE15" s="4"/>
      <c r="EVF15" s="4"/>
      <c r="EVG15" s="4"/>
      <c r="EVH15" s="4"/>
      <c r="EVI15" s="4"/>
      <c r="EVJ15" s="4"/>
      <c r="EVK15" s="4"/>
      <c r="EVL15" s="4"/>
      <c r="EVM15" s="4"/>
      <c r="EVN15" s="4"/>
      <c r="EVO15" s="4"/>
      <c r="EVP15" s="4"/>
      <c r="EVQ15" s="4"/>
      <c r="EVR15" s="4"/>
      <c r="EVS15" s="4"/>
      <c r="EVT15" s="4"/>
      <c r="EVU15" s="4"/>
      <c r="EVV15" s="4"/>
      <c r="EVW15" s="4"/>
      <c r="EVX15" s="4"/>
      <c r="EVY15" s="4"/>
      <c r="EVZ15" s="4"/>
      <c r="EWA15" s="4"/>
      <c r="EWB15" s="4"/>
      <c r="EWC15" s="4"/>
      <c r="EWD15" s="4"/>
      <c r="EWE15" s="4"/>
      <c r="EWF15" s="4"/>
      <c r="EWG15" s="4"/>
      <c r="EWH15" s="4"/>
      <c r="EWI15" s="4"/>
      <c r="EWJ15" s="4"/>
      <c r="EWK15" s="4"/>
      <c r="EWL15" s="4"/>
      <c r="EWM15" s="4"/>
      <c r="EWN15" s="4"/>
      <c r="EWO15" s="4"/>
      <c r="EWP15" s="4"/>
      <c r="EWQ15" s="4"/>
      <c r="EWR15" s="4"/>
      <c r="EWS15" s="4"/>
      <c r="EWT15" s="4"/>
      <c r="EWU15" s="4"/>
      <c r="EWV15" s="4"/>
      <c r="EWW15" s="4"/>
      <c r="EWX15" s="4"/>
      <c r="EWY15" s="4"/>
      <c r="EWZ15" s="4"/>
      <c r="EXA15" s="4"/>
      <c r="EXB15" s="4"/>
      <c r="EXC15" s="4"/>
      <c r="EXD15" s="4"/>
      <c r="EXE15" s="4"/>
      <c r="EXF15" s="4"/>
      <c r="EXG15" s="4"/>
      <c r="EXH15" s="4"/>
      <c r="EXI15" s="4"/>
      <c r="EXJ15" s="4"/>
      <c r="EXK15" s="4"/>
      <c r="EXL15" s="4"/>
      <c r="EXM15" s="4"/>
      <c r="EXN15" s="4"/>
      <c r="EXO15" s="4"/>
      <c r="EXP15" s="4"/>
      <c r="EXQ15" s="4"/>
      <c r="EXR15" s="4"/>
      <c r="EXS15" s="4"/>
      <c r="EXT15" s="4"/>
      <c r="EXU15" s="4"/>
      <c r="EXV15" s="4"/>
      <c r="EXW15" s="4"/>
      <c r="EXX15" s="4"/>
      <c r="EXY15" s="4"/>
      <c r="EXZ15" s="4"/>
      <c r="EYA15" s="4"/>
      <c r="EYB15" s="4"/>
      <c r="EYC15" s="4"/>
      <c r="EYD15" s="4"/>
      <c r="EYE15" s="4"/>
      <c r="EYF15" s="4"/>
      <c r="EYG15" s="4"/>
      <c r="EYH15" s="4"/>
      <c r="EYI15" s="4"/>
      <c r="EYJ15" s="4"/>
      <c r="EYK15" s="4"/>
      <c r="EYL15" s="4"/>
      <c r="EYM15" s="4"/>
      <c r="EYN15" s="4"/>
      <c r="EYO15" s="4"/>
      <c r="EYP15" s="4"/>
      <c r="EYQ15" s="4"/>
      <c r="EYR15" s="4"/>
      <c r="EYS15" s="4"/>
      <c r="EYT15" s="4"/>
      <c r="EYU15" s="4"/>
      <c r="EYV15" s="4"/>
      <c r="EYW15" s="4"/>
      <c r="EYX15" s="4"/>
      <c r="EYY15" s="4"/>
      <c r="EYZ15" s="4"/>
      <c r="EZA15" s="4"/>
      <c r="EZB15" s="4"/>
      <c r="EZC15" s="4"/>
      <c r="EZD15" s="4"/>
      <c r="EZE15" s="4"/>
      <c r="EZF15" s="4"/>
      <c r="EZG15" s="4"/>
      <c r="EZH15" s="4"/>
      <c r="EZI15" s="4"/>
      <c r="EZJ15" s="4"/>
      <c r="EZK15" s="4"/>
      <c r="EZL15" s="4"/>
      <c r="EZM15" s="4"/>
      <c r="EZN15" s="4"/>
      <c r="EZO15" s="4"/>
      <c r="EZP15" s="4"/>
      <c r="EZQ15" s="4"/>
      <c r="EZR15" s="4"/>
      <c r="EZS15" s="4"/>
      <c r="EZT15" s="4"/>
      <c r="EZU15" s="4"/>
      <c r="EZV15" s="4"/>
      <c r="EZW15" s="4"/>
      <c r="EZX15" s="4"/>
      <c r="EZY15" s="4"/>
      <c r="EZZ15" s="4"/>
      <c r="FAA15" s="4"/>
      <c r="FAB15" s="4"/>
      <c r="FAC15" s="4"/>
      <c r="FAD15" s="4"/>
      <c r="FAE15" s="4"/>
      <c r="FAF15" s="4"/>
      <c r="FAG15" s="4"/>
      <c r="FAH15" s="4"/>
      <c r="FAI15" s="4"/>
      <c r="FAJ15" s="4"/>
      <c r="FAK15" s="4"/>
      <c r="FAL15" s="4"/>
      <c r="FAM15" s="4"/>
      <c r="FAN15" s="4"/>
      <c r="FAO15" s="4"/>
      <c r="FAP15" s="4"/>
      <c r="FAQ15" s="4"/>
      <c r="FAR15" s="4"/>
      <c r="FAS15" s="4"/>
      <c r="FAT15" s="4"/>
      <c r="FAU15" s="4"/>
      <c r="FAV15" s="4"/>
      <c r="FAW15" s="4"/>
      <c r="FAX15" s="4"/>
      <c r="FAY15" s="4"/>
      <c r="FAZ15" s="4"/>
      <c r="FBA15" s="4"/>
      <c r="FBB15" s="4"/>
      <c r="FBC15" s="4"/>
      <c r="FBD15" s="4"/>
      <c r="FBE15" s="4"/>
      <c r="FBF15" s="4"/>
      <c r="FBG15" s="4"/>
      <c r="FBH15" s="4"/>
      <c r="FBI15" s="4"/>
      <c r="FBJ15" s="4"/>
      <c r="FBK15" s="4"/>
      <c r="FBL15" s="4"/>
      <c r="FBM15" s="4"/>
      <c r="FBN15" s="4"/>
      <c r="FBO15" s="4"/>
      <c r="FBP15" s="4"/>
      <c r="FBQ15" s="4"/>
      <c r="FBR15" s="4"/>
      <c r="FBS15" s="4"/>
      <c r="FBT15" s="4"/>
      <c r="FBU15" s="4"/>
      <c r="FBV15" s="4"/>
      <c r="FBW15" s="4"/>
      <c r="FBX15" s="4"/>
      <c r="FBY15" s="4"/>
      <c r="FBZ15" s="4"/>
      <c r="FCA15" s="4"/>
      <c r="FCB15" s="4"/>
      <c r="FCC15" s="4"/>
      <c r="FCD15" s="4"/>
      <c r="FCE15" s="4"/>
      <c r="FCF15" s="4"/>
      <c r="FCG15" s="4"/>
      <c r="FCH15" s="4"/>
      <c r="FCI15" s="4"/>
      <c r="FCJ15" s="4"/>
      <c r="FCK15" s="4"/>
      <c r="FCL15" s="4"/>
      <c r="FCM15" s="4"/>
      <c r="FCN15" s="4"/>
      <c r="FCO15" s="4"/>
      <c r="FCP15" s="4"/>
      <c r="FCQ15" s="4"/>
      <c r="FCR15" s="4"/>
      <c r="FCS15" s="4"/>
      <c r="FCT15" s="4"/>
      <c r="FCU15" s="4"/>
      <c r="FCV15" s="4"/>
      <c r="FCW15" s="4"/>
      <c r="FCX15" s="4"/>
      <c r="FCY15" s="4"/>
      <c r="FCZ15" s="4"/>
      <c r="FDA15" s="4"/>
      <c r="FDB15" s="4"/>
      <c r="FDC15" s="4"/>
      <c r="FDD15" s="4"/>
      <c r="FDE15" s="4"/>
      <c r="FDF15" s="4"/>
      <c r="FDG15" s="4"/>
      <c r="FDH15" s="4"/>
      <c r="FDI15" s="4"/>
      <c r="FDJ15" s="4"/>
      <c r="FDK15" s="4"/>
      <c r="FDL15" s="4"/>
      <c r="FDM15" s="4"/>
      <c r="FDN15" s="4"/>
      <c r="FDO15" s="4"/>
      <c r="FDP15" s="4"/>
      <c r="FDQ15" s="4"/>
      <c r="FDR15" s="4"/>
      <c r="FDS15" s="4"/>
      <c r="FDT15" s="4"/>
      <c r="FDU15" s="4"/>
      <c r="FDV15" s="4"/>
      <c r="FDW15" s="4"/>
      <c r="FDX15" s="4"/>
      <c r="FDY15" s="4"/>
      <c r="FDZ15" s="4"/>
      <c r="FEA15" s="4"/>
      <c r="FEB15" s="4"/>
      <c r="FEC15" s="4"/>
      <c r="FED15" s="4"/>
      <c r="FEE15" s="4"/>
      <c r="FEF15" s="4"/>
      <c r="FEG15" s="4"/>
      <c r="FEH15" s="4"/>
      <c r="FEI15" s="4"/>
      <c r="FEJ15" s="4"/>
      <c r="FEK15" s="4"/>
      <c r="FEL15" s="4"/>
      <c r="FEM15" s="4"/>
      <c r="FEN15" s="4"/>
      <c r="FEO15" s="4"/>
      <c r="FEP15" s="4"/>
      <c r="FEQ15" s="4"/>
      <c r="FER15" s="4"/>
      <c r="FES15" s="4"/>
      <c r="FET15" s="4"/>
      <c r="FEU15" s="4"/>
      <c r="FEV15" s="4"/>
      <c r="FEW15" s="4"/>
      <c r="FEX15" s="4"/>
      <c r="FEY15" s="4"/>
      <c r="FEZ15" s="4"/>
      <c r="FFA15" s="4"/>
      <c r="FFB15" s="4"/>
      <c r="FFC15" s="4"/>
      <c r="FFD15" s="4"/>
      <c r="FFE15" s="4"/>
      <c r="FFF15" s="4"/>
      <c r="FFG15" s="4"/>
      <c r="FFH15" s="4"/>
      <c r="FFI15" s="4"/>
      <c r="FFJ15" s="4"/>
      <c r="FFK15" s="4"/>
      <c r="FFL15" s="4"/>
      <c r="FFM15" s="4"/>
      <c r="FFN15" s="4"/>
      <c r="FFO15" s="4"/>
      <c r="FFP15" s="4"/>
      <c r="FFQ15" s="4"/>
      <c r="FFR15" s="4"/>
      <c r="FFS15" s="4"/>
      <c r="FFT15" s="4"/>
      <c r="FFU15" s="4"/>
      <c r="FFV15" s="4"/>
      <c r="FFW15" s="4"/>
      <c r="FFX15" s="4"/>
      <c r="FFY15" s="4"/>
      <c r="FFZ15" s="4"/>
      <c r="FGA15" s="4"/>
      <c r="FGB15" s="4"/>
      <c r="FGC15" s="4"/>
      <c r="FGD15" s="4"/>
      <c r="FGE15" s="4"/>
      <c r="FGF15" s="4"/>
      <c r="FGG15" s="4"/>
      <c r="FGH15" s="4"/>
      <c r="FGI15" s="4"/>
      <c r="FGJ15" s="4"/>
      <c r="FGK15" s="4"/>
      <c r="FGL15" s="4"/>
      <c r="FGM15" s="4"/>
      <c r="FGN15" s="4"/>
      <c r="FGO15" s="4"/>
      <c r="FGP15" s="4"/>
      <c r="FGQ15" s="4"/>
      <c r="FGR15" s="4"/>
      <c r="FGS15" s="4"/>
      <c r="FGT15" s="4"/>
      <c r="FGU15" s="4"/>
      <c r="FGV15" s="4"/>
      <c r="FGW15" s="4"/>
      <c r="FGX15" s="4"/>
      <c r="FGY15" s="4"/>
      <c r="FGZ15" s="4"/>
      <c r="FHA15" s="4"/>
      <c r="FHB15" s="4"/>
      <c r="FHC15" s="4"/>
      <c r="FHD15" s="4"/>
      <c r="FHE15" s="4"/>
      <c r="FHF15" s="4"/>
      <c r="FHG15" s="4"/>
      <c r="FHH15" s="4"/>
      <c r="FHI15" s="4"/>
      <c r="FHJ15" s="4"/>
      <c r="FHK15" s="4"/>
      <c r="FHL15" s="4"/>
      <c r="FHM15" s="4"/>
      <c r="FHN15" s="4"/>
      <c r="FHO15" s="4"/>
      <c r="FHP15" s="4"/>
      <c r="FHQ15" s="4"/>
      <c r="FHR15" s="4"/>
      <c r="FHS15" s="4"/>
      <c r="FHT15" s="4"/>
      <c r="FHU15" s="4"/>
      <c r="FHV15" s="4"/>
      <c r="FHW15" s="4"/>
      <c r="FHX15" s="4"/>
      <c r="FHY15" s="4"/>
      <c r="FHZ15" s="4"/>
      <c r="FIA15" s="4"/>
      <c r="FIB15" s="4"/>
      <c r="FIC15" s="4"/>
      <c r="FID15" s="4"/>
      <c r="FIE15" s="4"/>
      <c r="FIF15" s="4"/>
      <c r="FIG15" s="4"/>
      <c r="FIH15" s="4"/>
      <c r="FII15" s="4"/>
      <c r="FIJ15" s="4"/>
      <c r="FIK15" s="4"/>
      <c r="FIL15" s="4"/>
      <c r="FIM15" s="4"/>
      <c r="FIN15" s="4"/>
      <c r="FIO15" s="4"/>
      <c r="FIP15" s="4"/>
      <c r="FIQ15" s="4"/>
      <c r="FIR15" s="4"/>
      <c r="FIS15" s="4"/>
      <c r="FIT15" s="4"/>
      <c r="FIU15" s="4"/>
      <c r="FIV15" s="4"/>
      <c r="FIW15" s="4"/>
      <c r="FIX15" s="4"/>
      <c r="FIY15" s="4"/>
      <c r="FIZ15" s="4"/>
      <c r="FJA15" s="4"/>
      <c r="FJB15" s="4"/>
      <c r="FJC15" s="4"/>
      <c r="FJD15" s="4"/>
      <c r="FJE15" s="4"/>
      <c r="FJF15" s="4"/>
      <c r="FJG15" s="4"/>
      <c r="FJH15" s="4"/>
      <c r="FJI15" s="4"/>
      <c r="FJJ15" s="4"/>
      <c r="FJK15" s="4"/>
      <c r="FJL15" s="4"/>
      <c r="FJM15" s="4"/>
      <c r="FJN15" s="4"/>
      <c r="FJO15" s="4"/>
      <c r="FJP15" s="4"/>
      <c r="FJQ15" s="4"/>
      <c r="FJR15" s="4"/>
      <c r="FJS15" s="4"/>
      <c r="FJT15" s="4"/>
      <c r="FJU15" s="4"/>
      <c r="FJV15" s="4"/>
      <c r="FJW15" s="4"/>
      <c r="FJX15" s="4"/>
      <c r="FJY15" s="4"/>
      <c r="FJZ15" s="4"/>
      <c r="FKA15" s="4"/>
      <c r="FKB15" s="4"/>
      <c r="FKC15" s="4"/>
      <c r="FKD15" s="4"/>
      <c r="FKE15" s="4"/>
      <c r="FKF15" s="4"/>
      <c r="FKG15" s="4"/>
      <c r="FKH15" s="4"/>
      <c r="FKI15" s="4"/>
      <c r="FKJ15" s="4"/>
      <c r="FKK15" s="4"/>
      <c r="FKL15" s="4"/>
      <c r="FKM15" s="4"/>
      <c r="FKN15" s="4"/>
      <c r="FKO15" s="4"/>
      <c r="FKP15" s="4"/>
      <c r="FKQ15" s="4"/>
      <c r="FKR15" s="4"/>
      <c r="FKS15" s="4"/>
      <c r="FKT15" s="4"/>
      <c r="FKU15" s="4"/>
      <c r="FKV15" s="4"/>
      <c r="FKW15" s="4"/>
      <c r="FKX15" s="4"/>
      <c r="FKY15" s="4"/>
      <c r="FKZ15" s="4"/>
      <c r="FLA15" s="4"/>
      <c r="FLB15" s="4"/>
      <c r="FLC15" s="4"/>
      <c r="FLD15" s="4"/>
      <c r="FLE15" s="4"/>
      <c r="FLF15" s="4"/>
      <c r="FLG15" s="4"/>
      <c r="FLH15" s="4"/>
      <c r="FLI15" s="4"/>
      <c r="FLJ15" s="4"/>
      <c r="FLK15" s="4"/>
      <c r="FLL15" s="4"/>
      <c r="FLM15" s="4"/>
      <c r="FLN15" s="4"/>
      <c r="FLO15" s="4"/>
      <c r="FLP15" s="4"/>
      <c r="FLQ15" s="4"/>
      <c r="FLR15" s="4"/>
      <c r="FLS15" s="4"/>
      <c r="FLT15" s="4"/>
      <c r="FLU15" s="4"/>
      <c r="FLV15" s="4"/>
      <c r="FLW15" s="4"/>
      <c r="FLX15" s="4"/>
      <c r="FLY15" s="4"/>
      <c r="FLZ15" s="4"/>
      <c r="FMA15" s="4"/>
      <c r="FMB15" s="4"/>
      <c r="FMC15" s="4"/>
      <c r="FMD15" s="4"/>
      <c r="FME15" s="4"/>
      <c r="FMF15" s="4"/>
      <c r="FMG15" s="4"/>
      <c r="FMH15" s="4"/>
      <c r="FMI15" s="4"/>
      <c r="FMJ15" s="4"/>
      <c r="FMK15" s="4"/>
      <c r="FML15" s="4"/>
      <c r="FMM15" s="4"/>
      <c r="FMN15" s="4"/>
      <c r="FMO15" s="4"/>
      <c r="FMP15" s="4"/>
      <c r="FMQ15" s="4"/>
      <c r="FMR15" s="4"/>
      <c r="FMS15" s="4"/>
      <c r="FMT15" s="4"/>
      <c r="FMU15" s="4"/>
      <c r="FMV15" s="4"/>
      <c r="FMW15" s="4"/>
      <c r="FMX15" s="4"/>
      <c r="FMY15" s="4"/>
      <c r="FMZ15" s="4"/>
      <c r="FNA15" s="4"/>
      <c r="FNB15" s="4"/>
      <c r="FNC15" s="4"/>
      <c r="FND15" s="4"/>
      <c r="FNE15" s="4"/>
      <c r="FNF15" s="4"/>
      <c r="FNG15" s="4"/>
      <c r="FNH15" s="4"/>
      <c r="FNI15" s="4"/>
      <c r="FNJ15" s="4"/>
      <c r="FNK15" s="4"/>
      <c r="FNL15" s="4"/>
      <c r="FNM15" s="4"/>
      <c r="FNN15" s="4"/>
      <c r="FNO15" s="4"/>
      <c r="FNP15" s="4"/>
      <c r="FNQ15" s="4"/>
      <c r="FNR15" s="4"/>
      <c r="FNS15" s="4"/>
      <c r="FNT15" s="4"/>
      <c r="FNU15" s="4"/>
      <c r="FNV15" s="4"/>
      <c r="FNW15" s="4"/>
      <c r="FNX15" s="4"/>
      <c r="FNY15" s="4"/>
      <c r="FNZ15" s="4"/>
      <c r="FOA15" s="4"/>
      <c r="FOB15" s="4"/>
      <c r="FOC15" s="4"/>
      <c r="FOD15" s="4"/>
      <c r="FOE15" s="4"/>
      <c r="FOF15" s="4"/>
      <c r="FOG15" s="4"/>
      <c r="FOH15" s="4"/>
      <c r="FOI15" s="4"/>
      <c r="FOJ15" s="4"/>
      <c r="FOK15" s="4"/>
      <c r="FOL15" s="4"/>
      <c r="FOM15" s="4"/>
      <c r="FON15" s="4"/>
      <c r="FOO15" s="4"/>
      <c r="FOP15" s="4"/>
      <c r="FOQ15" s="4"/>
      <c r="FOR15" s="4"/>
      <c r="FOS15" s="4"/>
      <c r="FOT15" s="4"/>
      <c r="FOU15" s="4"/>
      <c r="FOV15" s="4"/>
      <c r="FOW15" s="4"/>
      <c r="FOX15" s="4"/>
      <c r="FOY15" s="4"/>
      <c r="FOZ15" s="4"/>
      <c r="FPA15" s="4"/>
      <c r="FPB15" s="4"/>
      <c r="FPC15" s="4"/>
      <c r="FPD15" s="4"/>
      <c r="FPE15" s="4"/>
      <c r="FPF15" s="4"/>
      <c r="FPG15" s="4"/>
      <c r="FPH15" s="4"/>
      <c r="FPI15" s="4"/>
      <c r="FPJ15" s="4"/>
      <c r="FPK15" s="4"/>
      <c r="FPL15" s="4"/>
      <c r="FPM15" s="4"/>
      <c r="FPN15" s="4"/>
      <c r="FPO15" s="4"/>
      <c r="FPP15" s="4"/>
      <c r="FPQ15" s="4"/>
      <c r="FPR15" s="4"/>
      <c r="FPS15" s="4"/>
      <c r="FPT15" s="4"/>
      <c r="FPU15" s="4"/>
      <c r="FPV15" s="4"/>
      <c r="FPW15" s="4"/>
      <c r="FPX15" s="4"/>
      <c r="FPY15" s="4"/>
      <c r="FPZ15" s="4"/>
      <c r="FQA15" s="4"/>
      <c r="FQB15" s="4"/>
      <c r="FQC15" s="4"/>
      <c r="FQD15" s="4"/>
      <c r="FQE15" s="4"/>
      <c r="FQF15" s="4"/>
      <c r="FQG15" s="4"/>
      <c r="FQH15" s="4"/>
      <c r="FQI15" s="4"/>
      <c r="FQJ15" s="4"/>
      <c r="FQK15" s="4"/>
      <c r="FQL15" s="4"/>
      <c r="FQM15" s="4"/>
      <c r="FQN15" s="4"/>
      <c r="FQO15" s="4"/>
      <c r="FQP15" s="4"/>
      <c r="FQQ15" s="4"/>
      <c r="FQR15" s="4"/>
      <c r="FQS15" s="4"/>
      <c r="FQT15" s="4"/>
      <c r="FQU15" s="4"/>
      <c r="FQV15" s="4"/>
      <c r="FQW15" s="4"/>
      <c r="FQX15" s="4"/>
      <c r="FQY15" s="4"/>
      <c r="FQZ15" s="4"/>
      <c r="FRA15" s="4"/>
      <c r="FRB15" s="4"/>
      <c r="FRC15" s="4"/>
      <c r="FRD15" s="4"/>
      <c r="FRE15" s="4"/>
      <c r="FRF15" s="4"/>
      <c r="FRG15" s="4"/>
      <c r="FRH15" s="4"/>
      <c r="FRI15" s="4"/>
      <c r="FRJ15" s="4"/>
      <c r="FRK15" s="4"/>
      <c r="FRL15" s="4"/>
      <c r="FRM15" s="4"/>
      <c r="FRN15" s="4"/>
      <c r="FRO15" s="4"/>
      <c r="FRP15" s="4"/>
      <c r="FRQ15" s="4"/>
      <c r="FRR15" s="4"/>
      <c r="FRS15" s="4"/>
      <c r="FRT15" s="4"/>
      <c r="FRU15" s="4"/>
      <c r="FRV15" s="4"/>
      <c r="FRW15" s="4"/>
      <c r="FRX15" s="4"/>
      <c r="FRY15" s="4"/>
      <c r="FRZ15" s="4"/>
      <c r="FSA15" s="4"/>
      <c r="FSB15" s="4"/>
      <c r="FSC15" s="4"/>
      <c r="FSD15" s="4"/>
      <c r="FSE15" s="4"/>
      <c r="FSF15" s="4"/>
      <c r="FSG15" s="4"/>
      <c r="FSH15" s="4"/>
      <c r="FSI15" s="4"/>
      <c r="FSJ15" s="4"/>
      <c r="FSK15" s="4"/>
      <c r="FSL15" s="4"/>
      <c r="FSM15" s="4"/>
      <c r="FSN15" s="4"/>
      <c r="FSO15" s="4"/>
      <c r="FSP15" s="4"/>
      <c r="FSQ15" s="4"/>
      <c r="FSR15" s="4"/>
      <c r="FSS15" s="4"/>
      <c r="FST15" s="4"/>
      <c r="FSU15" s="4"/>
      <c r="FSV15" s="4"/>
      <c r="FSW15" s="4"/>
      <c r="FSX15" s="4"/>
      <c r="FSY15" s="4"/>
      <c r="FSZ15" s="4"/>
      <c r="FTA15" s="4"/>
      <c r="FTB15" s="4"/>
      <c r="FTC15" s="4"/>
      <c r="FTD15" s="4"/>
      <c r="FTE15" s="4"/>
      <c r="FTF15" s="4"/>
      <c r="FTG15" s="4"/>
      <c r="FTH15" s="4"/>
      <c r="FTI15" s="4"/>
      <c r="FTJ15" s="4"/>
      <c r="FTK15" s="4"/>
      <c r="FTL15" s="4"/>
      <c r="FTM15" s="4"/>
      <c r="FTN15" s="4"/>
      <c r="FTO15" s="4"/>
      <c r="FTP15" s="4"/>
      <c r="FTQ15" s="4"/>
      <c r="FTR15" s="4"/>
      <c r="FTS15" s="4"/>
      <c r="FTT15" s="4"/>
      <c r="FTU15" s="4"/>
      <c r="FTV15" s="4"/>
      <c r="FTW15" s="4"/>
      <c r="FTX15" s="4"/>
      <c r="FTY15" s="4"/>
      <c r="FTZ15" s="4"/>
      <c r="FUA15" s="4"/>
      <c r="FUB15" s="4"/>
      <c r="FUC15" s="4"/>
      <c r="FUD15" s="4"/>
      <c r="FUE15" s="4"/>
      <c r="FUF15" s="4"/>
      <c r="FUG15" s="4"/>
      <c r="FUH15" s="4"/>
      <c r="FUI15" s="4"/>
      <c r="FUJ15" s="4"/>
      <c r="FUK15" s="4"/>
      <c r="FUL15" s="4"/>
      <c r="FUM15" s="4"/>
      <c r="FUN15" s="4"/>
      <c r="FUO15" s="4"/>
      <c r="FUP15" s="4"/>
      <c r="FUQ15" s="4"/>
      <c r="FUR15" s="4"/>
      <c r="FUS15" s="4"/>
      <c r="FUT15" s="4"/>
      <c r="FUU15" s="4"/>
      <c r="FUV15" s="4"/>
      <c r="FUW15" s="4"/>
      <c r="FUX15" s="4"/>
      <c r="FUY15" s="4"/>
      <c r="FUZ15" s="4"/>
      <c r="FVA15" s="4"/>
      <c r="FVB15" s="4"/>
      <c r="FVC15" s="4"/>
      <c r="FVD15" s="4"/>
      <c r="FVE15" s="4"/>
      <c r="FVF15" s="4"/>
      <c r="FVG15" s="4"/>
      <c r="FVH15" s="4"/>
      <c r="FVI15" s="4"/>
      <c r="FVJ15" s="4"/>
      <c r="FVK15" s="4"/>
      <c r="FVL15" s="4"/>
      <c r="FVM15" s="4"/>
      <c r="FVN15" s="4"/>
      <c r="FVO15" s="4"/>
      <c r="FVP15" s="4"/>
      <c r="FVQ15" s="4"/>
      <c r="FVR15" s="4"/>
      <c r="FVS15" s="4"/>
      <c r="FVT15" s="4"/>
      <c r="FVU15" s="4"/>
      <c r="FVV15" s="4"/>
      <c r="FVW15" s="4"/>
      <c r="FVX15" s="4"/>
      <c r="FVY15" s="4"/>
      <c r="FVZ15" s="4"/>
      <c r="FWA15" s="4"/>
      <c r="FWB15" s="4"/>
      <c r="FWC15" s="4"/>
      <c r="FWD15" s="4"/>
      <c r="FWE15" s="4"/>
      <c r="FWF15" s="4"/>
      <c r="FWG15" s="4"/>
      <c r="FWH15" s="4"/>
      <c r="FWI15" s="4"/>
      <c r="FWJ15" s="4"/>
      <c r="FWK15" s="4"/>
      <c r="FWL15" s="4"/>
      <c r="FWM15" s="4"/>
      <c r="FWN15" s="4"/>
      <c r="FWO15" s="4"/>
      <c r="FWP15" s="4"/>
      <c r="FWQ15" s="4"/>
      <c r="FWR15" s="4"/>
      <c r="FWS15" s="4"/>
      <c r="FWT15" s="4"/>
      <c r="FWU15" s="4"/>
      <c r="FWV15" s="4"/>
      <c r="FWW15" s="4"/>
      <c r="FWX15" s="4"/>
      <c r="FWY15" s="4"/>
      <c r="FWZ15" s="4"/>
      <c r="FXA15" s="4"/>
      <c r="FXB15" s="4"/>
      <c r="FXC15" s="4"/>
      <c r="FXD15" s="4"/>
      <c r="FXE15" s="4"/>
      <c r="FXF15" s="4"/>
      <c r="FXG15" s="4"/>
      <c r="FXH15" s="4"/>
      <c r="FXI15" s="4"/>
      <c r="FXJ15" s="4"/>
      <c r="FXK15" s="4"/>
      <c r="FXL15" s="4"/>
      <c r="FXM15" s="4"/>
      <c r="FXN15" s="4"/>
      <c r="FXO15" s="4"/>
      <c r="FXP15" s="4"/>
      <c r="FXQ15" s="4"/>
      <c r="FXR15" s="4"/>
      <c r="FXS15" s="4"/>
      <c r="FXT15" s="4"/>
      <c r="FXU15" s="4"/>
      <c r="FXV15" s="4"/>
      <c r="FXW15" s="4"/>
      <c r="FXX15" s="4"/>
      <c r="FXY15" s="4"/>
      <c r="FXZ15" s="4"/>
      <c r="FYA15" s="4"/>
      <c r="FYB15" s="4"/>
      <c r="FYC15" s="4"/>
      <c r="FYD15" s="4"/>
      <c r="FYE15" s="4"/>
      <c r="FYF15" s="4"/>
      <c r="FYG15" s="4"/>
      <c r="FYH15" s="4"/>
      <c r="FYI15" s="4"/>
      <c r="FYJ15" s="4"/>
      <c r="FYK15" s="4"/>
      <c r="FYL15" s="4"/>
      <c r="FYM15" s="4"/>
      <c r="FYN15" s="4"/>
      <c r="FYO15" s="4"/>
      <c r="FYP15" s="4"/>
      <c r="FYQ15" s="4"/>
      <c r="FYR15" s="4"/>
      <c r="FYS15" s="4"/>
      <c r="FYT15" s="4"/>
      <c r="FYU15" s="4"/>
      <c r="FYV15" s="4"/>
      <c r="FYW15" s="4"/>
      <c r="FYX15" s="4"/>
      <c r="FYY15" s="4"/>
      <c r="FYZ15" s="4"/>
      <c r="FZA15" s="4"/>
      <c r="FZB15" s="4"/>
      <c r="FZC15" s="4"/>
      <c r="FZD15" s="4"/>
      <c r="FZE15" s="4"/>
      <c r="FZF15" s="4"/>
      <c r="FZG15" s="4"/>
      <c r="FZH15" s="4"/>
      <c r="FZI15" s="4"/>
      <c r="FZJ15" s="4"/>
      <c r="FZK15" s="4"/>
      <c r="FZL15" s="4"/>
      <c r="FZM15" s="4"/>
      <c r="FZN15" s="4"/>
      <c r="FZO15" s="4"/>
      <c r="FZP15" s="4"/>
      <c r="FZQ15" s="4"/>
      <c r="FZR15" s="4"/>
      <c r="FZS15" s="4"/>
      <c r="FZT15" s="4"/>
      <c r="FZU15" s="4"/>
      <c r="FZV15" s="4"/>
      <c r="FZW15" s="4"/>
      <c r="FZX15" s="4"/>
      <c r="FZY15" s="4"/>
      <c r="FZZ15" s="4"/>
      <c r="GAA15" s="4"/>
      <c r="GAB15" s="4"/>
      <c r="GAC15" s="4"/>
      <c r="GAD15" s="4"/>
      <c r="GAE15" s="4"/>
      <c r="GAF15" s="4"/>
      <c r="GAG15" s="4"/>
      <c r="GAH15" s="4"/>
      <c r="GAI15" s="4"/>
      <c r="GAJ15" s="4"/>
      <c r="GAK15" s="4"/>
      <c r="GAL15" s="4"/>
      <c r="GAM15" s="4"/>
      <c r="GAN15" s="4"/>
      <c r="GAO15" s="4"/>
      <c r="GAP15" s="4"/>
      <c r="GAQ15" s="4"/>
      <c r="GAR15" s="4"/>
      <c r="GAS15" s="4"/>
      <c r="GAT15" s="4"/>
      <c r="GAU15" s="4"/>
      <c r="GAV15" s="4"/>
      <c r="GAW15" s="4"/>
      <c r="GAX15" s="4"/>
      <c r="GAY15" s="4"/>
      <c r="GAZ15" s="4"/>
      <c r="GBA15" s="4"/>
      <c r="GBB15" s="4"/>
      <c r="GBC15" s="4"/>
      <c r="GBD15" s="4"/>
      <c r="GBE15" s="4"/>
      <c r="GBF15" s="4"/>
      <c r="GBG15" s="4"/>
      <c r="GBH15" s="4"/>
      <c r="GBI15" s="4"/>
      <c r="GBJ15" s="4"/>
      <c r="GBK15" s="4"/>
      <c r="GBL15" s="4"/>
      <c r="GBM15" s="4"/>
      <c r="GBN15" s="4"/>
      <c r="GBO15" s="4"/>
      <c r="GBP15" s="4"/>
      <c r="GBQ15" s="4"/>
      <c r="GBR15" s="4"/>
      <c r="GBS15" s="4"/>
      <c r="GBT15" s="4"/>
      <c r="GBU15" s="4"/>
      <c r="GBV15" s="4"/>
      <c r="GBW15" s="4"/>
      <c r="GBX15" s="4"/>
      <c r="GBY15" s="4"/>
      <c r="GBZ15" s="4"/>
      <c r="GCA15" s="4"/>
      <c r="GCB15" s="4"/>
      <c r="GCC15" s="4"/>
      <c r="GCD15" s="4"/>
      <c r="GCE15" s="4"/>
      <c r="GCF15" s="4"/>
      <c r="GCG15" s="4"/>
      <c r="GCH15" s="4"/>
      <c r="GCI15" s="4"/>
      <c r="GCJ15" s="4"/>
      <c r="GCK15" s="4"/>
      <c r="GCL15" s="4"/>
      <c r="GCM15" s="4"/>
      <c r="GCN15" s="4"/>
      <c r="GCO15" s="4"/>
      <c r="GCP15" s="4"/>
      <c r="GCQ15" s="4"/>
      <c r="GCR15" s="4"/>
      <c r="GCS15" s="4"/>
      <c r="GCT15" s="4"/>
      <c r="GCU15" s="4"/>
      <c r="GCV15" s="4"/>
      <c r="GCW15" s="4"/>
      <c r="GCX15" s="4"/>
      <c r="GCY15" s="4"/>
      <c r="GCZ15" s="4"/>
      <c r="GDA15" s="4"/>
      <c r="GDB15" s="4"/>
      <c r="GDC15" s="4"/>
      <c r="GDD15" s="4"/>
      <c r="GDE15" s="4"/>
      <c r="GDF15" s="4"/>
      <c r="GDG15" s="4"/>
      <c r="GDH15" s="4"/>
      <c r="GDI15" s="4"/>
      <c r="GDJ15" s="4"/>
      <c r="GDK15" s="4"/>
      <c r="GDL15" s="4"/>
      <c r="GDM15" s="4"/>
      <c r="GDN15" s="4"/>
      <c r="GDO15" s="4"/>
      <c r="GDP15" s="4"/>
      <c r="GDQ15" s="4"/>
      <c r="GDR15" s="4"/>
      <c r="GDS15" s="4"/>
      <c r="GDT15" s="4"/>
      <c r="GDU15" s="4"/>
      <c r="GDV15" s="4"/>
      <c r="GDW15" s="4"/>
      <c r="GDX15" s="4"/>
      <c r="GDY15" s="4"/>
      <c r="GDZ15" s="4"/>
      <c r="GEA15" s="4"/>
      <c r="GEB15" s="4"/>
      <c r="GEC15" s="4"/>
      <c r="GED15" s="4"/>
      <c r="GEE15" s="4"/>
      <c r="GEF15" s="4"/>
      <c r="GEG15" s="4"/>
      <c r="GEH15" s="4"/>
      <c r="GEI15" s="4"/>
      <c r="GEJ15" s="4"/>
      <c r="GEK15" s="4"/>
      <c r="GEL15" s="4"/>
      <c r="GEM15" s="4"/>
      <c r="GEN15" s="4"/>
      <c r="GEO15" s="4"/>
      <c r="GEP15" s="4"/>
      <c r="GEQ15" s="4"/>
      <c r="GER15" s="4"/>
      <c r="GES15" s="4"/>
      <c r="GET15" s="4"/>
      <c r="GEU15" s="4"/>
      <c r="GEV15" s="4"/>
      <c r="GEW15" s="4"/>
      <c r="GEX15" s="4"/>
      <c r="GEY15" s="4"/>
      <c r="GEZ15" s="4"/>
      <c r="GFA15" s="4"/>
      <c r="GFB15" s="4"/>
      <c r="GFC15" s="4"/>
      <c r="GFD15" s="4"/>
      <c r="GFE15" s="4"/>
      <c r="GFF15" s="4"/>
      <c r="GFG15" s="4"/>
      <c r="GFH15" s="4"/>
      <c r="GFI15" s="4"/>
      <c r="GFJ15" s="4"/>
      <c r="GFK15" s="4"/>
      <c r="GFL15" s="4"/>
      <c r="GFM15" s="4"/>
      <c r="GFN15" s="4"/>
      <c r="GFO15" s="4"/>
      <c r="GFP15" s="4"/>
      <c r="GFQ15" s="4"/>
      <c r="GFR15" s="4"/>
      <c r="GFS15" s="4"/>
      <c r="GFT15" s="4"/>
      <c r="GFU15" s="4"/>
      <c r="GFV15" s="4"/>
      <c r="GFW15" s="4"/>
      <c r="GFX15" s="4"/>
      <c r="GFY15" s="4"/>
      <c r="GFZ15" s="4"/>
      <c r="GGA15" s="4"/>
      <c r="GGB15" s="4"/>
      <c r="GGC15" s="4"/>
      <c r="GGD15" s="4"/>
      <c r="GGE15" s="4"/>
      <c r="GGF15" s="4"/>
      <c r="GGG15" s="4"/>
      <c r="GGH15" s="4"/>
      <c r="GGI15" s="4"/>
      <c r="GGJ15" s="4"/>
      <c r="GGK15" s="4"/>
      <c r="GGL15" s="4"/>
      <c r="GGM15" s="4"/>
      <c r="GGN15" s="4"/>
      <c r="GGO15" s="4"/>
      <c r="GGP15" s="4"/>
      <c r="GGQ15" s="4"/>
      <c r="GGR15" s="4"/>
      <c r="GGS15" s="4"/>
      <c r="GGT15" s="4"/>
      <c r="GGU15" s="4"/>
      <c r="GGV15" s="4"/>
      <c r="GGW15" s="4"/>
      <c r="GGX15" s="4"/>
      <c r="GGY15" s="4"/>
      <c r="GGZ15" s="4"/>
      <c r="GHA15" s="4"/>
      <c r="GHB15" s="4"/>
      <c r="GHC15" s="4"/>
      <c r="GHD15" s="4"/>
      <c r="GHE15" s="4"/>
      <c r="GHF15" s="4"/>
      <c r="GHG15" s="4"/>
      <c r="GHH15" s="4"/>
      <c r="GHI15" s="4"/>
      <c r="GHJ15" s="4"/>
      <c r="GHK15" s="4"/>
      <c r="GHL15" s="4"/>
      <c r="GHM15" s="4"/>
      <c r="GHN15" s="4"/>
      <c r="GHO15" s="4"/>
      <c r="GHP15" s="4"/>
      <c r="GHQ15" s="4"/>
      <c r="GHR15" s="4"/>
      <c r="GHS15" s="4"/>
      <c r="GHT15" s="4"/>
      <c r="GHU15" s="4"/>
      <c r="GHV15" s="4"/>
      <c r="GHW15" s="4"/>
      <c r="GHX15" s="4"/>
      <c r="GHY15" s="4"/>
      <c r="GHZ15" s="4"/>
      <c r="GIA15" s="4"/>
      <c r="GIB15" s="4"/>
      <c r="GIC15" s="4"/>
      <c r="GID15" s="4"/>
      <c r="GIE15" s="4"/>
      <c r="GIF15" s="4"/>
      <c r="GIG15" s="4"/>
      <c r="GIH15" s="4"/>
      <c r="GII15" s="4"/>
      <c r="GIJ15" s="4"/>
      <c r="GIK15" s="4"/>
      <c r="GIL15" s="4"/>
      <c r="GIM15" s="4"/>
      <c r="GIN15" s="4"/>
      <c r="GIO15" s="4"/>
      <c r="GIP15" s="4"/>
      <c r="GIQ15" s="4"/>
      <c r="GIR15" s="4"/>
      <c r="GIS15" s="4"/>
      <c r="GIT15" s="4"/>
      <c r="GIU15" s="4"/>
      <c r="GIV15" s="4"/>
      <c r="GIW15" s="4"/>
      <c r="GIX15" s="4"/>
      <c r="GIY15" s="4"/>
      <c r="GIZ15" s="4"/>
      <c r="GJA15" s="4"/>
      <c r="GJB15" s="4"/>
      <c r="GJC15" s="4"/>
      <c r="GJD15" s="4"/>
      <c r="GJE15" s="4"/>
      <c r="GJF15" s="4"/>
      <c r="GJG15" s="4"/>
      <c r="GJH15" s="4"/>
      <c r="GJI15" s="4"/>
      <c r="GJJ15" s="4"/>
      <c r="GJK15" s="4"/>
      <c r="GJL15" s="4"/>
      <c r="GJM15" s="4"/>
      <c r="GJN15" s="4"/>
      <c r="GJO15" s="4"/>
      <c r="GJP15" s="4"/>
      <c r="GJQ15" s="4"/>
      <c r="GJR15" s="4"/>
      <c r="GJS15" s="4"/>
      <c r="GJT15" s="4"/>
      <c r="GJU15" s="4"/>
      <c r="GJV15" s="4"/>
      <c r="GJW15" s="4"/>
      <c r="GJX15" s="4"/>
      <c r="GJY15" s="4"/>
      <c r="GJZ15" s="4"/>
      <c r="GKA15" s="4"/>
      <c r="GKB15" s="4"/>
      <c r="GKC15" s="4"/>
      <c r="GKD15" s="4"/>
      <c r="GKE15" s="4"/>
      <c r="GKF15" s="4"/>
      <c r="GKG15" s="4"/>
      <c r="GKH15" s="4"/>
      <c r="GKI15" s="4"/>
      <c r="GKJ15" s="4"/>
      <c r="GKK15" s="4"/>
      <c r="GKL15" s="4"/>
      <c r="GKM15" s="4"/>
      <c r="GKN15" s="4"/>
      <c r="GKO15" s="4"/>
      <c r="GKP15" s="4"/>
      <c r="GKQ15" s="4"/>
      <c r="GKR15" s="4"/>
      <c r="GKS15" s="4"/>
      <c r="GKT15" s="4"/>
      <c r="GKU15" s="4"/>
      <c r="GKV15" s="4"/>
      <c r="GKW15" s="4"/>
      <c r="GKX15" s="4"/>
      <c r="GKY15" s="4"/>
      <c r="GKZ15" s="4"/>
      <c r="GLA15" s="4"/>
      <c r="GLB15" s="4"/>
      <c r="GLC15" s="4"/>
      <c r="GLD15" s="4"/>
      <c r="GLE15" s="4"/>
      <c r="GLF15" s="4"/>
      <c r="GLG15" s="4"/>
      <c r="GLH15" s="4"/>
      <c r="GLI15" s="4"/>
      <c r="GLJ15" s="4"/>
      <c r="GLK15" s="4"/>
      <c r="GLL15" s="4"/>
      <c r="GLM15" s="4"/>
      <c r="GLN15" s="4"/>
      <c r="GLO15" s="4"/>
      <c r="GLP15" s="4"/>
      <c r="GLQ15" s="4"/>
      <c r="GLR15" s="4"/>
      <c r="GLS15" s="4"/>
      <c r="GLT15" s="4"/>
      <c r="GLU15" s="4"/>
      <c r="GLV15" s="4"/>
      <c r="GLW15" s="4"/>
      <c r="GLX15" s="4"/>
      <c r="GLY15" s="4"/>
      <c r="GLZ15" s="4"/>
      <c r="GMA15" s="4"/>
      <c r="GMB15" s="4"/>
      <c r="GMC15" s="4"/>
      <c r="GMD15" s="4"/>
      <c r="GME15" s="4"/>
      <c r="GMF15" s="4"/>
      <c r="GMG15" s="4"/>
      <c r="GMH15" s="4"/>
      <c r="GMI15" s="4"/>
      <c r="GMJ15" s="4"/>
      <c r="GMK15" s="4"/>
      <c r="GML15" s="4"/>
      <c r="GMM15" s="4"/>
      <c r="GMN15" s="4"/>
      <c r="GMO15" s="4"/>
      <c r="GMP15" s="4"/>
      <c r="GMQ15" s="4"/>
      <c r="GMR15" s="4"/>
      <c r="GMS15" s="4"/>
      <c r="GMT15" s="4"/>
      <c r="GMU15" s="4"/>
      <c r="GMV15" s="4"/>
      <c r="GMW15" s="4"/>
      <c r="GMX15" s="4"/>
      <c r="GMY15" s="4"/>
      <c r="GMZ15" s="4"/>
      <c r="GNA15" s="4"/>
      <c r="GNB15" s="4"/>
      <c r="GNC15" s="4"/>
      <c r="GND15" s="4"/>
      <c r="GNE15" s="4"/>
      <c r="GNF15" s="4"/>
      <c r="GNG15" s="4"/>
      <c r="GNH15" s="4"/>
      <c r="GNI15" s="4"/>
      <c r="GNJ15" s="4"/>
      <c r="GNK15" s="4"/>
      <c r="GNL15" s="4"/>
      <c r="GNM15" s="4"/>
      <c r="GNN15" s="4"/>
      <c r="GNO15" s="4"/>
      <c r="GNP15" s="4"/>
      <c r="GNQ15" s="4"/>
      <c r="GNR15" s="4"/>
      <c r="GNS15" s="4"/>
      <c r="GNT15" s="4"/>
      <c r="GNU15" s="4"/>
      <c r="GNV15" s="4"/>
      <c r="GNW15" s="4"/>
      <c r="GNX15" s="4"/>
      <c r="GNY15" s="4"/>
      <c r="GNZ15" s="4"/>
      <c r="GOA15" s="4"/>
      <c r="GOB15" s="4"/>
      <c r="GOC15" s="4"/>
      <c r="GOD15" s="4"/>
      <c r="GOE15" s="4"/>
      <c r="GOF15" s="4"/>
      <c r="GOG15" s="4"/>
      <c r="GOH15" s="4"/>
      <c r="GOI15" s="4"/>
      <c r="GOJ15" s="4"/>
      <c r="GOK15" s="4"/>
      <c r="GOL15" s="4"/>
      <c r="GOM15" s="4"/>
      <c r="GON15" s="4"/>
      <c r="GOO15" s="4"/>
      <c r="GOP15" s="4"/>
      <c r="GOQ15" s="4"/>
      <c r="GOR15" s="4"/>
      <c r="GOS15" s="4"/>
      <c r="GOT15" s="4"/>
      <c r="GOU15" s="4"/>
      <c r="GOV15" s="4"/>
      <c r="GOW15" s="4"/>
      <c r="GOX15" s="4"/>
      <c r="GOY15" s="4"/>
      <c r="GOZ15" s="4"/>
      <c r="GPA15" s="4"/>
      <c r="GPB15" s="4"/>
      <c r="GPC15" s="4"/>
      <c r="GPD15" s="4"/>
      <c r="GPE15" s="4"/>
      <c r="GPF15" s="4"/>
      <c r="GPG15" s="4"/>
      <c r="GPH15" s="4"/>
      <c r="GPI15" s="4"/>
      <c r="GPJ15" s="4"/>
      <c r="GPK15" s="4"/>
      <c r="GPL15" s="4"/>
      <c r="GPM15" s="4"/>
      <c r="GPN15" s="4"/>
      <c r="GPO15" s="4"/>
      <c r="GPP15" s="4"/>
      <c r="GPQ15" s="4"/>
      <c r="GPR15" s="4"/>
      <c r="GPS15" s="4"/>
      <c r="GPT15" s="4"/>
      <c r="GPU15" s="4"/>
      <c r="GPV15" s="4"/>
      <c r="GPW15" s="4"/>
      <c r="GPX15" s="4"/>
      <c r="GPY15" s="4"/>
      <c r="GPZ15" s="4"/>
      <c r="GQA15" s="4"/>
      <c r="GQB15" s="4"/>
      <c r="GQC15" s="4"/>
      <c r="GQD15" s="4"/>
      <c r="GQE15" s="4"/>
      <c r="GQF15" s="4"/>
      <c r="GQG15" s="4"/>
      <c r="GQH15" s="4"/>
      <c r="GQI15" s="4"/>
      <c r="GQJ15" s="4"/>
      <c r="GQK15" s="4"/>
      <c r="GQL15" s="4"/>
      <c r="GQM15" s="4"/>
      <c r="GQN15" s="4"/>
      <c r="GQO15" s="4"/>
      <c r="GQP15" s="4"/>
      <c r="GQQ15" s="4"/>
      <c r="GQR15" s="4"/>
      <c r="GQS15" s="4"/>
      <c r="GQT15" s="4"/>
      <c r="GQU15" s="4"/>
      <c r="GQV15" s="4"/>
      <c r="GQW15" s="4"/>
      <c r="GQX15" s="4"/>
      <c r="GQY15" s="4"/>
      <c r="GQZ15" s="4"/>
      <c r="GRA15" s="4"/>
      <c r="GRB15" s="4"/>
      <c r="GRC15" s="4"/>
      <c r="GRD15" s="4"/>
      <c r="GRE15" s="4"/>
      <c r="GRF15" s="4"/>
      <c r="GRG15" s="4"/>
      <c r="GRH15" s="4"/>
      <c r="GRI15" s="4"/>
      <c r="GRJ15" s="4"/>
      <c r="GRK15" s="4"/>
      <c r="GRL15" s="4"/>
      <c r="GRM15" s="4"/>
      <c r="GRN15" s="4"/>
      <c r="GRO15" s="4"/>
      <c r="GRP15" s="4"/>
      <c r="GRQ15" s="4"/>
      <c r="GRR15" s="4"/>
      <c r="GRS15" s="4"/>
      <c r="GRT15" s="4"/>
      <c r="GRU15" s="4"/>
      <c r="GRV15" s="4"/>
      <c r="GRW15" s="4"/>
      <c r="GRX15" s="4"/>
      <c r="GRY15" s="4"/>
      <c r="GRZ15" s="4"/>
      <c r="GSA15" s="4"/>
      <c r="GSB15" s="4"/>
      <c r="GSC15" s="4"/>
      <c r="GSD15" s="4"/>
      <c r="GSE15" s="4"/>
      <c r="GSF15" s="4"/>
      <c r="GSG15" s="4"/>
      <c r="GSH15" s="4"/>
      <c r="GSI15" s="4"/>
      <c r="GSJ15" s="4"/>
      <c r="GSK15" s="4"/>
      <c r="GSL15" s="4"/>
      <c r="GSM15" s="4"/>
      <c r="GSN15" s="4"/>
      <c r="GSO15" s="4"/>
      <c r="GSP15" s="4"/>
      <c r="GSQ15" s="4"/>
      <c r="GSR15" s="4"/>
      <c r="GSS15" s="4"/>
      <c r="GST15" s="4"/>
      <c r="GSU15" s="4"/>
      <c r="GSV15" s="4"/>
      <c r="GSW15" s="4"/>
      <c r="GSX15" s="4"/>
      <c r="GSY15" s="4"/>
      <c r="GSZ15" s="4"/>
      <c r="GTA15" s="4"/>
      <c r="GTB15" s="4"/>
      <c r="GTC15" s="4"/>
      <c r="GTD15" s="4"/>
      <c r="GTE15" s="4"/>
      <c r="GTF15" s="4"/>
      <c r="GTG15" s="4"/>
      <c r="GTH15" s="4"/>
      <c r="GTI15" s="4"/>
      <c r="GTJ15" s="4"/>
      <c r="GTK15" s="4"/>
      <c r="GTL15" s="4"/>
      <c r="GTM15" s="4"/>
      <c r="GTN15" s="4"/>
      <c r="GTO15" s="4"/>
      <c r="GTP15" s="4"/>
      <c r="GTQ15" s="4"/>
      <c r="GTR15" s="4"/>
      <c r="GTS15" s="4"/>
      <c r="GTT15" s="4"/>
      <c r="GTU15" s="4"/>
      <c r="GTV15" s="4"/>
      <c r="GTW15" s="4"/>
      <c r="GTX15" s="4"/>
      <c r="GTY15" s="4"/>
      <c r="GTZ15" s="4"/>
      <c r="GUA15" s="4"/>
      <c r="GUB15" s="4"/>
      <c r="GUC15" s="4"/>
      <c r="GUD15" s="4"/>
      <c r="GUE15" s="4"/>
      <c r="GUF15" s="4"/>
      <c r="GUG15" s="4"/>
      <c r="GUH15" s="4"/>
      <c r="GUI15" s="4"/>
      <c r="GUJ15" s="4"/>
      <c r="GUK15" s="4"/>
      <c r="GUL15" s="4"/>
      <c r="GUM15" s="4"/>
      <c r="GUN15" s="4"/>
      <c r="GUO15" s="4"/>
      <c r="GUP15" s="4"/>
      <c r="GUQ15" s="4"/>
      <c r="GUR15" s="4"/>
      <c r="GUS15" s="4"/>
      <c r="GUT15" s="4"/>
      <c r="GUU15" s="4"/>
      <c r="GUV15" s="4"/>
      <c r="GUW15" s="4"/>
      <c r="GUX15" s="4"/>
      <c r="GUY15" s="4"/>
      <c r="GUZ15" s="4"/>
      <c r="GVA15" s="4"/>
      <c r="GVB15" s="4"/>
      <c r="GVC15" s="4"/>
      <c r="GVD15" s="4"/>
      <c r="GVE15" s="4"/>
      <c r="GVF15" s="4"/>
      <c r="GVG15" s="4"/>
      <c r="GVH15" s="4"/>
      <c r="GVI15" s="4"/>
      <c r="GVJ15" s="4"/>
      <c r="GVK15" s="4"/>
      <c r="GVL15" s="4"/>
      <c r="GVM15" s="4"/>
      <c r="GVN15" s="4"/>
      <c r="GVO15" s="4"/>
      <c r="GVP15" s="4"/>
      <c r="GVQ15" s="4"/>
      <c r="GVR15" s="4"/>
      <c r="GVS15" s="4"/>
      <c r="GVT15" s="4"/>
      <c r="GVU15" s="4"/>
      <c r="GVV15" s="4"/>
      <c r="GVW15" s="4"/>
      <c r="GVX15" s="4"/>
      <c r="GVY15" s="4"/>
      <c r="GVZ15" s="4"/>
      <c r="GWA15" s="4"/>
      <c r="GWB15" s="4"/>
      <c r="GWC15" s="4"/>
      <c r="GWD15" s="4"/>
      <c r="GWE15" s="4"/>
      <c r="GWF15" s="4"/>
      <c r="GWG15" s="4"/>
      <c r="GWH15" s="4"/>
      <c r="GWI15" s="4"/>
      <c r="GWJ15" s="4"/>
      <c r="GWK15" s="4"/>
      <c r="GWL15" s="4"/>
      <c r="GWM15" s="4"/>
      <c r="GWN15" s="4"/>
      <c r="GWO15" s="4"/>
      <c r="GWP15" s="4"/>
      <c r="GWQ15" s="4"/>
      <c r="GWR15" s="4"/>
      <c r="GWS15" s="4"/>
      <c r="GWT15" s="4"/>
      <c r="GWU15" s="4"/>
      <c r="GWV15" s="4"/>
      <c r="GWW15" s="4"/>
      <c r="GWX15" s="4"/>
      <c r="GWY15" s="4"/>
      <c r="GWZ15" s="4"/>
      <c r="GXA15" s="4"/>
      <c r="GXB15" s="4"/>
      <c r="GXC15" s="4"/>
      <c r="GXD15" s="4"/>
      <c r="GXE15" s="4"/>
      <c r="GXF15" s="4"/>
      <c r="GXG15" s="4"/>
      <c r="GXH15" s="4"/>
      <c r="GXI15" s="4"/>
      <c r="GXJ15" s="4"/>
      <c r="GXK15" s="4"/>
      <c r="GXL15" s="4"/>
      <c r="GXM15" s="4"/>
      <c r="GXN15" s="4"/>
      <c r="GXO15" s="4"/>
      <c r="GXP15" s="4"/>
      <c r="GXQ15" s="4"/>
      <c r="GXR15" s="4"/>
      <c r="GXS15" s="4"/>
      <c r="GXT15" s="4"/>
      <c r="GXU15" s="4"/>
      <c r="GXV15" s="4"/>
      <c r="GXW15" s="4"/>
      <c r="GXX15" s="4"/>
      <c r="GXY15" s="4"/>
      <c r="GXZ15" s="4"/>
      <c r="GYA15" s="4"/>
      <c r="GYB15" s="4"/>
      <c r="GYC15" s="4"/>
      <c r="GYD15" s="4"/>
      <c r="GYE15" s="4"/>
      <c r="GYF15" s="4"/>
      <c r="GYG15" s="4"/>
      <c r="GYH15" s="4"/>
      <c r="GYI15" s="4"/>
      <c r="GYJ15" s="4"/>
      <c r="GYK15" s="4"/>
      <c r="GYL15" s="4"/>
      <c r="GYM15" s="4"/>
      <c r="GYN15" s="4"/>
      <c r="GYO15" s="4"/>
      <c r="GYP15" s="4"/>
      <c r="GYQ15" s="4"/>
      <c r="GYR15" s="4"/>
      <c r="GYS15" s="4"/>
      <c r="GYT15" s="4"/>
      <c r="GYU15" s="4"/>
      <c r="GYV15" s="4"/>
      <c r="GYW15" s="4"/>
      <c r="GYX15" s="4"/>
      <c r="GYY15" s="4"/>
      <c r="GYZ15" s="4"/>
      <c r="GZA15" s="4"/>
      <c r="GZB15" s="4"/>
      <c r="GZC15" s="4"/>
      <c r="GZD15" s="4"/>
      <c r="GZE15" s="4"/>
      <c r="GZF15" s="4"/>
      <c r="GZG15" s="4"/>
      <c r="GZH15" s="4"/>
      <c r="GZI15" s="4"/>
      <c r="GZJ15" s="4"/>
      <c r="GZK15" s="4"/>
      <c r="GZL15" s="4"/>
      <c r="GZM15" s="4"/>
      <c r="GZN15" s="4"/>
      <c r="GZO15" s="4"/>
      <c r="GZP15" s="4"/>
      <c r="GZQ15" s="4"/>
      <c r="GZR15" s="4"/>
      <c r="GZS15" s="4"/>
      <c r="GZT15" s="4"/>
      <c r="GZU15" s="4"/>
      <c r="GZV15" s="4"/>
      <c r="GZW15" s="4"/>
      <c r="GZX15" s="4"/>
      <c r="GZY15" s="4"/>
      <c r="GZZ15" s="4"/>
      <c r="HAA15" s="4"/>
      <c r="HAB15" s="4"/>
      <c r="HAC15" s="4"/>
      <c r="HAD15" s="4"/>
      <c r="HAE15" s="4"/>
      <c r="HAF15" s="4"/>
      <c r="HAG15" s="4"/>
      <c r="HAH15" s="4"/>
      <c r="HAI15" s="4"/>
      <c r="HAJ15" s="4"/>
      <c r="HAK15" s="4"/>
      <c r="HAL15" s="4"/>
      <c r="HAM15" s="4"/>
      <c r="HAN15" s="4"/>
      <c r="HAO15" s="4"/>
      <c r="HAP15" s="4"/>
      <c r="HAQ15" s="4"/>
      <c r="HAR15" s="4"/>
      <c r="HAS15" s="4"/>
      <c r="HAT15" s="4"/>
      <c r="HAU15" s="4"/>
      <c r="HAV15" s="4"/>
      <c r="HAW15" s="4"/>
      <c r="HAX15" s="4"/>
      <c r="HAY15" s="4"/>
      <c r="HAZ15" s="4"/>
      <c r="HBA15" s="4"/>
      <c r="HBB15" s="4"/>
      <c r="HBC15" s="4"/>
      <c r="HBD15" s="4"/>
      <c r="HBE15" s="4"/>
      <c r="HBF15" s="4"/>
      <c r="HBG15" s="4"/>
      <c r="HBH15" s="4"/>
      <c r="HBI15" s="4"/>
      <c r="HBJ15" s="4"/>
      <c r="HBK15" s="4"/>
      <c r="HBL15" s="4"/>
      <c r="HBM15" s="4"/>
      <c r="HBN15" s="4"/>
      <c r="HBO15" s="4"/>
      <c r="HBP15" s="4"/>
      <c r="HBQ15" s="4"/>
      <c r="HBR15" s="4"/>
      <c r="HBS15" s="4"/>
      <c r="HBT15" s="4"/>
      <c r="HBU15" s="4"/>
      <c r="HBV15" s="4"/>
      <c r="HBW15" s="4"/>
      <c r="HBX15" s="4"/>
      <c r="HBY15" s="4"/>
      <c r="HBZ15" s="4"/>
      <c r="HCA15" s="4"/>
      <c r="HCB15" s="4"/>
      <c r="HCC15" s="4"/>
      <c r="HCD15" s="4"/>
      <c r="HCE15" s="4"/>
      <c r="HCF15" s="4"/>
      <c r="HCG15" s="4"/>
      <c r="HCH15" s="4"/>
      <c r="HCI15" s="4"/>
      <c r="HCJ15" s="4"/>
      <c r="HCK15" s="4"/>
      <c r="HCL15" s="4"/>
      <c r="HCM15" s="4"/>
      <c r="HCN15" s="4"/>
      <c r="HCO15" s="4"/>
      <c r="HCP15" s="4"/>
      <c r="HCQ15" s="4"/>
      <c r="HCR15" s="4"/>
      <c r="HCS15" s="4"/>
      <c r="HCT15" s="4"/>
      <c r="HCU15" s="4"/>
      <c r="HCV15" s="4"/>
      <c r="HCW15" s="4"/>
      <c r="HCX15" s="4"/>
      <c r="HCY15" s="4"/>
      <c r="HCZ15" s="4"/>
      <c r="HDA15" s="4"/>
      <c r="HDB15" s="4"/>
      <c r="HDC15" s="4"/>
      <c r="HDD15" s="4"/>
      <c r="HDE15" s="4"/>
      <c r="HDF15" s="4"/>
      <c r="HDG15" s="4"/>
      <c r="HDH15" s="4"/>
      <c r="HDI15" s="4"/>
      <c r="HDJ15" s="4"/>
      <c r="HDK15" s="4"/>
      <c r="HDL15" s="4"/>
      <c r="HDM15" s="4"/>
      <c r="HDN15" s="4"/>
      <c r="HDO15" s="4"/>
      <c r="HDP15" s="4"/>
      <c r="HDQ15" s="4"/>
      <c r="HDR15" s="4"/>
      <c r="HDS15" s="4"/>
      <c r="HDT15" s="4"/>
      <c r="HDU15" s="4"/>
      <c r="HDV15" s="4"/>
      <c r="HDW15" s="4"/>
      <c r="HDX15" s="4"/>
      <c r="HDY15" s="4"/>
      <c r="HDZ15" s="4"/>
      <c r="HEA15" s="4"/>
      <c r="HEB15" s="4"/>
      <c r="HEC15" s="4"/>
      <c r="HED15" s="4"/>
      <c r="HEE15" s="4"/>
      <c r="HEF15" s="4"/>
      <c r="HEG15" s="4"/>
      <c r="HEH15" s="4"/>
      <c r="HEI15" s="4"/>
      <c r="HEJ15" s="4"/>
      <c r="HEK15" s="4"/>
      <c r="HEL15" s="4"/>
      <c r="HEM15" s="4"/>
      <c r="HEN15" s="4"/>
      <c r="HEO15" s="4"/>
      <c r="HEP15" s="4"/>
      <c r="HEQ15" s="4"/>
      <c r="HER15" s="4"/>
      <c r="HES15" s="4"/>
      <c r="HET15" s="4"/>
      <c r="HEU15" s="4"/>
      <c r="HEV15" s="4"/>
      <c r="HEW15" s="4"/>
      <c r="HEX15" s="4"/>
      <c r="HEY15" s="4"/>
      <c r="HEZ15" s="4"/>
      <c r="HFA15" s="4"/>
      <c r="HFB15" s="4"/>
      <c r="HFC15" s="4"/>
      <c r="HFD15" s="4"/>
      <c r="HFE15" s="4"/>
      <c r="HFF15" s="4"/>
      <c r="HFG15" s="4"/>
      <c r="HFH15" s="4"/>
      <c r="HFI15" s="4"/>
      <c r="HFJ15" s="4"/>
      <c r="HFK15" s="4"/>
      <c r="HFL15" s="4"/>
      <c r="HFM15" s="4"/>
      <c r="HFN15" s="4"/>
      <c r="HFO15" s="4"/>
      <c r="HFP15" s="4"/>
      <c r="HFQ15" s="4"/>
      <c r="HFR15" s="4"/>
      <c r="HFS15" s="4"/>
      <c r="HFT15" s="4"/>
      <c r="HFU15" s="4"/>
      <c r="HFV15" s="4"/>
      <c r="HFW15" s="4"/>
      <c r="HFX15" s="4"/>
      <c r="HFY15" s="4"/>
      <c r="HFZ15" s="4"/>
      <c r="HGA15" s="4"/>
      <c r="HGB15" s="4"/>
      <c r="HGC15" s="4"/>
      <c r="HGD15" s="4"/>
      <c r="HGE15" s="4"/>
      <c r="HGF15" s="4"/>
      <c r="HGG15" s="4"/>
      <c r="HGH15" s="4"/>
      <c r="HGI15" s="4"/>
      <c r="HGJ15" s="4"/>
      <c r="HGK15" s="4"/>
      <c r="HGL15" s="4"/>
      <c r="HGM15" s="4"/>
      <c r="HGN15" s="4"/>
      <c r="HGO15" s="4"/>
      <c r="HGP15" s="4"/>
      <c r="HGQ15" s="4"/>
      <c r="HGR15" s="4"/>
      <c r="HGS15" s="4"/>
      <c r="HGT15" s="4"/>
      <c r="HGU15" s="4"/>
      <c r="HGV15" s="4"/>
      <c r="HGW15" s="4"/>
      <c r="HGX15" s="4"/>
      <c r="HGY15" s="4"/>
      <c r="HGZ15" s="4"/>
      <c r="HHA15" s="4"/>
      <c r="HHB15" s="4"/>
      <c r="HHC15" s="4"/>
      <c r="HHD15" s="4"/>
      <c r="HHE15" s="4"/>
      <c r="HHF15" s="4"/>
      <c r="HHG15" s="4"/>
      <c r="HHH15" s="4"/>
      <c r="HHI15" s="4"/>
      <c r="HHJ15" s="4"/>
      <c r="HHK15" s="4"/>
      <c r="HHL15" s="4"/>
      <c r="HHM15" s="4"/>
      <c r="HHN15" s="4"/>
      <c r="HHO15" s="4"/>
      <c r="HHP15" s="4"/>
      <c r="HHQ15" s="4"/>
      <c r="HHR15" s="4"/>
      <c r="HHS15" s="4"/>
      <c r="HHT15" s="4"/>
      <c r="HHU15" s="4"/>
      <c r="HHV15" s="4"/>
      <c r="HHW15" s="4"/>
      <c r="HHX15" s="4"/>
      <c r="HHY15" s="4"/>
      <c r="HHZ15" s="4"/>
      <c r="HIA15" s="4"/>
      <c r="HIB15" s="4"/>
      <c r="HIC15" s="4"/>
      <c r="HID15" s="4"/>
      <c r="HIE15" s="4"/>
      <c r="HIF15" s="4"/>
      <c r="HIG15" s="4"/>
      <c r="HIH15" s="4"/>
      <c r="HII15" s="4"/>
      <c r="HIJ15" s="4"/>
      <c r="HIK15" s="4"/>
      <c r="HIL15" s="4"/>
      <c r="HIM15" s="4"/>
      <c r="HIN15" s="4"/>
      <c r="HIO15" s="4"/>
      <c r="HIP15" s="4"/>
      <c r="HIQ15" s="4"/>
      <c r="HIR15" s="4"/>
      <c r="HIS15" s="4"/>
      <c r="HIT15" s="4"/>
      <c r="HIU15" s="4"/>
      <c r="HIV15" s="4"/>
      <c r="HIW15" s="4"/>
      <c r="HIX15" s="4"/>
      <c r="HIY15" s="4"/>
      <c r="HIZ15" s="4"/>
      <c r="HJA15" s="4"/>
      <c r="HJB15" s="4"/>
      <c r="HJC15" s="4"/>
      <c r="HJD15" s="4"/>
      <c r="HJE15" s="4"/>
      <c r="HJF15" s="4"/>
      <c r="HJG15" s="4"/>
      <c r="HJH15" s="4"/>
      <c r="HJI15" s="4"/>
      <c r="HJJ15" s="4"/>
      <c r="HJK15" s="4"/>
      <c r="HJL15" s="4"/>
      <c r="HJM15" s="4"/>
      <c r="HJN15" s="4"/>
      <c r="HJO15" s="4"/>
      <c r="HJP15" s="4"/>
      <c r="HJQ15" s="4"/>
      <c r="HJR15" s="4"/>
      <c r="HJS15" s="4"/>
      <c r="HJT15" s="4"/>
      <c r="HJU15" s="4"/>
      <c r="HJV15" s="4"/>
      <c r="HJW15" s="4"/>
      <c r="HJX15" s="4"/>
      <c r="HJY15" s="4"/>
      <c r="HJZ15" s="4"/>
      <c r="HKA15" s="4"/>
      <c r="HKB15" s="4"/>
      <c r="HKC15" s="4"/>
      <c r="HKD15" s="4"/>
      <c r="HKE15" s="4"/>
      <c r="HKF15" s="4"/>
      <c r="HKG15" s="4"/>
      <c r="HKH15" s="4"/>
      <c r="HKI15" s="4"/>
      <c r="HKJ15" s="4"/>
      <c r="HKK15" s="4"/>
      <c r="HKL15" s="4"/>
      <c r="HKM15" s="4"/>
      <c r="HKN15" s="4"/>
      <c r="HKO15" s="4"/>
      <c r="HKP15" s="4"/>
      <c r="HKQ15" s="4"/>
      <c r="HKR15" s="4"/>
      <c r="HKS15" s="4"/>
      <c r="HKT15" s="4"/>
      <c r="HKU15" s="4"/>
      <c r="HKV15" s="4"/>
      <c r="HKW15" s="4"/>
      <c r="HKX15" s="4"/>
      <c r="HKY15" s="4"/>
      <c r="HKZ15" s="4"/>
      <c r="HLA15" s="4"/>
      <c r="HLB15" s="4"/>
      <c r="HLC15" s="4"/>
      <c r="HLD15" s="4"/>
      <c r="HLE15" s="4"/>
      <c r="HLF15" s="4"/>
      <c r="HLG15" s="4"/>
      <c r="HLH15" s="4"/>
      <c r="HLI15" s="4"/>
      <c r="HLJ15" s="4"/>
      <c r="HLK15" s="4"/>
      <c r="HLL15" s="4"/>
      <c r="HLM15" s="4"/>
      <c r="HLN15" s="4"/>
      <c r="HLO15" s="4"/>
      <c r="HLP15" s="4"/>
      <c r="HLQ15" s="4"/>
      <c r="HLR15" s="4"/>
      <c r="HLS15" s="4"/>
      <c r="HLT15" s="4"/>
      <c r="HLU15" s="4"/>
      <c r="HLV15" s="4"/>
      <c r="HLW15" s="4"/>
      <c r="HLX15" s="4"/>
      <c r="HLY15" s="4"/>
      <c r="HLZ15" s="4"/>
      <c r="HMA15" s="4"/>
      <c r="HMB15" s="4"/>
      <c r="HMC15" s="4"/>
      <c r="HMD15" s="4"/>
      <c r="HME15" s="4"/>
      <c r="HMF15" s="4"/>
      <c r="HMG15" s="4"/>
      <c r="HMH15" s="4"/>
      <c r="HMI15" s="4"/>
      <c r="HMJ15" s="4"/>
      <c r="HMK15" s="4"/>
      <c r="HML15" s="4"/>
      <c r="HMM15" s="4"/>
      <c r="HMN15" s="4"/>
      <c r="HMO15" s="4"/>
      <c r="HMP15" s="4"/>
      <c r="HMQ15" s="4"/>
      <c r="HMR15" s="4"/>
      <c r="HMS15" s="4"/>
      <c r="HMT15" s="4"/>
      <c r="HMU15" s="4"/>
      <c r="HMV15" s="4"/>
      <c r="HMW15" s="4"/>
      <c r="HMX15" s="4"/>
      <c r="HMY15" s="4"/>
      <c r="HMZ15" s="4"/>
      <c r="HNA15" s="4"/>
      <c r="HNB15" s="4"/>
      <c r="HNC15" s="4"/>
      <c r="HND15" s="4"/>
      <c r="HNE15" s="4"/>
      <c r="HNF15" s="4"/>
      <c r="HNG15" s="4"/>
      <c r="HNH15" s="4"/>
      <c r="HNI15" s="4"/>
      <c r="HNJ15" s="4"/>
      <c r="HNK15" s="4"/>
      <c r="HNL15" s="4"/>
      <c r="HNM15" s="4"/>
      <c r="HNN15" s="4"/>
      <c r="HNO15" s="4"/>
      <c r="HNP15" s="4"/>
      <c r="HNQ15" s="4"/>
      <c r="HNR15" s="4"/>
      <c r="HNS15" s="4"/>
      <c r="HNT15" s="4"/>
      <c r="HNU15" s="4"/>
      <c r="HNV15" s="4"/>
      <c r="HNW15" s="4"/>
      <c r="HNX15" s="4"/>
      <c r="HNY15" s="4"/>
      <c r="HNZ15" s="4"/>
      <c r="HOA15" s="4"/>
      <c r="HOB15" s="4"/>
      <c r="HOC15" s="4"/>
      <c r="HOD15" s="4"/>
      <c r="HOE15" s="4"/>
      <c r="HOF15" s="4"/>
      <c r="HOG15" s="4"/>
      <c r="HOH15" s="4"/>
      <c r="HOI15" s="4"/>
      <c r="HOJ15" s="4"/>
      <c r="HOK15" s="4"/>
      <c r="HOL15" s="4"/>
      <c r="HOM15" s="4"/>
      <c r="HON15" s="4"/>
      <c r="HOO15" s="4"/>
      <c r="HOP15" s="4"/>
      <c r="HOQ15" s="4"/>
      <c r="HOR15" s="4"/>
      <c r="HOS15" s="4"/>
      <c r="HOT15" s="4"/>
      <c r="HOU15" s="4"/>
      <c r="HOV15" s="4"/>
      <c r="HOW15" s="4"/>
      <c r="HOX15" s="4"/>
      <c r="HOY15" s="4"/>
      <c r="HOZ15" s="4"/>
      <c r="HPA15" s="4"/>
      <c r="HPB15" s="4"/>
      <c r="HPC15" s="4"/>
      <c r="HPD15" s="4"/>
      <c r="HPE15" s="4"/>
      <c r="HPF15" s="4"/>
      <c r="HPG15" s="4"/>
      <c r="HPH15" s="4"/>
      <c r="HPI15" s="4"/>
      <c r="HPJ15" s="4"/>
      <c r="HPK15" s="4"/>
      <c r="HPL15" s="4"/>
      <c r="HPM15" s="4"/>
      <c r="HPN15" s="4"/>
      <c r="HPO15" s="4"/>
      <c r="HPP15" s="4"/>
      <c r="HPQ15" s="4"/>
      <c r="HPR15" s="4"/>
      <c r="HPS15" s="4"/>
      <c r="HPT15" s="4"/>
      <c r="HPU15" s="4"/>
      <c r="HPV15" s="4"/>
      <c r="HPW15" s="4"/>
      <c r="HPX15" s="4"/>
      <c r="HPY15" s="4"/>
      <c r="HPZ15" s="4"/>
      <c r="HQA15" s="4"/>
      <c r="HQB15" s="4"/>
      <c r="HQC15" s="4"/>
      <c r="HQD15" s="4"/>
      <c r="HQE15" s="4"/>
      <c r="HQF15" s="4"/>
      <c r="HQG15" s="4"/>
      <c r="HQH15" s="4"/>
      <c r="HQI15" s="4"/>
      <c r="HQJ15" s="4"/>
      <c r="HQK15" s="4"/>
      <c r="HQL15" s="4"/>
      <c r="HQM15" s="4"/>
      <c r="HQN15" s="4"/>
      <c r="HQO15" s="4"/>
      <c r="HQP15" s="4"/>
      <c r="HQQ15" s="4"/>
      <c r="HQR15" s="4"/>
      <c r="HQS15" s="4"/>
      <c r="HQT15" s="4"/>
      <c r="HQU15" s="4"/>
      <c r="HQV15" s="4"/>
      <c r="HQW15" s="4"/>
      <c r="HQX15" s="4"/>
      <c r="HQY15" s="4"/>
      <c r="HQZ15" s="4"/>
      <c r="HRA15" s="4"/>
      <c r="HRB15" s="4"/>
      <c r="HRC15" s="4"/>
      <c r="HRD15" s="4"/>
      <c r="HRE15" s="4"/>
      <c r="HRF15" s="4"/>
      <c r="HRG15" s="4"/>
      <c r="HRH15" s="4"/>
      <c r="HRI15" s="4"/>
      <c r="HRJ15" s="4"/>
      <c r="HRK15" s="4"/>
      <c r="HRL15" s="4"/>
      <c r="HRM15" s="4"/>
      <c r="HRN15" s="4"/>
      <c r="HRO15" s="4"/>
      <c r="HRP15" s="4"/>
      <c r="HRQ15" s="4"/>
      <c r="HRR15" s="4"/>
      <c r="HRS15" s="4"/>
      <c r="HRT15" s="4"/>
      <c r="HRU15" s="4"/>
      <c r="HRV15" s="4"/>
      <c r="HRW15" s="4"/>
      <c r="HRX15" s="4"/>
      <c r="HRY15" s="4"/>
      <c r="HRZ15" s="4"/>
      <c r="HSA15" s="4"/>
      <c r="HSB15" s="4"/>
      <c r="HSC15" s="4"/>
      <c r="HSD15" s="4"/>
      <c r="HSE15" s="4"/>
      <c r="HSF15" s="4"/>
      <c r="HSG15" s="4"/>
      <c r="HSH15" s="4"/>
      <c r="HSI15" s="4"/>
      <c r="HSJ15" s="4"/>
      <c r="HSK15" s="4"/>
      <c r="HSL15" s="4"/>
      <c r="HSM15" s="4"/>
      <c r="HSN15" s="4"/>
      <c r="HSO15" s="4"/>
      <c r="HSP15" s="4"/>
      <c r="HSQ15" s="4"/>
      <c r="HSR15" s="4"/>
      <c r="HSS15" s="4"/>
      <c r="HST15" s="4"/>
      <c r="HSU15" s="4"/>
      <c r="HSV15" s="4"/>
      <c r="HSW15" s="4"/>
      <c r="HSX15" s="4"/>
      <c r="HSY15" s="4"/>
      <c r="HSZ15" s="4"/>
      <c r="HTA15" s="4"/>
      <c r="HTB15" s="4"/>
      <c r="HTC15" s="4"/>
      <c r="HTD15" s="4"/>
      <c r="HTE15" s="4"/>
      <c r="HTF15" s="4"/>
      <c r="HTG15" s="4"/>
      <c r="HTH15" s="4"/>
      <c r="HTI15" s="4"/>
      <c r="HTJ15" s="4"/>
      <c r="HTK15" s="4"/>
      <c r="HTL15" s="4"/>
      <c r="HTM15" s="4"/>
      <c r="HTN15" s="4"/>
      <c r="HTO15" s="4"/>
      <c r="HTP15" s="4"/>
      <c r="HTQ15" s="4"/>
      <c r="HTR15" s="4"/>
      <c r="HTS15" s="4"/>
      <c r="HTT15" s="4"/>
      <c r="HTU15" s="4"/>
      <c r="HTV15" s="4"/>
      <c r="HTW15" s="4"/>
      <c r="HTX15" s="4"/>
      <c r="HTY15" s="4"/>
      <c r="HTZ15" s="4"/>
      <c r="HUA15" s="4"/>
      <c r="HUB15" s="4"/>
      <c r="HUC15" s="4"/>
      <c r="HUD15" s="4"/>
      <c r="HUE15" s="4"/>
      <c r="HUF15" s="4"/>
      <c r="HUG15" s="4"/>
      <c r="HUH15" s="4"/>
      <c r="HUI15" s="4"/>
      <c r="HUJ15" s="4"/>
      <c r="HUK15" s="4"/>
      <c r="HUL15" s="4"/>
      <c r="HUM15" s="4"/>
      <c r="HUN15" s="4"/>
      <c r="HUO15" s="4"/>
      <c r="HUP15" s="4"/>
      <c r="HUQ15" s="4"/>
      <c r="HUR15" s="4"/>
      <c r="HUS15" s="4"/>
      <c r="HUT15" s="4"/>
      <c r="HUU15" s="4"/>
      <c r="HUV15" s="4"/>
      <c r="HUW15" s="4"/>
      <c r="HUX15" s="4"/>
      <c r="HUY15" s="4"/>
      <c r="HUZ15" s="4"/>
      <c r="HVA15" s="4"/>
      <c r="HVB15" s="4"/>
      <c r="HVC15" s="4"/>
      <c r="HVD15" s="4"/>
      <c r="HVE15" s="4"/>
      <c r="HVF15" s="4"/>
      <c r="HVG15" s="4"/>
      <c r="HVH15" s="4"/>
      <c r="HVI15" s="4"/>
      <c r="HVJ15" s="4"/>
      <c r="HVK15" s="4"/>
      <c r="HVL15" s="4"/>
      <c r="HVM15" s="4"/>
      <c r="HVN15" s="4"/>
      <c r="HVO15" s="4"/>
      <c r="HVP15" s="4"/>
      <c r="HVQ15" s="4"/>
      <c r="HVR15" s="4"/>
      <c r="HVS15" s="4"/>
      <c r="HVT15" s="4"/>
      <c r="HVU15" s="4"/>
      <c r="HVV15" s="4"/>
      <c r="HVW15" s="4"/>
      <c r="HVX15" s="4"/>
      <c r="HVY15" s="4"/>
      <c r="HVZ15" s="4"/>
      <c r="HWA15" s="4"/>
      <c r="HWB15" s="4"/>
      <c r="HWC15" s="4"/>
      <c r="HWD15" s="4"/>
      <c r="HWE15" s="4"/>
      <c r="HWF15" s="4"/>
      <c r="HWG15" s="4"/>
      <c r="HWH15" s="4"/>
      <c r="HWI15" s="4"/>
      <c r="HWJ15" s="4"/>
      <c r="HWK15" s="4"/>
      <c r="HWL15" s="4"/>
      <c r="HWM15" s="4"/>
      <c r="HWN15" s="4"/>
      <c r="HWO15" s="4"/>
      <c r="HWP15" s="4"/>
      <c r="HWQ15" s="4"/>
      <c r="HWR15" s="4"/>
      <c r="HWS15" s="4"/>
      <c r="HWT15" s="4"/>
      <c r="HWU15" s="4"/>
      <c r="HWV15" s="4"/>
      <c r="HWW15" s="4"/>
      <c r="HWX15" s="4"/>
      <c r="HWY15" s="4"/>
      <c r="HWZ15" s="4"/>
      <c r="HXA15" s="4"/>
      <c r="HXB15" s="4"/>
      <c r="HXC15" s="4"/>
      <c r="HXD15" s="4"/>
      <c r="HXE15" s="4"/>
      <c r="HXF15" s="4"/>
      <c r="HXG15" s="4"/>
      <c r="HXH15" s="4"/>
      <c r="HXI15" s="4"/>
      <c r="HXJ15" s="4"/>
      <c r="HXK15" s="4"/>
      <c r="HXL15" s="4"/>
      <c r="HXM15" s="4"/>
      <c r="HXN15" s="4"/>
      <c r="HXO15" s="4"/>
      <c r="HXP15" s="4"/>
      <c r="HXQ15" s="4"/>
      <c r="HXR15" s="4"/>
      <c r="HXS15" s="4"/>
      <c r="HXT15" s="4"/>
      <c r="HXU15" s="4"/>
      <c r="HXV15" s="4"/>
      <c r="HXW15" s="4"/>
      <c r="HXX15" s="4"/>
      <c r="HXY15" s="4"/>
      <c r="HXZ15" s="4"/>
      <c r="HYA15" s="4"/>
      <c r="HYB15" s="4"/>
      <c r="HYC15" s="4"/>
      <c r="HYD15" s="4"/>
      <c r="HYE15" s="4"/>
      <c r="HYF15" s="4"/>
      <c r="HYG15" s="4"/>
      <c r="HYH15" s="4"/>
      <c r="HYI15" s="4"/>
      <c r="HYJ15" s="4"/>
      <c r="HYK15" s="4"/>
      <c r="HYL15" s="4"/>
      <c r="HYM15" s="4"/>
      <c r="HYN15" s="4"/>
      <c r="HYO15" s="4"/>
      <c r="HYP15" s="4"/>
      <c r="HYQ15" s="4"/>
      <c r="HYR15" s="4"/>
      <c r="HYS15" s="4"/>
      <c r="HYT15" s="4"/>
      <c r="HYU15" s="4"/>
      <c r="HYV15" s="4"/>
      <c r="HYW15" s="4"/>
      <c r="HYX15" s="4"/>
      <c r="HYY15" s="4"/>
      <c r="HYZ15" s="4"/>
      <c r="HZA15" s="4"/>
      <c r="HZB15" s="4"/>
      <c r="HZC15" s="4"/>
      <c r="HZD15" s="4"/>
      <c r="HZE15" s="4"/>
      <c r="HZF15" s="4"/>
      <c r="HZG15" s="4"/>
      <c r="HZH15" s="4"/>
      <c r="HZI15" s="4"/>
      <c r="HZJ15" s="4"/>
      <c r="HZK15" s="4"/>
      <c r="HZL15" s="4"/>
      <c r="HZM15" s="4"/>
      <c r="HZN15" s="4"/>
      <c r="HZO15" s="4"/>
      <c r="HZP15" s="4"/>
      <c r="HZQ15" s="4"/>
      <c r="HZR15" s="4"/>
      <c r="HZS15" s="4"/>
      <c r="HZT15" s="4"/>
      <c r="HZU15" s="4"/>
      <c r="HZV15" s="4"/>
      <c r="HZW15" s="4"/>
      <c r="HZX15" s="4"/>
      <c r="HZY15" s="4"/>
      <c r="HZZ15" s="4"/>
      <c r="IAA15" s="4"/>
      <c r="IAB15" s="4"/>
      <c r="IAC15" s="4"/>
      <c r="IAD15" s="4"/>
      <c r="IAE15" s="4"/>
      <c r="IAF15" s="4"/>
      <c r="IAG15" s="4"/>
      <c r="IAH15" s="4"/>
      <c r="IAI15" s="4"/>
      <c r="IAJ15" s="4"/>
      <c r="IAK15" s="4"/>
      <c r="IAL15" s="4"/>
      <c r="IAM15" s="4"/>
      <c r="IAN15" s="4"/>
      <c r="IAO15" s="4"/>
      <c r="IAP15" s="4"/>
      <c r="IAQ15" s="4"/>
      <c r="IAR15" s="4"/>
      <c r="IAS15" s="4"/>
      <c r="IAT15" s="4"/>
      <c r="IAU15" s="4"/>
      <c r="IAV15" s="4"/>
      <c r="IAW15" s="4"/>
      <c r="IAX15" s="4"/>
      <c r="IAY15" s="4"/>
      <c r="IAZ15" s="4"/>
      <c r="IBA15" s="4"/>
      <c r="IBB15" s="4"/>
      <c r="IBC15" s="4"/>
      <c r="IBD15" s="4"/>
      <c r="IBE15" s="4"/>
      <c r="IBF15" s="4"/>
      <c r="IBG15" s="4"/>
      <c r="IBH15" s="4"/>
      <c r="IBI15" s="4"/>
      <c r="IBJ15" s="4"/>
      <c r="IBK15" s="4"/>
      <c r="IBL15" s="4"/>
      <c r="IBM15" s="4"/>
      <c r="IBN15" s="4"/>
      <c r="IBO15" s="4"/>
      <c r="IBP15" s="4"/>
      <c r="IBQ15" s="4"/>
      <c r="IBR15" s="4"/>
      <c r="IBS15" s="4"/>
      <c r="IBT15" s="4"/>
      <c r="IBU15" s="4"/>
      <c r="IBV15" s="4"/>
      <c r="IBW15" s="4"/>
      <c r="IBX15" s="4"/>
      <c r="IBY15" s="4"/>
      <c r="IBZ15" s="4"/>
      <c r="ICA15" s="4"/>
      <c r="ICB15" s="4"/>
      <c r="ICC15" s="4"/>
      <c r="ICD15" s="4"/>
      <c r="ICE15" s="4"/>
      <c r="ICF15" s="4"/>
      <c r="ICG15" s="4"/>
      <c r="ICH15" s="4"/>
      <c r="ICI15" s="4"/>
      <c r="ICJ15" s="4"/>
      <c r="ICK15" s="4"/>
      <c r="ICL15" s="4"/>
      <c r="ICM15" s="4"/>
      <c r="ICN15" s="4"/>
      <c r="ICO15" s="4"/>
      <c r="ICP15" s="4"/>
      <c r="ICQ15" s="4"/>
      <c r="ICR15" s="4"/>
      <c r="ICS15" s="4"/>
      <c r="ICT15" s="4"/>
      <c r="ICU15" s="4"/>
      <c r="ICV15" s="4"/>
      <c r="ICW15" s="4"/>
      <c r="ICX15" s="4"/>
      <c r="ICY15" s="4"/>
      <c r="ICZ15" s="4"/>
      <c r="IDA15" s="4"/>
      <c r="IDB15" s="4"/>
      <c r="IDC15" s="4"/>
      <c r="IDD15" s="4"/>
      <c r="IDE15" s="4"/>
      <c r="IDF15" s="4"/>
      <c r="IDG15" s="4"/>
      <c r="IDH15" s="4"/>
      <c r="IDI15" s="4"/>
      <c r="IDJ15" s="4"/>
      <c r="IDK15" s="4"/>
      <c r="IDL15" s="4"/>
      <c r="IDM15" s="4"/>
      <c r="IDN15" s="4"/>
      <c r="IDO15" s="4"/>
      <c r="IDP15" s="4"/>
      <c r="IDQ15" s="4"/>
      <c r="IDR15" s="4"/>
      <c r="IDS15" s="4"/>
      <c r="IDT15" s="4"/>
      <c r="IDU15" s="4"/>
      <c r="IDV15" s="4"/>
      <c r="IDW15" s="4"/>
      <c r="IDX15" s="4"/>
      <c r="IDY15" s="4"/>
      <c r="IDZ15" s="4"/>
      <c r="IEA15" s="4"/>
      <c r="IEB15" s="4"/>
      <c r="IEC15" s="4"/>
      <c r="IED15" s="4"/>
      <c r="IEE15" s="4"/>
      <c r="IEF15" s="4"/>
      <c r="IEG15" s="4"/>
      <c r="IEH15" s="4"/>
      <c r="IEI15" s="4"/>
      <c r="IEJ15" s="4"/>
      <c r="IEK15" s="4"/>
      <c r="IEL15" s="4"/>
      <c r="IEM15" s="4"/>
      <c r="IEN15" s="4"/>
      <c r="IEO15" s="4"/>
      <c r="IEP15" s="4"/>
      <c r="IEQ15" s="4"/>
      <c r="IER15" s="4"/>
      <c r="IES15" s="4"/>
      <c r="IET15" s="4"/>
      <c r="IEU15" s="4"/>
      <c r="IEV15" s="4"/>
      <c r="IEW15" s="4"/>
      <c r="IEX15" s="4"/>
      <c r="IEY15" s="4"/>
      <c r="IEZ15" s="4"/>
      <c r="IFA15" s="4"/>
      <c r="IFB15" s="4"/>
      <c r="IFC15" s="4"/>
      <c r="IFD15" s="4"/>
      <c r="IFE15" s="4"/>
      <c r="IFF15" s="4"/>
      <c r="IFG15" s="4"/>
      <c r="IFH15" s="4"/>
      <c r="IFI15" s="4"/>
      <c r="IFJ15" s="4"/>
      <c r="IFK15" s="4"/>
      <c r="IFL15" s="4"/>
      <c r="IFM15" s="4"/>
      <c r="IFN15" s="4"/>
      <c r="IFO15" s="4"/>
      <c r="IFP15" s="4"/>
      <c r="IFQ15" s="4"/>
      <c r="IFR15" s="4"/>
      <c r="IFS15" s="4"/>
      <c r="IFT15" s="4"/>
      <c r="IFU15" s="4"/>
      <c r="IFV15" s="4"/>
      <c r="IFW15" s="4"/>
      <c r="IFX15" s="4"/>
      <c r="IFY15" s="4"/>
      <c r="IFZ15" s="4"/>
      <c r="IGA15" s="4"/>
      <c r="IGB15" s="4"/>
      <c r="IGC15" s="4"/>
      <c r="IGD15" s="4"/>
      <c r="IGE15" s="4"/>
      <c r="IGF15" s="4"/>
      <c r="IGG15" s="4"/>
      <c r="IGH15" s="4"/>
      <c r="IGI15" s="4"/>
      <c r="IGJ15" s="4"/>
      <c r="IGK15" s="4"/>
      <c r="IGL15" s="4"/>
      <c r="IGM15" s="4"/>
      <c r="IGN15" s="4"/>
      <c r="IGO15" s="4"/>
      <c r="IGP15" s="4"/>
      <c r="IGQ15" s="4"/>
      <c r="IGR15" s="4"/>
      <c r="IGS15" s="4"/>
      <c r="IGT15" s="4"/>
      <c r="IGU15" s="4"/>
      <c r="IGV15" s="4"/>
      <c r="IGW15" s="4"/>
      <c r="IGX15" s="4"/>
      <c r="IGY15" s="4"/>
      <c r="IGZ15" s="4"/>
      <c r="IHA15" s="4"/>
      <c r="IHB15" s="4"/>
      <c r="IHC15" s="4"/>
      <c r="IHD15" s="4"/>
      <c r="IHE15" s="4"/>
      <c r="IHF15" s="4"/>
      <c r="IHG15" s="4"/>
      <c r="IHH15" s="4"/>
      <c r="IHI15" s="4"/>
      <c r="IHJ15" s="4"/>
      <c r="IHK15" s="4"/>
      <c r="IHL15" s="4"/>
      <c r="IHM15" s="4"/>
      <c r="IHN15" s="4"/>
      <c r="IHO15" s="4"/>
      <c r="IHP15" s="4"/>
      <c r="IHQ15" s="4"/>
      <c r="IHR15" s="4"/>
      <c r="IHS15" s="4"/>
      <c r="IHT15" s="4"/>
      <c r="IHU15" s="4"/>
      <c r="IHV15" s="4"/>
      <c r="IHW15" s="4"/>
      <c r="IHX15" s="4"/>
      <c r="IHY15" s="4"/>
      <c r="IHZ15" s="4"/>
      <c r="IIA15" s="4"/>
      <c r="IIB15" s="4"/>
      <c r="IIC15" s="4"/>
      <c r="IID15" s="4"/>
      <c r="IIE15" s="4"/>
      <c r="IIF15" s="4"/>
      <c r="IIG15" s="4"/>
      <c r="IIH15" s="4"/>
      <c r="III15" s="4"/>
      <c r="IIJ15" s="4"/>
      <c r="IIK15" s="4"/>
      <c r="IIL15" s="4"/>
      <c r="IIM15" s="4"/>
      <c r="IIN15" s="4"/>
      <c r="IIO15" s="4"/>
      <c r="IIP15" s="4"/>
      <c r="IIQ15" s="4"/>
      <c r="IIR15" s="4"/>
      <c r="IIS15" s="4"/>
      <c r="IIT15" s="4"/>
      <c r="IIU15" s="4"/>
      <c r="IIV15" s="4"/>
      <c r="IIW15" s="4"/>
      <c r="IIX15" s="4"/>
      <c r="IIY15" s="4"/>
      <c r="IIZ15" s="4"/>
      <c r="IJA15" s="4"/>
      <c r="IJB15" s="4"/>
      <c r="IJC15" s="4"/>
      <c r="IJD15" s="4"/>
      <c r="IJE15" s="4"/>
      <c r="IJF15" s="4"/>
      <c r="IJG15" s="4"/>
      <c r="IJH15" s="4"/>
      <c r="IJI15" s="4"/>
      <c r="IJJ15" s="4"/>
      <c r="IJK15" s="4"/>
      <c r="IJL15" s="4"/>
      <c r="IJM15" s="4"/>
      <c r="IJN15" s="4"/>
      <c r="IJO15" s="4"/>
      <c r="IJP15" s="4"/>
      <c r="IJQ15" s="4"/>
      <c r="IJR15" s="4"/>
      <c r="IJS15" s="4"/>
      <c r="IJT15" s="4"/>
      <c r="IJU15" s="4"/>
      <c r="IJV15" s="4"/>
      <c r="IJW15" s="4"/>
      <c r="IJX15" s="4"/>
      <c r="IJY15" s="4"/>
      <c r="IJZ15" s="4"/>
      <c r="IKA15" s="4"/>
      <c r="IKB15" s="4"/>
      <c r="IKC15" s="4"/>
      <c r="IKD15" s="4"/>
      <c r="IKE15" s="4"/>
      <c r="IKF15" s="4"/>
      <c r="IKG15" s="4"/>
      <c r="IKH15" s="4"/>
      <c r="IKI15" s="4"/>
      <c r="IKJ15" s="4"/>
      <c r="IKK15" s="4"/>
      <c r="IKL15" s="4"/>
      <c r="IKM15" s="4"/>
      <c r="IKN15" s="4"/>
      <c r="IKO15" s="4"/>
      <c r="IKP15" s="4"/>
      <c r="IKQ15" s="4"/>
      <c r="IKR15" s="4"/>
      <c r="IKS15" s="4"/>
      <c r="IKT15" s="4"/>
      <c r="IKU15" s="4"/>
      <c r="IKV15" s="4"/>
      <c r="IKW15" s="4"/>
      <c r="IKX15" s="4"/>
      <c r="IKY15" s="4"/>
      <c r="IKZ15" s="4"/>
      <c r="ILA15" s="4"/>
      <c r="ILB15" s="4"/>
      <c r="ILC15" s="4"/>
      <c r="ILD15" s="4"/>
      <c r="ILE15" s="4"/>
      <c r="ILF15" s="4"/>
      <c r="ILG15" s="4"/>
      <c r="ILH15" s="4"/>
      <c r="ILI15" s="4"/>
      <c r="ILJ15" s="4"/>
      <c r="ILK15" s="4"/>
      <c r="ILL15" s="4"/>
      <c r="ILM15" s="4"/>
      <c r="ILN15" s="4"/>
      <c r="ILO15" s="4"/>
      <c r="ILP15" s="4"/>
      <c r="ILQ15" s="4"/>
      <c r="ILR15" s="4"/>
      <c r="ILS15" s="4"/>
      <c r="ILT15" s="4"/>
      <c r="ILU15" s="4"/>
      <c r="ILV15" s="4"/>
      <c r="ILW15" s="4"/>
      <c r="ILX15" s="4"/>
      <c r="ILY15" s="4"/>
      <c r="ILZ15" s="4"/>
      <c r="IMA15" s="4"/>
      <c r="IMB15" s="4"/>
      <c r="IMC15" s="4"/>
      <c r="IMD15" s="4"/>
      <c r="IME15" s="4"/>
      <c r="IMF15" s="4"/>
      <c r="IMG15" s="4"/>
      <c r="IMH15" s="4"/>
      <c r="IMI15" s="4"/>
      <c r="IMJ15" s="4"/>
      <c r="IMK15" s="4"/>
      <c r="IML15" s="4"/>
      <c r="IMM15" s="4"/>
      <c r="IMN15" s="4"/>
      <c r="IMO15" s="4"/>
      <c r="IMP15" s="4"/>
      <c r="IMQ15" s="4"/>
      <c r="IMR15" s="4"/>
      <c r="IMS15" s="4"/>
      <c r="IMT15" s="4"/>
      <c r="IMU15" s="4"/>
      <c r="IMV15" s="4"/>
      <c r="IMW15" s="4"/>
      <c r="IMX15" s="4"/>
      <c r="IMY15" s="4"/>
      <c r="IMZ15" s="4"/>
      <c r="INA15" s="4"/>
      <c r="INB15" s="4"/>
      <c r="INC15" s="4"/>
      <c r="IND15" s="4"/>
      <c r="INE15" s="4"/>
      <c r="INF15" s="4"/>
      <c r="ING15" s="4"/>
      <c r="INH15" s="4"/>
      <c r="INI15" s="4"/>
      <c r="INJ15" s="4"/>
      <c r="INK15" s="4"/>
      <c r="INL15" s="4"/>
      <c r="INM15" s="4"/>
      <c r="INN15" s="4"/>
      <c r="INO15" s="4"/>
      <c r="INP15" s="4"/>
      <c r="INQ15" s="4"/>
      <c r="INR15" s="4"/>
      <c r="INS15" s="4"/>
      <c r="INT15" s="4"/>
      <c r="INU15" s="4"/>
      <c r="INV15" s="4"/>
      <c r="INW15" s="4"/>
      <c r="INX15" s="4"/>
      <c r="INY15" s="4"/>
      <c r="INZ15" s="4"/>
      <c r="IOA15" s="4"/>
      <c r="IOB15" s="4"/>
      <c r="IOC15" s="4"/>
      <c r="IOD15" s="4"/>
      <c r="IOE15" s="4"/>
      <c r="IOF15" s="4"/>
      <c r="IOG15" s="4"/>
      <c r="IOH15" s="4"/>
      <c r="IOI15" s="4"/>
      <c r="IOJ15" s="4"/>
      <c r="IOK15" s="4"/>
      <c r="IOL15" s="4"/>
      <c r="IOM15" s="4"/>
      <c r="ION15" s="4"/>
      <c r="IOO15" s="4"/>
      <c r="IOP15" s="4"/>
      <c r="IOQ15" s="4"/>
      <c r="IOR15" s="4"/>
      <c r="IOS15" s="4"/>
      <c r="IOT15" s="4"/>
      <c r="IOU15" s="4"/>
      <c r="IOV15" s="4"/>
      <c r="IOW15" s="4"/>
      <c r="IOX15" s="4"/>
      <c r="IOY15" s="4"/>
      <c r="IOZ15" s="4"/>
      <c r="IPA15" s="4"/>
      <c r="IPB15" s="4"/>
      <c r="IPC15" s="4"/>
      <c r="IPD15" s="4"/>
      <c r="IPE15" s="4"/>
      <c r="IPF15" s="4"/>
      <c r="IPG15" s="4"/>
      <c r="IPH15" s="4"/>
      <c r="IPI15" s="4"/>
      <c r="IPJ15" s="4"/>
      <c r="IPK15" s="4"/>
      <c r="IPL15" s="4"/>
      <c r="IPM15" s="4"/>
      <c r="IPN15" s="4"/>
      <c r="IPO15" s="4"/>
      <c r="IPP15" s="4"/>
      <c r="IPQ15" s="4"/>
      <c r="IPR15" s="4"/>
      <c r="IPS15" s="4"/>
      <c r="IPT15" s="4"/>
      <c r="IPU15" s="4"/>
      <c r="IPV15" s="4"/>
      <c r="IPW15" s="4"/>
      <c r="IPX15" s="4"/>
      <c r="IPY15" s="4"/>
      <c r="IPZ15" s="4"/>
      <c r="IQA15" s="4"/>
      <c r="IQB15" s="4"/>
      <c r="IQC15" s="4"/>
      <c r="IQD15" s="4"/>
      <c r="IQE15" s="4"/>
      <c r="IQF15" s="4"/>
      <c r="IQG15" s="4"/>
      <c r="IQH15" s="4"/>
      <c r="IQI15" s="4"/>
      <c r="IQJ15" s="4"/>
      <c r="IQK15" s="4"/>
      <c r="IQL15" s="4"/>
      <c r="IQM15" s="4"/>
      <c r="IQN15" s="4"/>
      <c r="IQO15" s="4"/>
      <c r="IQP15" s="4"/>
      <c r="IQQ15" s="4"/>
      <c r="IQR15" s="4"/>
      <c r="IQS15" s="4"/>
      <c r="IQT15" s="4"/>
      <c r="IQU15" s="4"/>
      <c r="IQV15" s="4"/>
      <c r="IQW15" s="4"/>
      <c r="IQX15" s="4"/>
      <c r="IQY15" s="4"/>
      <c r="IQZ15" s="4"/>
      <c r="IRA15" s="4"/>
      <c r="IRB15" s="4"/>
      <c r="IRC15" s="4"/>
      <c r="IRD15" s="4"/>
      <c r="IRE15" s="4"/>
      <c r="IRF15" s="4"/>
      <c r="IRG15" s="4"/>
      <c r="IRH15" s="4"/>
      <c r="IRI15" s="4"/>
      <c r="IRJ15" s="4"/>
      <c r="IRK15" s="4"/>
      <c r="IRL15" s="4"/>
      <c r="IRM15" s="4"/>
      <c r="IRN15" s="4"/>
      <c r="IRO15" s="4"/>
      <c r="IRP15" s="4"/>
      <c r="IRQ15" s="4"/>
      <c r="IRR15" s="4"/>
      <c r="IRS15" s="4"/>
      <c r="IRT15" s="4"/>
      <c r="IRU15" s="4"/>
      <c r="IRV15" s="4"/>
      <c r="IRW15" s="4"/>
      <c r="IRX15" s="4"/>
      <c r="IRY15" s="4"/>
      <c r="IRZ15" s="4"/>
      <c r="ISA15" s="4"/>
      <c r="ISB15" s="4"/>
      <c r="ISC15" s="4"/>
      <c r="ISD15" s="4"/>
      <c r="ISE15" s="4"/>
      <c r="ISF15" s="4"/>
      <c r="ISG15" s="4"/>
      <c r="ISH15" s="4"/>
      <c r="ISI15" s="4"/>
      <c r="ISJ15" s="4"/>
      <c r="ISK15" s="4"/>
      <c r="ISL15" s="4"/>
      <c r="ISM15" s="4"/>
      <c r="ISN15" s="4"/>
      <c r="ISO15" s="4"/>
      <c r="ISP15" s="4"/>
      <c r="ISQ15" s="4"/>
      <c r="ISR15" s="4"/>
      <c r="ISS15" s="4"/>
      <c r="IST15" s="4"/>
      <c r="ISU15" s="4"/>
      <c r="ISV15" s="4"/>
      <c r="ISW15" s="4"/>
      <c r="ISX15" s="4"/>
      <c r="ISY15" s="4"/>
      <c r="ISZ15" s="4"/>
      <c r="ITA15" s="4"/>
      <c r="ITB15" s="4"/>
      <c r="ITC15" s="4"/>
      <c r="ITD15" s="4"/>
      <c r="ITE15" s="4"/>
      <c r="ITF15" s="4"/>
      <c r="ITG15" s="4"/>
      <c r="ITH15" s="4"/>
      <c r="ITI15" s="4"/>
      <c r="ITJ15" s="4"/>
      <c r="ITK15" s="4"/>
      <c r="ITL15" s="4"/>
      <c r="ITM15" s="4"/>
      <c r="ITN15" s="4"/>
      <c r="ITO15" s="4"/>
      <c r="ITP15" s="4"/>
      <c r="ITQ15" s="4"/>
      <c r="ITR15" s="4"/>
      <c r="ITS15" s="4"/>
      <c r="ITT15" s="4"/>
      <c r="ITU15" s="4"/>
      <c r="ITV15" s="4"/>
      <c r="ITW15" s="4"/>
      <c r="ITX15" s="4"/>
      <c r="ITY15" s="4"/>
      <c r="ITZ15" s="4"/>
      <c r="IUA15" s="4"/>
      <c r="IUB15" s="4"/>
      <c r="IUC15" s="4"/>
      <c r="IUD15" s="4"/>
      <c r="IUE15" s="4"/>
      <c r="IUF15" s="4"/>
      <c r="IUG15" s="4"/>
      <c r="IUH15" s="4"/>
      <c r="IUI15" s="4"/>
      <c r="IUJ15" s="4"/>
      <c r="IUK15" s="4"/>
      <c r="IUL15" s="4"/>
      <c r="IUM15" s="4"/>
      <c r="IUN15" s="4"/>
      <c r="IUO15" s="4"/>
      <c r="IUP15" s="4"/>
      <c r="IUQ15" s="4"/>
      <c r="IUR15" s="4"/>
      <c r="IUS15" s="4"/>
      <c r="IUT15" s="4"/>
      <c r="IUU15" s="4"/>
      <c r="IUV15" s="4"/>
      <c r="IUW15" s="4"/>
      <c r="IUX15" s="4"/>
      <c r="IUY15" s="4"/>
      <c r="IUZ15" s="4"/>
      <c r="IVA15" s="4"/>
      <c r="IVB15" s="4"/>
      <c r="IVC15" s="4"/>
      <c r="IVD15" s="4"/>
      <c r="IVE15" s="4"/>
      <c r="IVF15" s="4"/>
      <c r="IVG15" s="4"/>
      <c r="IVH15" s="4"/>
      <c r="IVI15" s="4"/>
      <c r="IVJ15" s="4"/>
      <c r="IVK15" s="4"/>
      <c r="IVL15" s="4"/>
      <c r="IVM15" s="4"/>
      <c r="IVN15" s="4"/>
      <c r="IVO15" s="4"/>
      <c r="IVP15" s="4"/>
      <c r="IVQ15" s="4"/>
      <c r="IVR15" s="4"/>
      <c r="IVS15" s="4"/>
      <c r="IVT15" s="4"/>
      <c r="IVU15" s="4"/>
      <c r="IVV15" s="4"/>
      <c r="IVW15" s="4"/>
      <c r="IVX15" s="4"/>
      <c r="IVY15" s="4"/>
      <c r="IVZ15" s="4"/>
      <c r="IWA15" s="4"/>
      <c r="IWB15" s="4"/>
      <c r="IWC15" s="4"/>
      <c r="IWD15" s="4"/>
      <c r="IWE15" s="4"/>
      <c r="IWF15" s="4"/>
      <c r="IWG15" s="4"/>
      <c r="IWH15" s="4"/>
      <c r="IWI15" s="4"/>
      <c r="IWJ15" s="4"/>
      <c r="IWK15" s="4"/>
      <c r="IWL15" s="4"/>
      <c r="IWM15" s="4"/>
      <c r="IWN15" s="4"/>
      <c r="IWO15" s="4"/>
      <c r="IWP15" s="4"/>
      <c r="IWQ15" s="4"/>
      <c r="IWR15" s="4"/>
      <c r="IWS15" s="4"/>
      <c r="IWT15" s="4"/>
      <c r="IWU15" s="4"/>
      <c r="IWV15" s="4"/>
      <c r="IWW15" s="4"/>
      <c r="IWX15" s="4"/>
      <c r="IWY15" s="4"/>
      <c r="IWZ15" s="4"/>
      <c r="IXA15" s="4"/>
      <c r="IXB15" s="4"/>
      <c r="IXC15" s="4"/>
      <c r="IXD15" s="4"/>
      <c r="IXE15" s="4"/>
      <c r="IXF15" s="4"/>
      <c r="IXG15" s="4"/>
      <c r="IXH15" s="4"/>
      <c r="IXI15" s="4"/>
      <c r="IXJ15" s="4"/>
      <c r="IXK15" s="4"/>
      <c r="IXL15" s="4"/>
      <c r="IXM15" s="4"/>
      <c r="IXN15" s="4"/>
      <c r="IXO15" s="4"/>
      <c r="IXP15" s="4"/>
      <c r="IXQ15" s="4"/>
      <c r="IXR15" s="4"/>
      <c r="IXS15" s="4"/>
      <c r="IXT15" s="4"/>
      <c r="IXU15" s="4"/>
      <c r="IXV15" s="4"/>
      <c r="IXW15" s="4"/>
      <c r="IXX15" s="4"/>
      <c r="IXY15" s="4"/>
      <c r="IXZ15" s="4"/>
      <c r="IYA15" s="4"/>
      <c r="IYB15" s="4"/>
      <c r="IYC15" s="4"/>
      <c r="IYD15" s="4"/>
      <c r="IYE15" s="4"/>
      <c r="IYF15" s="4"/>
      <c r="IYG15" s="4"/>
      <c r="IYH15" s="4"/>
      <c r="IYI15" s="4"/>
      <c r="IYJ15" s="4"/>
      <c r="IYK15" s="4"/>
      <c r="IYL15" s="4"/>
      <c r="IYM15" s="4"/>
      <c r="IYN15" s="4"/>
      <c r="IYO15" s="4"/>
      <c r="IYP15" s="4"/>
      <c r="IYQ15" s="4"/>
      <c r="IYR15" s="4"/>
      <c r="IYS15" s="4"/>
      <c r="IYT15" s="4"/>
      <c r="IYU15" s="4"/>
      <c r="IYV15" s="4"/>
      <c r="IYW15" s="4"/>
      <c r="IYX15" s="4"/>
      <c r="IYY15" s="4"/>
      <c r="IYZ15" s="4"/>
      <c r="IZA15" s="4"/>
      <c r="IZB15" s="4"/>
      <c r="IZC15" s="4"/>
      <c r="IZD15" s="4"/>
      <c r="IZE15" s="4"/>
      <c r="IZF15" s="4"/>
      <c r="IZG15" s="4"/>
      <c r="IZH15" s="4"/>
      <c r="IZI15" s="4"/>
      <c r="IZJ15" s="4"/>
      <c r="IZK15" s="4"/>
      <c r="IZL15" s="4"/>
      <c r="IZM15" s="4"/>
      <c r="IZN15" s="4"/>
      <c r="IZO15" s="4"/>
      <c r="IZP15" s="4"/>
      <c r="IZQ15" s="4"/>
      <c r="IZR15" s="4"/>
      <c r="IZS15" s="4"/>
      <c r="IZT15" s="4"/>
      <c r="IZU15" s="4"/>
      <c r="IZV15" s="4"/>
      <c r="IZW15" s="4"/>
      <c r="IZX15" s="4"/>
      <c r="IZY15" s="4"/>
      <c r="IZZ15" s="4"/>
      <c r="JAA15" s="4"/>
      <c r="JAB15" s="4"/>
      <c r="JAC15" s="4"/>
      <c r="JAD15" s="4"/>
      <c r="JAE15" s="4"/>
      <c r="JAF15" s="4"/>
      <c r="JAG15" s="4"/>
      <c r="JAH15" s="4"/>
      <c r="JAI15" s="4"/>
      <c r="JAJ15" s="4"/>
      <c r="JAK15" s="4"/>
      <c r="JAL15" s="4"/>
      <c r="JAM15" s="4"/>
      <c r="JAN15" s="4"/>
      <c r="JAO15" s="4"/>
      <c r="JAP15" s="4"/>
      <c r="JAQ15" s="4"/>
      <c r="JAR15" s="4"/>
      <c r="JAS15" s="4"/>
      <c r="JAT15" s="4"/>
      <c r="JAU15" s="4"/>
      <c r="JAV15" s="4"/>
      <c r="JAW15" s="4"/>
      <c r="JAX15" s="4"/>
      <c r="JAY15" s="4"/>
      <c r="JAZ15" s="4"/>
      <c r="JBA15" s="4"/>
      <c r="JBB15" s="4"/>
      <c r="JBC15" s="4"/>
      <c r="JBD15" s="4"/>
      <c r="JBE15" s="4"/>
      <c r="JBF15" s="4"/>
      <c r="JBG15" s="4"/>
      <c r="JBH15" s="4"/>
      <c r="JBI15" s="4"/>
      <c r="JBJ15" s="4"/>
      <c r="JBK15" s="4"/>
      <c r="JBL15" s="4"/>
      <c r="JBM15" s="4"/>
      <c r="JBN15" s="4"/>
      <c r="JBO15" s="4"/>
      <c r="JBP15" s="4"/>
      <c r="JBQ15" s="4"/>
      <c r="JBR15" s="4"/>
      <c r="JBS15" s="4"/>
      <c r="JBT15" s="4"/>
      <c r="JBU15" s="4"/>
      <c r="JBV15" s="4"/>
      <c r="JBW15" s="4"/>
      <c r="JBX15" s="4"/>
      <c r="JBY15" s="4"/>
      <c r="JBZ15" s="4"/>
      <c r="JCA15" s="4"/>
      <c r="JCB15" s="4"/>
      <c r="JCC15" s="4"/>
      <c r="JCD15" s="4"/>
      <c r="JCE15" s="4"/>
      <c r="JCF15" s="4"/>
      <c r="JCG15" s="4"/>
      <c r="JCH15" s="4"/>
      <c r="JCI15" s="4"/>
      <c r="JCJ15" s="4"/>
      <c r="JCK15" s="4"/>
      <c r="JCL15" s="4"/>
      <c r="JCM15" s="4"/>
      <c r="JCN15" s="4"/>
      <c r="JCO15" s="4"/>
      <c r="JCP15" s="4"/>
      <c r="JCQ15" s="4"/>
      <c r="JCR15" s="4"/>
      <c r="JCS15" s="4"/>
      <c r="JCT15" s="4"/>
      <c r="JCU15" s="4"/>
      <c r="JCV15" s="4"/>
      <c r="JCW15" s="4"/>
      <c r="JCX15" s="4"/>
      <c r="JCY15" s="4"/>
      <c r="JCZ15" s="4"/>
      <c r="JDA15" s="4"/>
      <c r="JDB15" s="4"/>
      <c r="JDC15" s="4"/>
      <c r="JDD15" s="4"/>
      <c r="JDE15" s="4"/>
      <c r="JDF15" s="4"/>
      <c r="JDG15" s="4"/>
      <c r="JDH15" s="4"/>
      <c r="JDI15" s="4"/>
      <c r="JDJ15" s="4"/>
      <c r="JDK15" s="4"/>
      <c r="JDL15" s="4"/>
      <c r="JDM15" s="4"/>
      <c r="JDN15" s="4"/>
      <c r="JDO15" s="4"/>
      <c r="JDP15" s="4"/>
      <c r="JDQ15" s="4"/>
      <c r="JDR15" s="4"/>
      <c r="JDS15" s="4"/>
      <c r="JDT15" s="4"/>
      <c r="JDU15" s="4"/>
      <c r="JDV15" s="4"/>
      <c r="JDW15" s="4"/>
      <c r="JDX15" s="4"/>
      <c r="JDY15" s="4"/>
      <c r="JDZ15" s="4"/>
      <c r="JEA15" s="4"/>
      <c r="JEB15" s="4"/>
      <c r="JEC15" s="4"/>
      <c r="JED15" s="4"/>
      <c r="JEE15" s="4"/>
      <c r="JEF15" s="4"/>
      <c r="JEG15" s="4"/>
      <c r="JEH15" s="4"/>
      <c r="JEI15" s="4"/>
      <c r="JEJ15" s="4"/>
      <c r="JEK15" s="4"/>
      <c r="JEL15" s="4"/>
      <c r="JEM15" s="4"/>
      <c r="JEN15" s="4"/>
      <c r="JEO15" s="4"/>
      <c r="JEP15" s="4"/>
      <c r="JEQ15" s="4"/>
      <c r="JER15" s="4"/>
      <c r="JES15" s="4"/>
      <c r="JET15" s="4"/>
      <c r="JEU15" s="4"/>
      <c r="JEV15" s="4"/>
      <c r="JEW15" s="4"/>
      <c r="JEX15" s="4"/>
      <c r="JEY15" s="4"/>
      <c r="JEZ15" s="4"/>
      <c r="JFA15" s="4"/>
      <c r="JFB15" s="4"/>
      <c r="JFC15" s="4"/>
      <c r="JFD15" s="4"/>
      <c r="JFE15" s="4"/>
      <c r="JFF15" s="4"/>
      <c r="JFG15" s="4"/>
      <c r="JFH15" s="4"/>
      <c r="JFI15" s="4"/>
      <c r="JFJ15" s="4"/>
      <c r="JFK15" s="4"/>
      <c r="JFL15" s="4"/>
      <c r="JFM15" s="4"/>
      <c r="JFN15" s="4"/>
      <c r="JFO15" s="4"/>
      <c r="JFP15" s="4"/>
      <c r="JFQ15" s="4"/>
      <c r="JFR15" s="4"/>
      <c r="JFS15" s="4"/>
      <c r="JFT15" s="4"/>
      <c r="JFU15" s="4"/>
      <c r="JFV15" s="4"/>
      <c r="JFW15" s="4"/>
      <c r="JFX15" s="4"/>
      <c r="JFY15" s="4"/>
      <c r="JFZ15" s="4"/>
      <c r="JGA15" s="4"/>
      <c r="JGB15" s="4"/>
      <c r="JGC15" s="4"/>
      <c r="JGD15" s="4"/>
      <c r="JGE15" s="4"/>
      <c r="JGF15" s="4"/>
      <c r="JGG15" s="4"/>
      <c r="JGH15" s="4"/>
      <c r="JGI15" s="4"/>
      <c r="JGJ15" s="4"/>
      <c r="JGK15" s="4"/>
      <c r="JGL15" s="4"/>
      <c r="JGM15" s="4"/>
      <c r="JGN15" s="4"/>
      <c r="JGO15" s="4"/>
      <c r="JGP15" s="4"/>
      <c r="JGQ15" s="4"/>
      <c r="JGR15" s="4"/>
      <c r="JGS15" s="4"/>
      <c r="JGT15" s="4"/>
      <c r="JGU15" s="4"/>
      <c r="JGV15" s="4"/>
      <c r="JGW15" s="4"/>
      <c r="JGX15" s="4"/>
      <c r="JGY15" s="4"/>
      <c r="JGZ15" s="4"/>
      <c r="JHA15" s="4"/>
      <c r="JHB15" s="4"/>
      <c r="JHC15" s="4"/>
      <c r="JHD15" s="4"/>
      <c r="JHE15" s="4"/>
      <c r="JHF15" s="4"/>
      <c r="JHG15" s="4"/>
      <c r="JHH15" s="4"/>
      <c r="JHI15" s="4"/>
      <c r="JHJ15" s="4"/>
      <c r="JHK15" s="4"/>
      <c r="JHL15" s="4"/>
      <c r="JHM15" s="4"/>
      <c r="JHN15" s="4"/>
      <c r="JHO15" s="4"/>
      <c r="JHP15" s="4"/>
      <c r="JHQ15" s="4"/>
      <c r="JHR15" s="4"/>
      <c r="JHS15" s="4"/>
      <c r="JHT15" s="4"/>
      <c r="JHU15" s="4"/>
      <c r="JHV15" s="4"/>
      <c r="JHW15" s="4"/>
      <c r="JHX15" s="4"/>
      <c r="JHY15" s="4"/>
      <c r="JHZ15" s="4"/>
      <c r="JIA15" s="4"/>
      <c r="JIB15" s="4"/>
      <c r="JIC15" s="4"/>
      <c r="JID15" s="4"/>
      <c r="JIE15" s="4"/>
      <c r="JIF15" s="4"/>
      <c r="JIG15" s="4"/>
      <c r="JIH15" s="4"/>
      <c r="JII15" s="4"/>
      <c r="JIJ15" s="4"/>
      <c r="JIK15" s="4"/>
      <c r="JIL15" s="4"/>
      <c r="JIM15" s="4"/>
      <c r="JIN15" s="4"/>
      <c r="JIO15" s="4"/>
      <c r="JIP15" s="4"/>
      <c r="JIQ15" s="4"/>
      <c r="JIR15" s="4"/>
      <c r="JIS15" s="4"/>
      <c r="JIT15" s="4"/>
      <c r="JIU15" s="4"/>
      <c r="JIV15" s="4"/>
      <c r="JIW15" s="4"/>
      <c r="JIX15" s="4"/>
      <c r="JIY15" s="4"/>
      <c r="JIZ15" s="4"/>
      <c r="JJA15" s="4"/>
      <c r="JJB15" s="4"/>
      <c r="JJC15" s="4"/>
      <c r="JJD15" s="4"/>
      <c r="JJE15" s="4"/>
      <c r="JJF15" s="4"/>
      <c r="JJG15" s="4"/>
      <c r="JJH15" s="4"/>
      <c r="JJI15" s="4"/>
      <c r="JJJ15" s="4"/>
      <c r="JJK15" s="4"/>
      <c r="JJL15" s="4"/>
      <c r="JJM15" s="4"/>
      <c r="JJN15" s="4"/>
      <c r="JJO15" s="4"/>
      <c r="JJP15" s="4"/>
      <c r="JJQ15" s="4"/>
      <c r="JJR15" s="4"/>
      <c r="JJS15" s="4"/>
      <c r="JJT15" s="4"/>
      <c r="JJU15" s="4"/>
      <c r="JJV15" s="4"/>
      <c r="JJW15" s="4"/>
      <c r="JJX15" s="4"/>
      <c r="JJY15" s="4"/>
      <c r="JJZ15" s="4"/>
      <c r="JKA15" s="4"/>
      <c r="JKB15" s="4"/>
      <c r="JKC15" s="4"/>
      <c r="JKD15" s="4"/>
      <c r="JKE15" s="4"/>
      <c r="JKF15" s="4"/>
      <c r="JKG15" s="4"/>
      <c r="JKH15" s="4"/>
      <c r="JKI15" s="4"/>
      <c r="JKJ15" s="4"/>
      <c r="JKK15" s="4"/>
      <c r="JKL15" s="4"/>
      <c r="JKM15" s="4"/>
      <c r="JKN15" s="4"/>
      <c r="JKO15" s="4"/>
      <c r="JKP15" s="4"/>
      <c r="JKQ15" s="4"/>
      <c r="JKR15" s="4"/>
      <c r="JKS15" s="4"/>
      <c r="JKT15" s="4"/>
      <c r="JKU15" s="4"/>
      <c r="JKV15" s="4"/>
      <c r="JKW15" s="4"/>
      <c r="JKX15" s="4"/>
      <c r="JKY15" s="4"/>
      <c r="JKZ15" s="4"/>
      <c r="JLA15" s="4"/>
      <c r="JLB15" s="4"/>
      <c r="JLC15" s="4"/>
      <c r="JLD15" s="4"/>
      <c r="JLE15" s="4"/>
      <c r="JLF15" s="4"/>
      <c r="JLG15" s="4"/>
      <c r="JLH15" s="4"/>
      <c r="JLI15" s="4"/>
      <c r="JLJ15" s="4"/>
      <c r="JLK15" s="4"/>
      <c r="JLL15" s="4"/>
      <c r="JLM15" s="4"/>
      <c r="JLN15" s="4"/>
      <c r="JLO15" s="4"/>
      <c r="JLP15" s="4"/>
      <c r="JLQ15" s="4"/>
      <c r="JLR15" s="4"/>
      <c r="JLS15" s="4"/>
      <c r="JLT15" s="4"/>
      <c r="JLU15" s="4"/>
      <c r="JLV15" s="4"/>
      <c r="JLW15" s="4"/>
      <c r="JLX15" s="4"/>
      <c r="JLY15" s="4"/>
      <c r="JLZ15" s="4"/>
      <c r="JMA15" s="4"/>
      <c r="JMB15" s="4"/>
      <c r="JMC15" s="4"/>
      <c r="JMD15" s="4"/>
      <c r="JME15" s="4"/>
      <c r="JMF15" s="4"/>
      <c r="JMG15" s="4"/>
      <c r="JMH15" s="4"/>
      <c r="JMI15" s="4"/>
      <c r="JMJ15" s="4"/>
      <c r="JMK15" s="4"/>
      <c r="JML15" s="4"/>
      <c r="JMM15" s="4"/>
      <c r="JMN15" s="4"/>
      <c r="JMO15" s="4"/>
      <c r="JMP15" s="4"/>
      <c r="JMQ15" s="4"/>
      <c r="JMR15" s="4"/>
      <c r="JMS15" s="4"/>
      <c r="JMT15" s="4"/>
      <c r="JMU15" s="4"/>
      <c r="JMV15" s="4"/>
      <c r="JMW15" s="4"/>
      <c r="JMX15" s="4"/>
      <c r="JMY15" s="4"/>
      <c r="JMZ15" s="4"/>
      <c r="JNA15" s="4"/>
      <c r="JNB15" s="4"/>
      <c r="JNC15" s="4"/>
      <c r="JND15" s="4"/>
      <c r="JNE15" s="4"/>
      <c r="JNF15" s="4"/>
      <c r="JNG15" s="4"/>
      <c r="JNH15" s="4"/>
      <c r="JNI15" s="4"/>
      <c r="JNJ15" s="4"/>
      <c r="JNK15" s="4"/>
      <c r="JNL15" s="4"/>
      <c r="JNM15" s="4"/>
      <c r="JNN15" s="4"/>
      <c r="JNO15" s="4"/>
      <c r="JNP15" s="4"/>
      <c r="JNQ15" s="4"/>
      <c r="JNR15" s="4"/>
      <c r="JNS15" s="4"/>
      <c r="JNT15" s="4"/>
      <c r="JNU15" s="4"/>
      <c r="JNV15" s="4"/>
      <c r="JNW15" s="4"/>
      <c r="JNX15" s="4"/>
      <c r="JNY15" s="4"/>
      <c r="JNZ15" s="4"/>
      <c r="JOA15" s="4"/>
      <c r="JOB15" s="4"/>
      <c r="JOC15" s="4"/>
      <c r="JOD15" s="4"/>
      <c r="JOE15" s="4"/>
      <c r="JOF15" s="4"/>
      <c r="JOG15" s="4"/>
      <c r="JOH15" s="4"/>
      <c r="JOI15" s="4"/>
      <c r="JOJ15" s="4"/>
      <c r="JOK15" s="4"/>
      <c r="JOL15" s="4"/>
      <c r="JOM15" s="4"/>
      <c r="JON15" s="4"/>
      <c r="JOO15" s="4"/>
      <c r="JOP15" s="4"/>
      <c r="JOQ15" s="4"/>
      <c r="JOR15" s="4"/>
      <c r="JOS15" s="4"/>
      <c r="JOT15" s="4"/>
      <c r="JOU15" s="4"/>
      <c r="JOV15" s="4"/>
      <c r="JOW15" s="4"/>
      <c r="JOX15" s="4"/>
      <c r="JOY15" s="4"/>
      <c r="JOZ15" s="4"/>
      <c r="JPA15" s="4"/>
      <c r="JPB15" s="4"/>
      <c r="JPC15" s="4"/>
      <c r="JPD15" s="4"/>
      <c r="JPE15" s="4"/>
      <c r="JPF15" s="4"/>
      <c r="JPG15" s="4"/>
      <c r="JPH15" s="4"/>
      <c r="JPI15" s="4"/>
      <c r="JPJ15" s="4"/>
      <c r="JPK15" s="4"/>
      <c r="JPL15" s="4"/>
      <c r="JPM15" s="4"/>
      <c r="JPN15" s="4"/>
      <c r="JPO15" s="4"/>
      <c r="JPP15" s="4"/>
      <c r="JPQ15" s="4"/>
      <c r="JPR15" s="4"/>
      <c r="JPS15" s="4"/>
      <c r="JPT15" s="4"/>
      <c r="JPU15" s="4"/>
      <c r="JPV15" s="4"/>
      <c r="JPW15" s="4"/>
      <c r="JPX15" s="4"/>
      <c r="JPY15" s="4"/>
      <c r="JPZ15" s="4"/>
      <c r="JQA15" s="4"/>
      <c r="JQB15" s="4"/>
      <c r="JQC15" s="4"/>
      <c r="JQD15" s="4"/>
      <c r="JQE15" s="4"/>
      <c r="JQF15" s="4"/>
      <c r="JQG15" s="4"/>
      <c r="JQH15" s="4"/>
      <c r="JQI15" s="4"/>
      <c r="JQJ15" s="4"/>
      <c r="JQK15" s="4"/>
      <c r="JQL15" s="4"/>
      <c r="JQM15" s="4"/>
      <c r="JQN15" s="4"/>
      <c r="JQO15" s="4"/>
      <c r="JQP15" s="4"/>
      <c r="JQQ15" s="4"/>
      <c r="JQR15" s="4"/>
      <c r="JQS15" s="4"/>
      <c r="JQT15" s="4"/>
      <c r="JQU15" s="4"/>
      <c r="JQV15" s="4"/>
      <c r="JQW15" s="4"/>
      <c r="JQX15" s="4"/>
      <c r="JQY15" s="4"/>
      <c r="JQZ15" s="4"/>
      <c r="JRA15" s="4"/>
      <c r="JRB15" s="4"/>
      <c r="JRC15" s="4"/>
      <c r="JRD15" s="4"/>
      <c r="JRE15" s="4"/>
      <c r="JRF15" s="4"/>
      <c r="JRG15" s="4"/>
      <c r="JRH15" s="4"/>
      <c r="JRI15" s="4"/>
      <c r="JRJ15" s="4"/>
      <c r="JRK15" s="4"/>
      <c r="JRL15" s="4"/>
      <c r="JRM15" s="4"/>
      <c r="JRN15" s="4"/>
      <c r="JRO15" s="4"/>
      <c r="JRP15" s="4"/>
      <c r="JRQ15" s="4"/>
      <c r="JRR15" s="4"/>
      <c r="JRS15" s="4"/>
      <c r="JRT15" s="4"/>
      <c r="JRU15" s="4"/>
      <c r="JRV15" s="4"/>
      <c r="JRW15" s="4"/>
      <c r="JRX15" s="4"/>
      <c r="JRY15" s="4"/>
      <c r="JRZ15" s="4"/>
      <c r="JSA15" s="4"/>
      <c r="JSB15" s="4"/>
      <c r="JSC15" s="4"/>
      <c r="JSD15" s="4"/>
      <c r="JSE15" s="4"/>
      <c r="JSF15" s="4"/>
      <c r="JSG15" s="4"/>
      <c r="JSH15" s="4"/>
      <c r="JSI15" s="4"/>
      <c r="JSJ15" s="4"/>
      <c r="JSK15" s="4"/>
      <c r="JSL15" s="4"/>
      <c r="JSM15" s="4"/>
      <c r="JSN15" s="4"/>
      <c r="JSO15" s="4"/>
      <c r="JSP15" s="4"/>
      <c r="JSQ15" s="4"/>
      <c r="JSR15" s="4"/>
      <c r="JSS15" s="4"/>
      <c r="JST15" s="4"/>
      <c r="JSU15" s="4"/>
      <c r="JSV15" s="4"/>
      <c r="JSW15" s="4"/>
      <c r="JSX15" s="4"/>
      <c r="JSY15" s="4"/>
      <c r="JSZ15" s="4"/>
      <c r="JTA15" s="4"/>
      <c r="JTB15" s="4"/>
      <c r="JTC15" s="4"/>
      <c r="JTD15" s="4"/>
      <c r="JTE15" s="4"/>
      <c r="JTF15" s="4"/>
      <c r="JTG15" s="4"/>
      <c r="JTH15" s="4"/>
      <c r="JTI15" s="4"/>
      <c r="JTJ15" s="4"/>
      <c r="JTK15" s="4"/>
      <c r="JTL15" s="4"/>
      <c r="JTM15" s="4"/>
      <c r="JTN15" s="4"/>
      <c r="JTO15" s="4"/>
      <c r="JTP15" s="4"/>
      <c r="JTQ15" s="4"/>
      <c r="JTR15" s="4"/>
      <c r="JTS15" s="4"/>
      <c r="JTT15" s="4"/>
      <c r="JTU15" s="4"/>
      <c r="JTV15" s="4"/>
      <c r="JTW15" s="4"/>
      <c r="JTX15" s="4"/>
      <c r="JTY15" s="4"/>
      <c r="JTZ15" s="4"/>
      <c r="JUA15" s="4"/>
      <c r="JUB15" s="4"/>
      <c r="JUC15" s="4"/>
      <c r="JUD15" s="4"/>
      <c r="JUE15" s="4"/>
      <c r="JUF15" s="4"/>
      <c r="JUG15" s="4"/>
      <c r="JUH15" s="4"/>
      <c r="JUI15" s="4"/>
      <c r="JUJ15" s="4"/>
      <c r="JUK15" s="4"/>
      <c r="JUL15" s="4"/>
      <c r="JUM15" s="4"/>
      <c r="JUN15" s="4"/>
      <c r="JUO15" s="4"/>
      <c r="JUP15" s="4"/>
      <c r="JUQ15" s="4"/>
      <c r="JUR15" s="4"/>
      <c r="JUS15" s="4"/>
      <c r="JUT15" s="4"/>
      <c r="JUU15" s="4"/>
      <c r="JUV15" s="4"/>
      <c r="JUW15" s="4"/>
      <c r="JUX15" s="4"/>
      <c r="JUY15" s="4"/>
      <c r="JUZ15" s="4"/>
      <c r="JVA15" s="4"/>
      <c r="JVB15" s="4"/>
      <c r="JVC15" s="4"/>
      <c r="JVD15" s="4"/>
      <c r="JVE15" s="4"/>
      <c r="JVF15" s="4"/>
      <c r="JVG15" s="4"/>
      <c r="JVH15" s="4"/>
      <c r="JVI15" s="4"/>
      <c r="JVJ15" s="4"/>
      <c r="JVK15" s="4"/>
      <c r="JVL15" s="4"/>
      <c r="JVM15" s="4"/>
      <c r="JVN15" s="4"/>
      <c r="JVO15" s="4"/>
      <c r="JVP15" s="4"/>
      <c r="JVQ15" s="4"/>
      <c r="JVR15" s="4"/>
      <c r="JVS15" s="4"/>
      <c r="JVT15" s="4"/>
      <c r="JVU15" s="4"/>
      <c r="JVV15" s="4"/>
      <c r="JVW15" s="4"/>
      <c r="JVX15" s="4"/>
      <c r="JVY15" s="4"/>
      <c r="JVZ15" s="4"/>
      <c r="JWA15" s="4"/>
      <c r="JWB15" s="4"/>
      <c r="JWC15" s="4"/>
      <c r="JWD15" s="4"/>
      <c r="JWE15" s="4"/>
      <c r="JWF15" s="4"/>
      <c r="JWG15" s="4"/>
      <c r="JWH15" s="4"/>
      <c r="JWI15" s="4"/>
      <c r="JWJ15" s="4"/>
      <c r="JWK15" s="4"/>
      <c r="JWL15" s="4"/>
      <c r="JWM15" s="4"/>
      <c r="JWN15" s="4"/>
      <c r="JWO15" s="4"/>
      <c r="JWP15" s="4"/>
      <c r="JWQ15" s="4"/>
      <c r="JWR15" s="4"/>
      <c r="JWS15" s="4"/>
      <c r="JWT15" s="4"/>
      <c r="JWU15" s="4"/>
      <c r="JWV15" s="4"/>
      <c r="JWW15" s="4"/>
      <c r="JWX15" s="4"/>
      <c r="JWY15" s="4"/>
      <c r="JWZ15" s="4"/>
      <c r="JXA15" s="4"/>
      <c r="JXB15" s="4"/>
      <c r="JXC15" s="4"/>
      <c r="JXD15" s="4"/>
      <c r="JXE15" s="4"/>
      <c r="JXF15" s="4"/>
      <c r="JXG15" s="4"/>
      <c r="JXH15" s="4"/>
      <c r="JXI15" s="4"/>
      <c r="JXJ15" s="4"/>
      <c r="JXK15" s="4"/>
      <c r="JXL15" s="4"/>
      <c r="JXM15" s="4"/>
      <c r="JXN15" s="4"/>
      <c r="JXO15" s="4"/>
      <c r="JXP15" s="4"/>
      <c r="JXQ15" s="4"/>
      <c r="JXR15" s="4"/>
      <c r="JXS15" s="4"/>
      <c r="JXT15" s="4"/>
      <c r="JXU15" s="4"/>
      <c r="JXV15" s="4"/>
      <c r="JXW15" s="4"/>
      <c r="JXX15" s="4"/>
      <c r="JXY15" s="4"/>
      <c r="JXZ15" s="4"/>
      <c r="JYA15" s="4"/>
      <c r="JYB15" s="4"/>
      <c r="JYC15" s="4"/>
      <c r="JYD15" s="4"/>
      <c r="JYE15" s="4"/>
      <c r="JYF15" s="4"/>
      <c r="JYG15" s="4"/>
      <c r="JYH15" s="4"/>
      <c r="JYI15" s="4"/>
      <c r="JYJ15" s="4"/>
      <c r="JYK15" s="4"/>
      <c r="JYL15" s="4"/>
      <c r="JYM15" s="4"/>
      <c r="JYN15" s="4"/>
      <c r="JYO15" s="4"/>
      <c r="JYP15" s="4"/>
      <c r="JYQ15" s="4"/>
      <c r="JYR15" s="4"/>
      <c r="JYS15" s="4"/>
      <c r="JYT15" s="4"/>
      <c r="JYU15" s="4"/>
      <c r="JYV15" s="4"/>
      <c r="JYW15" s="4"/>
      <c r="JYX15" s="4"/>
      <c r="JYY15" s="4"/>
      <c r="JYZ15" s="4"/>
      <c r="JZA15" s="4"/>
      <c r="JZB15" s="4"/>
      <c r="JZC15" s="4"/>
      <c r="JZD15" s="4"/>
      <c r="JZE15" s="4"/>
      <c r="JZF15" s="4"/>
      <c r="JZG15" s="4"/>
      <c r="JZH15" s="4"/>
      <c r="JZI15" s="4"/>
      <c r="JZJ15" s="4"/>
      <c r="JZK15" s="4"/>
      <c r="JZL15" s="4"/>
      <c r="JZM15" s="4"/>
      <c r="JZN15" s="4"/>
      <c r="JZO15" s="4"/>
      <c r="JZP15" s="4"/>
      <c r="JZQ15" s="4"/>
      <c r="JZR15" s="4"/>
      <c r="JZS15" s="4"/>
      <c r="JZT15" s="4"/>
      <c r="JZU15" s="4"/>
      <c r="JZV15" s="4"/>
      <c r="JZW15" s="4"/>
      <c r="JZX15" s="4"/>
      <c r="JZY15" s="4"/>
      <c r="JZZ15" s="4"/>
      <c r="KAA15" s="4"/>
      <c r="KAB15" s="4"/>
      <c r="KAC15" s="4"/>
      <c r="KAD15" s="4"/>
      <c r="KAE15" s="4"/>
      <c r="KAF15" s="4"/>
      <c r="KAG15" s="4"/>
      <c r="KAH15" s="4"/>
      <c r="KAI15" s="4"/>
      <c r="KAJ15" s="4"/>
      <c r="KAK15" s="4"/>
      <c r="KAL15" s="4"/>
      <c r="KAM15" s="4"/>
      <c r="KAN15" s="4"/>
      <c r="KAO15" s="4"/>
      <c r="KAP15" s="4"/>
      <c r="KAQ15" s="4"/>
      <c r="KAR15" s="4"/>
      <c r="KAS15" s="4"/>
      <c r="KAT15" s="4"/>
      <c r="KAU15" s="4"/>
      <c r="KAV15" s="4"/>
      <c r="KAW15" s="4"/>
      <c r="KAX15" s="4"/>
      <c r="KAY15" s="4"/>
      <c r="KAZ15" s="4"/>
      <c r="KBA15" s="4"/>
      <c r="KBB15" s="4"/>
      <c r="KBC15" s="4"/>
      <c r="KBD15" s="4"/>
      <c r="KBE15" s="4"/>
      <c r="KBF15" s="4"/>
      <c r="KBG15" s="4"/>
      <c r="KBH15" s="4"/>
      <c r="KBI15" s="4"/>
      <c r="KBJ15" s="4"/>
      <c r="KBK15" s="4"/>
      <c r="KBL15" s="4"/>
      <c r="KBM15" s="4"/>
      <c r="KBN15" s="4"/>
      <c r="KBO15" s="4"/>
      <c r="KBP15" s="4"/>
      <c r="KBQ15" s="4"/>
      <c r="KBR15" s="4"/>
      <c r="KBS15" s="4"/>
      <c r="KBT15" s="4"/>
      <c r="KBU15" s="4"/>
      <c r="KBV15" s="4"/>
      <c r="KBW15" s="4"/>
      <c r="KBX15" s="4"/>
      <c r="KBY15" s="4"/>
      <c r="KBZ15" s="4"/>
      <c r="KCA15" s="4"/>
      <c r="KCB15" s="4"/>
      <c r="KCC15" s="4"/>
      <c r="KCD15" s="4"/>
      <c r="KCE15" s="4"/>
      <c r="KCF15" s="4"/>
      <c r="KCG15" s="4"/>
      <c r="KCH15" s="4"/>
      <c r="KCI15" s="4"/>
      <c r="KCJ15" s="4"/>
      <c r="KCK15" s="4"/>
      <c r="KCL15" s="4"/>
      <c r="KCM15" s="4"/>
      <c r="KCN15" s="4"/>
      <c r="KCO15" s="4"/>
      <c r="KCP15" s="4"/>
      <c r="KCQ15" s="4"/>
      <c r="KCR15" s="4"/>
      <c r="KCS15" s="4"/>
      <c r="KCT15" s="4"/>
      <c r="KCU15" s="4"/>
      <c r="KCV15" s="4"/>
      <c r="KCW15" s="4"/>
      <c r="KCX15" s="4"/>
      <c r="KCY15" s="4"/>
      <c r="KCZ15" s="4"/>
      <c r="KDA15" s="4"/>
      <c r="KDB15" s="4"/>
      <c r="KDC15" s="4"/>
      <c r="KDD15" s="4"/>
      <c r="KDE15" s="4"/>
      <c r="KDF15" s="4"/>
      <c r="KDG15" s="4"/>
      <c r="KDH15" s="4"/>
      <c r="KDI15" s="4"/>
      <c r="KDJ15" s="4"/>
      <c r="KDK15" s="4"/>
      <c r="KDL15" s="4"/>
      <c r="KDM15" s="4"/>
      <c r="KDN15" s="4"/>
      <c r="KDO15" s="4"/>
      <c r="KDP15" s="4"/>
      <c r="KDQ15" s="4"/>
      <c r="KDR15" s="4"/>
      <c r="KDS15" s="4"/>
      <c r="KDT15" s="4"/>
      <c r="KDU15" s="4"/>
      <c r="KDV15" s="4"/>
      <c r="KDW15" s="4"/>
      <c r="KDX15" s="4"/>
      <c r="KDY15" s="4"/>
      <c r="KDZ15" s="4"/>
      <c r="KEA15" s="4"/>
      <c r="KEB15" s="4"/>
      <c r="KEC15" s="4"/>
      <c r="KED15" s="4"/>
      <c r="KEE15" s="4"/>
      <c r="KEF15" s="4"/>
      <c r="KEG15" s="4"/>
      <c r="KEH15" s="4"/>
      <c r="KEI15" s="4"/>
      <c r="KEJ15" s="4"/>
      <c r="KEK15" s="4"/>
      <c r="KEL15" s="4"/>
      <c r="KEM15" s="4"/>
      <c r="KEN15" s="4"/>
      <c r="KEO15" s="4"/>
      <c r="KEP15" s="4"/>
      <c r="KEQ15" s="4"/>
      <c r="KER15" s="4"/>
      <c r="KES15" s="4"/>
      <c r="KET15" s="4"/>
      <c r="KEU15" s="4"/>
      <c r="KEV15" s="4"/>
      <c r="KEW15" s="4"/>
      <c r="KEX15" s="4"/>
      <c r="KEY15" s="4"/>
      <c r="KEZ15" s="4"/>
      <c r="KFA15" s="4"/>
      <c r="KFB15" s="4"/>
      <c r="KFC15" s="4"/>
      <c r="KFD15" s="4"/>
      <c r="KFE15" s="4"/>
      <c r="KFF15" s="4"/>
      <c r="KFG15" s="4"/>
      <c r="KFH15" s="4"/>
      <c r="KFI15" s="4"/>
      <c r="KFJ15" s="4"/>
      <c r="KFK15" s="4"/>
      <c r="KFL15" s="4"/>
      <c r="KFM15" s="4"/>
      <c r="KFN15" s="4"/>
      <c r="KFO15" s="4"/>
      <c r="KFP15" s="4"/>
      <c r="KFQ15" s="4"/>
      <c r="KFR15" s="4"/>
      <c r="KFS15" s="4"/>
      <c r="KFT15" s="4"/>
      <c r="KFU15" s="4"/>
      <c r="KFV15" s="4"/>
      <c r="KFW15" s="4"/>
      <c r="KFX15" s="4"/>
      <c r="KFY15" s="4"/>
      <c r="KFZ15" s="4"/>
      <c r="KGA15" s="4"/>
      <c r="KGB15" s="4"/>
      <c r="KGC15" s="4"/>
      <c r="KGD15" s="4"/>
      <c r="KGE15" s="4"/>
      <c r="KGF15" s="4"/>
      <c r="KGG15" s="4"/>
      <c r="KGH15" s="4"/>
      <c r="KGI15" s="4"/>
      <c r="KGJ15" s="4"/>
      <c r="KGK15" s="4"/>
      <c r="KGL15" s="4"/>
      <c r="KGM15" s="4"/>
      <c r="KGN15" s="4"/>
      <c r="KGO15" s="4"/>
      <c r="KGP15" s="4"/>
      <c r="KGQ15" s="4"/>
      <c r="KGR15" s="4"/>
      <c r="KGS15" s="4"/>
      <c r="KGT15" s="4"/>
      <c r="KGU15" s="4"/>
      <c r="KGV15" s="4"/>
      <c r="KGW15" s="4"/>
      <c r="KGX15" s="4"/>
      <c r="KGY15" s="4"/>
      <c r="KGZ15" s="4"/>
      <c r="KHA15" s="4"/>
      <c r="KHB15" s="4"/>
      <c r="KHC15" s="4"/>
      <c r="KHD15" s="4"/>
      <c r="KHE15" s="4"/>
      <c r="KHF15" s="4"/>
      <c r="KHG15" s="4"/>
      <c r="KHH15" s="4"/>
      <c r="KHI15" s="4"/>
      <c r="KHJ15" s="4"/>
      <c r="KHK15" s="4"/>
      <c r="KHL15" s="4"/>
      <c r="KHM15" s="4"/>
      <c r="KHN15" s="4"/>
      <c r="KHO15" s="4"/>
      <c r="KHP15" s="4"/>
      <c r="KHQ15" s="4"/>
      <c r="KHR15" s="4"/>
      <c r="KHS15" s="4"/>
      <c r="KHT15" s="4"/>
      <c r="KHU15" s="4"/>
      <c r="KHV15" s="4"/>
      <c r="KHW15" s="4"/>
      <c r="KHX15" s="4"/>
      <c r="KHY15" s="4"/>
      <c r="KHZ15" s="4"/>
      <c r="KIA15" s="4"/>
      <c r="KIB15" s="4"/>
      <c r="KIC15" s="4"/>
      <c r="KID15" s="4"/>
      <c r="KIE15" s="4"/>
      <c r="KIF15" s="4"/>
      <c r="KIG15" s="4"/>
      <c r="KIH15" s="4"/>
      <c r="KII15" s="4"/>
      <c r="KIJ15" s="4"/>
      <c r="KIK15" s="4"/>
      <c r="KIL15" s="4"/>
      <c r="KIM15" s="4"/>
      <c r="KIN15" s="4"/>
      <c r="KIO15" s="4"/>
      <c r="KIP15" s="4"/>
      <c r="KIQ15" s="4"/>
      <c r="KIR15" s="4"/>
      <c r="KIS15" s="4"/>
      <c r="KIT15" s="4"/>
      <c r="KIU15" s="4"/>
      <c r="KIV15" s="4"/>
      <c r="KIW15" s="4"/>
      <c r="KIX15" s="4"/>
      <c r="KIY15" s="4"/>
      <c r="KIZ15" s="4"/>
      <c r="KJA15" s="4"/>
      <c r="KJB15" s="4"/>
      <c r="KJC15" s="4"/>
      <c r="KJD15" s="4"/>
      <c r="KJE15" s="4"/>
      <c r="KJF15" s="4"/>
      <c r="KJG15" s="4"/>
      <c r="KJH15" s="4"/>
      <c r="KJI15" s="4"/>
      <c r="KJJ15" s="4"/>
      <c r="KJK15" s="4"/>
      <c r="KJL15" s="4"/>
      <c r="KJM15" s="4"/>
      <c r="KJN15" s="4"/>
      <c r="KJO15" s="4"/>
      <c r="KJP15" s="4"/>
      <c r="KJQ15" s="4"/>
      <c r="KJR15" s="4"/>
      <c r="KJS15" s="4"/>
      <c r="KJT15" s="4"/>
      <c r="KJU15" s="4"/>
      <c r="KJV15" s="4"/>
      <c r="KJW15" s="4"/>
      <c r="KJX15" s="4"/>
      <c r="KJY15" s="4"/>
      <c r="KJZ15" s="4"/>
      <c r="KKA15" s="4"/>
      <c r="KKB15" s="4"/>
      <c r="KKC15" s="4"/>
      <c r="KKD15" s="4"/>
      <c r="KKE15" s="4"/>
      <c r="KKF15" s="4"/>
      <c r="KKG15" s="4"/>
      <c r="KKH15" s="4"/>
      <c r="KKI15" s="4"/>
      <c r="KKJ15" s="4"/>
      <c r="KKK15" s="4"/>
      <c r="KKL15" s="4"/>
      <c r="KKM15" s="4"/>
      <c r="KKN15" s="4"/>
      <c r="KKO15" s="4"/>
      <c r="KKP15" s="4"/>
      <c r="KKQ15" s="4"/>
      <c r="KKR15" s="4"/>
      <c r="KKS15" s="4"/>
      <c r="KKT15" s="4"/>
      <c r="KKU15" s="4"/>
      <c r="KKV15" s="4"/>
      <c r="KKW15" s="4"/>
      <c r="KKX15" s="4"/>
      <c r="KKY15" s="4"/>
      <c r="KKZ15" s="4"/>
      <c r="KLA15" s="4"/>
      <c r="KLB15" s="4"/>
      <c r="KLC15" s="4"/>
      <c r="KLD15" s="4"/>
      <c r="KLE15" s="4"/>
      <c r="KLF15" s="4"/>
      <c r="KLG15" s="4"/>
      <c r="KLH15" s="4"/>
      <c r="KLI15" s="4"/>
      <c r="KLJ15" s="4"/>
      <c r="KLK15" s="4"/>
      <c r="KLL15" s="4"/>
      <c r="KLM15" s="4"/>
      <c r="KLN15" s="4"/>
      <c r="KLO15" s="4"/>
      <c r="KLP15" s="4"/>
      <c r="KLQ15" s="4"/>
      <c r="KLR15" s="4"/>
      <c r="KLS15" s="4"/>
      <c r="KLT15" s="4"/>
      <c r="KLU15" s="4"/>
      <c r="KLV15" s="4"/>
      <c r="KLW15" s="4"/>
      <c r="KLX15" s="4"/>
      <c r="KLY15" s="4"/>
      <c r="KLZ15" s="4"/>
      <c r="KMA15" s="4"/>
      <c r="KMB15" s="4"/>
      <c r="KMC15" s="4"/>
      <c r="KMD15" s="4"/>
      <c r="KME15" s="4"/>
      <c r="KMF15" s="4"/>
      <c r="KMG15" s="4"/>
      <c r="KMH15" s="4"/>
      <c r="KMI15" s="4"/>
      <c r="KMJ15" s="4"/>
      <c r="KMK15" s="4"/>
      <c r="KML15" s="4"/>
      <c r="KMM15" s="4"/>
      <c r="KMN15" s="4"/>
      <c r="KMO15" s="4"/>
      <c r="KMP15" s="4"/>
      <c r="KMQ15" s="4"/>
      <c r="KMR15" s="4"/>
      <c r="KMS15" s="4"/>
      <c r="KMT15" s="4"/>
      <c r="KMU15" s="4"/>
      <c r="KMV15" s="4"/>
      <c r="KMW15" s="4"/>
      <c r="KMX15" s="4"/>
      <c r="KMY15" s="4"/>
      <c r="KMZ15" s="4"/>
      <c r="KNA15" s="4"/>
      <c r="KNB15" s="4"/>
      <c r="KNC15" s="4"/>
      <c r="KND15" s="4"/>
      <c r="KNE15" s="4"/>
      <c r="KNF15" s="4"/>
      <c r="KNG15" s="4"/>
      <c r="KNH15" s="4"/>
      <c r="KNI15" s="4"/>
      <c r="KNJ15" s="4"/>
      <c r="KNK15" s="4"/>
      <c r="KNL15" s="4"/>
      <c r="KNM15" s="4"/>
      <c r="KNN15" s="4"/>
      <c r="KNO15" s="4"/>
      <c r="KNP15" s="4"/>
      <c r="KNQ15" s="4"/>
      <c r="KNR15" s="4"/>
      <c r="KNS15" s="4"/>
      <c r="KNT15" s="4"/>
      <c r="KNU15" s="4"/>
      <c r="KNV15" s="4"/>
      <c r="KNW15" s="4"/>
      <c r="KNX15" s="4"/>
      <c r="KNY15" s="4"/>
      <c r="KNZ15" s="4"/>
      <c r="KOA15" s="4"/>
      <c r="KOB15" s="4"/>
      <c r="KOC15" s="4"/>
      <c r="KOD15" s="4"/>
      <c r="KOE15" s="4"/>
      <c r="KOF15" s="4"/>
      <c r="KOG15" s="4"/>
      <c r="KOH15" s="4"/>
      <c r="KOI15" s="4"/>
      <c r="KOJ15" s="4"/>
      <c r="KOK15" s="4"/>
      <c r="KOL15" s="4"/>
      <c r="KOM15" s="4"/>
      <c r="KON15" s="4"/>
      <c r="KOO15" s="4"/>
      <c r="KOP15" s="4"/>
      <c r="KOQ15" s="4"/>
      <c r="KOR15" s="4"/>
      <c r="KOS15" s="4"/>
      <c r="KOT15" s="4"/>
      <c r="KOU15" s="4"/>
      <c r="KOV15" s="4"/>
      <c r="KOW15" s="4"/>
      <c r="KOX15" s="4"/>
      <c r="KOY15" s="4"/>
      <c r="KOZ15" s="4"/>
      <c r="KPA15" s="4"/>
      <c r="KPB15" s="4"/>
      <c r="KPC15" s="4"/>
      <c r="KPD15" s="4"/>
      <c r="KPE15" s="4"/>
      <c r="KPF15" s="4"/>
      <c r="KPG15" s="4"/>
      <c r="KPH15" s="4"/>
      <c r="KPI15" s="4"/>
      <c r="KPJ15" s="4"/>
      <c r="KPK15" s="4"/>
      <c r="KPL15" s="4"/>
      <c r="KPM15" s="4"/>
      <c r="KPN15" s="4"/>
      <c r="KPO15" s="4"/>
      <c r="KPP15" s="4"/>
      <c r="KPQ15" s="4"/>
      <c r="KPR15" s="4"/>
      <c r="KPS15" s="4"/>
      <c r="KPT15" s="4"/>
      <c r="KPU15" s="4"/>
      <c r="KPV15" s="4"/>
      <c r="KPW15" s="4"/>
      <c r="KPX15" s="4"/>
      <c r="KPY15" s="4"/>
      <c r="KPZ15" s="4"/>
      <c r="KQA15" s="4"/>
      <c r="KQB15" s="4"/>
      <c r="KQC15" s="4"/>
      <c r="KQD15" s="4"/>
      <c r="KQE15" s="4"/>
      <c r="KQF15" s="4"/>
      <c r="KQG15" s="4"/>
      <c r="KQH15" s="4"/>
      <c r="KQI15" s="4"/>
      <c r="KQJ15" s="4"/>
      <c r="KQK15" s="4"/>
      <c r="KQL15" s="4"/>
      <c r="KQM15" s="4"/>
      <c r="KQN15" s="4"/>
      <c r="KQO15" s="4"/>
      <c r="KQP15" s="4"/>
      <c r="KQQ15" s="4"/>
      <c r="KQR15" s="4"/>
      <c r="KQS15" s="4"/>
      <c r="KQT15" s="4"/>
      <c r="KQU15" s="4"/>
      <c r="KQV15" s="4"/>
      <c r="KQW15" s="4"/>
      <c r="KQX15" s="4"/>
      <c r="KQY15" s="4"/>
      <c r="KQZ15" s="4"/>
      <c r="KRA15" s="4"/>
      <c r="KRB15" s="4"/>
      <c r="KRC15" s="4"/>
      <c r="KRD15" s="4"/>
      <c r="KRE15" s="4"/>
      <c r="KRF15" s="4"/>
      <c r="KRG15" s="4"/>
      <c r="KRH15" s="4"/>
      <c r="KRI15" s="4"/>
      <c r="KRJ15" s="4"/>
      <c r="KRK15" s="4"/>
      <c r="KRL15" s="4"/>
      <c r="KRM15" s="4"/>
      <c r="KRN15" s="4"/>
      <c r="KRO15" s="4"/>
      <c r="KRP15" s="4"/>
      <c r="KRQ15" s="4"/>
      <c r="KRR15" s="4"/>
      <c r="KRS15" s="4"/>
      <c r="KRT15" s="4"/>
      <c r="KRU15" s="4"/>
      <c r="KRV15" s="4"/>
      <c r="KRW15" s="4"/>
      <c r="KRX15" s="4"/>
      <c r="KRY15" s="4"/>
      <c r="KRZ15" s="4"/>
      <c r="KSA15" s="4"/>
      <c r="KSB15" s="4"/>
      <c r="KSC15" s="4"/>
      <c r="KSD15" s="4"/>
      <c r="KSE15" s="4"/>
      <c r="KSF15" s="4"/>
      <c r="KSG15" s="4"/>
      <c r="KSH15" s="4"/>
      <c r="KSI15" s="4"/>
      <c r="KSJ15" s="4"/>
      <c r="KSK15" s="4"/>
      <c r="KSL15" s="4"/>
      <c r="KSM15" s="4"/>
      <c r="KSN15" s="4"/>
      <c r="KSO15" s="4"/>
      <c r="KSP15" s="4"/>
      <c r="KSQ15" s="4"/>
      <c r="KSR15" s="4"/>
      <c r="KSS15" s="4"/>
      <c r="KST15" s="4"/>
      <c r="KSU15" s="4"/>
      <c r="KSV15" s="4"/>
      <c r="KSW15" s="4"/>
      <c r="KSX15" s="4"/>
      <c r="KSY15" s="4"/>
      <c r="KSZ15" s="4"/>
      <c r="KTA15" s="4"/>
      <c r="KTB15" s="4"/>
      <c r="KTC15" s="4"/>
      <c r="KTD15" s="4"/>
      <c r="KTE15" s="4"/>
      <c r="KTF15" s="4"/>
      <c r="KTG15" s="4"/>
      <c r="KTH15" s="4"/>
      <c r="KTI15" s="4"/>
      <c r="KTJ15" s="4"/>
      <c r="KTK15" s="4"/>
      <c r="KTL15" s="4"/>
      <c r="KTM15" s="4"/>
      <c r="KTN15" s="4"/>
      <c r="KTO15" s="4"/>
      <c r="KTP15" s="4"/>
      <c r="KTQ15" s="4"/>
      <c r="KTR15" s="4"/>
      <c r="KTS15" s="4"/>
      <c r="KTT15" s="4"/>
      <c r="KTU15" s="4"/>
      <c r="KTV15" s="4"/>
      <c r="KTW15" s="4"/>
      <c r="KTX15" s="4"/>
      <c r="KTY15" s="4"/>
      <c r="KTZ15" s="4"/>
      <c r="KUA15" s="4"/>
      <c r="KUB15" s="4"/>
      <c r="KUC15" s="4"/>
      <c r="KUD15" s="4"/>
      <c r="KUE15" s="4"/>
      <c r="KUF15" s="4"/>
      <c r="KUG15" s="4"/>
      <c r="KUH15" s="4"/>
      <c r="KUI15" s="4"/>
      <c r="KUJ15" s="4"/>
      <c r="KUK15" s="4"/>
      <c r="KUL15" s="4"/>
      <c r="KUM15" s="4"/>
      <c r="KUN15" s="4"/>
      <c r="KUO15" s="4"/>
      <c r="KUP15" s="4"/>
      <c r="KUQ15" s="4"/>
      <c r="KUR15" s="4"/>
      <c r="KUS15" s="4"/>
      <c r="KUT15" s="4"/>
      <c r="KUU15" s="4"/>
      <c r="KUV15" s="4"/>
      <c r="KUW15" s="4"/>
      <c r="KUX15" s="4"/>
      <c r="KUY15" s="4"/>
      <c r="KUZ15" s="4"/>
      <c r="KVA15" s="4"/>
      <c r="KVB15" s="4"/>
      <c r="KVC15" s="4"/>
      <c r="KVD15" s="4"/>
      <c r="KVE15" s="4"/>
      <c r="KVF15" s="4"/>
      <c r="KVG15" s="4"/>
      <c r="KVH15" s="4"/>
      <c r="KVI15" s="4"/>
      <c r="KVJ15" s="4"/>
      <c r="KVK15" s="4"/>
      <c r="KVL15" s="4"/>
      <c r="KVM15" s="4"/>
      <c r="KVN15" s="4"/>
      <c r="KVO15" s="4"/>
      <c r="KVP15" s="4"/>
      <c r="KVQ15" s="4"/>
      <c r="KVR15" s="4"/>
      <c r="KVS15" s="4"/>
      <c r="KVT15" s="4"/>
      <c r="KVU15" s="4"/>
      <c r="KVV15" s="4"/>
      <c r="KVW15" s="4"/>
      <c r="KVX15" s="4"/>
      <c r="KVY15" s="4"/>
      <c r="KVZ15" s="4"/>
      <c r="KWA15" s="4"/>
      <c r="KWB15" s="4"/>
      <c r="KWC15" s="4"/>
      <c r="KWD15" s="4"/>
      <c r="KWE15" s="4"/>
      <c r="KWF15" s="4"/>
      <c r="KWG15" s="4"/>
      <c r="KWH15" s="4"/>
      <c r="KWI15" s="4"/>
      <c r="KWJ15" s="4"/>
      <c r="KWK15" s="4"/>
      <c r="KWL15" s="4"/>
      <c r="KWM15" s="4"/>
      <c r="KWN15" s="4"/>
      <c r="KWO15" s="4"/>
      <c r="KWP15" s="4"/>
      <c r="KWQ15" s="4"/>
      <c r="KWR15" s="4"/>
      <c r="KWS15" s="4"/>
      <c r="KWT15" s="4"/>
      <c r="KWU15" s="4"/>
      <c r="KWV15" s="4"/>
      <c r="KWW15" s="4"/>
      <c r="KWX15" s="4"/>
      <c r="KWY15" s="4"/>
      <c r="KWZ15" s="4"/>
      <c r="KXA15" s="4"/>
      <c r="KXB15" s="4"/>
      <c r="KXC15" s="4"/>
      <c r="KXD15" s="4"/>
      <c r="KXE15" s="4"/>
      <c r="KXF15" s="4"/>
      <c r="KXG15" s="4"/>
      <c r="KXH15" s="4"/>
      <c r="KXI15" s="4"/>
      <c r="KXJ15" s="4"/>
      <c r="KXK15" s="4"/>
      <c r="KXL15" s="4"/>
      <c r="KXM15" s="4"/>
      <c r="KXN15" s="4"/>
      <c r="KXO15" s="4"/>
      <c r="KXP15" s="4"/>
      <c r="KXQ15" s="4"/>
      <c r="KXR15" s="4"/>
      <c r="KXS15" s="4"/>
      <c r="KXT15" s="4"/>
      <c r="KXU15" s="4"/>
      <c r="KXV15" s="4"/>
      <c r="KXW15" s="4"/>
      <c r="KXX15" s="4"/>
      <c r="KXY15" s="4"/>
      <c r="KXZ15" s="4"/>
      <c r="KYA15" s="4"/>
      <c r="KYB15" s="4"/>
      <c r="KYC15" s="4"/>
      <c r="KYD15" s="4"/>
      <c r="KYE15" s="4"/>
      <c r="KYF15" s="4"/>
      <c r="KYG15" s="4"/>
      <c r="KYH15" s="4"/>
      <c r="KYI15" s="4"/>
      <c r="KYJ15" s="4"/>
      <c r="KYK15" s="4"/>
      <c r="KYL15" s="4"/>
      <c r="KYM15" s="4"/>
      <c r="KYN15" s="4"/>
      <c r="KYO15" s="4"/>
      <c r="KYP15" s="4"/>
      <c r="KYQ15" s="4"/>
      <c r="KYR15" s="4"/>
      <c r="KYS15" s="4"/>
      <c r="KYT15" s="4"/>
      <c r="KYU15" s="4"/>
      <c r="KYV15" s="4"/>
      <c r="KYW15" s="4"/>
      <c r="KYX15" s="4"/>
      <c r="KYY15" s="4"/>
      <c r="KYZ15" s="4"/>
      <c r="KZA15" s="4"/>
      <c r="KZB15" s="4"/>
      <c r="KZC15" s="4"/>
      <c r="KZD15" s="4"/>
      <c r="KZE15" s="4"/>
      <c r="KZF15" s="4"/>
      <c r="KZG15" s="4"/>
      <c r="KZH15" s="4"/>
      <c r="KZI15" s="4"/>
      <c r="KZJ15" s="4"/>
      <c r="KZK15" s="4"/>
      <c r="KZL15" s="4"/>
      <c r="KZM15" s="4"/>
      <c r="KZN15" s="4"/>
      <c r="KZO15" s="4"/>
      <c r="KZP15" s="4"/>
      <c r="KZQ15" s="4"/>
      <c r="KZR15" s="4"/>
      <c r="KZS15" s="4"/>
      <c r="KZT15" s="4"/>
      <c r="KZU15" s="4"/>
      <c r="KZV15" s="4"/>
      <c r="KZW15" s="4"/>
      <c r="KZX15" s="4"/>
      <c r="KZY15" s="4"/>
      <c r="KZZ15" s="4"/>
      <c r="LAA15" s="4"/>
      <c r="LAB15" s="4"/>
      <c r="LAC15" s="4"/>
      <c r="LAD15" s="4"/>
      <c r="LAE15" s="4"/>
      <c r="LAF15" s="4"/>
      <c r="LAG15" s="4"/>
      <c r="LAH15" s="4"/>
      <c r="LAI15" s="4"/>
      <c r="LAJ15" s="4"/>
      <c r="LAK15" s="4"/>
      <c r="LAL15" s="4"/>
      <c r="LAM15" s="4"/>
      <c r="LAN15" s="4"/>
      <c r="LAO15" s="4"/>
      <c r="LAP15" s="4"/>
      <c r="LAQ15" s="4"/>
      <c r="LAR15" s="4"/>
      <c r="LAS15" s="4"/>
      <c r="LAT15" s="4"/>
      <c r="LAU15" s="4"/>
      <c r="LAV15" s="4"/>
      <c r="LAW15" s="4"/>
      <c r="LAX15" s="4"/>
      <c r="LAY15" s="4"/>
      <c r="LAZ15" s="4"/>
      <c r="LBA15" s="4"/>
      <c r="LBB15" s="4"/>
      <c r="LBC15" s="4"/>
      <c r="LBD15" s="4"/>
      <c r="LBE15" s="4"/>
      <c r="LBF15" s="4"/>
      <c r="LBG15" s="4"/>
      <c r="LBH15" s="4"/>
      <c r="LBI15" s="4"/>
      <c r="LBJ15" s="4"/>
      <c r="LBK15" s="4"/>
      <c r="LBL15" s="4"/>
      <c r="LBM15" s="4"/>
      <c r="LBN15" s="4"/>
      <c r="LBO15" s="4"/>
      <c r="LBP15" s="4"/>
      <c r="LBQ15" s="4"/>
      <c r="LBR15" s="4"/>
      <c r="LBS15" s="4"/>
      <c r="LBT15" s="4"/>
      <c r="LBU15" s="4"/>
      <c r="LBV15" s="4"/>
      <c r="LBW15" s="4"/>
      <c r="LBX15" s="4"/>
      <c r="LBY15" s="4"/>
      <c r="LBZ15" s="4"/>
      <c r="LCA15" s="4"/>
      <c r="LCB15" s="4"/>
      <c r="LCC15" s="4"/>
      <c r="LCD15" s="4"/>
      <c r="LCE15" s="4"/>
      <c r="LCF15" s="4"/>
      <c r="LCG15" s="4"/>
      <c r="LCH15" s="4"/>
      <c r="LCI15" s="4"/>
      <c r="LCJ15" s="4"/>
      <c r="LCK15" s="4"/>
      <c r="LCL15" s="4"/>
      <c r="LCM15" s="4"/>
      <c r="LCN15" s="4"/>
      <c r="LCO15" s="4"/>
      <c r="LCP15" s="4"/>
      <c r="LCQ15" s="4"/>
      <c r="LCR15" s="4"/>
      <c r="LCS15" s="4"/>
      <c r="LCT15" s="4"/>
      <c r="LCU15" s="4"/>
      <c r="LCV15" s="4"/>
      <c r="LCW15" s="4"/>
      <c r="LCX15" s="4"/>
      <c r="LCY15" s="4"/>
      <c r="LCZ15" s="4"/>
      <c r="LDA15" s="4"/>
      <c r="LDB15" s="4"/>
      <c r="LDC15" s="4"/>
      <c r="LDD15" s="4"/>
      <c r="LDE15" s="4"/>
      <c r="LDF15" s="4"/>
      <c r="LDG15" s="4"/>
      <c r="LDH15" s="4"/>
      <c r="LDI15" s="4"/>
      <c r="LDJ15" s="4"/>
      <c r="LDK15" s="4"/>
      <c r="LDL15" s="4"/>
      <c r="LDM15" s="4"/>
      <c r="LDN15" s="4"/>
      <c r="LDO15" s="4"/>
      <c r="LDP15" s="4"/>
      <c r="LDQ15" s="4"/>
      <c r="LDR15" s="4"/>
      <c r="LDS15" s="4"/>
      <c r="LDT15" s="4"/>
      <c r="LDU15" s="4"/>
      <c r="LDV15" s="4"/>
      <c r="LDW15" s="4"/>
      <c r="LDX15" s="4"/>
      <c r="LDY15" s="4"/>
      <c r="LDZ15" s="4"/>
      <c r="LEA15" s="4"/>
      <c r="LEB15" s="4"/>
      <c r="LEC15" s="4"/>
      <c r="LED15" s="4"/>
      <c r="LEE15" s="4"/>
      <c r="LEF15" s="4"/>
      <c r="LEG15" s="4"/>
      <c r="LEH15" s="4"/>
      <c r="LEI15" s="4"/>
      <c r="LEJ15" s="4"/>
      <c r="LEK15" s="4"/>
      <c r="LEL15" s="4"/>
      <c r="LEM15" s="4"/>
      <c r="LEN15" s="4"/>
      <c r="LEO15" s="4"/>
      <c r="LEP15" s="4"/>
      <c r="LEQ15" s="4"/>
      <c r="LER15" s="4"/>
      <c r="LES15" s="4"/>
      <c r="LET15" s="4"/>
      <c r="LEU15" s="4"/>
      <c r="LEV15" s="4"/>
      <c r="LEW15" s="4"/>
      <c r="LEX15" s="4"/>
      <c r="LEY15" s="4"/>
      <c r="LEZ15" s="4"/>
      <c r="LFA15" s="4"/>
      <c r="LFB15" s="4"/>
      <c r="LFC15" s="4"/>
      <c r="LFD15" s="4"/>
      <c r="LFE15" s="4"/>
      <c r="LFF15" s="4"/>
      <c r="LFG15" s="4"/>
      <c r="LFH15" s="4"/>
      <c r="LFI15" s="4"/>
      <c r="LFJ15" s="4"/>
      <c r="LFK15" s="4"/>
      <c r="LFL15" s="4"/>
      <c r="LFM15" s="4"/>
      <c r="LFN15" s="4"/>
      <c r="LFO15" s="4"/>
      <c r="LFP15" s="4"/>
      <c r="LFQ15" s="4"/>
      <c r="LFR15" s="4"/>
      <c r="LFS15" s="4"/>
      <c r="LFT15" s="4"/>
      <c r="LFU15" s="4"/>
      <c r="LFV15" s="4"/>
      <c r="LFW15" s="4"/>
      <c r="LFX15" s="4"/>
      <c r="LFY15" s="4"/>
      <c r="LFZ15" s="4"/>
      <c r="LGA15" s="4"/>
      <c r="LGB15" s="4"/>
      <c r="LGC15" s="4"/>
      <c r="LGD15" s="4"/>
      <c r="LGE15" s="4"/>
      <c r="LGF15" s="4"/>
      <c r="LGG15" s="4"/>
      <c r="LGH15" s="4"/>
      <c r="LGI15" s="4"/>
      <c r="LGJ15" s="4"/>
      <c r="LGK15" s="4"/>
      <c r="LGL15" s="4"/>
      <c r="LGM15" s="4"/>
      <c r="LGN15" s="4"/>
      <c r="LGO15" s="4"/>
      <c r="LGP15" s="4"/>
      <c r="LGQ15" s="4"/>
      <c r="LGR15" s="4"/>
      <c r="LGS15" s="4"/>
      <c r="LGT15" s="4"/>
      <c r="LGU15" s="4"/>
      <c r="LGV15" s="4"/>
      <c r="LGW15" s="4"/>
      <c r="LGX15" s="4"/>
      <c r="LGY15" s="4"/>
      <c r="LGZ15" s="4"/>
      <c r="LHA15" s="4"/>
      <c r="LHB15" s="4"/>
      <c r="LHC15" s="4"/>
      <c r="LHD15" s="4"/>
      <c r="LHE15" s="4"/>
      <c r="LHF15" s="4"/>
      <c r="LHG15" s="4"/>
      <c r="LHH15" s="4"/>
      <c r="LHI15" s="4"/>
      <c r="LHJ15" s="4"/>
      <c r="LHK15" s="4"/>
      <c r="LHL15" s="4"/>
      <c r="LHM15" s="4"/>
      <c r="LHN15" s="4"/>
      <c r="LHO15" s="4"/>
      <c r="LHP15" s="4"/>
      <c r="LHQ15" s="4"/>
      <c r="LHR15" s="4"/>
      <c r="LHS15" s="4"/>
      <c r="LHT15" s="4"/>
      <c r="LHU15" s="4"/>
      <c r="LHV15" s="4"/>
      <c r="LHW15" s="4"/>
      <c r="LHX15" s="4"/>
      <c r="LHY15" s="4"/>
      <c r="LHZ15" s="4"/>
      <c r="LIA15" s="4"/>
      <c r="LIB15" s="4"/>
      <c r="LIC15" s="4"/>
      <c r="LID15" s="4"/>
      <c r="LIE15" s="4"/>
      <c r="LIF15" s="4"/>
      <c r="LIG15" s="4"/>
      <c r="LIH15" s="4"/>
      <c r="LII15" s="4"/>
      <c r="LIJ15" s="4"/>
      <c r="LIK15" s="4"/>
      <c r="LIL15" s="4"/>
      <c r="LIM15" s="4"/>
      <c r="LIN15" s="4"/>
      <c r="LIO15" s="4"/>
      <c r="LIP15" s="4"/>
      <c r="LIQ15" s="4"/>
      <c r="LIR15" s="4"/>
      <c r="LIS15" s="4"/>
      <c r="LIT15" s="4"/>
      <c r="LIU15" s="4"/>
      <c r="LIV15" s="4"/>
      <c r="LIW15" s="4"/>
      <c r="LIX15" s="4"/>
      <c r="LIY15" s="4"/>
      <c r="LIZ15" s="4"/>
      <c r="LJA15" s="4"/>
      <c r="LJB15" s="4"/>
      <c r="LJC15" s="4"/>
      <c r="LJD15" s="4"/>
      <c r="LJE15" s="4"/>
      <c r="LJF15" s="4"/>
      <c r="LJG15" s="4"/>
      <c r="LJH15" s="4"/>
      <c r="LJI15" s="4"/>
      <c r="LJJ15" s="4"/>
      <c r="LJK15" s="4"/>
      <c r="LJL15" s="4"/>
      <c r="LJM15" s="4"/>
      <c r="LJN15" s="4"/>
      <c r="LJO15" s="4"/>
      <c r="LJP15" s="4"/>
      <c r="LJQ15" s="4"/>
      <c r="LJR15" s="4"/>
      <c r="LJS15" s="4"/>
      <c r="LJT15" s="4"/>
      <c r="LJU15" s="4"/>
      <c r="LJV15" s="4"/>
      <c r="LJW15" s="4"/>
      <c r="LJX15" s="4"/>
      <c r="LJY15" s="4"/>
      <c r="LJZ15" s="4"/>
      <c r="LKA15" s="4"/>
      <c r="LKB15" s="4"/>
      <c r="LKC15" s="4"/>
      <c r="LKD15" s="4"/>
      <c r="LKE15" s="4"/>
      <c r="LKF15" s="4"/>
      <c r="LKG15" s="4"/>
      <c r="LKH15" s="4"/>
      <c r="LKI15" s="4"/>
      <c r="LKJ15" s="4"/>
      <c r="LKK15" s="4"/>
      <c r="LKL15" s="4"/>
      <c r="LKM15" s="4"/>
      <c r="LKN15" s="4"/>
      <c r="LKO15" s="4"/>
      <c r="LKP15" s="4"/>
      <c r="LKQ15" s="4"/>
      <c r="LKR15" s="4"/>
      <c r="LKS15" s="4"/>
      <c r="LKT15" s="4"/>
      <c r="LKU15" s="4"/>
      <c r="LKV15" s="4"/>
      <c r="LKW15" s="4"/>
      <c r="LKX15" s="4"/>
      <c r="LKY15" s="4"/>
      <c r="LKZ15" s="4"/>
      <c r="LLA15" s="4"/>
      <c r="LLB15" s="4"/>
      <c r="LLC15" s="4"/>
      <c r="LLD15" s="4"/>
      <c r="LLE15" s="4"/>
      <c r="LLF15" s="4"/>
      <c r="LLG15" s="4"/>
      <c r="LLH15" s="4"/>
      <c r="LLI15" s="4"/>
      <c r="LLJ15" s="4"/>
      <c r="LLK15" s="4"/>
      <c r="LLL15" s="4"/>
      <c r="LLM15" s="4"/>
      <c r="LLN15" s="4"/>
      <c r="LLO15" s="4"/>
      <c r="LLP15" s="4"/>
      <c r="LLQ15" s="4"/>
      <c r="LLR15" s="4"/>
      <c r="LLS15" s="4"/>
      <c r="LLT15" s="4"/>
      <c r="LLU15" s="4"/>
      <c r="LLV15" s="4"/>
      <c r="LLW15" s="4"/>
      <c r="LLX15" s="4"/>
      <c r="LLY15" s="4"/>
      <c r="LLZ15" s="4"/>
      <c r="LMA15" s="4"/>
      <c r="LMB15" s="4"/>
      <c r="LMC15" s="4"/>
      <c r="LMD15" s="4"/>
      <c r="LME15" s="4"/>
      <c r="LMF15" s="4"/>
      <c r="LMG15" s="4"/>
      <c r="LMH15" s="4"/>
      <c r="LMI15" s="4"/>
      <c r="LMJ15" s="4"/>
      <c r="LMK15" s="4"/>
      <c r="LML15" s="4"/>
      <c r="LMM15" s="4"/>
      <c r="LMN15" s="4"/>
      <c r="LMO15" s="4"/>
      <c r="LMP15" s="4"/>
      <c r="LMQ15" s="4"/>
      <c r="LMR15" s="4"/>
      <c r="LMS15" s="4"/>
      <c r="LMT15" s="4"/>
      <c r="LMU15" s="4"/>
      <c r="LMV15" s="4"/>
      <c r="LMW15" s="4"/>
      <c r="LMX15" s="4"/>
      <c r="LMY15" s="4"/>
      <c r="LMZ15" s="4"/>
      <c r="LNA15" s="4"/>
      <c r="LNB15" s="4"/>
      <c r="LNC15" s="4"/>
      <c r="LND15" s="4"/>
      <c r="LNE15" s="4"/>
      <c r="LNF15" s="4"/>
      <c r="LNG15" s="4"/>
      <c r="LNH15" s="4"/>
      <c r="LNI15" s="4"/>
      <c r="LNJ15" s="4"/>
      <c r="LNK15" s="4"/>
      <c r="LNL15" s="4"/>
      <c r="LNM15" s="4"/>
      <c r="LNN15" s="4"/>
      <c r="LNO15" s="4"/>
      <c r="LNP15" s="4"/>
      <c r="LNQ15" s="4"/>
      <c r="LNR15" s="4"/>
      <c r="LNS15" s="4"/>
      <c r="LNT15" s="4"/>
      <c r="LNU15" s="4"/>
      <c r="LNV15" s="4"/>
      <c r="LNW15" s="4"/>
      <c r="LNX15" s="4"/>
      <c r="LNY15" s="4"/>
      <c r="LNZ15" s="4"/>
      <c r="LOA15" s="4"/>
      <c r="LOB15" s="4"/>
      <c r="LOC15" s="4"/>
      <c r="LOD15" s="4"/>
      <c r="LOE15" s="4"/>
      <c r="LOF15" s="4"/>
      <c r="LOG15" s="4"/>
      <c r="LOH15" s="4"/>
      <c r="LOI15" s="4"/>
      <c r="LOJ15" s="4"/>
      <c r="LOK15" s="4"/>
      <c r="LOL15" s="4"/>
      <c r="LOM15" s="4"/>
      <c r="LON15" s="4"/>
      <c r="LOO15" s="4"/>
      <c r="LOP15" s="4"/>
      <c r="LOQ15" s="4"/>
      <c r="LOR15" s="4"/>
      <c r="LOS15" s="4"/>
      <c r="LOT15" s="4"/>
      <c r="LOU15" s="4"/>
      <c r="LOV15" s="4"/>
      <c r="LOW15" s="4"/>
      <c r="LOX15" s="4"/>
      <c r="LOY15" s="4"/>
      <c r="LOZ15" s="4"/>
      <c r="LPA15" s="4"/>
      <c r="LPB15" s="4"/>
      <c r="LPC15" s="4"/>
      <c r="LPD15" s="4"/>
      <c r="LPE15" s="4"/>
      <c r="LPF15" s="4"/>
      <c r="LPG15" s="4"/>
      <c r="LPH15" s="4"/>
      <c r="LPI15" s="4"/>
      <c r="LPJ15" s="4"/>
      <c r="LPK15" s="4"/>
      <c r="LPL15" s="4"/>
      <c r="LPM15" s="4"/>
      <c r="LPN15" s="4"/>
      <c r="LPO15" s="4"/>
      <c r="LPP15" s="4"/>
      <c r="LPQ15" s="4"/>
      <c r="LPR15" s="4"/>
      <c r="LPS15" s="4"/>
      <c r="LPT15" s="4"/>
      <c r="LPU15" s="4"/>
      <c r="LPV15" s="4"/>
      <c r="LPW15" s="4"/>
      <c r="LPX15" s="4"/>
      <c r="LPY15" s="4"/>
      <c r="LPZ15" s="4"/>
      <c r="LQA15" s="4"/>
      <c r="LQB15" s="4"/>
      <c r="LQC15" s="4"/>
      <c r="LQD15" s="4"/>
      <c r="LQE15" s="4"/>
      <c r="LQF15" s="4"/>
      <c r="LQG15" s="4"/>
      <c r="LQH15" s="4"/>
      <c r="LQI15" s="4"/>
      <c r="LQJ15" s="4"/>
      <c r="LQK15" s="4"/>
      <c r="LQL15" s="4"/>
      <c r="LQM15" s="4"/>
      <c r="LQN15" s="4"/>
      <c r="LQO15" s="4"/>
      <c r="LQP15" s="4"/>
      <c r="LQQ15" s="4"/>
      <c r="LQR15" s="4"/>
      <c r="LQS15" s="4"/>
      <c r="LQT15" s="4"/>
      <c r="LQU15" s="4"/>
      <c r="LQV15" s="4"/>
      <c r="LQW15" s="4"/>
      <c r="LQX15" s="4"/>
      <c r="LQY15" s="4"/>
      <c r="LQZ15" s="4"/>
      <c r="LRA15" s="4"/>
      <c r="LRB15" s="4"/>
      <c r="LRC15" s="4"/>
      <c r="LRD15" s="4"/>
      <c r="LRE15" s="4"/>
      <c r="LRF15" s="4"/>
      <c r="LRG15" s="4"/>
      <c r="LRH15" s="4"/>
      <c r="LRI15" s="4"/>
      <c r="LRJ15" s="4"/>
      <c r="LRK15" s="4"/>
      <c r="LRL15" s="4"/>
      <c r="LRM15" s="4"/>
      <c r="LRN15" s="4"/>
      <c r="LRO15" s="4"/>
      <c r="LRP15" s="4"/>
      <c r="LRQ15" s="4"/>
      <c r="LRR15" s="4"/>
      <c r="LRS15" s="4"/>
      <c r="LRT15" s="4"/>
      <c r="LRU15" s="4"/>
      <c r="LRV15" s="4"/>
      <c r="LRW15" s="4"/>
      <c r="LRX15" s="4"/>
      <c r="LRY15" s="4"/>
      <c r="LRZ15" s="4"/>
      <c r="LSA15" s="4"/>
      <c r="LSB15" s="4"/>
      <c r="LSC15" s="4"/>
      <c r="LSD15" s="4"/>
      <c r="LSE15" s="4"/>
      <c r="LSF15" s="4"/>
      <c r="LSG15" s="4"/>
      <c r="LSH15" s="4"/>
      <c r="LSI15" s="4"/>
      <c r="LSJ15" s="4"/>
      <c r="LSK15" s="4"/>
      <c r="LSL15" s="4"/>
      <c r="LSM15" s="4"/>
      <c r="LSN15" s="4"/>
      <c r="LSO15" s="4"/>
      <c r="LSP15" s="4"/>
      <c r="LSQ15" s="4"/>
      <c r="LSR15" s="4"/>
      <c r="LSS15" s="4"/>
      <c r="LST15" s="4"/>
      <c r="LSU15" s="4"/>
      <c r="LSV15" s="4"/>
      <c r="LSW15" s="4"/>
      <c r="LSX15" s="4"/>
      <c r="LSY15" s="4"/>
      <c r="LSZ15" s="4"/>
      <c r="LTA15" s="4"/>
      <c r="LTB15" s="4"/>
      <c r="LTC15" s="4"/>
      <c r="LTD15" s="4"/>
      <c r="LTE15" s="4"/>
      <c r="LTF15" s="4"/>
      <c r="LTG15" s="4"/>
      <c r="LTH15" s="4"/>
      <c r="LTI15" s="4"/>
      <c r="LTJ15" s="4"/>
      <c r="LTK15" s="4"/>
      <c r="LTL15" s="4"/>
      <c r="LTM15" s="4"/>
      <c r="LTN15" s="4"/>
      <c r="LTO15" s="4"/>
      <c r="LTP15" s="4"/>
      <c r="LTQ15" s="4"/>
      <c r="LTR15" s="4"/>
      <c r="LTS15" s="4"/>
      <c r="LTT15" s="4"/>
      <c r="LTU15" s="4"/>
      <c r="LTV15" s="4"/>
      <c r="LTW15" s="4"/>
      <c r="LTX15" s="4"/>
      <c r="LTY15" s="4"/>
      <c r="LTZ15" s="4"/>
      <c r="LUA15" s="4"/>
      <c r="LUB15" s="4"/>
      <c r="LUC15" s="4"/>
      <c r="LUD15" s="4"/>
      <c r="LUE15" s="4"/>
      <c r="LUF15" s="4"/>
      <c r="LUG15" s="4"/>
      <c r="LUH15" s="4"/>
      <c r="LUI15" s="4"/>
      <c r="LUJ15" s="4"/>
      <c r="LUK15" s="4"/>
      <c r="LUL15" s="4"/>
      <c r="LUM15" s="4"/>
      <c r="LUN15" s="4"/>
      <c r="LUO15" s="4"/>
      <c r="LUP15" s="4"/>
      <c r="LUQ15" s="4"/>
      <c r="LUR15" s="4"/>
      <c r="LUS15" s="4"/>
      <c r="LUT15" s="4"/>
      <c r="LUU15" s="4"/>
      <c r="LUV15" s="4"/>
      <c r="LUW15" s="4"/>
      <c r="LUX15" s="4"/>
      <c r="LUY15" s="4"/>
      <c r="LUZ15" s="4"/>
      <c r="LVA15" s="4"/>
      <c r="LVB15" s="4"/>
      <c r="LVC15" s="4"/>
      <c r="LVD15" s="4"/>
      <c r="LVE15" s="4"/>
      <c r="LVF15" s="4"/>
      <c r="LVG15" s="4"/>
      <c r="LVH15" s="4"/>
      <c r="LVI15" s="4"/>
      <c r="LVJ15" s="4"/>
      <c r="LVK15" s="4"/>
      <c r="LVL15" s="4"/>
      <c r="LVM15" s="4"/>
      <c r="LVN15" s="4"/>
      <c r="LVO15" s="4"/>
      <c r="LVP15" s="4"/>
      <c r="LVQ15" s="4"/>
      <c r="LVR15" s="4"/>
      <c r="LVS15" s="4"/>
      <c r="LVT15" s="4"/>
      <c r="LVU15" s="4"/>
      <c r="LVV15" s="4"/>
      <c r="LVW15" s="4"/>
      <c r="LVX15" s="4"/>
      <c r="LVY15" s="4"/>
      <c r="LVZ15" s="4"/>
      <c r="LWA15" s="4"/>
      <c r="LWB15" s="4"/>
      <c r="LWC15" s="4"/>
      <c r="LWD15" s="4"/>
      <c r="LWE15" s="4"/>
      <c r="LWF15" s="4"/>
      <c r="LWG15" s="4"/>
      <c r="LWH15" s="4"/>
      <c r="LWI15" s="4"/>
      <c r="LWJ15" s="4"/>
      <c r="LWK15" s="4"/>
      <c r="LWL15" s="4"/>
      <c r="LWM15" s="4"/>
      <c r="LWN15" s="4"/>
      <c r="LWO15" s="4"/>
      <c r="LWP15" s="4"/>
      <c r="LWQ15" s="4"/>
      <c r="LWR15" s="4"/>
      <c r="LWS15" s="4"/>
      <c r="LWT15" s="4"/>
      <c r="LWU15" s="4"/>
      <c r="LWV15" s="4"/>
      <c r="LWW15" s="4"/>
      <c r="LWX15" s="4"/>
      <c r="LWY15" s="4"/>
      <c r="LWZ15" s="4"/>
      <c r="LXA15" s="4"/>
      <c r="LXB15" s="4"/>
      <c r="LXC15" s="4"/>
      <c r="LXD15" s="4"/>
      <c r="LXE15" s="4"/>
      <c r="LXF15" s="4"/>
      <c r="LXG15" s="4"/>
      <c r="LXH15" s="4"/>
      <c r="LXI15" s="4"/>
      <c r="LXJ15" s="4"/>
      <c r="LXK15" s="4"/>
      <c r="LXL15" s="4"/>
      <c r="LXM15" s="4"/>
      <c r="LXN15" s="4"/>
      <c r="LXO15" s="4"/>
      <c r="LXP15" s="4"/>
      <c r="LXQ15" s="4"/>
      <c r="LXR15" s="4"/>
      <c r="LXS15" s="4"/>
      <c r="LXT15" s="4"/>
      <c r="LXU15" s="4"/>
      <c r="LXV15" s="4"/>
      <c r="LXW15" s="4"/>
      <c r="LXX15" s="4"/>
      <c r="LXY15" s="4"/>
      <c r="LXZ15" s="4"/>
      <c r="LYA15" s="4"/>
      <c r="LYB15" s="4"/>
      <c r="LYC15" s="4"/>
      <c r="LYD15" s="4"/>
      <c r="LYE15" s="4"/>
      <c r="LYF15" s="4"/>
      <c r="LYG15" s="4"/>
      <c r="LYH15" s="4"/>
      <c r="LYI15" s="4"/>
      <c r="LYJ15" s="4"/>
      <c r="LYK15" s="4"/>
      <c r="LYL15" s="4"/>
      <c r="LYM15" s="4"/>
      <c r="LYN15" s="4"/>
      <c r="LYO15" s="4"/>
      <c r="LYP15" s="4"/>
      <c r="LYQ15" s="4"/>
      <c r="LYR15" s="4"/>
      <c r="LYS15" s="4"/>
      <c r="LYT15" s="4"/>
      <c r="LYU15" s="4"/>
      <c r="LYV15" s="4"/>
      <c r="LYW15" s="4"/>
      <c r="LYX15" s="4"/>
      <c r="LYY15" s="4"/>
      <c r="LYZ15" s="4"/>
      <c r="LZA15" s="4"/>
      <c r="LZB15" s="4"/>
      <c r="LZC15" s="4"/>
      <c r="LZD15" s="4"/>
      <c r="LZE15" s="4"/>
      <c r="LZF15" s="4"/>
      <c r="LZG15" s="4"/>
      <c r="LZH15" s="4"/>
      <c r="LZI15" s="4"/>
      <c r="LZJ15" s="4"/>
      <c r="LZK15" s="4"/>
      <c r="LZL15" s="4"/>
      <c r="LZM15" s="4"/>
      <c r="LZN15" s="4"/>
      <c r="LZO15" s="4"/>
      <c r="LZP15" s="4"/>
      <c r="LZQ15" s="4"/>
      <c r="LZR15" s="4"/>
      <c r="LZS15" s="4"/>
      <c r="LZT15" s="4"/>
      <c r="LZU15" s="4"/>
      <c r="LZV15" s="4"/>
      <c r="LZW15" s="4"/>
      <c r="LZX15" s="4"/>
      <c r="LZY15" s="4"/>
      <c r="LZZ15" s="4"/>
      <c r="MAA15" s="4"/>
      <c r="MAB15" s="4"/>
      <c r="MAC15" s="4"/>
      <c r="MAD15" s="4"/>
      <c r="MAE15" s="4"/>
      <c r="MAF15" s="4"/>
      <c r="MAG15" s="4"/>
      <c r="MAH15" s="4"/>
      <c r="MAI15" s="4"/>
      <c r="MAJ15" s="4"/>
      <c r="MAK15" s="4"/>
      <c r="MAL15" s="4"/>
      <c r="MAM15" s="4"/>
      <c r="MAN15" s="4"/>
      <c r="MAO15" s="4"/>
      <c r="MAP15" s="4"/>
      <c r="MAQ15" s="4"/>
      <c r="MAR15" s="4"/>
      <c r="MAS15" s="4"/>
      <c r="MAT15" s="4"/>
      <c r="MAU15" s="4"/>
      <c r="MAV15" s="4"/>
      <c r="MAW15" s="4"/>
      <c r="MAX15" s="4"/>
      <c r="MAY15" s="4"/>
      <c r="MAZ15" s="4"/>
      <c r="MBA15" s="4"/>
      <c r="MBB15" s="4"/>
      <c r="MBC15" s="4"/>
      <c r="MBD15" s="4"/>
      <c r="MBE15" s="4"/>
      <c r="MBF15" s="4"/>
      <c r="MBG15" s="4"/>
      <c r="MBH15" s="4"/>
      <c r="MBI15" s="4"/>
      <c r="MBJ15" s="4"/>
      <c r="MBK15" s="4"/>
      <c r="MBL15" s="4"/>
      <c r="MBM15" s="4"/>
      <c r="MBN15" s="4"/>
      <c r="MBO15" s="4"/>
      <c r="MBP15" s="4"/>
      <c r="MBQ15" s="4"/>
      <c r="MBR15" s="4"/>
      <c r="MBS15" s="4"/>
      <c r="MBT15" s="4"/>
      <c r="MBU15" s="4"/>
      <c r="MBV15" s="4"/>
      <c r="MBW15" s="4"/>
      <c r="MBX15" s="4"/>
      <c r="MBY15" s="4"/>
      <c r="MBZ15" s="4"/>
      <c r="MCA15" s="4"/>
      <c r="MCB15" s="4"/>
      <c r="MCC15" s="4"/>
      <c r="MCD15" s="4"/>
      <c r="MCE15" s="4"/>
      <c r="MCF15" s="4"/>
      <c r="MCG15" s="4"/>
      <c r="MCH15" s="4"/>
      <c r="MCI15" s="4"/>
      <c r="MCJ15" s="4"/>
      <c r="MCK15" s="4"/>
      <c r="MCL15" s="4"/>
      <c r="MCM15" s="4"/>
      <c r="MCN15" s="4"/>
      <c r="MCO15" s="4"/>
      <c r="MCP15" s="4"/>
      <c r="MCQ15" s="4"/>
      <c r="MCR15" s="4"/>
      <c r="MCS15" s="4"/>
      <c r="MCT15" s="4"/>
      <c r="MCU15" s="4"/>
      <c r="MCV15" s="4"/>
      <c r="MCW15" s="4"/>
      <c r="MCX15" s="4"/>
      <c r="MCY15" s="4"/>
      <c r="MCZ15" s="4"/>
      <c r="MDA15" s="4"/>
      <c r="MDB15" s="4"/>
      <c r="MDC15" s="4"/>
      <c r="MDD15" s="4"/>
      <c r="MDE15" s="4"/>
      <c r="MDF15" s="4"/>
      <c r="MDG15" s="4"/>
      <c r="MDH15" s="4"/>
      <c r="MDI15" s="4"/>
      <c r="MDJ15" s="4"/>
      <c r="MDK15" s="4"/>
      <c r="MDL15" s="4"/>
      <c r="MDM15" s="4"/>
      <c r="MDN15" s="4"/>
      <c r="MDO15" s="4"/>
      <c r="MDP15" s="4"/>
      <c r="MDQ15" s="4"/>
      <c r="MDR15" s="4"/>
      <c r="MDS15" s="4"/>
      <c r="MDT15" s="4"/>
      <c r="MDU15" s="4"/>
      <c r="MDV15" s="4"/>
      <c r="MDW15" s="4"/>
      <c r="MDX15" s="4"/>
      <c r="MDY15" s="4"/>
      <c r="MDZ15" s="4"/>
      <c r="MEA15" s="4"/>
      <c r="MEB15" s="4"/>
      <c r="MEC15" s="4"/>
      <c r="MED15" s="4"/>
      <c r="MEE15" s="4"/>
      <c r="MEF15" s="4"/>
      <c r="MEG15" s="4"/>
      <c r="MEH15" s="4"/>
      <c r="MEI15" s="4"/>
      <c r="MEJ15" s="4"/>
      <c r="MEK15" s="4"/>
      <c r="MEL15" s="4"/>
      <c r="MEM15" s="4"/>
      <c r="MEN15" s="4"/>
      <c r="MEO15" s="4"/>
      <c r="MEP15" s="4"/>
      <c r="MEQ15" s="4"/>
      <c r="MER15" s="4"/>
      <c r="MES15" s="4"/>
      <c r="MET15" s="4"/>
      <c r="MEU15" s="4"/>
      <c r="MEV15" s="4"/>
      <c r="MEW15" s="4"/>
      <c r="MEX15" s="4"/>
      <c r="MEY15" s="4"/>
      <c r="MEZ15" s="4"/>
      <c r="MFA15" s="4"/>
      <c r="MFB15" s="4"/>
      <c r="MFC15" s="4"/>
      <c r="MFD15" s="4"/>
      <c r="MFE15" s="4"/>
      <c r="MFF15" s="4"/>
      <c r="MFG15" s="4"/>
      <c r="MFH15" s="4"/>
      <c r="MFI15" s="4"/>
      <c r="MFJ15" s="4"/>
      <c r="MFK15" s="4"/>
      <c r="MFL15" s="4"/>
      <c r="MFM15" s="4"/>
      <c r="MFN15" s="4"/>
      <c r="MFO15" s="4"/>
      <c r="MFP15" s="4"/>
      <c r="MFQ15" s="4"/>
      <c r="MFR15" s="4"/>
      <c r="MFS15" s="4"/>
      <c r="MFT15" s="4"/>
      <c r="MFU15" s="4"/>
      <c r="MFV15" s="4"/>
      <c r="MFW15" s="4"/>
      <c r="MFX15" s="4"/>
      <c r="MFY15" s="4"/>
      <c r="MFZ15" s="4"/>
      <c r="MGA15" s="4"/>
      <c r="MGB15" s="4"/>
      <c r="MGC15" s="4"/>
      <c r="MGD15" s="4"/>
      <c r="MGE15" s="4"/>
      <c r="MGF15" s="4"/>
      <c r="MGG15" s="4"/>
      <c r="MGH15" s="4"/>
      <c r="MGI15" s="4"/>
      <c r="MGJ15" s="4"/>
      <c r="MGK15" s="4"/>
      <c r="MGL15" s="4"/>
      <c r="MGM15" s="4"/>
      <c r="MGN15" s="4"/>
      <c r="MGO15" s="4"/>
      <c r="MGP15" s="4"/>
      <c r="MGQ15" s="4"/>
      <c r="MGR15" s="4"/>
      <c r="MGS15" s="4"/>
      <c r="MGT15" s="4"/>
      <c r="MGU15" s="4"/>
      <c r="MGV15" s="4"/>
      <c r="MGW15" s="4"/>
      <c r="MGX15" s="4"/>
      <c r="MGY15" s="4"/>
      <c r="MGZ15" s="4"/>
      <c r="MHA15" s="4"/>
      <c r="MHB15" s="4"/>
      <c r="MHC15" s="4"/>
      <c r="MHD15" s="4"/>
      <c r="MHE15" s="4"/>
      <c r="MHF15" s="4"/>
      <c r="MHG15" s="4"/>
      <c r="MHH15" s="4"/>
      <c r="MHI15" s="4"/>
      <c r="MHJ15" s="4"/>
      <c r="MHK15" s="4"/>
      <c r="MHL15" s="4"/>
      <c r="MHM15" s="4"/>
      <c r="MHN15" s="4"/>
      <c r="MHO15" s="4"/>
      <c r="MHP15" s="4"/>
      <c r="MHQ15" s="4"/>
      <c r="MHR15" s="4"/>
      <c r="MHS15" s="4"/>
      <c r="MHT15" s="4"/>
      <c r="MHU15" s="4"/>
      <c r="MHV15" s="4"/>
      <c r="MHW15" s="4"/>
      <c r="MHX15" s="4"/>
      <c r="MHY15" s="4"/>
      <c r="MHZ15" s="4"/>
      <c r="MIA15" s="4"/>
      <c r="MIB15" s="4"/>
      <c r="MIC15" s="4"/>
      <c r="MID15" s="4"/>
      <c r="MIE15" s="4"/>
      <c r="MIF15" s="4"/>
      <c r="MIG15" s="4"/>
      <c r="MIH15" s="4"/>
      <c r="MII15" s="4"/>
      <c r="MIJ15" s="4"/>
      <c r="MIK15" s="4"/>
      <c r="MIL15" s="4"/>
      <c r="MIM15" s="4"/>
      <c r="MIN15" s="4"/>
      <c r="MIO15" s="4"/>
      <c r="MIP15" s="4"/>
      <c r="MIQ15" s="4"/>
      <c r="MIR15" s="4"/>
      <c r="MIS15" s="4"/>
      <c r="MIT15" s="4"/>
      <c r="MIU15" s="4"/>
      <c r="MIV15" s="4"/>
      <c r="MIW15" s="4"/>
      <c r="MIX15" s="4"/>
      <c r="MIY15" s="4"/>
      <c r="MIZ15" s="4"/>
      <c r="MJA15" s="4"/>
      <c r="MJB15" s="4"/>
      <c r="MJC15" s="4"/>
      <c r="MJD15" s="4"/>
      <c r="MJE15" s="4"/>
      <c r="MJF15" s="4"/>
      <c r="MJG15" s="4"/>
      <c r="MJH15" s="4"/>
      <c r="MJI15" s="4"/>
      <c r="MJJ15" s="4"/>
      <c r="MJK15" s="4"/>
      <c r="MJL15" s="4"/>
      <c r="MJM15" s="4"/>
      <c r="MJN15" s="4"/>
      <c r="MJO15" s="4"/>
      <c r="MJP15" s="4"/>
      <c r="MJQ15" s="4"/>
      <c r="MJR15" s="4"/>
      <c r="MJS15" s="4"/>
      <c r="MJT15" s="4"/>
      <c r="MJU15" s="4"/>
      <c r="MJV15" s="4"/>
      <c r="MJW15" s="4"/>
      <c r="MJX15" s="4"/>
      <c r="MJY15" s="4"/>
      <c r="MJZ15" s="4"/>
      <c r="MKA15" s="4"/>
      <c r="MKB15" s="4"/>
      <c r="MKC15" s="4"/>
      <c r="MKD15" s="4"/>
      <c r="MKE15" s="4"/>
      <c r="MKF15" s="4"/>
      <c r="MKG15" s="4"/>
      <c r="MKH15" s="4"/>
      <c r="MKI15" s="4"/>
      <c r="MKJ15" s="4"/>
      <c r="MKK15" s="4"/>
      <c r="MKL15" s="4"/>
      <c r="MKM15" s="4"/>
      <c r="MKN15" s="4"/>
      <c r="MKO15" s="4"/>
      <c r="MKP15" s="4"/>
      <c r="MKQ15" s="4"/>
      <c r="MKR15" s="4"/>
      <c r="MKS15" s="4"/>
      <c r="MKT15" s="4"/>
      <c r="MKU15" s="4"/>
      <c r="MKV15" s="4"/>
      <c r="MKW15" s="4"/>
      <c r="MKX15" s="4"/>
      <c r="MKY15" s="4"/>
      <c r="MKZ15" s="4"/>
      <c r="MLA15" s="4"/>
      <c r="MLB15" s="4"/>
      <c r="MLC15" s="4"/>
      <c r="MLD15" s="4"/>
      <c r="MLE15" s="4"/>
      <c r="MLF15" s="4"/>
      <c r="MLG15" s="4"/>
      <c r="MLH15" s="4"/>
      <c r="MLI15" s="4"/>
      <c r="MLJ15" s="4"/>
      <c r="MLK15" s="4"/>
      <c r="MLL15" s="4"/>
      <c r="MLM15" s="4"/>
      <c r="MLN15" s="4"/>
      <c r="MLO15" s="4"/>
      <c r="MLP15" s="4"/>
      <c r="MLQ15" s="4"/>
      <c r="MLR15" s="4"/>
      <c r="MLS15" s="4"/>
      <c r="MLT15" s="4"/>
      <c r="MLU15" s="4"/>
      <c r="MLV15" s="4"/>
      <c r="MLW15" s="4"/>
      <c r="MLX15" s="4"/>
      <c r="MLY15" s="4"/>
      <c r="MLZ15" s="4"/>
      <c r="MMA15" s="4"/>
      <c r="MMB15" s="4"/>
      <c r="MMC15" s="4"/>
      <c r="MMD15" s="4"/>
      <c r="MME15" s="4"/>
      <c r="MMF15" s="4"/>
      <c r="MMG15" s="4"/>
      <c r="MMH15" s="4"/>
      <c r="MMI15" s="4"/>
      <c r="MMJ15" s="4"/>
      <c r="MMK15" s="4"/>
      <c r="MML15" s="4"/>
      <c r="MMM15" s="4"/>
      <c r="MMN15" s="4"/>
      <c r="MMO15" s="4"/>
      <c r="MMP15" s="4"/>
      <c r="MMQ15" s="4"/>
      <c r="MMR15" s="4"/>
      <c r="MMS15" s="4"/>
      <c r="MMT15" s="4"/>
      <c r="MMU15" s="4"/>
      <c r="MMV15" s="4"/>
      <c r="MMW15" s="4"/>
      <c r="MMX15" s="4"/>
      <c r="MMY15" s="4"/>
      <c r="MMZ15" s="4"/>
      <c r="MNA15" s="4"/>
      <c r="MNB15" s="4"/>
      <c r="MNC15" s="4"/>
      <c r="MND15" s="4"/>
      <c r="MNE15" s="4"/>
      <c r="MNF15" s="4"/>
      <c r="MNG15" s="4"/>
      <c r="MNH15" s="4"/>
      <c r="MNI15" s="4"/>
      <c r="MNJ15" s="4"/>
      <c r="MNK15" s="4"/>
      <c r="MNL15" s="4"/>
      <c r="MNM15" s="4"/>
      <c r="MNN15" s="4"/>
      <c r="MNO15" s="4"/>
      <c r="MNP15" s="4"/>
      <c r="MNQ15" s="4"/>
      <c r="MNR15" s="4"/>
      <c r="MNS15" s="4"/>
      <c r="MNT15" s="4"/>
      <c r="MNU15" s="4"/>
      <c r="MNV15" s="4"/>
      <c r="MNW15" s="4"/>
      <c r="MNX15" s="4"/>
      <c r="MNY15" s="4"/>
      <c r="MNZ15" s="4"/>
      <c r="MOA15" s="4"/>
      <c r="MOB15" s="4"/>
      <c r="MOC15" s="4"/>
      <c r="MOD15" s="4"/>
      <c r="MOE15" s="4"/>
      <c r="MOF15" s="4"/>
      <c r="MOG15" s="4"/>
      <c r="MOH15" s="4"/>
      <c r="MOI15" s="4"/>
      <c r="MOJ15" s="4"/>
      <c r="MOK15" s="4"/>
      <c r="MOL15" s="4"/>
      <c r="MOM15" s="4"/>
      <c r="MON15" s="4"/>
      <c r="MOO15" s="4"/>
      <c r="MOP15" s="4"/>
      <c r="MOQ15" s="4"/>
      <c r="MOR15" s="4"/>
      <c r="MOS15" s="4"/>
      <c r="MOT15" s="4"/>
      <c r="MOU15" s="4"/>
      <c r="MOV15" s="4"/>
      <c r="MOW15" s="4"/>
      <c r="MOX15" s="4"/>
      <c r="MOY15" s="4"/>
      <c r="MOZ15" s="4"/>
      <c r="MPA15" s="4"/>
      <c r="MPB15" s="4"/>
      <c r="MPC15" s="4"/>
      <c r="MPD15" s="4"/>
      <c r="MPE15" s="4"/>
      <c r="MPF15" s="4"/>
      <c r="MPG15" s="4"/>
      <c r="MPH15" s="4"/>
      <c r="MPI15" s="4"/>
      <c r="MPJ15" s="4"/>
      <c r="MPK15" s="4"/>
      <c r="MPL15" s="4"/>
      <c r="MPM15" s="4"/>
      <c r="MPN15" s="4"/>
      <c r="MPO15" s="4"/>
      <c r="MPP15" s="4"/>
      <c r="MPQ15" s="4"/>
      <c r="MPR15" s="4"/>
      <c r="MPS15" s="4"/>
      <c r="MPT15" s="4"/>
      <c r="MPU15" s="4"/>
      <c r="MPV15" s="4"/>
      <c r="MPW15" s="4"/>
      <c r="MPX15" s="4"/>
      <c r="MPY15" s="4"/>
      <c r="MPZ15" s="4"/>
      <c r="MQA15" s="4"/>
      <c r="MQB15" s="4"/>
      <c r="MQC15" s="4"/>
      <c r="MQD15" s="4"/>
      <c r="MQE15" s="4"/>
      <c r="MQF15" s="4"/>
      <c r="MQG15" s="4"/>
      <c r="MQH15" s="4"/>
      <c r="MQI15" s="4"/>
      <c r="MQJ15" s="4"/>
      <c r="MQK15" s="4"/>
      <c r="MQL15" s="4"/>
      <c r="MQM15" s="4"/>
      <c r="MQN15" s="4"/>
      <c r="MQO15" s="4"/>
      <c r="MQP15" s="4"/>
      <c r="MQQ15" s="4"/>
      <c r="MQR15" s="4"/>
      <c r="MQS15" s="4"/>
      <c r="MQT15" s="4"/>
      <c r="MQU15" s="4"/>
      <c r="MQV15" s="4"/>
      <c r="MQW15" s="4"/>
      <c r="MQX15" s="4"/>
      <c r="MQY15" s="4"/>
      <c r="MQZ15" s="4"/>
      <c r="MRA15" s="4"/>
      <c r="MRB15" s="4"/>
      <c r="MRC15" s="4"/>
      <c r="MRD15" s="4"/>
      <c r="MRE15" s="4"/>
      <c r="MRF15" s="4"/>
      <c r="MRG15" s="4"/>
      <c r="MRH15" s="4"/>
      <c r="MRI15" s="4"/>
      <c r="MRJ15" s="4"/>
      <c r="MRK15" s="4"/>
      <c r="MRL15" s="4"/>
      <c r="MRM15" s="4"/>
      <c r="MRN15" s="4"/>
      <c r="MRO15" s="4"/>
      <c r="MRP15" s="4"/>
      <c r="MRQ15" s="4"/>
      <c r="MRR15" s="4"/>
      <c r="MRS15" s="4"/>
      <c r="MRT15" s="4"/>
      <c r="MRU15" s="4"/>
      <c r="MRV15" s="4"/>
      <c r="MRW15" s="4"/>
      <c r="MRX15" s="4"/>
      <c r="MRY15" s="4"/>
      <c r="MRZ15" s="4"/>
      <c r="MSA15" s="4"/>
      <c r="MSB15" s="4"/>
      <c r="MSC15" s="4"/>
      <c r="MSD15" s="4"/>
      <c r="MSE15" s="4"/>
      <c r="MSF15" s="4"/>
      <c r="MSG15" s="4"/>
      <c r="MSH15" s="4"/>
      <c r="MSI15" s="4"/>
      <c r="MSJ15" s="4"/>
      <c r="MSK15" s="4"/>
      <c r="MSL15" s="4"/>
      <c r="MSM15" s="4"/>
      <c r="MSN15" s="4"/>
      <c r="MSO15" s="4"/>
      <c r="MSP15" s="4"/>
      <c r="MSQ15" s="4"/>
      <c r="MSR15" s="4"/>
      <c r="MSS15" s="4"/>
      <c r="MST15" s="4"/>
      <c r="MSU15" s="4"/>
      <c r="MSV15" s="4"/>
      <c r="MSW15" s="4"/>
      <c r="MSX15" s="4"/>
      <c r="MSY15" s="4"/>
      <c r="MSZ15" s="4"/>
      <c r="MTA15" s="4"/>
      <c r="MTB15" s="4"/>
      <c r="MTC15" s="4"/>
      <c r="MTD15" s="4"/>
      <c r="MTE15" s="4"/>
      <c r="MTF15" s="4"/>
      <c r="MTG15" s="4"/>
      <c r="MTH15" s="4"/>
      <c r="MTI15" s="4"/>
      <c r="MTJ15" s="4"/>
      <c r="MTK15" s="4"/>
      <c r="MTL15" s="4"/>
      <c r="MTM15" s="4"/>
      <c r="MTN15" s="4"/>
      <c r="MTO15" s="4"/>
      <c r="MTP15" s="4"/>
      <c r="MTQ15" s="4"/>
      <c r="MTR15" s="4"/>
      <c r="MTS15" s="4"/>
      <c r="MTT15" s="4"/>
      <c r="MTU15" s="4"/>
      <c r="MTV15" s="4"/>
      <c r="MTW15" s="4"/>
      <c r="MTX15" s="4"/>
      <c r="MTY15" s="4"/>
      <c r="MTZ15" s="4"/>
      <c r="MUA15" s="4"/>
      <c r="MUB15" s="4"/>
      <c r="MUC15" s="4"/>
      <c r="MUD15" s="4"/>
      <c r="MUE15" s="4"/>
      <c r="MUF15" s="4"/>
      <c r="MUG15" s="4"/>
      <c r="MUH15" s="4"/>
      <c r="MUI15" s="4"/>
      <c r="MUJ15" s="4"/>
      <c r="MUK15" s="4"/>
      <c r="MUL15" s="4"/>
      <c r="MUM15" s="4"/>
      <c r="MUN15" s="4"/>
      <c r="MUO15" s="4"/>
      <c r="MUP15" s="4"/>
      <c r="MUQ15" s="4"/>
      <c r="MUR15" s="4"/>
      <c r="MUS15" s="4"/>
      <c r="MUT15" s="4"/>
      <c r="MUU15" s="4"/>
      <c r="MUV15" s="4"/>
      <c r="MUW15" s="4"/>
      <c r="MUX15" s="4"/>
      <c r="MUY15" s="4"/>
      <c r="MUZ15" s="4"/>
      <c r="MVA15" s="4"/>
      <c r="MVB15" s="4"/>
      <c r="MVC15" s="4"/>
      <c r="MVD15" s="4"/>
      <c r="MVE15" s="4"/>
      <c r="MVF15" s="4"/>
      <c r="MVG15" s="4"/>
      <c r="MVH15" s="4"/>
      <c r="MVI15" s="4"/>
      <c r="MVJ15" s="4"/>
      <c r="MVK15" s="4"/>
      <c r="MVL15" s="4"/>
      <c r="MVM15" s="4"/>
      <c r="MVN15" s="4"/>
      <c r="MVO15" s="4"/>
      <c r="MVP15" s="4"/>
      <c r="MVQ15" s="4"/>
      <c r="MVR15" s="4"/>
      <c r="MVS15" s="4"/>
      <c r="MVT15" s="4"/>
      <c r="MVU15" s="4"/>
      <c r="MVV15" s="4"/>
      <c r="MVW15" s="4"/>
      <c r="MVX15" s="4"/>
      <c r="MVY15" s="4"/>
      <c r="MVZ15" s="4"/>
      <c r="MWA15" s="4"/>
      <c r="MWB15" s="4"/>
      <c r="MWC15" s="4"/>
      <c r="MWD15" s="4"/>
      <c r="MWE15" s="4"/>
      <c r="MWF15" s="4"/>
      <c r="MWG15" s="4"/>
      <c r="MWH15" s="4"/>
      <c r="MWI15" s="4"/>
      <c r="MWJ15" s="4"/>
      <c r="MWK15" s="4"/>
      <c r="MWL15" s="4"/>
      <c r="MWM15" s="4"/>
      <c r="MWN15" s="4"/>
      <c r="MWO15" s="4"/>
      <c r="MWP15" s="4"/>
      <c r="MWQ15" s="4"/>
      <c r="MWR15" s="4"/>
      <c r="MWS15" s="4"/>
      <c r="MWT15" s="4"/>
      <c r="MWU15" s="4"/>
      <c r="MWV15" s="4"/>
      <c r="MWW15" s="4"/>
      <c r="MWX15" s="4"/>
      <c r="MWY15" s="4"/>
      <c r="MWZ15" s="4"/>
      <c r="MXA15" s="4"/>
      <c r="MXB15" s="4"/>
      <c r="MXC15" s="4"/>
      <c r="MXD15" s="4"/>
      <c r="MXE15" s="4"/>
      <c r="MXF15" s="4"/>
      <c r="MXG15" s="4"/>
      <c r="MXH15" s="4"/>
      <c r="MXI15" s="4"/>
      <c r="MXJ15" s="4"/>
      <c r="MXK15" s="4"/>
      <c r="MXL15" s="4"/>
      <c r="MXM15" s="4"/>
      <c r="MXN15" s="4"/>
      <c r="MXO15" s="4"/>
      <c r="MXP15" s="4"/>
      <c r="MXQ15" s="4"/>
      <c r="MXR15" s="4"/>
      <c r="MXS15" s="4"/>
      <c r="MXT15" s="4"/>
      <c r="MXU15" s="4"/>
      <c r="MXV15" s="4"/>
      <c r="MXW15" s="4"/>
      <c r="MXX15" s="4"/>
      <c r="MXY15" s="4"/>
      <c r="MXZ15" s="4"/>
      <c r="MYA15" s="4"/>
      <c r="MYB15" s="4"/>
      <c r="MYC15" s="4"/>
      <c r="MYD15" s="4"/>
      <c r="MYE15" s="4"/>
      <c r="MYF15" s="4"/>
      <c r="MYG15" s="4"/>
      <c r="MYH15" s="4"/>
      <c r="MYI15" s="4"/>
      <c r="MYJ15" s="4"/>
      <c r="MYK15" s="4"/>
      <c r="MYL15" s="4"/>
      <c r="MYM15" s="4"/>
      <c r="MYN15" s="4"/>
      <c r="MYO15" s="4"/>
      <c r="MYP15" s="4"/>
      <c r="MYQ15" s="4"/>
      <c r="MYR15" s="4"/>
      <c r="MYS15" s="4"/>
      <c r="MYT15" s="4"/>
      <c r="MYU15" s="4"/>
      <c r="MYV15" s="4"/>
      <c r="MYW15" s="4"/>
      <c r="MYX15" s="4"/>
      <c r="MYY15" s="4"/>
      <c r="MYZ15" s="4"/>
      <c r="MZA15" s="4"/>
      <c r="MZB15" s="4"/>
      <c r="MZC15" s="4"/>
      <c r="MZD15" s="4"/>
      <c r="MZE15" s="4"/>
      <c r="MZF15" s="4"/>
      <c r="MZG15" s="4"/>
      <c r="MZH15" s="4"/>
      <c r="MZI15" s="4"/>
      <c r="MZJ15" s="4"/>
      <c r="MZK15" s="4"/>
      <c r="MZL15" s="4"/>
      <c r="MZM15" s="4"/>
      <c r="MZN15" s="4"/>
      <c r="MZO15" s="4"/>
      <c r="MZP15" s="4"/>
      <c r="MZQ15" s="4"/>
      <c r="MZR15" s="4"/>
      <c r="MZS15" s="4"/>
      <c r="MZT15" s="4"/>
      <c r="MZU15" s="4"/>
      <c r="MZV15" s="4"/>
      <c r="MZW15" s="4"/>
      <c r="MZX15" s="4"/>
      <c r="MZY15" s="4"/>
      <c r="MZZ15" s="4"/>
      <c r="NAA15" s="4"/>
      <c r="NAB15" s="4"/>
      <c r="NAC15" s="4"/>
      <c r="NAD15" s="4"/>
      <c r="NAE15" s="4"/>
      <c r="NAF15" s="4"/>
      <c r="NAG15" s="4"/>
      <c r="NAH15" s="4"/>
      <c r="NAI15" s="4"/>
      <c r="NAJ15" s="4"/>
      <c r="NAK15" s="4"/>
      <c r="NAL15" s="4"/>
      <c r="NAM15" s="4"/>
      <c r="NAN15" s="4"/>
      <c r="NAO15" s="4"/>
      <c r="NAP15" s="4"/>
      <c r="NAQ15" s="4"/>
      <c r="NAR15" s="4"/>
      <c r="NAS15" s="4"/>
      <c r="NAT15" s="4"/>
      <c r="NAU15" s="4"/>
      <c r="NAV15" s="4"/>
      <c r="NAW15" s="4"/>
      <c r="NAX15" s="4"/>
      <c r="NAY15" s="4"/>
      <c r="NAZ15" s="4"/>
      <c r="NBA15" s="4"/>
      <c r="NBB15" s="4"/>
      <c r="NBC15" s="4"/>
      <c r="NBD15" s="4"/>
      <c r="NBE15" s="4"/>
      <c r="NBF15" s="4"/>
      <c r="NBG15" s="4"/>
      <c r="NBH15" s="4"/>
      <c r="NBI15" s="4"/>
      <c r="NBJ15" s="4"/>
      <c r="NBK15" s="4"/>
      <c r="NBL15" s="4"/>
      <c r="NBM15" s="4"/>
      <c r="NBN15" s="4"/>
      <c r="NBO15" s="4"/>
      <c r="NBP15" s="4"/>
      <c r="NBQ15" s="4"/>
      <c r="NBR15" s="4"/>
      <c r="NBS15" s="4"/>
      <c r="NBT15" s="4"/>
      <c r="NBU15" s="4"/>
      <c r="NBV15" s="4"/>
      <c r="NBW15" s="4"/>
      <c r="NBX15" s="4"/>
      <c r="NBY15" s="4"/>
      <c r="NBZ15" s="4"/>
      <c r="NCA15" s="4"/>
      <c r="NCB15" s="4"/>
      <c r="NCC15" s="4"/>
      <c r="NCD15" s="4"/>
      <c r="NCE15" s="4"/>
      <c r="NCF15" s="4"/>
      <c r="NCG15" s="4"/>
      <c r="NCH15" s="4"/>
      <c r="NCI15" s="4"/>
      <c r="NCJ15" s="4"/>
      <c r="NCK15" s="4"/>
      <c r="NCL15" s="4"/>
      <c r="NCM15" s="4"/>
      <c r="NCN15" s="4"/>
      <c r="NCO15" s="4"/>
      <c r="NCP15" s="4"/>
      <c r="NCQ15" s="4"/>
      <c r="NCR15" s="4"/>
      <c r="NCS15" s="4"/>
      <c r="NCT15" s="4"/>
      <c r="NCU15" s="4"/>
      <c r="NCV15" s="4"/>
      <c r="NCW15" s="4"/>
      <c r="NCX15" s="4"/>
      <c r="NCY15" s="4"/>
      <c r="NCZ15" s="4"/>
      <c r="NDA15" s="4"/>
      <c r="NDB15" s="4"/>
      <c r="NDC15" s="4"/>
      <c r="NDD15" s="4"/>
      <c r="NDE15" s="4"/>
      <c r="NDF15" s="4"/>
      <c r="NDG15" s="4"/>
      <c r="NDH15" s="4"/>
      <c r="NDI15" s="4"/>
      <c r="NDJ15" s="4"/>
      <c r="NDK15" s="4"/>
      <c r="NDL15" s="4"/>
      <c r="NDM15" s="4"/>
      <c r="NDN15" s="4"/>
      <c r="NDO15" s="4"/>
      <c r="NDP15" s="4"/>
      <c r="NDQ15" s="4"/>
      <c r="NDR15" s="4"/>
      <c r="NDS15" s="4"/>
      <c r="NDT15" s="4"/>
      <c r="NDU15" s="4"/>
      <c r="NDV15" s="4"/>
      <c r="NDW15" s="4"/>
      <c r="NDX15" s="4"/>
      <c r="NDY15" s="4"/>
      <c r="NDZ15" s="4"/>
      <c r="NEA15" s="4"/>
      <c r="NEB15" s="4"/>
      <c r="NEC15" s="4"/>
      <c r="NED15" s="4"/>
      <c r="NEE15" s="4"/>
      <c r="NEF15" s="4"/>
      <c r="NEG15" s="4"/>
      <c r="NEH15" s="4"/>
      <c r="NEI15" s="4"/>
      <c r="NEJ15" s="4"/>
      <c r="NEK15" s="4"/>
      <c r="NEL15" s="4"/>
      <c r="NEM15" s="4"/>
      <c r="NEN15" s="4"/>
      <c r="NEO15" s="4"/>
      <c r="NEP15" s="4"/>
      <c r="NEQ15" s="4"/>
      <c r="NER15" s="4"/>
      <c r="NES15" s="4"/>
      <c r="NET15" s="4"/>
      <c r="NEU15" s="4"/>
      <c r="NEV15" s="4"/>
      <c r="NEW15" s="4"/>
      <c r="NEX15" s="4"/>
      <c r="NEY15" s="4"/>
      <c r="NEZ15" s="4"/>
      <c r="NFA15" s="4"/>
      <c r="NFB15" s="4"/>
      <c r="NFC15" s="4"/>
      <c r="NFD15" s="4"/>
      <c r="NFE15" s="4"/>
      <c r="NFF15" s="4"/>
      <c r="NFG15" s="4"/>
      <c r="NFH15" s="4"/>
      <c r="NFI15" s="4"/>
      <c r="NFJ15" s="4"/>
      <c r="NFK15" s="4"/>
      <c r="NFL15" s="4"/>
      <c r="NFM15" s="4"/>
      <c r="NFN15" s="4"/>
      <c r="NFO15" s="4"/>
      <c r="NFP15" s="4"/>
      <c r="NFQ15" s="4"/>
      <c r="NFR15" s="4"/>
      <c r="NFS15" s="4"/>
      <c r="NFT15" s="4"/>
      <c r="NFU15" s="4"/>
      <c r="NFV15" s="4"/>
      <c r="NFW15" s="4"/>
      <c r="NFX15" s="4"/>
      <c r="NFY15" s="4"/>
      <c r="NFZ15" s="4"/>
      <c r="NGA15" s="4"/>
      <c r="NGB15" s="4"/>
      <c r="NGC15" s="4"/>
      <c r="NGD15" s="4"/>
      <c r="NGE15" s="4"/>
      <c r="NGF15" s="4"/>
      <c r="NGG15" s="4"/>
      <c r="NGH15" s="4"/>
      <c r="NGI15" s="4"/>
      <c r="NGJ15" s="4"/>
      <c r="NGK15" s="4"/>
      <c r="NGL15" s="4"/>
      <c r="NGM15" s="4"/>
      <c r="NGN15" s="4"/>
      <c r="NGO15" s="4"/>
      <c r="NGP15" s="4"/>
      <c r="NGQ15" s="4"/>
      <c r="NGR15" s="4"/>
      <c r="NGS15" s="4"/>
      <c r="NGT15" s="4"/>
      <c r="NGU15" s="4"/>
      <c r="NGV15" s="4"/>
      <c r="NGW15" s="4"/>
      <c r="NGX15" s="4"/>
      <c r="NGY15" s="4"/>
      <c r="NGZ15" s="4"/>
      <c r="NHA15" s="4"/>
      <c r="NHB15" s="4"/>
      <c r="NHC15" s="4"/>
      <c r="NHD15" s="4"/>
      <c r="NHE15" s="4"/>
      <c r="NHF15" s="4"/>
      <c r="NHG15" s="4"/>
      <c r="NHH15" s="4"/>
      <c r="NHI15" s="4"/>
      <c r="NHJ15" s="4"/>
      <c r="NHK15" s="4"/>
      <c r="NHL15" s="4"/>
      <c r="NHM15" s="4"/>
      <c r="NHN15" s="4"/>
      <c r="NHO15" s="4"/>
      <c r="NHP15" s="4"/>
      <c r="NHQ15" s="4"/>
      <c r="NHR15" s="4"/>
      <c r="NHS15" s="4"/>
      <c r="NHT15" s="4"/>
      <c r="NHU15" s="4"/>
      <c r="NHV15" s="4"/>
      <c r="NHW15" s="4"/>
      <c r="NHX15" s="4"/>
      <c r="NHY15" s="4"/>
      <c r="NHZ15" s="4"/>
      <c r="NIA15" s="4"/>
      <c r="NIB15" s="4"/>
      <c r="NIC15" s="4"/>
      <c r="NID15" s="4"/>
      <c r="NIE15" s="4"/>
      <c r="NIF15" s="4"/>
      <c r="NIG15" s="4"/>
      <c r="NIH15" s="4"/>
      <c r="NII15" s="4"/>
      <c r="NIJ15" s="4"/>
      <c r="NIK15" s="4"/>
      <c r="NIL15" s="4"/>
      <c r="NIM15" s="4"/>
      <c r="NIN15" s="4"/>
      <c r="NIO15" s="4"/>
      <c r="NIP15" s="4"/>
      <c r="NIQ15" s="4"/>
      <c r="NIR15" s="4"/>
      <c r="NIS15" s="4"/>
      <c r="NIT15" s="4"/>
      <c r="NIU15" s="4"/>
      <c r="NIV15" s="4"/>
      <c r="NIW15" s="4"/>
      <c r="NIX15" s="4"/>
      <c r="NIY15" s="4"/>
      <c r="NIZ15" s="4"/>
      <c r="NJA15" s="4"/>
      <c r="NJB15" s="4"/>
      <c r="NJC15" s="4"/>
      <c r="NJD15" s="4"/>
      <c r="NJE15" s="4"/>
      <c r="NJF15" s="4"/>
      <c r="NJG15" s="4"/>
      <c r="NJH15" s="4"/>
      <c r="NJI15" s="4"/>
      <c r="NJJ15" s="4"/>
      <c r="NJK15" s="4"/>
      <c r="NJL15" s="4"/>
      <c r="NJM15" s="4"/>
      <c r="NJN15" s="4"/>
      <c r="NJO15" s="4"/>
      <c r="NJP15" s="4"/>
      <c r="NJQ15" s="4"/>
      <c r="NJR15" s="4"/>
      <c r="NJS15" s="4"/>
      <c r="NJT15" s="4"/>
      <c r="NJU15" s="4"/>
      <c r="NJV15" s="4"/>
      <c r="NJW15" s="4"/>
      <c r="NJX15" s="4"/>
      <c r="NJY15" s="4"/>
      <c r="NJZ15" s="4"/>
      <c r="NKA15" s="4"/>
      <c r="NKB15" s="4"/>
      <c r="NKC15" s="4"/>
      <c r="NKD15" s="4"/>
      <c r="NKE15" s="4"/>
      <c r="NKF15" s="4"/>
      <c r="NKG15" s="4"/>
      <c r="NKH15" s="4"/>
      <c r="NKI15" s="4"/>
      <c r="NKJ15" s="4"/>
      <c r="NKK15" s="4"/>
      <c r="NKL15" s="4"/>
      <c r="NKM15" s="4"/>
      <c r="NKN15" s="4"/>
      <c r="NKO15" s="4"/>
      <c r="NKP15" s="4"/>
      <c r="NKQ15" s="4"/>
      <c r="NKR15" s="4"/>
      <c r="NKS15" s="4"/>
      <c r="NKT15" s="4"/>
      <c r="NKU15" s="4"/>
      <c r="NKV15" s="4"/>
      <c r="NKW15" s="4"/>
      <c r="NKX15" s="4"/>
      <c r="NKY15" s="4"/>
      <c r="NKZ15" s="4"/>
      <c r="NLA15" s="4"/>
      <c r="NLB15" s="4"/>
      <c r="NLC15" s="4"/>
      <c r="NLD15" s="4"/>
      <c r="NLE15" s="4"/>
      <c r="NLF15" s="4"/>
      <c r="NLG15" s="4"/>
      <c r="NLH15" s="4"/>
      <c r="NLI15" s="4"/>
      <c r="NLJ15" s="4"/>
      <c r="NLK15" s="4"/>
      <c r="NLL15" s="4"/>
      <c r="NLM15" s="4"/>
      <c r="NLN15" s="4"/>
      <c r="NLO15" s="4"/>
      <c r="NLP15" s="4"/>
      <c r="NLQ15" s="4"/>
      <c r="NLR15" s="4"/>
      <c r="NLS15" s="4"/>
      <c r="NLT15" s="4"/>
      <c r="NLU15" s="4"/>
      <c r="NLV15" s="4"/>
      <c r="NLW15" s="4"/>
      <c r="NLX15" s="4"/>
      <c r="NLY15" s="4"/>
      <c r="NLZ15" s="4"/>
      <c r="NMA15" s="4"/>
      <c r="NMB15" s="4"/>
      <c r="NMC15" s="4"/>
      <c r="NMD15" s="4"/>
      <c r="NME15" s="4"/>
      <c r="NMF15" s="4"/>
      <c r="NMG15" s="4"/>
      <c r="NMH15" s="4"/>
      <c r="NMI15" s="4"/>
      <c r="NMJ15" s="4"/>
      <c r="NMK15" s="4"/>
      <c r="NML15" s="4"/>
      <c r="NMM15" s="4"/>
      <c r="NMN15" s="4"/>
      <c r="NMO15" s="4"/>
      <c r="NMP15" s="4"/>
      <c r="NMQ15" s="4"/>
      <c r="NMR15" s="4"/>
      <c r="NMS15" s="4"/>
      <c r="NMT15" s="4"/>
      <c r="NMU15" s="4"/>
      <c r="NMV15" s="4"/>
      <c r="NMW15" s="4"/>
      <c r="NMX15" s="4"/>
      <c r="NMY15" s="4"/>
      <c r="NMZ15" s="4"/>
      <c r="NNA15" s="4"/>
      <c r="NNB15" s="4"/>
      <c r="NNC15" s="4"/>
      <c r="NND15" s="4"/>
      <c r="NNE15" s="4"/>
      <c r="NNF15" s="4"/>
      <c r="NNG15" s="4"/>
      <c r="NNH15" s="4"/>
      <c r="NNI15" s="4"/>
      <c r="NNJ15" s="4"/>
      <c r="NNK15" s="4"/>
      <c r="NNL15" s="4"/>
      <c r="NNM15" s="4"/>
      <c r="NNN15" s="4"/>
      <c r="NNO15" s="4"/>
      <c r="NNP15" s="4"/>
      <c r="NNQ15" s="4"/>
      <c r="NNR15" s="4"/>
      <c r="NNS15" s="4"/>
      <c r="NNT15" s="4"/>
      <c r="NNU15" s="4"/>
      <c r="NNV15" s="4"/>
      <c r="NNW15" s="4"/>
      <c r="NNX15" s="4"/>
      <c r="NNY15" s="4"/>
      <c r="NNZ15" s="4"/>
      <c r="NOA15" s="4"/>
      <c r="NOB15" s="4"/>
      <c r="NOC15" s="4"/>
      <c r="NOD15" s="4"/>
      <c r="NOE15" s="4"/>
      <c r="NOF15" s="4"/>
      <c r="NOG15" s="4"/>
      <c r="NOH15" s="4"/>
      <c r="NOI15" s="4"/>
      <c r="NOJ15" s="4"/>
      <c r="NOK15" s="4"/>
      <c r="NOL15" s="4"/>
      <c r="NOM15" s="4"/>
      <c r="NON15" s="4"/>
      <c r="NOO15" s="4"/>
      <c r="NOP15" s="4"/>
      <c r="NOQ15" s="4"/>
      <c r="NOR15" s="4"/>
      <c r="NOS15" s="4"/>
      <c r="NOT15" s="4"/>
      <c r="NOU15" s="4"/>
      <c r="NOV15" s="4"/>
      <c r="NOW15" s="4"/>
      <c r="NOX15" s="4"/>
      <c r="NOY15" s="4"/>
      <c r="NOZ15" s="4"/>
      <c r="NPA15" s="4"/>
      <c r="NPB15" s="4"/>
      <c r="NPC15" s="4"/>
      <c r="NPD15" s="4"/>
      <c r="NPE15" s="4"/>
      <c r="NPF15" s="4"/>
      <c r="NPG15" s="4"/>
      <c r="NPH15" s="4"/>
      <c r="NPI15" s="4"/>
      <c r="NPJ15" s="4"/>
      <c r="NPK15" s="4"/>
      <c r="NPL15" s="4"/>
      <c r="NPM15" s="4"/>
      <c r="NPN15" s="4"/>
      <c r="NPO15" s="4"/>
      <c r="NPP15" s="4"/>
      <c r="NPQ15" s="4"/>
      <c r="NPR15" s="4"/>
      <c r="NPS15" s="4"/>
      <c r="NPT15" s="4"/>
      <c r="NPU15" s="4"/>
      <c r="NPV15" s="4"/>
      <c r="NPW15" s="4"/>
      <c r="NPX15" s="4"/>
      <c r="NPY15" s="4"/>
      <c r="NPZ15" s="4"/>
      <c r="NQA15" s="4"/>
      <c r="NQB15" s="4"/>
      <c r="NQC15" s="4"/>
      <c r="NQD15" s="4"/>
      <c r="NQE15" s="4"/>
      <c r="NQF15" s="4"/>
      <c r="NQG15" s="4"/>
      <c r="NQH15" s="4"/>
      <c r="NQI15" s="4"/>
      <c r="NQJ15" s="4"/>
      <c r="NQK15" s="4"/>
      <c r="NQL15" s="4"/>
      <c r="NQM15" s="4"/>
      <c r="NQN15" s="4"/>
      <c r="NQO15" s="4"/>
      <c r="NQP15" s="4"/>
      <c r="NQQ15" s="4"/>
      <c r="NQR15" s="4"/>
      <c r="NQS15" s="4"/>
      <c r="NQT15" s="4"/>
      <c r="NQU15" s="4"/>
      <c r="NQV15" s="4"/>
      <c r="NQW15" s="4"/>
      <c r="NQX15" s="4"/>
      <c r="NQY15" s="4"/>
      <c r="NQZ15" s="4"/>
      <c r="NRA15" s="4"/>
      <c r="NRB15" s="4"/>
      <c r="NRC15" s="4"/>
      <c r="NRD15" s="4"/>
      <c r="NRE15" s="4"/>
      <c r="NRF15" s="4"/>
      <c r="NRG15" s="4"/>
      <c r="NRH15" s="4"/>
      <c r="NRI15" s="4"/>
      <c r="NRJ15" s="4"/>
      <c r="NRK15" s="4"/>
      <c r="NRL15" s="4"/>
      <c r="NRM15" s="4"/>
      <c r="NRN15" s="4"/>
      <c r="NRO15" s="4"/>
      <c r="NRP15" s="4"/>
      <c r="NRQ15" s="4"/>
      <c r="NRR15" s="4"/>
      <c r="NRS15" s="4"/>
      <c r="NRT15" s="4"/>
      <c r="NRU15" s="4"/>
      <c r="NRV15" s="4"/>
      <c r="NRW15" s="4"/>
      <c r="NRX15" s="4"/>
      <c r="NRY15" s="4"/>
      <c r="NRZ15" s="4"/>
      <c r="NSA15" s="4"/>
      <c r="NSB15" s="4"/>
      <c r="NSC15" s="4"/>
      <c r="NSD15" s="4"/>
      <c r="NSE15" s="4"/>
      <c r="NSF15" s="4"/>
      <c r="NSG15" s="4"/>
      <c r="NSH15" s="4"/>
      <c r="NSI15" s="4"/>
      <c r="NSJ15" s="4"/>
      <c r="NSK15" s="4"/>
      <c r="NSL15" s="4"/>
      <c r="NSM15" s="4"/>
      <c r="NSN15" s="4"/>
      <c r="NSO15" s="4"/>
      <c r="NSP15" s="4"/>
      <c r="NSQ15" s="4"/>
      <c r="NSR15" s="4"/>
      <c r="NSS15" s="4"/>
      <c r="NST15" s="4"/>
      <c r="NSU15" s="4"/>
      <c r="NSV15" s="4"/>
      <c r="NSW15" s="4"/>
      <c r="NSX15" s="4"/>
      <c r="NSY15" s="4"/>
      <c r="NSZ15" s="4"/>
      <c r="NTA15" s="4"/>
      <c r="NTB15" s="4"/>
      <c r="NTC15" s="4"/>
      <c r="NTD15" s="4"/>
      <c r="NTE15" s="4"/>
      <c r="NTF15" s="4"/>
      <c r="NTG15" s="4"/>
      <c r="NTH15" s="4"/>
      <c r="NTI15" s="4"/>
      <c r="NTJ15" s="4"/>
      <c r="NTK15" s="4"/>
      <c r="NTL15" s="4"/>
      <c r="NTM15" s="4"/>
      <c r="NTN15" s="4"/>
      <c r="NTO15" s="4"/>
      <c r="NTP15" s="4"/>
      <c r="NTQ15" s="4"/>
      <c r="NTR15" s="4"/>
      <c r="NTS15" s="4"/>
      <c r="NTT15" s="4"/>
      <c r="NTU15" s="4"/>
      <c r="NTV15" s="4"/>
      <c r="NTW15" s="4"/>
      <c r="NTX15" s="4"/>
      <c r="NTY15" s="4"/>
      <c r="NTZ15" s="4"/>
      <c r="NUA15" s="4"/>
      <c r="NUB15" s="4"/>
      <c r="NUC15" s="4"/>
      <c r="NUD15" s="4"/>
      <c r="NUE15" s="4"/>
      <c r="NUF15" s="4"/>
      <c r="NUG15" s="4"/>
      <c r="NUH15" s="4"/>
      <c r="NUI15" s="4"/>
      <c r="NUJ15" s="4"/>
      <c r="NUK15" s="4"/>
      <c r="NUL15" s="4"/>
      <c r="NUM15" s="4"/>
      <c r="NUN15" s="4"/>
      <c r="NUO15" s="4"/>
      <c r="NUP15" s="4"/>
      <c r="NUQ15" s="4"/>
      <c r="NUR15" s="4"/>
      <c r="NUS15" s="4"/>
      <c r="NUT15" s="4"/>
      <c r="NUU15" s="4"/>
      <c r="NUV15" s="4"/>
      <c r="NUW15" s="4"/>
      <c r="NUX15" s="4"/>
      <c r="NUY15" s="4"/>
      <c r="NUZ15" s="4"/>
      <c r="NVA15" s="4"/>
      <c r="NVB15" s="4"/>
      <c r="NVC15" s="4"/>
      <c r="NVD15" s="4"/>
      <c r="NVE15" s="4"/>
      <c r="NVF15" s="4"/>
      <c r="NVG15" s="4"/>
      <c r="NVH15" s="4"/>
      <c r="NVI15" s="4"/>
      <c r="NVJ15" s="4"/>
      <c r="NVK15" s="4"/>
      <c r="NVL15" s="4"/>
      <c r="NVM15" s="4"/>
      <c r="NVN15" s="4"/>
      <c r="NVO15" s="4"/>
      <c r="NVP15" s="4"/>
      <c r="NVQ15" s="4"/>
      <c r="NVR15" s="4"/>
      <c r="NVS15" s="4"/>
      <c r="NVT15" s="4"/>
      <c r="NVU15" s="4"/>
      <c r="NVV15" s="4"/>
      <c r="NVW15" s="4"/>
      <c r="NVX15" s="4"/>
      <c r="NVY15" s="4"/>
      <c r="NVZ15" s="4"/>
      <c r="NWA15" s="4"/>
      <c r="NWB15" s="4"/>
      <c r="NWC15" s="4"/>
      <c r="NWD15" s="4"/>
      <c r="NWE15" s="4"/>
      <c r="NWF15" s="4"/>
      <c r="NWG15" s="4"/>
      <c r="NWH15" s="4"/>
      <c r="NWI15" s="4"/>
      <c r="NWJ15" s="4"/>
      <c r="NWK15" s="4"/>
      <c r="NWL15" s="4"/>
      <c r="NWM15" s="4"/>
      <c r="NWN15" s="4"/>
      <c r="NWO15" s="4"/>
      <c r="NWP15" s="4"/>
      <c r="NWQ15" s="4"/>
      <c r="NWR15" s="4"/>
      <c r="NWS15" s="4"/>
      <c r="NWT15" s="4"/>
      <c r="NWU15" s="4"/>
      <c r="NWV15" s="4"/>
      <c r="NWW15" s="4"/>
      <c r="NWX15" s="4"/>
      <c r="NWY15" s="4"/>
      <c r="NWZ15" s="4"/>
      <c r="NXA15" s="4"/>
      <c r="NXB15" s="4"/>
      <c r="NXC15" s="4"/>
      <c r="NXD15" s="4"/>
      <c r="NXE15" s="4"/>
      <c r="NXF15" s="4"/>
      <c r="NXG15" s="4"/>
      <c r="NXH15" s="4"/>
      <c r="NXI15" s="4"/>
      <c r="NXJ15" s="4"/>
      <c r="NXK15" s="4"/>
      <c r="NXL15" s="4"/>
      <c r="NXM15" s="4"/>
      <c r="NXN15" s="4"/>
      <c r="NXO15" s="4"/>
      <c r="NXP15" s="4"/>
      <c r="NXQ15" s="4"/>
      <c r="NXR15" s="4"/>
      <c r="NXS15" s="4"/>
      <c r="NXT15" s="4"/>
      <c r="NXU15" s="4"/>
      <c r="NXV15" s="4"/>
      <c r="NXW15" s="4"/>
      <c r="NXX15" s="4"/>
      <c r="NXY15" s="4"/>
      <c r="NXZ15" s="4"/>
      <c r="NYA15" s="4"/>
      <c r="NYB15" s="4"/>
      <c r="NYC15" s="4"/>
      <c r="NYD15" s="4"/>
      <c r="NYE15" s="4"/>
      <c r="NYF15" s="4"/>
      <c r="NYG15" s="4"/>
      <c r="NYH15" s="4"/>
      <c r="NYI15" s="4"/>
      <c r="NYJ15" s="4"/>
      <c r="NYK15" s="4"/>
      <c r="NYL15" s="4"/>
      <c r="NYM15" s="4"/>
      <c r="NYN15" s="4"/>
      <c r="NYO15" s="4"/>
      <c r="NYP15" s="4"/>
      <c r="NYQ15" s="4"/>
      <c r="NYR15" s="4"/>
      <c r="NYS15" s="4"/>
      <c r="NYT15" s="4"/>
      <c r="NYU15" s="4"/>
      <c r="NYV15" s="4"/>
      <c r="NYW15" s="4"/>
      <c r="NYX15" s="4"/>
      <c r="NYY15" s="4"/>
      <c r="NYZ15" s="4"/>
      <c r="NZA15" s="4"/>
      <c r="NZB15" s="4"/>
      <c r="NZC15" s="4"/>
      <c r="NZD15" s="4"/>
      <c r="NZE15" s="4"/>
      <c r="NZF15" s="4"/>
      <c r="NZG15" s="4"/>
      <c r="NZH15" s="4"/>
      <c r="NZI15" s="4"/>
      <c r="NZJ15" s="4"/>
      <c r="NZK15" s="4"/>
      <c r="NZL15" s="4"/>
      <c r="NZM15" s="4"/>
      <c r="NZN15" s="4"/>
      <c r="NZO15" s="4"/>
      <c r="NZP15" s="4"/>
      <c r="NZQ15" s="4"/>
      <c r="NZR15" s="4"/>
      <c r="NZS15" s="4"/>
      <c r="NZT15" s="4"/>
      <c r="NZU15" s="4"/>
      <c r="NZV15" s="4"/>
      <c r="NZW15" s="4"/>
      <c r="NZX15" s="4"/>
      <c r="NZY15" s="4"/>
      <c r="NZZ15" s="4"/>
      <c r="OAA15" s="4"/>
      <c r="OAB15" s="4"/>
      <c r="OAC15" s="4"/>
      <c r="OAD15" s="4"/>
      <c r="OAE15" s="4"/>
      <c r="OAF15" s="4"/>
      <c r="OAG15" s="4"/>
      <c r="OAH15" s="4"/>
      <c r="OAI15" s="4"/>
      <c r="OAJ15" s="4"/>
      <c r="OAK15" s="4"/>
      <c r="OAL15" s="4"/>
      <c r="OAM15" s="4"/>
      <c r="OAN15" s="4"/>
      <c r="OAO15" s="4"/>
      <c r="OAP15" s="4"/>
      <c r="OAQ15" s="4"/>
      <c r="OAR15" s="4"/>
      <c r="OAS15" s="4"/>
      <c r="OAT15" s="4"/>
      <c r="OAU15" s="4"/>
      <c r="OAV15" s="4"/>
      <c r="OAW15" s="4"/>
      <c r="OAX15" s="4"/>
      <c r="OAY15" s="4"/>
      <c r="OAZ15" s="4"/>
      <c r="OBA15" s="4"/>
      <c r="OBB15" s="4"/>
      <c r="OBC15" s="4"/>
      <c r="OBD15" s="4"/>
      <c r="OBE15" s="4"/>
      <c r="OBF15" s="4"/>
      <c r="OBG15" s="4"/>
      <c r="OBH15" s="4"/>
      <c r="OBI15" s="4"/>
      <c r="OBJ15" s="4"/>
      <c r="OBK15" s="4"/>
      <c r="OBL15" s="4"/>
      <c r="OBM15" s="4"/>
      <c r="OBN15" s="4"/>
      <c r="OBO15" s="4"/>
      <c r="OBP15" s="4"/>
      <c r="OBQ15" s="4"/>
      <c r="OBR15" s="4"/>
      <c r="OBS15" s="4"/>
      <c r="OBT15" s="4"/>
      <c r="OBU15" s="4"/>
      <c r="OBV15" s="4"/>
      <c r="OBW15" s="4"/>
      <c r="OBX15" s="4"/>
      <c r="OBY15" s="4"/>
      <c r="OBZ15" s="4"/>
      <c r="OCA15" s="4"/>
      <c r="OCB15" s="4"/>
      <c r="OCC15" s="4"/>
      <c r="OCD15" s="4"/>
      <c r="OCE15" s="4"/>
      <c r="OCF15" s="4"/>
      <c r="OCG15" s="4"/>
      <c r="OCH15" s="4"/>
      <c r="OCI15" s="4"/>
      <c r="OCJ15" s="4"/>
      <c r="OCK15" s="4"/>
      <c r="OCL15" s="4"/>
      <c r="OCM15" s="4"/>
      <c r="OCN15" s="4"/>
      <c r="OCO15" s="4"/>
      <c r="OCP15" s="4"/>
      <c r="OCQ15" s="4"/>
      <c r="OCR15" s="4"/>
      <c r="OCS15" s="4"/>
      <c r="OCT15" s="4"/>
      <c r="OCU15" s="4"/>
      <c r="OCV15" s="4"/>
      <c r="OCW15" s="4"/>
      <c r="OCX15" s="4"/>
      <c r="OCY15" s="4"/>
      <c r="OCZ15" s="4"/>
      <c r="ODA15" s="4"/>
      <c r="ODB15" s="4"/>
      <c r="ODC15" s="4"/>
      <c r="ODD15" s="4"/>
      <c r="ODE15" s="4"/>
      <c r="ODF15" s="4"/>
      <c r="ODG15" s="4"/>
      <c r="ODH15" s="4"/>
      <c r="ODI15" s="4"/>
      <c r="ODJ15" s="4"/>
      <c r="ODK15" s="4"/>
      <c r="ODL15" s="4"/>
      <c r="ODM15" s="4"/>
      <c r="ODN15" s="4"/>
      <c r="ODO15" s="4"/>
      <c r="ODP15" s="4"/>
      <c r="ODQ15" s="4"/>
      <c r="ODR15" s="4"/>
      <c r="ODS15" s="4"/>
      <c r="ODT15" s="4"/>
      <c r="ODU15" s="4"/>
      <c r="ODV15" s="4"/>
      <c r="ODW15" s="4"/>
      <c r="ODX15" s="4"/>
      <c r="ODY15" s="4"/>
      <c r="ODZ15" s="4"/>
      <c r="OEA15" s="4"/>
      <c r="OEB15" s="4"/>
      <c r="OEC15" s="4"/>
      <c r="OED15" s="4"/>
      <c r="OEE15" s="4"/>
      <c r="OEF15" s="4"/>
      <c r="OEG15" s="4"/>
      <c r="OEH15" s="4"/>
      <c r="OEI15" s="4"/>
      <c r="OEJ15" s="4"/>
      <c r="OEK15" s="4"/>
      <c r="OEL15" s="4"/>
      <c r="OEM15" s="4"/>
      <c r="OEN15" s="4"/>
      <c r="OEO15" s="4"/>
      <c r="OEP15" s="4"/>
      <c r="OEQ15" s="4"/>
      <c r="OER15" s="4"/>
      <c r="OES15" s="4"/>
      <c r="OET15" s="4"/>
      <c r="OEU15" s="4"/>
      <c r="OEV15" s="4"/>
      <c r="OEW15" s="4"/>
      <c r="OEX15" s="4"/>
      <c r="OEY15" s="4"/>
      <c r="OEZ15" s="4"/>
      <c r="OFA15" s="4"/>
      <c r="OFB15" s="4"/>
      <c r="OFC15" s="4"/>
      <c r="OFD15" s="4"/>
      <c r="OFE15" s="4"/>
      <c r="OFF15" s="4"/>
      <c r="OFG15" s="4"/>
      <c r="OFH15" s="4"/>
      <c r="OFI15" s="4"/>
      <c r="OFJ15" s="4"/>
      <c r="OFK15" s="4"/>
      <c r="OFL15" s="4"/>
      <c r="OFM15" s="4"/>
      <c r="OFN15" s="4"/>
      <c r="OFO15" s="4"/>
      <c r="OFP15" s="4"/>
      <c r="OFQ15" s="4"/>
      <c r="OFR15" s="4"/>
      <c r="OFS15" s="4"/>
      <c r="OFT15" s="4"/>
      <c r="OFU15" s="4"/>
      <c r="OFV15" s="4"/>
      <c r="OFW15" s="4"/>
      <c r="OFX15" s="4"/>
      <c r="OFY15" s="4"/>
      <c r="OFZ15" s="4"/>
      <c r="OGA15" s="4"/>
      <c r="OGB15" s="4"/>
      <c r="OGC15" s="4"/>
      <c r="OGD15" s="4"/>
      <c r="OGE15" s="4"/>
      <c r="OGF15" s="4"/>
      <c r="OGG15" s="4"/>
      <c r="OGH15" s="4"/>
      <c r="OGI15" s="4"/>
      <c r="OGJ15" s="4"/>
      <c r="OGK15" s="4"/>
      <c r="OGL15" s="4"/>
      <c r="OGM15" s="4"/>
      <c r="OGN15" s="4"/>
      <c r="OGO15" s="4"/>
      <c r="OGP15" s="4"/>
      <c r="OGQ15" s="4"/>
      <c r="OGR15" s="4"/>
      <c r="OGS15" s="4"/>
      <c r="OGT15" s="4"/>
      <c r="OGU15" s="4"/>
      <c r="OGV15" s="4"/>
      <c r="OGW15" s="4"/>
      <c r="OGX15" s="4"/>
      <c r="OGY15" s="4"/>
      <c r="OGZ15" s="4"/>
      <c r="OHA15" s="4"/>
      <c r="OHB15" s="4"/>
      <c r="OHC15" s="4"/>
      <c r="OHD15" s="4"/>
      <c r="OHE15" s="4"/>
      <c r="OHF15" s="4"/>
      <c r="OHG15" s="4"/>
      <c r="OHH15" s="4"/>
      <c r="OHI15" s="4"/>
      <c r="OHJ15" s="4"/>
      <c r="OHK15" s="4"/>
      <c r="OHL15" s="4"/>
      <c r="OHM15" s="4"/>
      <c r="OHN15" s="4"/>
      <c r="OHO15" s="4"/>
      <c r="OHP15" s="4"/>
      <c r="OHQ15" s="4"/>
      <c r="OHR15" s="4"/>
      <c r="OHS15" s="4"/>
      <c r="OHT15" s="4"/>
      <c r="OHU15" s="4"/>
      <c r="OHV15" s="4"/>
      <c r="OHW15" s="4"/>
      <c r="OHX15" s="4"/>
      <c r="OHY15" s="4"/>
      <c r="OHZ15" s="4"/>
      <c r="OIA15" s="4"/>
      <c r="OIB15" s="4"/>
      <c r="OIC15" s="4"/>
      <c r="OID15" s="4"/>
      <c r="OIE15" s="4"/>
      <c r="OIF15" s="4"/>
      <c r="OIG15" s="4"/>
      <c r="OIH15" s="4"/>
      <c r="OII15" s="4"/>
      <c r="OIJ15" s="4"/>
      <c r="OIK15" s="4"/>
      <c r="OIL15" s="4"/>
      <c r="OIM15" s="4"/>
      <c r="OIN15" s="4"/>
      <c r="OIO15" s="4"/>
      <c r="OIP15" s="4"/>
      <c r="OIQ15" s="4"/>
      <c r="OIR15" s="4"/>
      <c r="OIS15" s="4"/>
      <c r="OIT15" s="4"/>
      <c r="OIU15" s="4"/>
      <c r="OIV15" s="4"/>
      <c r="OIW15" s="4"/>
      <c r="OIX15" s="4"/>
      <c r="OIY15" s="4"/>
      <c r="OIZ15" s="4"/>
      <c r="OJA15" s="4"/>
      <c r="OJB15" s="4"/>
      <c r="OJC15" s="4"/>
      <c r="OJD15" s="4"/>
      <c r="OJE15" s="4"/>
      <c r="OJF15" s="4"/>
      <c r="OJG15" s="4"/>
      <c r="OJH15" s="4"/>
      <c r="OJI15" s="4"/>
      <c r="OJJ15" s="4"/>
      <c r="OJK15" s="4"/>
      <c r="OJL15" s="4"/>
      <c r="OJM15" s="4"/>
      <c r="OJN15" s="4"/>
      <c r="OJO15" s="4"/>
      <c r="OJP15" s="4"/>
      <c r="OJQ15" s="4"/>
      <c r="OJR15" s="4"/>
      <c r="OJS15" s="4"/>
      <c r="OJT15" s="4"/>
      <c r="OJU15" s="4"/>
      <c r="OJV15" s="4"/>
      <c r="OJW15" s="4"/>
      <c r="OJX15" s="4"/>
      <c r="OJY15" s="4"/>
      <c r="OJZ15" s="4"/>
      <c r="OKA15" s="4"/>
      <c r="OKB15" s="4"/>
      <c r="OKC15" s="4"/>
      <c r="OKD15" s="4"/>
      <c r="OKE15" s="4"/>
      <c r="OKF15" s="4"/>
      <c r="OKG15" s="4"/>
      <c r="OKH15" s="4"/>
      <c r="OKI15" s="4"/>
      <c r="OKJ15" s="4"/>
      <c r="OKK15" s="4"/>
      <c r="OKL15" s="4"/>
      <c r="OKM15" s="4"/>
      <c r="OKN15" s="4"/>
      <c r="OKO15" s="4"/>
      <c r="OKP15" s="4"/>
      <c r="OKQ15" s="4"/>
      <c r="OKR15" s="4"/>
      <c r="OKS15" s="4"/>
      <c r="OKT15" s="4"/>
      <c r="OKU15" s="4"/>
      <c r="OKV15" s="4"/>
      <c r="OKW15" s="4"/>
      <c r="OKX15" s="4"/>
      <c r="OKY15" s="4"/>
      <c r="OKZ15" s="4"/>
      <c r="OLA15" s="4"/>
      <c r="OLB15" s="4"/>
      <c r="OLC15" s="4"/>
      <c r="OLD15" s="4"/>
      <c r="OLE15" s="4"/>
      <c r="OLF15" s="4"/>
      <c r="OLG15" s="4"/>
      <c r="OLH15" s="4"/>
      <c r="OLI15" s="4"/>
      <c r="OLJ15" s="4"/>
      <c r="OLK15" s="4"/>
      <c r="OLL15" s="4"/>
      <c r="OLM15" s="4"/>
      <c r="OLN15" s="4"/>
      <c r="OLO15" s="4"/>
      <c r="OLP15" s="4"/>
      <c r="OLQ15" s="4"/>
      <c r="OLR15" s="4"/>
      <c r="OLS15" s="4"/>
      <c r="OLT15" s="4"/>
      <c r="OLU15" s="4"/>
      <c r="OLV15" s="4"/>
      <c r="OLW15" s="4"/>
      <c r="OLX15" s="4"/>
      <c r="OLY15" s="4"/>
      <c r="OLZ15" s="4"/>
      <c r="OMA15" s="4"/>
      <c r="OMB15" s="4"/>
      <c r="OMC15" s="4"/>
      <c r="OMD15" s="4"/>
      <c r="OME15" s="4"/>
      <c r="OMF15" s="4"/>
      <c r="OMG15" s="4"/>
      <c r="OMH15" s="4"/>
      <c r="OMI15" s="4"/>
      <c r="OMJ15" s="4"/>
      <c r="OMK15" s="4"/>
      <c r="OML15" s="4"/>
      <c r="OMM15" s="4"/>
      <c r="OMN15" s="4"/>
      <c r="OMO15" s="4"/>
      <c r="OMP15" s="4"/>
      <c r="OMQ15" s="4"/>
      <c r="OMR15" s="4"/>
      <c r="OMS15" s="4"/>
      <c r="OMT15" s="4"/>
      <c r="OMU15" s="4"/>
      <c r="OMV15" s="4"/>
      <c r="OMW15" s="4"/>
      <c r="OMX15" s="4"/>
      <c r="OMY15" s="4"/>
      <c r="OMZ15" s="4"/>
      <c r="ONA15" s="4"/>
      <c r="ONB15" s="4"/>
      <c r="ONC15" s="4"/>
      <c r="OND15" s="4"/>
      <c r="ONE15" s="4"/>
      <c r="ONF15" s="4"/>
      <c r="ONG15" s="4"/>
      <c r="ONH15" s="4"/>
      <c r="ONI15" s="4"/>
      <c r="ONJ15" s="4"/>
      <c r="ONK15" s="4"/>
      <c r="ONL15" s="4"/>
      <c r="ONM15" s="4"/>
      <c r="ONN15" s="4"/>
      <c r="ONO15" s="4"/>
      <c r="ONP15" s="4"/>
      <c r="ONQ15" s="4"/>
      <c r="ONR15" s="4"/>
      <c r="ONS15" s="4"/>
      <c r="ONT15" s="4"/>
      <c r="ONU15" s="4"/>
      <c r="ONV15" s="4"/>
      <c r="ONW15" s="4"/>
      <c r="ONX15" s="4"/>
      <c r="ONY15" s="4"/>
      <c r="ONZ15" s="4"/>
      <c r="OOA15" s="4"/>
      <c r="OOB15" s="4"/>
      <c r="OOC15" s="4"/>
      <c r="OOD15" s="4"/>
      <c r="OOE15" s="4"/>
      <c r="OOF15" s="4"/>
      <c r="OOG15" s="4"/>
      <c r="OOH15" s="4"/>
      <c r="OOI15" s="4"/>
      <c r="OOJ15" s="4"/>
      <c r="OOK15" s="4"/>
      <c r="OOL15" s="4"/>
      <c r="OOM15" s="4"/>
      <c r="OON15" s="4"/>
      <c r="OOO15" s="4"/>
      <c r="OOP15" s="4"/>
      <c r="OOQ15" s="4"/>
      <c r="OOR15" s="4"/>
      <c r="OOS15" s="4"/>
      <c r="OOT15" s="4"/>
      <c r="OOU15" s="4"/>
      <c r="OOV15" s="4"/>
      <c r="OOW15" s="4"/>
      <c r="OOX15" s="4"/>
      <c r="OOY15" s="4"/>
      <c r="OOZ15" s="4"/>
      <c r="OPA15" s="4"/>
      <c r="OPB15" s="4"/>
      <c r="OPC15" s="4"/>
      <c r="OPD15" s="4"/>
      <c r="OPE15" s="4"/>
      <c r="OPF15" s="4"/>
      <c r="OPG15" s="4"/>
      <c r="OPH15" s="4"/>
      <c r="OPI15" s="4"/>
      <c r="OPJ15" s="4"/>
      <c r="OPK15" s="4"/>
      <c r="OPL15" s="4"/>
      <c r="OPM15" s="4"/>
      <c r="OPN15" s="4"/>
      <c r="OPO15" s="4"/>
      <c r="OPP15" s="4"/>
      <c r="OPQ15" s="4"/>
      <c r="OPR15" s="4"/>
      <c r="OPS15" s="4"/>
      <c r="OPT15" s="4"/>
      <c r="OPU15" s="4"/>
      <c r="OPV15" s="4"/>
      <c r="OPW15" s="4"/>
      <c r="OPX15" s="4"/>
      <c r="OPY15" s="4"/>
      <c r="OPZ15" s="4"/>
      <c r="OQA15" s="4"/>
      <c r="OQB15" s="4"/>
      <c r="OQC15" s="4"/>
      <c r="OQD15" s="4"/>
      <c r="OQE15" s="4"/>
      <c r="OQF15" s="4"/>
      <c r="OQG15" s="4"/>
      <c r="OQH15" s="4"/>
      <c r="OQI15" s="4"/>
      <c r="OQJ15" s="4"/>
      <c r="OQK15" s="4"/>
      <c r="OQL15" s="4"/>
      <c r="OQM15" s="4"/>
      <c r="OQN15" s="4"/>
      <c r="OQO15" s="4"/>
      <c r="OQP15" s="4"/>
      <c r="OQQ15" s="4"/>
      <c r="OQR15" s="4"/>
      <c r="OQS15" s="4"/>
      <c r="OQT15" s="4"/>
      <c r="OQU15" s="4"/>
      <c r="OQV15" s="4"/>
      <c r="OQW15" s="4"/>
      <c r="OQX15" s="4"/>
      <c r="OQY15" s="4"/>
      <c r="OQZ15" s="4"/>
      <c r="ORA15" s="4"/>
      <c r="ORB15" s="4"/>
      <c r="ORC15" s="4"/>
      <c r="ORD15" s="4"/>
      <c r="ORE15" s="4"/>
      <c r="ORF15" s="4"/>
      <c r="ORG15" s="4"/>
      <c r="ORH15" s="4"/>
      <c r="ORI15" s="4"/>
      <c r="ORJ15" s="4"/>
      <c r="ORK15" s="4"/>
      <c r="ORL15" s="4"/>
      <c r="ORM15" s="4"/>
      <c r="ORN15" s="4"/>
      <c r="ORO15" s="4"/>
      <c r="ORP15" s="4"/>
      <c r="ORQ15" s="4"/>
      <c r="ORR15" s="4"/>
      <c r="ORS15" s="4"/>
      <c r="ORT15" s="4"/>
      <c r="ORU15" s="4"/>
      <c r="ORV15" s="4"/>
      <c r="ORW15" s="4"/>
      <c r="ORX15" s="4"/>
      <c r="ORY15" s="4"/>
      <c r="ORZ15" s="4"/>
      <c r="OSA15" s="4"/>
      <c r="OSB15" s="4"/>
      <c r="OSC15" s="4"/>
      <c r="OSD15" s="4"/>
      <c r="OSE15" s="4"/>
      <c r="OSF15" s="4"/>
      <c r="OSG15" s="4"/>
      <c r="OSH15" s="4"/>
      <c r="OSI15" s="4"/>
      <c r="OSJ15" s="4"/>
      <c r="OSK15" s="4"/>
      <c r="OSL15" s="4"/>
      <c r="OSM15" s="4"/>
      <c r="OSN15" s="4"/>
      <c r="OSO15" s="4"/>
      <c r="OSP15" s="4"/>
      <c r="OSQ15" s="4"/>
      <c r="OSR15" s="4"/>
      <c r="OSS15" s="4"/>
      <c r="OST15" s="4"/>
      <c r="OSU15" s="4"/>
      <c r="OSV15" s="4"/>
      <c r="OSW15" s="4"/>
      <c r="OSX15" s="4"/>
      <c r="OSY15" s="4"/>
      <c r="OSZ15" s="4"/>
      <c r="OTA15" s="4"/>
      <c r="OTB15" s="4"/>
      <c r="OTC15" s="4"/>
      <c r="OTD15" s="4"/>
      <c r="OTE15" s="4"/>
      <c r="OTF15" s="4"/>
      <c r="OTG15" s="4"/>
      <c r="OTH15" s="4"/>
      <c r="OTI15" s="4"/>
      <c r="OTJ15" s="4"/>
      <c r="OTK15" s="4"/>
      <c r="OTL15" s="4"/>
      <c r="OTM15" s="4"/>
      <c r="OTN15" s="4"/>
      <c r="OTO15" s="4"/>
      <c r="OTP15" s="4"/>
      <c r="OTQ15" s="4"/>
      <c r="OTR15" s="4"/>
      <c r="OTS15" s="4"/>
      <c r="OTT15" s="4"/>
      <c r="OTU15" s="4"/>
      <c r="OTV15" s="4"/>
      <c r="OTW15" s="4"/>
      <c r="OTX15" s="4"/>
      <c r="OTY15" s="4"/>
      <c r="OTZ15" s="4"/>
      <c r="OUA15" s="4"/>
      <c r="OUB15" s="4"/>
      <c r="OUC15" s="4"/>
      <c r="OUD15" s="4"/>
      <c r="OUE15" s="4"/>
      <c r="OUF15" s="4"/>
      <c r="OUG15" s="4"/>
      <c r="OUH15" s="4"/>
      <c r="OUI15" s="4"/>
      <c r="OUJ15" s="4"/>
      <c r="OUK15" s="4"/>
      <c r="OUL15" s="4"/>
      <c r="OUM15" s="4"/>
      <c r="OUN15" s="4"/>
      <c r="OUO15" s="4"/>
      <c r="OUP15" s="4"/>
      <c r="OUQ15" s="4"/>
      <c r="OUR15" s="4"/>
      <c r="OUS15" s="4"/>
      <c r="OUT15" s="4"/>
      <c r="OUU15" s="4"/>
      <c r="OUV15" s="4"/>
      <c r="OUW15" s="4"/>
      <c r="OUX15" s="4"/>
      <c r="OUY15" s="4"/>
      <c r="OUZ15" s="4"/>
      <c r="OVA15" s="4"/>
      <c r="OVB15" s="4"/>
      <c r="OVC15" s="4"/>
      <c r="OVD15" s="4"/>
      <c r="OVE15" s="4"/>
      <c r="OVF15" s="4"/>
      <c r="OVG15" s="4"/>
      <c r="OVH15" s="4"/>
      <c r="OVI15" s="4"/>
      <c r="OVJ15" s="4"/>
      <c r="OVK15" s="4"/>
      <c r="OVL15" s="4"/>
      <c r="OVM15" s="4"/>
      <c r="OVN15" s="4"/>
      <c r="OVO15" s="4"/>
      <c r="OVP15" s="4"/>
      <c r="OVQ15" s="4"/>
      <c r="OVR15" s="4"/>
      <c r="OVS15" s="4"/>
      <c r="OVT15" s="4"/>
      <c r="OVU15" s="4"/>
      <c r="OVV15" s="4"/>
      <c r="OVW15" s="4"/>
      <c r="OVX15" s="4"/>
      <c r="OVY15" s="4"/>
      <c r="OVZ15" s="4"/>
      <c r="OWA15" s="4"/>
      <c r="OWB15" s="4"/>
      <c r="OWC15" s="4"/>
      <c r="OWD15" s="4"/>
      <c r="OWE15" s="4"/>
      <c r="OWF15" s="4"/>
      <c r="OWG15" s="4"/>
      <c r="OWH15" s="4"/>
      <c r="OWI15" s="4"/>
      <c r="OWJ15" s="4"/>
      <c r="OWK15" s="4"/>
      <c r="OWL15" s="4"/>
      <c r="OWM15" s="4"/>
      <c r="OWN15" s="4"/>
      <c r="OWO15" s="4"/>
      <c r="OWP15" s="4"/>
      <c r="OWQ15" s="4"/>
      <c r="OWR15" s="4"/>
      <c r="OWS15" s="4"/>
      <c r="OWT15" s="4"/>
      <c r="OWU15" s="4"/>
      <c r="OWV15" s="4"/>
      <c r="OWW15" s="4"/>
      <c r="OWX15" s="4"/>
      <c r="OWY15" s="4"/>
      <c r="OWZ15" s="4"/>
      <c r="OXA15" s="4"/>
      <c r="OXB15" s="4"/>
      <c r="OXC15" s="4"/>
      <c r="OXD15" s="4"/>
      <c r="OXE15" s="4"/>
      <c r="OXF15" s="4"/>
      <c r="OXG15" s="4"/>
      <c r="OXH15" s="4"/>
      <c r="OXI15" s="4"/>
      <c r="OXJ15" s="4"/>
      <c r="OXK15" s="4"/>
      <c r="OXL15" s="4"/>
      <c r="OXM15" s="4"/>
      <c r="OXN15" s="4"/>
      <c r="OXO15" s="4"/>
      <c r="OXP15" s="4"/>
      <c r="OXQ15" s="4"/>
      <c r="OXR15" s="4"/>
      <c r="OXS15" s="4"/>
      <c r="OXT15" s="4"/>
      <c r="OXU15" s="4"/>
      <c r="OXV15" s="4"/>
      <c r="OXW15" s="4"/>
      <c r="OXX15" s="4"/>
      <c r="OXY15" s="4"/>
      <c r="OXZ15" s="4"/>
      <c r="OYA15" s="4"/>
      <c r="OYB15" s="4"/>
      <c r="OYC15" s="4"/>
      <c r="OYD15" s="4"/>
      <c r="OYE15" s="4"/>
      <c r="OYF15" s="4"/>
      <c r="OYG15" s="4"/>
      <c r="OYH15" s="4"/>
      <c r="OYI15" s="4"/>
      <c r="OYJ15" s="4"/>
      <c r="OYK15" s="4"/>
      <c r="OYL15" s="4"/>
      <c r="OYM15" s="4"/>
      <c r="OYN15" s="4"/>
      <c r="OYO15" s="4"/>
      <c r="OYP15" s="4"/>
      <c r="OYQ15" s="4"/>
      <c r="OYR15" s="4"/>
      <c r="OYS15" s="4"/>
      <c r="OYT15" s="4"/>
      <c r="OYU15" s="4"/>
      <c r="OYV15" s="4"/>
      <c r="OYW15" s="4"/>
      <c r="OYX15" s="4"/>
      <c r="OYY15" s="4"/>
      <c r="OYZ15" s="4"/>
      <c r="OZA15" s="4"/>
      <c r="OZB15" s="4"/>
      <c r="OZC15" s="4"/>
      <c r="OZD15" s="4"/>
      <c r="OZE15" s="4"/>
      <c r="OZF15" s="4"/>
      <c r="OZG15" s="4"/>
      <c r="OZH15" s="4"/>
      <c r="OZI15" s="4"/>
      <c r="OZJ15" s="4"/>
      <c r="OZK15" s="4"/>
      <c r="OZL15" s="4"/>
      <c r="OZM15" s="4"/>
      <c r="OZN15" s="4"/>
      <c r="OZO15" s="4"/>
      <c r="OZP15" s="4"/>
      <c r="OZQ15" s="4"/>
      <c r="OZR15" s="4"/>
      <c r="OZS15" s="4"/>
      <c r="OZT15" s="4"/>
      <c r="OZU15" s="4"/>
      <c r="OZV15" s="4"/>
      <c r="OZW15" s="4"/>
      <c r="OZX15" s="4"/>
      <c r="OZY15" s="4"/>
      <c r="OZZ15" s="4"/>
      <c r="PAA15" s="4"/>
      <c r="PAB15" s="4"/>
      <c r="PAC15" s="4"/>
      <c r="PAD15" s="4"/>
      <c r="PAE15" s="4"/>
      <c r="PAF15" s="4"/>
      <c r="PAG15" s="4"/>
      <c r="PAH15" s="4"/>
      <c r="PAI15" s="4"/>
      <c r="PAJ15" s="4"/>
      <c r="PAK15" s="4"/>
      <c r="PAL15" s="4"/>
      <c r="PAM15" s="4"/>
      <c r="PAN15" s="4"/>
      <c r="PAO15" s="4"/>
      <c r="PAP15" s="4"/>
      <c r="PAQ15" s="4"/>
      <c r="PAR15" s="4"/>
      <c r="PAS15" s="4"/>
      <c r="PAT15" s="4"/>
      <c r="PAU15" s="4"/>
      <c r="PAV15" s="4"/>
      <c r="PAW15" s="4"/>
      <c r="PAX15" s="4"/>
      <c r="PAY15" s="4"/>
      <c r="PAZ15" s="4"/>
      <c r="PBA15" s="4"/>
      <c r="PBB15" s="4"/>
      <c r="PBC15" s="4"/>
      <c r="PBD15" s="4"/>
      <c r="PBE15" s="4"/>
      <c r="PBF15" s="4"/>
      <c r="PBG15" s="4"/>
      <c r="PBH15" s="4"/>
      <c r="PBI15" s="4"/>
      <c r="PBJ15" s="4"/>
      <c r="PBK15" s="4"/>
      <c r="PBL15" s="4"/>
      <c r="PBM15" s="4"/>
      <c r="PBN15" s="4"/>
      <c r="PBO15" s="4"/>
      <c r="PBP15" s="4"/>
      <c r="PBQ15" s="4"/>
      <c r="PBR15" s="4"/>
      <c r="PBS15" s="4"/>
      <c r="PBT15" s="4"/>
      <c r="PBU15" s="4"/>
      <c r="PBV15" s="4"/>
      <c r="PBW15" s="4"/>
      <c r="PBX15" s="4"/>
      <c r="PBY15" s="4"/>
      <c r="PBZ15" s="4"/>
      <c r="PCA15" s="4"/>
      <c r="PCB15" s="4"/>
      <c r="PCC15" s="4"/>
      <c r="PCD15" s="4"/>
      <c r="PCE15" s="4"/>
      <c r="PCF15" s="4"/>
      <c r="PCG15" s="4"/>
      <c r="PCH15" s="4"/>
      <c r="PCI15" s="4"/>
      <c r="PCJ15" s="4"/>
      <c r="PCK15" s="4"/>
      <c r="PCL15" s="4"/>
      <c r="PCM15" s="4"/>
      <c r="PCN15" s="4"/>
      <c r="PCO15" s="4"/>
      <c r="PCP15" s="4"/>
      <c r="PCQ15" s="4"/>
      <c r="PCR15" s="4"/>
      <c r="PCS15" s="4"/>
      <c r="PCT15" s="4"/>
      <c r="PCU15" s="4"/>
      <c r="PCV15" s="4"/>
      <c r="PCW15" s="4"/>
      <c r="PCX15" s="4"/>
      <c r="PCY15" s="4"/>
      <c r="PCZ15" s="4"/>
      <c r="PDA15" s="4"/>
      <c r="PDB15" s="4"/>
      <c r="PDC15" s="4"/>
      <c r="PDD15" s="4"/>
      <c r="PDE15" s="4"/>
      <c r="PDF15" s="4"/>
      <c r="PDG15" s="4"/>
      <c r="PDH15" s="4"/>
      <c r="PDI15" s="4"/>
      <c r="PDJ15" s="4"/>
      <c r="PDK15" s="4"/>
      <c r="PDL15" s="4"/>
      <c r="PDM15" s="4"/>
      <c r="PDN15" s="4"/>
      <c r="PDO15" s="4"/>
      <c r="PDP15" s="4"/>
      <c r="PDQ15" s="4"/>
      <c r="PDR15" s="4"/>
      <c r="PDS15" s="4"/>
      <c r="PDT15" s="4"/>
      <c r="PDU15" s="4"/>
      <c r="PDV15" s="4"/>
      <c r="PDW15" s="4"/>
      <c r="PDX15" s="4"/>
      <c r="PDY15" s="4"/>
      <c r="PDZ15" s="4"/>
      <c r="PEA15" s="4"/>
      <c r="PEB15" s="4"/>
      <c r="PEC15" s="4"/>
      <c r="PED15" s="4"/>
      <c r="PEE15" s="4"/>
      <c r="PEF15" s="4"/>
      <c r="PEG15" s="4"/>
      <c r="PEH15" s="4"/>
      <c r="PEI15" s="4"/>
      <c r="PEJ15" s="4"/>
      <c r="PEK15" s="4"/>
      <c r="PEL15" s="4"/>
      <c r="PEM15" s="4"/>
      <c r="PEN15" s="4"/>
      <c r="PEO15" s="4"/>
      <c r="PEP15" s="4"/>
      <c r="PEQ15" s="4"/>
      <c r="PER15" s="4"/>
      <c r="PES15" s="4"/>
      <c r="PET15" s="4"/>
      <c r="PEU15" s="4"/>
      <c r="PEV15" s="4"/>
      <c r="PEW15" s="4"/>
      <c r="PEX15" s="4"/>
      <c r="PEY15" s="4"/>
      <c r="PEZ15" s="4"/>
      <c r="PFA15" s="4"/>
      <c r="PFB15" s="4"/>
      <c r="PFC15" s="4"/>
      <c r="PFD15" s="4"/>
      <c r="PFE15" s="4"/>
      <c r="PFF15" s="4"/>
      <c r="PFG15" s="4"/>
      <c r="PFH15" s="4"/>
      <c r="PFI15" s="4"/>
      <c r="PFJ15" s="4"/>
      <c r="PFK15" s="4"/>
      <c r="PFL15" s="4"/>
      <c r="PFM15" s="4"/>
      <c r="PFN15" s="4"/>
      <c r="PFO15" s="4"/>
      <c r="PFP15" s="4"/>
      <c r="PFQ15" s="4"/>
      <c r="PFR15" s="4"/>
      <c r="PFS15" s="4"/>
      <c r="PFT15" s="4"/>
      <c r="PFU15" s="4"/>
      <c r="PFV15" s="4"/>
      <c r="PFW15" s="4"/>
      <c r="PFX15" s="4"/>
      <c r="PFY15" s="4"/>
      <c r="PFZ15" s="4"/>
      <c r="PGA15" s="4"/>
      <c r="PGB15" s="4"/>
      <c r="PGC15" s="4"/>
      <c r="PGD15" s="4"/>
      <c r="PGE15" s="4"/>
      <c r="PGF15" s="4"/>
      <c r="PGG15" s="4"/>
      <c r="PGH15" s="4"/>
      <c r="PGI15" s="4"/>
      <c r="PGJ15" s="4"/>
      <c r="PGK15" s="4"/>
      <c r="PGL15" s="4"/>
      <c r="PGM15" s="4"/>
      <c r="PGN15" s="4"/>
      <c r="PGO15" s="4"/>
      <c r="PGP15" s="4"/>
      <c r="PGQ15" s="4"/>
      <c r="PGR15" s="4"/>
      <c r="PGS15" s="4"/>
      <c r="PGT15" s="4"/>
      <c r="PGU15" s="4"/>
      <c r="PGV15" s="4"/>
      <c r="PGW15" s="4"/>
      <c r="PGX15" s="4"/>
      <c r="PGY15" s="4"/>
      <c r="PGZ15" s="4"/>
      <c r="PHA15" s="4"/>
      <c r="PHB15" s="4"/>
      <c r="PHC15" s="4"/>
      <c r="PHD15" s="4"/>
      <c r="PHE15" s="4"/>
      <c r="PHF15" s="4"/>
      <c r="PHG15" s="4"/>
      <c r="PHH15" s="4"/>
      <c r="PHI15" s="4"/>
      <c r="PHJ15" s="4"/>
      <c r="PHK15" s="4"/>
      <c r="PHL15" s="4"/>
      <c r="PHM15" s="4"/>
      <c r="PHN15" s="4"/>
      <c r="PHO15" s="4"/>
      <c r="PHP15" s="4"/>
      <c r="PHQ15" s="4"/>
      <c r="PHR15" s="4"/>
      <c r="PHS15" s="4"/>
      <c r="PHT15" s="4"/>
      <c r="PHU15" s="4"/>
      <c r="PHV15" s="4"/>
      <c r="PHW15" s="4"/>
      <c r="PHX15" s="4"/>
      <c r="PHY15" s="4"/>
      <c r="PHZ15" s="4"/>
      <c r="PIA15" s="4"/>
      <c r="PIB15" s="4"/>
      <c r="PIC15" s="4"/>
      <c r="PID15" s="4"/>
      <c r="PIE15" s="4"/>
      <c r="PIF15" s="4"/>
      <c r="PIG15" s="4"/>
      <c r="PIH15" s="4"/>
      <c r="PII15" s="4"/>
      <c r="PIJ15" s="4"/>
      <c r="PIK15" s="4"/>
      <c r="PIL15" s="4"/>
      <c r="PIM15" s="4"/>
      <c r="PIN15" s="4"/>
      <c r="PIO15" s="4"/>
      <c r="PIP15" s="4"/>
      <c r="PIQ15" s="4"/>
      <c r="PIR15" s="4"/>
      <c r="PIS15" s="4"/>
      <c r="PIT15" s="4"/>
      <c r="PIU15" s="4"/>
      <c r="PIV15" s="4"/>
      <c r="PIW15" s="4"/>
      <c r="PIX15" s="4"/>
      <c r="PIY15" s="4"/>
      <c r="PIZ15" s="4"/>
      <c r="PJA15" s="4"/>
      <c r="PJB15" s="4"/>
      <c r="PJC15" s="4"/>
      <c r="PJD15" s="4"/>
      <c r="PJE15" s="4"/>
      <c r="PJF15" s="4"/>
      <c r="PJG15" s="4"/>
      <c r="PJH15" s="4"/>
      <c r="PJI15" s="4"/>
      <c r="PJJ15" s="4"/>
      <c r="PJK15" s="4"/>
      <c r="PJL15" s="4"/>
      <c r="PJM15" s="4"/>
      <c r="PJN15" s="4"/>
      <c r="PJO15" s="4"/>
      <c r="PJP15" s="4"/>
      <c r="PJQ15" s="4"/>
      <c r="PJR15" s="4"/>
      <c r="PJS15" s="4"/>
      <c r="PJT15" s="4"/>
      <c r="PJU15" s="4"/>
      <c r="PJV15" s="4"/>
      <c r="PJW15" s="4"/>
      <c r="PJX15" s="4"/>
      <c r="PJY15" s="4"/>
      <c r="PJZ15" s="4"/>
      <c r="PKA15" s="4"/>
      <c r="PKB15" s="4"/>
      <c r="PKC15" s="4"/>
      <c r="PKD15" s="4"/>
      <c r="PKE15" s="4"/>
      <c r="PKF15" s="4"/>
      <c r="PKG15" s="4"/>
      <c r="PKH15" s="4"/>
      <c r="PKI15" s="4"/>
      <c r="PKJ15" s="4"/>
      <c r="PKK15" s="4"/>
      <c r="PKL15" s="4"/>
      <c r="PKM15" s="4"/>
      <c r="PKN15" s="4"/>
      <c r="PKO15" s="4"/>
      <c r="PKP15" s="4"/>
      <c r="PKQ15" s="4"/>
      <c r="PKR15" s="4"/>
      <c r="PKS15" s="4"/>
      <c r="PKT15" s="4"/>
      <c r="PKU15" s="4"/>
      <c r="PKV15" s="4"/>
      <c r="PKW15" s="4"/>
      <c r="PKX15" s="4"/>
      <c r="PKY15" s="4"/>
      <c r="PKZ15" s="4"/>
      <c r="PLA15" s="4"/>
      <c r="PLB15" s="4"/>
      <c r="PLC15" s="4"/>
      <c r="PLD15" s="4"/>
      <c r="PLE15" s="4"/>
      <c r="PLF15" s="4"/>
      <c r="PLG15" s="4"/>
      <c r="PLH15" s="4"/>
      <c r="PLI15" s="4"/>
      <c r="PLJ15" s="4"/>
      <c r="PLK15" s="4"/>
      <c r="PLL15" s="4"/>
      <c r="PLM15" s="4"/>
      <c r="PLN15" s="4"/>
      <c r="PLO15" s="4"/>
      <c r="PLP15" s="4"/>
      <c r="PLQ15" s="4"/>
      <c r="PLR15" s="4"/>
      <c r="PLS15" s="4"/>
      <c r="PLT15" s="4"/>
      <c r="PLU15" s="4"/>
      <c r="PLV15" s="4"/>
      <c r="PLW15" s="4"/>
      <c r="PLX15" s="4"/>
      <c r="PLY15" s="4"/>
      <c r="PLZ15" s="4"/>
      <c r="PMA15" s="4"/>
      <c r="PMB15" s="4"/>
      <c r="PMC15" s="4"/>
      <c r="PMD15" s="4"/>
      <c r="PME15" s="4"/>
      <c r="PMF15" s="4"/>
      <c r="PMG15" s="4"/>
      <c r="PMH15" s="4"/>
      <c r="PMI15" s="4"/>
      <c r="PMJ15" s="4"/>
      <c r="PMK15" s="4"/>
      <c r="PML15" s="4"/>
      <c r="PMM15" s="4"/>
      <c r="PMN15" s="4"/>
      <c r="PMO15" s="4"/>
      <c r="PMP15" s="4"/>
      <c r="PMQ15" s="4"/>
      <c r="PMR15" s="4"/>
      <c r="PMS15" s="4"/>
      <c r="PMT15" s="4"/>
      <c r="PMU15" s="4"/>
      <c r="PMV15" s="4"/>
      <c r="PMW15" s="4"/>
      <c r="PMX15" s="4"/>
      <c r="PMY15" s="4"/>
      <c r="PMZ15" s="4"/>
      <c r="PNA15" s="4"/>
      <c r="PNB15" s="4"/>
      <c r="PNC15" s="4"/>
      <c r="PND15" s="4"/>
      <c r="PNE15" s="4"/>
      <c r="PNF15" s="4"/>
      <c r="PNG15" s="4"/>
      <c r="PNH15" s="4"/>
      <c r="PNI15" s="4"/>
      <c r="PNJ15" s="4"/>
      <c r="PNK15" s="4"/>
      <c r="PNL15" s="4"/>
      <c r="PNM15" s="4"/>
      <c r="PNN15" s="4"/>
      <c r="PNO15" s="4"/>
      <c r="PNP15" s="4"/>
      <c r="PNQ15" s="4"/>
      <c r="PNR15" s="4"/>
      <c r="PNS15" s="4"/>
      <c r="PNT15" s="4"/>
      <c r="PNU15" s="4"/>
      <c r="PNV15" s="4"/>
      <c r="PNW15" s="4"/>
      <c r="PNX15" s="4"/>
      <c r="PNY15" s="4"/>
      <c r="PNZ15" s="4"/>
      <c r="POA15" s="4"/>
      <c r="POB15" s="4"/>
      <c r="POC15" s="4"/>
      <c r="POD15" s="4"/>
      <c r="POE15" s="4"/>
      <c r="POF15" s="4"/>
      <c r="POG15" s="4"/>
      <c r="POH15" s="4"/>
      <c r="POI15" s="4"/>
      <c r="POJ15" s="4"/>
      <c r="POK15" s="4"/>
      <c r="POL15" s="4"/>
      <c r="POM15" s="4"/>
      <c r="PON15" s="4"/>
      <c r="POO15" s="4"/>
      <c r="POP15" s="4"/>
      <c r="POQ15" s="4"/>
      <c r="POR15" s="4"/>
      <c r="POS15" s="4"/>
      <c r="POT15" s="4"/>
      <c r="POU15" s="4"/>
      <c r="POV15" s="4"/>
      <c r="POW15" s="4"/>
      <c r="POX15" s="4"/>
      <c r="POY15" s="4"/>
      <c r="POZ15" s="4"/>
      <c r="PPA15" s="4"/>
      <c r="PPB15" s="4"/>
      <c r="PPC15" s="4"/>
      <c r="PPD15" s="4"/>
      <c r="PPE15" s="4"/>
      <c r="PPF15" s="4"/>
      <c r="PPG15" s="4"/>
      <c r="PPH15" s="4"/>
      <c r="PPI15" s="4"/>
      <c r="PPJ15" s="4"/>
      <c r="PPK15" s="4"/>
      <c r="PPL15" s="4"/>
      <c r="PPM15" s="4"/>
      <c r="PPN15" s="4"/>
      <c r="PPO15" s="4"/>
      <c r="PPP15" s="4"/>
      <c r="PPQ15" s="4"/>
      <c r="PPR15" s="4"/>
      <c r="PPS15" s="4"/>
      <c r="PPT15" s="4"/>
      <c r="PPU15" s="4"/>
      <c r="PPV15" s="4"/>
      <c r="PPW15" s="4"/>
      <c r="PPX15" s="4"/>
      <c r="PPY15" s="4"/>
      <c r="PPZ15" s="4"/>
      <c r="PQA15" s="4"/>
      <c r="PQB15" s="4"/>
      <c r="PQC15" s="4"/>
      <c r="PQD15" s="4"/>
      <c r="PQE15" s="4"/>
      <c r="PQF15" s="4"/>
      <c r="PQG15" s="4"/>
      <c r="PQH15" s="4"/>
      <c r="PQI15" s="4"/>
      <c r="PQJ15" s="4"/>
      <c r="PQK15" s="4"/>
      <c r="PQL15" s="4"/>
      <c r="PQM15" s="4"/>
      <c r="PQN15" s="4"/>
      <c r="PQO15" s="4"/>
      <c r="PQP15" s="4"/>
      <c r="PQQ15" s="4"/>
      <c r="PQR15" s="4"/>
      <c r="PQS15" s="4"/>
      <c r="PQT15" s="4"/>
      <c r="PQU15" s="4"/>
      <c r="PQV15" s="4"/>
      <c r="PQW15" s="4"/>
      <c r="PQX15" s="4"/>
      <c r="PQY15" s="4"/>
      <c r="PQZ15" s="4"/>
      <c r="PRA15" s="4"/>
      <c r="PRB15" s="4"/>
      <c r="PRC15" s="4"/>
      <c r="PRD15" s="4"/>
      <c r="PRE15" s="4"/>
      <c r="PRF15" s="4"/>
      <c r="PRG15" s="4"/>
      <c r="PRH15" s="4"/>
      <c r="PRI15" s="4"/>
      <c r="PRJ15" s="4"/>
      <c r="PRK15" s="4"/>
      <c r="PRL15" s="4"/>
      <c r="PRM15" s="4"/>
      <c r="PRN15" s="4"/>
      <c r="PRO15" s="4"/>
      <c r="PRP15" s="4"/>
      <c r="PRQ15" s="4"/>
      <c r="PRR15" s="4"/>
      <c r="PRS15" s="4"/>
      <c r="PRT15" s="4"/>
      <c r="PRU15" s="4"/>
      <c r="PRV15" s="4"/>
      <c r="PRW15" s="4"/>
      <c r="PRX15" s="4"/>
      <c r="PRY15" s="4"/>
      <c r="PRZ15" s="4"/>
      <c r="PSA15" s="4"/>
      <c r="PSB15" s="4"/>
      <c r="PSC15" s="4"/>
      <c r="PSD15" s="4"/>
      <c r="PSE15" s="4"/>
      <c r="PSF15" s="4"/>
      <c r="PSG15" s="4"/>
      <c r="PSH15" s="4"/>
      <c r="PSI15" s="4"/>
      <c r="PSJ15" s="4"/>
      <c r="PSK15" s="4"/>
      <c r="PSL15" s="4"/>
      <c r="PSM15" s="4"/>
      <c r="PSN15" s="4"/>
      <c r="PSO15" s="4"/>
      <c r="PSP15" s="4"/>
      <c r="PSQ15" s="4"/>
      <c r="PSR15" s="4"/>
      <c r="PSS15" s="4"/>
      <c r="PST15" s="4"/>
      <c r="PSU15" s="4"/>
      <c r="PSV15" s="4"/>
      <c r="PSW15" s="4"/>
      <c r="PSX15" s="4"/>
      <c r="PSY15" s="4"/>
      <c r="PSZ15" s="4"/>
      <c r="PTA15" s="4"/>
      <c r="PTB15" s="4"/>
      <c r="PTC15" s="4"/>
      <c r="PTD15" s="4"/>
      <c r="PTE15" s="4"/>
      <c r="PTF15" s="4"/>
      <c r="PTG15" s="4"/>
      <c r="PTH15" s="4"/>
      <c r="PTI15" s="4"/>
      <c r="PTJ15" s="4"/>
      <c r="PTK15" s="4"/>
      <c r="PTL15" s="4"/>
      <c r="PTM15" s="4"/>
      <c r="PTN15" s="4"/>
      <c r="PTO15" s="4"/>
      <c r="PTP15" s="4"/>
      <c r="PTQ15" s="4"/>
      <c r="PTR15" s="4"/>
      <c r="PTS15" s="4"/>
      <c r="PTT15" s="4"/>
      <c r="PTU15" s="4"/>
      <c r="PTV15" s="4"/>
      <c r="PTW15" s="4"/>
      <c r="PTX15" s="4"/>
      <c r="PTY15" s="4"/>
      <c r="PTZ15" s="4"/>
      <c r="PUA15" s="4"/>
      <c r="PUB15" s="4"/>
      <c r="PUC15" s="4"/>
      <c r="PUD15" s="4"/>
      <c r="PUE15" s="4"/>
      <c r="PUF15" s="4"/>
      <c r="PUG15" s="4"/>
      <c r="PUH15" s="4"/>
      <c r="PUI15" s="4"/>
      <c r="PUJ15" s="4"/>
      <c r="PUK15" s="4"/>
      <c r="PUL15" s="4"/>
      <c r="PUM15" s="4"/>
      <c r="PUN15" s="4"/>
      <c r="PUO15" s="4"/>
      <c r="PUP15" s="4"/>
      <c r="PUQ15" s="4"/>
      <c r="PUR15" s="4"/>
      <c r="PUS15" s="4"/>
      <c r="PUT15" s="4"/>
      <c r="PUU15" s="4"/>
      <c r="PUV15" s="4"/>
      <c r="PUW15" s="4"/>
      <c r="PUX15" s="4"/>
      <c r="PUY15" s="4"/>
      <c r="PUZ15" s="4"/>
      <c r="PVA15" s="4"/>
      <c r="PVB15" s="4"/>
      <c r="PVC15" s="4"/>
      <c r="PVD15" s="4"/>
      <c r="PVE15" s="4"/>
      <c r="PVF15" s="4"/>
      <c r="PVG15" s="4"/>
      <c r="PVH15" s="4"/>
      <c r="PVI15" s="4"/>
      <c r="PVJ15" s="4"/>
      <c r="PVK15" s="4"/>
      <c r="PVL15" s="4"/>
      <c r="PVM15" s="4"/>
      <c r="PVN15" s="4"/>
      <c r="PVO15" s="4"/>
      <c r="PVP15" s="4"/>
      <c r="PVQ15" s="4"/>
      <c r="PVR15" s="4"/>
      <c r="PVS15" s="4"/>
      <c r="PVT15" s="4"/>
      <c r="PVU15" s="4"/>
      <c r="PVV15" s="4"/>
      <c r="PVW15" s="4"/>
      <c r="PVX15" s="4"/>
      <c r="PVY15" s="4"/>
      <c r="PVZ15" s="4"/>
      <c r="PWA15" s="4"/>
      <c r="PWB15" s="4"/>
      <c r="PWC15" s="4"/>
      <c r="PWD15" s="4"/>
      <c r="PWE15" s="4"/>
      <c r="PWF15" s="4"/>
      <c r="PWG15" s="4"/>
      <c r="PWH15" s="4"/>
      <c r="PWI15" s="4"/>
      <c r="PWJ15" s="4"/>
      <c r="PWK15" s="4"/>
      <c r="PWL15" s="4"/>
      <c r="PWM15" s="4"/>
      <c r="PWN15" s="4"/>
      <c r="PWO15" s="4"/>
      <c r="PWP15" s="4"/>
      <c r="PWQ15" s="4"/>
      <c r="PWR15" s="4"/>
      <c r="PWS15" s="4"/>
      <c r="PWT15" s="4"/>
      <c r="PWU15" s="4"/>
      <c r="PWV15" s="4"/>
      <c r="PWW15" s="4"/>
      <c r="PWX15" s="4"/>
      <c r="PWY15" s="4"/>
      <c r="PWZ15" s="4"/>
      <c r="PXA15" s="4"/>
      <c r="PXB15" s="4"/>
      <c r="PXC15" s="4"/>
      <c r="PXD15" s="4"/>
      <c r="PXE15" s="4"/>
      <c r="PXF15" s="4"/>
      <c r="PXG15" s="4"/>
      <c r="PXH15" s="4"/>
      <c r="PXI15" s="4"/>
      <c r="PXJ15" s="4"/>
      <c r="PXK15" s="4"/>
      <c r="PXL15" s="4"/>
      <c r="PXM15" s="4"/>
      <c r="PXN15" s="4"/>
      <c r="PXO15" s="4"/>
      <c r="PXP15" s="4"/>
      <c r="PXQ15" s="4"/>
      <c r="PXR15" s="4"/>
      <c r="PXS15" s="4"/>
      <c r="PXT15" s="4"/>
      <c r="PXU15" s="4"/>
      <c r="PXV15" s="4"/>
      <c r="PXW15" s="4"/>
      <c r="PXX15" s="4"/>
      <c r="PXY15" s="4"/>
      <c r="PXZ15" s="4"/>
      <c r="PYA15" s="4"/>
      <c r="PYB15" s="4"/>
      <c r="PYC15" s="4"/>
      <c r="PYD15" s="4"/>
      <c r="PYE15" s="4"/>
      <c r="PYF15" s="4"/>
      <c r="PYG15" s="4"/>
      <c r="PYH15" s="4"/>
      <c r="PYI15" s="4"/>
      <c r="PYJ15" s="4"/>
      <c r="PYK15" s="4"/>
      <c r="PYL15" s="4"/>
      <c r="PYM15" s="4"/>
      <c r="PYN15" s="4"/>
      <c r="PYO15" s="4"/>
      <c r="PYP15" s="4"/>
      <c r="PYQ15" s="4"/>
      <c r="PYR15" s="4"/>
      <c r="PYS15" s="4"/>
      <c r="PYT15" s="4"/>
      <c r="PYU15" s="4"/>
      <c r="PYV15" s="4"/>
      <c r="PYW15" s="4"/>
      <c r="PYX15" s="4"/>
      <c r="PYY15" s="4"/>
      <c r="PYZ15" s="4"/>
      <c r="PZA15" s="4"/>
      <c r="PZB15" s="4"/>
      <c r="PZC15" s="4"/>
      <c r="PZD15" s="4"/>
      <c r="PZE15" s="4"/>
      <c r="PZF15" s="4"/>
      <c r="PZG15" s="4"/>
      <c r="PZH15" s="4"/>
      <c r="PZI15" s="4"/>
      <c r="PZJ15" s="4"/>
      <c r="PZK15" s="4"/>
      <c r="PZL15" s="4"/>
      <c r="PZM15" s="4"/>
      <c r="PZN15" s="4"/>
      <c r="PZO15" s="4"/>
      <c r="PZP15" s="4"/>
      <c r="PZQ15" s="4"/>
      <c r="PZR15" s="4"/>
      <c r="PZS15" s="4"/>
      <c r="PZT15" s="4"/>
      <c r="PZU15" s="4"/>
      <c r="PZV15" s="4"/>
      <c r="PZW15" s="4"/>
      <c r="PZX15" s="4"/>
      <c r="PZY15" s="4"/>
      <c r="PZZ15" s="4"/>
      <c r="QAA15" s="4"/>
      <c r="QAB15" s="4"/>
      <c r="QAC15" s="4"/>
      <c r="QAD15" s="4"/>
      <c r="QAE15" s="4"/>
      <c r="QAF15" s="4"/>
      <c r="QAG15" s="4"/>
      <c r="QAH15" s="4"/>
      <c r="QAI15" s="4"/>
      <c r="QAJ15" s="4"/>
      <c r="QAK15" s="4"/>
      <c r="QAL15" s="4"/>
      <c r="QAM15" s="4"/>
      <c r="QAN15" s="4"/>
      <c r="QAO15" s="4"/>
      <c r="QAP15" s="4"/>
      <c r="QAQ15" s="4"/>
      <c r="QAR15" s="4"/>
      <c r="QAS15" s="4"/>
      <c r="QAT15" s="4"/>
      <c r="QAU15" s="4"/>
      <c r="QAV15" s="4"/>
      <c r="QAW15" s="4"/>
      <c r="QAX15" s="4"/>
      <c r="QAY15" s="4"/>
      <c r="QAZ15" s="4"/>
      <c r="QBA15" s="4"/>
      <c r="QBB15" s="4"/>
      <c r="QBC15" s="4"/>
      <c r="QBD15" s="4"/>
      <c r="QBE15" s="4"/>
      <c r="QBF15" s="4"/>
      <c r="QBG15" s="4"/>
      <c r="QBH15" s="4"/>
      <c r="QBI15" s="4"/>
      <c r="QBJ15" s="4"/>
      <c r="QBK15" s="4"/>
      <c r="QBL15" s="4"/>
      <c r="QBM15" s="4"/>
      <c r="QBN15" s="4"/>
      <c r="QBO15" s="4"/>
      <c r="QBP15" s="4"/>
      <c r="QBQ15" s="4"/>
      <c r="QBR15" s="4"/>
      <c r="QBS15" s="4"/>
      <c r="QBT15" s="4"/>
      <c r="QBU15" s="4"/>
      <c r="QBV15" s="4"/>
      <c r="QBW15" s="4"/>
      <c r="QBX15" s="4"/>
      <c r="QBY15" s="4"/>
      <c r="QBZ15" s="4"/>
      <c r="QCA15" s="4"/>
      <c r="QCB15" s="4"/>
      <c r="QCC15" s="4"/>
      <c r="QCD15" s="4"/>
      <c r="QCE15" s="4"/>
      <c r="QCF15" s="4"/>
      <c r="QCG15" s="4"/>
      <c r="QCH15" s="4"/>
      <c r="QCI15" s="4"/>
      <c r="QCJ15" s="4"/>
      <c r="QCK15" s="4"/>
      <c r="QCL15" s="4"/>
      <c r="QCM15" s="4"/>
      <c r="QCN15" s="4"/>
      <c r="QCO15" s="4"/>
      <c r="QCP15" s="4"/>
      <c r="QCQ15" s="4"/>
      <c r="QCR15" s="4"/>
      <c r="QCS15" s="4"/>
      <c r="QCT15" s="4"/>
      <c r="QCU15" s="4"/>
      <c r="QCV15" s="4"/>
      <c r="QCW15" s="4"/>
      <c r="QCX15" s="4"/>
      <c r="QCY15" s="4"/>
      <c r="QCZ15" s="4"/>
      <c r="QDA15" s="4"/>
      <c r="QDB15" s="4"/>
      <c r="QDC15" s="4"/>
      <c r="QDD15" s="4"/>
      <c r="QDE15" s="4"/>
      <c r="QDF15" s="4"/>
      <c r="QDG15" s="4"/>
      <c r="QDH15" s="4"/>
      <c r="QDI15" s="4"/>
      <c r="QDJ15" s="4"/>
      <c r="QDK15" s="4"/>
      <c r="QDL15" s="4"/>
      <c r="QDM15" s="4"/>
      <c r="QDN15" s="4"/>
      <c r="QDO15" s="4"/>
      <c r="QDP15" s="4"/>
      <c r="QDQ15" s="4"/>
      <c r="QDR15" s="4"/>
      <c r="QDS15" s="4"/>
      <c r="QDT15" s="4"/>
      <c r="QDU15" s="4"/>
      <c r="QDV15" s="4"/>
      <c r="QDW15" s="4"/>
      <c r="QDX15" s="4"/>
      <c r="QDY15" s="4"/>
      <c r="QDZ15" s="4"/>
      <c r="QEA15" s="4"/>
      <c r="QEB15" s="4"/>
      <c r="QEC15" s="4"/>
      <c r="QED15" s="4"/>
      <c r="QEE15" s="4"/>
      <c r="QEF15" s="4"/>
      <c r="QEG15" s="4"/>
      <c r="QEH15" s="4"/>
      <c r="QEI15" s="4"/>
      <c r="QEJ15" s="4"/>
      <c r="QEK15" s="4"/>
      <c r="QEL15" s="4"/>
      <c r="QEM15" s="4"/>
      <c r="QEN15" s="4"/>
      <c r="QEO15" s="4"/>
      <c r="QEP15" s="4"/>
      <c r="QEQ15" s="4"/>
      <c r="QER15" s="4"/>
      <c r="QES15" s="4"/>
      <c r="QET15" s="4"/>
      <c r="QEU15" s="4"/>
      <c r="QEV15" s="4"/>
      <c r="QEW15" s="4"/>
      <c r="QEX15" s="4"/>
      <c r="QEY15" s="4"/>
      <c r="QEZ15" s="4"/>
      <c r="QFA15" s="4"/>
      <c r="QFB15" s="4"/>
      <c r="QFC15" s="4"/>
      <c r="QFD15" s="4"/>
      <c r="QFE15" s="4"/>
      <c r="QFF15" s="4"/>
      <c r="QFG15" s="4"/>
      <c r="QFH15" s="4"/>
      <c r="QFI15" s="4"/>
      <c r="QFJ15" s="4"/>
      <c r="QFK15" s="4"/>
      <c r="QFL15" s="4"/>
      <c r="QFM15" s="4"/>
      <c r="QFN15" s="4"/>
      <c r="QFO15" s="4"/>
      <c r="QFP15" s="4"/>
      <c r="QFQ15" s="4"/>
      <c r="QFR15" s="4"/>
      <c r="QFS15" s="4"/>
      <c r="QFT15" s="4"/>
      <c r="QFU15" s="4"/>
      <c r="QFV15" s="4"/>
      <c r="QFW15" s="4"/>
      <c r="QFX15" s="4"/>
      <c r="QFY15" s="4"/>
      <c r="QFZ15" s="4"/>
      <c r="QGA15" s="4"/>
      <c r="QGB15" s="4"/>
      <c r="QGC15" s="4"/>
      <c r="QGD15" s="4"/>
      <c r="QGE15" s="4"/>
      <c r="QGF15" s="4"/>
      <c r="QGG15" s="4"/>
      <c r="QGH15" s="4"/>
      <c r="QGI15" s="4"/>
      <c r="QGJ15" s="4"/>
      <c r="QGK15" s="4"/>
      <c r="QGL15" s="4"/>
      <c r="QGM15" s="4"/>
      <c r="QGN15" s="4"/>
      <c r="QGO15" s="4"/>
      <c r="QGP15" s="4"/>
      <c r="QGQ15" s="4"/>
      <c r="QGR15" s="4"/>
      <c r="QGS15" s="4"/>
      <c r="QGT15" s="4"/>
      <c r="QGU15" s="4"/>
      <c r="QGV15" s="4"/>
      <c r="QGW15" s="4"/>
      <c r="QGX15" s="4"/>
      <c r="QGY15" s="4"/>
      <c r="QGZ15" s="4"/>
      <c r="QHA15" s="4"/>
      <c r="QHB15" s="4"/>
      <c r="QHC15" s="4"/>
      <c r="QHD15" s="4"/>
      <c r="QHE15" s="4"/>
      <c r="QHF15" s="4"/>
      <c r="QHG15" s="4"/>
      <c r="QHH15" s="4"/>
      <c r="QHI15" s="4"/>
      <c r="QHJ15" s="4"/>
      <c r="QHK15" s="4"/>
      <c r="QHL15" s="4"/>
      <c r="QHM15" s="4"/>
      <c r="QHN15" s="4"/>
      <c r="QHO15" s="4"/>
      <c r="QHP15" s="4"/>
      <c r="QHQ15" s="4"/>
      <c r="QHR15" s="4"/>
      <c r="QHS15" s="4"/>
      <c r="QHT15" s="4"/>
      <c r="QHU15" s="4"/>
      <c r="QHV15" s="4"/>
      <c r="QHW15" s="4"/>
      <c r="QHX15" s="4"/>
      <c r="QHY15" s="4"/>
      <c r="QHZ15" s="4"/>
      <c r="QIA15" s="4"/>
      <c r="QIB15" s="4"/>
      <c r="QIC15" s="4"/>
      <c r="QID15" s="4"/>
      <c r="QIE15" s="4"/>
      <c r="QIF15" s="4"/>
      <c r="QIG15" s="4"/>
      <c r="QIH15" s="4"/>
      <c r="QII15" s="4"/>
      <c r="QIJ15" s="4"/>
      <c r="QIK15" s="4"/>
      <c r="QIL15" s="4"/>
      <c r="QIM15" s="4"/>
      <c r="QIN15" s="4"/>
      <c r="QIO15" s="4"/>
      <c r="QIP15" s="4"/>
      <c r="QIQ15" s="4"/>
      <c r="QIR15" s="4"/>
      <c r="QIS15" s="4"/>
      <c r="QIT15" s="4"/>
      <c r="QIU15" s="4"/>
      <c r="QIV15" s="4"/>
      <c r="QIW15" s="4"/>
      <c r="QIX15" s="4"/>
      <c r="QIY15" s="4"/>
      <c r="QIZ15" s="4"/>
      <c r="QJA15" s="4"/>
      <c r="QJB15" s="4"/>
      <c r="QJC15" s="4"/>
      <c r="QJD15" s="4"/>
      <c r="QJE15" s="4"/>
      <c r="QJF15" s="4"/>
      <c r="QJG15" s="4"/>
      <c r="QJH15" s="4"/>
      <c r="QJI15" s="4"/>
      <c r="QJJ15" s="4"/>
      <c r="QJK15" s="4"/>
      <c r="QJL15" s="4"/>
      <c r="QJM15" s="4"/>
      <c r="QJN15" s="4"/>
      <c r="QJO15" s="4"/>
      <c r="QJP15" s="4"/>
      <c r="QJQ15" s="4"/>
      <c r="QJR15" s="4"/>
      <c r="QJS15" s="4"/>
      <c r="QJT15" s="4"/>
      <c r="QJU15" s="4"/>
      <c r="QJV15" s="4"/>
      <c r="QJW15" s="4"/>
      <c r="QJX15" s="4"/>
      <c r="QJY15" s="4"/>
      <c r="QJZ15" s="4"/>
      <c r="QKA15" s="4"/>
      <c r="QKB15" s="4"/>
      <c r="QKC15" s="4"/>
      <c r="QKD15" s="4"/>
      <c r="QKE15" s="4"/>
      <c r="QKF15" s="4"/>
      <c r="QKG15" s="4"/>
      <c r="QKH15" s="4"/>
      <c r="QKI15" s="4"/>
      <c r="QKJ15" s="4"/>
      <c r="QKK15" s="4"/>
      <c r="QKL15" s="4"/>
      <c r="QKM15" s="4"/>
      <c r="QKN15" s="4"/>
      <c r="QKO15" s="4"/>
      <c r="QKP15" s="4"/>
      <c r="QKQ15" s="4"/>
      <c r="QKR15" s="4"/>
      <c r="QKS15" s="4"/>
      <c r="QKT15" s="4"/>
      <c r="QKU15" s="4"/>
      <c r="QKV15" s="4"/>
      <c r="QKW15" s="4"/>
      <c r="QKX15" s="4"/>
      <c r="QKY15" s="4"/>
      <c r="QKZ15" s="4"/>
      <c r="QLA15" s="4"/>
      <c r="QLB15" s="4"/>
      <c r="QLC15" s="4"/>
      <c r="QLD15" s="4"/>
      <c r="QLE15" s="4"/>
      <c r="QLF15" s="4"/>
      <c r="QLG15" s="4"/>
      <c r="QLH15" s="4"/>
      <c r="QLI15" s="4"/>
      <c r="QLJ15" s="4"/>
      <c r="QLK15" s="4"/>
      <c r="QLL15" s="4"/>
      <c r="QLM15" s="4"/>
      <c r="QLN15" s="4"/>
      <c r="QLO15" s="4"/>
      <c r="QLP15" s="4"/>
      <c r="QLQ15" s="4"/>
      <c r="QLR15" s="4"/>
      <c r="QLS15" s="4"/>
      <c r="QLT15" s="4"/>
      <c r="QLU15" s="4"/>
      <c r="QLV15" s="4"/>
      <c r="QLW15" s="4"/>
      <c r="QLX15" s="4"/>
      <c r="QLY15" s="4"/>
      <c r="QLZ15" s="4"/>
      <c r="QMA15" s="4"/>
      <c r="QMB15" s="4"/>
      <c r="QMC15" s="4"/>
      <c r="QMD15" s="4"/>
      <c r="QME15" s="4"/>
      <c r="QMF15" s="4"/>
      <c r="QMG15" s="4"/>
      <c r="QMH15" s="4"/>
      <c r="QMI15" s="4"/>
      <c r="QMJ15" s="4"/>
      <c r="QMK15" s="4"/>
      <c r="QML15" s="4"/>
      <c r="QMM15" s="4"/>
      <c r="QMN15" s="4"/>
      <c r="QMO15" s="4"/>
      <c r="QMP15" s="4"/>
      <c r="QMQ15" s="4"/>
      <c r="QMR15" s="4"/>
      <c r="QMS15" s="4"/>
      <c r="QMT15" s="4"/>
      <c r="QMU15" s="4"/>
      <c r="QMV15" s="4"/>
      <c r="QMW15" s="4"/>
      <c r="QMX15" s="4"/>
      <c r="QMY15" s="4"/>
      <c r="QMZ15" s="4"/>
      <c r="QNA15" s="4"/>
      <c r="QNB15" s="4"/>
      <c r="QNC15" s="4"/>
      <c r="QND15" s="4"/>
      <c r="QNE15" s="4"/>
      <c r="QNF15" s="4"/>
      <c r="QNG15" s="4"/>
      <c r="QNH15" s="4"/>
      <c r="QNI15" s="4"/>
      <c r="QNJ15" s="4"/>
      <c r="QNK15" s="4"/>
      <c r="QNL15" s="4"/>
      <c r="QNM15" s="4"/>
      <c r="QNN15" s="4"/>
      <c r="QNO15" s="4"/>
      <c r="QNP15" s="4"/>
      <c r="QNQ15" s="4"/>
      <c r="QNR15" s="4"/>
      <c r="QNS15" s="4"/>
      <c r="QNT15" s="4"/>
      <c r="QNU15" s="4"/>
      <c r="QNV15" s="4"/>
      <c r="QNW15" s="4"/>
      <c r="QNX15" s="4"/>
      <c r="QNY15" s="4"/>
      <c r="QNZ15" s="4"/>
      <c r="QOA15" s="4"/>
      <c r="QOB15" s="4"/>
      <c r="QOC15" s="4"/>
      <c r="QOD15" s="4"/>
      <c r="QOE15" s="4"/>
      <c r="QOF15" s="4"/>
      <c r="QOG15" s="4"/>
      <c r="QOH15" s="4"/>
      <c r="QOI15" s="4"/>
      <c r="QOJ15" s="4"/>
      <c r="QOK15" s="4"/>
      <c r="QOL15" s="4"/>
      <c r="QOM15" s="4"/>
      <c r="QON15" s="4"/>
      <c r="QOO15" s="4"/>
      <c r="QOP15" s="4"/>
      <c r="QOQ15" s="4"/>
      <c r="QOR15" s="4"/>
      <c r="QOS15" s="4"/>
      <c r="QOT15" s="4"/>
      <c r="QOU15" s="4"/>
      <c r="QOV15" s="4"/>
      <c r="QOW15" s="4"/>
      <c r="QOX15" s="4"/>
      <c r="QOY15" s="4"/>
      <c r="QOZ15" s="4"/>
      <c r="QPA15" s="4"/>
      <c r="QPB15" s="4"/>
      <c r="QPC15" s="4"/>
      <c r="QPD15" s="4"/>
      <c r="QPE15" s="4"/>
      <c r="QPF15" s="4"/>
      <c r="QPG15" s="4"/>
      <c r="QPH15" s="4"/>
      <c r="QPI15" s="4"/>
      <c r="QPJ15" s="4"/>
      <c r="QPK15" s="4"/>
      <c r="QPL15" s="4"/>
      <c r="QPM15" s="4"/>
      <c r="QPN15" s="4"/>
      <c r="QPO15" s="4"/>
      <c r="QPP15" s="4"/>
      <c r="QPQ15" s="4"/>
      <c r="QPR15" s="4"/>
      <c r="QPS15" s="4"/>
      <c r="QPT15" s="4"/>
      <c r="QPU15" s="4"/>
      <c r="QPV15" s="4"/>
      <c r="QPW15" s="4"/>
      <c r="QPX15" s="4"/>
      <c r="QPY15" s="4"/>
      <c r="QPZ15" s="4"/>
      <c r="QQA15" s="4"/>
      <c r="QQB15" s="4"/>
      <c r="QQC15" s="4"/>
      <c r="QQD15" s="4"/>
      <c r="QQE15" s="4"/>
      <c r="QQF15" s="4"/>
      <c r="QQG15" s="4"/>
      <c r="QQH15" s="4"/>
      <c r="QQI15" s="4"/>
      <c r="QQJ15" s="4"/>
      <c r="QQK15" s="4"/>
      <c r="QQL15" s="4"/>
      <c r="QQM15" s="4"/>
      <c r="QQN15" s="4"/>
      <c r="QQO15" s="4"/>
      <c r="QQP15" s="4"/>
      <c r="QQQ15" s="4"/>
      <c r="QQR15" s="4"/>
      <c r="QQS15" s="4"/>
      <c r="QQT15" s="4"/>
      <c r="QQU15" s="4"/>
      <c r="QQV15" s="4"/>
      <c r="QQW15" s="4"/>
      <c r="QQX15" s="4"/>
      <c r="QQY15" s="4"/>
      <c r="QQZ15" s="4"/>
      <c r="QRA15" s="4"/>
      <c r="QRB15" s="4"/>
      <c r="QRC15" s="4"/>
      <c r="QRD15" s="4"/>
      <c r="QRE15" s="4"/>
      <c r="QRF15" s="4"/>
      <c r="QRG15" s="4"/>
      <c r="QRH15" s="4"/>
      <c r="QRI15" s="4"/>
      <c r="QRJ15" s="4"/>
      <c r="QRK15" s="4"/>
      <c r="QRL15" s="4"/>
      <c r="QRM15" s="4"/>
      <c r="QRN15" s="4"/>
      <c r="QRO15" s="4"/>
      <c r="QRP15" s="4"/>
      <c r="QRQ15" s="4"/>
      <c r="QRR15" s="4"/>
      <c r="QRS15" s="4"/>
      <c r="QRT15" s="4"/>
      <c r="QRU15" s="4"/>
      <c r="QRV15" s="4"/>
      <c r="QRW15" s="4"/>
      <c r="QRX15" s="4"/>
      <c r="QRY15" s="4"/>
      <c r="QRZ15" s="4"/>
      <c r="QSA15" s="4"/>
      <c r="QSB15" s="4"/>
      <c r="QSC15" s="4"/>
      <c r="QSD15" s="4"/>
      <c r="QSE15" s="4"/>
      <c r="QSF15" s="4"/>
      <c r="QSG15" s="4"/>
      <c r="QSH15" s="4"/>
      <c r="QSI15" s="4"/>
      <c r="QSJ15" s="4"/>
      <c r="QSK15" s="4"/>
      <c r="QSL15" s="4"/>
      <c r="QSM15" s="4"/>
      <c r="QSN15" s="4"/>
      <c r="QSO15" s="4"/>
      <c r="QSP15" s="4"/>
      <c r="QSQ15" s="4"/>
      <c r="QSR15" s="4"/>
      <c r="QSS15" s="4"/>
      <c r="QST15" s="4"/>
      <c r="QSU15" s="4"/>
      <c r="QSV15" s="4"/>
      <c r="QSW15" s="4"/>
      <c r="QSX15" s="4"/>
      <c r="QSY15" s="4"/>
      <c r="QSZ15" s="4"/>
      <c r="QTA15" s="4"/>
      <c r="QTB15" s="4"/>
      <c r="QTC15" s="4"/>
      <c r="QTD15" s="4"/>
      <c r="QTE15" s="4"/>
      <c r="QTF15" s="4"/>
      <c r="QTG15" s="4"/>
      <c r="QTH15" s="4"/>
      <c r="QTI15" s="4"/>
      <c r="QTJ15" s="4"/>
      <c r="QTK15" s="4"/>
      <c r="QTL15" s="4"/>
      <c r="QTM15" s="4"/>
      <c r="QTN15" s="4"/>
      <c r="QTO15" s="4"/>
      <c r="QTP15" s="4"/>
      <c r="QTQ15" s="4"/>
      <c r="QTR15" s="4"/>
      <c r="QTS15" s="4"/>
      <c r="QTT15" s="4"/>
      <c r="QTU15" s="4"/>
      <c r="QTV15" s="4"/>
      <c r="QTW15" s="4"/>
      <c r="QTX15" s="4"/>
      <c r="QTY15" s="4"/>
      <c r="QTZ15" s="4"/>
      <c r="QUA15" s="4"/>
      <c r="QUB15" s="4"/>
      <c r="QUC15" s="4"/>
      <c r="QUD15" s="4"/>
      <c r="QUE15" s="4"/>
      <c r="QUF15" s="4"/>
      <c r="QUG15" s="4"/>
      <c r="QUH15" s="4"/>
      <c r="QUI15" s="4"/>
      <c r="QUJ15" s="4"/>
      <c r="QUK15" s="4"/>
      <c r="QUL15" s="4"/>
      <c r="QUM15" s="4"/>
      <c r="QUN15" s="4"/>
      <c r="QUO15" s="4"/>
      <c r="QUP15" s="4"/>
      <c r="QUQ15" s="4"/>
      <c r="QUR15" s="4"/>
      <c r="QUS15" s="4"/>
      <c r="QUT15" s="4"/>
      <c r="QUU15" s="4"/>
      <c r="QUV15" s="4"/>
      <c r="QUW15" s="4"/>
      <c r="QUX15" s="4"/>
      <c r="QUY15" s="4"/>
      <c r="QUZ15" s="4"/>
      <c r="QVA15" s="4"/>
      <c r="QVB15" s="4"/>
      <c r="QVC15" s="4"/>
      <c r="QVD15" s="4"/>
      <c r="QVE15" s="4"/>
      <c r="QVF15" s="4"/>
      <c r="QVG15" s="4"/>
      <c r="QVH15" s="4"/>
      <c r="QVI15" s="4"/>
      <c r="QVJ15" s="4"/>
      <c r="QVK15" s="4"/>
      <c r="QVL15" s="4"/>
      <c r="QVM15" s="4"/>
      <c r="QVN15" s="4"/>
      <c r="QVO15" s="4"/>
      <c r="QVP15" s="4"/>
      <c r="QVQ15" s="4"/>
      <c r="QVR15" s="4"/>
      <c r="QVS15" s="4"/>
      <c r="QVT15" s="4"/>
      <c r="QVU15" s="4"/>
      <c r="QVV15" s="4"/>
      <c r="QVW15" s="4"/>
      <c r="QVX15" s="4"/>
      <c r="QVY15" s="4"/>
      <c r="QVZ15" s="4"/>
      <c r="QWA15" s="4"/>
      <c r="QWB15" s="4"/>
      <c r="QWC15" s="4"/>
      <c r="QWD15" s="4"/>
      <c r="QWE15" s="4"/>
      <c r="QWF15" s="4"/>
      <c r="QWG15" s="4"/>
      <c r="QWH15" s="4"/>
      <c r="QWI15" s="4"/>
      <c r="QWJ15" s="4"/>
      <c r="QWK15" s="4"/>
      <c r="QWL15" s="4"/>
      <c r="QWM15" s="4"/>
      <c r="QWN15" s="4"/>
      <c r="QWO15" s="4"/>
      <c r="QWP15" s="4"/>
      <c r="QWQ15" s="4"/>
      <c r="QWR15" s="4"/>
      <c r="QWS15" s="4"/>
      <c r="QWT15" s="4"/>
      <c r="QWU15" s="4"/>
      <c r="QWV15" s="4"/>
      <c r="QWW15" s="4"/>
      <c r="QWX15" s="4"/>
      <c r="QWY15" s="4"/>
      <c r="QWZ15" s="4"/>
      <c r="QXA15" s="4"/>
      <c r="QXB15" s="4"/>
      <c r="QXC15" s="4"/>
      <c r="QXD15" s="4"/>
      <c r="QXE15" s="4"/>
      <c r="QXF15" s="4"/>
      <c r="QXG15" s="4"/>
      <c r="QXH15" s="4"/>
      <c r="QXI15" s="4"/>
      <c r="QXJ15" s="4"/>
      <c r="QXK15" s="4"/>
      <c r="QXL15" s="4"/>
      <c r="QXM15" s="4"/>
      <c r="QXN15" s="4"/>
      <c r="QXO15" s="4"/>
      <c r="QXP15" s="4"/>
      <c r="QXQ15" s="4"/>
      <c r="QXR15" s="4"/>
      <c r="QXS15" s="4"/>
      <c r="QXT15" s="4"/>
      <c r="QXU15" s="4"/>
      <c r="QXV15" s="4"/>
      <c r="QXW15" s="4"/>
      <c r="QXX15" s="4"/>
      <c r="QXY15" s="4"/>
      <c r="QXZ15" s="4"/>
      <c r="QYA15" s="4"/>
      <c r="QYB15" s="4"/>
      <c r="QYC15" s="4"/>
      <c r="QYD15" s="4"/>
      <c r="QYE15" s="4"/>
      <c r="QYF15" s="4"/>
      <c r="QYG15" s="4"/>
      <c r="QYH15" s="4"/>
      <c r="QYI15" s="4"/>
      <c r="QYJ15" s="4"/>
      <c r="QYK15" s="4"/>
      <c r="QYL15" s="4"/>
      <c r="QYM15" s="4"/>
      <c r="QYN15" s="4"/>
      <c r="QYO15" s="4"/>
      <c r="QYP15" s="4"/>
      <c r="QYQ15" s="4"/>
      <c r="QYR15" s="4"/>
      <c r="QYS15" s="4"/>
      <c r="QYT15" s="4"/>
      <c r="QYU15" s="4"/>
      <c r="QYV15" s="4"/>
      <c r="QYW15" s="4"/>
      <c r="QYX15" s="4"/>
      <c r="QYY15" s="4"/>
      <c r="QYZ15" s="4"/>
      <c r="QZA15" s="4"/>
      <c r="QZB15" s="4"/>
      <c r="QZC15" s="4"/>
      <c r="QZD15" s="4"/>
      <c r="QZE15" s="4"/>
      <c r="QZF15" s="4"/>
      <c r="QZG15" s="4"/>
      <c r="QZH15" s="4"/>
      <c r="QZI15" s="4"/>
      <c r="QZJ15" s="4"/>
      <c r="QZK15" s="4"/>
      <c r="QZL15" s="4"/>
      <c r="QZM15" s="4"/>
      <c r="QZN15" s="4"/>
      <c r="QZO15" s="4"/>
      <c r="QZP15" s="4"/>
      <c r="QZQ15" s="4"/>
      <c r="QZR15" s="4"/>
      <c r="QZS15" s="4"/>
      <c r="QZT15" s="4"/>
      <c r="QZU15" s="4"/>
      <c r="QZV15" s="4"/>
      <c r="QZW15" s="4"/>
      <c r="QZX15" s="4"/>
      <c r="QZY15" s="4"/>
      <c r="QZZ15" s="4"/>
      <c r="RAA15" s="4"/>
      <c r="RAB15" s="4"/>
      <c r="RAC15" s="4"/>
      <c r="RAD15" s="4"/>
      <c r="RAE15" s="4"/>
      <c r="RAF15" s="4"/>
      <c r="RAG15" s="4"/>
      <c r="RAH15" s="4"/>
      <c r="RAI15" s="4"/>
      <c r="RAJ15" s="4"/>
      <c r="RAK15" s="4"/>
      <c r="RAL15" s="4"/>
      <c r="RAM15" s="4"/>
      <c r="RAN15" s="4"/>
      <c r="RAO15" s="4"/>
      <c r="RAP15" s="4"/>
      <c r="RAQ15" s="4"/>
      <c r="RAR15" s="4"/>
      <c r="RAS15" s="4"/>
      <c r="RAT15" s="4"/>
      <c r="RAU15" s="4"/>
      <c r="RAV15" s="4"/>
      <c r="RAW15" s="4"/>
      <c r="RAX15" s="4"/>
      <c r="RAY15" s="4"/>
      <c r="RAZ15" s="4"/>
      <c r="RBA15" s="4"/>
      <c r="RBB15" s="4"/>
      <c r="RBC15" s="4"/>
      <c r="RBD15" s="4"/>
      <c r="RBE15" s="4"/>
      <c r="RBF15" s="4"/>
      <c r="RBG15" s="4"/>
      <c r="RBH15" s="4"/>
      <c r="RBI15" s="4"/>
      <c r="RBJ15" s="4"/>
      <c r="RBK15" s="4"/>
      <c r="RBL15" s="4"/>
      <c r="RBM15" s="4"/>
      <c r="RBN15" s="4"/>
      <c r="RBO15" s="4"/>
      <c r="RBP15" s="4"/>
      <c r="RBQ15" s="4"/>
      <c r="RBR15" s="4"/>
      <c r="RBS15" s="4"/>
      <c r="RBT15" s="4"/>
      <c r="RBU15" s="4"/>
      <c r="RBV15" s="4"/>
      <c r="RBW15" s="4"/>
      <c r="RBX15" s="4"/>
      <c r="RBY15" s="4"/>
      <c r="RBZ15" s="4"/>
      <c r="RCA15" s="4"/>
      <c r="RCB15" s="4"/>
      <c r="RCC15" s="4"/>
      <c r="RCD15" s="4"/>
      <c r="RCE15" s="4"/>
      <c r="RCF15" s="4"/>
      <c r="RCG15" s="4"/>
      <c r="RCH15" s="4"/>
      <c r="RCI15" s="4"/>
      <c r="RCJ15" s="4"/>
      <c r="RCK15" s="4"/>
      <c r="RCL15" s="4"/>
      <c r="RCM15" s="4"/>
      <c r="RCN15" s="4"/>
      <c r="RCO15" s="4"/>
      <c r="RCP15" s="4"/>
      <c r="RCQ15" s="4"/>
      <c r="RCR15" s="4"/>
      <c r="RCS15" s="4"/>
      <c r="RCT15" s="4"/>
      <c r="RCU15" s="4"/>
      <c r="RCV15" s="4"/>
      <c r="RCW15" s="4"/>
      <c r="RCX15" s="4"/>
      <c r="RCY15" s="4"/>
      <c r="RCZ15" s="4"/>
      <c r="RDA15" s="4"/>
      <c r="RDB15" s="4"/>
      <c r="RDC15" s="4"/>
      <c r="RDD15" s="4"/>
      <c r="RDE15" s="4"/>
      <c r="RDF15" s="4"/>
      <c r="RDG15" s="4"/>
      <c r="RDH15" s="4"/>
      <c r="RDI15" s="4"/>
      <c r="RDJ15" s="4"/>
      <c r="RDK15" s="4"/>
      <c r="RDL15" s="4"/>
      <c r="RDM15" s="4"/>
      <c r="RDN15" s="4"/>
      <c r="RDO15" s="4"/>
      <c r="RDP15" s="4"/>
      <c r="RDQ15" s="4"/>
      <c r="RDR15" s="4"/>
      <c r="RDS15" s="4"/>
      <c r="RDT15" s="4"/>
      <c r="RDU15" s="4"/>
      <c r="RDV15" s="4"/>
      <c r="RDW15" s="4"/>
      <c r="RDX15" s="4"/>
      <c r="RDY15" s="4"/>
      <c r="RDZ15" s="4"/>
      <c r="REA15" s="4"/>
      <c r="REB15" s="4"/>
      <c r="REC15" s="4"/>
      <c r="RED15" s="4"/>
      <c r="REE15" s="4"/>
      <c r="REF15" s="4"/>
      <c r="REG15" s="4"/>
      <c r="REH15" s="4"/>
      <c r="REI15" s="4"/>
      <c r="REJ15" s="4"/>
      <c r="REK15" s="4"/>
      <c r="REL15" s="4"/>
      <c r="REM15" s="4"/>
      <c r="REN15" s="4"/>
      <c r="REO15" s="4"/>
      <c r="REP15" s="4"/>
      <c r="REQ15" s="4"/>
      <c r="RER15" s="4"/>
      <c r="RES15" s="4"/>
      <c r="RET15" s="4"/>
      <c r="REU15" s="4"/>
      <c r="REV15" s="4"/>
      <c r="REW15" s="4"/>
      <c r="REX15" s="4"/>
      <c r="REY15" s="4"/>
      <c r="REZ15" s="4"/>
      <c r="RFA15" s="4"/>
      <c r="RFB15" s="4"/>
      <c r="RFC15" s="4"/>
      <c r="RFD15" s="4"/>
      <c r="RFE15" s="4"/>
      <c r="RFF15" s="4"/>
      <c r="RFG15" s="4"/>
      <c r="RFH15" s="4"/>
      <c r="RFI15" s="4"/>
      <c r="RFJ15" s="4"/>
      <c r="RFK15" s="4"/>
      <c r="RFL15" s="4"/>
      <c r="RFM15" s="4"/>
      <c r="RFN15" s="4"/>
      <c r="RFO15" s="4"/>
      <c r="RFP15" s="4"/>
      <c r="RFQ15" s="4"/>
      <c r="RFR15" s="4"/>
      <c r="RFS15" s="4"/>
      <c r="RFT15" s="4"/>
      <c r="RFU15" s="4"/>
      <c r="RFV15" s="4"/>
      <c r="RFW15" s="4"/>
      <c r="RFX15" s="4"/>
      <c r="RFY15" s="4"/>
      <c r="RFZ15" s="4"/>
      <c r="RGA15" s="4"/>
      <c r="RGB15" s="4"/>
      <c r="RGC15" s="4"/>
      <c r="RGD15" s="4"/>
      <c r="RGE15" s="4"/>
      <c r="RGF15" s="4"/>
      <c r="RGG15" s="4"/>
      <c r="RGH15" s="4"/>
      <c r="RGI15" s="4"/>
      <c r="RGJ15" s="4"/>
      <c r="RGK15" s="4"/>
      <c r="RGL15" s="4"/>
      <c r="RGM15" s="4"/>
      <c r="RGN15" s="4"/>
      <c r="RGO15" s="4"/>
      <c r="RGP15" s="4"/>
      <c r="RGQ15" s="4"/>
      <c r="RGR15" s="4"/>
      <c r="RGS15" s="4"/>
      <c r="RGT15" s="4"/>
      <c r="RGU15" s="4"/>
      <c r="RGV15" s="4"/>
      <c r="RGW15" s="4"/>
      <c r="RGX15" s="4"/>
      <c r="RGY15" s="4"/>
      <c r="RGZ15" s="4"/>
      <c r="RHA15" s="4"/>
      <c r="RHB15" s="4"/>
      <c r="RHC15" s="4"/>
      <c r="RHD15" s="4"/>
      <c r="RHE15" s="4"/>
      <c r="RHF15" s="4"/>
      <c r="RHG15" s="4"/>
      <c r="RHH15" s="4"/>
      <c r="RHI15" s="4"/>
      <c r="RHJ15" s="4"/>
      <c r="RHK15" s="4"/>
      <c r="RHL15" s="4"/>
      <c r="RHM15" s="4"/>
      <c r="RHN15" s="4"/>
      <c r="RHO15" s="4"/>
      <c r="RHP15" s="4"/>
      <c r="RHQ15" s="4"/>
      <c r="RHR15" s="4"/>
      <c r="RHS15" s="4"/>
      <c r="RHT15" s="4"/>
      <c r="RHU15" s="4"/>
      <c r="RHV15" s="4"/>
      <c r="RHW15" s="4"/>
      <c r="RHX15" s="4"/>
      <c r="RHY15" s="4"/>
      <c r="RHZ15" s="4"/>
      <c r="RIA15" s="4"/>
      <c r="RIB15" s="4"/>
      <c r="RIC15" s="4"/>
      <c r="RID15" s="4"/>
      <c r="RIE15" s="4"/>
      <c r="RIF15" s="4"/>
      <c r="RIG15" s="4"/>
      <c r="RIH15" s="4"/>
      <c r="RII15" s="4"/>
      <c r="RIJ15" s="4"/>
      <c r="RIK15" s="4"/>
      <c r="RIL15" s="4"/>
      <c r="RIM15" s="4"/>
      <c r="RIN15" s="4"/>
      <c r="RIO15" s="4"/>
      <c r="RIP15" s="4"/>
      <c r="RIQ15" s="4"/>
      <c r="RIR15" s="4"/>
      <c r="RIS15" s="4"/>
      <c r="RIT15" s="4"/>
      <c r="RIU15" s="4"/>
      <c r="RIV15" s="4"/>
      <c r="RIW15" s="4"/>
      <c r="RIX15" s="4"/>
      <c r="RIY15" s="4"/>
      <c r="RIZ15" s="4"/>
      <c r="RJA15" s="4"/>
      <c r="RJB15" s="4"/>
      <c r="RJC15" s="4"/>
      <c r="RJD15" s="4"/>
      <c r="RJE15" s="4"/>
      <c r="RJF15" s="4"/>
      <c r="RJG15" s="4"/>
      <c r="RJH15" s="4"/>
      <c r="RJI15" s="4"/>
      <c r="RJJ15" s="4"/>
      <c r="RJK15" s="4"/>
      <c r="RJL15" s="4"/>
      <c r="RJM15" s="4"/>
      <c r="RJN15" s="4"/>
      <c r="RJO15" s="4"/>
      <c r="RJP15" s="4"/>
      <c r="RJQ15" s="4"/>
      <c r="RJR15" s="4"/>
      <c r="RJS15" s="4"/>
      <c r="RJT15" s="4"/>
      <c r="RJU15" s="4"/>
      <c r="RJV15" s="4"/>
      <c r="RJW15" s="4"/>
      <c r="RJX15" s="4"/>
      <c r="RJY15" s="4"/>
      <c r="RJZ15" s="4"/>
      <c r="RKA15" s="4"/>
      <c r="RKB15" s="4"/>
      <c r="RKC15" s="4"/>
      <c r="RKD15" s="4"/>
      <c r="RKE15" s="4"/>
      <c r="RKF15" s="4"/>
      <c r="RKG15" s="4"/>
      <c r="RKH15" s="4"/>
      <c r="RKI15" s="4"/>
      <c r="RKJ15" s="4"/>
      <c r="RKK15" s="4"/>
      <c r="RKL15" s="4"/>
      <c r="RKM15" s="4"/>
      <c r="RKN15" s="4"/>
      <c r="RKO15" s="4"/>
      <c r="RKP15" s="4"/>
      <c r="RKQ15" s="4"/>
      <c r="RKR15" s="4"/>
      <c r="RKS15" s="4"/>
      <c r="RKT15" s="4"/>
      <c r="RKU15" s="4"/>
      <c r="RKV15" s="4"/>
      <c r="RKW15" s="4"/>
      <c r="RKX15" s="4"/>
      <c r="RKY15" s="4"/>
      <c r="RKZ15" s="4"/>
      <c r="RLA15" s="4"/>
      <c r="RLB15" s="4"/>
      <c r="RLC15" s="4"/>
      <c r="RLD15" s="4"/>
      <c r="RLE15" s="4"/>
      <c r="RLF15" s="4"/>
      <c r="RLG15" s="4"/>
      <c r="RLH15" s="4"/>
      <c r="RLI15" s="4"/>
      <c r="RLJ15" s="4"/>
      <c r="RLK15" s="4"/>
      <c r="RLL15" s="4"/>
      <c r="RLM15" s="4"/>
      <c r="RLN15" s="4"/>
      <c r="RLO15" s="4"/>
      <c r="RLP15" s="4"/>
      <c r="RLQ15" s="4"/>
      <c r="RLR15" s="4"/>
      <c r="RLS15" s="4"/>
      <c r="RLT15" s="4"/>
      <c r="RLU15" s="4"/>
      <c r="RLV15" s="4"/>
      <c r="RLW15" s="4"/>
      <c r="RLX15" s="4"/>
      <c r="RLY15" s="4"/>
      <c r="RLZ15" s="4"/>
      <c r="RMA15" s="4"/>
      <c r="RMB15" s="4"/>
      <c r="RMC15" s="4"/>
      <c r="RMD15" s="4"/>
      <c r="RME15" s="4"/>
      <c r="RMF15" s="4"/>
      <c r="RMG15" s="4"/>
      <c r="RMH15" s="4"/>
      <c r="RMI15" s="4"/>
      <c r="RMJ15" s="4"/>
      <c r="RMK15" s="4"/>
      <c r="RML15" s="4"/>
      <c r="RMM15" s="4"/>
      <c r="RMN15" s="4"/>
      <c r="RMO15" s="4"/>
      <c r="RMP15" s="4"/>
      <c r="RMQ15" s="4"/>
      <c r="RMR15" s="4"/>
      <c r="RMS15" s="4"/>
      <c r="RMT15" s="4"/>
      <c r="RMU15" s="4"/>
      <c r="RMV15" s="4"/>
      <c r="RMW15" s="4"/>
      <c r="RMX15" s="4"/>
      <c r="RMY15" s="4"/>
      <c r="RMZ15" s="4"/>
      <c r="RNA15" s="4"/>
      <c r="RNB15" s="4"/>
      <c r="RNC15" s="4"/>
      <c r="RND15" s="4"/>
      <c r="RNE15" s="4"/>
      <c r="RNF15" s="4"/>
      <c r="RNG15" s="4"/>
      <c r="RNH15" s="4"/>
      <c r="RNI15" s="4"/>
      <c r="RNJ15" s="4"/>
      <c r="RNK15" s="4"/>
      <c r="RNL15" s="4"/>
      <c r="RNM15" s="4"/>
      <c r="RNN15" s="4"/>
      <c r="RNO15" s="4"/>
      <c r="RNP15" s="4"/>
      <c r="RNQ15" s="4"/>
      <c r="RNR15" s="4"/>
      <c r="RNS15" s="4"/>
      <c r="RNT15" s="4"/>
      <c r="RNU15" s="4"/>
      <c r="RNV15" s="4"/>
      <c r="RNW15" s="4"/>
      <c r="RNX15" s="4"/>
      <c r="RNY15" s="4"/>
      <c r="RNZ15" s="4"/>
      <c r="ROA15" s="4"/>
      <c r="ROB15" s="4"/>
      <c r="ROC15" s="4"/>
      <c r="ROD15" s="4"/>
      <c r="ROE15" s="4"/>
      <c r="ROF15" s="4"/>
      <c r="ROG15" s="4"/>
      <c r="ROH15" s="4"/>
      <c r="ROI15" s="4"/>
      <c r="ROJ15" s="4"/>
      <c r="ROK15" s="4"/>
      <c r="ROL15" s="4"/>
      <c r="ROM15" s="4"/>
      <c r="RON15" s="4"/>
      <c r="ROO15" s="4"/>
      <c r="ROP15" s="4"/>
      <c r="ROQ15" s="4"/>
      <c r="ROR15" s="4"/>
      <c r="ROS15" s="4"/>
      <c r="ROT15" s="4"/>
      <c r="ROU15" s="4"/>
      <c r="ROV15" s="4"/>
      <c r="ROW15" s="4"/>
      <c r="ROX15" s="4"/>
      <c r="ROY15" s="4"/>
      <c r="ROZ15" s="4"/>
      <c r="RPA15" s="4"/>
      <c r="RPB15" s="4"/>
      <c r="RPC15" s="4"/>
      <c r="RPD15" s="4"/>
      <c r="RPE15" s="4"/>
      <c r="RPF15" s="4"/>
      <c r="RPG15" s="4"/>
      <c r="RPH15" s="4"/>
      <c r="RPI15" s="4"/>
      <c r="RPJ15" s="4"/>
      <c r="RPK15" s="4"/>
      <c r="RPL15" s="4"/>
      <c r="RPM15" s="4"/>
      <c r="RPN15" s="4"/>
      <c r="RPO15" s="4"/>
      <c r="RPP15" s="4"/>
      <c r="RPQ15" s="4"/>
      <c r="RPR15" s="4"/>
      <c r="RPS15" s="4"/>
      <c r="RPT15" s="4"/>
      <c r="RPU15" s="4"/>
      <c r="RPV15" s="4"/>
      <c r="RPW15" s="4"/>
      <c r="RPX15" s="4"/>
      <c r="RPY15" s="4"/>
      <c r="RPZ15" s="4"/>
      <c r="RQA15" s="4"/>
      <c r="RQB15" s="4"/>
      <c r="RQC15" s="4"/>
      <c r="RQD15" s="4"/>
      <c r="RQE15" s="4"/>
      <c r="RQF15" s="4"/>
      <c r="RQG15" s="4"/>
      <c r="RQH15" s="4"/>
      <c r="RQI15" s="4"/>
      <c r="RQJ15" s="4"/>
      <c r="RQK15" s="4"/>
      <c r="RQL15" s="4"/>
      <c r="RQM15" s="4"/>
      <c r="RQN15" s="4"/>
      <c r="RQO15" s="4"/>
      <c r="RQP15" s="4"/>
      <c r="RQQ15" s="4"/>
      <c r="RQR15" s="4"/>
      <c r="RQS15" s="4"/>
      <c r="RQT15" s="4"/>
      <c r="RQU15" s="4"/>
      <c r="RQV15" s="4"/>
      <c r="RQW15" s="4"/>
      <c r="RQX15" s="4"/>
      <c r="RQY15" s="4"/>
      <c r="RQZ15" s="4"/>
      <c r="RRA15" s="4"/>
      <c r="RRB15" s="4"/>
      <c r="RRC15" s="4"/>
      <c r="RRD15" s="4"/>
      <c r="RRE15" s="4"/>
      <c r="RRF15" s="4"/>
      <c r="RRG15" s="4"/>
      <c r="RRH15" s="4"/>
      <c r="RRI15" s="4"/>
      <c r="RRJ15" s="4"/>
      <c r="RRK15" s="4"/>
      <c r="RRL15" s="4"/>
      <c r="RRM15" s="4"/>
      <c r="RRN15" s="4"/>
      <c r="RRO15" s="4"/>
      <c r="RRP15" s="4"/>
      <c r="RRQ15" s="4"/>
      <c r="RRR15" s="4"/>
      <c r="RRS15" s="4"/>
      <c r="RRT15" s="4"/>
      <c r="RRU15" s="4"/>
      <c r="RRV15" s="4"/>
      <c r="RRW15" s="4"/>
      <c r="RRX15" s="4"/>
      <c r="RRY15" s="4"/>
      <c r="RRZ15" s="4"/>
      <c r="RSA15" s="4"/>
      <c r="RSB15" s="4"/>
      <c r="RSC15" s="4"/>
      <c r="RSD15" s="4"/>
      <c r="RSE15" s="4"/>
      <c r="RSF15" s="4"/>
      <c r="RSG15" s="4"/>
      <c r="RSH15" s="4"/>
      <c r="RSI15" s="4"/>
      <c r="RSJ15" s="4"/>
      <c r="RSK15" s="4"/>
      <c r="RSL15" s="4"/>
      <c r="RSM15" s="4"/>
      <c r="RSN15" s="4"/>
      <c r="RSO15" s="4"/>
      <c r="RSP15" s="4"/>
      <c r="RSQ15" s="4"/>
      <c r="RSR15" s="4"/>
      <c r="RSS15" s="4"/>
      <c r="RST15" s="4"/>
      <c r="RSU15" s="4"/>
      <c r="RSV15" s="4"/>
      <c r="RSW15" s="4"/>
      <c r="RSX15" s="4"/>
      <c r="RSY15" s="4"/>
      <c r="RSZ15" s="4"/>
      <c r="RTA15" s="4"/>
      <c r="RTB15" s="4"/>
      <c r="RTC15" s="4"/>
      <c r="RTD15" s="4"/>
      <c r="RTE15" s="4"/>
      <c r="RTF15" s="4"/>
      <c r="RTG15" s="4"/>
      <c r="RTH15" s="4"/>
      <c r="RTI15" s="4"/>
      <c r="RTJ15" s="4"/>
      <c r="RTK15" s="4"/>
      <c r="RTL15" s="4"/>
      <c r="RTM15" s="4"/>
      <c r="RTN15" s="4"/>
      <c r="RTO15" s="4"/>
      <c r="RTP15" s="4"/>
      <c r="RTQ15" s="4"/>
      <c r="RTR15" s="4"/>
      <c r="RTS15" s="4"/>
      <c r="RTT15" s="4"/>
      <c r="RTU15" s="4"/>
      <c r="RTV15" s="4"/>
      <c r="RTW15" s="4"/>
      <c r="RTX15" s="4"/>
      <c r="RTY15" s="4"/>
      <c r="RTZ15" s="4"/>
      <c r="RUA15" s="4"/>
      <c r="RUB15" s="4"/>
      <c r="RUC15" s="4"/>
      <c r="RUD15" s="4"/>
      <c r="RUE15" s="4"/>
      <c r="RUF15" s="4"/>
      <c r="RUG15" s="4"/>
      <c r="RUH15" s="4"/>
      <c r="RUI15" s="4"/>
      <c r="RUJ15" s="4"/>
      <c r="RUK15" s="4"/>
      <c r="RUL15" s="4"/>
      <c r="RUM15" s="4"/>
      <c r="RUN15" s="4"/>
      <c r="RUO15" s="4"/>
      <c r="RUP15" s="4"/>
      <c r="RUQ15" s="4"/>
      <c r="RUR15" s="4"/>
      <c r="RUS15" s="4"/>
      <c r="RUT15" s="4"/>
      <c r="RUU15" s="4"/>
      <c r="RUV15" s="4"/>
      <c r="RUW15" s="4"/>
      <c r="RUX15" s="4"/>
      <c r="RUY15" s="4"/>
      <c r="RUZ15" s="4"/>
      <c r="RVA15" s="4"/>
      <c r="RVB15" s="4"/>
      <c r="RVC15" s="4"/>
      <c r="RVD15" s="4"/>
      <c r="RVE15" s="4"/>
      <c r="RVF15" s="4"/>
      <c r="RVG15" s="4"/>
      <c r="RVH15" s="4"/>
      <c r="RVI15" s="4"/>
      <c r="RVJ15" s="4"/>
      <c r="RVK15" s="4"/>
      <c r="RVL15" s="4"/>
      <c r="RVM15" s="4"/>
      <c r="RVN15" s="4"/>
      <c r="RVO15" s="4"/>
      <c r="RVP15" s="4"/>
      <c r="RVQ15" s="4"/>
      <c r="RVR15" s="4"/>
      <c r="RVS15" s="4"/>
      <c r="RVT15" s="4"/>
      <c r="RVU15" s="4"/>
      <c r="RVV15" s="4"/>
      <c r="RVW15" s="4"/>
      <c r="RVX15" s="4"/>
      <c r="RVY15" s="4"/>
      <c r="RVZ15" s="4"/>
      <c r="RWA15" s="4"/>
      <c r="RWB15" s="4"/>
      <c r="RWC15" s="4"/>
      <c r="RWD15" s="4"/>
      <c r="RWE15" s="4"/>
      <c r="RWF15" s="4"/>
      <c r="RWG15" s="4"/>
      <c r="RWH15" s="4"/>
      <c r="RWI15" s="4"/>
      <c r="RWJ15" s="4"/>
      <c r="RWK15" s="4"/>
      <c r="RWL15" s="4"/>
      <c r="RWM15" s="4"/>
      <c r="RWN15" s="4"/>
      <c r="RWO15" s="4"/>
      <c r="RWP15" s="4"/>
      <c r="RWQ15" s="4"/>
      <c r="RWR15" s="4"/>
      <c r="RWS15" s="4"/>
      <c r="RWT15" s="4"/>
      <c r="RWU15" s="4"/>
      <c r="RWV15" s="4"/>
      <c r="RWW15" s="4"/>
      <c r="RWX15" s="4"/>
      <c r="RWY15" s="4"/>
      <c r="RWZ15" s="4"/>
      <c r="RXA15" s="4"/>
      <c r="RXB15" s="4"/>
      <c r="RXC15" s="4"/>
      <c r="RXD15" s="4"/>
      <c r="RXE15" s="4"/>
      <c r="RXF15" s="4"/>
      <c r="RXG15" s="4"/>
      <c r="RXH15" s="4"/>
      <c r="RXI15" s="4"/>
      <c r="RXJ15" s="4"/>
      <c r="RXK15" s="4"/>
      <c r="RXL15" s="4"/>
      <c r="RXM15" s="4"/>
      <c r="RXN15" s="4"/>
      <c r="RXO15" s="4"/>
      <c r="RXP15" s="4"/>
      <c r="RXQ15" s="4"/>
      <c r="RXR15" s="4"/>
      <c r="RXS15" s="4"/>
      <c r="RXT15" s="4"/>
      <c r="RXU15" s="4"/>
      <c r="RXV15" s="4"/>
      <c r="RXW15" s="4"/>
      <c r="RXX15" s="4"/>
      <c r="RXY15" s="4"/>
      <c r="RXZ15" s="4"/>
      <c r="RYA15" s="4"/>
      <c r="RYB15" s="4"/>
      <c r="RYC15" s="4"/>
      <c r="RYD15" s="4"/>
      <c r="RYE15" s="4"/>
      <c r="RYF15" s="4"/>
      <c r="RYG15" s="4"/>
      <c r="RYH15" s="4"/>
      <c r="RYI15" s="4"/>
      <c r="RYJ15" s="4"/>
      <c r="RYK15" s="4"/>
      <c r="RYL15" s="4"/>
      <c r="RYM15" s="4"/>
      <c r="RYN15" s="4"/>
      <c r="RYO15" s="4"/>
      <c r="RYP15" s="4"/>
      <c r="RYQ15" s="4"/>
      <c r="RYR15" s="4"/>
      <c r="RYS15" s="4"/>
      <c r="RYT15" s="4"/>
      <c r="RYU15" s="4"/>
      <c r="RYV15" s="4"/>
      <c r="RYW15" s="4"/>
      <c r="RYX15" s="4"/>
      <c r="RYY15" s="4"/>
      <c r="RYZ15" s="4"/>
      <c r="RZA15" s="4"/>
      <c r="RZB15" s="4"/>
      <c r="RZC15" s="4"/>
      <c r="RZD15" s="4"/>
      <c r="RZE15" s="4"/>
      <c r="RZF15" s="4"/>
      <c r="RZG15" s="4"/>
      <c r="RZH15" s="4"/>
      <c r="RZI15" s="4"/>
      <c r="RZJ15" s="4"/>
      <c r="RZK15" s="4"/>
      <c r="RZL15" s="4"/>
      <c r="RZM15" s="4"/>
      <c r="RZN15" s="4"/>
      <c r="RZO15" s="4"/>
      <c r="RZP15" s="4"/>
      <c r="RZQ15" s="4"/>
      <c r="RZR15" s="4"/>
      <c r="RZS15" s="4"/>
      <c r="RZT15" s="4"/>
      <c r="RZU15" s="4"/>
      <c r="RZV15" s="4"/>
      <c r="RZW15" s="4"/>
      <c r="RZX15" s="4"/>
      <c r="RZY15" s="4"/>
      <c r="RZZ15" s="4"/>
      <c r="SAA15" s="4"/>
      <c r="SAB15" s="4"/>
      <c r="SAC15" s="4"/>
      <c r="SAD15" s="4"/>
      <c r="SAE15" s="4"/>
      <c r="SAF15" s="4"/>
      <c r="SAG15" s="4"/>
      <c r="SAH15" s="4"/>
      <c r="SAI15" s="4"/>
      <c r="SAJ15" s="4"/>
      <c r="SAK15" s="4"/>
      <c r="SAL15" s="4"/>
      <c r="SAM15" s="4"/>
      <c r="SAN15" s="4"/>
      <c r="SAO15" s="4"/>
      <c r="SAP15" s="4"/>
      <c r="SAQ15" s="4"/>
      <c r="SAR15" s="4"/>
      <c r="SAS15" s="4"/>
      <c r="SAT15" s="4"/>
      <c r="SAU15" s="4"/>
      <c r="SAV15" s="4"/>
      <c r="SAW15" s="4"/>
      <c r="SAX15" s="4"/>
      <c r="SAY15" s="4"/>
      <c r="SAZ15" s="4"/>
      <c r="SBA15" s="4"/>
      <c r="SBB15" s="4"/>
      <c r="SBC15" s="4"/>
      <c r="SBD15" s="4"/>
      <c r="SBE15" s="4"/>
      <c r="SBF15" s="4"/>
      <c r="SBG15" s="4"/>
      <c r="SBH15" s="4"/>
      <c r="SBI15" s="4"/>
      <c r="SBJ15" s="4"/>
      <c r="SBK15" s="4"/>
      <c r="SBL15" s="4"/>
      <c r="SBM15" s="4"/>
      <c r="SBN15" s="4"/>
      <c r="SBO15" s="4"/>
      <c r="SBP15" s="4"/>
      <c r="SBQ15" s="4"/>
      <c r="SBR15" s="4"/>
      <c r="SBS15" s="4"/>
      <c r="SBT15" s="4"/>
      <c r="SBU15" s="4"/>
      <c r="SBV15" s="4"/>
      <c r="SBW15" s="4"/>
      <c r="SBX15" s="4"/>
      <c r="SBY15" s="4"/>
      <c r="SBZ15" s="4"/>
      <c r="SCA15" s="4"/>
      <c r="SCB15" s="4"/>
      <c r="SCC15" s="4"/>
      <c r="SCD15" s="4"/>
      <c r="SCE15" s="4"/>
      <c r="SCF15" s="4"/>
      <c r="SCG15" s="4"/>
      <c r="SCH15" s="4"/>
      <c r="SCI15" s="4"/>
      <c r="SCJ15" s="4"/>
      <c r="SCK15" s="4"/>
      <c r="SCL15" s="4"/>
      <c r="SCM15" s="4"/>
      <c r="SCN15" s="4"/>
      <c r="SCO15" s="4"/>
      <c r="SCP15" s="4"/>
      <c r="SCQ15" s="4"/>
      <c r="SCR15" s="4"/>
      <c r="SCS15" s="4"/>
      <c r="SCT15" s="4"/>
      <c r="SCU15" s="4"/>
      <c r="SCV15" s="4"/>
      <c r="SCW15" s="4"/>
      <c r="SCX15" s="4"/>
      <c r="SCY15" s="4"/>
      <c r="SCZ15" s="4"/>
      <c r="SDA15" s="4"/>
      <c r="SDB15" s="4"/>
      <c r="SDC15" s="4"/>
      <c r="SDD15" s="4"/>
      <c r="SDE15" s="4"/>
      <c r="SDF15" s="4"/>
      <c r="SDG15" s="4"/>
      <c r="SDH15" s="4"/>
      <c r="SDI15" s="4"/>
      <c r="SDJ15" s="4"/>
      <c r="SDK15" s="4"/>
      <c r="SDL15" s="4"/>
      <c r="SDM15" s="4"/>
      <c r="SDN15" s="4"/>
      <c r="SDO15" s="4"/>
      <c r="SDP15" s="4"/>
      <c r="SDQ15" s="4"/>
      <c r="SDR15" s="4"/>
      <c r="SDS15" s="4"/>
      <c r="SDT15" s="4"/>
      <c r="SDU15" s="4"/>
      <c r="SDV15" s="4"/>
      <c r="SDW15" s="4"/>
      <c r="SDX15" s="4"/>
      <c r="SDY15" s="4"/>
      <c r="SDZ15" s="4"/>
      <c r="SEA15" s="4"/>
      <c r="SEB15" s="4"/>
      <c r="SEC15" s="4"/>
      <c r="SED15" s="4"/>
      <c r="SEE15" s="4"/>
      <c r="SEF15" s="4"/>
      <c r="SEG15" s="4"/>
      <c r="SEH15" s="4"/>
      <c r="SEI15" s="4"/>
      <c r="SEJ15" s="4"/>
      <c r="SEK15" s="4"/>
      <c r="SEL15" s="4"/>
      <c r="SEM15" s="4"/>
      <c r="SEN15" s="4"/>
      <c r="SEO15" s="4"/>
      <c r="SEP15" s="4"/>
      <c r="SEQ15" s="4"/>
      <c r="SER15" s="4"/>
      <c r="SES15" s="4"/>
      <c r="SET15" s="4"/>
      <c r="SEU15" s="4"/>
      <c r="SEV15" s="4"/>
      <c r="SEW15" s="4"/>
      <c r="SEX15" s="4"/>
      <c r="SEY15" s="4"/>
      <c r="SEZ15" s="4"/>
      <c r="SFA15" s="4"/>
      <c r="SFB15" s="4"/>
      <c r="SFC15" s="4"/>
      <c r="SFD15" s="4"/>
      <c r="SFE15" s="4"/>
      <c r="SFF15" s="4"/>
      <c r="SFG15" s="4"/>
      <c r="SFH15" s="4"/>
      <c r="SFI15" s="4"/>
      <c r="SFJ15" s="4"/>
      <c r="SFK15" s="4"/>
      <c r="SFL15" s="4"/>
      <c r="SFM15" s="4"/>
      <c r="SFN15" s="4"/>
      <c r="SFO15" s="4"/>
      <c r="SFP15" s="4"/>
      <c r="SFQ15" s="4"/>
      <c r="SFR15" s="4"/>
      <c r="SFS15" s="4"/>
      <c r="SFT15" s="4"/>
      <c r="SFU15" s="4"/>
      <c r="SFV15" s="4"/>
      <c r="SFW15" s="4"/>
      <c r="SFX15" s="4"/>
      <c r="SFY15" s="4"/>
      <c r="SFZ15" s="4"/>
      <c r="SGA15" s="4"/>
      <c r="SGB15" s="4"/>
      <c r="SGC15" s="4"/>
      <c r="SGD15" s="4"/>
      <c r="SGE15" s="4"/>
      <c r="SGF15" s="4"/>
      <c r="SGG15" s="4"/>
      <c r="SGH15" s="4"/>
      <c r="SGI15" s="4"/>
      <c r="SGJ15" s="4"/>
      <c r="SGK15" s="4"/>
      <c r="SGL15" s="4"/>
      <c r="SGM15" s="4"/>
      <c r="SGN15" s="4"/>
      <c r="SGO15" s="4"/>
      <c r="SGP15" s="4"/>
      <c r="SGQ15" s="4"/>
      <c r="SGR15" s="4"/>
      <c r="SGS15" s="4"/>
      <c r="SGT15" s="4"/>
      <c r="SGU15" s="4"/>
      <c r="SGV15" s="4"/>
      <c r="SGW15" s="4"/>
      <c r="SGX15" s="4"/>
      <c r="SGY15" s="4"/>
      <c r="SGZ15" s="4"/>
      <c r="SHA15" s="4"/>
      <c r="SHB15" s="4"/>
      <c r="SHC15" s="4"/>
      <c r="SHD15" s="4"/>
      <c r="SHE15" s="4"/>
      <c r="SHF15" s="4"/>
      <c r="SHG15" s="4"/>
      <c r="SHH15" s="4"/>
      <c r="SHI15" s="4"/>
      <c r="SHJ15" s="4"/>
      <c r="SHK15" s="4"/>
      <c r="SHL15" s="4"/>
      <c r="SHM15" s="4"/>
      <c r="SHN15" s="4"/>
      <c r="SHO15" s="4"/>
      <c r="SHP15" s="4"/>
      <c r="SHQ15" s="4"/>
      <c r="SHR15" s="4"/>
      <c r="SHS15" s="4"/>
      <c r="SHT15" s="4"/>
      <c r="SHU15" s="4"/>
      <c r="SHV15" s="4"/>
      <c r="SHW15" s="4"/>
      <c r="SHX15" s="4"/>
      <c r="SHY15" s="4"/>
      <c r="SHZ15" s="4"/>
      <c r="SIA15" s="4"/>
      <c r="SIB15" s="4"/>
      <c r="SIC15" s="4"/>
      <c r="SID15" s="4"/>
      <c r="SIE15" s="4"/>
      <c r="SIF15" s="4"/>
      <c r="SIG15" s="4"/>
      <c r="SIH15" s="4"/>
      <c r="SII15" s="4"/>
      <c r="SIJ15" s="4"/>
      <c r="SIK15" s="4"/>
      <c r="SIL15" s="4"/>
      <c r="SIM15" s="4"/>
      <c r="SIN15" s="4"/>
      <c r="SIO15" s="4"/>
      <c r="SIP15" s="4"/>
      <c r="SIQ15" s="4"/>
      <c r="SIR15" s="4"/>
      <c r="SIS15" s="4"/>
      <c r="SIT15" s="4"/>
      <c r="SIU15" s="4"/>
      <c r="SIV15" s="4"/>
      <c r="SIW15" s="4"/>
      <c r="SIX15" s="4"/>
      <c r="SIY15" s="4"/>
      <c r="SIZ15" s="4"/>
      <c r="SJA15" s="4"/>
      <c r="SJB15" s="4"/>
      <c r="SJC15" s="4"/>
      <c r="SJD15" s="4"/>
      <c r="SJE15" s="4"/>
      <c r="SJF15" s="4"/>
      <c r="SJG15" s="4"/>
      <c r="SJH15" s="4"/>
      <c r="SJI15" s="4"/>
      <c r="SJJ15" s="4"/>
      <c r="SJK15" s="4"/>
      <c r="SJL15" s="4"/>
      <c r="SJM15" s="4"/>
      <c r="SJN15" s="4"/>
      <c r="SJO15" s="4"/>
      <c r="SJP15" s="4"/>
      <c r="SJQ15" s="4"/>
      <c r="SJR15" s="4"/>
      <c r="SJS15" s="4"/>
      <c r="SJT15" s="4"/>
      <c r="SJU15" s="4"/>
      <c r="SJV15" s="4"/>
      <c r="SJW15" s="4"/>
      <c r="SJX15" s="4"/>
      <c r="SJY15" s="4"/>
      <c r="SJZ15" s="4"/>
      <c r="SKA15" s="4"/>
      <c r="SKB15" s="4"/>
      <c r="SKC15" s="4"/>
      <c r="SKD15" s="4"/>
      <c r="SKE15" s="4"/>
      <c r="SKF15" s="4"/>
      <c r="SKG15" s="4"/>
      <c r="SKH15" s="4"/>
      <c r="SKI15" s="4"/>
      <c r="SKJ15" s="4"/>
      <c r="SKK15" s="4"/>
      <c r="SKL15" s="4"/>
      <c r="SKM15" s="4"/>
      <c r="SKN15" s="4"/>
      <c r="SKO15" s="4"/>
      <c r="SKP15" s="4"/>
      <c r="SKQ15" s="4"/>
      <c r="SKR15" s="4"/>
      <c r="SKS15" s="4"/>
      <c r="SKT15" s="4"/>
      <c r="SKU15" s="4"/>
      <c r="SKV15" s="4"/>
      <c r="SKW15" s="4"/>
      <c r="SKX15" s="4"/>
      <c r="SKY15" s="4"/>
      <c r="SKZ15" s="4"/>
      <c r="SLA15" s="4"/>
      <c r="SLB15" s="4"/>
      <c r="SLC15" s="4"/>
      <c r="SLD15" s="4"/>
      <c r="SLE15" s="4"/>
      <c r="SLF15" s="4"/>
      <c r="SLG15" s="4"/>
      <c r="SLH15" s="4"/>
      <c r="SLI15" s="4"/>
      <c r="SLJ15" s="4"/>
      <c r="SLK15" s="4"/>
      <c r="SLL15" s="4"/>
      <c r="SLM15" s="4"/>
      <c r="SLN15" s="4"/>
      <c r="SLO15" s="4"/>
      <c r="SLP15" s="4"/>
      <c r="SLQ15" s="4"/>
      <c r="SLR15" s="4"/>
      <c r="SLS15" s="4"/>
      <c r="SLT15" s="4"/>
      <c r="SLU15" s="4"/>
      <c r="SLV15" s="4"/>
      <c r="SLW15" s="4"/>
      <c r="SLX15" s="4"/>
      <c r="SLY15" s="4"/>
      <c r="SLZ15" s="4"/>
      <c r="SMA15" s="4"/>
      <c r="SMB15" s="4"/>
      <c r="SMC15" s="4"/>
      <c r="SMD15" s="4"/>
      <c r="SME15" s="4"/>
      <c r="SMF15" s="4"/>
      <c r="SMG15" s="4"/>
      <c r="SMH15" s="4"/>
      <c r="SMI15" s="4"/>
      <c r="SMJ15" s="4"/>
      <c r="SMK15" s="4"/>
      <c r="SML15" s="4"/>
      <c r="SMM15" s="4"/>
      <c r="SMN15" s="4"/>
      <c r="SMO15" s="4"/>
      <c r="SMP15" s="4"/>
      <c r="SMQ15" s="4"/>
      <c r="SMR15" s="4"/>
      <c r="SMS15" s="4"/>
      <c r="SMT15" s="4"/>
      <c r="SMU15" s="4"/>
      <c r="SMV15" s="4"/>
      <c r="SMW15" s="4"/>
      <c r="SMX15" s="4"/>
      <c r="SMY15" s="4"/>
      <c r="SMZ15" s="4"/>
      <c r="SNA15" s="4"/>
      <c r="SNB15" s="4"/>
      <c r="SNC15" s="4"/>
      <c r="SND15" s="4"/>
      <c r="SNE15" s="4"/>
      <c r="SNF15" s="4"/>
      <c r="SNG15" s="4"/>
      <c r="SNH15" s="4"/>
      <c r="SNI15" s="4"/>
      <c r="SNJ15" s="4"/>
      <c r="SNK15" s="4"/>
      <c r="SNL15" s="4"/>
      <c r="SNM15" s="4"/>
      <c r="SNN15" s="4"/>
      <c r="SNO15" s="4"/>
      <c r="SNP15" s="4"/>
      <c r="SNQ15" s="4"/>
      <c r="SNR15" s="4"/>
      <c r="SNS15" s="4"/>
      <c r="SNT15" s="4"/>
      <c r="SNU15" s="4"/>
      <c r="SNV15" s="4"/>
      <c r="SNW15" s="4"/>
      <c r="SNX15" s="4"/>
      <c r="SNY15" s="4"/>
      <c r="SNZ15" s="4"/>
      <c r="SOA15" s="4"/>
      <c r="SOB15" s="4"/>
      <c r="SOC15" s="4"/>
      <c r="SOD15" s="4"/>
      <c r="SOE15" s="4"/>
      <c r="SOF15" s="4"/>
      <c r="SOG15" s="4"/>
      <c r="SOH15" s="4"/>
      <c r="SOI15" s="4"/>
      <c r="SOJ15" s="4"/>
      <c r="SOK15" s="4"/>
      <c r="SOL15" s="4"/>
      <c r="SOM15" s="4"/>
      <c r="SON15" s="4"/>
      <c r="SOO15" s="4"/>
      <c r="SOP15" s="4"/>
      <c r="SOQ15" s="4"/>
      <c r="SOR15" s="4"/>
      <c r="SOS15" s="4"/>
      <c r="SOT15" s="4"/>
      <c r="SOU15" s="4"/>
      <c r="SOV15" s="4"/>
      <c r="SOW15" s="4"/>
      <c r="SOX15" s="4"/>
      <c r="SOY15" s="4"/>
      <c r="SOZ15" s="4"/>
      <c r="SPA15" s="4"/>
      <c r="SPB15" s="4"/>
      <c r="SPC15" s="4"/>
      <c r="SPD15" s="4"/>
      <c r="SPE15" s="4"/>
      <c r="SPF15" s="4"/>
      <c r="SPG15" s="4"/>
      <c r="SPH15" s="4"/>
      <c r="SPI15" s="4"/>
      <c r="SPJ15" s="4"/>
      <c r="SPK15" s="4"/>
      <c r="SPL15" s="4"/>
      <c r="SPM15" s="4"/>
      <c r="SPN15" s="4"/>
      <c r="SPO15" s="4"/>
      <c r="SPP15" s="4"/>
      <c r="SPQ15" s="4"/>
      <c r="SPR15" s="4"/>
      <c r="SPS15" s="4"/>
      <c r="SPT15" s="4"/>
      <c r="SPU15" s="4"/>
      <c r="SPV15" s="4"/>
      <c r="SPW15" s="4"/>
      <c r="SPX15" s="4"/>
      <c r="SPY15" s="4"/>
      <c r="SPZ15" s="4"/>
      <c r="SQA15" s="4"/>
      <c r="SQB15" s="4"/>
      <c r="SQC15" s="4"/>
      <c r="SQD15" s="4"/>
      <c r="SQE15" s="4"/>
      <c r="SQF15" s="4"/>
      <c r="SQG15" s="4"/>
      <c r="SQH15" s="4"/>
      <c r="SQI15" s="4"/>
      <c r="SQJ15" s="4"/>
      <c r="SQK15" s="4"/>
      <c r="SQL15" s="4"/>
      <c r="SQM15" s="4"/>
      <c r="SQN15" s="4"/>
      <c r="SQO15" s="4"/>
      <c r="SQP15" s="4"/>
      <c r="SQQ15" s="4"/>
      <c r="SQR15" s="4"/>
      <c r="SQS15" s="4"/>
      <c r="SQT15" s="4"/>
      <c r="SQU15" s="4"/>
      <c r="SQV15" s="4"/>
      <c r="SQW15" s="4"/>
      <c r="SQX15" s="4"/>
      <c r="SQY15" s="4"/>
      <c r="SQZ15" s="4"/>
      <c r="SRA15" s="4"/>
      <c r="SRB15" s="4"/>
      <c r="SRC15" s="4"/>
      <c r="SRD15" s="4"/>
      <c r="SRE15" s="4"/>
      <c r="SRF15" s="4"/>
      <c r="SRG15" s="4"/>
      <c r="SRH15" s="4"/>
      <c r="SRI15" s="4"/>
      <c r="SRJ15" s="4"/>
      <c r="SRK15" s="4"/>
      <c r="SRL15" s="4"/>
      <c r="SRM15" s="4"/>
      <c r="SRN15" s="4"/>
      <c r="SRO15" s="4"/>
      <c r="SRP15" s="4"/>
      <c r="SRQ15" s="4"/>
      <c r="SRR15" s="4"/>
      <c r="SRS15" s="4"/>
      <c r="SRT15" s="4"/>
      <c r="SRU15" s="4"/>
      <c r="SRV15" s="4"/>
      <c r="SRW15" s="4"/>
      <c r="SRX15" s="4"/>
      <c r="SRY15" s="4"/>
      <c r="SRZ15" s="4"/>
      <c r="SSA15" s="4"/>
      <c r="SSB15" s="4"/>
      <c r="SSC15" s="4"/>
      <c r="SSD15" s="4"/>
      <c r="SSE15" s="4"/>
      <c r="SSF15" s="4"/>
      <c r="SSG15" s="4"/>
      <c r="SSH15" s="4"/>
      <c r="SSI15" s="4"/>
      <c r="SSJ15" s="4"/>
      <c r="SSK15" s="4"/>
      <c r="SSL15" s="4"/>
      <c r="SSM15" s="4"/>
      <c r="SSN15" s="4"/>
      <c r="SSO15" s="4"/>
      <c r="SSP15" s="4"/>
      <c r="SSQ15" s="4"/>
      <c r="SSR15" s="4"/>
      <c r="SSS15" s="4"/>
      <c r="SST15" s="4"/>
      <c r="SSU15" s="4"/>
      <c r="SSV15" s="4"/>
      <c r="SSW15" s="4"/>
      <c r="SSX15" s="4"/>
      <c r="SSY15" s="4"/>
      <c r="SSZ15" s="4"/>
      <c r="STA15" s="4"/>
      <c r="STB15" s="4"/>
      <c r="STC15" s="4"/>
      <c r="STD15" s="4"/>
      <c r="STE15" s="4"/>
      <c r="STF15" s="4"/>
      <c r="STG15" s="4"/>
      <c r="STH15" s="4"/>
      <c r="STI15" s="4"/>
      <c r="STJ15" s="4"/>
      <c r="STK15" s="4"/>
      <c r="STL15" s="4"/>
      <c r="STM15" s="4"/>
      <c r="STN15" s="4"/>
      <c r="STO15" s="4"/>
      <c r="STP15" s="4"/>
      <c r="STQ15" s="4"/>
      <c r="STR15" s="4"/>
      <c r="STS15" s="4"/>
      <c r="STT15" s="4"/>
      <c r="STU15" s="4"/>
      <c r="STV15" s="4"/>
      <c r="STW15" s="4"/>
      <c r="STX15" s="4"/>
      <c r="STY15" s="4"/>
      <c r="STZ15" s="4"/>
      <c r="SUA15" s="4"/>
      <c r="SUB15" s="4"/>
      <c r="SUC15" s="4"/>
      <c r="SUD15" s="4"/>
      <c r="SUE15" s="4"/>
      <c r="SUF15" s="4"/>
      <c r="SUG15" s="4"/>
      <c r="SUH15" s="4"/>
      <c r="SUI15" s="4"/>
      <c r="SUJ15" s="4"/>
      <c r="SUK15" s="4"/>
      <c r="SUL15" s="4"/>
      <c r="SUM15" s="4"/>
      <c r="SUN15" s="4"/>
      <c r="SUO15" s="4"/>
      <c r="SUP15" s="4"/>
      <c r="SUQ15" s="4"/>
      <c r="SUR15" s="4"/>
      <c r="SUS15" s="4"/>
      <c r="SUT15" s="4"/>
      <c r="SUU15" s="4"/>
      <c r="SUV15" s="4"/>
      <c r="SUW15" s="4"/>
      <c r="SUX15" s="4"/>
      <c r="SUY15" s="4"/>
      <c r="SUZ15" s="4"/>
      <c r="SVA15" s="4"/>
      <c r="SVB15" s="4"/>
      <c r="SVC15" s="4"/>
      <c r="SVD15" s="4"/>
      <c r="SVE15" s="4"/>
      <c r="SVF15" s="4"/>
      <c r="SVG15" s="4"/>
      <c r="SVH15" s="4"/>
      <c r="SVI15" s="4"/>
      <c r="SVJ15" s="4"/>
      <c r="SVK15" s="4"/>
      <c r="SVL15" s="4"/>
      <c r="SVM15" s="4"/>
      <c r="SVN15" s="4"/>
      <c r="SVO15" s="4"/>
      <c r="SVP15" s="4"/>
      <c r="SVQ15" s="4"/>
      <c r="SVR15" s="4"/>
      <c r="SVS15" s="4"/>
      <c r="SVT15" s="4"/>
      <c r="SVU15" s="4"/>
      <c r="SVV15" s="4"/>
      <c r="SVW15" s="4"/>
      <c r="SVX15" s="4"/>
      <c r="SVY15" s="4"/>
      <c r="SVZ15" s="4"/>
      <c r="SWA15" s="4"/>
      <c r="SWB15" s="4"/>
      <c r="SWC15" s="4"/>
      <c r="SWD15" s="4"/>
      <c r="SWE15" s="4"/>
      <c r="SWF15" s="4"/>
      <c r="SWG15" s="4"/>
      <c r="SWH15" s="4"/>
      <c r="SWI15" s="4"/>
      <c r="SWJ15" s="4"/>
      <c r="SWK15" s="4"/>
      <c r="SWL15" s="4"/>
      <c r="SWM15" s="4"/>
      <c r="SWN15" s="4"/>
      <c r="SWO15" s="4"/>
      <c r="SWP15" s="4"/>
      <c r="SWQ15" s="4"/>
      <c r="SWR15" s="4"/>
      <c r="SWS15" s="4"/>
      <c r="SWT15" s="4"/>
      <c r="SWU15" s="4"/>
      <c r="SWV15" s="4"/>
      <c r="SWW15" s="4"/>
      <c r="SWX15" s="4"/>
      <c r="SWY15" s="4"/>
      <c r="SWZ15" s="4"/>
      <c r="SXA15" s="4"/>
      <c r="SXB15" s="4"/>
      <c r="SXC15" s="4"/>
      <c r="SXD15" s="4"/>
      <c r="SXE15" s="4"/>
      <c r="SXF15" s="4"/>
      <c r="SXG15" s="4"/>
      <c r="SXH15" s="4"/>
      <c r="SXI15" s="4"/>
      <c r="SXJ15" s="4"/>
      <c r="SXK15" s="4"/>
      <c r="SXL15" s="4"/>
      <c r="SXM15" s="4"/>
      <c r="SXN15" s="4"/>
      <c r="SXO15" s="4"/>
      <c r="SXP15" s="4"/>
      <c r="SXQ15" s="4"/>
      <c r="SXR15" s="4"/>
      <c r="SXS15" s="4"/>
      <c r="SXT15" s="4"/>
      <c r="SXU15" s="4"/>
      <c r="SXV15" s="4"/>
      <c r="SXW15" s="4"/>
      <c r="SXX15" s="4"/>
      <c r="SXY15" s="4"/>
      <c r="SXZ15" s="4"/>
      <c r="SYA15" s="4"/>
      <c r="SYB15" s="4"/>
      <c r="SYC15" s="4"/>
      <c r="SYD15" s="4"/>
      <c r="SYE15" s="4"/>
      <c r="SYF15" s="4"/>
      <c r="SYG15" s="4"/>
      <c r="SYH15" s="4"/>
      <c r="SYI15" s="4"/>
      <c r="SYJ15" s="4"/>
      <c r="SYK15" s="4"/>
      <c r="SYL15" s="4"/>
      <c r="SYM15" s="4"/>
      <c r="SYN15" s="4"/>
      <c r="SYO15" s="4"/>
      <c r="SYP15" s="4"/>
      <c r="SYQ15" s="4"/>
      <c r="SYR15" s="4"/>
      <c r="SYS15" s="4"/>
      <c r="SYT15" s="4"/>
      <c r="SYU15" s="4"/>
      <c r="SYV15" s="4"/>
      <c r="SYW15" s="4"/>
      <c r="SYX15" s="4"/>
      <c r="SYY15" s="4"/>
      <c r="SYZ15" s="4"/>
      <c r="SZA15" s="4"/>
      <c r="SZB15" s="4"/>
      <c r="SZC15" s="4"/>
      <c r="SZD15" s="4"/>
      <c r="SZE15" s="4"/>
      <c r="SZF15" s="4"/>
      <c r="SZG15" s="4"/>
      <c r="SZH15" s="4"/>
      <c r="SZI15" s="4"/>
      <c r="SZJ15" s="4"/>
      <c r="SZK15" s="4"/>
      <c r="SZL15" s="4"/>
      <c r="SZM15" s="4"/>
      <c r="SZN15" s="4"/>
      <c r="SZO15" s="4"/>
      <c r="SZP15" s="4"/>
      <c r="SZQ15" s="4"/>
      <c r="SZR15" s="4"/>
      <c r="SZS15" s="4"/>
      <c r="SZT15" s="4"/>
      <c r="SZU15" s="4"/>
      <c r="SZV15" s="4"/>
      <c r="SZW15" s="4"/>
      <c r="SZX15" s="4"/>
      <c r="SZY15" s="4"/>
      <c r="SZZ15" s="4"/>
      <c r="TAA15" s="4"/>
      <c r="TAB15" s="4"/>
      <c r="TAC15" s="4"/>
      <c r="TAD15" s="4"/>
      <c r="TAE15" s="4"/>
      <c r="TAF15" s="4"/>
      <c r="TAG15" s="4"/>
      <c r="TAH15" s="4"/>
      <c r="TAI15" s="4"/>
      <c r="TAJ15" s="4"/>
      <c r="TAK15" s="4"/>
      <c r="TAL15" s="4"/>
      <c r="TAM15" s="4"/>
      <c r="TAN15" s="4"/>
      <c r="TAO15" s="4"/>
      <c r="TAP15" s="4"/>
      <c r="TAQ15" s="4"/>
      <c r="TAR15" s="4"/>
      <c r="TAS15" s="4"/>
      <c r="TAT15" s="4"/>
      <c r="TAU15" s="4"/>
      <c r="TAV15" s="4"/>
      <c r="TAW15" s="4"/>
      <c r="TAX15" s="4"/>
      <c r="TAY15" s="4"/>
      <c r="TAZ15" s="4"/>
      <c r="TBA15" s="4"/>
      <c r="TBB15" s="4"/>
      <c r="TBC15" s="4"/>
      <c r="TBD15" s="4"/>
      <c r="TBE15" s="4"/>
      <c r="TBF15" s="4"/>
      <c r="TBG15" s="4"/>
      <c r="TBH15" s="4"/>
      <c r="TBI15" s="4"/>
      <c r="TBJ15" s="4"/>
      <c r="TBK15" s="4"/>
      <c r="TBL15" s="4"/>
      <c r="TBM15" s="4"/>
      <c r="TBN15" s="4"/>
      <c r="TBO15" s="4"/>
      <c r="TBP15" s="4"/>
      <c r="TBQ15" s="4"/>
      <c r="TBR15" s="4"/>
      <c r="TBS15" s="4"/>
      <c r="TBT15" s="4"/>
      <c r="TBU15" s="4"/>
      <c r="TBV15" s="4"/>
      <c r="TBW15" s="4"/>
      <c r="TBX15" s="4"/>
      <c r="TBY15" s="4"/>
      <c r="TBZ15" s="4"/>
      <c r="TCA15" s="4"/>
      <c r="TCB15" s="4"/>
      <c r="TCC15" s="4"/>
      <c r="TCD15" s="4"/>
      <c r="TCE15" s="4"/>
      <c r="TCF15" s="4"/>
      <c r="TCG15" s="4"/>
      <c r="TCH15" s="4"/>
      <c r="TCI15" s="4"/>
      <c r="TCJ15" s="4"/>
      <c r="TCK15" s="4"/>
      <c r="TCL15" s="4"/>
      <c r="TCM15" s="4"/>
      <c r="TCN15" s="4"/>
      <c r="TCO15" s="4"/>
      <c r="TCP15" s="4"/>
      <c r="TCQ15" s="4"/>
      <c r="TCR15" s="4"/>
      <c r="TCS15" s="4"/>
      <c r="TCT15" s="4"/>
      <c r="TCU15" s="4"/>
      <c r="TCV15" s="4"/>
      <c r="TCW15" s="4"/>
      <c r="TCX15" s="4"/>
      <c r="TCY15" s="4"/>
      <c r="TCZ15" s="4"/>
      <c r="TDA15" s="4"/>
      <c r="TDB15" s="4"/>
      <c r="TDC15" s="4"/>
      <c r="TDD15" s="4"/>
      <c r="TDE15" s="4"/>
      <c r="TDF15" s="4"/>
      <c r="TDG15" s="4"/>
      <c r="TDH15" s="4"/>
      <c r="TDI15" s="4"/>
      <c r="TDJ15" s="4"/>
      <c r="TDK15" s="4"/>
      <c r="TDL15" s="4"/>
      <c r="TDM15" s="4"/>
      <c r="TDN15" s="4"/>
      <c r="TDO15" s="4"/>
      <c r="TDP15" s="4"/>
      <c r="TDQ15" s="4"/>
      <c r="TDR15" s="4"/>
      <c r="TDS15" s="4"/>
      <c r="TDT15" s="4"/>
      <c r="TDU15" s="4"/>
      <c r="TDV15" s="4"/>
      <c r="TDW15" s="4"/>
      <c r="TDX15" s="4"/>
      <c r="TDY15" s="4"/>
      <c r="TDZ15" s="4"/>
      <c r="TEA15" s="4"/>
      <c r="TEB15" s="4"/>
      <c r="TEC15" s="4"/>
      <c r="TED15" s="4"/>
      <c r="TEE15" s="4"/>
      <c r="TEF15" s="4"/>
      <c r="TEG15" s="4"/>
      <c r="TEH15" s="4"/>
      <c r="TEI15" s="4"/>
      <c r="TEJ15" s="4"/>
      <c r="TEK15" s="4"/>
      <c r="TEL15" s="4"/>
      <c r="TEM15" s="4"/>
      <c r="TEN15" s="4"/>
      <c r="TEO15" s="4"/>
      <c r="TEP15" s="4"/>
      <c r="TEQ15" s="4"/>
      <c r="TER15" s="4"/>
      <c r="TES15" s="4"/>
      <c r="TET15" s="4"/>
      <c r="TEU15" s="4"/>
      <c r="TEV15" s="4"/>
      <c r="TEW15" s="4"/>
      <c r="TEX15" s="4"/>
      <c r="TEY15" s="4"/>
      <c r="TEZ15" s="4"/>
      <c r="TFA15" s="4"/>
      <c r="TFB15" s="4"/>
      <c r="TFC15" s="4"/>
      <c r="TFD15" s="4"/>
      <c r="TFE15" s="4"/>
      <c r="TFF15" s="4"/>
      <c r="TFG15" s="4"/>
      <c r="TFH15" s="4"/>
      <c r="TFI15" s="4"/>
      <c r="TFJ15" s="4"/>
      <c r="TFK15" s="4"/>
      <c r="TFL15" s="4"/>
      <c r="TFM15" s="4"/>
      <c r="TFN15" s="4"/>
      <c r="TFO15" s="4"/>
      <c r="TFP15" s="4"/>
      <c r="TFQ15" s="4"/>
      <c r="TFR15" s="4"/>
      <c r="TFS15" s="4"/>
      <c r="TFT15" s="4"/>
      <c r="TFU15" s="4"/>
      <c r="TFV15" s="4"/>
      <c r="TFW15" s="4"/>
      <c r="TFX15" s="4"/>
      <c r="TFY15" s="4"/>
      <c r="TFZ15" s="4"/>
      <c r="TGA15" s="4"/>
      <c r="TGB15" s="4"/>
      <c r="TGC15" s="4"/>
      <c r="TGD15" s="4"/>
      <c r="TGE15" s="4"/>
      <c r="TGF15" s="4"/>
      <c r="TGG15" s="4"/>
      <c r="TGH15" s="4"/>
      <c r="TGI15" s="4"/>
      <c r="TGJ15" s="4"/>
      <c r="TGK15" s="4"/>
      <c r="TGL15" s="4"/>
      <c r="TGM15" s="4"/>
      <c r="TGN15" s="4"/>
      <c r="TGO15" s="4"/>
      <c r="TGP15" s="4"/>
      <c r="TGQ15" s="4"/>
      <c r="TGR15" s="4"/>
      <c r="TGS15" s="4"/>
      <c r="TGT15" s="4"/>
      <c r="TGU15" s="4"/>
      <c r="TGV15" s="4"/>
      <c r="TGW15" s="4"/>
      <c r="TGX15" s="4"/>
      <c r="TGY15" s="4"/>
      <c r="TGZ15" s="4"/>
      <c r="THA15" s="4"/>
      <c r="THB15" s="4"/>
      <c r="THC15" s="4"/>
      <c r="THD15" s="4"/>
      <c r="THE15" s="4"/>
      <c r="THF15" s="4"/>
      <c r="THG15" s="4"/>
      <c r="THH15" s="4"/>
      <c r="THI15" s="4"/>
      <c r="THJ15" s="4"/>
      <c r="THK15" s="4"/>
      <c r="THL15" s="4"/>
      <c r="THM15" s="4"/>
      <c r="THN15" s="4"/>
      <c r="THO15" s="4"/>
      <c r="THP15" s="4"/>
      <c r="THQ15" s="4"/>
      <c r="THR15" s="4"/>
      <c r="THS15" s="4"/>
      <c r="THT15" s="4"/>
      <c r="THU15" s="4"/>
      <c r="THV15" s="4"/>
      <c r="THW15" s="4"/>
      <c r="THX15" s="4"/>
      <c r="THY15" s="4"/>
      <c r="THZ15" s="4"/>
      <c r="TIA15" s="4"/>
      <c r="TIB15" s="4"/>
      <c r="TIC15" s="4"/>
      <c r="TID15" s="4"/>
      <c r="TIE15" s="4"/>
      <c r="TIF15" s="4"/>
      <c r="TIG15" s="4"/>
      <c r="TIH15" s="4"/>
      <c r="TII15" s="4"/>
      <c r="TIJ15" s="4"/>
      <c r="TIK15" s="4"/>
      <c r="TIL15" s="4"/>
      <c r="TIM15" s="4"/>
      <c r="TIN15" s="4"/>
      <c r="TIO15" s="4"/>
      <c r="TIP15" s="4"/>
      <c r="TIQ15" s="4"/>
      <c r="TIR15" s="4"/>
      <c r="TIS15" s="4"/>
      <c r="TIT15" s="4"/>
      <c r="TIU15" s="4"/>
      <c r="TIV15" s="4"/>
      <c r="TIW15" s="4"/>
      <c r="TIX15" s="4"/>
      <c r="TIY15" s="4"/>
      <c r="TIZ15" s="4"/>
      <c r="TJA15" s="4"/>
      <c r="TJB15" s="4"/>
      <c r="TJC15" s="4"/>
      <c r="TJD15" s="4"/>
      <c r="TJE15" s="4"/>
      <c r="TJF15" s="4"/>
      <c r="TJG15" s="4"/>
      <c r="TJH15" s="4"/>
      <c r="TJI15" s="4"/>
      <c r="TJJ15" s="4"/>
      <c r="TJK15" s="4"/>
      <c r="TJL15" s="4"/>
      <c r="TJM15" s="4"/>
      <c r="TJN15" s="4"/>
      <c r="TJO15" s="4"/>
      <c r="TJP15" s="4"/>
      <c r="TJQ15" s="4"/>
      <c r="TJR15" s="4"/>
      <c r="TJS15" s="4"/>
      <c r="TJT15" s="4"/>
      <c r="TJU15" s="4"/>
      <c r="TJV15" s="4"/>
      <c r="TJW15" s="4"/>
      <c r="TJX15" s="4"/>
      <c r="TJY15" s="4"/>
      <c r="TJZ15" s="4"/>
      <c r="TKA15" s="4"/>
      <c r="TKB15" s="4"/>
      <c r="TKC15" s="4"/>
      <c r="TKD15" s="4"/>
      <c r="TKE15" s="4"/>
      <c r="TKF15" s="4"/>
      <c r="TKG15" s="4"/>
      <c r="TKH15" s="4"/>
      <c r="TKI15" s="4"/>
      <c r="TKJ15" s="4"/>
      <c r="TKK15" s="4"/>
      <c r="TKL15" s="4"/>
      <c r="TKM15" s="4"/>
      <c r="TKN15" s="4"/>
      <c r="TKO15" s="4"/>
      <c r="TKP15" s="4"/>
      <c r="TKQ15" s="4"/>
      <c r="TKR15" s="4"/>
      <c r="TKS15" s="4"/>
      <c r="TKT15" s="4"/>
      <c r="TKU15" s="4"/>
      <c r="TKV15" s="4"/>
      <c r="TKW15" s="4"/>
      <c r="TKX15" s="4"/>
      <c r="TKY15" s="4"/>
      <c r="TKZ15" s="4"/>
      <c r="TLA15" s="4"/>
      <c r="TLB15" s="4"/>
      <c r="TLC15" s="4"/>
      <c r="TLD15" s="4"/>
      <c r="TLE15" s="4"/>
      <c r="TLF15" s="4"/>
      <c r="TLG15" s="4"/>
      <c r="TLH15" s="4"/>
      <c r="TLI15" s="4"/>
      <c r="TLJ15" s="4"/>
      <c r="TLK15" s="4"/>
      <c r="TLL15" s="4"/>
      <c r="TLM15" s="4"/>
      <c r="TLN15" s="4"/>
      <c r="TLO15" s="4"/>
      <c r="TLP15" s="4"/>
      <c r="TLQ15" s="4"/>
      <c r="TLR15" s="4"/>
      <c r="TLS15" s="4"/>
      <c r="TLT15" s="4"/>
      <c r="TLU15" s="4"/>
      <c r="TLV15" s="4"/>
      <c r="TLW15" s="4"/>
      <c r="TLX15" s="4"/>
      <c r="TLY15" s="4"/>
      <c r="TLZ15" s="4"/>
      <c r="TMA15" s="4"/>
      <c r="TMB15" s="4"/>
      <c r="TMC15" s="4"/>
      <c r="TMD15" s="4"/>
      <c r="TME15" s="4"/>
      <c r="TMF15" s="4"/>
      <c r="TMG15" s="4"/>
      <c r="TMH15" s="4"/>
      <c r="TMI15" s="4"/>
      <c r="TMJ15" s="4"/>
      <c r="TMK15" s="4"/>
      <c r="TML15" s="4"/>
      <c r="TMM15" s="4"/>
      <c r="TMN15" s="4"/>
      <c r="TMO15" s="4"/>
      <c r="TMP15" s="4"/>
      <c r="TMQ15" s="4"/>
      <c r="TMR15" s="4"/>
      <c r="TMS15" s="4"/>
      <c r="TMT15" s="4"/>
      <c r="TMU15" s="4"/>
      <c r="TMV15" s="4"/>
      <c r="TMW15" s="4"/>
      <c r="TMX15" s="4"/>
      <c r="TMY15" s="4"/>
      <c r="TMZ15" s="4"/>
      <c r="TNA15" s="4"/>
      <c r="TNB15" s="4"/>
      <c r="TNC15" s="4"/>
      <c r="TND15" s="4"/>
      <c r="TNE15" s="4"/>
      <c r="TNF15" s="4"/>
      <c r="TNG15" s="4"/>
      <c r="TNH15" s="4"/>
      <c r="TNI15" s="4"/>
      <c r="TNJ15" s="4"/>
      <c r="TNK15" s="4"/>
      <c r="TNL15" s="4"/>
      <c r="TNM15" s="4"/>
      <c r="TNN15" s="4"/>
      <c r="TNO15" s="4"/>
      <c r="TNP15" s="4"/>
      <c r="TNQ15" s="4"/>
      <c r="TNR15" s="4"/>
      <c r="TNS15" s="4"/>
      <c r="TNT15" s="4"/>
      <c r="TNU15" s="4"/>
      <c r="TNV15" s="4"/>
      <c r="TNW15" s="4"/>
      <c r="TNX15" s="4"/>
      <c r="TNY15" s="4"/>
      <c r="TNZ15" s="4"/>
      <c r="TOA15" s="4"/>
      <c r="TOB15" s="4"/>
      <c r="TOC15" s="4"/>
      <c r="TOD15" s="4"/>
      <c r="TOE15" s="4"/>
      <c r="TOF15" s="4"/>
      <c r="TOG15" s="4"/>
      <c r="TOH15" s="4"/>
      <c r="TOI15" s="4"/>
      <c r="TOJ15" s="4"/>
      <c r="TOK15" s="4"/>
      <c r="TOL15" s="4"/>
      <c r="TOM15" s="4"/>
      <c r="TON15" s="4"/>
      <c r="TOO15" s="4"/>
      <c r="TOP15" s="4"/>
      <c r="TOQ15" s="4"/>
      <c r="TOR15" s="4"/>
      <c r="TOS15" s="4"/>
      <c r="TOT15" s="4"/>
      <c r="TOU15" s="4"/>
      <c r="TOV15" s="4"/>
      <c r="TOW15" s="4"/>
      <c r="TOX15" s="4"/>
      <c r="TOY15" s="4"/>
      <c r="TOZ15" s="4"/>
      <c r="TPA15" s="4"/>
      <c r="TPB15" s="4"/>
      <c r="TPC15" s="4"/>
      <c r="TPD15" s="4"/>
      <c r="TPE15" s="4"/>
      <c r="TPF15" s="4"/>
      <c r="TPG15" s="4"/>
      <c r="TPH15" s="4"/>
      <c r="TPI15" s="4"/>
      <c r="TPJ15" s="4"/>
      <c r="TPK15" s="4"/>
      <c r="TPL15" s="4"/>
      <c r="TPM15" s="4"/>
      <c r="TPN15" s="4"/>
      <c r="TPO15" s="4"/>
      <c r="TPP15" s="4"/>
      <c r="TPQ15" s="4"/>
      <c r="TPR15" s="4"/>
      <c r="TPS15" s="4"/>
      <c r="TPT15" s="4"/>
      <c r="TPU15" s="4"/>
      <c r="TPV15" s="4"/>
      <c r="TPW15" s="4"/>
      <c r="TPX15" s="4"/>
      <c r="TPY15" s="4"/>
      <c r="TPZ15" s="4"/>
      <c r="TQA15" s="4"/>
      <c r="TQB15" s="4"/>
      <c r="TQC15" s="4"/>
      <c r="TQD15" s="4"/>
      <c r="TQE15" s="4"/>
      <c r="TQF15" s="4"/>
      <c r="TQG15" s="4"/>
      <c r="TQH15" s="4"/>
      <c r="TQI15" s="4"/>
      <c r="TQJ15" s="4"/>
      <c r="TQK15" s="4"/>
      <c r="TQL15" s="4"/>
      <c r="TQM15" s="4"/>
      <c r="TQN15" s="4"/>
      <c r="TQO15" s="4"/>
      <c r="TQP15" s="4"/>
      <c r="TQQ15" s="4"/>
      <c r="TQR15" s="4"/>
      <c r="TQS15" s="4"/>
      <c r="TQT15" s="4"/>
      <c r="TQU15" s="4"/>
      <c r="TQV15" s="4"/>
      <c r="TQW15" s="4"/>
      <c r="TQX15" s="4"/>
      <c r="TQY15" s="4"/>
      <c r="TQZ15" s="4"/>
      <c r="TRA15" s="4"/>
      <c r="TRB15" s="4"/>
      <c r="TRC15" s="4"/>
      <c r="TRD15" s="4"/>
      <c r="TRE15" s="4"/>
      <c r="TRF15" s="4"/>
      <c r="TRG15" s="4"/>
      <c r="TRH15" s="4"/>
      <c r="TRI15" s="4"/>
      <c r="TRJ15" s="4"/>
      <c r="TRK15" s="4"/>
      <c r="TRL15" s="4"/>
      <c r="TRM15" s="4"/>
      <c r="TRN15" s="4"/>
      <c r="TRO15" s="4"/>
      <c r="TRP15" s="4"/>
      <c r="TRQ15" s="4"/>
      <c r="TRR15" s="4"/>
      <c r="TRS15" s="4"/>
      <c r="TRT15" s="4"/>
      <c r="TRU15" s="4"/>
      <c r="TRV15" s="4"/>
      <c r="TRW15" s="4"/>
      <c r="TRX15" s="4"/>
      <c r="TRY15" s="4"/>
      <c r="TRZ15" s="4"/>
      <c r="TSA15" s="4"/>
      <c r="TSB15" s="4"/>
      <c r="TSC15" s="4"/>
      <c r="TSD15" s="4"/>
      <c r="TSE15" s="4"/>
      <c r="TSF15" s="4"/>
      <c r="TSG15" s="4"/>
      <c r="TSH15" s="4"/>
      <c r="TSI15" s="4"/>
      <c r="TSJ15" s="4"/>
      <c r="TSK15" s="4"/>
      <c r="TSL15" s="4"/>
      <c r="TSM15" s="4"/>
      <c r="TSN15" s="4"/>
      <c r="TSO15" s="4"/>
      <c r="TSP15" s="4"/>
      <c r="TSQ15" s="4"/>
      <c r="TSR15" s="4"/>
      <c r="TSS15" s="4"/>
      <c r="TST15" s="4"/>
      <c r="TSU15" s="4"/>
      <c r="TSV15" s="4"/>
      <c r="TSW15" s="4"/>
      <c r="TSX15" s="4"/>
      <c r="TSY15" s="4"/>
      <c r="TSZ15" s="4"/>
      <c r="TTA15" s="4"/>
      <c r="TTB15" s="4"/>
      <c r="TTC15" s="4"/>
      <c r="TTD15" s="4"/>
      <c r="TTE15" s="4"/>
      <c r="TTF15" s="4"/>
      <c r="TTG15" s="4"/>
      <c r="TTH15" s="4"/>
      <c r="TTI15" s="4"/>
      <c r="TTJ15" s="4"/>
      <c r="TTK15" s="4"/>
      <c r="TTL15" s="4"/>
      <c r="TTM15" s="4"/>
      <c r="TTN15" s="4"/>
      <c r="TTO15" s="4"/>
      <c r="TTP15" s="4"/>
      <c r="TTQ15" s="4"/>
      <c r="TTR15" s="4"/>
      <c r="TTS15" s="4"/>
      <c r="TTT15" s="4"/>
      <c r="TTU15" s="4"/>
      <c r="TTV15" s="4"/>
      <c r="TTW15" s="4"/>
      <c r="TTX15" s="4"/>
      <c r="TTY15" s="4"/>
      <c r="TTZ15" s="4"/>
      <c r="TUA15" s="4"/>
      <c r="TUB15" s="4"/>
      <c r="TUC15" s="4"/>
      <c r="TUD15" s="4"/>
      <c r="TUE15" s="4"/>
      <c r="TUF15" s="4"/>
      <c r="TUG15" s="4"/>
      <c r="TUH15" s="4"/>
      <c r="TUI15" s="4"/>
      <c r="TUJ15" s="4"/>
      <c r="TUK15" s="4"/>
      <c r="TUL15" s="4"/>
      <c r="TUM15" s="4"/>
      <c r="TUN15" s="4"/>
      <c r="TUO15" s="4"/>
      <c r="TUP15" s="4"/>
      <c r="TUQ15" s="4"/>
      <c r="TUR15" s="4"/>
      <c r="TUS15" s="4"/>
      <c r="TUT15" s="4"/>
      <c r="TUU15" s="4"/>
      <c r="TUV15" s="4"/>
      <c r="TUW15" s="4"/>
      <c r="TUX15" s="4"/>
      <c r="TUY15" s="4"/>
      <c r="TUZ15" s="4"/>
      <c r="TVA15" s="4"/>
      <c r="TVB15" s="4"/>
      <c r="TVC15" s="4"/>
      <c r="TVD15" s="4"/>
      <c r="TVE15" s="4"/>
      <c r="TVF15" s="4"/>
      <c r="TVG15" s="4"/>
      <c r="TVH15" s="4"/>
      <c r="TVI15" s="4"/>
      <c r="TVJ15" s="4"/>
      <c r="TVK15" s="4"/>
      <c r="TVL15" s="4"/>
      <c r="TVM15" s="4"/>
      <c r="TVN15" s="4"/>
      <c r="TVO15" s="4"/>
      <c r="TVP15" s="4"/>
      <c r="TVQ15" s="4"/>
      <c r="TVR15" s="4"/>
      <c r="TVS15" s="4"/>
      <c r="TVT15" s="4"/>
      <c r="TVU15" s="4"/>
      <c r="TVV15" s="4"/>
      <c r="TVW15" s="4"/>
      <c r="TVX15" s="4"/>
      <c r="TVY15" s="4"/>
      <c r="TVZ15" s="4"/>
      <c r="TWA15" s="4"/>
      <c r="TWB15" s="4"/>
      <c r="TWC15" s="4"/>
      <c r="TWD15" s="4"/>
      <c r="TWE15" s="4"/>
      <c r="TWF15" s="4"/>
      <c r="TWG15" s="4"/>
      <c r="TWH15" s="4"/>
      <c r="TWI15" s="4"/>
      <c r="TWJ15" s="4"/>
      <c r="TWK15" s="4"/>
      <c r="TWL15" s="4"/>
      <c r="TWM15" s="4"/>
      <c r="TWN15" s="4"/>
      <c r="TWO15" s="4"/>
      <c r="TWP15" s="4"/>
      <c r="TWQ15" s="4"/>
      <c r="TWR15" s="4"/>
      <c r="TWS15" s="4"/>
      <c r="TWT15" s="4"/>
      <c r="TWU15" s="4"/>
      <c r="TWV15" s="4"/>
      <c r="TWW15" s="4"/>
      <c r="TWX15" s="4"/>
      <c r="TWY15" s="4"/>
      <c r="TWZ15" s="4"/>
      <c r="TXA15" s="4"/>
      <c r="TXB15" s="4"/>
      <c r="TXC15" s="4"/>
      <c r="TXD15" s="4"/>
      <c r="TXE15" s="4"/>
      <c r="TXF15" s="4"/>
      <c r="TXG15" s="4"/>
      <c r="TXH15" s="4"/>
      <c r="TXI15" s="4"/>
      <c r="TXJ15" s="4"/>
      <c r="TXK15" s="4"/>
      <c r="TXL15" s="4"/>
      <c r="TXM15" s="4"/>
      <c r="TXN15" s="4"/>
      <c r="TXO15" s="4"/>
      <c r="TXP15" s="4"/>
      <c r="TXQ15" s="4"/>
      <c r="TXR15" s="4"/>
      <c r="TXS15" s="4"/>
      <c r="TXT15" s="4"/>
      <c r="TXU15" s="4"/>
      <c r="TXV15" s="4"/>
      <c r="TXW15" s="4"/>
      <c r="TXX15" s="4"/>
      <c r="TXY15" s="4"/>
      <c r="TXZ15" s="4"/>
      <c r="TYA15" s="4"/>
      <c r="TYB15" s="4"/>
      <c r="TYC15" s="4"/>
      <c r="TYD15" s="4"/>
      <c r="TYE15" s="4"/>
      <c r="TYF15" s="4"/>
      <c r="TYG15" s="4"/>
      <c r="TYH15" s="4"/>
      <c r="TYI15" s="4"/>
      <c r="TYJ15" s="4"/>
      <c r="TYK15" s="4"/>
      <c r="TYL15" s="4"/>
      <c r="TYM15" s="4"/>
      <c r="TYN15" s="4"/>
      <c r="TYO15" s="4"/>
      <c r="TYP15" s="4"/>
      <c r="TYQ15" s="4"/>
      <c r="TYR15" s="4"/>
      <c r="TYS15" s="4"/>
      <c r="TYT15" s="4"/>
      <c r="TYU15" s="4"/>
      <c r="TYV15" s="4"/>
      <c r="TYW15" s="4"/>
      <c r="TYX15" s="4"/>
      <c r="TYY15" s="4"/>
      <c r="TYZ15" s="4"/>
      <c r="TZA15" s="4"/>
      <c r="TZB15" s="4"/>
      <c r="TZC15" s="4"/>
      <c r="TZD15" s="4"/>
      <c r="TZE15" s="4"/>
      <c r="TZF15" s="4"/>
      <c r="TZG15" s="4"/>
      <c r="TZH15" s="4"/>
      <c r="TZI15" s="4"/>
      <c r="TZJ15" s="4"/>
      <c r="TZK15" s="4"/>
      <c r="TZL15" s="4"/>
      <c r="TZM15" s="4"/>
      <c r="TZN15" s="4"/>
      <c r="TZO15" s="4"/>
      <c r="TZP15" s="4"/>
      <c r="TZQ15" s="4"/>
      <c r="TZR15" s="4"/>
      <c r="TZS15" s="4"/>
      <c r="TZT15" s="4"/>
      <c r="TZU15" s="4"/>
      <c r="TZV15" s="4"/>
      <c r="TZW15" s="4"/>
      <c r="TZX15" s="4"/>
      <c r="TZY15" s="4"/>
      <c r="TZZ15" s="4"/>
      <c r="UAA15" s="4"/>
      <c r="UAB15" s="4"/>
      <c r="UAC15" s="4"/>
      <c r="UAD15" s="4"/>
      <c r="UAE15" s="4"/>
      <c r="UAF15" s="4"/>
      <c r="UAG15" s="4"/>
      <c r="UAH15" s="4"/>
      <c r="UAI15" s="4"/>
      <c r="UAJ15" s="4"/>
      <c r="UAK15" s="4"/>
      <c r="UAL15" s="4"/>
      <c r="UAM15" s="4"/>
      <c r="UAN15" s="4"/>
      <c r="UAO15" s="4"/>
      <c r="UAP15" s="4"/>
      <c r="UAQ15" s="4"/>
      <c r="UAR15" s="4"/>
      <c r="UAS15" s="4"/>
      <c r="UAT15" s="4"/>
      <c r="UAU15" s="4"/>
      <c r="UAV15" s="4"/>
      <c r="UAW15" s="4"/>
      <c r="UAX15" s="4"/>
      <c r="UAY15" s="4"/>
      <c r="UAZ15" s="4"/>
      <c r="UBA15" s="4"/>
      <c r="UBB15" s="4"/>
      <c r="UBC15" s="4"/>
      <c r="UBD15" s="4"/>
      <c r="UBE15" s="4"/>
      <c r="UBF15" s="4"/>
      <c r="UBG15" s="4"/>
      <c r="UBH15" s="4"/>
      <c r="UBI15" s="4"/>
      <c r="UBJ15" s="4"/>
      <c r="UBK15" s="4"/>
      <c r="UBL15" s="4"/>
      <c r="UBM15" s="4"/>
      <c r="UBN15" s="4"/>
      <c r="UBO15" s="4"/>
      <c r="UBP15" s="4"/>
      <c r="UBQ15" s="4"/>
      <c r="UBR15" s="4"/>
      <c r="UBS15" s="4"/>
      <c r="UBT15" s="4"/>
      <c r="UBU15" s="4"/>
      <c r="UBV15" s="4"/>
      <c r="UBW15" s="4"/>
      <c r="UBX15" s="4"/>
      <c r="UBY15" s="4"/>
      <c r="UBZ15" s="4"/>
      <c r="UCA15" s="4"/>
      <c r="UCB15" s="4"/>
      <c r="UCC15" s="4"/>
      <c r="UCD15" s="4"/>
      <c r="UCE15" s="4"/>
      <c r="UCF15" s="4"/>
      <c r="UCG15" s="4"/>
      <c r="UCH15" s="4"/>
      <c r="UCI15" s="4"/>
      <c r="UCJ15" s="4"/>
      <c r="UCK15" s="4"/>
      <c r="UCL15" s="4"/>
      <c r="UCM15" s="4"/>
      <c r="UCN15" s="4"/>
      <c r="UCO15" s="4"/>
      <c r="UCP15" s="4"/>
      <c r="UCQ15" s="4"/>
      <c r="UCR15" s="4"/>
      <c r="UCS15" s="4"/>
      <c r="UCT15" s="4"/>
      <c r="UCU15" s="4"/>
      <c r="UCV15" s="4"/>
      <c r="UCW15" s="4"/>
      <c r="UCX15" s="4"/>
      <c r="UCY15" s="4"/>
      <c r="UCZ15" s="4"/>
      <c r="UDA15" s="4"/>
      <c r="UDB15" s="4"/>
      <c r="UDC15" s="4"/>
      <c r="UDD15" s="4"/>
      <c r="UDE15" s="4"/>
      <c r="UDF15" s="4"/>
      <c r="UDG15" s="4"/>
      <c r="UDH15" s="4"/>
      <c r="UDI15" s="4"/>
      <c r="UDJ15" s="4"/>
      <c r="UDK15" s="4"/>
      <c r="UDL15" s="4"/>
      <c r="UDM15" s="4"/>
      <c r="UDN15" s="4"/>
      <c r="UDO15" s="4"/>
      <c r="UDP15" s="4"/>
      <c r="UDQ15" s="4"/>
      <c r="UDR15" s="4"/>
      <c r="UDS15" s="4"/>
      <c r="UDT15" s="4"/>
      <c r="UDU15" s="4"/>
      <c r="UDV15" s="4"/>
      <c r="UDW15" s="4"/>
      <c r="UDX15" s="4"/>
      <c r="UDY15" s="4"/>
      <c r="UDZ15" s="4"/>
      <c r="UEA15" s="4"/>
      <c r="UEB15" s="4"/>
      <c r="UEC15" s="4"/>
      <c r="UED15" s="4"/>
      <c r="UEE15" s="4"/>
      <c r="UEF15" s="4"/>
      <c r="UEG15" s="4"/>
      <c r="UEH15" s="4"/>
      <c r="UEI15" s="4"/>
      <c r="UEJ15" s="4"/>
      <c r="UEK15" s="4"/>
      <c r="UEL15" s="4"/>
      <c r="UEM15" s="4"/>
      <c r="UEN15" s="4"/>
      <c r="UEO15" s="4"/>
      <c r="UEP15" s="4"/>
      <c r="UEQ15" s="4"/>
      <c r="UER15" s="4"/>
      <c r="UES15" s="4"/>
      <c r="UET15" s="4"/>
      <c r="UEU15" s="4"/>
      <c r="UEV15" s="4"/>
      <c r="UEW15" s="4"/>
      <c r="UEX15" s="4"/>
      <c r="UEY15" s="4"/>
      <c r="UEZ15" s="4"/>
      <c r="UFA15" s="4"/>
      <c r="UFB15" s="4"/>
      <c r="UFC15" s="4"/>
      <c r="UFD15" s="4"/>
      <c r="UFE15" s="4"/>
      <c r="UFF15" s="4"/>
      <c r="UFG15" s="4"/>
      <c r="UFH15" s="4"/>
      <c r="UFI15" s="4"/>
      <c r="UFJ15" s="4"/>
      <c r="UFK15" s="4"/>
      <c r="UFL15" s="4"/>
      <c r="UFM15" s="4"/>
      <c r="UFN15" s="4"/>
      <c r="UFO15" s="4"/>
      <c r="UFP15" s="4"/>
      <c r="UFQ15" s="4"/>
      <c r="UFR15" s="4"/>
      <c r="UFS15" s="4"/>
      <c r="UFT15" s="4"/>
      <c r="UFU15" s="4"/>
      <c r="UFV15" s="4"/>
      <c r="UFW15" s="4"/>
      <c r="UFX15" s="4"/>
      <c r="UFY15" s="4"/>
      <c r="UFZ15" s="4"/>
      <c r="UGA15" s="4"/>
      <c r="UGB15" s="4"/>
      <c r="UGC15" s="4"/>
      <c r="UGD15" s="4"/>
      <c r="UGE15" s="4"/>
      <c r="UGF15" s="4"/>
      <c r="UGG15" s="4"/>
      <c r="UGH15" s="4"/>
      <c r="UGI15" s="4"/>
      <c r="UGJ15" s="4"/>
      <c r="UGK15" s="4"/>
      <c r="UGL15" s="4"/>
      <c r="UGM15" s="4"/>
      <c r="UGN15" s="4"/>
      <c r="UGO15" s="4"/>
      <c r="UGP15" s="4"/>
      <c r="UGQ15" s="4"/>
      <c r="UGR15" s="4"/>
      <c r="UGS15" s="4"/>
      <c r="UGT15" s="4"/>
      <c r="UGU15" s="4"/>
      <c r="UGV15" s="4"/>
      <c r="UGW15" s="4"/>
      <c r="UGX15" s="4"/>
      <c r="UGY15" s="4"/>
      <c r="UGZ15" s="4"/>
      <c r="UHA15" s="4"/>
      <c r="UHB15" s="4"/>
      <c r="UHC15" s="4"/>
      <c r="UHD15" s="4"/>
      <c r="UHE15" s="4"/>
      <c r="UHF15" s="4"/>
      <c r="UHG15" s="4"/>
      <c r="UHH15" s="4"/>
      <c r="UHI15" s="4"/>
      <c r="UHJ15" s="4"/>
      <c r="UHK15" s="4"/>
      <c r="UHL15" s="4"/>
      <c r="UHM15" s="4"/>
      <c r="UHN15" s="4"/>
      <c r="UHO15" s="4"/>
      <c r="UHP15" s="4"/>
      <c r="UHQ15" s="4"/>
      <c r="UHR15" s="4"/>
      <c r="UHS15" s="4"/>
      <c r="UHT15" s="4"/>
      <c r="UHU15" s="4"/>
      <c r="UHV15" s="4"/>
      <c r="UHW15" s="4"/>
      <c r="UHX15" s="4"/>
      <c r="UHY15" s="4"/>
      <c r="UHZ15" s="4"/>
      <c r="UIA15" s="4"/>
      <c r="UIB15" s="4"/>
      <c r="UIC15" s="4"/>
      <c r="UID15" s="4"/>
      <c r="UIE15" s="4"/>
      <c r="UIF15" s="4"/>
      <c r="UIG15" s="4"/>
      <c r="UIH15" s="4"/>
      <c r="UII15" s="4"/>
      <c r="UIJ15" s="4"/>
      <c r="UIK15" s="4"/>
      <c r="UIL15" s="4"/>
      <c r="UIM15" s="4"/>
      <c r="UIN15" s="4"/>
      <c r="UIO15" s="4"/>
      <c r="UIP15" s="4"/>
      <c r="UIQ15" s="4"/>
      <c r="UIR15" s="4"/>
      <c r="UIS15" s="4"/>
      <c r="UIT15" s="4"/>
      <c r="UIU15" s="4"/>
      <c r="UIV15" s="4"/>
      <c r="UIW15" s="4"/>
      <c r="UIX15" s="4"/>
      <c r="UIY15" s="4"/>
      <c r="UIZ15" s="4"/>
      <c r="UJA15" s="4"/>
      <c r="UJB15" s="4"/>
      <c r="UJC15" s="4"/>
      <c r="UJD15" s="4"/>
      <c r="UJE15" s="4"/>
      <c r="UJF15" s="4"/>
      <c r="UJG15" s="4"/>
      <c r="UJH15" s="4"/>
      <c r="UJI15" s="4"/>
      <c r="UJJ15" s="4"/>
      <c r="UJK15" s="4"/>
      <c r="UJL15" s="4"/>
      <c r="UJM15" s="4"/>
      <c r="UJN15" s="4"/>
      <c r="UJO15" s="4"/>
      <c r="UJP15" s="4"/>
      <c r="UJQ15" s="4"/>
      <c r="UJR15" s="4"/>
      <c r="UJS15" s="4"/>
      <c r="UJT15" s="4"/>
      <c r="UJU15" s="4"/>
      <c r="UJV15" s="4"/>
      <c r="UJW15" s="4"/>
      <c r="UJX15" s="4"/>
      <c r="UJY15" s="4"/>
      <c r="UJZ15" s="4"/>
      <c r="UKA15" s="4"/>
      <c r="UKB15" s="4"/>
      <c r="UKC15" s="4"/>
      <c r="UKD15" s="4"/>
      <c r="UKE15" s="4"/>
      <c r="UKF15" s="4"/>
      <c r="UKG15" s="4"/>
      <c r="UKH15" s="4"/>
      <c r="UKI15" s="4"/>
      <c r="UKJ15" s="4"/>
      <c r="UKK15" s="4"/>
      <c r="UKL15" s="4"/>
      <c r="UKM15" s="4"/>
      <c r="UKN15" s="4"/>
      <c r="UKO15" s="4"/>
      <c r="UKP15" s="4"/>
      <c r="UKQ15" s="4"/>
      <c r="UKR15" s="4"/>
      <c r="UKS15" s="4"/>
      <c r="UKT15" s="4"/>
      <c r="UKU15" s="4"/>
      <c r="UKV15" s="4"/>
      <c r="UKW15" s="4"/>
      <c r="UKX15" s="4"/>
      <c r="UKY15" s="4"/>
      <c r="UKZ15" s="4"/>
      <c r="ULA15" s="4"/>
      <c r="ULB15" s="4"/>
      <c r="ULC15" s="4"/>
      <c r="ULD15" s="4"/>
      <c r="ULE15" s="4"/>
      <c r="ULF15" s="4"/>
      <c r="ULG15" s="4"/>
      <c r="ULH15" s="4"/>
      <c r="ULI15" s="4"/>
      <c r="ULJ15" s="4"/>
      <c r="ULK15" s="4"/>
      <c r="ULL15" s="4"/>
      <c r="ULM15" s="4"/>
      <c r="ULN15" s="4"/>
      <c r="ULO15" s="4"/>
      <c r="ULP15" s="4"/>
      <c r="ULQ15" s="4"/>
      <c r="ULR15" s="4"/>
      <c r="ULS15" s="4"/>
      <c r="ULT15" s="4"/>
      <c r="ULU15" s="4"/>
      <c r="ULV15" s="4"/>
      <c r="ULW15" s="4"/>
      <c r="ULX15" s="4"/>
      <c r="ULY15" s="4"/>
      <c r="ULZ15" s="4"/>
      <c r="UMA15" s="4"/>
      <c r="UMB15" s="4"/>
      <c r="UMC15" s="4"/>
      <c r="UMD15" s="4"/>
      <c r="UME15" s="4"/>
      <c r="UMF15" s="4"/>
      <c r="UMG15" s="4"/>
      <c r="UMH15" s="4"/>
      <c r="UMI15" s="4"/>
      <c r="UMJ15" s="4"/>
      <c r="UMK15" s="4"/>
      <c r="UML15" s="4"/>
      <c r="UMM15" s="4"/>
      <c r="UMN15" s="4"/>
      <c r="UMO15" s="4"/>
      <c r="UMP15" s="4"/>
      <c r="UMQ15" s="4"/>
      <c r="UMR15" s="4"/>
      <c r="UMS15" s="4"/>
      <c r="UMT15" s="4"/>
      <c r="UMU15" s="4"/>
      <c r="UMV15" s="4"/>
      <c r="UMW15" s="4"/>
      <c r="UMX15" s="4"/>
      <c r="UMY15" s="4"/>
      <c r="UMZ15" s="4"/>
      <c r="UNA15" s="4"/>
      <c r="UNB15" s="4"/>
      <c r="UNC15" s="4"/>
      <c r="UND15" s="4"/>
      <c r="UNE15" s="4"/>
      <c r="UNF15" s="4"/>
      <c r="UNG15" s="4"/>
      <c r="UNH15" s="4"/>
      <c r="UNI15" s="4"/>
      <c r="UNJ15" s="4"/>
      <c r="UNK15" s="4"/>
      <c r="UNL15" s="4"/>
      <c r="UNM15" s="4"/>
      <c r="UNN15" s="4"/>
      <c r="UNO15" s="4"/>
      <c r="UNP15" s="4"/>
      <c r="UNQ15" s="4"/>
      <c r="UNR15" s="4"/>
      <c r="UNS15" s="4"/>
      <c r="UNT15" s="4"/>
      <c r="UNU15" s="4"/>
      <c r="UNV15" s="4"/>
      <c r="UNW15" s="4"/>
      <c r="UNX15" s="4"/>
      <c r="UNY15" s="4"/>
      <c r="UNZ15" s="4"/>
      <c r="UOA15" s="4"/>
      <c r="UOB15" s="4"/>
      <c r="UOC15" s="4"/>
      <c r="UOD15" s="4"/>
      <c r="UOE15" s="4"/>
      <c r="UOF15" s="4"/>
      <c r="UOG15" s="4"/>
      <c r="UOH15" s="4"/>
      <c r="UOI15" s="4"/>
      <c r="UOJ15" s="4"/>
      <c r="UOK15" s="4"/>
      <c r="UOL15" s="4"/>
      <c r="UOM15" s="4"/>
      <c r="UON15" s="4"/>
      <c r="UOO15" s="4"/>
      <c r="UOP15" s="4"/>
      <c r="UOQ15" s="4"/>
      <c r="UOR15" s="4"/>
      <c r="UOS15" s="4"/>
      <c r="UOT15" s="4"/>
      <c r="UOU15" s="4"/>
      <c r="UOV15" s="4"/>
      <c r="UOW15" s="4"/>
      <c r="UOX15" s="4"/>
      <c r="UOY15" s="4"/>
      <c r="UOZ15" s="4"/>
      <c r="UPA15" s="4"/>
      <c r="UPB15" s="4"/>
      <c r="UPC15" s="4"/>
      <c r="UPD15" s="4"/>
      <c r="UPE15" s="4"/>
      <c r="UPF15" s="4"/>
      <c r="UPG15" s="4"/>
      <c r="UPH15" s="4"/>
      <c r="UPI15" s="4"/>
      <c r="UPJ15" s="4"/>
      <c r="UPK15" s="4"/>
      <c r="UPL15" s="4"/>
      <c r="UPM15" s="4"/>
      <c r="UPN15" s="4"/>
      <c r="UPO15" s="4"/>
      <c r="UPP15" s="4"/>
      <c r="UPQ15" s="4"/>
      <c r="UPR15" s="4"/>
      <c r="UPS15" s="4"/>
      <c r="UPT15" s="4"/>
      <c r="UPU15" s="4"/>
      <c r="UPV15" s="4"/>
      <c r="UPW15" s="4"/>
      <c r="UPX15" s="4"/>
      <c r="UPY15" s="4"/>
      <c r="UPZ15" s="4"/>
      <c r="UQA15" s="4"/>
      <c r="UQB15" s="4"/>
      <c r="UQC15" s="4"/>
      <c r="UQD15" s="4"/>
      <c r="UQE15" s="4"/>
      <c r="UQF15" s="4"/>
      <c r="UQG15" s="4"/>
      <c r="UQH15" s="4"/>
      <c r="UQI15" s="4"/>
      <c r="UQJ15" s="4"/>
      <c r="UQK15" s="4"/>
      <c r="UQL15" s="4"/>
      <c r="UQM15" s="4"/>
      <c r="UQN15" s="4"/>
      <c r="UQO15" s="4"/>
      <c r="UQP15" s="4"/>
      <c r="UQQ15" s="4"/>
      <c r="UQR15" s="4"/>
      <c r="UQS15" s="4"/>
      <c r="UQT15" s="4"/>
      <c r="UQU15" s="4"/>
      <c r="UQV15" s="4"/>
      <c r="UQW15" s="4"/>
      <c r="UQX15" s="4"/>
      <c r="UQY15" s="4"/>
      <c r="UQZ15" s="4"/>
      <c r="URA15" s="4"/>
      <c r="URB15" s="4"/>
      <c r="URC15" s="4"/>
      <c r="URD15" s="4"/>
      <c r="URE15" s="4"/>
      <c r="URF15" s="4"/>
      <c r="URG15" s="4"/>
      <c r="URH15" s="4"/>
      <c r="URI15" s="4"/>
      <c r="URJ15" s="4"/>
      <c r="URK15" s="4"/>
      <c r="URL15" s="4"/>
      <c r="URM15" s="4"/>
      <c r="URN15" s="4"/>
      <c r="URO15" s="4"/>
      <c r="URP15" s="4"/>
      <c r="URQ15" s="4"/>
      <c r="URR15" s="4"/>
      <c r="URS15" s="4"/>
      <c r="URT15" s="4"/>
      <c r="URU15" s="4"/>
      <c r="URV15" s="4"/>
      <c r="URW15" s="4"/>
      <c r="URX15" s="4"/>
      <c r="URY15" s="4"/>
      <c r="URZ15" s="4"/>
      <c r="USA15" s="4"/>
      <c r="USB15" s="4"/>
      <c r="USC15" s="4"/>
      <c r="USD15" s="4"/>
      <c r="USE15" s="4"/>
      <c r="USF15" s="4"/>
      <c r="USG15" s="4"/>
      <c r="USH15" s="4"/>
      <c r="USI15" s="4"/>
      <c r="USJ15" s="4"/>
      <c r="USK15" s="4"/>
      <c r="USL15" s="4"/>
      <c r="USM15" s="4"/>
      <c r="USN15" s="4"/>
      <c r="USO15" s="4"/>
      <c r="USP15" s="4"/>
      <c r="USQ15" s="4"/>
      <c r="USR15" s="4"/>
      <c r="USS15" s="4"/>
      <c r="UST15" s="4"/>
      <c r="USU15" s="4"/>
      <c r="USV15" s="4"/>
      <c r="USW15" s="4"/>
      <c r="USX15" s="4"/>
      <c r="USY15" s="4"/>
      <c r="USZ15" s="4"/>
      <c r="UTA15" s="4"/>
      <c r="UTB15" s="4"/>
      <c r="UTC15" s="4"/>
      <c r="UTD15" s="4"/>
      <c r="UTE15" s="4"/>
      <c r="UTF15" s="4"/>
      <c r="UTG15" s="4"/>
      <c r="UTH15" s="4"/>
      <c r="UTI15" s="4"/>
      <c r="UTJ15" s="4"/>
      <c r="UTK15" s="4"/>
      <c r="UTL15" s="4"/>
      <c r="UTM15" s="4"/>
      <c r="UTN15" s="4"/>
      <c r="UTO15" s="4"/>
      <c r="UTP15" s="4"/>
      <c r="UTQ15" s="4"/>
      <c r="UTR15" s="4"/>
      <c r="UTS15" s="4"/>
      <c r="UTT15" s="4"/>
      <c r="UTU15" s="4"/>
      <c r="UTV15" s="4"/>
      <c r="UTW15" s="4"/>
      <c r="UTX15" s="4"/>
      <c r="UTY15" s="4"/>
      <c r="UTZ15" s="4"/>
      <c r="UUA15" s="4"/>
      <c r="UUB15" s="4"/>
      <c r="UUC15" s="4"/>
      <c r="UUD15" s="4"/>
      <c r="UUE15" s="4"/>
      <c r="UUF15" s="4"/>
      <c r="UUG15" s="4"/>
      <c r="UUH15" s="4"/>
      <c r="UUI15" s="4"/>
      <c r="UUJ15" s="4"/>
      <c r="UUK15" s="4"/>
      <c r="UUL15" s="4"/>
      <c r="UUM15" s="4"/>
      <c r="UUN15" s="4"/>
      <c r="UUO15" s="4"/>
      <c r="UUP15" s="4"/>
      <c r="UUQ15" s="4"/>
      <c r="UUR15" s="4"/>
      <c r="UUS15" s="4"/>
      <c r="UUT15" s="4"/>
      <c r="UUU15" s="4"/>
      <c r="UUV15" s="4"/>
      <c r="UUW15" s="4"/>
      <c r="UUX15" s="4"/>
      <c r="UUY15" s="4"/>
      <c r="UUZ15" s="4"/>
      <c r="UVA15" s="4"/>
      <c r="UVB15" s="4"/>
      <c r="UVC15" s="4"/>
      <c r="UVD15" s="4"/>
      <c r="UVE15" s="4"/>
      <c r="UVF15" s="4"/>
      <c r="UVG15" s="4"/>
      <c r="UVH15" s="4"/>
      <c r="UVI15" s="4"/>
      <c r="UVJ15" s="4"/>
      <c r="UVK15" s="4"/>
      <c r="UVL15" s="4"/>
      <c r="UVM15" s="4"/>
      <c r="UVN15" s="4"/>
      <c r="UVO15" s="4"/>
      <c r="UVP15" s="4"/>
      <c r="UVQ15" s="4"/>
      <c r="UVR15" s="4"/>
      <c r="UVS15" s="4"/>
      <c r="UVT15" s="4"/>
      <c r="UVU15" s="4"/>
      <c r="UVV15" s="4"/>
      <c r="UVW15" s="4"/>
      <c r="UVX15" s="4"/>
      <c r="UVY15" s="4"/>
      <c r="UVZ15" s="4"/>
      <c r="UWA15" s="4"/>
      <c r="UWB15" s="4"/>
      <c r="UWC15" s="4"/>
      <c r="UWD15" s="4"/>
      <c r="UWE15" s="4"/>
      <c r="UWF15" s="4"/>
      <c r="UWG15" s="4"/>
      <c r="UWH15" s="4"/>
      <c r="UWI15" s="4"/>
      <c r="UWJ15" s="4"/>
      <c r="UWK15" s="4"/>
      <c r="UWL15" s="4"/>
      <c r="UWM15" s="4"/>
      <c r="UWN15" s="4"/>
      <c r="UWO15" s="4"/>
      <c r="UWP15" s="4"/>
      <c r="UWQ15" s="4"/>
      <c r="UWR15" s="4"/>
      <c r="UWS15" s="4"/>
      <c r="UWT15" s="4"/>
      <c r="UWU15" s="4"/>
      <c r="UWV15" s="4"/>
      <c r="UWW15" s="4"/>
      <c r="UWX15" s="4"/>
      <c r="UWY15" s="4"/>
      <c r="UWZ15" s="4"/>
      <c r="UXA15" s="4"/>
      <c r="UXB15" s="4"/>
      <c r="UXC15" s="4"/>
      <c r="UXD15" s="4"/>
      <c r="UXE15" s="4"/>
      <c r="UXF15" s="4"/>
      <c r="UXG15" s="4"/>
      <c r="UXH15" s="4"/>
      <c r="UXI15" s="4"/>
      <c r="UXJ15" s="4"/>
      <c r="UXK15" s="4"/>
      <c r="UXL15" s="4"/>
      <c r="UXM15" s="4"/>
      <c r="UXN15" s="4"/>
      <c r="UXO15" s="4"/>
      <c r="UXP15" s="4"/>
      <c r="UXQ15" s="4"/>
      <c r="UXR15" s="4"/>
      <c r="UXS15" s="4"/>
      <c r="UXT15" s="4"/>
      <c r="UXU15" s="4"/>
      <c r="UXV15" s="4"/>
      <c r="UXW15" s="4"/>
      <c r="UXX15" s="4"/>
      <c r="UXY15" s="4"/>
      <c r="UXZ15" s="4"/>
      <c r="UYA15" s="4"/>
      <c r="UYB15" s="4"/>
      <c r="UYC15" s="4"/>
      <c r="UYD15" s="4"/>
      <c r="UYE15" s="4"/>
      <c r="UYF15" s="4"/>
      <c r="UYG15" s="4"/>
      <c r="UYH15" s="4"/>
      <c r="UYI15" s="4"/>
      <c r="UYJ15" s="4"/>
      <c r="UYK15" s="4"/>
      <c r="UYL15" s="4"/>
      <c r="UYM15" s="4"/>
      <c r="UYN15" s="4"/>
      <c r="UYO15" s="4"/>
      <c r="UYP15" s="4"/>
      <c r="UYQ15" s="4"/>
      <c r="UYR15" s="4"/>
      <c r="UYS15" s="4"/>
      <c r="UYT15" s="4"/>
      <c r="UYU15" s="4"/>
      <c r="UYV15" s="4"/>
      <c r="UYW15" s="4"/>
      <c r="UYX15" s="4"/>
      <c r="UYY15" s="4"/>
      <c r="UYZ15" s="4"/>
      <c r="UZA15" s="4"/>
      <c r="UZB15" s="4"/>
      <c r="UZC15" s="4"/>
      <c r="UZD15" s="4"/>
      <c r="UZE15" s="4"/>
      <c r="UZF15" s="4"/>
      <c r="UZG15" s="4"/>
      <c r="UZH15" s="4"/>
      <c r="UZI15" s="4"/>
      <c r="UZJ15" s="4"/>
      <c r="UZK15" s="4"/>
      <c r="UZL15" s="4"/>
      <c r="UZM15" s="4"/>
      <c r="UZN15" s="4"/>
      <c r="UZO15" s="4"/>
      <c r="UZP15" s="4"/>
      <c r="UZQ15" s="4"/>
      <c r="UZR15" s="4"/>
      <c r="UZS15" s="4"/>
      <c r="UZT15" s="4"/>
      <c r="UZU15" s="4"/>
      <c r="UZV15" s="4"/>
      <c r="UZW15" s="4"/>
      <c r="UZX15" s="4"/>
      <c r="UZY15" s="4"/>
      <c r="UZZ15" s="4"/>
      <c r="VAA15" s="4"/>
      <c r="VAB15" s="4"/>
      <c r="VAC15" s="4"/>
      <c r="VAD15" s="4"/>
      <c r="VAE15" s="4"/>
      <c r="VAF15" s="4"/>
      <c r="VAG15" s="4"/>
      <c r="VAH15" s="4"/>
      <c r="VAI15" s="4"/>
      <c r="VAJ15" s="4"/>
      <c r="VAK15" s="4"/>
      <c r="VAL15" s="4"/>
      <c r="VAM15" s="4"/>
      <c r="VAN15" s="4"/>
      <c r="VAO15" s="4"/>
      <c r="VAP15" s="4"/>
      <c r="VAQ15" s="4"/>
      <c r="VAR15" s="4"/>
      <c r="VAS15" s="4"/>
      <c r="VAT15" s="4"/>
      <c r="VAU15" s="4"/>
      <c r="VAV15" s="4"/>
      <c r="VAW15" s="4"/>
      <c r="VAX15" s="4"/>
      <c r="VAY15" s="4"/>
      <c r="VAZ15" s="4"/>
      <c r="VBA15" s="4"/>
      <c r="VBB15" s="4"/>
      <c r="VBC15" s="4"/>
      <c r="VBD15" s="4"/>
      <c r="VBE15" s="4"/>
      <c r="VBF15" s="4"/>
      <c r="VBG15" s="4"/>
      <c r="VBH15" s="4"/>
      <c r="VBI15" s="4"/>
      <c r="VBJ15" s="4"/>
      <c r="VBK15" s="4"/>
      <c r="VBL15" s="4"/>
      <c r="VBM15" s="4"/>
      <c r="VBN15" s="4"/>
      <c r="VBO15" s="4"/>
      <c r="VBP15" s="4"/>
      <c r="VBQ15" s="4"/>
      <c r="VBR15" s="4"/>
      <c r="VBS15" s="4"/>
      <c r="VBT15" s="4"/>
      <c r="VBU15" s="4"/>
      <c r="VBV15" s="4"/>
      <c r="VBW15" s="4"/>
      <c r="VBX15" s="4"/>
      <c r="VBY15" s="4"/>
      <c r="VBZ15" s="4"/>
      <c r="VCA15" s="4"/>
      <c r="VCB15" s="4"/>
      <c r="VCC15" s="4"/>
      <c r="VCD15" s="4"/>
      <c r="VCE15" s="4"/>
      <c r="VCF15" s="4"/>
      <c r="VCG15" s="4"/>
      <c r="VCH15" s="4"/>
      <c r="VCI15" s="4"/>
      <c r="VCJ15" s="4"/>
      <c r="VCK15" s="4"/>
      <c r="VCL15" s="4"/>
      <c r="VCM15" s="4"/>
      <c r="VCN15" s="4"/>
      <c r="VCO15" s="4"/>
      <c r="VCP15" s="4"/>
      <c r="VCQ15" s="4"/>
      <c r="VCR15" s="4"/>
      <c r="VCS15" s="4"/>
      <c r="VCT15" s="4"/>
      <c r="VCU15" s="4"/>
      <c r="VCV15" s="4"/>
      <c r="VCW15" s="4"/>
      <c r="VCX15" s="4"/>
      <c r="VCY15" s="4"/>
      <c r="VCZ15" s="4"/>
      <c r="VDA15" s="4"/>
      <c r="VDB15" s="4"/>
      <c r="VDC15" s="4"/>
      <c r="VDD15" s="4"/>
      <c r="VDE15" s="4"/>
      <c r="VDF15" s="4"/>
      <c r="VDG15" s="4"/>
      <c r="VDH15" s="4"/>
      <c r="VDI15" s="4"/>
      <c r="VDJ15" s="4"/>
      <c r="VDK15" s="4"/>
      <c r="VDL15" s="4"/>
      <c r="VDM15" s="4"/>
      <c r="VDN15" s="4"/>
      <c r="VDO15" s="4"/>
      <c r="VDP15" s="4"/>
      <c r="VDQ15" s="4"/>
      <c r="VDR15" s="4"/>
      <c r="VDS15" s="4"/>
      <c r="VDT15" s="4"/>
      <c r="VDU15" s="4"/>
      <c r="VDV15" s="4"/>
      <c r="VDW15" s="4"/>
      <c r="VDX15" s="4"/>
      <c r="VDY15" s="4"/>
      <c r="VDZ15" s="4"/>
      <c r="VEA15" s="4"/>
      <c r="VEB15" s="4"/>
      <c r="VEC15" s="4"/>
      <c r="VED15" s="4"/>
      <c r="VEE15" s="4"/>
      <c r="VEF15" s="4"/>
      <c r="VEG15" s="4"/>
      <c r="VEH15" s="4"/>
      <c r="VEI15" s="4"/>
      <c r="VEJ15" s="4"/>
      <c r="VEK15" s="4"/>
      <c r="VEL15" s="4"/>
      <c r="VEM15" s="4"/>
      <c r="VEN15" s="4"/>
      <c r="VEO15" s="4"/>
      <c r="VEP15" s="4"/>
      <c r="VEQ15" s="4"/>
      <c r="VER15" s="4"/>
      <c r="VES15" s="4"/>
      <c r="VET15" s="4"/>
      <c r="VEU15" s="4"/>
      <c r="VEV15" s="4"/>
      <c r="VEW15" s="4"/>
      <c r="VEX15" s="4"/>
      <c r="VEY15" s="4"/>
      <c r="VEZ15" s="4"/>
      <c r="VFA15" s="4"/>
      <c r="VFB15" s="4"/>
      <c r="VFC15" s="4"/>
      <c r="VFD15" s="4"/>
      <c r="VFE15" s="4"/>
      <c r="VFF15" s="4"/>
      <c r="VFG15" s="4"/>
      <c r="VFH15" s="4"/>
      <c r="VFI15" s="4"/>
      <c r="VFJ15" s="4"/>
      <c r="VFK15" s="4"/>
      <c r="VFL15" s="4"/>
      <c r="VFM15" s="4"/>
      <c r="VFN15" s="4"/>
      <c r="VFO15" s="4"/>
      <c r="VFP15" s="4"/>
      <c r="VFQ15" s="4"/>
      <c r="VFR15" s="4"/>
      <c r="VFS15" s="4"/>
      <c r="VFT15" s="4"/>
      <c r="VFU15" s="4"/>
      <c r="VFV15" s="4"/>
      <c r="VFW15" s="4"/>
      <c r="VFX15" s="4"/>
      <c r="VFY15" s="4"/>
      <c r="VFZ15" s="4"/>
      <c r="VGA15" s="4"/>
      <c r="VGB15" s="4"/>
      <c r="VGC15" s="4"/>
      <c r="VGD15" s="4"/>
      <c r="VGE15" s="4"/>
      <c r="VGF15" s="4"/>
      <c r="VGG15" s="4"/>
      <c r="VGH15" s="4"/>
      <c r="VGI15" s="4"/>
      <c r="VGJ15" s="4"/>
      <c r="VGK15" s="4"/>
      <c r="VGL15" s="4"/>
      <c r="VGM15" s="4"/>
      <c r="VGN15" s="4"/>
      <c r="VGO15" s="4"/>
      <c r="VGP15" s="4"/>
      <c r="VGQ15" s="4"/>
      <c r="VGR15" s="4"/>
      <c r="VGS15" s="4"/>
      <c r="VGT15" s="4"/>
      <c r="VGU15" s="4"/>
      <c r="VGV15" s="4"/>
      <c r="VGW15" s="4"/>
      <c r="VGX15" s="4"/>
      <c r="VGY15" s="4"/>
      <c r="VGZ15" s="4"/>
      <c r="VHA15" s="4"/>
      <c r="VHB15" s="4"/>
      <c r="VHC15" s="4"/>
      <c r="VHD15" s="4"/>
      <c r="VHE15" s="4"/>
      <c r="VHF15" s="4"/>
      <c r="VHG15" s="4"/>
      <c r="VHH15" s="4"/>
      <c r="VHI15" s="4"/>
      <c r="VHJ15" s="4"/>
      <c r="VHK15" s="4"/>
      <c r="VHL15" s="4"/>
      <c r="VHM15" s="4"/>
      <c r="VHN15" s="4"/>
      <c r="VHO15" s="4"/>
      <c r="VHP15" s="4"/>
      <c r="VHQ15" s="4"/>
      <c r="VHR15" s="4"/>
      <c r="VHS15" s="4"/>
      <c r="VHT15" s="4"/>
      <c r="VHU15" s="4"/>
      <c r="VHV15" s="4"/>
      <c r="VHW15" s="4"/>
      <c r="VHX15" s="4"/>
      <c r="VHY15" s="4"/>
      <c r="VHZ15" s="4"/>
      <c r="VIA15" s="4"/>
      <c r="VIB15" s="4"/>
      <c r="VIC15" s="4"/>
      <c r="VID15" s="4"/>
      <c r="VIE15" s="4"/>
      <c r="VIF15" s="4"/>
      <c r="VIG15" s="4"/>
      <c r="VIH15" s="4"/>
      <c r="VII15" s="4"/>
      <c r="VIJ15" s="4"/>
      <c r="VIK15" s="4"/>
      <c r="VIL15" s="4"/>
      <c r="VIM15" s="4"/>
      <c r="VIN15" s="4"/>
      <c r="VIO15" s="4"/>
      <c r="VIP15" s="4"/>
      <c r="VIQ15" s="4"/>
      <c r="VIR15" s="4"/>
      <c r="VIS15" s="4"/>
      <c r="VIT15" s="4"/>
      <c r="VIU15" s="4"/>
      <c r="VIV15" s="4"/>
      <c r="VIW15" s="4"/>
      <c r="VIX15" s="4"/>
      <c r="VIY15" s="4"/>
      <c r="VIZ15" s="4"/>
      <c r="VJA15" s="4"/>
      <c r="VJB15" s="4"/>
      <c r="VJC15" s="4"/>
      <c r="VJD15" s="4"/>
      <c r="VJE15" s="4"/>
      <c r="VJF15" s="4"/>
      <c r="VJG15" s="4"/>
      <c r="VJH15" s="4"/>
      <c r="VJI15" s="4"/>
      <c r="VJJ15" s="4"/>
      <c r="VJK15" s="4"/>
      <c r="VJL15" s="4"/>
      <c r="VJM15" s="4"/>
      <c r="VJN15" s="4"/>
      <c r="VJO15" s="4"/>
      <c r="VJP15" s="4"/>
      <c r="VJQ15" s="4"/>
      <c r="VJR15" s="4"/>
      <c r="VJS15" s="4"/>
      <c r="VJT15" s="4"/>
      <c r="VJU15" s="4"/>
      <c r="VJV15" s="4"/>
      <c r="VJW15" s="4"/>
      <c r="VJX15" s="4"/>
      <c r="VJY15" s="4"/>
      <c r="VJZ15" s="4"/>
      <c r="VKA15" s="4"/>
      <c r="VKB15" s="4"/>
      <c r="VKC15" s="4"/>
      <c r="VKD15" s="4"/>
      <c r="VKE15" s="4"/>
      <c r="VKF15" s="4"/>
      <c r="VKG15" s="4"/>
      <c r="VKH15" s="4"/>
      <c r="VKI15" s="4"/>
      <c r="VKJ15" s="4"/>
      <c r="VKK15" s="4"/>
      <c r="VKL15" s="4"/>
      <c r="VKM15" s="4"/>
      <c r="VKN15" s="4"/>
      <c r="VKO15" s="4"/>
      <c r="VKP15" s="4"/>
      <c r="VKQ15" s="4"/>
      <c r="VKR15" s="4"/>
      <c r="VKS15" s="4"/>
      <c r="VKT15" s="4"/>
      <c r="VKU15" s="4"/>
      <c r="VKV15" s="4"/>
      <c r="VKW15" s="4"/>
      <c r="VKX15" s="4"/>
      <c r="VKY15" s="4"/>
      <c r="VKZ15" s="4"/>
      <c r="VLA15" s="4"/>
      <c r="VLB15" s="4"/>
      <c r="VLC15" s="4"/>
      <c r="VLD15" s="4"/>
      <c r="VLE15" s="4"/>
      <c r="VLF15" s="4"/>
      <c r="VLG15" s="4"/>
      <c r="VLH15" s="4"/>
      <c r="VLI15" s="4"/>
      <c r="VLJ15" s="4"/>
      <c r="VLK15" s="4"/>
      <c r="VLL15" s="4"/>
      <c r="VLM15" s="4"/>
      <c r="VLN15" s="4"/>
      <c r="VLO15" s="4"/>
      <c r="VLP15" s="4"/>
      <c r="VLQ15" s="4"/>
      <c r="VLR15" s="4"/>
      <c r="VLS15" s="4"/>
      <c r="VLT15" s="4"/>
      <c r="VLU15" s="4"/>
      <c r="VLV15" s="4"/>
      <c r="VLW15" s="4"/>
      <c r="VLX15" s="4"/>
      <c r="VLY15" s="4"/>
      <c r="VLZ15" s="4"/>
      <c r="VMA15" s="4"/>
      <c r="VMB15" s="4"/>
      <c r="VMC15" s="4"/>
      <c r="VMD15" s="4"/>
      <c r="VME15" s="4"/>
      <c r="VMF15" s="4"/>
      <c r="VMG15" s="4"/>
      <c r="VMH15" s="4"/>
      <c r="VMI15" s="4"/>
      <c r="VMJ15" s="4"/>
      <c r="VMK15" s="4"/>
      <c r="VML15" s="4"/>
      <c r="VMM15" s="4"/>
      <c r="VMN15" s="4"/>
      <c r="VMO15" s="4"/>
      <c r="VMP15" s="4"/>
      <c r="VMQ15" s="4"/>
      <c r="VMR15" s="4"/>
      <c r="VMS15" s="4"/>
      <c r="VMT15" s="4"/>
      <c r="VMU15" s="4"/>
      <c r="VMV15" s="4"/>
      <c r="VMW15" s="4"/>
      <c r="VMX15" s="4"/>
      <c r="VMY15" s="4"/>
      <c r="VMZ15" s="4"/>
      <c r="VNA15" s="4"/>
      <c r="VNB15" s="4"/>
      <c r="VNC15" s="4"/>
      <c r="VND15" s="4"/>
      <c r="VNE15" s="4"/>
      <c r="VNF15" s="4"/>
      <c r="VNG15" s="4"/>
      <c r="VNH15" s="4"/>
      <c r="VNI15" s="4"/>
      <c r="VNJ15" s="4"/>
      <c r="VNK15" s="4"/>
      <c r="VNL15" s="4"/>
      <c r="VNM15" s="4"/>
      <c r="VNN15" s="4"/>
      <c r="VNO15" s="4"/>
      <c r="VNP15" s="4"/>
      <c r="VNQ15" s="4"/>
      <c r="VNR15" s="4"/>
      <c r="VNS15" s="4"/>
      <c r="VNT15" s="4"/>
      <c r="VNU15" s="4"/>
      <c r="VNV15" s="4"/>
      <c r="VNW15" s="4"/>
      <c r="VNX15" s="4"/>
      <c r="VNY15" s="4"/>
      <c r="VNZ15" s="4"/>
      <c r="VOA15" s="4"/>
      <c r="VOB15" s="4"/>
      <c r="VOC15" s="4"/>
      <c r="VOD15" s="4"/>
      <c r="VOE15" s="4"/>
      <c r="VOF15" s="4"/>
      <c r="VOG15" s="4"/>
      <c r="VOH15" s="4"/>
      <c r="VOI15" s="4"/>
      <c r="VOJ15" s="4"/>
      <c r="VOK15" s="4"/>
      <c r="VOL15" s="4"/>
      <c r="VOM15" s="4"/>
      <c r="VON15" s="4"/>
      <c r="VOO15" s="4"/>
      <c r="VOP15" s="4"/>
      <c r="VOQ15" s="4"/>
      <c r="VOR15" s="4"/>
      <c r="VOS15" s="4"/>
      <c r="VOT15" s="4"/>
      <c r="VOU15" s="4"/>
      <c r="VOV15" s="4"/>
      <c r="VOW15" s="4"/>
      <c r="VOX15" s="4"/>
      <c r="VOY15" s="4"/>
      <c r="VOZ15" s="4"/>
      <c r="VPA15" s="4"/>
      <c r="VPB15" s="4"/>
      <c r="VPC15" s="4"/>
      <c r="VPD15" s="4"/>
      <c r="VPE15" s="4"/>
      <c r="VPF15" s="4"/>
      <c r="VPG15" s="4"/>
      <c r="VPH15" s="4"/>
      <c r="VPI15" s="4"/>
      <c r="VPJ15" s="4"/>
      <c r="VPK15" s="4"/>
      <c r="VPL15" s="4"/>
      <c r="VPM15" s="4"/>
      <c r="VPN15" s="4"/>
      <c r="VPO15" s="4"/>
      <c r="VPP15" s="4"/>
      <c r="VPQ15" s="4"/>
      <c r="VPR15" s="4"/>
      <c r="VPS15" s="4"/>
      <c r="VPT15" s="4"/>
      <c r="VPU15" s="4"/>
      <c r="VPV15" s="4"/>
      <c r="VPW15" s="4"/>
      <c r="VPX15" s="4"/>
      <c r="VPY15" s="4"/>
      <c r="VPZ15" s="4"/>
      <c r="VQA15" s="4"/>
      <c r="VQB15" s="4"/>
      <c r="VQC15" s="4"/>
      <c r="VQD15" s="4"/>
      <c r="VQE15" s="4"/>
      <c r="VQF15" s="4"/>
      <c r="VQG15" s="4"/>
      <c r="VQH15" s="4"/>
      <c r="VQI15" s="4"/>
      <c r="VQJ15" s="4"/>
      <c r="VQK15" s="4"/>
      <c r="VQL15" s="4"/>
      <c r="VQM15" s="4"/>
      <c r="VQN15" s="4"/>
      <c r="VQO15" s="4"/>
      <c r="VQP15" s="4"/>
      <c r="VQQ15" s="4"/>
      <c r="VQR15" s="4"/>
      <c r="VQS15" s="4"/>
      <c r="VQT15" s="4"/>
      <c r="VQU15" s="4"/>
      <c r="VQV15" s="4"/>
      <c r="VQW15" s="4"/>
      <c r="VQX15" s="4"/>
      <c r="VQY15" s="4"/>
      <c r="VQZ15" s="4"/>
      <c r="VRA15" s="4"/>
      <c r="VRB15" s="4"/>
      <c r="VRC15" s="4"/>
      <c r="VRD15" s="4"/>
      <c r="VRE15" s="4"/>
      <c r="VRF15" s="4"/>
      <c r="VRG15" s="4"/>
      <c r="VRH15" s="4"/>
      <c r="VRI15" s="4"/>
      <c r="VRJ15" s="4"/>
      <c r="VRK15" s="4"/>
      <c r="VRL15" s="4"/>
      <c r="VRM15" s="4"/>
      <c r="VRN15" s="4"/>
      <c r="VRO15" s="4"/>
      <c r="VRP15" s="4"/>
      <c r="VRQ15" s="4"/>
      <c r="VRR15" s="4"/>
      <c r="VRS15" s="4"/>
      <c r="VRT15" s="4"/>
      <c r="VRU15" s="4"/>
      <c r="VRV15" s="4"/>
      <c r="VRW15" s="4"/>
      <c r="VRX15" s="4"/>
      <c r="VRY15" s="4"/>
      <c r="VRZ15" s="4"/>
      <c r="VSA15" s="4"/>
      <c r="VSB15" s="4"/>
      <c r="VSC15" s="4"/>
      <c r="VSD15" s="4"/>
      <c r="VSE15" s="4"/>
      <c r="VSF15" s="4"/>
      <c r="VSG15" s="4"/>
      <c r="VSH15" s="4"/>
      <c r="VSI15" s="4"/>
      <c r="VSJ15" s="4"/>
      <c r="VSK15" s="4"/>
      <c r="VSL15" s="4"/>
      <c r="VSM15" s="4"/>
      <c r="VSN15" s="4"/>
      <c r="VSO15" s="4"/>
      <c r="VSP15" s="4"/>
      <c r="VSQ15" s="4"/>
      <c r="VSR15" s="4"/>
      <c r="VSS15" s="4"/>
      <c r="VST15" s="4"/>
      <c r="VSU15" s="4"/>
      <c r="VSV15" s="4"/>
      <c r="VSW15" s="4"/>
      <c r="VSX15" s="4"/>
      <c r="VSY15" s="4"/>
      <c r="VSZ15" s="4"/>
      <c r="VTA15" s="4"/>
      <c r="VTB15" s="4"/>
      <c r="VTC15" s="4"/>
      <c r="VTD15" s="4"/>
      <c r="VTE15" s="4"/>
      <c r="VTF15" s="4"/>
      <c r="VTG15" s="4"/>
      <c r="VTH15" s="4"/>
      <c r="VTI15" s="4"/>
      <c r="VTJ15" s="4"/>
      <c r="VTK15" s="4"/>
      <c r="VTL15" s="4"/>
      <c r="VTM15" s="4"/>
      <c r="VTN15" s="4"/>
      <c r="VTO15" s="4"/>
      <c r="VTP15" s="4"/>
      <c r="VTQ15" s="4"/>
      <c r="VTR15" s="4"/>
      <c r="VTS15" s="4"/>
      <c r="VTT15" s="4"/>
      <c r="VTU15" s="4"/>
      <c r="VTV15" s="4"/>
      <c r="VTW15" s="4"/>
      <c r="VTX15" s="4"/>
      <c r="VTY15" s="4"/>
      <c r="VTZ15" s="4"/>
      <c r="VUA15" s="4"/>
      <c r="VUB15" s="4"/>
      <c r="VUC15" s="4"/>
      <c r="VUD15" s="4"/>
      <c r="VUE15" s="4"/>
      <c r="VUF15" s="4"/>
      <c r="VUG15" s="4"/>
      <c r="VUH15" s="4"/>
      <c r="VUI15" s="4"/>
      <c r="VUJ15" s="4"/>
      <c r="VUK15" s="4"/>
      <c r="VUL15" s="4"/>
      <c r="VUM15" s="4"/>
      <c r="VUN15" s="4"/>
      <c r="VUO15" s="4"/>
      <c r="VUP15" s="4"/>
      <c r="VUQ15" s="4"/>
      <c r="VUR15" s="4"/>
      <c r="VUS15" s="4"/>
      <c r="VUT15" s="4"/>
      <c r="VUU15" s="4"/>
      <c r="VUV15" s="4"/>
      <c r="VUW15" s="4"/>
      <c r="VUX15" s="4"/>
      <c r="VUY15" s="4"/>
      <c r="VUZ15" s="4"/>
      <c r="VVA15" s="4"/>
      <c r="VVB15" s="4"/>
      <c r="VVC15" s="4"/>
      <c r="VVD15" s="4"/>
      <c r="VVE15" s="4"/>
      <c r="VVF15" s="4"/>
      <c r="VVG15" s="4"/>
      <c r="VVH15" s="4"/>
      <c r="VVI15" s="4"/>
      <c r="VVJ15" s="4"/>
      <c r="VVK15" s="4"/>
      <c r="VVL15" s="4"/>
      <c r="VVM15" s="4"/>
      <c r="VVN15" s="4"/>
      <c r="VVO15" s="4"/>
      <c r="VVP15" s="4"/>
      <c r="VVQ15" s="4"/>
      <c r="VVR15" s="4"/>
      <c r="VVS15" s="4"/>
      <c r="VVT15" s="4"/>
      <c r="VVU15" s="4"/>
      <c r="VVV15" s="4"/>
      <c r="VVW15" s="4"/>
      <c r="VVX15" s="4"/>
      <c r="VVY15" s="4"/>
      <c r="VVZ15" s="4"/>
      <c r="VWA15" s="4"/>
      <c r="VWB15" s="4"/>
      <c r="VWC15" s="4"/>
      <c r="VWD15" s="4"/>
      <c r="VWE15" s="4"/>
      <c r="VWF15" s="4"/>
      <c r="VWG15" s="4"/>
      <c r="VWH15" s="4"/>
      <c r="VWI15" s="4"/>
      <c r="VWJ15" s="4"/>
      <c r="VWK15" s="4"/>
      <c r="VWL15" s="4"/>
      <c r="VWM15" s="4"/>
      <c r="VWN15" s="4"/>
      <c r="VWO15" s="4"/>
      <c r="VWP15" s="4"/>
      <c r="VWQ15" s="4"/>
      <c r="VWR15" s="4"/>
      <c r="VWS15" s="4"/>
      <c r="VWT15" s="4"/>
      <c r="VWU15" s="4"/>
      <c r="VWV15" s="4"/>
      <c r="VWW15" s="4"/>
      <c r="VWX15" s="4"/>
      <c r="VWY15" s="4"/>
      <c r="VWZ15" s="4"/>
      <c r="VXA15" s="4"/>
      <c r="VXB15" s="4"/>
      <c r="VXC15" s="4"/>
      <c r="VXD15" s="4"/>
      <c r="VXE15" s="4"/>
      <c r="VXF15" s="4"/>
      <c r="VXG15" s="4"/>
      <c r="VXH15" s="4"/>
      <c r="VXI15" s="4"/>
      <c r="VXJ15" s="4"/>
      <c r="VXK15" s="4"/>
      <c r="VXL15" s="4"/>
      <c r="VXM15" s="4"/>
      <c r="VXN15" s="4"/>
      <c r="VXO15" s="4"/>
      <c r="VXP15" s="4"/>
      <c r="VXQ15" s="4"/>
      <c r="VXR15" s="4"/>
      <c r="VXS15" s="4"/>
      <c r="VXT15" s="4"/>
      <c r="VXU15" s="4"/>
      <c r="VXV15" s="4"/>
      <c r="VXW15" s="4"/>
      <c r="VXX15" s="4"/>
      <c r="VXY15" s="4"/>
      <c r="VXZ15" s="4"/>
      <c r="VYA15" s="4"/>
      <c r="VYB15" s="4"/>
      <c r="VYC15" s="4"/>
      <c r="VYD15" s="4"/>
      <c r="VYE15" s="4"/>
      <c r="VYF15" s="4"/>
      <c r="VYG15" s="4"/>
      <c r="VYH15" s="4"/>
      <c r="VYI15" s="4"/>
      <c r="VYJ15" s="4"/>
      <c r="VYK15" s="4"/>
      <c r="VYL15" s="4"/>
      <c r="VYM15" s="4"/>
      <c r="VYN15" s="4"/>
      <c r="VYO15" s="4"/>
      <c r="VYP15" s="4"/>
      <c r="VYQ15" s="4"/>
      <c r="VYR15" s="4"/>
      <c r="VYS15" s="4"/>
      <c r="VYT15" s="4"/>
      <c r="VYU15" s="4"/>
      <c r="VYV15" s="4"/>
      <c r="VYW15" s="4"/>
      <c r="VYX15" s="4"/>
      <c r="VYY15" s="4"/>
      <c r="VYZ15" s="4"/>
      <c r="VZA15" s="4"/>
      <c r="VZB15" s="4"/>
      <c r="VZC15" s="4"/>
      <c r="VZD15" s="4"/>
      <c r="VZE15" s="4"/>
      <c r="VZF15" s="4"/>
      <c r="VZG15" s="4"/>
      <c r="VZH15" s="4"/>
      <c r="VZI15" s="4"/>
      <c r="VZJ15" s="4"/>
      <c r="VZK15" s="4"/>
      <c r="VZL15" s="4"/>
      <c r="VZM15" s="4"/>
      <c r="VZN15" s="4"/>
      <c r="VZO15" s="4"/>
      <c r="VZP15" s="4"/>
      <c r="VZQ15" s="4"/>
      <c r="VZR15" s="4"/>
      <c r="VZS15" s="4"/>
      <c r="VZT15" s="4"/>
      <c r="VZU15" s="4"/>
      <c r="VZV15" s="4"/>
      <c r="VZW15" s="4"/>
      <c r="VZX15" s="4"/>
      <c r="VZY15" s="4"/>
      <c r="VZZ15" s="4"/>
      <c r="WAA15" s="4"/>
      <c r="WAB15" s="4"/>
      <c r="WAC15" s="4"/>
      <c r="WAD15" s="4"/>
      <c r="WAE15" s="4"/>
      <c r="WAF15" s="4"/>
      <c r="WAG15" s="4"/>
      <c r="WAH15" s="4"/>
      <c r="WAI15" s="4"/>
      <c r="WAJ15" s="4"/>
      <c r="WAK15" s="4"/>
      <c r="WAL15" s="4"/>
      <c r="WAM15" s="4"/>
      <c r="WAN15" s="4"/>
      <c r="WAO15" s="4"/>
      <c r="WAP15" s="4"/>
      <c r="WAQ15" s="4"/>
      <c r="WAR15" s="4"/>
      <c r="WAS15" s="4"/>
      <c r="WAT15" s="4"/>
      <c r="WAU15" s="4"/>
      <c r="WAV15" s="4"/>
      <c r="WAW15" s="4"/>
      <c r="WAX15" s="4"/>
      <c r="WAY15" s="4"/>
      <c r="WAZ15" s="4"/>
      <c r="WBA15" s="4"/>
      <c r="WBB15" s="4"/>
      <c r="WBC15" s="4"/>
      <c r="WBD15" s="4"/>
      <c r="WBE15" s="4"/>
      <c r="WBF15" s="4"/>
      <c r="WBG15" s="4"/>
      <c r="WBH15" s="4"/>
      <c r="WBI15" s="4"/>
      <c r="WBJ15" s="4"/>
      <c r="WBK15" s="4"/>
      <c r="WBL15" s="4"/>
      <c r="WBM15" s="4"/>
      <c r="WBN15" s="4"/>
      <c r="WBO15" s="4"/>
      <c r="WBP15" s="4"/>
      <c r="WBQ15" s="4"/>
      <c r="WBR15" s="4"/>
      <c r="WBS15" s="4"/>
      <c r="WBT15" s="4"/>
      <c r="WBU15" s="4"/>
      <c r="WBV15" s="4"/>
      <c r="WBW15" s="4"/>
      <c r="WBX15" s="4"/>
      <c r="WBY15" s="4"/>
      <c r="WBZ15" s="4"/>
      <c r="WCA15" s="4"/>
      <c r="WCB15" s="4"/>
      <c r="WCC15" s="4"/>
      <c r="WCD15" s="4"/>
      <c r="WCE15" s="4"/>
      <c r="WCF15" s="4"/>
      <c r="WCG15" s="4"/>
      <c r="WCH15" s="4"/>
      <c r="WCI15" s="4"/>
      <c r="WCJ15" s="4"/>
      <c r="WCK15" s="4"/>
      <c r="WCL15" s="4"/>
      <c r="WCM15" s="4"/>
      <c r="WCN15" s="4"/>
      <c r="WCO15" s="4"/>
      <c r="WCP15" s="4"/>
      <c r="WCQ15" s="4"/>
      <c r="WCR15" s="4"/>
      <c r="WCS15" s="4"/>
      <c r="WCT15" s="4"/>
      <c r="WCU15" s="4"/>
      <c r="WCV15" s="4"/>
      <c r="WCW15" s="4"/>
      <c r="WCX15" s="4"/>
      <c r="WCY15" s="4"/>
      <c r="WCZ15" s="4"/>
      <c r="WDA15" s="4"/>
      <c r="WDB15" s="4"/>
      <c r="WDC15" s="4"/>
      <c r="WDD15" s="4"/>
      <c r="WDE15" s="4"/>
      <c r="WDF15" s="4"/>
      <c r="WDG15" s="4"/>
      <c r="WDH15" s="4"/>
      <c r="WDI15" s="4"/>
      <c r="WDJ15" s="4"/>
      <c r="WDK15" s="4"/>
      <c r="WDL15" s="4"/>
      <c r="WDM15" s="4"/>
      <c r="WDN15" s="4"/>
      <c r="WDO15" s="4"/>
      <c r="WDP15" s="4"/>
      <c r="WDQ15" s="4"/>
      <c r="WDR15" s="4"/>
      <c r="WDS15" s="4"/>
      <c r="WDT15" s="4"/>
      <c r="WDU15" s="4"/>
      <c r="WDV15" s="4"/>
      <c r="WDW15" s="4"/>
      <c r="WDX15" s="4"/>
      <c r="WDY15" s="4"/>
      <c r="WDZ15" s="4"/>
      <c r="WEA15" s="4"/>
      <c r="WEB15" s="4"/>
      <c r="WEC15" s="4"/>
      <c r="WED15" s="4"/>
      <c r="WEE15" s="4"/>
      <c r="WEF15" s="4"/>
      <c r="WEG15" s="4"/>
      <c r="WEH15" s="4"/>
      <c r="WEI15" s="4"/>
      <c r="WEJ15" s="4"/>
      <c r="WEK15" s="4"/>
      <c r="WEL15" s="4"/>
      <c r="WEM15" s="4"/>
      <c r="WEN15" s="4"/>
      <c r="WEO15" s="4"/>
      <c r="WEP15" s="4"/>
      <c r="WEQ15" s="4"/>
      <c r="WER15" s="4"/>
      <c r="WES15" s="4"/>
      <c r="WET15" s="4"/>
      <c r="WEU15" s="4"/>
      <c r="WEV15" s="4"/>
      <c r="WEW15" s="4"/>
      <c r="WEX15" s="4"/>
      <c r="WEY15" s="4"/>
      <c r="WEZ15" s="4"/>
      <c r="WFA15" s="4"/>
      <c r="WFB15" s="4"/>
      <c r="WFC15" s="4"/>
      <c r="WFD15" s="4"/>
      <c r="WFE15" s="4"/>
      <c r="WFF15" s="4"/>
      <c r="WFG15" s="4"/>
      <c r="WFH15" s="4"/>
      <c r="WFI15" s="4"/>
      <c r="WFJ15" s="4"/>
      <c r="WFK15" s="4"/>
      <c r="WFL15" s="4"/>
      <c r="WFM15" s="4"/>
      <c r="WFN15" s="4"/>
      <c r="WFO15" s="4"/>
      <c r="WFP15" s="4"/>
      <c r="WFQ15" s="4"/>
      <c r="WFR15" s="4"/>
      <c r="WFS15" s="4"/>
      <c r="WFT15" s="4"/>
      <c r="WFU15" s="4"/>
      <c r="WFV15" s="4"/>
      <c r="WFW15" s="4"/>
      <c r="WFX15" s="4"/>
      <c r="WFY15" s="4"/>
      <c r="WFZ15" s="4"/>
      <c r="WGA15" s="4"/>
      <c r="WGB15" s="4"/>
      <c r="WGC15" s="4"/>
      <c r="WGD15" s="4"/>
      <c r="WGE15" s="4"/>
      <c r="WGF15" s="4"/>
      <c r="WGG15" s="4"/>
      <c r="WGH15" s="4"/>
      <c r="WGI15" s="4"/>
      <c r="WGJ15" s="4"/>
      <c r="WGK15" s="4"/>
      <c r="WGL15" s="4"/>
      <c r="WGM15" s="4"/>
      <c r="WGN15" s="4"/>
      <c r="WGO15" s="4"/>
      <c r="WGP15" s="4"/>
      <c r="WGQ15" s="4"/>
      <c r="WGR15" s="4"/>
      <c r="WGS15" s="4"/>
      <c r="WGT15" s="4"/>
      <c r="WGU15" s="4"/>
      <c r="WGV15" s="4"/>
      <c r="WGW15" s="4"/>
      <c r="WGX15" s="4"/>
      <c r="WGY15" s="4"/>
      <c r="WGZ15" s="4"/>
      <c r="WHA15" s="4"/>
      <c r="WHB15" s="4"/>
      <c r="WHC15" s="4"/>
      <c r="WHD15" s="4"/>
      <c r="WHE15" s="4"/>
      <c r="WHF15" s="4"/>
      <c r="WHG15" s="4"/>
      <c r="WHH15" s="4"/>
      <c r="WHI15" s="4"/>
      <c r="WHJ15" s="4"/>
      <c r="WHK15" s="4"/>
      <c r="WHL15" s="4"/>
      <c r="WHM15" s="4"/>
      <c r="WHN15" s="4"/>
      <c r="WHO15" s="4"/>
      <c r="WHP15" s="4"/>
      <c r="WHQ15" s="4"/>
      <c r="WHR15" s="4"/>
      <c r="WHS15" s="4"/>
      <c r="WHT15" s="4"/>
      <c r="WHU15" s="4"/>
      <c r="WHV15" s="4"/>
      <c r="WHW15" s="4"/>
      <c r="WHX15" s="4"/>
      <c r="WHY15" s="4"/>
      <c r="WHZ15" s="4"/>
      <c r="WIA15" s="4"/>
      <c r="WIB15" s="4"/>
      <c r="WIC15" s="4"/>
      <c r="WID15" s="4"/>
      <c r="WIE15" s="4"/>
      <c r="WIF15" s="4"/>
      <c r="WIG15" s="4"/>
      <c r="WIH15" s="4"/>
      <c r="WII15" s="4"/>
      <c r="WIJ15" s="4"/>
      <c r="WIK15" s="4"/>
      <c r="WIL15" s="4"/>
      <c r="WIM15" s="4"/>
      <c r="WIN15" s="4"/>
      <c r="WIO15" s="4"/>
      <c r="WIP15" s="4"/>
      <c r="WIQ15" s="4"/>
      <c r="WIR15" s="4"/>
      <c r="WIS15" s="4"/>
      <c r="WIT15" s="4"/>
      <c r="WIU15" s="4"/>
      <c r="WIV15" s="4"/>
      <c r="WIW15" s="4"/>
      <c r="WIX15" s="4"/>
      <c r="WIY15" s="4"/>
      <c r="WIZ15" s="4"/>
      <c r="WJA15" s="4"/>
      <c r="WJB15" s="4"/>
      <c r="WJC15" s="4"/>
      <c r="WJD15" s="4"/>
      <c r="WJE15" s="4"/>
      <c r="WJF15" s="4"/>
      <c r="WJG15" s="4"/>
      <c r="WJH15" s="4"/>
      <c r="WJI15" s="4"/>
      <c r="WJJ15" s="4"/>
      <c r="WJK15" s="4"/>
      <c r="WJL15" s="4"/>
      <c r="WJM15" s="4"/>
      <c r="WJN15" s="4"/>
      <c r="WJO15" s="4"/>
      <c r="WJP15" s="4"/>
      <c r="WJQ15" s="4"/>
      <c r="WJR15" s="4"/>
      <c r="WJS15" s="4"/>
      <c r="WJT15" s="4"/>
      <c r="WJU15" s="4"/>
      <c r="WJV15" s="4"/>
      <c r="WJW15" s="4"/>
      <c r="WJX15" s="4"/>
      <c r="WJY15" s="4"/>
      <c r="WJZ15" s="4"/>
      <c r="WKA15" s="4"/>
      <c r="WKB15" s="4"/>
      <c r="WKC15" s="4"/>
      <c r="WKD15" s="4"/>
      <c r="WKE15" s="4"/>
      <c r="WKF15" s="4"/>
      <c r="WKG15" s="4"/>
      <c r="WKH15" s="4"/>
      <c r="WKI15" s="4"/>
      <c r="WKJ15" s="4"/>
      <c r="WKK15" s="4"/>
      <c r="WKL15" s="4"/>
      <c r="WKM15" s="4"/>
      <c r="WKN15" s="4"/>
      <c r="WKO15" s="4"/>
      <c r="WKP15" s="4"/>
      <c r="WKQ15" s="4"/>
      <c r="WKR15" s="4"/>
      <c r="WKS15" s="4"/>
      <c r="WKT15" s="4"/>
      <c r="WKU15" s="4"/>
      <c r="WKV15" s="4"/>
      <c r="WKW15" s="4"/>
      <c r="WKX15" s="4"/>
      <c r="WKY15" s="4"/>
      <c r="WKZ15" s="4"/>
      <c r="WLA15" s="4"/>
      <c r="WLB15" s="4"/>
      <c r="WLC15" s="4"/>
      <c r="WLD15" s="4"/>
      <c r="WLE15" s="4"/>
      <c r="WLF15" s="4"/>
      <c r="WLG15" s="4"/>
      <c r="WLH15" s="4"/>
      <c r="WLI15" s="4"/>
      <c r="WLJ15" s="4"/>
      <c r="WLK15" s="4"/>
      <c r="WLL15" s="4"/>
      <c r="WLM15" s="4"/>
      <c r="WLN15" s="4"/>
      <c r="WLO15" s="4"/>
      <c r="WLP15" s="4"/>
      <c r="WLQ15" s="4"/>
      <c r="WLR15" s="4"/>
      <c r="WLS15" s="4"/>
      <c r="WLT15" s="4"/>
      <c r="WLU15" s="4"/>
      <c r="WLV15" s="4"/>
      <c r="WLW15" s="4"/>
      <c r="WLX15" s="4"/>
      <c r="WLY15" s="4"/>
      <c r="WLZ15" s="4"/>
      <c r="WMA15" s="4"/>
      <c r="WMB15" s="4"/>
      <c r="WMC15" s="4"/>
      <c r="WMD15" s="4"/>
      <c r="WME15" s="4"/>
      <c r="WMF15" s="4"/>
      <c r="WMG15" s="4"/>
      <c r="WMH15" s="4"/>
      <c r="WMI15" s="4"/>
      <c r="WMJ15" s="4"/>
      <c r="WMK15" s="4"/>
      <c r="WML15" s="4"/>
      <c r="WMM15" s="4"/>
      <c r="WMN15" s="4"/>
      <c r="WMO15" s="4"/>
      <c r="WMP15" s="4"/>
      <c r="WMQ15" s="4"/>
      <c r="WMR15" s="4"/>
      <c r="WMS15" s="4"/>
      <c r="WMT15" s="4"/>
      <c r="WMU15" s="4"/>
      <c r="WMV15" s="4"/>
      <c r="WMW15" s="4"/>
      <c r="WMX15" s="4"/>
      <c r="WMY15" s="4"/>
      <c r="WMZ15" s="4"/>
      <c r="WNA15" s="4"/>
      <c r="WNB15" s="4"/>
      <c r="WNC15" s="4"/>
      <c r="WND15" s="4"/>
      <c r="WNE15" s="4"/>
      <c r="WNF15" s="4"/>
      <c r="WNG15" s="4"/>
      <c r="WNH15" s="4"/>
      <c r="WNI15" s="4"/>
      <c r="WNJ15" s="4"/>
      <c r="WNK15" s="4"/>
      <c r="WNL15" s="4"/>
      <c r="WNM15" s="4"/>
      <c r="WNN15" s="4"/>
      <c r="WNO15" s="4"/>
      <c r="WNP15" s="4"/>
      <c r="WNQ15" s="4"/>
      <c r="WNR15" s="4"/>
      <c r="WNS15" s="4"/>
      <c r="WNT15" s="4"/>
      <c r="WNU15" s="4"/>
      <c r="WNV15" s="4"/>
      <c r="WNW15" s="4"/>
      <c r="WNX15" s="4"/>
      <c r="WNY15" s="4"/>
      <c r="WNZ15" s="4"/>
      <c r="WOA15" s="4"/>
      <c r="WOB15" s="4"/>
      <c r="WOC15" s="4"/>
      <c r="WOD15" s="4"/>
      <c r="WOE15" s="4"/>
      <c r="WOF15" s="4"/>
      <c r="WOG15" s="4"/>
      <c r="WOH15" s="4"/>
      <c r="WOI15" s="4"/>
      <c r="WOJ15" s="4"/>
      <c r="WOK15" s="4"/>
      <c r="WOL15" s="4"/>
      <c r="WOM15" s="4"/>
      <c r="WON15" s="4"/>
      <c r="WOO15" s="4"/>
      <c r="WOP15" s="4"/>
      <c r="WOQ15" s="4"/>
      <c r="WOR15" s="4"/>
      <c r="WOS15" s="4"/>
      <c r="WOT15" s="4"/>
      <c r="WOU15" s="4"/>
      <c r="WOV15" s="4"/>
      <c r="WOW15" s="4"/>
      <c r="WOX15" s="4"/>
      <c r="WOY15" s="4"/>
      <c r="WOZ15" s="4"/>
      <c r="WPA15" s="4"/>
      <c r="WPB15" s="4"/>
      <c r="WPC15" s="4"/>
      <c r="WPD15" s="4"/>
      <c r="WPE15" s="4"/>
      <c r="WPF15" s="4"/>
      <c r="WPG15" s="4"/>
      <c r="WPH15" s="4"/>
      <c r="WPI15" s="4"/>
      <c r="WPJ15" s="4"/>
      <c r="WPK15" s="4"/>
      <c r="WPL15" s="4"/>
      <c r="WPM15" s="4"/>
      <c r="WPN15" s="4"/>
      <c r="WPO15" s="4"/>
      <c r="WPP15" s="4"/>
      <c r="WPQ15" s="4"/>
      <c r="WPR15" s="4"/>
      <c r="WPS15" s="4"/>
      <c r="WPT15" s="4"/>
      <c r="WPU15" s="4"/>
      <c r="WPV15" s="4"/>
      <c r="WPW15" s="4"/>
      <c r="WPX15" s="4"/>
      <c r="WPY15" s="4"/>
      <c r="WPZ15" s="4"/>
      <c r="WQA15" s="4"/>
      <c r="WQB15" s="4"/>
      <c r="WQC15" s="4"/>
      <c r="WQD15" s="4"/>
      <c r="WQE15" s="4"/>
      <c r="WQF15" s="4"/>
      <c r="WQG15" s="4"/>
      <c r="WQH15" s="4"/>
      <c r="WQI15" s="4"/>
      <c r="WQJ15" s="4"/>
      <c r="WQK15" s="4"/>
      <c r="WQL15" s="4"/>
      <c r="WQM15" s="4"/>
      <c r="WQN15" s="4"/>
      <c r="WQO15" s="4"/>
      <c r="WQP15" s="4"/>
      <c r="WQQ15" s="4"/>
      <c r="WQR15" s="4"/>
      <c r="WQS15" s="4"/>
      <c r="WQT15" s="4"/>
      <c r="WQU15" s="4"/>
      <c r="WQV15" s="4"/>
      <c r="WQW15" s="4"/>
      <c r="WQX15" s="4"/>
      <c r="WQY15" s="4"/>
      <c r="WQZ15" s="4"/>
      <c r="WRA15" s="4"/>
      <c r="WRB15" s="4"/>
      <c r="WRC15" s="4"/>
      <c r="WRD15" s="4"/>
      <c r="WRE15" s="4"/>
      <c r="WRF15" s="4"/>
      <c r="WRG15" s="4"/>
      <c r="WRH15" s="4"/>
      <c r="WRI15" s="4"/>
      <c r="WRJ15" s="4"/>
      <c r="WRK15" s="4"/>
      <c r="WRL15" s="4"/>
      <c r="WRM15" s="4"/>
      <c r="WRN15" s="4"/>
      <c r="WRO15" s="4"/>
      <c r="WRP15" s="4"/>
      <c r="WRQ15" s="4"/>
      <c r="WRR15" s="4"/>
      <c r="WRS15" s="4"/>
      <c r="WRT15" s="4"/>
      <c r="WRU15" s="4"/>
      <c r="WRV15" s="4"/>
      <c r="WRW15" s="4"/>
      <c r="WRX15" s="4"/>
      <c r="WRY15" s="4"/>
      <c r="WRZ15" s="4"/>
      <c r="WSA15" s="4"/>
      <c r="WSB15" s="4"/>
      <c r="WSC15" s="4"/>
      <c r="WSD15" s="4"/>
      <c r="WSE15" s="4"/>
      <c r="WSF15" s="4"/>
      <c r="WSG15" s="4"/>
      <c r="WSH15" s="4"/>
      <c r="WSI15" s="4"/>
      <c r="WSJ15" s="4"/>
      <c r="WSK15" s="4"/>
      <c r="WSL15" s="4"/>
      <c r="WSM15" s="4"/>
      <c r="WSN15" s="4"/>
      <c r="WSO15" s="4"/>
      <c r="WSP15" s="4"/>
      <c r="WSQ15" s="4"/>
      <c r="WSR15" s="4"/>
      <c r="WSS15" s="4"/>
      <c r="WST15" s="4"/>
      <c r="WSU15" s="4"/>
      <c r="WSV15" s="4"/>
      <c r="WSW15" s="4"/>
      <c r="WSX15" s="4"/>
      <c r="WSY15" s="4"/>
      <c r="WSZ15" s="4"/>
      <c r="WTA15" s="4"/>
      <c r="WTB15" s="4"/>
      <c r="WTC15" s="4"/>
      <c r="WTD15" s="4"/>
      <c r="WTE15" s="4"/>
      <c r="WTF15" s="4"/>
      <c r="WTG15" s="4"/>
      <c r="WTH15" s="4"/>
      <c r="WTI15" s="4"/>
      <c r="WTJ15" s="4"/>
      <c r="WTK15" s="4"/>
      <c r="WTL15" s="4"/>
      <c r="WTM15" s="4"/>
      <c r="WTN15" s="4"/>
      <c r="WTO15" s="4"/>
      <c r="WTP15" s="4"/>
      <c r="WTQ15" s="4"/>
      <c r="WTR15" s="4"/>
      <c r="WTS15" s="4"/>
      <c r="WTT15" s="4"/>
      <c r="WTU15" s="4"/>
      <c r="WTV15" s="4"/>
      <c r="WTW15" s="4"/>
      <c r="WTX15" s="4"/>
      <c r="WTY15" s="4"/>
      <c r="WTZ15" s="4"/>
      <c r="WUA15" s="4"/>
      <c r="WUB15" s="4"/>
      <c r="WUC15" s="4"/>
      <c r="WUD15" s="4"/>
      <c r="WUE15" s="4"/>
      <c r="WUF15" s="4"/>
      <c r="WUG15" s="4"/>
      <c r="WUH15" s="4"/>
      <c r="WUI15" s="4"/>
      <c r="WUJ15" s="4"/>
      <c r="WUK15" s="4"/>
      <c r="WUL15" s="4"/>
      <c r="WUM15" s="4"/>
      <c r="WUN15" s="4"/>
      <c r="WUO15" s="4"/>
      <c r="WUP15" s="4"/>
      <c r="WUQ15" s="4"/>
      <c r="WUR15" s="4"/>
      <c r="WUS15" s="4"/>
      <c r="WUT15" s="4"/>
      <c r="WUU15" s="4"/>
      <c r="WUV15" s="4"/>
      <c r="WUW15" s="4"/>
      <c r="WUX15" s="4"/>
      <c r="WUY15" s="4"/>
      <c r="WUZ15" s="4"/>
      <c r="WVA15" s="4"/>
      <c r="WVB15" s="4"/>
      <c r="WVC15" s="4"/>
      <c r="WVD15" s="4"/>
      <c r="WVE15" s="4"/>
      <c r="WVF15" s="4"/>
      <c r="WVG15" s="4"/>
      <c r="WVH15" s="4"/>
      <c r="WVI15" s="4"/>
      <c r="WVJ15" s="4"/>
      <c r="WVK15" s="4"/>
      <c r="WVL15" s="4"/>
      <c r="WVM15" s="4"/>
      <c r="WVN15" s="4"/>
      <c r="WVO15" s="4"/>
      <c r="WVP15" s="4"/>
      <c r="WVQ15" s="4"/>
      <c r="WVR15" s="4"/>
      <c r="WVS15" s="4"/>
      <c r="WVT15" s="4"/>
      <c r="WVU15" s="4"/>
      <c r="WVV15" s="4"/>
      <c r="WVW15" s="4"/>
      <c r="WVX15" s="4"/>
      <c r="WVY15" s="4"/>
      <c r="WVZ15" s="4"/>
      <c r="WWA15" s="4"/>
      <c r="WWB15" s="4"/>
      <c r="WWC15" s="4"/>
      <c r="WWD15" s="4"/>
      <c r="WWE15" s="4"/>
      <c r="WWF15" s="4"/>
      <c r="WWG15" s="4"/>
      <c r="WWH15" s="4"/>
      <c r="WWI15" s="4"/>
      <c r="WWJ15" s="4"/>
      <c r="WWK15" s="4"/>
      <c r="WWL15" s="4"/>
      <c r="WWM15" s="4"/>
      <c r="WWN15" s="4"/>
      <c r="WWO15" s="4"/>
      <c r="WWP15" s="4"/>
      <c r="WWQ15" s="4"/>
      <c r="WWR15" s="4"/>
      <c r="WWS15" s="4"/>
      <c r="WWT15" s="4"/>
      <c r="WWU15" s="4"/>
      <c r="WWV15" s="4"/>
      <c r="WWW15" s="4"/>
      <c r="WWX15" s="4"/>
      <c r="WWY15" s="4"/>
      <c r="WWZ15" s="4"/>
      <c r="WXA15" s="4"/>
      <c r="WXB15" s="4"/>
      <c r="WXC15" s="4"/>
      <c r="WXD15" s="4"/>
      <c r="WXE15" s="4"/>
      <c r="WXF15" s="4"/>
      <c r="WXG15" s="4"/>
      <c r="WXH15" s="4"/>
      <c r="WXI15" s="4"/>
      <c r="WXJ15" s="4"/>
      <c r="WXK15" s="4"/>
      <c r="WXL15" s="4"/>
      <c r="WXM15" s="4"/>
      <c r="WXN15" s="4"/>
      <c r="WXO15" s="4"/>
      <c r="WXP15" s="4"/>
      <c r="WXQ15" s="4"/>
      <c r="WXR15" s="4"/>
      <c r="WXS15" s="4"/>
      <c r="WXT15" s="4"/>
      <c r="WXU15" s="4"/>
      <c r="WXV15" s="4"/>
      <c r="WXW15" s="4"/>
      <c r="WXX15" s="4"/>
      <c r="WXY15" s="4"/>
      <c r="WXZ15" s="4"/>
      <c r="WYA15" s="4"/>
      <c r="WYB15" s="4"/>
      <c r="WYC15" s="4"/>
      <c r="WYD15" s="4"/>
      <c r="WYE15" s="4"/>
      <c r="WYF15" s="4"/>
      <c r="WYG15" s="4"/>
      <c r="WYH15" s="4"/>
      <c r="WYI15" s="4"/>
      <c r="WYJ15" s="4"/>
      <c r="WYK15" s="4"/>
      <c r="WYL15" s="4"/>
      <c r="WYM15" s="4"/>
      <c r="WYN15" s="4"/>
      <c r="WYO15" s="4"/>
      <c r="WYP15" s="4"/>
      <c r="WYQ15" s="4"/>
      <c r="WYR15" s="4"/>
      <c r="WYS15" s="4"/>
      <c r="WYT15" s="4"/>
      <c r="WYU15" s="4"/>
      <c r="WYV15" s="4"/>
      <c r="WYW15" s="4"/>
      <c r="WYX15" s="4"/>
      <c r="WYY15" s="4"/>
      <c r="WYZ15" s="4"/>
      <c r="WZA15" s="4"/>
      <c r="WZB15" s="4"/>
      <c r="WZC15" s="4"/>
      <c r="WZD15" s="4"/>
      <c r="WZE15" s="4"/>
      <c r="WZF15" s="4"/>
      <c r="WZG15" s="4"/>
      <c r="WZH15" s="4"/>
      <c r="WZI15" s="4"/>
      <c r="WZJ15" s="4"/>
      <c r="WZK15" s="4"/>
      <c r="WZL15" s="4"/>
      <c r="WZM15" s="4"/>
      <c r="WZN15" s="4"/>
      <c r="WZO15" s="4"/>
      <c r="WZP15" s="4"/>
      <c r="WZQ15" s="4"/>
      <c r="WZR15" s="4"/>
      <c r="WZS15" s="4"/>
      <c r="WZT15" s="4"/>
      <c r="WZU15" s="4"/>
      <c r="WZV15" s="4"/>
      <c r="WZW15" s="4"/>
      <c r="WZX15" s="4"/>
      <c r="WZY15" s="4"/>
      <c r="WZZ15" s="4"/>
      <c r="XAA15" s="4"/>
      <c r="XAB15" s="4"/>
      <c r="XAC15" s="4"/>
      <c r="XAD15" s="4"/>
      <c r="XAE15" s="4"/>
      <c r="XAF15" s="4"/>
      <c r="XAG15" s="4"/>
      <c r="XAH15" s="4"/>
      <c r="XAI15" s="4"/>
      <c r="XAJ15" s="4"/>
      <c r="XAK15" s="4"/>
      <c r="XAL15" s="4"/>
      <c r="XAM15" s="4"/>
      <c r="XAN15" s="4"/>
      <c r="XAO15" s="4"/>
      <c r="XAP15" s="4"/>
      <c r="XAQ15" s="4"/>
      <c r="XAR15" s="4"/>
      <c r="XAS15" s="4"/>
      <c r="XAT15" s="4"/>
      <c r="XAU15" s="4"/>
      <c r="XAV15" s="4"/>
      <c r="XAW15" s="4"/>
      <c r="XAX15" s="4"/>
      <c r="XAY15" s="4"/>
      <c r="XAZ15" s="4"/>
      <c r="XBA15" s="4"/>
      <c r="XBB15" s="4"/>
      <c r="XBC15" s="4"/>
      <c r="XBD15" s="4"/>
      <c r="XBE15" s="4"/>
      <c r="XBF15" s="4"/>
      <c r="XBG15" s="4"/>
      <c r="XBH15" s="4"/>
      <c r="XBI15" s="4"/>
      <c r="XBJ15" s="4"/>
      <c r="XBK15" s="4"/>
      <c r="XBL15" s="4"/>
      <c r="XBM15" s="4"/>
      <c r="XBN15" s="4"/>
      <c r="XBO15" s="4"/>
      <c r="XBP15" s="4"/>
      <c r="XBQ15" s="4"/>
      <c r="XBR15" s="4"/>
      <c r="XBS15" s="4"/>
      <c r="XBT15" s="4"/>
      <c r="XBU15" s="4"/>
      <c r="XBV15" s="4"/>
      <c r="XBW15" s="4"/>
      <c r="XBX15" s="4"/>
      <c r="XBY15" s="4"/>
      <c r="XBZ15" s="4"/>
      <c r="XCA15" s="4"/>
      <c r="XCB15" s="4"/>
      <c r="XCC15" s="4"/>
      <c r="XCD15" s="4"/>
      <c r="XCE15" s="4"/>
      <c r="XCF15" s="4"/>
      <c r="XCG15" s="4"/>
      <c r="XCH15" s="4"/>
      <c r="XCI15" s="4"/>
      <c r="XCJ15" s="4"/>
      <c r="XCK15" s="4"/>
      <c r="XCL15" s="4"/>
      <c r="XCM15" s="4"/>
      <c r="XCN15" s="4"/>
      <c r="XCO15" s="4"/>
      <c r="XCP15" s="4"/>
      <c r="XCQ15" s="4"/>
      <c r="XCR15" s="4"/>
      <c r="XCS15" s="4"/>
      <c r="XCT15" s="4"/>
      <c r="XCU15" s="4"/>
      <c r="XCV15" s="4"/>
      <c r="XCW15" s="4"/>
      <c r="XCX15" s="4"/>
      <c r="XCY15" s="4"/>
      <c r="XCZ15" s="4"/>
      <c r="XDA15" s="4"/>
      <c r="XDB15" s="4"/>
      <c r="XDC15" s="4"/>
      <c r="XDD15" s="4"/>
      <c r="XDE15" s="4"/>
      <c r="XDF15" s="4"/>
      <c r="XDG15" s="4"/>
      <c r="XDH15" s="4"/>
      <c r="XDI15" s="4"/>
      <c r="XDJ15" s="4"/>
      <c r="XDK15" s="4"/>
      <c r="XDL15" s="4"/>
      <c r="XDM15" s="4"/>
      <c r="XDN15" s="4"/>
      <c r="XDO15" s="4"/>
      <c r="XDP15" s="4"/>
      <c r="XDQ15" s="4"/>
      <c r="XDR15" s="4"/>
      <c r="XDS15" s="4"/>
      <c r="XDT15" s="4"/>
      <c r="XDU15" s="4"/>
      <c r="XDV15" s="4"/>
      <c r="XDW15" s="4"/>
      <c r="XDX15" s="4"/>
      <c r="XDY15" s="4"/>
      <c r="XDZ15" s="4"/>
      <c r="XEA15" s="4"/>
      <c r="XEB15" s="4"/>
      <c r="XEC15" s="4"/>
      <c r="XED15" s="4"/>
      <c r="XEE15" s="4"/>
      <c r="XEF15" s="4"/>
      <c r="XEG15" s="4"/>
      <c r="XEH15" s="4"/>
      <c r="XEI15" s="4"/>
      <c r="XEJ15" s="4"/>
      <c r="XEK15" s="4"/>
      <c r="XEL15" s="4"/>
      <c r="XEM15" s="4"/>
      <c r="XEN15" s="4"/>
      <c r="XEO15" s="4"/>
      <c r="XEP15" s="4"/>
      <c r="XEQ15" s="4"/>
      <c r="XER15" s="4"/>
      <c r="XES15" s="4"/>
      <c r="XET15" s="4"/>
      <c r="XEU15" s="4"/>
      <c r="XEV15" s="4"/>
      <c r="XEW15" s="4"/>
      <c r="XEX15" s="4"/>
      <c r="XEY15" s="4"/>
      <c r="XEZ15" s="4"/>
      <c r="XFA15" s="4"/>
      <c r="XFB15" s="4"/>
      <c r="XFC15" s="4"/>
    </row>
    <row r="16" spans="1:16383" ht="17.5" x14ac:dyDescent="0.35">
      <c r="A16" s="310" t="s">
        <v>2684</v>
      </c>
      <c r="B16" s="24"/>
    </row>
    <row r="17" spans="1:2" ht="17.5" x14ac:dyDescent="0.35">
      <c r="A17" s="319" t="s">
        <v>2694</v>
      </c>
      <c r="B17" s="413">
        <f>+Table15[[#Totals],[Extended price]]</f>
        <v>0</v>
      </c>
    </row>
  </sheetData>
  <sortState xmlns:xlrd2="http://schemas.microsoft.com/office/spreadsheetml/2017/richdata2" ref="A2:H12">
    <sortCondition ref="B2:B12"/>
  </sortState>
  <printOptions gridLines="1"/>
  <pageMargins left="0.5" right="0.5" top="0.5" bottom="0.5" header="0.3" footer="0.3"/>
  <pageSetup scale="65" orientation="landscape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31"/>
  <sheetViews>
    <sheetView zoomScale="90" zoomScaleNormal="90" workbookViewId="0">
      <pane ySplit="1" topLeftCell="A2" activePane="bottomLeft" state="frozen"/>
      <selection activeCell="C26" sqref="C26"/>
      <selection pane="bottomLeft" activeCell="A25" sqref="A25:I27"/>
    </sheetView>
  </sheetViews>
  <sheetFormatPr defaultColWidth="9.08984375" defaultRowHeight="15.5" x14ac:dyDescent="0.35"/>
  <cols>
    <col min="1" max="1" width="65.36328125" style="58" bestFit="1" customWidth="1"/>
    <col min="2" max="2" width="16.6328125" style="112" bestFit="1" customWidth="1"/>
    <col min="3" max="3" width="20.453125" style="112" bestFit="1" customWidth="1"/>
    <col min="4" max="4" width="20.453125" style="59" bestFit="1" customWidth="1"/>
    <col min="5" max="5" width="13" style="58" bestFit="1" customWidth="1"/>
    <col min="6" max="6" width="15.90625" style="58" bestFit="1" customWidth="1"/>
    <col min="7" max="7" width="10.36328125" style="58" bestFit="1" customWidth="1"/>
    <col min="8" max="8" width="11.54296875" style="442" bestFit="1" customWidth="1"/>
    <col min="9" max="9" width="17.6328125" style="442" bestFit="1" customWidth="1"/>
    <col min="10" max="16384" width="9.08984375" style="58"/>
  </cols>
  <sheetData>
    <row r="1" spans="1:9" x14ac:dyDescent="0.35">
      <c r="A1" s="211" t="s">
        <v>0</v>
      </c>
      <c r="B1" s="261" t="s">
        <v>1</v>
      </c>
      <c r="C1" s="281" t="s">
        <v>2700</v>
      </c>
      <c r="D1" s="261" t="s">
        <v>1598</v>
      </c>
      <c r="E1" s="261" t="s">
        <v>1599</v>
      </c>
      <c r="F1" s="261" t="s">
        <v>2699</v>
      </c>
      <c r="G1" s="211" t="s">
        <v>364</v>
      </c>
      <c r="H1" s="393" t="s">
        <v>2695</v>
      </c>
      <c r="I1" s="404" t="s">
        <v>2696</v>
      </c>
    </row>
    <row r="2" spans="1:9" x14ac:dyDescent="0.35">
      <c r="A2" s="297" t="s">
        <v>2470</v>
      </c>
      <c r="B2" s="298" t="s">
        <v>2471</v>
      </c>
      <c r="C2" s="388"/>
      <c r="D2" s="298"/>
      <c r="E2" s="298">
        <v>55719</v>
      </c>
      <c r="F2" s="388"/>
      <c r="G2" s="298">
        <v>1</v>
      </c>
      <c r="H2" s="451"/>
      <c r="I2" s="442">
        <f>+Table12[[#This Row],[Quantity]]*Table12[[#This Row],[Unit Price]]</f>
        <v>0</v>
      </c>
    </row>
    <row r="3" spans="1:9" x14ac:dyDescent="0.35">
      <c r="A3" s="42" t="s">
        <v>1415</v>
      </c>
      <c r="B3" s="252" t="s">
        <v>1575</v>
      </c>
      <c r="C3" s="388"/>
      <c r="D3" s="253"/>
      <c r="E3" s="253" t="s">
        <v>1604</v>
      </c>
      <c r="F3" s="388"/>
      <c r="G3" s="222">
        <v>1</v>
      </c>
      <c r="H3" s="425"/>
      <c r="I3" s="442">
        <f>+Table12[[#This Row],[Quantity]]*Table12[[#This Row],[Unit Price]]</f>
        <v>0</v>
      </c>
    </row>
    <row r="4" spans="1:9" x14ac:dyDescent="0.35">
      <c r="A4" s="42" t="s">
        <v>2576</v>
      </c>
      <c r="B4" s="252" t="s">
        <v>1764</v>
      </c>
      <c r="C4" s="388"/>
      <c r="D4" s="253"/>
      <c r="E4" s="253" t="s">
        <v>1604</v>
      </c>
      <c r="F4" s="388"/>
      <c r="G4" s="222">
        <v>1</v>
      </c>
      <c r="H4" s="425"/>
      <c r="I4" s="442">
        <f>+Table12[[#This Row],[Quantity]]*Table12[[#This Row],[Unit Price]]</f>
        <v>0</v>
      </c>
    </row>
    <row r="5" spans="1:9" x14ac:dyDescent="0.35">
      <c r="A5" s="42" t="s">
        <v>16</v>
      </c>
      <c r="B5" s="252" t="s">
        <v>360</v>
      </c>
      <c r="C5" s="388"/>
      <c r="D5" s="253"/>
      <c r="E5" s="253" t="s">
        <v>1604</v>
      </c>
      <c r="F5" s="388"/>
      <c r="G5" s="222">
        <v>1</v>
      </c>
      <c r="H5" s="425"/>
      <c r="I5" s="442">
        <f>+Table12[[#This Row],[Quantity]]*Table12[[#This Row],[Unit Price]]</f>
        <v>0</v>
      </c>
    </row>
    <row r="6" spans="1:9" x14ac:dyDescent="0.35">
      <c r="A6" s="42" t="s">
        <v>893</v>
      </c>
      <c r="B6" s="252" t="s">
        <v>149</v>
      </c>
      <c r="C6" s="388"/>
      <c r="D6" s="253"/>
      <c r="E6" s="253" t="s">
        <v>1604</v>
      </c>
      <c r="F6" s="388"/>
      <c r="G6" s="222">
        <v>1</v>
      </c>
      <c r="H6" s="425"/>
      <c r="I6" s="442">
        <f>+Table12[[#This Row],[Quantity]]*Table12[[#This Row],[Unit Price]]</f>
        <v>0</v>
      </c>
    </row>
    <row r="7" spans="1:9" x14ac:dyDescent="0.35">
      <c r="A7" s="42" t="s">
        <v>2583</v>
      </c>
      <c r="B7" s="252" t="s">
        <v>78</v>
      </c>
      <c r="C7" s="388"/>
      <c r="D7" s="253"/>
      <c r="E7" s="253" t="s">
        <v>1604</v>
      </c>
      <c r="F7" s="388"/>
      <c r="G7" s="222">
        <v>1</v>
      </c>
      <c r="H7" s="425"/>
      <c r="I7" s="442">
        <f>+Table12[[#This Row],[Quantity]]*Table12[[#This Row],[Unit Price]]</f>
        <v>0</v>
      </c>
    </row>
    <row r="8" spans="1:9" x14ac:dyDescent="0.35">
      <c r="A8" s="42" t="s">
        <v>11</v>
      </c>
      <c r="B8" s="252" t="s">
        <v>233</v>
      </c>
      <c r="C8" s="388"/>
      <c r="D8" s="253"/>
      <c r="E8" s="253" t="s">
        <v>1604</v>
      </c>
      <c r="F8" s="388"/>
      <c r="G8" s="222">
        <v>1</v>
      </c>
      <c r="H8" s="425"/>
      <c r="I8" s="442">
        <f>+Table12[[#This Row],[Quantity]]*Table12[[#This Row],[Unit Price]]</f>
        <v>0</v>
      </c>
    </row>
    <row r="9" spans="1:9" x14ac:dyDescent="0.35">
      <c r="A9" s="42" t="s">
        <v>12</v>
      </c>
      <c r="B9" s="252" t="s">
        <v>150</v>
      </c>
      <c r="C9" s="388"/>
      <c r="D9" s="253"/>
      <c r="E9" s="253" t="s">
        <v>1604</v>
      </c>
      <c r="F9" s="388"/>
      <c r="G9" s="222">
        <v>1</v>
      </c>
      <c r="H9" s="425"/>
      <c r="I9" s="442">
        <f>+Table12[[#This Row],[Quantity]]*Table12[[#This Row],[Unit Price]]</f>
        <v>0</v>
      </c>
    </row>
    <row r="10" spans="1:9" x14ac:dyDescent="0.35">
      <c r="A10" s="42" t="s">
        <v>903</v>
      </c>
      <c r="B10" s="252" t="s">
        <v>139</v>
      </c>
      <c r="C10" s="388"/>
      <c r="D10" s="253"/>
      <c r="E10" s="253" t="s">
        <v>1604</v>
      </c>
      <c r="F10" s="388"/>
      <c r="G10" s="222">
        <v>1</v>
      </c>
      <c r="H10" s="425"/>
      <c r="I10" s="442">
        <f>+Table12[[#This Row],[Quantity]]*Table12[[#This Row],[Unit Price]]</f>
        <v>0</v>
      </c>
    </row>
    <row r="11" spans="1:9" x14ac:dyDescent="0.35">
      <c r="A11" s="42" t="s">
        <v>6</v>
      </c>
      <c r="B11" s="252" t="s">
        <v>87</v>
      </c>
      <c r="C11" s="388"/>
      <c r="D11" s="253"/>
      <c r="E11" s="253" t="s">
        <v>1604</v>
      </c>
      <c r="F11" s="388"/>
      <c r="G11" s="222">
        <v>1</v>
      </c>
      <c r="H11" s="425"/>
      <c r="I11" s="442">
        <f>+Table12[[#This Row],[Quantity]]*Table12[[#This Row],[Unit Price]]</f>
        <v>0</v>
      </c>
    </row>
    <row r="12" spans="1:9" x14ac:dyDescent="0.35">
      <c r="A12" s="42" t="s">
        <v>43</v>
      </c>
      <c r="B12" s="252" t="s">
        <v>765</v>
      </c>
      <c r="C12" s="388"/>
      <c r="D12" s="253"/>
      <c r="E12" s="253" t="s">
        <v>1604</v>
      </c>
      <c r="F12" s="388"/>
      <c r="G12" s="222">
        <v>1</v>
      </c>
      <c r="H12" s="425"/>
      <c r="I12" s="442">
        <f>+Table12[[#This Row],[Quantity]]*Table12[[#This Row],[Unit Price]]</f>
        <v>0</v>
      </c>
    </row>
    <row r="13" spans="1:9" x14ac:dyDescent="0.35">
      <c r="A13" s="42" t="s">
        <v>2681</v>
      </c>
      <c r="B13" s="252" t="s">
        <v>2238</v>
      </c>
      <c r="C13" s="388"/>
      <c r="D13" s="253"/>
      <c r="E13" s="253" t="s">
        <v>1604</v>
      </c>
      <c r="F13" s="388"/>
      <c r="G13" s="222">
        <v>1</v>
      </c>
      <c r="H13" s="425"/>
      <c r="I13" s="442">
        <f>+Table12[[#This Row],[Quantity]]*Table12[[#This Row],[Unit Price]]</f>
        <v>0</v>
      </c>
    </row>
    <row r="14" spans="1:9" x14ac:dyDescent="0.35">
      <c r="A14" s="42" t="s">
        <v>159</v>
      </c>
      <c r="B14" s="252" t="s">
        <v>427</v>
      </c>
      <c r="C14" s="388"/>
      <c r="D14" s="253"/>
      <c r="E14" s="253" t="s">
        <v>1604</v>
      </c>
      <c r="F14" s="388"/>
      <c r="G14" s="222">
        <v>1</v>
      </c>
      <c r="H14" s="425"/>
      <c r="I14" s="442">
        <f>+Table12[[#This Row],[Quantity]]*Table12[[#This Row],[Unit Price]]</f>
        <v>0</v>
      </c>
    </row>
    <row r="15" spans="1:9" x14ac:dyDescent="0.35">
      <c r="A15" s="42" t="s">
        <v>1013</v>
      </c>
      <c r="B15" s="252" t="s">
        <v>283</v>
      </c>
      <c r="C15" s="388"/>
      <c r="D15" s="253"/>
      <c r="E15" s="253" t="s">
        <v>1604</v>
      </c>
      <c r="F15" s="388"/>
      <c r="G15" s="222">
        <v>1</v>
      </c>
      <c r="H15" s="425"/>
      <c r="I15" s="442">
        <f>+Table12[[#This Row],[Quantity]]*Table12[[#This Row],[Unit Price]]</f>
        <v>0</v>
      </c>
    </row>
    <row r="16" spans="1:9" x14ac:dyDescent="0.35">
      <c r="A16" s="42" t="s">
        <v>1007</v>
      </c>
      <c r="B16" s="252" t="s">
        <v>313</v>
      </c>
      <c r="C16" s="388"/>
      <c r="D16" s="253"/>
      <c r="E16" s="253" t="s">
        <v>1604</v>
      </c>
      <c r="F16" s="388"/>
      <c r="G16" s="222">
        <v>1</v>
      </c>
      <c r="H16" s="425"/>
      <c r="I16" s="442">
        <f>+Table12[[#This Row],[Quantity]]*Table12[[#This Row],[Unit Price]]</f>
        <v>0</v>
      </c>
    </row>
    <row r="17" spans="1:9" x14ac:dyDescent="0.35">
      <c r="A17" s="42" t="s">
        <v>1014</v>
      </c>
      <c r="B17" s="252" t="s">
        <v>314</v>
      </c>
      <c r="C17" s="388"/>
      <c r="D17" s="253"/>
      <c r="E17" s="253" t="s">
        <v>1604</v>
      </c>
      <c r="F17" s="388"/>
      <c r="G17" s="222">
        <v>1</v>
      </c>
      <c r="H17" s="425"/>
      <c r="I17" s="442">
        <f>+Table12[[#This Row],[Quantity]]*Table12[[#This Row],[Unit Price]]</f>
        <v>0</v>
      </c>
    </row>
    <row r="18" spans="1:9" x14ac:dyDescent="0.35">
      <c r="A18" s="42" t="s">
        <v>2344</v>
      </c>
      <c r="B18" s="252" t="s">
        <v>279</v>
      </c>
      <c r="C18" s="388"/>
      <c r="D18" s="253"/>
      <c r="E18" s="253" t="s">
        <v>1604</v>
      </c>
      <c r="F18" s="388"/>
      <c r="G18" s="222">
        <v>1</v>
      </c>
      <c r="H18" s="425"/>
      <c r="I18" s="442">
        <f>+Table12[[#This Row],[Quantity]]*Table12[[#This Row],[Unit Price]]</f>
        <v>0</v>
      </c>
    </row>
    <row r="19" spans="1:9" x14ac:dyDescent="0.35">
      <c r="A19" s="42" t="s">
        <v>1335</v>
      </c>
      <c r="B19" s="252" t="s">
        <v>533</v>
      </c>
      <c r="C19" s="388"/>
      <c r="D19" s="253"/>
      <c r="E19" s="253" t="s">
        <v>1604</v>
      </c>
      <c r="F19" s="388"/>
      <c r="G19" s="222">
        <v>1</v>
      </c>
      <c r="H19" s="425"/>
      <c r="I19" s="442">
        <f>+Table12[[#This Row],[Quantity]]*Table12[[#This Row],[Unit Price]]</f>
        <v>0</v>
      </c>
    </row>
    <row r="20" spans="1:9" x14ac:dyDescent="0.35">
      <c r="A20" s="42" t="s">
        <v>1099</v>
      </c>
      <c r="B20" s="252" t="s">
        <v>426</v>
      </c>
      <c r="C20" s="388"/>
      <c r="D20" s="253"/>
      <c r="E20" s="253" t="s">
        <v>1604</v>
      </c>
      <c r="F20" s="388"/>
      <c r="G20" s="222">
        <v>1</v>
      </c>
      <c r="H20" s="425"/>
      <c r="I20" s="442">
        <f>+Table12[[#This Row],[Quantity]]*Table12[[#This Row],[Unit Price]]</f>
        <v>0</v>
      </c>
    </row>
    <row r="21" spans="1:9" x14ac:dyDescent="0.35">
      <c r="A21" s="42" t="s">
        <v>1716</v>
      </c>
      <c r="B21" s="252" t="s">
        <v>1775</v>
      </c>
      <c r="C21" s="388"/>
      <c r="D21" s="253"/>
      <c r="E21" s="253" t="s">
        <v>1604</v>
      </c>
      <c r="F21" s="388"/>
      <c r="G21" s="222">
        <v>1</v>
      </c>
      <c r="H21" s="425"/>
      <c r="I21" s="442">
        <f>+Table12[[#This Row],[Quantity]]*Table12[[#This Row],[Unit Price]]</f>
        <v>0</v>
      </c>
    </row>
    <row r="22" spans="1:9" x14ac:dyDescent="0.35">
      <c r="A22" s="42" t="s">
        <v>9</v>
      </c>
      <c r="B22" s="252" t="s">
        <v>329</v>
      </c>
      <c r="C22" s="388"/>
      <c r="D22" s="253"/>
      <c r="E22" s="253" t="s">
        <v>1604</v>
      </c>
      <c r="F22" s="388"/>
      <c r="G22" s="222">
        <v>1</v>
      </c>
      <c r="H22" s="425"/>
      <c r="I22" s="442">
        <f>+Table12[[#This Row],[Quantity]]*Table12[[#This Row],[Unit Price]]</f>
        <v>0</v>
      </c>
    </row>
    <row r="23" spans="1:9" x14ac:dyDescent="0.35">
      <c r="A23" s="42" t="s">
        <v>2484</v>
      </c>
      <c r="B23" s="252" t="s">
        <v>2223</v>
      </c>
      <c r="C23" s="388"/>
      <c r="D23" s="253"/>
      <c r="E23" s="253" t="s">
        <v>1604</v>
      </c>
      <c r="F23" s="388"/>
      <c r="G23" s="222">
        <v>2</v>
      </c>
      <c r="H23" s="425"/>
      <c r="I23" s="442">
        <f>+Table12[[#This Row],[Quantity]]*Table12[[#This Row],[Unit Price]]</f>
        <v>0</v>
      </c>
    </row>
    <row r="24" spans="1:9" x14ac:dyDescent="0.35">
      <c r="A24" s="42" t="s">
        <v>4</v>
      </c>
      <c r="B24" s="252" t="s">
        <v>86</v>
      </c>
      <c r="C24" s="388"/>
      <c r="D24" s="253"/>
      <c r="E24" s="253" t="s">
        <v>1604</v>
      </c>
      <c r="F24" s="388"/>
      <c r="G24" s="222">
        <v>1</v>
      </c>
      <c r="H24" s="425"/>
      <c r="I24" s="442">
        <f>+Table12[[#This Row],[Quantity]]*Table12[[#This Row],[Unit Price]]</f>
        <v>0</v>
      </c>
    </row>
    <row r="25" spans="1:9" x14ac:dyDescent="0.35">
      <c r="A25" s="448"/>
      <c r="B25" s="446"/>
      <c r="C25" s="446"/>
      <c r="D25" s="445"/>
      <c r="E25" s="445"/>
      <c r="F25" s="445"/>
      <c r="G25" s="447"/>
      <c r="H25" s="452"/>
      <c r="I25" s="453">
        <f>SUM(I2:I24)</f>
        <v>0</v>
      </c>
    </row>
    <row r="27" spans="1:9" x14ac:dyDescent="0.35">
      <c r="G27" s="268"/>
    </row>
    <row r="28" spans="1:9" ht="17.5" x14ac:dyDescent="0.35">
      <c r="A28" s="309" t="s">
        <v>1772</v>
      </c>
      <c r="B28" s="312"/>
      <c r="C28" s="249"/>
      <c r="D28" s="248"/>
      <c r="E28" s="248"/>
      <c r="F28" s="248"/>
      <c r="G28" s="248"/>
      <c r="H28" s="406"/>
    </row>
    <row r="29" spans="1:9" ht="17.5" x14ac:dyDescent="0.35">
      <c r="A29" s="309" t="s">
        <v>2435</v>
      </c>
      <c r="B29" s="312"/>
      <c r="C29" s="249"/>
      <c r="D29" s="248"/>
      <c r="E29" s="248"/>
      <c r="F29" s="248"/>
      <c r="G29" s="248"/>
    </row>
    <row r="30" spans="1:9" ht="17.5" x14ac:dyDescent="0.35">
      <c r="A30" s="334" t="s">
        <v>2678</v>
      </c>
      <c r="B30" s="381"/>
    </row>
    <row r="31" spans="1:9" ht="17.5" x14ac:dyDescent="0.35">
      <c r="A31" s="319" t="s">
        <v>2694</v>
      </c>
      <c r="B31" s="413">
        <f>+Table12[[#Totals],[Extended price]]</f>
        <v>0</v>
      </c>
    </row>
  </sheetData>
  <pageMargins left="0.5" right="0.5" top="0.5" bottom="0.5" header="0.3" footer="0.3"/>
  <pageSetup scale="35" fitToHeight="0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30"/>
  <sheetViews>
    <sheetView workbookViewId="0">
      <pane ySplit="1" topLeftCell="A2" activePane="bottomLeft" state="frozen"/>
      <selection activeCell="C26" sqref="C26"/>
      <selection pane="bottomLeft" activeCell="C44" sqref="C44:C45"/>
    </sheetView>
  </sheetViews>
  <sheetFormatPr defaultColWidth="9.08984375" defaultRowHeight="18" customHeight="1" x14ac:dyDescent="0.35"/>
  <cols>
    <col min="1" max="1" width="60.6328125" style="146" bestFit="1" customWidth="1"/>
    <col min="2" max="2" width="16.08984375" style="151" customWidth="1"/>
    <col min="3" max="3" width="21.1796875" style="143" customWidth="1"/>
    <col min="4" max="4" width="21.81640625" style="143" customWidth="1"/>
    <col min="5" max="5" width="14.36328125" style="143" customWidth="1"/>
    <col min="6" max="6" width="16.453125" style="143" customWidth="1"/>
    <col min="7" max="7" width="11.90625" style="146" customWidth="1"/>
    <col min="8" max="8" width="13.08984375" style="455" customWidth="1"/>
    <col min="9" max="9" width="18.6328125" style="455" customWidth="1"/>
    <col min="10" max="16384" width="9.08984375" style="146"/>
  </cols>
  <sheetData>
    <row r="1" spans="1:9" ht="18" customHeight="1" x14ac:dyDescent="0.35">
      <c r="A1" s="600" t="s">
        <v>0</v>
      </c>
      <c r="B1" s="110" t="s">
        <v>1</v>
      </c>
      <c r="C1" s="281" t="s">
        <v>2700</v>
      </c>
      <c r="D1" s="21" t="s">
        <v>1598</v>
      </c>
      <c r="E1" s="21" t="s">
        <v>1599</v>
      </c>
      <c r="F1" s="261" t="s">
        <v>2699</v>
      </c>
      <c r="G1" s="149" t="s">
        <v>364</v>
      </c>
      <c r="H1" s="393" t="s">
        <v>2695</v>
      </c>
      <c r="I1" s="404" t="s">
        <v>2696</v>
      </c>
    </row>
    <row r="2" spans="1:9" ht="18" customHeight="1" x14ac:dyDescent="0.35">
      <c r="A2" s="601" t="s">
        <v>408</v>
      </c>
      <c r="B2" s="99" t="s">
        <v>1562</v>
      </c>
      <c r="C2" s="315"/>
      <c r="D2" s="115"/>
      <c r="E2" s="115" t="s">
        <v>1604</v>
      </c>
      <c r="F2" s="388"/>
      <c r="G2" s="26">
        <v>1</v>
      </c>
      <c r="H2" s="457"/>
      <c r="I2" s="458">
        <f t="shared" ref="I2:I23" si="0">+G2*H2</f>
        <v>0</v>
      </c>
    </row>
    <row r="3" spans="1:9" ht="18" customHeight="1" x14ac:dyDescent="0.35">
      <c r="A3" s="601" t="s">
        <v>5</v>
      </c>
      <c r="B3" s="99" t="s">
        <v>415</v>
      </c>
      <c r="C3" s="315"/>
      <c r="D3" s="115"/>
      <c r="E3" s="115" t="s">
        <v>1604</v>
      </c>
      <c r="F3" s="388"/>
      <c r="G3" s="26">
        <v>1</v>
      </c>
      <c r="H3" s="457"/>
      <c r="I3" s="458">
        <f t="shared" si="0"/>
        <v>0</v>
      </c>
    </row>
    <row r="4" spans="1:9" ht="18" customHeight="1" x14ac:dyDescent="0.35">
      <c r="A4" s="601" t="s">
        <v>1774</v>
      </c>
      <c r="B4" s="99" t="s">
        <v>1705</v>
      </c>
      <c r="C4" s="315"/>
      <c r="D4" s="115"/>
      <c r="E4" s="115" t="s">
        <v>1604</v>
      </c>
      <c r="F4" s="388"/>
      <c r="G4" s="26">
        <v>1</v>
      </c>
      <c r="H4" s="457"/>
      <c r="I4" s="458">
        <f t="shared" si="0"/>
        <v>0</v>
      </c>
    </row>
    <row r="5" spans="1:9" ht="18" customHeight="1" x14ac:dyDescent="0.35">
      <c r="A5" s="601" t="s">
        <v>1396</v>
      </c>
      <c r="B5" s="99" t="s">
        <v>630</v>
      </c>
      <c r="C5" s="315"/>
      <c r="D5" s="115"/>
      <c r="E5" s="115" t="s">
        <v>1604</v>
      </c>
      <c r="F5" s="388"/>
      <c r="G5" s="26">
        <v>1</v>
      </c>
      <c r="H5" s="457"/>
      <c r="I5" s="458">
        <f t="shared" si="0"/>
        <v>0</v>
      </c>
    </row>
    <row r="6" spans="1:9" ht="18" customHeight="1" x14ac:dyDescent="0.35">
      <c r="A6" s="601" t="s">
        <v>1378</v>
      </c>
      <c r="B6" s="99" t="s">
        <v>1625</v>
      </c>
      <c r="C6" s="315"/>
      <c r="D6" s="115"/>
      <c r="E6" s="115" t="s">
        <v>1604</v>
      </c>
      <c r="F6" s="388"/>
      <c r="G6" s="26">
        <v>1</v>
      </c>
      <c r="H6" s="457"/>
      <c r="I6" s="458">
        <f t="shared" si="0"/>
        <v>0</v>
      </c>
    </row>
    <row r="7" spans="1:9" ht="18" customHeight="1" x14ac:dyDescent="0.35">
      <c r="A7" s="601" t="s">
        <v>1399</v>
      </c>
      <c r="B7" s="207" t="s">
        <v>2574</v>
      </c>
      <c r="C7" s="315"/>
      <c r="D7" s="115"/>
      <c r="E7" s="115" t="s">
        <v>1604</v>
      </c>
      <c r="F7" s="388"/>
      <c r="G7" s="26">
        <v>1</v>
      </c>
      <c r="H7" s="457"/>
      <c r="I7" s="458">
        <f t="shared" si="0"/>
        <v>0</v>
      </c>
    </row>
    <row r="8" spans="1:9" ht="18" customHeight="1" x14ac:dyDescent="0.35">
      <c r="A8" s="601" t="s">
        <v>1200</v>
      </c>
      <c r="B8" s="99" t="s">
        <v>59</v>
      </c>
      <c r="C8" s="315"/>
      <c r="D8" s="115"/>
      <c r="E8" s="115" t="s">
        <v>1604</v>
      </c>
      <c r="F8" s="388"/>
      <c r="G8" s="26">
        <v>1</v>
      </c>
      <c r="H8" s="457"/>
      <c r="I8" s="458">
        <f t="shared" si="0"/>
        <v>0</v>
      </c>
    </row>
    <row r="9" spans="1:9" ht="18" customHeight="1" x14ac:dyDescent="0.35">
      <c r="A9" s="601" t="s">
        <v>1626</v>
      </c>
      <c r="B9" s="99" t="s">
        <v>1624</v>
      </c>
      <c r="C9" s="315"/>
      <c r="D9" s="115"/>
      <c r="E9" s="115" t="s">
        <v>1604</v>
      </c>
      <c r="F9" s="388"/>
      <c r="G9" s="26">
        <v>1</v>
      </c>
      <c r="H9" s="457"/>
      <c r="I9" s="458">
        <f t="shared" si="0"/>
        <v>0</v>
      </c>
    </row>
    <row r="10" spans="1:9" ht="18" customHeight="1" x14ac:dyDescent="0.35">
      <c r="A10" s="601" t="s">
        <v>144</v>
      </c>
      <c r="B10" s="99" t="s">
        <v>1601</v>
      </c>
      <c r="C10" s="315"/>
      <c r="D10" s="115"/>
      <c r="E10" s="115" t="s">
        <v>1604</v>
      </c>
      <c r="F10" s="388"/>
      <c r="G10" s="26">
        <v>1</v>
      </c>
      <c r="H10" s="457"/>
      <c r="I10" s="458">
        <f t="shared" si="0"/>
        <v>0</v>
      </c>
    </row>
    <row r="11" spans="1:9" ht="18" customHeight="1" x14ac:dyDescent="0.35">
      <c r="A11" s="601" t="s">
        <v>409</v>
      </c>
      <c r="B11" s="99" t="s">
        <v>410</v>
      </c>
      <c r="C11" s="315"/>
      <c r="D11" s="115"/>
      <c r="E11" s="115" t="s">
        <v>1604</v>
      </c>
      <c r="F11" s="388"/>
      <c r="G11" s="26">
        <v>1</v>
      </c>
      <c r="H11" s="457"/>
      <c r="I11" s="458">
        <f t="shared" si="0"/>
        <v>0</v>
      </c>
    </row>
    <row r="12" spans="1:9" ht="18" customHeight="1" x14ac:dyDescent="0.35">
      <c r="A12" s="602" t="s">
        <v>2598</v>
      </c>
      <c r="B12" s="99" t="s">
        <v>548</v>
      </c>
      <c r="C12" s="315"/>
      <c r="D12" s="115"/>
      <c r="E12" s="115" t="s">
        <v>1604</v>
      </c>
      <c r="F12" s="388"/>
      <c r="G12" s="26">
        <v>1</v>
      </c>
      <c r="H12" s="457"/>
      <c r="I12" s="458">
        <f t="shared" si="0"/>
        <v>0</v>
      </c>
    </row>
    <row r="13" spans="1:9" ht="18" customHeight="1" x14ac:dyDescent="0.35">
      <c r="A13" s="602" t="s">
        <v>2596</v>
      </c>
      <c r="B13" s="99" t="s">
        <v>545</v>
      </c>
      <c r="C13" s="315"/>
      <c r="D13" s="115"/>
      <c r="E13" s="115" t="s">
        <v>1604</v>
      </c>
      <c r="F13" s="388"/>
      <c r="G13" s="26">
        <v>1</v>
      </c>
      <c r="H13" s="457"/>
      <c r="I13" s="458">
        <f t="shared" si="0"/>
        <v>0</v>
      </c>
    </row>
    <row r="14" spans="1:9" ht="18" customHeight="1" x14ac:dyDescent="0.35">
      <c r="A14" s="601" t="s">
        <v>142</v>
      </c>
      <c r="B14" s="99" t="s">
        <v>544</v>
      </c>
      <c r="C14" s="315"/>
      <c r="D14" s="115"/>
      <c r="E14" s="115" t="s">
        <v>1604</v>
      </c>
      <c r="F14" s="388"/>
      <c r="G14" s="26">
        <v>1</v>
      </c>
      <c r="H14" s="457"/>
      <c r="I14" s="458">
        <f t="shared" si="0"/>
        <v>0</v>
      </c>
    </row>
    <row r="15" spans="1:9" ht="18" customHeight="1" x14ac:dyDescent="0.35">
      <c r="A15" s="601" t="s">
        <v>2363</v>
      </c>
      <c r="B15" s="99" t="s">
        <v>543</v>
      </c>
      <c r="C15" s="315"/>
      <c r="D15" s="115"/>
      <c r="E15" s="115" t="s">
        <v>1604</v>
      </c>
      <c r="F15" s="388"/>
      <c r="G15" s="26">
        <v>1</v>
      </c>
      <c r="H15" s="457"/>
      <c r="I15" s="458">
        <f t="shared" si="0"/>
        <v>0</v>
      </c>
    </row>
    <row r="16" spans="1:9" ht="18.75" customHeight="1" x14ac:dyDescent="0.35">
      <c r="A16" s="601" t="s">
        <v>953</v>
      </c>
      <c r="B16" s="99" t="s">
        <v>238</v>
      </c>
      <c r="C16" s="315"/>
      <c r="D16" s="115"/>
      <c r="E16" s="115" t="s">
        <v>1604</v>
      </c>
      <c r="F16" s="388"/>
      <c r="G16" s="26">
        <v>1</v>
      </c>
      <c r="H16" s="457"/>
      <c r="I16" s="458">
        <f t="shared" si="0"/>
        <v>0</v>
      </c>
    </row>
    <row r="17" spans="1:9" ht="18" customHeight="1" x14ac:dyDescent="0.35">
      <c r="A17" s="601" t="s">
        <v>1236</v>
      </c>
      <c r="B17" s="99" t="s">
        <v>1717</v>
      </c>
      <c r="C17" s="315"/>
      <c r="D17" s="115"/>
      <c r="E17" s="115" t="s">
        <v>1604</v>
      </c>
      <c r="F17" s="388"/>
      <c r="G17" s="26">
        <v>1</v>
      </c>
      <c r="H17" s="457"/>
      <c r="I17" s="458">
        <f t="shared" si="0"/>
        <v>0</v>
      </c>
    </row>
    <row r="18" spans="1:9" ht="18" customHeight="1" x14ac:dyDescent="0.35">
      <c r="A18" s="601" t="s">
        <v>1042</v>
      </c>
      <c r="B18" s="99" t="s">
        <v>429</v>
      </c>
      <c r="C18" s="315"/>
      <c r="D18" s="115"/>
      <c r="E18" s="115" t="s">
        <v>1604</v>
      </c>
      <c r="F18" s="388"/>
      <c r="G18" s="26">
        <v>1</v>
      </c>
      <c r="H18" s="459"/>
      <c r="I18" s="458">
        <f t="shared" si="0"/>
        <v>0</v>
      </c>
    </row>
    <row r="19" spans="1:9" ht="18" customHeight="1" x14ac:dyDescent="0.35">
      <c r="A19" s="601" t="s">
        <v>992</v>
      </c>
      <c r="B19" s="99" t="s">
        <v>527</v>
      </c>
      <c r="C19" s="315"/>
      <c r="D19" s="115"/>
      <c r="E19" s="115" t="s">
        <v>1604</v>
      </c>
      <c r="F19" s="388"/>
      <c r="G19" s="26">
        <v>1</v>
      </c>
      <c r="H19" s="457"/>
      <c r="I19" s="458">
        <f t="shared" si="0"/>
        <v>0</v>
      </c>
    </row>
    <row r="20" spans="1:9" ht="18" customHeight="1" x14ac:dyDescent="0.35">
      <c r="A20" s="601" t="s">
        <v>1046</v>
      </c>
      <c r="B20" s="99" t="s">
        <v>203</v>
      </c>
      <c r="C20" s="315"/>
      <c r="D20" s="115"/>
      <c r="E20" s="115" t="s">
        <v>1604</v>
      </c>
      <c r="F20" s="388"/>
      <c r="G20" s="26">
        <v>1</v>
      </c>
      <c r="H20" s="457"/>
      <c r="I20" s="458">
        <f t="shared" si="0"/>
        <v>0</v>
      </c>
    </row>
    <row r="21" spans="1:9" ht="18" customHeight="1" x14ac:dyDescent="0.35">
      <c r="A21" s="601" t="s">
        <v>81</v>
      </c>
      <c r="B21" s="99" t="s">
        <v>109</v>
      </c>
      <c r="C21" s="315"/>
      <c r="D21" s="115"/>
      <c r="E21" s="115" t="s">
        <v>1604</v>
      </c>
      <c r="F21" s="388"/>
      <c r="G21" s="26">
        <v>1</v>
      </c>
      <c r="H21" s="457"/>
      <c r="I21" s="458">
        <f t="shared" si="0"/>
        <v>0</v>
      </c>
    </row>
    <row r="22" spans="1:9" ht="18" customHeight="1" x14ac:dyDescent="0.35">
      <c r="A22" s="601" t="s">
        <v>2121</v>
      </c>
      <c r="B22" s="99" t="s">
        <v>1875</v>
      </c>
      <c r="C22" s="315"/>
      <c r="D22" s="115"/>
      <c r="E22" s="115" t="s">
        <v>1604</v>
      </c>
      <c r="F22" s="388"/>
      <c r="G22" s="26">
        <v>1</v>
      </c>
      <c r="H22" s="457"/>
      <c r="I22" s="458">
        <f t="shared" si="0"/>
        <v>0</v>
      </c>
    </row>
    <row r="23" spans="1:9" ht="18" customHeight="1" x14ac:dyDescent="0.35">
      <c r="A23" s="603" t="s">
        <v>2541</v>
      </c>
      <c r="B23" s="225" t="s">
        <v>1688</v>
      </c>
      <c r="C23" s="547"/>
      <c r="D23" s="226"/>
      <c r="E23" s="226" t="s">
        <v>1604</v>
      </c>
      <c r="F23" s="548"/>
      <c r="G23" s="227">
        <v>1</v>
      </c>
      <c r="H23" s="459"/>
      <c r="I23" s="604">
        <f t="shared" si="0"/>
        <v>0</v>
      </c>
    </row>
    <row r="24" spans="1:9" ht="18" customHeight="1" x14ac:dyDescent="0.35">
      <c r="I24" s="455">
        <f>SUM(I2:I23)</f>
        <v>0</v>
      </c>
    </row>
    <row r="27" spans="1:9" s="4" customFormat="1" ht="17.5" x14ac:dyDescent="0.35">
      <c r="A27" s="4" t="s">
        <v>1689</v>
      </c>
      <c r="B27" s="3"/>
      <c r="C27" s="249"/>
      <c r="D27" s="3"/>
      <c r="E27" s="3"/>
      <c r="F27" s="249"/>
      <c r="G27" s="3"/>
      <c r="H27" s="396"/>
      <c r="I27" s="406"/>
    </row>
    <row r="28" spans="1:9" s="4" customFormat="1" ht="17.5" x14ac:dyDescent="0.35">
      <c r="A28" s="4" t="s">
        <v>2416</v>
      </c>
      <c r="B28" s="3"/>
      <c r="C28" s="249"/>
      <c r="D28" s="3"/>
      <c r="E28" s="3"/>
      <c r="F28" s="249"/>
      <c r="G28" s="3"/>
      <c r="H28" s="396"/>
      <c r="I28" s="406"/>
    </row>
    <row r="29" spans="1:9" ht="18" customHeight="1" x14ac:dyDescent="0.35">
      <c r="A29" s="279" t="s">
        <v>2677</v>
      </c>
    </row>
    <row r="30" spans="1:9" ht="18" customHeight="1" x14ac:dyDescent="0.35">
      <c r="A30" s="460" t="s">
        <v>2694</v>
      </c>
      <c r="B30" s="461">
        <f>+I24</f>
        <v>0</v>
      </c>
    </row>
  </sheetData>
  <sortState xmlns:xlrd2="http://schemas.microsoft.com/office/spreadsheetml/2017/richdata2" ref="A2:H15">
    <sortCondition ref="B2:B15"/>
  </sortState>
  <pageMargins left="0.7" right="0.7" top="0.75" bottom="0.75" header="0.3" footer="0.3"/>
  <pageSetup scale="67" fitToHeight="0" orientation="landscape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9"/>
  <sheetViews>
    <sheetView workbookViewId="0">
      <pane ySplit="1" topLeftCell="A2" activePane="bottomLeft" state="frozen"/>
      <selection activeCell="C26" sqref="C26"/>
      <selection pane="bottomLeft" activeCell="A3" sqref="A3:XFD3"/>
    </sheetView>
  </sheetViews>
  <sheetFormatPr defaultRowHeight="14.5" x14ac:dyDescent="0.35"/>
  <cols>
    <col min="1" max="1" width="64.36328125" bestFit="1" customWidth="1"/>
    <col min="2" max="2" width="15.6328125" bestFit="1" customWidth="1"/>
    <col min="3" max="3" width="20.36328125" style="131" bestFit="1" customWidth="1"/>
    <col min="4" max="4" width="20.08984375" bestFit="1" customWidth="1"/>
    <col min="5" max="5" width="12.453125" bestFit="1" customWidth="1"/>
    <col min="6" max="6" width="15.6328125" style="247" bestFit="1" customWidth="1"/>
    <col min="7" max="7" width="10" bestFit="1" customWidth="1"/>
    <col min="8" max="8" width="11.36328125" style="462" bestFit="1" customWidth="1"/>
    <col min="9" max="9" width="16.90625" style="462" bestFit="1" customWidth="1"/>
  </cols>
  <sheetData>
    <row r="1" spans="1:9" ht="15.5" x14ac:dyDescent="0.35">
      <c r="A1" s="82" t="s">
        <v>0</v>
      </c>
      <c r="B1" s="110" t="s">
        <v>1</v>
      </c>
      <c r="C1" s="281" t="s">
        <v>2700</v>
      </c>
      <c r="D1" s="21" t="s">
        <v>1598</v>
      </c>
      <c r="E1" s="21" t="s">
        <v>1599</v>
      </c>
      <c r="F1" s="261" t="s">
        <v>2699</v>
      </c>
      <c r="G1" s="82" t="s">
        <v>364</v>
      </c>
      <c r="H1" s="393" t="s">
        <v>2695</v>
      </c>
      <c r="I1" s="404" t="s">
        <v>2696</v>
      </c>
    </row>
    <row r="2" spans="1:9" ht="15.5" x14ac:dyDescent="0.35">
      <c r="A2" s="183" t="s">
        <v>156</v>
      </c>
      <c r="B2" s="99" t="s">
        <v>559</v>
      </c>
      <c r="C2" s="315"/>
      <c r="D2" s="115"/>
      <c r="E2" s="115" t="s">
        <v>1604</v>
      </c>
      <c r="F2" s="388"/>
      <c r="G2" s="26">
        <v>1</v>
      </c>
      <c r="H2" s="457"/>
      <c r="I2" s="418">
        <f>+G2*H2</f>
        <v>0</v>
      </c>
    </row>
    <row r="3" spans="1:9" s="20" customFormat="1" x14ac:dyDescent="0.35">
      <c r="C3" s="131"/>
      <c r="F3"/>
      <c r="H3" s="462"/>
      <c r="I3" s="462">
        <f>SUM(I2:I2)</f>
        <v>0</v>
      </c>
    </row>
    <row r="6" spans="1:9" ht="17.5" x14ac:dyDescent="0.35">
      <c r="A6" s="4" t="s">
        <v>2042</v>
      </c>
      <c r="B6" s="3"/>
      <c r="D6" s="3"/>
      <c r="E6" s="3"/>
      <c r="F6" s="249"/>
      <c r="G6" s="3"/>
      <c r="H6" s="396"/>
    </row>
    <row r="7" spans="1:9" ht="17.5" x14ac:dyDescent="0.35">
      <c r="A7" s="4" t="s">
        <v>2409</v>
      </c>
      <c r="B7" s="3"/>
      <c r="C7" s="249"/>
      <c r="D7" s="3"/>
      <c r="E7" s="3"/>
      <c r="F7" s="249"/>
      <c r="G7" s="3"/>
      <c r="H7" s="396"/>
    </row>
    <row r="8" spans="1:9" ht="17.5" x14ac:dyDescent="0.35">
      <c r="A8" s="279" t="s">
        <v>2676</v>
      </c>
    </row>
    <row r="9" spans="1:9" ht="17.5" x14ac:dyDescent="0.35">
      <c r="A9" s="460" t="s">
        <v>2694</v>
      </c>
      <c r="B9" s="461">
        <f>+I3</f>
        <v>0</v>
      </c>
    </row>
  </sheetData>
  <sortState xmlns:xlrd2="http://schemas.microsoft.com/office/spreadsheetml/2017/richdata2" ref="A2:H2">
    <sortCondition ref="B2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K454"/>
  <sheetViews>
    <sheetView workbookViewId="0">
      <pane ySplit="1" topLeftCell="A327" activePane="bottomLeft" state="frozen"/>
      <selection activeCell="C26" sqref="C26"/>
      <selection pane="bottomLeft" activeCell="D405" sqref="D405"/>
    </sheetView>
  </sheetViews>
  <sheetFormatPr defaultRowHeight="15.5" x14ac:dyDescent="0.35"/>
  <cols>
    <col min="1" max="1" width="68.36328125" bestFit="1" customWidth="1"/>
    <col min="2" max="2" width="16.36328125" bestFit="1" customWidth="1"/>
    <col min="3" max="3" width="20.36328125" style="247" bestFit="1" customWidth="1"/>
    <col min="4" max="4" width="20.08984375" bestFit="1" customWidth="1"/>
    <col min="5" max="5" width="12.453125" bestFit="1" customWidth="1"/>
    <col min="6" max="6" width="15.6328125" style="247" bestFit="1" customWidth="1"/>
    <col min="7" max="7" width="10" bestFit="1" customWidth="1"/>
    <col min="8" max="8" width="11.36328125" style="462" bestFit="1" customWidth="1"/>
    <col min="9" max="9" width="16.90625" style="464" bestFit="1" customWidth="1"/>
    <col min="11" max="11" width="1.6328125" bestFit="1" customWidth="1"/>
  </cols>
  <sheetData>
    <row r="1" spans="1:11" x14ac:dyDescent="0.35">
      <c r="A1" s="228" t="s">
        <v>0</v>
      </c>
      <c r="B1" s="233" t="s">
        <v>1</v>
      </c>
      <c r="C1" s="281" t="s">
        <v>2700</v>
      </c>
      <c r="D1" s="232" t="s">
        <v>1598</v>
      </c>
      <c r="E1" s="232" t="s">
        <v>1599</v>
      </c>
      <c r="F1" s="261" t="s">
        <v>2699</v>
      </c>
      <c r="G1" s="229" t="s">
        <v>364</v>
      </c>
      <c r="H1" s="393" t="s">
        <v>2695</v>
      </c>
      <c r="I1" s="404" t="s">
        <v>2696</v>
      </c>
    </row>
    <row r="2" spans="1:11" x14ac:dyDescent="0.35">
      <c r="A2" s="183" t="s">
        <v>412</v>
      </c>
      <c r="B2" s="99" t="s">
        <v>2453</v>
      </c>
      <c r="C2" s="340"/>
      <c r="D2" s="115"/>
      <c r="E2" s="115">
        <v>55719</v>
      </c>
      <c r="F2" s="388"/>
      <c r="G2" s="26">
        <v>1</v>
      </c>
      <c r="H2" s="457"/>
      <c r="I2" s="386">
        <f>+Table10[[#This Row],[Quantity]]*Table10[[#This Row],[Unit Price]]</f>
        <v>0</v>
      </c>
    </row>
    <row r="3" spans="1:11" x14ac:dyDescent="0.35">
      <c r="A3" s="183" t="s">
        <v>1385</v>
      </c>
      <c r="B3" s="99" t="s">
        <v>1581</v>
      </c>
      <c r="C3" s="340"/>
      <c r="D3" s="115"/>
      <c r="E3" s="115">
        <v>55719</v>
      </c>
      <c r="F3" s="388"/>
      <c r="G3" s="26">
        <v>1</v>
      </c>
      <c r="H3" s="457"/>
      <c r="I3" s="386">
        <f>+Table10[[#This Row],[Quantity]]*Table10[[#This Row],[Unit Price]]</f>
        <v>0</v>
      </c>
    </row>
    <row r="4" spans="1:11" x14ac:dyDescent="0.35">
      <c r="A4" s="183" t="s">
        <v>1037</v>
      </c>
      <c r="B4" s="99" t="s">
        <v>1613</v>
      </c>
      <c r="C4" s="340"/>
      <c r="D4" s="115"/>
      <c r="E4" s="207">
        <v>55719</v>
      </c>
      <c r="F4" s="465"/>
      <c r="G4" s="26">
        <v>1</v>
      </c>
      <c r="H4" s="457"/>
      <c r="I4" s="386">
        <f>+Table10[[#This Row],[Quantity]]*Table10[[#This Row],[Unit Price]]</f>
        <v>0</v>
      </c>
    </row>
    <row r="5" spans="1:11" x14ac:dyDescent="0.35">
      <c r="A5" s="183" t="s">
        <v>338</v>
      </c>
      <c r="B5" s="99" t="s">
        <v>784</v>
      </c>
      <c r="C5" s="340"/>
      <c r="D5" s="115"/>
      <c r="E5" s="207">
        <v>55719</v>
      </c>
      <c r="F5" s="465"/>
      <c r="G5" s="26">
        <v>1</v>
      </c>
      <c r="H5" s="457"/>
      <c r="I5" s="386">
        <f>+Table10[[#This Row],[Quantity]]*Table10[[#This Row],[Unit Price]]</f>
        <v>0</v>
      </c>
    </row>
    <row r="6" spans="1:11" s="104" customFormat="1" x14ac:dyDescent="0.35">
      <c r="A6" s="183" t="s">
        <v>1643</v>
      </c>
      <c r="B6" s="99" t="s">
        <v>1642</v>
      </c>
      <c r="C6" s="340"/>
      <c r="D6" s="115"/>
      <c r="E6" s="207">
        <v>55719</v>
      </c>
      <c r="F6" s="465"/>
      <c r="G6" s="26">
        <v>2</v>
      </c>
      <c r="H6" s="457"/>
      <c r="I6" s="463">
        <f>+Table10[[#This Row],[Quantity]]*Table10[[#This Row],[Unit Price]]</f>
        <v>0</v>
      </c>
    </row>
    <row r="7" spans="1:11" s="104" customFormat="1" x14ac:dyDescent="0.35">
      <c r="A7" s="183" t="s">
        <v>1310</v>
      </c>
      <c r="B7" s="99" t="s">
        <v>384</v>
      </c>
      <c r="C7" s="340"/>
      <c r="D7" s="115"/>
      <c r="E7" s="115">
        <v>55719</v>
      </c>
      <c r="F7" s="465"/>
      <c r="G7" s="26">
        <v>1</v>
      </c>
      <c r="H7" s="457"/>
      <c r="I7" s="463">
        <f>+Table10[[#This Row],[Quantity]]*Table10[[#This Row],[Unit Price]]</f>
        <v>0</v>
      </c>
    </row>
    <row r="8" spans="1:11" s="104" customFormat="1" x14ac:dyDescent="0.35">
      <c r="A8" s="183" t="s">
        <v>968</v>
      </c>
      <c r="B8" s="99" t="s">
        <v>176</v>
      </c>
      <c r="C8" s="340"/>
      <c r="D8" s="115"/>
      <c r="E8" s="115">
        <v>55719</v>
      </c>
      <c r="F8" s="465"/>
      <c r="G8" s="26">
        <v>1</v>
      </c>
      <c r="H8" s="457"/>
      <c r="I8" s="463">
        <f>+Table10[[#This Row],[Quantity]]*Table10[[#This Row],[Unit Price]]</f>
        <v>0</v>
      </c>
    </row>
    <row r="9" spans="1:11" s="104" customFormat="1" x14ac:dyDescent="0.35">
      <c r="A9" s="183" t="s">
        <v>973</v>
      </c>
      <c r="B9" s="99" t="s">
        <v>288</v>
      </c>
      <c r="C9" s="340"/>
      <c r="D9" s="115"/>
      <c r="E9" s="115">
        <v>55719</v>
      </c>
      <c r="F9" s="465"/>
      <c r="G9" s="26">
        <v>1</v>
      </c>
      <c r="H9" s="457"/>
      <c r="I9" s="463">
        <f>+Table10[[#This Row],[Quantity]]*Table10[[#This Row],[Unit Price]]</f>
        <v>0</v>
      </c>
    </row>
    <row r="10" spans="1:11" s="104" customFormat="1" x14ac:dyDescent="0.35">
      <c r="A10" s="183" t="s">
        <v>971</v>
      </c>
      <c r="B10" s="99" t="s">
        <v>287</v>
      </c>
      <c r="C10" s="340"/>
      <c r="D10" s="115"/>
      <c r="E10" s="115">
        <v>55719</v>
      </c>
      <c r="F10" s="465"/>
      <c r="G10" s="26">
        <v>1</v>
      </c>
      <c r="H10" s="457"/>
      <c r="I10" s="463">
        <f>+Table10[[#This Row],[Quantity]]*Table10[[#This Row],[Unit Price]]</f>
        <v>0</v>
      </c>
    </row>
    <row r="11" spans="1:11" s="104" customFormat="1" x14ac:dyDescent="0.35">
      <c r="A11" s="183" t="s">
        <v>976</v>
      </c>
      <c r="B11" s="99" t="s">
        <v>290</v>
      </c>
      <c r="C11" s="340"/>
      <c r="D11" s="115"/>
      <c r="E11" s="115">
        <v>55719</v>
      </c>
      <c r="F11" s="465"/>
      <c r="G11" s="26">
        <v>1</v>
      </c>
      <c r="H11" s="457"/>
      <c r="I11" s="463">
        <f>+Table10[[#This Row],[Quantity]]*Table10[[#This Row],[Unit Price]]</f>
        <v>0</v>
      </c>
    </row>
    <row r="12" spans="1:11" s="104" customFormat="1" x14ac:dyDescent="0.35">
      <c r="A12" s="183" t="s">
        <v>1311</v>
      </c>
      <c r="B12" s="99" t="s">
        <v>385</v>
      </c>
      <c r="C12" s="340"/>
      <c r="D12" s="115"/>
      <c r="E12" s="115">
        <v>55719</v>
      </c>
      <c r="F12" s="465"/>
      <c r="G12" s="26">
        <v>1</v>
      </c>
      <c r="H12" s="457"/>
      <c r="I12" s="463">
        <f>+Table10[[#This Row],[Quantity]]*Table10[[#This Row],[Unit Price]]</f>
        <v>0</v>
      </c>
    </row>
    <row r="13" spans="1:11" s="104" customFormat="1" x14ac:dyDescent="0.35">
      <c r="A13" s="183" t="s">
        <v>1027</v>
      </c>
      <c r="B13" s="99" t="s">
        <v>96</v>
      </c>
      <c r="C13" s="340"/>
      <c r="D13" s="115"/>
      <c r="E13" s="115">
        <v>55719</v>
      </c>
      <c r="F13" s="465"/>
      <c r="G13" s="26">
        <v>1</v>
      </c>
      <c r="H13" s="457"/>
      <c r="I13" s="463">
        <f>+Table10[[#This Row],[Quantity]]*Table10[[#This Row],[Unit Price]]</f>
        <v>0</v>
      </c>
      <c r="K13" s="104" t="s">
        <v>1749</v>
      </c>
    </row>
    <row r="14" spans="1:11" s="104" customFormat="1" x14ac:dyDescent="0.35">
      <c r="A14" s="183" t="s">
        <v>2066</v>
      </c>
      <c r="B14" s="99" t="s">
        <v>1994</v>
      </c>
      <c r="C14" s="340"/>
      <c r="D14" s="115"/>
      <c r="E14" s="115">
        <v>55719</v>
      </c>
      <c r="F14" s="465"/>
      <c r="G14" s="26">
        <v>1</v>
      </c>
      <c r="H14" s="457"/>
      <c r="I14" s="463">
        <f>+Table10[[#This Row],[Quantity]]*Table10[[#This Row],[Unit Price]]</f>
        <v>0</v>
      </c>
    </row>
    <row r="15" spans="1:11" s="104" customFormat="1" x14ac:dyDescent="0.35">
      <c r="A15" s="183" t="s">
        <v>1028</v>
      </c>
      <c r="B15" s="99" t="s">
        <v>741</v>
      </c>
      <c r="C15" s="340"/>
      <c r="D15" s="115"/>
      <c r="E15" s="115">
        <v>55719</v>
      </c>
      <c r="F15" s="465"/>
      <c r="G15" s="26">
        <v>1</v>
      </c>
      <c r="H15" s="457"/>
      <c r="I15" s="463">
        <f>+Table10[[#This Row],[Quantity]]*Table10[[#This Row],[Unit Price]]</f>
        <v>0</v>
      </c>
    </row>
    <row r="16" spans="1:11" s="104" customFormat="1" x14ac:dyDescent="0.35">
      <c r="A16" s="183" t="s">
        <v>937</v>
      </c>
      <c r="B16" s="99" t="s">
        <v>456</v>
      </c>
      <c r="C16" s="340"/>
      <c r="D16" s="115"/>
      <c r="E16" s="115">
        <v>55719</v>
      </c>
      <c r="F16" s="465"/>
      <c r="G16" s="26">
        <v>1</v>
      </c>
      <c r="H16" s="457"/>
      <c r="I16" s="463">
        <f>+Table10[[#This Row],[Quantity]]*Table10[[#This Row],[Unit Price]]</f>
        <v>0</v>
      </c>
    </row>
    <row r="17" spans="1:9" s="104" customFormat="1" x14ac:dyDescent="0.35">
      <c r="A17" s="183" t="s">
        <v>2054</v>
      </c>
      <c r="B17" s="99" t="s">
        <v>1995</v>
      </c>
      <c r="C17" s="340"/>
      <c r="D17" s="115"/>
      <c r="E17" s="115">
        <v>55719</v>
      </c>
      <c r="F17" s="465"/>
      <c r="G17" s="26">
        <v>1</v>
      </c>
      <c r="H17" s="457"/>
      <c r="I17" s="463">
        <f>+Table10[[#This Row],[Quantity]]*Table10[[#This Row],[Unit Price]]</f>
        <v>0</v>
      </c>
    </row>
    <row r="18" spans="1:9" s="104" customFormat="1" x14ac:dyDescent="0.35">
      <c r="A18" s="183" t="s">
        <v>2055</v>
      </c>
      <c r="B18" s="99" t="s">
        <v>1996</v>
      </c>
      <c r="C18" s="340"/>
      <c r="D18" s="115"/>
      <c r="E18" s="115">
        <v>55719</v>
      </c>
      <c r="F18" s="465"/>
      <c r="G18" s="26">
        <v>1</v>
      </c>
      <c r="H18" s="457"/>
      <c r="I18" s="463">
        <f>+Table10[[#This Row],[Quantity]]*Table10[[#This Row],[Unit Price]]</f>
        <v>0</v>
      </c>
    </row>
    <row r="19" spans="1:9" s="104" customFormat="1" x14ac:dyDescent="0.35">
      <c r="A19" s="183" t="s">
        <v>2056</v>
      </c>
      <c r="B19" s="99" t="s">
        <v>1997</v>
      </c>
      <c r="C19" s="340"/>
      <c r="D19" s="115"/>
      <c r="E19" s="115">
        <v>55719</v>
      </c>
      <c r="F19" s="465"/>
      <c r="G19" s="26">
        <v>1</v>
      </c>
      <c r="H19" s="457"/>
      <c r="I19" s="463">
        <f>+Table10[[#This Row],[Quantity]]*Table10[[#This Row],[Unit Price]]</f>
        <v>0</v>
      </c>
    </row>
    <row r="20" spans="1:9" s="104" customFormat="1" x14ac:dyDescent="0.35">
      <c r="A20" s="183" t="s">
        <v>2057</v>
      </c>
      <c r="B20" s="99" t="s">
        <v>1998</v>
      </c>
      <c r="C20" s="340"/>
      <c r="D20" s="115"/>
      <c r="E20" s="115">
        <v>55719</v>
      </c>
      <c r="F20" s="465"/>
      <c r="G20" s="26">
        <v>1</v>
      </c>
      <c r="H20" s="457"/>
      <c r="I20" s="463">
        <f>+Table10[[#This Row],[Quantity]]*Table10[[#This Row],[Unit Price]]</f>
        <v>0</v>
      </c>
    </row>
    <row r="21" spans="1:9" s="104" customFormat="1" x14ac:dyDescent="0.35">
      <c r="A21" s="183" t="s">
        <v>2058</v>
      </c>
      <c r="B21" s="99" t="s">
        <v>1999</v>
      </c>
      <c r="C21" s="340"/>
      <c r="D21" s="115"/>
      <c r="E21" s="115">
        <v>55719</v>
      </c>
      <c r="F21" s="465"/>
      <c r="G21" s="26">
        <v>1</v>
      </c>
      <c r="H21" s="457"/>
      <c r="I21" s="463">
        <f>+Table10[[#This Row],[Quantity]]*Table10[[#This Row],[Unit Price]]</f>
        <v>0</v>
      </c>
    </row>
    <row r="22" spans="1:9" s="104" customFormat="1" x14ac:dyDescent="0.35">
      <c r="A22" s="183" t="s">
        <v>2059</v>
      </c>
      <c r="B22" s="99" t="s">
        <v>2000</v>
      </c>
      <c r="C22" s="340"/>
      <c r="D22" s="115"/>
      <c r="E22" s="115">
        <v>55719</v>
      </c>
      <c r="F22" s="465"/>
      <c r="G22" s="26">
        <v>1</v>
      </c>
      <c r="H22" s="457"/>
      <c r="I22" s="463">
        <f>+Table10[[#This Row],[Quantity]]*Table10[[#This Row],[Unit Price]]</f>
        <v>0</v>
      </c>
    </row>
    <row r="23" spans="1:9" x14ac:dyDescent="0.35">
      <c r="A23" s="183" t="s">
        <v>2060</v>
      </c>
      <c r="B23" s="99" t="s">
        <v>2001</v>
      </c>
      <c r="C23" s="340"/>
      <c r="D23" s="115"/>
      <c r="E23" s="115">
        <v>55719</v>
      </c>
      <c r="F23" s="465"/>
      <c r="G23" s="26">
        <v>1</v>
      </c>
      <c r="H23" s="457"/>
      <c r="I23" s="386">
        <f>+Table10[[#This Row],[Quantity]]*Table10[[#This Row],[Unit Price]]</f>
        <v>0</v>
      </c>
    </row>
    <row r="24" spans="1:9" x14ac:dyDescent="0.35">
      <c r="A24" s="183" t="s">
        <v>938</v>
      </c>
      <c r="B24" s="99" t="s">
        <v>45</v>
      </c>
      <c r="C24" s="340"/>
      <c r="D24" s="115"/>
      <c r="E24" s="115">
        <v>55719</v>
      </c>
      <c r="F24" s="465"/>
      <c r="G24" s="26">
        <v>1</v>
      </c>
      <c r="H24" s="457"/>
      <c r="I24" s="386">
        <f>+Table10[[#This Row],[Quantity]]*Table10[[#This Row],[Unit Price]]</f>
        <v>0</v>
      </c>
    </row>
    <row r="25" spans="1:9" x14ac:dyDescent="0.35">
      <c r="A25" s="183" t="s">
        <v>2061</v>
      </c>
      <c r="B25" s="99" t="s">
        <v>2002</v>
      </c>
      <c r="C25" s="340"/>
      <c r="D25" s="115"/>
      <c r="E25" s="115">
        <v>55719</v>
      </c>
      <c r="F25" s="465"/>
      <c r="G25" s="26">
        <v>1</v>
      </c>
      <c r="H25" s="457"/>
      <c r="I25" s="386">
        <f>+Table10[[#This Row],[Quantity]]*Table10[[#This Row],[Unit Price]]</f>
        <v>0</v>
      </c>
    </row>
    <row r="26" spans="1:9" x14ac:dyDescent="0.35">
      <c r="A26" s="183" t="s">
        <v>2062</v>
      </c>
      <c r="B26" s="99" t="s">
        <v>2003</v>
      </c>
      <c r="C26" s="340"/>
      <c r="D26" s="115"/>
      <c r="E26" s="115">
        <v>55719</v>
      </c>
      <c r="F26" s="465"/>
      <c r="G26" s="26">
        <v>1</v>
      </c>
      <c r="H26" s="457"/>
      <c r="I26" s="386">
        <f>+Table10[[#This Row],[Quantity]]*Table10[[#This Row],[Unit Price]]</f>
        <v>0</v>
      </c>
    </row>
    <row r="27" spans="1:9" x14ac:dyDescent="0.35">
      <c r="A27" s="183" t="s">
        <v>2063</v>
      </c>
      <c r="B27" s="99" t="s">
        <v>2004</v>
      </c>
      <c r="C27" s="340"/>
      <c r="D27" s="115"/>
      <c r="E27" s="115">
        <v>55719</v>
      </c>
      <c r="F27" s="465"/>
      <c r="G27" s="26">
        <v>1</v>
      </c>
      <c r="H27" s="457"/>
      <c r="I27" s="386">
        <f>+Table10[[#This Row],[Quantity]]*Table10[[#This Row],[Unit Price]]</f>
        <v>0</v>
      </c>
    </row>
    <row r="28" spans="1:9" x14ac:dyDescent="0.35">
      <c r="A28" s="183" t="s">
        <v>2064</v>
      </c>
      <c r="B28" s="99" t="s">
        <v>2005</v>
      </c>
      <c r="C28" s="340"/>
      <c r="D28" s="115"/>
      <c r="E28" s="115">
        <v>55719</v>
      </c>
      <c r="F28" s="465"/>
      <c r="G28" s="26">
        <v>1</v>
      </c>
      <c r="H28" s="457"/>
      <c r="I28" s="386">
        <f>+Table10[[#This Row],[Quantity]]*Table10[[#This Row],[Unit Price]]</f>
        <v>0</v>
      </c>
    </row>
    <row r="29" spans="1:9" x14ac:dyDescent="0.35">
      <c r="A29" s="183" t="s">
        <v>2065</v>
      </c>
      <c r="B29" s="99" t="s">
        <v>2006</v>
      </c>
      <c r="C29" s="340"/>
      <c r="D29" s="115"/>
      <c r="E29" s="115">
        <v>55719</v>
      </c>
      <c r="F29" s="465"/>
      <c r="G29" s="26">
        <v>1</v>
      </c>
      <c r="H29" s="457"/>
      <c r="I29" s="386">
        <f>+Table10[[#This Row],[Quantity]]*Table10[[#This Row],[Unit Price]]</f>
        <v>0</v>
      </c>
    </row>
    <row r="30" spans="1:9" x14ac:dyDescent="0.35">
      <c r="A30" s="183" t="s">
        <v>965</v>
      </c>
      <c r="B30" s="99" t="s">
        <v>383</v>
      </c>
      <c r="C30" s="340"/>
      <c r="D30" s="115"/>
      <c r="E30" s="115">
        <v>55719</v>
      </c>
      <c r="F30" s="465"/>
      <c r="G30" s="26">
        <v>1</v>
      </c>
      <c r="H30" s="457"/>
      <c r="I30" s="386">
        <f>+Table10[[#This Row],[Quantity]]*Table10[[#This Row],[Unit Price]]</f>
        <v>0</v>
      </c>
    </row>
    <row r="31" spans="1:9" x14ac:dyDescent="0.35">
      <c r="A31" s="183" t="s">
        <v>963</v>
      </c>
      <c r="B31" s="99" t="s">
        <v>286</v>
      </c>
      <c r="C31" s="340"/>
      <c r="D31" s="115"/>
      <c r="E31" s="115">
        <v>55719</v>
      </c>
      <c r="F31" s="465"/>
      <c r="G31" s="26">
        <v>1</v>
      </c>
      <c r="H31" s="457"/>
      <c r="I31" s="386">
        <f>+Table10[[#This Row],[Quantity]]*Table10[[#This Row],[Unit Price]]</f>
        <v>0</v>
      </c>
    </row>
    <row r="32" spans="1:9" x14ac:dyDescent="0.35">
      <c r="A32" s="183" t="s">
        <v>966</v>
      </c>
      <c r="B32" s="99" t="s">
        <v>291</v>
      </c>
      <c r="C32" s="340"/>
      <c r="D32" s="115"/>
      <c r="E32" s="115">
        <v>55719</v>
      </c>
      <c r="F32" s="465"/>
      <c r="G32" s="26">
        <v>1</v>
      </c>
      <c r="H32" s="457"/>
      <c r="I32" s="386">
        <f>+Table10[[#This Row],[Quantity]]*Table10[[#This Row],[Unit Price]]</f>
        <v>0</v>
      </c>
    </row>
    <row r="33" spans="1:9" x14ac:dyDescent="0.35">
      <c r="A33" s="183" t="s">
        <v>1396</v>
      </c>
      <c r="B33" s="99" t="s">
        <v>630</v>
      </c>
      <c r="C33" s="340"/>
      <c r="D33" s="115"/>
      <c r="E33" s="207">
        <v>55719</v>
      </c>
      <c r="F33" s="465"/>
      <c r="G33" s="26">
        <v>1</v>
      </c>
      <c r="H33" s="457"/>
      <c r="I33" s="386">
        <f>+Table10[[#This Row],[Quantity]]*Table10[[#This Row],[Unit Price]]</f>
        <v>0</v>
      </c>
    </row>
    <row r="34" spans="1:9" x14ac:dyDescent="0.35">
      <c r="A34" s="183" t="s">
        <v>985</v>
      </c>
      <c r="B34" s="99" t="s">
        <v>1728</v>
      </c>
      <c r="C34" s="340"/>
      <c r="D34" s="115"/>
      <c r="E34" s="207">
        <v>55719</v>
      </c>
      <c r="F34" s="465"/>
      <c r="G34" s="26">
        <v>1</v>
      </c>
      <c r="H34" s="457"/>
      <c r="I34" s="386">
        <f>+Table10[[#This Row],[Quantity]]*Table10[[#This Row],[Unit Price]]</f>
        <v>0</v>
      </c>
    </row>
    <row r="35" spans="1:9" x14ac:dyDescent="0.35">
      <c r="A35" s="183" t="s">
        <v>1408</v>
      </c>
      <c r="B35" s="99" t="s">
        <v>732</v>
      </c>
      <c r="C35" s="340"/>
      <c r="D35" s="115"/>
      <c r="E35" s="207">
        <v>55719</v>
      </c>
      <c r="F35" s="465"/>
      <c r="G35" s="26">
        <v>1</v>
      </c>
      <c r="H35" s="457"/>
      <c r="I35" s="386">
        <f>+Table10[[#This Row],[Quantity]]*Table10[[#This Row],[Unit Price]]</f>
        <v>0</v>
      </c>
    </row>
    <row r="36" spans="1:9" x14ac:dyDescent="0.35">
      <c r="A36" s="183" t="s">
        <v>2009</v>
      </c>
      <c r="B36" s="99" t="s">
        <v>2010</v>
      </c>
      <c r="C36" s="340"/>
      <c r="D36" s="115"/>
      <c r="E36" s="207">
        <v>55719</v>
      </c>
      <c r="F36" s="465"/>
      <c r="G36" s="26">
        <v>1</v>
      </c>
      <c r="H36" s="457"/>
      <c r="I36" s="386">
        <f>+Table10[[#This Row],[Quantity]]*Table10[[#This Row],[Unit Price]]</f>
        <v>0</v>
      </c>
    </row>
    <row r="37" spans="1:9" x14ac:dyDescent="0.35">
      <c r="A37" s="183" t="s">
        <v>1024</v>
      </c>
      <c r="B37" s="99" t="s">
        <v>76</v>
      </c>
      <c r="C37" s="340"/>
      <c r="D37" s="115"/>
      <c r="E37" s="115">
        <v>55719</v>
      </c>
      <c r="F37" s="465"/>
      <c r="G37" s="26">
        <v>1</v>
      </c>
      <c r="H37" s="457"/>
      <c r="I37" s="386">
        <f>+Table10[[#This Row],[Quantity]]*Table10[[#This Row],[Unit Price]]</f>
        <v>0</v>
      </c>
    </row>
    <row r="38" spans="1:9" x14ac:dyDescent="0.35">
      <c r="A38" s="183" t="s">
        <v>896</v>
      </c>
      <c r="B38" s="99" t="s">
        <v>272</v>
      </c>
      <c r="C38" s="340"/>
      <c r="D38" s="115"/>
      <c r="E38" s="115">
        <v>55719</v>
      </c>
      <c r="F38" s="465"/>
      <c r="G38" s="26">
        <v>1</v>
      </c>
      <c r="H38" s="457"/>
      <c r="I38" s="386">
        <f>+Table10[[#This Row],[Quantity]]*Table10[[#This Row],[Unit Price]]</f>
        <v>0</v>
      </c>
    </row>
    <row r="39" spans="1:9" x14ac:dyDescent="0.35">
      <c r="A39" s="183" t="s">
        <v>2583</v>
      </c>
      <c r="B39" s="99" t="s">
        <v>78</v>
      </c>
      <c r="C39" s="340"/>
      <c r="D39" s="115"/>
      <c r="E39" s="115">
        <v>55719</v>
      </c>
      <c r="F39" s="465"/>
      <c r="G39" s="26">
        <v>1</v>
      </c>
      <c r="H39" s="457"/>
      <c r="I39" s="386">
        <f>+Table10[[#This Row],[Quantity]]*Table10[[#This Row],[Unit Price]]</f>
        <v>0</v>
      </c>
    </row>
    <row r="40" spans="1:9" x14ac:dyDescent="0.35">
      <c r="A40" s="183" t="s">
        <v>1025</v>
      </c>
      <c r="B40" s="99" t="s">
        <v>212</v>
      </c>
      <c r="C40" s="340"/>
      <c r="D40" s="115"/>
      <c r="E40" s="115">
        <v>55719</v>
      </c>
      <c r="F40" s="465"/>
      <c r="G40" s="26">
        <v>1</v>
      </c>
      <c r="H40" s="457"/>
      <c r="I40" s="386">
        <f>+Table10[[#This Row],[Quantity]]*Table10[[#This Row],[Unit Price]]</f>
        <v>0</v>
      </c>
    </row>
    <row r="41" spans="1:9" x14ac:dyDescent="0.35">
      <c r="A41" s="183" t="s">
        <v>897</v>
      </c>
      <c r="B41" s="99" t="s">
        <v>267</v>
      </c>
      <c r="C41" s="340"/>
      <c r="D41" s="115"/>
      <c r="E41" s="115">
        <v>55719</v>
      </c>
      <c r="F41" s="465"/>
      <c r="G41" s="26">
        <v>1</v>
      </c>
      <c r="H41" s="457"/>
      <c r="I41" s="386">
        <f>+Table10[[#This Row],[Quantity]]*Table10[[#This Row],[Unit Price]]</f>
        <v>0</v>
      </c>
    </row>
    <row r="42" spans="1:9" x14ac:dyDescent="0.35">
      <c r="A42" s="183" t="s">
        <v>1002</v>
      </c>
      <c r="B42" s="99" t="s">
        <v>264</v>
      </c>
      <c r="C42" s="340"/>
      <c r="D42" s="115"/>
      <c r="E42" s="115">
        <v>55719</v>
      </c>
      <c r="F42" s="465"/>
      <c r="G42" s="26">
        <v>1</v>
      </c>
      <c r="H42" s="457"/>
      <c r="I42" s="386">
        <f>+Table10[[#This Row],[Quantity]]*Table10[[#This Row],[Unit Price]]</f>
        <v>0</v>
      </c>
    </row>
    <row r="43" spans="1:9" x14ac:dyDescent="0.35">
      <c r="A43" s="183" t="s">
        <v>15</v>
      </c>
      <c r="B43" s="99" t="s">
        <v>424</v>
      </c>
      <c r="C43" s="340"/>
      <c r="D43" s="115"/>
      <c r="E43" s="115">
        <v>55719</v>
      </c>
      <c r="F43" s="465"/>
      <c r="G43" s="26">
        <v>1</v>
      </c>
      <c r="H43" s="457"/>
      <c r="I43" s="386">
        <f>+Table10[[#This Row],[Quantity]]*Table10[[#This Row],[Unit Price]]</f>
        <v>0</v>
      </c>
    </row>
    <row r="44" spans="1:9" x14ac:dyDescent="0.35">
      <c r="A44" s="183" t="s">
        <v>1019</v>
      </c>
      <c r="B44" s="99" t="s">
        <v>90</v>
      </c>
      <c r="C44" s="340"/>
      <c r="D44" s="115"/>
      <c r="E44" s="115">
        <v>55719</v>
      </c>
      <c r="F44" s="465"/>
      <c r="G44" s="26">
        <v>1</v>
      </c>
      <c r="H44" s="457"/>
      <c r="I44" s="386">
        <f>+Table10[[#This Row],[Quantity]]*Table10[[#This Row],[Unit Price]]</f>
        <v>0</v>
      </c>
    </row>
    <row r="45" spans="1:9" x14ac:dyDescent="0.35">
      <c r="A45" s="183" t="s">
        <v>1116</v>
      </c>
      <c r="B45" s="99" t="s">
        <v>380</v>
      </c>
      <c r="C45" s="340"/>
      <c r="D45" s="115"/>
      <c r="E45" s="115">
        <v>55719</v>
      </c>
      <c r="F45" s="465"/>
      <c r="G45" s="26">
        <v>1</v>
      </c>
      <c r="H45" s="457"/>
      <c r="I45" s="386">
        <f>+Table10[[#This Row],[Quantity]]*Table10[[#This Row],[Unit Price]]</f>
        <v>0</v>
      </c>
    </row>
    <row r="46" spans="1:9" x14ac:dyDescent="0.35">
      <c r="A46" s="183" t="s">
        <v>878</v>
      </c>
      <c r="B46" s="99" t="s">
        <v>94</v>
      </c>
      <c r="C46" s="340"/>
      <c r="D46" s="115"/>
      <c r="E46" s="115">
        <v>55719</v>
      </c>
      <c r="F46" s="465"/>
      <c r="G46" s="26">
        <v>1</v>
      </c>
      <c r="H46" s="457"/>
      <c r="I46" s="386">
        <f>+Table10[[#This Row],[Quantity]]*Table10[[#This Row],[Unit Price]]</f>
        <v>0</v>
      </c>
    </row>
    <row r="47" spans="1:9" x14ac:dyDescent="0.35">
      <c r="A47" s="183" t="s">
        <v>872</v>
      </c>
      <c r="B47" s="99" t="s">
        <v>367</v>
      </c>
      <c r="C47" s="340"/>
      <c r="D47" s="115"/>
      <c r="E47" s="115">
        <v>55719</v>
      </c>
      <c r="F47" s="465"/>
      <c r="G47" s="26">
        <v>1</v>
      </c>
      <c r="H47" s="457"/>
      <c r="I47" s="386">
        <f>+Table10[[#This Row],[Quantity]]*Table10[[#This Row],[Unit Price]]</f>
        <v>0</v>
      </c>
    </row>
    <row r="48" spans="1:9" x14ac:dyDescent="0.35">
      <c r="A48" s="183" t="s">
        <v>876</v>
      </c>
      <c r="B48" s="99" t="s">
        <v>368</v>
      </c>
      <c r="C48" s="340"/>
      <c r="D48" s="115"/>
      <c r="E48" s="115">
        <v>55719</v>
      </c>
      <c r="F48" s="465"/>
      <c r="G48" s="26">
        <v>1</v>
      </c>
      <c r="H48" s="457"/>
      <c r="I48" s="386">
        <f>+Table10[[#This Row],[Quantity]]*Table10[[#This Row],[Unit Price]]</f>
        <v>0</v>
      </c>
    </row>
    <row r="49" spans="1:9" x14ac:dyDescent="0.35">
      <c r="A49" s="183" t="s">
        <v>972</v>
      </c>
      <c r="B49" s="99" t="s">
        <v>175</v>
      </c>
      <c r="C49" s="340"/>
      <c r="D49" s="115"/>
      <c r="E49" s="115">
        <v>55719</v>
      </c>
      <c r="F49" s="465"/>
      <c r="G49" s="26">
        <v>1</v>
      </c>
      <c r="H49" s="457"/>
      <c r="I49" s="386">
        <f>+Table10[[#This Row],[Quantity]]*Table10[[#This Row],[Unit Price]]</f>
        <v>0</v>
      </c>
    </row>
    <row r="50" spans="1:9" x14ac:dyDescent="0.35">
      <c r="A50" s="183" t="s">
        <v>879</v>
      </c>
      <c r="B50" s="99" t="s">
        <v>369</v>
      </c>
      <c r="C50" s="340"/>
      <c r="D50" s="115"/>
      <c r="E50" s="115">
        <v>55719</v>
      </c>
      <c r="F50" s="465"/>
      <c r="G50" s="26">
        <v>1</v>
      </c>
      <c r="H50" s="457"/>
      <c r="I50" s="386">
        <f>+Table10[[#This Row],[Quantity]]*Table10[[#This Row],[Unit Price]]</f>
        <v>0</v>
      </c>
    </row>
    <row r="51" spans="1:9" x14ac:dyDescent="0.35">
      <c r="A51" s="183" t="s">
        <v>1180</v>
      </c>
      <c r="B51" s="99" t="s">
        <v>370</v>
      </c>
      <c r="C51" s="340"/>
      <c r="D51" s="115"/>
      <c r="E51" s="115">
        <v>55719</v>
      </c>
      <c r="F51" s="465"/>
      <c r="G51" s="26">
        <v>1</v>
      </c>
      <c r="H51" s="457"/>
      <c r="I51" s="386">
        <f>+Table10[[#This Row],[Quantity]]*Table10[[#This Row],[Unit Price]]</f>
        <v>0</v>
      </c>
    </row>
    <row r="52" spans="1:9" x14ac:dyDescent="0.35">
      <c r="A52" s="183" t="s">
        <v>1103</v>
      </c>
      <c r="B52" s="99" t="s">
        <v>1571</v>
      </c>
      <c r="C52" s="340"/>
      <c r="D52" s="115"/>
      <c r="E52" s="115">
        <v>55719</v>
      </c>
      <c r="F52" s="465"/>
      <c r="G52" s="26">
        <v>1</v>
      </c>
      <c r="H52" s="457"/>
      <c r="I52" s="386">
        <f>+Table10[[#This Row],[Quantity]]*Table10[[#This Row],[Unit Price]]</f>
        <v>0</v>
      </c>
    </row>
    <row r="53" spans="1:9" x14ac:dyDescent="0.35">
      <c r="A53" s="183" t="s">
        <v>1104</v>
      </c>
      <c r="B53" s="99" t="s">
        <v>1572</v>
      </c>
      <c r="C53" s="340"/>
      <c r="D53" s="115"/>
      <c r="E53" s="115">
        <v>55719</v>
      </c>
      <c r="F53" s="465"/>
      <c r="G53" s="26">
        <v>1</v>
      </c>
      <c r="H53" s="457"/>
      <c r="I53" s="386">
        <f>+Table10[[#This Row],[Quantity]]*Table10[[#This Row],[Unit Price]]</f>
        <v>0</v>
      </c>
    </row>
    <row r="54" spans="1:9" x14ac:dyDescent="0.35">
      <c r="A54" s="183" t="s">
        <v>1102</v>
      </c>
      <c r="B54" s="99" t="s">
        <v>1573</v>
      </c>
      <c r="C54" s="340"/>
      <c r="D54" s="115"/>
      <c r="E54" s="115">
        <v>55719</v>
      </c>
      <c r="F54" s="465"/>
      <c r="G54" s="26">
        <v>1</v>
      </c>
      <c r="H54" s="457"/>
      <c r="I54" s="386">
        <f>+Table10[[#This Row],[Quantity]]*Table10[[#This Row],[Unit Price]]</f>
        <v>0</v>
      </c>
    </row>
    <row r="55" spans="1:9" x14ac:dyDescent="0.35">
      <c r="A55" s="183" t="s">
        <v>34</v>
      </c>
      <c r="B55" s="99" t="s">
        <v>1566</v>
      </c>
      <c r="C55" s="340"/>
      <c r="D55" s="115"/>
      <c r="E55" s="115">
        <v>55719</v>
      </c>
      <c r="F55" s="465"/>
      <c r="G55" s="26">
        <v>1</v>
      </c>
      <c r="H55" s="457"/>
      <c r="I55" s="386">
        <f>+Table10[[#This Row],[Quantity]]*Table10[[#This Row],[Unit Price]]</f>
        <v>0</v>
      </c>
    </row>
    <row r="56" spans="1:9" x14ac:dyDescent="0.35">
      <c r="A56" s="183" t="s">
        <v>35</v>
      </c>
      <c r="B56" s="99" t="s">
        <v>1567</v>
      </c>
      <c r="C56" s="340"/>
      <c r="D56" s="115"/>
      <c r="E56" s="115">
        <v>55719</v>
      </c>
      <c r="F56" s="465"/>
      <c r="G56" s="26">
        <v>1</v>
      </c>
      <c r="H56" s="457"/>
      <c r="I56" s="386">
        <f>+Table10[[#This Row],[Quantity]]*Table10[[#This Row],[Unit Price]]</f>
        <v>0</v>
      </c>
    </row>
    <row r="57" spans="1:9" x14ac:dyDescent="0.35">
      <c r="A57" s="183" t="s">
        <v>33</v>
      </c>
      <c r="B57" s="99" t="s">
        <v>1565</v>
      </c>
      <c r="C57" s="340"/>
      <c r="D57" s="115"/>
      <c r="E57" s="115">
        <v>55719</v>
      </c>
      <c r="F57" s="465"/>
      <c r="G57" s="26">
        <v>1</v>
      </c>
      <c r="H57" s="457"/>
      <c r="I57" s="386">
        <f>+Table10[[#This Row],[Quantity]]*Table10[[#This Row],[Unit Price]]</f>
        <v>0</v>
      </c>
    </row>
    <row r="58" spans="1:9" x14ac:dyDescent="0.35">
      <c r="A58" s="183" t="s">
        <v>834</v>
      </c>
      <c r="B58" s="99" t="s">
        <v>1568</v>
      </c>
      <c r="C58" s="340"/>
      <c r="D58" s="115"/>
      <c r="E58" s="115">
        <v>55719</v>
      </c>
      <c r="F58" s="465"/>
      <c r="G58" s="26">
        <v>1</v>
      </c>
      <c r="H58" s="457"/>
      <c r="I58" s="386">
        <f>+Table10[[#This Row],[Quantity]]*Table10[[#This Row],[Unit Price]]</f>
        <v>0</v>
      </c>
    </row>
    <row r="59" spans="1:9" x14ac:dyDescent="0.35">
      <c r="A59" s="183" t="s">
        <v>1069</v>
      </c>
      <c r="B59" s="99" t="s">
        <v>1569</v>
      </c>
      <c r="C59" s="340"/>
      <c r="D59" s="115"/>
      <c r="E59" s="115">
        <v>55719</v>
      </c>
      <c r="F59" s="465"/>
      <c r="G59" s="26">
        <v>1</v>
      </c>
      <c r="H59" s="457"/>
      <c r="I59" s="386">
        <f>+Table10[[#This Row],[Quantity]]*Table10[[#This Row],[Unit Price]]</f>
        <v>0</v>
      </c>
    </row>
    <row r="60" spans="1:9" x14ac:dyDescent="0.35">
      <c r="A60" s="183" t="s">
        <v>1725</v>
      </c>
      <c r="B60" s="99" t="s">
        <v>1726</v>
      </c>
      <c r="C60" s="340"/>
      <c r="D60" s="115"/>
      <c r="E60" s="115">
        <v>55719</v>
      </c>
      <c r="F60" s="465"/>
      <c r="G60" s="26">
        <v>1</v>
      </c>
      <c r="H60" s="457"/>
      <c r="I60" s="386">
        <f>+Table10[[#This Row],[Quantity]]*Table10[[#This Row],[Unit Price]]</f>
        <v>0</v>
      </c>
    </row>
    <row r="61" spans="1:9" x14ac:dyDescent="0.35">
      <c r="A61" s="183" t="s">
        <v>1760</v>
      </c>
      <c r="B61" s="99" t="s">
        <v>311</v>
      </c>
      <c r="C61" s="340"/>
      <c r="D61" s="115"/>
      <c r="E61" s="115">
        <v>55719</v>
      </c>
      <c r="F61" s="465"/>
      <c r="G61" s="26">
        <v>1</v>
      </c>
      <c r="H61" s="457"/>
      <c r="I61" s="386">
        <f>+Table10[[#This Row],[Quantity]]*Table10[[#This Row],[Unit Price]]</f>
        <v>0</v>
      </c>
    </row>
    <row r="62" spans="1:9" x14ac:dyDescent="0.35">
      <c r="A62" s="183" t="s">
        <v>1137</v>
      </c>
      <c r="B62" s="99" t="s">
        <v>312</v>
      </c>
      <c r="C62" s="340"/>
      <c r="D62" s="115"/>
      <c r="E62" s="115">
        <v>55719</v>
      </c>
      <c r="F62" s="465"/>
      <c r="G62" s="26">
        <v>1</v>
      </c>
      <c r="H62" s="457"/>
      <c r="I62" s="386">
        <f>+Table10[[#This Row],[Quantity]]*Table10[[#This Row],[Unit Price]]</f>
        <v>0</v>
      </c>
    </row>
    <row r="63" spans="1:9" x14ac:dyDescent="0.35">
      <c r="A63" s="183" t="s">
        <v>1011</v>
      </c>
      <c r="B63" s="99" t="s">
        <v>282</v>
      </c>
      <c r="C63" s="340"/>
      <c r="D63" s="115"/>
      <c r="E63" s="115">
        <v>55719</v>
      </c>
      <c r="F63" s="465"/>
      <c r="G63" s="26">
        <v>1</v>
      </c>
      <c r="H63" s="457"/>
      <c r="I63" s="386">
        <f>+Table10[[#This Row],[Quantity]]*Table10[[#This Row],[Unit Price]]</f>
        <v>0</v>
      </c>
    </row>
    <row r="64" spans="1:9" x14ac:dyDescent="0.35">
      <c r="A64" s="183" t="s">
        <v>1013</v>
      </c>
      <c r="B64" s="99" t="s">
        <v>283</v>
      </c>
      <c r="C64" s="340"/>
      <c r="D64" s="115"/>
      <c r="E64" s="115">
        <v>55719</v>
      </c>
      <c r="F64" s="465"/>
      <c r="G64" s="26">
        <v>1</v>
      </c>
      <c r="H64" s="457"/>
      <c r="I64" s="386">
        <f>+Table10[[#This Row],[Quantity]]*Table10[[#This Row],[Unit Price]]</f>
        <v>0</v>
      </c>
    </row>
    <row r="65" spans="1:9" x14ac:dyDescent="0.35">
      <c r="A65" s="183" t="s">
        <v>1007</v>
      </c>
      <c r="B65" s="99" t="s">
        <v>313</v>
      </c>
      <c r="C65" s="340"/>
      <c r="D65" s="115"/>
      <c r="E65" s="115">
        <v>55719</v>
      </c>
      <c r="F65" s="465"/>
      <c r="G65" s="26">
        <v>1</v>
      </c>
      <c r="H65" s="457"/>
      <c r="I65" s="386">
        <f>+Table10[[#This Row],[Quantity]]*Table10[[#This Row],[Unit Price]]</f>
        <v>0</v>
      </c>
    </row>
    <row r="66" spans="1:9" x14ac:dyDescent="0.35">
      <c r="A66" s="183" t="s">
        <v>1014</v>
      </c>
      <c r="B66" s="99" t="s">
        <v>314</v>
      </c>
      <c r="C66" s="340"/>
      <c r="D66" s="115"/>
      <c r="E66" s="115">
        <v>55719</v>
      </c>
      <c r="F66" s="465"/>
      <c r="G66" s="26">
        <v>1</v>
      </c>
      <c r="H66" s="457"/>
      <c r="I66" s="386">
        <f>+Table10[[#This Row],[Quantity]]*Table10[[#This Row],[Unit Price]]</f>
        <v>0</v>
      </c>
    </row>
    <row r="67" spans="1:9" x14ac:dyDescent="0.35">
      <c r="A67" s="183" t="s">
        <v>1012</v>
      </c>
      <c r="B67" s="99" t="s">
        <v>285</v>
      </c>
      <c r="C67" s="340"/>
      <c r="D67" s="115"/>
      <c r="E67" s="115">
        <v>55719</v>
      </c>
      <c r="F67" s="465"/>
      <c r="G67" s="26">
        <v>1</v>
      </c>
      <c r="H67" s="457"/>
      <c r="I67" s="386">
        <f>+Table10[[#This Row],[Quantity]]*Table10[[#This Row],[Unit Price]]</f>
        <v>0</v>
      </c>
    </row>
    <row r="68" spans="1:9" x14ac:dyDescent="0.35">
      <c r="A68" s="183" t="s">
        <v>1008</v>
      </c>
      <c r="B68" s="99" t="s">
        <v>173</v>
      </c>
      <c r="C68" s="340"/>
      <c r="D68" s="115"/>
      <c r="E68" s="115">
        <v>55719</v>
      </c>
      <c r="F68" s="465"/>
      <c r="G68" s="26">
        <v>1</v>
      </c>
      <c r="H68" s="457"/>
      <c r="I68" s="386">
        <f>+Table10[[#This Row],[Quantity]]*Table10[[#This Row],[Unit Price]]</f>
        <v>0</v>
      </c>
    </row>
    <row r="69" spans="1:9" x14ac:dyDescent="0.35">
      <c r="A69" s="183" t="s">
        <v>899</v>
      </c>
      <c r="B69" s="99" t="s">
        <v>281</v>
      </c>
      <c r="C69" s="340"/>
      <c r="D69" s="115"/>
      <c r="E69" s="115">
        <v>55719</v>
      </c>
      <c r="F69" s="465"/>
      <c r="G69" s="26">
        <v>1</v>
      </c>
      <c r="H69" s="457"/>
      <c r="I69" s="386">
        <f>+Table10[[#This Row],[Quantity]]*Table10[[#This Row],[Unit Price]]</f>
        <v>0</v>
      </c>
    </row>
    <row r="70" spans="1:9" x14ac:dyDescent="0.35">
      <c r="A70" s="183" t="s">
        <v>1759</v>
      </c>
      <c r="B70" s="99" t="s">
        <v>280</v>
      </c>
      <c r="C70" s="340"/>
      <c r="D70" s="115"/>
      <c r="E70" s="115">
        <v>55719</v>
      </c>
      <c r="F70" s="465"/>
      <c r="G70" s="26">
        <v>1</v>
      </c>
      <c r="H70" s="457"/>
      <c r="I70" s="386">
        <f>+Table10[[#This Row],[Quantity]]*Table10[[#This Row],[Unit Price]]</f>
        <v>0</v>
      </c>
    </row>
    <row r="71" spans="1:9" x14ac:dyDescent="0.35">
      <c r="A71" s="183" t="s">
        <v>2334</v>
      </c>
      <c r="B71" s="99" t="s">
        <v>284</v>
      </c>
      <c r="C71" s="340"/>
      <c r="D71" s="115"/>
      <c r="E71" s="115">
        <v>55719</v>
      </c>
      <c r="F71" s="465"/>
      <c r="G71" s="26">
        <v>1</v>
      </c>
      <c r="H71" s="457"/>
      <c r="I71" s="386">
        <f>+Table10[[#This Row],[Quantity]]*Table10[[#This Row],[Unit Price]]</f>
        <v>0</v>
      </c>
    </row>
    <row r="72" spans="1:9" x14ac:dyDescent="0.35">
      <c r="A72" s="183" t="s">
        <v>1010</v>
      </c>
      <c r="B72" s="99" t="s">
        <v>114</v>
      </c>
      <c r="C72" s="340"/>
      <c r="D72" s="115"/>
      <c r="E72" s="115">
        <v>55719</v>
      </c>
      <c r="F72" s="465"/>
      <c r="G72" s="26">
        <v>1</v>
      </c>
      <c r="H72" s="457"/>
      <c r="I72" s="386">
        <f>+Table10[[#This Row],[Quantity]]*Table10[[#This Row],[Unit Price]]</f>
        <v>0</v>
      </c>
    </row>
    <row r="73" spans="1:9" x14ac:dyDescent="0.35">
      <c r="A73" s="183" t="s">
        <v>1762</v>
      </c>
      <c r="B73" s="99" t="s">
        <v>113</v>
      </c>
      <c r="C73" s="340"/>
      <c r="D73" s="115"/>
      <c r="E73" s="115">
        <v>55719</v>
      </c>
      <c r="F73" s="465"/>
      <c r="G73" s="26">
        <v>1</v>
      </c>
      <c r="H73" s="457"/>
      <c r="I73" s="386">
        <f>+Table10[[#This Row],[Quantity]]*Table10[[#This Row],[Unit Price]]</f>
        <v>0</v>
      </c>
    </row>
    <row r="74" spans="1:9" x14ac:dyDescent="0.35">
      <c r="A74" s="183" t="s">
        <v>898</v>
      </c>
      <c r="B74" s="99" t="s">
        <v>277</v>
      </c>
      <c r="C74" s="340"/>
      <c r="D74" s="115"/>
      <c r="E74" s="115">
        <v>55719</v>
      </c>
      <c r="F74" s="465"/>
      <c r="G74" s="26">
        <v>1</v>
      </c>
      <c r="H74" s="457"/>
      <c r="I74" s="386">
        <f>+Table10[[#This Row],[Quantity]]*Table10[[#This Row],[Unit Price]]</f>
        <v>0</v>
      </c>
    </row>
    <row r="75" spans="1:9" x14ac:dyDescent="0.35">
      <c r="A75" s="183" t="s">
        <v>146</v>
      </c>
      <c r="B75" s="99" t="s">
        <v>278</v>
      </c>
      <c r="C75" s="340"/>
      <c r="D75" s="115"/>
      <c r="E75" s="115">
        <v>55719</v>
      </c>
      <c r="F75" s="465"/>
      <c r="G75" s="26">
        <v>1</v>
      </c>
      <c r="H75" s="457"/>
      <c r="I75" s="386">
        <f>+Table10[[#This Row],[Quantity]]*Table10[[#This Row],[Unit Price]]</f>
        <v>0</v>
      </c>
    </row>
    <row r="76" spans="1:9" x14ac:dyDescent="0.35">
      <c r="A76" s="183" t="s">
        <v>1140</v>
      </c>
      <c r="B76" s="99" t="s">
        <v>315</v>
      </c>
      <c r="C76" s="340"/>
      <c r="D76" s="115"/>
      <c r="E76" s="115">
        <v>55719</v>
      </c>
      <c r="F76" s="465"/>
      <c r="G76" s="26">
        <v>1</v>
      </c>
      <c r="H76" s="457"/>
      <c r="I76" s="386">
        <f>+Table10[[#This Row],[Quantity]]*Table10[[#This Row],[Unit Price]]</f>
        <v>0</v>
      </c>
    </row>
    <row r="77" spans="1:9" x14ac:dyDescent="0.35">
      <c r="A77" s="183" t="s">
        <v>1139</v>
      </c>
      <c r="B77" s="99" t="s">
        <v>316</v>
      </c>
      <c r="C77" s="340"/>
      <c r="D77" s="115"/>
      <c r="E77" s="115">
        <v>55719</v>
      </c>
      <c r="F77" s="465"/>
      <c r="G77" s="26">
        <v>1</v>
      </c>
      <c r="H77" s="457"/>
      <c r="I77" s="386">
        <f>+Table10[[#This Row],[Quantity]]*Table10[[#This Row],[Unit Price]]</f>
        <v>0</v>
      </c>
    </row>
    <row r="78" spans="1:9" x14ac:dyDescent="0.35">
      <c r="A78" s="183" t="s">
        <v>1141</v>
      </c>
      <c r="B78" s="99" t="s">
        <v>317</v>
      </c>
      <c r="C78" s="340"/>
      <c r="D78" s="115"/>
      <c r="E78" s="115">
        <v>55719</v>
      </c>
      <c r="F78" s="465"/>
      <c r="G78" s="26">
        <v>1</v>
      </c>
      <c r="H78" s="457"/>
      <c r="I78" s="386">
        <f>+Table10[[#This Row],[Quantity]]*Table10[[#This Row],[Unit Price]]</f>
        <v>0</v>
      </c>
    </row>
    <row r="79" spans="1:9" x14ac:dyDescent="0.35">
      <c r="A79" s="183" t="s">
        <v>1142</v>
      </c>
      <c r="B79" s="99" t="s">
        <v>318</v>
      </c>
      <c r="C79" s="340"/>
      <c r="D79" s="115"/>
      <c r="E79" s="115">
        <v>55719</v>
      </c>
      <c r="F79" s="465"/>
      <c r="G79" s="26">
        <v>1</v>
      </c>
      <c r="H79" s="457"/>
      <c r="I79" s="386">
        <f>+Table10[[#This Row],[Quantity]]*Table10[[#This Row],[Unit Price]]</f>
        <v>0</v>
      </c>
    </row>
    <row r="80" spans="1:9" x14ac:dyDescent="0.35">
      <c r="A80" s="183" t="s">
        <v>913</v>
      </c>
      <c r="B80" s="99" t="s">
        <v>319</v>
      </c>
      <c r="C80" s="340"/>
      <c r="D80" s="115"/>
      <c r="E80" s="115">
        <v>55719</v>
      </c>
      <c r="F80" s="465"/>
      <c r="G80" s="26">
        <v>1</v>
      </c>
      <c r="H80" s="457"/>
      <c r="I80" s="386">
        <f>+Table10[[#This Row],[Quantity]]*Table10[[#This Row],[Unit Price]]</f>
        <v>0</v>
      </c>
    </row>
    <row r="81" spans="1:9" x14ac:dyDescent="0.35">
      <c r="A81" s="183" t="s">
        <v>1009</v>
      </c>
      <c r="B81" s="99" t="s">
        <v>320</v>
      </c>
      <c r="C81" s="340"/>
      <c r="D81" s="115"/>
      <c r="E81" s="115">
        <v>55719</v>
      </c>
      <c r="F81" s="465"/>
      <c r="G81" s="26">
        <v>1</v>
      </c>
      <c r="H81" s="457"/>
      <c r="I81" s="386">
        <f>+Table10[[#This Row],[Quantity]]*Table10[[#This Row],[Unit Price]]</f>
        <v>0</v>
      </c>
    </row>
    <row r="82" spans="1:9" x14ac:dyDescent="0.35">
      <c r="A82" s="183" t="s">
        <v>2093</v>
      </c>
      <c r="B82" s="99" t="s">
        <v>1936</v>
      </c>
      <c r="C82" s="340"/>
      <c r="D82" s="115"/>
      <c r="E82" s="115">
        <v>55719</v>
      </c>
      <c r="F82" s="465"/>
      <c r="G82" s="26">
        <v>1</v>
      </c>
      <c r="H82" s="457"/>
      <c r="I82" s="386">
        <f>+Table10[[#This Row],[Quantity]]*Table10[[#This Row],[Unit Price]]</f>
        <v>0</v>
      </c>
    </row>
    <row r="83" spans="1:9" x14ac:dyDescent="0.35">
      <c r="A83" s="183" t="s">
        <v>2092</v>
      </c>
      <c r="B83" s="99" t="s">
        <v>1937</v>
      </c>
      <c r="C83" s="340"/>
      <c r="D83" s="115"/>
      <c r="E83" s="115">
        <v>55719</v>
      </c>
      <c r="F83" s="465"/>
      <c r="G83" s="26">
        <v>1</v>
      </c>
      <c r="H83" s="457"/>
      <c r="I83" s="386">
        <f>+Table10[[#This Row],[Quantity]]*Table10[[#This Row],[Unit Price]]</f>
        <v>0</v>
      </c>
    </row>
    <row r="84" spans="1:9" x14ac:dyDescent="0.35">
      <c r="A84" s="183" t="s">
        <v>2344</v>
      </c>
      <c r="B84" s="99" t="s">
        <v>279</v>
      </c>
      <c r="C84" s="340"/>
      <c r="D84" s="115"/>
      <c r="E84" s="115">
        <v>55719</v>
      </c>
      <c r="F84" s="465"/>
      <c r="G84" s="26">
        <v>1</v>
      </c>
      <c r="H84" s="457"/>
      <c r="I84" s="386">
        <f>+Table10[[#This Row],[Quantity]]*Table10[[#This Row],[Unit Price]]</f>
        <v>0</v>
      </c>
    </row>
    <row r="85" spans="1:9" x14ac:dyDescent="0.35">
      <c r="A85" s="183" t="s">
        <v>2067</v>
      </c>
      <c r="B85" s="99" t="s">
        <v>1913</v>
      </c>
      <c r="C85" s="340"/>
      <c r="D85" s="115"/>
      <c r="E85" s="115">
        <v>55719</v>
      </c>
      <c r="F85" s="465"/>
      <c r="G85" s="26">
        <v>1</v>
      </c>
      <c r="H85" s="457"/>
      <c r="I85" s="386">
        <f>+Table10[[#This Row],[Quantity]]*Table10[[#This Row],[Unit Price]]</f>
        <v>0</v>
      </c>
    </row>
    <row r="86" spans="1:9" x14ac:dyDescent="0.35">
      <c r="A86" s="183" t="s">
        <v>2091</v>
      </c>
      <c r="B86" s="99" t="s">
        <v>1914</v>
      </c>
      <c r="C86" s="340"/>
      <c r="D86" s="115"/>
      <c r="E86" s="115">
        <v>55719</v>
      </c>
      <c r="F86" s="465"/>
      <c r="G86" s="26">
        <v>1</v>
      </c>
      <c r="H86" s="457"/>
      <c r="I86" s="386">
        <f>+Table10[[#This Row],[Quantity]]*Table10[[#This Row],[Unit Price]]</f>
        <v>0</v>
      </c>
    </row>
    <row r="87" spans="1:9" x14ac:dyDescent="0.35">
      <c r="A87" s="183" t="s">
        <v>2090</v>
      </c>
      <c r="B87" s="99" t="s">
        <v>1915</v>
      </c>
      <c r="C87" s="340"/>
      <c r="D87" s="115"/>
      <c r="E87" s="115">
        <v>55719</v>
      </c>
      <c r="F87" s="465"/>
      <c r="G87" s="26">
        <v>1</v>
      </c>
      <c r="H87" s="457"/>
      <c r="I87" s="386">
        <f>+Table10[[#This Row],[Quantity]]*Table10[[#This Row],[Unit Price]]</f>
        <v>0</v>
      </c>
    </row>
    <row r="88" spans="1:9" x14ac:dyDescent="0.35">
      <c r="A88" s="209" t="s">
        <v>2089</v>
      </c>
      <c r="B88" s="99" t="s">
        <v>1916</v>
      </c>
      <c r="C88" s="340"/>
      <c r="D88" s="115"/>
      <c r="E88" s="115">
        <v>55719</v>
      </c>
      <c r="F88" s="465"/>
      <c r="G88" s="26">
        <v>1</v>
      </c>
      <c r="H88" s="457"/>
      <c r="I88" s="386">
        <f>+Table10[[#This Row],[Quantity]]*Table10[[#This Row],[Unit Price]]</f>
        <v>0</v>
      </c>
    </row>
    <row r="89" spans="1:9" x14ac:dyDescent="0.35">
      <c r="A89" s="209" t="s">
        <v>2088</v>
      </c>
      <c r="B89" s="99" t="s">
        <v>1917</v>
      </c>
      <c r="C89" s="340"/>
      <c r="D89" s="115"/>
      <c r="E89" s="115">
        <v>55719</v>
      </c>
      <c r="F89" s="465"/>
      <c r="G89" s="26">
        <v>1</v>
      </c>
      <c r="H89" s="457"/>
      <c r="I89" s="386">
        <f>+Table10[[#This Row],[Quantity]]*Table10[[#This Row],[Unit Price]]</f>
        <v>0</v>
      </c>
    </row>
    <row r="90" spans="1:9" x14ac:dyDescent="0.35">
      <c r="A90" s="183" t="s">
        <v>2087</v>
      </c>
      <c r="B90" s="99" t="s">
        <v>1918</v>
      </c>
      <c r="C90" s="340"/>
      <c r="D90" s="115"/>
      <c r="E90" s="115">
        <v>55719</v>
      </c>
      <c r="F90" s="465"/>
      <c r="G90" s="26">
        <v>1</v>
      </c>
      <c r="H90" s="457"/>
      <c r="I90" s="386">
        <f>+Table10[[#This Row],[Quantity]]*Table10[[#This Row],[Unit Price]]</f>
        <v>0</v>
      </c>
    </row>
    <row r="91" spans="1:9" x14ac:dyDescent="0.35">
      <c r="A91" s="183" t="s">
        <v>2086</v>
      </c>
      <c r="B91" s="99" t="s">
        <v>1919</v>
      </c>
      <c r="C91" s="340"/>
      <c r="D91" s="115"/>
      <c r="E91" s="115">
        <v>55719</v>
      </c>
      <c r="F91" s="465"/>
      <c r="G91" s="26">
        <v>1</v>
      </c>
      <c r="H91" s="457"/>
      <c r="I91" s="386">
        <f>+Table10[[#This Row],[Quantity]]*Table10[[#This Row],[Unit Price]]</f>
        <v>0</v>
      </c>
    </row>
    <row r="92" spans="1:9" x14ac:dyDescent="0.35">
      <c r="A92" s="183" t="s">
        <v>2085</v>
      </c>
      <c r="B92" s="99" t="s">
        <v>1920</v>
      </c>
      <c r="C92" s="340"/>
      <c r="D92" s="115"/>
      <c r="E92" s="115">
        <v>55719</v>
      </c>
      <c r="F92" s="465"/>
      <c r="G92" s="26">
        <v>1</v>
      </c>
      <c r="H92" s="457"/>
      <c r="I92" s="386">
        <f>+Table10[[#This Row],[Quantity]]*Table10[[#This Row],[Unit Price]]</f>
        <v>0</v>
      </c>
    </row>
    <row r="93" spans="1:9" x14ac:dyDescent="0.35">
      <c r="A93" s="183" t="s">
        <v>2084</v>
      </c>
      <c r="B93" s="99" t="s">
        <v>1921</v>
      </c>
      <c r="C93" s="340"/>
      <c r="D93" s="115"/>
      <c r="E93" s="115">
        <v>55719</v>
      </c>
      <c r="F93" s="465"/>
      <c r="G93" s="26">
        <v>1</v>
      </c>
      <c r="H93" s="457"/>
      <c r="I93" s="386">
        <f>+Table10[[#This Row],[Quantity]]*Table10[[#This Row],[Unit Price]]</f>
        <v>0</v>
      </c>
    </row>
    <row r="94" spans="1:9" x14ac:dyDescent="0.35">
      <c r="A94" s="183" t="s">
        <v>2083</v>
      </c>
      <c r="B94" s="99" t="s">
        <v>1922</v>
      </c>
      <c r="C94" s="340"/>
      <c r="D94" s="115"/>
      <c r="E94" s="115">
        <v>55719</v>
      </c>
      <c r="F94" s="465"/>
      <c r="G94" s="26">
        <v>1</v>
      </c>
      <c r="H94" s="457"/>
      <c r="I94" s="386">
        <f>+Table10[[#This Row],[Quantity]]*Table10[[#This Row],[Unit Price]]</f>
        <v>0</v>
      </c>
    </row>
    <row r="95" spans="1:9" x14ac:dyDescent="0.35">
      <c r="A95" s="183" t="s">
        <v>2082</v>
      </c>
      <c r="B95" s="99" t="s">
        <v>1923</v>
      </c>
      <c r="C95" s="340"/>
      <c r="D95" s="115"/>
      <c r="E95" s="115">
        <v>55719</v>
      </c>
      <c r="F95" s="465"/>
      <c r="G95" s="26">
        <v>1</v>
      </c>
      <c r="H95" s="457"/>
      <c r="I95" s="386">
        <f>+Table10[[#This Row],[Quantity]]*Table10[[#This Row],[Unit Price]]</f>
        <v>0</v>
      </c>
    </row>
    <row r="96" spans="1:9" x14ac:dyDescent="0.35">
      <c r="A96" s="209" t="s">
        <v>2081</v>
      </c>
      <c r="B96" s="99" t="s">
        <v>1924</v>
      </c>
      <c r="C96" s="340"/>
      <c r="D96" s="207"/>
      <c r="E96" s="207">
        <v>55719</v>
      </c>
      <c r="F96" s="465"/>
      <c r="G96" s="200">
        <v>1</v>
      </c>
      <c r="H96" s="457"/>
      <c r="I96" s="386">
        <f>+Table10[[#This Row],[Quantity]]*Table10[[#This Row],[Unit Price]]</f>
        <v>0</v>
      </c>
    </row>
    <row r="97" spans="1:9" x14ac:dyDescent="0.35">
      <c r="A97" s="183" t="s">
        <v>2529</v>
      </c>
      <c r="B97" s="99" t="s">
        <v>727</v>
      </c>
      <c r="C97" s="340"/>
      <c r="D97" s="115"/>
      <c r="E97" s="115">
        <v>55719</v>
      </c>
      <c r="F97" s="465"/>
      <c r="G97" s="26">
        <v>1</v>
      </c>
      <c r="H97" s="457"/>
      <c r="I97" s="386">
        <f>+Table10[[#This Row],[Quantity]]*Table10[[#This Row],[Unit Price]]</f>
        <v>0</v>
      </c>
    </row>
    <row r="98" spans="1:9" x14ac:dyDescent="0.35">
      <c r="A98" s="183" t="s">
        <v>2080</v>
      </c>
      <c r="B98" s="99" t="s">
        <v>1925</v>
      </c>
      <c r="C98" s="340"/>
      <c r="D98" s="115"/>
      <c r="E98" s="115">
        <v>55719</v>
      </c>
      <c r="F98" s="465"/>
      <c r="G98" s="26">
        <v>1</v>
      </c>
      <c r="H98" s="457"/>
      <c r="I98" s="386">
        <f>+Table10[[#This Row],[Quantity]]*Table10[[#This Row],[Unit Price]]</f>
        <v>0</v>
      </c>
    </row>
    <row r="99" spans="1:9" x14ac:dyDescent="0.35">
      <c r="A99" s="183" t="s">
        <v>2079</v>
      </c>
      <c r="B99" s="99" t="s">
        <v>1926</v>
      </c>
      <c r="C99" s="340"/>
      <c r="D99" s="115"/>
      <c r="E99" s="115">
        <v>55719</v>
      </c>
      <c r="F99" s="465"/>
      <c r="G99" s="26">
        <v>1</v>
      </c>
      <c r="H99" s="457"/>
      <c r="I99" s="386">
        <f>+Table10[[#This Row],[Quantity]]*Table10[[#This Row],[Unit Price]]</f>
        <v>0</v>
      </c>
    </row>
    <row r="100" spans="1:9" x14ac:dyDescent="0.35">
      <c r="A100" s="183" t="s">
        <v>2078</v>
      </c>
      <c r="B100" s="99" t="s">
        <v>1927</v>
      </c>
      <c r="C100" s="340"/>
      <c r="D100" s="115"/>
      <c r="E100" s="115">
        <v>55719</v>
      </c>
      <c r="F100" s="465"/>
      <c r="G100" s="26">
        <v>1</v>
      </c>
      <c r="H100" s="457"/>
      <c r="I100" s="386">
        <f>+Table10[[#This Row],[Quantity]]*Table10[[#This Row],[Unit Price]]</f>
        <v>0</v>
      </c>
    </row>
    <row r="101" spans="1:9" x14ac:dyDescent="0.35">
      <c r="A101" s="183" t="s">
        <v>2077</v>
      </c>
      <c r="B101" s="99" t="s">
        <v>1928</v>
      </c>
      <c r="C101" s="340"/>
      <c r="D101" s="115"/>
      <c r="E101" s="115">
        <v>55719</v>
      </c>
      <c r="F101" s="465"/>
      <c r="G101" s="26">
        <v>1</v>
      </c>
      <c r="H101" s="457"/>
      <c r="I101" s="386">
        <f>+Table10[[#This Row],[Quantity]]*Table10[[#This Row],[Unit Price]]</f>
        <v>0</v>
      </c>
    </row>
    <row r="102" spans="1:9" x14ac:dyDescent="0.35">
      <c r="A102" s="183" t="s">
        <v>2076</v>
      </c>
      <c r="B102" s="99" t="s">
        <v>1929</v>
      </c>
      <c r="C102" s="340"/>
      <c r="D102" s="115"/>
      <c r="E102" s="115">
        <v>55719</v>
      </c>
      <c r="F102" s="465"/>
      <c r="G102" s="26">
        <v>1</v>
      </c>
      <c r="H102" s="457"/>
      <c r="I102" s="386">
        <f>+Table10[[#This Row],[Quantity]]*Table10[[#This Row],[Unit Price]]</f>
        <v>0</v>
      </c>
    </row>
    <row r="103" spans="1:9" x14ac:dyDescent="0.35">
      <c r="A103" s="183" t="s">
        <v>2075</v>
      </c>
      <c r="B103" s="99" t="s">
        <v>1930</v>
      </c>
      <c r="C103" s="340"/>
      <c r="D103" s="115"/>
      <c r="E103" s="115">
        <v>55719</v>
      </c>
      <c r="F103" s="465"/>
      <c r="G103" s="26">
        <v>1</v>
      </c>
      <c r="H103" s="457"/>
      <c r="I103" s="386">
        <f>+Table10[[#This Row],[Quantity]]*Table10[[#This Row],[Unit Price]]</f>
        <v>0</v>
      </c>
    </row>
    <row r="104" spans="1:9" x14ac:dyDescent="0.35">
      <c r="A104" s="183" t="s">
        <v>2074</v>
      </c>
      <c r="B104" s="99" t="s">
        <v>1931</v>
      </c>
      <c r="C104" s="340"/>
      <c r="D104" s="115"/>
      <c r="E104" s="115">
        <v>55719</v>
      </c>
      <c r="F104" s="465"/>
      <c r="G104" s="26">
        <v>1</v>
      </c>
      <c r="H104" s="457"/>
      <c r="I104" s="386">
        <f>+Table10[[#This Row],[Quantity]]*Table10[[#This Row],[Unit Price]]</f>
        <v>0</v>
      </c>
    </row>
    <row r="105" spans="1:9" x14ac:dyDescent="0.35">
      <c r="A105" s="183" t="s">
        <v>2073</v>
      </c>
      <c r="B105" s="99" t="s">
        <v>1932</v>
      </c>
      <c r="C105" s="340"/>
      <c r="D105" s="115"/>
      <c r="E105" s="115">
        <v>55719</v>
      </c>
      <c r="F105" s="465"/>
      <c r="G105" s="26">
        <v>1</v>
      </c>
      <c r="H105" s="457"/>
      <c r="I105" s="386">
        <f>+Table10[[#This Row],[Quantity]]*Table10[[#This Row],[Unit Price]]</f>
        <v>0</v>
      </c>
    </row>
    <row r="106" spans="1:9" x14ac:dyDescent="0.35">
      <c r="A106" s="183" t="s">
        <v>2072</v>
      </c>
      <c r="B106" s="99" t="s">
        <v>1933</v>
      </c>
      <c r="C106" s="340"/>
      <c r="D106" s="115"/>
      <c r="E106" s="115">
        <v>55719</v>
      </c>
      <c r="F106" s="465"/>
      <c r="G106" s="26">
        <v>1</v>
      </c>
      <c r="H106" s="457"/>
      <c r="I106" s="386">
        <f>+Table10[[#This Row],[Quantity]]*Table10[[#This Row],[Unit Price]]</f>
        <v>0</v>
      </c>
    </row>
    <row r="107" spans="1:9" x14ac:dyDescent="0.35">
      <c r="A107" s="183" t="s">
        <v>2071</v>
      </c>
      <c r="B107" s="99" t="s">
        <v>1934</v>
      </c>
      <c r="C107" s="340"/>
      <c r="D107" s="115"/>
      <c r="E107" s="115">
        <v>55719</v>
      </c>
      <c r="F107" s="465"/>
      <c r="G107" s="26">
        <v>1</v>
      </c>
      <c r="H107" s="457"/>
      <c r="I107" s="386">
        <f>+Table10[[#This Row],[Quantity]]*Table10[[#This Row],[Unit Price]]</f>
        <v>0</v>
      </c>
    </row>
    <row r="108" spans="1:9" x14ac:dyDescent="0.35">
      <c r="A108" s="183" t="s">
        <v>2070</v>
      </c>
      <c r="B108" s="99" t="s">
        <v>1935</v>
      </c>
      <c r="C108" s="340"/>
      <c r="D108" s="115"/>
      <c r="E108" s="115">
        <v>55719</v>
      </c>
      <c r="F108" s="465"/>
      <c r="G108" s="26">
        <v>1</v>
      </c>
      <c r="H108" s="457"/>
      <c r="I108" s="386">
        <f>+Table10[[#This Row],[Quantity]]*Table10[[#This Row],[Unit Price]]</f>
        <v>0</v>
      </c>
    </row>
    <row r="109" spans="1:9" x14ac:dyDescent="0.35">
      <c r="A109" s="183" t="s">
        <v>2069</v>
      </c>
      <c r="B109" s="99" t="s">
        <v>1911</v>
      </c>
      <c r="C109" s="340"/>
      <c r="D109" s="115"/>
      <c r="E109" s="115">
        <v>55719</v>
      </c>
      <c r="F109" s="465"/>
      <c r="G109" s="26">
        <v>1</v>
      </c>
      <c r="H109" s="457"/>
      <c r="I109" s="386">
        <f>+Table10[[#This Row],[Quantity]]*Table10[[#This Row],[Unit Price]]</f>
        <v>0</v>
      </c>
    </row>
    <row r="110" spans="1:9" x14ac:dyDescent="0.35">
      <c r="A110" s="183" t="s">
        <v>1147</v>
      </c>
      <c r="B110" s="99" t="s">
        <v>305</v>
      </c>
      <c r="C110" s="340"/>
      <c r="D110" s="115"/>
      <c r="E110" s="115">
        <v>55719</v>
      </c>
      <c r="F110" s="465"/>
      <c r="G110" s="26">
        <v>1</v>
      </c>
      <c r="H110" s="457"/>
      <c r="I110" s="386">
        <f>+Table10[[#This Row],[Quantity]]*Table10[[#This Row],[Unit Price]]</f>
        <v>0</v>
      </c>
    </row>
    <row r="111" spans="1:9" x14ac:dyDescent="0.35">
      <c r="A111" s="183" t="s">
        <v>1030</v>
      </c>
      <c r="B111" s="99" t="s">
        <v>306</v>
      </c>
      <c r="C111" s="340"/>
      <c r="D111" s="115"/>
      <c r="E111" s="115">
        <v>55719</v>
      </c>
      <c r="F111" s="465"/>
      <c r="G111" s="26">
        <v>1</v>
      </c>
      <c r="H111" s="457"/>
      <c r="I111" s="386">
        <f>+Table10[[#This Row],[Quantity]]*Table10[[#This Row],[Unit Price]]</f>
        <v>0</v>
      </c>
    </row>
    <row r="112" spans="1:9" x14ac:dyDescent="0.35">
      <c r="A112" s="183" t="s">
        <v>1148</v>
      </c>
      <c r="B112" s="99" t="s">
        <v>307</v>
      </c>
      <c r="C112" s="340"/>
      <c r="D112" s="115"/>
      <c r="E112" s="115">
        <v>55719</v>
      </c>
      <c r="F112" s="465"/>
      <c r="G112" s="26">
        <v>1</v>
      </c>
      <c r="H112" s="457"/>
      <c r="I112" s="386">
        <f>+Table10[[#This Row],[Quantity]]*Table10[[#This Row],[Unit Price]]</f>
        <v>0</v>
      </c>
    </row>
    <row r="113" spans="1:9" x14ac:dyDescent="0.35">
      <c r="A113" s="183" t="s">
        <v>1149</v>
      </c>
      <c r="B113" s="99" t="s">
        <v>308</v>
      </c>
      <c r="C113" s="340"/>
      <c r="D113" s="115"/>
      <c r="E113" s="115">
        <v>55719</v>
      </c>
      <c r="F113" s="465"/>
      <c r="G113" s="26">
        <v>1</v>
      </c>
      <c r="H113" s="457"/>
      <c r="I113" s="386">
        <f>+Table10[[#This Row],[Quantity]]*Table10[[#This Row],[Unit Price]]</f>
        <v>0</v>
      </c>
    </row>
    <row r="114" spans="1:9" x14ac:dyDescent="0.35">
      <c r="A114" s="183" t="s">
        <v>1150</v>
      </c>
      <c r="B114" s="99" t="s">
        <v>309</v>
      </c>
      <c r="C114" s="340"/>
      <c r="D114" s="115"/>
      <c r="E114" s="115">
        <v>55719</v>
      </c>
      <c r="F114" s="465"/>
      <c r="G114" s="26">
        <v>1</v>
      </c>
      <c r="H114" s="457"/>
      <c r="I114" s="386">
        <f>+Table10[[#This Row],[Quantity]]*Table10[[#This Row],[Unit Price]]</f>
        <v>0</v>
      </c>
    </row>
    <row r="115" spans="1:9" x14ac:dyDescent="0.35">
      <c r="A115" s="183" t="s">
        <v>1016</v>
      </c>
      <c r="B115" s="99" t="s">
        <v>310</v>
      </c>
      <c r="C115" s="340"/>
      <c r="D115" s="115"/>
      <c r="E115" s="115">
        <v>55719</v>
      </c>
      <c r="F115" s="465"/>
      <c r="G115" s="26">
        <v>1</v>
      </c>
      <c r="H115" s="457"/>
      <c r="I115" s="386">
        <f>+Table10[[#This Row],[Quantity]]*Table10[[#This Row],[Unit Price]]</f>
        <v>0</v>
      </c>
    </row>
    <row r="116" spans="1:9" x14ac:dyDescent="0.35">
      <c r="A116" s="183" t="s">
        <v>2094</v>
      </c>
      <c r="B116" s="99" t="s">
        <v>1948</v>
      </c>
      <c r="C116" s="340"/>
      <c r="D116" s="115"/>
      <c r="E116" s="115">
        <v>55719</v>
      </c>
      <c r="F116" s="465"/>
      <c r="G116" s="26">
        <v>1</v>
      </c>
      <c r="H116" s="457"/>
      <c r="I116" s="386">
        <f>+Table10[[#This Row],[Quantity]]*Table10[[#This Row],[Unit Price]]</f>
        <v>0</v>
      </c>
    </row>
    <row r="117" spans="1:9" x14ac:dyDescent="0.35">
      <c r="A117" s="183" t="s">
        <v>2095</v>
      </c>
      <c r="B117" s="99" t="s">
        <v>1949</v>
      </c>
      <c r="C117" s="340"/>
      <c r="D117" s="115"/>
      <c r="E117" s="115">
        <v>55719</v>
      </c>
      <c r="F117" s="465"/>
      <c r="G117" s="26">
        <v>1</v>
      </c>
      <c r="H117" s="457"/>
      <c r="I117" s="386">
        <f>+Table10[[#This Row],[Quantity]]*Table10[[#This Row],[Unit Price]]</f>
        <v>0</v>
      </c>
    </row>
    <row r="118" spans="1:9" x14ac:dyDescent="0.35">
      <c r="A118" s="183" t="s">
        <v>1693</v>
      </c>
      <c r="B118" s="99" t="s">
        <v>1694</v>
      </c>
      <c r="C118" s="340"/>
      <c r="D118" s="115"/>
      <c r="E118" s="115">
        <v>55719</v>
      </c>
      <c r="F118" s="465"/>
      <c r="G118" s="26">
        <v>1</v>
      </c>
      <c r="H118" s="457"/>
      <c r="I118" s="386">
        <f>+Table10[[#This Row],[Quantity]]*Table10[[#This Row],[Unit Price]]</f>
        <v>0</v>
      </c>
    </row>
    <row r="119" spans="1:9" x14ac:dyDescent="0.35">
      <c r="A119" s="183" t="s">
        <v>900</v>
      </c>
      <c r="B119" s="99" t="s">
        <v>301</v>
      </c>
      <c r="C119" s="340"/>
      <c r="D119" s="115"/>
      <c r="E119" s="115">
        <v>55719</v>
      </c>
      <c r="F119" s="465"/>
      <c r="G119" s="26">
        <v>2</v>
      </c>
      <c r="H119" s="457"/>
      <c r="I119" s="386">
        <f>+Table10[[#This Row],[Quantity]]*Table10[[#This Row],[Unit Price]]</f>
        <v>0</v>
      </c>
    </row>
    <row r="120" spans="1:9" x14ac:dyDescent="0.35">
      <c r="A120" s="183" t="s">
        <v>922</v>
      </c>
      <c r="B120" s="99" t="s">
        <v>302</v>
      </c>
      <c r="C120" s="340"/>
      <c r="D120" s="115"/>
      <c r="E120" s="115">
        <v>55719</v>
      </c>
      <c r="F120" s="465"/>
      <c r="G120" s="26">
        <v>1</v>
      </c>
      <c r="H120" s="457"/>
      <c r="I120" s="386">
        <f>+Table10[[#This Row],[Quantity]]*Table10[[#This Row],[Unit Price]]</f>
        <v>0</v>
      </c>
    </row>
    <row r="121" spans="1:9" x14ac:dyDescent="0.35">
      <c r="A121" s="183" t="s">
        <v>1151</v>
      </c>
      <c r="B121" s="99" t="s">
        <v>303</v>
      </c>
      <c r="C121" s="340"/>
      <c r="D121" s="115"/>
      <c r="E121" s="115">
        <v>55719</v>
      </c>
      <c r="F121" s="465"/>
      <c r="G121" s="26">
        <v>1</v>
      </c>
      <c r="H121" s="457"/>
      <c r="I121" s="386">
        <f>+Table10[[#This Row],[Quantity]]*Table10[[#This Row],[Unit Price]]</f>
        <v>0</v>
      </c>
    </row>
    <row r="122" spans="1:9" x14ac:dyDescent="0.35">
      <c r="A122" s="183" t="s">
        <v>1152</v>
      </c>
      <c r="B122" s="99" t="s">
        <v>304</v>
      </c>
      <c r="C122" s="340"/>
      <c r="D122" s="115"/>
      <c r="E122" s="115">
        <v>55719</v>
      </c>
      <c r="F122" s="465"/>
      <c r="G122" s="26">
        <v>1</v>
      </c>
      <c r="H122" s="457"/>
      <c r="I122" s="386">
        <f>+Table10[[#This Row],[Quantity]]*Table10[[#This Row],[Unit Price]]</f>
        <v>0</v>
      </c>
    </row>
    <row r="123" spans="1:9" x14ac:dyDescent="0.35">
      <c r="A123" s="183" t="s">
        <v>2096</v>
      </c>
      <c r="B123" s="99" t="s">
        <v>1938</v>
      </c>
      <c r="C123" s="340"/>
      <c r="D123" s="115"/>
      <c r="E123" s="115">
        <v>55719</v>
      </c>
      <c r="F123" s="465"/>
      <c r="G123" s="26">
        <v>1</v>
      </c>
      <c r="H123" s="457"/>
      <c r="I123" s="386">
        <f>+Table10[[#This Row],[Quantity]]*Table10[[#This Row],[Unit Price]]</f>
        <v>0</v>
      </c>
    </row>
    <row r="124" spans="1:9" x14ac:dyDescent="0.35">
      <c r="A124" s="183" t="s">
        <v>2097</v>
      </c>
      <c r="B124" s="99" t="s">
        <v>1939</v>
      </c>
      <c r="C124" s="340"/>
      <c r="D124" s="115"/>
      <c r="E124" s="115">
        <v>55719</v>
      </c>
      <c r="F124" s="465"/>
      <c r="G124" s="26">
        <v>1</v>
      </c>
      <c r="H124" s="457"/>
      <c r="I124" s="386">
        <f>+Table10[[#This Row],[Quantity]]*Table10[[#This Row],[Unit Price]]</f>
        <v>0</v>
      </c>
    </row>
    <row r="125" spans="1:9" x14ac:dyDescent="0.35">
      <c r="A125" s="183" t="s">
        <v>2098</v>
      </c>
      <c r="B125" s="99" t="s">
        <v>1940</v>
      </c>
      <c r="C125" s="340"/>
      <c r="D125" s="115"/>
      <c r="E125" s="115">
        <v>55719</v>
      </c>
      <c r="F125" s="465"/>
      <c r="G125" s="26">
        <v>1</v>
      </c>
      <c r="H125" s="457"/>
      <c r="I125" s="386">
        <f>+Table10[[#This Row],[Quantity]]*Table10[[#This Row],[Unit Price]]</f>
        <v>0</v>
      </c>
    </row>
    <row r="126" spans="1:9" x14ac:dyDescent="0.35">
      <c r="A126" s="183" t="s">
        <v>2099</v>
      </c>
      <c r="B126" s="99" t="s">
        <v>1941</v>
      </c>
      <c r="C126" s="340"/>
      <c r="D126" s="115"/>
      <c r="E126" s="115">
        <v>55719</v>
      </c>
      <c r="F126" s="465"/>
      <c r="G126" s="26">
        <v>1</v>
      </c>
      <c r="H126" s="457"/>
      <c r="I126" s="386">
        <f>+Table10[[#This Row],[Quantity]]*Table10[[#This Row],[Unit Price]]</f>
        <v>0</v>
      </c>
    </row>
    <row r="127" spans="1:9" x14ac:dyDescent="0.35">
      <c r="A127" s="183" t="s">
        <v>2100</v>
      </c>
      <c r="B127" s="99" t="s">
        <v>1942</v>
      </c>
      <c r="C127" s="340"/>
      <c r="D127" s="115"/>
      <c r="E127" s="115">
        <v>55719</v>
      </c>
      <c r="F127" s="465"/>
      <c r="G127" s="26">
        <v>1</v>
      </c>
      <c r="H127" s="457"/>
      <c r="I127" s="386">
        <f>+Table10[[#This Row],[Quantity]]*Table10[[#This Row],[Unit Price]]</f>
        <v>0</v>
      </c>
    </row>
    <row r="128" spans="1:9" x14ac:dyDescent="0.35">
      <c r="A128" s="183" t="s">
        <v>2101</v>
      </c>
      <c r="B128" s="99" t="s">
        <v>1943</v>
      </c>
      <c r="C128" s="340"/>
      <c r="D128" s="115"/>
      <c r="E128" s="115">
        <v>55719</v>
      </c>
      <c r="F128" s="465"/>
      <c r="G128" s="26">
        <v>1</v>
      </c>
      <c r="H128" s="457"/>
      <c r="I128" s="386">
        <f>+Table10[[#This Row],[Quantity]]*Table10[[#This Row],[Unit Price]]</f>
        <v>0</v>
      </c>
    </row>
    <row r="129" spans="1:9" x14ac:dyDescent="0.35">
      <c r="A129" s="183" t="s">
        <v>2102</v>
      </c>
      <c r="B129" s="99" t="s">
        <v>1944</v>
      </c>
      <c r="C129" s="340"/>
      <c r="D129" s="115"/>
      <c r="E129" s="115">
        <v>55719</v>
      </c>
      <c r="F129" s="465"/>
      <c r="G129" s="26">
        <v>1</v>
      </c>
      <c r="H129" s="457"/>
      <c r="I129" s="386">
        <f>+Table10[[#This Row],[Quantity]]*Table10[[#This Row],[Unit Price]]</f>
        <v>0</v>
      </c>
    </row>
    <row r="130" spans="1:9" x14ac:dyDescent="0.35">
      <c r="A130" s="183" t="s">
        <v>2103</v>
      </c>
      <c r="B130" s="99" t="s">
        <v>1945</v>
      </c>
      <c r="C130" s="340"/>
      <c r="D130" s="115"/>
      <c r="E130" s="115">
        <v>55719</v>
      </c>
      <c r="F130" s="465"/>
      <c r="G130" s="26">
        <v>1</v>
      </c>
      <c r="H130" s="457"/>
      <c r="I130" s="386">
        <f>+Table10[[#This Row],[Quantity]]*Table10[[#This Row],[Unit Price]]</f>
        <v>0</v>
      </c>
    </row>
    <row r="131" spans="1:9" x14ac:dyDescent="0.35">
      <c r="A131" s="183" t="s">
        <v>2104</v>
      </c>
      <c r="B131" s="99" t="s">
        <v>1946</v>
      </c>
      <c r="C131" s="340"/>
      <c r="D131" s="115"/>
      <c r="E131" s="115">
        <v>55719</v>
      </c>
      <c r="F131" s="465"/>
      <c r="G131" s="26">
        <v>1</v>
      </c>
      <c r="H131" s="457"/>
      <c r="I131" s="386">
        <f>+Table10[[#This Row],[Quantity]]*Table10[[#This Row],[Unit Price]]</f>
        <v>0</v>
      </c>
    </row>
    <row r="132" spans="1:9" x14ac:dyDescent="0.35">
      <c r="A132" s="183" t="s">
        <v>2105</v>
      </c>
      <c r="B132" s="99" t="s">
        <v>1947</v>
      </c>
      <c r="C132" s="340"/>
      <c r="D132" s="115"/>
      <c r="E132" s="115">
        <v>55719</v>
      </c>
      <c r="F132" s="465"/>
      <c r="G132" s="26">
        <v>1</v>
      </c>
      <c r="H132" s="457"/>
      <c r="I132" s="386">
        <f>+Table10[[#This Row],[Quantity]]*Table10[[#This Row],[Unit Price]]</f>
        <v>0</v>
      </c>
    </row>
    <row r="133" spans="1:9" x14ac:dyDescent="0.35">
      <c r="A133" s="183" t="s">
        <v>2013</v>
      </c>
      <c r="B133" s="99" t="s">
        <v>2014</v>
      </c>
      <c r="C133" s="340"/>
      <c r="D133" s="115"/>
      <c r="E133" s="115">
        <v>55719</v>
      </c>
      <c r="F133" s="465"/>
      <c r="G133" s="26">
        <v>1</v>
      </c>
      <c r="H133" s="457"/>
      <c r="I133" s="386">
        <f>+Table10[[#This Row],[Quantity]]*Table10[[#This Row],[Unit Price]]</f>
        <v>0</v>
      </c>
    </row>
    <row r="134" spans="1:9" x14ac:dyDescent="0.35">
      <c r="A134" s="183" t="s">
        <v>2365</v>
      </c>
      <c r="B134" s="99" t="s">
        <v>610</v>
      </c>
      <c r="C134" s="340"/>
      <c r="D134" s="115"/>
      <c r="E134" s="115">
        <v>55719</v>
      </c>
      <c r="F134" s="465"/>
      <c r="G134" s="26">
        <v>2</v>
      </c>
      <c r="H134" s="457"/>
      <c r="I134" s="386">
        <f>+Table10[[#This Row],[Quantity]]*Table10[[#This Row],[Unit Price]]</f>
        <v>0</v>
      </c>
    </row>
    <row r="135" spans="1:9" x14ac:dyDescent="0.35">
      <c r="A135" s="183" t="s">
        <v>1336</v>
      </c>
      <c r="B135" s="99" t="s">
        <v>520</v>
      </c>
      <c r="C135" s="340"/>
      <c r="D135" s="115"/>
      <c r="E135" s="115">
        <v>55719</v>
      </c>
      <c r="F135" s="465"/>
      <c r="G135" s="26">
        <v>1</v>
      </c>
      <c r="H135" s="457"/>
      <c r="I135" s="386">
        <f>+Table10[[#This Row],[Quantity]]*Table10[[#This Row],[Unit Price]]</f>
        <v>0</v>
      </c>
    </row>
    <row r="136" spans="1:9" x14ac:dyDescent="0.35">
      <c r="A136" s="183" t="s">
        <v>1348</v>
      </c>
      <c r="B136" s="99" t="s">
        <v>518</v>
      </c>
      <c r="C136" s="340"/>
      <c r="D136" s="115"/>
      <c r="E136" s="115">
        <v>55719</v>
      </c>
      <c r="F136" s="465"/>
      <c r="G136" s="26">
        <v>1</v>
      </c>
      <c r="H136" s="457"/>
      <c r="I136" s="386">
        <f>+Table10[[#This Row],[Quantity]]*Table10[[#This Row],[Unit Price]]</f>
        <v>0</v>
      </c>
    </row>
    <row r="137" spans="1:9" x14ac:dyDescent="0.35">
      <c r="A137" s="183" t="s">
        <v>1350</v>
      </c>
      <c r="B137" s="99" t="s">
        <v>521</v>
      </c>
      <c r="C137" s="340"/>
      <c r="D137" s="115"/>
      <c r="E137" s="115">
        <v>55719</v>
      </c>
      <c r="F137" s="465"/>
      <c r="G137" s="26">
        <v>1</v>
      </c>
      <c r="H137" s="457"/>
      <c r="I137" s="386">
        <f>+Table10[[#This Row],[Quantity]]*Table10[[#This Row],[Unit Price]]</f>
        <v>0</v>
      </c>
    </row>
    <row r="138" spans="1:9" x14ac:dyDescent="0.35">
      <c r="A138" s="183" t="s">
        <v>1351</v>
      </c>
      <c r="B138" s="99" t="s">
        <v>519</v>
      </c>
      <c r="C138" s="340"/>
      <c r="D138" s="115"/>
      <c r="E138" s="115">
        <v>55719</v>
      </c>
      <c r="F138" s="465"/>
      <c r="G138" s="26">
        <v>1</v>
      </c>
      <c r="H138" s="457"/>
      <c r="I138" s="386">
        <f>+Table10[[#This Row],[Quantity]]*Table10[[#This Row],[Unit Price]]</f>
        <v>0</v>
      </c>
    </row>
    <row r="139" spans="1:9" x14ac:dyDescent="0.35">
      <c r="A139" s="183" t="s">
        <v>1352</v>
      </c>
      <c r="B139" s="99" t="s">
        <v>517</v>
      </c>
      <c r="C139" s="340"/>
      <c r="D139" s="115"/>
      <c r="E139" s="115">
        <v>55719</v>
      </c>
      <c r="F139" s="465"/>
      <c r="G139" s="26">
        <v>1</v>
      </c>
      <c r="H139" s="457"/>
      <c r="I139" s="386">
        <f>+Table10[[#This Row],[Quantity]]*Table10[[#This Row],[Unit Price]]</f>
        <v>0</v>
      </c>
    </row>
    <row r="140" spans="1:9" x14ac:dyDescent="0.35">
      <c r="A140" s="183" t="s">
        <v>2203</v>
      </c>
      <c r="B140" s="99" t="s">
        <v>2020</v>
      </c>
      <c r="C140" s="340"/>
      <c r="D140" s="115"/>
      <c r="E140" s="115">
        <v>55719</v>
      </c>
      <c r="F140" s="465"/>
      <c r="G140" s="26">
        <v>1</v>
      </c>
      <c r="H140" s="457"/>
      <c r="I140" s="386">
        <f>+Table10[[#This Row],[Quantity]]*Table10[[#This Row],[Unit Price]]</f>
        <v>0</v>
      </c>
    </row>
    <row r="141" spans="1:9" x14ac:dyDescent="0.35">
      <c r="A141" s="183" t="s">
        <v>2204</v>
      </c>
      <c r="B141" s="99" t="s">
        <v>2022</v>
      </c>
      <c r="C141" s="340"/>
      <c r="D141" s="115"/>
      <c r="E141" s="115">
        <v>55719</v>
      </c>
      <c r="F141" s="465"/>
      <c r="G141" s="26">
        <v>1</v>
      </c>
      <c r="H141" s="457"/>
      <c r="I141" s="386">
        <f>+Table10[[#This Row],[Quantity]]*Table10[[#This Row],[Unit Price]]</f>
        <v>0</v>
      </c>
    </row>
    <row r="142" spans="1:9" x14ac:dyDescent="0.35">
      <c r="A142" s="183" t="s">
        <v>2205</v>
      </c>
      <c r="B142" s="99" t="s">
        <v>2019</v>
      </c>
      <c r="C142" s="340"/>
      <c r="D142" s="115"/>
      <c r="E142" s="115">
        <v>55719</v>
      </c>
      <c r="F142" s="465"/>
      <c r="G142" s="26">
        <v>1</v>
      </c>
      <c r="H142" s="457"/>
      <c r="I142" s="386">
        <f>+Table10[[#This Row],[Quantity]]*Table10[[#This Row],[Unit Price]]</f>
        <v>0</v>
      </c>
    </row>
    <row r="143" spans="1:9" x14ac:dyDescent="0.35">
      <c r="A143" s="183" t="s">
        <v>2206</v>
      </c>
      <c r="B143" s="99" t="s">
        <v>2018</v>
      </c>
      <c r="C143" s="340"/>
      <c r="D143" s="115"/>
      <c r="E143" s="115">
        <v>55719</v>
      </c>
      <c r="F143" s="465"/>
      <c r="G143" s="26">
        <v>1</v>
      </c>
      <c r="H143" s="457"/>
      <c r="I143" s="386">
        <f>+Table10[[#This Row],[Quantity]]*Table10[[#This Row],[Unit Price]]</f>
        <v>0</v>
      </c>
    </row>
    <row r="144" spans="1:9" x14ac:dyDescent="0.35">
      <c r="A144" s="183" t="s">
        <v>2207</v>
      </c>
      <c r="B144" s="99" t="s">
        <v>2021</v>
      </c>
      <c r="C144" s="340"/>
      <c r="D144" s="115"/>
      <c r="E144" s="115">
        <v>55719</v>
      </c>
      <c r="F144" s="465"/>
      <c r="G144" s="26">
        <v>1</v>
      </c>
      <c r="H144" s="457"/>
      <c r="I144" s="386">
        <f>+Table10[[#This Row],[Quantity]]*Table10[[#This Row],[Unit Price]]</f>
        <v>0</v>
      </c>
    </row>
    <row r="145" spans="1:9" x14ac:dyDescent="0.35">
      <c r="A145" s="183" t="s">
        <v>886</v>
      </c>
      <c r="B145" s="99" t="s">
        <v>647</v>
      </c>
      <c r="C145" s="340"/>
      <c r="D145" s="115"/>
      <c r="E145" s="115">
        <v>55719</v>
      </c>
      <c r="F145" s="465"/>
      <c r="G145" s="26">
        <v>1</v>
      </c>
      <c r="H145" s="457"/>
      <c r="I145" s="386">
        <f>+Table10[[#This Row],[Quantity]]*Table10[[#This Row],[Unit Price]]</f>
        <v>0</v>
      </c>
    </row>
    <row r="146" spans="1:9" x14ac:dyDescent="0.35">
      <c r="A146" s="183" t="s">
        <v>1353</v>
      </c>
      <c r="B146" s="99" t="s">
        <v>530</v>
      </c>
      <c r="C146" s="340"/>
      <c r="D146" s="115"/>
      <c r="E146" s="115">
        <v>55719</v>
      </c>
      <c r="F146" s="465"/>
      <c r="G146" s="26">
        <v>1</v>
      </c>
      <c r="H146" s="457"/>
      <c r="I146" s="386">
        <f>+Table10[[#This Row],[Quantity]]*Table10[[#This Row],[Unit Price]]</f>
        <v>0</v>
      </c>
    </row>
    <row r="147" spans="1:9" x14ac:dyDescent="0.35">
      <c r="A147" s="183" t="s">
        <v>2208</v>
      </c>
      <c r="B147" s="99" t="s">
        <v>2016</v>
      </c>
      <c r="C147" s="340"/>
      <c r="D147" s="115"/>
      <c r="E147" s="115">
        <v>55719</v>
      </c>
      <c r="F147" s="465"/>
      <c r="G147" s="26">
        <v>1</v>
      </c>
      <c r="H147" s="457"/>
      <c r="I147" s="386">
        <f>+Table10[[#This Row],[Quantity]]*Table10[[#This Row],[Unit Price]]</f>
        <v>0</v>
      </c>
    </row>
    <row r="148" spans="1:9" x14ac:dyDescent="0.35">
      <c r="A148" s="183" t="s">
        <v>2209</v>
      </c>
      <c r="B148" s="99" t="s">
        <v>2017</v>
      </c>
      <c r="C148" s="340"/>
      <c r="D148" s="115"/>
      <c r="E148" s="115">
        <v>55719</v>
      </c>
      <c r="F148" s="465"/>
      <c r="G148" s="26">
        <v>1</v>
      </c>
      <c r="H148" s="457"/>
      <c r="I148" s="386">
        <f>+Table10[[#This Row],[Quantity]]*Table10[[#This Row],[Unit Price]]</f>
        <v>0</v>
      </c>
    </row>
    <row r="149" spans="1:9" x14ac:dyDescent="0.35">
      <c r="A149" s="183" t="s">
        <v>2210</v>
      </c>
      <c r="B149" s="99" t="s">
        <v>2015</v>
      </c>
      <c r="C149" s="340"/>
      <c r="D149" s="115"/>
      <c r="E149" s="115">
        <v>55719</v>
      </c>
      <c r="F149" s="465"/>
      <c r="G149" s="26">
        <v>1</v>
      </c>
      <c r="H149" s="457"/>
      <c r="I149" s="386">
        <f>+Table10[[#This Row],[Quantity]]*Table10[[#This Row],[Unit Price]]</f>
        <v>0</v>
      </c>
    </row>
    <row r="150" spans="1:9" x14ac:dyDescent="0.35">
      <c r="A150" s="183" t="s">
        <v>1383</v>
      </c>
      <c r="B150" s="99" t="s">
        <v>243</v>
      </c>
      <c r="C150" s="340"/>
      <c r="D150" s="115"/>
      <c r="E150" s="115">
        <v>55719</v>
      </c>
      <c r="F150" s="465"/>
      <c r="G150" s="26">
        <v>1</v>
      </c>
      <c r="H150" s="457"/>
      <c r="I150" s="386">
        <f>+Table10[[#This Row],[Quantity]]*Table10[[#This Row],[Unit Price]]</f>
        <v>0</v>
      </c>
    </row>
    <row r="151" spans="1:9" x14ac:dyDescent="0.35">
      <c r="A151" s="183" t="s">
        <v>2211</v>
      </c>
      <c r="B151" s="99" t="s">
        <v>2008</v>
      </c>
      <c r="C151" s="340"/>
      <c r="D151" s="115"/>
      <c r="E151" s="115">
        <v>55719</v>
      </c>
      <c r="F151" s="465"/>
      <c r="G151" s="26">
        <v>1</v>
      </c>
      <c r="H151" s="457"/>
      <c r="I151" s="386">
        <f>+Table10[[#This Row],[Quantity]]*Table10[[#This Row],[Unit Price]]</f>
        <v>0</v>
      </c>
    </row>
    <row r="152" spans="1:9" x14ac:dyDescent="0.35">
      <c r="A152" s="183" t="s">
        <v>2212</v>
      </c>
      <c r="B152" s="99" t="s">
        <v>2007</v>
      </c>
      <c r="C152" s="340"/>
      <c r="D152" s="115"/>
      <c r="E152" s="115">
        <v>55719</v>
      </c>
      <c r="F152" s="465"/>
      <c r="G152" s="26">
        <v>1</v>
      </c>
      <c r="H152" s="457"/>
      <c r="I152" s="386">
        <f>+Table10[[#This Row],[Quantity]]*Table10[[#This Row],[Unit Price]]</f>
        <v>0</v>
      </c>
    </row>
    <row r="153" spans="1:9" x14ac:dyDescent="0.35">
      <c r="A153" s="183" t="s">
        <v>885</v>
      </c>
      <c r="B153" s="99" t="s">
        <v>229</v>
      </c>
      <c r="C153" s="340"/>
      <c r="D153" s="115"/>
      <c r="E153" s="115">
        <v>55719</v>
      </c>
      <c r="F153" s="465"/>
      <c r="G153" s="26">
        <v>1</v>
      </c>
      <c r="H153" s="457"/>
      <c r="I153" s="386">
        <f>+Table10[[#This Row],[Quantity]]*Table10[[#This Row],[Unit Price]]</f>
        <v>0</v>
      </c>
    </row>
    <row r="154" spans="1:9" x14ac:dyDescent="0.35">
      <c r="A154" s="183" t="s">
        <v>2213</v>
      </c>
      <c r="B154" s="99" t="s">
        <v>2023</v>
      </c>
      <c r="C154" s="340"/>
      <c r="D154" s="115"/>
      <c r="E154" s="115">
        <v>55719</v>
      </c>
      <c r="F154" s="465"/>
      <c r="G154" s="26">
        <v>1</v>
      </c>
      <c r="H154" s="457"/>
      <c r="I154" s="386">
        <f>+Table10[[#This Row],[Quantity]]*Table10[[#This Row],[Unit Price]]</f>
        <v>0</v>
      </c>
    </row>
    <row r="155" spans="1:9" x14ac:dyDescent="0.35">
      <c r="A155" s="183" t="s">
        <v>2190</v>
      </c>
      <c r="B155" s="99" t="s">
        <v>1904</v>
      </c>
      <c r="C155" s="340"/>
      <c r="D155" s="115"/>
      <c r="E155" s="115">
        <v>55719</v>
      </c>
      <c r="F155" s="465"/>
      <c r="G155" s="26">
        <v>1</v>
      </c>
      <c r="H155" s="457"/>
      <c r="I155" s="386">
        <f>+Table10[[#This Row],[Quantity]]*Table10[[#This Row],[Unit Price]]</f>
        <v>0</v>
      </c>
    </row>
    <row r="156" spans="1:9" x14ac:dyDescent="0.35">
      <c r="A156" s="183" t="s">
        <v>2191</v>
      </c>
      <c r="B156" s="99" t="s">
        <v>1905</v>
      </c>
      <c r="C156" s="340"/>
      <c r="D156" s="115"/>
      <c r="E156" s="115">
        <v>55719</v>
      </c>
      <c r="F156" s="465"/>
      <c r="G156" s="26">
        <v>1</v>
      </c>
      <c r="H156" s="457"/>
      <c r="I156" s="386">
        <f>+Table10[[#This Row],[Quantity]]*Table10[[#This Row],[Unit Price]]</f>
        <v>0</v>
      </c>
    </row>
    <row r="157" spans="1:9" x14ac:dyDescent="0.35">
      <c r="A157" s="183" t="s">
        <v>2192</v>
      </c>
      <c r="B157" s="99" t="s">
        <v>1906</v>
      </c>
      <c r="C157" s="340"/>
      <c r="D157" s="115"/>
      <c r="E157" s="115">
        <v>55719</v>
      </c>
      <c r="F157" s="465"/>
      <c r="G157" s="26">
        <v>1</v>
      </c>
      <c r="H157" s="457"/>
      <c r="I157" s="386">
        <f>+Table10[[#This Row],[Quantity]]*Table10[[#This Row],[Unit Price]]</f>
        <v>0</v>
      </c>
    </row>
    <row r="158" spans="1:9" x14ac:dyDescent="0.35">
      <c r="A158" s="183" t="s">
        <v>2193</v>
      </c>
      <c r="B158" s="99" t="s">
        <v>1907</v>
      </c>
      <c r="C158" s="340"/>
      <c r="D158" s="115"/>
      <c r="E158" s="115">
        <v>55719</v>
      </c>
      <c r="F158" s="465"/>
      <c r="G158" s="26">
        <v>1</v>
      </c>
      <c r="H158" s="457"/>
      <c r="I158" s="386">
        <f>+Table10[[#This Row],[Quantity]]*Table10[[#This Row],[Unit Price]]</f>
        <v>0</v>
      </c>
    </row>
    <row r="159" spans="1:9" x14ac:dyDescent="0.35">
      <c r="A159" s="183" t="s">
        <v>2194</v>
      </c>
      <c r="B159" s="99" t="s">
        <v>1908</v>
      </c>
      <c r="C159" s="340"/>
      <c r="D159" s="115"/>
      <c r="E159" s="115">
        <v>55719</v>
      </c>
      <c r="F159" s="465"/>
      <c r="G159" s="26">
        <v>1</v>
      </c>
      <c r="H159" s="457"/>
      <c r="I159" s="386">
        <f>+Table10[[#This Row],[Quantity]]*Table10[[#This Row],[Unit Price]]</f>
        <v>0</v>
      </c>
    </row>
    <row r="160" spans="1:9" x14ac:dyDescent="0.35">
      <c r="A160" s="183" t="s">
        <v>1446</v>
      </c>
      <c r="B160" s="99" t="s">
        <v>482</v>
      </c>
      <c r="C160" s="340"/>
      <c r="D160" s="115"/>
      <c r="E160" s="115">
        <v>55719</v>
      </c>
      <c r="F160" s="465"/>
      <c r="G160" s="26">
        <v>1</v>
      </c>
      <c r="H160" s="457"/>
      <c r="I160" s="386">
        <f>+Table10[[#This Row],[Quantity]]*Table10[[#This Row],[Unit Price]]</f>
        <v>0</v>
      </c>
    </row>
    <row r="161" spans="1:9" x14ac:dyDescent="0.35">
      <c r="A161" s="183" t="s">
        <v>1223</v>
      </c>
      <c r="B161" s="99" t="s">
        <v>618</v>
      </c>
      <c r="C161" s="340"/>
      <c r="D161" s="115"/>
      <c r="E161" s="115">
        <v>55719</v>
      </c>
      <c r="F161" s="465"/>
      <c r="G161" s="26">
        <v>1</v>
      </c>
      <c r="H161" s="457"/>
      <c r="I161" s="386">
        <f>+Table10[[#This Row],[Quantity]]*Table10[[#This Row],[Unit Price]]</f>
        <v>0</v>
      </c>
    </row>
    <row r="162" spans="1:9" x14ac:dyDescent="0.35">
      <c r="A162" s="183" t="s">
        <v>1224</v>
      </c>
      <c r="B162" s="99" t="s">
        <v>398</v>
      </c>
      <c r="C162" s="340"/>
      <c r="D162" s="115"/>
      <c r="E162" s="115">
        <v>55719</v>
      </c>
      <c r="F162" s="465"/>
      <c r="G162" s="26">
        <v>1</v>
      </c>
      <c r="H162" s="457"/>
      <c r="I162" s="386">
        <f>+Table10[[#This Row],[Quantity]]*Table10[[#This Row],[Unit Price]]</f>
        <v>0</v>
      </c>
    </row>
    <row r="163" spans="1:9" x14ac:dyDescent="0.35">
      <c r="A163" s="183" t="s">
        <v>923</v>
      </c>
      <c r="B163" s="99" t="s">
        <v>399</v>
      </c>
      <c r="C163" s="340"/>
      <c r="D163" s="115"/>
      <c r="E163" s="115">
        <v>55719</v>
      </c>
      <c r="F163" s="465"/>
      <c r="G163" s="26">
        <v>1</v>
      </c>
      <c r="H163" s="457"/>
      <c r="I163" s="386">
        <f>+Table10[[#This Row],[Quantity]]*Table10[[#This Row],[Unit Price]]</f>
        <v>0</v>
      </c>
    </row>
    <row r="164" spans="1:9" x14ac:dyDescent="0.35">
      <c r="A164" s="183" t="s">
        <v>1225</v>
      </c>
      <c r="B164" s="99" t="s">
        <v>400</v>
      </c>
      <c r="C164" s="340"/>
      <c r="D164" s="115"/>
      <c r="E164" s="115">
        <v>55719</v>
      </c>
      <c r="F164" s="465"/>
      <c r="G164" s="26">
        <v>1</v>
      </c>
      <c r="H164" s="457"/>
      <c r="I164" s="386">
        <f>+Table10[[#This Row],[Quantity]]*Table10[[#This Row],[Unit Price]]</f>
        <v>0</v>
      </c>
    </row>
    <row r="165" spans="1:9" x14ac:dyDescent="0.35">
      <c r="A165" s="183" t="s">
        <v>48</v>
      </c>
      <c r="B165" s="99" t="s">
        <v>335</v>
      </c>
      <c r="C165" s="340"/>
      <c r="D165" s="115"/>
      <c r="E165" s="115">
        <v>55719</v>
      </c>
      <c r="F165" s="465"/>
      <c r="G165" s="26">
        <v>1</v>
      </c>
      <c r="H165" s="457"/>
      <c r="I165" s="386">
        <f>+Table10[[#This Row],[Quantity]]*Table10[[#This Row],[Unit Price]]</f>
        <v>0</v>
      </c>
    </row>
    <row r="166" spans="1:9" x14ac:dyDescent="0.35">
      <c r="A166" s="183" t="s">
        <v>1226</v>
      </c>
      <c r="B166" s="99" t="s">
        <v>401</v>
      </c>
      <c r="C166" s="340"/>
      <c r="D166" s="115"/>
      <c r="E166" s="115">
        <v>55719</v>
      </c>
      <c r="F166" s="465"/>
      <c r="G166" s="26">
        <v>1</v>
      </c>
      <c r="H166" s="457"/>
      <c r="I166" s="386">
        <f>+Table10[[#This Row],[Quantity]]*Table10[[#This Row],[Unit Price]]</f>
        <v>0</v>
      </c>
    </row>
    <row r="167" spans="1:9" x14ac:dyDescent="0.35">
      <c r="A167" s="183" t="s">
        <v>2199</v>
      </c>
      <c r="B167" s="99" t="s">
        <v>1900</v>
      </c>
      <c r="C167" s="340"/>
      <c r="D167" s="115"/>
      <c r="E167" s="115">
        <v>55719</v>
      </c>
      <c r="F167" s="465"/>
      <c r="G167" s="26">
        <v>1</v>
      </c>
      <c r="H167" s="457"/>
      <c r="I167" s="386">
        <f>+Table10[[#This Row],[Quantity]]*Table10[[#This Row],[Unit Price]]</f>
        <v>0</v>
      </c>
    </row>
    <row r="168" spans="1:9" x14ac:dyDescent="0.35">
      <c r="A168" s="183" t="s">
        <v>924</v>
      </c>
      <c r="B168" s="99" t="s">
        <v>435</v>
      </c>
      <c r="C168" s="340"/>
      <c r="D168" s="115"/>
      <c r="E168" s="115">
        <v>55719</v>
      </c>
      <c r="F168" s="465"/>
      <c r="G168" s="26">
        <v>1</v>
      </c>
      <c r="H168" s="457"/>
      <c r="I168" s="386">
        <f>+Table10[[#This Row],[Quantity]]*Table10[[#This Row],[Unit Price]]</f>
        <v>0</v>
      </c>
    </row>
    <row r="169" spans="1:9" x14ac:dyDescent="0.35">
      <c r="A169" s="183" t="s">
        <v>2200</v>
      </c>
      <c r="B169" s="99" t="s">
        <v>1901</v>
      </c>
      <c r="C169" s="340"/>
      <c r="D169" s="115"/>
      <c r="E169" s="115">
        <v>55719</v>
      </c>
      <c r="F169" s="465"/>
      <c r="G169" s="26">
        <v>1</v>
      </c>
      <c r="H169" s="457"/>
      <c r="I169" s="386">
        <f>+Table10[[#This Row],[Quantity]]*Table10[[#This Row],[Unit Price]]</f>
        <v>0</v>
      </c>
    </row>
    <row r="170" spans="1:9" x14ac:dyDescent="0.35">
      <c r="A170" s="183" t="s">
        <v>1227</v>
      </c>
      <c r="B170" s="99" t="s">
        <v>187</v>
      </c>
      <c r="C170" s="340"/>
      <c r="D170" s="115"/>
      <c r="E170" s="115">
        <v>55719</v>
      </c>
      <c r="F170" s="465"/>
      <c r="G170" s="26">
        <v>1</v>
      </c>
      <c r="H170" s="457"/>
      <c r="I170" s="386">
        <f>+Table10[[#This Row],[Quantity]]*Table10[[#This Row],[Unit Price]]</f>
        <v>0</v>
      </c>
    </row>
    <row r="171" spans="1:9" x14ac:dyDescent="0.35">
      <c r="A171" s="183" t="s">
        <v>1228</v>
      </c>
      <c r="B171" s="99" t="s">
        <v>331</v>
      </c>
      <c r="C171" s="340"/>
      <c r="D171" s="115"/>
      <c r="E171" s="115">
        <v>55719</v>
      </c>
      <c r="F171" s="465"/>
      <c r="G171" s="26">
        <v>1</v>
      </c>
      <c r="H171" s="457"/>
      <c r="I171" s="386">
        <f>+Table10[[#This Row],[Quantity]]*Table10[[#This Row],[Unit Price]]</f>
        <v>0</v>
      </c>
    </row>
    <row r="172" spans="1:9" x14ac:dyDescent="0.35">
      <c r="A172" s="183" t="s">
        <v>1036</v>
      </c>
      <c r="B172" s="99" t="s">
        <v>423</v>
      </c>
      <c r="C172" s="340"/>
      <c r="D172" s="115"/>
      <c r="E172" s="115">
        <v>55719</v>
      </c>
      <c r="F172" s="465"/>
      <c r="G172" s="26">
        <v>1</v>
      </c>
      <c r="H172" s="457"/>
      <c r="I172" s="386">
        <f>+Table10[[#This Row],[Quantity]]*Table10[[#This Row],[Unit Price]]</f>
        <v>0</v>
      </c>
    </row>
    <row r="173" spans="1:9" x14ac:dyDescent="0.35">
      <c r="A173" s="183" t="s">
        <v>2201</v>
      </c>
      <c r="B173" s="99" t="s">
        <v>1902</v>
      </c>
      <c r="C173" s="340"/>
      <c r="D173" s="115"/>
      <c r="E173" s="115">
        <v>55719</v>
      </c>
      <c r="F173" s="465"/>
      <c r="G173" s="26">
        <v>1</v>
      </c>
      <c r="H173" s="457"/>
      <c r="I173" s="386">
        <f>+Table10[[#This Row],[Quantity]]*Table10[[#This Row],[Unit Price]]</f>
        <v>0</v>
      </c>
    </row>
    <row r="174" spans="1:9" x14ac:dyDescent="0.35">
      <c r="A174" s="183" t="s">
        <v>1229</v>
      </c>
      <c r="B174" s="99" t="s">
        <v>625</v>
      </c>
      <c r="C174" s="340"/>
      <c r="D174" s="115"/>
      <c r="E174" s="115">
        <v>55719</v>
      </c>
      <c r="F174" s="465"/>
      <c r="G174" s="26">
        <v>1</v>
      </c>
      <c r="H174" s="457"/>
      <c r="I174" s="386">
        <f>+Table10[[#This Row],[Quantity]]*Table10[[#This Row],[Unit Price]]</f>
        <v>0</v>
      </c>
    </row>
    <row r="175" spans="1:9" x14ac:dyDescent="0.35">
      <c r="A175" s="183" t="s">
        <v>1230</v>
      </c>
      <c r="B175" s="99" t="s">
        <v>626</v>
      </c>
      <c r="C175" s="340"/>
      <c r="D175" s="115"/>
      <c r="E175" s="115">
        <v>55719</v>
      </c>
      <c r="F175" s="465"/>
      <c r="G175" s="26">
        <v>1</v>
      </c>
      <c r="H175" s="457"/>
      <c r="I175" s="386">
        <f>+Table10[[#This Row],[Quantity]]*Table10[[#This Row],[Unit Price]]</f>
        <v>0</v>
      </c>
    </row>
    <row r="176" spans="1:9" x14ac:dyDescent="0.35">
      <c r="A176" s="183" t="s">
        <v>1233</v>
      </c>
      <c r="B176" s="99" t="s">
        <v>629</v>
      </c>
      <c r="C176" s="340"/>
      <c r="D176" s="115"/>
      <c r="E176" s="115">
        <v>55719</v>
      </c>
      <c r="F176" s="465"/>
      <c r="G176" s="26">
        <v>1</v>
      </c>
      <c r="H176" s="457"/>
      <c r="I176" s="386">
        <f>+Table10[[#This Row],[Quantity]]*Table10[[#This Row],[Unit Price]]</f>
        <v>0</v>
      </c>
    </row>
    <row r="177" spans="1:9" x14ac:dyDescent="0.35">
      <c r="A177" s="183" t="s">
        <v>2202</v>
      </c>
      <c r="B177" s="99" t="s">
        <v>1903</v>
      </c>
      <c r="C177" s="340"/>
      <c r="D177" s="115"/>
      <c r="E177" s="115">
        <v>55719</v>
      </c>
      <c r="F177" s="465"/>
      <c r="G177" s="26">
        <v>1</v>
      </c>
      <c r="H177" s="457"/>
      <c r="I177" s="386">
        <f>+Table10[[#This Row],[Quantity]]*Table10[[#This Row],[Unit Price]]</f>
        <v>0</v>
      </c>
    </row>
    <row r="178" spans="1:9" x14ac:dyDescent="0.35">
      <c r="A178" s="183" t="s">
        <v>2181</v>
      </c>
      <c r="B178" s="99" t="s">
        <v>1984</v>
      </c>
      <c r="C178" s="340"/>
      <c r="D178" s="115"/>
      <c r="E178" s="115">
        <v>55719</v>
      </c>
      <c r="F178" s="465"/>
      <c r="G178" s="26">
        <v>1</v>
      </c>
      <c r="H178" s="457"/>
      <c r="I178" s="386">
        <f>+Table10[[#This Row],[Quantity]]*Table10[[#This Row],[Unit Price]]</f>
        <v>0</v>
      </c>
    </row>
    <row r="179" spans="1:9" x14ac:dyDescent="0.35">
      <c r="A179" s="183" t="s">
        <v>2182</v>
      </c>
      <c r="B179" s="99" t="s">
        <v>1985</v>
      </c>
      <c r="C179" s="340"/>
      <c r="D179" s="115"/>
      <c r="E179" s="115">
        <v>55719</v>
      </c>
      <c r="F179" s="465"/>
      <c r="G179" s="26">
        <v>1</v>
      </c>
      <c r="H179" s="457"/>
      <c r="I179" s="386">
        <f>+Table10[[#This Row],[Quantity]]*Table10[[#This Row],[Unit Price]]</f>
        <v>0</v>
      </c>
    </row>
    <row r="180" spans="1:9" x14ac:dyDescent="0.35">
      <c r="A180" s="183" t="s">
        <v>2183</v>
      </c>
      <c r="B180" s="99" t="s">
        <v>1986</v>
      </c>
      <c r="C180" s="340"/>
      <c r="D180" s="115"/>
      <c r="E180" s="115">
        <v>55719</v>
      </c>
      <c r="F180" s="465"/>
      <c r="G180" s="26">
        <v>1</v>
      </c>
      <c r="H180" s="457"/>
      <c r="I180" s="386">
        <f>+Table10[[#This Row],[Quantity]]*Table10[[#This Row],[Unit Price]]</f>
        <v>0</v>
      </c>
    </row>
    <row r="181" spans="1:9" x14ac:dyDescent="0.35">
      <c r="A181" s="183" t="s">
        <v>2184</v>
      </c>
      <c r="B181" s="99" t="s">
        <v>1987</v>
      </c>
      <c r="C181" s="340"/>
      <c r="D181" s="115"/>
      <c r="E181" s="115">
        <v>55719</v>
      </c>
      <c r="F181" s="465"/>
      <c r="G181" s="26">
        <v>1</v>
      </c>
      <c r="H181" s="457"/>
      <c r="I181" s="386">
        <f>+Table10[[#This Row],[Quantity]]*Table10[[#This Row],[Unit Price]]</f>
        <v>0</v>
      </c>
    </row>
    <row r="182" spans="1:9" x14ac:dyDescent="0.35">
      <c r="A182" s="183" t="s">
        <v>869</v>
      </c>
      <c r="B182" s="99" t="s">
        <v>353</v>
      </c>
      <c r="C182" s="340"/>
      <c r="D182" s="115"/>
      <c r="E182" s="115">
        <v>55719</v>
      </c>
      <c r="F182" s="465"/>
      <c r="G182" s="26">
        <v>1</v>
      </c>
      <c r="H182" s="457"/>
      <c r="I182" s="386">
        <f>+Table10[[#This Row],[Quantity]]*Table10[[#This Row],[Unit Price]]</f>
        <v>0</v>
      </c>
    </row>
    <row r="183" spans="1:9" x14ac:dyDescent="0.35">
      <c r="A183" s="183" t="s">
        <v>2185</v>
      </c>
      <c r="B183" s="99" t="s">
        <v>1988</v>
      </c>
      <c r="C183" s="340"/>
      <c r="D183" s="115"/>
      <c r="E183" s="115">
        <v>55719</v>
      </c>
      <c r="F183" s="465"/>
      <c r="G183" s="26">
        <v>1</v>
      </c>
      <c r="H183" s="457"/>
      <c r="I183" s="386">
        <f>+Table10[[#This Row],[Quantity]]*Table10[[#This Row],[Unit Price]]</f>
        <v>0</v>
      </c>
    </row>
    <row r="184" spans="1:9" x14ac:dyDescent="0.35">
      <c r="A184" s="183" t="s">
        <v>2186</v>
      </c>
      <c r="B184" s="99" t="s">
        <v>1989</v>
      </c>
      <c r="C184" s="340"/>
      <c r="D184" s="115"/>
      <c r="E184" s="115">
        <v>55719</v>
      </c>
      <c r="F184" s="465"/>
      <c r="G184" s="26">
        <v>1</v>
      </c>
      <c r="H184" s="457"/>
      <c r="I184" s="386">
        <f>+Table10[[#This Row],[Quantity]]*Table10[[#This Row],[Unit Price]]</f>
        <v>0</v>
      </c>
    </row>
    <row r="185" spans="1:9" x14ac:dyDescent="0.35">
      <c r="A185" s="183" t="s">
        <v>957</v>
      </c>
      <c r="B185" s="99" t="s">
        <v>103</v>
      </c>
      <c r="C185" s="340"/>
      <c r="D185" s="115"/>
      <c r="E185" s="115">
        <v>55719</v>
      </c>
      <c r="F185" s="465"/>
      <c r="G185" s="26">
        <v>1</v>
      </c>
      <c r="H185" s="457"/>
      <c r="I185" s="386">
        <f>+Table10[[#This Row],[Quantity]]*Table10[[#This Row],[Unit Price]]</f>
        <v>0</v>
      </c>
    </row>
    <row r="186" spans="1:9" x14ac:dyDescent="0.35">
      <c r="A186" s="183" t="s">
        <v>2187</v>
      </c>
      <c r="B186" s="99" t="s">
        <v>1990</v>
      </c>
      <c r="C186" s="340"/>
      <c r="D186" s="115"/>
      <c r="E186" s="115">
        <v>55719</v>
      </c>
      <c r="F186" s="465"/>
      <c r="G186" s="26">
        <v>1</v>
      </c>
      <c r="H186" s="457"/>
      <c r="I186" s="386">
        <f>+Table10[[#This Row],[Quantity]]*Table10[[#This Row],[Unit Price]]</f>
        <v>0</v>
      </c>
    </row>
    <row r="187" spans="1:9" x14ac:dyDescent="0.35">
      <c r="A187" s="183" t="s">
        <v>1234</v>
      </c>
      <c r="B187" s="99" t="s">
        <v>738</v>
      </c>
      <c r="C187" s="340"/>
      <c r="D187" s="115"/>
      <c r="E187" s="115">
        <v>55719</v>
      </c>
      <c r="F187" s="465"/>
      <c r="G187" s="26">
        <v>1</v>
      </c>
      <c r="H187" s="457"/>
      <c r="I187" s="386">
        <f>+Table10[[#This Row],[Quantity]]*Table10[[#This Row],[Unit Price]]</f>
        <v>0</v>
      </c>
    </row>
    <row r="188" spans="1:9" x14ac:dyDescent="0.35">
      <c r="A188" s="183" t="s">
        <v>2188</v>
      </c>
      <c r="B188" s="99" t="s">
        <v>1991</v>
      </c>
      <c r="C188" s="340"/>
      <c r="D188" s="115"/>
      <c r="E188" s="115">
        <v>55719</v>
      </c>
      <c r="F188" s="465"/>
      <c r="G188" s="26">
        <v>1</v>
      </c>
      <c r="H188" s="457"/>
      <c r="I188" s="386">
        <f>+Table10[[#This Row],[Quantity]]*Table10[[#This Row],[Unit Price]]</f>
        <v>0</v>
      </c>
    </row>
    <row r="189" spans="1:9" x14ac:dyDescent="0.35">
      <c r="A189" s="183" t="s">
        <v>2189</v>
      </c>
      <c r="B189" s="99" t="s">
        <v>1992</v>
      </c>
      <c r="C189" s="340"/>
      <c r="D189" s="115"/>
      <c r="E189" s="115">
        <v>55719</v>
      </c>
      <c r="F189" s="465"/>
      <c r="G189" s="26">
        <v>1</v>
      </c>
      <c r="H189" s="457"/>
      <c r="I189" s="386">
        <f>+Table10[[#This Row],[Quantity]]*Table10[[#This Row],[Unit Price]]</f>
        <v>0</v>
      </c>
    </row>
    <row r="190" spans="1:9" x14ac:dyDescent="0.35">
      <c r="A190" s="183" t="s">
        <v>958</v>
      </c>
      <c r="B190" s="99" t="s">
        <v>352</v>
      </c>
      <c r="C190" s="340"/>
      <c r="D190" s="115"/>
      <c r="E190" s="115">
        <v>55719</v>
      </c>
      <c r="F190" s="465"/>
      <c r="G190" s="26">
        <v>1</v>
      </c>
      <c r="H190" s="457"/>
      <c r="I190" s="386">
        <f>+Table10[[#This Row],[Quantity]]*Table10[[#This Row],[Unit Price]]</f>
        <v>0</v>
      </c>
    </row>
    <row r="191" spans="1:9" x14ac:dyDescent="0.35">
      <c r="A191" s="183" t="s">
        <v>959</v>
      </c>
      <c r="B191" s="99" t="s">
        <v>529</v>
      </c>
      <c r="C191" s="340"/>
      <c r="D191" s="115"/>
      <c r="E191" s="115">
        <v>55719</v>
      </c>
      <c r="F191" s="465"/>
      <c r="G191" s="26">
        <v>1</v>
      </c>
      <c r="H191" s="457"/>
      <c r="I191" s="386">
        <f>+Table10[[#This Row],[Quantity]]*Table10[[#This Row],[Unit Price]]</f>
        <v>0</v>
      </c>
    </row>
    <row r="192" spans="1:9" x14ac:dyDescent="0.35">
      <c r="A192" s="183" t="s">
        <v>960</v>
      </c>
      <c r="B192" s="99" t="s">
        <v>354</v>
      </c>
      <c r="C192" s="340"/>
      <c r="D192" s="115"/>
      <c r="E192" s="115">
        <v>55719</v>
      </c>
      <c r="F192" s="465"/>
      <c r="G192" s="26">
        <v>1</v>
      </c>
      <c r="H192" s="457"/>
      <c r="I192" s="386">
        <f>+Table10[[#This Row],[Quantity]]*Table10[[#This Row],[Unit Price]]</f>
        <v>0</v>
      </c>
    </row>
    <row r="193" spans="1:9" x14ac:dyDescent="0.35">
      <c r="A193" s="183" t="s">
        <v>2476</v>
      </c>
      <c r="B193" s="99" t="s">
        <v>1755</v>
      </c>
      <c r="C193" s="340"/>
      <c r="D193" s="115"/>
      <c r="E193" s="115">
        <v>55719</v>
      </c>
      <c r="F193" s="465"/>
      <c r="G193" s="26">
        <v>2</v>
      </c>
      <c r="H193" s="457"/>
      <c r="I193" s="386">
        <f>+Table10[[#This Row],[Quantity]]*Table10[[#This Row],[Unit Price]]</f>
        <v>0</v>
      </c>
    </row>
    <row r="194" spans="1:9" x14ac:dyDescent="0.35">
      <c r="A194" s="183" t="s">
        <v>2477</v>
      </c>
      <c r="B194" s="99" t="s">
        <v>744</v>
      </c>
      <c r="C194" s="340"/>
      <c r="D194" s="115"/>
      <c r="E194" s="115">
        <v>55719</v>
      </c>
      <c r="F194" s="465"/>
      <c r="G194" s="26">
        <v>2</v>
      </c>
      <c r="H194" s="457"/>
      <c r="I194" s="386">
        <f>+Table10[[#This Row],[Quantity]]*Table10[[#This Row],[Unit Price]]</f>
        <v>0</v>
      </c>
    </row>
    <row r="195" spans="1:9" x14ac:dyDescent="0.35">
      <c r="A195" s="183" t="s">
        <v>22</v>
      </c>
      <c r="B195" s="99" t="s">
        <v>245</v>
      </c>
      <c r="C195" s="340"/>
      <c r="D195" s="115"/>
      <c r="E195" s="115">
        <v>55719</v>
      </c>
      <c r="F195" s="465"/>
      <c r="G195" s="26">
        <v>1</v>
      </c>
      <c r="H195" s="457"/>
      <c r="I195" s="386">
        <f>+Table10[[#This Row],[Quantity]]*Table10[[#This Row],[Unit Price]]</f>
        <v>0</v>
      </c>
    </row>
    <row r="196" spans="1:9" x14ac:dyDescent="0.35">
      <c r="A196" s="183" t="s">
        <v>24</v>
      </c>
      <c r="B196" s="99" t="s">
        <v>255</v>
      </c>
      <c r="C196" s="340"/>
      <c r="D196" s="115"/>
      <c r="E196" s="115">
        <v>55719</v>
      </c>
      <c r="F196" s="465"/>
      <c r="G196" s="26">
        <v>1</v>
      </c>
      <c r="H196" s="457"/>
      <c r="I196" s="386">
        <f>+Table10[[#This Row],[Quantity]]*Table10[[#This Row],[Unit Price]]</f>
        <v>0</v>
      </c>
    </row>
    <row r="197" spans="1:9" x14ac:dyDescent="0.35">
      <c r="A197" s="183" t="s">
        <v>1049</v>
      </c>
      <c r="B197" s="99" t="s">
        <v>110</v>
      </c>
      <c r="C197" s="340"/>
      <c r="D197" s="115"/>
      <c r="E197" s="115">
        <v>55719</v>
      </c>
      <c r="F197" s="465"/>
      <c r="G197" s="26">
        <v>1</v>
      </c>
      <c r="H197" s="457"/>
      <c r="I197" s="386">
        <f>+Table10[[#This Row],[Quantity]]*Table10[[#This Row],[Unit Price]]</f>
        <v>0</v>
      </c>
    </row>
    <row r="198" spans="1:9" x14ac:dyDescent="0.35">
      <c r="A198" s="183" t="s">
        <v>26</v>
      </c>
      <c r="B198" s="99" t="s">
        <v>257</v>
      </c>
      <c r="C198" s="340"/>
      <c r="D198" s="115"/>
      <c r="E198" s="115">
        <v>55719</v>
      </c>
      <c r="F198" s="465"/>
      <c r="G198" s="26">
        <v>1</v>
      </c>
      <c r="H198" s="457"/>
      <c r="I198" s="386">
        <f>+Table10[[#This Row],[Quantity]]*Table10[[#This Row],[Unit Price]]</f>
        <v>0</v>
      </c>
    </row>
    <row r="199" spans="1:9" x14ac:dyDescent="0.35">
      <c r="A199" s="183" t="s">
        <v>23</v>
      </c>
      <c r="B199" s="99" t="s">
        <v>252</v>
      </c>
      <c r="C199" s="340"/>
      <c r="D199" s="115"/>
      <c r="E199" s="115">
        <v>55719</v>
      </c>
      <c r="F199" s="465"/>
      <c r="G199" s="26">
        <v>1</v>
      </c>
      <c r="H199" s="457"/>
      <c r="I199" s="386">
        <f>+Table10[[#This Row],[Quantity]]*Table10[[#This Row],[Unit Price]]</f>
        <v>0</v>
      </c>
    </row>
    <row r="200" spans="1:9" x14ac:dyDescent="0.35">
      <c r="A200" s="183" t="s">
        <v>1076</v>
      </c>
      <c r="B200" s="99" t="s">
        <v>77</v>
      </c>
      <c r="C200" s="340"/>
      <c r="D200" s="115"/>
      <c r="E200" s="115">
        <v>55719</v>
      </c>
      <c r="F200" s="465"/>
      <c r="G200" s="26">
        <v>1</v>
      </c>
      <c r="H200" s="457"/>
      <c r="I200" s="386">
        <f>+Table10[[#This Row],[Quantity]]*Table10[[#This Row],[Unit Price]]</f>
        <v>0</v>
      </c>
    </row>
    <row r="201" spans="1:9" x14ac:dyDescent="0.35">
      <c r="A201" s="183" t="s">
        <v>1072</v>
      </c>
      <c r="B201" s="99" t="s">
        <v>395</v>
      </c>
      <c r="C201" s="340"/>
      <c r="D201" s="115"/>
      <c r="E201" s="115">
        <v>55719</v>
      </c>
      <c r="F201" s="465"/>
      <c r="G201" s="26">
        <v>1</v>
      </c>
      <c r="H201" s="457"/>
      <c r="I201" s="386">
        <f>+Table10[[#This Row],[Quantity]]*Table10[[#This Row],[Unit Price]]</f>
        <v>0</v>
      </c>
    </row>
    <row r="202" spans="1:9" x14ac:dyDescent="0.35">
      <c r="A202" s="183" t="s">
        <v>1003</v>
      </c>
      <c r="B202" s="99" t="s">
        <v>265</v>
      </c>
      <c r="C202" s="340"/>
      <c r="D202" s="115"/>
      <c r="E202" s="115">
        <v>55719</v>
      </c>
      <c r="F202" s="465"/>
      <c r="G202" s="26">
        <v>1</v>
      </c>
      <c r="H202" s="457"/>
      <c r="I202" s="386">
        <f>+Table10[[#This Row],[Quantity]]*Table10[[#This Row],[Unit Price]]</f>
        <v>0</v>
      </c>
    </row>
    <row r="203" spans="1:9" x14ac:dyDescent="0.35">
      <c r="A203" s="183" t="s">
        <v>1073</v>
      </c>
      <c r="B203" s="99" t="s">
        <v>396</v>
      </c>
      <c r="C203" s="340"/>
      <c r="D203" s="115"/>
      <c r="E203" s="115">
        <v>55719</v>
      </c>
      <c r="F203" s="465"/>
      <c r="G203" s="26">
        <v>1</v>
      </c>
      <c r="H203" s="457"/>
      <c r="I203" s="386">
        <f>+Table10[[#This Row],[Quantity]]*Table10[[#This Row],[Unit Price]]</f>
        <v>0</v>
      </c>
    </row>
    <row r="204" spans="1:9" x14ac:dyDescent="0.35">
      <c r="A204" s="183" t="s">
        <v>1001</v>
      </c>
      <c r="B204" s="99" t="s">
        <v>268</v>
      </c>
      <c r="C204" s="340"/>
      <c r="D204" s="115"/>
      <c r="E204" s="115">
        <v>55719</v>
      </c>
      <c r="F204" s="465"/>
      <c r="G204" s="26">
        <v>1</v>
      </c>
      <c r="H204" s="457"/>
      <c r="I204" s="386">
        <f>+Table10[[#This Row],[Quantity]]*Table10[[#This Row],[Unit Price]]</f>
        <v>0</v>
      </c>
    </row>
    <row r="205" spans="1:9" x14ac:dyDescent="0.35">
      <c r="A205" s="183" t="s">
        <v>1074</v>
      </c>
      <c r="B205" s="99" t="s">
        <v>397</v>
      </c>
      <c r="C205" s="340"/>
      <c r="D205" s="115"/>
      <c r="E205" s="115">
        <v>55719</v>
      </c>
      <c r="F205" s="465"/>
      <c r="G205" s="26">
        <v>1</v>
      </c>
      <c r="H205" s="457"/>
      <c r="I205" s="386">
        <f>+Table10[[#This Row],[Quantity]]*Table10[[#This Row],[Unit Price]]</f>
        <v>0</v>
      </c>
    </row>
    <row r="206" spans="1:9" x14ac:dyDescent="0.35">
      <c r="A206" s="183" t="s">
        <v>2521</v>
      </c>
      <c r="B206" s="99" t="s">
        <v>688</v>
      </c>
      <c r="C206" s="340"/>
      <c r="D206" s="115"/>
      <c r="E206" s="115">
        <v>55719</v>
      </c>
      <c r="F206" s="465"/>
      <c r="G206" s="26">
        <v>1</v>
      </c>
      <c r="H206" s="457"/>
      <c r="I206" s="386">
        <f>+Table10[[#This Row],[Quantity]]*Table10[[#This Row],[Unit Price]]</f>
        <v>0</v>
      </c>
    </row>
    <row r="207" spans="1:9" x14ac:dyDescent="0.35">
      <c r="A207" s="183" t="s">
        <v>2522</v>
      </c>
      <c r="B207" s="99" t="s">
        <v>687</v>
      </c>
      <c r="C207" s="340"/>
      <c r="D207" s="115"/>
      <c r="E207" s="115">
        <v>55719</v>
      </c>
      <c r="F207" s="465"/>
      <c r="G207" s="26">
        <v>1</v>
      </c>
      <c r="H207" s="457"/>
      <c r="I207" s="386">
        <f>+Table10[[#This Row],[Quantity]]*Table10[[#This Row],[Unit Price]]</f>
        <v>0</v>
      </c>
    </row>
    <row r="208" spans="1:9" x14ac:dyDescent="0.35">
      <c r="A208" s="183" t="s">
        <v>2523</v>
      </c>
      <c r="B208" s="99" t="s">
        <v>686</v>
      </c>
      <c r="C208" s="340"/>
      <c r="D208" s="115"/>
      <c r="E208" s="115">
        <v>55719</v>
      </c>
      <c r="F208" s="465"/>
      <c r="G208" s="26">
        <v>1</v>
      </c>
      <c r="H208" s="457"/>
      <c r="I208" s="386">
        <f>+Table10[[#This Row],[Quantity]]*Table10[[#This Row],[Unit Price]]</f>
        <v>0</v>
      </c>
    </row>
    <row r="209" spans="1:9" x14ac:dyDescent="0.35">
      <c r="A209" s="183" t="s">
        <v>2524</v>
      </c>
      <c r="B209" s="99" t="s">
        <v>685</v>
      </c>
      <c r="C209" s="340"/>
      <c r="D209" s="115"/>
      <c r="E209" s="115">
        <v>55719</v>
      </c>
      <c r="F209" s="465"/>
      <c r="G209" s="26">
        <v>1</v>
      </c>
      <c r="H209" s="457"/>
      <c r="I209" s="386">
        <f>+Table10[[#This Row],[Quantity]]*Table10[[#This Row],[Unit Price]]</f>
        <v>0</v>
      </c>
    </row>
    <row r="210" spans="1:9" x14ac:dyDescent="0.35">
      <c r="A210" s="183" t="s">
        <v>2525</v>
      </c>
      <c r="B210" s="99" t="s">
        <v>684</v>
      </c>
      <c r="C210" s="340"/>
      <c r="D210" s="115"/>
      <c r="E210" s="115">
        <v>55719</v>
      </c>
      <c r="F210" s="465"/>
      <c r="G210" s="26">
        <v>1</v>
      </c>
      <c r="H210" s="457"/>
      <c r="I210" s="386">
        <f>+Table10[[#This Row],[Quantity]]*Table10[[#This Row],[Unit Price]]</f>
        <v>0</v>
      </c>
    </row>
    <row r="211" spans="1:9" x14ac:dyDescent="0.35">
      <c r="A211" s="183" t="s">
        <v>2214</v>
      </c>
      <c r="B211" s="99" t="s">
        <v>2012</v>
      </c>
      <c r="C211" s="340"/>
      <c r="D211" s="115"/>
      <c r="E211" s="115">
        <v>55719</v>
      </c>
      <c r="F211" s="465"/>
      <c r="G211" s="26">
        <v>1</v>
      </c>
      <c r="H211" s="457"/>
      <c r="I211" s="386">
        <f>+Table10[[#This Row],[Quantity]]*Table10[[#This Row],[Unit Price]]</f>
        <v>0</v>
      </c>
    </row>
    <row r="212" spans="1:9" x14ac:dyDescent="0.35">
      <c r="A212" s="183" t="s">
        <v>2106</v>
      </c>
      <c r="B212" s="99" t="s">
        <v>1887</v>
      </c>
      <c r="C212" s="340"/>
      <c r="D212" s="115"/>
      <c r="E212" s="115">
        <v>55719</v>
      </c>
      <c r="F212" s="465"/>
      <c r="G212" s="26">
        <v>1</v>
      </c>
      <c r="H212" s="457"/>
      <c r="I212" s="386">
        <f>+Table10[[#This Row],[Quantity]]*Table10[[#This Row],[Unit Price]]</f>
        <v>0</v>
      </c>
    </row>
    <row r="213" spans="1:9" x14ac:dyDescent="0.35">
      <c r="A213" s="183" t="s">
        <v>2107</v>
      </c>
      <c r="B213" s="99" t="s">
        <v>1888</v>
      </c>
      <c r="C213" s="340"/>
      <c r="D213" s="115"/>
      <c r="E213" s="115">
        <v>55719</v>
      </c>
      <c r="F213" s="465"/>
      <c r="G213" s="26">
        <v>1</v>
      </c>
      <c r="H213" s="457"/>
      <c r="I213" s="386">
        <f>+Table10[[#This Row],[Quantity]]*Table10[[#This Row],[Unit Price]]</f>
        <v>0</v>
      </c>
    </row>
    <row r="214" spans="1:9" x14ac:dyDescent="0.35">
      <c r="A214" s="183" t="s">
        <v>2108</v>
      </c>
      <c r="B214" s="99" t="s">
        <v>1889</v>
      </c>
      <c r="C214" s="340"/>
      <c r="D214" s="115"/>
      <c r="E214" s="115">
        <v>55719</v>
      </c>
      <c r="F214" s="465"/>
      <c r="G214" s="26">
        <v>1</v>
      </c>
      <c r="H214" s="457"/>
      <c r="I214" s="386">
        <f>+Table10[[#This Row],[Quantity]]*Table10[[#This Row],[Unit Price]]</f>
        <v>0</v>
      </c>
    </row>
    <row r="215" spans="1:9" x14ac:dyDescent="0.35">
      <c r="A215" s="183" t="s">
        <v>2109</v>
      </c>
      <c r="B215" s="99" t="s">
        <v>1890</v>
      </c>
      <c r="C215" s="340"/>
      <c r="D215" s="115"/>
      <c r="E215" s="115">
        <v>55719</v>
      </c>
      <c r="F215" s="465"/>
      <c r="G215" s="26">
        <v>1</v>
      </c>
      <c r="H215" s="457"/>
      <c r="I215" s="386">
        <f>+Table10[[#This Row],[Quantity]]*Table10[[#This Row],[Unit Price]]</f>
        <v>0</v>
      </c>
    </row>
    <row r="216" spans="1:9" x14ac:dyDescent="0.35">
      <c r="A216" s="183" t="s">
        <v>2110</v>
      </c>
      <c r="B216" s="99" t="s">
        <v>1891</v>
      </c>
      <c r="C216" s="340"/>
      <c r="D216" s="115"/>
      <c r="E216" s="115">
        <v>55719</v>
      </c>
      <c r="F216" s="465"/>
      <c r="G216" s="26">
        <v>1</v>
      </c>
      <c r="H216" s="457"/>
      <c r="I216" s="386">
        <f>+Table10[[#This Row],[Quantity]]*Table10[[#This Row],[Unit Price]]</f>
        <v>0</v>
      </c>
    </row>
    <row r="217" spans="1:9" x14ac:dyDescent="0.35">
      <c r="A217" s="183" t="s">
        <v>2111</v>
      </c>
      <c r="B217" s="99" t="s">
        <v>1892</v>
      </c>
      <c r="C217" s="340"/>
      <c r="D217" s="115"/>
      <c r="E217" s="115">
        <v>55719</v>
      </c>
      <c r="F217" s="465"/>
      <c r="G217" s="26">
        <v>1</v>
      </c>
      <c r="H217" s="457"/>
      <c r="I217" s="386">
        <f>+Table10[[#This Row],[Quantity]]*Table10[[#This Row],[Unit Price]]</f>
        <v>0</v>
      </c>
    </row>
    <row r="218" spans="1:9" x14ac:dyDescent="0.35">
      <c r="A218" s="183" t="s">
        <v>2112</v>
      </c>
      <c r="B218" s="99" t="s">
        <v>1893</v>
      </c>
      <c r="C218" s="340"/>
      <c r="D218" s="115"/>
      <c r="E218" s="115">
        <v>55719</v>
      </c>
      <c r="F218" s="465"/>
      <c r="G218" s="26">
        <v>1</v>
      </c>
      <c r="H218" s="457"/>
      <c r="I218" s="386">
        <f>+Table10[[#This Row],[Quantity]]*Table10[[#This Row],[Unit Price]]</f>
        <v>0</v>
      </c>
    </row>
    <row r="219" spans="1:9" x14ac:dyDescent="0.35">
      <c r="A219" s="183" t="s">
        <v>2113</v>
      </c>
      <c r="B219" s="99" t="s">
        <v>1894</v>
      </c>
      <c r="C219" s="340"/>
      <c r="D219" s="115"/>
      <c r="E219" s="115">
        <v>55719</v>
      </c>
      <c r="F219" s="465"/>
      <c r="G219" s="26">
        <v>1</v>
      </c>
      <c r="H219" s="457"/>
      <c r="I219" s="386">
        <f>+Table10[[#This Row],[Quantity]]*Table10[[#This Row],[Unit Price]]</f>
        <v>0</v>
      </c>
    </row>
    <row r="220" spans="1:9" x14ac:dyDescent="0.35">
      <c r="A220" s="183" t="s">
        <v>2114</v>
      </c>
      <c r="B220" s="99" t="s">
        <v>1895</v>
      </c>
      <c r="C220" s="340"/>
      <c r="D220" s="115"/>
      <c r="E220" s="115">
        <v>55719</v>
      </c>
      <c r="F220" s="465"/>
      <c r="G220" s="26">
        <v>1</v>
      </c>
      <c r="H220" s="457"/>
      <c r="I220" s="386">
        <f>+Table10[[#This Row],[Quantity]]*Table10[[#This Row],[Unit Price]]</f>
        <v>0</v>
      </c>
    </row>
    <row r="221" spans="1:9" x14ac:dyDescent="0.35">
      <c r="A221" s="183" t="s">
        <v>2115</v>
      </c>
      <c r="B221" s="99" t="s">
        <v>1896</v>
      </c>
      <c r="C221" s="340"/>
      <c r="D221" s="115"/>
      <c r="E221" s="115">
        <v>55719</v>
      </c>
      <c r="F221" s="465"/>
      <c r="G221" s="26">
        <v>1</v>
      </c>
      <c r="H221" s="457"/>
      <c r="I221" s="386">
        <f>+Table10[[#This Row],[Quantity]]*Table10[[#This Row],[Unit Price]]</f>
        <v>0</v>
      </c>
    </row>
    <row r="222" spans="1:9" x14ac:dyDescent="0.35">
      <c r="A222" s="183" t="s">
        <v>2116</v>
      </c>
      <c r="B222" s="99" t="s">
        <v>1897</v>
      </c>
      <c r="C222" s="340"/>
      <c r="D222" s="115"/>
      <c r="E222" s="115">
        <v>55719</v>
      </c>
      <c r="F222" s="465"/>
      <c r="G222" s="26">
        <v>1</v>
      </c>
      <c r="H222" s="457"/>
      <c r="I222" s="386">
        <f>+Table10[[#This Row],[Quantity]]*Table10[[#This Row],[Unit Price]]</f>
        <v>0</v>
      </c>
    </row>
    <row r="223" spans="1:9" x14ac:dyDescent="0.35">
      <c r="A223" s="183" t="s">
        <v>2117</v>
      </c>
      <c r="B223" s="99" t="s">
        <v>1898</v>
      </c>
      <c r="C223" s="340"/>
      <c r="D223" s="115"/>
      <c r="E223" s="115">
        <v>55719</v>
      </c>
      <c r="F223" s="465"/>
      <c r="G223" s="26">
        <v>1</v>
      </c>
      <c r="H223" s="457"/>
      <c r="I223" s="386">
        <f>+Table10[[#This Row],[Quantity]]*Table10[[#This Row],[Unit Price]]</f>
        <v>0</v>
      </c>
    </row>
    <row r="224" spans="1:9" x14ac:dyDescent="0.35">
      <c r="A224" s="183" t="s">
        <v>2118</v>
      </c>
      <c r="B224" s="99" t="s">
        <v>1899</v>
      </c>
      <c r="C224" s="340"/>
      <c r="D224" s="115"/>
      <c r="E224" s="115">
        <v>55719</v>
      </c>
      <c r="F224" s="465"/>
      <c r="G224" s="26">
        <v>1</v>
      </c>
      <c r="H224" s="457"/>
      <c r="I224" s="386">
        <f>+Table10[[#This Row],[Quantity]]*Table10[[#This Row],[Unit Price]]</f>
        <v>0</v>
      </c>
    </row>
    <row r="225" spans="1:9" x14ac:dyDescent="0.35">
      <c r="A225" s="183" t="s">
        <v>983</v>
      </c>
      <c r="B225" s="99" t="s">
        <v>337</v>
      </c>
      <c r="C225" s="340"/>
      <c r="D225" s="115"/>
      <c r="E225" s="115">
        <v>55719</v>
      </c>
      <c r="F225" s="465"/>
      <c r="G225" s="26">
        <v>1</v>
      </c>
      <c r="H225" s="457"/>
      <c r="I225" s="386">
        <f>+Table10[[#This Row],[Quantity]]*Table10[[#This Row],[Unit Price]]</f>
        <v>0</v>
      </c>
    </row>
    <row r="226" spans="1:9" x14ac:dyDescent="0.35">
      <c r="A226" s="183" t="s">
        <v>1067</v>
      </c>
      <c r="B226" s="99" t="s">
        <v>260</v>
      </c>
      <c r="C226" s="340"/>
      <c r="D226" s="115"/>
      <c r="E226" s="115">
        <v>55719</v>
      </c>
      <c r="F226" s="465"/>
      <c r="G226" s="26">
        <v>1</v>
      </c>
      <c r="H226" s="457"/>
      <c r="I226" s="386">
        <f>+Table10[[#This Row],[Quantity]]*Table10[[#This Row],[Unit Price]]</f>
        <v>0</v>
      </c>
    </row>
    <row r="227" spans="1:9" x14ac:dyDescent="0.35">
      <c r="A227" s="183" t="s">
        <v>1248</v>
      </c>
      <c r="B227" s="99" t="s">
        <v>392</v>
      </c>
      <c r="C227" s="340"/>
      <c r="D227" s="115"/>
      <c r="E227" s="115">
        <v>55719</v>
      </c>
      <c r="F227" s="465"/>
      <c r="G227" s="26">
        <v>1</v>
      </c>
      <c r="H227" s="457"/>
      <c r="I227" s="386">
        <f>+Table10[[#This Row],[Quantity]]*Table10[[#This Row],[Unit Price]]</f>
        <v>0</v>
      </c>
    </row>
    <row r="228" spans="1:9" x14ac:dyDescent="0.35">
      <c r="A228" s="183" t="s">
        <v>999</v>
      </c>
      <c r="B228" s="99" t="s">
        <v>393</v>
      </c>
      <c r="C228" s="340"/>
      <c r="D228" s="115"/>
      <c r="E228" s="115">
        <v>55719</v>
      </c>
      <c r="F228" s="465"/>
      <c r="G228" s="26">
        <v>1</v>
      </c>
      <c r="H228" s="457"/>
      <c r="I228" s="386">
        <f>+Table10[[#This Row],[Quantity]]*Table10[[#This Row],[Unit Price]]</f>
        <v>0</v>
      </c>
    </row>
    <row r="229" spans="1:9" x14ac:dyDescent="0.35">
      <c r="A229" s="183" t="s">
        <v>1000</v>
      </c>
      <c r="B229" s="99" t="s">
        <v>295</v>
      </c>
      <c r="C229" s="340"/>
      <c r="D229" s="115"/>
      <c r="E229" s="115">
        <v>55719</v>
      </c>
      <c r="F229" s="465"/>
      <c r="G229" s="26">
        <v>1</v>
      </c>
      <c r="H229" s="457"/>
      <c r="I229" s="386">
        <f>+Table10[[#This Row],[Quantity]]*Table10[[#This Row],[Unit Price]]</f>
        <v>0</v>
      </c>
    </row>
    <row r="230" spans="1:9" x14ac:dyDescent="0.35">
      <c r="A230" s="183" t="s">
        <v>1249</v>
      </c>
      <c r="B230" s="99" t="s">
        <v>390</v>
      </c>
      <c r="C230" s="340"/>
      <c r="D230" s="115"/>
      <c r="E230" s="115">
        <v>55719</v>
      </c>
      <c r="F230" s="465"/>
      <c r="G230" s="26">
        <v>1</v>
      </c>
      <c r="H230" s="457"/>
      <c r="I230" s="386">
        <f>+Table10[[#This Row],[Quantity]]*Table10[[#This Row],[Unit Price]]</f>
        <v>0</v>
      </c>
    </row>
    <row r="231" spans="1:9" x14ac:dyDescent="0.35">
      <c r="A231" s="183" t="s">
        <v>2180</v>
      </c>
      <c r="B231" s="99" t="s">
        <v>1869</v>
      </c>
      <c r="C231" s="340"/>
      <c r="D231" s="115"/>
      <c r="E231" s="115">
        <v>55719</v>
      </c>
      <c r="F231" s="465"/>
      <c r="G231" s="26">
        <v>1</v>
      </c>
      <c r="H231" s="457"/>
      <c r="I231" s="386">
        <f>+Table10[[#This Row],[Quantity]]*Table10[[#This Row],[Unit Price]]</f>
        <v>0</v>
      </c>
    </row>
    <row r="232" spans="1:9" x14ac:dyDescent="0.35">
      <c r="A232" s="183" t="s">
        <v>1066</v>
      </c>
      <c r="B232" s="99" t="s">
        <v>70</v>
      </c>
      <c r="C232" s="340"/>
      <c r="D232" s="115"/>
      <c r="E232" s="115">
        <v>55719</v>
      </c>
      <c r="F232" s="465"/>
      <c r="G232" s="26">
        <v>1</v>
      </c>
      <c r="H232" s="457"/>
      <c r="I232" s="386">
        <f>+Table10[[#This Row],[Quantity]]*Table10[[#This Row],[Unit Price]]</f>
        <v>0</v>
      </c>
    </row>
    <row r="233" spans="1:9" x14ac:dyDescent="0.35">
      <c r="A233" s="183" t="s">
        <v>1068</v>
      </c>
      <c r="B233" s="99" t="s">
        <v>262</v>
      </c>
      <c r="C233" s="340"/>
      <c r="D233" s="115"/>
      <c r="E233" s="115">
        <v>55719</v>
      </c>
      <c r="F233" s="465"/>
      <c r="G233" s="26">
        <v>1</v>
      </c>
      <c r="H233" s="457"/>
      <c r="I233" s="386">
        <f>+Table10[[#This Row],[Quantity]]*Table10[[#This Row],[Unit Price]]</f>
        <v>0</v>
      </c>
    </row>
    <row r="234" spans="1:9" x14ac:dyDescent="0.35">
      <c r="A234" s="183" t="s">
        <v>1065</v>
      </c>
      <c r="B234" s="99" t="s">
        <v>259</v>
      </c>
      <c r="C234" s="340"/>
      <c r="D234" s="115"/>
      <c r="E234" s="115">
        <v>55719</v>
      </c>
      <c r="F234" s="465"/>
      <c r="G234" s="26">
        <v>1</v>
      </c>
      <c r="H234" s="457"/>
      <c r="I234" s="386">
        <f>+Table10[[#This Row],[Quantity]]*Table10[[#This Row],[Unit Price]]</f>
        <v>0</v>
      </c>
    </row>
    <row r="235" spans="1:9" x14ac:dyDescent="0.35">
      <c r="A235" s="183" t="s">
        <v>1250</v>
      </c>
      <c r="B235" s="99" t="s">
        <v>391</v>
      </c>
      <c r="C235" s="340"/>
      <c r="D235" s="115"/>
      <c r="E235" s="115">
        <v>55719</v>
      </c>
      <c r="F235" s="465"/>
      <c r="G235" s="26">
        <v>1</v>
      </c>
      <c r="H235" s="457"/>
      <c r="I235" s="386">
        <f>+Table10[[#This Row],[Quantity]]*Table10[[#This Row],[Unit Price]]</f>
        <v>0</v>
      </c>
    </row>
    <row r="236" spans="1:9" x14ac:dyDescent="0.35">
      <c r="A236" s="183" t="s">
        <v>2143</v>
      </c>
      <c r="B236" s="99" t="s">
        <v>1864</v>
      </c>
      <c r="C236" s="340"/>
      <c r="D236" s="115"/>
      <c r="E236" s="115">
        <v>55719</v>
      </c>
      <c r="F236" s="465"/>
      <c r="G236" s="26">
        <v>1</v>
      </c>
      <c r="H236" s="457"/>
      <c r="I236" s="386">
        <f>+Table10[[#This Row],[Quantity]]*Table10[[#This Row],[Unit Price]]</f>
        <v>0</v>
      </c>
    </row>
    <row r="237" spans="1:9" x14ac:dyDescent="0.35">
      <c r="A237" s="183" t="s">
        <v>2144</v>
      </c>
      <c r="B237" s="99" t="s">
        <v>1865</v>
      </c>
      <c r="C237" s="340"/>
      <c r="D237" s="115"/>
      <c r="E237" s="115">
        <v>55719</v>
      </c>
      <c r="F237" s="465"/>
      <c r="G237" s="26">
        <v>1</v>
      </c>
      <c r="H237" s="457"/>
      <c r="I237" s="386">
        <f>+Table10[[#This Row],[Quantity]]*Table10[[#This Row],[Unit Price]]</f>
        <v>0</v>
      </c>
    </row>
    <row r="238" spans="1:9" x14ac:dyDescent="0.35">
      <c r="A238" s="183" t="s">
        <v>2145</v>
      </c>
      <c r="B238" s="99" t="s">
        <v>1866</v>
      </c>
      <c r="C238" s="340"/>
      <c r="D238" s="115"/>
      <c r="E238" s="115">
        <v>55719</v>
      </c>
      <c r="F238" s="465"/>
      <c r="G238" s="26">
        <v>1</v>
      </c>
      <c r="H238" s="457"/>
      <c r="I238" s="386">
        <f>+Table10[[#This Row],[Quantity]]*Table10[[#This Row],[Unit Price]]</f>
        <v>0</v>
      </c>
    </row>
    <row r="239" spans="1:9" x14ac:dyDescent="0.35">
      <c r="A239" s="183" t="s">
        <v>2146</v>
      </c>
      <c r="B239" s="99" t="s">
        <v>1867</v>
      </c>
      <c r="C239" s="340"/>
      <c r="D239" s="115"/>
      <c r="E239" s="115">
        <v>55719</v>
      </c>
      <c r="F239" s="465"/>
      <c r="G239" s="26">
        <v>1</v>
      </c>
      <c r="H239" s="457"/>
      <c r="I239" s="386">
        <f>+Table10[[#This Row],[Quantity]]*Table10[[#This Row],[Unit Price]]</f>
        <v>0</v>
      </c>
    </row>
    <row r="240" spans="1:9" x14ac:dyDescent="0.35">
      <c r="A240" s="183" t="s">
        <v>2147</v>
      </c>
      <c r="B240" s="99" t="s">
        <v>1868</v>
      </c>
      <c r="C240" s="340"/>
      <c r="D240" s="115"/>
      <c r="E240" s="115">
        <v>55719</v>
      </c>
      <c r="F240" s="465"/>
      <c r="G240" s="26">
        <v>1</v>
      </c>
      <c r="H240" s="457"/>
      <c r="I240" s="386">
        <f>+Table10[[#This Row],[Quantity]]*Table10[[#This Row],[Unit Price]]</f>
        <v>0</v>
      </c>
    </row>
    <row r="241" spans="1:9" x14ac:dyDescent="0.35">
      <c r="A241" s="183" t="s">
        <v>2148</v>
      </c>
      <c r="B241" s="99" t="s">
        <v>1858</v>
      </c>
      <c r="C241" s="340"/>
      <c r="D241" s="115"/>
      <c r="E241" s="115">
        <v>55719</v>
      </c>
      <c r="F241" s="465"/>
      <c r="G241" s="26">
        <v>1</v>
      </c>
      <c r="H241" s="457"/>
      <c r="I241" s="386">
        <f>+Table10[[#This Row],[Quantity]]*Table10[[#This Row],[Unit Price]]</f>
        <v>0</v>
      </c>
    </row>
    <row r="242" spans="1:9" x14ac:dyDescent="0.35">
      <c r="A242" s="183" t="s">
        <v>2149</v>
      </c>
      <c r="B242" s="99" t="s">
        <v>1859</v>
      </c>
      <c r="C242" s="340"/>
      <c r="D242" s="115"/>
      <c r="E242" s="115">
        <v>55719</v>
      </c>
      <c r="F242" s="465"/>
      <c r="G242" s="26">
        <v>1</v>
      </c>
      <c r="H242" s="457"/>
      <c r="I242" s="386">
        <f>+Table10[[#This Row],[Quantity]]*Table10[[#This Row],[Unit Price]]</f>
        <v>0</v>
      </c>
    </row>
    <row r="243" spans="1:9" x14ac:dyDescent="0.35">
      <c r="A243" s="183" t="s">
        <v>2150</v>
      </c>
      <c r="B243" s="99" t="s">
        <v>1860</v>
      </c>
      <c r="C243" s="340"/>
      <c r="D243" s="115"/>
      <c r="E243" s="115">
        <v>55719</v>
      </c>
      <c r="F243" s="465"/>
      <c r="G243" s="26">
        <v>1</v>
      </c>
      <c r="H243" s="457"/>
      <c r="I243" s="386">
        <f>+Table10[[#This Row],[Quantity]]*Table10[[#This Row],[Unit Price]]</f>
        <v>0</v>
      </c>
    </row>
    <row r="244" spans="1:9" x14ac:dyDescent="0.35">
      <c r="A244" s="183" t="s">
        <v>2151</v>
      </c>
      <c r="B244" s="99" t="s">
        <v>1861</v>
      </c>
      <c r="C244" s="340"/>
      <c r="D244" s="115"/>
      <c r="E244" s="115">
        <v>55719</v>
      </c>
      <c r="F244" s="465"/>
      <c r="G244" s="26">
        <v>1</v>
      </c>
      <c r="H244" s="457"/>
      <c r="I244" s="386">
        <f>+Table10[[#This Row],[Quantity]]*Table10[[#This Row],[Unit Price]]</f>
        <v>0</v>
      </c>
    </row>
    <row r="245" spans="1:9" x14ac:dyDescent="0.35">
      <c r="A245" s="183" t="s">
        <v>2152</v>
      </c>
      <c r="B245" s="99" t="s">
        <v>1862</v>
      </c>
      <c r="C245" s="340"/>
      <c r="D245" s="115"/>
      <c r="E245" s="115">
        <v>55719</v>
      </c>
      <c r="F245" s="465"/>
      <c r="G245" s="26">
        <v>1</v>
      </c>
      <c r="H245" s="457"/>
      <c r="I245" s="386">
        <f>+Table10[[#This Row],[Quantity]]*Table10[[#This Row],[Unit Price]]</f>
        <v>0</v>
      </c>
    </row>
    <row r="246" spans="1:9" x14ac:dyDescent="0.35">
      <c r="A246" s="183" t="s">
        <v>2153</v>
      </c>
      <c r="B246" s="99" t="s">
        <v>1863</v>
      </c>
      <c r="C246" s="340"/>
      <c r="D246" s="115"/>
      <c r="E246" s="115">
        <v>55719</v>
      </c>
      <c r="F246" s="465"/>
      <c r="G246" s="26">
        <v>1</v>
      </c>
      <c r="H246" s="457"/>
      <c r="I246" s="386">
        <f>+Table10[[#This Row],[Quantity]]*Table10[[#This Row],[Unit Price]]</f>
        <v>0</v>
      </c>
    </row>
    <row r="247" spans="1:9" x14ac:dyDescent="0.35">
      <c r="A247" s="183" t="s">
        <v>79</v>
      </c>
      <c r="B247" s="99" t="s">
        <v>247</v>
      </c>
      <c r="C247" s="340"/>
      <c r="D247" s="115"/>
      <c r="E247" s="115">
        <v>55719</v>
      </c>
      <c r="F247" s="465"/>
      <c r="G247" s="26">
        <v>1</v>
      </c>
      <c r="H247" s="457"/>
      <c r="I247" s="386">
        <f>+Table10[[#This Row],[Quantity]]*Table10[[#This Row],[Unit Price]]</f>
        <v>0</v>
      </c>
    </row>
    <row r="248" spans="1:9" x14ac:dyDescent="0.35">
      <c r="A248" s="183" t="s">
        <v>1046</v>
      </c>
      <c r="B248" s="99" t="s">
        <v>203</v>
      </c>
      <c r="C248" s="340"/>
      <c r="D248" s="115"/>
      <c r="E248" s="115">
        <v>55719</v>
      </c>
      <c r="F248" s="465"/>
      <c r="G248" s="26">
        <v>1</v>
      </c>
      <c r="H248" s="457"/>
      <c r="I248" s="386">
        <f>+Table10[[#This Row],[Quantity]]*Table10[[#This Row],[Unit Price]]</f>
        <v>0</v>
      </c>
    </row>
    <row r="249" spans="1:9" x14ac:dyDescent="0.35">
      <c r="A249" s="183" t="s">
        <v>993</v>
      </c>
      <c r="B249" s="99" t="s">
        <v>249</v>
      </c>
      <c r="C249" s="340"/>
      <c r="D249" s="115"/>
      <c r="E249" s="115">
        <v>55719</v>
      </c>
      <c r="F249" s="465"/>
      <c r="G249" s="26">
        <v>1</v>
      </c>
      <c r="H249" s="457"/>
      <c r="I249" s="386">
        <f>+Table10[[#This Row],[Quantity]]*Table10[[#This Row],[Unit Price]]</f>
        <v>0</v>
      </c>
    </row>
    <row r="250" spans="1:9" x14ac:dyDescent="0.35">
      <c r="A250" s="183" t="s">
        <v>994</v>
      </c>
      <c r="B250" s="99" t="s">
        <v>389</v>
      </c>
      <c r="C250" s="340"/>
      <c r="D250" s="115"/>
      <c r="E250" s="115">
        <v>55719</v>
      </c>
      <c r="F250" s="465"/>
      <c r="G250" s="26">
        <v>1</v>
      </c>
      <c r="H250" s="457"/>
      <c r="I250" s="386">
        <f>+Table10[[#This Row],[Quantity]]*Table10[[#This Row],[Unit Price]]</f>
        <v>0</v>
      </c>
    </row>
    <row r="251" spans="1:9" x14ac:dyDescent="0.35">
      <c r="A251" s="183" t="s">
        <v>81</v>
      </c>
      <c r="B251" s="99" t="s">
        <v>109</v>
      </c>
      <c r="C251" s="340"/>
      <c r="D251" s="115"/>
      <c r="E251" s="115">
        <v>55719</v>
      </c>
      <c r="F251" s="465"/>
      <c r="G251" s="26">
        <v>1</v>
      </c>
      <c r="H251" s="457"/>
      <c r="I251" s="386">
        <f>+Table10[[#This Row],[Quantity]]*Table10[[#This Row],[Unit Price]]</f>
        <v>0</v>
      </c>
    </row>
    <row r="252" spans="1:9" x14ac:dyDescent="0.35">
      <c r="A252" s="183" t="s">
        <v>996</v>
      </c>
      <c r="B252" s="99" t="s">
        <v>253</v>
      </c>
      <c r="C252" s="340"/>
      <c r="D252" s="115"/>
      <c r="E252" s="115">
        <v>55719</v>
      </c>
      <c r="F252" s="465"/>
      <c r="G252" s="26">
        <v>1</v>
      </c>
      <c r="H252" s="457"/>
      <c r="I252" s="386">
        <f>+Table10[[#This Row],[Quantity]]*Table10[[#This Row],[Unit Price]]</f>
        <v>0</v>
      </c>
    </row>
    <row r="253" spans="1:9" x14ac:dyDescent="0.35">
      <c r="A253" s="183" t="s">
        <v>995</v>
      </c>
      <c r="B253" s="99" t="s">
        <v>251</v>
      </c>
      <c r="C253" s="340"/>
      <c r="D253" s="115"/>
      <c r="E253" s="115">
        <v>55719</v>
      </c>
      <c r="F253" s="465"/>
      <c r="G253" s="26">
        <v>1</v>
      </c>
      <c r="H253" s="457"/>
      <c r="I253" s="386">
        <f>+Table10[[#This Row],[Quantity]]*Table10[[#This Row],[Unit Price]]</f>
        <v>0</v>
      </c>
    </row>
    <row r="254" spans="1:9" x14ac:dyDescent="0.35">
      <c r="A254" s="183" t="s">
        <v>1251</v>
      </c>
      <c r="B254" s="99" t="s">
        <v>745</v>
      </c>
      <c r="C254" s="340"/>
      <c r="D254" s="115"/>
      <c r="E254" s="115">
        <v>55719</v>
      </c>
      <c r="F254" s="465"/>
      <c r="G254" s="26">
        <v>1</v>
      </c>
      <c r="H254" s="457"/>
      <c r="I254" s="386">
        <f>+Table10[[#This Row],[Quantity]]*Table10[[#This Row],[Unit Price]]</f>
        <v>0</v>
      </c>
    </row>
    <row r="255" spans="1:9" x14ac:dyDescent="0.35">
      <c r="A255" s="183" t="s">
        <v>2119</v>
      </c>
      <c r="B255" s="99" t="s">
        <v>1886</v>
      </c>
      <c r="C255" s="340"/>
      <c r="D255" s="115"/>
      <c r="E255" s="115">
        <v>55719</v>
      </c>
      <c r="F255" s="465"/>
      <c r="G255" s="26">
        <v>1</v>
      </c>
      <c r="H255" s="457"/>
      <c r="I255" s="386">
        <f>+Table10[[#This Row],[Quantity]]*Table10[[#This Row],[Unit Price]]</f>
        <v>0</v>
      </c>
    </row>
    <row r="256" spans="1:9" x14ac:dyDescent="0.35">
      <c r="A256" s="183" t="s">
        <v>2120</v>
      </c>
      <c r="B256" s="99" t="s">
        <v>1874</v>
      </c>
      <c r="C256" s="340"/>
      <c r="D256" s="115"/>
      <c r="E256" s="115">
        <v>55719</v>
      </c>
      <c r="F256" s="465"/>
      <c r="G256" s="26">
        <v>1</v>
      </c>
      <c r="H256" s="457"/>
      <c r="I256" s="386">
        <f>+Table10[[#This Row],[Quantity]]*Table10[[#This Row],[Unit Price]]</f>
        <v>0</v>
      </c>
    </row>
    <row r="257" spans="1:9" x14ac:dyDescent="0.35">
      <c r="A257" s="183" t="s">
        <v>2121</v>
      </c>
      <c r="B257" s="99" t="s">
        <v>1875</v>
      </c>
      <c r="C257" s="340"/>
      <c r="D257" s="115"/>
      <c r="E257" s="115">
        <v>55719</v>
      </c>
      <c r="F257" s="465"/>
      <c r="G257" s="26">
        <v>1</v>
      </c>
      <c r="H257" s="457"/>
      <c r="I257" s="386">
        <f>+Table10[[#This Row],[Quantity]]*Table10[[#This Row],[Unit Price]]</f>
        <v>0</v>
      </c>
    </row>
    <row r="258" spans="1:9" x14ac:dyDescent="0.35">
      <c r="A258" s="183" t="s">
        <v>2122</v>
      </c>
      <c r="B258" s="99" t="s">
        <v>1876</v>
      </c>
      <c r="C258" s="340"/>
      <c r="D258" s="115"/>
      <c r="E258" s="115">
        <v>55719</v>
      </c>
      <c r="F258" s="465"/>
      <c r="G258" s="26">
        <v>1</v>
      </c>
      <c r="H258" s="457"/>
      <c r="I258" s="386">
        <f>+Table10[[#This Row],[Quantity]]*Table10[[#This Row],[Unit Price]]</f>
        <v>0</v>
      </c>
    </row>
    <row r="259" spans="1:9" x14ac:dyDescent="0.35">
      <c r="A259" s="183" t="s">
        <v>2123</v>
      </c>
      <c r="B259" s="99" t="s">
        <v>1877</v>
      </c>
      <c r="C259" s="340"/>
      <c r="D259" s="115"/>
      <c r="E259" s="115">
        <v>55719</v>
      </c>
      <c r="F259" s="465"/>
      <c r="G259" s="26">
        <v>1</v>
      </c>
      <c r="H259" s="457"/>
      <c r="I259" s="386">
        <f>+Table10[[#This Row],[Quantity]]*Table10[[#This Row],[Unit Price]]</f>
        <v>0</v>
      </c>
    </row>
    <row r="260" spans="1:9" x14ac:dyDescent="0.35">
      <c r="A260" s="183" t="s">
        <v>2124</v>
      </c>
      <c r="B260" s="99" t="s">
        <v>1878</v>
      </c>
      <c r="C260" s="340"/>
      <c r="D260" s="115"/>
      <c r="E260" s="115">
        <v>55719</v>
      </c>
      <c r="F260" s="465"/>
      <c r="G260" s="26">
        <v>1</v>
      </c>
      <c r="H260" s="457"/>
      <c r="I260" s="386">
        <f>+Table10[[#This Row],[Quantity]]*Table10[[#This Row],[Unit Price]]</f>
        <v>0</v>
      </c>
    </row>
    <row r="261" spans="1:9" x14ac:dyDescent="0.35">
      <c r="A261" s="183" t="s">
        <v>2125</v>
      </c>
      <c r="B261" s="99" t="s">
        <v>1879</v>
      </c>
      <c r="C261" s="340"/>
      <c r="D261" s="115"/>
      <c r="E261" s="115">
        <v>55719</v>
      </c>
      <c r="F261" s="465"/>
      <c r="G261" s="26">
        <v>1</v>
      </c>
      <c r="H261" s="457"/>
      <c r="I261" s="386">
        <f>+Table10[[#This Row],[Quantity]]*Table10[[#This Row],[Unit Price]]</f>
        <v>0</v>
      </c>
    </row>
    <row r="262" spans="1:9" x14ac:dyDescent="0.35">
      <c r="A262" s="183" t="s">
        <v>2126</v>
      </c>
      <c r="B262" s="99" t="s">
        <v>1880</v>
      </c>
      <c r="C262" s="340"/>
      <c r="D262" s="115"/>
      <c r="E262" s="115">
        <v>55719</v>
      </c>
      <c r="F262" s="465"/>
      <c r="G262" s="26">
        <v>1</v>
      </c>
      <c r="H262" s="457"/>
      <c r="I262" s="386">
        <f>+Table10[[#This Row],[Quantity]]*Table10[[#This Row],[Unit Price]]</f>
        <v>0</v>
      </c>
    </row>
    <row r="263" spans="1:9" x14ac:dyDescent="0.35">
      <c r="A263" s="183" t="s">
        <v>2127</v>
      </c>
      <c r="B263" s="99" t="s">
        <v>1881</v>
      </c>
      <c r="C263" s="340"/>
      <c r="D263" s="115"/>
      <c r="E263" s="115">
        <v>55719</v>
      </c>
      <c r="F263" s="465"/>
      <c r="G263" s="26">
        <v>1</v>
      </c>
      <c r="H263" s="457"/>
      <c r="I263" s="386">
        <f>+Table10[[#This Row],[Quantity]]*Table10[[#This Row],[Unit Price]]</f>
        <v>0</v>
      </c>
    </row>
    <row r="264" spans="1:9" x14ac:dyDescent="0.35">
      <c r="A264" s="183" t="s">
        <v>2128</v>
      </c>
      <c r="B264" s="99" t="s">
        <v>1882</v>
      </c>
      <c r="C264" s="340"/>
      <c r="D264" s="115"/>
      <c r="E264" s="115">
        <v>55719</v>
      </c>
      <c r="F264" s="465"/>
      <c r="G264" s="26">
        <v>1</v>
      </c>
      <c r="H264" s="457"/>
      <c r="I264" s="386">
        <f>+Table10[[#This Row],[Quantity]]*Table10[[#This Row],[Unit Price]]</f>
        <v>0</v>
      </c>
    </row>
    <row r="265" spans="1:9" x14ac:dyDescent="0.35">
      <c r="A265" s="183" t="s">
        <v>2129</v>
      </c>
      <c r="B265" s="99" t="s">
        <v>1883</v>
      </c>
      <c r="C265" s="340"/>
      <c r="D265" s="115"/>
      <c r="E265" s="115">
        <v>55719</v>
      </c>
      <c r="F265" s="465"/>
      <c r="G265" s="26">
        <v>1</v>
      </c>
      <c r="H265" s="457"/>
      <c r="I265" s="386">
        <f>+Table10[[#This Row],[Quantity]]*Table10[[#This Row],[Unit Price]]</f>
        <v>0</v>
      </c>
    </row>
    <row r="266" spans="1:9" x14ac:dyDescent="0.35">
      <c r="A266" s="183" t="s">
        <v>2130</v>
      </c>
      <c r="B266" s="99" t="s">
        <v>1884</v>
      </c>
      <c r="C266" s="340"/>
      <c r="D266" s="115"/>
      <c r="E266" s="115">
        <v>55719</v>
      </c>
      <c r="F266" s="465"/>
      <c r="G266" s="26">
        <v>1</v>
      </c>
      <c r="H266" s="457"/>
      <c r="I266" s="386">
        <f>+Table10[[#This Row],[Quantity]]*Table10[[#This Row],[Unit Price]]</f>
        <v>0</v>
      </c>
    </row>
    <row r="267" spans="1:9" x14ac:dyDescent="0.35">
      <c r="A267" s="183" t="s">
        <v>2131</v>
      </c>
      <c r="B267" s="99" t="s">
        <v>1885</v>
      </c>
      <c r="C267" s="340"/>
      <c r="D267" s="115"/>
      <c r="E267" s="115">
        <v>55719</v>
      </c>
      <c r="F267" s="465"/>
      <c r="G267" s="26">
        <v>1</v>
      </c>
      <c r="H267" s="457"/>
      <c r="I267" s="386">
        <f>+Table10[[#This Row],[Quantity]]*Table10[[#This Row],[Unit Price]]</f>
        <v>0</v>
      </c>
    </row>
    <row r="268" spans="1:9" x14ac:dyDescent="0.35">
      <c r="A268" s="183" t="s">
        <v>1399</v>
      </c>
      <c r="B268" s="207" t="s">
        <v>2574</v>
      </c>
      <c r="C268" s="340"/>
      <c r="D268" s="115"/>
      <c r="E268" s="115">
        <v>55719</v>
      </c>
      <c r="F268" s="465"/>
      <c r="G268" s="26">
        <v>1</v>
      </c>
      <c r="H268" s="457"/>
      <c r="I268" s="386">
        <f>+Table10[[#This Row],[Quantity]]*Table10[[#This Row],[Unit Price]]</f>
        <v>0</v>
      </c>
    </row>
    <row r="269" spans="1:9" x14ac:dyDescent="0.35">
      <c r="A269" s="183" t="s">
        <v>2196</v>
      </c>
      <c r="B269" s="99" t="s">
        <v>1871</v>
      </c>
      <c r="C269" s="340"/>
      <c r="D269" s="115"/>
      <c r="E269" s="115">
        <v>55719</v>
      </c>
      <c r="F269" s="465"/>
      <c r="G269" s="26">
        <v>1</v>
      </c>
      <c r="H269" s="457"/>
      <c r="I269" s="386">
        <f>+Table10[[#This Row],[Quantity]]*Table10[[#This Row],[Unit Price]]</f>
        <v>0</v>
      </c>
    </row>
    <row r="270" spans="1:9" x14ac:dyDescent="0.35">
      <c r="A270" s="183" t="s">
        <v>978</v>
      </c>
      <c r="B270" s="99" t="s">
        <v>234</v>
      </c>
      <c r="C270" s="340"/>
      <c r="D270" s="115"/>
      <c r="E270" s="115">
        <v>55719</v>
      </c>
      <c r="F270" s="465"/>
      <c r="G270" s="26">
        <v>1</v>
      </c>
      <c r="H270" s="457"/>
      <c r="I270" s="386">
        <f>+Table10[[#This Row],[Quantity]]*Table10[[#This Row],[Unit Price]]</f>
        <v>0</v>
      </c>
    </row>
    <row r="271" spans="1:9" x14ac:dyDescent="0.35">
      <c r="A271" s="183" t="s">
        <v>2197</v>
      </c>
      <c r="B271" s="99" t="s">
        <v>1872</v>
      </c>
      <c r="C271" s="340"/>
      <c r="D271" s="115"/>
      <c r="E271" s="115">
        <v>55719</v>
      </c>
      <c r="F271" s="465"/>
      <c r="G271" s="26">
        <v>1</v>
      </c>
      <c r="H271" s="457"/>
      <c r="I271" s="386">
        <f>+Table10[[#This Row],[Quantity]]*Table10[[#This Row],[Unit Price]]</f>
        <v>0</v>
      </c>
    </row>
    <row r="272" spans="1:9" x14ac:dyDescent="0.35">
      <c r="A272" s="183" t="s">
        <v>9</v>
      </c>
      <c r="B272" s="99" t="s">
        <v>329</v>
      </c>
      <c r="C272" s="340"/>
      <c r="D272" s="115"/>
      <c r="E272" s="115">
        <v>55719</v>
      </c>
      <c r="F272" s="465"/>
      <c r="G272" s="26">
        <v>1</v>
      </c>
      <c r="H272" s="457"/>
      <c r="I272" s="386">
        <f>+Table10[[#This Row],[Quantity]]*Table10[[#This Row],[Unit Price]]</f>
        <v>0</v>
      </c>
    </row>
    <row r="273" spans="1:9" x14ac:dyDescent="0.35">
      <c r="A273" s="183" t="s">
        <v>2198</v>
      </c>
      <c r="B273" s="99" t="s">
        <v>1873</v>
      </c>
      <c r="C273" s="340"/>
      <c r="D273" s="115"/>
      <c r="E273" s="115">
        <v>55719</v>
      </c>
      <c r="F273" s="465"/>
      <c r="G273" s="26">
        <v>1</v>
      </c>
      <c r="H273" s="457"/>
      <c r="I273" s="386">
        <f>+Table10[[#This Row],[Quantity]]*Table10[[#This Row],[Unit Price]]</f>
        <v>0</v>
      </c>
    </row>
    <row r="274" spans="1:9" x14ac:dyDescent="0.35">
      <c r="A274" s="183" t="s">
        <v>930</v>
      </c>
      <c r="B274" s="99" t="s">
        <v>88</v>
      </c>
      <c r="C274" s="340"/>
      <c r="D274" s="115"/>
      <c r="E274" s="115">
        <v>55719</v>
      </c>
      <c r="F274" s="465"/>
      <c r="G274" s="26">
        <v>1</v>
      </c>
      <c r="H274" s="457"/>
      <c r="I274" s="386">
        <f>+Table10[[#This Row],[Quantity]]*Table10[[#This Row],[Unit Price]]</f>
        <v>0</v>
      </c>
    </row>
    <row r="275" spans="1:9" x14ac:dyDescent="0.35">
      <c r="A275" s="183" t="s">
        <v>1254</v>
      </c>
      <c r="B275" s="99" t="s">
        <v>1578</v>
      </c>
      <c r="C275" s="340"/>
      <c r="D275" s="115"/>
      <c r="E275" s="115">
        <v>55719</v>
      </c>
      <c r="F275" s="465"/>
      <c r="G275" s="26">
        <v>1</v>
      </c>
      <c r="H275" s="457"/>
      <c r="I275" s="386">
        <f>+Table10[[#This Row],[Quantity]]*Table10[[#This Row],[Unit Price]]</f>
        <v>0</v>
      </c>
    </row>
    <row r="276" spans="1:9" x14ac:dyDescent="0.35">
      <c r="A276" s="183" t="s">
        <v>1255</v>
      </c>
      <c r="B276" s="99" t="s">
        <v>1579</v>
      </c>
      <c r="C276" s="340"/>
      <c r="D276" s="115"/>
      <c r="E276" s="115">
        <v>55719</v>
      </c>
      <c r="F276" s="465"/>
      <c r="G276" s="26">
        <v>1</v>
      </c>
      <c r="H276" s="457"/>
      <c r="I276" s="386">
        <f>+Table10[[#This Row],[Quantity]]*Table10[[#This Row],[Unit Price]]</f>
        <v>0</v>
      </c>
    </row>
    <row r="277" spans="1:9" x14ac:dyDescent="0.35">
      <c r="A277" s="183" t="s">
        <v>1256</v>
      </c>
      <c r="B277" s="99" t="s">
        <v>1577</v>
      </c>
      <c r="C277" s="340"/>
      <c r="D277" s="115"/>
      <c r="E277" s="115">
        <v>55719</v>
      </c>
      <c r="F277" s="465"/>
      <c r="G277" s="26">
        <v>1</v>
      </c>
      <c r="H277" s="457"/>
      <c r="I277" s="386">
        <f>+Table10[[#This Row],[Quantity]]*Table10[[#This Row],[Unit Price]]</f>
        <v>0</v>
      </c>
    </row>
    <row r="278" spans="1:9" x14ac:dyDescent="0.35">
      <c r="A278" s="183" t="s">
        <v>29</v>
      </c>
      <c r="B278" s="99" t="s">
        <v>1564</v>
      </c>
      <c r="C278" s="340"/>
      <c r="D278" s="115"/>
      <c r="E278" s="115">
        <v>55719</v>
      </c>
      <c r="F278" s="465"/>
      <c r="G278" s="26">
        <v>1</v>
      </c>
      <c r="H278" s="457"/>
      <c r="I278" s="386">
        <f>+Table10[[#This Row],[Quantity]]*Table10[[#This Row],[Unit Price]]</f>
        <v>0</v>
      </c>
    </row>
    <row r="279" spans="1:9" x14ac:dyDescent="0.35">
      <c r="A279" s="183" t="s">
        <v>1064</v>
      </c>
      <c r="B279" s="99" t="s">
        <v>1576</v>
      </c>
      <c r="C279" s="340"/>
      <c r="D279" s="115"/>
      <c r="E279" s="115">
        <v>55719</v>
      </c>
      <c r="F279" s="465"/>
      <c r="G279" s="26">
        <v>1</v>
      </c>
      <c r="H279" s="457"/>
      <c r="I279" s="386">
        <f>+Table10[[#This Row],[Quantity]]*Table10[[#This Row],[Unit Price]]</f>
        <v>0</v>
      </c>
    </row>
    <row r="280" spans="1:9" x14ac:dyDescent="0.35">
      <c r="A280" s="183" t="s">
        <v>1058</v>
      </c>
      <c r="B280" s="99" t="s">
        <v>1563</v>
      </c>
      <c r="C280" s="340"/>
      <c r="D280" s="115"/>
      <c r="E280" s="115">
        <v>55719</v>
      </c>
      <c r="F280" s="465"/>
      <c r="G280" s="26">
        <v>1</v>
      </c>
      <c r="H280" s="457"/>
      <c r="I280" s="386">
        <f>+Table10[[#This Row],[Quantity]]*Table10[[#This Row],[Unit Price]]</f>
        <v>0</v>
      </c>
    </row>
    <row r="281" spans="1:9" x14ac:dyDescent="0.35">
      <c r="A281" s="183" t="s">
        <v>1257</v>
      </c>
      <c r="B281" s="99" t="s">
        <v>1600</v>
      </c>
      <c r="C281" s="340"/>
      <c r="D281" s="115"/>
      <c r="E281" s="115">
        <v>55719</v>
      </c>
      <c r="F281" s="465"/>
      <c r="G281" s="26">
        <v>1</v>
      </c>
      <c r="H281" s="457"/>
      <c r="I281" s="386">
        <f>+Table10[[#This Row],[Quantity]]*Table10[[#This Row],[Unit Price]]</f>
        <v>0</v>
      </c>
    </row>
    <row r="282" spans="1:9" x14ac:dyDescent="0.35">
      <c r="A282" s="183" t="s">
        <v>1156</v>
      </c>
      <c r="B282" s="99" t="s">
        <v>61</v>
      </c>
      <c r="C282" s="340"/>
      <c r="D282" s="115"/>
      <c r="E282" s="115">
        <v>55719</v>
      </c>
      <c r="F282" s="465"/>
      <c r="G282" s="26">
        <v>1</v>
      </c>
      <c r="H282" s="457"/>
      <c r="I282" s="386">
        <f>+Table10[[#This Row],[Quantity]]*Table10[[#This Row],[Unit Price]]</f>
        <v>0</v>
      </c>
    </row>
    <row r="283" spans="1:9" x14ac:dyDescent="0.35">
      <c r="A283" s="183" t="s">
        <v>1158</v>
      </c>
      <c r="B283" s="99" t="s">
        <v>487</v>
      </c>
      <c r="C283" s="340"/>
      <c r="D283" s="115"/>
      <c r="E283" s="115">
        <v>55719</v>
      </c>
      <c r="F283" s="465"/>
      <c r="G283" s="26">
        <v>1</v>
      </c>
      <c r="H283" s="457"/>
      <c r="I283" s="386">
        <f>+Table10[[#This Row],[Quantity]]*Table10[[#This Row],[Unit Price]]</f>
        <v>0</v>
      </c>
    </row>
    <row r="284" spans="1:9" x14ac:dyDescent="0.35">
      <c r="A284" s="183" t="s">
        <v>1159</v>
      </c>
      <c r="B284" s="99" t="s">
        <v>484</v>
      </c>
      <c r="C284" s="340"/>
      <c r="D284" s="115"/>
      <c r="E284" s="115">
        <v>55719</v>
      </c>
      <c r="F284" s="465"/>
      <c r="G284" s="26">
        <v>1</v>
      </c>
      <c r="H284" s="457"/>
      <c r="I284" s="386">
        <f>+Table10[[#This Row],[Quantity]]*Table10[[#This Row],[Unit Price]]</f>
        <v>0</v>
      </c>
    </row>
    <row r="285" spans="1:9" x14ac:dyDescent="0.35">
      <c r="A285" s="183" t="s">
        <v>931</v>
      </c>
      <c r="B285" s="99" t="s">
        <v>66</v>
      </c>
      <c r="C285" s="340"/>
      <c r="D285" s="115"/>
      <c r="E285" s="115">
        <v>55719</v>
      </c>
      <c r="F285" s="465"/>
      <c r="G285" s="26">
        <v>1</v>
      </c>
      <c r="H285" s="457"/>
      <c r="I285" s="386">
        <f>+Table10[[#This Row],[Quantity]]*Table10[[#This Row],[Unit Price]]</f>
        <v>0</v>
      </c>
    </row>
    <row r="286" spans="1:9" x14ac:dyDescent="0.35">
      <c r="A286" s="183" t="s">
        <v>932</v>
      </c>
      <c r="B286" s="99" t="s">
        <v>432</v>
      </c>
      <c r="C286" s="340"/>
      <c r="D286" s="115"/>
      <c r="E286" s="115">
        <v>55719</v>
      </c>
      <c r="F286" s="465"/>
      <c r="G286" s="26">
        <v>1</v>
      </c>
      <c r="H286" s="457"/>
      <c r="I286" s="386">
        <f>+Table10[[#This Row],[Quantity]]*Table10[[#This Row],[Unit Price]]</f>
        <v>0</v>
      </c>
    </row>
    <row r="287" spans="1:9" x14ac:dyDescent="0.35">
      <c r="A287" s="183" t="s">
        <v>1160</v>
      </c>
      <c r="B287" s="99" t="s">
        <v>467</v>
      </c>
      <c r="C287" s="340"/>
      <c r="D287" s="115"/>
      <c r="E287" s="115">
        <v>55719</v>
      </c>
      <c r="F287" s="465"/>
      <c r="G287" s="26">
        <v>1</v>
      </c>
      <c r="H287" s="457"/>
      <c r="I287" s="386">
        <f>+Table10[[#This Row],[Quantity]]*Table10[[#This Row],[Unit Price]]</f>
        <v>0</v>
      </c>
    </row>
    <row r="288" spans="1:9" x14ac:dyDescent="0.35">
      <c r="A288" s="183" t="s">
        <v>1161</v>
      </c>
      <c r="B288" s="99" t="s">
        <v>617</v>
      </c>
      <c r="C288" s="340"/>
      <c r="D288" s="115"/>
      <c r="E288" s="115">
        <v>55719</v>
      </c>
      <c r="F288" s="465"/>
      <c r="G288" s="26">
        <v>1</v>
      </c>
      <c r="H288" s="457"/>
      <c r="I288" s="386">
        <f>+Table10[[#This Row],[Quantity]]*Table10[[#This Row],[Unit Price]]</f>
        <v>0</v>
      </c>
    </row>
    <row r="289" spans="1:9" x14ac:dyDescent="0.35">
      <c r="A289" s="183" t="s">
        <v>933</v>
      </c>
      <c r="B289" s="99" t="s">
        <v>433</v>
      </c>
      <c r="C289" s="340"/>
      <c r="D289" s="115"/>
      <c r="E289" s="115">
        <v>55719</v>
      </c>
      <c r="F289" s="465"/>
      <c r="G289" s="26">
        <v>1</v>
      </c>
      <c r="H289" s="457"/>
      <c r="I289" s="386">
        <f>+Table10[[#This Row],[Quantity]]*Table10[[#This Row],[Unit Price]]</f>
        <v>0</v>
      </c>
    </row>
    <row r="290" spans="1:9" x14ac:dyDescent="0.35">
      <c r="A290" s="183" t="s">
        <v>1162</v>
      </c>
      <c r="B290" s="99" t="s">
        <v>84</v>
      </c>
      <c r="C290" s="340"/>
      <c r="D290" s="115"/>
      <c r="E290" s="115">
        <v>55719</v>
      </c>
      <c r="F290" s="465"/>
      <c r="G290" s="26">
        <v>1</v>
      </c>
      <c r="H290" s="457"/>
      <c r="I290" s="386">
        <f>+Table10[[#This Row],[Quantity]]*Table10[[#This Row],[Unit Price]]</f>
        <v>0</v>
      </c>
    </row>
    <row r="291" spans="1:9" x14ac:dyDescent="0.35">
      <c r="A291" s="183" t="s">
        <v>934</v>
      </c>
      <c r="B291" s="99" t="s">
        <v>434</v>
      </c>
      <c r="C291" s="340"/>
      <c r="D291" s="115"/>
      <c r="E291" s="115">
        <v>55719</v>
      </c>
      <c r="F291" s="465"/>
      <c r="G291" s="26">
        <v>1</v>
      </c>
      <c r="H291" s="457"/>
      <c r="I291" s="386">
        <f>+Table10[[#This Row],[Quantity]]*Table10[[#This Row],[Unit Price]]</f>
        <v>0</v>
      </c>
    </row>
    <row r="292" spans="1:9" x14ac:dyDescent="0.35">
      <c r="A292" s="183" t="s">
        <v>1163</v>
      </c>
      <c r="B292" s="99" t="s">
        <v>83</v>
      </c>
      <c r="C292" s="340"/>
      <c r="D292" s="115"/>
      <c r="E292" s="115">
        <v>55719</v>
      </c>
      <c r="F292" s="465"/>
      <c r="G292" s="26">
        <v>1</v>
      </c>
      <c r="H292" s="457"/>
      <c r="I292" s="386">
        <f>+Table10[[#This Row],[Quantity]]*Table10[[#This Row],[Unit Price]]</f>
        <v>0</v>
      </c>
    </row>
    <row r="293" spans="1:9" x14ac:dyDescent="0.35">
      <c r="A293" s="183" t="s">
        <v>2215</v>
      </c>
      <c r="B293" s="99" t="s">
        <v>1870</v>
      </c>
      <c r="C293" s="340"/>
      <c r="D293" s="115"/>
      <c r="E293" s="115">
        <v>55719</v>
      </c>
      <c r="F293" s="465"/>
      <c r="G293" s="26">
        <v>1</v>
      </c>
      <c r="H293" s="457"/>
      <c r="I293" s="386">
        <f>+Table10[[#This Row],[Quantity]]*Table10[[#This Row],[Unit Price]]</f>
        <v>0</v>
      </c>
    </row>
    <row r="294" spans="1:9" x14ac:dyDescent="0.35">
      <c r="A294" s="183" t="s">
        <v>1112</v>
      </c>
      <c r="B294" s="99" t="s">
        <v>790</v>
      </c>
      <c r="C294" s="340"/>
      <c r="D294" s="115"/>
      <c r="E294" s="115">
        <v>55719</v>
      </c>
      <c r="F294" s="465"/>
      <c r="G294" s="26">
        <v>1</v>
      </c>
      <c r="H294" s="457"/>
      <c r="I294" s="386">
        <f>+Table10[[#This Row],[Quantity]]*Table10[[#This Row],[Unit Price]]</f>
        <v>0</v>
      </c>
    </row>
    <row r="295" spans="1:9" x14ac:dyDescent="0.35">
      <c r="A295" s="183" t="s">
        <v>1806</v>
      </c>
      <c r="B295" s="99" t="s">
        <v>1807</v>
      </c>
      <c r="C295" s="340"/>
      <c r="D295" s="115"/>
      <c r="E295" s="115">
        <v>55719</v>
      </c>
      <c r="F295" s="465"/>
      <c r="G295" s="26">
        <v>1</v>
      </c>
      <c r="H295" s="457"/>
      <c r="I295" s="386">
        <f>+Table10[[#This Row],[Quantity]]*Table10[[#This Row],[Unit Price]]</f>
        <v>0</v>
      </c>
    </row>
    <row r="296" spans="1:9" x14ac:dyDescent="0.35">
      <c r="A296" s="183" t="s">
        <v>1114</v>
      </c>
      <c r="B296" s="99" t="s">
        <v>91</v>
      </c>
      <c r="C296" s="340"/>
      <c r="D296" s="115"/>
      <c r="E296" s="115">
        <v>55719</v>
      </c>
      <c r="F296" s="465"/>
      <c r="G296" s="26">
        <v>1</v>
      </c>
      <c r="H296" s="457"/>
      <c r="I296" s="386">
        <f>+Table10[[#This Row],[Quantity]]*Table10[[#This Row],[Unit Price]]</f>
        <v>0</v>
      </c>
    </row>
    <row r="297" spans="1:9" x14ac:dyDescent="0.35">
      <c r="A297" s="183" t="s">
        <v>1113</v>
      </c>
      <c r="B297" s="99" t="s">
        <v>92</v>
      </c>
      <c r="C297" s="340"/>
      <c r="D297" s="115"/>
      <c r="E297" s="115">
        <v>55719</v>
      </c>
      <c r="F297" s="465"/>
      <c r="G297" s="26">
        <v>1</v>
      </c>
      <c r="H297" s="457"/>
      <c r="I297" s="386">
        <f>+Table10[[#This Row],[Quantity]]*Table10[[#This Row],[Unit Price]]</f>
        <v>0</v>
      </c>
    </row>
    <row r="298" spans="1:9" x14ac:dyDescent="0.35">
      <c r="A298" s="183" t="s">
        <v>1105</v>
      </c>
      <c r="B298" s="99" t="s">
        <v>93</v>
      </c>
      <c r="C298" s="340"/>
      <c r="D298" s="115"/>
      <c r="E298" s="115">
        <v>55719</v>
      </c>
      <c r="F298" s="465"/>
      <c r="G298" s="26">
        <v>1</v>
      </c>
      <c r="H298" s="457"/>
      <c r="I298" s="386">
        <f>+Table10[[#This Row],[Quantity]]*Table10[[#This Row],[Unit Price]]</f>
        <v>0</v>
      </c>
    </row>
    <row r="299" spans="1:9" x14ac:dyDescent="0.35">
      <c r="A299" s="183" t="s">
        <v>2195</v>
      </c>
      <c r="B299" s="99" t="s">
        <v>1983</v>
      </c>
      <c r="C299" s="340"/>
      <c r="D299" s="115"/>
      <c r="E299" s="115">
        <v>55719</v>
      </c>
      <c r="F299" s="465"/>
      <c r="G299" s="26">
        <v>1</v>
      </c>
      <c r="H299" s="457"/>
      <c r="I299" s="386">
        <f>+Table10[[#This Row],[Quantity]]*Table10[[#This Row],[Unit Price]]</f>
        <v>0</v>
      </c>
    </row>
    <row r="300" spans="1:9" x14ac:dyDescent="0.35">
      <c r="A300" s="183" t="s">
        <v>1061</v>
      </c>
      <c r="B300" s="99" t="s">
        <v>73</v>
      </c>
      <c r="C300" s="340"/>
      <c r="D300" s="115"/>
      <c r="E300" s="115">
        <v>55719</v>
      </c>
      <c r="F300" s="465"/>
      <c r="G300" s="26">
        <v>1</v>
      </c>
      <c r="H300" s="457"/>
      <c r="I300" s="386">
        <f>+Table10[[#This Row],[Quantity]]*Table10[[#This Row],[Unit Price]]</f>
        <v>0</v>
      </c>
    </row>
    <row r="301" spans="1:9" x14ac:dyDescent="0.35">
      <c r="A301" s="183" t="s">
        <v>1167</v>
      </c>
      <c r="B301" s="99" t="s">
        <v>387</v>
      </c>
      <c r="C301" s="340"/>
      <c r="D301" s="115"/>
      <c r="E301" s="115">
        <v>55719</v>
      </c>
      <c r="F301" s="465"/>
      <c r="G301" s="26">
        <v>1</v>
      </c>
      <c r="H301" s="457"/>
      <c r="I301" s="386">
        <f>+Table10[[#This Row],[Quantity]]*Table10[[#This Row],[Unit Price]]</f>
        <v>0</v>
      </c>
    </row>
    <row r="302" spans="1:9" x14ac:dyDescent="0.35">
      <c r="A302" s="183" t="s">
        <v>1060</v>
      </c>
      <c r="B302" s="99" t="s">
        <v>74</v>
      </c>
      <c r="C302" s="340"/>
      <c r="D302" s="115"/>
      <c r="E302" s="115">
        <v>55719</v>
      </c>
      <c r="F302" s="465"/>
      <c r="G302" s="26">
        <v>1</v>
      </c>
      <c r="H302" s="457"/>
      <c r="I302" s="386">
        <f>+Table10[[#This Row],[Quantity]]*Table10[[#This Row],[Unit Price]]</f>
        <v>0</v>
      </c>
    </row>
    <row r="303" spans="1:9" x14ac:dyDescent="0.35">
      <c r="A303" s="183" t="s">
        <v>1062</v>
      </c>
      <c r="B303" s="99" t="s">
        <v>261</v>
      </c>
      <c r="C303" s="340"/>
      <c r="D303" s="115"/>
      <c r="E303" s="115">
        <v>55719</v>
      </c>
      <c r="F303" s="465"/>
      <c r="G303" s="26">
        <v>1</v>
      </c>
      <c r="H303" s="457"/>
      <c r="I303" s="386">
        <f>+Table10[[#This Row],[Quantity]]*Table10[[#This Row],[Unit Price]]</f>
        <v>0</v>
      </c>
    </row>
    <row r="304" spans="1:9" x14ac:dyDescent="0.35">
      <c r="A304" s="183" t="s">
        <v>997</v>
      </c>
      <c r="B304" s="99" t="s">
        <v>388</v>
      </c>
      <c r="C304" s="340"/>
      <c r="D304" s="115"/>
      <c r="E304" s="115">
        <v>55719</v>
      </c>
      <c r="F304" s="465"/>
      <c r="G304" s="26">
        <v>1</v>
      </c>
      <c r="H304" s="457"/>
      <c r="I304" s="386">
        <f>+Table10[[#This Row],[Quantity]]*Table10[[#This Row],[Unit Price]]</f>
        <v>0</v>
      </c>
    </row>
    <row r="305" spans="1:9" x14ac:dyDescent="0.35">
      <c r="A305" s="183" t="s">
        <v>1168</v>
      </c>
      <c r="B305" s="99" t="s">
        <v>75</v>
      </c>
      <c r="C305" s="340"/>
      <c r="D305" s="115"/>
      <c r="E305" s="115">
        <v>55719</v>
      </c>
      <c r="F305" s="465"/>
      <c r="G305" s="26">
        <v>1</v>
      </c>
      <c r="H305" s="457"/>
      <c r="I305" s="386">
        <f>+Table10[[#This Row],[Quantity]]*Table10[[#This Row],[Unit Price]]</f>
        <v>0</v>
      </c>
    </row>
    <row r="306" spans="1:9" x14ac:dyDescent="0.35">
      <c r="A306" s="183" t="s">
        <v>1059</v>
      </c>
      <c r="B306" s="99" t="s">
        <v>69</v>
      </c>
      <c r="C306" s="340"/>
      <c r="D306" s="115"/>
      <c r="E306" s="115">
        <v>55719</v>
      </c>
      <c r="F306" s="465"/>
      <c r="G306" s="26">
        <v>1</v>
      </c>
      <c r="H306" s="457"/>
      <c r="I306" s="386">
        <f>+Table10[[#This Row],[Quantity]]*Table10[[#This Row],[Unit Price]]</f>
        <v>0</v>
      </c>
    </row>
    <row r="307" spans="1:9" x14ac:dyDescent="0.35">
      <c r="A307" s="183" t="s">
        <v>1063</v>
      </c>
      <c r="B307" s="99" t="s">
        <v>71</v>
      </c>
      <c r="C307" s="340"/>
      <c r="D307" s="115"/>
      <c r="E307" s="115">
        <v>55719</v>
      </c>
      <c r="F307" s="465"/>
      <c r="G307" s="26">
        <v>1</v>
      </c>
      <c r="H307" s="457"/>
      <c r="I307" s="386">
        <f>+Table10[[#This Row],[Quantity]]*Table10[[#This Row],[Unit Price]]</f>
        <v>0</v>
      </c>
    </row>
    <row r="308" spans="1:9" x14ac:dyDescent="0.35">
      <c r="A308" s="183" t="s">
        <v>1057</v>
      </c>
      <c r="B308" s="99" t="s">
        <v>72</v>
      </c>
      <c r="C308" s="340"/>
      <c r="D308" s="115"/>
      <c r="E308" s="115">
        <v>55719</v>
      </c>
      <c r="F308" s="465"/>
      <c r="G308" s="26">
        <v>1</v>
      </c>
      <c r="H308" s="457"/>
      <c r="I308" s="386">
        <f>+Table10[[#This Row],[Quantity]]*Table10[[#This Row],[Unit Price]]</f>
        <v>0</v>
      </c>
    </row>
    <row r="309" spans="1:9" x14ac:dyDescent="0.35">
      <c r="A309" s="183" t="s">
        <v>1259</v>
      </c>
      <c r="B309" s="99" t="s">
        <v>386</v>
      </c>
      <c r="C309" s="340"/>
      <c r="D309" s="115"/>
      <c r="E309" s="115">
        <v>55719</v>
      </c>
      <c r="F309" s="465"/>
      <c r="G309" s="26">
        <v>1</v>
      </c>
      <c r="H309" s="457"/>
      <c r="I309" s="386">
        <f>+Table10[[#This Row],[Quantity]]*Table10[[#This Row],[Unit Price]]</f>
        <v>0</v>
      </c>
    </row>
    <row r="310" spans="1:9" x14ac:dyDescent="0.35">
      <c r="A310" s="183" t="s">
        <v>2132</v>
      </c>
      <c r="B310" s="99" t="s">
        <v>1853</v>
      </c>
      <c r="C310" s="340"/>
      <c r="D310" s="115"/>
      <c r="E310" s="115">
        <v>55719</v>
      </c>
      <c r="F310" s="465"/>
      <c r="G310" s="26">
        <v>1</v>
      </c>
      <c r="H310" s="457"/>
      <c r="I310" s="386">
        <f>+Table10[[#This Row],[Quantity]]*Table10[[#This Row],[Unit Price]]</f>
        <v>0</v>
      </c>
    </row>
    <row r="311" spans="1:9" x14ac:dyDescent="0.35">
      <c r="A311" s="183" t="s">
        <v>2133</v>
      </c>
      <c r="B311" s="99" t="s">
        <v>1854</v>
      </c>
      <c r="C311" s="340"/>
      <c r="D311" s="115"/>
      <c r="E311" s="115">
        <v>55719</v>
      </c>
      <c r="F311" s="465"/>
      <c r="G311" s="26">
        <v>1</v>
      </c>
      <c r="H311" s="457"/>
      <c r="I311" s="386">
        <f>+Table10[[#This Row],[Quantity]]*Table10[[#This Row],[Unit Price]]</f>
        <v>0</v>
      </c>
    </row>
    <row r="312" spans="1:9" x14ac:dyDescent="0.35">
      <c r="A312" s="183" t="s">
        <v>2134</v>
      </c>
      <c r="B312" s="99" t="s">
        <v>1855</v>
      </c>
      <c r="C312" s="340"/>
      <c r="D312" s="115"/>
      <c r="E312" s="115">
        <v>55719</v>
      </c>
      <c r="F312" s="465"/>
      <c r="G312" s="26">
        <v>1</v>
      </c>
      <c r="H312" s="457"/>
      <c r="I312" s="386">
        <f>+Table10[[#This Row],[Quantity]]*Table10[[#This Row],[Unit Price]]</f>
        <v>0</v>
      </c>
    </row>
    <row r="313" spans="1:9" x14ac:dyDescent="0.35">
      <c r="A313" s="183" t="s">
        <v>2135</v>
      </c>
      <c r="B313" s="99" t="s">
        <v>1856</v>
      </c>
      <c r="C313" s="340"/>
      <c r="D313" s="115"/>
      <c r="E313" s="115">
        <v>55719</v>
      </c>
      <c r="F313" s="465"/>
      <c r="G313" s="26">
        <v>1</v>
      </c>
      <c r="H313" s="457"/>
      <c r="I313" s="386">
        <f>+Table10[[#This Row],[Quantity]]*Table10[[#This Row],[Unit Price]]</f>
        <v>0</v>
      </c>
    </row>
    <row r="314" spans="1:9" x14ac:dyDescent="0.35">
      <c r="A314" s="183" t="s">
        <v>2136</v>
      </c>
      <c r="B314" s="99" t="s">
        <v>1857</v>
      </c>
      <c r="C314" s="340"/>
      <c r="D314" s="115"/>
      <c r="E314" s="115">
        <v>55719</v>
      </c>
      <c r="F314" s="465"/>
      <c r="G314" s="26">
        <v>1</v>
      </c>
      <c r="H314" s="457"/>
      <c r="I314" s="386">
        <f>+Table10[[#This Row],[Quantity]]*Table10[[#This Row],[Unit Price]]</f>
        <v>0</v>
      </c>
    </row>
    <row r="315" spans="1:9" x14ac:dyDescent="0.35">
      <c r="A315" s="183" t="s">
        <v>2137</v>
      </c>
      <c r="B315" s="99" t="s">
        <v>1847</v>
      </c>
      <c r="C315" s="340"/>
      <c r="D315" s="115"/>
      <c r="E315" s="115">
        <v>55719</v>
      </c>
      <c r="F315" s="465"/>
      <c r="G315" s="26">
        <v>1</v>
      </c>
      <c r="H315" s="457"/>
      <c r="I315" s="386">
        <f>+Table10[[#This Row],[Quantity]]*Table10[[#This Row],[Unit Price]]</f>
        <v>0</v>
      </c>
    </row>
    <row r="316" spans="1:9" x14ac:dyDescent="0.35">
      <c r="A316" s="183" t="s">
        <v>2138</v>
      </c>
      <c r="B316" s="99" t="s">
        <v>1848</v>
      </c>
      <c r="C316" s="340"/>
      <c r="D316" s="115"/>
      <c r="E316" s="115">
        <v>55719</v>
      </c>
      <c r="F316" s="465"/>
      <c r="G316" s="26">
        <v>1</v>
      </c>
      <c r="H316" s="457"/>
      <c r="I316" s="386">
        <f>+Table10[[#This Row],[Quantity]]*Table10[[#This Row],[Unit Price]]</f>
        <v>0</v>
      </c>
    </row>
    <row r="317" spans="1:9" x14ac:dyDescent="0.35">
      <c r="A317" s="183" t="s">
        <v>2139</v>
      </c>
      <c r="B317" s="99" t="s">
        <v>1849</v>
      </c>
      <c r="C317" s="340"/>
      <c r="D317" s="115"/>
      <c r="E317" s="115">
        <v>55719</v>
      </c>
      <c r="F317" s="465"/>
      <c r="G317" s="26">
        <v>1</v>
      </c>
      <c r="H317" s="457"/>
      <c r="I317" s="386">
        <f>+Table10[[#This Row],[Quantity]]*Table10[[#This Row],[Unit Price]]</f>
        <v>0</v>
      </c>
    </row>
    <row r="318" spans="1:9" x14ac:dyDescent="0.35">
      <c r="A318" s="183" t="s">
        <v>2140</v>
      </c>
      <c r="B318" s="99" t="s">
        <v>1850</v>
      </c>
      <c r="C318" s="340"/>
      <c r="D318" s="115"/>
      <c r="E318" s="115">
        <v>55719</v>
      </c>
      <c r="F318" s="465"/>
      <c r="G318" s="26">
        <v>1</v>
      </c>
      <c r="H318" s="457"/>
      <c r="I318" s="386">
        <f>+Table10[[#This Row],[Quantity]]*Table10[[#This Row],[Unit Price]]</f>
        <v>0</v>
      </c>
    </row>
    <row r="319" spans="1:9" x14ac:dyDescent="0.35">
      <c r="A319" s="183" t="s">
        <v>2141</v>
      </c>
      <c r="B319" s="99" t="s">
        <v>1851</v>
      </c>
      <c r="C319" s="340"/>
      <c r="D319" s="115"/>
      <c r="E319" s="115">
        <v>55719</v>
      </c>
      <c r="F319" s="465"/>
      <c r="G319" s="26">
        <v>1</v>
      </c>
      <c r="H319" s="457"/>
      <c r="I319" s="386">
        <f>+Table10[[#This Row],[Quantity]]*Table10[[#This Row],[Unit Price]]</f>
        <v>0</v>
      </c>
    </row>
    <row r="320" spans="1:9" x14ac:dyDescent="0.35">
      <c r="A320" s="183" t="s">
        <v>2142</v>
      </c>
      <c r="B320" s="99" t="s">
        <v>1852</v>
      </c>
      <c r="C320" s="340"/>
      <c r="D320" s="115"/>
      <c r="E320" s="115">
        <v>55719</v>
      </c>
      <c r="F320" s="465"/>
      <c r="G320" s="26">
        <v>1</v>
      </c>
      <c r="H320" s="457"/>
      <c r="I320" s="386">
        <f>+Table10[[#This Row],[Quantity]]*Table10[[#This Row],[Unit Price]]</f>
        <v>0</v>
      </c>
    </row>
    <row r="321" spans="1:9" x14ac:dyDescent="0.35">
      <c r="A321" s="183" t="s">
        <v>214</v>
      </c>
      <c r="B321" s="99" t="s">
        <v>197</v>
      </c>
      <c r="C321" s="340"/>
      <c r="D321" s="115"/>
      <c r="E321" s="115">
        <v>55719</v>
      </c>
      <c r="F321" s="465"/>
      <c r="G321" s="26">
        <v>1</v>
      </c>
      <c r="H321" s="457"/>
      <c r="I321" s="386">
        <f>+Table10[[#This Row],[Quantity]]*Table10[[#This Row],[Unit Price]]</f>
        <v>0</v>
      </c>
    </row>
    <row r="322" spans="1:9" x14ac:dyDescent="0.35">
      <c r="A322" s="183" t="s">
        <v>870</v>
      </c>
      <c r="B322" s="99" t="s">
        <v>416</v>
      </c>
      <c r="C322" s="340"/>
      <c r="D322" s="115"/>
      <c r="E322" s="115">
        <v>55719</v>
      </c>
      <c r="F322" s="465"/>
      <c r="G322" s="26">
        <v>1</v>
      </c>
      <c r="H322" s="457"/>
      <c r="I322" s="386">
        <f>+Table10[[#This Row],[Quantity]]*Table10[[#This Row],[Unit Price]]</f>
        <v>0</v>
      </c>
    </row>
    <row r="323" spans="1:9" x14ac:dyDescent="0.35">
      <c r="A323" s="183" t="s">
        <v>2179</v>
      </c>
      <c r="B323" s="99" t="s">
        <v>1993</v>
      </c>
      <c r="C323" s="340"/>
      <c r="D323" s="115"/>
      <c r="E323" s="115">
        <v>55719</v>
      </c>
      <c r="F323" s="465"/>
      <c r="G323" s="26">
        <v>1</v>
      </c>
      <c r="H323" s="457"/>
      <c r="I323" s="386">
        <f>+Table10[[#This Row],[Quantity]]*Table10[[#This Row],[Unit Price]]</f>
        <v>0</v>
      </c>
    </row>
    <row r="324" spans="1:9" x14ac:dyDescent="0.35">
      <c r="A324" s="183" t="s">
        <v>14</v>
      </c>
      <c r="B324" s="99" t="s">
        <v>334</v>
      </c>
      <c r="C324" s="340"/>
      <c r="D324" s="115"/>
      <c r="E324" s="115">
        <v>55719</v>
      </c>
      <c r="F324" s="465"/>
      <c r="G324" s="26">
        <v>1</v>
      </c>
      <c r="H324" s="457"/>
      <c r="I324" s="386">
        <f>+Table10[[#This Row],[Quantity]]*Table10[[#This Row],[Unit Price]]</f>
        <v>0</v>
      </c>
    </row>
    <row r="325" spans="1:9" x14ac:dyDescent="0.35">
      <c r="A325" s="183" t="s">
        <v>36</v>
      </c>
      <c r="B325" s="99" t="s">
        <v>37</v>
      </c>
      <c r="C325" s="340"/>
      <c r="D325" s="115"/>
      <c r="E325" s="115">
        <v>55719</v>
      </c>
      <c r="F325" s="465"/>
      <c r="G325" s="26">
        <v>1</v>
      </c>
      <c r="H325" s="457"/>
      <c r="I325" s="386">
        <f>+Table10[[#This Row],[Quantity]]*Table10[[#This Row],[Unit Price]]</f>
        <v>0</v>
      </c>
    </row>
    <row r="326" spans="1:9" x14ac:dyDescent="0.35">
      <c r="A326" s="183" t="s">
        <v>104</v>
      </c>
      <c r="B326" s="99" t="s">
        <v>506</v>
      </c>
      <c r="C326" s="340"/>
      <c r="D326" s="115"/>
      <c r="E326" s="115">
        <v>55719</v>
      </c>
      <c r="F326" s="465"/>
      <c r="G326" s="26">
        <v>1</v>
      </c>
      <c r="H326" s="457"/>
      <c r="I326" s="386">
        <f>+Table10[[#This Row],[Quantity]]*Table10[[#This Row],[Unit Price]]</f>
        <v>0</v>
      </c>
    </row>
    <row r="327" spans="1:9" x14ac:dyDescent="0.35">
      <c r="A327" s="183" t="s">
        <v>177</v>
      </c>
      <c r="B327" s="99" t="s">
        <v>178</v>
      </c>
      <c r="C327" s="340"/>
      <c r="D327" s="115"/>
      <c r="E327" s="115">
        <v>55719</v>
      </c>
      <c r="F327" s="465"/>
      <c r="G327" s="26">
        <v>1</v>
      </c>
      <c r="H327" s="457"/>
      <c r="I327" s="386">
        <f>+Table10[[#This Row],[Quantity]]*Table10[[#This Row],[Unit Price]]</f>
        <v>0</v>
      </c>
    </row>
    <row r="328" spans="1:9" x14ac:dyDescent="0.35">
      <c r="A328" s="183" t="s">
        <v>881</v>
      </c>
      <c r="B328" s="99" t="s">
        <v>417</v>
      </c>
      <c r="C328" s="340"/>
      <c r="D328" s="115"/>
      <c r="E328" s="115">
        <v>55719</v>
      </c>
      <c r="F328" s="465"/>
      <c r="G328" s="26">
        <v>1</v>
      </c>
      <c r="H328" s="457"/>
      <c r="I328" s="386">
        <f>+Table10[[#This Row],[Quantity]]*Table10[[#This Row],[Unit Price]]</f>
        <v>0</v>
      </c>
    </row>
    <row r="329" spans="1:9" x14ac:dyDescent="0.35">
      <c r="A329" s="183" t="s">
        <v>10</v>
      </c>
      <c r="B329" s="99" t="s">
        <v>418</v>
      </c>
      <c r="C329" s="340"/>
      <c r="D329" s="115"/>
      <c r="E329" s="115">
        <v>55719</v>
      </c>
      <c r="F329" s="465"/>
      <c r="G329" s="26">
        <v>1</v>
      </c>
      <c r="H329" s="457"/>
      <c r="I329" s="386">
        <f>+Table10[[#This Row],[Quantity]]*Table10[[#This Row],[Unit Price]]</f>
        <v>0</v>
      </c>
    </row>
    <row r="330" spans="1:9" x14ac:dyDescent="0.35">
      <c r="A330" s="183" t="s">
        <v>179</v>
      </c>
      <c r="B330" s="99" t="s">
        <v>180</v>
      </c>
      <c r="C330" s="340"/>
      <c r="D330" s="115"/>
      <c r="E330" s="115">
        <v>55719</v>
      </c>
      <c r="F330" s="465"/>
      <c r="G330" s="26">
        <v>1</v>
      </c>
      <c r="H330" s="457"/>
      <c r="I330" s="386">
        <f>+Table10[[#This Row],[Quantity]]*Table10[[#This Row],[Unit Price]]</f>
        <v>0</v>
      </c>
    </row>
    <row r="331" spans="1:9" x14ac:dyDescent="0.35">
      <c r="A331" s="183" t="s">
        <v>1270</v>
      </c>
      <c r="B331" s="99" t="s">
        <v>402</v>
      </c>
      <c r="C331" s="340"/>
      <c r="D331" s="115"/>
      <c r="E331" s="115">
        <v>55719</v>
      </c>
      <c r="F331" s="465"/>
      <c r="G331" s="26">
        <v>1</v>
      </c>
      <c r="H331" s="457"/>
      <c r="I331" s="386">
        <f>+Table10[[#This Row],[Quantity]]*Table10[[#This Row],[Unit Price]]</f>
        <v>0</v>
      </c>
    </row>
    <row r="332" spans="1:9" x14ac:dyDescent="0.35">
      <c r="A332" s="183" t="s">
        <v>987</v>
      </c>
      <c r="B332" s="99" t="s">
        <v>237</v>
      </c>
      <c r="C332" s="340"/>
      <c r="D332" s="115"/>
      <c r="E332" s="115">
        <v>55719</v>
      </c>
      <c r="F332" s="465"/>
      <c r="G332" s="26">
        <v>1</v>
      </c>
      <c r="H332" s="457"/>
      <c r="I332" s="386">
        <f>+Table10[[#This Row],[Quantity]]*Table10[[#This Row],[Unit Price]]</f>
        <v>0</v>
      </c>
    </row>
    <row r="333" spans="1:9" x14ac:dyDescent="0.35">
      <c r="A333" s="183" t="s">
        <v>1966</v>
      </c>
      <c r="B333" s="99" t="s">
        <v>1967</v>
      </c>
      <c r="C333" s="340"/>
      <c r="D333" s="115"/>
      <c r="E333" s="115">
        <v>55719</v>
      </c>
      <c r="F333" s="465"/>
      <c r="G333" s="26">
        <v>1</v>
      </c>
      <c r="H333" s="457"/>
      <c r="I333" s="386">
        <f>+Table10[[#This Row],[Quantity]]*Table10[[#This Row],[Unit Price]]</f>
        <v>0</v>
      </c>
    </row>
    <row r="334" spans="1:9" x14ac:dyDescent="0.35">
      <c r="A334" s="183" t="s">
        <v>1968</v>
      </c>
      <c r="B334" s="99" t="s">
        <v>1969</v>
      </c>
      <c r="C334" s="340"/>
      <c r="D334" s="115"/>
      <c r="E334" s="115">
        <v>55719</v>
      </c>
      <c r="F334" s="465"/>
      <c r="G334" s="26">
        <v>1</v>
      </c>
      <c r="H334" s="457"/>
      <c r="I334" s="386">
        <f>+Table10[[#This Row],[Quantity]]*Table10[[#This Row],[Unit Price]]</f>
        <v>0</v>
      </c>
    </row>
    <row r="335" spans="1:9" x14ac:dyDescent="0.35">
      <c r="A335" s="183" t="s">
        <v>1970</v>
      </c>
      <c r="B335" s="99" t="s">
        <v>1971</v>
      </c>
      <c r="C335" s="340"/>
      <c r="D335" s="115"/>
      <c r="E335" s="115">
        <v>55719</v>
      </c>
      <c r="F335" s="465"/>
      <c r="G335" s="26">
        <v>1</v>
      </c>
      <c r="H335" s="457"/>
      <c r="I335" s="386">
        <f>+Table10[[#This Row],[Quantity]]*Table10[[#This Row],[Unit Price]]</f>
        <v>0</v>
      </c>
    </row>
    <row r="336" spans="1:9" x14ac:dyDescent="0.35">
      <c r="A336" s="183" t="s">
        <v>1828</v>
      </c>
      <c r="B336" s="99" t="s">
        <v>1829</v>
      </c>
      <c r="C336" s="340"/>
      <c r="D336" s="115"/>
      <c r="E336" s="115">
        <v>55719</v>
      </c>
      <c r="F336" s="465"/>
      <c r="G336" s="26">
        <v>1</v>
      </c>
      <c r="H336" s="457"/>
      <c r="I336" s="386">
        <f>+Table10[[#This Row],[Quantity]]*Table10[[#This Row],[Unit Price]]</f>
        <v>0</v>
      </c>
    </row>
    <row r="337" spans="1:9" x14ac:dyDescent="0.35">
      <c r="A337" s="183" t="s">
        <v>57</v>
      </c>
      <c r="B337" s="99" t="s">
        <v>58</v>
      </c>
      <c r="C337" s="340"/>
      <c r="D337" s="115"/>
      <c r="E337" s="115">
        <v>55719</v>
      </c>
      <c r="F337" s="465"/>
      <c r="G337" s="26">
        <v>1</v>
      </c>
      <c r="H337" s="457"/>
      <c r="I337" s="386">
        <f>+Table10[[#This Row],[Quantity]]*Table10[[#This Row],[Unit Price]]</f>
        <v>0</v>
      </c>
    </row>
    <row r="338" spans="1:9" x14ac:dyDescent="0.35">
      <c r="A338" s="183" t="s">
        <v>132</v>
      </c>
      <c r="B338" s="99" t="s">
        <v>133</v>
      </c>
      <c r="C338" s="340"/>
      <c r="D338" s="115"/>
      <c r="E338" s="115">
        <v>55719</v>
      </c>
      <c r="F338" s="465"/>
      <c r="G338" s="26">
        <v>1</v>
      </c>
      <c r="H338" s="457"/>
      <c r="I338" s="386">
        <f>+Table10[[#This Row],[Quantity]]*Table10[[#This Row],[Unit Price]]</f>
        <v>0</v>
      </c>
    </row>
    <row r="339" spans="1:9" x14ac:dyDescent="0.35">
      <c r="A339" s="183" t="s">
        <v>163</v>
      </c>
      <c r="B339" s="99" t="s">
        <v>164</v>
      </c>
      <c r="C339" s="340"/>
      <c r="D339" s="115"/>
      <c r="E339" s="115">
        <v>55719</v>
      </c>
      <c r="F339" s="465"/>
      <c r="G339" s="26">
        <v>1</v>
      </c>
      <c r="H339" s="457"/>
      <c r="I339" s="386">
        <f>+Table10[[#This Row],[Quantity]]*Table10[[#This Row],[Unit Price]]</f>
        <v>0</v>
      </c>
    </row>
    <row r="340" spans="1:9" x14ac:dyDescent="0.35">
      <c r="A340" s="183" t="s">
        <v>122</v>
      </c>
      <c r="B340" s="99" t="s">
        <v>123</v>
      </c>
      <c r="C340" s="340"/>
      <c r="D340" s="115"/>
      <c r="E340" s="115">
        <v>55719</v>
      </c>
      <c r="F340" s="465"/>
      <c r="G340" s="26">
        <v>1</v>
      </c>
      <c r="H340" s="457"/>
      <c r="I340" s="386">
        <f>+Table10[[#This Row],[Quantity]]*Table10[[#This Row],[Unit Price]]</f>
        <v>0</v>
      </c>
    </row>
    <row r="341" spans="1:9" x14ac:dyDescent="0.35">
      <c r="A341" s="183" t="s">
        <v>128</v>
      </c>
      <c r="B341" s="99" t="s">
        <v>129</v>
      </c>
      <c r="C341" s="340"/>
      <c r="D341" s="115"/>
      <c r="E341" s="115">
        <v>55719</v>
      </c>
      <c r="F341" s="465"/>
      <c r="G341" s="26">
        <v>1</v>
      </c>
      <c r="H341" s="457"/>
      <c r="I341" s="386">
        <f>+Table10[[#This Row],[Quantity]]*Table10[[#This Row],[Unit Price]]</f>
        <v>0</v>
      </c>
    </row>
    <row r="342" spans="1:9" x14ac:dyDescent="0.35">
      <c r="A342" s="183" t="s">
        <v>161</v>
      </c>
      <c r="B342" s="99" t="s">
        <v>162</v>
      </c>
      <c r="C342" s="340"/>
      <c r="D342" s="115"/>
      <c r="E342" s="115">
        <v>55719</v>
      </c>
      <c r="F342" s="465"/>
      <c r="G342" s="26">
        <v>1</v>
      </c>
      <c r="H342" s="457"/>
      <c r="I342" s="386">
        <f>+Table10[[#This Row],[Quantity]]*Table10[[#This Row],[Unit Price]]</f>
        <v>0</v>
      </c>
    </row>
    <row r="343" spans="1:9" x14ac:dyDescent="0.35">
      <c r="A343" s="183" t="s">
        <v>130</v>
      </c>
      <c r="B343" s="99" t="s">
        <v>131</v>
      </c>
      <c r="C343" s="340"/>
      <c r="D343" s="115"/>
      <c r="E343" s="115">
        <v>55719</v>
      </c>
      <c r="F343" s="465"/>
      <c r="G343" s="26">
        <v>1</v>
      </c>
      <c r="H343" s="457"/>
      <c r="I343" s="386">
        <f>+Table10[[#This Row],[Quantity]]*Table10[[#This Row],[Unit Price]]</f>
        <v>0</v>
      </c>
    </row>
    <row r="344" spans="1:9" x14ac:dyDescent="0.35">
      <c r="A344" s="183" t="s">
        <v>299</v>
      </c>
      <c r="B344" s="99" t="s">
        <v>300</v>
      </c>
      <c r="C344" s="340"/>
      <c r="D344" s="115"/>
      <c r="E344" s="115">
        <v>55719</v>
      </c>
      <c r="F344" s="465"/>
      <c r="G344" s="26">
        <v>1</v>
      </c>
      <c r="H344" s="457"/>
      <c r="I344" s="386">
        <f>+Table10[[#This Row],[Quantity]]*Table10[[#This Row],[Unit Price]]</f>
        <v>0</v>
      </c>
    </row>
    <row r="345" spans="1:9" x14ac:dyDescent="0.35">
      <c r="A345" s="183" t="s">
        <v>120</v>
      </c>
      <c r="B345" s="99" t="s">
        <v>121</v>
      </c>
      <c r="C345" s="340"/>
      <c r="D345" s="115"/>
      <c r="E345" s="115">
        <v>55719</v>
      </c>
      <c r="F345" s="465"/>
      <c r="G345" s="26">
        <v>1</v>
      </c>
      <c r="H345" s="457"/>
      <c r="I345" s="386">
        <f>+Table10[[#This Row],[Quantity]]*Table10[[#This Row],[Unit Price]]</f>
        <v>0</v>
      </c>
    </row>
    <row r="346" spans="1:9" x14ac:dyDescent="0.35">
      <c r="A346" s="183" t="s">
        <v>2154</v>
      </c>
      <c r="B346" s="99" t="s">
        <v>1972</v>
      </c>
      <c r="C346" s="340"/>
      <c r="D346" s="115"/>
      <c r="E346" s="115">
        <v>55719</v>
      </c>
      <c r="F346" s="465"/>
      <c r="G346" s="26">
        <v>1</v>
      </c>
      <c r="H346" s="457"/>
      <c r="I346" s="386">
        <f>+Table10[[#This Row],[Quantity]]*Table10[[#This Row],[Unit Price]]</f>
        <v>0</v>
      </c>
    </row>
    <row r="347" spans="1:9" x14ac:dyDescent="0.35">
      <c r="A347" s="183" t="s">
        <v>126</v>
      </c>
      <c r="B347" s="99" t="s">
        <v>127</v>
      </c>
      <c r="C347" s="340"/>
      <c r="D347" s="115"/>
      <c r="E347" s="115">
        <v>55719</v>
      </c>
      <c r="F347" s="465"/>
      <c r="G347" s="26">
        <v>1</v>
      </c>
      <c r="H347" s="457"/>
      <c r="I347" s="386">
        <f>+Table10[[#This Row],[Quantity]]*Table10[[#This Row],[Unit Price]]</f>
        <v>0</v>
      </c>
    </row>
    <row r="348" spans="1:9" x14ac:dyDescent="0.35">
      <c r="A348" s="183" t="s">
        <v>1276</v>
      </c>
      <c r="B348" s="99" t="s">
        <v>298</v>
      </c>
      <c r="C348" s="340"/>
      <c r="D348" s="115"/>
      <c r="E348" s="115">
        <v>55719</v>
      </c>
      <c r="F348" s="465"/>
      <c r="G348" s="26">
        <v>1</v>
      </c>
      <c r="H348" s="457"/>
      <c r="I348" s="386">
        <f>+Table10[[#This Row],[Quantity]]*Table10[[#This Row],[Unit Price]]</f>
        <v>0</v>
      </c>
    </row>
    <row r="349" spans="1:9" x14ac:dyDescent="0.35">
      <c r="A349" s="183" t="s">
        <v>124</v>
      </c>
      <c r="B349" s="99" t="s">
        <v>125</v>
      </c>
      <c r="C349" s="340"/>
      <c r="D349" s="115"/>
      <c r="E349" s="115">
        <v>55719</v>
      </c>
      <c r="F349" s="465"/>
      <c r="G349" s="26">
        <v>1</v>
      </c>
      <c r="H349" s="457"/>
      <c r="I349" s="386">
        <f>+Table10[[#This Row],[Quantity]]*Table10[[#This Row],[Unit Price]]</f>
        <v>0</v>
      </c>
    </row>
    <row r="350" spans="1:9" x14ac:dyDescent="0.35">
      <c r="A350" s="183" t="s">
        <v>2155</v>
      </c>
      <c r="B350" s="99" t="s">
        <v>1973</v>
      </c>
      <c r="C350" s="340"/>
      <c r="D350" s="115"/>
      <c r="E350" s="115">
        <v>55719</v>
      </c>
      <c r="F350" s="465"/>
      <c r="G350" s="26">
        <v>1</v>
      </c>
      <c r="H350" s="457"/>
      <c r="I350" s="386">
        <f>+Table10[[#This Row],[Quantity]]*Table10[[#This Row],[Unit Price]]</f>
        <v>0</v>
      </c>
    </row>
    <row r="351" spans="1:9" x14ac:dyDescent="0.35">
      <c r="A351" s="183" t="s">
        <v>2156</v>
      </c>
      <c r="B351" s="99" t="s">
        <v>1974</v>
      </c>
      <c r="C351" s="340"/>
      <c r="D351" s="115"/>
      <c r="E351" s="115">
        <v>55719</v>
      </c>
      <c r="F351" s="465"/>
      <c r="G351" s="26">
        <v>1</v>
      </c>
      <c r="H351" s="457"/>
      <c r="I351" s="386">
        <f>+Table10[[#This Row],[Quantity]]*Table10[[#This Row],[Unit Price]]</f>
        <v>0</v>
      </c>
    </row>
    <row r="352" spans="1:9" x14ac:dyDescent="0.35">
      <c r="A352" s="183" t="s">
        <v>2157</v>
      </c>
      <c r="B352" s="99" t="s">
        <v>1975</v>
      </c>
      <c r="C352" s="340"/>
      <c r="D352" s="115"/>
      <c r="E352" s="115">
        <v>55719</v>
      </c>
      <c r="F352" s="465"/>
      <c r="G352" s="26">
        <v>1</v>
      </c>
      <c r="H352" s="457"/>
      <c r="I352" s="386">
        <f>+Table10[[#This Row],[Quantity]]*Table10[[#This Row],[Unit Price]]</f>
        <v>0</v>
      </c>
    </row>
    <row r="353" spans="1:9" x14ac:dyDescent="0.35">
      <c r="A353" s="183" t="s">
        <v>1277</v>
      </c>
      <c r="B353" s="99" t="s">
        <v>160</v>
      </c>
      <c r="C353" s="340"/>
      <c r="D353" s="115"/>
      <c r="E353" s="115">
        <v>55719</v>
      </c>
      <c r="F353" s="465"/>
      <c r="G353" s="26">
        <v>1</v>
      </c>
      <c r="H353" s="457"/>
      <c r="I353" s="386">
        <f>+Table10[[#This Row],[Quantity]]*Table10[[#This Row],[Unit Price]]</f>
        <v>0</v>
      </c>
    </row>
    <row r="354" spans="1:9" x14ac:dyDescent="0.35">
      <c r="A354" s="183" t="s">
        <v>2158</v>
      </c>
      <c r="B354" s="99" t="s">
        <v>1976</v>
      </c>
      <c r="C354" s="340"/>
      <c r="D354" s="115"/>
      <c r="E354" s="115">
        <v>55719</v>
      </c>
      <c r="F354" s="465"/>
      <c r="G354" s="26">
        <v>1</v>
      </c>
      <c r="H354" s="457"/>
      <c r="I354" s="386">
        <f>+Table10[[#This Row],[Quantity]]*Table10[[#This Row],[Unit Price]]</f>
        <v>0</v>
      </c>
    </row>
    <row r="355" spans="1:9" x14ac:dyDescent="0.35">
      <c r="A355" s="183" t="s">
        <v>2159</v>
      </c>
      <c r="B355" s="99" t="s">
        <v>1977</v>
      </c>
      <c r="C355" s="340"/>
      <c r="D355" s="115"/>
      <c r="E355" s="115">
        <v>55719</v>
      </c>
      <c r="F355" s="465"/>
      <c r="G355" s="26">
        <v>1</v>
      </c>
      <c r="H355" s="457"/>
      <c r="I355" s="386">
        <f>+Table10[[#This Row],[Quantity]]*Table10[[#This Row],[Unit Price]]</f>
        <v>0</v>
      </c>
    </row>
    <row r="356" spans="1:9" x14ac:dyDescent="0.35">
      <c r="A356" s="183" t="s">
        <v>2160</v>
      </c>
      <c r="B356" s="99" t="s">
        <v>1978</v>
      </c>
      <c r="C356" s="340"/>
      <c r="D356" s="115"/>
      <c r="E356" s="115">
        <v>55719</v>
      </c>
      <c r="F356" s="465"/>
      <c r="G356" s="26">
        <v>1</v>
      </c>
      <c r="H356" s="457"/>
      <c r="I356" s="386">
        <f>+Table10[[#This Row],[Quantity]]*Table10[[#This Row],[Unit Price]]</f>
        <v>0</v>
      </c>
    </row>
    <row r="357" spans="1:9" x14ac:dyDescent="0.35">
      <c r="A357" s="183" t="s">
        <v>2161</v>
      </c>
      <c r="B357" s="99" t="s">
        <v>1979</v>
      </c>
      <c r="C357" s="340"/>
      <c r="D357" s="115"/>
      <c r="E357" s="115">
        <v>55719</v>
      </c>
      <c r="F357" s="465"/>
      <c r="G357" s="26">
        <v>1</v>
      </c>
      <c r="H357" s="457"/>
      <c r="I357" s="386">
        <f>+Table10[[#This Row],[Quantity]]*Table10[[#This Row],[Unit Price]]</f>
        <v>0</v>
      </c>
    </row>
    <row r="358" spans="1:9" x14ac:dyDescent="0.35">
      <c r="A358" s="183" t="s">
        <v>2162</v>
      </c>
      <c r="B358" s="99" t="s">
        <v>1980</v>
      </c>
      <c r="C358" s="340"/>
      <c r="D358" s="115"/>
      <c r="E358" s="115">
        <v>55719</v>
      </c>
      <c r="F358" s="465"/>
      <c r="G358" s="26">
        <v>1</v>
      </c>
      <c r="H358" s="457"/>
      <c r="I358" s="386">
        <f>+Table10[[#This Row],[Quantity]]*Table10[[#This Row],[Unit Price]]</f>
        <v>0</v>
      </c>
    </row>
    <row r="359" spans="1:9" x14ac:dyDescent="0.35">
      <c r="A359" s="183" t="s">
        <v>1981</v>
      </c>
      <c r="B359" s="99" t="s">
        <v>1982</v>
      </c>
      <c r="C359" s="340"/>
      <c r="D359" s="115"/>
      <c r="E359" s="115">
        <v>55719</v>
      </c>
      <c r="F359" s="465"/>
      <c r="G359" s="26">
        <v>1</v>
      </c>
      <c r="H359" s="457"/>
      <c r="I359" s="386">
        <f>+Table10[[#This Row],[Quantity]]*Table10[[#This Row],[Unit Price]]</f>
        <v>0</v>
      </c>
    </row>
    <row r="360" spans="1:9" x14ac:dyDescent="0.35">
      <c r="A360" s="183" t="s">
        <v>1964</v>
      </c>
      <c r="B360" s="99" t="s">
        <v>1965</v>
      </c>
      <c r="C360" s="340"/>
      <c r="D360" s="115"/>
      <c r="E360" s="115">
        <v>55719</v>
      </c>
      <c r="F360" s="465"/>
      <c r="G360" s="26">
        <v>1</v>
      </c>
      <c r="H360" s="457"/>
      <c r="I360" s="386">
        <f>+Table10[[#This Row],[Quantity]]*Table10[[#This Row],[Unit Price]]</f>
        <v>0</v>
      </c>
    </row>
    <row r="361" spans="1:9" x14ac:dyDescent="0.35">
      <c r="A361" s="183" t="s">
        <v>2163</v>
      </c>
      <c r="B361" s="99" t="s">
        <v>1950</v>
      </c>
      <c r="C361" s="340"/>
      <c r="D361" s="115"/>
      <c r="E361" s="115">
        <v>55719</v>
      </c>
      <c r="F361" s="465"/>
      <c r="G361" s="26">
        <v>1</v>
      </c>
      <c r="H361" s="457"/>
      <c r="I361" s="386">
        <f>+Table10[[#This Row],[Quantity]]*Table10[[#This Row],[Unit Price]]</f>
        <v>0</v>
      </c>
    </row>
    <row r="362" spans="1:9" x14ac:dyDescent="0.35">
      <c r="A362" s="183" t="s">
        <v>2164</v>
      </c>
      <c r="B362" s="99" t="s">
        <v>1951</v>
      </c>
      <c r="C362" s="340"/>
      <c r="D362" s="115"/>
      <c r="E362" s="115">
        <v>55719</v>
      </c>
      <c r="F362" s="465"/>
      <c r="G362" s="26">
        <v>1</v>
      </c>
      <c r="H362" s="457"/>
      <c r="I362" s="386">
        <f>+Table10[[#This Row],[Quantity]]*Table10[[#This Row],[Unit Price]]</f>
        <v>0</v>
      </c>
    </row>
    <row r="363" spans="1:9" x14ac:dyDescent="0.35">
      <c r="A363" s="183" t="s">
        <v>2165</v>
      </c>
      <c r="B363" s="99" t="s">
        <v>1952</v>
      </c>
      <c r="C363" s="340"/>
      <c r="D363" s="115"/>
      <c r="E363" s="115">
        <v>55719</v>
      </c>
      <c r="F363" s="465"/>
      <c r="G363" s="26">
        <v>1</v>
      </c>
      <c r="H363" s="457"/>
      <c r="I363" s="386">
        <f>+Table10[[#This Row],[Quantity]]*Table10[[#This Row],[Unit Price]]</f>
        <v>0</v>
      </c>
    </row>
    <row r="364" spans="1:9" x14ac:dyDescent="0.35">
      <c r="A364" s="183" t="s">
        <v>2166</v>
      </c>
      <c r="B364" s="99" t="s">
        <v>1953</v>
      </c>
      <c r="C364" s="340"/>
      <c r="D364" s="115"/>
      <c r="E364" s="115">
        <v>55719</v>
      </c>
      <c r="F364" s="465"/>
      <c r="G364" s="26">
        <v>1</v>
      </c>
      <c r="H364" s="457"/>
      <c r="I364" s="386">
        <f>+Table10[[#This Row],[Quantity]]*Table10[[#This Row],[Unit Price]]</f>
        <v>0</v>
      </c>
    </row>
    <row r="365" spans="1:9" x14ac:dyDescent="0.35">
      <c r="A365" s="183" t="s">
        <v>2167</v>
      </c>
      <c r="B365" s="99" t="s">
        <v>1954</v>
      </c>
      <c r="C365" s="340"/>
      <c r="D365" s="115"/>
      <c r="E365" s="115">
        <v>55719</v>
      </c>
      <c r="F365" s="465"/>
      <c r="G365" s="26">
        <v>1</v>
      </c>
      <c r="H365" s="457"/>
      <c r="I365" s="386">
        <f>+Table10[[#This Row],[Quantity]]*Table10[[#This Row],[Unit Price]]</f>
        <v>0</v>
      </c>
    </row>
    <row r="366" spans="1:9" x14ac:dyDescent="0.35">
      <c r="A366" s="183" t="s">
        <v>2168</v>
      </c>
      <c r="B366" s="99" t="s">
        <v>1955</v>
      </c>
      <c r="C366" s="340"/>
      <c r="D366" s="115"/>
      <c r="E366" s="115">
        <v>55719</v>
      </c>
      <c r="F366" s="465"/>
      <c r="G366" s="26">
        <v>1</v>
      </c>
      <c r="H366" s="457"/>
      <c r="I366" s="386">
        <f>+Table10[[#This Row],[Quantity]]*Table10[[#This Row],[Unit Price]]</f>
        <v>0</v>
      </c>
    </row>
    <row r="367" spans="1:9" x14ac:dyDescent="0.35">
      <c r="A367" s="183" t="s">
        <v>2169</v>
      </c>
      <c r="B367" s="99" t="s">
        <v>1956</v>
      </c>
      <c r="C367" s="340"/>
      <c r="D367" s="115"/>
      <c r="E367" s="115">
        <v>55719</v>
      </c>
      <c r="F367" s="465"/>
      <c r="G367" s="26">
        <v>1</v>
      </c>
      <c r="H367" s="457"/>
      <c r="I367" s="386">
        <f>+Table10[[#This Row],[Quantity]]*Table10[[#This Row],[Unit Price]]</f>
        <v>0</v>
      </c>
    </row>
    <row r="368" spans="1:9" x14ac:dyDescent="0.35">
      <c r="A368" s="183" t="s">
        <v>2170</v>
      </c>
      <c r="B368" s="99" t="s">
        <v>1957</v>
      </c>
      <c r="C368" s="340"/>
      <c r="D368" s="115"/>
      <c r="E368" s="115">
        <v>55719</v>
      </c>
      <c r="F368" s="465"/>
      <c r="G368" s="26">
        <v>1</v>
      </c>
      <c r="H368" s="457"/>
      <c r="I368" s="386">
        <f>+Table10[[#This Row],[Quantity]]*Table10[[#This Row],[Unit Price]]</f>
        <v>0</v>
      </c>
    </row>
    <row r="369" spans="1:9" x14ac:dyDescent="0.35">
      <c r="A369" s="183" t="s">
        <v>2171</v>
      </c>
      <c r="B369" s="99" t="s">
        <v>1958</v>
      </c>
      <c r="C369" s="340"/>
      <c r="D369" s="115"/>
      <c r="E369" s="115">
        <v>55719</v>
      </c>
      <c r="F369" s="465"/>
      <c r="G369" s="26">
        <v>1</v>
      </c>
      <c r="H369" s="457"/>
      <c r="I369" s="386">
        <f>+Table10[[#This Row],[Quantity]]*Table10[[#This Row],[Unit Price]]</f>
        <v>0</v>
      </c>
    </row>
    <row r="370" spans="1:9" x14ac:dyDescent="0.35">
      <c r="A370" s="183" t="s">
        <v>2172</v>
      </c>
      <c r="B370" s="99" t="s">
        <v>1959</v>
      </c>
      <c r="C370" s="340"/>
      <c r="D370" s="115"/>
      <c r="E370" s="115">
        <v>55719</v>
      </c>
      <c r="F370" s="465"/>
      <c r="G370" s="26">
        <v>1</v>
      </c>
      <c r="H370" s="457"/>
      <c r="I370" s="386">
        <f>+Table10[[#This Row],[Quantity]]*Table10[[#This Row],[Unit Price]]</f>
        <v>0</v>
      </c>
    </row>
    <row r="371" spans="1:9" x14ac:dyDescent="0.35">
      <c r="A371" s="183" t="s">
        <v>2173</v>
      </c>
      <c r="B371" s="99" t="s">
        <v>1960</v>
      </c>
      <c r="C371" s="340"/>
      <c r="D371" s="115"/>
      <c r="E371" s="115">
        <v>55719</v>
      </c>
      <c r="F371" s="465"/>
      <c r="G371" s="26">
        <v>1</v>
      </c>
      <c r="H371" s="457"/>
      <c r="I371" s="386">
        <f>+Table10[[#This Row],[Quantity]]*Table10[[#This Row],[Unit Price]]</f>
        <v>0</v>
      </c>
    </row>
    <row r="372" spans="1:9" x14ac:dyDescent="0.35">
      <c r="A372" s="183" t="s">
        <v>2174</v>
      </c>
      <c r="B372" s="99" t="s">
        <v>1961</v>
      </c>
      <c r="C372" s="340"/>
      <c r="D372" s="115"/>
      <c r="E372" s="115">
        <v>55719</v>
      </c>
      <c r="F372" s="465"/>
      <c r="G372" s="26">
        <v>1</v>
      </c>
      <c r="H372" s="457"/>
      <c r="I372" s="386">
        <f>+Table10[[#This Row],[Quantity]]*Table10[[#This Row],[Unit Price]]</f>
        <v>0</v>
      </c>
    </row>
    <row r="373" spans="1:9" x14ac:dyDescent="0.35">
      <c r="A373" s="183" t="s">
        <v>2175</v>
      </c>
      <c r="B373" s="99" t="s">
        <v>1962</v>
      </c>
      <c r="C373" s="340"/>
      <c r="D373" s="115"/>
      <c r="E373" s="115">
        <v>55719</v>
      </c>
      <c r="F373" s="465"/>
      <c r="G373" s="26">
        <v>1</v>
      </c>
      <c r="H373" s="457"/>
      <c r="I373" s="386">
        <f>+Table10[[#This Row],[Quantity]]*Table10[[#This Row],[Unit Price]]</f>
        <v>0</v>
      </c>
    </row>
    <row r="374" spans="1:9" x14ac:dyDescent="0.35">
      <c r="A374" s="183" t="s">
        <v>2176</v>
      </c>
      <c r="B374" s="99" t="s">
        <v>1963</v>
      </c>
      <c r="C374" s="340"/>
      <c r="D374" s="115"/>
      <c r="E374" s="115">
        <v>55719</v>
      </c>
      <c r="F374" s="465"/>
      <c r="G374" s="26">
        <v>1</v>
      </c>
      <c r="H374" s="457"/>
      <c r="I374" s="386">
        <f>+Table10[[#This Row],[Quantity]]*Table10[[#This Row],[Unit Price]]</f>
        <v>0</v>
      </c>
    </row>
    <row r="375" spans="1:9" x14ac:dyDescent="0.35">
      <c r="A375" s="183" t="s">
        <v>1665</v>
      </c>
      <c r="B375" s="99" t="s">
        <v>1655</v>
      </c>
      <c r="C375" s="340"/>
      <c r="D375" s="115"/>
      <c r="E375" s="115">
        <v>55719</v>
      </c>
      <c r="F375" s="465"/>
      <c r="G375" s="26">
        <v>1</v>
      </c>
      <c r="H375" s="457"/>
      <c r="I375" s="386">
        <f>+Table10[[#This Row],[Quantity]]*Table10[[#This Row],[Unit Price]]</f>
        <v>0</v>
      </c>
    </row>
    <row r="376" spans="1:9" x14ac:dyDescent="0.35">
      <c r="A376" s="183" t="s">
        <v>2177</v>
      </c>
      <c r="B376" s="99" t="s">
        <v>1909</v>
      </c>
      <c r="C376" s="340"/>
      <c r="D376" s="115"/>
      <c r="E376" s="115">
        <v>55719</v>
      </c>
      <c r="F376" s="465"/>
      <c r="G376" s="26">
        <v>1</v>
      </c>
      <c r="H376" s="457"/>
      <c r="I376" s="386">
        <f>+Table10[[#This Row],[Quantity]]*Table10[[#This Row],[Unit Price]]</f>
        <v>0</v>
      </c>
    </row>
    <row r="377" spans="1:9" x14ac:dyDescent="0.35">
      <c r="A377" s="183" t="s">
        <v>1664</v>
      </c>
      <c r="B377" s="99" t="s">
        <v>1654</v>
      </c>
      <c r="C377" s="340"/>
      <c r="D377" s="115"/>
      <c r="E377" s="115">
        <v>55719</v>
      </c>
      <c r="F377" s="465"/>
      <c r="G377" s="26">
        <v>1</v>
      </c>
      <c r="H377" s="457"/>
      <c r="I377" s="386">
        <f>+Table10[[#This Row],[Quantity]]*Table10[[#This Row],[Unit Price]]</f>
        <v>0</v>
      </c>
    </row>
    <row r="378" spans="1:9" x14ac:dyDescent="0.35">
      <c r="A378" s="183" t="s">
        <v>1080</v>
      </c>
      <c r="B378" s="99" t="s">
        <v>598</v>
      </c>
      <c r="C378" s="340"/>
      <c r="D378" s="115"/>
      <c r="E378" s="115">
        <v>55719</v>
      </c>
      <c r="F378" s="465"/>
      <c r="G378" s="26">
        <v>1</v>
      </c>
      <c r="H378" s="457"/>
      <c r="I378" s="386">
        <f>+Table10[[#This Row],[Quantity]]*Table10[[#This Row],[Unit Price]]</f>
        <v>0</v>
      </c>
    </row>
    <row r="379" spans="1:9" x14ac:dyDescent="0.35">
      <c r="A379" s="183" t="s">
        <v>1005</v>
      </c>
      <c r="B379" s="99" t="s">
        <v>597</v>
      </c>
      <c r="C379" s="340"/>
      <c r="D379" s="115"/>
      <c r="E379" s="115">
        <v>55719</v>
      </c>
      <c r="F379" s="465"/>
      <c r="G379" s="26">
        <v>1</v>
      </c>
      <c r="H379" s="457"/>
      <c r="I379" s="386">
        <f>+Table10[[#This Row],[Quantity]]*Table10[[#This Row],[Unit Price]]</f>
        <v>0</v>
      </c>
    </row>
    <row r="380" spans="1:9" x14ac:dyDescent="0.35">
      <c r="A380" s="183" t="s">
        <v>2178</v>
      </c>
      <c r="B380" s="99" t="s">
        <v>1910</v>
      </c>
      <c r="C380" s="340"/>
      <c r="D380" s="115"/>
      <c r="E380" s="115">
        <v>55719</v>
      </c>
      <c r="F380" s="465"/>
      <c r="G380" s="26">
        <v>1</v>
      </c>
      <c r="H380" s="457"/>
      <c r="I380" s="386">
        <f>+Table10[[#This Row],[Quantity]]*Table10[[#This Row],[Unit Price]]</f>
        <v>0</v>
      </c>
    </row>
    <row r="381" spans="1:9" x14ac:dyDescent="0.35">
      <c r="A381" s="183" t="s">
        <v>1663</v>
      </c>
      <c r="B381" s="99" t="s">
        <v>1653</v>
      </c>
      <c r="C381" s="340"/>
      <c r="D381" s="115"/>
      <c r="E381" s="115">
        <v>55719</v>
      </c>
      <c r="F381" s="465"/>
      <c r="G381" s="26">
        <v>1</v>
      </c>
      <c r="H381" s="457"/>
      <c r="I381" s="386">
        <f>+Table10[[#This Row],[Quantity]]*Table10[[#This Row],[Unit Price]]</f>
        <v>0</v>
      </c>
    </row>
    <row r="382" spans="1:9" x14ac:dyDescent="0.35">
      <c r="A382" s="183" t="s">
        <v>1662</v>
      </c>
      <c r="B382" s="99" t="s">
        <v>1652</v>
      </c>
      <c r="C382" s="340"/>
      <c r="D382" s="115"/>
      <c r="E382" s="115">
        <v>55719</v>
      </c>
      <c r="F382" s="465"/>
      <c r="G382" s="26">
        <v>1</v>
      </c>
      <c r="H382" s="457"/>
      <c r="I382" s="386">
        <f>+Table10[[#This Row],[Quantity]]*Table10[[#This Row],[Unit Price]]</f>
        <v>0</v>
      </c>
    </row>
    <row r="383" spans="1:9" x14ac:dyDescent="0.35">
      <c r="A383" s="183" t="s">
        <v>19</v>
      </c>
      <c r="B383" s="99" t="s">
        <v>242</v>
      </c>
      <c r="C383" s="340"/>
      <c r="D383" s="115"/>
      <c r="E383" s="115">
        <v>55719</v>
      </c>
      <c r="F383" s="465"/>
      <c r="G383" s="26">
        <v>2</v>
      </c>
      <c r="H383" s="457"/>
      <c r="I383" s="386">
        <f>+Table10[[#This Row],[Quantity]]*Table10[[#This Row],[Unit Price]]</f>
        <v>0</v>
      </c>
    </row>
    <row r="384" spans="1:9" x14ac:dyDescent="0.35">
      <c r="A384" s="183" t="s">
        <v>13</v>
      </c>
      <c r="B384" s="99" t="s">
        <v>420</v>
      </c>
      <c r="C384" s="340"/>
      <c r="D384" s="115"/>
      <c r="E384" s="115">
        <v>55719</v>
      </c>
      <c r="F384" s="465"/>
      <c r="G384" s="26">
        <v>1</v>
      </c>
      <c r="H384" s="457"/>
      <c r="I384" s="386">
        <f>+Table10[[#This Row],[Quantity]]*Table10[[#This Row],[Unit Price]]</f>
        <v>0</v>
      </c>
    </row>
    <row r="385" spans="1:9" x14ac:dyDescent="0.35">
      <c r="A385" s="183" t="s">
        <v>5</v>
      </c>
      <c r="B385" s="99" t="s">
        <v>415</v>
      </c>
      <c r="C385" s="340"/>
      <c r="D385" s="115"/>
      <c r="E385" s="115">
        <v>55719</v>
      </c>
      <c r="F385" s="465"/>
      <c r="G385" s="26">
        <v>2</v>
      </c>
      <c r="H385" s="457"/>
      <c r="I385" s="386">
        <f>+Table10[[#This Row],[Quantity]]*Table10[[#This Row],[Unit Price]]</f>
        <v>0</v>
      </c>
    </row>
    <row r="386" spans="1:9" x14ac:dyDescent="0.35">
      <c r="A386" s="183" t="s">
        <v>871</v>
      </c>
      <c r="B386" s="99" t="s">
        <v>95</v>
      </c>
      <c r="C386" s="340"/>
      <c r="D386" s="115"/>
      <c r="E386" s="115">
        <v>55719</v>
      </c>
      <c r="F386" s="465"/>
      <c r="G386" s="26">
        <v>1</v>
      </c>
      <c r="H386" s="457"/>
      <c r="I386" s="386">
        <f>+Table10[[#This Row],[Quantity]]*Table10[[#This Row],[Unit Price]]</f>
        <v>0</v>
      </c>
    </row>
    <row r="387" spans="1:9" x14ac:dyDescent="0.35">
      <c r="A387" s="183" t="s">
        <v>1101</v>
      </c>
      <c r="B387" s="99" t="s">
        <v>1570</v>
      </c>
      <c r="C387" s="340"/>
      <c r="D387" s="115"/>
      <c r="E387" s="115">
        <v>55719</v>
      </c>
      <c r="F387" s="465"/>
      <c r="G387" s="26">
        <v>1</v>
      </c>
      <c r="H387" s="457"/>
      <c r="I387" s="386">
        <f>+Table10[[#This Row],[Quantity]]*Table10[[#This Row],[Unit Price]]</f>
        <v>0</v>
      </c>
    </row>
    <row r="388" spans="1:9" x14ac:dyDescent="0.35">
      <c r="A388" s="183" t="s">
        <v>181</v>
      </c>
      <c r="B388" s="99" t="s">
        <v>182</v>
      </c>
      <c r="C388" s="340"/>
      <c r="D388" s="115"/>
      <c r="E388" s="115">
        <v>55719</v>
      </c>
      <c r="F388" s="465"/>
      <c r="G388" s="26">
        <v>1</v>
      </c>
      <c r="H388" s="457"/>
      <c r="I388" s="386">
        <f>+Table10[[#This Row],[Quantity]]*Table10[[#This Row],[Unit Price]]</f>
        <v>0</v>
      </c>
    </row>
    <row r="389" spans="1:9" x14ac:dyDescent="0.35">
      <c r="A389" s="183" t="s">
        <v>11</v>
      </c>
      <c r="B389" s="99" t="s">
        <v>233</v>
      </c>
      <c r="C389" s="340"/>
      <c r="D389" s="115"/>
      <c r="E389" s="115">
        <v>55719</v>
      </c>
      <c r="F389" s="465"/>
      <c r="G389" s="26">
        <v>1</v>
      </c>
      <c r="H389" s="457"/>
      <c r="I389" s="386">
        <f>+Table10[[#This Row],[Quantity]]*Table10[[#This Row],[Unit Price]]</f>
        <v>0</v>
      </c>
    </row>
    <row r="390" spans="1:9" x14ac:dyDescent="0.35">
      <c r="A390" s="183" t="s">
        <v>12</v>
      </c>
      <c r="B390" s="99" t="s">
        <v>150</v>
      </c>
      <c r="C390" s="340"/>
      <c r="D390" s="115"/>
      <c r="E390" s="115">
        <v>55719</v>
      </c>
      <c r="F390" s="465"/>
      <c r="G390" s="26">
        <v>1</v>
      </c>
      <c r="H390" s="457"/>
      <c r="I390" s="386">
        <f>+Table10[[#This Row],[Quantity]]*Table10[[#This Row],[Unit Price]]</f>
        <v>0</v>
      </c>
    </row>
    <row r="391" spans="1:9" x14ac:dyDescent="0.35">
      <c r="A391" s="183" t="s">
        <v>2068</v>
      </c>
      <c r="B391" s="99" t="s">
        <v>1912</v>
      </c>
      <c r="C391" s="340"/>
      <c r="D391" s="115"/>
      <c r="E391" s="115">
        <v>55719</v>
      </c>
      <c r="F391" s="465"/>
      <c r="G391" s="26">
        <v>1</v>
      </c>
      <c r="H391" s="457"/>
      <c r="I391" s="386">
        <f>+Table10[[#This Row],[Quantity]]*Table10[[#This Row],[Unit Price]]</f>
        <v>0</v>
      </c>
    </row>
    <row r="392" spans="1:9" x14ac:dyDescent="0.35">
      <c r="A392" s="183" t="s">
        <v>1231</v>
      </c>
      <c r="B392" s="99" t="s">
        <v>627</v>
      </c>
      <c r="C392" s="340"/>
      <c r="D392" s="115"/>
      <c r="E392" s="115">
        <v>55719</v>
      </c>
      <c r="F392" s="465"/>
      <c r="G392" s="26">
        <v>1</v>
      </c>
      <c r="H392" s="457"/>
      <c r="I392" s="386">
        <f>+Table10[[#This Row],[Quantity]]*Table10[[#This Row],[Unit Price]]</f>
        <v>0</v>
      </c>
    </row>
    <row r="393" spans="1:9" x14ac:dyDescent="0.35">
      <c r="A393" s="183" t="s">
        <v>1232</v>
      </c>
      <c r="B393" s="99" t="s">
        <v>628</v>
      </c>
      <c r="C393" s="340"/>
      <c r="D393" s="115"/>
      <c r="E393" s="115">
        <v>55719</v>
      </c>
      <c r="F393" s="465"/>
      <c r="G393" s="26">
        <v>1</v>
      </c>
      <c r="H393" s="457"/>
      <c r="I393" s="386">
        <f>+Table10[[#This Row],[Quantity]]*Table10[[#This Row],[Unit Price]]</f>
        <v>0</v>
      </c>
    </row>
    <row r="394" spans="1:9" x14ac:dyDescent="0.35">
      <c r="A394" s="183" t="s">
        <v>1246</v>
      </c>
      <c r="B394" s="99" t="s">
        <v>715</v>
      </c>
      <c r="C394" s="340"/>
      <c r="D394" s="115"/>
      <c r="E394" s="115">
        <v>55719</v>
      </c>
      <c r="F394" s="465"/>
      <c r="G394" s="26">
        <v>1</v>
      </c>
      <c r="H394" s="457"/>
      <c r="I394" s="386">
        <f>+Table10[[#This Row],[Quantity]]*Table10[[#This Row],[Unit Price]]</f>
        <v>0</v>
      </c>
    </row>
    <row r="395" spans="1:9" x14ac:dyDescent="0.35">
      <c r="A395" s="183" t="s">
        <v>1362</v>
      </c>
      <c r="B395" s="99" t="s">
        <v>404</v>
      </c>
      <c r="C395" s="340"/>
      <c r="D395" s="115"/>
      <c r="E395" s="115">
        <v>55719</v>
      </c>
      <c r="F395" s="465"/>
      <c r="G395" s="26">
        <v>1</v>
      </c>
      <c r="H395" s="457"/>
      <c r="I395" s="386">
        <f>+Table10[[#This Row],[Quantity]]*Table10[[#This Row],[Unit Price]]</f>
        <v>0</v>
      </c>
    </row>
    <row r="396" spans="1:9" x14ac:dyDescent="0.35">
      <c r="A396" s="183" t="s">
        <v>992</v>
      </c>
      <c r="B396" s="99" t="s">
        <v>2011</v>
      </c>
      <c r="C396" s="340"/>
      <c r="D396" s="115"/>
      <c r="E396" s="115">
        <v>55719</v>
      </c>
      <c r="F396" s="465"/>
      <c r="G396" s="26">
        <v>1</v>
      </c>
      <c r="H396" s="457"/>
      <c r="I396" s="386">
        <f>+Table10[[#This Row],[Quantity]]*Table10[[#This Row],[Unit Price]]</f>
        <v>0</v>
      </c>
    </row>
    <row r="397" spans="1:9" x14ac:dyDescent="0.35">
      <c r="A397" s="183" t="s">
        <v>64</v>
      </c>
      <c r="B397" s="99" t="s">
        <v>841</v>
      </c>
      <c r="C397" s="340"/>
      <c r="D397" s="115"/>
      <c r="E397" s="115">
        <v>55719</v>
      </c>
      <c r="F397" s="465"/>
      <c r="G397" s="26">
        <v>1</v>
      </c>
      <c r="H397" s="457"/>
      <c r="I397" s="386">
        <f>+Table10[[#This Row],[Quantity]]*Table10[[#This Row],[Unit Price]]</f>
        <v>0</v>
      </c>
    </row>
    <row r="398" spans="1:9" x14ac:dyDescent="0.35">
      <c r="A398" s="183" t="s">
        <v>2502</v>
      </c>
      <c r="B398" s="99" t="s">
        <v>1453</v>
      </c>
      <c r="C398" s="340"/>
      <c r="D398" s="115"/>
      <c r="E398" s="115">
        <v>55719</v>
      </c>
      <c r="F398" s="465"/>
      <c r="G398" s="26">
        <v>1</v>
      </c>
      <c r="H398" s="457"/>
      <c r="I398" s="386">
        <f>+Table10[[#This Row],[Quantity]]*Table10[[#This Row],[Unit Price]]</f>
        <v>0</v>
      </c>
    </row>
    <row r="399" spans="1:9" x14ac:dyDescent="0.35">
      <c r="A399" s="183" t="s">
        <v>4</v>
      </c>
      <c r="B399" s="99" t="s">
        <v>86</v>
      </c>
      <c r="C399" s="340"/>
      <c r="D399" s="115"/>
      <c r="E399" s="115">
        <v>55719</v>
      </c>
      <c r="F399" s="465"/>
      <c r="G399" s="26">
        <v>2</v>
      </c>
      <c r="H399" s="457"/>
      <c r="I399" s="386">
        <f>+Table10[[#This Row],[Quantity]]*Table10[[#This Row],[Unit Price]]</f>
        <v>0</v>
      </c>
    </row>
    <row r="400" spans="1:9" x14ac:dyDescent="0.35">
      <c r="A400" s="183" t="s">
        <v>1260</v>
      </c>
      <c r="B400" s="99" t="s">
        <v>501</v>
      </c>
      <c r="C400" s="340"/>
      <c r="D400" s="115"/>
      <c r="E400" s="115">
        <v>55719</v>
      </c>
      <c r="F400" s="465"/>
      <c r="G400" s="26">
        <v>1</v>
      </c>
      <c r="H400" s="457"/>
      <c r="I400" s="386">
        <f>+Table10[[#This Row],[Quantity]]*Table10[[#This Row],[Unit Price]]</f>
        <v>0</v>
      </c>
    </row>
    <row r="401" spans="1:9" x14ac:dyDescent="0.35">
      <c r="A401" s="183" t="s">
        <v>97</v>
      </c>
      <c r="B401" s="99" t="s">
        <v>457</v>
      </c>
      <c r="C401" s="340"/>
      <c r="D401" s="115"/>
      <c r="E401" s="115">
        <v>55719</v>
      </c>
      <c r="F401" s="465"/>
      <c r="G401" s="26">
        <v>1</v>
      </c>
      <c r="H401" s="457"/>
      <c r="I401" s="386">
        <f>+Table10[[#This Row],[Quantity]]*Table10[[#This Row],[Unit Price]]</f>
        <v>0</v>
      </c>
    </row>
    <row r="402" spans="1:9" x14ac:dyDescent="0.35">
      <c r="A402" s="209" t="s">
        <v>19</v>
      </c>
      <c r="B402" s="99" t="s">
        <v>98</v>
      </c>
      <c r="C402" s="340"/>
      <c r="D402" s="207"/>
      <c r="E402" s="207">
        <v>55719</v>
      </c>
      <c r="F402" s="465"/>
      <c r="G402" s="200">
        <v>2</v>
      </c>
      <c r="H402" s="457"/>
      <c r="I402" s="386">
        <f>+Table10[[#This Row],[Quantity]]*Table10[[#This Row],[Unit Price]]</f>
        <v>0</v>
      </c>
    </row>
    <row r="403" spans="1:9" x14ac:dyDescent="0.35">
      <c r="A403" s="605"/>
      <c r="B403" s="225"/>
      <c r="C403" s="606"/>
      <c r="D403" s="226"/>
      <c r="E403" s="226"/>
      <c r="F403" s="226"/>
      <c r="G403" s="607"/>
      <c r="H403" s="608"/>
      <c r="I403" s="426">
        <f>SUM(I2:I402)</f>
        <v>0</v>
      </c>
    </row>
    <row r="406" spans="1:9" ht="17.5" x14ac:dyDescent="0.35">
      <c r="A406" s="309" t="s">
        <v>2024</v>
      </c>
      <c r="B406" s="312"/>
      <c r="C406" s="249"/>
      <c r="D406" s="3"/>
      <c r="E406" s="3"/>
      <c r="F406" s="249"/>
      <c r="G406" s="3"/>
      <c r="H406" s="396"/>
    </row>
    <row r="407" spans="1:9" ht="17.5" x14ac:dyDescent="0.35">
      <c r="A407" s="309" t="s">
        <v>2462</v>
      </c>
      <c r="B407" s="312"/>
      <c r="C407" s="249"/>
      <c r="D407" s="3"/>
      <c r="E407" s="3"/>
      <c r="F407" s="249"/>
      <c r="G407" s="3"/>
      <c r="H407" s="396"/>
    </row>
    <row r="408" spans="1:9" ht="17.5" x14ac:dyDescent="0.35">
      <c r="A408" s="310" t="s">
        <v>2675</v>
      </c>
      <c r="B408" s="339"/>
    </row>
    <row r="409" spans="1:9" ht="17.5" x14ac:dyDescent="0.35">
      <c r="A409" s="334" t="s">
        <v>2694</v>
      </c>
      <c r="B409" s="456">
        <f>+Table10[[#Totals],[Extended price]]</f>
        <v>0</v>
      </c>
      <c r="D409" t="s">
        <v>1474</v>
      </c>
    </row>
    <row r="442" spans="1:9" s="20" customFormat="1" x14ac:dyDescent="0.35">
      <c r="A442"/>
      <c r="B442"/>
      <c r="C442" s="247"/>
      <c r="D442"/>
      <c r="E442"/>
      <c r="F442" s="247"/>
      <c r="G442"/>
      <c r="H442" s="462"/>
      <c r="I442" s="464"/>
    </row>
    <row r="443" spans="1:9" s="20" customFormat="1" x14ac:dyDescent="0.35">
      <c r="A443"/>
      <c r="B443"/>
      <c r="C443" s="247"/>
      <c r="D443"/>
      <c r="E443"/>
      <c r="F443" s="247"/>
      <c r="G443"/>
      <c r="H443" s="462"/>
      <c r="I443" s="464"/>
    </row>
    <row r="454" spans="1:9" s="230" customFormat="1" x14ac:dyDescent="0.35">
      <c r="A454"/>
      <c r="B454"/>
      <c r="C454" s="247"/>
      <c r="D454"/>
      <c r="E454"/>
      <c r="F454" s="247"/>
      <c r="G454"/>
      <c r="H454" s="462"/>
      <c r="I454" s="464"/>
    </row>
  </sheetData>
  <sortState xmlns:xlrd2="http://schemas.microsoft.com/office/spreadsheetml/2017/richdata2" ref="A4:H420">
    <sortCondition ref="B4:B420"/>
  </sortState>
  <pageMargins left="0.7" right="0.7" top="0.75" bottom="0.75" header="0.3" footer="0.3"/>
  <pageSetup scale="43" fitToHeight="0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2"/>
  <sheetViews>
    <sheetView workbookViewId="0">
      <pane ySplit="1" topLeftCell="A2" activePane="bottomLeft" state="frozen"/>
      <selection activeCell="C26" sqref="C26"/>
      <selection pane="bottomLeft" activeCell="C16" sqref="C16"/>
    </sheetView>
  </sheetViews>
  <sheetFormatPr defaultColWidth="9.08984375" defaultRowHeight="15.5" x14ac:dyDescent="0.35"/>
  <cols>
    <col min="1" max="1" width="55.54296875" style="106" bestFit="1" customWidth="1"/>
    <col min="2" max="2" width="16.453125" style="106" bestFit="1" customWidth="1"/>
    <col min="3" max="3" width="20.36328125" style="206" bestFit="1" customWidth="1"/>
    <col min="4" max="4" width="20.08984375" style="106" bestFit="1" customWidth="1"/>
    <col min="5" max="5" width="12.453125" style="106" bestFit="1" customWidth="1"/>
    <col min="6" max="6" width="15.6328125" style="206" bestFit="1" customWidth="1"/>
    <col min="7" max="7" width="10.54296875" style="76" customWidth="1"/>
    <col min="8" max="8" width="11.36328125" style="426" bestFit="1" customWidth="1"/>
    <col min="9" max="9" width="16.90625" style="386" bestFit="1" customWidth="1"/>
    <col min="10" max="16384" width="9.08984375" style="106"/>
  </cols>
  <sheetData>
    <row r="1" spans="1:9" x14ac:dyDescent="0.35">
      <c r="A1" s="13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81" t="s">
        <v>2699</v>
      </c>
      <c r="G1" s="13" t="s">
        <v>364</v>
      </c>
      <c r="H1" s="393" t="s">
        <v>2695</v>
      </c>
      <c r="I1" s="393" t="s">
        <v>2696</v>
      </c>
    </row>
    <row r="2" spans="1:9" x14ac:dyDescent="0.35">
      <c r="A2" s="135" t="s">
        <v>2585</v>
      </c>
      <c r="B2" s="62" t="s">
        <v>1594</v>
      </c>
      <c r="C2" s="315"/>
      <c r="D2" s="62"/>
      <c r="E2" s="62" t="s">
        <v>1604</v>
      </c>
      <c r="F2" s="466"/>
      <c r="G2" s="31">
        <v>1</v>
      </c>
      <c r="H2" s="408"/>
      <c r="I2" s="419">
        <f>+G2*H2</f>
        <v>0</v>
      </c>
    </row>
    <row r="3" spans="1:9" x14ac:dyDescent="0.35">
      <c r="A3" s="39" t="s">
        <v>2335</v>
      </c>
      <c r="B3" s="62" t="s">
        <v>2459</v>
      </c>
      <c r="C3" s="315"/>
      <c r="D3" s="62"/>
      <c r="E3" s="62">
        <v>55719</v>
      </c>
      <c r="F3" s="466"/>
      <c r="G3" s="31">
        <v>1</v>
      </c>
      <c r="H3" s="408"/>
      <c r="I3" s="419">
        <f t="shared" ref="I3:I4" si="0">+G3*H3</f>
        <v>0</v>
      </c>
    </row>
    <row r="4" spans="1:9" x14ac:dyDescent="0.35">
      <c r="A4" s="39" t="s">
        <v>2336</v>
      </c>
      <c r="B4" s="62" t="s">
        <v>2338</v>
      </c>
      <c r="C4" s="315"/>
      <c r="D4" s="62"/>
      <c r="E4" s="62">
        <v>55719</v>
      </c>
      <c r="F4" s="466"/>
      <c r="G4" s="31">
        <v>1</v>
      </c>
      <c r="H4" s="408"/>
      <c r="I4" s="419">
        <f t="shared" si="0"/>
        <v>0</v>
      </c>
    </row>
    <row r="5" spans="1:9" x14ac:dyDescent="0.35">
      <c r="A5" s="72"/>
      <c r="I5" s="386">
        <f>SUM(I2:I4)</f>
        <v>0</v>
      </c>
    </row>
    <row r="6" spans="1:9" x14ac:dyDescent="0.35">
      <c r="A6" s="72"/>
    </row>
    <row r="8" spans="1:9" s="4" customFormat="1" ht="17.5" x14ac:dyDescent="0.35">
      <c r="A8" s="309" t="s">
        <v>2449</v>
      </c>
      <c r="B8" s="312"/>
      <c r="C8" s="249"/>
      <c r="D8" s="3"/>
      <c r="E8" s="3"/>
      <c r="F8" s="249"/>
      <c r="G8" s="3"/>
      <c r="H8" s="396"/>
      <c r="I8" s="406"/>
    </row>
    <row r="9" spans="1:9" s="4" customFormat="1" ht="17.5" x14ac:dyDescent="0.35">
      <c r="A9" s="309" t="s">
        <v>2450</v>
      </c>
      <c r="B9" s="312"/>
      <c r="C9" s="249"/>
      <c r="D9" s="3"/>
      <c r="E9" s="3"/>
      <c r="F9" s="249"/>
      <c r="G9" s="3"/>
      <c r="H9" s="396"/>
      <c r="I9" s="406"/>
    </row>
    <row r="10" spans="1:9" ht="17.5" x14ac:dyDescent="0.35">
      <c r="A10" s="310" t="s">
        <v>2674</v>
      </c>
      <c r="B10" s="202"/>
    </row>
    <row r="11" spans="1:9" ht="17.5" x14ac:dyDescent="0.35">
      <c r="A11" s="334" t="s">
        <v>2694</v>
      </c>
      <c r="B11" s="456">
        <f>+I5</f>
        <v>0</v>
      </c>
    </row>
    <row r="12" spans="1:9" x14ac:dyDescent="0.35">
      <c r="A12" s="257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4"/>
  <sheetViews>
    <sheetView workbookViewId="0">
      <pane ySplit="1" topLeftCell="A2" activePane="bottomLeft" state="frozen"/>
      <selection activeCell="C26" sqref="C26"/>
      <selection pane="bottomLeft" activeCell="E22" sqref="E22"/>
    </sheetView>
  </sheetViews>
  <sheetFormatPr defaultColWidth="9.08984375" defaultRowHeight="15.5" x14ac:dyDescent="0.35"/>
  <cols>
    <col min="1" max="1" width="68.90625" style="257" bestFit="1" customWidth="1"/>
    <col min="2" max="2" width="19.453125" style="257" bestFit="1" customWidth="1"/>
    <col min="3" max="3" width="20.36328125" style="257" bestFit="1" customWidth="1"/>
    <col min="4" max="4" width="20.08984375" style="257" bestFit="1" customWidth="1"/>
    <col min="5" max="5" width="26.453125" style="257" bestFit="1" customWidth="1"/>
    <col min="6" max="6" width="26.453125" style="257" customWidth="1"/>
    <col min="7" max="7" width="11.08984375" style="251" customWidth="1"/>
    <col min="8" max="8" width="11.36328125" style="251" bestFit="1" customWidth="1"/>
    <col min="9" max="9" width="16.90625" style="251" bestFit="1" customWidth="1"/>
    <col min="10" max="10" width="9.08984375" style="251"/>
    <col min="11" max="11" width="14.90625" style="251" bestFit="1" customWidth="1"/>
    <col min="12" max="13" width="9.08984375" style="251"/>
    <col min="14" max="14" width="16.54296875" style="251" bestFit="1" customWidth="1"/>
    <col min="15" max="16384" width="9.08984375" style="251"/>
  </cols>
  <sheetData>
    <row r="1" spans="1:9" x14ac:dyDescent="0.35">
      <c r="A1" s="260" t="s">
        <v>0</v>
      </c>
      <c r="B1" s="261" t="s">
        <v>1</v>
      </c>
      <c r="C1" s="281" t="s">
        <v>2700</v>
      </c>
      <c r="D1" s="261" t="s">
        <v>1598</v>
      </c>
      <c r="E1" s="261" t="s">
        <v>1599</v>
      </c>
      <c r="F1" s="281" t="s">
        <v>2699</v>
      </c>
      <c r="G1" s="262" t="s">
        <v>364</v>
      </c>
      <c r="H1" s="326" t="s">
        <v>2695</v>
      </c>
      <c r="I1" s="305" t="s">
        <v>2696</v>
      </c>
    </row>
    <row r="2" spans="1:9" x14ac:dyDescent="0.35">
      <c r="A2" s="258" t="s">
        <v>2585</v>
      </c>
      <c r="B2" s="252" t="s">
        <v>1594</v>
      </c>
      <c r="C2" s="315"/>
      <c r="E2" s="252">
        <v>55719</v>
      </c>
      <c r="F2" s="388"/>
      <c r="G2" s="252">
        <v>1</v>
      </c>
      <c r="H2" s="416"/>
      <c r="I2" s="467">
        <f>+Table116[[#This Row],[Quantity]]*Table116[[#This Row],[Unit Price]]</f>
        <v>0</v>
      </c>
    </row>
    <row r="3" spans="1:9" x14ac:dyDescent="0.35">
      <c r="A3" s="258" t="s">
        <v>988</v>
      </c>
      <c r="B3" s="252" t="s">
        <v>2235</v>
      </c>
      <c r="C3" s="315"/>
      <c r="E3" s="252">
        <v>55719</v>
      </c>
      <c r="F3" s="388"/>
      <c r="G3" s="252">
        <v>1</v>
      </c>
      <c r="H3" s="416"/>
      <c r="I3" s="467">
        <f>+Table116[[#This Row],[Quantity]]*Table116[[#This Row],[Unit Price]]</f>
        <v>0</v>
      </c>
    </row>
    <row r="4" spans="1:9" x14ac:dyDescent="0.35">
      <c r="A4" s="258" t="s">
        <v>901</v>
      </c>
      <c r="B4" s="252" t="s">
        <v>742</v>
      </c>
      <c r="C4" s="315"/>
      <c r="E4" s="252">
        <v>55719</v>
      </c>
      <c r="F4" s="388"/>
      <c r="G4" s="252">
        <v>1</v>
      </c>
      <c r="H4" s="416"/>
      <c r="I4" s="467">
        <f>+Table116[[#This Row],[Quantity]]*Table116[[#This Row],[Unit Price]]</f>
        <v>0</v>
      </c>
    </row>
    <row r="5" spans="1:9" x14ac:dyDescent="0.35">
      <c r="A5" s="258" t="s">
        <v>896</v>
      </c>
      <c r="B5" s="252" t="s">
        <v>272</v>
      </c>
      <c r="C5" s="315"/>
      <c r="E5" s="252">
        <v>55719</v>
      </c>
      <c r="F5" s="388"/>
      <c r="G5" s="252">
        <v>1</v>
      </c>
      <c r="H5" s="416"/>
      <c r="I5" s="467">
        <f>+Table116[[#This Row],[Quantity]]*Table116[[#This Row],[Unit Price]]</f>
        <v>0</v>
      </c>
    </row>
    <row r="6" spans="1:9" x14ac:dyDescent="0.35">
      <c r="A6" s="258" t="s">
        <v>2561</v>
      </c>
      <c r="B6" s="252" t="s">
        <v>2601</v>
      </c>
      <c r="C6" s="315"/>
      <c r="E6" s="252">
        <v>55719</v>
      </c>
      <c r="F6" s="388"/>
      <c r="G6" s="252">
        <v>1</v>
      </c>
      <c r="H6" s="416"/>
      <c r="I6" s="467">
        <f>+Table116[[#This Row],[Quantity]]*Table116[[#This Row],[Unit Price]]</f>
        <v>0</v>
      </c>
    </row>
    <row r="7" spans="1:9" x14ac:dyDescent="0.35">
      <c r="A7" s="258" t="s">
        <v>2595</v>
      </c>
      <c r="B7" s="252" t="s">
        <v>508</v>
      </c>
      <c r="C7" s="315"/>
      <c r="E7" s="252">
        <v>55719</v>
      </c>
      <c r="F7" s="388"/>
      <c r="G7" s="252">
        <v>1</v>
      </c>
      <c r="H7" s="416"/>
      <c r="I7" s="467">
        <f>+Table116[[#This Row],[Quantity]]*Table116[[#This Row],[Unit Price]]</f>
        <v>0</v>
      </c>
    </row>
    <row r="8" spans="1:9" x14ac:dyDescent="0.35">
      <c r="A8" s="258" t="s">
        <v>1107</v>
      </c>
      <c r="B8" s="252" t="s">
        <v>1615</v>
      </c>
      <c r="C8" s="315"/>
      <c r="E8" s="252">
        <v>55719</v>
      </c>
      <c r="F8" s="388"/>
      <c r="G8" s="252">
        <v>1</v>
      </c>
      <c r="H8" s="416"/>
      <c r="I8" s="467">
        <f>+Table116[[#This Row],[Quantity]]*Table116[[#This Row],[Unit Price]]</f>
        <v>0</v>
      </c>
    </row>
    <row r="9" spans="1:9" x14ac:dyDescent="0.35">
      <c r="A9" s="259" t="s">
        <v>1292</v>
      </c>
      <c r="B9" s="252" t="s">
        <v>754</v>
      </c>
      <c r="C9" s="315"/>
      <c r="E9" s="252">
        <v>55719</v>
      </c>
      <c r="F9" s="388"/>
      <c r="G9" s="252">
        <v>1</v>
      </c>
      <c r="H9" s="416"/>
      <c r="I9" s="467">
        <f>+Table116[[#This Row],[Quantity]]*Table116[[#This Row],[Unit Price]]</f>
        <v>0</v>
      </c>
    </row>
    <row r="10" spans="1:9" x14ac:dyDescent="0.35">
      <c r="A10" s="258" t="s">
        <v>1012</v>
      </c>
      <c r="B10" s="252" t="s">
        <v>285</v>
      </c>
      <c r="C10" s="315"/>
      <c r="E10" s="252">
        <v>55719</v>
      </c>
      <c r="F10" s="388"/>
      <c r="G10" s="252">
        <v>1</v>
      </c>
      <c r="H10" s="416"/>
      <c r="I10" s="467">
        <f>+Table116[[#This Row],[Quantity]]*Table116[[#This Row],[Unit Price]]</f>
        <v>0</v>
      </c>
    </row>
    <row r="11" spans="1:9" x14ac:dyDescent="0.35">
      <c r="A11" s="258" t="s">
        <v>1008</v>
      </c>
      <c r="B11" s="252" t="s">
        <v>173</v>
      </c>
      <c r="C11" s="315"/>
      <c r="E11" s="252">
        <v>55719</v>
      </c>
      <c r="F11" s="388"/>
      <c r="G11" s="252">
        <v>1</v>
      </c>
      <c r="H11" s="416"/>
      <c r="I11" s="467">
        <f>+Table116[[#This Row],[Quantity]]*Table116[[#This Row],[Unit Price]]</f>
        <v>0</v>
      </c>
    </row>
    <row r="12" spans="1:9" x14ac:dyDescent="0.35">
      <c r="A12" s="258" t="s">
        <v>899</v>
      </c>
      <c r="B12" s="252" t="s">
        <v>281</v>
      </c>
      <c r="C12" s="315"/>
      <c r="E12" s="252">
        <v>55719</v>
      </c>
      <c r="F12" s="388"/>
      <c r="G12" s="252">
        <v>1</v>
      </c>
      <c r="H12" s="416"/>
      <c r="I12" s="467">
        <f>+Table116[[#This Row],[Quantity]]*Table116[[#This Row],[Unit Price]]</f>
        <v>0</v>
      </c>
    </row>
    <row r="13" spans="1:9" x14ac:dyDescent="0.35">
      <c r="A13" s="258" t="s">
        <v>2079</v>
      </c>
      <c r="B13" s="252" t="s">
        <v>1926</v>
      </c>
      <c r="C13" s="315"/>
      <c r="E13" s="252">
        <v>55719</v>
      </c>
      <c r="F13" s="388"/>
      <c r="G13" s="252">
        <v>1</v>
      </c>
      <c r="H13" s="416"/>
      <c r="I13" s="467">
        <f>+Table116[[#This Row],[Quantity]]*Table116[[#This Row],[Unit Price]]</f>
        <v>0</v>
      </c>
    </row>
    <row r="14" spans="1:9" x14ac:dyDescent="0.35">
      <c r="A14" s="258" t="s">
        <v>2564</v>
      </c>
      <c r="B14" s="252" t="s">
        <v>2565</v>
      </c>
      <c r="C14" s="315"/>
      <c r="E14" s="252">
        <v>55719</v>
      </c>
      <c r="F14" s="388"/>
      <c r="G14" s="252">
        <v>1</v>
      </c>
      <c r="H14" s="416"/>
      <c r="I14" s="467">
        <f>+Table116[[#This Row],[Quantity]]*Table116[[#This Row],[Unit Price]]</f>
        <v>0</v>
      </c>
    </row>
    <row r="15" spans="1:9" x14ac:dyDescent="0.35">
      <c r="A15" s="258" t="s">
        <v>2558</v>
      </c>
      <c r="B15" s="252" t="s">
        <v>2559</v>
      </c>
      <c r="C15" s="315"/>
      <c r="E15" s="252">
        <v>55719</v>
      </c>
      <c r="F15" s="388"/>
      <c r="G15" s="252">
        <v>1</v>
      </c>
      <c r="H15" s="416"/>
      <c r="I15" s="467">
        <f>+Table116[[#This Row],[Quantity]]*Table116[[#This Row],[Unit Price]]</f>
        <v>0</v>
      </c>
    </row>
    <row r="16" spans="1:9" x14ac:dyDescent="0.35">
      <c r="A16" s="258" t="s">
        <v>953</v>
      </c>
      <c r="B16" s="252" t="s">
        <v>238</v>
      </c>
      <c r="C16" s="315"/>
      <c r="E16" s="252">
        <v>55719</v>
      </c>
      <c r="F16" s="388"/>
      <c r="G16" s="252">
        <v>1</v>
      </c>
      <c r="H16" s="416"/>
      <c r="I16" s="467">
        <f>+Table116[[#This Row],[Quantity]]*Table116[[#This Row],[Unit Price]]</f>
        <v>0</v>
      </c>
    </row>
    <row r="17" spans="1:9" x14ac:dyDescent="0.35">
      <c r="A17" s="258" t="s">
        <v>1366</v>
      </c>
      <c r="B17" s="252" t="s">
        <v>673</v>
      </c>
      <c r="C17" s="315"/>
      <c r="E17" s="252">
        <v>55719</v>
      </c>
      <c r="F17" s="388"/>
      <c r="G17" s="252">
        <v>1</v>
      </c>
      <c r="H17" s="416"/>
      <c r="I17" s="467">
        <f>+Table116[[#This Row],[Quantity]]*Table116[[#This Row],[Unit Price]]</f>
        <v>0</v>
      </c>
    </row>
    <row r="18" spans="1:9" x14ac:dyDescent="0.35">
      <c r="A18" s="258" t="s">
        <v>64</v>
      </c>
      <c r="B18" s="252" t="s">
        <v>711</v>
      </c>
      <c r="C18" s="315"/>
      <c r="E18" s="252">
        <v>55719</v>
      </c>
      <c r="F18" s="388"/>
      <c r="G18" s="252">
        <v>1</v>
      </c>
      <c r="H18" s="416"/>
      <c r="I18" s="467">
        <f>+Table116[[#This Row],[Quantity]]*Table116[[#This Row],[Unit Price]]</f>
        <v>0</v>
      </c>
    </row>
    <row r="19" spans="1:9" x14ac:dyDescent="0.35">
      <c r="A19" s="258" t="s">
        <v>930</v>
      </c>
      <c r="B19" s="252" t="s">
        <v>88</v>
      </c>
      <c r="C19" s="315"/>
      <c r="E19" s="252">
        <v>55719</v>
      </c>
      <c r="F19" s="388"/>
      <c r="G19" s="252">
        <v>1</v>
      </c>
      <c r="H19" s="416"/>
      <c r="I19" s="467">
        <f>+Table116[[#This Row],[Quantity]]*Table116[[#This Row],[Unit Price]]</f>
        <v>0</v>
      </c>
    </row>
    <row r="20" spans="1:9" x14ac:dyDescent="0.35">
      <c r="A20" s="258" t="s">
        <v>4</v>
      </c>
      <c r="B20" s="252" t="s">
        <v>86</v>
      </c>
      <c r="C20" s="315"/>
      <c r="E20" s="252">
        <v>55719</v>
      </c>
      <c r="F20" s="388"/>
      <c r="G20" s="252">
        <v>1</v>
      </c>
      <c r="H20" s="416"/>
      <c r="I20" s="467">
        <f>+Table116[[#This Row],[Quantity]]*Table116[[#This Row],[Unit Price]]</f>
        <v>0</v>
      </c>
    </row>
    <row r="21" spans="1:9" x14ac:dyDescent="0.35">
      <c r="A21" s="258" t="s">
        <v>2560</v>
      </c>
      <c r="B21" s="252" t="s">
        <v>2480</v>
      </c>
      <c r="C21" s="315"/>
      <c r="E21" s="252">
        <v>55719</v>
      </c>
      <c r="F21" s="388"/>
      <c r="G21" s="252">
        <v>1</v>
      </c>
      <c r="H21" s="416"/>
      <c r="I21" s="467">
        <f>+Table116[[#This Row],[Quantity]]*Table116[[#This Row],[Unit Price]]</f>
        <v>0</v>
      </c>
    </row>
    <row r="22" spans="1:9" x14ac:dyDescent="0.35">
      <c r="A22" s="258" t="s">
        <v>2562</v>
      </c>
      <c r="B22" s="252" t="s">
        <v>2563</v>
      </c>
      <c r="C22" s="315"/>
      <c r="E22" s="252">
        <v>55719</v>
      </c>
      <c r="F22" s="388"/>
      <c r="G22" s="252">
        <v>1</v>
      </c>
      <c r="H22" s="416"/>
      <c r="I22" s="467">
        <f>+Table116[[#This Row],[Quantity]]*Table116[[#This Row],[Unit Price]]</f>
        <v>0</v>
      </c>
    </row>
    <row r="23" spans="1:9" x14ac:dyDescent="0.35">
      <c r="A23" s="258" t="s">
        <v>1167</v>
      </c>
      <c r="B23" s="252" t="s">
        <v>387</v>
      </c>
      <c r="C23" s="315"/>
      <c r="E23" s="252">
        <v>55719</v>
      </c>
      <c r="F23" s="388"/>
      <c r="G23" s="252">
        <v>1</v>
      </c>
      <c r="H23" s="416"/>
      <c r="I23" s="467">
        <f>+Table116[[#This Row],[Quantity]]*Table116[[#This Row],[Unit Price]]</f>
        <v>0</v>
      </c>
    </row>
    <row r="24" spans="1:9" x14ac:dyDescent="0.35">
      <c r="A24" s="258" t="s">
        <v>997</v>
      </c>
      <c r="B24" s="252" t="s">
        <v>388</v>
      </c>
      <c r="C24" s="315"/>
      <c r="E24" s="252">
        <v>55719</v>
      </c>
      <c r="F24" s="388"/>
      <c r="G24" s="252">
        <v>1</v>
      </c>
      <c r="H24" s="416"/>
      <c r="I24" s="467">
        <f>+Table116[[#This Row],[Quantity]]*Table116[[#This Row],[Unit Price]]</f>
        <v>0</v>
      </c>
    </row>
    <row r="25" spans="1:9" x14ac:dyDescent="0.35">
      <c r="A25" s="258" t="s">
        <v>1168</v>
      </c>
      <c r="B25" s="252" t="s">
        <v>75</v>
      </c>
      <c r="C25" s="315"/>
      <c r="E25" s="252">
        <v>55719</v>
      </c>
      <c r="F25" s="388"/>
      <c r="G25" s="252">
        <v>1</v>
      </c>
      <c r="H25" s="416"/>
      <c r="I25" s="467">
        <f>+Table116[[#This Row],[Quantity]]*Table116[[#This Row],[Unit Price]]</f>
        <v>0</v>
      </c>
    </row>
    <row r="26" spans="1:9" x14ac:dyDescent="0.35">
      <c r="A26" s="258" t="s">
        <v>1059</v>
      </c>
      <c r="B26" s="252" t="s">
        <v>69</v>
      </c>
      <c r="C26" s="315"/>
      <c r="E26" s="252">
        <v>55719</v>
      </c>
      <c r="F26" s="388"/>
      <c r="G26" s="252">
        <v>1</v>
      </c>
      <c r="H26" s="416"/>
      <c r="I26" s="467">
        <f>+Table116[[#This Row],[Quantity]]*Table116[[#This Row],[Unit Price]]</f>
        <v>0</v>
      </c>
    </row>
    <row r="27" spans="1:9" x14ac:dyDescent="0.35">
      <c r="A27" s="258" t="s">
        <v>2556</v>
      </c>
      <c r="B27" s="252" t="s">
        <v>2557</v>
      </c>
      <c r="C27" s="315"/>
      <c r="E27" s="252">
        <v>55719</v>
      </c>
      <c r="F27" s="388"/>
      <c r="G27" s="252">
        <v>1</v>
      </c>
      <c r="H27" s="416"/>
      <c r="I27" s="467">
        <f>+Table116[[#This Row],[Quantity]]*Table116[[#This Row],[Unit Price]]</f>
        <v>0</v>
      </c>
    </row>
    <row r="28" spans="1:9" x14ac:dyDescent="0.35">
      <c r="A28" s="258" t="s">
        <v>10</v>
      </c>
      <c r="B28" s="252" t="s">
        <v>418</v>
      </c>
      <c r="C28" s="315"/>
      <c r="E28" s="252">
        <v>55719</v>
      </c>
      <c r="F28" s="388"/>
      <c r="G28" s="252">
        <v>1</v>
      </c>
      <c r="H28" s="416"/>
      <c r="I28" s="467">
        <f>+Table116[[#This Row],[Quantity]]*Table116[[#This Row],[Unit Price]]</f>
        <v>0</v>
      </c>
    </row>
    <row r="29" spans="1:9" x14ac:dyDescent="0.35">
      <c r="A29" s="468"/>
      <c r="B29" s="446"/>
      <c r="C29" s="469"/>
      <c r="D29" s="470"/>
      <c r="E29" s="446"/>
      <c r="F29" s="446"/>
      <c r="G29" s="446"/>
      <c r="H29" s="471"/>
      <c r="I29" s="472">
        <f>SUM(I2:I28)</f>
        <v>0</v>
      </c>
    </row>
    <row r="30" spans="1:9" x14ac:dyDescent="0.35">
      <c r="A30" s="255"/>
      <c r="B30" s="256"/>
      <c r="C30" s="256"/>
      <c r="D30" s="256"/>
      <c r="E30" s="256"/>
      <c r="F30" s="256"/>
      <c r="G30" s="256"/>
      <c r="H30" s="255"/>
    </row>
    <row r="31" spans="1:9" ht="17.5" x14ac:dyDescent="0.35">
      <c r="A31" s="309" t="s">
        <v>2554</v>
      </c>
      <c r="B31" s="312"/>
      <c r="C31" s="249"/>
      <c r="D31" s="249"/>
      <c r="E31" s="249"/>
      <c r="F31" s="249"/>
      <c r="G31" s="249"/>
      <c r="H31" s="250"/>
    </row>
    <row r="32" spans="1:9" s="248" customFormat="1" ht="17.5" x14ac:dyDescent="0.35">
      <c r="A32" s="309" t="s">
        <v>2555</v>
      </c>
      <c r="B32" s="312"/>
      <c r="C32" s="249"/>
      <c r="D32" s="249"/>
      <c r="E32" s="249"/>
      <c r="F32" s="249"/>
      <c r="G32" s="249"/>
      <c r="H32" s="250"/>
    </row>
    <row r="33" spans="1:8" s="248" customFormat="1" ht="17.5" x14ac:dyDescent="0.35">
      <c r="A33" s="334" t="s">
        <v>2673</v>
      </c>
      <c r="B33" s="311"/>
      <c r="C33" s="257"/>
      <c r="D33" s="257"/>
      <c r="E33" s="257"/>
      <c r="F33" s="257"/>
      <c r="G33" s="251"/>
      <c r="H33" s="251"/>
    </row>
    <row r="34" spans="1:8" ht="17.5" x14ac:dyDescent="0.35">
      <c r="A34" s="334" t="s">
        <v>2694</v>
      </c>
      <c r="B34" s="456">
        <f>+Table116[[#Totals],[Extended price]]</f>
        <v>0</v>
      </c>
    </row>
  </sheetData>
  <printOptions gridLines="1"/>
  <pageMargins left="0.5" right="0.5" top="0.5" bottom="0.5" header="0.3" footer="0.3"/>
  <pageSetup scale="85" orientation="landscape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20"/>
  <sheetViews>
    <sheetView workbookViewId="0">
      <pane ySplit="1" topLeftCell="A107" activePane="bottomLeft" state="frozen"/>
      <selection activeCell="C26" sqref="C26"/>
      <selection pane="bottomLeft" activeCell="A129" sqref="A115:XFD129"/>
    </sheetView>
  </sheetViews>
  <sheetFormatPr defaultColWidth="9.08984375" defaultRowHeight="17.5" x14ac:dyDescent="0.35"/>
  <cols>
    <col min="1" max="1" width="63.90625" style="4" bestFit="1" customWidth="1"/>
    <col min="2" max="2" width="16.08984375" style="3" customWidth="1"/>
    <col min="3" max="3" width="21.1796875" style="249" customWidth="1"/>
    <col min="4" max="4" width="21.81640625" style="249" customWidth="1"/>
    <col min="5" max="5" width="14.36328125" style="3" customWidth="1"/>
    <col min="6" max="6" width="16.453125" style="249" customWidth="1"/>
    <col min="7" max="7" width="11.90625" style="3" customWidth="1"/>
    <col min="8" max="8" width="13.08984375" style="396" customWidth="1"/>
    <col min="9" max="9" width="18.6328125" style="406" customWidth="1"/>
    <col min="10" max="10" width="22.08984375" style="4" bestFit="1" customWidth="1"/>
    <col min="11" max="16384" width="9.08984375" style="4"/>
  </cols>
  <sheetData>
    <row r="1" spans="1:9" x14ac:dyDescent="0.35">
      <c r="A1" s="664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81" t="s">
        <v>2699</v>
      </c>
      <c r="G1" s="50" t="s">
        <v>364</v>
      </c>
      <c r="H1" s="393" t="s">
        <v>2695</v>
      </c>
      <c r="I1" s="404" t="s">
        <v>2696</v>
      </c>
    </row>
    <row r="2" spans="1:9" x14ac:dyDescent="0.35">
      <c r="A2" s="665" t="s">
        <v>17</v>
      </c>
      <c r="B2" s="102" t="s">
        <v>2473</v>
      </c>
      <c r="C2" s="315"/>
      <c r="D2" s="221"/>
      <c r="E2" s="102">
        <v>55719</v>
      </c>
      <c r="F2" s="361"/>
      <c r="G2" s="125">
        <v>1</v>
      </c>
      <c r="H2" s="423"/>
      <c r="I2" s="476">
        <f t="shared" ref="I2:I33" si="0">+G2*H2</f>
        <v>0</v>
      </c>
    </row>
    <row r="3" spans="1:9" x14ac:dyDescent="0.35">
      <c r="A3" s="665" t="s">
        <v>408</v>
      </c>
      <c r="B3" s="102" t="s">
        <v>1562</v>
      </c>
      <c r="C3" s="315"/>
      <c r="D3" s="221"/>
      <c r="E3" s="102">
        <v>55719</v>
      </c>
      <c r="F3" s="361"/>
      <c r="G3" s="125">
        <v>1</v>
      </c>
      <c r="H3" s="423"/>
      <c r="I3" s="476">
        <f t="shared" si="0"/>
        <v>0</v>
      </c>
    </row>
    <row r="4" spans="1:9" x14ac:dyDescent="0.35">
      <c r="A4" s="665" t="s">
        <v>5</v>
      </c>
      <c r="B4" s="102" t="s">
        <v>415</v>
      </c>
      <c r="C4" s="315"/>
      <c r="D4" s="221"/>
      <c r="E4" s="102">
        <v>55719</v>
      </c>
      <c r="F4" s="361"/>
      <c r="G4" s="125">
        <v>1</v>
      </c>
      <c r="H4" s="423"/>
      <c r="I4" s="476">
        <f t="shared" si="0"/>
        <v>0</v>
      </c>
    </row>
    <row r="5" spans="1:9" x14ac:dyDescent="0.35">
      <c r="A5" s="665" t="s">
        <v>901</v>
      </c>
      <c r="B5" s="102" t="s">
        <v>742</v>
      </c>
      <c r="C5" s="315"/>
      <c r="D5" s="221"/>
      <c r="E5" s="102">
        <v>55719</v>
      </c>
      <c r="F5" s="361"/>
      <c r="G5" s="125">
        <v>1</v>
      </c>
      <c r="H5" s="423"/>
      <c r="I5" s="476">
        <f t="shared" si="0"/>
        <v>0</v>
      </c>
    </row>
    <row r="6" spans="1:9" x14ac:dyDescent="0.35">
      <c r="A6" s="665" t="s">
        <v>902</v>
      </c>
      <c r="B6" s="102" t="s">
        <v>453</v>
      </c>
      <c r="C6" s="315"/>
      <c r="D6" s="221"/>
      <c r="E6" s="102">
        <v>55719</v>
      </c>
      <c r="F6" s="361"/>
      <c r="G6" s="125">
        <v>1</v>
      </c>
      <c r="H6" s="423"/>
      <c r="I6" s="476">
        <f t="shared" si="0"/>
        <v>0</v>
      </c>
    </row>
    <row r="7" spans="1:9" x14ac:dyDescent="0.35">
      <c r="A7" s="665" t="s">
        <v>892</v>
      </c>
      <c r="B7" s="102" t="s">
        <v>440</v>
      </c>
      <c r="C7" s="315"/>
      <c r="D7" s="221"/>
      <c r="E7" s="102">
        <v>55719</v>
      </c>
      <c r="F7" s="361"/>
      <c r="G7" s="125">
        <v>1</v>
      </c>
      <c r="H7" s="423"/>
      <c r="I7" s="476">
        <f t="shared" si="0"/>
        <v>0</v>
      </c>
    </row>
    <row r="8" spans="1:9" x14ac:dyDescent="0.35">
      <c r="A8" s="665" t="s">
        <v>894</v>
      </c>
      <c r="B8" s="102" t="s">
        <v>441</v>
      </c>
      <c r="C8" s="315"/>
      <c r="D8" s="221"/>
      <c r="E8" s="102">
        <v>55719</v>
      </c>
      <c r="F8" s="361"/>
      <c r="G8" s="125">
        <v>1</v>
      </c>
      <c r="H8" s="423"/>
      <c r="I8" s="476">
        <f t="shared" si="0"/>
        <v>0</v>
      </c>
    </row>
    <row r="9" spans="1:9" x14ac:dyDescent="0.35">
      <c r="A9" s="665" t="s">
        <v>893</v>
      </c>
      <c r="B9" s="102" t="s">
        <v>149</v>
      </c>
      <c r="C9" s="315"/>
      <c r="D9" s="221"/>
      <c r="E9" s="102">
        <v>55719</v>
      </c>
      <c r="F9" s="361"/>
      <c r="G9" s="125">
        <v>1</v>
      </c>
      <c r="H9" s="423"/>
      <c r="I9" s="476">
        <f t="shared" si="0"/>
        <v>0</v>
      </c>
    </row>
    <row r="10" spans="1:9" x14ac:dyDescent="0.35">
      <c r="A10" s="665" t="s">
        <v>884</v>
      </c>
      <c r="B10" s="102" t="s">
        <v>198</v>
      </c>
      <c r="C10" s="315"/>
      <c r="D10" s="221"/>
      <c r="E10" s="102">
        <v>55719</v>
      </c>
      <c r="F10" s="361"/>
      <c r="G10" s="125">
        <v>1</v>
      </c>
      <c r="H10" s="474"/>
      <c r="I10" s="476">
        <f t="shared" si="0"/>
        <v>0</v>
      </c>
    </row>
    <row r="11" spans="1:9" x14ac:dyDescent="0.35">
      <c r="A11" s="665" t="s">
        <v>895</v>
      </c>
      <c r="B11" s="102" t="s">
        <v>357</v>
      </c>
      <c r="C11" s="315"/>
      <c r="D11" s="221"/>
      <c r="E11" s="102">
        <v>55719</v>
      </c>
      <c r="F11" s="361"/>
      <c r="G11" s="125">
        <v>1</v>
      </c>
      <c r="H11" s="474"/>
      <c r="I11" s="476">
        <f t="shared" si="0"/>
        <v>0</v>
      </c>
    </row>
    <row r="12" spans="1:9" x14ac:dyDescent="0.35">
      <c r="A12" s="665" t="s">
        <v>1020</v>
      </c>
      <c r="B12" s="102" t="s">
        <v>271</v>
      </c>
      <c r="C12" s="315"/>
      <c r="D12" s="221"/>
      <c r="E12" s="102">
        <v>55719</v>
      </c>
      <c r="F12" s="361"/>
      <c r="G12" s="125">
        <v>1</v>
      </c>
      <c r="H12" s="474"/>
      <c r="I12" s="476">
        <f t="shared" si="0"/>
        <v>0</v>
      </c>
    </row>
    <row r="13" spans="1:9" x14ac:dyDescent="0.35">
      <c r="A13" s="665" t="s">
        <v>1021</v>
      </c>
      <c r="B13" s="102" t="s">
        <v>269</v>
      </c>
      <c r="C13" s="315"/>
      <c r="D13" s="221"/>
      <c r="E13" s="102">
        <v>55719</v>
      </c>
      <c r="F13" s="361"/>
      <c r="G13" s="125">
        <v>1</v>
      </c>
      <c r="H13" s="474"/>
      <c r="I13" s="476">
        <f t="shared" si="0"/>
        <v>0</v>
      </c>
    </row>
    <row r="14" spans="1:9" x14ac:dyDescent="0.35">
      <c r="A14" s="665" t="s">
        <v>1024</v>
      </c>
      <c r="B14" s="102" t="s">
        <v>76</v>
      </c>
      <c r="C14" s="315"/>
      <c r="D14" s="221"/>
      <c r="E14" s="102">
        <v>55719</v>
      </c>
      <c r="F14" s="361"/>
      <c r="G14" s="125">
        <v>1</v>
      </c>
      <c r="H14" s="474"/>
      <c r="I14" s="476">
        <f t="shared" si="0"/>
        <v>0</v>
      </c>
    </row>
    <row r="15" spans="1:9" x14ac:dyDescent="0.35">
      <c r="A15" s="665" t="s">
        <v>896</v>
      </c>
      <c r="B15" s="102" t="s">
        <v>272</v>
      </c>
      <c r="C15" s="315"/>
      <c r="D15" s="221"/>
      <c r="E15" s="102">
        <v>55719</v>
      </c>
      <c r="F15" s="361"/>
      <c r="G15" s="125">
        <v>1</v>
      </c>
      <c r="H15" s="474"/>
      <c r="I15" s="476">
        <f t="shared" si="0"/>
        <v>0</v>
      </c>
    </row>
    <row r="16" spans="1:9" x14ac:dyDescent="0.35">
      <c r="A16" s="665" t="s">
        <v>2583</v>
      </c>
      <c r="B16" s="102" t="s">
        <v>78</v>
      </c>
      <c r="C16" s="315"/>
      <c r="D16" s="221"/>
      <c r="E16" s="102">
        <v>55719</v>
      </c>
      <c r="F16" s="361"/>
      <c r="G16" s="125">
        <v>1</v>
      </c>
      <c r="H16" s="474"/>
      <c r="I16" s="476">
        <f t="shared" si="0"/>
        <v>0</v>
      </c>
    </row>
    <row r="17" spans="1:9" x14ac:dyDescent="0.35">
      <c r="A17" s="665" t="s">
        <v>897</v>
      </c>
      <c r="B17" s="102" t="s">
        <v>267</v>
      </c>
      <c r="C17" s="315"/>
      <c r="D17" s="221"/>
      <c r="E17" s="102">
        <v>55719</v>
      </c>
      <c r="F17" s="361"/>
      <c r="G17" s="125">
        <v>1</v>
      </c>
      <c r="H17" s="474"/>
      <c r="I17" s="476">
        <f t="shared" si="0"/>
        <v>0</v>
      </c>
    </row>
    <row r="18" spans="1:9" x14ac:dyDescent="0.35">
      <c r="A18" s="665" t="s">
        <v>2584</v>
      </c>
      <c r="B18" s="102" t="s">
        <v>263</v>
      </c>
      <c r="C18" s="315"/>
      <c r="D18" s="221"/>
      <c r="E18" s="102">
        <v>55719</v>
      </c>
      <c r="F18" s="361"/>
      <c r="G18" s="125">
        <v>1</v>
      </c>
      <c r="H18" s="474"/>
      <c r="I18" s="476">
        <f t="shared" si="0"/>
        <v>0</v>
      </c>
    </row>
    <row r="19" spans="1:9" x14ac:dyDescent="0.35">
      <c r="A19" s="665" t="s">
        <v>15</v>
      </c>
      <c r="B19" s="102" t="s">
        <v>424</v>
      </c>
      <c r="C19" s="315"/>
      <c r="D19" s="221"/>
      <c r="E19" s="102">
        <v>55719</v>
      </c>
      <c r="F19" s="361"/>
      <c r="G19" s="125">
        <v>2</v>
      </c>
      <c r="H19" s="474"/>
      <c r="I19" s="476">
        <f t="shared" si="0"/>
        <v>0</v>
      </c>
    </row>
    <row r="20" spans="1:9" x14ac:dyDescent="0.35">
      <c r="A20" s="665" t="s">
        <v>1019</v>
      </c>
      <c r="B20" s="102" t="s">
        <v>90</v>
      </c>
      <c r="C20" s="315"/>
      <c r="D20" s="221"/>
      <c r="E20" s="102">
        <v>55719</v>
      </c>
      <c r="F20" s="361"/>
      <c r="G20" s="125">
        <v>1</v>
      </c>
      <c r="H20" s="474"/>
      <c r="I20" s="476">
        <f t="shared" si="0"/>
        <v>0</v>
      </c>
    </row>
    <row r="21" spans="1:9" x14ac:dyDescent="0.35">
      <c r="A21" s="665" t="s">
        <v>1085</v>
      </c>
      <c r="B21" s="102" t="s">
        <v>468</v>
      </c>
      <c r="C21" s="315"/>
      <c r="D21" s="221"/>
      <c r="E21" s="102">
        <v>55719</v>
      </c>
      <c r="F21" s="361"/>
      <c r="G21" s="125">
        <v>1</v>
      </c>
      <c r="H21" s="474"/>
      <c r="I21" s="476">
        <f t="shared" si="0"/>
        <v>0</v>
      </c>
    </row>
    <row r="22" spans="1:9" x14ac:dyDescent="0.35">
      <c r="A22" s="665" t="s">
        <v>903</v>
      </c>
      <c r="B22" s="102" t="s">
        <v>645</v>
      </c>
      <c r="C22" s="315"/>
      <c r="D22" s="221"/>
      <c r="E22" s="102">
        <v>55719</v>
      </c>
      <c r="F22" s="361"/>
      <c r="G22" s="125">
        <v>2</v>
      </c>
      <c r="H22" s="474"/>
      <c r="I22" s="476">
        <f t="shared" si="0"/>
        <v>0</v>
      </c>
    </row>
    <row r="23" spans="1:9" x14ac:dyDescent="0.35">
      <c r="A23" s="665" t="s">
        <v>904</v>
      </c>
      <c r="B23" s="102" t="s">
        <v>538</v>
      </c>
      <c r="C23" s="315"/>
      <c r="D23" s="221"/>
      <c r="E23" s="102">
        <v>55719</v>
      </c>
      <c r="F23" s="361"/>
      <c r="G23" s="125">
        <v>1</v>
      </c>
      <c r="H23" s="474"/>
      <c r="I23" s="476">
        <f t="shared" si="0"/>
        <v>0</v>
      </c>
    </row>
    <row r="24" spans="1:9" x14ac:dyDescent="0.35">
      <c r="A24" s="665" t="s">
        <v>883</v>
      </c>
      <c r="B24" s="102" t="s">
        <v>235</v>
      </c>
      <c r="C24" s="315"/>
      <c r="D24" s="221"/>
      <c r="E24" s="102">
        <v>55719</v>
      </c>
      <c r="F24" s="361"/>
      <c r="G24" s="125">
        <v>1</v>
      </c>
      <c r="H24" s="474"/>
      <c r="I24" s="476">
        <f t="shared" si="0"/>
        <v>0</v>
      </c>
    </row>
    <row r="25" spans="1:9" x14ac:dyDescent="0.35">
      <c r="A25" s="665" t="s">
        <v>34</v>
      </c>
      <c r="B25" s="102" t="s">
        <v>1566</v>
      </c>
      <c r="C25" s="315"/>
      <c r="D25" s="221"/>
      <c r="E25" s="102">
        <v>55719</v>
      </c>
      <c r="F25" s="361"/>
      <c r="G25" s="125">
        <v>1</v>
      </c>
      <c r="H25" s="474"/>
      <c r="I25" s="476">
        <f t="shared" si="0"/>
        <v>0</v>
      </c>
    </row>
    <row r="26" spans="1:9" x14ac:dyDescent="0.35">
      <c r="A26" s="665" t="s">
        <v>35</v>
      </c>
      <c r="B26" s="102" t="s">
        <v>1567</v>
      </c>
      <c r="C26" s="315"/>
      <c r="D26" s="221"/>
      <c r="E26" s="102">
        <v>55719</v>
      </c>
      <c r="F26" s="361"/>
      <c r="G26" s="125">
        <v>1</v>
      </c>
      <c r="H26" s="474"/>
      <c r="I26" s="476">
        <f t="shared" si="0"/>
        <v>0</v>
      </c>
    </row>
    <row r="27" spans="1:9" x14ac:dyDescent="0.35">
      <c r="A27" s="665" t="s">
        <v>33</v>
      </c>
      <c r="B27" s="102" t="s">
        <v>1565</v>
      </c>
      <c r="C27" s="315"/>
      <c r="D27" s="221"/>
      <c r="E27" s="102">
        <v>55719</v>
      </c>
      <c r="F27" s="361"/>
      <c r="G27" s="125">
        <v>1</v>
      </c>
      <c r="H27" s="474"/>
      <c r="I27" s="476">
        <f t="shared" si="0"/>
        <v>0</v>
      </c>
    </row>
    <row r="28" spans="1:9" x14ac:dyDescent="0.35">
      <c r="A28" s="665" t="s">
        <v>888</v>
      </c>
      <c r="B28" s="102" t="s">
        <v>2</v>
      </c>
      <c r="C28" s="315"/>
      <c r="D28" s="221"/>
      <c r="E28" s="102">
        <v>55719</v>
      </c>
      <c r="F28" s="361"/>
      <c r="G28" s="125">
        <v>1</v>
      </c>
      <c r="H28" s="474"/>
      <c r="I28" s="476">
        <f t="shared" si="0"/>
        <v>0</v>
      </c>
    </row>
    <row r="29" spans="1:9" x14ac:dyDescent="0.35">
      <c r="A29" s="665" t="s">
        <v>929</v>
      </c>
      <c r="B29" s="102" t="s">
        <v>20</v>
      </c>
      <c r="C29" s="315"/>
      <c r="D29" s="221"/>
      <c r="E29" s="102">
        <v>55719</v>
      </c>
      <c r="F29" s="361"/>
      <c r="G29" s="125">
        <v>1</v>
      </c>
      <c r="H29" s="474"/>
      <c r="I29" s="476">
        <f t="shared" si="0"/>
        <v>0</v>
      </c>
    </row>
    <row r="30" spans="1:9" x14ac:dyDescent="0.35">
      <c r="A30" s="665" t="s">
        <v>38</v>
      </c>
      <c r="B30" s="102" t="s">
        <v>200</v>
      </c>
      <c r="C30" s="315"/>
      <c r="D30" s="221"/>
      <c r="E30" s="102">
        <v>55719</v>
      </c>
      <c r="F30" s="361"/>
      <c r="G30" s="125">
        <v>1</v>
      </c>
      <c r="H30" s="394"/>
      <c r="I30" s="476">
        <f t="shared" si="0"/>
        <v>0</v>
      </c>
    </row>
    <row r="31" spans="1:9" x14ac:dyDescent="0.35">
      <c r="A31" s="665" t="s">
        <v>882</v>
      </c>
      <c r="B31" s="102" t="s">
        <v>419</v>
      </c>
      <c r="C31" s="315"/>
      <c r="D31" s="221"/>
      <c r="E31" s="102">
        <v>55719</v>
      </c>
      <c r="F31" s="361"/>
      <c r="G31" s="125">
        <v>1</v>
      </c>
      <c r="H31" s="474"/>
      <c r="I31" s="476">
        <f t="shared" si="0"/>
        <v>0</v>
      </c>
    </row>
    <row r="32" spans="1:9" x14ac:dyDescent="0.35">
      <c r="A32" s="665" t="s">
        <v>183</v>
      </c>
      <c r="B32" s="102" t="s">
        <v>184</v>
      </c>
      <c r="C32" s="315"/>
      <c r="D32" s="221"/>
      <c r="E32" s="102">
        <v>55719</v>
      </c>
      <c r="F32" s="361"/>
      <c r="G32" s="125">
        <v>1</v>
      </c>
      <c r="H32" s="394"/>
      <c r="I32" s="476">
        <f t="shared" si="0"/>
        <v>0</v>
      </c>
    </row>
    <row r="33" spans="1:9" x14ac:dyDescent="0.35">
      <c r="A33" s="665" t="s">
        <v>181</v>
      </c>
      <c r="B33" s="102" t="s">
        <v>182</v>
      </c>
      <c r="C33" s="315"/>
      <c r="D33" s="221"/>
      <c r="E33" s="102">
        <v>55719</v>
      </c>
      <c r="F33" s="361"/>
      <c r="G33" s="125">
        <v>1</v>
      </c>
      <c r="H33" s="474"/>
      <c r="I33" s="476">
        <f t="shared" si="0"/>
        <v>0</v>
      </c>
    </row>
    <row r="34" spans="1:9" x14ac:dyDescent="0.35">
      <c r="A34" s="665" t="s">
        <v>11</v>
      </c>
      <c r="B34" s="102" t="s">
        <v>233</v>
      </c>
      <c r="C34" s="315"/>
      <c r="D34" s="221"/>
      <c r="E34" s="102">
        <v>55719</v>
      </c>
      <c r="F34" s="361"/>
      <c r="G34" s="125">
        <v>1</v>
      </c>
      <c r="H34" s="474"/>
      <c r="I34" s="476">
        <f t="shared" ref="I34:I65" si="1">+G34*H34</f>
        <v>0</v>
      </c>
    </row>
    <row r="35" spans="1:9" x14ac:dyDescent="0.35">
      <c r="A35" s="665" t="s">
        <v>12</v>
      </c>
      <c r="B35" s="102" t="s">
        <v>150</v>
      </c>
      <c r="C35" s="315"/>
      <c r="D35" s="221"/>
      <c r="E35" s="102">
        <v>55719</v>
      </c>
      <c r="F35" s="361"/>
      <c r="G35" s="125">
        <v>1</v>
      </c>
      <c r="H35" s="474"/>
      <c r="I35" s="476">
        <f t="shared" si="1"/>
        <v>0</v>
      </c>
    </row>
    <row r="36" spans="1:9" x14ac:dyDescent="0.35">
      <c r="A36" s="665" t="s">
        <v>16</v>
      </c>
      <c r="B36" s="102" t="s">
        <v>425</v>
      </c>
      <c r="C36" s="315"/>
      <c r="D36" s="221"/>
      <c r="E36" s="102">
        <v>55719</v>
      </c>
      <c r="F36" s="361"/>
      <c r="G36" s="125">
        <v>1</v>
      </c>
      <c r="H36" s="474"/>
      <c r="I36" s="476">
        <f t="shared" si="1"/>
        <v>0</v>
      </c>
    </row>
    <row r="37" spans="1:9" x14ac:dyDescent="0.35">
      <c r="A37" s="665" t="s">
        <v>6</v>
      </c>
      <c r="B37" s="102" t="s">
        <v>87</v>
      </c>
      <c r="C37" s="315"/>
      <c r="D37" s="221"/>
      <c r="E37" s="102">
        <v>55719</v>
      </c>
      <c r="F37" s="361"/>
      <c r="G37" s="125">
        <v>2</v>
      </c>
      <c r="H37" s="474"/>
      <c r="I37" s="476">
        <f t="shared" si="1"/>
        <v>0</v>
      </c>
    </row>
    <row r="38" spans="1:9" x14ac:dyDescent="0.35">
      <c r="A38" s="665" t="s">
        <v>174</v>
      </c>
      <c r="B38" s="204" t="s">
        <v>215</v>
      </c>
      <c r="C38" s="315"/>
      <c r="D38" s="221"/>
      <c r="E38" s="102">
        <v>55719</v>
      </c>
      <c r="F38" s="361"/>
      <c r="G38" s="125">
        <v>1</v>
      </c>
      <c r="H38" s="474"/>
      <c r="I38" s="476">
        <f t="shared" si="1"/>
        <v>0</v>
      </c>
    </row>
    <row r="39" spans="1:9" x14ac:dyDescent="0.35">
      <c r="A39" s="665" t="s">
        <v>43</v>
      </c>
      <c r="B39" s="204" t="s">
        <v>765</v>
      </c>
      <c r="C39" s="315"/>
      <c r="D39" s="221"/>
      <c r="E39" s="102">
        <v>55719</v>
      </c>
      <c r="F39" s="361"/>
      <c r="G39" s="125">
        <v>1</v>
      </c>
      <c r="H39" s="474"/>
      <c r="I39" s="476">
        <f t="shared" si="1"/>
        <v>0</v>
      </c>
    </row>
    <row r="40" spans="1:9" x14ac:dyDescent="0.35">
      <c r="A40" s="665" t="s">
        <v>3</v>
      </c>
      <c r="B40" s="102" t="s">
        <v>414</v>
      </c>
      <c r="C40" s="315"/>
      <c r="D40" s="221"/>
      <c r="E40" s="102">
        <v>55719</v>
      </c>
      <c r="F40" s="361"/>
      <c r="G40" s="125">
        <v>1</v>
      </c>
      <c r="H40" s="474"/>
      <c r="I40" s="476">
        <f t="shared" si="1"/>
        <v>0</v>
      </c>
    </row>
    <row r="41" spans="1:9" x14ac:dyDescent="0.35">
      <c r="A41" s="665" t="s">
        <v>1035</v>
      </c>
      <c r="B41" s="102" t="s">
        <v>421</v>
      </c>
      <c r="C41" s="315"/>
      <c r="D41" s="221"/>
      <c r="E41" s="102">
        <v>55719</v>
      </c>
      <c r="F41" s="361"/>
      <c r="G41" s="125">
        <v>1</v>
      </c>
      <c r="H41" s="474"/>
      <c r="I41" s="476">
        <f t="shared" si="1"/>
        <v>0</v>
      </c>
    </row>
    <row r="42" spans="1:9" x14ac:dyDescent="0.35">
      <c r="A42" s="665" t="s">
        <v>159</v>
      </c>
      <c r="B42" s="102" t="s">
        <v>427</v>
      </c>
      <c r="C42" s="315"/>
      <c r="D42" s="221"/>
      <c r="E42" s="102">
        <v>55719</v>
      </c>
      <c r="F42" s="361"/>
      <c r="G42" s="125">
        <v>1</v>
      </c>
      <c r="H42" s="474"/>
      <c r="I42" s="476">
        <f t="shared" si="1"/>
        <v>0</v>
      </c>
    </row>
    <row r="43" spans="1:9" x14ac:dyDescent="0.35">
      <c r="A43" s="665" t="s">
        <v>2597</v>
      </c>
      <c r="B43" s="102" t="s">
        <v>428</v>
      </c>
      <c r="C43" s="315"/>
      <c r="D43" s="221"/>
      <c r="E43" s="102">
        <v>55719</v>
      </c>
      <c r="F43" s="361"/>
      <c r="G43" s="125">
        <v>1</v>
      </c>
      <c r="H43" s="474"/>
      <c r="I43" s="476">
        <f t="shared" si="1"/>
        <v>0</v>
      </c>
    </row>
    <row r="44" spans="1:9" x14ac:dyDescent="0.35">
      <c r="A44" s="665" t="s">
        <v>2594</v>
      </c>
      <c r="B44" s="102" t="s">
        <v>757</v>
      </c>
      <c r="C44" s="315"/>
      <c r="D44" s="221"/>
      <c r="E44" s="102">
        <v>55719</v>
      </c>
      <c r="F44" s="361"/>
      <c r="G44" s="125">
        <v>1</v>
      </c>
      <c r="H44" s="474"/>
      <c r="I44" s="476">
        <f t="shared" si="1"/>
        <v>0</v>
      </c>
    </row>
    <row r="45" spans="1:9" x14ac:dyDescent="0.35">
      <c r="A45" s="665" t="s">
        <v>1760</v>
      </c>
      <c r="B45" s="102" t="s">
        <v>311</v>
      </c>
      <c r="C45" s="315"/>
      <c r="D45" s="221"/>
      <c r="E45" s="102">
        <v>55719</v>
      </c>
      <c r="F45" s="361"/>
      <c r="G45" s="125">
        <v>1</v>
      </c>
      <c r="H45" s="474"/>
      <c r="I45" s="476">
        <f t="shared" si="1"/>
        <v>0</v>
      </c>
    </row>
    <row r="46" spans="1:9" x14ac:dyDescent="0.35">
      <c r="A46" s="665" t="s">
        <v>912</v>
      </c>
      <c r="B46" s="102" t="s">
        <v>445</v>
      </c>
      <c r="C46" s="315"/>
      <c r="D46" s="221"/>
      <c r="E46" s="102">
        <v>55719</v>
      </c>
      <c r="F46" s="361"/>
      <c r="G46" s="125">
        <v>1</v>
      </c>
      <c r="H46" s="474"/>
      <c r="I46" s="476">
        <f t="shared" si="1"/>
        <v>0</v>
      </c>
    </row>
    <row r="47" spans="1:9" x14ac:dyDescent="0.35">
      <c r="A47" s="665" t="s">
        <v>899</v>
      </c>
      <c r="B47" s="102" t="s">
        <v>281</v>
      </c>
      <c r="C47" s="315"/>
      <c r="D47" s="221"/>
      <c r="E47" s="102">
        <v>55719</v>
      </c>
      <c r="F47" s="361"/>
      <c r="G47" s="125">
        <v>1</v>
      </c>
      <c r="H47" s="474"/>
      <c r="I47" s="476">
        <f t="shared" si="1"/>
        <v>0</v>
      </c>
    </row>
    <row r="48" spans="1:9" x14ac:dyDescent="0.35">
      <c r="A48" s="665" t="s">
        <v>1759</v>
      </c>
      <c r="B48" s="102" t="s">
        <v>280</v>
      </c>
      <c r="C48" s="315"/>
      <c r="D48" s="221"/>
      <c r="E48" s="102">
        <v>55719</v>
      </c>
      <c r="F48" s="361"/>
      <c r="G48" s="125">
        <v>1</v>
      </c>
      <c r="H48" s="474"/>
      <c r="I48" s="476">
        <f t="shared" si="1"/>
        <v>0</v>
      </c>
    </row>
    <row r="49" spans="1:9" x14ac:dyDescent="0.35">
      <c r="A49" s="665" t="s">
        <v>2334</v>
      </c>
      <c r="B49" s="204" t="s">
        <v>284</v>
      </c>
      <c r="C49" s="315"/>
      <c r="D49" s="221"/>
      <c r="E49" s="102">
        <v>55719</v>
      </c>
      <c r="F49" s="361"/>
      <c r="G49" s="125">
        <v>1</v>
      </c>
      <c r="H49" s="474"/>
      <c r="I49" s="476">
        <f t="shared" si="1"/>
        <v>0</v>
      </c>
    </row>
    <row r="50" spans="1:9" x14ac:dyDescent="0.35">
      <c r="A50" s="665" t="s">
        <v>1762</v>
      </c>
      <c r="B50" s="204" t="s">
        <v>113</v>
      </c>
      <c r="C50" s="315"/>
      <c r="D50" s="221"/>
      <c r="E50" s="102">
        <v>55719</v>
      </c>
      <c r="F50" s="361"/>
      <c r="G50" s="125">
        <v>1</v>
      </c>
      <c r="H50" s="474"/>
      <c r="I50" s="476">
        <f t="shared" si="1"/>
        <v>0</v>
      </c>
    </row>
    <row r="51" spans="1:9" x14ac:dyDescent="0.35">
      <c r="A51" s="665" t="s">
        <v>2344</v>
      </c>
      <c r="B51" s="102" t="s">
        <v>279</v>
      </c>
      <c r="C51" s="315"/>
      <c r="D51" s="221"/>
      <c r="E51" s="102">
        <v>55719</v>
      </c>
      <c r="F51" s="361"/>
      <c r="G51" s="125">
        <v>1</v>
      </c>
      <c r="H51" s="473"/>
      <c r="I51" s="476">
        <f t="shared" si="1"/>
        <v>0</v>
      </c>
    </row>
    <row r="52" spans="1:9" x14ac:dyDescent="0.35">
      <c r="A52" s="665" t="s">
        <v>900</v>
      </c>
      <c r="B52" s="102" t="s">
        <v>301</v>
      </c>
      <c r="C52" s="315"/>
      <c r="D52" s="221"/>
      <c r="E52" s="102">
        <v>55719</v>
      </c>
      <c r="F52" s="361"/>
      <c r="G52" s="125">
        <v>1</v>
      </c>
      <c r="H52" s="473"/>
      <c r="I52" s="476">
        <f t="shared" si="1"/>
        <v>0</v>
      </c>
    </row>
    <row r="53" spans="1:9" x14ac:dyDescent="0.35">
      <c r="A53" s="665" t="s">
        <v>1108</v>
      </c>
      <c r="B53" s="102" t="s">
        <v>443</v>
      </c>
      <c r="C53" s="315"/>
      <c r="D53" s="221"/>
      <c r="E53" s="102">
        <v>55719</v>
      </c>
      <c r="F53" s="361"/>
      <c r="G53" s="125">
        <v>1</v>
      </c>
      <c r="H53" s="475"/>
      <c r="I53" s="476">
        <f t="shared" si="1"/>
        <v>0</v>
      </c>
    </row>
    <row r="54" spans="1:9" x14ac:dyDescent="0.35">
      <c r="A54" s="665" t="s">
        <v>1038</v>
      </c>
      <c r="B54" s="102" t="s">
        <v>18</v>
      </c>
      <c r="C54" s="315"/>
      <c r="D54" s="221"/>
      <c r="E54" s="102">
        <v>55719</v>
      </c>
      <c r="F54" s="361"/>
      <c r="G54" s="125">
        <v>1</v>
      </c>
      <c r="H54" s="474"/>
      <c r="I54" s="476">
        <f t="shared" si="1"/>
        <v>0</v>
      </c>
    </row>
    <row r="55" spans="1:9" x14ac:dyDescent="0.35">
      <c r="A55" s="665" t="s">
        <v>886</v>
      </c>
      <c r="B55" s="102" t="s">
        <v>647</v>
      </c>
      <c r="C55" s="315"/>
      <c r="D55" s="221"/>
      <c r="E55" s="102">
        <v>55719</v>
      </c>
      <c r="F55" s="361"/>
      <c r="G55" s="125">
        <v>1</v>
      </c>
      <c r="H55" s="474"/>
      <c r="I55" s="476">
        <f t="shared" si="1"/>
        <v>0</v>
      </c>
    </row>
    <row r="56" spans="1:9" x14ac:dyDescent="0.35">
      <c r="A56" s="665" t="s">
        <v>885</v>
      </c>
      <c r="B56" s="102" t="s">
        <v>229</v>
      </c>
      <c r="C56" s="315"/>
      <c r="D56" s="221"/>
      <c r="E56" s="102">
        <v>55719</v>
      </c>
      <c r="F56" s="361"/>
      <c r="G56" s="125">
        <v>1</v>
      </c>
      <c r="H56" s="473"/>
      <c r="I56" s="476">
        <f t="shared" si="1"/>
        <v>0</v>
      </c>
    </row>
    <row r="57" spans="1:9" x14ac:dyDescent="0.35">
      <c r="A57" s="665" t="s">
        <v>2544</v>
      </c>
      <c r="B57" s="102" t="s">
        <v>40</v>
      </c>
      <c r="C57" s="315"/>
      <c r="D57" s="221"/>
      <c r="E57" s="102">
        <v>55719</v>
      </c>
      <c r="F57" s="361"/>
      <c r="G57" s="125">
        <v>1</v>
      </c>
      <c r="H57" s="475"/>
      <c r="I57" s="476">
        <f t="shared" si="1"/>
        <v>0</v>
      </c>
    </row>
    <row r="58" spans="1:9" x14ac:dyDescent="0.35">
      <c r="A58" s="665" t="s">
        <v>2543</v>
      </c>
      <c r="B58" s="102" t="s">
        <v>39</v>
      </c>
      <c r="C58" s="315"/>
      <c r="D58" s="221"/>
      <c r="E58" s="102">
        <v>55719</v>
      </c>
      <c r="F58" s="361"/>
      <c r="G58" s="125">
        <v>1</v>
      </c>
      <c r="H58" s="474"/>
      <c r="I58" s="476">
        <f t="shared" si="1"/>
        <v>0</v>
      </c>
    </row>
    <row r="59" spans="1:9" x14ac:dyDescent="0.35">
      <c r="A59" s="665" t="s">
        <v>2545</v>
      </c>
      <c r="B59" s="102" t="s">
        <v>41</v>
      </c>
      <c r="C59" s="315"/>
      <c r="D59" s="221"/>
      <c r="E59" s="102">
        <v>55719</v>
      </c>
      <c r="F59" s="361"/>
      <c r="G59" s="125">
        <v>1</v>
      </c>
      <c r="H59" s="474"/>
      <c r="I59" s="476">
        <f t="shared" si="1"/>
        <v>0</v>
      </c>
    </row>
    <row r="60" spans="1:9" x14ac:dyDescent="0.35">
      <c r="A60" s="665" t="s">
        <v>2542</v>
      </c>
      <c r="B60" s="102" t="s">
        <v>292</v>
      </c>
      <c r="C60" s="315"/>
      <c r="D60" s="221"/>
      <c r="E60" s="102">
        <v>55719</v>
      </c>
      <c r="F60" s="361"/>
      <c r="G60" s="125">
        <v>1</v>
      </c>
      <c r="H60" s="474"/>
      <c r="I60" s="476">
        <f t="shared" si="1"/>
        <v>0</v>
      </c>
    </row>
    <row r="61" spans="1:9" x14ac:dyDescent="0.35">
      <c r="A61" s="665" t="s">
        <v>1036</v>
      </c>
      <c r="B61" s="102" t="s">
        <v>423</v>
      </c>
      <c r="C61" s="315"/>
      <c r="D61" s="221"/>
      <c r="E61" s="102">
        <v>55719</v>
      </c>
      <c r="F61" s="361"/>
      <c r="G61" s="125">
        <v>1</v>
      </c>
      <c r="H61" s="474"/>
      <c r="I61" s="476">
        <f t="shared" si="1"/>
        <v>0</v>
      </c>
    </row>
    <row r="62" spans="1:9" x14ac:dyDescent="0.35">
      <c r="A62" s="665" t="s">
        <v>1239</v>
      </c>
      <c r="B62" s="102" t="s">
        <v>795</v>
      </c>
      <c r="C62" s="315"/>
      <c r="D62" s="221"/>
      <c r="E62" s="102">
        <v>55719</v>
      </c>
      <c r="F62" s="361"/>
      <c r="G62" s="125">
        <v>1</v>
      </c>
      <c r="H62" s="474"/>
      <c r="I62" s="476">
        <f t="shared" si="1"/>
        <v>0</v>
      </c>
    </row>
    <row r="63" spans="1:9" x14ac:dyDescent="0.35">
      <c r="A63" s="665" t="s">
        <v>2476</v>
      </c>
      <c r="B63" s="102" t="s">
        <v>1755</v>
      </c>
      <c r="C63" s="315"/>
      <c r="D63" s="221"/>
      <c r="E63" s="102">
        <v>55719</v>
      </c>
      <c r="F63" s="361"/>
      <c r="G63" s="125">
        <v>1</v>
      </c>
      <c r="H63" s="474"/>
      <c r="I63" s="476">
        <f t="shared" si="1"/>
        <v>0</v>
      </c>
    </row>
    <row r="64" spans="1:9" x14ac:dyDescent="0.35">
      <c r="A64" s="665" t="s">
        <v>2477</v>
      </c>
      <c r="B64" s="102" t="s">
        <v>744</v>
      </c>
      <c r="C64" s="315"/>
      <c r="D64" s="221"/>
      <c r="E64" s="102">
        <v>55719</v>
      </c>
      <c r="F64" s="361"/>
      <c r="G64" s="125">
        <v>1</v>
      </c>
      <c r="H64" s="474"/>
      <c r="I64" s="476">
        <f t="shared" si="1"/>
        <v>0</v>
      </c>
    </row>
    <row r="65" spans="1:9" x14ac:dyDescent="0.35">
      <c r="A65" s="665" t="s">
        <v>27</v>
      </c>
      <c r="B65" s="102" t="s">
        <v>199</v>
      </c>
      <c r="C65" s="315"/>
      <c r="D65" s="221"/>
      <c r="E65" s="102">
        <v>55719</v>
      </c>
      <c r="F65" s="361"/>
      <c r="G65" s="125">
        <v>1</v>
      </c>
      <c r="H65" s="474"/>
      <c r="I65" s="476">
        <f t="shared" si="1"/>
        <v>0</v>
      </c>
    </row>
    <row r="66" spans="1:9" x14ac:dyDescent="0.35">
      <c r="A66" s="665" t="s">
        <v>25</v>
      </c>
      <c r="B66" s="102" t="s">
        <v>436</v>
      </c>
      <c r="C66" s="315"/>
      <c r="D66" s="221"/>
      <c r="E66" s="102">
        <v>55719</v>
      </c>
      <c r="F66" s="361"/>
      <c r="G66" s="125">
        <v>1</v>
      </c>
      <c r="H66" s="473"/>
      <c r="I66" s="476">
        <f t="shared" ref="I66:I97" si="2">+G66*H66</f>
        <v>0</v>
      </c>
    </row>
    <row r="67" spans="1:9" x14ac:dyDescent="0.35">
      <c r="A67" s="665" t="s">
        <v>22</v>
      </c>
      <c r="B67" s="102" t="s">
        <v>245</v>
      </c>
      <c r="C67" s="315"/>
      <c r="D67" s="221"/>
      <c r="E67" s="102">
        <v>55719</v>
      </c>
      <c r="F67" s="361"/>
      <c r="G67" s="125">
        <v>1</v>
      </c>
      <c r="H67" s="474"/>
      <c r="I67" s="476">
        <f t="shared" si="2"/>
        <v>0</v>
      </c>
    </row>
    <row r="68" spans="1:9" x14ac:dyDescent="0.35">
      <c r="A68" s="665" t="s">
        <v>24</v>
      </c>
      <c r="B68" s="102" t="s">
        <v>255</v>
      </c>
      <c r="C68" s="315"/>
      <c r="D68" s="221"/>
      <c r="E68" s="102">
        <v>55719</v>
      </c>
      <c r="F68" s="361"/>
      <c r="G68" s="125">
        <v>1</v>
      </c>
      <c r="H68" s="474"/>
      <c r="I68" s="476">
        <f t="shared" si="2"/>
        <v>0</v>
      </c>
    </row>
    <row r="69" spans="1:9" x14ac:dyDescent="0.35">
      <c r="A69" s="665" t="s">
        <v>26</v>
      </c>
      <c r="B69" s="102" t="s">
        <v>257</v>
      </c>
      <c r="C69" s="315"/>
      <c r="D69" s="221"/>
      <c r="E69" s="102">
        <v>55719</v>
      </c>
      <c r="F69" s="361"/>
      <c r="G69" s="125">
        <v>1</v>
      </c>
      <c r="H69" s="474"/>
      <c r="I69" s="476">
        <f t="shared" si="2"/>
        <v>0</v>
      </c>
    </row>
    <row r="70" spans="1:9" x14ac:dyDescent="0.35">
      <c r="A70" s="665" t="s">
        <v>23</v>
      </c>
      <c r="B70" s="102" t="s">
        <v>252</v>
      </c>
      <c r="C70" s="315"/>
      <c r="D70" s="221"/>
      <c r="E70" s="102">
        <v>55719</v>
      </c>
      <c r="F70" s="361"/>
      <c r="G70" s="125">
        <v>1</v>
      </c>
      <c r="H70" s="474"/>
      <c r="I70" s="476">
        <f t="shared" si="2"/>
        <v>0</v>
      </c>
    </row>
    <row r="71" spans="1:9" x14ac:dyDescent="0.35">
      <c r="A71" s="665" t="s">
        <v>1099</v>
      </c>
      <c r="B71" s="102" t="s">
        <v>426</v>
      </c>
      <c r="C71" s="315"/>
      <c r="D71" s="221"/>
      <c r="E71" s="102">
        <v>55719</v>
      </c>
      <c r="F71" s="361"/>
      <c r="G71" s="125">
        <v>1</v>
      </c>
      <c r="H71" s="474"/>
      <c r="I71" s="476">
        <f t="shared" si="2"/>
        <v>0</v>
      </c>
    </row>
    <row r="72" spans="1:9" x14ac:dyDescent="0.35">
      <c r="A72" s="665" t="s">
        <v>1075</v>
      </c>
      <c r="B72" s="102" t="s">
        <v>411</v>
      </c>
      <c r="C72" s="315"/>
      <c r="D72" s="221"/>
      <c r="E72" s="102">
        <v>55719</v>
      </c>
      <c r="F72" s="361"/>
      <c r="G72" s="125">
        <v>1</v>
      </c>
      <c r="H72" s="474"/>
      <c r="I72" s="476">
        <f t="shared" si="2"/>
        <v>0</v>
      </c>
    </row>
    <row r="73" spans="1:9" x14ac:dyDescent="0.35">
      <c r="A73" s="665" t="s">
        <v>1078</v>
      </c>
      <c r="B73" s="102" t="s">
        <v>270</v>
      </c>
      <c r="C73" s="315"/>
      <c r="D73" s="221"/>
      <c r="E73" s="102">
        <v>55719</v>
      </c>
      <c r="F73" s="361"/>
      <c r="G73" s="125">
        <v>1</v>
      </c>
      <c r="H73" s="474"/>
      <c r="I73" s="476">
        <f t="shared" si="2"/>
        <v>0</v>
      </c>
    </row>
    <row r="74" spans="1:9" x14ac:dyDescent="0.35">
      <c r="A74" s="665" t="s">
        <v>1072</v>
      </c>
      <c r="B74" s="102" t="s">
        <v>395</v>
      </c>
      <c r="C74" s="315"/>
      <c r="D74" s="221"/>
      <c r="E74" s="102">
        <v>55719</v>
      </c>
      <c r="F74" s="361"/>
      <c r="G74" s="125">
        <v>1</v>
      </c>
      <c r="H74" s="474"/>
      <c r="I74" s="476">
        <f t="shared" si="2"/>
        <v>0</v>
      </c>
    </row>
    <row r="75" spans="1:9" x14ac:dyDescent="0.35">
      <c r="A75" s="665" t="s">
        <v>1003</v>
      </c>
      <c r="B75" s="102" t="s">
        <v>265</v>
      </c>
      <c r="C75" s="315"/>
      <c r="D75" s="221"/>
      <c r="E75" s="102">
        <v>55719</v>
      </c>
      <c r="F75" s="361"/>
      <c r="G75" s="125">
        <v>1</v>
      </c>
      <c r="H75" s="474"/>
      <c r="I75" s="476">
        <f t="shared" si="2"/>
        <v>0</v>
      </c>
    </row>
    <row r="76" spans="1:9" x14ac:dyDescent="0.35">
      <c r="A76" s="665" t="s">
        <v>887</v>
      </c>
      <c r="B76" s="102" t="s">
        <v>405</v>
      </c>
      <c r="C76" s="315"/>
      <c r="D76" s="221"/>
      <c r="E76" s="102">
        <v>55719</v>
      </c>
      <c r="F76" s="361"/>
      <c r="G76" s="125">
        <v>1</v>
      </c>
      <c r="H76" s="474"/>
      <c r="I76" s="476">
        <f t="shared" si="2"/>
        <v>0</v>
      </c>
    </row>
    <row r="77" spans="1:9" x14ac:dyDescent="0.35">
      <c r="A77" s="665" t="s">
        <v>1042</v>
      </c>
      <c r="B77" s="102" t="s">
        <v>429</v>
      </c>
      <c r="C77" s="315"/>
      <c r="D77" s="221"/>
      <c r="E77" s="102">
        <v>55719</v>
      </c>
      <c r="F77" s="361"/>
      <c r="G77" s="125">
        <v>1</v>
      </c>
      <c r="H77" s="474"/>
      <c r="I77" s="476">
        <f t="shared" si="2"/>
        <v>0</v>
      </c>
    </row>
    <row r="78" spans="1:9" x14ac:dyDescent="0.35">
      <c r="A78" s="665" t="s">
        <v>1109</v>
      </c>
      <c r="B78" s="102" t="s">
        <v>430</v>
      </c>
      <c r="C78" s="315"/>
      <c r="D78" s="221"/>
      <c r="E78" s="102">
        <v>55719</v>
      </c>
      <c r="F78" s="361"/>
      <c r="G78" s="125">
        <v>1</v>
      </c>
      <c r="H78" s="474"/>
      <c r="I78" s="476">
        <f t="shared" si="2"/>
        <v>0</v>
      </c>
    </row>
    <row r="79" spans="1:9" x14ac:dyDescent="0.35">
      <c r="A79" s="665" t="s">
        <v>362</v>
      </c>
      <c r="B79" s="102" t="s">
        <v>431</v>
      </c>
      <c r="C79" s="315"/>
      <c r="D79" s="221"/>
      <c r="E79" s="102">
        <v>55719</v>
      </c>
      <c r="F79" s="361"/>
      <c r="G79" s="125">
        <v>1</v>
      </c>
      <c r="H79" s="474"/>
      <c r="I79" s="476">
        <f t="shared" si="2"/>
        <v>0</v>
      </c>
    </row>
    <row r="80" spans="1:9" x14ac:dyDescent="0.35">
      <c r="A80" s="665" t="s">
        <v>983</v>
      </c>
      <c r="B80" s="102" t="s">
        <v>337</v>
      </c>
      <c r="C80" s="315"/>
      <c r="D80" s="221"/>
      <c r="E80" s="102">
        <v>55719</v>
      </c>
      <c r="F80" s="361"/>
      <c r="G80" s="125">
        <v>1</v>
      </c>
      <c r="H80" s="474"/>
      <c r="I80" s="476">
        <f t="shared" si="2"/>
        <v>0</v>
      </c>
    </row>
    <row r="81" spans="1:9" x14ac:dyDescent="0.35">
      <c r="A81" s="665" t="s">
        <v>1054</v>
      </c>
      <c r="B81" s="102" t="s">
        <v>258</v>
      </c>
      <c r="C81" s="315"/>
      <c r="D81" s="221"/>
      <c r="E81" s="102">
        <v>55719</v>
      </c>
      <c r="F81" s="361"/>
      <c r="G81" s="125">
        <v>1</v>
      </c>
      <c r="H81" s="474"/>
      <c r="I81" s="476">
        <f t="shared" si="2"/>
        <v>0</v>
      </c>
    </row>
    <row r="82" spans="1:9" x14ac:dyDescent="0.35">
      <c r="A82" s="665" t="s">
        <v>1053</v>
      </c>
      <c r="B82" s="102" t="s">
        <v>437</v>
      </c>
      <c r="C82" s="315"/>
      <c r="D82" s="221"/>
      <c r="E82" s="102">
        <v>55719</v>
      </c>
      <c r="F82" s="361"/>
      <c r="G82" s="125">
        <v>1</v>
      </c>
      <c r="H82" s="474"/>
      <c r="I82" s="476">
        <f t="shared" si="2"/>
        <v>0</v>
      </c>
    </row>
    <row r="83" spans="1:9" x14ac:dyDescent="0.35">
      <c r="A83" s="665" t="s">
        <v>8</v>
      </c>
      <c r="B83" s="102" t="s">
        <v>211</v>
      </c>
      <c r="C83" s="315"/>
      <c r="D83" s="221"/>
      <c r="E83" s="102">
        <v>55719</v>
      </c>
      <c r="F83" s="361"/>
      <c r="G83" s="125">
        <v>1</v>
      </c>
      <c r="H83" s="474"/>
      <c r="I83" s="476">
        <f t="shared" si="2"/>
        <v>0</v>
      </c>
    </row>
    <row r="84" spans="1:9" x14ac:dyDescent="0.35">
      <c r="A84" s="665" t="s">
        <v>9</v>
      </c>
      <c r="B84" s="102" t="s">
        <v>329</v>
      </c>
      <c r="C84" s="315"/>
      <c r="D84" s="221"/>
      <c r="E84" s="102">
        <v>55719</v>
      </c>
      <c r="F84" s="361"/>
      <c r="G84" s="125">
        <v>1</v>
      </c>
      <c r="H84" s="474"/>
      <c r="I84" s="476">
        <f t="shared" si="2"/>
        <v>0</v>
      </c>
    </row>
    <row r="85" spans="1:9" x14ac:dyDescent="0.35">
      <c r="A85" s="665" t="s">
        <v>930</v>
      </c>
      <c r="B85" s="102" t="s">
        <v>88</v>
      </c>
      <c r="C85" s="315"/>
      <c r="D85" s="221"/>
      <c r="E85" s="102">
        <v>55719</v>
      </c>
      <c r="F85" s="361"/>
      <c r="G85" s="125">
        <v>1</v>
      </c>
      <c r="H85" s="474"/>
      <c r="I85" s="476">
        <f t="shared" si="2"/>
        <v>0</v>
      </c>
    </row>
    <row r="86" spans="1:9" x14ac:dyDescent="0.35">
      <c r="A86" s="665" t="s">
        <v>4</v>
      </c>
      <c r="B86" s="102" t="s">
        <v>86</v>
      </c>
      <c r="C86" s="315"/>
      <c r="D86" s="221"/>
      <c r="E86" s="102">
        <v>55719</v>
      </c>
      <c r="F86" s="361"/>
      <c r="G86" s="125">
        <v>1</v>
      </c>
      <c r="H86" s="474"/>
      <c r="I86" s="476">
        <f t="shared" si="2"/>
        <v>0</v>
      </c>
    </row>
    <row r="87" spans="1:9" x14ac:dyDescent="0.35">
      <c r="A87" s="665" t="s">
        <v>29</v>
      </c>
      <c r="B87" s="102" t="s">
        <v>1564</v>
      </c>
      <c r="C87" s="315"/>
      <c r="D87" s="221"/>
      <c r="E87" s="102">
        <v>55719</v>
      </c>
      <c r="F87" s="361"/>
      <c r="G87" s="125">
        <v>1</v>
      </c>
      <c r="H87" s="474"/>
      <c r="I87" s="476">
        <f t="shared" si="2"/>
        <v>0</v>
      </c>
    </row>
    <row r="88" spans="1:9" x14ac:dyDescent="0.35">
      <c r="A88" s="665" t="s">
        <v>28</v>
      </c>
      <c r="B88" s="102" t="s">
        <v>2242</v>
      </c>
      <c r="C88" s="315"/>
      <c r="D88" s="221"/>
      <c r="E88" s="102">
        <v>55719</v>
      </c>
      <c r="F88" s="361"/>
      <c r="G88" s="125">
        <v>1</v>
      </c>
      <c r="H88" s="474"/>
      <c r="I88" s="476">
        <f t="shared" si="2"/>
        <v>0</v>
      </c>
    </row>
    <row r="89" spans="1:9" x14ac:dyDescent="0.35">
      <c r="A89" s="665" t="s">
        <v>1058</v>
      </c>
      <c r="B89" s="102" t="s">
        <v>1563</v>
      </c>
      <c r="C89" s="315"/>
      <c r="D89" s="221"/>
      <c r="E89" s="102">
        <v>55719</v>
      </c>
      <c r="F89" s="361"/>
      <c r="G89" s="125">
        <v>1</v>
      </c>
      <c r="H89" s="474"/>
      <c r="I89" s="476">
        <f t="shared" si="2"/>
        <v>0</v>
      </c>
    </row>
    <row r="90" spans="1:9" x14ac:dyDescent="0.35">
      <c r="A90" s="665" t="s">
        <v>891</v>
      </c>
      <c r="B90" s="102" t="s">
        <v>30</v>
      </c>
      <c r="C90" s="315"/>
      <c r="D90" s="221"/>
      <c r="E90" s="102">
        <v>55719</v>
      </c>
      <c r="F90" s="361"/>
      <c r="G90" s="125">
        <v>1</v>
      </c>
      <c r="H90" s="474"/>
      <c r="I90" s="476">
        <f t="shared" si="2"/>
        <v>0</v>
      </c>
    </row>
    <row r="91" spans="1:9" x14ac:dyDescent="0.35">
      <c r="A91" s="665" t="s">
        <v>931</v>
      </c>
      <c r="B91" s="102" t="s">
        <v>66</v>
      </c>
      <c r="C91" s="315"/>
      <c r="D91" s="221"/>
      <c r="E91" s="102">
        <v>55719</v>
      </c>
      <c r="F91" s="361"/>
      <c r="G91" s="125">
        <v>1</v>
      </c>
      <c r="H91" s="474"/>
      <c r="I91" s="476">
        <f t="shared" si="2"/>
        <v>0</v>
      </c>
    </row>
    <row r="92" spans="1:9" x14ac:dyDescent="0.35">
      <c r="A92" s="665" t="s">
        <v>932</v>
      </c>
      <c r="B92" s="102" t="s">
        <v>432</v>
      </c>
      <c r="C92" s="315"/>
      <c r="D92" s="221"/>
      <c r="E92" s="102">
        <v>55719</v>
      </c>
      <c r="F92" s="361"/>
      <c r="G92" s="125">
        <v>1</v>
      </c>
      <c r="H92" s="394"/>
      <c r="I92" s="476">
        <f t="shared" si="2"/>
        <v>0</v>
      </c>
    </row>
    <row r="93" spans="1:9" x14ac:dyDescent="0.35">
      <c r="A93" s="665" t="s">
        <v>933</v>
      </c>
      <c r="B93" s="102" t="s">
        <v>433</v>
      </c>
      <c r="C93" s="315"/>
      <c r="D93" s="221"/>
      <c r="E93" s="102">
        <v>55719</v>
      </c>
      <c r="F93" s="361"/>
      <c r="G93" s="125">
        <v>1</v>
      </c>
      <c r="H93" s="394"/>
      <c r="I93" s="476">
        <f t="shared" si="2"/>
        <v>0</v>
      </c>
    </row>
    <row r="94" spans="1:9" x14ac:dyDescent="0.35">
      <c r="A94" s="665" t="s">
        <v>934</v>
      </c>
      <c r="B94" s="102" t="s">
        <v>434</v>
      </c>
      <c r="C94" s="315"/>
      <c r="D94" s="221"/>
      <c r="E94" s="102">
        <v>55719</v>
      </c>
      <c r="F94" s="361"/>
      <c r="G94" s="125">
        <v>1</v>
      </c>
      <c r="H94" s="394"/>
      <c r="I94" s="476">
        <f t="shared" si="2"/>
        <v>0</v>
      </c>
    </row>
    <row r="95" spans="1:9" x14ac:dyDescent="0.35">
      <c r="A95" s="665" t="s">
        <v>1061</v>
      </c>
      <c r="B95" s="102" t="s">
        <v>73</v>
      </c>
      <c r="C95" s="315"/>
      <c r="D95" s="221"/>
      <c r="E95" s="102">
        <v>55719</v>
      </c>
      <c r="F95" s="361"/>
      <c r="G95" s="125">
        <v>1</v>
      </c>
      <c r="H95" s="394"/>
      <c r="I95" s="476">
        <f t="shared" si="2"/>
        <v>0</v>
      </c>
    </row>
    <row r="96" spans="1:9" x14ac:dyDescent="0.35">
      <c r="A96" s="665" t="s">
        <v>1060</v>
      </c>
      <c r="B96" s="102" t="s">
        <v>74</v>
      </c>
      <c r="C96" s="315"/>
      <c r="D96" s="221"/>
      <c r="E96" s="102">
        <v>55719</v>
      </c>
      <c r="F96" s="361"/>
      <c r="G96" s="125">
        <v>1</v>
      </c>
      <c r="H96" s="394"/>
      <c r="I96" s="476">
        <f t="shared" si="2"/>
        <v>0</v>
      </c>
    </row>
    <row r="97" spans="1:9" x14ac:dyDescent="0.35">
      <c r="A97" s="665" t="s">
        <v>1062</v>
      </c>
      <c r="B97" s="102" t="s">
        <v>261</v>
      </c>
      <c r="C97" s="315"/>
      <c r="D97" s="221"/>
      <c r="E97" s="102">
        <v>55719</v>
      </c>
      <c r="F97" s="361"/>
      <c r="G97" s="125">
        <v>1</v>
      </c>
      <c r="H97" s="394"/>
      <c r="I97" s="476">
        <f t="shared" si="2"/>
        <v>0</v>
      </c>
    </row>
    <row r="98" spans="1:9" x14ac:dyDescent="0.35">
      <c r="A98" s="665" t="s">
        <v>1059</v>
      </c>
      <c r="B98" s="102" t="s">
        <v>69</v>
      </c>
      <c r="C98" s="315"/>
      <c r="D98" s="221"/>
      <c r="E98" s="102">
        <v>55719</v>
      </c>
      <c r="F98" s="361"/>
      <c r="G98" s="125">
        <v>1</v>
      </c>
      <c r="H98" s="474"/>
      <c r="I98" s="476">
        <f t="shared" ref="I98:I114" si="3">+G98*H98</f>
        <v>0</v>
      </c>
    </row>
    <row r="99" spans="1:9" x14ac:dyDescent="0.35">
      <c r="A99" s="665" t="s">
        <v>1057</v>
      </c>
      <c r="B99" s="102" t="s">
        <v>72</v>
      </c>
      <c r="C99" s="315"/>
      <c r="D99" s="221"/>
      <c r="E99" s="102">
        <v>55719</v>
      </c>
      <c r="F99" s="361"/>
      <c r="G99" s="125">
        <v>1</v>
      </c>
      <c r="H99" s="474"/>
      <c r="I99" s="476">
        <f t="shared" si="3"/>
        <v>0</v>
      </c>
    </row>
    <row r="100" spans="1:9" x14ac:dyDescent="0.35">
      <c r="A100" s="665" t="s">
        <v>214</v>
      </c>
      <c r="B100" s="102" t="s">
        <v>197</v>
      </c>
      <c r="C100" s="315"/>
      <c r="D100" s="221"/>
      <c r="E100" s="102">
        <v>55719</v>
      </c>
      <c r="F100" s="361"/>
      <c r="G100" s="125">
        <v>2</v>
      </c>
      <c r="H100" s="474"/>
      <c r="I100" s="476">
        <f t="shared" si="3"/>
        <v>0</v>
      </c>
    </row>
    <row r="101" spans="1:9" x14ac:dyDescent="0.35">
      <c r="A101" s="665" t="s">
        <v>36</v>
      </c>
      <c r="B101" s="102" t="s">
        <v>37</v>
      </c>
      <c r="C101" s="315"/>
      <c r="D101" s="221"/>
      <c r="E101" s="102">
        <v>55719</v>
      </c>
      <c r="F101" s="361"/>
      <c r="G101" s="125">
        <v>1</v>
      </c>
      <c r="H101" s="474"/>
      <c r="I101" s="476">
        <f t="shared" si="3"/>
        <v>0</v>
      </c>
    </row>
    <row r="102" spans="1:9" x14ac:dyDescent="0.35">
      <c r="A102" s="665" t="s">
        <v>105</v>
      </c>
      <c r="B102" s="102" t="s">
        <v>106</v>
      </c>
      <c r="C102" s="315"/>
      <c r="D102" s="221"/>
      <c r="E102" s="102">
        <v>55719</v>
      </c>
      <c r="F102" s="361"/>
      <c r="G102" s="125">
        <v>1</v>
      </c>
      <c r="H102" s="474"/>
      <c r="I102" s="476">
        <f t="shared" si="3"/>
        <v>0</v>
      </c>
    </row>
    <row r="103" spans="1:9" x14ac:dyDescent="0.35">
      <c r="A103" s="665" t="s">
        <v>881</v>
      </c>
      <c r="B103" s="102" t="s">
        <v>417</v>
      </c>
      <c r="C103" s="315"/>
      <c r="D103" s="221"/>
      <c r="E103" s="102">
        <v>55719</v>
      </c>
      <c r="F103" s="361"/>
      <c r="G103" s="125">
        <v>1</v>
      </c>
      <c r="H103" s="474"/>
      <c r="I103" s="476">
        <f t="shared" si="3"/>
        <v>0</v>
      </c>
    </row>
    <row r="104" spans="1:9" x14ac:dyDescent="0.35">
      <c r="A104" s="665" t="s">
        <v>10</v>
      </c>
      <c r="B104" s="102" t="s">
        <v>418</v>
      </c>
      <c r="C104" s="315"/>
      <c r="D104" s="221"/>
      <c r="E104" s="102">
        <v>55719</v>
      </c>
      <c r="F104" s="361"/>
      <c r="G104" s="125">
        <v>1</v>
      </c>
      <c r="H104" s="474"/>
      <c r="I104" s="476">
        <f t="shared" si="3"/>
        <v>0</v>
      </c>
    </row>
    <row r="105" spans="1:9" x14ac:dyDescent="0.35">
      <c r="A105" s="665" t="s">
        <v>97</v>
      </c>
      <c r="B105" s="102" t="s">
        <v>457</v>
      </c>
      <c r="C105" s="315"/>
      <c r="D105" s="221"/>
      <c r="E105" s="102">
        <v>55719</v>
      </c>
      <c r="F105" s="361"/>
      <c r="G105" s="125">
        <v>1</v>
      </c>
      <c r="H105" s="474"/>
      <c r="I105" s="476">
        <f t="shared" si="3"/>
        <v>0</v>
      </c>
    </row>
    <row r="106" spans="1:9" x14ac:dyDescent="0.35">
      <c r="A106" s="665" t="s">
        <v>1040</v>
      </c>
      <c r="B106" s="102" t="s">
        <v>463</v>
      </c>
      <c r="C106" s="315"/>
      <c r="D106" s="221"/>
      <c r="E106" s="102">
        <v>55719</v>
      </c>
      <c r="F106" s="361"/>
      <c r="G106" s="125">
        <v>1</v>
      </c>
      <c r="H106" s="474"/>
      <c r="I106" s="476">
        <f t="shared" si="3"/>
        <v>0</v>
      </c>
    </row>
    <row r="107" spans="1:9" x14ac:dyDescent="0.35">
      <c r="A107" s="665" t="s">
        <v>1665</v>
      </c>
      <c r="B107" s="102" t="s">
        <v>1655</v>
      </c>
      <c r="C107" s="315"/>
      <c r="D107" s="221"/>
      <c r="E107" s="102">
        <v>55719</v>
      </c>
      <c r="F107" s="361"/>
      <c r="G107" s="125">
        <v>1</v>
      </c>
      <c r="H107" s="474"/>
      <c r="I107" s="476">
        <f t="shared" si="3"/>
        <v>0</v>
      </c>
    </row>
    <row r="108" spans="1:9" x14ac:dyDescent="0.35">
      <c r="A108" s="665" t="s">
        <v>1664</v>
      </c>
      <c r="B108" s="102" t="s">
        <v>1654</v>
      </c>
      <c r="C108" s="315"/>
      <c r="D108" s="221"/>
      <c r="E108" s="102">
        <v>55719</v>
      </c>
      <c r="F108" s="361"/>
      <c r="G108" s="125">
        <v>1</v>
      </c>
      <c r="H108" s="474"/>
      <c r="I108" s="476">
        <f t="shared" si="3"/>
        <v>0</v>
      </c>
    </row>
    <row r="109" spans="1:9" x14ac:dyDescent="0.35">
      <c r="A109" s="665" t="s">
        <v>1080</v>
      </c>
      <c r="B109" s="102" t="s">
        <v>598</v>
      </c>
      <c r="C109" s="315"/>
      <c r="D109" s="221"/>
      <c r="E109" s="102">
        <v>55719</v>
      </c>
      <c r="F109" s="361"/>
      <c r="G109" s="125">
        <v>1</v>
      </c>
      <c r="H109" s="474"/>
      <c r="I109" s="476">
        <f t="shared" si="3"/>
        <v>0</v>
      </c>
    </row>
    <row r="110" spans="1:9" x14ac:dyDescent="0.35">
      <c r="A110" s="665" t="s">
        <v>1005</v>
      </c>
      <c r="B110" s="102" t="s">
        <v>597</v>
      </c>
      <c r="C110" s="315"/>
      <c r="D110" s="221"/>
      <c r="E110" s="102">
        <v>55719</v>
      </c>
      <c r="F110" s="361"/>
      <c r="G110" s="125">
        <v>1</v>
      </c>
      <c r="H110" s="474"/>
      <c r="I110" s="476">
        <f t="shared" si="3"/>
        <v>0</v>
      </c>
    </row>
    <row r="111" spans="1:9" x14ac:dyDescent="0.35">
      <c r="A111" s="665" t="s">
        <v>1663</v>
      </c>
      <c r="B111" s="102" t="s">
        <v>1653</v>
      </c>
      <c r="C111" s="315"/>
      <c r="D111" s="221"/>
      <c r="E111" s="102">
        <v>55719</v>
      </c>
      <c r="F111" s="361"/>
      <c r="G111" s="125">
        <v>1</v>
      </c>
      <c r="H111" s="474"/>
      <c r="I111" s="476">
        <f t="shared" si="3"/>
        <v>0</v>
      </c>
    </row>
    <row r="112" spans="1:9" x14ac:dyDescent="0.35">
      <c r="A112" s="665" t="s">
        <v>1662</v>
      </c>
      <c r="B112" s="102" t="s">
        <v>1652</v>
      </c>
      <c r="C112" s="315"/>
      <c r="D112" s="221"/>
      <c r="E112" s="102">
        <v>55719</v>
      </c>
      <c r="F112" s="361"/>
      <c r="G112" s="125">
        <v>1</v>
      </c>
      <c r="H112" s="474"/>
      <c r="I112" s="476">
        <f t="shared" si="3"/>
        <v>0</v>
      </c>
    </row>
    <row r="113" spans="1:9" x14ac:dyDescent="0.35">
      <c r="A113" s="665" t="s">
        <v>19</v>
      </c>
      <c r="B113" s="102" t="s">
        <v>242</v>
      </c>
      <c r="C113" s="315"/>
      <c r="D113" s="221"/>
      <c r="E113" s="102">
        <v>55719</v>
      </c>
      <c r="F113" s="361"/>
      <c r="G113" s="125">
        <v>2</v>
      </c>
      <c r="H113" s="474"/>
      <c r="I113" s="476">
        <f t="shared" si="3"/>
        <v>0</v>
      </c>
    </row>
    <row r="114" spans="1:9" x14ac:dyDescent="0.35">
      <c r="A114" s="665" t="s">
        <v>13</v>
      </c>
      <c r="B114" s="221" t="s">
        <v>420</v>
      </c>
      <c r="C114" s="315"/>
      <c r="D114" s="221"/>
      <c r="E114" s="221">
        <v>55719</v>
      </c>
      <c r="F114" s="361"/>
      <c r="G114" s="222">
        <v>1</v>
      </c>
      <c r="H114" s="474"/>
      <c r="I114" s="476">
        <f t="shared" si="3"/>
        <v>0</v>
      </c>
    </row>
    <row r="115" spans="1:9" x14ac:dyDescent="0.35">
      <c r="A115" s="51"/>
      <c r="B115" s="52"/>
      <c r="C115" s="218"/>
      <c r="D115" s="218"/>
      <c r="E115" s="52"/>
      <c r="F115" s="218"/>
      <c r="G115" s="52"/>
      <c r="H115" s="443"/>
      <c r="I115" s="441">
        <f>SUM(I2:I114)</f>
        <v>0</v>
      </c>
    </row>
    <row r="116" spans="1:9" x14ac:dyDescent="0.35">
      <c r="A116" s="51"/>
      <c r="B116" s="52"/>
      <c r="C116" s="218"/>
      <c r="D116" s="218"/>
      <c r="E116" s="52"/>
      <c r="F116" s="218"/>
      <c r="G116" s="52"/>
      <c r="H116" s="443"/>
    </row>
    <row r="117" spans="1:9" x14ac:dyDescent="0.35">
      <c r="A117" s="4" t="s">
        <v>2440</v>
      </c>
    </row>
    <row r="118" spans="1:9" x14ac:dyDescent="0.35">
      <c r="A118" s="4" t="s">
        <v>2376</v>
      </c>
    </row>
    <row r="119" spans="1:9" x14ac:dyDescent="0.35">
      <c r="A119" s="153" t="s">
        <v>2672</v>
      </c>
      <c r="B119" s="52"/>
      <c r="C119" s="218"/>
      <c r="D119" s="218"/>
      <c r="E119" s="52"/>
      <c r="F119" s="218"/>
      <c r="G119" s="52"/>
      <c r="H119" s="443"/>
    </row>
    <row r="120" spans="1:9" x14ac:dyDescent="0.35">
      <c r="A120" s="460" t="s">
        <v>2694</v>
      </c>
      <c r="B120" s="461">
        <f>+I115</f>
        <v>0</v>
      </c>
    </row>
  </sheetData>
  <sortState xmlns:xlrd2="http://schemas.microsoft.com/office/spreadsheetml/2017/richdata2" ref="A2:G117">
    <sortCondition ref="B2:B117"/>
  </sortState>
  <printOptions gridLines="1"/>
  <pageMargins left="0.5" right="0.5" top="0.5" bottom="0.5" header="0.3" footer="0.3"/>
  <pageSetup scale="70" orientation="landscape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26"/>
  <sheetViews>
    <sheetView workbookViewId="0">
      <pane ySplit="1" topLeftCell="A97" activePane="bottomLeft" state="frozen"/>
      <selection activeCell="C26" sqref="C26"/>
      <selection pane="bottomLeft" activeCell="A120" sqref="A120:XFD132"/>
    </sheetView>
  </sheetViews>
  <sheetFormatPr defaultColWidth="9.08984375" defaultRowHeight="15.5" x14ac:dyDescent="0.35"/>
  <cols>
    <col min="1" max="1" width="68.36328125" style="108" bestFit="1" customWidth="1"/>
    <col min="2" max="2" width="16.08984375" style="87" customWidth="1"/>
    <col min="3" max="3" width="21.1796875" style="87" customWidth="1"/>
    <col min="4" max="4" width="21.81640625" style="87" customWidth="1"/>
    <col min="5" max="5" width="14.36328125" style="87" customWidth="1"/>
    <col min="6" max="6" width="16.453125" style="87" customWidth="1"/>
    <col min="7" max="7" width="12" style="109" customWidth="1"/>
    <col min="8" max="8" width="13.08984375" style="479" customWidth="1"/>
    <col min="9" max="9" width="18.6328125" style="478" customWidth="1"/>
    <col min="10" max="10" width="16.36328125" style="108" bestFit="1" customWidth="1"/>
    <col min="11" max="16384" width="9.08984375" style="108"/>
  </cols>
  <sheetData>
    <row r="1" spans="1:9" x14ac:dyDescent="0.35">
      <c r="A1" s="567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81" t="s">
        <v>2699</v>
      </c>
      <c r="G1" s="23" t="s">
        <v>364</v>
      </c>
      <c r="H1" s="393" t="s">
        <v>2695</v>
      </c>
      <c r="I1" s="404" t="s">
        <v>2696</v>
      </c>
    </row>
    <row r="2" spans="1:9" x14ac:dyDescent="0.35">
      <c r="A2" s="568" t="s">
        <v>1405</v>
      </c>
      <c r="B2" s="6" t="s">
        <v>2580</v>
      </c>
      <c r="C2" s="315"/>
      <c r="D2" s="6"/>
      <c r="E2" s="6">
        <v>55719</v>
      </c>
      <c r="F2" s="355"/>
      <c r="G2" s="43">
        <v>1</v>
      </c>
      <c r="H2" s="394"/>
      <c r="I2" s="477">
        <f t="shared" ref="I2:I33" si="0">+G2*H2</f>
        <v>0</v>
      </c>
    </row>
    <row r="3" spans="1:9" x14ac:dyDescent="0.35">
      <c r="A3" s="568" t="s">
        <v>2339</v>
      </c>
      <c r="B3" s="6" t="s">
        <v>2340</v>
      </c>
      <c r="C3" s="315"/>
      <c r="D3" s="6"/>
      <c r="E3" s="6">
        <v>55719</v>
      </c>
      <c r="F3" s="355"/>
      <c r="G3" s="43">
        <v>1</v>
      </c>
      <c r="H3" s="394"/>
      <c r="I3" s="477">
        <f t="shared" si="0"/>
        <v>0</v>
      </c>
    </row>
    <row r="4" spans="1:9" x14ac:dyDescent="0.35">
      <c r="A4" s="568" t="s">
        <v>896</v>
      </c>
      <c r="B4" s="6" t="s">
        <v>272</v>
      </c>
      <c r="C4" s="315"/>
      <c r="D4" s="6"/>
      <c r="E4" s="6">
        <v>55719</v>
      </c>
      <c r="F4" s="355"/>
      <c r="G4" s="43">
        <v>1</v>
      </c>
      <c r="H4" s="394"/>
      <c r="I4" s="477">
        <f t="shared" si="0"/>
        <v>0</v>
      </c>
    </row>
    <row r="5" spans="1:9" x14ac:dyDescent="0.35">
      <c r="A5" s="568" t="s">
        <v>2584</v>
      </c>
      <c r="B5" s="6" t="s">
        <v>263</v>
      </c>
      <c r="C5" s="315"/>
      <c r="D5" s="6"/>
      <c r="E5" s="6">
        <v>55719</v>
      </c>
      <c r="F5" s="355"/>
      <c r="G5" s="43">
        <v>1</v>
      </c>
      <c r="H5" s="394"/>
      <c r="I5" s="477">
        <f t="shared" si="0"/>
        <v>0</v>
      </c>
    </row>
    <row r="6" spans="1:9" x14ac:dyDescent="0.35">
      <c r="A6" s="568" t="s">
        <v>15</v>
      </c>
      <c r="B6" s="6" t="s">
        <v>424</v>
      </c>
      <c r="C6" s="315"/>
      <c r="D6" s="6"/>
      <c r="E6" s="6">
        <v>55719</v>
      </c>
      <c r="F6" s="355"/>
      <c r="G6" s="43">
        <v>2</v>
      </c>
      <c r="H6" s="394"/>
      <c r="I6" s="477">
        <f t="shared" si="0"/>
        <v>0</v>
      </c>
    </row>
    <row r="7" spans="1:9" x14ac:dyDescent="0.35">
      <c r="A7" s="568" t="s">
        <v>1019</v>
      </c>
      <c r="B7" s="6" t="s">
        <v>90</v>
      </c>
      <c r="C7" s="315"/>
      <c r="D7" s="6"/>
      <c r="E7" s="6">
        <v>55719</v>
      </c>
      <c r="F7" s="355"/>
      <c r="G7" s="43">
        <v>2</v>
      </c>
      <c r="H7" s="394"/>
      <c r="I7" s="477">
        <f t="shared" si="0"/>
        <v>0</v>
      </c>
    </row>
    <row r="8" spans="1:9" x14ac:dyDescent="0.35">
      <c r="A8" s="568" t="s">
        <v>1120</v>
      </c>
      <c r="B8" s="6" t="s">
        <v>85</v>
      </c>
      <c r="C8" s="315"/>
      <c r="D8" s="6"/>
      <c r="E8" s="6">
        <v>55719</v>
      </c>
      <c r="F8" s="355"/>
      <c r="G8" s="43">
        <v>1</v>
      </c>
      <c r="H8" s="394"/>
      <c r="I8" s="477">
        <f t="shared" si="0"/>
        <v>0</v>
      </c>
    </row>
    <row r="9" spans="1:9" x14ac:dyDescent="0.35">
      <c r="A9" s="568" t="s">
        <v>1122</v>
      </c>
      <c r="B9" s="6" t="s">
        <v>706</v>
      </c>
      <c r="C9" s="315"/>
      <c r="D9" s="6"/>
      <c r="E9" s="6">
        <v>55719</v>
      </c>
      <c r="F9" s="355"/>
      <c r="G9" s="43">
        <v>1</v>
      </c>
      <c r="H9" s="394"/>
      <c r="I9" s="477">
        <f t="shared" si="0"/>
        <v>0</v>
      </c>
    </row>
    <row r="10" spans="1:9" x14ac:dyDescent="0.35">
      <c r="A10" s="568" t="s">
        <v>1171</v>
      </c>
      <c r="B10" s="6" t="s">
        <v>371</v>
      </c>
      <c r="C10" s="315"/>
      <c r="D10" s="6"/>
      <c r="E10" s="6">
        <v>55719</v>
      </c>
      <c r="F10" s="355"/>
      <c r="G10" s="43">
        <v>1</v>
      </c>
      <c r="H10" s="394"/>
      <c r="I10" s="477">
        <f t="shared" si="0"/>
        <v>0</v>
      </c>
    </row>
    <row r="11" spans="1:9" s="74" customFormat="1" x14ac:dyDescent="0.35">
      <c r="A11" s="568" t="s">
        <v>970</v>
      </c>
      <c r="B11" s="6" t="s">
        <v>230</v>
      </c>
      <c r="C11" s="315"/>
      <c r="D11" s="6"/>
      <c r="E11" s="6">
        <v>55719</v>
      </c>
      <c r="F11" s="355"/>
      <c r="G11" s="43">
        <v>1</v>
      </c>
      <c r="H11" s="394"/>
      <c r="I11" s="477">
        <f t="shared" si="0"/>
        <v>0</v>
      </c>
    </row>
    <row r="12" spans="1:9" x14ac:dyDescent="0.35">
      <c r="A12" s="568" t="s">
        <v>874</v>
      </c>
      <c r="B12" s="6" t="s">
        <v>206</v>
      </c>
      <c r="C12" s="315"/>
      <c r="D12" s="6"/>
      <c r="E12" s="6">
        <v>55719</v>
      </c>
      <c r="F12" s="355"/>
      <c r="G12" s="43">
        <v>1</v>
      </c>
      <c r="H12" s="394"/>
      <c r="I12" s="477">
        <f t="shared" si="0"/>
        <v>0</v>
      </c>
    </row>
    <row r="13" spans="1:9" x14ac:dyDescent="0.35">
      <c r="A13" s="568" t="s">
        <v>1174</v>
      </c>
      <c r="B13" s="6" t="s">
        <v>940</v>
      </c>
      <c r="C13" s="315"/>
      <c r="D13" s="6"/>
      <c r="E13" s="6">
        <v>55719</v>
      </c>
      <c r="F13" s="355"/>
      <c r="G13" s="43">
        <v>1</v>
      </c>
      <c r="H13" s="394"/>
      <c r="I13" s="477">
        <f t="shared" si="0"/>
        <v>0</v>
      </c>
    </row>
    <row r="14" spans="1:9" x14ac:dyDescent="0.35">
      <c r="A14" s="568" t="s">
        <v>967</v>
      </c>
      <c r="B14" s="6" t="s">
        <v>44</v>
      </c>
      <c r="C14" s="315"/>
      <c r="D14" s="6"/>
      <c r="E14" s="6">
        <v>55719</v>
      </c>
      <c r="F14" s="355"/>
      <c r="G14" s="43">
        <v>1</v>
      </c>
      <c r="H14" s="394"/>
      <c r="I14" s="477">
        <f t="shared" si="0"/>
        <v>0</v>
      </c>
    </row>
    <row r="15" spans="1:9" x14ac:dyDescent="0.35">
      <c r="A15" s="568" t="s">
        <v>880</v>
      </c>
      <c r="B15" s="6" t="s">
        <v>366</v>
      </c>
      <c r="C15" s="315"/>
      <c r="D15" s="6"/>
      <c r="E15" s="6">
        <v>55719</v>
      </c>
      <c r="F15" s="355"/>
      <c r="G15" s="43">
        <v>1</v>
      </c>
      <c r="H15" s="394"/>
      <c r="I15" s="477">
        <f t="shared" si="0"/>
        <v>0</v>
      </c>
    </row>
    <row r="16" spans="1:9" x14ac:dyDescent="0.35">
      <c r="A16" s="223" t="s">
        <v>2447</v>
      </c>
      <c r="B16" s="207" t="s">
        <v>2448</v>
      </c>
      <c r="C16" s="315"/>
      <c r="D16" s="207"/>
      <c r="E16" s="207">
        <v>55719</v>
      </c>
      <c r="F16" s="465"/>
      <c r="G16" s="221">
        <v>1</v>
      </c>
      <c r="H16" s="423"/>
      <c r="I16" s="477">
        <f t="shared" si="0"/>
        <v>0</v>
      </c>
    </row>
    <row r="17" spans="1:9" x14ac:dyDescent="0.35">
      <c r="A17" s="568" t="s">
        <v>872</v>
      </c>
      <c r="B17" s="6" t="s">
        <v>367</v>
      </c>
      <c r="C17" s="315"/>
      <c r="D17" s="6"/>
      <c r="E17" s="6">
        <v>55719</v>
      </c>
      <c r="F17" s="355"/>
      <c r="G17" s="43">
        <v>1</v>
      </c>
      <c r="H17" s="394"/>
      <c r="I17" s="477">
        <f t="shared" si="0"/>
        <v>0</v>
      </c>
    </row>
    <row r="18" spans="1:9" s="141" customFormat="1" x14ac:dyDescent="0.35">
      <c r="A18" s="568" t="s">
        <v>876</v>
      </c>
      <c r="B18" s="6" t="s">
        <v>368</v>
      </c>
      <c r="C18" s="315"/>
      <c r="D18" s="6"/>
      <c r="E18" s="6">
        <v>55719</v>
      </c>
      <c r="F18" s="355"/>
      <c r="G18" s="43">
        <v>1</v>
      </c>
      <c r="H18" s="394"/>
      <c r="I18" s="477">
        <f t="shared" si="0"/>
        <v>0</v>
      </c>
    </row>
    <row r="19" spans="1:9" x14ac:dyDescent="0.35">
      <c r="A19" s="568" t="s">
        <v>879</v>
      </c>
      <c r="B19" s="6" t="s">
        <v>369</v>
      </c>
      <c r="C19" s="315"/>
      <c r="D19" s="6"/>
      <c r="E19" s="6">
        <v>55719</v>
      </c>
      <c r="F19" s="355"/>
      <c r="G19" s="43">
        <v>1</v>
      </c>
      <c r="H19" s="394"/>
      <c r="I19" s="477">
        <f t="shared" si="0"/>
        <v>0</v>
      </c>
    </row>
    <row r="20" spans="1:9" x14ac:dyDescent="0.35">
      <c r="A20" s="568" t="s">
        <v>1180</v>
      </c>
      <c r="B20" s="6" t="s">
        <v>370</v>
      </c>
      <c r="C20" s="315"/>
      <c r="D20" s="6"/>
      <c r="E20" s="6">
        <v>55719</v>
      </c>
      <c r="F20" s="355"/>
      <c r="G20" s="43">
        <v>1</v>
      </c>
      <c r="H20" s="394"/>
      <c r="I20" s="477">
        <f t="shared" si="0"/>
        <v>0</v>
      </c>
    </row>
    <row r="21" spans="1:9" x14ac:dyDescent="0.35">
      <c r="A21" s="568" t="s">
        <v>871</v>
      </c>
      <c r="B21" s="6" t="s">
        <v>95</v>
      </c>
      <c r="C21" s="315"/>
      <c r="D21" s="6"/>
      <c r="E21" s="6">
        <v>55719</v>
      </c>
      <c r="F21" s="355"/>
      <c r="G21" s="43">
        <v>1</v>
      </c>
      <c r="H21" s="394"/>
      <c r="I21" s="477">
        <f t="shared" si="0"/>
        <v>0</v>
      </c>
    </row>
    <row r="22" spans="1:9" x14ac:dyDescent="0.35">
      <c r="A22" s="568" t="s">
        <v>35</v>
      </c>
      <c r="B22" s="6" t="s">
        <v>1567</v>
      </c>
      <c r="C22" s="315"/>
      <c r="D22" s="6"/>
      <c r="E22" s="6">
        <v>55719</v>
      </c>
      <c r="F22" s="355"/>
      <c r="G22" s="43">
        <v>1</v>
      </c>
      <c r="H22" s="394"/>
      <c r="I22" s="477">
        <f t="shared" si="0"/>
        <v>0</v>
      </c>
    </row>
    <row r="23" spans="1:9" x14ac:dyDescent="0.35">
      <c r="A23" s="568" t="s">
        <v>1182</v>
      </c>
      <c r="B23" s="6" t="s">
        <v>99</v>
      </c>
      <c r="C23" s="315"/>
      <c r="D23" s="6"/>
      <c r="E23" s="6">
        <v>55719</v>
      </c>
      <c r="F23" s="355"/>
      <c r="G23" s="43">
        <v>1</v>
      </c>
      <c r="H23" s="394"/>
      <c r="I23" s="477">
        <f t="shared" si="0"/>
        <v>0</v>
      </c>
    </row>
    <row r="24" spans="1:9" x14ac:dyDescent="0.35">
      <c r="A24" s="568" t="s">
        <v>38</v>
      </c>
      <c r="B24" s="6" t="s">
        <v>200</v>
      </c>
      <c r="C24" s="315"/>
      <c r="D24" s="6"/>
      <c r="E24" s="6">
        <v>55719</v>
      </c>
      <c r="F24" s="355"/>
      <c r="G24" s="43">
        <v>1</v>
      </c>
      <c r="H24" s="394"/>
      <c r="I24" s="477">
        <f t="shared" si="0"/>
        <v>0</v>
      </c>
    </row>
    <row r="25" spans="1:9" x14ac:dyDescent="0.35">
      <c r="A25" s="568" t="s">
        <v>181</v>
      </c>
      <c r="B25" s="6" t="s">
        <v>182</v>
      </c>
      <c r="C25" s="315"/>
      <c r="D25" s="6"/>
      <c r="E25" s="6">
        <v>55719</v>
      </c>
      <c r="F25" s="355"/>
      <c r="G25" s="43">
        <v>1</v>
      </c>
      <c r="H25" s="394"/>
      <c r="I25" s="477">
        <f t="shared" si="0"/>
        <v>0</v>
      </c>
    </row>
    <row r="26" spans="1:9" x14ac:dyDescent="0.35">
      <c r="A26" s="568" t="s">
        <v>11</v>
      </c>
      <c r="B26" s="6" t="s">
        <v>233</v>
      </c>
      <c r="C26" s="315"/>
      <c r="D26" s="6"/>
      <c r="E26" s="6">
        <v>55719</v>
      </c>
      <c r="F26" s="355"/>
      <c r="G26" s="43">
        <v>1</v>
      </c>
      <c r="H26" s="394"/>
      <c r="I26" s="477">
        <f t="shared" si="0"/>
        <v>0</v>
      </c>
    </row>
    <row r="27" spans="1:9" x14ac:dyDescent="0.35">
      <c r="A27" s="568" t="s">
        <v>12</v>
      </c>
      <c r="B27" s="6" t="s">
        <v>150</v>
      </c>
      <c r="C27" s="315"/>
      <c r="D27" s="6"/>
      <c r="E27" s="6">
        <v>55719</v>
      </c>
      <c r="F27" s="355"/>
      <c r="G27" s="43">
        <v>1</v>
      </c>
      <c r="H27" s="394"/>
      <c r="I27" s="477">
        <f t="shared" si="0"/>
        <v>0</v>
      </c>
    </row>
    <row r="28" spans="1:9" x14ac:dyDescent="0.35">
      <c r="A28" s="568" t="s">
        <v>107</v>
      </c>
      <c r="B28" s="6" t="s">
        <v>507</v>
      </c>
      <c r="C28" s="315"/>
      <c r="D28" s="6"/>
      <c r="E28" s="6">
        <v>55719</v>
      </c>
      <c r="F28" s="355"/>
      <c r="G28" s="43">
        <v>1</v>
      </c>
      <c r="H28" s="394"/>
      <c r="I28" s="477">
        <f t="shared" si="0"/>
        <v>0</v>
      </c>
    </row>
    <row r="29" spans="1:9" x14ac:dyDescent="0.35">
      <c r="A29" s="568" t="s">
        <v>6</v>
      </c>
      <c r="B29" s="6" t="s">
        <v>87</v>
      </c>
      <c r="C29" s="315"/>
      <c r="D29" s="6"/>
      <c r="E29" s="6">
        <v>55719</v>
      </c>
      <c r="F29" s="355"/>
      <c r="G29" s="43">
        <v>2</v>
      </c>
      <c r="H29" s="394"/>
      <c r="I29" s="477">
        <f t="shared" si="0"/>
        <v>0</v>
      </c>
    </row>
    <row r="30" spans="1:9" x14ac:dyDescent="0.35">
      <c r="A30" s="568" t="s">
        <v>174</v>
      </c>
      <c r="B30" s="6" t="s">
        <v>215</v>
      </c>
      <c r="C30" s="315"/>
      <c r="D30" s="6"/>
      <c r="E30" s="6">
        <v>55719</v>
      </c>
      <c r="F30" s="355"/>
      <c r="G30" s="43">
        <v>1</v>
      </c>
      <c r="H30" s="394"/>
      <c r="I30" s="477">
        <f t="shared" si="0"/>
        <v>0</v>
      </c>
    </row>
    <row r="31" spans="1:9" x14ac:dyDescent="0.35">
      <c r="A31" s="568" t="s">
        <v>293</v>
      </c>
      <c r="B31" s="6" t="s">
        <v>42</v>
      </c>
      <c r="C31" s="315"/>
      <c r="D31" s="6"/>
      <c r="E31" s="6">
        <v>55719</v>
      </c>
      <c r="F31" s="355"/>
      <c r="G31" s="43">
        <v>1</v>
      </c>
      <c r="H31" s="394"/>
      <c r="I31" s="477">
        <f t="shared" si="0"/>
        <v>0</v>
      </c>
    </row>
    <row r="32" spans="1:9" x14ac:dyDescent="0.35">
      <c r="A32" s="568" t="s">
        <v>43</v>
      </c>
      <c r="B32" s="6" t="s">
        <v>765</v>
      </c>
      <c r="C32" s="315"/>
      <c r="D32" s="6"/>
      <c r="E32" s="6">
        <v>55719</v>
      </c>
      <c r="F32" s="355"/>
      <c r="G32" s="43">
        <v>1</v>
      </c>
      <c r="H32" s="394"/>
      <c r="I32" s="477">
        <f t="shared" si="0"/>
        <v>0</v>
      </c>
    </row>
    <row r="33" spans="1:9" x14ac:dyDescent="0.35">
      <c r="A33" s="568" t="s">
        <v>3</v>
      </c>
      <c r="B33" s="6" t="s">
        <v>414</v>
      </c>
      <c r="C33" s="315"/>
      <c r="D33" s="6"/>
      <c r="E33" s="6">
        <v>55719</v>
      </c>
      <c r="F33" s="355"/>
      <c r="G33" s="43">
        <v>1</v>
      </c>
      <c r="H33" s="394"/>
      <c r="I33" s="477">
        <f t="shared" si="0"/>
        <v>0</v>
      </c>
    </row>
    <row r="34" spans="1:9" x14ac:dyDescent="0.35">
      <c r="A34" s="568" t="s">
        <v>1206</v>
      </c>
      <c r="B34" s="6" t="s">
        <v>1620</v>
      </c>
      <c r="C34" s="315"/>
      <c r="D34" s="6"/>
      <c r="E34" s="6">
        <v>55719</v>
      </c>
      <c r="F34" s="355"/>
      <c r="G34" s="43">
        <v>1</v>
      </c>
      <c r="H34" s="394"/>
      <c r="I34" s="477">
        <f t="shared" ref="I34:I65" si="1">+G34*H34</f>
        <v>0</v>
      </c>
    </row>
    <row r="35" spans="1:9" x14ac:dyDescent="0.35">
      <c r="A35" s="568" t="s">
        <v>1098</v>
      </c>
      <c r="B35" s="6" t="s">
        <v>63</v>
      </c>
      <c r="C35" s="315"/>
      <c r="D35" s="6"/>
      <c r="E35" s="6">
        <v>55719</v>
      </c>
      <c r="F35" s="355"/>
      <c r="G35" s="43">
        <v>1</v>
      </c>
      <c r="H35" s="394"/>
      <c r="I35" s="477">
        <f t="shared" si="1"/>
        <v>0</v>
      </c>
    </row>
    <row r="36" spans="1:9" s="16" customFormat="1" x14ac:dyDescent="0.35">
      <c r="A36" s="568" t="s">
        <v>2681</v>
      </c>
      <c r="B36" s="6" t="s">
        <v>2238</v>
      </c>
      <c r="C36" s="315"/>
      <c r="D36" s="6"/>
      <c r="E36" s="6">
        <v>55719</v>
      </c>
      <c r="F36" s="355"/>
      <c r="G36" s="43">
        <v>1</v>
      </c>
      <c r="H36" s="394"/>
      <c r="I36" s="477">
        <f t="shared" si="1"/>
        <v>0</v>
      </c>
    </row>
    <row r="37" spans="1:9" x14ac:dyDescent="0.35">
      <c r="A37" s="568" t="s">
        <v>2680</v>
      </c>
      <c r="B37" s="6" t="s">
        <v>2240</v>
      </c>
      <c r="C37" s="315"/>
      <c r="D37" s="6"/>
      <c r="E37" s="6">
        <v>55719</v>
      </c>
      <c r="F37" s="355"/>
      <c r="G37" s="43">
        <v>1</v>
      </c>
      <c r="H37" s="394"/>
      <c r="I37" s="477">
        <f t="shared" si="1"/>
        <v>0</v>
      </c>
    </row>
    <row r="38" spans="1:9" x14ac:dyDescent="0.35">
      <c r="A38" s="568" t="s">
        <v>2682</v>
      </c>
      <c r="B38" s="6" t="s">
        <v>2241</v>
      </c>
      <c r="C38" s="315"/>
      <c r="D38" s="6"/>
      <c r="E38" s="6">
        <v>55719</v>
      </c>
      <c r="F38" s="355"/>
      <c r="G38" s="43">
        <v>1</v>
      </c>
      <c r="H38" s="394"/>
      <c r="I38" s="477">
        <f t="shared" si="1"/>
        <v>0</v>
      </c>
    </row>
    <row r="39" spans="1:9" x14ac:dyDescent="0.35">
      <c r="A39" s="568" t="s">
        <v>144</v>
      </c>
      <c r="B39" s="6" t="s">
        <v>1601</v>
      </c>
      <c r="C39" s="315"/>
      <c r="D39" s="6"/>
      <c r="E39" s="6">
        <v>55719</v>
      </c>
      <c r="F39" s="355"/>
      <c r="G39" s="43">
        <v>1</v>
      </c>
      <c r="H39" s="394"/>
      <c r="I39" s="477">
        <f t="shared" si="1"/>
        <v>0</v>
      </c>
    </row>
    <row r="40" spans="1:9" x14ac:dyDescent="0.35">
      <c r="A40" s="568" t="s">
        <v>159</v>
      </c>
      <c r="B40" s="6" t="s">
        <v>427</v>
      </c>
      <c r="C40" s="315"/>
      <c r="D40" s="6"/>
      <c r="E40" s="6">
        <v>55719</v>
      </c>
      <c r="F40" s="355"/>
      <c r="G40" s="43">
        <v>1</v>
      </c>
      <c r="H40" s="394"/>
      <c r="I40" s="477">
        <f t="shared" si="1"/>
        <v>0</v>
      </c>
    </row>
    <row r="41" spans="1:9" x14ac:dyDescent="0.35">
      <c r="A41" s="568" t="s">
        <v>1216</v>
      </c>
      <c r="B41" s="6" t="s">
        <v>343</v>
      </c>
      <c r="C41" s="315"/>
      <c r="D41" s="6"/>
      <c r="E41" s="6">
        <v>55719</v>
      </c>
      <c r="F41" s="355"/>
      <c r="G41" s="43">
        <v>1</v>
      </c>
      <c r="H41" s="394"/>
      <c r="I41" s="477">
        <f t="shared" si="1"/>
        <v>0</v>
      </c>
    </row>
    <row r="42" spans="1:9" x14ac:dyDescent="0.35">
      <c r="A42" s="568" t="s">
        <v>2595</v>
      </c>
      <c r="B42" s="6" t="s">
        <v>508</v>
      </c>
      <c r="C42" s="315"/>
      <c r="D42" s="6"/>
      <c r="E42" s="6">
        <v>55719</v>
      </c>
      <c r="F42" s="355"/>
      <c r="G42" s="43">
        <v>1</v>
      </c>
      <c r="H42" s="394"/>
      <c r="I42" s="477">
        <f t="shared" si="1"/>
        <v>0</v>
      </c>
    </row>
    <row r="43" spans="1:9" x14ac:dyDescent="0.35">
      <c r="A43" s="568" t="s">
        <v>1760</v>
      </c>
      <c r="B43" s="6" t="s">
        <v>311</v>
      </c>
      <c r="C43" s="315"/>
      <c r="D43" s="6"/>
      <c r="E43" s="6">
        <v>55719</v>
      </c>
      <c r="F43" s="355"/>
      <c r="G43" s="43">
        <v>1</v>
      </c>
      <c r="H43" s="394"/>
      <c r="I43" s="477">
        <f t="shared" si="1"/>
        <v>0</v>
      </c>
    </row>
    <row r="44" spans="1:9" x14ac:dyDescent="0.35">
      <c r="A44" s="568" t="s">
        <v>1011</v>
      </c>
      <c r="B44" s="6" t="s">
        <v>282</v>
      </c>
      <c r="C44" s="315"/>
      <c r="D44" s="6"/>
      <c r="E44" s="6">
        <v>55719</v>
      </c>
      <c r="F44" s="355"/>
      <c r="G44" s="43">
        <v>1</v>
      </c>
      <c r="H44" s="394"/>
      <c r="I44" s="477">
        <f t="shared" si="1"/>
        <v>0</v>
      </c>
    </row>
    <row r="45" spans="1:9" x14ac:dyDescent="0.35">
      <c r="A45" s="568" t="s">
        <v>1018</v>
      </c>
      <c r="B45" s="6" t="s">
        <v>493</v>
      </c>
      <c r="C45" s="315"/>
      <c r="D45" s="6"/>
      <c r="E45" s="6">
        <v>55719</v>
      </c>
      <c r="F45" s="355"/>
      <c r="G45" s="43">
        <v>1</v>
      </c>
      <c r="H45" s="394"/>
      <c r="I45" s="477">
        <f t="shared" si="1"/>
        <v>0</v>
      </c>
    </row>
    <row r="46" spans="1:9" x14ac:dyDescent="0.35">
      <c r="A46" s="568" t="s">
        <v>1007</v>
      </c>
      <c r="B46" s="6" t="s">
        <v>313</v>
      </c>
      <c r="C46" s="315"/>
      <c r="D46" s="6"/>
      <c r="E46" s="6">
        <v>55719</v>
      </c>
      <c r="F46" s="355"/>
      <c r="G46" s="43">
        <v>1</v>
      </c>
      <c r="H46" s="394"/>
      <c r="I46" s="477">
        <f t="shared" si="1"/>
        <v>0</v>
      </c>
    </row>
    <row r="47" spans="1:9" x14ac:dyDescent="0.35">
      <c r="A47" s="568" t="s">
        <v>1014</v>
      </c>
      <c r="B47" s="6" t="s">
        <v>314</v>
      </c>
      <c r="C47" s="315"/>
      <c r="D47" s="6"/>
      <c r="E47" s="6">
        <v>55719</v>
      </c>
      <c r="F47" s="355"/>
      <c r="G47" s="43">
        <v>1</v>
      </c>
      <c r="H47" s="394"/>
      <c r="I47" s="477">
        <f t="shared" si="1"/>
        <v>0</v>
      </c>
    </row>
    <row r="48" spans="1:9" x14ac:dyDescent="0.35">
      <c r="A48" s="568" t="s">
        <v>1012</v>
      </c>
      <c r="B48" s="6" t="s">
        <v>285</v>
      </c>
      <c r="C48" s="315"/>
      <c r="D48" s="6"/>
      <c r="E48" s="6">
        <v>55719</v>
      </c>
      <c r="F48" s="355"/>
      <c r="G48" s="43">
        <v>1</v>
      </c>
      <c r="H48" s="394"/>
      <c r="I48" s="477">
        <f t="shared" si="1"/>
        <v>0</v>
      </c>
    </row>
    <row r="49" spans="1:9" s="51" customFormat="1" x14ac:dyDescent="0.35">
      <c r="A49" s="568" t="s">
        <v>899</v>
      </c>
      <c r="B49" s="6" t="s">
        <v>281</v>
      </c>
      <c r="C49" s="315"/>
      <c r="D49" s="6"/>
      <c r="E49" s="6">
        <v>55719</v>
      </c>
      <c r="F49" s="355"/>
      <c r="G49" s="43">
        <v>1</v>
      </c>
      <c r="H49" s="394"/>
      <c r="I49" s="477">
        <f t="shared" si="1"/>
        <v>0</v>
      </c>
    </row>
    <row r="50" spans="1:9" x14ac:dyDescent="0.35">
      <c r="A50" s="568" t="s">
        <v>2334</v>
      </c>
      <c r="B50" s="6" t="s">
        <v>284</v>
      </c>
      <c r="C50" s="315"/>
      <c r="D50" s="6"/>
      <c r="E50" s="6">
        <v>55719</v>
      </c>
      <c r="F50" s="355"/>
      <c r="G50" s="43">
        <v>1</v>
      </c>
      <c r="H50" s="394"/>
      <c r="I50" s="477">
        <f t="shared" si="1"/>
        <v>0</v>
      </c>
    </row>
    <row r="51" spans="1:9" x14ac:dyDescent="0.35">
      <c r="A51" s="568" t="s">
        <v>1010</v>
      </c>
      <c r="B51" s="6" t="s">
        <v>114</v>
      </c>
      <c r="C51" s="315"/>
      <c r="D51" s="6"/>
      <c r="E51" s="6">
        <v>55719</v>
      </c>
      <c r="F51" s="355"/>
      <c r="G51" s="43">
        <v>1</v>
      </c>
      <c r="H51" s="394"/>
      <c r="I51" s="477">
        <f t="shared" si="1"/>
        <v>0</v>
      </c>
    </row>
    <row r="52" spans="1:9" x14ac:dyDescent="0.35">
      <c r="A52" s="568" t="s">
        <v>1762</v>
      </c>
      <c r="B52" s="6" t="s">
        <v>113</v>
      </c>
      <c r="C52" s="315"/>
      <c r="D52" s="6"/>
      <c r="E52" s="6">
        <v>55719</v>
      </c>
      <c r="F52" s="355"/>
      <c r="G52" s="43">
        <v>1</v>
      </c>
      <c r="H52" s="394"/>
      <c r="I52" s="477">
        <f t="shared" si="1"/>
        <v>0</v>
      </c>
    </row>
    <row r="53" spans="1:9" x14ac:dyDescent="0.35">
      <c r="A53" s="568" t="s">
        <v>2344</v>
      </c>
      <c r="B53" s="6" t="s">
        <v>279</v>
      </c>
      <c r="C53" s="315"/>
      <c r="D53" s="6"/>
      <c r="E53" s="6">
        <v>55719</v>
      </c>
      <c r="F53" s="355"/>
      <c r="G53" s="43">
        <v>1</v>
      </c>
      <c r="H53" s="394"/>
      <c r="I53" s="477">
        <f t="shared" si="1"/>
        <v>0</v>
      </c>
    </row>
    <row r="54" spans="1:9" x14ac:dyDescent="0.35">
      <c r="A54" s="568" t="s">
        <v>1383</v>
      </c>
      <c r="B54" s="6" t="s">
        <v>243</v>
      </c>
      <c r="C54" s="315"/>
      <c r="D54" s="6"/>
      <c r="E54" s="6">
        <v>55719</v>
      </c>
      <c r="F54" s="355"/>
      <c r="G54" s="43">
        <v>1</v>
      </c>
      <c r="H54" s="394"/>
      <c r="I54" s="477">
        <f t="shared" si="1"/>
        <v>0</v>
      </c>
    </row>
    <row r="55" spans="1:9" x14ac:dyDescent="0.35">
      <c r="A55" s="568" t="s">
        <v>885</v>
      </c>
      <c r="B55" s="6" t="s">
        <v>229</v>
      </c>
      <c r="C55" s="315"/>
      <c r="D55" s="6"/>
      <c r="E55" s="6">
        <v>55719</v>
      </c>
      <c r="F55" s="355"/>
      <c r="G55" s="43">
        <v>1</v>
      </c>
      <c r="H55" s="394"/>
      <c r="I55" s="477">
        <f t="shared" si="1"/>
        <v>0</v>
      </c>
    </row>
    <row r="56" spans="1:9" x14ac:dyDescent="0.35">
      <c r="A56" s="568" t="s">
        <v>2549</v>
      </c>
      <c r="B56" s="6" t="s">
        <v>112</v>
      </c>
      <c r="C56" s="315"/>
      <c r="D56" s="6"/>
      <c r="E56" s="6">
        <v>55719</v>
      </c>
      <c r="F56" s="355"/>
      <c r="G56" s="43">
        <v>1</v>
      </c>
      <c r="H56" s="394"/>
      <c r="I56" s="477">
        <f t="shared" si="1"/>
        <v>0</v>
      </c>
    </row>
    <row r="57" spans="1:9" x14ac:dyDescent="0.35">
      <c r="A57" s="568" t="s">
        <v>2547</v>
      </c>
      <c r="B57" s="6" t="s">
        <v>210</v>
      </c>
      <c r="C57" s="315"/>
      <c r="D57" s="6"/>
      <c r="E57" s="6">
        <v>55719</v>
      </c>
      <c r="F57" s="355"/>
      <c r="G57" s="43">
        <v>1</v>
      </c>
      <c r="H57" s="394"/>
      <c r="I57" s="477">
        <f t="shared" si="1"/>
        <v>0</v>
      </c>
    </row>
    <row r="58" spans="1:9" x14ac:dyDescent="0.35">
      <c r="A58" s="568" t="s">
        <v>923</v>
      </c>
      <c r="B58" s="6" t="s">
        <v>399</v>
      </c>
      <c r="C58" s="315"/>
      <c r="D58" s="6"/>
      <c r="E58" s="6">
        <v>55719</v>
      </c>
      <c r="F58" s="355"/>
      <c r="G58" s="43">
        <v>1</v>
      </c>
      <c r="H58" s="394"/>
      <c r="I58" s="477">
        <f t="shared" si="1"/>
        <v>0</v>
      </c>
    </row>
    <row r="59" spans="1:9" x14ac:dyDescent="0.35">
      <c r="A59" s="568" t="s">
        <v>1036</v>
      </c>
      <c r="B59" s="6" t="s">
        <v>423</v>
      </c>
      <c r="C59" s="315"/>
      <c r="D59" s="6"/>
      <c r="E59" s="6">
        <v>55719</v>
      </c>
      <c r="F59" s="355"/>
      <c r="G59" s="43">
        <v>1</v>
      </c>
      <c r="H59" s="394"/>
      <c r="I59" s="477">
        <f t="shared" si="1"/>
        <v>0</v>
      </c>
    </row>
    <row r="60" spans="1:9" x14ac:dyDescent="0.35">
      <c r="A60" s="568" t="s">
        <v>957</v>
      </c>
      <c r="B60" s="6" t="s">
        <v>103</v>
      </c>
      <c r="C60" s="315"/>
      <c r="D60" s="6"/>
      <c r="E60" s="6">
        <v>55719</v>
      </c>
      <c r="F60" s="355"/>
      <c r="G60" s="43">
        <v>1</v>
      </c>
      <c r="H60" s="394"/>
      <c r="I60" s="477">
        <f t="shared" si="1"/>
        <v>0</v>
      </c>
    </row>
    <row r="61" spans="1:9" x14ac:dyDescent="0.35">
      <c r="A61" s="568" t="s">
        <v>1234</v>
      </c>
      <c r="B61" s="6" t="s">
        <v>738</v>
      </c>
      <c r="C61" s="315"/>
      <c r="D61" s="6"/>
      <c r="E61" s="6">
        <v>55719</v>
      </c>
      <c r="F61" s="355"/>
      <c r="G61" s="43">
        <v>1</v>
      </c>
      <c r="H61" s="394"/>
      <c r="I61" s="477">
        <f t="shared" si="1"/>
        <v>0</v>
      </c>
    </row>
    <row r="62" spans="1:9" x14ac:dyDescent="0.35">
      <c r="A62" s="568" t="s">
        <v>959</v>
      </c>
      <c r="B62" s="6" t="s">
        <v>529</v>
      </c>
      <c r="C62" s="315"/>
      <c r="D62" s="6"/>
      <c r="E62" s="6">
        <v>55719</v>
      </c>
      <c r="F62" s="355"/>
      <c r="G62" s="43">
        <v>1</v>
      </c>
      <c r="H62" s="394"/>
      <c r="I62" s="477">
        <f t="shared" si="1"/>
        <v>0</v>
      </c>
    </row>
    <row r="63" spans="1:9" x14ac:dyDescent="0.35">
      <c r="A63" s="568" t="s">
        <v>962</v>
      </c>
      <c r="B63" s="6" t="s">
        <v>589</v>
      </c>
      <c r="C63" s="315"/>
      <c r="D63" s="6"/>
      <c r="E63" s="6">
        <v>55719</v>
      </c>
      <c r="F63" s="355"/>
      <c r="G63" s="43">
        <v>1</v>
      </c>
      <c r="H63" s="394"/>
      <c r="I63" s="477">
        <f t="shared" si="1"/>
        <v>0</v>
      </c>
    </row>
    <row r="64" spans="1:9" x14ac:dyDescent="0.35">
      <c r="A64" s="568" t="s">
        <v>954</v>
      </c>
      <c r="B64" s="6" t="s">
        <v>239</v>
      </c>
      <c r="C64" s="315"/>
      <c r="D64" s="6"/>
      <c r="E64" s="6">
        <v>55719</v>
      </c>
      <c r="F64" s="355"/>
      <c r="G64" s="43">
        <v>1</v>
      </c>
      <c r="H64" s="394"/>
      <c r="I64" s="477">
        <f t="shared" si="1"/>
        <v>0</v>
      </c>
    </row>
    <row r="65" spans="1:9" x14ac:dyDescent="0.35">
      <c r="A65" s="568" t="s">
        <v>1049</v>
      </c>
      <c r="B65" s="6" t="s">
        <v>110</v>
      </c>
      <c r="C65" s="315"/>
      <c r="D65" s="6"/>
      <c r="E65" s="6">
        <v>55719</v>
      </c>
      <c r="F65" s="355"/>
      <c r="G65" s="43">
        <v>1</v>
      </c>
      <c r="H65" s="394"/>
      <c r="I65" s="477">
        <f t="shared" si="1"/>
        <v>0</v>
      </c>
    </row>
    <row r="66" spans="1:9" x14ac:dyDescent="0.35">
      <c r="A66" s="568" t="s">
        <v>1042</v>
      </c>
      <c r="B66" s="6" t="s">
        <v>429</v>
      </c>
      <c r="C66" s="315"/>
      <c r="D66" s="6"/>
      <c r="E66" s="6">
        <v>55719</v>
      </c>
      <c r="F66" s="355"/>
      <c r="G66" s="43">
        <v>1</v>
      </c>
      <c r="H66" s="394"/>
      <c r="I66" s="477">
        <f t="shared" ref="I66:I97" si="2">+G66*H66</f>
        <v>0</v>
      </c>
    </row>
    <row r="67" spans="1:9" x14ac:dyDescent="0.35">
      <c r="A67" s="568" t="s">
        <v>362</v>
      </c>
      <c r="B67" s="6" t="s">
        <v>431</v>
      </c>
      <c r="C67" s="315"/>
      <c r="D67" s="6"/>
      <c r="E67" s="6">
        <v>55719</v>
      </c>
      <c r="F67" s="355"/>
      <c r="G67" s="43">
        <v>1</v>
      </c>
      <c r="H67" s="394"/>
      <c r="I67" s="477">
        <f t="shared" si="2"/>
        <v>0</v>
      </c>
    </row>
    <row r="68" spans="1:9" x14ac:dyDescent="0.35">
      <c r="A68" s="568" t="s">
        <v>1110</v>
      </c>
      <c r="B68" s="6" t="s">
        <v>422</v>
      </c>
      <c r="C68" s="315"/>
      <c r="D68" s="6"/>
      <c r="E68" s="6">
        <v>55719</v>
      </c>
      <c r="F68" s="355"/>
      <c r="G68" s="43">
        <v>1</v>
      </c>
      <c r="H68" s="394"/>
      <c r="I68" s="477">
        <f t="shared" si="2"/>
        <v>0</v>
      </c>
    </row>
    <row r="69" spans="1:9" x14ac:dyDescent="0.35">
      <c r="A69" s="568" t="s">
        <v>2457</v>
      </c>
      <c r="B69" s="6" t="s">
        <v>1605</v>
      </c>
      <c r="C69" s="315"/>
      <c r="D69" s="6"/>
      <c r="E69" s="6">
        <v>55719</v>
      </c>
      <c r="F69" s="355"/>
      <c r="G69" s="43">
        <v>1</v>
      </c>
      <c r="H69" s="394"/>
      <c r="I69" s="477">
        <f t="shared" si="2"/>
        <v>0</v>
      </c>
    </row>
    <row r="70" spans="1:9" x14ac:dyDescent="0.35">
      <c r="A70" s="568" t="s">
        <v>1243</v>
      </c>
      <c r="B70" s="6" t="s">
        <v>407</v>
      </c>
      <c r="C70" s="315"/>
      <c r="D70" s="6"/>
      <c r="E70" s="6">
        <v>55719</v>
      </c>
      <c r="F70" s="355"/>
      <c r="G70" s="43">
        <v>1</v>
      </c>
      <c r="H70" s="394"/>
      <c r="I70" s="477">
        <f t="shared" si="2"/>
        <v>0</v>
      </c>
    </row>
    <row r="71" spans="1:9" x14ac:dyDescent="0.35">
      <c r="A71" s="568" t="s">
        <v>1067</v>
      </c>
      <c r="B71" s="6" t="s">
        <v>260</v>
      </c>
      <c r="C71" s="315"/>
      <c r="D71" s="6"/>
      <c r="E71" s="6">
        <v>55719</v>
      </c>
      <c r="F71" s="355"/>
      <c r="G71" s="43">
        <v>1</v>
      </c>
      <c r="H71" s="394"/>
      <c r="I71" s="477">
        <f t="shared" si="2"/>
        <v>0</v>
      </c>
    </row>
    <row r="72" spans="1:9" x14ac:dyDescent="0.35">
      <c r="A72" s="568" t="s">
        <v>999</v>
      </c>
      <c r="B72" s="6" t="s">
        <v>393</v>
      </c>
      <c r="C72" s="315"/>
      <c r="D72" s="6"/>
      <c r="E72" s="6">
        <v>55719</v>
      </c>
      <c r="F72" s="355"/>
      <c r="G72" s="43">
        <v>1</v>
      </c>
      <c r="H72" s="394"/>
      <c r="I72" s="477">
        <f t="shared" si="2"/>
        <v>0</v>
      </c>
    </row>
    <row r="73" spans="1:9" x14ac:dyDescent="0.35">
      <c r="A73" s="568" t="s">
        <v>1000</v>
      </c>
      <c r="B73" s="6" t="s">
        <v>295</v>
      </c>
      <c r="C73" s="315"/>
      <c r="D73" s="6"/>
      <c r="E73" s="6">
        <v>55719</v>
      </c>
      <c r="F73" s="355"/>
      <c r="G73" s="43">
        <v>2</v>
      </c>
      <c r="H73" s="394"/>
      <c r="I73" s="477">
        <f t="shared" si="2"/>
        <v>0</v>
      </c>
    </row>
    <row r="74" spans="1:9" x14ac:dyDescent="0.35">
      <c r="A74" s="568" t="s">
        <v>1065</v>
      </c>
      <c r="B74" s="6" t="s">
        <v>259</v>
      </c>
      <c r="C74" s="315"/>
      <c r="D74" s="6"/>
      <c r="E74" s="6">
        <v>55719</v>
      </c>
      <c r="F74" s="355"/>
      <c r="G74" s="43">
        <v>1</v>
      </c>
      <c r="H74" s="394"/>
      <c r="I74" s="477">
        <f t="shared" si="2"/>
        <v>0</v>
      </c>
    </row>
    <row r="75" spans="1:9" x14ac:dyDescent="0.35">
      <c r="A75" s="568" t="s">
        <v>993</v>
      </c>
      <c r="B75" s="6" t="s">
        <v>249</v>
      </c>
      <c r="C75" s="315"/>
      <c r="D75" s="6"/>
      <c r="E75" s="6">
        <v>55719</v>
      </c>
      <c r="F75" s="355"/>
      <c r="G75" s="43">
        <v>1</v>
      </c>
      <c r="H75" s="394"/>
      <c r="I75" s="477">
        <f t="shared" si="2"/>
        <v>0</v>
      </c>
    </row>
    <row r="76" spans="1:9" x14ac:dyDescent="0.35">
      <c r="A76" s="568" t="s">
        <v>81</v>
      </c>
      <c r="B76" s="6" t="s">
        <v>109</v>
      </c>
      <c r="C76" s="315"/>
      <c r="D76" s="6"/>
      <c r="E76" s="6">
        <v>55719</v>
      </c>
      <c r="F76" s="355"/>
      <c r="G76" s="43">
        <v>1</v>
      </c>
      <c r="H76" s="394"/>
      <c r="I76" s="477">
        <f t="shared" si="2"/>
        <v>0</v>
      </c>
    </row>
    <row r="77" spans="1:9" x14ac:dyDescent="0.35">
      <c r="A77" s="568" t="s">
        <v>8</v>
      </c>
      <c r="B77" s="6" t="s">
        <v>211</v>
      </c>
      <c r="C77" s="315"/>
      <c r="D77" s="6"/>
      <c r="E77" s="6">
        <v>55719</v>
      </c>
      <c r="F77" s="355"/>
      <c r="G77" s="43">
        <v>1</v>
      </c>
      <c r="H77" s="394"/>
      <c r="I77" s="477">
        <f t="shared" si="2"/>
        <v>0</v>
      </c>
    </row>
    <row r="78" spans="1:9" x14ac:dyDescent="0.35">
      <c r="A78" s="568" t="s">
        <v>9</v>
      </c>
      <c r="B78" s="6" t="s">
        <v>329</v>
      </c>
      <c r="C78" s="315"/>
      <c r="D78" s="6"/>
      <c r="E78" s="6">
        <v>55719</v>
      </c>
      <c r="F78" s="355"/>
      <c r="G78" s="43">
        <v>1</v>
      </c>
      <c r="H78" s="394"/>
      <c r="I78" s="477">
        <f t="shared" si="2"/>
        <v>0</v>
      </c>
    </row>
    <row r="79" spans="1:9" x14ac:dyDescent="0.35">
      <c r="A79" s="568" t="s">
        <v>930</v>
      </c>
      <c r="B79" s="6" t="s">
        <v>88</v>
      </c>
      <c r="C79" s="315"/>
      <c r="D79" s="6"/>
      <c r="E79" s="6">
        <v>55719</v>
      </c>
      <c r="F79" s="355"/>
      <c r="G79" s="43">
        <v>2</v>
      </c>
      <c r="H79" s="394"/>
      <c r="I79" s="477">
        <f t="shared" si="2"/>
        <v>0</v>
      </c>
    </row>
    <row r="80" spans="1:9" x14ac:dyDescent="0.35">
      <c r="A80" s="568" t="s">
        <v>4</v>
      </c>
      <c r="B80" s="6" t="s">
        <v>86</v>
      </c>
      <c r="C80" s="315"/>
      <c r="D80" s="6"/>
      <c r="E80" s="6">
        <v>55719</v>
      </c>
      <c r="F80" s="355"/>
      <c r="G80" s="43">
        <v>2</v>
      </c>
      <c r="H80" s="394"/>
      <c r="I80" s="477">
        <f t="shared" si="2"/>
        <v>0</v>
      </c>
    </row>
    <row r="81" spans="1:9" x14ac:dyDescent="0.35">
      <c r="A81" s="568" t="s">
        <v>1254</v>
      </c>
      <c r="B81" s="6" t="s">
        <v>1578</v>
      </c>
      <c r="C81" s="315"/>
      <c r="D81" s="6"/>
      <c r="E81" s="6">
        <v>55719</v>
      </c>
      <c r="F81" s="355"/>
      <c r="G81" s="43">
        <v>1</v>
      </c>
      <c r="H81" s="394"/>
      <c r="I81" s="477">
        <f t="shared" si="2"/>
        <v>0</v>
      </c>
    </row>
    <row r="82" spans="1:9" x14ac:dyDescent="0.35">
      <c r="A82" s="568" t="s">
        <v>29</v>
      </c>
      <c r="B82" s="6" t="s">
        <v>1564</v>
      </c>
      <c r="C82" s="315"/>
      <c r="D82" s="6"/>
      <c r="E82" s="6">
        <v>55719</v>
      </c>
      <c r="F82" s="355"/>
      <c r="G82" s="43">
        <v>1</v>
      </c>
      <c r="H82" s="394"/>
      <c r="I82" s="477">
        <f t="shared" si="2"/>
        <v>0</v>
      </c>
    </row>
    <row r="83" spans="1:9" x14ac:dyDescent="0.35">
      <c r="A83" s="568" t="s">
        <v>28</v>
      </c>
      <c r="B83" s="6" t="s">
        <v>2242</v>
      </c>
      <c r="C83" s="315"/>
      <c r="D83" s="6"/>
      <c r="E83" s="6">
        <v>55719</v>
      </c>
      <c r="F83" s="355"/>
      <c r="G83" s="43">
        <v>1</v>
      </c>
      <c r="H83" s="394"/>
      <c r="I83" s="477">
        <f t="shared" si="2"/>
        <v>0</v>
      </c>
    </row>
    <row r="84" spans="1:9" x14ac:dyDescent="0.35">
      <c r="A84" s="568" t="s">
        <v>1055</v>
      </c>
      <c r="B84" s="6" t="s">
        <v>531</v>
      </c>
      <c r="C84" s="315"/>
      <c r="D84" s="6"/>
      <c r="E84" s="6">
        <v>55719</v>
      </c>
      <c r="F84" s="355"/>
      <c r="G84" s="43">
        <v>1</v>
      </c>
      <c r="H84" s="394"/>
      <c r="I84" s="477">
        <f t="shared" si="2"/>
        <v>0</v>
      </c>
    </row>
    <row r="85" spans="1:9" x14ac:dyDescent="0.35">
      <c r="A85" s="568" t="s">
        <v>1162</v>
      </c>
      <c r="B85" s="6" t="s">
        <v>84</v>
      </c>
      <c r="C85" s="315"/>
      <c r="D85" s="6"/>
      <c r="E85" s="6">
        <v>55719</v>
      </c>
      <c r="F85" s="355"/>
      <c r="G85" s="43">
        <v>1</v>
      </c>
      <c r="H85" s="394"/>
      <c r="I85" s="477">
        <f t="shared" si="2"/>
        <v>0</v>
      </c>
    </row>
    <row r="86" spans="1:9" x14ac:dyDescent="0.35">
      <c r="A86" s="568" t="s">
        <v>934</v>
      </c>
      <c r="B86" s="6" t="s">
        <v>434</v>
      </c>
      <c r="C86" s="315"/>
      <c r="D86" s="6"/>
      <c r="E86" s="6">
        <v>55719</v>
      </c>
      <c r="F86" s="355"/>
      <c r="G86" s="43">
        <v>1</v>
      </c>
      <c r="H86" s="394"/>
      <c r="I86" s="477">
        <f t="shared" si="2"/>
        <v>0</v>
      </c>
    </row>
    <row r="87" spans="1:9" x14ac:dyDescent="0.35">
      <c r="A87" s="568" t="s">
        <v>1163</v>
      </c>
      <c r="B87" s="6" t="s">
        <v>83</v>
      </c>
      <c r="C87" s="315"/>
      <c r="D87" s="6"/>
      <c r="E87" s="6">
        <v>55719</v>
      </c>
      <c r="F87" s="355"/>
      <c r="G87" s="43">
        <v>1</v>
      </c>
      <c r="H87" s="394"/>
      <c r="I87" s="477">
        <f t="shared" si="2"/>
        <v>0</v>
      </c>
    </row>
    <row r="88" spans="1:9" x14ac:dyDescent="0.35">
      <c r="A88" s="568" t="s">
        <v>1114</v>
      </c>
      <c r="B88" s="6" t="s">
        <v>91</v>
      </c>
      <c r="C88" s="315"/>
      <c r="D88" s="6"/>
      <c r="E88" s="6">
        <v>55719</v>
      </c>
      <c r="F88" s="355"/>
      <c r="G88" s="43">
        <v>1</v>
      </c>
      <c r="H88" s="394"/>
      <c r="I88" s="477">
        <f t="shared" si="2"/>
        <v>0</v>
      </c>
    </row>
    <row r="89" spans="1:9" x14ac:dyDescent="0.35">
      <c r="A89" s="568" t="s">
        <v>1061</v>
      </c>
      <c r="B89" s="6" t="s">
        <v>73</v>
      </c>
      <c r="C89" s="315"/>
      <c r="D89" s="6"/>
      <c r="E89" s="6">
        <v>55719</v>
      </c>
      <c r="F89" s="355"/>
      <c r="G89" s="43">
        <v>1</v>
      </c>
      <c r="H89" s="394"/>
      <c r="I89" s="477">
        <f t="shared" si="2"/>
        <v>0</v>
      </c>
    </row>
    <row r="90" spans="1:9" x14ac:dyDescent="0.35">
      <c r="A90" s="568" t="s">
        <v>1060</v>
      </c>
      <c r="B90" s="6" t="s">
        <v>74</v>
      </c>
      <c r="C90" s="315"/>
      <c r="D90" s="6"/>
      <c r="E90" s="6">
        <v>55719</v>
      </c>
      <c r="F90" s="355"/>
      <c r="G90" s="43">
        <v>1</v>
      </c>
      <c r="H90" s="394"/>
      <c r="I90" s="477">
        <f t="shared" si="2"/>
        <v>0</v>
      </c>
    </row>
    <row r="91" spans="1:9" x14ac:dyDescent="0.35">
      <c r="A91" s="568" t="s">
        <v>1062</v>
      </c>
      <c r="B91" s="6" t="s">
        <v>261</v>
      </c>
      <c r="C91" s="315"/>
      <c r="D91" s="6"/>
      <c r="E91" s="6">
        <v>55719</v>
      </c>
      <c r="F91" s="355"/>
      <c r="G91" s="43">
        <v>1</v>
      </c>
      <c r="H91" s="394"/>
      <c r="I91" s="477">
        <f t="shared" si="2"/>
        <v>0</v>
      </c>
    </row>
    <row r="92" spans="1:9" x14ac:dyDescent="0.35">
      <c r="A92" s="568" t="s">
        <v>997</v>
      </c>
      <c r="B92" s="6" t="s">
        <v>388</v>
      </c>
      <c r="C92" s="315"/>
      <c r="D92" s="6"/>
      <c r="E92" s="6">
        <v>55719</v>
      </c>
      <c r="F92" s="355"/>
      <c r="G92" s="43">
        <v>1</v>
      </c>
      <c r="H92" s="394"/>
      <c r="I92" s="477">
        <f t="shared" si="2"/>
        <v>0</v>
      </c>
    </row>
    <row r="93" spans="1:9" x14ac:dyDescent="0.35">
      <c r="A93" s="568" t="s">
        <v>1168</v>
      </c>
      <c r="B93" s="6" t="s">
        <v>75</v>
      </c>
      <c r="C93" s="315"/>
      <c r="D93" s="6"/>
      <c r="E93" s="6">
        <v>55719</v>
      </c>
      <c r="F93" s="355"/>
      <c r="G93" s="43">
        <v>1</v>
      </c>
      <c r="H93" s="394"/>
      <c r="I93" s="477">
        <f t="shared" si="2"/>
        <v>0</v>
      </c>
    </row>
    <row r="94" spans="1:9" x14ac:dyDescent="0.35">
      <c r="A94" s="568" t="s">
        <v>1057</v>
      </c>
      <c r="B94" s="6" t="s">
        <v>72</v>
      </c>
      <c r="C94" s="315"/>
      <c r="D94" s="6"/>
      <c r="E94" s="6">
        <v>55719</v>
      </c>
      <c r="F94" s="355"/>
      <c r="G94" s="43">
        <v>1</v>
      </c>
      <c r="H94" s="394"/>
      <c r="I94" s="477">
        <f t="shared" si="2"/>
        <v>0</v>
      </c>
    </row>
    <row r="95" spans="1:9" x14ac:dyDescent="0.35">
      <c r="A95" s="568" t="s">
        <v>870</v>
      </c>
      <c r="B95" s="6" t="s">
        <v>416</v>
      </c>
      <c r="C95" s="315"/>
      <c r="D95" s="6"/>
      <c r="E95" s="6">
        <v>55719</v>
      </c>
      <c r="F95" s="355"/>
      <c r="G95" s="43">
        <v>1</v>
      </c>
      <c r="H95" s="394"/>
      <c r="I95" s="477">
        <f t="shared" si="2"/>
        <v>0</v>
      </c>
    </row>
    <row r="96" spans="1:9" x14ac:dyDescent="0.35">
      <c r="A96" s="568" t="s">
        <v>1260</v>
      </c>
      <c r="B96" s="6" t="s">
        <v>501</v>
      </c>
      <c r="C96" s="315"/>
      <c r="D96" s="6"/>
      <c r="E96" s="6">
        <v>55719</v>
      </c>
      <c r="F96" s="355"/>
      <c r="G96" s="43">
        <v>1</v>
      </c>
      <c r="H96" s="394"/>
      <c r="I96" s="477">
        <f t="shared" si="2"/>
        <v>0</v>
      </c>
    </row>
    <row r="97" spans="1:9" x14ac:dyDescent="0.35">
      <c r="A97" s="568" t="s">
        <v>14</v>
      </c>
      <c r="B97" s="6" t="s">
        <v>334</v>
      </c>
      <c r="C97" s="315"/>
      <c r="D97" s="6"/>
      <c r="E97" s="6">
        <v>55719</v>
      </c>
      <c r="F97" s="355"/>
      <c r="G97" s="43">
        <v>2</v>
      </c>
      <c r="H97" s="394"/>
      <c r="I97" s="477">
        <f t="shared" si="2"/>
        <v>0</v>
      </c>
    </row>
    <row r="98" spans="1:9" x14ac:dyDescent="0.35">
      <c r="A98" s="568" t="s">
        <v>347</v>
      </c>
      <c r="B98" s="6" t="s">
        <v>349</v>
      </c>
      <c r="C98" s="315"/>
      <c r="D98" s="6"/>
      <c r="E98" s="6">
        <v>55719</v>
      </c>
      <c r="F98" s="355"/>
      <c r="G98" s="43">
        <v>1</v>
      </c>
      <c r="H98" s="394"/>
      <c r="I98" s="477">
        <f t="shared" ref="I98:I119" si="3">+G98*H98</f>
        <v>0</v>
      </c>
    </row>
    <row r="99" spans="1:9" x14ac:dyDescent="0.35">
      <c r="A99" s="568" t="s">
        <v>346</v>
      </c>
      <c r="B99" s="6" t="s">
        <v>350</v>
      </c>
      <c r="C99" s="315"/>
      <c r="D99" s="6"/>
      <c r="E99" s="6">
        <v>55719</v>
      </c>
      <c r="F99" s="355"/>
      <c r="G99" s="43">
        <v>1</v>
      </c>
      <c r="H99" s="394"/>
      <c r="I99" s="477">
        <f t="shared" si="3"/>
        <v>0</v>
      </c>
    </row>
    <row r="100" spans="1:9" x14ac:dyDescent="0.35">
      <c r="A100" s="568" t="s">
        <v>348</v>
      </c>
      <c r="B100" s="6" t="s">
        <v>351</v>
      </c>
      <c r="C100" s="315"/>
      <c r="D100" s="6"/>
      <c r="E100" s="6">
        <v>55719</v>
      </c>
      <c r="F100" s="355"/>
      <c r="G100" s="43">
        <v>1</v>
      </c>
      <c r="H100" s="394"/>
      <c r="I100" s="477">
        <f t="shared" si="3"/>
        <v>0</v>
      </c>
    </row>
    <row r="101" spans="1:9" x14ac:dyDescent="0.35">
      <c r="A101" s="568" t="s">
        <v>345</v>
      </c>
      <c r="B101" s="6" t="s">
        <v>585</v>
      </c>
      <c r="C101" s="315"/>
      <c r="D101" s="6"/>
      <c r="E101" s="6">
        <v>55719</v>
      </c>
      <c r="F101" s="355"/>
      <c r="G101" s="43">
        <v>1</v>
      </c>
      <c r="H101" s="394"/>
      <c r="I101" s="477">
        <f t="shared" si="3"/>
        <v>0</v>
      </c>
    </row>
    <row r="102" spans="1:9" x14ac:dyDescent="0.35">
      <c r="A102" s="568" t="s">
        <v>36</v>
      </c>
      <c r="B102" s="6" t="s">
        <v>37</v>
      </c>
      <c r="C102" s="315"/>
      <c r="D102" s="6"/>
      <c r="E102" s="6">
        <v>55719</v>
      </c>
      <c r="F102" s="355"/>
      <c r="G102" s="43">
        <v>1</v>
      </c>
      <c r="H102" s="394"/>
      <c r="I102" s="477">
        <f t="shared" si="3"/>
        <v>0</v>
      </c>
    </row>
    <row r="103" spans="1:9" x14ac:dyDescent="0.35">
      <c r="A103" s="568" t="s">
        <v>105</v>
      </c>
      <c r="B103" s="6" t="s">
        <v>106</v>
      </c>
      <c r="C103" s="315"/>
      <c r="D103" s="6"/>
      <c r="E103" s="6">
        <v>55719</v>
      </c>
      <c r="F103" s="355"/>
      <c r="G103" s="43">
        <v>1</v>
      </c>
      <c r="H103" s="394"/>
      <c r="I103" s="477">
        <f t="shared" si="3"/>
        <v>0</v>
      </c>
    </row>
    <row r="104" spans="1:9" x14ac:dyDescent="0.35">
      <c r="A104" s="568" t="s">
        <v>881</v>
      </c>
      <c r="B104" s="6" t="s">
        <v>417</v>
      </c>
      <c r="C104" s="315"/>
      <c r="D104" s="6"/>
      <c r="E104" s="6">
        <v>55719</v>
      </c>
      <c r="F104" s="355"/>
      <c r="G104" s="43">
        <v>1</v>
      </c>
      <c r="H104" s="394"/>
      <c r="I104" s="477">
        <f t="shared" si="3"/>
        <v>0</v>
      </c>
    </row>
    <row r="105" spans="1:9" x14ac:dyDescent="0.35">
      <c r="A105" s="568" t="s">
        <v>10</v>
      </c>
      <c r="B105" s="6" t="s">
        <v>418</v>
      </c>
      <c r="C105" s="315"/>
      <c r="D105" s="6"/>
      <c r="E105" s="6">
        <v>55719</v>
      </c>
      <c r="F105" s="355"/>
      <c r="G105" s="43">
        <v>1</v>
      </c>
      <c r="H105" s="394"/>
      <c r="I105" s="477">
        <f t="shared" si="3"/>
        <v>0</v>
      </c>
    </row>
    <row r="106" spans="1:9" x14ac:dyDescent="0.35">
      <c r="A106" s="568" t="s">
        <v>97</v>
      </c>
      <c r="B106" s="6" t="s">
        <v>457</v>
      </c>
      <c r="C106" s="315"/>
      <c r="D106" s="6"/>
      <c r="E106" s="6">
        <v>55719</v>
      </c>
      <c r="F106" s="355"/>
      <c r="G106" s="43">
        <v>1</v>
      </c>
      <c r="H106" s="394"/>
      <c r="I106" s="477">
        <f t="shared" si="3"/>
        <v>0</v>
      </c>
    </row>
    <row r="107" spans="1:9" x14ac:dyDescent="0.35">
      <c r="A107" s="568" t="s">
        <v>987</v>
      </c>
      <c r="B107" s="6" t="s">
        <v>237</v>
      </c>
      <c r="C107" s="315"/>
      <c r="D107" s="6"/>
      <c r="E107" s="6">
        <v>55719</v>
      </c>
      <c r="F107" s="355"/>
      <c r="G107" s="43">
        <v>1</v>
      </c>
      <c r="H107" s="394"/>
      <c r="I107" s="477">
        <f t="shared" si="3"/>
        <v>0</v>
      </c>
    </row>
    <row r="108" spans="1:9" x14ac:dyDescent="0.35">
      <c r="A108" s="568" t="s">
        <v>57</v>
      </c>
      <c r="B108" s="6" t="s">
        <v>58</v>
      </c>
      <c r="C108" s="315"/>
      <c r="D108" s="6"/>
      <c r="E108" s="6">
        <v>55719</v>
      </c>
      <c r="F108" s="355"/>
      <c r="G108" s="43">
        <v>1</v>
      </c>
      <c r="H108" s="394"/>
      <c r="I108" s="477">
        <f t="shared" si="3"/>
        <v>0</v>
      </c>
    </row>
    <row r="109" spans="1:9" x14ac:dyDescent="0.35">
      <c r="A109" s="568" t="s">
        <v>132</v>
      </c>
      <c r="B109" s="6" t="s">
        <v>133</v>
      </c>
      <c r="C109" s="315"/>
      <c r="D109" s="6"/>
      <c r="E109" s="6">
        <v>55719</v>
      </c>
      <c r="F109" s="355"/>
      <c r="G109" s="43">
        <v>1</v>
      </c>
      <c r="H109" s="394"/>
      <c r="I109" s="477">
        <f t="shared" si="3"/>
        <v>0</v>
      </c>
    </row>
    <row r="110" spans="1:9" x14ac:dyDescent="0.35">
      <c r="A110" s="568" t="s">
        <v>122</v>
      </c>
      <c r="B110" s="6" t="s">
        <v>123</v>
      </c>
      <c r="C110" s="315"/>
      <c r="D110" s="6"/>
      <c r="E110" s="6">
        <v>55719</v>
      </c>
      <c r="F110" s="355"/>
      <c r="G110" s="43">
        <v>1</v>
      </c>
      <c r="H110" s="394"/>
      <c r="I110" s="477">
        <f t="shared" si="3"/>
        <v>0</v>
      </c>
    </row>
    <row r="111" spans="1:9" x14ac:dyDescent="0.35">
      <c r="A111" s="568" t="s">
        <v>128</v>
      </c>
      <c r="B111" s="6" t="s">
        <v>129</v>
      </c>
      <c r="C111" s="315"/>
      <c r="D111" s="6"/>
      <c r="E111" s="6">
        <v>55719</v>
      </c>
      <c r="F111" s="355"/>
      <c r="G111" s="43">
        <v>1</v>
      </c>
      <c r="H111" s="394"/>
      <c r="I111" s="477">
        <f t="shared" si="3"/>
        <v>0</v>
      </c>
    </row>
    <row r="112" spans="1:9" x14ac:dyDescent="0.35">
      <c r="A112" s="568" t="s">
        <v>130</v>
      </c>
      <c r="B112" s="6" t="s">
        <v>131</v>
      </c>
      <c r="C112" s="315"/>
      <c r="D112" s="6"/>
      <c r="E112" s="6">
        <v>55719</v>
      </c>
      <c r="F112" s="355"/>
      <c r="G112" s="43">
        <v>1</v>
      </c>
      <c r="H112" s="394"/>
      <c r="I112" s="477">
        <f t="shared" si="3"/>
        <v>0</v>
      </c>
    </row>
    <row r="113" spans="1:9" s="1" customFormat="1" x14ac:dyDescent="0.35">
      <c r="A113" s="568" t="s">
        <v>120</v>
      </c>
      <c r="B113" s="6" t="s">
        <v>121</v>
      </c>
      <c r="C113" s="315"/>
      <c r="D113" s="6"/>
      <c r="E113" s="6">
        <v>55719</v>
      </c>
      <c r="F113" s="355"/>
      <c r="G113" s="43">
        <v>1</v>
      </c>
      <c r="H113" s="394"/>
      <c r="I113" s="477">
        <f t="shared" si="3"/>
        <v>0</v>
      </c>
    </row>
    <row r="114" spans="1:9" x14ac:dyDescent="0.35">
      <c r="A114" s="568" t="s">
        <v>126</v>
      </c>
      <c r="B114" s="6" t="s">
        <v>127</v>
      </c>
      <c r="C114" s="315"/>
      <c r="D114" s="6"/>
      <c r="E114" s="6">
        <v>55719</v>
      </c>
      <c r="F114" s="355"/>
      <c r="G114" s="43">
        <v>1</v>
      </c>
      <c r="H114" s="394"/>
      <c r="I114" s="477">
        <f t="shared" si="3"/>
        <v>0</v>
      </c>
    </row>
    <row r="115" spans="1:9" x14ac:dyDescent="0.35">
      <c r="A115" s="568" t="s">
        <v>124</v>
      </c>
      <c r="B115" s="6" t="s">
        <v>125</v>
      </c>
      <c r="C115" s="315"/>
      <c r="D115" s="6"/>
      <c r="E115" s="6">
        <v>55719</v>
      </c>
      <c r="F115" s="355"/>
      <c r="G115" s="43">
        <v>1</v>
      </c>
      <c r="H115" s="394"/>
      <c r="I115" s="477">
        <f t="shared" si="3"/>
        <v>0</v>
      </c>
    </row>
    <row r="116" spans="1:9" x14ac:dyDescent="0.35">
      <c r="A116" s="568" t="s">
        <v>1662</v>
      </c>
      <c r="B116" s="6" t="s">
        <v>1652</v>
      </c>
      <c r="C116" s="315"/>
      <c r="D116" s="6"/>
      <c r="E116" s="6">
        <v>55719</v>
      </c>
      <c r="F116" s="355"/>
      <c r="G116" s="43">
        <v>1</v>
      </c>
      <c r="H116" s="394"/>
      <c r="I116" s="477">
        <f t="shared" si="3"/>
        <v>0</v>
      </c>
    </row>
    <row r="117" spans="1:9" x14ac:dyDescent="0.35">
      <c r="A117" s="568" t="s">
        <v>1006</v>
      </c>
      <c r="B117" s="6" t="s">
        <v>111</v>
      </c>
      <c r="C117" s="315"/>
      <c r="D117" s="6"/>
      <c r="E117" s="6">
        <v>55719</v>
      </c>
      <c r="F117" s="355"/>
      <c r="G117" s="43">
        <v>1</v>
      </c>
      <c r="H117" s="394"/>
      <c r="I117" s="477">
        <f t="shared" si="3"/>
        <v>0</v>
      </c>
    </row>
    <row r="118" spans="1:9" x14ac:dyDescent="0.35">
      <c r="A118" s="568" t="s">
        <v>19</v>
      </c>
      <c r="B118" s="6" t="s">
        <v>242</v>
      </c>
      <c r="C118" s="315"/>
      <c r="D118" s="6"/>
      <c r="E118" s="6">
        <v>55719</v>
      </c>
      <c r="F118" s="355"/>
      <c r="G118" s="43">
        <v>1</v>
      </c>
      <c r="H118" s="394"/>
      <c r="I118" s="477">
        <f t="shared" si="3"/>
        <v>0</v>
      </c>
    </row>
    <row r="119" spans="1:9" x14ac:dyDescent="0.35">
      <c r="A119" s="568" t="s">
        <v>13</v>
      </c>
      <c r="B119" s="6" t="s">
        <v>420</v>
      </c>
      <c r="C119" s="315"/>
      <c r="D119" s="6"/>
      <c r="E119" s="6">
        <v>55719</v>
      </c>
      <c r="F119" s="355"/>
      <c r="G119" s="43">
        <v>1</v>
      </c>
      <c r="H119" s="394"/>
      <c r="I119" s="477">
        <f t="shared" si="3"/>
        <v>0</v>
      </c>
    </row>
    <row r="120" spans="1:9" x14ac:dyDescent="0.35">
      <c r="A120" s="106"/>
      <c r="B120" s="76"/>
      <c r="C120" s="76"/>
      <c r="D120" s="76"/>
      <c r="E120" s="76"/>
      <c r="F120" s="76"/>
      <c r="G120" s="106"/>
      <c r="H120" s="386"/>
      <c r="I120" s="478">
        <f>SUM(I2:I119)</f>
        <v>0</v>
      </c>
    </row>
    <row r="121" spans="1:9" x14ac:dyDescent="0.35">
      <c r="A121" s="106"/>
      <c r="B121" s="76"/>
      <c r="C121" s="76"/>
      <c r="D121" s="76"/>
      <c r="E121" s="76"/>
      <c r="F121" s="76"/>
      <c r="G121" s="106"/>
      <c r="H121" s="386"/>
    </row>
    <row r="123" spans="1:9" s="4" customFormat="1" ht="17.5" x14ac:dyDescent="0.35">
      <c r="A123" s="309" t="s">
        <v>1514</v>
      </c>
      <c r="B123" s="312"/>
      <c r="C123" s="249"/>
      <c r="D123" s="16"/>
      <c r="E123" s="16"/>
      <c r="F123" s="192"/>
      <c r="G123" s="16"/>
      <c r="H123" s="396"/>
      <c r="I123" s="406"/>
    </row>
    <row r="124" spans="1:9" s="4" customFormat="1" ht="17.5" x14ac:dyDescent="0.35">
      <c r="A124" s="309" t="s">
        <v>2379</v>
      </c>
      <c r="B124" s="312"/>
      <c r="C124" s="249"/>
      <c r="D124" s="3"/>
      <c r="E124" s="3"/>
      <c r="F124" s="249"/>
      <c r="G124" s="3"/>
      <c r="H124" s="396"/>
      <c r="I124" s="406"/>
    </row>
    <row r="125" spans="1:9" ht="17.5" x14ac:dyDescent="0.35">
      <c r="A125" s="367" t="s">
        <v>2671</v>
      </c>
      <c r="B125" s="6"/>
    </row>
    <row r="126" spans="1:9" ht="17.5" x14ac:dyDescent="0.35">
      <c r="A126" s="334" t="s">
        <v>2694</v>
      </c>
      <c r="B126" s="456">
        <f>+I120</f>
        <v>0</v>
      </c>
    </row>
  </sheetData>
  <sortState xmlns:xlrd2="http://schemas.microsoft.com/office/spreadsheetml/2017/richdata2" ref="A2:H124">
    <sortCondition ref="B2:B124"/>
  </sortState>
  <pageMargins left="0.7" right="0.7" top="0.75" bottom="0.75" header="0.3" footer="0.3"/>
  <pageSetup scale="75" orientation="landscape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98"/>
  <sheetViews>
    <sheetView workbookViewId="0">
      <pane ySplit="1" topLeftCell="A72" activePane="bottomLeft" state="frozen"/>
      <selection activeCell="C26" sqref="C26"/>
      <selection pane="bottomLeft" activeCell="A94" sqref="A94:XFD114"/>
    </sheetView>
  </sheetViews>
  <sheetFormatPr defaultColWidth="9.08984375" defaultRowHeight="15.5" x14ac:dyDescent="0.35"/>
  <cols>
    <col min="1" max="1" width="69.36328125" style="1" bestFit="1" customWidth="1"/>
    <col min="2" max="2" width="16.08984375" style="2" bestFit="1" customWidth="1"/>
    <col min="3" max="3" width="21.1796875" style="263" customWidth="1"/>
    <col min="4" max="4" width="21.81640625" style="2" customWidth="1"/>
    <col min="5" max="5" width="14.36328125" style="2" customWidth="1"/>
    <col min="6" max="6" width="16.453125" style="263" customWidth="1"/>
    <col min="7" max="7" width="11.90625" style="78" customWidth="1"/>
    <col min="8" max="8" width="13.08984375" style="480" customWidth="1"/>
    <col min="9" max="9" width="18.6328125" style="480" customWidth="1"/>
    <col min="10" max="16384" width="9.08984375" style="1"/>
  </cols>
  <sheetData>
    <row r="1" spans="1:9" x14ac:dyDescent="0.35">
      <c r="A1" s="260" t="s">
        <v>0</v>
      </c>
      <c r="B1" s="261" t="s">
        <v>1</v>
      </c>
      <c r="C1" s="610" t="s">
        <v>2700</v>
      </c>
      <c r="D1" s="261" t="s">
        <v>1598</v>
      </c>
      <c r="E1" s="261" t="s">
        <v>1599</v>
      </c>
      <c r="F1" s="610" t="s">
        <v>2699</v>
      </c>
      <c r="G1" s="262" t="s">
        <v>364</v>
      </c>
      <c r="H1" s="611" t="s">
        <v>2695</v>
      </c>
      <c r="I1" s="612" t="s">
        <v>2696</v>
      </c>
    </row>
    <row r="2" spans="1:9" x14ac:dyDescent="0.35">
      <c r="A2" s="258" t="s">
        <v>2588</v>
      </c>
      <c r="B2" s="31" t="s">
        <v>273</v>
      </c>
      <c r="C2" s="315"/>
      <c r="D2" s="62"/>
      <c r="E2" s="62">
        <v>55719</v>
      </c>
      <c r="F2" s="466"/>
      <c r="G2" s="26">
        <v>1</v>
      </c>
      <c r="H2" s="410"/>
      <c r="I2" s="609">
        <f t="shared" ref="I2:I33" si="0">+G2*H2</f>
        <v>0</v>
      </c>
    </row>
    <row r="3" spans="1:9" x14ac:dyDescent="0.35">
      <c r="A3" s="258" t="s">
        <v>1009</v>
      </c>
      <c r="B3" s="31" t="s">
        <v>320</v>
      </c>
      <c r="C3" s="315"/>
      <c r="D3" s="62"/>
      <c r="E3" s="62">
        <v>55719</v>
      </c>
      <c r="F3" s="466"/>
      <c r="G3" s="26">
        <v>1</v>
      </c>
      <c r="H3" s="410"/>
      <c r="I3" s="609">
        <f t="shared" si="0"/>
        <v>0</v>
      </c>
    </row>
    <row r="4" spans="1:9" x14ac:dyDescent="0.35">
      <c r="A4" s="258" t="s">
        <v>921</v>
      </c>
      <c r="B4" s="31" t="s">
        <v>450</v>
      </c>
      <c r="C4" s="315"/>
      <c r="D4" s="62"/>
      <c r="E4" s="62">
        <v>55719</v>
      </c>
      <c r="F4" s="466"/>
      <c r="G4" s="26">
        <v>1</v>
      </c>
      <c r="H4" s="410"/>
      <c r="I4" s="609">
        <f t="shared" si="0"/>
        <v>0</v>
      </c>
    </row>
    <row r="5" spans="1:9" x14ac:dyDescent="0.35">
      <c r="A5" s="258" t="s">
        <v>885</v>
      </c>
      <c r="B5" s="31" t="s">
        <v>229</v>
      </c>
      <c r="C5" s="315"/>
      <c r="D5" s="62"/>
      <c r="E5" s="62">
        <v>55719</v>
      </c>
      <c r="F5" s="466"/>
      <c r="G5" s="26">
        <v>1</v>
      </c>
      <c r="H5" s="410"/>
      <c r="I5" s="609">
        <f t="shared" si="0"/>
        <v>0</v>
      </c>
    </row>
    <row r="6" spans="1:9" x14ac:dyDescent="0.35">
      <c r="A6" s="258" t="s">
        <v>1227</v>
      </c>
      <c r="B6" s="31" t="s">
        <v>187</v>
      </c>
      <c r="C6" s="315"/>
      <c r="D6" s="62"/>
      <c r="E6" s="62">
        <v>55719</v>
      </c>
      <c r="F6" s="466"/>
      <c r="G6" s="26">
        <v>1</v>
      </c>
      <c r="H6" s="410"/>
      <c r="I6" s="609">
        <f t="shared" si="0"/>
        <v>0</v>
      </c>
    </row>
    <row r="7" spans="1:9" x14ac:dyDescent="0.35">
      <c r="A7" s="258" t="s">
        <v>1036</v>
      </c>
      <c r="B7" s="31" t="s">
        <v>423</v>
      </c>
      <c r="C7" s="315"/>
      <c r="D7" s="62"/>
      <c r="E7" s="62">
        <v>55719</v>
      </c>
      <c r="F7" s="466"/>
      <c r="G7" s="26">
        <v>2</v>
      </c>
      <c r="H7" s="410"/>
      <c r="I7" s="609">
        <f t="shared" si="0"/>
        <v>0</v>
      </c>
    </row>
    <row r="8" spans="1:9" x14ac:dyDescent="0.35">
      <c r="A8" s="258" t="s">
        <v>957</v>
      </c>
      <c r="B8" s="31" t="s">
        <v>103</v>
      </c>
      <c r="C8" s="315"/>
      <c r="D8" s="62"/>
      <c r="E8" s="62">
        <v>55719</v>
      </c>
      <c r="F8" s="466"/>
      <c r="G8" s="26">
        <v>1</v>
      </c>
      <c r="H8" s="410"/>
      <c r="I8" s="609">
        <f t="shared" si="0"/>
        <v>0</v>
      </c>
    </row>
    <row r="9" spans="1:9" x14ac:dyDescent="0.35">
      <c r="A9" s="258" t="s">
        <v>2477</v>
      </c>
      <c r="B9" s="31" t="s">
        <v>744</v>
      </c>
      <c r="C9" s="315"/>
      <c r="D9" s="62"/>
      <c r="E9" s="62">
        <v>55719</v>
      </c>
      <c r="F9" s="466"/>
      <c r="G9" s="26">
        <v>2</v>
      </c>
      <c r="H9" s="410"/>
      <c r="I9" s="609">
        <f t="shared" si="0"/>
        <v>0</v>
      </c>
    </row>
    <row r="10" spans="1:9" x14ac:dyDescent="0.35">
      <c r="A10" s="258" t="s">
        <v>24</v>
      </c>
      <c r="B10" s="31" t="s">
        <v>255</v>
      </c>
      <c r="C10" s="315"/>
      <c r="D10" s="62"/>
      <c r="E10" s="62">
        <v>55719</v>
      </c>
      <c r="F10" s="466"/>
      <c r="G10" s="26">
        <v>1</v>
      </c>
      <c r="H10" s="410"/>
      <c r="I10" s="609">
        <f t="shared" si="0"/>
        <v>0</v>
      </c>
    </row>
    <row r="11" spans="1:9" x14ac:dyDescent="0.35">
      <c r="A11" s="258" t="s">
        <v>23</v>
      </c>
      <c r="B11" s="31" t="s">
        <v>252</v>
      </c>
      <c r="C11" s="315"/>
      <c r="D11" s="62"/>
      <c r="E11" s="62">
        <v>55719</v>
      </c>
      <c r="F11" s="466"/>
      <c r="G11" s="26">
        <v>1</v>
      </c>
      <c r="H11" s="410"/>
      <c r="I11" s="609">
        <f t="shared" si="0"/>
        <v>0</v>
      </c>
    </row>
    <row r="12" spans="1:9" x14ac:dyDescent="0.35">
      <c r="A12" s="258" t="s">
        <v>1099</v>
      </c>
      <c r="B12" s="31" t="s">
        <v>426</v>
      </c>
      <c r="C12" s="315"/>
      <c r="D12" s="62"/>
      <c r="E12" s="62">
        <v>55719</v>
      </c>
      <c r="F12" s="466"/>
      <c r="G12" s="26">
        <v>1</v>
      </c>
      <c r="H12" s="410"/>
      <c r="I12" s="609">
        <f t="shared" si="0"/>
        <v>0</v>
      </c>
    </row>
    <row r="13" spans="1:9" x14ac:dyDescent="0.35">
      <c r="A13" s="258" t="s">
        <v>1075</v>
      </c>
      <c r="B13" s="31" t="s">
        <v>411</v>
      </c>
      <c r="C13" s="315"/>
      <c r="D13" s="62"/>
      <c r="E13" s="62">
        <v>55719</v>
      </c>
      <c r="F13" s="466"/>
      <c r="G13" s="26">
        <v>1</v>
      </c>
      <c r="H13" s="410"/>
      <c r="I13" s="609">
        <f t="shared" si="0"/>
        <v>0</v>
      </c>
    </row>
    <row r="14" spans="1:9" x14ac:dyDescent="0.35">
      <c r="A14" s="258" t="s">
        <v>1070</v>
      </c>
      <c r="B14" s="31" t="s">
        <v>582</v>
      </c>
      <c r="C14" s="315"/>
      <c r="D14" s="62"/>
      <c r="E14" s="62">
        <v>55719</v>
      </c>
      <c r="F14" s="466"/>
      <c r="G14" s="26">
        <v>1</v>
      </c>
      <c r="H14" s="410"/>
      <c r="I14" s="609">
        <f t="shared" si="0"/>
        <v>0</v>
      </c>
    </row>
    <row r="15" spans="1:9" x14ac:dyDescent="0.35">
      <c r="A15" s="258" t="s">
        <v>1078</v>
      </c>
      <c r="B15" s="31" t="s">
        <v>270</v>
      </c>
      <c r="C15" s="315"/>
      <c r="D15" s="62"/>
      <c r="E15" s="62">
        <v>55719</v>
      </c>
      <c r="F15" s="466"/>
      <c r="G15" s="26">
        <v>1</v>
      </c>
      <c r="H15" s="410"/>
      <c r="I15" s="609">
        <f t="shared" si="0"/>
        <v>0</v>
      </c>
    </row>
    <row r="16" spans="1:9" x14ac:dyDescent="0.35">
      <c r="A16" s="258" t="s">
        <v>1072</v>
      </c>
      <c r="B16" s="31" t="s">
        <v>395</v>
      </c>
      <c r="C16" s="315"/>
      <c r="D16" s="62"/>
      <c r="E16" s="62">
        <v>55719</v>
      </c>
      <c r="F16" s="466"/>
      <c r="G16" s="26">
        <v>1</v>
      </c>
      <c r="H16" s="410"/>
      <c r="I16" s="609">
        <f t="shared" si="0"/>
        <v>0</v>
      </c>
    </row>
    <row r="17" spans="1:9" x14ac:dyDescent="0.35">
      <c r="A17" s="258" t="s">
        <v>1042</v>
      </c>
      <c r="B17" s="31" t="s">
        <v>344</v>
      </c>
      <c r="C17" s="315"/>
      <c r="D17" s="62"/>
      <c r="E17" s="62">
        <v>55719</v>
      </c>
      <c r="F17" s="466"/>
      <c r="G17" s="26">
        <v>1</v>
      </c>
      <c r="H17" s="410"/>
      <c r="I17" s="609">
        <f t="shared" si="0"/>
        <v>0</v>
      </c>
    </row>
    <row r="18" spans="1:9" x14ac:dyDescent="0.35">
      <c r="A18" s="258" t="s">
        <v>992</v>
      </c>
      <c r="B18" s="31" t="s">
        <v>584</v>
      </c>
      <c r="C18" s="315"/>
      <c r="D18" s="62"/>
      <c r="E18" s="62">
        <v>55719</v>
      </c>
      <c r="F18" s="466"/>
      <c r="G18" s="26">
        <v>1</v>
      </c>
      <c r="H18" s="410"/>
      <c r="I18" s="609">
        <f t="shared" si="0"/>
        <v>0</v>
      </c>
    </row>
    <row r="19" spans="1:9" x14ac:dyDescent="0.35">
      <c r="A19" s="258" t="s">
        <v>1245</v>
      </c>
      <c r="B19" s="31" t="s">
        <v>481</v>
      </c>
      <c r="C19" s="315"/>
      <c r="D19" s="62"/>
      <c r="E19" s="62">
        <v>55719</v>
      </c>
      <c r="F19" s="466"/>
      <c r="G19" s="26">
        <v>1</v>
      </c>
      <c r="H19" s="410"/>
      <c r="I19" s="609">
        <f t="shared" si="0"/>
        <v>0</v>
      </c>
    </row>
    <row r="20" spans="1:9" x14ac:dyDescent="0.35">
      <c r="A20" s="258" t="s">
        <v>1067</v>
      </c>
      <c r="B20" s="31" t="s">
        <v>260</v>
      </c>
      <c r="C20" s="315"/>
      <c r="D20" s="62"/>
      <c r="E20" s="62">
        <v>55719</v>
      </c>
      <c r="F20" s="466"/>
      <c r="G20" s="26">
        <v>1</v>
      </c>
      <c r="H20" s="410"/>
      <c r="I20" s="609">
        <f t="shared" si="0"/>
        <v>0</v>
      </c>
    </row>
    <row r="21" spans="1:9" x14ac:dyDescent="0.35">
      <c r="A21" s="258" t="s">
        <v>101</v>
      </c>
      <c r="B21" s="31" t="s">
        <v>1670</v>
      </c>
      <c r="C21" s="315"/>
      <c r="D21" s="62"/>
      <c r="E21" s="62">
        <v>55719</v>
      </c>
      <c r="F21" s="466"/>
      <c r="G21" s="26">
        <v>2</v>
      </c>
      <c r="H21" s="410"/>
      <c r="I21" s="609">
        <f t="shared" si="0"/>
        <v>0</v>
      </c>
    </row>
    <row r="22" spans="1:9" x14ac:dyDescent="0.35">
      <c r="A22" s="258" t="s">
        <v>984</v>
      </c>
      <c r="B22" s="31" t="s">
        <v>1669</v>
      </c>
      <c r="C22" s="315"/>
      <c r="D22" s="62"/>
      <c r="E22" s="62">
        <v>55719</v>
      </c>
      <c r="F22" s="466"/>
      <c r="G22" s="26">
        <v>1</v>
      </c>
      <c r="H22" s="410"/>
      <c r="I22" s="609">
        <f t="shared" si="0"/>
        <v>0</v>
      </c>
    </row>
    <row r="23" spans="1:9" x14ac:dyDescent="0.35">
      <c r="A23" s="258" t="s">
        <v>1251</v>
      </c>
      <c r="B23" s="31" t="s">
        <v>745</v>
      </c>
      <c r="C23" s="315"/>
      <c r="D23" s="62"/>
      <c r="E23" s="62">
        <v>55719</v>
      </c>
      <c r="F23" s="466"/>
      <c r="G23" s="26">
        <v>1</v>
      </c>
      <c r="H23" s="410"/>
      <c r="I23" s="609">
        <f t="shared" si="0"/>
        <v>0</v>
      </c>
    </row>
    <row r="24" spans="1:9" x14ac:dyDescent="0.35">
      <c r="A24" s="258" t="s">
        <v>1283</v>
      </c>
      <c r="B24" s="31" t="s">
        <v>495</v>
      </c>
      <c r="C24" s="315"/>
      <c r="D24" s="62"/>
      <c r="E24" s="62">
        <v>55719</v>
      </c>
      <c r="F24" s="466"/>
      <c r="G24" s="26">
        <v>1</v>
      </c>
      <c r="H24" s="410"/>
      <c r="I24" s="609">
        <f t="shared" si="0"/>
        <v>0</v>
      </c>
    </row>
    <row r="25" spans="1:9" x14ac:dyDescent="0.35">
      <c r="A25" s="258" t="s">
        <v>930</v>
      </c>
      <c r="B25" s="31" t="s">
        <v>88</v>
      </c>
      <c r="C25" s="315"/>
      <c r="D25" s="62"/>
      <c r="E25" s="62">
        <v>55719</v>
      </c>
      <c r="F25" s="466"/>
      <c r="G25" s="26">
        <v>2</v>
      </c>
      <c r="H25" s="410"/>
      <c r="I25" s="609">
        <f t="shared" si="0"/>
        <v>0</v>
      </c>
    </row>
    <row r="26" spans="1:9" x14ac:dyDescent="0.35">
      <c r="A26" s="258" t="s">
        <v>1162</v>
      </c>
      <c r="B26" s="31" t="s">
        <v>84</v>
      </c>
      <c r="C26" s="315"/>
      <c r="D26" s="62"/>
      <c r="E26" s="62">
        <v>55719</v>
      </c>
      <c r="F26" s="466"/>
      <c r="G26" s="26">
        <v>1</v>
      </c>
      <c r="H26" s="410"/>
      <c r="I26" s="609">
        <f t="shared" si="0"/>
        <v>0</v>
      </c>
    </row>
    <row r="27" spans="1:9" x14ac:dyDescent="0.35">
      <c r="A27" s="258" t="s">
        <v>1061</v>
      </c>
      <c r="B27" s="31" t="s">
        <v>73</v>
      </c>
      <c r="C27" s="315"/>
      <c r="D27" s="62"/>
      <c r="E27" s="62">
        <v>55719</v>
      </c>
      <c r="F27" s="466"/>
      <c r="G27" s="26">
        <v>1</v>
      </c>
      <c r="H27" s="410"/>
      <c r="I27" s="609">
        <f t="shared" si="0"/>
        <v>0</v>
      </c>
    </row>
    <row r="28" spans="1:9" x14ac:dyDescent="0.35">
      <c r="A28" s="258" t="s">
        <v>1060</v>
      </c>
      <c r="B28" s="31" t="s">
        <v>74</v>
      </c>
      <c r="C28" s="315"/>
      <c r="D28" s="62"/>
      <c r="E28" s="62">
        <v>55719</v>
      </c>
      <c r="F28" s="466"/>
      <c r="G28" s="26">
        <v>1</v>
      </c>
      <c r="H28" s="410"/>
      <c r="I28" s="609">
        <f t="shared" si="0"/>
        <v>0</v>
      </c>
    </row>
    <row r="29" spans="1:9" x14ac:dyDescent="0.35">
      <c r="A29" s="258" t="s">
        <v>1062</v>
      </c>
      <c r="B29" s="31" t="s">
        <v>261</v>
      </c>
      <c r="C29" s="315"/>
      <c r="D29" s="62"/>
      <c r="E29" s="62">
        <v>55719</v>
      </c>
      <c r="F29" s="466"/>
      <c r="G29" s="26">
        <v>1</v>
      </c>
      <c r="H29" s="410"/>
      <c r="I29" s="609">
        <f t="shared" si="0"/>
        <v>0</v>
      </c>
    </row>
    <row r="30" spans="1:9" x14ac:dyDescent="0.35">
      <c r="A30" s="258" t="s">
        <v>1057</v>
      </c>
      <c r="B30" s="31" t="s">
        <v>72</v>
      </c>
      <c r="C30" s="315"/>
      <c r="D30" s="62"/>
      <c r="E30" s="62">
        <v>55719</v>
      </c>
      <c r="F30" s="466"/>
      <c r="G30" s="26">
        <v>1</v>
      </c>
      <c r="H30" s="410"/>
      <c r="I30" s="609">
        <f t="shared" si="0"/>
        <v>0</v>
      </c>
    </row>
    <row r="31" spans="1:9" x14ac:dyDescent="0.35">
      <c r="A31" s="258" t="s">
        <v>14</v>
      </c>
      <c r="B31" s="31" t="s">
        <v>334</v>
      </c>
      <c r="C31" s="315"/>
      <c r="D31" s="62"/>
      <c r="E31" s="62">
        <v>55719</v>
      </c>
      <c r="F31" s="466"/>
      <c r="G31" s="26">
        <v>1</v>
      </c>
      <c r="H31" s="410"/>
      <c r="I31" s="609">
        <f t="shared" si="0"/>
        <v>0</v>
      </c>
    </row>
    <row r="32" spans="1:9" x14ac:dyDescent="0.35">
      <c r="A32" s="258" t="s">
        <v>347</v>
      </c>
      <c r="B32" s="31" t="s">
        <v>349</v>
      </c>
      <c r="C32" s="315"/>
      <c r="D32" s="62"/>
      <c r="E32" s="62">
        <v>55719</v>
      </c>
      <c r="F32" s="466"/>
      <c r="G32" s="26">
        <v>1</v>
      </c>
      <c r="H32" s="410"/>
      <c r="I32" s="609">
        <f t="shared" si="0"/>
        <v>0</v>
      </c>
    </row>
    <row r="33" spans="1:9" x14ac:dyDescent="0.35">
      <c r="A33" s="258" t="s">
        <v>346</v>
      </c>
      <c r="B33" s="31" t="s">
        <v>350</v>
      </c>
      <c r="C33" s="315"/>
      <c r="D33" s="62"/>
      <c r="E33" s="62">
        <v>55719</v>
      </c>
      <c r="F33" s="466"/>
      <c r="G33" s="26">
        <v>1</v>
      </c>
      <c r="H33" s="410"/>
      <c r="I33" s="609">
        <f t="shared" si="0"/>
        <v>0</v>
      </c>
    </row>
    <row r="34" spans="1:9" x14ac:dyDescent="0.35">
      <c r="A34" s="258" t="s">
        <v>348</v>
      </c>
      <c r="B34" s="31" t="s">
        <v>351</v>
      </c>
      <c r="C34" s="315"/>
      <c r="D34" s="62"/>
      <c r="E34" s="62">
        <v>55719</v>
      </c>
      <c r="F34" s="466"/>
      <c r="G34" s="26">
        <v>1</v>
      </c>
      <c r="H34" s="410"/>
      <c r="I34" s="609">
        <f t="shared" ref="I34:I65" si="1">+G34*H34</f>
        <v>0</v>
      </c>
    </row>
    <row r="35" spans="1:9" x14ac:dyDescent="0.35">
      <c r="A35" s="258" t="s">
        <v>345</v>
      </c>
      <c r="B35" s="31" t="s">
        <v>585</v>
      </c>
      <c r="C35" s="315"/>
      <c r="D35" s="62"/>
      <c r="E35" s="62">
        <v>55719</v>
      </c>
      <c r="F35" s="466"/>
      <c r="G35" s="26">
        <v>1</v>
      </c>
      <c r="H35" s="410"/>
      <c r="I35" s="609">
        <f t="shared" si="1"/>
        <v>0</v>
      </c>
    </row>
    <row r="36" spans="1:9" x14ac:dyDescent="0.35">
      <c r="A36" s="258" t="s">
        <v>36</v>
      </c>
      <c r="B36" s="31" t="s">
        <v>37</v>
      </c>
      <c r="C36" s="315"/>
      <c r="D36" s="62"/>
      <c r="E36" s="62">
        <v>55719</v>
      </c>
      <c r="F36" s="466"/>
      <c r="G36" s="26">
        <v>1</v>
      </c>
      <c r="H36" s="410"/>
      <c r="I36" s="609">
        <f t="shared" si="1"/>
        <v>0</v>
      </c>
    </row>
    <row r="37" spans="1:9" x14ac:dyDescent="0.35">
      <c r="A37" s="258" t="s">
        <v>177</v>
      </c>
      <c r="B37" s="31" t="s">
        <v>178</v>
      </c>
      <c r="C37" s="315"/>
      <c r="D37" s="62"/>
      <c r="E37" s="62">
        <v>55719</v>
      </c>
      <c r="F37" s="466"/>
      <c r="G37" s="26">
        <v>1</v>
      </c>
      <c r="H37" s="410"/>
      <c r="I37" s="609">
        <f t="shared" si="1"/>
        <v>0</v>
      </c>
    </row>
    <row r="38" spans="1:9" x14ac:dyDescent="0.35">
      <c r="A38" s="258" t="s">
        <v>105</v>
      </c>
      <c r="B38" s="31" t="s">
        <v>106</v>
      </c>
      <c r="C38" s="315"/>
      <c r="D38" s="62"/>
      <c r="E38" s="62">
        <v>55719</v>
      </c>
      <c r="F38" s="466"/>
      <c r="G38" s="26">
        <v>2</v>
      </c>
      <c r="H38" s="410"/>
      <c r="I38" s="609">
        <f t="shared" si="1"/>
        <v>0</v>
      </c>
    </row>
    <row r="39" spans="1:9" x14ac:dyDescent="0.35">
      <c r="A39" s="258" t="s">
        <v>881</v>
      </c>
      <c r="B39" s="31" t="s">
        <v>417</v>
      </c>
      <c r="C39" s="315"/>
      <c r="D39" s="62"/>
      <c r="E39" s="62">
        <v>55719</v>
      </c>
      <c r="F39" s="466"/>
      <c r="G39" s="26">
        <v>1</v>
      </c>
      <c r="H39" s="410"/>
      <c r="I39" s="609">
        <f t="shared" si="1"/>
        <v>0</v>
      </c>
    </row>
    <row r="40" spans="1:9" x14ac:dyDescent="0.35">
      <c r="A40" s="258" t="s">
        <v>10</v>
      </c>
      <c r="B40" s="31" t="s">
        <v>418</v>
      </c>
      <c r="C40" s="315"/>
      <c r="D40" s="62"/>
      <c r="E40" s="62">
        <v>55719</v>
      </c>
      <c r="F40" s="466"/>
      <c r="G40" s="26">
        <v>1</v>
      </c>
      <c r="H40" s="410"/>
      <c r="I40" s="609">
        <f t="shared" si="1"/>
        <v>0</v>
      </c>
    </row>
    <row r="41" spans="1:9" x14ac:dyDescent="0.35">
      <c r="A41" s="258" t="s">
        <v>97</v>
      </c>
      <c r="B41" s="31" t="s">
        <v>457</v>
      </c>
      <c r="C41" s="315"/>
      <c r="D41" s="62"/>
      <c r="E41" s="62">
        <v>55719</v>
      </c>
      <c r="F41" s="466"/>
      <c r="G41" s="26">
        <v>1</v>
      </c>
      <c r="H41" s="410"/>
      <c r="I41" s="609">
        <f t="shared" si="1"/>
        <v>0</v>
      </c>
    </row>
    <row r="42" spans="1:9" x14ac:dyDescent="0.35">
      <c r="A42" s="258" t="s">
        <v>179</v>
      </c>
      <c r="B42" s="31" t="s">
        <v>180</v>
      </c>
      <c r="C42" s="315"/>
      <c r="D42" s="62"/>
      <c r="E42" s="62">
        <v>55719</v>
      </c>
      <c r="F42" s="466"/>
      <c r="G42" s="26">
        <v>1</v>
      </c>
      <c r="H42" s="410"/>
      <c r="I42" s="609">
        <f t="shared" si="1"/>
        <v>0</v>
      </c>
    </row>
    <row r="43" spans="1:9" x14ac:dyDescent="0.35">
      <c r="A43" s="258" t="s">
        <v>1266</v>
      </c>
      <c r="B43" s="31" t="s">
        <v>186</v>
      </c>
      <c r="C43" s="315"/>
      <c r="D43" s="62"/>
      <c r="E43" s="62">
        <v>55719</v>
      </c>
      <c r="F43" s="466"/>
      <c r="G43" s="26">
        <v>1</v>
      </c>
      <c r="H43" s="410"/>
      <c r="I43" s="609">
        <f t="shared" si="1"/>
        <v>0</v>
      </c>
    </row>
    <row r="44" spans="1:9" x14ac:dyDescent="0.35">
      <c r="A44" s="258" t="s">
        <v>1280</v>
      </c>
      <c r="B44" s="31" t="s">
        <v>190</v>
      </c>
      <c r="C44" s="315"/>
      <c r="D44" s="62"/>
      <c r="E44" s="62">
        <v>55719</v>
      </c>
      <c r="F44" s="466"/>
      <c r="G44" s="26">
        <v>1</v>
      </c>
      <c r="H44" s="410"/>
      <c r="I44" s="609">
        <f t="shared" si="1"/>
        <v>0</v>
      </c>
    </row>
    <row r="45" spans="1:9" x14ac:dyDescent="0.35">
      <c r="A45" s="258" t="s">
        <v>1279</v>
      </c>
      <c r="B45" s="31" t="s">
        <v>189</v>
      </c>
      <c r="C45" s="315"/>
      <c r="D45" s="62"/>
      <c r="E45" s="62">
        <v>55719</v>
      </c>
      <c r="F45" s="466"/>
      <c r="G45" s="26">
        <v>1</v>
      </c>
      <c r="H45" s="410"/>
      <c r="I45" s="609">
        <f t="shared" si="1"/>
        <v>0</v>
      </c>
    </row>
    <row r="46" spans="1:9" x14ac:dyDescent="0.35">
      <c r="A46" s="258" t="s">
        <v>1735</v>
      </c>
      <c r="B46" s="31" t="s">
        <v>1736</v>
      </c>
      <c r="C46" s="315"/>
      <c r="D46" s="62"/>
      <c r="E46" s="62">
        <v>55719</v>
      </c>
      <c r="F46" s="466"/>
      <c r="G46" s="26">
        <v>1</v>
      </c>
      <c r="H46" s="410"/>
      <c r="I46" s="609">
        <f t="shared" si="1"/>
        <v>0</v>
      </c>
    </row>
    <row r="47" spans="1:9" x14ac:dyDescent="0.35">
      <c r="A47" s="258" t="s">
        <v>1737</v>
      </c>
      <c r="B47" s="31" t="s">
        <v>1738</v>
      </c>
      <c r="C47" s="315"/>
      <c r="D47" s="62"/>
      <c r="E47" s="62">
        <v>55719</v>
      </c>
      <c r="F47" s="466"/>
      <c r="G47" s="26">
        <v>1</v>
      </c>
      <c r="H47" s="410"/>
      <c r="I47" s="609">
        <f t="shared" si="1"/>
        <v>0</v>
      </c>
    </row>
    <row r="48" spans="1:9" x14ac:dyDescent="0.35">
      <c r="A48" s="258" t="s">
        <v>1278</v>
      </c>
      <c r="B48" s="31" t="s">
        <v>188</v>
      </c>
      <c r="C48" s="315"/>
      <c r="D48" s="62"/>
      <c r="E48" s="62">
        <v>55719</v>
      </c>
      <c r="F48" s="466"/>
      <c r="G48" s="26">
        <v>1</v>
      </c>
      <c r="H48" s="410"/>
      <c r="I48" s="609">
        <f t="shared" si="1"/>
        <v>0</v>
      </c>
    </row>
    <row r="49" spans="1:9" x14ac:dyDescent="0.35">
      <c r="A49" s="258" t="s">
        <v>988</v>
      </c>
      <c r="B49" s="31" t="s">
        <v>2235</v>
      </c>
      <c r="C49" s="315"/>
      <c r="D49" s="62"/>
      <c r="E49" s="62">
        <v>55719</v>
      </c>
      <c r="F49" s="466"/>
      <c r="G49" s="26">
        <v>1</v>
      </c>
      <c r="H49" s="410"/>
      <c r="I49" s="609">
        <f t="shared" si="1"/>
        <v>0</v>
      </c>
    </row>
    <row r="50" spans="1:9" x14ac:dyDescent="0.35">
      <c r="A50" s="258" t="s">
        <v>5</v>
      </c>
      <c r="B50" s="31" t="s">
        <v>415</v>
      </c>
      <c r="C50" s="315"/>
      <c r="D50" s="62"/>
      <c r="E50" s="62">
        <v>55719</v>
      </c>
      <c r="F50" s="466"/>
      <c r="G50" s="26">
        <v>1</v>
      </c>
      <c r="H50" s="410"/>
      <c r="I50" s="609">
        <f t="shared" si="1"/>
        <v>0</v>
      </c>
    </row>
    <row r="51" spans="1:9" x14ac:dyDescent="0.35">
      <c r="A51" s="258" t="s">
        <v>1020</v>
      </c>
      <c r="B51" s="31" t="s">
        <v>271</v>
      </c>
      <c r="C51" s="315"/>
      <c r="D51" s="62"/>
      <c r="E51" s="62">
        <v>55719</v>
      </c>
      <c r="F51" s="466"/>
      <c r="G51" s="26">
        <v>1</v>
      </c>
      <c r="H51" s="410"/>
      <c r="I51" s="609">
        <f t="shared" si="1"/>
        <v>0</v>
      </c>
    </row>
    <row r="52" spans="1:9" x14ac:dyDescent="0.35">
      <c r="A52" s="258" t="s">
        <v>1022</v>
      </c>
      <c r="B52" s="31" t="s">
        <v>269</v>
      </c>
      <c r="C52" s="315"/>
      <c r="D52" s="62"/>
      <c r="E52" s="62">
        <v>55719</v>
      </c>
      <c r="F52" s="466"/>
      <c r="G52" s="26">
        <v>1</v>
      </c>
      <c r="H52" s="410"/>
      <c r="I52" s="609">
        <f t="shared" si="1"/>
        <v>0</v>
      </c>
    </row>
    <row r="53" spans="1:9" x14ac:dyDescent="0.35">
      <c r="A53" s="258" t="s">
        <v>896</v>
      </c>
      <c r="B53" s="31" t="s">
        <v>272</v>
      </c>
      <c r="C53" s="315"/>
      <c r="D53" s="62"/>
      <c r="E53" s="62">
        <v>55719</v>
      </c>
      <c r="F53" s="466"/>
      <c r="G53" s="26">
        <v>1</v>
      </c>
      <c r="H53" s="410"/>
      <c r="I53" s="609">
        <f t="shared" si="1"/>
        <v>0</v>
      </c>
    </row>
    <row r="54" spans="1:9" x14ac:dyDescent="0.35">
      <c r="A54" s="258" t="s">
        <v>2583</v>
      </c>
      <c r="B54" s="31" t="s">
        <v>78</v>
      </c>
      <c r="C54" s="315"/>
      <c r="D54" s="62"/>
      <c r="E54" s="62">
        <v>55719</v>
      </c>
      <c r="F54" s="466"/>
      <c r="G54" s="26">
        <v>1</v>
      </c>
      <c r="H54" s="410"/>
      <c r="I54" s="609">
        <f t="shared" si="1"/>
        <v>0</v>
      </c>
    </row>
    <row r="55" spans="1:9" x14ac:dyDescent="0.35">
      <c r="A55" s="258" t="s">
        <v>2584</v>
      </c>
      <c r="B55" s="31" t="s">
        <v>263</v>
      </c>
      <c r="C55" s="315"/>
      <c r="D55" s="62"/>
      <c r="E55" s="62">
        <v>55719</v>
      </c>
      <c r="F55" s="466"/>
      <c r="G55" s="26">
        <v>1</v>
      </c>
      <c r="H55" s="410"/>
      <c r="I55" s="609">
        <f t="shared" si="1"/>
        <v>0</v>
      </c>
    </row>
    <row r="56" spans="1:9" x14ac:dyDescent="0.35">
      <c r="A56" s="258" t="s">
        <v>15</v>
      </c>
      <c r="B56" s="31" t="s">
        <v>424</v>
      </c>
      <c r="C56" s="315"/>
      <c r="D56" s="62"/>
      <c r="E56" s="62">
        <v>55719</v>
      </c>
      <c r="F56" s="466"/>
      <c r="G56" s="26">
        <v>1</v>
      </c>
      <c r="H56" s="410"/>
      <c r="I56" s="609">
        <f t="shared" si="1"/>
        <v>0</v>
      </c>
    </row>
    <row r="57" spans="1:9" x14ac:dyDescent="0.35">
      <c r="A57" s="258" t="s">
        <v>1019</v>
      </c>
      <c r="B57" s="31" t="s">
        <v>90</v>
      </c>
      <c r="C57" s="315"/>
      <c r="D57" s="62"/>
      <c r="E57" s="62">
        <v>55719</v>
      </c>
      <c r="F57" s="466"/>
      <c r="G57" s="26">
        <v>2</v>
      </c>
      <c r="H57" s="410"/>
      <c r="I57" s="609">
        <f t="shared" si="1"/>
        <v>0</v>
      </c>
    </row>
    <row r="58" spans="1:9" x14ac:dyDescent="0.35">
      <c r="A58" s="258" t="s">
        <v>1120</v>
      </c>
      <c r="B58" s="31" t="s">
        <v>85</v>
      </c>
      <c r="C58" s="315"/>
      <c r="D58" s="62"/>
      <c r="E58" s="62">
        <v>55719</v>
      </c>
      <c r="F58" s="466"/>
      <c r="G58" s="26">
        <v>1</v>
      </c>
      <c r="H58" s="410"/>
      <c r="I58" s="609">
        <f t="shared" si="1"/>
        <v>0</v>
      </c>
    </row>
    <row r="59" spans="1:9" x14ac:dyDescent="0.35">
      <c r="A59" s="258" t="s">
        <v>1128</v>
      </c>
      <c r="B59" s="31" t="s">
        <v>579</v>
      </c>
      <c r="C59" s="315"/>
      <c r="D59" s="62"/>
      <c r="E59" s="62">
        <v>55719</v>
      </c>
      <c r="F59" s="466"/>
      <c r="G59" s="26">
        <v>1</v>
      </c>
      <c r="H59" s="410"/>
      <c r="I59" s="609">
        <f t="shared" si="1"/>
        <v>0</v>
      </c>
    </row>
    <row r="60" spans="1:9" x14ac:dyDescent="0.35">
      <c r="A60" s="258" t="s">
        <v>1302</v>
      </c>
      <c r="B60" s="31" t="s">
        <v>580</v>
      </c>
      <c r="C60" s="315"/>
      <c r="D60" s="62"/>
      <c r="E60" s="62">
        <v>55719</v>
      </c>
      <c r="F60" s="466"/>
      <c r="G60" s="26">
        <v>1</v>
      </c>
      <c r="H60" s="410"/>
      <c r="I60" s="609">
        <f t="shared" si="1"/>
        <v>0</v>
      </c>
    </row>
    <row r="61" spans="1:9" x14ac:dyDescent="0.35">
      <c r="A61" s="258" t="s">
        <v>1303</v>
      </c>
      <c r="B61" s="31" t="s">
        <v>581</v>
      </c>
      <c r="C61" s="315"/>
      <c r="D61" s="62"/>
      <c r="E61" s="62">
        <v>55719</v>
      </c>
      <c r="F61" s="466"/>
      <c r="G61" s="26">
        <v>1</v>
      </c>
      <c r="H61" s="410"/>
      <c r="I61" s="609">
        <f t="shared" si="1"/>
        <v>0</v>
      </c>
    </row>
    <row r="62" spans="1:9" x14ac:dyDescent="0.35">
      <c r="A62" s="258" t="s">
        <v>874</v>
      </c>
      <c r="B62" s="201" t="s">
        <v>206</v>
      </c>
      <c r="C62" s="315"/>
      <c r="D62" s="253"/>
      <c r="E62" s="253">
        <v>55719</v>
      </c>
      <c r="F62" s="466"/>
      <c r="G62" s="200">
        <v>1</v>
      </c>
      <c r="H62" s="410"/>
      <c r="I62" s="609">
        <f t="shared" si="1"/>
        <v>0</v>
      </c>
    </row>
    <row r="63" spans="1:9" x14ac:dyDescent="0.35">
      <c r="A63" s="258" t="s">
        <v>1115</v>
      </c>
      <c r="B63" s="31" t="s">
        <v>373</v>
      </c>
      <c r="C63" s="315"/>
      <c r="D63" s="62"/>
      <c r="E63" s="62">
        <v>55719</v>
      </c>
      <c r="F63" s="466"/>
      <c r="G63" s="26">
        <v>1</v>
      </c>
      <c r="H63" s="410"/>
      <c r="I63" s="609">
        <f t="shared" si="1"/>
        <v>0</v>
      </c>
    </row>
    <row r="64" spans="1:9" x14ac:dyDescent="0.35">
      <c r="A64" s="258" t="s">
        <v>1178</v>
      </c>
      <c r="B64" s="31" t="s">
        <v>379</v>
      </c>
      <c r="C64" s="315"/>
      <c r="D64" s="62"/>
      <c r="E64" s="62">
        <v>55719</v>
      </c>
      <c r="F64" s="466"/>
      <c r="G64" s="26">
        <v>1</v>
      </c>
      <c r="H64" s="410"/>
      <c r="I64" s="609">
        <f t="shared" si="1"/>
        <v>0</v>
      </c>
    </row>
    <row r="65" spans="1:9" x14ac:dyDescent="0.35">
      <c r="A65" s="258" t="s">
        <v>1116</v>
      </c>
      <c r="B65" s="31" t="s">
        <v>380</v>
      </c>
      <c r="C65" s="315"/>
      <c r="D65" s="62"/>
      <c r="E65" s="62">
        <v>55719</v>
      </c>
      <c r="F65" s="466"/>
      <c r="G65" s="26">
        <v>1</v>
      </c>
      <c r="H65" s="410"/>
      <c r="I65" s="609">
        <f t="shared" si="1"/>
        <v>0</v>
      </c>
    </row>
    <row r="66" spans="1:9" x14ac:dyDescent="0.35">
      <c r="A66" s="258" t="s">
        <v>1179</v>
      </c>
      <c r="B66" s="31" t="s">
        <v>7</v>
      </c>
      <c r="C66" s="315"/>
      <c r="D66" s="62"/>
      <c r="E66" s="62">
        <v>55719</v>
      </c>
      <c r="F66" s="466"/>
      <c r="G66" s="26">
        <v>1</v>
      </c>
      <c r="H66" s="410"/>
      <c r="I66" s="609">
        <f t="shared" ref="I66:I93" si="2">+G66*H66</f>
        <v>0</v>
      </c>
    </row>
    <row r="67" spans="1:9" x14ac:dyDescent="0.35">
      <c r="A67" s="258" t="s">
        <v>967</v>
      </c>
      <c r="B67" s="31" t="s">
        <v>44</v>
      </c>
      <c r="C67" s="315"/>
      <c r="D67" s="62"/>
      <c r="E67" s="62">
        <v>55719</v>
      </c>
      <c r="F67" s="466"/>
      <c r="G67" s="26">
        <v>1</v>
      </c>
      <c r="H67" s="410"/>
      <c r="I67" s="609">
        <f t="shared" si="2"/>
        <v>0</v>
      </c>
    </row>
    <row r="68" spans="1:9" x14ac:dyDescent="0.35">
      <c r="A68" s="258" t="s">
        <v>880</v>
      </c>
      <c r="B68" s="31" t="s">
        <v>366</v>
      </c>
      <c r="C68" s="315"/>
      <c r="D68" s="62"/>
      <c r="E68" s="62">
        <v>55719</v>
      </c>
      <c r="F68" s="466"/>
      <c r="G68" s="26">
        <v>1</v>
      </c>
      <c r="H68" s="410"/>
      <c r="I68" s="609">
        <f t="shared" si="2"/>
        <v>0</v>
      </c>
    </row>
    <row r="69" spans="1:9" x14ac:dyDescent="0.35">
      <c r="A69" s="258" t="s">
        <v>878</v>
      </c>
      <c r="B69" s="31" t="s">
        <v>94</v>
      </c>
      <c r="C69" s="315"/>
      <c r="D69" s="62"/>
      <c r="E69" s="62">
        <v>55719</v>
      </c>
      <c r="F69" s="466"/>
      <c r="G69" s="26">
        <v>1</v>
      </c>
      <c r="H69" s="410"/>
      <c r="I69" s="609">
        <f t="shared" si="2"/>
        <v>0</v>
      </c>
    </row>
    <row r="70" spans="1:9" x14ac:dyDescent="0.35">
      <c r="A70" s="258" t="s">
        <v>872</v>
      </c>
      <c r="B70" s="31" t="s">
        <v>367</v>
      </c>
      <c r="C70" s="315"/>
      <c r="D70" s="62"/>
      <c r="E70" s="62">
        <v>55719</v>
      </c>
      <c r="F70" s="466"/>
      <c r="G70" s="26">
        <v>1</v>
      </c>
      <c r="H70" s="410"/>
      <c r="I70" s="609">
        <f t="shared" si="2"/>
        <v>0</v>
      </c>
    </row>
    <row r="71" spans="1:9" x14ac:dyDescent="0.35">
      <c r="A71" s="258" t="s">
        <v>876</v>
      </c>
      <c r="B71" s="31" t="s">
        <v>368</v>
      </c>
      <c r="C71" s="315"/>
      <c r="D71" s="62"/>
      <c r="E71" s="62">
        <v>55719</v>
      </c>
      <c r="F71" s="466"/>
      <c r="G71" s="26">
        <v>1</v>
      </c>
      <c r="H71" s="410"/>
      <c r="I71" s="609">
        <f t="shared" si="2"/>
        <v>0</v>
      </c>
    </row>
    <row r="72" spans="1:9" x14ac:dyDescent="0.35">
      <c r="A72" s="258" t="s">
        <v>972</v>
      </c>
      <c r="B72" s="31" t="s">
        <v>175</v>
      </c>
      <c r="C72" s="315"/>
      <c r="D72" s="62"/>
      <c r="E72" s="62">
        <v>55719</v>
      </c>
      <c r="F72" s="466"/>
      <c r="G72" s="26">
        <v>1</v>
      </c>
      <c r="H72" s="410"/>
      <c r="I72" s="609">
        <f t="shared" si="2"/>
        <v>0</v>
      </c>
    </row>
    <row r="73" spans="1:9" x14ac:dyDescent="0.35">
      <c r="A73" s="258" t="s">
        <v>879</v>
      </c>
      <c r="B73" s="31" t="s">
        <v>369</v>
      </c>
      <c r="C73" s="315"/>
      <c r="D73" s="62"/>
      <c r="E73" s="62">
        <v>55719</v>
      </c>
      <c r="F73" s="466"/>
      <c r="G73" s="26">
        <v>1</v>
      </c>
      <c r="H73" s="410"/>
      <c r="I73" s="609">
        <f t="shared" si="2"/>
        <v>0</v>
      </c>
    </row>
    <row r="74" spans="1:9" x14ac:dyDescent="0.35">
      <c r="A74" s="258" t="s">
        <v>1180</v>
      </c>
      <c r="B74" s="31" t="s">
        <v>370</v>
      </c>
      <c r="C74" s="315"/>
      <c r="D74" s="62"/>
      <c r="E74" s="62">
        <v>55719</v>
      </c>
      <c r="F74" s="466"/>
      <c r="G74" s="26">
        <v>1</v>
      </c>
      <c r="H74" s="410"/>
      <c r="I74" s="609">
        <f t="shared" si="2"/>
        <v>0</v>
      </c>
    </row>
    <row r="75" spans="1:9" x14ac:dyDescent="0.35">
      <c r="A75" s="258" t="s">
        <v>871</v>
      </c>
      <c r="B75" s="31" t="s">
        <v>95</v>
      </c>
      <c r="C75" s="315"/>
      <c r="D75" s="62"/>
      <c r="E75" s="62">
        <v>55719</v>
      </c>
      <c r="F75" s="466"/>
      <c r="G75" s="26">
        <v>1</v>
      </c>
      <c r="H75" s="410"/>
      <c r="I75" s="609">
        <f t="shared" si="2"/>
        <v>0</v>
      </c>
    </row>
    <row r="76" spans="1:9" x14ac:dyDescent="0.35">
      <c r="A76" s="258" t="s">
        <v>33</v>
      </c>
      <c r="B76" s="31" t="s">
        <v>1565</v>
      </c>
      <c r="C76" s="315"/>
      <c r="D76" s="62"/>
      <c r="E76" s="62">
        <v>55719</v>
      </c>
      <c r="F76" s="466"/>
      <c r="G76" s="26">
        <v>1</v>
      </c>
      <c r="H76" s="410"/>
      <c r="I76" s="609">
        <f t="shared" si="2"/>
        <v>0</v>
      </c>
    </row>
    <row r="77" spans="1:9" x14ac:dyDescent="0.35">
      <c r="A77" s="258" t="s">
        <v>2506</v>
      </c>
      <c r="B77" s="31" t="s">
        <v>680</v>
      </c>
      <c r="C77" s="315"/>
      <c r="D77" s="62"/>
      <c r="E77" s="62">
        <v>55719</v>
      </c>
      <c r="F77" s="466"/>
      <c r="G77" s="26">
        <v>1</v>
      </c>
      <c r="H77" s="410"/>
      <c r="I77" s="609">
        <f t="shared" si="2"/>
        <v>0</v>
      </c>
    </row>
    <row r="78" spans="1:9" x14ac:dyDescent="0.35">
      <c r="A78" s="258" t="s">
        <v>929</v>
      </c>
      <c r="B78" s="31" t="s">
        <v>20</v>
      </c>
      <c r="C78" s="315"/>
      <c r="D78" s="62"/>
      <c r="E78" s="62">
        <v>55719</v>
      </c>
      <c r="F78" s="466"/>
      <c r="G78" s="26">
        <v>2</v>
      </c>
      <c r="H78" s="410"/>
      <c r="I78" s="609">
        <f t="shared" si="2"/>
        <v>0</v>
      </c>
    </row>
    <row r="79" spans="1:9" x14ac:dyDescent="0.35">
      <c r="A79" s="258" t="s">
        <v>38</v>
      </c>
      <c r="B79" s="31" t="s">
        <v>200</v>
      </c>
      <c r="C79" s="315"/>
      <c r="D79" s="62"/>
      <c r="E79" s="62">
        <v>55719</v>
      </c>
      <c r="F79" s="466"/>
      <c r="G79" s="26">
        <v>1</v>
      </c>
      <c r="H79" s="410"/>
      <c r="I79" s="609">
        <f t="shared" si="2"/>
        <v>0</v>
      </c>
    </row>
    <row r="80" spans="1:9" x14ac:dyDescent="0.35">
      <c r="A80" s="258" t="s">
        <v>183</v>
      </c>
      <c r="B80" s="31" t="s">
        <v>184</v>
      </c>
      <c r="C80" s="315"/>
      <c r="D80" s="62"/>
      <c r="E80" s="62">
        <v>55719</v>
      </c>
      <c r="F80" s="466"/>
      <c r="G80" s="26">
        <v>1</v>
      </c>
      <c r="H80" s="410"/>
      <c r="I80" s="609">
        <f t="shared" si="2"/>
        <v>0</v>
      </c>
    </row>
    <row r="81" spans="1:9" x14ac:dyDescent="0.35">
      <c r="A81" s="258" t="s">
        <v>181</v>
      </c>
      <c r="B81" s="31" t="s">
        <v>182</v>
      </c>
      <c r="C81" s="315"/>
      <c r="D81" s="62"/>
      <c r="E81" s="62">
        <v>55719</v>
      </c>
      <c r="F81" s="466"/>
      <c r="G81" s="26">
        <v>1</v>
      </c>
      <c r="H81" s="410"/>
      <c r="I81" s="609">
        <f t="shared" si="2"/>
        <v>0</v>
      </c>
    </row>
    <row r="82" spans="1:9" x14ac:dyDescent="0.35">
      <c r="A82" s="258" t="s">
        <v>11</v>
      </c>
      <c r="B82" s="31" t="s">
        <v>233</v>
      </c>
      <c r="C82" s="315"/>
      <c r="D82" s="62"/>
      <c r="E82" s="62">
        <v>55719</v>
      </c>
      <c r="F82" s="466"/>
      <c r="G82" s="26">
        <v>1</v>
      </c>
      <c r="H82" s="410"/>
      <c r="I82" s="609">
        <f t="shared" si="2"/>
        <v>0</v>
      </c>
    </row>
    <row r="83" spans="1:9" x14ac:dyDescent="0.35">
      <c r="A83" s="258" t="s">
        <v>12</v>
      </c>
      <c r="B83" s="31" t="s">
        <v>150</v>
      </c>
      <c r="C83" s="315"/>
      <c r="D83" s="62"/>
      <c r="E83" s="62">
        <v>55719</v>
      </c>
      <c r="F83" s="466"/>
      <c r="G83" s="26">
        <v>1</v>
      </c>
      <c r="H83" s="410"/>
      <c r="I83" s="609">
        <f t="shared" si="2"/>
        <v>0</v>
      </c>
    </row>
    <row r="84" spans="1:9" x14ac:dyDescent="0.35">
      <c r="A84" s="258" t="s">
        <v>107</v>
      </c>
      <c r="B84" s="31" t="s">
        <v>507</v>
      </c>
      <c r="C84" s="315"/>
      <c r="D84" s="62"/>
      <c r="E84" s="62">
        <v>55719</v>
      </c>
      <c r="F84" s="466"/>
      <c r="G84" s="26">
        <v>1</v>
      </c>
      <c r="H84" s="410"/>
      <c r="I84" s="609">
        <f t="shared" si="2"/>
        <v>0</v>
      </c>
    </row>
    <row r="85" spans="1:9" x14ac:dyDescent="0.35">
      <c r="A85" s="258" t="s">
        <v>903</v>
      </c>
      <c r="B85" s="31" t="s">
        <v>139</v>
      </c>
      <c r="C85" s="315"/>
      <c r="D85" s="62"/>
      <c r="E85" s="62">
        <v>55719</v>
      </c>
      <c r="F85" s="466"/>
      <c r="G85" s="26">
        <v>1</v>
      </c>
      <c r="H85" s="410"/>
      <c r="I85" s="609">
        <f t="shared" si="2"/>
        <v>0</v>
      </c>
    </row>
    <row r="86" spans="1:9" x14ac:dyDescent="0.35">
      <c r="A86" s="258" t="s">
        <v>6</v>
      </c>
      <c r="B86" s="31" t="s">
        <v>87</v>
      </c>
      <c r="C86" s="315"/>
      <c r="D86" s="62"/>
      <c r="E86" s="62">
        <v>55719</v>
      </c>
      <c r="F86" s="466"/>
      <c r="G86" s="26">
        <v>1</v>
      </c>
      <c r="H86" s="410"/>
      <c r="I86" s="609">
        <f t="shared" si="2"/>
        <v>0</v>
      </c>
    </row>
    <row r="87" spans="1:9" x14ac:dyDescent="0.35">
      <c r="A87" s="258" t="s">
        <v>174</v>
      </c>
      <c r="B87" s="31" t="s">
        <v>215</v>
      </c>
      <c r="C87" s="315"/>
      <c r="D87" s="62"/>
      <c r="E87" s="62">
        <v>55719</v>
      </c>
      <c r="F87" s="466"/>
      <c r="G87" s="26">
        <v>1</v>
      </c>
      <c r="H87" s="410"/>
      <c r="I87" s="609">
        <f t="shared" si="2"/>
        <v>0</v>
      </c>
    </row>
    <row r="88" spans="1:9" x14ac:dyDescent="0.35">
      <c r="A88" s="258" t="s">
        <v>43</v>
      </c>
      <c r="B88" s="31" t="s">
        <v>765</v>
      </c>
      <c r="C88" s="315"/>
      <c r="D88" s="62"/>
      <c r="E88" s="62">
        <v>55719</v>
      </c>
      <c r="F88" s="466"/>
      <c r="G88" s="26">
        <v>1</v>
      </c>
      <c r="H88" s="410"/>
      <c r="I88" s="609">
        <f t="shared" si="2"/>
        <v>0</v>
      </c>
    </row>
    <row r="89" spans="1:9" x14ac:dyDescent="0.35">
      <c r="A89" s="258" t="s">
        <v>1200</v>
      </c>
      <c r="B89" s="31" t="s">
        <v>59</v>
      </c>
      <c r="C89" s="315"/>
      <c r="D89" s="62"/>
      <c r="E89" s="62">
        <v>55719</v>
      </c>
      <c r="F89" s="466"/>
      <c r="G89" s="26">
        <v>1</v>
      </c>
      <c r="H89" s="410"/>
      <c r="I89" s="609">
        <f t="shared" si="2"/>
        <v>0</v>
      </c>
    </row>
    <row r="90" spans="1:9" x14ac:dyDescent="0.35">
      <c r="A90" s="258" t="s">
        <v>3</v>
      </c>
      <c r="B90" s="31" t="s">
        <v>414</v>
      </c>
      <c r="C90" s="315"/>
      <c r="D90" s="62"/>
      <c r="E90" s="62">
        <v>55719</v>
      </c>
      <c r="F90" s="466"/>
      <c r="G90" s="26">
        <v>1</v>
      </c>
      <c r="H90" s="410"/>
      <c r="I90" s="609">
        <f t="shared" si="2"/>
        <v>0</v>
      </c>
    </row>
    <row r="91" spans="1:9" x14ac:dyDescent="0.35">
      <c r="A91" s="258" t="s">
        <v>1384</v>
      </c>
      <c r="B91" s="31" t="s">
        <v>600</v>
      </c>
      <c r="C91" s="315"/>
      <c r="D91" s="62"/>
      <c r="E91" s="62">
        <v>55719</v>
      </c>
      <c r="F91" s="466"/>
      <c r="G91" s="26">
        <v>1</v>
      </c>
      <c r="H91" s="410"/>
      <c r="I91" s="609">
        <f t="shared" si="2"/>
        <v>0</v>
      </c>
    </row>
    <row r="92" spans="1:9" x14ac:dyDescent="0.35">
      <c r="A92" s="258" t="s">
        <v>1209</v>
      </c>
      <c r="B92" s="31" t="s">
        <v>554</v>
      </c>
      <c r="C92" s="315"/>
      <c r="D92" s="62"/>
      <c r="E92" s="62">
        <v>55719</v>
      </c>
      <c r="F92" s="466"/>
      <c r="G92" s="26">
        <v>1</v>
      </c>
      <c r="H92" s="410"/>
      <c r="I92" s="609">
        <f t="shared" si="2"/>
        <v>0</v>
      </c>
    </row>
    <row r="93" spans="1:9" x14ac:dyDescent="0.35">
      <c r="A93" s="258" t="s">
        <v>1304</v>
      </c>
      <c r="B93" s="31" t="s">
        <v>583</v>
      </c>
      <c r="C93" s="315"/>
      <c r="D93" s="62"/>
      <c r="E93" s="62">
        <v>55719</v>
      </c>
      <c r="F93" s="466"/>
      <c r="G93" s="26">
        <v>1</v>
      </c>
      <c r="H93" s="410"/>
      <c r="I93" s="609">
        <f t="shared" si="2"/>
        <v>0</v>
      </c>
    </row>
    <row r="94" spans="1:9" x14ac:dyDescent="0.35">
      <c r="I94" s="480">
        <f>SUM(I2:I93)</f>
        <v>0</v>
      </c>
    </row>
    <row r="95" spans="1:9" s="4" customFormat="1" ht="17.5" x14ac:dyDescent="0.35">
      <c r="A95" s="309" t="s">
        <v>1525</v>
      </c>
      <c r="B95" s="312"/>
      <c r="C95" s="249"/>
      <c r="D95" s="3"/>
      <c r="E95" s="3"/>
      <c r="F95" s="249"/>
      <c r="G95" s="3"/>
      <c r="H95" s="406"/>
      <c r="I95" s="406"/>
    </row>
    <row r="96" spans="1:9" s="4" customFormat="1" ht="17.5" x14ac:dyDescent="0.35">
      <c r="A96" s="309" t="s">
        <v>2380</v>
      </c>
      <c r="B96" s="312"/>
      <c r="C96" s="249"/>
      <c r="D96" s="3"/>
      <c r="E96" s="3"/>
      <c r="F96" s="249"/>
      <c r="G96" s="3"/>
      <c r="H96" s="396"/>
      <c r="I96" s="406"/>
    </row>
    <row r="97" spans="1:2" ht="17.5" x14ac:dyDescent="0.35">
      <c r="A97" s="367" t="s">
        <v>2670</v>
      </c>
      <c r="B97" s="311"/>
    </row>
    <row r="98" spans="1:2" ht="17.5" x14ac:dyDescent="0.35">
      <c r="A98" s="334" t="s">
        <v>2694</v>
      </c>
      <c r="B98" s="456">
        <f>+I94</f>
        <v>0</v>
      </c>
    </row>
  </sheetData>
  <sortState xmlns:xlrd2="http://schemas.microsoft.com/office/spreadsheetml/2017/richdata2" ref="A2:H93">
    <sortCondition ref="B2:B93"/>
  </sortState>
  <pageMargins left="0.5" right="0.5" top="0.5" bottom="0.5" header="0.3" footer="0.3"/>
  <pageSetup scale="80" orientation="landscape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20"/>
  <sheetViews>
    <sheetView workbookViewId="0">
      <pane ySplit="1" topLeftCell="A72" activePane="bottomLeft" state="frozen"/>
      <selection activeCell="C26" sqref="C26"/>
      <selection pane="bottomLeft" activeCell="A106" sqref="A104:XFD106"/>
    </sheetView>
  </sheetViews>
  <sheetFormatPr defaultColWidth="9.08984375" defaultRowHeight="15.5" x14ac:dyDescent="0.35"/>
  <cols>
    <col min="1" max="1" width="63.90625" style="93" bestFit="1" customWidth="1"/>
    <col min="2" max="2" width="16.54296875" style="56" bestFit="1" customWidth="1"/>
    <col min="3" max="3" width="21.1796875" style="56" customWidth="1"/>
    <col min="4" max="4" width="21.81640625" style="56" customWidth="1"/>
    <col min="5" max="5" width="14.36328125" style="56" customWidth="1"/>
    <col min="6" max="6" width="16.453125" style="56" customWidth="1"/>
    <col min="7" max="7" width="11.90625" style="56" customWidth="1"/>
    <col min="8" max="8" width="13.08984375" style="483" customWidth="1"/>
    <col min="9" max="9" width="18.6328125" style="484" customWidth="1"/>
    <col min="10" max="10" width="17" style="91" bestFit="1" customWidth="1"/>
    <col min="11" max="16384" width="9.08984375" style="91"/>
  </cols>
  <sheetData>
    <row r="1" spans="1:9" x14ac:dyDescent="0.35">
      <c r="A1" s="615" t="s">
        <v>0</v>
      </c>
      <c r="B1" s="261" t="s">
        <v>1</v>
      </c>
      <c r="C1" s="610" t="s">
        <v>2700</v>
      </c>
      <c r="D1" s="261" t="s">
        <v>1598</v>
      </c>
      <c r="E1" s="261" t="s">
        <v>1599</v>
      </c>
      <c r="F1" s="610" t="s">
        <v>2699</v>
      </c>
      <c r="G1" s="616" t="s">
        <v>364</v>
      </c>
      <c r="H1" s="611" t="s">
        <v>2695</v>
      </c>
      <c r="I1" s="612" t="s">
        <v>2696</v>
      </c>
    </row>
    <row r="2" spans="1:9" x14ac:dyDescent="0.35">
      <c r="A2" s="234" t="s">
        <v>1595</v>
      </c>
      <c r="B2" s="62" t="s">
        <v>2604</v>
      </c>
      <c r="C2" s="315"/>
      <c r="D2" s="62"/>
      <c r="E2" s="62">
        <v>55719</v>
      </c>
      <c r="F2" s="466"/>
      <c r="G2" s="55">
        <v>1</v>
      </c>
      <c r="H2" s="481"/>
      <c r="I2" s="614">
        <f t="shared" ref="I2:I33" si="0">+G2*H2</f>
        <v>0</v>
      </c>
    </row>
    <row r="3" spans="1:9" x14ac:dyDescent="0.35">
      <c r="A3" s="234" t="s">
        <v>1360</v>
      </c>
      <c r="B3" s="62" t="s">
        <v>145</v>
      </c>
      <c r="C3" s="315"/>
      <c r="D3" s="62"/>
      <c r="E3" s="62">
        <v>55719</v>
      </c>
      <c r="F3" s="466"/>
      <c r="G3" s="55">
        <v>1</v>
      </c>
      <c r="H3" s="481"/>
      <c r="I3" s="614">
        <f t="shared" si="0"/>
        <v>0</v>
      </c>
    </row>
    <row r="4" spans="1:9" x14ac:dyDescent="0.35">
      <c r="A4" s="234" t="s">
        <v>1644</v>
      </c>
      <c r="B4" s="62" t="s">
        <v>1645</v>
      </c>
      <c r="C4" s="315"/>
      <c r="D4" s="62"/>
      <c r="E4" s="62">
        <v>55719</v>
      </c>
      <c r="F4" s="466"/>
      <c r="G4" s="55">
        <v>1</v>
      </c>
      <c r="H4" s="481"/>
      <c r="I4" s="614">
        <f t="shared" si="0"/>
        <v>0</v>
      </c>
    </row>
    <row r="5" spans="1:9" x14ac:dyDescent="0.35">
      <c r="A5" s="234" t="s">
        <v>1091</v>
      </c>
      <c r="B5" s="62" t="s">
        <v>1610</v>
      </c>
      <c r="C5" s="315"/>
      <c r="D5" s="62"/>
      <c r="E5" s="62">
        <v>55719</v>
      </c>
      <c r="F5" s="466"/>
      <c r="G5" s="55">
        <v>1</v>
      </c>
      <c r="H5" s="481"/>
      <c r="I5" s="614">
        <f t="shared" si="0"/>
        <v>0</v>
      </c>
    </row>
    <row r="6" spans="1:9" x14ac:dyDescent="0.35">
      <c r="A6" s="234" t="s">
        <v>1387</v>
      </c>
      <c r="B6" s="62" t="s">
        <v>752</v>
      </c>
      <c r="C6" s="315"/>
      <c r="D6" s="62"/>
      <c r="E6" s="62">
        <v>55719</v>
      </c>
      <c r="F6" s="466"/>
      <c r="G6" s="55">
        <v>1</v>
      </c>
      <c r="H6" s="481"/>
      <c r="I6" s="614">
        <f t="shared" si="0"/>
        <v>0</v>
      </c>
    </row>
    <row r="7" spans="1:9" x14ac:dyDescent="0.35">
      <c r="A7" s="234" t="s">
        <v>17</v>
      </c>
      <c r="B7" s="62" t="s">
        <v>2473</v>
      </c>
      <c r="C7" s="315"/>
      <c r="D7" s="62"/>
      <c r="E7" s="62">
        <v>55719</v>
      </c>
      <c r="F7" s="466"/>
      <c r="G7" s="55">
        <v>1</v>
      </c>
      <c r="H7" s="481"/>
      <c r="I7" s="614">
        <f t="shared" si="0"/>
        <v>0</v>
      </c>
    </row>
    <row r="8" spans="1:9" x14ac:dyDescent="0.35">
      <c r="A8" s="234" t="s">
        <v>988</v>
      </c>
      <c r="B8" s="62" t="s">
        <v>2235</v>
      </c>
      <c r="C8" s="315"/>
      <c r="D8" s="62"/>
      <c r="E8" s="62">
        <v>55719</v>
      </c>
      <c r="F8" s="466"/>
      <c r="G8" s="55">
        <v>1</v>
      </c>
      <c r="H8" s="481"/>
      <c r="I8" s="614">
        <f t="shared" si="0"/>
        <v>0</v>
      </c>
    </row>
    <row r="9" spans="1:9" x14ac:dyDescent="0.35">
      <c r="A9" s="234" t="s">
        <v>5</v>
      </c>
      <c r="B9" s="62" t="s">
        <v>415</v>
      </c>
      <c r="C9" s="315"/>
      <c r="D9" s="62"/>
      <c r="E9" s="62">
        <v>55719</v>
      </c>
      <c r="F9" s="466"/>
      <c r="G9" s="55">
        <v>1</v>
      </c>
      <c r="H9" s="481"/>
      <c r="I9" s="614">
        <f t="shared" si="0"/>
        <v>0</v>
      </c>
    </row>
    <row r="10" spans="1:9" x14ac:dyDescent="0.35">
      <c r="A10" s="234" t="s">
        <v>1027</v>
      </c>
      <c r="B10" s="62" t="s">
        <v>96</v>
      </c>
      <c r="C10" s="315"/>
      <c r="D10" s="62"/>
      <c r="E10" s="62">
        <v>55719</v>
      </c>
      <c r="F10" s="466"/>
      <c r="G10" s="55">
        <v>1</v>
      </c>
      <c r="H10" s="481"/>
      <c r="I10" s="614">
        <f t="shared" si="0"/>
        <v>0</v>
      </c>
    </row>
    <row r="11" spans="1:9" x14ac:dyDescent="0.35">
      <c r="A11" s="234" t="s">
        <v>16</v>
      </c>
      <c r="B11" s="62" t="s">
        <v>360</v>
      </c>
      <c r="C11" s="315"/>
      <c r="D11" s="62"/>
      <c r="E11" s="62">
        <v>55719</v>
      </c>
      <c r="F11" s="466"/>
      <c r="G11" s="55">
        <v>1</v>
      </c>
      <c r="H11" s="481"/>
      <c r="I11" s="614">
        <f t="shared" si="0"/>
        <v>0</v>
      </c>
    </row>
    <row r="12" spans="1:9" x14ac:dyDescent="0.35">
      <c r="A12" s="234" t="s">
        <v>1291</v>
      </c>
      <c r="B12" s="62" t="s">
        <v>1612</v>
      </c>
      <c r="C12" s="315"/>
      <c r="D12" s="62"/>
      <c r="E12" s="62">
        <v>55719</v>
      </c>
      <c r="F12" s="466"/>
      <c r="G12" s="55">
        <v>1</v>
      </c>
      <c r="H12" s="481"/>
      <c r="I12" s="614">
        <f t="shared" si="0"/>
        <v>0</v>
      </c>
    </row>
    <row r="13" spans="1:9" x14ac:dyDescent="0.35">
      <c r="A13" s="234" t="s">
        <v>1021</v>
      </c>
      <c r="B13" s="62" t="s">
        <v>269</v>
      </c>
      <c r="C13" s="315"/>
      <c r="D13" s="62"/>
      <c r="E13" s="62">
        <v>55719</v>
      </c>
      <c r="F13" s="466"/>
      <c r="G13" s="55">
        <v>1</v>
      </c>
      <c r="H13" s="481"/>
      <c r="I13" s="614">
        <f t="shared" si="0"/>
        <v>0</v>
      </c>
    </row>
    <row r="14" spans="1:9" x14ac:dyDescent="0.35">
      <c r="A14" s="234" t="s">
        <v>1024</v>
      </c>
      <c r="B14" s="62" t="s">
        <v>76</v>
      </c>
      <c r="C14" s="315"/>
      <c r="D14" s="62"/>
      <c r="E14" s="62">
        <v>55719</v>
      </c>
      <c r="F14" s="466"/>
      <c r="G14" s="55">
        <v>1</v>
      </c>
      <c r="H14" s="481"/>
      <c r="I14" s="614">
        <f t="shared" si="0"/>
        <v>0</v>
      </c>
    </row>
    <row r="15" spans="1:9" x14ac:dyDescent="0.35">
      <c r="A15" s="234" t="s">
        <v>2583</v>
      </c>
      <c r="B15" s="62" t="s">
        <v>78</v>
      </c>
      <c r="C15" s="315"/>
      <c r="D15" s="62"/>
      <c r="E15" s="62">
        <v>55719</v>
      </c>
      <c r="F15" s="466"/>
      <c r="G15" s="55">
        <v>1</v>
      </c>
      <c r="H15" s="481"/>
      <c r="I15" s="614">
        <f t="shared" si="0"/>
        <v>0</v>
      </c>
    </row>
    <row r="16" spans="1:9" x14ac:dyDescent="0.35">
      <c r="A16" s="234" t="s">
        <v>46</v>
      </c>
      <c r="B16" s="62" t="s">
        <v>207</v>
      </c>
      <c r="C16" s="315"/>
      <c r="D16" s="62"/>
      <c r="E16" s="62">
        <v>55719</v>
      </c>
      <c r="F16" s="466"/>
      <c r="G16" s="55">
        <v>2</v>
      </c>
      <c r="H16" s="481"/>
      <c r="I16" s="614">
        <f t="shared" si="0"/>
        <v>0</v>
      </c>
    </row>
    <row r="17" spans="1:9" x14ac:dyDescent="0.35">
      <c r="A17" s="234" t="s">
        <v>1019</v>
      </c>
      <c r="B17" s="62" t="s">
        <v>90</v>
      </c>
      <c r="C17" s="315"/>
      <c r="D17" s="62"/>
      <c r="E17" s="62">
        <v>55719</v>
      </c>
      <c r="F17" s="466"/>
      <c r="G17" s="55">
        <v>1</v>
      </c>
      <c r="H17" s="481"/>
      <c r="I17" s="614">
        <f t="shared" si="0"/>
        <v>0</v>
      </c>
    </row>
    <row r="18" spans="1:9" x14ac:dyDescent="0.35">
      <c r="A18" s="234" t="s">
        <v>1120</v>
      </c>
      <c r="B18" s="62" t="s">
        <v>85</v>
      </c>
      <c r="C18" s="315"/>
      <c r="D18" s="62"/>
      <c r="E18" s="62">
        <v>55719</v>
      </c>
      <c r="F18" s="466"/>
      <c r="G18" s="55">
        <v>1</v>
      </c>
      <c r="H18" s="481"/>
      <c r="I18" s="614">
        <f t="shared" si="0"/>
        <v>0</v>
      </c>
    </row>
    <row r="19" spans="1:9" x14ac:dyDescent="0.35">
      <c r="A19" s="234" t="s">
        <v>1121</v>
      </c>
      <c r="B19" s="62" t="s">
        <v>733</v>
      </c>
      <c r="C19" s="315"/>
      <c r="D19" s="62"/>
      <c r="E19" s="62">
        <v>55719</v>
      </c>
      <c r="F19" s="466"/>
      <c r="G19" s="55">
        <v>1</v>
      </c>
      <c r="H19" s="481"/>
      <c r="I19" s="614">
        <f t="shared" si="0"/>
        <v>0</v>
      </c>
    </row>
    <row r="20" spans="1:9" x14ac:dyDescent="0.35">
      <c r="A20" s="234" t="s">
        <v>1125</v>
      </c>
      <c r="B20" s="62" t="s">
        <v>707</v>
      </c>
      <c r="C20" s="315"/>
      <c r="D20" s="62"/>
      <c r="E20" s="62">
        <v>55719</v>
      </c>
      <c r="F20" s="466"/>
      <c r="G20" s="55">
        <v>1</v>
      </c>
      <c r="H20" s="481"/>
      <c r="I20" s="614">
        <f t="shared" si="0"/>
        <v>0</v>
      </c>
    </row>
    <row r="21" spans="1:9" x14ac:dyDescent="0.35">
      <c r="A21" s="234" t="s">
        <v>874</v>
      </c>
      <c r="B21" s="62" t="s">
        <v>206</v>
      </c>
      <c r="C21" s="315"/>
      <c r="D21" s="62"/>
      <c r="E21" s="62">
        <v>55719</v>
      </c>
      <c r="F21" s="466"/>
      <c r="G21" s="55">
        <v>1</v>
      </c>
      <c r="H21" s="481"/>
      <c r="I21" s="614">
        <f t="shared" si="0"/>
        <v>0</v>
      </c>
    </row>
    <row r="22" spans="1:9" x14ac:dyDescent="0.35">
      <c r="A22" s="234" t="s">
        <v>975</v>
      </c>
      <c r="B22" s="62" t="s">
        <v>356</v>
      </c>
      <c r="C22" s="315"/>
      <c r="D22" s="62"/>
      <c r="E22" s="62">
        <v>55719</v>
      </c>
      <c r="F22" s="466"/>
      <c r="G22" s="55">
        <v>1</v>
      </c>
      <c r="H22" s="481"/>
      <c r="I22" s="614">
        <f t="shared" si="0"/>
        <v>0</v>
      </c>
    </row>
    <row r="23" spans="1:9" x14ac:dyDescent="0.35">
      <c r="A23" s="234" t="s">
        <v>880</v>
      </c>
      <c r="B23" s="62" t="s">
        <v>366</v>
      </c>
      <c r="C23" s="315"/>
      <c r="D23" s="62"/>
      <c r="E23" s="62">
        <v>55719</v>
      </c>
      <c r="F23" s="466"/>
      <c r="G23" s="55">
        <v>1</v>
      </c>
      <c r="H23" s="481"/>
      <c r="I23" s="614">
        <f t="shared" si="0"/>
        <v>0</v>
      </c>
    </row>
    <row r="24" spans="1:9" x14ac:dyDescent="0.35">
      <c r="A24" s="234" t="s">
        <v>878</v>
      </c>
      <c r="B24" s="62" t="s">
        <v>94</v>
      </c>
      <c r="C24" s="315"/>
      <c r="D24" s="62"/>
      <c r="E24" s="62">
        <v>55719</v>
      </c>
      <c r="F24" s="466"/>
      <c r="G24" s="55">
        <v>1</v>
      </c>
      <c r="H24" s="481"/>
      <c r="I24" s="614">
        <f t="shared" si="0"/>
        <v>0</v>
      </c>
    </row>
    <row r="25" spans="1:9" x14ac:dyDescent="0.35">
      <c r="A25" s="234" t="s">
        <v>871</v>
      </c>
      <c r="B25" s="62" t="s">
        <v>95</v>
      </c>
      <c r="C25" s="315"/>
      <c r="D25" s="62"/>
      <c r="E25" s="62">
        <v>55719</v>
      </c>
      <c r="F25" s="466"/>
      <c r="G25" s="55">
        <v>1</v>
      </c>
      <c r="H25" s="481"/>
      <c r="I25" s="614">
        <f t="shared" si="0"/>
        <v>0</v>
      </c>
    </row>
    <row r="26" spans="1:9" x14ac:dyDescent="0.35">
      <c r="A26" s="234" t="s">
        <v>1181</v>
      </c>
      <c r="B26" s="62" t="s">
        <v>735</v>
      </c>
      <c r="C26" s="315"/>
      <c r="D26" s="62"/>
      <c r="E26" s="62">
        <v>55719</v>
      </c>
      <c r="F26" s="466"/>
      <c r="G26" s="55">
        <v>1</v>
      </c>
      <c r="H26" s="481"/>
      <c r="I26" s="614">
        <f t="shared" si="0"/>
        <v>0</v>
      </c>
    </row>
    <row r="27" spans="1:9" x14ac:dyDescent="0.35">
      <c r="A27" s="234" t="s">
        <v>1182</v>
      </c>
      <c r="B27" s="62" t="s">
        <v>99</v>
      </c>
      <c r="C27" s="315"/>
      <c r="D27" s="62"/>
      <c r="E27" s="62">
        <v>55719</v>
      </c>
      <c r="F27" s="466"/>
      <c r="G27" s="55">
        <v>1</v>
      </c>
      <c r="H27" s="481"/>
      <c r="I27" s="614">
        <f t="shared" si="0"/>
        <v>0</v>
      </c>
    </row>
    <row r="28" spans="1:9" x14ac:dyDescent="0.35">
      <c r="A28" s="234" t="s">
        <v>1186</v>
      </c>
      <c r="B28" s="62" t="s">
        <v>80</v>
      </c>
      <c r="C28" s="315"/>
      <c r="D28" s="62"/>
      <c r="E28" s="62">
        <v>55719</v>
      </c>
      <c r="F28" s="466"/>
      <c r="G28" s="55">
        <v>1</v>
      </c>
      <c r="H28" s="481"/>
      <c r="I28" s="614">
        <f t="shared" si="0"/>
        <v>0</v>
      </c>
    </row>
    <row r="29" spans="1:9" x14ac:dyDescent="0.35">
      <c r="A29" s="234" t="s">
        <v>183</v>
      </c>
      <c r="B29" s="62" t="s">
        <v>184</v>
      </c>
      <c r="C29" s="315"/>
      <c r="D29" s="62"/>
      <c r="E29" s="62">
        <v>55719</v>
      </c>
      <c r="F29" s="466"/>
      <c r="G29" s="55">
        <v>2</v>
      </c>
      <c r="H29" s="481"/>
      <c r="I29" s="614">
        <f t="shared" si="0"/>
        <v>0</v>
      </c>
    </row>
    <row r="30" spans="1:9" x14ac:dyDescent="0.35">
      <c r="A30" s="234" t="s">
        <v>11</v>
      </c>
      <c r="B30" s="62" t="s">
        <v>233</v>
      </c>
      <c r="C30" s="315"/>
      <c r="D30" s="62"/>
      <c r="E30" s="62">
        <v>55719</v>
      </c>
      <c r="F30" s="466"/>
      <c r="G30" s="55">
        <v>1</v>
      </c>
      <c r="H30" s="481"/>
      <c r="I30" s="614">
        <f t="shared" si="0"/>
        <v>0</v>
      </c>
    </row>
    <row r="31" spans="1:9" x14ac:dyDescent="0.35">
      <c r="A31" s="234" t="s">
        <v>12</v>
      </c>
      <c r="B31" s="62" t="s">
        <v>150</v>
      </c>
      <c r="C31" s="315"/>
      <c r="D31" s="62"/>
      <c r="E31" s="62">
        <v>55719</v>
      </c>
      <c r="F31" s="466"/>
      <c r="G31" s="55">
        <v>1</v>
      </c>
      <c r="H31" s="481"/>
      <c r="I31" s="614">
        <f t="shared" si="0"/>
        <v>0</v>
      </c>
    </row>
    <row r="32" spans="1:9" x14ac:dyDescent="0.35">
      <c r="A32" s="234" t="s">
        <v>6</v>
      </c>
      <c r="B32" s="62" t="s">
        <v>87</v>
      </c>
      <c r="C32" s="315"/>
      <c r="D32" s="62"/>
      <c r="E32" s="62">
        <v>55719</v>
      </c>
      <c r="F32" s="466"/>
      <c r="G32" s="55">
        <v>1</v>
      </c>
      <c r="H32" s="481"/>
      <c r="I32" s="614">
        <f t="shared" si="0"/>
        <v>0</v>
      </c>
    </row>
    <row r="33" spans="1:9" x14ac:dyDescent="0.35">
      <c r="A33" s="234" t="s">
        <v>3</v>
      </c>
      <c r="B33" s="62" t="s">
        <v>414</v>
      </c>
      <c r="C33" s="315"/>
      <c r="D33" s="62"/>
      <c r="E33" s="62">
        <v>55719</v>
      </c>
      <c r="F33" s="466"/>
      <c r="G33" s="55">
        <v>1</v>
      </c>
      <c r="H33" s="481"/>
      <c r="I33" s="614">
        <f t="shared" si="0"/>
        <v>0</v>
      </c>
    </row>
    <row r="34" spans="1:9" x14ac:dyDescent="0.35">
      <c r="A34" s="234" t="s">
        <v>1608</v>
      </c>
      <c r="B34" s="62" t="s">
        <v>1609</v>
      </c>
      <c r="C34" s="315"/>
      <c r="D34" s="62"/>
      <c r="E34" s="62">
        <v>55719</v>
      </c>
      <c r="F34" s="466"/>
      <c r="G34" s="55">
        <v>1</v>
      </c>
      <c r="H34" s="481"/>
      <c r="I34" s="614">
        <f t="shared" ref="I34:I65" si="1">+G34*H34</f>
        <v>0</v>
      </c>
    </row>
    <row r="35" spans="1:9" x14ac:dyDescent="0.35">
      <c r="A35" s="234" t="s">
        <v>159</v>
      </c>
      <c r="B35" s="62" t="s">
        <v>427</v>
      </c>
      <c r="C35" s="315"/>
      <c r="D35" s="62"/>
      <c r="E35" s="62">
        <v>55719</v>
      </c>
      <c r="F35" s="466"/>
      <c r="G35" s="55">
        <v>1</v>
      </c>
      <c r="H35" s="481"/>
      <c r="I35" s="614">
        <f t="shared" si="1"/>
        <v>0</v>
      </c>
    </row>
    <row r="36" spans="1:9" x14ac:dyDescent="0.35">
      <c r="A36" s="236" t="s">
        <v>2597</v>
      </c>
      <c r="B36" s="62" t="s">
        <v>428</v>
      </c>
      <c r="C36" s="315"/>
      <c r="D36" s="62"/>
      <c r="E36" s="62">
        <v>55719</v>
      </c>
      <c r="F36" s="466"/>
      <c r="G36" s="55">
        <v>1</v>
      </c>
      <c r="H36" s="481"/>
      <c r="I36" s="614">
        <f t="shared" si="1"/>
        <v>0</v>
      </c>
    </row>
    <row r="37" spans="1:9" x14ac:dyDescent="0.35">
      <c r="A37" s="234" t="s">
        <v>2484</v>
      </c>
      <c r="B37" s="62" t="s">
        <v>2223</v>
      </c>
      <c r="C37" s="315"/>
      <c r="D37" s="62"/>
      <c r="E37" s="62">
        <v>55719</v>
      </c>
      <c r="F37" s="466"/>
      <c r="G37" s="55">
        <v>1</v>
      </c>
      <c r="H37" s="481"/>
      <c r="I37" s="614">
        <f t="shared" si="1"/>
        <v>0</v>
      </c>
    </row>
    <row r="38" spans="1:9" x14ac:dyDescent="0.35">
      <c r="A38" s="234" t="s">
        <v>1760</v>
      </c>
      <c r="B38" s="62" t="s">
        <v>311</v>
      </c>
      <c r="C38" s="315"/>
      <c r="D38" s="62"/>
      <c r="E38" s="62">
        <v>55719</v>
      </c>
      <c r="F38" s="466"/>
      <c r="G38" s="55">
        <v>1</v>
      </c>
      <c r="H38" s="481"/>
      <c r="I38" s="614">
        <f t="shared" si="1"/>
        <v>0</v>
      </c>
    </row>
    <row r="39" spans="1:9" x14ac:dyDescent="0.35">
      <c r="A39" s="234" t="s">
        <v>1137</v>
      </c>
      <c r="B39" s="62" t="s">
        <v>312</v>
      </c>
      <c r="C39" s="315"/>
      <c r="D39" s="62"/>
      <c r="E39" s="62">
        <v>55719</v>
      </c>
      <c r="F39" s="466"/>
      <c r="G39" s="55">
        <v>1</v>
      </c>
      <c r="H39" s="481"/>
      <c r="I39" s="614">
        <f t="shared" si="1"/>
        <v>0</v>
      </c>
    </row>
    <row r="40" spans="1:9" x14ac:dyDescent="0.35">
      <c r="A40" s="234" t="s">
        <v>1011</v>
      </c>
      <c r="B40" s="62" t="s">
        <v>282</v>
      </c>
      <c r="C40" s="315"/>
      <c r="D40" s="62"/>
      <c r="E40" s="62">
        <v>55719</v>
      </c>
      <c r="F40" s="466"/>
      <c r="G40" s="55">
        <v>1</v>
      </c>
      <c r="H40" s="481"/>
      <c r="I40" s="614">
        <f t="shared" si="1"/>
        <v>0</v>
      </c>
    </row>
    <row r="41" spans="1:9" x14ac:dyDescent="0.35">
      <c r="A41" s="234" t="s">
        <v>1013</v>
      </c>
      <c r="B41" s="62" t="s">
        <v>283</v>
      </c>
      <c r="C41" s="315"/>
      <c r="D41" s="62"/>
      <c r="E41" s="62">
        <v>55719</v>
      </c>
      <c r="F41" s="466"/>
      <c r="G41" s="55">
        <v>1</v>
      </c>
      <c r="H41" s="481"/>
      <c r="I41" s="614">
        <f t="shared" si="1"/>
        <v>0</v>
      </c>
    </row>
    <row r="42" spans="1:9" x14ac:dyDescent="0.35">
      <c r="A42" s="234" t="s">
        <v>1007</v>
      </c>
      <c r="B42" s="62" t="s">
        <v>313</v>
      </c>
      <c r="C42" s="315"/>
      <c r="D42" s="62"/>
      <c r="E42" s="62">
        <v>55719</v>
      </c>
      <c r="F42" s="466"/>
      <c r="G42" s="55">
        <v>1</v>
      </c>
      <c r="H42" s="481"/>
      <c r="I42" s="614">
        <f t="shared" si="1"/>
        <v>0</v>
      </c>
    </row>
    <row r="43" spans="1:9" x14ac:dyDescent="0.35">
      <c r="A43" s="234" t="s">
        <v>1014</v>
      </c>
      <c r="B43" s="62" t="s">
        <v>314</v>
      </c>
      <c r="C43" s="315"/>
      <c r="D43" s="62"/>
      <c r="E43" s="62">
        <v>55719</v>
      </c>
      <c r="F43" s="466"/>
      <c r="G43" s="55">
        <v>1</v>
      </c>
      <c r="H43" s="481"/>
      <c r="I43" s="614">
        <f t="shared" si="1"/>
        <v>0</v>
      </c>
    </row>
    <row r="44" spans="1:9" x14ac:dyDescent="0.35">
      <c r="A44" s="234" t="s">
        <v>1012</v>
      </c>
      <c r="B44" s="62" t="s">
        <v>285</v>
      </c>
      <c r="C44" s="315"/>
      <c r="D44" s="62"/>
      <c r="E44" s="62">
        <v>55719</v>
      </c>
      <c r="F44" s="466"/>
      <c r="G44" s="55">
        <v>1</v>
      </c>
      <c r="H44" s="481"/>
      <c r="I44" s="614">
        <f t="shared" si="1"/>
        <v>0</v>
      </c>
    </row>
    <row r="45" spans="1:9" x14ac:dyDescent="0.35">
      <c r="A45" s="234" t="s">
        <v>1008</v>
      </c>
      <c r="B45" s="62" t="s">
        <v>173</v>
      </c>
      <c r="C45" s="315"/>
      <c r="D45" s="62"/>
      <c r="E45" s="62">
        <v>55719</v>
      </c>
      <c r="F45" s="466"/>
      <c r="G45" s="55">
        <v>1</v>
      </c>
      <c r="H45" s="481"/>
      <c r="I45" s="614">
        <f t="shared" si="1"/>
        <v>0</v>
      </c>
    </row>
    <row r="46" spans="1:9" x14ac:dyDescent="0.35">
      <c r="A46" s="234" t="s">
        <v>899</v>
      </c>
      <c r="B46" s="62" t="s">
        <v>281</v>
      </c>
      <c r="C46" s="315"/>
      <c r="D46" s="62"/>
      <c r="E46" s="62">
        <v>55719</v>
      </c>
      <c r="F46" s="466"/>
      <c r="G46" s="55">
        <v>1</v>
      </c>
      <c r="H46" s="481"/>
      <c r="I46" s="614">
        <f t="shared" si="1"/>
        <v>0</v>
      </c>
    </row>
    <row r="47" spans="1:9" x14ac:dyDescent="0.35">
      <c r="A47" s="234" t="s">
        <v>2334</v>
      </c>
      <c r="B47" s="62" t="s">
        <v>284</v>
      </c>
      <c r="C47" s="315"/>
      <c r="D47" s="62"/>
      <c r="E47" s="62">
        <v>55719</v>
      </c>
      <c r="F47" s="466"/>
      <c r="G47" s="55">
        <v>1</v>
      </c>
      <c r="H47" s="481"/>
      <c r="I47" s="614">
        <f t="shared" si="1"/>
        <v>0</v>
      </c>
    </row>
    <row r="48" spans="1:9" x14ac:dyDescent="0.35">
      <c r="A48" s="234" t="s">
        <v>1762</v>
      </c>
      <c r="B48" s="62" t="s">
        <v>113</v>
      </c>
      <c r="C48" s="315"/>
      <c r="D48" s="62"/>
      <c r="E48" s="62">
        <v>55719</v>
      </c>
      <c r="F48" s="466"/>
      <c r="G48" s="55">
        <v>1</v>
      </c>
      <c r="H48" s="481"/>
      <c r="I48" s="614">
        <f t="shared" si="1"/>
        <v>0</v>
      </c>
    </row>
    <row r="49" spans="1:9" x14ac:dyDescent="0.35">
      <c r="A49" s="234" t="s">
        <v>1139</v>
      </c>
      <c r="B49" s="62" t="s">
        <v>316</v>
      </c>
      <c r="C49" s="315"/>
      <c r="D49" s="62"/>
      <c r="E49" s="62">
        <v>55719</v>
      </c>
      <c r="F49" s="466"/>
      <c r="G49" s="55">
        <v>1</v>
      </c>
      <c r="H49" s="481"/>
      <c r="I49" s="614">
        <f t="shared" si="1"/>
        <v>0</v>
      </c>
    </row>
    <row r="50" spans="1:9" x14ac:dyDescent="0.35">
      <c r="A50" s="234" t="s">
        <v>2344</v>
      </c>
      <c r="B50" s="62" t="s">
        <v>279</v>
      </c>
      <c r="C50" s="315"/>
      <c r="D50" s="62"/>
      <c r="E50" s="62">
        <v>55719</v>
      </c>
      <c r="F50" s="466"/>
      <c r="G50" s="55">
        <v>1</v>
      </c>
      <c r="H50" s="481"/>
      <c r="I50" s="614">
        <f t="shared" si="1"/>
        <v>0</v>
      </c>
    </row>
    <row r="51" spans="1:9" x14ac:dyDescent="0.35">
      <c r="A51" s="234" t="s">
        <v>916</v>
      </c>
      <c r="B51" s="62" t="s">
        <v>451</v>
      </c>
      <c r="C51" s="315"/>
      <c r="D51" s="62"/>
      <c r="E51" s="62">
        <v>55719</v>
      </c>
      <c r="F51" s="466"/>
      <c r="G51" s="55">
        <v>1</v>
      </c>
      <c r="H51" s="481"/>
      <c r="I51" s="614">
        <f t="shared" si="1"/>
        <v>0</v>
      </c>
    </row>
    <row r="52" spans="1:9" x14ac:dyDescent="0.35">
      <c r="A52" s="234" t="s">
        <v>917</v>
      </c>
      <c r="B52" s="62" t="s">
        <v>452</v>
      </c>
      <c r="C52" s="315"/>
      <c r="D52" s="62"/>
      <c r="E52" s="62">
        <v>55719</v>
      </c>
      <c r="F52" s="466"/>
      <c r="G52" s="55">
        <v>1</v>
      </c>
      <c r="H52" s="481"/>
      <c r="I52" s="614">
        <f t="shared" si="1"/>
        <v>0</v>
      </c>
    </row>
    <row r="53" spans="1:9" x14ac:dyDescent="0.35">
      <c r="A53" s="234" t="s">
        <v>918</v>
      </c>
      <c r="B53" s="62" t="s">
        <v>449</v>
      </c>
      <c r="C53" s="315"/>
      <c r="D53" s="62"/>
      <c r="E53" s="62">
        <v>55719</v>
      </c>
      <c r="F53" s="466"/>
      <c r="G53" s="55">
        <v>1</v>
      </c>
      <c r="H53" s="481"/>
      <c r="I53" s="614">
        <f t="shared" si="1"/>
        <v>0</v>
      </c>
    </row>
    <row r="54" spans="1:9" x14ac:dyDescent="0.35">
      <c r="A54" s="234" t="s">
        <v>919</v>
      </c>
      <c r="B54" s="62" t="s">
        <v>447</v>
      </c>
      <c r="C54" s="315"/>
      <c r="D54" s="62"/>
      <c r="E54" s="62">
        <v>55719</v>
      </c>
      <c r="F54" s="466"/>
      <c r="G54" s="55">
        <v>1</v>
      </c>
      <c r="H54" s="481"/>
      <c r="I54" s="614">
        <f t="shared" si="1"/>
        <v>0</v>
      </c>
    </row>
    <row r="55" spans="1:9" x14ac:dyDescent="0.35">
      <c r="A55" s="234" t="s">
        <v>920</v>
      </c>
      <c r="B55" s="62" t="s">
        <v>446</v>
      </c>
      <c r="C55" s="315"/>
      <c r="D55" s="62"/>
      <c r="E55" s="62">
        <v>55719</v>
      </c>
      <c r="F55" s="466"/>
      <c r="G55" s="55">
        <v>1</v>
      </c>
      <c r="H55" s="481"/>
      <c r="I55" s="614">
        <f t="shared" si="1"/>
        <v>0</v>
      </c>
    </row>
    <row r="56" spans="1:9" x14ac:dyDescent="0.35">
      <c r="A56" s="234" t="s">
        <v>900</v>
      </c>
      <c r="B56" s="62" t="s">
        <v>301</v>
      </c>
      <c r="C56" s="315"/>
      <c r="D56" s="62"/>
      <c r="E56" s="62">
        <v>55719</v>
      </c>
      <c r="F56" s="466"/>
      <c r="G56" s="55">
        <v>1</v>
      </c>
      <c r="H56" s="481"/>
      <c r="I56" s="614">
        <f t="shared" si="1"/>
        <v>0</v>
      </c>
    </row>
    <row r="57" spans="1:9" x14ac:dyDescent="0.35">
      <c r="A57" s="234" t="s">
        <v>922</v>
      </c>
      <c r="B57" s="62" t="s">
        <v>302</v>
      </c>
      <c r="C57" s="315"/>
      <c r="D57" s="62"/>
      <c r="E57" s="62">
        <v>55719</v>
      </c>
      <c r="F57" s="466"/>
      <c r="G57" s="55">
        <v>1</v>
      </c>
      <c r="H57" s="481"/>
      <c r="I57" s="614">
        <f t="shared" si="1"/>
        <v>0</v>
      </c>
    </row>
    <row r="58" spans="1:9" x14ac:dyDescent="0.35">
      <c r="A58" s="234" t="s">
        <v>885</v>
      </c>
      <c r="B58" s="62" t="s">
        <v>229</v>
      </c>
      <c r="C58" s="315"/>
      <c r="D58" s="62"/>
      <c r="E58" s="62">
        <v>55719</v>
      </c>
      <c r="F58" s="466"/>
      <c r="G58" s="55">
        <v>1</v>
      </c>
      <c r="H58" s="481"/>
      <c r="I58" s="614">
        <f t="shared" si="1"/>
        <v>0</v>
      </c>
    </row>
    <row r="59" spans="1:9" x14ac:dyDescent="0.35">
      <c r="A59" s="234" t="s">
        <v>1235</v>
      </c>
      <c r="B59" s="62" t="s">
        <v>497</v>
      </c>
      <c r="C59" s="315"/>
      <c r="D59" s="62"/>
      <c r="E59" s="62">
        <v>55719</v>
      </c>
      <c r="F59" s="466"/>
      <c r="G59" s="55">
        <v>1</v>
      </c>
      <c r="H59" s="481"/>
      <c r="I59" s="614">
        <f t="shared" si="1"/>
        <v>0</v>
      </c>
    </row>
    <row r="60" spans="1:9" x14ac:dyDescent="0.35">
      <c r="A60" s="234" t="s">
        <v>1099</v>
      </c>
      <c r="B60" s="62" t="s">
        <v>426</v>
      </c>
      <c r="C60" s="315"/>
      <c r="D60" s="62"/>
      <c r="E60" s="62">
        <v>55719</v>
      </c>
      <c r="F60" s="466"/>
      <c r="G60" s="55">
        <v>1</v>
      </c>
      <c r="H60" s="481"/>
      <c r="I60" s="614">
        <f t="shared" si="1"/>
        <v>0</v>
      </c>
    </row>
    <row r="61" spans="1:9" x14ac:dyDescent="0.35">
      <c r="A61" s="234" t="s">
        <v>1076</v>
      </c>
      <c r="B61" s="62" t="s">
        <v>77</v>
      </c>
      <c r="C61" s="315"/>
      <c r="D61" s="62"/>
      <c r="E61" s="62">
        <v>55719</v>
      </c>
      <c r="F61" s="466"/>
      <c r="G61" s="55">
        <v>1</v>
      </c>
      <c r="H61" s="481"/>
      <c r="I61" s="614">
        <f t="shared" si="1"/>
        <v>0</v>
      </c>
    </row>
    <row r="62" spans="1:9" x14ac:dyDescent="0.35">
      <c r="A62" s="234" t="s">
        <v>1597</v>
      </c>
      <c r="B62" s="62" t="s">
        <v>2446</v>
      </c>
      <c r="C62" s="315"/>
      <c r="D62" s="62"/>
      <c r="E62" s="62">
        <v>55719</v>
      </c>
      <c r="F62" s="466"/>
      <c r="G62" s="55">
        <v>1</v>
      </c>
      <c r="H62" s="481"/>
      <c r="I62" s="614">
        <f t="shared" si="1"/>
        <v>0</v>
      </c>
    </row>
    <row r="63" spans="1:9" x14ac:dyDescent="0.35">
      <c r="A63" s="234" t="s">
        <v>1109</v>
      </c>
      <c r="B63" s="62" t="s">
        <v>340</v>
      </c>
      <c r="C63" s="315"/>
      <c r="D63" s="62"/>
      <c r="E63" s="62">
        <v>55719</v>
      </c>
      <c r="F63" s="466"/>
      <c r="G63" s="55">
        <v>1</v>
      </c>
      <c r="H63" s="481"/>
      <c r="I63" s="614">
        <f t="shared" si="1"/>
        <v>0</v>
      </c>
    </row>
    <row r="64" spans="1:9" x14ac:dyDescent="0.35">
      <c r="A64" s="234" t="s">
        <v>64</v>
      </c>
      <c r="B64" s="62" t="s">
        <v>498</v>
      </c>
      <c r="C64" s="315"/>
      <c r="D64" s="62"/>
      <c r="E64" s="62">
        <v>55719</v>
      </c>
      <c r="F64" s="466"/>
      <c r="G64" s="55">
        <v>1</v>
      </c>
      <c r="H64" s="481"/>
      <c r="I64" s="614">
        <f t="shared" si="1"/>
        <v>0</v>
      </c>
    </row>
    <row r="65" spans="1:9" x14ac:dyDescent="0.35">
      <c r="A65" s="234" t="s">
        <v>1368</v>
      </c>
      <c r="B65" s="62" t="s">
        <v>499</v>
      </c>
      <c r="C65" s="315"/>
      <c r="D65" s="62"/>
      <c r="E65" s="62">
        <v>55719</v>
      </c>
      <c r="F65" s="466"/>
      <c r="G65" s="55">
        <v>1</v>
      </c>
      <c r="H65" s="481"/>
      <c r="I65" s="614">
        <f t="shared" si="1"/>
        <v>0</v>
      </c>
    </row>
    <row r="66" spans="1:9" x14ac:dyDescent="0.35">
      <c r="A66" s="234" t="s">
        <v>1245</v>
      </c>
      <c r="B66" s="62" t="s">
        <v>481</v>
      </c>
      <c r="C66" s="315"/>
      <c r="D66" s="62"/>
      <c r="E66" s="62">
        <v>55719</v>
      </c>
      <c r="F66" s="466"/>
      <c r="G66" s="55">
        <v>1</v>
      </c>
      <c r="H66" s="481"/>
      <c r="I66" s="614">
        <f t="shared" ref="I66:I97" si="2">+G66*H66</f>
        <v>0</v>
      </c>
    </row>
    <row r="67" spans="1:9" x14ac:dyDescent="0.35">
      <c r="A67" s="234" t="s">
        <v>1246</v>
      </c>
      <c r="B67" s="62" t="s">
        <v>496</v>
      </c>
      <c r="C67" s="315"/>
      <c r="D67" s="62"/>
      <c r="E67" s="62">
        <v>55719</v>
      </c>
      <c r="F67" s="466"/>
      <c r="G67" s="55">
        <v>1</v>
      </c>
      <c r="H67" s="481"/>
      <c r="I67" s="614">
        <f t="shared" si="2"/>
        <v>0</v>
      </c>
    </row>
    <row r="68" spans="1:9" x14ac:dyDescent="0.35">
      <c r="A68" s="234" t="s">
        <v>1247</v>
      </c>
      <c r="B68" s="62" t="s">
        <v>100</v>
      </c>
      <c r="C68" s="315"/>
      <c r="D68" s="62"/>
      <c r="E68" s="62">
        <v>55719</v>
      </c>
      <c r="F68" s="466"/>
      <c r="G68" s="55">
        <v>1</v>
      </c>
      <c r="H68" s="481"/>
      <c r="I68" s="614">
        <f t="shared" si="2"/>
        <v>0</v>
      </c>
    </row>
    <row r="69" spans="1:9" x14ac:dyDescent="0.35">
      <c r="A69" s="234" t="s">
        <v>1066</v>
      </c>
      <c r="B69" s="62" t="s">
        <v>70</v>
      </c>
      <c r="C69" s="315"/>
      <c r="D69" s="62"/>
      <c r="E69" s="62">
        <v>55719</v>
      </c>
      <c r="F69" s="466"/>
      <c r="G69" s="55">
        <v>1</v>
      </c>
      <c r="H69" s="481"/>
      <c r="I69" s="614">
        <f t="shared" si="2"/>
        <v>0</v>
      </c>
    </row>
    <row r="70" spans="1:9" x14ac:dyDescent="0.35">
      <c r="A70" s="234" t="s">
        <v>1169</v>
      </c>
      <c r="B70" s="62" t="s">
        <v>1611</v>
      </c>
      <c r="C70" s="315"/>
      <c r="D70" s="62"/>
      <c r="E70" s="62">
        <v>55719</v>
      </c>
      <c r="F70" s="466"/>
      <c r="G70" s="55">
        <v>1</v>
      </c>
      <c r="H70" s="481"/>
      <c r="I70" s="614">
        <f t="shared" si="2"/>
        <v>0</v>
      </c>
    </row>
    <row r="71" spans="1:9" x14ac:dyDescent="0.35">
      <c r="A71" s="234" t="s">
        <v>930</v>
      </c>
      <c r="B71" s="62" t="s">
        <v>88</v>
      </c>
      <c r="C71" s="315"/>
      <c r="D71" s="62"/>
      <c r="E71" s="62">
        <v>55719</v>
      </c>
      <c r="F71" s="466"/>
      <c r="G71" s="55">
        <v>1</v>
      </c>
      <c r="H71" s="481"/>
      <c r="I71" s="614">
        <f t="shared" si="2"/>
        <v>0</v>
      </c>
    </row>
    <row r="72" spans="1:9" x14ac:dyDescent="0.35">
      <c r="A72" s="234" t="s">
        <v>4</v>
      </c>
      <c r="B72" s="62" t="s">
        <v>86</v>
      </c>
      <c r="C72" s="315"/>
      <c r="D72" s="62"/>
      <c r="E72" s="62">
        <v>55719</v>
      </c>
      <c r="F72" s="466"/>
      <c r="G72" s="55">
        <v>1</v>
      </c>
      <c r="H72" s="481"/>
      <c r="I72" s="614">
        <f t="shared" si="2"/>
        <v>0</v>
      </c>
    </row>
    <row r="73" spans="1:9" x14ac:dyDescent="0.35">
      <c r="A73" s="234" t="s">
        <v>930</v>
      </c>
      <c r="B73" s="62" t="s">
        <v>89</v>
      </c>
      <c r="C73" s="315"/>
      <c r="D73" s="62"/>
      <c r="E73" s="62">
        <v>55719</v>
      </c>
      <c r="F73" s="466"/>
      <c r="G73" s="55">
        <v>1</v>
      </c>
      <c r="H73" s="481"/>
      <c r="I73" s="614">
        <f t="shared" si="2"/>
        <v>0</v>
      </c>
    </row>
    <row r="74" spans="1:9" x14ac:dyDescent="0.35">
      <c r="A74" s="234" t="s">
        <v>1157</v>
      </c>
      <c r="B74" s="62" t="s">
        <v>644</v>
      </c>
      <c r="C74" s="315"/>
      <c r="D74" s="253"/>
      <c r="E74" s="62">
        <v>55719</v>
      </c>
      <c r="F74" s="466"/>
      <c r="G74" s="55">
        <v>1</v>
      </c>
      <c r="H74" s="481"/>
      <c r="I74" s="614">
        <f t="shared" si="2"/>
        <v>0</v>
      </c>
    </row>
    <row r="75" spans="1:9" x14ac:dyDescent="0.35">
      <c r="A75" s="234" t="s">
        <v>931</v>
      </c>
      <c r="B75" s="62" t="s">
        <v>66</v>
      </c>
      <c r="C75" s="315"/>
      <c r="D75" s="62"/>
      <c r="E75" s="62">
        <v>55719</v>
      </c>
      <c r="F75" s="466"/>
      <c r="G75" s="55">
        <v>1</v>
      </c>
      <c r="H75" s="481"/>
      <c r="I75" s="614">
        <f t="shared" si="2"/>
        <v>0</v>
      </c>
    </row>
    <row r="76" spans="1:9" x14ac:dyDescent="0.35">
      <c r="A76" s="234" t="s">
        <v>1161</v>
      </c>
      <c r="B76" s="62" t="s">
        <v>617</v>
      </c>
      <c r="C76" s="315"/>
      <c r="D76" s="62"/>
      <c r="E76" s="62">
        <v>55719</v>
      </c>
      <c r="F76" s="466"/>
      <c r="G76" s="55">
        <v>1</v>
      </c>
      <c r="H76" s="481"/>
      <c r="I76" s="614">
        <f t="shared" si="2"/>
        <v>0</v>
      </c>
    </row>
    <row r="77" spans="1:9" x14ac:dyDescent="0.35">
      <c r="A77" s="234" t="s">
        <v>933</v>
      </c>
      <c r="B77" s="62" t="s">
        <v>433</v>
      </c>
      <c r="C77" s="315"/>
      <c r="D77" s="62"/>
      <c r="E77" s="62">
        <v>55719</v>
      </c>
      <c r="F77" s="466"/>
      <c r="G77" s="55">
        <v>1</v>
      </c>
      <c r="H77" s="481"/>
      <c r="I77" s="614">
        <f t="shared" si="2"/>
        <v>0</v>
      </c>
    </row>
    <row r="78" spans="1:9" x14ac:dyDescent="0.35">
      <c r="A78" s="234" t="s">
        <v>1162</v>
      </c>
      <c r="B78" s="62" t="s">
        <v>84</v>
      </c>
      <c r="C78" s="315"/>
      <c r="D78" s="62"/>
      <c r="E78" s="62">
        <v>55719</v>
      </c>
      <c r="F78" s="466"/>
      <c r="G78" s="55">
        <v>1</v>
      </c>
      <c r="H78" s="481"/>
      <c r="I78" s="614">
        <f t="shared" si="2"/>
        <v>0</v>
      </c>
    </row>
    <row r="79" spans="1:9" x14ac:dyDescent="0.35">
      <c r="A79" s="234" t="s">
        <v>1163</v>
      </c>
      <c r="B79" s="62" t="s">
        <v>83</v>
      </c>
      <c r="C79" s="315"/>
      <c r="D79" s="62"/>
      <c r="E79" s="62">
        <v>55719</v>
      </c>
      <c r="F79" s="466"/>
      <c r="G79" s="55">
        <v>1</v>
      </c>
      <c r="H79" s="481"/>
      <c r="I79" s="614">
        <f t="shared" si="2"/>
        <v>0</v>
      </c>
    </row>
    <row r="80" spans="1:9" x14ac:dyDescent="0.35">
      <c r="A80" s="234" t="s">
        <v>1166</v>
      </c>
      <c r="B80" s="62" t="s">
        <v>485</v>
      </c>
      <c r="C80" s="315"/>
      <c r="D80" s="62"/>
      <c r="E80" s="62">
        <v>55719</v>
      </c>
      <c r="F80" s="466"/>
      <c r="G80" s="55">
        <v>1</v>
      </c>
      <c r="H80" s="481"/>
      <c r="I80" s="614">
        <f t="shared" si="2"/>
        <v>0</v>
      </c>
    </row>
    <row r="81" spans="1:9" x14ac:dyDescent="0.35">
      <c r="A81" s="234" t="s">
        <v>1114</v>
      </c>
      <c r="B81" s="62" t="s">
        <v>91</v>
      </c>
      <c r="C81" s="315"/>
      <c r="D81" s="62"/>
      <c r="E81" s="62">
        <v>55719</v>
      </c>
      <c r="F81" s="466"/>
      <c r="G81" s="55">
        <v>1</v>
      </c>
      <c r="H81" s="481"/>
      <c r="I81" s="614">
        <f t="shared" si="2"/>
        <v>0</v>
      </c>
    </row>
    <row r="82" spans="1:9" x14ac:dyDescent="0.35">
      <c r="A82" s="234" t="s">
        <v>1113</v>
      </c>
      <c r="B82" s="62" t="s">
        <v>92</v>
      </c>
      <c r="C82" s="315"/>
      <c r="D82" s="62"/>
      <c r="E82" s="62">
        <v>55719</v>
      </c>
      <c r="F82" s="466"/>
      <c r="G82" s="55">
        <v>1</v>
      </c>
      <c r="H82" s="481"/>
      <c r="I82" s="614">
        <f t="shared" si="2"/>
        <v>0</v>
      </c>
    </row>
    <row r="83" spans="1:9" x14ac:dyDescent="0.35">
      <c r="A83" s="234" t="s">
        <v>1105</v>
      </c>
      <c r="B83" s="62" t="s">
        <v>93</v>
      </c>
      <c r="C83" s="315"/>
      <c r="D83" s="62"/>
      <c r="E83" s="62">
        <v>55719</v>
      </c>
      <c r="F83" s="466"/>
      <c r="G83" s="55">
        <v>1</v>
      </c>
      <c r="H83" s="481"/>
      <c r="I83" s="614">
        <f t="shared" si="2"/>
        <v>0</v>
      </c>
    </row>
    <row r="84" spans="1:9" x14ac:dyDescent="0.35">
      <c r="A84" s="234" t="s">
        <v>1061</v>
      </c>
      <c r="B84" s="62" t="s">
        <v>73</v>
      </c>
      <c r="C84" s="315"/>
      <c r="D84" s="62"/>
      <c r="E84" s="62">
        <v>55719</v>
      </c>
      <c r="F84" s="466"/>
      <c r="G84" s="55">
        <v>1</v>
      </c>
      <c r="H84" s="481"/>
      <c r="I84" s="614">
        <f t="shared" si="2"/>
        <v>0</v>
      </c>
    </row>
    <row r="85" spans="1:9" x14ac:dyDescent="0.35">
      <c r="A85" s="234" t="s">
        <v>1060</v>
      </c>
      <c r="B85" s="62" t="s">
        <v>74</v>
      </c>
      <c r="C85" s="315"/>
      <c r="D85" s="62"/>
      <c r="E85" s="62">
        <v>55719</v>
      </c>
      <c r="F85" s="466"/>
      <c r="G85" s="55">
        <v>1</v>
      </c>
      <c r="H85" s="481"/>
      <c r="I85" s="614">
        <f t="shared" si="2"/>
        <v>0</v>
      </c>
    </row>
    <row r="86" spans="1:9" x14ac:dyDescent="0.35">
      <c r="A86" s="234" t="s">
        <v>1062</v>
      </c>
      <c r="B86" s="62" t="s">
        <v>261</v>
      </c>
      <c r="C86" s="315"/>
      <c r="D86" s="62"/>
      <c r="E86" s="62">
        <v>55719</v>
      </c>
      <c r="F86" s="466"/>
      <c r="G86" s="55">
        <v>1</v>
      </c>
      <c r="H86" s="481"/>
      <c r="I86" s="614">
        <f t="shared" si="2"/>
        <v>0</v>
      </c>
    </row>
    <row r="87" spans="1:9" x14ac:dyDescent="0.35">
      <c r="A87" s="234" t="s">
        <v>997</v>
      </c>
      <c r="B87" s="62" t="s">
        <v>388</v>
      </c>
      <c r="C87" s="315"/>
      <c r="D87" s="62"/>
      <c r="E87" s="62">
        <v>55719</v>
      </c>
      <c r="F87" s="466"/>
      <c r="G87" s="55">
        <v>1</v>
      </c>
      <c r="H87" s="481"/>
      <c r="I87" s="614">
        <f t="shared" si="2"/>
        <v>0</v>
      </c>
    </row>
    <row r="88" spans="1:9" x14ac:dyDescent="0.35">
      <c r="A88" s="234" t="s">
        <v>1168</v>
      </c>
      <c r="B88" s="62" t="s">
        <v>75</v>
      </c>
      <c r="C88" s="315"/>
      <c r="D88" s="62"/>
      <c r="E88" s="62">
        <v>55719</v>
      </c>
      <c r="F88" s="466"/>
      <c r="G88" s="55">
        <v>1</v>
      </c>
      <c r="H88" s="481"/>
      <c r="I88" s="614">
        <f t="shared" si="2"/>
        <v>0</v>
      </c>
    </row>
    <row r="89" spans="1:9" x14ac:dyDescent="0.35">
      <c r="A89" s="234" t="s">
        <v>1059</v>
      </c>
      <c r="B89" s="62" t="s">
        <v>69</v>
      </c>
      <c r="C89" s="315"/>
      <c r="D89" s="62"/>
      <c r="E89" s="62">
        <v>55719</v>
      </c>
      <c r="F89" s="466"/>
      <c r="G89" s="55">
        <v>1</v>
      </c>
      <c r="H89" s="481"/>
      <c r="I89" s="614">
        <f t="shared" si="2"/>
        <v>0</v>
      </c>
    </row>
    <row r="90" spans="1:9" x14ac:dyDescent="0.35">
      <c r="A90" s="234" t="s">
        <v>1063</v>
      </c>
      <c r="B90" s="62" t="s">
        <v>71</v>
      </c>
      <c r="C90" s="315"/>
      <c r="D90" s="62"/>
      <c r="E90" s="62">
        <v>55719</v>
      </c>
      <c r="F90" s="466"/>
      <c r="G90" s="55">
        <v>1</v>
      </c>
      <c r="H90" s="481"/>
      <c r="I90" s="614">
        <f t="shared" si="2"/>
        <v>0</v>
      </c>
    </row>
    <row r="91" spans="1:9" x14ac:dyDescent="0.35">
      <c r="A91" s="234" t="s">
        <v>1057</v>
      </c>
      <c r="B91" s="62" t="s">
        <v>72</v>
      </c>
      <c r="C91" s="315"/>
      <c r="D91" s="62"/>
      <c r="E91" s="62">
        <v>55719</v>
      </c>
      <c r="F91" s="466"/>
      <c r="G91" s="55">
        <v>1</v>
      </c>
      <c r="H91" s="481"/>
      <c r="I91" s="614">
        <f t="shared" si="2"/>
        <v>0</v>
      </c>
    </row>
    <row r="92" spans="1:9" x14ac:dyDescent="0.35">
      <c r="A92" s="234" t="s">
        <v>1155</v>
      </c>
      <c r="B92" s="62" t="s">
        <v>789</v>
      </c>
      <c r="C92" s="315"/>
      <c r="D92" s="62"/>
      <c r="E92" s="62">
        <v>55719</v>
      </c>
      <c r="F92" s="466"/>
      <c r="G92" s="55">
        <v>1</v>
      </c>
      <c r="H92" s="481"/>
      <c r="I92" s="614">
        <f t="shared" si="2"/>
        <v>0</v>
      </c>
    </row>
    <row r="93" spans="1:9" x14ac:dyDescent="0.35">
      <c r="A93" s="234" t="s">
        <v>36</v>
      </c>
      <c r="B93" s="62" t="s">
        <v>37</v>
      </c>
      <c r="C93" s="315"/>
      <c r="D93" s="62"/>
      <c r="E93" s="62">
        <v>55719</v>
      </c>
      <c r="F93" s="466"/>
      <c r="G93" s="55">
        <v>1</v>
      </c>
      <c r="H93" s="481"/>
      <c r="I93" s="614">
        <f t="shared" si="2"/>
        <v>0</v>
      </c>
    </row>
    <row r="94" spans="1:9" x14ac:dyDescent="0.35">
      <c r="A94" s="234" t="s">
        <v>10</v>
      </c>
      <c r="B94" s="62" t="s">
        <v>418</v>
      </c>
      <c r="C94" s="315"/>
      <c r="D94" s="62"/>
      <c r="E94" s="62">
        <v>55719</v>
      </c>
      <c r="F94" s="466"/>
      <c r="G94" s="55">
        <v>1</v>
      </c>
      <c r="H94" s="481"/>
      <c r="I94" s="614">
        <f t="shared" si="2"/>
        <v>0</v>
      </c>
    </row>
    <row r="95" spans="1:9" x14ac:dyDescent="0.35">
      <c r="A95" s="234" t="s">
        <v>97</v>
      </c>
      <c r="B95" s="62" t="s">
        <v>457</v>
      </c>
      <c r="C95" s="315"/>
      <c r="D95" s="62"/>
      <c r="E95" s="62">
        <v>55719</v>
      </c>
      <c r="F95" s="466"/>
      <c r="G95" s="55">
        <v>1</v>
      </c>
      <c r="H95" s="481"/>
      <c r="I95" s="614">
        <f t="shared" si="2"/>
        <v>0</v>
      </c>
    </row>
    <row r="96" spans="1:9" x14ac:dyDescent="0.35">
      <c r="A96" s="234" t="s">
        <v>2360</v>
      </c>
      <c r="B96" s="62" t="s">
        <v>358</v>
      </c>
      <c r="C96" s="315"/>
      <c r="D96" s="62"/>
      <c r="E96" s="62">
        <v>55719</v>
      </c>
      <c r="F96" s="466"/>
      <c r="G96" s="55">
        <v>1</v>
      </c>
      <c r="H96" s="481"/>
      <c r="I96" s="614">
        <f t="shared" si="2"/>
        <v>0</v>
      </c>
    </row>
    <row r="97" spans="1:9" x14ac:dyDescent="0.35">
      <c r="A97" s="234" t="s">
        <v>2361</v>
      </c>
      <c r="B97" s="62" t="s">
        <v>196</v>
      </c>
      <c r="C97" s="315"/>
      <c r="D97" s="62"/>
      <c r="E97" s="62">
        <v>55719</v>
      </c>
      <c r="F97" s="466"/>
      <c r="G97" s="55">
        <v>1</v>
      </c>
      <c r="H97" s="481"/>
      <c r="I97" s="614">
        <f t="shared" si="2"/>
        <v>0</v>
      </c>
    </row>
    <row r="98" spans="1:9" x14ac:dyDescent="0.35">
      <c r="A98" s="234" t="s">
        <v>2362</v>
      </c>
      <c r="B98" s="62" t="s">
        <v>734</v>
      </c>
      <c r="C98" s="315"/>
      <c r="D98" s="62"/>
      <c r="E98" s="62">
        <v>55719</v>
      </c>
      <c r="F98" s="466"/>
      <c r="G98" s="55">
        <v>1</v>
      </c>
      <c r="H98" s="481"/>
      <c r="I98" s="614">
        <f t="shared" ref="I98:I103" si="3">+G98*H98</f>
        <v>0</v>
      </c>
    </row>
    <row r="99" spans="1:9" x14ac:dyDescent="0.35">
      <c r="A99" s="234" t="s">
        <v>1269</v>
      </c>
      <c r="B99" s="62" t="s">
        <v>82</v>
      </c>
      <c r="C99" s="315"/>
      <c r="D99" s="62"/>
      <c r="E99" s="62">
        <v>55719</v>
      </c>
      <c r="F99" s="466"/>
      <c r="G99" s="55">
        <v>1</v>
      </c>
      <c r="H99" s="481"/>
      <c r="I99" s="614">
        <f t="shared" si="3"/>
        <v>0</v>
      </c>
    </row>
    <row r="100" spans="1:9" x14ac:dyDescent="0.35">
      <c r="A100" s="234" t="s">
        <v>130</v>
      </c>
      <c r="B100" s="62" t="s">
        <v>131</v>
      </c>
      <c r="C100" s="315"/>
      <c r="D100" s="62"/>
      <c r="E100" s="62">
        <v>55719</v>
      </c>
      <c r="F100" s="466"/>
      <c r="G100" s="55">
        <v>1</v>
      </c>
      <c r="H100" s="481"/>
      <c r="I100" s="614">
        <f t="shared" si="3"/>
        <v>0</v>
      </c>
    </row>
    <row r="101" spans="1:9" x14ac:dyDescent="0.35">
      <c r="A101" s="234" t="s">
        <v>1281</v>
      </c>
      <c r="B101" s="62" t="s">
        <v>153</v>
      </c>
      <c r="C101" s="315"/>
      <c r="D101" s="62"/>
      <c r="E101" s="62">
        <v>55719</v>
      </c>
      <c r="F101" s="466"/>
      <c r="G101" s="55">
        <v>1</v>
      </c>
      <c r="H101" s="481"/>
      <c r="I101" s="614">
        <f t="shared" si="3"/>
        <v>0</v>
      </c>
    </row>
    <row r="102" spans="1:9" x14ac:dyDescent="0.35">
      <c r="A102" s="234" t="s">
        <v>19</v>
      </c>
      <c r="B102" s="62" t="s">
        <v>98</v>
      </c>
      <c r="C102" s="315"/>
      <c r="D102" s="62"/>
      <c r="E102" s="62">
        <v>55719</v>
      </c>
      <c r="F102" s="466"/>
      <c r="G102" s="55">
        <v>1</v>
      </c>
      <c r="H102" s="481"/>
      <c r="I102" s="614">
        <f t="shared" si="3"/>
        <v>0</v>
      </c>
    </row>
    <row r="103" spans="1:9" x14ac:dyDescent="0.35">
      <c r="A103" s="234" t="s">
        <v>19</v>
      </c>
      <c r="B103" s="62" t="s">
        <v>242</v>
      </c>
      <c r="C103" s="315"/>
      <c r="D103" s="62"/>
      <c r="E103" s="62">
        <v>55719</v>
      </c>
      <c r="F103" s="466"/>
      <c r="G103" s="55">
        <v>1</v>
      </c>
      <c r="H103" s="481"/>
      <c r="I103" s="614">
        <f t="shared" si="3"/>
        <v>0</v>
      </c>
    </row>
    <row r="104" spans="1:9" x14ac:dyDescent="0.35">
      <c r="A104" s="91"/>
      <c r="G104" s="86"/>
      <c r="I104" s="484">
        <f>SUM(I2:I103)</f>
        <v>0</v>
      </c>
    </row>
    <row r="105" spans="1:9" x14ac:dyDescent="0.35">
      <c r="A105" s="91"/>
    </row>
    <row r="106" spans="1:9" hidden="1" x14ac:dyDescent="0.35">
      <c r="A106" s="92" t="s">
        <v>736</v>
      </c>
      <c r="B106" s="35"/>
      <c r="C106" s="35"/>
      <c r="D106" s="35"/>
      <c r="E106" s="35"/>
      <c r="F106" s="35"/>
      <c r="G106" s="35"/>
      <c r="H106" s="485"/>
    </row>
    <row r="107" spans="1:9" hidden="1" x14ac:dyDescent="0.35">
      <c r="A107" s="36" t="s">
        <v>648</v>
      </c>
      <c r="B107" s="35" t="s">
        <v>649</v>
      </c>
      <c r="C107" s="35"/>
      <c r="D107" s="35"/>
      <c r="E107" s="35"/>
      <c r="F107" s="35"/>
      <c r="G107" s="35"/>
      <c r="H107" s="485"/>
    </row>
    <row r="108" spans="1:9" hidden="1" x14ac:dyDescent="0.35">
      <c r="A108" s="36" t="s">
        <v>650</v>
      </c>
      <c r="B108" s="35" t="s">
        <v>651</v>
      </c>
      <c r="C108" s="35"/>
      <c r="D108" s="35"/>
      <c r="E108" s="35"/>
      <c r="F108" s="35"/>
      <c r="G108" s="35"/>
      <c r="H108" s="485"/>
    </row>
    <row r="109" spans="1:9" hidden="1" x14ac:dyDescent="0.35">
      <c r="A109" s="36" t="s">
        <v>652</v>
      </c>
      <c r="B109" s="35" t="s">
        <v>653</v>
      </c>
      <c r="C109" s="35"/>
      <c r="D109" s="35"/>
      <c r="E109" s="35"/>
      <c r="F109" s="35"/>
      <c r="G109" s="35"/>
      <c r="H109" s="485"/>
    </row>
    <row r="110" spans="1:9" hidden="1" x14ac:dyDescent="0.35">
      <c r="A110" s="36" t="s">
        <v>654</v>
      </c>
      <c r="B110" s="35" t="s">
        <v>655</v>
      </c>
      <c r="C110" s="35"/>
      <c r="D110" s="35"/>
      <c r="E110" s="35"/>
      <c r="F110" s="35"/>
      <c r="G110" s="35"/>
      <c r="H110" s="485"/>
    </row>
    <row r="111" spans="1:9" hidden="1" x14ac:dyDescent="0.35">
      <c r="A111" s="36" t="s">
        <v>656</v>
      </c>
      <c r="B111" s="35" t="s">
        <v>657</v>
      </c>
      <c r="C111" s="35"/>
      <c r="D111" s="35"/>
      <c r="E111" s="35"/>
      <c r="F111" s="35"/>
      <c r="G111" s="35"/>
      <c r="H111" s="485"/>
    </row>
    <row r="112" spans="1:9" hidden="1" x14ac:dyDescent="0.35">
      <c r="A112" s="36" t="s">
        <v>658</v>
      </c>
      <c r="B112" s="35">
        <v>37031</v>
      </c>
      <c r="C112" s="35"/>
      <c r="D112" s="35"/>
      <c r="E112" s="35"/>
      <c r="F112" s="35"/>
      <c r="G112" s="35"/>
      <c r="H112" s="485"/>
    </row>
    <row r="113" spans="1:9" hidden="1" x14ac:dyDescent="0.35">
      <c r="A113" s="36" t="s">
        <v>659</v>
      </c>
      <c r="B113" s="35" t="s">
        <v>660</v>
      </c>
      <c r="C113" s="35"/>
      <c r="D113" s="35"/>
      <c r="E113" s="35"/>
      <c r="F113" s="35"/>
      <c r="G113" s="35"/>
      <c r="H113" s="485"/>
    </row>
    <row r="114" spans="1:9" hidden="1" x14ac:dyDescent="0.35"/>
    <row r="115" spans="1:9" hidden="1" x14ac:dyDescent="0.35"/>
    <row r="116" spans="1:9" x14ac:dyDescent="0.35">
      <c r="A116" s="269"/>
      <c r="G116" s="86"/>
    </row>
    <row r="117" spans="1:9" s="4" customFormat="1" ht="17.5" x14ac:dyDescent="0.35">
      <c r="A117" s="309" t="s">
        <v>1507</v>
      </c>
      <c r="B117" s="312"/>
      <c r="C117" s="249"/>
      <c r="D117" s="3"/>
      <c r="E117" s="3"/>
      <c r="F117" s="249"/>
      <c r="G117" s="3"/>
      <c r="H117" s="396"/>
      <c r="I117" s="406"/>
    </row>
    <row r="118" spans="1:9" s="4" customFormat="1" ht="17.5" x14ac:dyDescent="0.35">
      <c r="A118" s="309" t="s">
        <v>2383</v>
      </c>
      <c r="B118" s="312"/>
      <c r="C118" s="249"/>
      <c r="D118" s="3"/>
      <c r="E118" s="3"/>
      <c r="F118" s="249"/>
      <c r="G118" s="3"/>
      <c r="H118" s="396"/>
      <c r="I118" s="406"/>
    </row>
    <row r="119" spans="1:9" ht="17.5" x14ac:dyDescent="0.35">
      <c r="A119" s="367" t="s">
        <v>2669</v>
      </c>
      <c r="B119" s="35"/>
    </row>
    <row r="120" spans="1:9" ht="17.5" x14ac:dyDescent="0.35">
      <c r="A120" s="334" t="s">
        <v>2694</v>
      </c>
      <c r="B120" s="456">
        <f>+I104</f>
        <v>0</v>
      </c>
    </row>
  </sheetData>
  <pageMargins left="0.5" right="0.5" top="0.5" bottom="0.5" header="0.3" footer="0.3"/>
  <pageSetup scale="65" fitToWidth="0" fitToHeight="0" orientation="landscape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05"/>
  <sheetViews>
    <sheetView workbookViewId="0">
      <pane ySplit="1" topLeftCell="A66" activePane="bottomLeft" state="frozen"/>
      <selection activeCell="C26" sqref="C26"/>
      <selection pane="bottomLeft" activeCell="A101" sqref="A101:XFD107"/>
    </sheetView>
  </sheetViews>
  <sheetFormatPr defaultColWidth="9.08984375" defaultRowHeight="15.5" x14ac:dyDescent="0.35"/>
  <cols>
    <col min="1" max="1" width="63.90625" style="93" bestFit="1" customWidth="1"/>
    <col min="2" max="2" width="17.36328125" style="56" bestFit="1" customWidth="1"/>
    <col min="3" max="3" width="21.1796875" style="56" customWidth="1"/>
    <col min="4" max="4" width="22.54296875" style="56" customWidth="1"/>
    <col min="5" max="5" width="14.36328125" style="56" customWidth="1"/>
    <col min="6" max="6" width="16.453125" style="56" customWidth="1"/>
    <col min="7" max="7" width="11.90625" style="56" customWidth="1"/>
    <col min="8" max="8" width="13.08984375" style="483" customWidth="1"/>
    <col min="9" max="9" width="18.6328125" style="484" customWidth="1"/>
    <col min="10" max="16384" width="9.08984375" style="91"/>
  </cols>
  <sheetData>
    <row r="1" spans="1:9" x14ac:dyDescent="0.35">
      <c r="A1" s="613" t="s">
        <v>0</v>
      </c>
      <c r="B1" s="21" t="s">
        <v>1</v>
      </c>
      <c r="C1" s="281" t="s">
        <v>2700</v>
      </c>
      <c r="D1" s="21" t="s">
        <v>1821</v>
      </c>
      <c r="E1" s="21" t="s">
        <v>1599</v>
      </c>
      <c r="F1" s="281" t="s">
        <v>2699</v>
      </c>
      <c r="G1" s="90" t="s">
        <v>364</v>
      </c>
      <c r="H1" s="393" t="s">
        <v>2695</v>
      </c>
      <c r="I1" s="404" t="s">
        <v>2696</v>
      </c>
    </row>
    <row r="2" spans="1:9" x14ac:dyDescent="0.35">
      <c r="A2" s="617" t="s">
        <v>17</v>
      </c>
      <c r="B2" s="62" t="s">
        <v>2473</v>
      </c>
      <c r="C2" s="315"/>
      <c r="D2" s="62"/>
      <c r="E2" s="62">
        <v>55719</v>
      </c>
      <c r="F2" s="466"/>
      <c r="G2" s="55">
        <v>1</v>
      </c>
      <c r="H2" s="394"/>
      <c r="I2" s="482">
        <f t="shared" ref="I2:I33" si="0">+G2*H2</f>
        <v>0</v>
      </c>
    </row>
    <row r="3" spans="1:9" x14ac:dyDescent="0.35">
      <c r="A3" s="617" t="s">
        <v>988</v>
      </c>
      <c r="B3" s="62" t="s">
        <v>2235</v>
      </c>
      <c r="C3" s="315"/>
      <c r="D3" s="62"/>
      <c r="E3" s="62">
        <v>55719</v>
      </c>
      <c r="F3" s="466"/>
      <c r="G3" s="55">
        <v>1</v>
      </c>
      <c r="H3" s="394"/>
      <c r="I3" s="482">
        <f t="shared" si="0"/>
        <v>0</v>
      </c>
    </row>
    <row r="4" spans="1:9" x14ac:dyDescent="0.35">
      <c r="A4" s="617" t="s">
        <v>1027</v>
      </c>
      <c r="B4" s="62" t="s">
        <v>96</v>
      </c>
      <c r="C4" s="315"/>
      <c r="D4" s="62"/>
      <c r="E4" s="62">
        <v>55719</v>
      </c>
      <c r="F4" s="466"/>
      <c r="G4" s="55">
        <v>1</v>
      </c>
      <c r="H4" s="394"/>
      <c r="I4" s="482">
        <f t="shared" si="0"/>
        <v>0</v>
      </c>
    </row>
    <row r="5" spans="1:9" x14ac:dyDescent="0.35">
      <c r="A5" s="617" t="s">
        <v>16</v>
      </c>
      <c r="B5" s="62" t="s">
        <v>360</v>
      </c>
      <c r="C5" s="315"/>
      <c r="D5" s="62"/>
      <c r="E5" s="62">
        <v>55719</v>
      </c>
      <c r="F5" s="466"/>
      <c r="G5" s="55">
        <v>1</v>
      </c>
      <c r="H5" s="394"/>
      <c r="I5" s="482">
        <f t="shared" si="0"/>
        <v>0</v>
      </c>
    </row>
    <row r="6" spans="1:9" x14ac:dyDescent="0.35">
      <c r="A6" s="617" t="s">
        <v>1448</v>
      </c>
      <c r="B6" s="62" t="s">
        <v>1634</v>
      </c>
      <c r="C6" s="315"/>
      <c r="D6" s="62"/>
      <c r="E6" s="62">
        <v>55719</v>
      </c>
      <c r="F6" s="466"/>
      <c r="G6" s="55">
        <v>1</v>
      </c>
      <c r="H6" s="394"/>
      <c r="I6" s="482">
        <f t="shared" si="0"/>
        <v>0</v>
      </c>
    </row>
    <row r="7" spans="1:9" x14ac:dyDescent="0.35">
      <c r="A7" s="617" t="s">
        <v>1291</v>
      </c>
      <c r="B7" s="62" t="s">
        <v>1612</v>
      </c>
      <c r="C7" s="315"/>
      <c r="D7" s="62"/>
      <c r="E7" s="62">
        <v>55719</v>
      </c>
      <c r="F7" s="466"/>
      <c r="G7" s="55">
        <v>1</v>
      </c>
      <c r="H7" s="394"/>
      <c r="I7" s="482">
        <f t="shared" si="0"/>
        <v>0</v>
      </c>
    </row>
    <row r="8" spans="1:9" x14ac:dyDescent="0.35">
      <c r="A8" s="617" t="s">
        <v>1021</v>
      </c>
      <c r="B8" s="62" t="s">
        <v>269</v>
      </c>
      <c r="C8" s="315"/>
      <c r="D8" s="62"/>
      <c r="E8" s="62">
        <v>55719</v>
      </c>
      <c r="F8" s="466"/>
      <c r="G8" s="55">
        <v>1</v>
      </c>
      <c r="H8" s="394"/>
      <c r="I8" s="482">
        <f t="shared" si="0"/>
        <v>0</v>
      </c>
    </row>
    <row r="9" spans="1:9" x14ac:dyDescent="0.35">
      <c r="A9" s="617" t="s">
        <v>1024</v>
      </c>
      <c r="B9" s="62" t="s">
        <v>76</v>
      </c>
      <c r="C9" s="315"/>
      <c r="D9" s="62"/>
      <c r="E9" s="62">
        <v>55719</v>
      </c>
      <c r="F9" s="466"/>
      <c r="G9" s="55">
        <v>1</v>
      </c>
      <c r="H9" s="394"/>
      <c r="I9" s="482">
        <f t="shared" si="0"/>
        <v>0</v>
      </c>
    </row>
    <row r="10" spans="1:9" x14ac:dyDescent="0.35">
      <c r="A10" s="617" t="s">
        <v>897</v>
      </c>
      <c r="B10" s="62" t="s">
        <v>267</v>
      </c>
      <c r="C10" s="315"/>
      <c r="D10" s="62"/>
      <c r="E10" s="62">
        <v>55719</v>
      </c>
      <c r="F10" s="466"/>
      <c r="G10" s="55">
        <v>1</v>
      </c>
      <c r="H10" s="394"/>
      <c r="I10" s="482">
        <f t="shared" si="0"/>
        <v>0</v>
      </c>
    </row>
    <row r="11" spans="1:9" x14ac:dyDescent="0.35">
      <c r="A11" s="617" t="s">
        <v>15</v>
      </c>
      <c r="B11" s="62" t="s">
        <v>424</v>
      </c>
      <c r="C11" s="315"/>
      <c r="D11" s="62"/>
      <c r="E11" s="62">
        <v>55719</v>
      </c>
      <c r="F11" s="466"/>
      <c r="G11" s="55">
        <v>1</v>
      </c>
      <c r="H11" s="394"/>
      <c r="I11" s="482">
        <f t="shared" si="0"/>
        <v>0</v>
      </c>
    </row>
    <row r="12" spans="1:9" x14ac:dyDescent="0.35">
      <c r="A12" s="617" t="s">
        <v>1019</v>
      </c>
      <c r="B12" s="62" t="s">
        <v>90</v>
      </c>
      <c r="C12" s="315"/>
      <c r="D12" s="62"/>
      <c r="E12" s="62">
        <v>55719</v>
      </c>
      <c r="F12" s="466"/>
      <c r="G12" s="55">
        <v>1</v>
      </c>
      <c r="H12" s="394"/>
      <c r="I12" s="482">
        <f t="shared" si="0"/>
        <v>0</v>
      </c>
    </row>
    <row r="13" spans="1:9" x14ac:dyDescent="0.35">
      <c r="A13" s="617" t="s">
        <v>1120</v>
      </c>
      <c r="B13" s="62" t="s">
        <v>85</v>
      </c>
      <c r="C13" s="315"/>
      <c r="D13" s="62"/>
      <c r="E13" s="62">
        <v>55719</v>
      </c>
      <c r="F13" s="466"/>
      <c r="G13" s="55">
        <v>1</v>
      </c>
      <c r="H13" s="394"/>
      <c r="I13" s="482">
        <f t="shared" si="0"/>
        <v>0</v>
      </c>
    </row>
    <row r="14" spans="1:9" x14ac:dyDescent="0.35">
      <c r="A14" s="617" t="s">
        <v>1125</v>
      </c>
      <c r="B14" s="62" t="s">
        <v>707</v>
      </c>
      <c r="C14" s="315"/>
      <c r="D14" s="62"/>
      <c r="E14" s="62">
        <v>55719</v>
      </c>
      <c r="F14" s="466"/>
      <c r="G14" s="55">
        <v>1</v>
      </c>
      <c r="H14" s="394"/>
      <c r="I14" s="482">
        <f t="shared" si="0"/>
        <v>0</v>
      </c>
    </row>
    <row r="15" spans="1:9" x14ac:dyDescent="0.35">
      <c r="A15" s="617" t="s">
        <v>874</v>
      </c>
      <c r="B15" s="62" t="s">
        <v>206</v>
      </c>
      <c r="C15" s="315"/>
      <c r="D15" s="62"/>
      <c r="E15" s="62">
        <v>55719</v>
      </c>
      <c r="F15" s="466"/>
      <c r="G15" s="55">
        <v>1</v>
      </c>
      <c r="H15" s="394"/>
      <c r="I15" s="482">
        <f t="shared" si="0"/>
        <v>0</v>
      </c>
    </row>
    <row r="16" spans="1:9" x14ac:dyDescent="0.35">
      <c r="A16" s="617" t="s">
        <v>975</v>
      </c>
      <c r="B16" s="62" t="s">
        <v>356</v>
      </c>
      <c r="C16" s="315"/>
      <c r="D16" s="62"/>
      <c r="E16" s="62">
        <v>55719</v>
      </c>
      <c r="F16" s="466"/>
      <c r="G16" s="55">
        <v>1</v>
      </c>
      <c r="H16" s="394"/>
      <c r="I16" s="482">
        <f t="shared" si="0"/>
        <v>0</v>
      </c>
    </row>
    <row r="17" spans="1:9" x14ac:dyDescent="0.35">
      <c r="A17" s="617" t="s">
        <v>880</v>
      </c>
      <c r="B17" s="62" t="s">
        <v>366</v>
      </c>
      <c r="C17" s="315"/>
      <c r="D17" s="62"/>
      <c r="E17" s="62">
        <v>55719</v>
      </c>
      <c r="F17" s="466"/>
      <c r="G17" s="55">
        <v>1</v>
      </c>
      <c r="H17" s="394"/>
      <c r="I17" s="482">
        <f t="shared" si="0"/>
        <v>0</v>
      </c>
    </row>
    <row r="18" spans="1:9" x14ac:dyDescent="0.35">
      <c r="A18" s="617" t="s">
        <v>878</v>
      </c>
      <c r="B18" s="62" t="s">
        <v>94</v>
      </c>
      <c r="C18" s="315"/>
      <c r="D18" s="62"/>
      <c r="E18" s="62">
        <v>55719</v>
      </c>
      <c r="F18" s="466"/>
      <c r="G18" s="55">
        <v>1</v>
      </c>
      <c r="H18" s="394"/>
      <c r="I18" s="482">
        <f t="shared" si="0"/>
        <v>0</v>
      </c>
    </row>
    <row r="19" spans="1:9" x14ac:dyDescent="0.35">
      <c r="A19" s="617" t="s">
        <v>871</v>
      </c>
      <c r="B19" s="62" t="s">
        <v>95</v>
      </c>
      <c r="C19" s="315"/>
      <c r="D19" s="62"/>
      <c r="E19" s="62">
        <v>55719</v>
      </c>
      <c r="F19" s="466"/>
      <c r="G19" s="55">
        <v>1</v>
      </c>
      <c r="H19" s="394"/>
      <c r="I19" s="482">
        <f t="shared" si="0"/>
        <v>0</v>
      </c>
    </row>
    <row r="20" spans="1:9" x14ac:dyDescent="0.35">
      <c r="A20" s="617" t="s">
        <v>1181</v>
      </c>
      <c r="B20" s="62" t="s">
        <v>735</v>
      </c>
      <c r="C20" s="315"/>
      <c r="D20" s="62"/>
      <c r="E20" s="62">
        <v>55719</v>
      </c>
      <c r="F20" s="466"/>
      <c r="G20" s="55">
        <v>1</v>
      </c>
      <c r="H20" s="394"/>
      <c r="I20" s="482">
        <f t="shared" si="0"/>
        <v>0</v>
      </c>
    </row>
    <row r="21" spans="1:9" x14ac:dyDescent="0.35">
      <c r="A21" s="617" t="s">
        <v>1182</v>
      </c>
      <c r="B21" s="62" t="s">
        <v>99</v>
      </c>
      <c r="C21" s="315"/>
      <c r="D21" s="62"/>
      <c r="E21" s="62">
        <v>55719</v>
      </c>
      <c r="F21" s="466"/>
      <c r="G21" s="55">
        <v>1</v>
      </c>
      <c r="H21" s="394"/>
      <c r="I21" s="482">
        <f t="shared" si="0"/>
        <v>0</v>
      </c>
    </row>
    <row r="22" spans="1:9" x14ac:dyDescent="0.35">
      <c r="A22" s="617" t="s">
        <v>1185</v>
      </c>
      <c r="B22" s="62" t="s">
        <v>193</v>
      </c>
      <c r="C22" s="315"/>
      <c r="D22" s="62"/>
      <c r="E22" s="62">
        <v>55719</v>
      </c>
      <c r="F22" s="466"/>
      <c r="G22" s="55">
        <v>1</v>
      </c>
      <c r="H22" s="394"/>
      <c r="I22" s="482">
        <f t="shared" si="0"/>
        <v>0</v>
      </c>
    </row>
    <row r="23" spans="1:9" x14ac:dyDescent="0.35">
      <c r="A23" s="617" t="s">
        <v>1823</v>
      </c>
      <c r="B23" s="62" t="s">
        <v>1822</v>
      </c>
      <c r="C23" s="315"/>
      <c r="D23" s="62"/>
      <c r="E23" s="62">
        <v>55719</v>
      </c>
      <c r="F23" s="466"/>
      <c r="G23" s="55">
        <v>1</v>
      </c>
      <c r="H23" s="394"/>
      <c r="I23" s="482">
        <f t="shared" si="0"/>
        <v>0</v>
      </c>
    </row>
    <row r="24" spans="1:9" x14ac:dyDescent="0.35">
      <c r="A24" s="617" t="s">
        <v>1186</v>
      </c>
      <c r="B24" s="62" t="s">
        <v>80</v>
      </c>
      <c r="C24" s="315"/>
      <c r="D24" s="62"/>
      <c r="E24" s="62">
        <v>55719</v>
      </c>
      <c r="F24" s="466"/>
      <c r="G24" s="55">
        <v>1</v>
      </c>
      <c r="H24" s="394"/>
      <c r="I24" s="482">
        <f t="shared" si="0"/>
        <v>0</v>
      </c>
    </row>
    <row r="25" spans="1:9" x14ac:dyDescent="0.35">
      <c r="A25" s="617" t="s">
        <v>6</v>
      </c>
      <c r="B25" s="62" t="s">
        <v>87</v>
      </c>
      <c r="C25" s="315"/>
      <c r="D25" s="62"/>
      <c r="E25" s="62">
        <v>55719</v>
      </c>
      <c r="F25" s="466"/>
      <c r="G25" s="55">
        <v>1</v>
      </c>
      <c r="H25" s="394"/>
      <c r="I25" s="482">
        <f t="shared" si="0"/>
        <v>0</v>
      </c>
    </row>
    <row r="26" spans="1:9" x14ac:dyDescent="0.35">
      <c r="A26" s="617" t="s">
        <v>1086</v>
      </c>
      <c r="B26" s="62" t="s">
        <v>767</v>
      </c>
      <c r="C26" s="315"/>
      <c r="D26" s="62"/>
      <c r="E26" s="62">
        <v>55719</v>
      </c>
      <c r="F26" s="466"/>
      <c r="G26" s="55">
        <v>1</v>
      </c>
      <c r="H26" s="394"/>
      <c r="I26" s="482">
        <f t="shared" si="0"/>
        <v>0</v>
      </c>
    </row>
    <row r="27" spans="1:9" x14ac:dyDescent="0.35">
      <c r="A27" s="617" t="s">
        <v>2597</v>
      </c>
      <c r="B27" s="62" t="s">
        <v>428</v>
      </c>
      <c r="C27" s="315"/>
      <c r="D27" s="62"/>
      <c r="E27" s="62">
        <v>55719</v>
      </c>
      <c r="F27" s="466"/>
      <c r="G27" s="55">
        <v>1</v>
      </c>
      <c r="H27" s="394"/>
      <c r="I27" s="482">
        <f t="shared" si="0"/>
        <v>0</v>
      </c>
    </row>
    <row r="28" spans="1:9" x14ac:dyDescent="0.35">
      <c r="A28" s="617" t="s">
        <v>1760</v>
      </c>
      <c r="B28" s="62" t="s">
        <v>311</v>
      </c>
      <c r="C28" s="315"/>
      <c r="D28" s="62"/>
      <c r="E28" s="62">
        <v>55719</v>
      </c>
      <c r="F28" s="466"/>
      <c r="G28" s="55">
        <v>1</v>
      </c>
      <c r="H28" s="394"/>
      <c r="I28" s="482">
        <f t="shared" si="0"/>
        <v>0</v>
      </c>
    </row>
    <row r="29" spans="1:9" x14ac:dyDescent="0.35">
      <c r="A29" s="617" t="s">
        <v>1137</v>
      </c>
      <c r="B29" s="62" t="s">
        <v>312</v>
      </c>
      <c r="C29" s="315"/>
      <c r="D29" s="62"/>
      <c r="E29" s="62">
        <v>55719</v>
      </c>
      <c r="F29" s="466"/>
      <c r="G29" s="55">
        <v>1</v>
      </c>
      <c r="H29" s="394"/>
      <c r="I29" s="482">
        <f t="shared" si="0"/>
        <v>0</v>
      </c>
    </row>
    <row r="30" spans="1:9" x14ac:dyDescent="0.35">
      <c r="A30" s="617" t="s">
        <v>1011</v>
      </c>
      <c r="B30" s="62" t="s">
        <v>282</v>
      </c>
      <c r="C30" s="315"/>
      <c r="D30" s="62"/>
      <c r="E30" s="62">
        <v>55719</v>
      </c>
      <c r="F30" s="466"/>
      <c r="G30" s="55">
        <v>1</v>
      </c>
      <c r="H30" s="394"/>
      <c r="I30" s="482">
        <f t="shared" si="0"/>
        <v>0</v>
      </c>
    </row>
    <row r="31" spans="1:9" x14ac:dyDescent="0.35">
      <c r="A31" s="617" t="s">
        <v>1013</v>
      </c>
      <c r="B31" s="62" t="s">
        <v>283</v>
      </c>
      <c r="C31" s="315"/>
      <c r="D31" s="62"/>
      <c r="E31" s="62">
        <v>55719</v>
      </c>
      <c r="F31" s="466"/>
      <c r="G31" s="55">
        <v>1</v>
      </c>
      <c r="H31" s="394"/>
      <c r="I31" s="482">
        <f t="shared" si="0"/>
        <v>0</v>
      </c>
    </row>
    <row r="32" spans="1:9" x14ac:dyDescent="0.35">
      <c r="A32" s="617" t="s">
        <v>2588</v>
      </c>
      <c r="B32" s="62" t="s">
        <v>273</v>
      </c>
      <c r="C32" s="315"/>
      <c r="D32" s="62"/>
      <c r="E32" s="62">
        <v>55719</v>
      </c>
      <c r="F32" s="466"/>
      <c r="G32" s="55">
        <v>1</v>
      </c>
      <c r="H32" s="394"/>
      <c r="I32" s="482">
        <f t="shared" si="0"/>
        <v>0</v>
      </c>
    </row>
    <row r="33" spans="1:9" x14ac:dyDescent="0.35">
      <c r="A33" s="617" t="s">
        <v>1800</v>
      </c>
      <c r="B33" s="62" t="s">
        <v>599</v>
      </c>
      <c r="C33" s="315"/>
      <c r="D33" s="62"/>
      <c r="E33" s="62">
        <v>55719</v>
      </c>
      <c r="F33" s="466"/>
      <c r="G33" s="55">
        <v>1</v>
      </c>
      <c r="H33" s="394"/>
      <c r="I33" s="482">
        <f t="shared" si="0"/>
        <v>0</v>
      </c>
    </row>
    <row r="34" spans="1:9" x14ac:dyDescent="0.35">
      <c r="A34" s="617" t="s">
        <v>1014</v>
      </c>
      <c r="B34" s="62" t="s">
        <v>314</v>
      </c>
      <c r="C34" s="315"/>
      <c r="D34" s="62"/>
      <c r="E34" s="62">
        <v>55719</v>
      </c>
      <c r="F34" s="466"/>
      <c r="G34" s="55">
        <v>1</v>
      </c>
      <c r="H34" s="394"/>
      <c r="I34" s="482">
        <f t="shared" ref="I34:I65" si="1">+G34*H34</f>
        <v>0</v>
      </c>
    </row>
    <row r="35" spans="1:9" x14ac:dyDescent="0.35">
      <c r="A35" s="617" t="s">
        <v>1012</v>
      </c>
      <c r="B35" s="62" t="s">
        <v>285</v>
      </c>
      <c r="C35" s="315"/>
      <c r="D35" s="62"/>
      <c r="E35" s="62">
        <v>55719</v>
      </c>
      <c r="F35" s="466"/>
      <c r="G35" s="55">
        <v>1</v>
      </c>
      <c r="H35" s="394"/>
      <c r="I35" s="482">
        <f t="shared" si="1"/>
        <v>0</v>
      </c>
    </row>
    <row r="36" spans="1:9" x14ac:dyDescent="0.35">
      <c r="A36" s="617" t="s">
        <v>1008</v>
      </c>
      <c r="B36" s="62" t="s">
        <v>173</v>
      </c>
      <c r="C36" s="315"/>
      <c r="D36" s="62"/>
      <c r="E36" s="62">
        <v>55719</v>
      </c>
      <c r="F36" s="466"/>
      <c r="G36" s="55">
        <v>1</v>
      </c>
      <c r="H36" s="394"/>
      <c r="I36" s="482">
        <f t="shared" si="1"/>
        <v>0</v>
      </c>
    </row>
    <row r="37" spans="1:9" x14ac:dyDescent="0.35">
      <c r="A37" s="617" t="s">
        <v>899</v>
      </c>
      <c r="B37" s="62" t="s">
        <v>281</v>
      </c>
      <c r="C37" s="315"/>
      <c r="D37" s="62"/>
      <c r="E37" s="62">
        <v>55719</v>
      </c>
      <c r="F37" s="466"/>
      <c r="G37" s="55">
        <v>1</v>
      </c>
      <c r="H37" s="394"/>
      <c r="I37" s="482">
        <f t="shared" si="1"/>
        <v>0</v>
      </c>
    </row>
    <row r="38" spans="1:9" x14ac:dyDescent="0.35">
      <c r="A38" s="617" t="s">
        <v>2334</v>
      </c>
      <c r="B38" s="62" t="s">
        <v>284</v>
      </c>
      <c r="C38" s="315"/>
      <c r="D38" s="62"/>
      <c r="E38" s="62">
        <v>55719</v>
      </c>
      <c r="F38" s="466"/>
      <c r="G38" s="55">
        <v>1</v>
      </c>
      <c r="H38" s="394"/>
      <c r="I38" s="482">
        <f t="shared" si="1"/>
        <v>0</v>
      </c>
    </row>
    <row r="39" spans="1:9" x14ac:dyDescent="0.35">
      <c r="A39" s="617" t="s">
        <v>1827</v>
      </c>
      <c r="B39" s="62" t="s">
        <v>1824</v>
      </c>
      <c r="C39" s="315"/>
      <c r="D39" s="62"/>
      <c r="E39" s="62">
        <v>55719</v>
      </c>
      <c r="F39" s="466"/>
      <c r="G39" s="55">
        <v>1</v>
      </c>
      <c r="H39" s="394"/>
      <c r="I39" s="482">
        <f t="shared" si="1"/>
        <v>0</v>
      </c>
    </row>
    <row r="40" spans="1:9" x14ac:dyDescent="0.35">
      <c r="A40" s="617" t="s">
        <v>1826</v>
      </c>
      <c r="B40" s="62" t="s">
        <v>1825</v>
      </c>
      <c r="C40" s="315"/>
      <c r="D40" s="62"/>
      <c r="E40" s="62">
        <v>55719</v>
      </c>
      <c r="F40" s="466"/>
      <c r="G40" s="55">
        <v>1</v>
      </c>
      <c r="H40" s="394"/>
      <c r="I40" s="482">
        <f t="shared" si="1"/>
        <v>0</v>
      </c>
    </row>
    <row r="41" spans="1:9" x14ac:dyDescent="0.35">
      <c r="A41" s="617" t="s">
        <v>2344</v>
      </c>
      <c r="B41" s="62" t="s">
        <v>279</v>
      </c>
      <c r="C41" s="315"/>
      <c r="D41" s="62"/>
      <c r="E41" s="62">
        <v>55719</v>
      </c>
      <c r="F41" s="466"/>
      <c r="G41" s="55">
        <v>1</v>
      </c>
      <c r="H41" s="394"/>
      <c r="I41" s="482">
        <f t="shared" si="1"/>
        <v>0</v>
      </c>
    </row>
    <row r="42" spans="1:9" x14ac:dyDescent="0.35">
      <c r="A42" s="617" t="s">
        <v>1015</v>
      </c>
      <c r="B42" s="62" t="s">
        <v>296</v>
      </c>
      <c r="C42" s="315"/>
      <c r="D42" s="62"/>
      <c r="E42" s="62">
        <v>55719</v>
      </c>
      <c r="F42" s="466"/>
      <c r="G42" s="55">
        <v>1</v>
      </c>
      <c r="H42" s="394"/>
      <c r="I42" s="482">
        <f t="shared" si="1"/>
        <v>0</v>
      </c>
    </row>
    <row r="43" spans="1:9" x14ac:dyDescent="0.35">
      <c r="A43" s="617" t="s">
        <v>900</v>
      </c>
      <c r="B43" s="62" t="s">
        <v>301</v>
      </c>
      <c r="C43" s="315"/>
      <c r="D43" s="62"/>
      <c r="E43" s="62">
        <v>55719</v>
      </c>
      <c r="F43" s="466"/>
      <c r="G43" s="55">
        <v>1</v>
      </c>
      <c r="H43" s="394"/>
      <c r="I43" s="482">
        <f t="shared" si="1"/>
        <v>0</v>
      </c>
    </row>
    <row r="44" spans="1:9" x14ac:dyDescent="0.35">
      <c r="A44" s="617" t="s">
        <v>922</v>
      </c>
      <c r="B44" s="62" t="s">
        <v>302</v>
      </c>
      <c r="C44" s="315"/>
      <c r="D44" s="62"/>
      <c r="E44" s="62">
        <v>55719</v>
      </c>
      <c r="F44" s="466"/>
      <c r="G44" s="55">
        <v>1</v>
      </c>
      <c r="H44" s="394"/>
      <c r="I44" s="482">
        <f t="shared" si="1"/>
        <v>0</v>
      </c>
    </row>
    <row r="45" spans="1:9" x14ac:dyDescent="0.35">
      <c r="A45" s="617" t="s">
        <v>885</v>
      </c>
      <c r="B45" s="62" t="s">
        <v>229</v>
      </c>
      <c r="C45" s="315"/>
      <c r="D45" s="62"/>
      <c r="E45" s="62">
        <v>55719</v>
      </c>
      <c r="F45" s="466"/>
      <c r="G45" s="55">
        <v>1</v>
      </c>
      <c r="H45" s="394"/>
      <c r="I45" s="482">
        <f t="shared" si="1"/>
        <v>0</v>
      </c>
    </row>
    <row r="46" spans="1:9" x14ac:dyDescent="0.35">
      <c r="A46" s="617" t="s">
        <v>1831</v>
      </c>
      <c r="B46" s="62" t="s">
        <v>1830</v>
      </c>
      <c r="C46" s="315"/>
      <c r="D46" s="62"/>
      <c r="E46" s="62">
        <v>55719</v>
      </c>
      <c r="F46" s="466"/>
      <c r="G46" s="55">
        <v>1</v>
      </c>
      <c r="H46" s="394"/>
      <c r="I46" s="482">
        <f t="shared" si="1"/>
        <v>0</v>
      </c>
    </row>
    <row r="47" spans="1:9" x14ac:dyDescent="0.35">
      <c r="A47" s="617" t="s">
        <v>1099</v>
      </c>
      <c r="B47" s="62" t="s">
        <v>426</v>
      </c>
      <c r="C47" s="315"/>
      <c r="D47" s="62"/>
      <c r="E47" s="62">
        <v>55719</v>
      </c>
      <c r="F47" s="466"/>
      <c r="G47" s="55">
        <v>1</v>
      </c>
      <c r="H47" s="394"/>
      <c r="I47" s="482">
        <f t="shared" si="1"/>
        <v>0</v>
      </c>
    </row>
    <row r="48" spans="1:9" x14ac:dyDescent="0.35">
      <c r="A48" s="617" t="s">
        <v>1076</v>
      </c>
      <c r="B48" s="62" t="s">
        <v>77</v>
      </c>
      <c r="C48" s="315"/>
      <c r="D48" s="62"/>
      <c r="E48" s="62">
        <v>55719</v>
      </c>
      <c r="F48" s="466"/>
      <c r="G48" s="55">
        <v>1</v>
      </c>
      <c r="H48" s="394"/>
      <c r="I48" s="482">
        <f t="shared" si="1"/>
        <v>0</v>
      </c>
    </row>
    <row r="49" spans="1:9" x14ac:dyDescent="0.35">
      <c r="A49" s="617" t="s">
        <v>1597</v>
      </c>
      <c r="B49" s="62" t="s">
        <v>2446</v>
      </c>
      <c r="C49" s="315"/>
      <c r="D49" s="62"/>
      <c r="E49" s="62">
        <v>55719</v>
      </c>
      <c r="F49" s="466"/>
      <c r="G49" s="55">
        <v>1</v>
      </c>
      <c r="H49" s="394"/>
      <c r="I49" s="482">
        <f t="shared" si="1"/>
        <v>0</v>
      </c>
    </row>
    <row r="50" spans="1:9" x14ac:dyDescent="0.35">
      <c r="A50" s="617" t="s">
        <v>1360</v>
      </c>
      <c r="B50" s="62" t="s">
        <v>145</v>
      </c>
      <c r="C50" s="315"/>
      <c r="D50" s="62"/>
      <c r="E50" s="62">
        <v>55719</v>
      </c>
      <c r="F50" s="466"/>
      <c r="G50" s="55">
        <v>1</v>
      </c>
      <c r="H50" s="394"/>
      <c r="I50" s="482">
        <f t="shared" si="1"/>
        <v>0</v>
      </c>
    </row>
    <row r="51" spans="1:9" x14ac:dyDescent="0.35">
      <c r="A51" s="617" t="s">
        <v>1368</v>
      </c>
      <c r="B51" s="62" t="s">
        <v>499</v>
      </c>
      <c r="C51" s="315"/>
      <c r="D51" s="62"/>
      <c r="E51" s="62">
        <v>55719</v>
      </c>
      <c r="F51" s="466"/>
      <c r="G51" s="55">
        <v>1</v>
      </c>
      <c r="H51" s="394"/>
      <c r="I51" s="482">
        <f t="shared" si="1"/>
        <v>0</v>
      </c>
    </row>
    <row r="52" spans="1:9" x14ac:dyDescent="0.35">
      <c r="A52" s="617" t="s">
        <v>1245</v>
      </c>
      <c r="B52" s="62" t="s">
        <v>481</v>
      </c>
      <c r="C52" s="315"/>
      <c r="D52" s="62"/>
      <c r="E52" s="62">
        <v>55719</v>
      </c>
      <c r="F52" s="466"/>
      <c r="G52" s="55">
        <v>1</v>
      </c>
      <c r="H52" s="394"/>
      <c r="I52" s="482">
        <f t="shared" si="1"/>
        <v>0</v>
      </c>
    </row>
    <row r="53" spans="1:9" x14ac:dyDescent="0.35">
      <c r="A53" s="617" t="s">
        <v>1247</v>
      </c>
      <c r="B53" s="62" t="s">
        <v>100</v>
      </c>
      <c r="C53" s="315"/>
      <c r="D53" s="62"/>
      <c r="E53" s="62">
        <v>55719</v>
      </c>
      <c r="F53" s="466"/>
      <c r="G53" s="55">
        <v>1</v>
      </c>
      <c r="H53" s="394"/>
      <c r="I53" s="482">
        <f t="shared" si="1"/>
        <v>0</v>
      </c>
    </row>
    <row r="54" spans="1:9" x14ac:dyDescent="0.35">
      <c r="A54" s="617" t="s">
        <v>1066</v>
      </c>
      <c r="B54" s="62" t="s">
        <v>70</v>
      </c>
      <c r="C54" s="315"/>
      <c r="D54" s="62"/>
      <c r="E54" s="62">
        <v>55719</v>
      </c>
      <c r="F54" s="466"/>
      <c r="G54" s="55">
        <v>1</v>
      </c>
      <c r="H54" s="394"/>
      <c r="I54" s="482">
        <f t="shared" si="1"/>
        <v>0</v>
      </c>
    </row>
    <row r="55" spans="1:9" s="153" customFormat="1" ht="17.5" x14ac:dyDescent="0.35">
      <c r="A55" s="617" t="s">
        <v>1169</v>
      </c>
      <c r="B55" s="62" t="s">
        <v>1611</v>
      </c>
      <c r="C55" s="315"/>
      <c r="D55" s="62"/>
      <c r="E55" s="62">
        <v>55719</v>
      </c>
      <c r="F55" s="466"/>
      <c r="G55" s="55">
        <v>1</v>
      </c>
      <c r="H55" s="394"/>
      <c r="I55" s="482">
        <f t="shared" si="1"/>
        <v>0</v>
      </c>
    </row>
    <row r="56" spans="1:9" x14ac:dyDescent="0.35">
      <c r="A56" s="617" t="s">
        <v>930</v>
      </c>
      <c r="B56" s="62" t="s">
        <v>88</v>
      </c>
      <c r="C56" s="315"/>
      <c r="D56" s="62"/>
      <c r="E56" s="62">
        <v>55719</v>
      </c>
      <c r="F56" s="466"/>
      <c r="G56" s="55">
        <v>1</v>
      </c>
      <c r="H56" s="394"/>
      <c r="I56" s="482">
        <f t="shared" si="1"/>
        <v>0</v>
      </c>
    </row>
    <row r="57" spans="1:9" x14ac:dyDescent="0.35">
      <c r="A57" s="617" t="s">
        <v>1818</v>
      </c>
      <c r="B57" s="62" t="s">
        <v>1819</v>
      </c>
      <c r="C57" s="315"/>
      <c r="D57" s="62"/>
      <c r="E57" s="62">
        <v>55719</v>
      </c>
      <c r="F57" s="466"/>
      <c r="G57" s="55">
        <v>1</v>
      </c>
      <c r="H57" s="394"/>
      <c r="I57" s="482">
        <f t="shared" si="1"/>
        <v>0</v>
      </c>
    </row>
    <row r="58" spans="1:9" x14ac:dyDescent="0.35">
      <c r="A58" s="617" t="s">
        <v>1055</v>
      </c>
      <c r="B58" s="62" t="s">
        <v>531</v>
      </c>
      <c r="C58" s="315"/>
      <c r="D58" s="62"/>
      <c r="E58" s="62">
        <v>55719</v>
      </c>
      <c r="F58" s="466"/>
      <c r="G58" s="55">
        <v>1</v>
      </c>
      <c r="H58" s="394"/>
      <c r="I58" s="482">
        <f t="shared" si="1"/>
        <v>0</v>
      </c>
    </row>
    <row r="59" spans="1:9" x14ac:dyDescent="0.35">
      <c r="A59" s="617" t="s">
        <v>1157</v>
      </c>
      <c r="B59" s="62" t="s">
        <v>644</v>
      </c>
      <c r="C59" s="315"/>
      <c r="D59" s="62"/>
      <c r="E59" s="62">
        <v>55719</v>
      </c>
      <c r="F59" s="466"/>
      <c r="G59" s="55">
        <v>1</v>
      </c>
      <c r="H59" s="394"/>
      <c r="I59" s="482">
        <f t="shared" si="1"/>
        <v>0</v>
      </c>
    </row>
    <row r="60" spans="1:9" x14ac:dyDescent="0.35">
      <c r="A60" s="617" t="s">
        <v>931</v>
      </c>
      <c r="B60" s="62" t="s">
        <v>66</v>
      </c>
      <c r="C60" s="315"/>
      <c r="D60" s="62"/>
      <c r="E60" s="62">
        <v>55719</v>
      </c>
      <c r="F60" s="466"/>
      <c r="G60" s="55">
        <v>1</v>
      </c>
      <c r="H60" s="394"/>
      <c r="I60" s="482">
        <f t="shared" si="1"/>
        <v>0</v>
      </c>
    </row>
    <row r="61" spans="1:9" x14ac:dyDescent="0.35">
      <c r="A61" s="617" t="s">
        <v>1160</v>
      </c>
      <c r="B61" s="62" t="s">
        <v>467</v>
      </c>
      <c r="C61" s="315"/>
      <c r="D61" s="62"/>
      <c r="E61" s="62">
        <v>55719</v>
      </c>
      <c r="F61" s="466"/>
      <c r="G61" s="55">
        <v>1</v>
      </c>
      <c r="H61" s="394"/>
      <c r="I61" s="482">
        <f t="shared" si="1"/>
        <v>0</v>
      </c>
    </row>
    <row r="62" spans="1:9" x14ac:dyDescent="0.35">
      <c r="A62" s="617" t="s">
        <v>1161</v>
      </c>
      <c r="B62" s="62" t="s">
        <v>617</v>
      </c>
      <c r="C62" s="315"/>
      <c r="D62" s="62"/>
      <c r="E62" s="62">
        <v>55719</v>
      </c>
      <c r="F62" s="466"/>
      <c r="G62" s="55">
        <v>1</v>
      </c>
      <c r="H62" s="394"/>
      <c r="I62" s="482">
        <f t="shared" si="1"/>
        <v>0</v>
      </c>
    </row>
    <row r="63" spans="1:9" x14ac:dyDescent="0.35">
      <c r="A63" s="617" t="s">
        <v>933</v>
      </c>
      <c r="B63" s="62" t="s">
        <v>433</v>
      </c>
      <c r="C63" s="315"/>
      <c r="D63" s="62"/>
      <c r="E63" s="62">
        <v>55719</v>
      </c>
      <c r="F63" s="466"/>
      <c r="G63" s="55">
        <v>1</v>
      </c>
      <c r="H63" s="394"/>
      <c r="I63" s="482">
        <f t="shared" si="1"/>
        <v>0</v>
      </c>
    </row>
    <row r="64" spans="1:9" x14ac:dyDescent="0.35">
      <c r="A64" s="617" t="s">
        <v>1162</v>
      </c>
      <c r="B64" s="62" t="s">
        <v>84</v>
      </c>
      <c r="C64" s="315"/>
      <c r="D64" s="62"/>
      <c r="E64" s="62">
        <v>55719</v>
      </c>
      <c r="F64" s="466"/>
      <c r="G64" s="55">
        <v>1</v>
      </c>
      <c r="H64" s="394"/>
      <c r="I64" s="482">
        <f t="shared" si="1"/>
        <v>0</v>
      </c>
    </row>
    <row r="65" spans="1:9" x14ac:dyDescent="0.35">
      <c r="A65" s="617" t="s">
        <v>1163</v>
      </c>
      <c r="B65" s="62" t="s">
        <v>83</v>
      </c>
      <c r="C65" s="315"/>
      <c r="D65" s="62"/>
      <c r="E65" s="62">
        <v>55719</v>
      </c>
      <c r="F65" s="466"/>
      <c r="G65" s="55">
        <v>1</v>
      </c>
      <c r="H65" s="394"/>
      <c r="I65" s="482">
        <f t="shared" si="1"/>
        <v>0</v>
      </c>
    </row>
    <row r="66" spans="1:9" x14ac:dyDescent="0.35">
      <c r="A66" s="617" t="s">
        <v>1114</v>
      </c>
      <c r="B66" s="62" t="s">
        <v>91</v>
      </c>
      <c r="C66" s="315"/>
      <c r="D66" s="62"/>
      <c r="E66" s="62">
        <v>55719</v>
      </c>
      <c r="F66" s="466"/>
      <c r="G66" s="55">
        <v>1</v>
      </c>
      <c r="H66" s="394"/>
      <c r="I66" s="482">
        <f t="shared" ref="I66:I97" si="2">+G66*H66</f>
        <v>0</v>
      </c>
    </row>
    <row r="67" spans="1:9" x14ac:dyDescent="0.35">
      <c r="A67" s="617" t="s">
        <v>1113</v>
      </c>
      <c r="B67" s="62" t="s">
        <v>92</v>
      </c>
      <c r="C67" s="315"/>
      <c r="D67" s="62"/>
      <c r="E67" s="62">
        <v>55719</v>
      </c>
      <c r="F67" s="466"/>
      <c r="G67" s="55">
        <v>1</v>
      </c>
      <c r="H67" s="394"/>
      <c r="I67" s="482">
        <f t="shared" si="2"/>
        <v>0</v>
      </c>
    </row>
    <row r="68" spans="1:9" x14ac:dyDescent="0.35">
      <c r="A68" s="617" t="s">
        <v>1105</v>
      </c>
      <c r="B68" s="62" t="s">
        <v>93</v>
      </c>
      <c r="C68" s="315"/>
      <c r="D68" s="62"/>
      <c r="E68" s="62">
        <v>55719</v>
      </c>
      <c r="F68" s="466"/>
      <c r="G68" s="55">
        <v>1</v>
      </c>
      <c r="H68" s="394"/>
      <c r="I68" s="482">
        <f t="shared" si="2"/>
        <v>0</v>
      </c>
    </row>
    <row r="69" spans="1:9" x14ac:dyDescent="0.35">
      <c r="A69" s="617" t="s">
        <v>1061</v>
      </c>
      <c r="B69" s="62" t="s">
        <v>73</v>
      </c>
      <c r="C69" s="315"/>
      <c r="D69" s="62"/>
      <c r="E69" s="62">
        <v>55719</v>
      </c>
      <c r="F69" s="466"/>
      <c r="G69" s="55">
        <v>1</v>
      </c>
      <c r="H69" s="394"/>
      <c r="I69" s="482">
        <f t="shared" si="2"/>
        <v>0</v>
      </c>
    </row>
    <row r="70" spans="1:9" x14ac:dyDescent="0.35">
      <c r="A70" s="617" t="s">
        <v>1060</v>
      </c>
      <c r="B70" s="62" t="s">
        <v>74</v>
      </c>
      <c r="C70" s="315"/>
      <c r="D70" s="62"/>
      <c r="E70" s="62">
        <v>55719</v>
      </c>
      <c r="F70" s="466"/>
      <c r="G70" s="55">
        <v>1</v>
      </c>
      <c r="H70" s="394"/>
      <c r="I70" s="482">
        <f t="shared" si="2"/>
        <v>0</v>
      </c>
    </row>
    <row r="71" spans="1:9" x14ac:dyDescent="0.35">
      <c r="A71" s="617" t="s">
        <v>1062</v>
      </c>
      <c r="B71" s="62" t="s">
        <v>261</v>
      </c>
      <c r="C71" s="315"/>
      <c r="D71" s="62"/>
      <c r="E71" s="62">
        <v>55719</v>
      </c>
      <c r="F71" s="466"/>
      <c r="G71" s="55">
        <v>1</v>
      </c>
      <c r="H71" s="394"/>
      <c r="I71" s="482">
        <f t="shared" si="2"/>
        <v>0</v>
      </c>
    </row>
    <row r="72" spans="1:9" x14ac:dyDescent="0.35">
      <c r="A72" s="617" t="s">
        <v>997</v>
      </c>
      <c r="B72" s="62" t="s">
        <v>388</v>
      </c>
      <c r="C72" s="315"/>
      <c r="D72" s="62"/>
      <c r="E72" s="62">
        <v>55719</v>
      </c>
      <c r="F72" s="466"/>
      <c r="G72" s="55">
        <v>1</v>
      </c>
      <c r="H72" s="394"/>
      <c r="I72" s="482">
        <f t="shared" si="2"/>
        <v>0</v>
      </c>
    </row>
    <row r="73" spans="1:9" x14ac:dyDescent="0.35">
      <c r="A73" s="617" t="s">
        <v>1168</v>
      </c>
      <c r="B73" s="62" t="s">
        <v>75</v>
      </c>
      <c r="C73" s="315"/>
      <c r="D73" s="62"/>
      <c r="E73" s="62">
        <v>55719</v>
      </c>
      <c r="F73" s="466"/>
      <c r="G73" s="55">
        <v>1</v>
      </c>
      <c r="H73" s="394"/>
      <c r="I73" s="482">
        <f t="shared" si="2"/>
        <v>0</v>
      </c>
    </row>
    <row r="74" spans="1:9" x14ac:dyDescent="0.35">
      <c r="A74" s="617" t="s">
        <v>1059</v>
      </c>
      <c r="B74" s="62" t="s">
        <v>69</v>
      </c>
      <c r="C74" s="315"/>
      <c r="D74" s="62"/>
      <c r="E74" s="62">
        <v>55719</v>
      </c>
      <c r="F74" s="466"/>
      <c r="G74" s="55">
        <v>1</v>
      </c>
      <c r="H74" s="394"/>
      <c r="I74" s="482">
        <f t="shared" si="2"/>
        <v>0</v>
      </c>
    </row>
    <row r="75" spans="1:9" x14ac:dyDescent="0.35">
      <c r="A75" s="617" t="s">
        <v>1063</v>
      </c>
      <c r="B75" s="62" t="s">
        <v>71</v>
      </c>
      <c r="C75" s="315"/>
      <c r="D75" s="62"/>
      <c r="E75" s="62">
        <v>55719</v>
      </c>
      <c r="F75" s="466"/>
      <c r="G75" s="55">
        <v>1</v>
      </c>
      <c r="H75" s="394"/>
      <c r="I75" s="482">
        <f t="shared" si="2"/>
        <v>0</v>
      </c>
    </row>
    <row r="76" spans="1:9" x14ac:dyDescent="0.35">
      <c r="A76" s="617" t="s">
        <v>1057</v>
      </c>
      <c r="B76" s="62" t="s">
        <v>72</v>
      </c>
      <c r="C76" s="315"/>
      <c r="D76" s="62"/>
      <c r="E76" s="62">
        <v>55719</v>
      </c>
      <c r="F76" s="466"/>
      <c r="G76" s="55">
        <v>1</v>
      </c>
      <c r="H76" s="394"/>
      <c r="I76" s="482">
        <f t="shared" si="2"/>
        <v>0</v>
      </c>
    </row>
    <row r="77" spans="1:9" x14ac:dyDescent="0.35">
      <c r="A77" s="617" t="s">
        <v>14</v>
      </c>
      <c r="B77" s="62" t="s">
        <v>334</v>
      </c>
      <c r="C77" s="315"/>
      <c r="D77" s="62"/>
      <c r="E77" s="62">
        <v>55719</v>
      </c>
      <c r="F77" s="466"/>
      <c r="G77" s="55">
        <v>1</v>
      </c>
      <c r="H77" s="394"/>
      <c r="I77" s="482">
        <f t="shared" si="2"/>
        <v>0</v>
      </c>
    </row>
    <row r="78" spans="1:9" x14ac:dyDescent="0.35">
      <c r="A78" s="617" t="s">
        <v>36</v>
      </c>
      <c r="B78" s="62" t="s">
        <v>37</v>
      </c>
      <c r="C78" s="315"/>
      <c r="D78" s="62"/>
      <c r="E78" s="62">
        <v>55719</v>
      </c>
      <c r="F78" s="466"/>
      <c r="G78" s="55">
        <v>1</v>
      </c>
      <c r="H78" s="394"/>
      <c r="I78" s="482">
        <f t="shared" si="2"/>
        <v>0</v>
      </c>
    </row>
    <row r="79" spans="1:9" x14ac:dyDescent="0.35">
      <c r="A79" s="617" t="s">
        <v>104</v>
      </c>
      <c r="B79" s="62" t="s">
        <v>506</v>
      </c>
      <c r="C79" s="315"/>
      <c r="D79" s="62"/>
      <c r="E79" s="62">
        <v>55719</v>
      </c>
      <c r="F79" s="466"/>
      <c r="G79" s="55">
        <v>1</v>
      </c>
      <c r="H79" s="394"/>
      <c r="I79" s="482">
        <f t="shared" si="2"/>
        <v>0</v>
      </c>
    </row>
    <row r="80" spans="1:9" x14ac:dyDescent="0.35">
      <c r="A80" s="617" t="s">
        <v>881</v>
      </c>
      <c r="B80" s="62" t="s">
        <v>417</v>
      </c>
      <c r="C80" s="315"/>
      <c r="D80" s="62"/>
      <c r="E80" s="62">
        <v>55719</v>
      </c>
      <c r="F80" s="466"/>
      <c r="G80" s="55">
        <v>1</v>
      </c>
      <c r="H80" s="394"/>
      <c r="I80" s="482">
        <f t="shared" si="2"/>
        <v>0</v>
      </c>
    </row>
    <row r="81" spans="1:9" x14ac:dyDescent="0.35">
      <c r="A81" s="617" t="s">
        <v>10</v>
      </c>
      <c r="B81" s="62" t="s">
        <v>418</v>
      </c>
      <c r="C81" s="315"/>
      <c r="D81" s="62"/>
      <c r="E81" s="62">
        <v>55719</v>
      </c>
      <c r="F81" s="466"/>
      <c r="G81" s="55">
        <v>1</v>
      </c>
      <c r="H81" s="394"/>
      <c r="I81" s="482">
        <f t="shared" si="2"/>
        <v>0</v>
      </c>
    </row>
    <row r="82" spans="1:9" x14ac:dyDescent="0.35">
      <c r="A82" s="617" t="s">
        <v>2360</v>
      </c>
      <c r="B82" s="62" t="s">
        <v>358</v>
      </c>
      <c r="C82" s="315"/>
      <c r="D82" s="62"/>
      <c r="E82" s="62">
        <v>55719</v>
      </c>
      <c r="F82" s="466"/>
      <c r="G82" s="55">
        <v>1</v>
      </c>
      <c r="H82" s="394"/>
      <c r="I82" s="482">
        <f t="shared" si="2"/>
        <v>0</v>
      </c>
    </row>
    <row r="83" spans="1:9" x14ac:dyDescent="0.35">
      <c r="A83" s="617" t="s">
        <v>2361</v>
      </c>
      <c r="B83" s="62" t="s">
        <v>196</v>
      </c>
      <c r="C83" s="315"/>
      <c r="D83" s="62"/>
      <c r="E83" s="62">
        <v>55719</v>
      </c>
      <c r="F83" s="466"/>
      <c r="G83" s="55">
        <v>1</v>
      </c>
      <c r="H83" s="394"/>
      <c r="I83" s="482">
        <f t="shared" si="2"/>
        <v>0</v>
      </c>
    </row>
    <row r="84" spans="1:9" x14ac:dyDescent="0.35">
      <c r="A84" s="617" t="s">
        <v>2362</v>
      </c>
      <c r="B84" s="62" t="s">
        <v>734</v>
      </c>
      <c r="C84" s="315"/>
      <c r="D84" s="62"/>
      <c r="E84" s="62">
        <v>55719</v>
      </c>
      <c r="F84" s="466"/>
      <c r="G84" s="55">
        <v>1</v>
      </c>
      <c r="H84" s="394"/>
      <c r="I84" s="482">
        <f t="shared" si="2"/>
        <v>0</v>
      </c>
    </row>
    <row r="85" spans="1:9" x14ac:dyDescent="0.35">
      <c r="A85" s="617" t="s">
        <v>1265</v>
      </c>
      <c r="B85" s="62" t="s">
        <v>751</v>
      </c>
      <c r="C85" s="315"/>
      <c r="D85" s="62"/>
      <c r="E85" s="62">
        <v>55719</v>
      </c>
      <c r="F85" s="466"/>
      <c r="G85" s="55">
        <v>1</v>
      </c>
      <c r="H85" s="394"/>
      <c r="I85" s="482">
        <f t="shared" si="2"/>
        <v>0</v>
      </c>
    </row>
    <row r="86" spans="1:9" x14ac:dyDescent="0.35">
      <c r="A86" s="617" t="s">
        <v>1672</v>
      </c>
      <c r="B86" s="62" t="s">
        <v>1671</v>
      </c>
      <c r="C86" s="315"/>
      <c r="D86" s="62"/>
      <c r="E86" s="62">
        <v>55719</v>
      </c>
      <c r="F86" s="466"/>
      <c r="G86" s="55">
        <v>1</v>
      </c>
      <c r="H86" s="394"/>
      <c r="I86" s="482">
        <f t="shared" si="2"/>
        <v>0</v>
      </c>
    </row>
    <row r="87" spans="1:9" x14ac:dyDescent="0.35">
      <c r="A87" s="617" t="s">
        <v>1269</v>
      </c>
      <c r="B87" s="62" t="s">
        <v>82</v>
      </c>
      <c r="C87" s="315"/>
      <c r="D87" s="62"/>
      <c r="E87" s="62">
        <v>55719</v>
      </c>
      <c r="F87" s="466"/>
      <c r="G87" s="55">
        <v>1</v>
      </c>
      <c r="H87" s="394"/>
      <c r="I87" s="482">
        <f t="shared" si="2"/>
        <v>0</v>
      </c>
    </row>
    <row r="88" spans="1:9" x14ac:dyDescent="0.35">
      <c r="A88" s="617" t="s">
        <v>1828</v>
      </c>
      <c r="B88" s="62" t="s">
        <v>1829</v>
      </c>
      <c r="C88" s="315"/>
      <c r="D88" s="62"/>
      <c r="E88" s="62">
        <v>55719</v>
      </c>
      <c r="F88" s="466"/>
      <c r="G88" s="55">
        <v>1</v>
      </c>
      <c r="H88" s="394"/>
      <c r="I88" s="482">
        <f t="shared" si="2"/>
        <v>0</v>
      </c>
    </row>
    <row r="89" spans="1:9" x14ac:dyDescent="0.35">
      <c r="A89" s="617" t="s">
        <v>132</v>
      </c>
      <c r="B89" s="62" t="s">
        <v>133</v>
      </c>
      <c r="C89" s="315"/>
      <c r="D89" s="62"/>
      <c r="E89" s="62">
        <v>55719</v>
      </c>
      <c r="F89" s="466"/>
      <c r="G89" s="55">
        <v>1</v>
      </c>
      <c r="H89" s="394"/>
      <c r="I89" s="482">
        <f t="shared" si="2"/>
        <v>0</v>
      </c>
    </row>
    <row r="90" spans="1:9" x14ac:dyDescent="0.35">
      <c r="A90" s="617" t="s">
        <v>19</v>
      </c>
      <c r="B90" s="62" t="s">
        <v>242</v>
      </c>
      <c r="C90" s="315"/>
      <c r="D90" s="62"/>
      <c r="E90" s="62">
        <v>55719</v>
      </c>
      <c r="F90" s="466"/>
      <c r="G90" s="55">
        <v>1</v>
      </c>
      <c r="H90" s="394"/>
      <c r="I90" s="482">
        <f t="shared" si="2"/>
        <v>0</v>
      </c>
    </row>
    <row r="91" spans="1:9" x14ac:dyDescent="0.35">
      <c r="A91" s="617" t="s">
        <v>5</v>
      </c>
      <c r="B91" s="62" t="s">
        <v>415</v>
      </c>
      <c r="C91" s="315"/>
      <c r="D91" s="62"/>
      <c r="E91" s="62">
        <v>55719</v>
      </c>
      <c r="F91" s="466"/>
      <c r="G91" s="55">
        <v>1</v>
      </c>
      <c r="H91" s="394"/>
      <c r="I91" s="482">
        <f t="shared" si="2"/>
        <v>0</v>
      </c>
    </row>
    <row r="92" spans="1:9" x14ac:dyDescent="0.35">
      <c r="A92" s="617" t="s">
        <v>11</v>
      </c>
      <c r="B92" s="62" t="s">
        <v>233</v>
      </c>
      <c r="C92" s="315"/>
      <c r="D92" s="62"/>
      <c r="E92" s="62">
        <v>55719</v>
      </c>
      <c r="F92" s="466"/>
      <c r="G92" s="55">
        <v>1</v>
      </c>
      <c r="H92" s="394"/>
      <c r="I92" s="482">
        <f t="shared" si="2"/>
        <v>0</v>
      </c>
    </row>
    <row r="93" spans="1:9" x14ac:dyDescent="0.35">
      <c r="A93" s="617" t="s">
        <v>12</v>
      </c>
      <c r="B93" s="62" t="s">
        <v>150</v>
      </c>
      <c r="C93" s="315"/>
      <c r="D93" s="62"/>
      <c r="E93" s="62">
        <v>55719</v>
      </c>
      <c r="F93" s="466"/>
      <c r="G93" s="55">
        <v>1</v>
      </c>
      <c r="H93" s="394"/>
      <c r="I93" s="482">
        <f t="shared" si="2"/>
        <v>0</v>
      </c>
    </row>
    <row r="94" spans="1:9" x14ac:dyDescent="0.35">
      <c r="A94" s="617" t="s">
        <v>1413</v>
      </c>
      <c r="B94" s="62" t="s">
        <v>1820</v>
      </c>
      <c r="C94" s="315"/>
      <c r="D94" s="62"/>
      <c r="E94" s="62">
        <v>55719</v>
      </c>
      <c r="F94" s="466"/>
      <c r="G94" s="55">
        <v>1</v>
      </c>
      <c r="H94" s="394"/>
      <c r="I94" s="482">
        <f t="shared" si="2"/>
        <v>0</v>
      </c>
    </row>
    <row r="95" spans="1:9" x14ac:dyDescent="0.35">
      <c r="A95" s="617" t="s">
        <v>64</v>
      </c>
      <c r="B95" s="62" t="s">
        <v>498</v>
      </c>
      <c r="C95" s="315"/>
      <c r="D95" s="62"/>
      <c r="E95" s="62">
        <v>55719</v>
      </c>
      <c r="F95" s="466"/>
      <c r="G95" s="55">
        <v>1</v>
      </c>
      <c r="H95" s="394"/>
      <c r="I95" s="482">
        <f t="shared" si="2"/>
        <v>0</v>
      </c>
    </row>
    <row r="96" spans="1:9" x14ac:dyDescent="0.35">
      <c r="A96" s="617" t="s">
        <v>1246</v>
      </c>
      <c r="B96" s="62" t="s">
        <v>496</v>
      </c>
      <c r="C96" s="315"/>
      <c r="D96" s="62"/>
      <c r="E96" s="62">
        <v>55719</v>
      </c>
      <c r="F96" s="466"/>
      <c r="G96" s="55">
        <v>1</v>
      </c>
      <c r="H96" s="394"/>
      <c r="I96" s="482">
        <f t="shared" si="2"/>
        <v>0</v>
      </c>
    </row>
    <row r="97" spans="1:9" x14ac:dyDescent="0.35">
      <c r="A97" s="617" t="s">
        <v>4</v>
      </c>
      <c r="B97" s="62" t="s">
        <v>86</v>
      </c>
      <c r="C97" s="315"/>
      <c r="D97" s="62"/>
      <c r="E97" s="62">
        <v>55719</v>
      </c>
      <c r="F97" s="466"/>
      <c r="G97" s="55">
        <v>1</v>
      </c>
      <c r="H97" s="394"/>
      <c r="I97" s="482">
        <f t="shared" si="2"/>
        <v>0</v>
      </c>
    </row>
    <row r="98" spans="1:9" x14ac:dyDescent="0.35">
      <c r="A98" s="617" t="s">
        <v>97</v>
      </c>
      <c r="B98" s="62" t="s">
        <v>457</v>
      </c>
      <c r="C98" s="315"/>
      <c r="D98" s="62"/>
      <c r="E98" s="62">
        <v>55719</v>
      </c>
      <c r="F98" s="466"/>
      <c r="G98" s="55">
        <v>1</v>
      </c>
      <c r="H98" s="394"/>
      <c r="I98" s="482">
        <f t="shared" ref="I98:I100" si="3">+G98*H98</f>
        <v>0</v>
      </c>
    </row>
    <row r="99" spans="1:9" x14ac:dyDescent="0.35">
      <c r="A99" s="617" t="s">
        <v>19</v>
      </c>
      <c r="B99" s="62" t="s">
        <v>98</v>
      </c>
      <c r="C99" s="315"/>
      <c r="D99" s="62"/>
      <c r="E99" s="62">
        <v>55719</v>
      </c>
      <c r="F99" s="466"/>
      <c r="G99" s="55">
        <v>1</v>
      </c>
      <c r="H99" s="394"/>
      <c r="I99" s="482">
        <f t="shared" si="3"/>
        <v>0</v>
      </c>
    </row>
    <row r="100" spans="1:9" s="153" customFormat="1" ht="17.5" x14ac:dyDescent="0.35">
      <c r="A100" s="617" t="s">
        <v>159</v>
      </c>
      <c r="B100" s="253" t="s">
        <v>427</v>
      </c>
      <c r="C100" s="315"/>
      <c r="D100" s="253"/>
      <c r="E100" s="253">
        <v>55719</v>
      </c>
      <c r="F100" s="466"/>
      <c r="G100" s="55">
        <v>1</v>
      </c>
      <c r="H100" s="394"/>
      <c r="I100" s="482">
        <f t="shared" si="3"/>
        <v>0</v>
      </c>
    </row>
    <row r="101" spans="1:9" x14ac:dyDescent="0.35">
      <c r="A101" s="94"/>
      <c r="B101" s="86"/>
      <c r="C101" s="86"/>
      <c r="D101" s="86"/>
      <c r="E101" s="86"/>
      <c r="F101" s="86"/>
      <c r="G101" s="86"/>
      <c r="H101" s="486"/>
      <c r="I101" s="484">
        <f>SUM(I2:I100)</f>
        <v>0</v>
      </c>
    </row>
    <row r="102" spans="1:9" s="4" customFormat="1" ht="17.5" x14ac:dyDescent="0.35">
      <c r="A102" s="309" t="s">
        <v>1508</v>
      </c>
      <c r="B102" s="312"/>
      <c r="C102" s="249"/>
      <c r="D102" s="3"/>
      <c r="E102" s="3"/>
      <c r="F102" s="249"/>
      <c r="G102" s="3"/>
      <c r="H102" s="396"/>
      <c r="I102" s="406"/>
    </row>
    <row r="103" spans="1:9" s="4" customFormat="1" ht="17.5" x14ac:dyDescent="0.35">
      <c r="A103" s="309" t="s">
        <v>2384</v>
      </c>
      <c r="B103" s="312"/>
      <c r="C103" s="249"/>
      <c r="D103" s="3"/>
      <c r="E103" s="3"/>
      <c r="F103" s="249"/>
      <c r="H103" s="406"/>
      <c r="I103" s="406"/>
    </row>
    <row r="104" spans="1:9" ht="17.5" x14ac:dyDescent="0.35">
      <c r="A104" s="367" t="s">
        <v>2668</v>
      </c>
      <c r="B104" s="65"/>
      <c r="C104" s="86"/>
      <c r="D104" s="86"/>
      <c r="E104" s="86"/>
      <c r="F104" s="86"/>
      <c r="G104" s="86"/>
      <c r="H104" s="486"/>
    </row>
    <row r="105" spans="1:9" ht="17.5" x14ac:dyDescent="0.35">
      <c r="A105" s="334" t="s">
        <v>2694</v>
      </c>
      <c r="B105" s="456">
        <f>+I101</f>
        <v>0</v>
      </c>
      <c r="C105" s="86"/>
      <c r="D105" s="86"/>
      <c r="E105" s="86"/>
      <c r="F105" s="86"/>
      <c r="G105" s="86"/>
      <c r="H105" s="486"/>
    </row>
  </sheetData>
  <pageMargins left="0.5" right="0.5" top="0.5" bottom="0.5" header="0.3" footer="0.3"/>
  <pageSetup scale="65" fitToWidth="0" fitToHeight="0" orientation="landscape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7"/>
  <sheetViews>
    <sheetView workbookViewId="0">
      <pane ySplit="1" topLeftCell="A2" activePane="bottomLeft" state="frozen"/>
      <selection activeCell="C26" sqref="C26"/>
      <selection pane="bottomLeft" activeCell="G39" sqref="G39"/>
    </sheetView>
  </sheetViews>
  <sheetFormatPr defaultColWidth="9.08984375" defaultRowHeight="15.5" x14ac:dyDescent="0.35"/>
  <cols>
    <col min="1" max="1" width="67.08984375" style="7" bestFit="1" customWidth="1"/>
    <col min="2" max="2" width="14.36328125" style="63" bestFit="1" customWidth="1"/>
    <col min="3" max="3" width="20.36328125" style="63" bestFit="1" customWidth="1"/>
    <col min="4" max="4" width="20.08984375" style="63" bestFit="1" customWidth="1"/>
    <col min="5" max="5" width="12.453125" style="63" bestFit="1" customWidth="1"/>
    <col min="6" max="6" width="15.6328125" style="63" bestFit="1" customWidth="1"/>
    <col min="7" max="7" width="10" style="185" bestFit="1" customWidth="1"/>
    <col min="8" max="8" width="11.36328125" style="491" bestFit="1" customWidth="1"/>
    <col min="9" max="9" width="16.90625" style="491" bestFit="1" customWidth="1"/>
    <col min="10" max="10" width="14.08984375" style="7" bestFit="1" customWidth="1"/>
    <col min="11" max="16384" width="9.08984375" style="7"/>
  </cols>
  <sheetData>
    <row r="1" spans="1:9" x14ac:dyDescent="0.35">
      <c r="A1" s="189" t="s">
        <v>0</v>
      </c>
      <c r="B1" s="189" t="s">
        <v>1</v>
      </c>
      <c r="C1" s="281" t="s">
        <v>2700</v>
      </c>
      <c r="D1" s="190" t="s">
        <v>1598</v>
      </c>
      <c r="E1" s="190" t="s">
        <v>1599</v>
      </c>
      <c r="F1" s="281" t="s">
        <v>2699</v>
      </c>
      <c r="G1" s="187" t="s">
        <v>364</v>
      </c>
      <c r="H1" s="393" t="s">
        <v>2695</v>
      </c>
      <c r="I1" s="488" t="s">
        <v>2696</v>
      </c>
    </row>
    <row r="2" spans="1:9" x14ac:dyDescent="0.35">
      <c r="A2" s="67" t="s">
        <v>1643</v>
      </c>
      <c r="B2" s="62" t="s">
        <v>1642</v>
      </c>
      <c r="C2" s="340"/>
      <c r="D2" s="62"/>
      <c r="E2" s="62">
        <v>55719</v>
      </c>
      <c r="F2" s="466"/>
      <c r="G2" s="186">
        <v>1</v>
      </c>
      <c r="H2" s="405"/>
      <c r="I2" s="489">
        <f>+Table4[[#This Row],[Quantity]]*Table4[[#This Row],[Unit Price]]</f>
        <v>0</v>
      </c>
    </row>
    <row r="3" spans="1:9" x14ac:dyDescent="0.35">
      <c r="A3" s="67" t="s">
        <v>1451</v>
      </c>
      <c r="B3" s="62" t="s">
        <v>1450</v>
      </c>
      <c r="C3" s="340"/>
      <c r="D3" s="62"/>
      <c r="E3" s="62">
        <v>55719</v>
      </c>
      <c r="F3" s="466"/>
      <c r="G3" s="186">
        <v>1</v>
      </c>
      <c r="H3" s="405"/>
      <c r="I3" s="489">
        <f>+Table4[[#This Row],[Quantity]]*Table4[[#This Row],[Unit Price]]</f>
        <v>0</v>
      </c>
    </row>
    <row r="4" spans="1:9" x14ac:dyDescent="0.35">
      <c r="A4" s="67" t="s">
        <v>1660</v>
      </c>
      <c r="B4" s="62" t="s">
        <v>1650</v>
      </c>
      <c r="C4" s="340"/>
      <c r="D4" s="62"/>
      <c r="E4" s="62">
        <v>55719</v>
      </c>
      <c r="F4" s="466"/>
      <c r="G4" s="186">
        <v>1</v>
      </c>
      <c r="H4" s="405"/>
      <c r="I4" s="489">
        <f>+Table4[[#This Row],[Quantity]]*Table4[[#This Row],[Unit Price]]</f>
        <v>0</v>
      </c>
    </row>
    <row r="5" spans="1:9" x14ac:dyDescent="0.35">
      <c r="A5" s="28" t="s">
        <v>2470</v>
      </c>
      <c r="B5" s="18" t="s">
        <v>2471</v>
      </c>
      <c r="C5" s="340"/>
      <c r="D5" s="18"/>
      <c r="E5" s="18">
        <v>55719</v>
      </c>
      <c r="F5" s="375"/>
      <c r="G5" s="241">
        <v>1</v>
      </c>
      <c r="H5" s="405"/>
      <c r="I5" s="489">
        <f>+Table4[[#This Row],[Quantity]]*Table4[[#This Row],[Unit Price]]</f>
        <v>0</v>
      </c>
    </row>
    <row r="6" spans="1:9" x14ac:dyDescent="0.35">
      <c r="A6" s="28" t="s">
        <v>2468</v>
      </c>
      <c r="B6" s="18" t="s">
        <v>2469</v>
      </c>
      <c r="C6" s="340"/>
      <c r="D6" s="18"/>
      <c r="E6" s="18">
        <v>55719</v>
      </c>
      <c r="F6" s="375"/>
      <c r="G6" s="243">
        <v>1</v>
      </c>
      <c r="H6" s="405"/>
      <c r="I6" s="489">
        <f>+Table4[[#This Row],[Quantity]]*Table4[[#This Row],[Unit Price]]</f>
        <v>0</v>
      </c>
    </row>
    <row r="7" spans="1:9" x14ac:dyDescent="0.35">
      <c r="A7" s="28" t="s">
        <v>2466</v>
      </c>
      <c r="B7" s="18" t="s">
        <v>2467</v>
      </c>
      <c r="C7" s="340"/>
      <c r="D7" s="18"/>
      <c r="E7" s="18">
        <v>55719</v>
      </c>
      <c r="F7" s="375"/>
      <c r="G7" s="241">
        <v>1</v>
      </c>
      <c r="H7" s="405"/>
      <c r="I7" s="489">
        <f>+Table4[[#This Row],[Quantity]]*Table4[[#This Row],[Unit Price]]</f>
        <v>0</v>
      </c>
    </row>
    <row r="8" spans="1:9" x14ac:dyDescent="0.35">
      <c r="A8" s="42" t="s">
        <v>2474</v>
      </c>
      <c r="B8" s="40" t="s">
        <v>2475</v>
      </c>
      <c r="C8" s="340"/>
      <c r="D8" s="40"/>
      <c r="E8" s="40">
        <v>55719</v>
      </c>
      <c r="F8" s="375"/>
      <c r="G8" s="241">
        <v>1</v>
      </c>
      <c r="H8" s="405"/>
      <c r="I8" s="489">
        <f>+Table4[[#This Row],[Quantity]]*Table4[[#This Row],[Unit Price]]</f>
        <v>0</v>
      </c>
    </row>
    <row r="9" spans="1:9" x14ac:dyDescent="0.35">
      <c r="A9" s="67" t="s">
        <v>1182</v>
      </c>
      <c r="B9" s="62" t="s">
        <v>99</v>
      </c>
      <c r="C9" s="340"/>
      <c r="D9" s="62"/>
      <c r="E9" s="62" t="s">
        <v>1604</v>
      </c>
      <c r="F9" s="466"/>
      <c r="G9" s="186">
        <v>1</v>
      </c>
      <c r="H9" s="405"/>
      <c r="I9" s="489">
        <f>+Table4[[#This Row],[Quantity]]*Table4[[#This Row],[Unit Price]]</f>
        <v>0</v>
      </c>
    </row>
    <row r="10" spans="1:9" x14ac:dyDescent="0.35">
      <c r="A10" s="67" t="s">
        <v>1183</v>
      </c>
      <c r="B10" s="62" t="s">
        <v>605</v>
      </c>
      <c r="C10" s="340"/>
      <c r="D10" s="62"/>
      <c r="E10" s="62" t="s">
        <v>1604</v>
      </c>
      <c r="F10" s="466"/>
      <c r="G10" s="186">
        <v>1</v>
      </c>
      <c r="H10" s="405"/>
      <c r="I10" s="489">
        <f>+Table4[[#This Row],[Quantity]]*Table4[[#This Row],[Unit Price]]</f>
        <v>0</v>
      </c>
    </row>
    <row r="11" spans="1:9" x14ac:dyDescent="0.35">
      <c r="A11" s="67" t="s">
        <v>1184</v>
      </c>
      <c r="B11" s="62" t="s">
        <v>606</v>
      </c>
      <c r="C11" s="340"/>
      <c r="D11" s="62"/>
      <c r="E11" s="62" t="s">
        <v>1604</v>
      </c>
      <c r="F11" s="466"/>
      <c r="G11" s="186">
        <v>1</v>
      </c>
      <c r="H11" s="405"/>
      <c r="I11" s="489">
        <f>+Table4[[#This Row],[Quantity]]*Table4[[#This Row],[Unit Price]]</f>
        <v>0</v>
      </c>
    </row>
    <row r="12" spans="1:9" x14ac:dyDescent="0.35">
      <c r="A12" s="67" t="s">
        <v>2333</v>
      </c>
      <c r="B12" s="62" t="s">
        <v>1840</v>
      </c>
      <c r="C12" s="340"/>
      <c r="D12" s="62"/>
      <c r="E12" s="62" t="s">
        <v>1604</v>
      </c>
      <c r="F12" s="466"/>
      <c r="G12" s="186">
        <v>1</v>
      </c>
      <c r="H12" s="405"/>
      <c r="I12" s="489">
        <f>+Table4[[#This Row],[Quantity]]*Table4[[#This Row],[Unit Price]]</f>
        <v>0</v>
      </c>
    </row>
    <row r="13" spans="1:9" x14ac:dyDescent="0.35">
      <c r="A13" s="67" t="s">
        <v>1185</v>
      </c>
      <c r="B13" s="62" t="s">
        <v>193</v>
      </c>
      <c r="C13" s="340"/>
      <c r="D13" s="62"/>
      <c r="E13" s="62" t="s">
        <v>1604</v>
      </c>
      <c r="F13" s="466"/>
      <c r="G13" s="186">
        <v>1</v>
      </c>
      <c r="H13" s="405"/>
      <c r="I13" s="489">
        <f>+Table4[[#This Row],[Quantity]]*Table4[[#This Row],[Unit Price]]</f>
        <v>0</v>
      </c>
    </row>
    <row r="14" spans="1:9" x14ac:dyDescent="0.35">
      <c r="A14" s="67" t="s">
        <v>2347</v>
      </c>
      <c r="B14" s="62" t="s">
        <v>1841</v>
      </c>
      <c r="C14" s="340"/>
      <c r="D14" s="62"/>
      <c r="E14" s="62" t="s">
        <v>1604</v>
      </c>
      <c r="F14" s="466"/>
      <c r="G14" s="186">
        <v>1</v>
      </c>
      <c r="H14" s="405"/>
      <c r="I14" s="489">
        <f>+Table4[[#This Row],[Quantity]]*Table4[[#This Row],[Unit Price]]</f>
        <v>0</v>
      </c>
    </row>
    <row r="15" spans="1:9" x14ac:dyDescent="0.35">
      <c r="A15" s="67" t="s">
        <v>2348</v>
      </c>
      <c r="B15" s="62" t="s">
        <v>1842</v>
      </c>
      <c r="C15" s="340"/>
      <c r="D15" s="62"/>
      <c r="E15" s="62" t="s">
        <v>1604</v>
      </c>
      <c r="F15" s="466"/>
      <c r="G15" s="186">
        <v>1</v>
      </c>
      <c r="H15" s="405"/>
      <c r="I15" s="489">
        <f>+Table4[[#This Row],[Quantity]]*Table4[[#This Row],[Unit Price]]</f>
        <v>0</v>
      </c>
    </row>
    <row r="16" spans="1:9" x14ac:dyDescent="0.35">
      <c r="A16" s="67" t="s">
        <v>908</v>
      </c>
      <c r="B16" s="62" t="s">
        <v>748</v>
      </c>
      <c r="C16" s="340"/>
      <c r="D16" s="62"/>
      <c r="E16" s="62" t="s">
        <v>1604</v>
      </c>
      <c r="F16" s="466"/>
      <c r="G16" s="186">
        <v>1</v>
      </c>
      <c r="H16" s="405"/>
      <c r="I16" s="489">
        <f>+Table4[[#This Row],[Quantity]]*Table4[[#This Row],[Unit Price]]</f>
        <v>0</v>
      </c>
    </row>
    <row r="17" spans="1:9" x14ac:dyDescent="0.35">
      <c r="A17" s="67" t="s">
        <v>1658</v>
      </c>
      <c r="B17" s="62" t="s">
        <v>1648</v>
      </c>
      <c r="C17" s="340"/>
      <c r="D17" s="62"/>
      <c r="E17" s="62" t="s">
        <v>1604</v>
      </c>
      <c r="F17" s="466"/>
      <c r="G17" s="186">
        <v>1</v>
      </c>
      <c r="H17" s="405"/>
      <c r="I17" s="489">
        <f>+Table4[[#This Row],[Quantity]]*Table4[[#This Row],[Unit Price]]</f>
        <v>0</v>
      </c>
    </row>
    <row r="18" spans="1:9" x14ac:dyDescent="0.35">
      <c r="A18" s="67" t="s">
        <v>1659</v>
      </c>
      <c r="B18" s="62" t="s">
        <v>1649</v>
      </c>
      <c r="C18" s="340"/>
      <c r="D18" s="62"/>
      <c r="E18" s="62" t="s">
        <v>1604</v>
      </c>
      <c r="F18" s="466"/>
      <c r="G18" s="186">
        <v>1</v>
      </c>
      <c r="H18" s="405"/>
      <c r="I18" s="489">
        <f>+Table4[[#This Row],[Quantity]]*Table4[[#This Row],[Unit Price]]</f>
        <v>0</v>
      </c>
    </row>
    <row r="19" spans="1:9" x14ac:dyDescent="0.35">
      <c r="A19" s="67" t="s">
        <v>1657</v>
      </c>
      <c r="B19" s="62" t="s">
        <v>1647</v>
      </c>
      <c r="C19" s="340"/>
      <c r="D19" s="62"/>
      <c r="E19" s="62" t="s">
        <v>1604</v>
      </c>
      <c r="F19" s="466"/>
      <c r="G19" s="186">
        <v>1</v>
      </c>
      <c r="H19" s="405"/>
      <c r="I19" s="489">
        <f>+Table4[[#This Row],[Quantity]]*Table4[[#This Row],[Unit Price]]</f>
        <v>0</v>
      </c>
    </row>
    <row r="20" spans="1:9" x14ac:dyDescent="0.35">
      <c r="A20" s="67" t="s">
        <v>1656</v>
      </c>
      <c r="B20" s="62" t="s">
        <v>1646</v>
      </c>
      <c r="C20" s="340"/>
      <c r="D20" s="62"/>
      <c r="E20" s="62" t="s">
        <v>1604</v>
      </c>
      <c r="F20" s="466"/>
      <c r="G20" s="186">
        <v>1</v>
      </c>
      <c r="H20" s="405"/>
      <c r="I20" s="489">
        <f>+Table4[[#This Row],[Quantity]]*Table4[[#This Row],[Unit Price]]</f>
        <v>0</v>
      </c>
    </row>
    <row r="21" spans="1:9" x14ac:dyDescent="0.35">
      <c r="A21" s="67" t="s">
        <v>1661</v>
      </c>
      <c r="B21" s="62" t="s">
        <v>1651</v>
      </c>
      <c r="C21" s="340"/>
      <c r="D21" s="62"/>
      <c r="E21" s="62" t="s">
        <v>1604</v>
      </c>
      <c r="F21" s="466"/>
      <c r="G21" s="186">
        <v>1</v>
      </c>
      <c r="H21" s="405"/>
      <c r="I21" s="489">
        <f>+Table4[[#This Row],[Quantity]]*Table4[[#This Row],[Unit Price]]</f>
        <v>0</v>
      </c>
    </row>
    <row r="22" spans="1:9" x14ac:dyDescent="0.35">
      <c r="A22" s="67" t="s">
        <v>1833</v>
      </c>
      <c r="B22" s="62" t="s">
        <v>1832</v>
      </c>
      <c r="C22" s="340"/>
      <c r="D22" s="62"/>
      <c r="E22" s="62" t="s">
        <v>1604</v>
      </c>
      <c r="F22" s="466"/>
      <c r="G22" s="186">
        <v>1</v>
      </c>
      <c r="H22" s="405"/>
      <c r="I22" s="489">
        <f>+Table4[[#This Row],[Quantity]]*Table4[[#This Row],[Unit Price]]</f>
        <v>0</v>
      </c>
    </row>
    <row r="23" spans="1:9" x14ac:dyDescent="0.35">
      <c r="A23" s="67" t="s">
        <v>1200</v>
      </c>
      <c r="B23" s="62" t="s">
        <v>59</v>
      </c>
      <c r="C23" s="340"/>
      <c r="D23" s="62"/>
      <c r="E23" s="62" t="s">
        <v>1604</v>
      </c>
      <c r="F23" s="466"/>
      <c r="G23" s="186">
        <v>1</v>
      </c>
      <c r="H23" s="405"/>
      <c r="I23" s="489">
        <f>+Table4[[#This Row],[Quantity]]*Table4[[#This Row],[Unit Price]]</f>
        <v>0</v>
      </c>
    </row>
    <row r="24" spans="1:9" x14ac:dyDescent="0.35">
      <c r="A24" s="67" t="s">
        <v>1834</v>
      </c>
      <c r="B24" s="62" t="s">
        <v>1837</v>
      </c>
      <c r="C24" s="340"/>
      <c r="D24" s="62"/>
      <c r="E24" s="62" t="s">
        <v>1604</v>
      </c>
      <c r="F24" s="466"/>
      <c r="G24" s="186">
        <v>1</v>
      </c>
      <c r="H24" s="405"/>
      <c r="I24" s="489">
        <f>+Table4[[#This Row],[Quantity]]*Table4[[#This Row],[Unit Price]]</f>
        <v>0</v>
      </c>
    </row>
    <row r="25" spans="1:9" x14ac:dyDescent="0.35">
      <c r="A25" s="67" t="s">
        <v>1835</v>
      </c>
      <c r="B25" s="62" t="s">
        <v>1836</v>
      </c>
      <c r="C25" s="340"/>
      <c r="D25" s="62"/>
      <c r="E25" s="62" t="s">
        <v>1604</v>
      </c>
      <c r="F25" s="466"/>
      <c r="G25" s="186">
        <v>1</v>
      </c>
      <c r="H25" s="405"/>
      <c r="I25" s="489">
        <f>+Table4[[#This Row],[Quantity]]*Table4[[#This Row],[Unit Price]]</f>
        <v>0</v>
      </c>
    </row>
    <row r="26" spans="1:9" x14ac:dyDescent="0.35">
      <c r="A26" s="67" t="s">
        <v>1838</v>
      </c>
      <c r="B26" s="253" t="s">
        <v>1839</v>
      </c>
      <c r="C26" s="340"/>
      <c r="D26" s="253"/>
      <c r="E26" s="253" t="s">
        <v>1604</v>
      </c>
      <c r="F26" s="466"/>
      <c r="G26" s="186">
        <v>1</v>
      </c>
      <c r="H26" s="405"/>
      <c r="I26" s="489">
        <f>+Table4[[#This Row],[Quantity]]*Table4[[#This Row],[Unit Price]]</f>
        <v>0</v>
      </c>
    </row>
    <row r="27" spans="1:9" x14ac:dyDescent="0.35">
      <c r="A27" s="67" t="s">
        <v>927</v>
      </c>
      <c r="B27" s="253" t="s">
        <v>774</v>
      </c>
      <c r="C27" s="340"/>
      <c r="D27" s="253"/>
      <c r="E27" s="253" t="s">
        <v>1604</v>
      </c>
      <c r="F27" s="466"/>
      <c r="G27" s="186">
        <v>1</v>
      </c>
      <c r="H27" s="405"/>
      <c r="I27" s="489">
        <f>+Table4[[#This Row],[Quantity]]*Table4[[#This Row],[Unit Price]]</f>
        <v>0</v>
      </c>
    </row>
    <row r="28" spans="1:9" x14ac:dyDescent="0.35">
      <c r="A28" s="67" t="s">
        <v>1243</v>
      </c>
      <c r="B28" s="253" t="s">
        <v>407</v>
      </c>
      <c r="C28" s="340"/>
      <c r="D28" s="253"/>
      <c r="E28" s="253" t="s">
        <v>1604</v>
      </c>
      <c r="F28" s="466"/>
      <c r="G28" s="186">
        <v>1</v>
      </c>
      <c r="H28" s="405"/>
      <c r="I28" s="489">
        <f>+Table4[[#This Row],[Quantity]]*Table4[[#This Row],[Unit Price]]</f>
        <v>0</v>
      </c>
    </row>
    <row r="29" spans="1:9" x14ac:dyDescent="0.35">
      <c r="A29" s="67" t="s">
        <v>928</v>
      </c>
      <c r="B29" s="253" t="s">
        <v>775</v>
      </c>
      <c r="C29" s="340"/>
      <c r="D29" s="253"/>
      <c r="E29" s="253" t="s">
        <v>1604</v>
      </c>
      <c r="F29" s="466"/>
      <c r="G29" s="186">
        <v>1</v>
      </c>
      <c r="H29" s="405"/>
      <c r="I29" s="489">
        <f>+Table4[[#This Row],[Quantity]]*Table4[[#This Row],[Unit Price]]</f>
        <v>0</v>
      </c>
    </row>
    <row r="30" spans="1:9" x14ac:dyDescent="0.35">
      <c r="A30" s="240" t="s">
        <v>413</v>
      </c>
      <c r="B30" s="129">
        <v>1490</v>
      </c>
      <c r="C30" s="340"/>
      <c r="D30" s="129"/>
      <c r="E30" s="129">
        <v>55719</v>
      </c>
      <c r="F30" s="487"/>
      <c r="G30" s="242">
        <v>1</v>
      </c>
      <c r="H30" s="490"/>
      <c r="I30" s="489">
        <f>+Table4[[#This Row],[Quantity]]*Table4[[#This Row],[Unit Price]]</f>
        <v>0</v>
      </c>
    </row>
    <row r="31" spans="1:9" x14ac:dyDescent="0.35">
      <c r="A31" s="41"/>
      <c r="B31" s="299"/>
      <c r="C31" s="492"/>
      <c r="D31" s="493"/>
      <c r="E31" s="299"/>
      <c r="F31" s="494"/>
      <c r="H31" s="495"/>
      <c r="I31" s="496">
        <f>SUM(I2:I30)</f>
        <v>0</v>
      </c>
    </row>
    <row r="34" spans="1:9" s="4" customFormat="1" ht="17.5" x14ac:dyDescent="0.35">
      <c r="A34" s="309" t="s">
        <v>1530</v>
      </c>
      <c r="B34" s="312"/>
      <c r="C34" s="249"/>
      <c r="D34" s="3"/>
      <c r="E34" s="3"/>
      <c r="F34" s="249"/>
      <c r="G34" s="188"/>
      <c r="H34" s="396"/>
      <c r="I34" s="406"/>
    </row>
    <row r="35" spans="1:9" s="4" customFormat="1" ht="17.5" x14ac:dyDescent="0.35">
      <c r="A35" s="309" t="s">
        <v>2385</v>
      </c>
      <c r="B35" s="312"/>
      <c r="C35" s="249"/>
      <c r="D35" s="3"/>
      <c r="E35" s="3"/>
      <c r="F35" s="249"/>
      <c r="G35" s="188"/>
      <c r="H35" s="396"/>
      <c r="I35" s="406"/>
    </row>
    <row r="36" spans="1:9" ht="17.5" x14ac:dyDescent="0.35">
      <c r="A36" s="367" t="s">
        <v>2666</v>
      </c>
      <c r="B36" s="18"/>
    </row>
    <row r="37" spans="1:9" ht="17.5" x14ac:dyDescent="0.35">
      <c r="A37" s="334" t="s">
        <v>2694</v>
      </c>
      <c r="B37" s="456">
        <f>+Table4[[#Totals],[Extended price]]</f>
        <v>0</v>
      </c>
    </row>
  </sheetData>
  <sortState xmlns:xlrd2="http://schemas.microsoft.com/office/spreadsheetml/2017/richdata2" ref="A3:H29">
    <sortCondition ref="B3:B29"/>
  </sortState>
  <pageMargins left="0.7" right="0.7" top="0.75" bottom="0.75" header="0.3" footer="0.3"/>
  <pageSetup scale="90" orientation="landscape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14"/>
  <sheetViews>
    <sheetView topLeftCell="A2" workbookViewId="0">
      <pane ySplit="1" topLeftCell="A93" activePane="bottomLeft" state="frozen"/>
      <selection activeCell="C26" sqref="C26"/>
      <selection pane="bottomLeft" activeCell="A136" sqref="A109:XFD136"/>
    </sheetView>
  </sheetViews>
  <sheetFormatPr defaultColWidth="9.08984375" defaultRowHeight="15.5" x14ac:dyDescent="0.35"/>
  <cols>
    <col min="1" max="1" width="64" style="16" bestFit="1" customWidth="1"/>
    <col min="2" max="2" width="16.453125" style="111" bestFit="1" customWidth="1"/>
    <col min="3" max="3" width="21.1796875" style="111" customWidth="1"/>
    <col min="4" max="4" width="21.81640625" style="111" customWidth="1"/>
    <col min="5" max="5" width="14.36328125" style="111" customWidth="1"/>
    <col min="6" max="6" width="16.453125" style="111" customWidth="1"/>
    <col min="7" max="7" width="11.90625" style="17" customWidth="1"/>
    <col min="8" max="8" width="13.08984375" style="412" customWidth="1"/>
    <col min="9" max="9" width="18.6328125" style="412" customWidth="1"/>
    <col min="10" max="10" width="19.08984375" style="16" bestFit="1" customWidth="1"/>
    <col min="11" max="16384" width="9.08984375" style="16"/>
  </cols>
  <sheetData>
    <row r="1" spans="1:9" s="4" customFormat="1" ht="17.5" x14ac:dyDescent="0.35">
      <c r="A1" s="4" t="s">
        <v>1523</v>
      </c>
      <c r="B1" s="3"/>
      <c r="C1" s="249"/>
      <c r="D1" s="3"/>
      <c r="E1" s="3"/>
      <c r="F1" s="249"/>
      <c r="G1" s="3"/>
      <c r="H1" s="396"/>
      <c r="I1" s="406"/>
    </row>
    <row r="2" spans="1:9" x14ac:dyDescent="0.35">
      <c r="A2" s="260" t="s">
        <v>0</v>
      </c>
      <c r="B2" s="233" t="s">
        <v>1</v>
      </c>
      <c r="C2" s="610" t="s">
        <v>2700</v>
      </c>
      <c r="D2" s="261" t="s">
        <v>1598</v>
      </c>
      <c r="E2" s="261" t="s">
        <v>1599</v>
      </c>
      <c r="F2" s="610" t="s">
        <v>2699</v>
      </c>
      <c r="G2" s="262" t="s">
        <v>364</v>
      </c>
      <c r="H2" s="611" t="s">
        <v>2695</v>
      </c>
      <c r="I2" s="612" t="s">
        <v>2696</v>
      </c>
    </row>
    <row r="3" spans="1:9" x14ac:dyDescent="0.35">
      <c r="A3" s="223" t="s">
        <v>1358</v>
      </c>
      <c r="B3" s="62" t="s">
        <v>2234</v>
      </c>
      <c r="C3" s="315"/>
      <c r="D3" s="62"/>
      <c r="E3" s="62">
        <v>55719</v>
      </c>
      <c r="F3" s="466"/>
      <c r="G3" s="26">
        <v>1</v>
      </c>
      <c r="H3" s="410"/>
      <c r="I3" s="562">
        <f t="shared" ref="I3:I34" si="0">+G3*H3</f>
        <v>0</v>
      </c>
    </row>
    <row r="4" spans="1:9" x14ac:dyDescent="0.35">
      <c r="A4" s="223" t="s">
        <v>17</v>
      </c>
      <c r="B4" s="62" t="s">
        <v>2473</v>
      </c>
      <c r="C4" s="315"/>
      <c r="D4" s="62"/>
      <c r="E4" s="62">
        <v>55719</v>
      </c>
      <c r="F4" s="466"/>
      <c r="G4" s="26">
        <v>1</v>
      </c>
      <c r="H4" s="410"/>
      <c r="I4" s="562">
        <f t="shared" si="0"/>
        <v>0</v>
      </c>
    </row>
    <row r="5" spans="1:9" x14ac:dyDescent="0.35">
      <c r="A5" s="223" t="s">
        <v>408</v>
      </c>
      <c r="B5" s="62" t="s">
        <v>1562</v>
      </c>
      <c r="C5" s="315"/>
      <c r="D5" s="62"/>
      <c r="E5" s="62">
        <v>55719</v>
      </c>
      <c r="F5" s="466"/>
      <c r="G5" s="26">
        <v>1</v>
      </c>
      <c r="H5" s="410"/>
      <c r="I5" s="562">
        <f t="shared" si="0"/>
        <v>0</v>
      </c>
    </row>
    <row r="6" spans="1:9" x14ac:dyDescent="0.35">
      <c r="A6" s="223" t="s">
        <v>1312</v>
      </c>
      <c r="B6" s="62" t="s">
        <v>787</v>
      </c>
      <c r="C6" s="315"/>
      <c r="D6" s="62"/>
      <c r="E6" s="62">
        <v>55719</v>
      </c>
      <c r="F6" s="466"/>
      <c r="G6" s="26">
        <v>1</v>
      </c>
      <c r="H6" s="410"/>
      <c r="I6" s="562">
        <f t="shared" si="0"/>
        <v>0</v>
      </c>
    </row>
    <row r="7" spans="1:9" x14ac:dyDescent="0.35">
      <c r="A7" s="223" t="s">
        <v>1391</v>
      </c>
      <c r="B7" s="62" t="s">
        <v>807</v>
      </c>
      <c r="C7" s="315"/>
      <c r="D7" s="62"/>
      <c r="E7" s="62">
        <v>55719</v>
      </c>
      <c r="F7" s="466"/>
      <c r="G7" s="26">
        <v>1</v>
      </c>
      <c r="H7" s="410"/>
      <c r="I7" s="562">
        <f t="shared" si="0"/>
        <v>0</v>
      </c>
    </row>
    <row r="8" spans="1:9" x14ac:dyDescent="0.35">
      <c r="A8" s="223" t="s">
        <v>16</v>
      </c>
      <c r="B8" s="62" t="s">
        <v>360</v>
      </c>
      <c r="C8" s="315"/>
      <c r="D8" s="62"/>
      <c r="E8" s="62">
        <v>55719</v>
      </c>
      <c r="F8" s="466"/>
      <c r="G8" s="26">
        <v>2</v>
      </c>
      <c r="H8" s="410"/>
      <c r="I8" s="562">
        <f t="shared" si="0"/>
        <v>0</v>
      </c>
    </row>
    <row r="9" spans="1:9" x14ac:dyDescent="0.35">
      <c r="A9" s="223" t="s">
        <v>171</v>
      </c>
      <c r="B9" s="62" t="s">
        <v>565</v>
      </c>
      <c r="C9" s="315"/>
      <c r="D9" s="62"/>
      <c r="E9" s="62">
        <v>55719</v>
      </c>
      <c r="F9" s="466"/>
      <c r="G9" s="26">
        <v>1</v>
      </c>
      <c r="H9" s="410"/>
      <c r="I9" s="562">
        <f t="shared" si="0"/>
        <v>0</v>
      </c>
    </row>
    <row r="10" spans="1:9" x14ac:dyDescent="0.35">
      <c r="A10" s="223" t="s">
        <v>1395</v>
      </c>
      <c r="B10" s="62" t="s">
        <v>819</v>
      </c>
      <c r="C10" s="315"/>
      <c r="D10" s="62"/>
      <c r="E10" s="62">
        <v>55719</v>
      </c>
      <c r="F10" s="466"/>
      <c r="G10" s="26">
        <v>1</v>
      </c>
      <c r="H10" s="410"/>
      <c r="I10" s="562">
        <f t="shared" si="0"/>
        <v>0</v>
      </c>
    </row>
    <row r="11" spans="1:9" x14ac:dyDescent="0.35">
      <c r="A11" s="223" t="s">
        <v>172</v>
      </c>
      <c r="B11" s="62" t="s">
        <v>566</v>
      </c>
      <c r="C11" s="315"/>
      <c r="D11" s="62"/>
      <c r="E11" s="62">
        <v>55719</v>
      </c>
      <c r="F11" s="466"/>
      <c r="G11" s="26">
        <v>1</v>
      </c>
      <c r="H11" s="410"/>
      <c r="I11" s="562">
        <f t="shared" si="0"/>
        <v>0</v>
      </c>
    </row>
    <row r="12" spans="1:9" x14ac:dyDescent="0.35">
      <c r="A12" s="223" t="s">
        <v>1413</v>
      </c>
      <c r="B12" s="62" t="s">
        <v>355</v>
      </c>
      <c r="C12" s="315"/>
      <c r="D12" s="62"/>
      <c r="E12" s="62">
        <v>55719</v>
      </c>
      <c r="F12" s="466"/>
      <c r="G12" s="26">
        <v>1</v>
      </c>
      <c r="H12" s="410"/>
      <c r="I12" s="562">
        <f t="shared" si="0"/>
        <v>0</v>
      </c>
    </row>
    <row r="13" spans="1:9" ht="15" customHeight="1" x14ac:dyDescent="0.35">
      <c r="A13" s="223" t="s">
        <v>893</v>
      </c>
      <c r="B13" s="62" t="s">
        <v>149</v>
      </c>
      <c r="C13" s="315"/>
      <c r="D13" s="62"/>
      <c r="E13" s="62">
        <v>55719</v>
      </c>
      <c r="F13" s="466"/>
      <c r="G13" s="26">
        <v>2</v>
      </c>
      <c r="H13" s="410"/>
      <c r="I13" s="562">
        <f t="shared" si="0"/>
        <v>0</v>
      </c>
    </row>
    <row r="14" spans="1:9" x14ac:dyDescent="0.35">
      <c r="A14" s="223" t="s">
        <v>895</v>
      </c>
      <c r="B14" s="62" t="s">
        <v>357</v>
      </c>
      <c r="C14" s="315"/>
      <c r="D14" s="62"/>
      <c r="E14" s="62">
        <v>55719</v>
      </c>
      <c r="F14" s="466"/>
      <c r="G14" s="26">
        <v>2</v>
      </c>
      <c r="H14" s="410"/>
      <c r="I14" s="562">
        <f t="shared" si="0"/>
        <v>0</v>
      </c>
    </row>
    <row r="15" spans="1:9" x14ac:dyDescent="0.35">
      <c r="A15" s="223" t="s">
        <v>1020</v>
      </c>
      <c r="B15" s="62" t="s">
        <v>271</v>
      </c>
      <c r="C15" s="315"/>
      <c r="D15" s="62"/>
      <c r="E15" s="62">
        <v>55719</v>
      </c>
      <c r="F15" s="466"/>
      <c r="G15" s="26">
        <v>1</v>
      </c>
      <c r="H15" s="410"/>
      <c r="I15" s="562">
        <f t="shared" si="0"/>
        <v>0</v>
      </c>
    </row>
    <row r="16" spans="1:9" s="106" customFormat="1" x14ac:dyDescent="0.35">
      <c r="A16" s="223" t="s">
        <v>896</v>
      </c>
      <c r="B16" s="62" t="s">
        <v>272</v>
      </c>
      <c r="C16" s="315"/>
      <c r="D16" s="62"/>
      <c r="E16" s="62">
        <v>55719</v>
      </c>
      <c r="F16" s="466"/>
      <c r="G16" s="200">
        <v>1</v>
      </c>
      <c r="H16" s="410"/>
      <c r="I16" s="562">
        <f t="shared" si="0"/>
        <v>0</v>
      </c>
    </row>
    <row r="17" spans="1:9" x14ac:dyDescent="0.35">
      <c r="A17" s="223" t="s">
        <v>46</v>
      </c>
      <c r="B17" s="62" t="s">
        <v>207</v>
      </c>
      <c r="C17" s="315"/>
      <c r="D17" s="62"/>
      <c r="E17" s="62">
        <v>55719</v>
      </c>
      <c r="F17" s="466"/>
      <c r="G17" s="26">
        <v>4</v>
      </c>
      <c r="H17" s="410"/>
      <c r="I17" s="562">
        <f t="shared" si="0"/>
        <v>0</v>
      </c>
    </row>
    <row r="18" spans="1:9" x14ac:dyDescent="0.35">
      <c r="A18" s="223" t="s">
        <v>1019</v>
      </c>
      <c r="B18" s="62" t="s">
        <v>90</v>
      </c>
      <c r="C18" s="315"/>
      <c r="D18" s="62"/>
      <c r="E18" s="62">
        <v>55719</v>
      </c>
      <c r="F18" s="466"/>
      <c r="G18" s="26">
        <v>1</v>
      </c>
      <c r="H18" s="410"/>
      <c r="I18" s="562">
        <f t="shared" si="0"/>
        <v>0</v>
      </c>
    </row>
    <row r="19" spans="1:9" x14ac:dyDescent="0.35">
      <c r="A19" s="223" t="s">
        <v>883</v>
      </c>
      <c r="B19" s="62" t="s">
        <v>235</v>
      </c>
      <c r="C19" s="315"/>
      <c r="D19" s="62"/>
      <c r="E19" s="62">
        <v>55719</v>
      </c>
      <c r="F19" s="466"/>
      <c r="G19" s="26">
        <v>1</v>
      </c>
      <c r="H19" s="410"/>
      <c r="I19" s="562">
        <f t="shared" si="0"/>
        <v>0</v>
      </c>
    </row>
    <row r="20" spans="1:9" x14ac:dyDescent="0.35">
      <c r="A20" s="223" t="s">
        <v>975</v>
      </c>
      <c r="B20" s="62" t="s">
        <v>356</v>
      </c>
      <c r="C20" s="315"/>
      <c r="D20" s="62"/>
      <c r="E20" s="62">
        <v>55719</v>
      </c>
      <c r="F20" s="466"/>
      <c r="G20" s="26">
        <v>1</v>
      </c>
      <c r="H20" s="410"/>
      <c r="I20" s="562">
        <f t="shared" si="0"/>
        <v>0</v>
      </c>
    </row>
    <row r="21" spans="1:9" x14ac:dyDescent="0.35">
      <c r="A21" s="223" t="s">
        <v>872</v>
      </c>
      <c r="B21" s="62" t="s">
        <v>367</v>
      </c>
      <c r="C21" s="315"/>
      <c r="D21" s="62"/>
      <c r="E21" s="62">
        <v>55719</v>
      </c>
      <c r="F21" s="466"/>
      <c r="G21" s="26">
        <v>1</v>
      </c>
      <c r="H21" s="410"/>
      <c r="I21" s="562">
        <f t="shared" si="0"/>
        <v>0</v>
      </c>
    </row>
    <row r="22" spans="1:9" x14ac:dyDescent="0.35">
      <c r="A22" s="223" t="s">
        <v>972</v>
      </c>
      <c r="B22" s="62" t="s">
        <v>175</v>
      </c>
      <c r="C22" s="315"/>
      <c r="D22" s="62"/>
      <c r="E22" s="62">
        <v>55719</v>
      </c>
      <c r="F22" s="466"/>
      <c r="G22" s="26">
        <v>1</v>
      </c>
      <c r="H22" s="410"/>
      <c r="I22" s="562">
        <f t="shared" si="0"/>
        <v>0</v>
      </c>
    </row>
    <row r="23" spans="1:9" x14ac:dyDescent="0.35">
      <c r="A23" s="223" t="s">
        <v>33</v>
      </c>
      <c r="B23" s="62" t="s">
        <v>1565</v>
      </c>
      <c r="C23" s="315"/>
      <c r="D23" s="62"/>
      <c r="E23" s="62">
        <v>55719</v>
      </c>
      <c r="F23" s="466"/>
      <c r="G23" s="26">
        <v>1</v>
      </c>
      <c r="H23" s="410"/>
      <c r="I23" s="562">
        <f t="shared" si="0"/>
        <v>0</v>
      </c>
    </row>
    <row r="24" spans="1:9" x14ac:dyDescent="0.35">
      <c r="A24" s="223" t="s">
        <v>935</v>
      </c>
      <c r="B24" s="62" t="s">
        <v>359</v>
      </c>
      <c r="C24" s="315"/>
      <c r="D24" s="62"/>
      <c r="E24" s="62">
        <v>55719</v>
      </c>
      <c r="F24" s="466"/>
      <c r="G24" s="26">
        <v>4</v>
      </c>
      <c r="H24" s="410"/>
      <c r="I24" s="562">
        <f t="shared" si="0"/>
        <v>0</v>
      </c>
    </row>
    <row r="25" spans="1:9" x14ac:dyDescent="0.35">
      <c r="A25" s="223" t="s">
        <v>936</v>
      </c>
      <c r="B25" s="62" t="s">
        <v>185</v>
      </c>
      <c r="C25" s="315"/>
      <c r="D25" s="62"/>
      <c r="E25" s="62">
        <v>55719</v>
      </c>
      <c r="F25" s="466"/>
      <c r="G25" s="26">
        <v>4</v>
      </c>
      <c r="H25" s="410"/>
      <c r="I25" s="562">
        <f t="shared" si="0"/>
        <v>0</v>
      </c>
    </row>
    <row r="26" spans="1:9" x14ac:dyDescent="0.35">
      <c r="A26" s="223" t="s">
        <v>38</v>
      </c>
      <c r="B26" s="62" t="s">
        <v>200</v>
      </c>
      <c r="C26" s="315"/>
      <c r="D26" s="62"/>
      <c r="E26" s="62">
        <v>55719</v>
      </c>
      <c r="F26" s="466"/>
      <c r="G26" s="26">
        <v>1</v>
      </c>
      <c r="H26" s="410"/>
      <c r="I26" s="562">
        <f t="shared" si="0"/>
        <v>0</v>
      </c>
    </row>
    <row r="27" spans="1:9" x14ac:dyDescent="0.35">
      <c r="A27" s="223" t="s">
        <v>882</v>
      </c>
      <c r="B27" s="62" t="s">
        <v>419</v>
      </c>
      <c r="C27" s="315"/>
      <c r="D27" s="62"/>
      <c r="E27" s="62">
        <v>55719</v>
      </c>
      <c r="F27" s="466"/>
      <c r="G27" s="26">
        <v>1</v>
      </c>
      <c r="H27" s="410"/>
      <c r="I27" s="562">
        <f t="shared" si="0"/>
        <v>0</v>
      </c>
    </row>
    <row r="28" spans="1:9" x14ac:dyDescent="0.35">
      <c r="A28" s="223" t="s">
        <v>107</v>
      </c>
      <c r="B28" s="62" t="s">
        <v>507</v>
      </c>
      <c r="C28" s="315"/>
      <c r="D28" s="62"/>
      <c r="E28" s="62">
        <v>55719</v>
      </c>
      <c r="F28" s="466"/>
      <c r="G28" s="26">
        <v>1</v>
      </c>
      <c r="H28" s="410"/>
      <c r="I28" s="562">
        <f t="shared" si="0"/>
        <v>0</v>
      </c>
    </row>
    <row r="29" spans="1:9" x14ac:dyDescent="0.35">
      <c r="A29" s="223" t="s">
        <v>6</v>
      </c>
      <c r="B29" s="62" t="s">
        <v>87</v>
      </c>
      <c r="C29" s="315"/>
      <c r="D29" s="62"/>
      <c r="E29" s="62">
        <v>55719</v>
      </c>
      <c r="F29" s="466"/>
      <c r="G29" s="26">
        <v>4</v>
      </c>
      <c r="H29" s="410"/>
      <c r="I29" s="562">
        <f t="shared" si="0"/>
        <v>0</v>
      </c>
    </row>
    <row r="30" spans="1:9" x14ac:dyDescent="0.35">
      <c r="A30" s="223" t="s">
        <v>174</v>
      </c>
      <c r="B30" s="62" t="s">
        <v>215</v>
      </c>
      <c r="C30" s="315"/>
      <c r="D30" s="62"/>
      <c r="E30" s="62">
        <v>55719</v>
      </c>
      <c r="F30" s="466"/>
      <c r="G30" s="26">
        <v>1</v>
      </c>
      <c r="H30" s="410"/>
      <c r="I30" s="562">
        <f t="shared" si="0"/>
        <v>0</v>
      </c>
    </row>
    <row r="31" spans="1:9" x14ac:dyDescent="0.35">
      <c r="A31" s="223" t="s">
        <v>1084</v>
      </c>
      <c r="B31" s="62" t="s">
        <v>546</v>
      </c>
      <c r="C31" s="315"/>
      <c r="D31" s="62"/>
      <c r="E31" s="62">
        <v>55719</v>
      </c>
      <c r="F31" s="466"/>
      <c r="G31" s="26">
        <v>2</v>
      </c>
      <c r="H31" s="410"/>
      <c r="I31" s="562">
        <f t="shared" si="0"/>
        <v>0</v>
      </c>
    </row>
    <row r="32" spans="1:9" x14ac:dyDescent="0.35">
      <c r="A32" s="223" t="s">
        <v>1034</v>
      </c>
      <c r="B32" s="62" t="s">
        <v>792</v>
      </c>
      <c r="C32" s="315"/>
      <c r="D32" s="62"/>
      <c r="E32" s="62">
        <v>55719</v>
      </c>
      <c r="F32" s="466"/>
      <c r="G32" s="26">
        <v>4</v>
      </c>
      <c r="H32" s="410"/>
      <c r="I32" s="562">
        <f t="shared" si="0"/>
        <v>0</v>
      </c>
    </row>
    <row r="33" spans="1:9" x14ac:dyDescent="0.35">
      <c r="A33" s="223" t="s">
        <v>909</v>
      </c>
      <c r="B33" s="62" t="s">
        <v>108</v>
      </c>
      <c r="C33" s="315"/>
      <c r="D33" s="62"/>
      <c r="E33" s="62">
        <v>55719</v>
      </c>
      <c r="F33" s="466"/>
      <c r="G33" s="26">
        <v>1</v>
      </c>
      <c r="H33" s="410"/>
      <c r="I33" s="562">
        <f t="shared" si="0"/>
        <v>0</v>
      </c>
    </row>
    <row r="34" spans="1:9" x14ac:dyDescent="0.35">
      <c r="A34" s="223" t="s">
        <v>1288</v>
      </c>
      <c r="B34" s="62" t="s">
        <v>1614</v>
      </c>
      <c r="C34" s="315"/>
      <c r="D34" s="62"/>
      <c r="E34" s="62">
        <v>55719</v>
      </c>
      <c r="F34" s="466"/>
      <c r="G34" s="26">
        <v>1</v>
      </c>
      <c r="H34" s="410"/>
      <c r="I34" s="562">
        <f t="shared" si="0"/>
        <v>0</v>
      </c>
    </row>
    <row r="35" spans="1:9" x14ac:dyDescent="0.35">
      <c r="A35" s="223" t="s">
        <v>170</v>
      </c>
      <c r="B35" s="62" t="s">
        <v>755</v>
      </c>
      <c r="C35" s="315"/>
      <c r="D35" s="62"/>
      <c r="E35" s="62">
        <v>55719</v>
      </c>
      <c r="F35" s="466"/>
      <c r="G35" s="200">
        <v>1</v>
      </c>
      <c r="H35" s="410"/>
      <c r="I35" s="562">
        <f t="shared" ref="I35:I66" si="1">+G35*H35</f>
        <v>0</v>
      </c>
    </row>
    <row r="36" spans="1:9" x14ac:dyDescent="0.35">
      <c r="A36" s="223" t="s">
        <v>159</v>
      </c>
      <c r="B36" s="62" t="s">
        <v>427</v>
      </c>
      <c r="C36" s="315"/>
      <c r="D36" s="62"/>
      <c r="E36" s="62">
        <v>55719</v>
      </c>
      <c r="F36" s="466"/>
      <c r="G36" s="26">
        <v>1</v>
      </c>
      <c r="H36" s="410"/>
      <c r="I36" s="562">
        <f t="shared" si="1"/>
        <v>0</v>
      </c>
    </row>
    <row r="37" spans="1:9" x14ac:dyDescent="0.35">
      <c r="A37" s="223" t="s">
        <v>1214</v>
      </c>
      <c r="B37" s="62" t="s">
        <v>573</v>
      </c>
      <c r="C37" s="315"/>
      <c r="D37" s="62"/>
      <c r="E37" s="62">
        <v>55719</v>
      </c>
      <c r="F37" s="466"/>
      <c r="G37" s="26">
        <v>1</v>
      </c>
      <c r="H37" s="410"/>
      <c r="I37" s="562">
        <f t="shared" si="1"/>
        <v>0</v>
      </c>
    </row>
    <row r="38" spans="1:9" x14ac:dyDescent="0.35">
      <c r="A38" s="223" t="s">
        <v>53</v>
      </c>
      <c r="B38" s="62" t="s">
        <v>472</v>
      </c>
      <c r="C38" s="315"/>
      <c r="D38" s="62"/>
      <c r="E38" s="62">
        <v>55719</v>
      </c>
      <c r="F38" s="466"/>
      <c r="G38" s="26">
        <v>1</v>
      </c>
      <c r="H38" s="410"/>
      <c r="I38" s="562">
        <f t="shared" si="1"/>
        <v>0</v>
      </c>
    </row>
    <row r="39" spans="1:9" x14ac:dyDescent="0.35">
      <c r="A39" s="223" t="s">
        <v>141</v>
      </c>
      <c r="B39" s="62" t="s">
        <v>668</v>
      </c>
      <c r="C39" s="315"/>
      <c r="D39" s="62"/>
      <c r="E39" s="62">
        <v>55719</v>
      </c>
      <c r="F39" s="466"/>
      <c r="G39" s="26">
        <v>1</v>
      </c>
      <c r="H39" s="410"/>
      <c r="I39" s="562">
        <f t="shared" si="1"/>
        <v>0</v>
      </c>
    </row>
    <row r="40" spans="1:9" x14ac:dyDescent="0.35">
      <c r="A40" s="223" t="s">
        <v>2597</v>
      </c>
      <c r="B40" s="62" t="s">
        <v>428</v>
      </c>
      <c r="C40" s="315"/>
      <c r="D40" s="62"/>
      <c r="E40" s="62">
        <v>55719</v>
      </c>
      <c r="F40" s="466"/>
      <c r="G40" s="26">
        <v>1</v>
      </c>
      <c r="H40" s="410"/>
      <c r="I40" s="562">
        <f t="shared" si="1"/>
        <v>0</v>
      </c>
    </row>
    <row r="41" spans="1:9" x14ac:dyDescent="0.35">
      <c r="A41" s="223" t="s">
        <v>2594</v>
      </c>
      <c r="B41" s="62" t="s">
        <v>757</v>
      </c>
      <c r="C41" s="315"/>
      <c r="D41" s="62"/>
      <c r="E41" s="62">
        <v>55719</v>
      </c>
      <c r="F41" s="466"/>
      <c r="G41" s="26">
        <v>1</v>
      </c>
      <c r="H41" s="410"/>
      <c r="I41" s="562">
        <f t="shared" si="1"/>
        <v>0</v>
      </c>
    </row>
    <row r="42" spans="1:9" x14ac:dyDescent="0.35">
      <c r="A42" s="223" t="s">
        <v>1289</v>
      </c>
      <c r="B42" s="62" t="s">
        <v>574</v>
      </c>
      <c r="C42" s="315"/>
      <c r="D42" s="62"/>
      <c r="E42" s="62">
        <v>55719</v>
      </c>
      <c r="F42" s="466"/>
      <c r="G42" s="26">
        <v>1</v>
      </c>
      <c r="H42" s="410"/>
      <c r="I42" s="562">
        <f t="shared" si="1"/>
        <v>0</v>
      </c>
    </row>
    <row r="43" spans="1:9" x14ac:dyDescent="0.35">
      <c r="A43" s="223" t="s">
        <v>1082</v>
      </c>
      <c r="B43" s="62" t="s">
        <v>274</v>
      </c>
      <c r="C43" s="315"/>
      <c r="D43" s="62"/>
      <c r="E43" s="62">
        <v>55719</v>
      </c>
      <c r="F43" s="466"/>
      <c r="G43" s="26">
        <v>1</v>
      </c>
      <c r="H43" s="410"/>
      <c r="I43" s="562">
        <f t="shared" si="1"/>
        <v>0</v>
      </c>
    </row>
    <row r="44" spans="1:9" x14ac:dyDescent="0.35">
      <c r="A44" s="223" t="s">
        <v>1081</v>
      </c>
      <c r="B44" s="62" t="s">
        <v>276</v>
      </c>
      <c r="C44" s="315"/>
      <c r="D44" s="62"/>
      <c r="E44" s="62">
        <v>55719</v>
      </c>
      <c r="F44" s="466"/>
      <c r="G44" s="26">
        <v>1</v>
      </c>
      <c r="H44" s="410"/>
      <c r="I44" s="562">
        <f t="shared" si="1"/>
        <v>0</v>
      </c>
    </row>
    <row r="45" spans="1:9" x14ac:dyDescent="0.35">
      <c r="A45" s="223" t="s">
        <v>1011</v>
      </c>
      <c r="B45" s="62" t="s">
        <v>282</v>
      </c>
      <c r="C45" s="315"/>
      <c r="D45" s="62"/>
      <c r="E45" s="62">
        <v>55719</v>
      </c>
      <c r="F45" s="466"/>
      <c r="G45" s="26">
        <v>1</v>
      </c>
      <c r="H45" s="410"/>
      <c r="I45" s="562">
        <f t="shared" si="1"/>
        <v>0</v>
      </c>
    </row>
    <row r="46" spans="1:9" x14ac:dyDescent="0.35">
      <c r="A46" s="223" t="s">
        <v>1013</v>
      </c>
      <c r="B46" s="62" t="s">
        <v>283</v>
      </c>
      <c r="C46" s="315"/>
      <c r="D46" s="62"/>
      <c r="E46" s="62">
        <v>55719</v>
      </c>
      <c r="F46" s="466"/>
      <c r="G46" s="26">
        <v>1</v>
      </c>
      <c r="H46" s="410"/>
      <c r="I46" s="562">
        <f t="shared" si="1"/>
        <v>0</v>
      </c>
    </row>
    <row r="47" spans="1:9" x14ac:dyDescent="0.35">
      <c r="A47" s="223" t="s">
        <v>2588</v>
      </c>
      <c r="B47" s="62" t="s">
        <v>273</v>
      </c>
      <c r="C47" s="315"/>
      <c r="D47" s="62"/>
      <c r="E47" s="62">
        <v>55719</v>
      </c>
      <c r="F47" s="466"/>
      <c r="G47" s="26">
        <v>1</v>
      </c>
      <c r="H47" s="410"/>
      <c r="I47" s="562">
        <f t="shared" si="1"/>
        <v>0</v>
      </c>
    </row>
    <row r="48" spans="1:9" x14ac:dyDescent="0.35">
      <c r="A48" s="223" t="s">
        <v>1008</v>
      </c>
      <c r="B48" s="62" t="s">
        <v>173</v>
      </c>
      <c r="C48" s="315"/>
      <c r="D48" s="62"/>
      <c r="E48" s="62">
        <v>55719</v>
      </c>
      <c r="F48" s="466"/>
      <c r="G48" s="26">
        <v>1</v>
      </c>
      <c r="H48" s="410"/>
      <c r="I48" s="562">
        <f t="shared" si="1"/>
        <v>0</v>
      </c>
    </row>
    <row r="49" spans="1:9" x14ac:dyDescent="0.35">
      <c r="A49" s="223" t="s">
        <v>899</v>
      </c>
      <c r="B49" s="62" t="s">
        <v>281</v>
      </c>
      <c r="C49" s="315"/>
      <c r="D49" s="62"/>
      <c r="E49" s="62">
        <v>55719</v>
      </c>
      <c r="F49" s="466"/>
      <c r="G49" s="26">
        <v>1</v>
      </c>
      <c r="H49" s="410"/>
      <c r="I49" s="562">
        <f t="shared" si="1"/>
        <v>0</v>
      </c>
    </row>
    <row r="50" spans="1:9" x14ac:dyDescent="0.35">
      <c r="A50" s="223" t="s">
        <v>1759</v>
      </c>
      <c r="B50" s="62" t="s">
        <v>280</v>
      </c>
      <c r="C50" s="315"/>
      <c r="D50" s="62"/>
      <c r="E50" s="62">
        <v>55719</v>
      </c>
      <c r="F50" s="466"/>
      <c r="G50" s="26">
        <v>1</v>
      </c>
      <c r="H50" s="410"/>
      <c r="I50" s="562">
        <f t="shared" si="1"/>
        <v>0</v>
      </c>
    </row>
    <row r="51" spans="1:9" x14ac:dyDescent="0.35">
      <c r="A51" s="223" t="s">
        <v>2334</v>
      </c>
      <c r="B51" s="62" t="s">
        <v>284</v>
      </c>
      <c r="C51" s="315"/>
      <c r="D51" s="62"/>
      <c r="E51" s="62">
        <v>55719</v>
      </c>
      <c r="F51" s="466"/>
      <c r="G51" s="26">
        <v>1</v>
      </c>
      <c r="H51" s="410"/>
      <c r="I51" s="562">
        <f t="shared" si="1"/>
        <v>0</v>
      </c>
    </row>
    <row r="52" spans="1:9" x14ac:dyDescent="0.35">
      <c r="A52" s="223" t="s">
        <v>1762</v>
      </c>
      <c r="B52" s="62" t="s">
        <v>113</v>
      </c>
      <c r="C52" s="315"/>
      <c r="D52" s="62"/>
      <c r="E52" s="62">
        <v>55719</v>
      </c>
      <c r="F52" s="466"/>
      <c r="G52" s="26">
        <v>1</v>
      </c>
      <c r="H52" s="410"/>
      <c r="I52" s="562">
        <f t="shared" si="1"/>
        <v>0</v>
      </c>
    </row>
    <row r="53" spans="1:9" x14ac:dyDescent="0.35">
      <c r="A53" s="223" t="s">
        <v>146</v>
      </c>
      <c r="B53" s="62" t="s">
        <v>278</v>
      </c>
      <c r="C53" s="315"/>
      <c r="D53" s="62"/>
      <c r="E53" s="62">
        <v>55719</v>
      </c>
      <c r="F53" s="466"/>
      <c r="G53" s="26">
        <v>1</v>
      </c>
      <c r="H53" s="410"/>
      <c r="I53" s="562">
        <f t="shared" si="1"/>
        <v>0</v>
      </c>
    </row>
    <row r="54" spans="1:9" x14ac:dyDescent="0.35">
      <c r="A54" s="223" t="s">
        <v>914</v>
      </c>
      <c r="B54" s="62" t="s">
        <v>444</v>
      </c>
      <c r="C54" s="315"/>
      <c r="D54" s="62"/>
      <c r="E54" s="62">
        <v>55719</v>
      </c>
      <c r="F54" s="466"/>
      <c r="G54" s="26">
        <v>1</v>
      </c>
      <c r="H54" s="410"/>
      <c r="I54" s="562">
        <f t="shared" si="1"/>
        <v>0</v>
      </c>
    </row>
    <row r="55" spans="1:9" x14ac:dyDescent="0.35">
      <c r="A55" s="223" t="s">
        <v>1030</v>
      </c>
      <c r="B55" s="62" t="s">
        <v>306</v>
      </c>
      <c r="C55" s="315"/>
      <c r="D55" s="62"/>
      <c r="E55" s="62">
        <v>55719</v>
      </c>
      <c r="F55" s="466"/>
      <c r="G55" s="26">
        <v>1</v>
      </c>
      <c r="H55" s="410"/>
      <c r="I55" s="562">
        <f t="shared" si="1"/>
        <v>0</v>
      </c>
    </row>
    <row r="56" spans="1:9" x14ac:dyDescent="0.35">
      <c r="A56" s="223" t="s">
        <v>900</v>
      </c>
      <c r="B56" s="62" t="s">
        <v>301</v>
      </c>
      <c r="C56" s="315"/>
      <c r="D56" s="62"/>
      <c r="E56" s="62">
        <v>55719</v>
      </c>
      <c r="F56" s="466"/>
      <c r="G56" s="26">
        <v>1</v>
      </c>
      <c r="H56" s="410"/>
      <c r="I56" s="562">
        <f t="shared" si="1"/>
        <v>0</v>
      </c>
    </row>
    <row r="57" spans="1:9" x14ac:dyDescent="0.35">
      <c r="A57" s="223" t="s">
        <v>1300</v>
      </c>
      <c r="B57" s="62" t="s">
        <v>805</v>
      </c>
      <c r="C57" s="315"/>
      <c r="D57" s="62"/>
      <c r="E57" s="62">
        <v>55719</v>
      </c>
      <c r="F57" s="466"/>
      <c r="G57" s="26">
        <v>2</v>
      </c>
      <c r="H57" s="410"/>
      <c r="I57" s="562">
        <f t="shared" si="1"/>
        <v>0</v>
      </c>
    </row>
    <row r="58" spans="1:9" x14ac:dyDescent="0.35">
      <c r="A58" s="223" t="s">
        <v>1337</v>
      </c>
      <c r="B58" s="62" t="s">
        <v>572</v>
      </c>
      <c r="C58" s="315"/>
      <c r="D58" s="62"/>
      <c r="E58" s="62">
        <v>55719</v>
      </c>
      <c r="F58" s="466"/>
      <c r="G58" s="26">
        <v>1</v>
      </c>
      <c r="H58" s="410"/>
      <c r="I58" s="562">
        <f t="shared" si="1"/>
        <v>0</v>
      </c>
    </row>
    <row r="59" spans="1:9" x14ac:dyDescent="0.35">
      <c r="A59" s="223" t="s">
        <v>1338</v>
      </c>
      <c r="B59" s="62" t="s">
        <v>461</v>
      </c>
      <c r="C59" s="315"/>
      <c r="D59" s="62"/>
      <c r="E59" s="62">
        <v>55719</v>
      </c>
      <c r="F59" s="466"/>
      <c r="G59" s="26">
        <v>1</v>
      </c>
      <c r="H59" s="410"/>
      <c r="I59" s="562">
        <f t="shared" si="1"/>
        <v>0</v>
      </c>
    </row>
    <row r="60" spans="1:9" x14ac:dyDescent="0.35">
      <c r="A60" s="223" t="s">
        <v>1339</v>
      </c>
      <c r="B60" s="62" t="s">
        <v>567</v>
      </c>
      <c r="C60" s="315"/>
      <c r="D60" s="62"/>
      <c r="E60" s="62">
        <v>55719</v>
      </c>
      <c r="F60" s="466"/>
      <c r="G60" s="26">
        <v>1</v>
      </c>
      <c r="H60" s="410"/>
      <c r="I60" s="562">
        <f t="shared" si="1"/>
        <v>0</v>
      </c>
    </row>
    <row r="61" spans="1:9" x14ac:dyDescent="0.35">
      <c r="A61" s="223" t="s">
        <v>1340</v>
      </c>
      <c r="B61" s="62" t="s">
        <v>568</v>
      </c>
      <c r="C61" s="315"/>
      <c r="D61" s="62"/>
      <c r="E61" s="62">
        <v>55719</v>
      </c>
      <c r="F61" s="466"/>
      <c r="G61" s="26">
        <v>1</v>
      </c>
      <c r="H61" s="410"/>
      <c r="I61" s="562">
        <f t="shared" si="1"/>
        <v>0</v>
      </c>
    </row>
    <row r="62" spans="1:9" x14ac:dyDescent="0.35">
      <c r="A62" s="223" t="s">
        <v>1341</v>
      </c>
      <c r="B62" s="62" t="s">
        <v>462</v>
      </c>
      <c r="C62" s="315"/>
      <c r="D62" s="62"/>
      <c r="E62" s="62">
        <v>55719</v>
      </c>
      <c r="F62" s="466"/>
      <c r="G62" s="26">
        <v>1</v>
      </c>
      <c r="H62" s="410"/>
      <c r="I62" s="562">
        <f t="shared" si="1"/>
        <v>0</v>
      </c>
    </row>
    <row r="63" spans="1:9" ht="15" customHeight="1" x14ac:dyDescent="0.35">
      <c r="A63" s="223" t="s">
        <v>1342</v>
      </c>
      <c r="B63" s="62" t="s">
        <v>569</v>
      </c>
      <c r="C63" s="315"/>
      <c r="D63" s="62"/>
      <c r="E63" s="62">
        <v>55719</v>
      </c>
      <c r="F63" s="466"/>
      <c r="G63" s="26">
        <v>1</v>
      </c>
      <c r="H63" s="410"/>
      <c r="I63" s="562">
        <f t="shared" si="1"/>
        <v>0</v>
      </c>
    </row>
    <row r="64" spans="1:9" x14ac:dyDescent="0.35">
      <c r="A64" s="223" t="s">
        <v>1343</v>
      </c>
      <c r="B64" s="62" t="s">
        <v>570</v>
      </c>
      <c r="C64" s="315"/>
      <c r="D64" s="62"/>
      <c r="E64" s="62">
        <v>55719</v>
      </c>
      <c r="F64" s="466"/>
      <c r="G64" s="26">
        <v>1</v>
      </c>
      <c r="H64" s="410"/>
      <c r="I64" s="562">
        <f t="shared" si="1"/>
        <v>0</v>
      </c>
    </row>
    <row r="65" spans="1:9" x14ac:dyDescent="0.35">
      <c r="A65" s="223" t="s">
        <v>1344</v>
      </c>
      <c r="B65" s="62" t="s">
        <v>571</v>
      </c>
      <c r="C65" s="315"/>
      <c r="D65" s="62"/>
      <c r="E65" s="62">
        <v>55719</v>
      </c>
      <c r="F65" s="466"/>
      <c r="G65" s="26">
        <v>1</v>
      </c>
      <c r="H65" s="410"/>
      <c r="I65" s="562">
        <f t="shared" si="1"/>
        <v>0</v>
      </c>
    </row>
    <row r="66" spans="1:9" x14ac:dyDescent="0.35">
      <c r="A66" s="223" t="s">
        <v>1345</v>
      </c>
      <c r="B66" s="62" t="s">
        <v>522</v>
      </c>
      <c r="C66" s="315"/>
      <c r="D66" s="62"/>
      <c r="E66" s="62">
        <v>55719</v>
      </c>
      <c r="F66" s="466"/>
      <c r="G66" s="26">
        <v>1</v>
      </c>
      <c r="H66" s="410"/>
      <c r="I66" s="562">
        <f t="shared" si="1"/>
        <v>0</v>
      </c>
    </row>
    <row r="67" spans="1:9" ht="15" customHeight="1" x14ac:dyDescent="0.35">
      <c r="A67" s="223" t="s">
        <v>885</v>
      </c>
      <c r="B67" s="62" t="s">
        <v>229</v>
      </c>
      <c r="C67" s="315"/>
      <c r="D67" s="62"/>
      <c r="E67" s="62">
        <v>55719</v>
      </c>
      <c r="F67" s="466"/>
      <c r="G67" s="26">
        <v>1</v>
      </c>
      <c r="H67" s="410"/>
      <c r="I67" s="562">
        <f t="shared" ref="I67:I98" si="2">+G67*H67</f>
        <v>0</v>
      </c>
    </row>
    <row r="68" spans="1:9" x14ac:dyDescent="0.35">
      <c r="A68" s="223" t="s">
        <v>2548</v>
      </c>
      <c r="B68" s="62" t="s">
        <v>208</v>
      </c>
      <c r="C68" s="315"/>
      <c r="D68" s="62"/>
      <c r="E68" s="62">
        <v>55719</v>
      </c>
      <c r="F68" s="466"/>
      <c r="G68" s="26">
        <v>1</v>
      </c>
      <c r="H68" s="410"/>
      <c r="I68" s="562">
        <f t="shared" si="2"/>
        <v>0</v>
      </c>
    </row>
    <row r="69" spans="1:9" x14ac:dyDescent="0.35">
      <c r="A69" s="223" t="s">
        <v>1435</v>
      </c>
      <c r="B69" s="62" t="s">
        <v>806</v>
      </c>
      <c r="C69" s="315"/>
      <c r="D69" s="62"/>
      <c r="E69" s="62">
        <v>55719</v>
      </c>
      <c r="F69" s="466"/>
      <c r="G69" s="26">
        <v>1</v>
      </c>
      <c r="H69" s="410"/>
      <c r="I69" s="562">
        <f t="shared" si="2"/>
        <v>0</v>
      </c>
    </row>
    <row r="70" spans="1:9" x14ac:dyDescent="0.35">
      <c r="A70" s="223" t="s">
        <v>1442</v>
      </c>
      <c r="B70" s="62" t="s">
        <v>808</v>
      </c>
      <c r="C70" s="315"/>
      <c r="D70" s="62"/>
      <c r="E70" s="62">
        <v>55719</v>
      </c>
      <c r="F70" s="466"/>
      <c r="G70" s="26">
        <v>1</v>
      </c>
      <c r="H70" s="410"/>
      <c r="I70" s="562">
        <f t="shared" si="2"/>
        <v>0</v>
      </c>
    </row>
    <row r="71" spans="1:9" x14ac:dyDescent="0.35">
      <c r="A71" s="223" t="s">
        <v>1443</v>
      </c>
      <c r="B71" s="62" t="s">
        <v>474</v>
      </c>
      <c r="C71" s="315"/>
      <c r="D71" s="62"/>
      <c r="E71" s="62">
        <v>55719</v>
      </c>
      <c r="F71" s="466"/>
      <c r="G71" s="26">
        <v>1</v>
      </c>
      <c r="H71" s="410"/>
      <c r="I71" s="562">
        <f t="shared" si="2"/>
        <v>0</v>
      </c>
    </row>
    <row r="72" spans="1:9" x14ac:dyDescent="0.35">
      <c r="A72" s="223" t="s">
        <v>23</v>
      </c>
      <c r="B72" s="62" t="s">
        <v>252</v>
      </c>
      <c r="C72" s="315"/>
      <c r="D72" s="62"/>
      <c r="E72" s="62">
        <v>55719</v>
      </c>
      <c r="F72" s="466"/>
      <c r="G72" s="26">
        <v>1</v>
      </c>
      <c r="H72" s="410"/>
      <c r="I72" s="562">
        <f t="shared" si="2"/>
        <v>0</v>
      </c>
    </row>
    <row r="73" spans="1:9" x14ac:dyDescent="0.35">
      <c r="A73" s="223" t="s">
        <v>1099</v>
      </c>
      <c r="B73" s="62" t="s">
        <v>426</v>
      </c>
      <c r="C73" s="315"/>
      <c r="D73" s="62"/>
      <c r="E73" s="62">
        <v>55719</v>
      </c>
      <c r="F73" s="466"/>
      <c r="G73" s="26">
        <v>1</v>
      </c>
      <c r="H73" s="410"/>
      <c r="I73" s="562">
        <f t="shared" si="2"/>
        <v>0</v>
      </c>
    </row>
    <row r="74" spans="1:9" x14ac:dyDescent="0.35">
      <c r="A74" s="223" t="s">
        <v>1075</v>
      </c>
      <c r="B74" s="62" t="s">
        <v>411</v>
      </c>
      <c r="C74" s="315"/>
      <c r="D74" s="62"/>
      <c r="E74" s="62">
        <v>55719</v>
      </c>
      <c r="F74" s="466"/>
      <c r="G74" s="26">
        <v>2</v>
      </c>
      <c r="H74" s="410"/>
      <c r="I74" s="562">
        <f t="shared" si="2"/>
        <v>0</v>
      </c>
    </row>
    <row r="75" spans="1:9" x14ac:dyDescent="0.35">
      <c r="A75" s="223" t="s">
        <v>1077</v>
      </c>
      <c r="B75" s="62" t="s">
        <v>266</v>
      </c>
      <c r="C75" s="315"/>
      <c r="D75" s="62"/>
      <c r="E75" s="62">
        <v>55719</v>
      </c>
      <c r="F75" s="466"/>
      <c r="G75" s="26">
        <v>2</v>
      </c>
      <c r="H75" s="410"/>
      <c r="I75" s="562">
        <f t="shared" si="2"/>
        <v>0</v>
      </c>
    </row>
    <row r="76" spans="1:9" ht="15" customHeight="1" x14ac:dyDescent="0.35">
      <c r="A76" s="223" t="s">
        <v>887</v>
      </c>
      <c r="B76" s="62" t="s">
        <v>405</v>
      </c>
      <c r="C76" s="315"/>
      <c r="D76" s="62"/>
      <c r="E76" s="62">
        <v>55719</v>
      </c>
      <c r="F76" s="466"/>
      <c r="G76" s="26">
        <v>1</v>
      </c>
      <c r="H76" s="410"/>
      <c r="I76" s="562">
        <f t="shared" si="2"/>
        <v>0</v>
      </c>
    </row>
    <row r="77" spans="1:9" x14ac:dyDescent="0.35">
      <c r="A77" s="223" t="s">
        <v>1366</v>
      </c>
      <c r="B77" s="62" t="s">
        <v>673</v>
      </c>
      <c r="C77" s="315"/>
      <c r="D77" s="62"/>
      <c r="E77" s="62">
        <v>55719</v>
      </c>
      <c r="F77" s="466"/>
      <c r="G77" s="26">
        <v>1</v>
      </c>
      <c r="H77" s="410"/>
      <c r="I77" s="562">
        <f t="shared" si="2"/>
        <v>0</v>
      </c>
    </row>
    <row r="78" spans="1:9" ht="15" customHeight="1" x14ac:dyDescent="0.35">
      <c r="A78" s="223" t="s">
        <v>362</v>
      </c>
      <c r="B78" s="62" t="s">
        <v>431</v>
      </c>
      <c r="C78" s="315"/>
      <c r="D78" s="62"/>
      <c r="E78" s="62">
        <v>55719</v>
      </c>
      <c r="F78" s="466"/>
      <c r="G78" s="26">
        <v>1</v>
      </c>
      <c r="H78" s="410"/>
      <c r="I78" s="562">
        <f t="shared" si="2"/>
        <v>0</v>
      </c>
    </row>
    <row r="79" spans="1:9" ht="15" customHeight="1" x14ac:dyDescent="0.35">
      <c r="A79" s="223" t="s">
        <v>1110</v>
      </c>
      <c r="B79" s="62" t="s">
        <v>422</v>
      </c>
      <c r="C79" s="315"/>
      <c r="D79" s="62"/>
      <c r="E79" s="62">
        <v>55719</v>
      </c>
      <c r="F79" s="466"/>
      <c r="G79" s="26">
        <v>1</v>
      </c>
      <c r="H79" s="410"/>
      <c r="I79" s="562">
        <f t="shared" si="2"/>
        <v>0</v>
      </c>
    </row>
    <row r="80" spans="1:9" x14ac:dyDescent="0.35">
      <c r="A80" s="223" t="s">
        <v>999</v>
      </c>
      <c r="B80" s="62" t="s">
        <v>393</v>
      </c>
      <c r="C80" s="315"/>
      <c r="D80" s="62"/>
      <c r="E80" s="62">
        <v>55719</v>
      </c>
      <c r="F80" s="466"/>
      <c r="G80" s="26">
        <v>2</v>
      </c>
      <c r="H80" s="410"/>
      <c r="I80" s="562">
        <f t="shared" si="2"/>
        <v>0</v>
      </c>
    </row>
    <row r="81" spans="1:9" x14ac:dyDescent="0.35">
      <c r="A81" s="223" t="s">
        <v>1000</v>
      </c>
      <c r="B81" s="62" t="s">
        <v>295</v>
      </c>
      <c r="C81" s="315"/>
      <c r="D81" s="62"/>
      <c r="E81" s="62">
        <v>55719</v>
      </c>
      <c r="F81" s="466"/>
      <c r="G81" s="26">
        <v>2</v>
      </c>
      <c r="H81" s="410"/>
      <c r="I81" s="562">
        <f t="shared" si="2"/>
        <v>0</v>
      </c>
    </row>
    <row r="82" spans="1:9" x14ac:dyDescent="0.35">
      <c r="A82" s="223" t="s">
        <v>9</v>
      </c>
      <c r="B82" s="62" t="s">
        <v>329</v>
      </c>
      <c r="C82" s="315"/>
      <c r="D82" s="62"/>
      <c r="E82" s="62">
        <v>55719</v>
      </c>
      <c r="F82" s="466"/>
      <c r="G82" s="26">
        <v>1</v>
      </c>
      <c r="H82" s="410"/>
      <c r="I82" s="562">
        <f t="shared" si="2"/>
        <v>0</v>
      </c>
    </row>
    <row r="83" spans="1:9" x14ac:dyDescent="0.35">
      <c r="A83" s="223" t="s">
        <v>169</v>
      </c>
      <c r="B83" s="62" t="s">
        <v>1607</v>
      </c>
      <c r="C83" s="315"/>
      <c r="D83" s="62"/>
      <c r="E83" s="62">
        <v>55719</v>
      </c>
      <c r="F83" s="466"/>
      <c r="G83" s="26">
        <v>2</v>
      </c>
      <c r="H83" s="410"/>
      <c r="I83" s="562">
        <f t="shared" si="2"/>
        <v>0</v>
      </c>
    </row>
    <row r="84" spans="1:9" x14ac:dyDescent="0.35">
      <c r="A84" s="223" t="s">
        <v>930</v>
      </c>
      <c r="B84" s="62" t="s">
        <v>88</v>
      </c>
      <c r="C84" s="315"/>
      <c r="D84" s="62"/>
      <c r="E84" s="62">
        <v>55719</v>
      </c>
      <c r="F84" s="466"/>
      <c r="G84" s="26">
        <v>2</v>
      </c>
      <c r="H84" s="410"/>
      <c r="I84" s="562">
        <f t="shared" si="2"/>
        <v>0</v>
      </c>
    </row>
    <row r="85" spans="1:9" x14ac:dyDescent="0.35">
      <c r="A85" s="223" t="s">
        <v>29</v>
      </c>
      <c r="B85" s="62" t="s">
        <v>1564</v>
      </c>
      <c r="C85" s="315"/>
      <c r="D85" s="62"/>
      <c r="E85" s="62">
        <v>55719</v>
      </c>
      <c r="F85" s="466"/>
      <c r="G85" s="26">
        <v>1</v>
      </c>
      <c r="H85" s="410"/>
      <c r="I85" s="562">
        <f t="shared" si="2"/>
        <v>0</v>
      </c>
    </row>
    <row r="86" spans="1:9" x14ac:dyDescent="0.35">
      <c r="A86" s="223" t="s">
        <v>28</v>
      </c>
      <c r="B86" s="62" t="s">
        <v>2242</v>
      </c>
      <c r="C86" s="315"/>
      <c r="D86" s="62"/>
      <c r="E86" s="62">
        <v>55719</v>
      </c>
      <c r="F86" s="466"/>
      <c r="G86" s="26">
        <v>1</v>
      </c>
      <c r="H86" s="410"/>
      <c r="I86" s="562">
        <f t="shared" si="2"/>
        <v>0</v>
      </c>
    </row>
    <row r="87" spans="1:9" x14ac:dyDescent="0.35">
      <c r="A87" s="223" t="s">
        <v>1058</v>
      </c>
      <c r="B87" s="62" t="s">
        <v>1563</v>
      </c>
      <c r="C87" s="315"/>
      <c r="D87" s="62"/>
      <c r="E87" s="62">
        <v>55719</v>
      </c>
      <c r="F87" s="466"/>
      <c r="G87" s="26">
        <v>1</v>
      </c>
      <c r="H87" s="410"/>
      <c r="I87" s="562">
        <f t="shared" si="2"/>
        <v>0</v>
      </c>
    </row>
    <row r="88" spans="1:9" ht="15" customHeight="1" x14ac:dyDescent="0.35">
      <c r="A88" s="223" t="s">
        <v>931</v>
      </c>
      <c r="B88" s="62" t="s">
        <v>66</v>
      </c>
      <c r="C88" s="315"/>
      <c r="D88" s="62"/>
      <c r="E88" s="62">
        <v>55719</v>
      </c>
      <c r="F88" s="466"/>
      <c r="G88" s="26">
        <v>1</v>
      </c>
      <c r="H88" s="410"/>
      <c r="I88" s="562">
        <f t="shared" si="2"/>
        <v>0</v>
      </c>
    </row>
    <row r="89" spans="1:9" ht="15" customHeight="1" x14ac:dyDescent="0.35">
      <c r="A89" s="223" t="s">
        <v>1061</v>
      </c>
      <c r="B89" s="62" t="s">
        <v>73</v>
      </c>
      <c r="C89" s="315"/>
      <c r="D89" s="62"/>
      <c r="E89" s="62">
        <v>55719</v>
      </c>
      <c r="F89" s="466"/>
      <c r="G89" s="26">
        <v>1</v>
      </c>
      <c r="H89" s="410"/>
      <c r="I89" s="562">
        <f t="shared" si="2"/>
        <v>0</v>
      </c>
    </row>
    <row r="90" spans="1:9" x14ac:dyDescent="0.35">
      <c r="A90" s="223" t="s">
        <v>1060</v>
      </c>
      <c r="B90" s="62" t="s">
        <v>74</v>
      </c>
      <c r="C90" s="315"/>
      <c r="D90" s="62"/>
      <c r="E90" s="62">
        <v>55719</v>
      </c>
      <c r="F90" s="466"/>
      <c r="G90" s="26">
        <v>3</v>
      </c>
      <c r="H90" s="410"/>
      <c r="I90" s="562">
        <f t="shared" si="2"/>
        <v>0</v>
      </c>
    </row>
    <row r="91" spans="1:9" x14ac:dyDescent="0.35">
      <c r="A91" s="223" t="s">
        <v>1062</v>
      </c>
      <c r="B91" s="62" t="s">
        <v>261</v>
      </c>
      <c r="C91" s="315"/>
      <c r="D91" s="62"/>
      <c r="E91" s="62">
        <v>55719</v>
      </c>
      <c r="F91" s="466"/>
      <c r="G91" s="26">
        <v>3</v>
      </c>
      <c r="H91" s="410"/>
      <c r="I91" s="562">
        <f t="shared" si="2"/>
        <v>0</v>
      </c>
    </row>
    <row r="92" spans="1:9" x14ac:dyDescent="0.35">
      <c r="A92" s="223" t="s">
        <v>1168</v>
      </c>
      <c r="B92" s="62" t="s">
        <v>75</v>
      </c>
      <c r="C92" s="315"/>
      <c r="D92" s="62"/>
      <c r="E92" s="62">
        <v>55719</v>
      </c>
      <c r="F92" s="466"/>
      <c r="G92" s="26">
        <v>1</v>
      </c>
      <c r="H92" s="410"/>
      <c r="I92" s="562">
        <f t="shared" si="2"/>
        <v>0</v>
      </c>
    </row>
    <row r="93" spans="1:9" x14ac:dyDescent="0.35">
      <c r="A93" s="223" t="s">
        <v>14</v>
      </c>
      <c r="B93" s="62" t="s">
        <v>334</v>
      </c>
      <c r="C93" s="315"/>
      <c r="D93" s="62"/>
      <c r="E93" s="62">
        <v>55719</v>
      </c>
      <c r="F93" s="466"/>
      <c r="G93" s="26">
        <v>1</v>
      </c>
      <c r="H93" s="410"/>
      <c r="I93" s="562">
        <f t="shared" si="2"/>
        <v>0</v>
      </c>
    </row>
    <row r="94" spans="1:9" x14ac:dyDescent="0.35">
      <c r="A94" s="223" t="s">
        <v>36</v>
      </c>
      <c r="B94" s="62" t="s">
        <v>37</v>
      </c>
      <c r="C94" s="315"/>
      <c r="D94" s="62"/>
      <c r="E94" s="62">
        <v>55719</v>
      </c>
      <c r="F94" s="466"/>
      <c r="G94" s="26">
        <v>1</v>
      </c>
      <c r="H94" s="410"/>
      <c r="I94" s="562">
        <f t="shared" si="2"/>
        <v>0</v>
      </c>
    </row>
    <row r="95" spans="1:9" x14ac:dyDescent="0.35">
      <c r="A95" s="223" t="s">
        <v>177</v>
      </c>
      <c r="B95" s="62" t="s">
        <v>178</v>
      </c>
      <c r="C95" s="315"/>
      <c r="D95" s="62"/>
      <c r="E95" s="62">
        <v>55719</v>
      </c>
      <c r="F95" s="466"/>
      <c r="G95" s="26">
        <v>1</v>
      </c>
      <c r="H95" s="410"/>
      <c r="I95" s="562">
        <f t="shared" si="2"/>
        <v>0</v>
      </c>
    </row>
    <row r="96" spans="1:9" x14ac:dyDescent="0.35">
      <c r="A96" s="223" t="s">
        <v>881</v>
      </c>
      <c r="B96" s="62" t="s">
        <v>417</v>
      </c>
      <c r="C96" s="315"/>
      <c r="D96" s="62"/>
      <c r="E96" s="62">
        <v>55719</v>
      </c>
      <c r="F96" s="466"/>
      <c r="G96" s="26">
        <v>1</v>
      </c>
      <c r="H96" s="410"/>
      <c r="I96" s="562">
        <f t="shared" si="2"/>
        <v>0</v>
      </c>
    </row>
    <row r="97" spans="1:9" x14ac:dyDescent="0.35">
      <c r="A97" s="223" t="s">
        <v>10</v>
      </c>
      <c r="B97" s="62" t="s">
        <v>418</v>
      </c>
      <c r="C97" s="315"/>
      <c r="D97" s="62"/>
      <c r="E97" s="62">
        <v>55719</v>
      </c>
      <c r="F97" s="466"/>
      <c r="G97" s="26">
        <v>1</v>
      </c>
      <c r="H97" s="410"/>
      <c r="I97" s="562">
        <f t="shared" si="2"/>
        <v>0</v>
      </c>
    </row>
    <row r="98" spans="1:9" x14ac:dyDescent="0.35">
      <c r="A98" s="223" t="s">
        <v>2360</v>
      </c>
      <c r="B98" s="62" t="s">
        <v>358</v>
      </c>
      <c r="C98" s="315"/>
      <c r="D98" s="62"/>
      <c r="E98" s="62">
        <v>55719</v>
      </c>
      <c r="F98" s="466"/>
      <c r="G98" s="26">
        <v>1</v>
      </c>
      <c r="H98" s="410"/>
      <c r="I98" s="562">
        <f t="shared" si="2"/>
        <v>0</v>
      </c>
    </row>
    <row r="99" spans="1:9" x14ac:dyDescent="0.35">
      <c r="A99" s="223" t="s">
        <v>2361</v>
      </c>
      <c r="B99" s="62" t="s">
        <v>196</v>
      </c>
      <c r="C99" s="315"/>
      <c r="D99" s="62"/>
      <c r="E99" s="62">
        <v>55719</v>
      </c>
      <c r="F99" s="466"/>
      <c r="G99" s="26">
        <v>4</v>
      </c>
      <c r="H99" s="410"/>
      <c r="I99" s="562">
        <f t="shared" ref="I99:I108" si="3">+G99*H99</f>
        <v>0</v>
      </c>
    </row>
    <row r="100" spans="1:9" x14ac:dyDescent="0.35">
      <c r="A100" s="223" t="s">
        <v>19</v>
      </c>
      <c r="B100" s="62" t="s">
        <v>242</v>
      </c>
      <c r="C100" s="315"/>
      <c r="D100" s="62"/>
      <c r="E100" s="62">
        <v>55719</v>
      </c>
      <c r="F100" s="466"/>
      <c r="G100" s="26">
        <v>2</v>
      </c>
      <c r="H100" s="410"/>
      <c r="I100" s="562">
        <f t="shared" si="3"/>
        <v>0</v>
      </c>
    </row>
    <row r="101" spans="1:9" x14ac:dyDescent="0.35">
      <c r="A101" s="223" t="s">
        <v>13</v>
      </c>
      <c r="B101" s="62" t="s">
        <v>420</v>
      </c>
      <c r="C101" s="315"/>
      <c r="D101" s="62"/>
      <c r="E101" s="62">
        <v>55719</v>
      </c>
      <c r="F101" s="466"/>
      <c r="G101" s="26">
        <v>1</v>
      </c>
      <c r="H101" s="410"/>
      <c r="I101" s="562">
        <f t="shared" si="3"/>
        <v>0</v>
      </c>
    </row>
    <row r="102" spans="1:9" x14ac:dyDescent="0.35">
      <c r="A102" s="223" t="s">
        <v>181</v>
      </c>
      <c r="B102" s="62" t="s">
        <v>182</v>
      </c>
      <c r="C102" s="315"/>
      <c r="D102" s="62"/>
      <c r="E102" s="62">
        <v>55719</v>
      </c>
      <c r="F102" s="466"/>
      <c r="G102" s="26">
        <v>1</v>
      </c>
      <c r="H102" s="410"/>
      <c r="I102" s="562">
        <f t="shared" si="3"/>
        <v>0</v>
      </c>
    </row>
    <row r="103" spans="1:9" x14ac:dyDescent="0.35">
      <c r="A103" s="223" t="s">
        <v>11</v>
      </c>
      <c r="B103" s="62" t="s">
        <v>233</v>
      </c>
      <c r="C103" s="315"/>
      <c r="D103" s="62"/>
      <c r="E103" s="62">
        <v>55719</v>
      </c>
      <c r="F103" s="466"/>
      <c r="G103" s="26">
        <v>1</v>
      </c>
      <c r="H103" s="410"/>
      <c r="I103" s="562">
        <f t="shared" si="3"/>
        <v>0</v>
      </c>
    </row>
    <row r="104" spans="1:9" x14ac:dyDescent="0.35">
      <c r="A104" s="223" t="s">
        <v>12</v>
      </c>
      <c r="B104" s="62" t="s">
        <v>150</v>
      </c>
      <c r="C104" s="315"/>
      <c r="D104" s="62"/>
      <c r="E104" s="62">
        <v>55719</v>
      </c>
      <c r="F104" s="466"/>
      <c r="G104" s="26">
        <v>1</v>
      </c>
      <c r="H104" s="410"/>
      <c r="I104" s="562">
        <f t="shared" si="3"/>
        <v>0</v>
      </c>
    </row>
    <row r="105" spans="1:9" x14ac:dyDescent="0.35">
      <c r="A105" s="223" t="s">
        <v>1042</v>
      </c>
      <c r="B105" s="62" t="s">
        <v>429</v>
      </c>
      <c r="C105" s="315"/>
      <c r="D105" s="62"/>
      <c r="E105" s="62">
        <v>55719</v>
      </c>
      <c r="F105" s="466"/>
      <c r="G105" s="26">
        <v>1</v>
      </c>
      <c r="H105" s="410"/>
      <c r="I105" s="562">
        <f t="shared" si="3"/>
        <v>0</v>
      </c>
    </row>
    <row r="106" spans="1:9" x14ac:dyDescent="0.35">
      <c r="A106" s="223" t="s">
        <v>1109</v>
      </c>
      <c r="B106" s="62" t="s">
        <v>340</v>
      </c>
      <c r="C106" s="315"/>
      <c r="D106" s="62"/>
      <c r="E106" s="62">
        <v>55719</v>
      </c>
      <c r="F106" s="466"/>
      <c r="G106" s="26">
        <v>1</v>
      </c>
      <c r="H106" s="410"/>
      <c r="I106" s="562">
        <f t="shared" si="3"/>
        <v>0</v>
      </c>
    </row>
    <row r="107" spans="1:9" x14ac:dyDescent="0.35">
      <c r="A107" s="223" t="s">
        <v>4</v>
      </c>
      <c r="B107" s="253" t="s">
        <v>86</v>
      </c>
      <c r="C107" s="315"/>
      <c r="D107" s="253"/>
      <c r="E107" s="253">
        <v>55719</v>
      </c>
      <c r="F107" s="466"/>
      <c r="G107" s="200">
        <v>2</v>
      </c>
      <c r="H107" s="410"/>
      <c r="I107" s="562">
        <f t="shared" si="3"/>
        <v>0</v>
      </c>
    </row>
    <row r="108" spans="1:9" x14ac:dyDescent="0.35">
      <c r="A108" s="223" t="s">
        <v>2382</v>
      </c>
      <c r="B108" s="253" t="s">
        <v>782</v>
      </c>
      <c r="C108" s="315"/>
      <c r="D108" s="253"/>
      <c r="E108" s="253">
        <v>55719</v>
      </c>
      <c r="F108" s="466"/>
      <c r="G108" s="200">
        <v>1</v>
      </c>
      <c r="H108" s="410"/>
      <c r="I108" s="562">
        <f t="shared" si="3"/>
        <v>0</v>
      </c>
    </row>
    <row r="111" spans="1:9" ht="17.5" x14ac:dyDescent="0.35">
      <c r="A111" s="309" t="s">
        <v>1523</v>
      </c>
      <c r="B111" s="199"/>
    </row>
    <row r="112" spans="1:9" s="4" customFormat="1" ht="17.5" x14ac:dyDescent="0.35">
      <c r="A112" s="309" t="s">
        <v>2386</v>
      </c>
      <c r="B112" s="312"/>
      <c r="C112" s="249"/>
      <c r="D112" s="3"/>
      <c r="E112" s="3"/>
      <c r="F112" s="249"/>
      <c r="G112" s="3"/>
      <c r="H112" s="396"/>
      <c r="I112" s="406"/>
    </row>
    <row r="113" spans="1:2" ht="17.5" x14ac:dyDescent="0.35">
      <c r="A113" s="367" t="s">
        <v>2665</v>
      </c>
      <c r="B113" s="199"/>
    </row>
    <row r="114" spans="1:2" ht="17.5" x14ac:dyDescent="0.35">
      <c r="A114" s="334" t="s">
        <v>2694</v>
      </c>
      <c r="B114" s="456" t="e">
        <f>+#REF!</f>
        <v>#REF!</v>
      </c>
    </row>
  </sheetData>
  <pageMargins left="0.5" right="0.5" top="0.5" bottom="0.5" header="0.3" footer="0.3"/>
  <pageSetup scale="75" orientation="landscape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96"/>
  <sheetViews>
    <sheetView workbookViewId="0">
      <pane ySplit="1" topLeftCell="A81" activePane="bottomLeft" state="frozen"/>
      <selection activeCell="C26" sqref="C26"/>
      <selection pane="bottomLeft" activeCell="A91" sqref="A91:XFD123"/>
    </sheetView>
  </sheetViews>
  <sheetFormatPr defaultColWidth="9.08984375" defaultRowHeight="15.5" x14ac:dyDescent="0.35"/>
  <cols>
    <col min="1" max="1" width="63.90625" style="16" bestFit="1" customWidth="1"/>
    <col min="2" max="2" width="16.08984375" style="17" customWidth="1"/>
    <col min="3" max="3" width="21.1796875" style="17" customWidth="1"/>
    <col min="4" max="4" width="21.81640625" style="17" customWidth="1"/>
    <col min="5" max="5" width="14.36328125" style="17" customWidth="1"/>
    <col min="6" max="6" width="16.453125" style="17" customWidth="1"/>
    <col min="7" max="7" width="12" style="17" customWidth="1"/>
    <col min="8" max="8" width="13.08984375" style="412" customWidth="1"/>
    <col min="9" max="9" width="18.6328125" style="412" customWidth="1"/>
    <col min="10" max="10" width="1.6328125" style="16" bestFit="1" customWidth="1"/>
    <col min="11" max="11" width="9.08984375" style="16"/>
    <col min="12" max="12" width="3" style="16" bestFit="1" customWidth="1"/>
    <col min="13" max="16384" width="9.08984375" style="16"/>
  </cols>
  <sheetData>
    <row r="1" spans="1:9" x14ac:dyDescent="0.35">
      <c r="A1" s="260" t="s">
        <v>0</v>
      </c>
      <c r="B1" s="261" t="s">
        <v>1</v>
      </c>
      <c r="C1" s="610" t="s">
        <v>2700</v>
      </c>
      <c r="D1" s="261" t="s">
        <v>1598</v>
      </c>
      <c r="E1" s="261" t="s">
        <v>1599</v>
      </c>
      <c r="F1" s="610" t="s">
        <v>2699</v>
      </c>
      <c r="G1" s="262" t="s">
        <v>364</v>
      </c>
      <c r="H1" s="611" t="s">
        <v>2695</v>
      </c>
      <c r="I1" s="612" t="s">
        <v>2696</v>
      </c>
    </row>
    <row r="2" spans="1:9" x14ac:dyDescent="0.35">
      <c r="A2" s="290" t="s">
        <v>174</v>
      </c>
      <c r="B2" s="128" t="s">
        <v>215</v>
      </c>
      <c r="C2" s="315"/>
      <c r="D2" s="128"/>
      <c r="E2" s="128">
        <v>55719</v>
      </c>
      <c r="F2" s="497"/>
      <c r="G2" s="10">
        <v>1</v>
      </c>
      <c r="H2" s="410"/>
      <c r="I2" s="562">
        <f t="shared" ref="I2:I33" si="0">+G2*H2</f>
        <v>0</v>
      </c>
    </row>
    <row r="3" spans="1:9" x14ac:dyDescent="0.35">
      <c r="A3" s="618" t="s">
        <v>4</v>
      </c>
      <c r="B3" s="128" t="s">
        <v>86</v>
      </c>
      <c r="C3" s="315"/>
      <c r="D3" s="128"/>
      <c r="E3" s="128">
        <v>55719</v>
      </c>
      <c r="F3" s="497"/>
      <c r="G3" s="15">
        <v>2</v>
      </c>
      <c r="H3" s="410"/>
      <c r="I3" s="562">
        <f t="shared" si="0"/>
        <v>0</v>
      </c>
    </row>
    <row r="4" spans="1:9" x14ac:dyDescent="0.35">
      <c r="A4" s="618" t="s">
        <v>6</v>
      </c>
      <c r="B4" s="128" t="s">
        <v>87</v>
      </c>
      <c r="C4" s="315"/>
      <c r="D4" s="128"/>
      <c r="E4" s="128">
        <v>55719</v>
      </c>
      <c r="F4" s="497"/>
      <c r="G4" s="15">
        <v>4</v>
      </c>
      <c r="H4" s="429"/>
      <c r="I4" s="562">
        <f t="shared" si="0"/>
        <v>0</v>
      </c>
    </row>
    <row r="5" spans="1:9" x14ac:dyDescent="0.35">
      <c r="A5" s="290" t="s">
        <v>872</v>
      </c>
      <c r="B5" s="128" t="s">
        <v>367</v>
      </c>
      <c r="C5" s="315"/>
      <c r="D5" s="128"/>
      <c r="E5" s="128">
        <v>55719</v>
      </c>
      <c r="F5" s="497"/>
      <c r="G5" s="10">
        <v>1</v>
      </c>
      <c r="H5" s="410"/>
      <c r="I5" s="562">
        <f t="shared" si="0"/>
        <v>0</v>
      </c>
    </row>
    <row r="6" spans="1:9" x14ac:dyDescent="0.35">
      <c r="A6" s="290" t="s">
        <v>972</v>
      </c>
      <c r="B6" s="128" t="s">
        <v>175</v>
      </c>
      <c r="C6" s="315"/>
      <c r="D6" s="128"/>
      <c r="E6" s="128">
        <v>55719</v>
      </c>
      <c r="F6" s="497"/>
      <c r="G6" s="10">
        <v>1</v>
      </c>
      <c r="H6" s="410"/>
      <c r="I6" s="562">
        <f t="shared" si="0"/>
        <v>0</v>
      </c>
    </row>
    <row r="7" spans="1:9" x14ac:dyDescent="0.35">
      <c r="A7" s="618" t="s">
        <v>975</v>
      </c>
      <c r="B7" s="128" t="s">
        <v>356</v>
      </c>
      <c r="C7" s="315"/>
      <c r="D7" s="128"/>
      <c r="E7" s="128">
        <v>55719</v>
      </c>
      <c r="F7" s="497"/>
      <c r="G7" s="252">
        <v>1</v>
      </c>
      <c r="H7" s="410"/>
      <c r="I7" s="562">
        <f t="shared" si="0"/>
        <v>0</v>
      </c>
    </row>
    <row r="8" spans="1:9" ht="15" customHeight="1" x14ac:dyDescent="0.35">
      <c r="A8" s="290" t="s">
        <v>9</v>
      </c>
      <c r="B8" s="128" t="s">
        <v>329</v>
      </c>
      <c r="C8" s="315"/>
      <c r="D8" s="128"/>
      <c r="E8" s="128">
        <v>55719</v>
      </c>
      <c r="F8" s="497"/>
      <c r="G8" s="10">
        <v>1</v>
      </c>
      <c r="H8" s="410"/>
      <c r="I8" s="562">
        <f t="shared" si="0"/>
        <v>0</v>
      </c>
    </row>
    <row r="9" spans="1:9" x14ac:dyDescent="0.35">
      <c r="A9" s="618" t="s">
        <v>177</v>
      </c>
      <c r="B9" s="128" t="s">
        <v>178</v>
      </c>
      <c r="C9" s="315"/>
      <c r="D9" s="128"/>
      <c r="E9" s="128">
        <v>55719</v>
      </c>
      <c r="F9" s="497"/>
      <c r="G9" s="252">
        <v>2</v>
      </c>
      <c r="H9" s="410"/>
      <c r="I9" s="562">
        <f t="shared" si="0"/>
        <v>0</v>
      </c>
    </row>
    <row r="10" spans="1:9" x14ac:dyDescent="0.35">
      <c r="A10" s="290" t="s">
        <v>10</v>
      </c>
      <c r="B10" s="128" t="s">
        <v>418</v>
      </c>
      <c r="C10" s="315"/>
      <c r="D10" s="128"/>
      <c r="E10" s="128">
        <v>55719</v>
      </c>
      <c r="F10" s="497"/>
      <c r="G10" s="10">
        <v>1</v>
      </c>
      <c r="H10" s="410"/>
      <c r="I10" s="562">
        <f t="shared" si="0"/>
        <v>0</v>
      </c>
    </row>
    <row r="11" spans="1:9" x14ac:dyDescent="0.35">
      <c r="A11" s="290" t="s">
        <v>881</v>
      </c>
      <c r="B11" s="128" t="s">
        <v>417</v>
      </c>
      <c r="C11" s="315"/>
      <c r="D11" s="128"/>
      <c r="E11" s="128">
        <v>55719</v>
      </c>
      <c r="F11" s="497"/>
      <c r="G11" s="10">
        <v>1</v>
      </c>
      <c r="H11" s="410"/>
      <c r="I11" s="562">
        <f t="shared" si="0"/>
        <v>0</v>
      </c>
    </row>
    <row r="12" spans="1:9" x14ac:dyDescent="0.35">
      <c r="A12" s="290" t="s">
        <v>181</v>
      </c>
      <c r="B12" s="128" t="s">
        <v>182</v>
      </c>
      <c r="C12" s="315"/>
      <c r="D12" s="128"/>
      <c r="E12" s="128">
        <v>55719</v>
      </c>
      <c r="F12" s="497"/>
      <c r="G12" s="10">
        <v>2</v>
      </c>
      <c r="H12" s="429"/>
      <c r="I12" s="562">
        <f t="shared" si="0"/>
        <v>0</v>
      </c>
    </row>
    <row r="13" spans="1:9" x14ac:dyDescent="0.35">
      <c r="A13" s="290" t="s">
        <v>882</v>
      </c>
      <c r="B13" s="128" t="s">
        <v>419</v>
      </c>
      <c r="C13" s="315"/>
      <c r="D13" s="128"/>
      <c r="E13" s="128">
        <v>55719</v>
      </c>
      <c r="F13" s="497"/>
      <c r="G13" s="10">
        <v>1</v>
      </c>
      <c r="H13" s="429"/>
      <c r="I13" s="562">
        <f t="shared" si="0"/>
        <v>0</v>
      </c>
    </row>
    <row r="14" spans="1:9" x14ac:dyDescent="0.35">
      <c r="A14" s="290" t="s">
        <v>11</v>
      </c>
      <c r="B14" s="128" t="s">
        <v>233</v>
      </c>
      <c r="C14" s="315"/>
      <c r="D14" s="128"/>
      <c r="E14" s="128">
        <v>55719</v>
      </c>
      <c r="F14" s="497"/>
      <c r="G14" s="10">
        <v>1</v>
      </c>
      <c r="H14" s="410"/>
      <c r="I14" s="562">
        <f t="shared" si="0"/>
        <v>0</v>
      </c>
    </row>
    <row r="15" spans="1:9" x14ac:dyDescent="0.35">
      <c r="A15" s="290" t="s">
        <v>12</v>
      </c>
      <c r="B15" s="128" t="s">
        <v>150</v>
      </c>
      <c r="C15" s="315"/>
      <c r="D15" s="128"/>
      <c r="E15" s="128">
        <v>55719</v>
      </c>
      <c r="F15" s="497"/>
      <c r="G15" s="10">
        <v>1</v>
      </c>
      <c r="H15" s="429"/>
      <c r="I15" s="562">
        <f t="shared" si="0"/>
        <v>0</v>
      </c>
    </row>
    <row r="16" spans="1:9" x14ac:dyDescent="0.35">
      <c r="A16" s="290" t="s">
        <v>107</v>
      </c>
      <c r="B16" s="128" t="s">
        <v>507</v>
      </c>
      <c r="C16" s="315"/>
      <c r="D16" s="128"/>
      <c r="E16" s="128">
        <v>55719</v>
      </c>
      <c r="F16" s="497"/>
      <c r="G16" s="10">
        <v>1</v>
      </c>
      <c r="H16" s="429"/>
      <c r="I16" s="562">
        <f t="shared" si="0"/>
        <v>0</v>
      </c>
    </row>
    <row r="17" spans="1:9" x14ac:dyDescent="0.35">
      <c r="A17" s="290" t="s">
        <v>13</v>
      </c>
      <c r="B17" s="128" t="s">
        <v>420</v>
      </c>
      <c r="C17" s="315"/>
      <c r="D17" s="128"/>
      <c r="E17" s="128">
        <v>55719</v>
      </c>
      <c r="F17" s="497"/>
      <c r="G17" s="10">
        <v>1</v>
      </c>
      <c r="H17" s="429"/>
      <c r="I17" s="562">
        <f t="shared" si="0"/>
        <v>0</v>
      </c>
    </row>
    <row r="18" spans="1:9" s="106" customFormat="1" x14ac:dyDescent="0.35">
      <c r="A18" s="621" t="s">
        <v>883</v>
      </c>
      <c r="B18" s="128" t="s">
        <v>235</v>
      </c>
      <c r="C18" s="315"/>
      <c r="D18" s="128"/>
      <c r="E18" s="128">
        <v>55719</v>
      </c>
      <c r="F18" s="497"/>
      <c r="G18" s="10">
        <v>1</v>
      </c>
      <c r="H18" s="429"/>
      <c r="I18" s="562">
        <f t="shared" si="0"/>
        <v>0</v>
      </c>
    </row>
    <row r="19" spans="1:9" x14ac:dyDescent="0.35">
      <c r="A19" s="290" t="s">
        <v>909</v>
      </c>
      <c r="B19" s="128" t="s">
        <v>108</v>
      </c>
      <c r="C19" s="315"/>
      <c r="D19" s="128"/>
      <c r="E19" s="128">
        <v>55719</v>
      </c>
      <c r="F19" s="497"/>
      <c r="G19" s="10">
        <v>1</v>
      </c>
      <c r="H19" s="429"/>
      <c r="I19" s="562">
        <f t="shared" si="0"/>
        <v>0</v>
      </c>
    </row>
    <row r="20" spans="1:9" x14ac:dyDescent="0.35">
      <c r="A20" s="290" t="s">
        <v>1110</v>
      </c>
      <c r="B20" s="128" t="s">
        <v>422</v>
      </c>
      <c r="C20" s="315"/>
      <c r="D20" s="128"/>
      <c r="E20" s="128">
        <v>55719</v>
      </c>
      <c r="F20" s="497"/>
      <c r="G20" s="10">
        <v>1</v>
      </c>
      <c r="H20" s="429"/>
      <c r="I20" s="562">
        <f t="shared" si="0"/>
        <v>0</v>
      </c>
    </row>
    <row r="21" spans="1:9" x14ac:dyDescent="0.35">
      <c r="A21" s="290" t="s">
        <v>170</v>
      </c>
      <c r="B21" s="128" t="s">
        <v>755</v>
      </c>
      <c r="C21" s="315"/>
      <c r="D21" s="128"/>
      <c r="E21" s="128">
        <v>55719</v>
      </c>
      <c r="F21" s="497"/>
      <c r="G21" s="10">
        <v>1</v>
      </c>
      <c r="H21" s="429"/>
      <c r="I21" s="562">
        <f t="shared" si="0"/>
        <v>0</v>
      </c>
    </row>
    <row r="22" spans="1:9" x14ac:dyDescent="0.35">
      <c r="A22" s="290" t="s">
        <v>930</v>
      </c>
      <c r="B22" s="128" t="s">
        <v>88</v>
      </c>
      <c r="C22" s="315"/>
      <c r="D22" s="128"/>
      <c r="E22" s="128">
        <v>55719</v>
      </c>
      <c r="F22" s="497"/>
      <c r="G22" s="10">
        <v>2</v>
      </c>
      <c r="H22" s="429"/>
      <c r="I22" s="562">
        <f t="shared" si="0"/>
        <v>0</v>
      </c>
    </row>
    <row r="23" spans="1:9" x14ac:dyDescent="0.35">
      <c r="A23" s="290" t="s">
        <v>1019</v>
      </c>
      <c r="B23" s="128" t="s">
        <v>90</v>
      </c>
      <c r="C23" s="315"/>
      <c r="D23" s="128"/>
      <c r="E23" s="128">
        <v>55719</v>
      </c>
      <c r="F23" s="497"/>
      <c r="G23" s="10">
        <v>2</v>
      </c>
      <c r="H23" s="498"/>
      <c r="I23" s="562">
        <f t="shared" si="0"/>
        <v>0</v>
      </c>
    </row>
    <row r="24" spans="1:9" x14ac:dyDescent="0.35">
      <c r="A24" s="290" t="s">
        <v>14</v>
      </c>
      <c r="B24" s="128" t="s">
        <v>334</v>
      </c>
      <c r="C24" s="315"/>
      <c r="D24" s="128"/>
      <c r="E24" s="128">
        <v>55719</v>
      </c>
      <c r="F24" s="497"/>
      <c r="G24" s="252">
        <v>2</v>
      </c>
      <c r="H24" s="429"/>
      <c r="I24" s="562">
        <f t="shared" si="0"/>
        <v>0</v>
      </c>
    </row>
    <row r="25" spans="1:9" x14ac:dyDescent="0.35">
      <c r="A25" s="290" t="s">
        <v>15</v>
      </c>
      <c r="B25" s="128" t="s">
        <v>424</v>
      </c>
      <c r="C25" s="315"/>
      <c r="D25" s="128"/>
      <c r="E25" s="128">
        <v>55719</v>
      </c>
      <c r="F25" s="497"/>
      <c r="G25" s="10">
        <v>4</v>
      </c>
      <c r="H25" s="429"/>
      <c r="I25" s="562">
        <f t="shared" si="0"/>
        <v>0</v>
      </c>
    </row>
    <row r="26" spans="1:9" x14ac:dyDescent="0.35">
      <c r="A26" s="619" t="s">
        <v>101</v>
      </c>
      <c r="B26" s="128" t="s">
        <v>1670</v>
      </c>
      <c r="C26" s="315"/>
      <c r="D26" s="128"/>
      <c r="E26" s="128">
        <v>55719</v>
      </c>
      <c r="F26" s="497"/>
      <c r="G26" s="10">
        <v>2</v>
      </c>
      <c r="H26" s="429"/>
      <c r="I26" s="562">
        <f t="shared" si="0"/>
        <v>0</v>
      </c>
    </row>
    <row r="27" spans="1:9" x14ac:dyDescent="0.35">
      <c r="A27" s="619" t="s">
        <v>984</v>
      </c>
      <c r="B27" s="128" t="s">
        <v>1669</v>
      </c>
      <c r="C27" s="315"/>
      <c r="D27" s="128"/>
      <c r="E27" s="128">
        <v>55719</v>
      </c>
      <c r="F27" s="497"/>
      <c r="G27" s="10">
        <v>4</v>
      </c>
      <c r="H27" s="498"/>
      <c r="I27" s="562">
        <f t="shared" si="0"/>
        <v>0</v>
      </c>
    </row>
    <row r="28" spans="1:9" x14ac:dyDescent="0.35">
      <c r="A28" s="622" t="s">
        <v>1727</v>
      </c>
      <c r="B28" s="30" t="s">
        <v>1728</v>
      </c>
      <c r="C28" s="315"/>
      <c r="D28" s="128"/>
      <c r="E28" s="128">
        <v>55719</v>
      </c>
      <c r="F28" s="497"/>
      <c r="G28" s="252">
        <v>1</v>
      </c>
      <c r="H28" s="429"/>
      <c r="I28" s="562">
        <f t="shared" si="0"/>
        <v>0</v>
      </c>
    </row>
    <row r="29" spans="1:9" x14ac:dyDescent="0.35">
      <c r="A29" s="290" t="s">
        <v>171</v>
      </c>
      <c r="B29" s="128" t="s">
        <v>565</v>
      </c>
      <c r="C29" s="315"/>
      <c r="D29" s="128"/>
      <c r="E29" s="128">
        <v>55719</v>
      </c>
      <c r="F29" s="497"/>
      <c r="G29" s="10">
        <v>1</v>
      </c>
      <c r="H29" s="429"/>
      <c r="I29" s="562">
        <f t="shared" si="0"/>
        <v>0</v>
      </c>
    </row>
    <row r="30" spans="1:9" x14ac:dyDescent="0.35">
      <c r="A30" s="622" t="s">
        <v>1396</v>
      </c>
      <c r="B30" s="30" t="s">
        <v>630</v>
      </c>
      <c r="C30" s="315"/>
      <c r="D30" s="128"/>
      <c r="E30" s="128">
        <v>55719</v>
      </c>
      <c r="F30" s="497"/>
      <c r="G30" s="10">
        <v>1</v>
      </c>
      <c r="H30" s="429"/>
      <c r="I30" s="562">
        <f t="shared" si="0"/>
        <v>0</v>
      </c>
    </row>
    <row r="31" spans="1:9" x14ac:dyDescent="0.35">
      <c r="A31" s="290" t="s">
        <v>16</v>
      </c>
      <c r="B31" s="128" t="s">
        <v>360</v>
      </c>
      <c r="C31" s="315"/>
      <c r="D31" s="128"/>
      <c r="E31" s="128">
        <v>55719</v>
      </c>
      <c r="F31" s="497"/>
      <c r="G31" s="10">
        <v>1</v>
      </c>
      <c r="H31" s="429"/>
      <c r="I31" s="562">
        <f t="shared" si="0"/>
        <v>0</v>
      </c>
    </row>
    <row r="32" spans="1:9" x14ac:dyDescent="0.35">
      <c r="A32" s="290" t="s">
        <v>1099</v>
      </c>
      <c r="B32" s="128" t="s">
        <v>426</v>
      </c>
      <c r="C32" s="315"/>
      <c r="D32" s="128"/>
      <c r="E32" s="128">
        <v>55719</v>
      </c>
      <c r="F32" s="497"/>
      <c r="G32" s="10">
        <v>1</v>
      </c>
      <c r="H32" s="429"/>
      <c r="I32" s="562">
        <f t="shared" si="0"/>
        <v>0</v>
      </c>
    </row>
    <row r="33" spans="1:9" x14ac:dyDescent="0.35">
      <c r="A33" s="290" t="s">
        <v>408</v>
      </c>
      <c r="B33" s="128" t="s">
        <v>1562</v>
      </c>
      <c r="C33" s="315"/>
      <c r="D33" s="128"/>
      <c r="E33" s="128">
        <v>55719</v>
      </c>
      <c r="F33" s="497"/>
      <c r="G33" s="10">
        <v>1</v>
      </c>
      <c r="H33" s="499"/>
      <c r="I33" s="562">
        <f t="shared" si="0"/>
        <v>0</v>
      </c>
    </row>
    <row r="34" spans="1:9" x14ac:dyDescent="0.35">
      <c r="A34" s="290" t="s">
        <v>17</v>
      </c>
      <c r="B34" s="128" t="s">
        <v>2473</v>
      </c>
      <c r="C34" s="315"/>
      <c r="D34" s="128"/>
      <c r="E34" s="128">
        <v>55719</v>
      </c>
      <c r="F34" s="497"/>
      <c r="G34" s="10">
        <v>1</v>
      </c>
      <c r="H34" s="499"/>
      <c r="I34" s="562">
        <f t="shared" ref="I34:I65" si="1">+G34*H34</f>
        <v>0</v>
      </c>
    </row>
    <row r="35" spans="1:9" x14ac:dyDescent="0.35">
      <c r="A35" s="290" t="s">
        <v>172</v>
      </c>
      <c r="B35" s="128" t="s">
        <v>566</v>
      </c>
      <c r="C35" s="315"/>
      <c r="D35" s="128"/>
      <c r="E35" s="128">
        <v>55719</v>
      </c>
      <c r="F35" s="497"/>
      <c r="G35" s="10">
        <v>1</v>
      </c>
      <c r="H35" s="429"/>
      <c r="I35" s="562">
        <f t="shared" si="1"/>
        <v>0</v>
      </c>
    </row>
    <row r="36" spans="1:9" x14ac:dyDescent="0.35">
      <c r="A36" s="290" t="s">
        <v>159</v>
      </c>
      <c r="B36" s="128" t="s">
        <v>427</v>
      </c>
      <c r="C36" s="315"/>
      <c r="D36" s="128"/>
      <c r="E36" s="128">
        <v>55719</v>
      </c>
      <c r="F36" s="497"/>
      <c r="G36" s="10">
        <v>1</v>
      </c>
      <c r="H36" s="429"/>
      <c r="I36" s="562">
        <f t="shared" si="1"/>
        <v>0</v>
      </c>
    </row>
    <row r="37" spans="1:9" x14ac:dyDescent="0.35">
      <c r="A37" s="290" t="s">
        <v>1358</v>
      </c>
      <c r="B37" s="128" t="s">
        <v>2234</v>
      </c>
      <c r="C37" s="315"/>
      <c r="D37" s="128"/>
      <c r="E37" s="128">
        <v>55719</v>
      </c>
      <c r="F37" s="497"/>
      <c r="G37" s="10">
        <v>1</v>
      </c>
      <c r="H37" s="429"/>
      <c r="I37" s="562">
        <f t="shared" si="1"/>
        <v>0</v>
      </c>
    </row>
    <row r="38" spans="1:9" x14ac:dyDescent="0.35">
      <c r="A38" s="290" t="s">
        <v>885</v>
      </c>
      <c r="B38" s="128" t="s">
        <v>229</v>
      </c>
      <c r="C38" s="315"/>
      <c r="D38" s="128"/>
      <c r="E38" s="128">
        <v>55719</v>
      </c>
      <c r="F38" s="497"/>
      <c r="G38" s="10">
        <v>1</v>
      </c>
      <c r="H38" s="429"/>
      <c r="I38" s="562">
        <f t="shared" si="1"/>
        <v>0</v>
      </c>
    </row>
    <row r="39" spans="1:9" x14ac:dyDescent="0.35">
      <c r="A39" s="618" t="s">
        <v>1413</v>
      </c>
      <c r="B39" s="128" t="s">
        <v>355</v>
      </c>
      <c r="C39" s="315"/>
      <c r="D39" s="128"/>
      <c r="E39" s="128">
        <v>55719</v>
      </c>
      <c r="F39" s="497"/>
      <c r="G39" s="252">
        <v>1</v>
      </c>
      <c r="H39" s="429"/>
      <c r="I39" s="562">
        <f t="shared" si="1"/>
        <v>0</v>
      </c>
    </row>
    <row r="40" spans="1:9" x14ac:dyDescent="0.35">
      <c r="A40" s="623" t="s">
        <v>2597</v>
      </c>
      <c r="B40" s="128" t="s">
        <v>428</v>
      </c>
      <c r="C40" s="315"/>
      <c r="D40" s="128"/>
      <c r="E40" s="128">
        <v>55719</v>
      </c>
      <c r="F40" s="497"/>
      <c r="G40" s="10">
        <v>1</v>
      </c>
      <c r="H40" s="429"/>
      <c r="I40" s="562">
        <f t="shared" si="1"/>
        <v>0</v>
      </c>
    </row>
    <row r="41" spans="1:9" x14ac:dyDescent="0.35">
      <c r="A41" s="290" t="s">
        <v>2594</v>
      </c>
      <c r="B41" s="128" t="s">
        <v>757</v>
      </c>
      <c r="C41" s="315"/>
      <c r="D41" s="128"/>
      <c r="E41" s="128">
        <v>55719</v>
      </c>
      <c r="F41" s="497"/>
      <c r="G41" s="10">
        <v>1</v>
      </c>
      <c r="H41" s="429"/>
      <c r="I41" s="562">
        <f t="shared" si="1"/>
        <v>0</v>
      </c>
    </row>
    <row r="42" spans="1:9" x14ac:dyDescent="0.35">
      <c r="A42" s="290" t="s">
        <v>1300</v>
      </c>
      <c r="B42" s="128" t="s">
        <v>805</v>
      </c>
      <c r="C42" s="315"/>
      <c r="D42" s="128"/>
      <c r="E42" s="128">
        <v>55719</v>
      </c>
      <c r="F42" s="497"/>
      <c r="G42" s="15">
        <v>1</v>
      </c>
      <c r="H42" s="410"/>
      <c r="I42" s="562">
        <f t="shared" si="1"/>
        <v>0</v>
      </c>
    </row>
    <row r="43" spans="1:9" x14ac:dyDescent="0.35">
      <c r="A43" s="290" t="s">
        <v>1042</v>
      </c>
      <c r="B43" s="128" t="s">
        <v>429</v>
      </c>
      <c r="C43" s="315"/>
      <c r="D43" s="128"/>
      <c r="E43" s="128">
        <v>55719</v>
      </c>
      <c r="F43" s="497"/>
      <c r="G43" s="10">
        <v>1</v>
      </c>
      <c r="H43" s="410"/>
      <c r="I43" s="562">
        <f t="shared" si="1"/>
        <v>0</v>
      </c>
    </row>
    <row r="44" spans="1:9" x14ac:dyDescent="0.35">
      <c r="A44" s="290" t="s">
        <v>362</v>
      </c>
      <c r="B44" s="128" t="s">
        <v>431</v>
      </c>
      <c r="C44" s="315"/>
      <c r="D44" s="128"/>
      <c r="E44" s="128">
        <v>55719</v>
      </c>
      <c r="F44" s="497"/>
      <c r="G44" s="10">
        <v>1</v>
      </c>
      <c r="H44" s="429"/>
      <c r="I44" s="562">
        <f t="shared" si="1"/>
        <v>0</v>
      </c>
    </row>
    <row r="45" spans="1:9" x14ac:dyDescent="0.35">
      <c r="A45" s="290" t="s">
        <v>19</v>
      </c>
      <c r="B45" s="128" t="s">
        <v>242</v>
      </c>
      <c r="C45" s="315"/>
      <c r="D45" s="128"/>
      <c r="E45" s="128">
        <v>55719</v>
      </c>
      <c r="F45" s="497"/>
      <c r="G45" s="10">
        <v>2</v>
      </c>
      <c r="H45" s="429"/>
      <c r="I45" s="562">
        <f t="shared" si="1"/>
        <v>0</v>
      </c>
    </row>
    <row r="46" spans="1:9" x14ac:dyDescent="0.35">
      <c r="A46" s="290" t="s">
        <v>931</v>
      </c>
      <c r="B46" s="128" t="s">
        <v>66</v>
      </c>
      <c r="C46" s="315"/>
      <c r="D46" s="128"/>
      <c r="E46" s="128">
        <v>55719</v>
      </c>
      <c r="F46" s="497"/>
      <c r="G46" s="10">
        <v>1</v>
      </c>
      <c r="H46" s="429"/>
      <c r="I46" s="562">
        <f t="shared" si="1"/>
        <v>0</v>
      </c>
    </row>
    <row r="47" spans="1:9" x14ac:dyDescent="0.35">
      <c r="A47" s="619" t="s">
        <v>23</v>
      </c>
      <c r="B47" s="128" t="s">
        <v>252</v>
      </c>
      <c r="C47" s="315"/>
      <c r="D47" s="128"/>
      <c r="E47" s="128">
        <v>55719</v>
      </c>
      <c r="F47" s="497"/>
      <c r="G47" s="10">
        <v>1</v>
      </c>
      <c r="H47" s="429"/>
      <c r="I47" s="562">
        <f t="shared" si="1"/>
        <v>0</v>
      </c>
    </row>
    <row r="48" spans="1:9" x14ac:dyDescent="0.35">
      <c r="A48" s="619" t="s">
        <v>1058</v>
      </c>
      <c r="B48" s="128" t="s">
        <v>1563</v>
      </c>
      <c r="C48" s="315"/>
      <c r="D48" s="128"/>
      <c r="E48" s="128">
        <v>55719</v>
      </c>
      <c r="F48" s="497"/>
      <c r="G48" s="10">
        <v>1</v>
      </c>
      <c r="H48" s="429"/>
      <c r="I48" s="562">
        <f t="shared" si="1"/>
        <v>0</v>
      </c>
    </row>
    <row r="49" spans="1:9" x14ac:dyDescent="0.35">
      <c r="A49" s="618" t="s">
        <v>1060</v>
      </c>
      <c r="B49" s="128" t="s">
        <v>74</v>
      </c>
      <c r="C49" s="315"/>
      <c r="D49" s="128"/>
      <c r="E49" s="128">
        <v>55719</v>
      </c>
      <c r="F49" s="497"/>
      <c r="G49" s="252">
        <v>3</v>
      </c>
      <c r="H49" s="429"/>
      <c r="I49" s="562">
        <f t="shared" si="1"/>
        <v>0</v>
      </c>
    </row>
    <row r="50" spans="1:9" x14ac:dyDescent="0.35">
      <c r="A50" s="290" t="s">
        <v>28</v>
      </c>
      <c r="B50" s="128" t="s">
        <v>2242</v>
      </c>
      <c r="C50" s="315"/>
      <c r="D50" s="128"/>
      <c r="E50" s="128">
        <v>55719</v>
      </c>
      <c r="F50" s="497"/>
      <c r="G50" s="10">
        <v>1</v>
      </c>
      <c r="H50" s="429"/>
      <c r="I50" s="562">
        <f t="shared" si="1"/>
        <v>0</v>
      </c>
    </row>
    <row r="51" spans="1:9" x14ac:dyDescent="0.35">
      <c r="A51" s="290" t="s">
        <v>1061</v>
      </c>
      <c r="B51" s="128" t="s">
        <v>73</v>
      </c>
      <c r="C51" s="315"/>
      <c r="D51" s="128"/>
      <c r="E51" s="128">
        <v>55719</v>
      </c>
      <c r="F51" s="497"/>
      <c r="G51" s="10">
        <v>1</v>
      </c>
      <c r="H51" s="429"/>
      <c r="I51" s="562">
        <f t="shared" si="1"/>
        <v>0</v>
      </c>
    </row>
    <row r="52" spans="1:9" x14ac:dyDescent="0.35">
      <c r="A52" s="290" t="s">
        <v>29</v>
      </c>
      <c r="B52" s="128" t="s">
        <v>1564</v>
      </c>
      <c r="C52" s="315"/>
      <c r="D52" s="128"/>
      <c r="E52" s="128">
        <v>55719</v>
      </c>
      <c r="F52" s="497"/>
      <c r="G52" s="10">
        <v>1</v>
      </c>
      <c r="H52" s="429"/>
      <c r="I52" s="562">
        <f t="shared" si="1"/>
        <v>0</v>
      </c>
    </row>
    <row r="53" spans="1:9" x14ac:dyDescent="0.35">
      <c r="A53" s="290" t="s">
        <v>1062</v>
      </c>
      <c r="B53" s="128" t="s">
        <v>261</v>
      </c>
      <c r="C53" s="315"/>
      <c r="D53" s="128"/>
      <c r="E53" s="128">
        <v>55719</v>
      </c>
      <c r="F53" s="497"/>
      <c r="G53" s="10">
        <v>3</v>
      </c>
      <c r="H53" s="429"/>
      <c r="I53" s="562">
        <f t="shared" si="1"/>
        <v>0</v>
      </c>
    </row>
    <row r="54" spans="1:9" x14ac:dyDescent="0.35">
      <c r="A54" s="290" t="s">
        <v>1168</v>
      </c>
      <c r="B54" s="128" t="s">
        <v>75</v>
      </c>
      <c r="C54" s="315"/>
      <c r="D54" s="128"/>
      <c r="E54" s="128">
        <v>55719</v>
      </c>
      <c r="F54" s="497"/>
      <c r="G54" s="10">
        <v>1</v>
      </c>
      <c r="H54" s="429"/>
      <c r="I54" s="562">
        <f t="shared" si="1"/>
        <v>0</v>
      </c>
    </row>
    <row r="55" spans="1:9" x14ac:dyDescent="0.35">
      <c r="A55" s="618" t="s">
        <v>999</v>
      </c>
      <c r="B55" s="128" t="s">
        <v>393</v>
      </c>
      <c r="C55" s="315"/>
      <c r="D55" s="128"/>
      <c r="E55" s="128">
        <v>55719</v>
      </c>
      <c r="F55" s="497"/>
      <c r="G55" s="252">
        <v>2</v>
      </c>
      <c r="H55" s="429"/>
      <c r="I55" s="562">
        <f t="shared" si="1"/>
        <v>0</v>
      </c>
    </row>
    <row r="56" spans="1:9" x14ac:dyDescent="0.35">
      <c r="A56" s="624" t="s">
        <v>1067</v>
      </c>
      <c r="B56" s="30" t="s">
        <v>260</v>
      </c>
      <c r="C56" s="315"/>
      <c r="D56" s="128"/>
      <c r="E56" s="128">
        <v>55719</v>
      </c>
      <c r="F56" s="497"/>
      <c r="G56" s="10">
        <v>1</v>
      </c>
      <c r="H56" s="429"/>
      <c r="I56" s="562">
        <f t="shared" si="1"/>
        <v>0</v>
      </c>
    </row>
    <row r="57" spans="1:9" x14ac:dyDescent="0.35">
      <c r="A57" s="618" t="s">
        <v>1000</v>
      </c>
      <c r="B57" s="128" t="s">
        <v>295</v>
      </c>
      <c r="C57" s="315"/>
      <c r="D57" s="128"/>
      <c r="E57" s="128">
        <v>55719</v>
      </c>
      <c r="F57" s="497"/>
      <c r="G57" s="252">
        <v>2</v>
      </c>
      <c r="H57" s="429"/>
      <c r="I57" s="562">
        <f t="shared" si="1"/>
        <v>0</v>
      </c>
    </row>
    <row r="58" spans="1:9" x14ac:dyDescent="0.35">
      <c r="A58" s="290" t="s">
        <v>53</v>
      </c>
      <c r="B58" s="128" t="s">
        <v>472</v>
      </c>
      <c r="C58" s="315"/>
      <c r="D58" s="128"/>
      <c r="E58" s="128">
        <v>55719</v>
      </c>
      <c r="F58" s="497"/>
      <c r="G58" s="10">
        <v>1</v>
      </c>
      <c r="H58" s="429"/>
      <c r="I58" s="562">
        <f t="shared" si="1"/>
        <v>0</v>
      </c>
    </row>
    <row r="59" spans="1:9" x14ac:dyDescent="0.35">
      <c r="A59" s="290" t="s">
        <v>1214</v>
      </c>
      <c r="B59" s="128" t="s">
        <v>573</v>
      </c>
      <c r="C59" s="315"/>
      <c r="D59" s="128"/>
      <c r="E59" s="128">
        <v>55719</v>
      </c>
      <c r="F59" s="497"/>
      <c r="G59" s="10">
        <v>1</v>
      </c>
      <c r="H59" s="410"/>
      <c r="I59" s="562">
        <f t="shared" si="1"/>
        <v>0</v>
      </c>
    </row>
    <row r="60" spans="1:9" x14ac:dyDescent="0.35">
      <c r="A60" s="625" t="s">
        <v>1288</v>
      </c>
      <c r="B60" s="128" t="s">
        <v>1614</v>
      </c>
      <c r="C60" s="315"/>
      <c r="D60" s="128"/>
      <c r="E60" s="128">
        <v>55719</v>
      </c>
      <c r="F60" s="497"/>
      <c r="G60" s="10">
        <v>1</v>
      </c>
      <c r="H60" s="410"/>
      <c r="I60" s="562">
        <f t="shared" si="1"/>
        <v>0</v>
      </c>
    </row>
    <row r="61" spans="1:9" ht="15" customHeight="1" x14ac:dyDescent="0.35">
      <c r="A61" s="290" t="s">
        <v>1020</v>
      </c>
      <c r="B61" s="128" t="s">
        <v>271</v>
      </c>
      <c r="C61" s="315"/>
      <c r="D61" s="128"/>
      <c r="E61" s="128">
        <v>55719</v>
      </c>
      <c r="F61" s="497"/>
      <c r="G61" s="10">
        <v>1</v>
      </c>
      <c r="H61" s="429"/>
      <c r="I61" s="562">
        <f t="shared" si="1"/>
        <v>0</v>
      </c>
    </row>
    <row r="62" spans="1:9" x14ac:dyDescent="0.35">
      <c r="A62" s="290" t="s">
        <v>33</v>
      </c>
      <c r="B62" s="128" t="s">
        <v>1565</v>
      </c>
      <c r="C62" s="315"/>
      <c r="D62" s="128"/>
      <c r="E62" s="128">
        <v>55719</v>
      </c>
      <c r="F62" s="497"/>
      <c r="G62" s="10">
        <v>1</v>
      </c>
      <c r="H62" s="429"/>
      <c r="I62" s="562">
        <f t="shared" si="1"/>
        <v>0</v>
      </c>
    </row>
    <row r="63" spans="1:9" x14ac:dyDescent="0.35">
      <c r="A63" s="621" t="s">
        <v>893</v>
      </c>
      <c r="B63" s="128" t="s">
        <v>149</v>
      </c>
      <c r="C63" s="315"/>
      <c r="D63" s="128"/>
      <c r="E63" s="128">
        <v>55719</v>
      </c>
      <c r="F63" s="497"/>
      <c r="G63" s="15">
        <v>2</v>
      </c>
      <c r="H63" s="429"/>
      <c r="I63" s="562">
        <f t="shared" si="1"/>
        <v>0</v>
      </c>
    </row>
    <row r="64" spans="1:9" x14ac:dyDescent="0.35">
      <c r="A64" s="621" t="s">
        <v>895</v>
      </c>
      <c r="B64" s="128" t="s">
        <v>357</v>
      </c>
      <c r="C64" s="315"/>
      <c r="D64" s="128"/>
      <c r="E64" s="128">
        <v>55719</v>
      </c>
      <c r="F64" s="497"/>
      <c r="G64" s="15">
        <v>2</v>
      </c>
      <c r="H64" s="429"/>
      <c r="I64" s="562">
        <f t="shared" si="1"/>
        <v>0</v>
      </c>
    </row>
    <row r="65" spans="1:12" x14ac:dyDescent="0.35">
      <c r="A65" s="618" t="s">
        <v>1075</v>
      </c>
      <c r="B65" s="128" t="s">
        <v>411</v>
      </c>
      <c r="C65" s="315"/>
      <c r="D65" s="128"/>
      <c r="E65" s="128">
        <v>55719</v>
      </c>
      <c r="F65" s="497"/>
      <c r="G65" s="15">
        <v>2</v>
      </c>
      <c r="H65" s="429"/>
      <c r="I65" s="562">
        <f t="shared" si="1"/>
        <v>0</v>
      </c>
    </row>
    <row r="66" spans="1:12" x14ac:dyDescent="0.35">
      <c r="A66" s="618" t="s">
        <v>1077</v>
      </c>
      <c r="B66" s="128" t="s">
        <v>266</v>
      </c>
      <c r="C66" s="315"/>
      <c r="D66" s="128"/>
      <c r="E66" s="128">
        <v>55719</v>
      </c>
      <c r="F66" s="497"/>
      <c r="G66" s="15">
        <v>2</v>
      </c>
      <c r="H66" s="429"/>
      <c r="I66" s="562">
        <f t="shared" ref="I66:I90" si="2">+G66*H66</f>
        <v>0</v>
      </c>
      <c r="J66" s="16" t="s">
        <v>1749</v>
      </c>
    </row>
    <row r="67" spans="1:12" ht="15" customHeight="1" x14ac:dyDescent="0.35">
      <c r="A67" s="290" t="s">
        <v>896</v>
      </c>
      <c r="B67" s="128" t="s">
        <v>272</v>
      </c>
      <c r="C67" s="315"/>
      <c r="D67" s="128"/>
      <c r="E67" s="128">
        <v>55719</v>
      </c>
      <c r="F67" s="497"/>
      <c r="G67" s="10">
        <v>1</v>
      </c>
      <c r="H67" s="429"/>
      <c r="I67" s="562">
        <f t="shared" si="2"/>
        <v>0</v>
      </c>
      <c r="L67" s="16" t="s">
        <v>1474</v>
      </c>
    </row>
    <row r="68" spans="1:12" x14ac:dyDescent="0.35">
      <c r="A68" s="290" t="s">
        <v>141</v>
      </c>
      <c r="B68" s="128" t="s">
        <v>668</v>
      </c>
      <c r="C68" s="315"/>
      <c r="D68" s="128"/>
      <c r="E68" s="128">
        <v>55719</v>
      </c>
      <c r="F68" s="497"/>
      <c r="G68" s="10">
        <v>1</v>
      </c>
      <c r="H68" s="429"/>
      <c r="I68" s="562">
        <f t="shared" si="2"/>
        <v>0</v>
      </c>
      <c r="L68" s="16" t="s">
        <v>1749</v>
      </c>
    </row>
    <row r="69" spans="1:12" x14ac:dyDescent="0.35">
      <c r="A69" s="618" t="s">
        <v>36</v>
      </c>
      <c r="B69" s="128" t="s">
        <v>37</v>
      </c>
      <c r="C69" s="315"/>
      <c r="D69" s="128"/>
      <c r="E69" s="128">
        <v>55719</v>
      </c>
      <c r="F69" s="497"/>
      <c r="G69" s="15">
        <v>1</v>
      </c>
      <c r="H69" s="429"/>
      <c r="I69" s="562">
        <f t="shared" si="2"/>
        <v>0</v>
      </c>
    </row>
    <row r="70" spans="1:12" x14ac:dyDescent="0.35">
      <c r="A70" s="290" t="s">
        <v>38</v>
      </c>
      <c r="B70" s="128" t="s">
        <v>200</v>
      </c>
      <c r="C70" s="315"/>
      <c r="D70" s="128"/>
      <c r="E70" s="128">
        <v>55719</v>
      </c>
      <c r="F70" s="497"/>
      <c r="G70" s="10">
        <v>1</v>
      </c>
      <c r="H70" s="410"/>
      <c r="I70" s="562">
        <f t="shared" si="2"/>
        <v>0</v>
      </c>
    </row>
    <row r="71" spans="1:12" ht="15" customHeight="1" x14ac:dyDescent="0.35">
      <c r="A71" s="290" t="s">
        <v>1435</v>
      </c>
      <c r="B71" s="128" t="s">
        <v>806</v>
      </c>
      <c r="C71" s="315"/>
      <c r="D71" s="128"/>
      <c r="E71" s="128">
        <v>55719</v>
      </c>
      <c r="F71" s="497"/>
      <c r="G71" s="15">
        <v>1</v>
      </c>
      <c r="H71" s="498"/>
      <c r="I71" s="562">
        <f t="shared" si="2"/>
        <v>0</v>
      </c>
    </row>
    <row r="72" spans="1:12" ht="15" customHeight="1" x14ac:dyDescent="0.35">
      <c r="A72" s="290" t="s">
        <v>1442</v>
      </c>
      <c r="B72" s="128" t="s">
        <v>808</v>
      </c>
      <c r="C72" s="315"/>
      <c r="D72" s="128"/>
      <c r="E72" s="128">
        <v>55719</v>
      </c>
      <c r="F72" s="497"/>
      <c r="G72" s="15">
        <v>1</v>
      </c>
      <c r="H72" s="498"/>
      <c r="I72" s="562">
        <f t="shared" si="2"/>
        <v>0</v>
      </c>
    </row>
    <row r="73" spans="1:12" ht="15" customHeight="1" x14ac:dyDescent="0.35">
      <c r="A73" s="290" t="s">
        <v>1312</v>
      </c>
      <c r="B73" s="128" t="s">
        <v>787</v>
      </c>
      <c r="C73" s="315"/>
      <c r="D73" s="128"/>
      <c r="E73" s="128">
        <v>55719</v>
      </c>
      <c r="F73" s="497"/>
      <c r="G73" s="10">
        <v>1</v>
      </c>
      <c r="H73" s="429"/>
      <c r="I73" s="562">
        <f t="shared" si="2"/>
        <v>0</v>
      </c>
    </row>
    <row r="74" spans="1:12" x14ac:dyDescent="0.35">
      <c r="A74" s="290" t="s">
        <v>1762</v>
      </c>
      <c r="B74" s="128" t="s">
        <v>113</v>
      </c>
      <c r="C74" s="315"/>
      <c r="D74" s="128"/>
      <c r="E74" s="128">
        <v>55719</v>
      </c>
      <c r="F74" s="497"/>
      <c r="G74" s="10">
        <v>1</v>
      </c>
      <c r="H74" s="429"/>
      <c r="I74" s="562">
        <f t="shared" si="2"/>
        <v>0</v>
      </c>
    </row>
    <row r="75" spans="1:12" x14ac:dyDescent="0.35">
      <c r="A75" s="290" t="s">
        <v>1008</v>
      </c>
      <c r="B75" s="128" t="s">
        <v>173</v>
      </c>
      <c r="C75" s="315"/>
      <c r="D75" s="128"/>
      <c r="E75" s="128">
        <v>55719</v>
      </c>
      <c r="F75" s="497"/>
      <c r="G75" s="10">
        <v>1</v>
      </c>
      <c r="H75" s="429"/>
      <c r="I75" s="562">
        <f t="shared" si="2"/>
        <v>0</v>
      </c>
    </row>
    <row r="76" spans="1:12" x14ac:dyDescent="0.35">
      <c r="A76" s="290" t="s">
        <v>146</v>
      </c>
      <c r="B76" s="128" t="s">
        <v>278</v>
      </c>
      <c r="C76" s="315"/>
      <c r="D76" s="128"/>
      <c r="E76" s="128">
        <v>55719</v>
      </c>
      <c r="F76" s="497"/>
      <c r="G76" s="10">
        <v>1</v>
      </c>
      <c r="H76" s="429"/>
      <c r="I76" s="562">
        <f t="shared" si="2"/>
        <v>0</v>
      </c>
    </row>
    <row r="77" spans="1:12" x14ac:dyDescent="0.35">
      <c r="A77" s="290" t="s">
        <v>1759</v>
      </c>
      <c r="B77" s="128" t="s">
        <v>280</v>
      </c>
      <c r="C77" s="315"/>
      <c r="D77" s="128"/>
      <c r="E77" s="128">
        <v>55719</v>
      </c>
      <c r="F77" s="497"/>
      <c r="G77" s="10">
        <v>1</v>
      </c>
      <c r="H77" s="429"/>
      <c r="I77" s="562">
        <f t="shared" si="2"/>
        <v>0</v>
      </c>
    </row>
    <row r="78" spans="1:12" x14ac:dyDescent="0.35">
      <c r="A78" s="290" t="s">
        <v>899</v>
      </c>
      <c r="B78" s="128" t="s">
        <v>281</v>
      </c>
      <c r="C78" s="315"/>
      <c r="D78" s="128"/>
      <c r="E78" s="128">
        <v>55719</v>
      </c>
      <c r="F78" s="497"/>
      <c r="G78" s="10">
        <v>1</v>
      </c>
      <c r="H78" s="429"/>
      <c r="I78" s="562">
        <f t="shared" si="2"/>
        <v>0</v>
      </c>
    </row>
    <row r="79" spans="1:12" x14ac:dyDescent="0.35">
      <c r="A79" s="290" t="s">
        <v>1011</v>
      </c>
      <c r="B79" s="128" t="s">
        <v>282</v>
      </c>
      <c r="C79" s="315"/>
      <c r="D79" s="128"/>
      <c r="E79" s="128">
        <v>55719</v>
      </c>
      <c r="F79" s="497"/>
      <c r="G79" s="10">
        <v>1</v>
      </c>
      <c r="H79" s="429"/>
      <c r="I79" s="562">
        <f t="shared" si="2"/>
        <v>0</v>
      </c>
    </row>
    <row r="80" spans="1:12" x14ac:dyDescent="0.35">
      <c r="A80" s="290" t="s">
        <v>1013</v>
      </c>
      <c r="B80" s="128" t="s">
        <v>283</v>
      </c>
      <c r="C80" s="315"/>
      <c r="D80" s="128"/>
      <c r="E80" s="128">
        <v>55719</v>
      </c>
      <c r="F80" s="497"/>
      <c r="G80" s="252">
        <v>1</v>
      </c>
      <c r="H80" s="429"/>
      <c r="I80" s="562">
        <f t="shared" si="2"/>
        <v>0</v>
      </c>
    </row>
    <row r="81" spans="1:9" x14ac:dyDescent="0.35">
      <c r="A81" s="290" t="s">
        <v>2334</v>
      </c>
      <c r="B81" s="128" t="s">
        <v>284</v>
      </c>
      <c r="C81" s="315"/>
      <c r="D81" s="128"/>
      <c r="E81" s="128">
        <v>55719</v>
      </c>
      <c r="F81" s="497"/>
      <c r="G81" s="10">
        <v>1</v>
      </c>
      <c r="H81" s="410"/>
      <c r="I81" s="562">
        <f t="shared" si="2"/>
        <v>0</v>
      </c>
    </row>
    <row r="82" spans="1:9" x14ac:dyDescent="0.35">
      <c r="A82" s="620" t="s">
        <v>1014</v>
      </c>
      <c r="B82" s="30" t="s">
        <v>314</v>
      </c>
      <c r="C82" s="315"/>
      <c r="D82" s="128"/>
      <c r="E82" s="128">
        <v>55719</v>
      </c>
      <c r="F82" s="497"/>
      <c r="G82" s="10">
        <v>1</v>
      </c>
      <c r="H82" s="429"/>
      <c r="I82" s="562">
        <f t="shared" si="2"/>
        <v>0</v>
      </c>
    </row>
    <row r="83" spans="1:9" x14ac:dyDescent="0.35">
      <c r="A83" s="290" t="s">
        <v>1030</v>
      </c>
      <c r="B83" s="128" t="s">
        <v>306</v>
      </c>
      <c r="C83" s="315"/>
      <c r="D83" s="128"/>
      <c r="E83" s="128">
        <v>55719</v>
      </c>
      <c r="F83" s="497"/>
      <c r="G83" s="252">
        <v>1</v>
      </c>
      <c r="H83" s="498"/>
      <c r="I83" s="562">
        <f t="shared" si="2"/>
        <v>0</v>
      </c>
    </row>
    <row r="84" spans="1:9" x14ac:dyDescent="0.35">
      <c r="A84" s="290" t="s">
        <v>900</v>
      </c>
      <c r="B84" s="128" t="s">
        <v>301</v>
      </c>
      <c r="C84" s="315"/>
      <c r="D84" s="128"/>
      <c r="E84" s="128">
        <v>55719</v>
      </c>
      <c r="F84" s="497"/>
      <c r="G84" s="10">
        <v>1</v>
      </c>
      <c r="H84" s="429"/>
      <c r="I84" s="562">
        <f t="shared" si="2"/>
        <v>0</v>
      </c>
    </row>
    <row r="85" spans="1:9" x14ac:dyDescent="0.35">
      <c r="A85" s="290" t="s">
        <v>2588</v>
      </c>
      <c r="B85" s="128" t="s">
        <v>273</v>
      </c>
      <c r="C85" s="315"/>
      <c r="D85" s="128"/>
      <c r="E85" s="128">
        <v>55719</v>
      </c>
      <c r="F85" s="497"/>
      <c r="G85" s="10">
        <v>1</v>
      </c>
      <c r="H85" s="429"/>
      <c r="I85" s="562">
        <f t="shared" si="2"/>
        <v>0</v>
      </c>
    </row>
    <row r="86" spans="1:9" ht="15" customHeight="1" x14ac:dyDescent="0.35">
      <c r="A86" s="290" t="s">
        <v>1082</v>
      </c>
      <c r="B86" s="128" t="s">
        <v>274</v>
      </c>
      <c r="C86" s="315"/>
      <c r="D86" s="128"/>
      <c r="E86" s="128">
        <v>55719</v>
      </c>
      <c r="F86" s="497"/>
      <c r="G86" s="10">
        <v>1</v>
      </c>
      <c r="H86" s="429"/>
      <c r="I86" s="562">
        <f t="shared" si="2"/>
        <v>0</v>
      </c>
    </row>
    <row r="87" spans="1:9" ht="15" customHeight="1" x14ac:dyDescent="0.35">
      <c r="A87" s="290" t="s">
        <v>1081</v>
      </c>
      <c r="B87" s="128" t="s">
        <v>276</v>
      </c>
      <c r="C87" s="315"/>
      <c r="D87" s="128"/>
      <c r="E87" s="128">
        <v>55719</v>
      </c>
      <c r="F87" s="497"/>
      <c r="G87" s="10">
        <v>1</v>
      </c>
      <c r="H87" s="429"/>
      <c r="I87" s="562">
        <f t="shared" si="2"/>
        <v>0</v>
      </c>
    </row>
    <row r="88" spans="1:9" x14ac:dyDescent="0.35">
      <c r="A88" s="626" t="s">
        <v>1443</v>
      </c>
      <c r="B88" s="128" t="s">
        <v>474</v>
      </c>
      <c r="C88" s="315"/>
      <c r="D88" s="128"/>
      <c r="E88" s="128">
        <v>55719</v>
      </c>
      <c r="F88" s="497"/>
      <c r="G88" s="10">
        <v>1</v>
      </c>
      <c r="H88" s="429"/>
      <c r="I88" s="562">
        <f t="shared" si="2"/>
        <v>0</v>
      </c>
    </row>
    <row r="89" spans="1:9" x14ac:dyDescent="0.35">
      <c r="A89" s="290" t="s">
        <v>1289</v>
      </c>
      <c r="B89" s="128" t="s">
        <v>574</v>
      </c>
      <c r="C89" s="315"/>
      <c r="D89" s="128"/>
      <c r="E89" s="128">
        <v>55719</v>
      </c>
      <c r="F89" s="497"/>
      <c r="G89" s="10">
        <v>1</v>
      </c>
      <c r="H89" s="429"/>
      <c r="I89" s="562">
        <f t="shared" si="2"/>
        <v>0</v>
      </c>
    </row>
    <row r="90" spans="1:9" x14ac:dyDescent="0.35">
      <c r="A90" s="618" t="s">
        <v>2548</v>
      </c>
      <c r="B90" s="128" t="s">
        <v>208</v>
      </c>
      <c r="C90" s="315"/>
      <c r="D90" s="128"/>
      <c r="E90" s="128">
        <v>55719</v>
      </c>
      <c r="F90" s="497"/>
      <c r="G90" s="252">
        <v>1</v>
      </c>
      <c r="H90" s="429"/>
      <c r="I90" s="562">
        <f t="shared" si="2"/>
        <v>0</v>
      </c>
    </row>
    <row r="93" spans="1:9" s="4" customFormat="1" ht="17.5" x14ac:dyDescent="0.35">
      <c r="A93" s="309" t="s">
        <v>1524</v>
      </c>
      <c r="B93" s="312"/>
      <c r="C93" s="249"/>
      <c r="D93" s="3"/>
      <c r="E93" s="3"/>
      <c r="F93" s="249"/>
      <c r="G93" s="3"/>
      <c r="H93" s="396"/>
      <c r="I93" s="406"/>
    </row>
    <row r="94" spans="1:9" s="4" customFormat="1" ht="17.5" x14ac:dyDescent="0.35">
      <c r="A94" s="309" t="s">
        <v>2387</v>
      </c>
      <c r="B94" s="312"/>
      <c r="C94" s="249"/>
      <c r="F94" s="248"/>
      <c r="G94" s="3"/>
      <c r="H94" s="396"/>
      <c r="I94" s="406"/>
    </row>
    <row r="95" spans="1:9" ht="17.5" x14ac:dyDescent="0.35">
      <c r="A95" s="367" t="s">
        <v>2664</v>
      </c>
      <c r="B95" s="252"/>
    </row>
    <row r="96" spans="1:9" ht="17.5" x14ac:dyDescent="0.35">
      <c r="A96" s="334" t="s">
        <v>2694</v>
      </c>
      <c r="B96" s="456" t="e">
        <f>+#REF!</f>
        <v>#REF!</v>
      </c>
    </row>
  </sheetData>
  <sortState xmlns:xlrd2="http://schemas.microsoft.com/office/spreadsheetml/2017/richdata2" ref="A3:G90">
    <sortCondition ref="B3:B90"/>
  </sortState>
  <pageMargins left="0.5" right="0.5" top="0.5" bottom="0.5" header="0.3" footer="0.3"/>
  <pageSetup scale="75" orientation="landscape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2"/>
  <sheetViews>
    <sheetView workbookViewId="0">
      <pane ySplit="1" topLeftCell="A2" activePane="bottomLeft" state="frozen"/>
      <selection activeCell="C26" sqref="C26"/>
      <selection pane="bottomLeft" activeCell="A2" sqref="A2:XFD2"/>
    </sheetView>
  </sheetViews>
  <sheetFormatPr defaultColWidth="9.08984375" defaultRowHeight="15.5" x14ac:dyDescent="0.35"/>
  <cols>
    <col min="1" max="1" width="63.90625" style="106" bestFit="1" customWidth="1"/>
    <col min="2" max="2" width="16.36328125" style="106" bestFit="1" customWidth="1"/>
    <col min="3" max="3" width="21.1796875" style="206" customWidth="1"/>
    <col min="4" max="4" width="21.81640625" style="106" customWidth="1"/>
    <col min="5" max="5" width="14.36328125" style="106" customWidth="1"/>
    <col min="6" max="6" width="16.453125" style="206" customWidth="1"/>
    <col min="7" max="7" width="11.90625" style="106" customWidth="1"/>
    <col min="8" max="8" width="13.08984375" style="386" customWidth="1"/>
    <col min="9" max="9" width="18.6328125" style="386" customWidth="1"/>
    <col min="10" max="10" width="17.08984375" style="106" bestFit="1" customWidth="1"/>
    <col min="11" max="16384" width="9.08984375" style="106"/>
  </cols>
  <sheetData>
    <row r="1" spans="1:9" x14ac:dyDescent="0.35">
      <c r="A1" s="627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81" t="s">
        <v>2699</v>
      </c>
      <c r="G1" s="103" t="s">
        <v>364</v>
      </c>
      <c r="H1" s="393" t="s">
        <v>2695</v>
      </c>
      <c r="I1" s="404" t="s">
        <v>2696</v>
      </c>
    </row>
    <row r="2" spans="1:9" x14ac:dyDescent="0.35">
      <c r="A2" s="223" t="s">
        <v>408</v>
      </c>
      <c r="B2" s="102" t="s">
        <v>1562</v>
      </c>
      <c r="C2" s="315"/>
      <c r="D2" s="102"/>
      <c r="E2" s="102">
        <v>55719</v>
      </c>
      <c r="F2" s="361"/>
      <c r="G2" s="102">
        <v>1</v>
      </c>
      <c r="H2" s="500"/>
      <c r="I2" s="419">
        <f t="shared" ref="I2:I15" si="0">+G2*H2</f>
        <v>0</v>
      </c>
    </row>
    <row r="3" spans="1:9" x14ac:dyDescent="0.35">
      <c r="A3" s="223" t="s">
        <v>16</v>
      </c>
      <c r="B3" s="102" t="s">
        <v>360</v>
      </c>
      <c r="C3" s="315"/>
      <c r="D3" s="102"/>
      <c r="E3" s="102">
        <v>55719</v>
      </c>
      <c r="F3" s="361"/>
      <c r="G3" s="102">
        <v>1</v>
      </c>
      <c r="H3" s="500"/>
      <c r="I3" s="419">
        <f t="shared" si="0"/>
        <v>0</v>
      </c>
    </row>
    <row r="4" spans="1:9" x14ac:dyDescent="0.35">
      <c r="A4" s="223" t="s">
        <v>46</v>
      </c>
      <c r="B4" s="102" t="s">
        <v>207</v>
      </c>
      <c r="C4" s="315"/>
      <c r="D4" s="102"/>
      <c r="E4" s="102">
        <v>55719</v>
      </c>
      <c r="F4" s="361"/>
      <c r="G4" s="102">
        <v>5</v>
      </c>
      <c r="H4" s="500"/>
      <c r="I4" s="419">
        <f t="shared" si="0"/>
        <v>0</v>
      </c>
    </row>
    <row r="5" spans="1:9" x14ac:dyDescent="0.35">
      <c r="A5" s="223" t="s">
        <v>935</v>
      </c>
      <c r="B5" s="102" t="s">
        <v>359</v>
      </c>
      <c r="C5" s="315"/>
      <c r="D5" s="102"/>
      <c r="E5" s="102">
        <v>55719</v>
      </c>
      <c r="F5" s="361"/>
      <c r="G5" s="102">
        <v>5</v>
      </c>
      <c r="H5" s="500"/>
      <c r="I5" s="419">
        <f t="shared" si="0"/>
        <v>0</v>
      </c>
    </row>
    <row r="6" spans="1:9" x14ac:dyDescent="0.35">
      <c r="A6" s="223" t="s">
        <v>936</v>
      </c>
      <c r="B6" s="102" t="s">
        <v>185</v>
      </c>
      <c r="C6" s="315"/>
      <c r="D6" s="102"/>
      <c r="E6" s="102">
        <v>55719</v>
      </c>
      <c r="F6" s="361"/>
      <c r="G6" s="102">
        <v>2</v>
      </c>
      <c r="H6" s="500"/>
      <c r="I6" s="419">
        <f t="shared" si="0"/>
        <v>0</v>
      </c>
    </row>
    <row r="7" spans="1:9" x14ac:dyDescent="0.35">
      <c r="A7" s="223" t="s">
        <v>6</v>
      </c>
      <c r="B7" s="102" t="s">
        <v>87</v>
      </c>
      <c r="C7" s="315"/>
      <c r="D7" s="102"/>
      <c r="E7" s="102">
        <v>55719</v>
      </c>
      <c r="F7" s="361"/>
      <c r="G7" s="102">
        <v>5</v>
      </c>
      <c r="H7" s="500"/>
      <c r="I7" s="419">
        <f t="shared" si="0"/>
        <v>0</v>
      </c>
    </row>
    <row r="8" spans="1:9" x14ac:dyDescent="0.35">
      <c r="A8" s="223" t="s">
        <v>718</v>
      </c>
      <c r="B8" s="102" t="s">
        <v>1618</v>
      </c>
      <c r="C8" s="315"/>
      <c r="D8" s="102"/>
      <c r="E8" s="102">
        <v>55719</v>
      </c>
      <c r="F8" s="361"/>
      <c r="G8" s="102">
        <v>1</v>
      </c>
      <c r="H8" s="500"/>
      <c r="I8" s="419">
        <f t="shared" si="0"/>
        <v>0</v>
      </c>
    </row>
    <row r="9" spans="1:9" x14ac:dyDescent="0.35">
      <c r="A9" s="223" t="s">
        <v>159</v>
      </c>
      <c r="B9" s="102" t="s">
        <v>427</v>
      </c>
      <c r="C9" s="315"/>
      <c r="D9" s="102"/>
      <c r="E9" s="102">
        <v>55719</v>
      </c>
      <c r="F9" s="361"/>
      <c r="G9" s="102">
        <v>1</v>
      </c>
      <c r="H9" s="500"/>
      <c r="I9" s="419">
        <f t="shared" si="0"/>
        <v>0</v>
      </c>
    </row>
    <row r="10" spans="1:9" x14ac:dyDescent="0.35">
      <c r="A10" s="223" t="s">
        <v>2597</v>
      </c>
      <c r="B10" s="102" t="s">
        <v>428</v>
      </c>
      <c r="C10" s="315"/>
      <c r="D10" s="102"/>
      <c r="E10" s="102">
        <v>55719</v>
      </c>
      <c r="F10" s="361"/>
      <c r="G10" s="102">
        <v>1</v>
      </c>
      <c r="H10" s="500"/>
      <c r="I10" s="419">
        <f t="shared" si="0"/>
        <v>0</v>
      </c>
    </row>
    <row r="11" spans="1:9" x14ac:dyDescent="0.35">
      <c r="A11" s="223" t="s">
        <v>181</v>
      </c>
      <c r="B11" s="102" t="s">
        <v>182</v>
      </c>
      <c r="C11" s="315"/>
      <c r="D11" s="102"/>
      <c r="E11" s="102">
        <v>55719</v>
      </c>
      <c r="F11" s="361"/>
      <c r="G11" s="102">
        <v>1</v>
      </c>
      <c r="H11" s="500"/>
      <c r="I11" s="419">
        <f t="shared" si="0"/>
        <v>0</v>
      </c>
    </row>
    <row r="12" spans="1:9" x14ac:dyDescent="0.35">
      <c r="A12" s="223" t="s">
        <v>1099</v>
      </c>
      <c r="B12" s="102" t="s">
        <v>426</v>
      </c>
      <c r="C12" s="315"/>
      <c r="D12" s="102"/>
      <c r="E12" s="102">
        <v>55719</v>
      </c>
      <c r="F12" s="361"/>
      <c r="G12" s="102">
        <v>1</v>
      </c>
      <c r="H12" s="500"/>
      <c r="I12" s="419">
        <f t="shared" si="0"/>
        <v>0</v>
      </c>
    </row>
    <row r="13" spans="1:9" x14ac:dyDescent="0.35">
      <c r="A13" s="223" t="s">
        <v>2360</v>
      </c>
      <c r="B13" s="102" t="s">
        <v>358</v>
      </c>
      <c r="C13" s="315"/>
      <c r="D13" s="102"/>
      <c r="E13" s="102">
        <v>55719</v>
      </c>
      <c r="F13" s="361"/>
      <c r="G13" s="102">
        <v>5</v>
      </c>
      <c r="H13" s="500"/>
      <c r="I13" s="419">
        <f t="shared" si="0"/>
        <v>0</v>
      </c>
    </row>
    <row r="14" spans="1:9" x14ac:dyDescent="0.35">
      <c r="A14" s="223" t="s">
        <v>2361</v>
      </c>
      <c r="B14" s="102" t="s">
        <v>196</v>
      </c>
      <c r="C14" s="315"/>
      <c r="D14" s="102"/>
      <c r="E14" s="102">
        <v>55719</v>
      </c>
      <c r="F14" s="361"/>
      <c r="G14" s="102">
        <v>5</v>
      </c>
      <c r="H14" s="500"/>
      <c r="I14" s="419">
        <f t="shared" si="0"/>
        <v>0</v>
      </c>
    </row>
    <row r="15" spans="1:9" x14ac:dyDescent="0.35">
      <c r="A15" s="223" t="s">
        <v>13</v>
      </c>
      <c r="B15" s="102" t="s">
        <v>420</v>
      </c>
      <c r="C15" s="315"/>
      <c r="D15" s="102"/>
      <c r="E15" s="102">
        <v>55719</v>
      </c>
      <c r="F15" s="361"/>
      <c r="G15" s="102">
        <v>1</v>
      </c>
      <c r="H15" s="500"/>
      <c r="I15" s="419">
        <f t="shared" si="0"/>
        <v>0</v>
      </c>
    </row>
    <row r="16" spans="1:9" x14ac:dyDescent="0.35">
      <c r="H16" s="415"/>
      <c r="I16" s="386">
        <f>SUM(I2:I15)</f>
        <v>0</v>
      </c>
    </row>
    <row r="17" spans="1:9" x14ac:dyDescent="0.35">
      <c r="H17" s="415"/>
    </row>
    <row r="18" spans="1:9" x14ac:dyDescent="0.35">
      <c r="H18" s="415"/>
    </row>
    <row r="19" spans="1:9" s="4" customFormat="1" ht="17.5" x14ac:dyDescent="0.35">
      <c r="A19" s="309" t="s">
        <v>1533</v>
      </c>
      <c r="B19" s="312"/>
      <c r="C19" s="249"/>
      <c r="D19" s="3"/>
      <c r="E19" s="3"/>
      <c r="F19" s="249"/>
      <c r="G19" s="3"/>
      <c r="H19" s="396"/>
      <c r="I19" s="406"/>
    </row>
    <row r="20" spans="1:9" s="4" customFormat="1" ht="17.5" x14ac:dyDescent="0.35">
      <c r="A20" s="309" t="s">
        <v>2388</v>
      </c>
      <c r="B20" s="312"/>
      <c r="C20" s="249"/>
      <c r="D20" s="3"/>
      <c r="E20" s="3"/>
      <c r="F20" s="249"/>
      <c r="G20" s="3"/>
      <c r="H20" s="396"/>
      <c r="I20" s="406"/>
    </row>
    <row r="21" spans="1:9" ht="17.5" x14ac:dyDescent="0.35">
      <c r="A21" s="367" t="s">
        <v>2663</v>
      </c>
      <c r="B21" s="202"/>
      <c r="H21" s="415"/>
    </row>
    <row r="22" spans="1:9" ht="17.5" x14ac:dyDescent="0.35">
      <c r="A22" s="334" t="s">
        <v>2694</v>
      </c>
      <c r="B22" s="456">
        <f>+I16</f>
        <v>0</v>
      </c>
      <c r="H22" s="415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46"/>
  <sheetViews>
    <sheetView zoomScale="115" zoomScaleNormal="115" workbookViewId="0">
      <pane ySplit="1" topLeftCell="A2" activePane="bottomLeft" state="frozen"/>
      <selection activeCell="C26" sqref="C26"/>
      <selection pane="bottomLeft" activeCell="M22" sqref="M22"/>
    </sheetView>
  </sheetViews>
  <sheetFormatPr defaultColWidth="9.08984375" defaultRowHeight="15.5" x14ac:dyDescent="0.35"/>
  <cols>
    <col min="1" max="1" width="51.6328125" style="141" bestFit="1" customWidth="1"/>
    <col min="2" max="2" width="16.453125" style="144" bestFit="1" customWidth="1"/>
    <col min="3" max="3" width="21.1796875" style="144" customWidth="1"/>
    <col min="4" max="4" width="21.81640625" style="144" customWidth="1"/>
    <col min="5" max="5" width="14.36328125" style="144" customWidth="1"/>
    <col min="6" max="6" width="16.453125" style="144" customWidth="1"/>
    <col min="7" max="7" width="11.90625" style="144" customWidth="1"/>
    <col min="8" max="8" width="13.08984375" style="502" customWidth="1"/>
    <col min="9" max="9" width="18.6328125" style="503" customWidth="1"/>
    <col min="10" max="16384" width="9.08984375" style="141"/>
  </cols>
  <sheetData>
    <row r="1" spans="1:9" x14ac:dyDescent="0.35">
      <c r="A1" s="237" t="s">
        <v>0</v>
      </c>
      <c r="B1" s="261" t="s">
        <v>1</v>
      </c>
      <c r="C1" s="610" t="s">
        <v>2700</v>
      </c>
      <c r="D1" s="261" t="s">
        <v>1598</v>
      </c>
      <c r="E1" s="261" t="s">
        <v>1599</v>
      </c>
      <c r="F1" s="610" t="s">
        <v>2699</v>
      </c>
      <c r="G1" s="191" t="s">
        <v>364</v>
      </c>
      <c r="H1" s="611" t="s">
        <v>2695</v>
      </c>
      <c r="I1" s="612" t="s">
        <v>2696</v>
      </c>
    </row>
    <row r="2" spans="1:9" x14ac:dyDescent="0.35">
      <c r="A2" s="223" t="s">
        <v>990</v>
      </c>
      <c r="B2" s="115" t="s">
        <v>1677</v>
      </c>
      <c r="C2" s="315"/>
      <c r="D2" s="24"/>
      <c r="E2" s="24">
        <v>55719</v>
      </c>
      <c r="F2" s="384"/>
      <c r="G2" s="43">
        <v>1</v>
      </c>
      <c r="H2" s="501"/>
      <c r="I2" s="569">
        <f t="shared" ref="I2:I40" si="0">+G2*H2</f>
        <v>0</v>
      </c>
    </row>
    <row r="3" spans="1:9" x14ac:dyDescent="0.35">
      <c r="A3" s="223" t="s">
        <v>1308</v>
      </c>
      <c r="B3" s="115" t="s">
        <v>1675</v>
      </c>
      <c r="C3" s="315"/>
      <c r="D3" s="24"/>
      <c r="E3" s="24">
        <v>55719</v>
      </c>
      <c r="F3" s="384"/>
      <c r="G3" s="43">
        <v>1</v>
      </c>
      <c r="H3" s="501"/>
      <c r="I3" s="569">
        <f t="shared" si="0"/>
        <v>0</v>
      </c>
    </row>
    <row r="4" spans="1:9" x14ac:dyDescent="0.35">
      <c r="A4" s="223" t="s">
        <v>883</v>
      </c>
      <c r="B4" s="115" t="s">
        <v>235</v>
      </c>
      <c r="C4" s="315"/>
      <c r="D4" s="24"/>
      <c r="E4" s="24">
        <v>55719</v>
      </c>
      <c r="F4" s="384"/>
      <c r="G4" s="43">
        <v>1</v>
      </c>
      <c r="H4" s="501"/>
      <c r="I4" s="569">
        <f t="shared" si="0"/>
        <v>0</v>
      </c>
    </row>
    <row r="5" spans="1:9" x14ac:dyDescent="0.35">
      <c r="A5" s="223" t="s">
        <v>6</v>
      </c>
      <c r="B5" s="115" t="s">
        <v>87</v>
      </c>
      <c r="C5" s="315"/>
      <c r="D5" s="24"/>
      <c r="E5" s="24">
        <v>55719</v>
      </c>
      <c r="F5" s="384"/>
      <c r="G5" s="43">
        <v>1</v>
      </c>
      <c r="H5" s="501"/>
      <c r="I5" s="569">
        <f t="shared" si="0"/>
        <v>0</v>
      </c>
    </row>
    <row r="6" spans="1:9" x14ac:dyDescent="0.35">
      <c r="A6" s="223" t="s">
        <v>174</v>
      </c>
      <c r="B6" s="115" t="s">
        <v>215</v>
      </c>
      <c r="C6" s="315"/>
      <c r="D6" s="24"/>
      <c r="E6" s="24">
        <v>55719</v>
      </c>
      <c r="F6" s="384"/>
      <c r="G6" s="43">
        <v>1</v>
      </c>
      <c r="H6" s="501"/>
      <c r="I6" s="569">
        <f t="shared" si="0"/>
        <v>0</v>
      </c>
    </row>
    <row r="7" spans="1:9" x14ac:dyDescent="0.35">
      <c r="A7" s="223" t="s">
        <v>43</v>
      </c>
      <c r="B7" s="115" t="s">
        <v>765</v>
      </c>
      <c r="C7" s="315"/>
      <c r="D7" s="24"/>
      <c r="E7" s="24">
        <v>55719</v>
      </c>
      <c r="F7" s="384"/>
      <c r="G7" s="43">
        <v>1</v>
      </c>
      <c r="H7" s="501"/>
      <c r="I7" s="569">
        <f t="shared" si="0"/>
        <v>0</v>
      </c>
    </row>
    <row r="8" spans="1:9" x14ac:dyDescent="0.35">
      <c r="A8" s="223" t="s">
        <v>3</v>
      </c>
      <c r="B8" s="115" t="s">
        <v>414</v>
      </c>
      <c r="C8" s="315"/>
      <c r="D8" s="24"/>
      <c r="E8" s="24">
        <v>55719</v>
      </c>
      <c r="F8" s="384"/>
      <c r="G8" s="43">
        <v>1</v>
      </c>
      <c r="H8" s="501"/>
      <c r="I8" s="569">
        <f t="shared" si="0"/>
        <v>0</v>
      </c>
    </row>
    <row r="9" spans="1:9" x14ac:dyDescent="0.35">
      <c r="A9" s="223" t="s">
        <v>1288</v>
      </c>
      <c r="B9" s="115" t="s">
        <v>1614</v>
      </c>
      <c r="C9" s="315"/>
      <c r="D9" s="24"/>
      <c r="E9" s="24">
        <v>55719</v>
      </c>
      <c r="F9" s="384"/>
      <c r="G9" s="43">
        <v>1</v>
      </c>
      <c r="H9" s="501"/>
      <c r="I9" s="569">
        <f t="shared" si="0"/>
        <v>0</v>
      </c>
    </row>
    <row r="10" spans="1:9" x14ac:dyDescent="0.35">
      <c r="A10" s="223" t="s">
        <v>981</v>
      </c>
      <c r="B10" s="115" t="s">
        <v>1681</v>
      </c>
      <c r="C10" s="315"/>
      <c r="D10" s="24"/>
      <c r="E10" s="24">
        <v>55719</v>
      </c>
      <c r="F10" s="384"/>
      <c r="G10" s="43">
        <v>1</v>
      </c>
      <c r="H10" s="501"/>
      <c r="I10" s="569">
        <f t="shared" si="0"/>
        <v>0</v>
      </c>
    </row>
    <row r="11" spans="1:9" x14ac:dyDescent="0.35">
      <c r="A11" s="223" t="s">
        <v>1011</v>
      </c>
      <c r="B11" s="115" t="s">
        <v>282</v>
      </c>
      <c r="C11" s="315"/>
      <c r="D11" s="24"/>
      <c r="E11" s="24">
        <v>55719</v>
      </c>
      <c r="F11" s="384"/>
      <c r="G11" s="43">
        <v>1</v>
      </c>
      <c r="H11" s="501"/>
      <c r="I11" s="569">
        <f t="shared" si="0"/>
        <v>0</v>
      </c>
    </row>
    <row r="12" spans="1:9" x14ac:dyDescent="0.35">
      <c r="A12" s="223" t="s">
        <v>1007</v>
      </c>
      <c r="B12" s="115" t="s">
        <v>313</v>
      </c>
      <c r="C12" s="315"/>
      <c r="D12" s="24"/>
      <c r="E12" s="24">
        <v>55719</v>
      </c>
      <c r="F12" s="384"/>
      <c r="G12" s="43">
        <v>1</v>
      </c>
      <c r="H12" s="501"/>
      <c r="I12" s="569">
        <f t="shared" si="0"/>
        <v>0</v>
      </c>
    </row>
    <row r="13" spans="1:9" x14ac:dyDescent="0.35">
      <c r="A13" s="223" t="s">
        <v>1014</v>
      </c>
      <c r="B13" s="115" t="s">
        <v>314</v>
      </c>
      <c r="C13" s="315"/>
      <c r="D13" s="24"/>
      <c r="E13" s="24">
        <v>55719</v>
      </c>
      <c r="F13" s="384"/>
      <c r="G13" s="43">
        <v>2</v>
      </c>
      <c r="H13" s="501"/>
      <c r="I13" s="569">
        <f t="shared" si="0"/>
        <v>0</v>
      </c>
    </row>
    <row r="14" spans="1:9" x14ac:dyDescent="0.35">
      <c r="A14" s="223" t="s">
        <v>899</v>
      </c>
      <c r="B14" s="115" t="s">
        <v>281</v>
      </c>
      <c r="C14" s="315"/>
      <c r="D14" s="24"/>
      <c r="E14" s="24">
        <v>55719</v>
      </c>
      <c r="F14" s="384"/>
      <c r="G14" s="43">
        <v>1</v>
      </c>
      <c r="H14" s="501"/>
      <c r="I14" s="569">
        <f t="shared" si="0"/>
        <v>0</v>
      </c>
    </row>
    <row r="15" spans="1:9" x14ac:dyDescent="0.35">
      <c r="A15" s="223" t="s">
        <v>2344</v>
      </c>
      <c r="B15" s="115" t="s">
        <v>279</v>
      </c>
      <c r="C15" s="315"/>
      <c r="D15" s="24"/>
      <c r="E15" s="24">
        <v>55719</v>
      </c>
      <c r="F15" s="384"/>
      <c r="G15" s="43">
        <v>1</v>
      </c>
      <c r="H15" s="501"/>
      <c r="I15" s="569">
        <f t="shared" si="0"/>
        <v>0</v>
      </c>
    </row>
    <row r="16" spans="1:9" x14ac:dyDescent="0.35">
      <c r="A16" s="223" t="s">
        <v>885</v>
      </c>
      <c r="B16" s="115" t="s">
        <v>229</v>
      </c>
      <c r="C16" s="315"/>
      <c r="D16" s="24"/>
      <c r="E16" s="24">
        <v>55719</v>
      </c>
      <c r="F16" s="384"/>
      <c r="G16" s="43">
        <v>1</v>
      </c>
      <c r="H16" s="501"/>
      <c r="I16" s="569">
        <f t="shared" si="0"/>
        <v>0</v>
      </c>
    </row>
    <row r="17" spans="1:9" x14ac:dyDescent="0.35">
      <c r="A17" s="223" t="s">
        <v>1368</v>
      </c>
      <c r="B17" s="115" t="s">
        <v>499</v>
      </c>
      <c r="C17" s="315"/>
      <c r="D17" s="24"/>
      <c r="E17" s="24">
        <v>55719</v>
      </c>
      <c r="F17" s="384"/>
      <c r="G17" s="43">
        <v>2</v>
      </c>
      <c r="H17" s="501"/>
      <c r="I17" s="569">
        <f t="shared" si="0"/>
        <v>0</v>
      </c>
    </row>
    <row r="18" spans="1:9" x14ac:dyDescent="0.35">
      <c r="A18" s="223" t="s">
        <v>1110</v>
      </c>
      <c r="B18" s="115" t="s">
        <v>422</v>
      </c>
      <c r="C18" s="315"/>
      <c r="D18" s="24"/>
      <c r="E18" s="24">
        <v>55719</v>
      </c>
      <c r="F18" s="384"/>
      <c r="G18" s="43">
        <v>1</v>
      </c>
      <c r="H18" s="501"/>
      <c r="I18" s="569">
        <f t="shared" si="0"/>
        <v>0</v>
      </c>
    </row>
    <row r="19" spans="1:9" x14ac:dyDescent="0.35">
      <c r="A19" s="223" t="s">
        <v>930</v>
      </c>
      <c r="B19" s="115" t="s">
        <v>88</v>
      </c>
      <c r="C19" s="315"/>
      <c r="D19" s="24"/>
      <c r="E19" s="24">
        <v>55719</v>
      </c>
      <c r="F19" s="384"/>
      <c r="G19" s="43">
        <v>1</v>
      </c>
      <c r="H19" s="501"/>
      <c r="I19" s="569">
        <f t="shared" si="0"/>
        <v>0</v>
      </c>
    </row>
    <row r="20" spans="1:9" x14ac:dyDescent="0.35">
      <c r="A20" s="223" t="s">
        <v>1055</v>
      </c>
      <c r="B20" s="115" t="s">
        <v>531</v>
      </c>
      <c r="C20" s="315"/>
      <c r="D20" s="24"/>
      <c r="E20" s="24">
        <v>55719</v>
      </c>
      <c r="F20" s="384"/>
      <c r="G20" s="43">
        <v>1</v>
      </c>
      <c r="H20" s="501"/>
      <c r="I20" s="569">
        <f t="shared" si="0"/>
        <v>0</v>
      </c>
    </row>
    <row r="21" spans="1:9" x14ac:dyDescent="0.35">
      <c r="A21" s="223" t="s">
        <v>1153</v>
      </c>
      <c r="B21" s="115" t="s">
        <v>815</v>
      </c>
      <c r="C21" s="315"/>
      <c r="D21" s="24"/>
      <c r="E21" s="24">
        <v>55719</v>
      </c>
      <c r="F21" s="384"/>
      <c r="G21" s="43">
        <v>1</v>
      </c>
      <c r="H21" s="501"/>
      <c r="I21" s="569">
        <f t="shared" si="0"/>
        <v>0</v>
      </c>
    </row>
    <row r="22" spans="1:9" x14ac:dyDescent="0.35">
      <c r="A22" s="223" t="s">
        <v>933</v>
      </c>
      <c r="B22" s="115" t="s">
        <v>433</v>
      </c>
      <c r="C22" s="315"/>
      <c r="D22" s="24"/>
      <c r="E22" s="24">
        <v>55719</v>
      </c>
      <c r="F22" s="384"/>
      <c r="G22" s="43">
        <v>1</v>
      </c>
      <c r="H22" s="501"/>
      <c r="I22" s="569">
        <f t="shared" si="0"/>
        <v>0</v>
      </c>
    </row>
    <row r="23" spans="1:9" x14ac:dyDescent="0.35">
      <c r="A23" s="223" t="s">
        <v>1163</v>
      </c>
      <c r="B23" s="115" t="s">
        <v>83</v>
      </c>
      <c r="C23" s="315"/>
      <c r="D23" s="24"/>
      <c r="E23" s="24">
        <v>55719</v>
      </c>
      <c r="F23" s="384"/>
      <c r="G23" s="43">
        <v>1</v>
      </c>
      <c r="H23" s="501"/>
      <c r="I23" s="569">
        <f t="shared" si="0"/>
        <v>0</v>
      </c>
    </row>
    <row r="24" spans="1:9" x14ac:dyDescent="0.35">
      <c r="A24" s="223" t="s">
        <v>1060</v>
      </c>
      <c r="B24" s="115" t="s">
        <v>74</v>
      </c>
      <c r="C24" s="315"/>
      <c r="D24" s="24"/>
      <c r="E24" s="24">
        <v>55719</v>
      </c>
      <c r="F24" s="384"/>
      <c r="G24" s="43">
        <v>1</v>
      </c>
      <c r="H24" s="501"/>
      <c r="I24" s="569">
        <f t="shared" si="0"/>
        <v>0</v>
      </c>
    </row>
    <row r="25" spans="1:9" x14ac:dyDescent="0.35">
      <c r="A25" s="223" t="s">
        <v>997</v>
      </c>
      <c r="B25" s="115" t="s">
        <v>388</v>
      </c>
      <c r="C25" s="315"/>
      <c r="D25" s="24"/>
      <c r="E25" s="24">
        <v>55719</v>
      </c>
      <c r="F25" s="384"/>
      <c r="G25" s="43">
        <v>1</v>
      </c>
      <c r="H25" s="501"/>
      <c r="I25" s="569">
        <f t="shared" si="0"/>
        <v>0</v>
      </c>
    </row>
    <row r="26" spans="1:9" x14ac:dyDescent="0.35">
      <c r="A26" s="223" t="s">
        <v>743</v>
      </c>
      <c r="B26" s="115" t="s">
        <v>750</v>
      </c>
      <c r="C26" s="315"/>
      <c r="D26" s="24"/>
      <c r="E26" s="24">
        <v>55719</v>
      </c>
      <c r="F26" s="384"/>
      <c r="G26" s="43">
        <v>1</v>
      </c>
      <c r="H26" s="501"/>
      <c r="I26" s="569">
        <f t="shared" si="0"/>
        <v>0</v>
      </c>
    </row>
    <row r="27" spans="1:9" x14ac:dyDescent="0.35">
      <c r="A27" s="223" t="s">
        <v>214</v>
      </c>
      <c r="B27" s="115" t="s">
        <v>197</v>
      </c>
      <c r="C27" s="315"/>
      <c r="D27" s="24"/>
      <c r="E27" s="24">
        <v>55719</v>
      </c>
      <c r="F27" s="384"/>
      <c r="G27" s="43">
        <v>1</v>
      </c>
      <c r="H27" s="501"/>
      <c r="I27" s="569">
        <f t="shared" si="0"/>
        <v>0</v>
      </c>
    </row>
    <row r="28" spans="1:9" x14ac:dyDescent="0.35">
      <c r="A28" s="223" t="s">
        <v>10</v>
      </c>
      <c r="B28" s="115" t="s">
        <v>418</v>
      </c>
      <c r="C28" s="315"/>
      <c r="D28" s="24"/>
      <c r="E28" s="24">
        <v>55719</v>
      </c>
      <c r="F28" s="384"/>
      <c r="G28" s="43">
        <v>1</v>
      </c>
      <c r="H28" s="501"/>
      <c r="I28" s="569">
        <f t="shared" si="0"/>
        <v>0</v>
      </c>
    </row>
    <row r="29" spans="1:9" x14ac:dyDescent="0.35">
      <c r="A29" s="223" t="s">
        <v>2361</v>
      </c>
      <c r="B29" s="115" t="s">
        <v>196</v>
      </c>
      <c r="C29" s="315"/>
      <c r="D29" s="24"/>
      <c r="E29" s="24">
        <v>55719</v>
      </c>
      <c r="F29" s="384"/>
      <c r="G29" s="43">
        <v>1</v>
      </c>
      <c r="H29" s="501"/>
      <c r="I29" s="569">
        <f t="shared" si="0"/>
        <v>0</v>
      </c>
    </row>
    <row r="30" spans="1:9" x14ac:dyDescent="0.35">
      <c r="A30" s="223" t="s">
        <v>4</v>
      </c>
      <c r="B30" s="115" t="s">
        <v>86</v>
      </c>
      <c r="C30" s="315"/>
      <c r="D30" s="24"/>
      <c r="E30" s="24">
        <v>55719</v>
      </c>
      <c r="F30" s="384"/>
      <c r="G30" s="43">
        <v>1</v>
      </c>
      <c r="H30" s="501"/>
      <c r="I30" s="569">
        <f t="shared" si="0"/>
        <v>0</v>
      </c>
    </row>
    <row r="31" spans="1:9" x14ac:dyDescent="0.35">
      <c r="A31" s="223" t="s">
        <v>5</v>
      </c>
      <c r="B31" s="115" t="s">
        <v>415</v>
      </c>
      <c r="C31" s="315"/>
      <c r="D31" s="24"/>
      <c r="E31" s="24">
        <v>55719</v>
      </c>
      <c r="F31" s="384"/>
      <c r="G31" s="43">
        <v>1</v>
      </c>
      <c r="H31" s="501"/>
      <c r="I31" s="569">
        <f t="shared" si="0"/>
        <v>0</v>
      </c>
    </row>
    <row r="32" spans="1:9" x14ac:dyDescent="0.35">
      <c r="A32" s="223" t="s">
        <v>97</v>
      </c>
      <c r="B32" s="115" t="s">
        <v>457</v>
      </c>
      <c r="C32" s="315"/>
      <c r="D32" s="24"/>
      <c r="E32" s="24">
        <v>55719</v>
      </c>
      <c r="F32" s="384"/>
      <c r="G32" s="43">
        <v>1</v>
      </c>
      <c r="H32" s="501"/>
      <c r="I32" s="569">
        <f t="shared" si="0"/>
        <v>0</v>
      </c>
    </row>
    <row r="33" spans="1:9" x14ac:dyDescent="0.35">
      <c r="A33" s="223" t="s">
        <v>1042</v>
      </c>
      <c r="B33" s="207" t="s">
        <v>429</v>
      </c>
      <c r="C33" s="315"/>
      <c r="D33" s="24"/>
      <c r="E33" s="24">
        <v>55719</v>
      </c>
      <c r="F33" s="384"/>
      <c r="G33" s="43">
        <v>1</v>
      </c>
      <c r="H33" s="501"/>
      <c r="I33" s="569">
        <f t="shared" si="0"/>
        <v>0</v>
      </c>
    </row>
    <row r="34" spans="1:9" x14ac:dyDescent="0.35">
      <c r="A34" s="223" t="s">
        <v>408</v>
      </c>
      <c r="B34" s="115" t="s">
        <v>1562</v>
      </c>
      <c r="C34" s="315"/>
      <c r="D34" s="24"/>
      <c r="E34" s="24" t="s">
        <v>1604</v>
      </c>
      <c r="F34" s="384"/>
      <c r="G34" s="43">
        <v>1</v>
      </c>
      <c r="H34" s="501"/>
      <c r="I34" s="569">
        <f t="shared" si="0"/>
        <v>0</v>
      </c>
    </row>
    <row r="35" spans="1:9" x14ac:dyDescent="0.35">
      <c r="A35" s="223" t="s">
        <v>135</v>
      </c>
      <c r="B35" s="115" t="s">
        <v>523</v>
      </c>
      <c r="C35" s="315"/>
      <c r="D35" s="24"/>
      <c r="E35" s="24" t="s">
        <v>1604</v>
      </c>
      <c r="F35" s="384"/>
      <c r="G35" s="43">
        <v>1</v>
      </c>
      <c r="H35" s="501"/>
      <c r="I35" s="569">
        <f t="shared" si="0"/>
        <v>0</v>
      </c>
    </row>
    <row r="36" spans="1:9" x14ac:dyDescent="0.35">
      <c r="A36" s="223" t="s">
        <v>986</v>
      </c>
      <c r="B36" s="115" t="s">
        <v>460</v>
      </c>
      <c r="C36" s="315"/>
      <c r="D36" s="24"/>
      <c r="E36" s="24" t="s">
        <v>1604</v>
      </c>
      <c r="F36" s="384"/>
      <c r="G36" s="43">
        <v>1</v>
      </c>
      <c r="H36" s="501"/>
      <c r="I36" s="569">
        <f t="shared" si="0"/>
        <v>0</v>
      </c>
    </row>
    <row r="37" spans="1:9" x14ac:dyDescent="0.35">
      <c r="A37" s="223" t="s">
        <v>1025</v>
      </c>
      <c r="B37" s="115" t="s">
        <v>212</v>
      </c>
      <c r="C37" s="315"/>
      <c r="D37" s="24"/>
      <c r="E37" s="24" t="s">
        <v>1604</v>
      </c>
      <c r="F37" s="384"/>
      <c r="G37" s="43">
        <v>1</v>
      </c>
      <c r="H37" s="501"/>
      <c r="I37" s="569">
        <f t="shared" si="0"/>
        <v>0</v>
      </c>
    </row>
    <row r="38" spans="1:9" x14ac:dyDescent="0.35">
      <c r="A38" s="223" t="s">
        <v>1019</v>
      </c>
      <c r="B38" s="115" t="s">
        <v>90</v>
      </c>
      <c r="C38" s="315"/>
      <c r="D38" s="24"/>
      <c r="E38" s="24" t="s">
        <v>1604</v>
      </c>
      <c r="F38" s="384"/>
      <c r="G38" s="43">
        <v>1</v>
      </c>
      <c r="H38" s="501"/>
      <c r="I38" s="569">
        <f t="shared" si="0"/>
        <v>0</v>
      </c>
    </row>
    <row r="39" spans="1:9" x14ac:dyDescent="0.35">
      <c r="A39" s="223" t="s">
        <v>1120</v>
      </c>
      <c r="B39" s="115" t="s">
        <v>85</v>
      </c>
      <c r="C39" s="315"/>
      <c r="D39" s="24"/>
      <c r="E39" s="24" t="s">
        <v>1604</v>
      </c>
      <c r="F39" s="384"/>
      <c r="G39" s="43">
        <v>1</v>
      </c>
      <c r="H39" s="501"/>
      <c r="I39" s="569">
        <f t="shared" si="0"/>
        <v>0</v>
      </c>
    </row>
    <row r="40" spans="1:9" x14ac:dyDescent="0.35">
      <c r="A40" s="223" t="s">
        <v>880</v>
      </c>
      <c r="B40" s="115" t="s">
        <v>366</v>
      </c>
      <c r="C40" s="315"/>
      <c r="D40" s="24"/>
      <c r="E40" s="24" t="s">
        <v>1604</v>
      </c>
      <c r="F40" s="384"/>
      <c r="G40" s="43">
        <v>2</v>
      </c>
      <c r="H40" s="501"/>
      <c r="I40" s="569">
        <f t="shared" si="0"/>
        <v>0</v>
      </c>
    </row>
    <row r="41" spans="1:9" x14ac:dyDescent="0.35">
      <c r="I41" s="503">
        <f>SUM(I2:I40)</f>
        <v>0</v>
      </c>
    </row>
    <row r="43" spans="1:9" s="4" customFormat="1" ht="17.5" x14ac:dyDescent="0.35">
      <c r="A43" s="309" t="s">
        <v>1510</v>
      </c>
      <c r="B43" s="312"/>
      <c r="C43" s="249"/>
      <c r="D43" s="3"/>
      <c r="E43" s="3"/>
      <c r="F43" s="249"/>
      <c r="G43" s="3"/>
      <c r="H43" s="396"/>
      <c r="I43" s="406"/>
    </row>
    <row r="44" spans="1:9" s="4" customFormat="1" ht="17.5" x14ac:dyDescent="0.35">
      <c r="A44" s="309" t="s">
        <v>2389</v>
      </c>
      <c r="B44" s="312"/>
      <c r="C44" s="249"/>
      <c r="D44" s="3"/>
      <c r="E44" s="3"/>
      <c r="F44" s="249"/>
      <c r="G44" s="3"/>
      <c r="H44" s="396"/>
      <c r="I44" s="406"/>
    </row>
    <row r="45" spans="1:9" ht="17.5" x14ac:dyDescent="0.35">
      <c r="A45" s="367" t="s">
        <v>2662</v>
      </c>
      <c r="B45" s="221"/>
    </row>
    <row r="46" spans="1:9" ht="17.5" x14ac:dyDescent="0.35">
      <c r="A46" s="334" t="s">
        <v>2694</v>
      </c>
      <c r="B46" s="456">
        <f>+I41</f>
        <v>0</v>
      </c>
    </row>
  </sheetData>
  <pageMargins left="0.7" right="0.7" top="0.75" bottom="0.75" header="0.3" footer="0.3"/>
  <pageSetup scale="70" orientation="landscape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4"/>
  <sheetViews>
    <sheetView workbookViewId="0">
      <pane ySplit="1" topLeftCell="A2" activePane="bottomLeft" state="frozen"/>
      <selection activeCell="C26" sqref="C26"/>
      <selection pane="bottomLeft" activeCell="A10" sqref="A10:XFD12"/>
    </sheetView>
  </sheetViews>
  <sheetFormatPr defaultColWidth="9.08984375" defaultRowHeight="15.5" x14ac:dyDescent="0.35"/>
  <cols>
    <col min="1" max="1" width="52.6328125" style="152" bestFit="1" customWidth="1"/>
    <col min="2" max="2" width="14.36328125" style="143" bestFit="1" customWidth="1"/>
    <col min="3" max="3" width="20.36328125" style="143" bestFit="1" customWidth="1"/>
    <col min="4" max="4" width="20.08984375" style="143" bestFit="1" customWidth="1"/>
    <col min="5" max="5" width="12.453125" style="143" bestFit="1" customWidth="1"/>
    <col min="6" max="6" width="15.6328125" style="143" bestFit="1" customWidth="1"/>
    <col min="7" max="7" width="10" style="144" bestFit="1" customWidth="1"/>
    <col min="8" max="8" width="11.36328125" style="503" bestFit="1" customWidth="1"/>
    <col min="9" max="9" width="16.90625" style="503" bestFit="1" customWidth="1"/>
    <col min="10" max="16384" width="9.08984375" style="141"/>
  </cols>
  <sheetData>
    <row r="1" spans="1:9" x14ac:dyDescent="0.35">
      <c r="A1" s="157" t="s">
        <v>0</v>
      </c>
      <c r="B1" s="158" t="s">
        <v>1</v>
      </c>
      <c r="C1" s="281" t="s">
        <v>2700</v>
      </c>
      <c r="D1" s="21" t="s">
        <v>1598</v>
      </c>
      <c r="E1" s="21" t="s">
        <v>1599</v>
      </c>
      <c r="F1" s="281" t="s">
        <v>2699</v>
      </c>
      <c r="G1" s="103" t="s">
        <v>364</v>
      </c>
      <c r="H1" s="393" t="s">
        <v>2695</v>
      </c>
      <c r="I1" s="393" t="s">
        <v>2696</v>
      </c>
    </row>
    <row r="2" spans="1:9" x14ac:dyDescent="0.35">
      <c r="A2" s="101" t="s">
        <v>1253</v>
      </c>
      <c r="B2" s="62" t="s">
        <v>1704</v>
      </c>
      <c r="C2" s="315"/>
      <c r="D2" s="62"/>
      <c r="E2" s="62" t="s">
        <v>1604</v>
      </c>
      <c r="F2" s="466"/>
      <c r="G2" s="102">
        <v>1</v>
      </c>
      <c r="H2" s="454"/>
      <c r="I2" s="424">
        <f>+G2*H2</f>
        <v>0</v>
      </c>
    </row>
    <row r="3" spans="1:9" x14ac:dyDescent="0.35">
      <c r="A3" s="101" t="s">
        <v>16</v>
      </c>
      <c r="B3" s="62" t="s">
        <v>360</v>
      </c>
      <c r="C3" s="315"/>
      <c r="D3" s="62"/>
      <c r="E3" s="62" t="s">
        <v>1604</v>
      </c>
      <c r="F3" s="466"/>
      <c r="G3" s="102">
        <v>1</v>
      </c>
      <c r="H3" s="454"/>
      <c r="I3" s="424">
        <f t="shared" ref="I3:I9" si="0">+G3*H3</f>
        <v>0</v>
      </c>
    </row>
    <row r="4" spans="1:9" x14ac:dyDescent="0.35">
      <c r="A4" s="101" t="s">
        <v>1221</v>
      </c>
      <c r="B4" s="62" t="s">
        <v>534</v>
      </c>
      <c r="C4" s="315"/>
      <c r="D4" s="62"/>
      <c r="E4" s="62" t="s">
        <v>1604</v>
      </c>
      <c r="F4" s="466"/>
      <c r="G4" s="102">
        <v>1</v>
      </c>
      <c r="H4" s="454"/>
      <c r="I4" s="424">
        <f t="shared" si="0"/>
        <v>0</v>
      </c>
    </row>
    <row r="5" spans="1:9" x14ac:dyDescent="0.35">
      <c r="A5" s="101" t="s">
        <v>2351</v>
      </c>
      <c r="B5" s="62" t="s">
        <v>2352</v>
      </c>
      <c r="C5" s="315"/>
      <c r="D5" s="62"/>
      <c r="E5" s="62" t="s">
        <v>1604</v>
      </c>
      <c r="F5" s="466"/>
      <c r="G5" s="102">
        <v>1</v>
      </c>
      <c r="H5" s="454"/>
      <c r="I5" s="424">
        <f t="shared" si="0"/>
        <v>0</v>
      </c>
    </row>
    <row r="6" spans="1:9" x14ac:dyDescent="0.35">
      <c r="A6" s="101" t="s">
        <v>2594</v>
      </c>
      <c r="B6" s="62" t="s">
        <v>757</v>
      </c>
      <c r="C6" s="315"/>
      <c r="D6" s="62"/>
      <c r="E6" s="62" t="s">
        <v>1604</v>
      </c>
      <c r="F6" s="466"/>
      <c r="G6" s="102">
        <v>1</v>
      </c>
      <c r="H6" s="454"/>
      <c r="I6" s="424">
        <f t="shared" si="0"/>
        <v>0</v>
      </c>
    </row>
    <row r="7" spans="1:9" x14ac:dyDescent="0.35">
      <c r="A7" s="101" t="s">
        <v>1148</v>
      </c>
      <c r="B7" s="62" t="s">
        <v>307</v>
      </c>
      <c r="C7" s="315"/>
      <c r="D7" s="62"/>
      <c r="E7" s="62" t="s">
        <v>1604</v>
      </c>
      <c r="F7" s="466"/>
      <c r="G7" s="102">
        <v>1</v>
      </c>
      <c r="H7" s="454"/>
      <c r="I7" s="424">
        <f t="shared" si="0"/>
        <v>0</v>
      </c>
    </row>
    <row r="8" spans="1:9" x14ac:dyDescent="0.35">
      <c r="A8" s="101" t="s">
        <v>1016</v>
      </c>
      <c r="B8" s="62" t="s">
        <v>310</v>
      </c>
      <c r="C8" s="315"/>
      <c r="D8" s="62"/>
      <c r="E8" s="62" t="s">
        <v>1604</v>
      </c>
      <c r="F8" s="466"/>
      <c r="G8" s="102">
        <v>1</v>
      </c>
      <c r="H8" s="454"/>
      <c r="I8" s="424">
        <f t="shared" si="0"/>
        <v>0</v>
      </c>
    </row>
    <row r="9" spans="1:9" x14ac:dyDescent="0.35">
      <c r="A9" s="101" t="s">
        <v>1693</v>
      </c>
      <c r="B9" s="62" t="s">
        <v>1694</v>
      </c>
      <c r="C9" s="315"/>
      <c r="D9" s="62"/>
      <c r="E9" s="62" t="s">
        <v>1604</v>
      </c>
      <c r="F9" s="466"/>
      <c r="G9" s="102">
        <v>1</v>
      </c>
      <c r="H9" s="454"/>
      <c r="I9" s="424">
        <f t="shared" si="0"/>
        <v>0</v>
      </c>
    </row>
    <row r="10" spans="1:9" x14ac:dyDescent="0.35">
      <c r="I10" s="503">
        <f>SUM(I2:I9)</f>
        <v>0</v>
      </c>
    </row>
    <row r="11" spans="1:9" s="4" customFormat="1" ht="17.5" x14ac:dyDescent="0.35">
      <c r="A11" s="309" t="s">
        <v>2390</v>
      </c>
      <c r="B11" s="312"/>
      <c r="C11" s="249"/>
      <c r="D11" s="3"/>
      <c r="E11" s="3"/>
      <c r="F11" s="249"/>
      <c r="G11" s="3"/>
      <c r="H11" s="396"/>
      <c r="I11" s="406"/>
    </row>
    <row r="12" spans="1:9" s="4" customFormat="1" ht="17.5" x14ac:dyDescent="0.35">
      <c r="A12" s="309" t="s">
        <v>2391</v>
      </c>
      <c r="B12" s="312"/>
      <c r="C12" s="249"/>
      <c r="D12" s="3"/>
      <c r="E12" s="3"/>
      <c r="F12" s="249"/>
      <c r="G12" s="3"/>
      <c r="H12" s="396"/>
      <c r="I12" s="406"/>
    </row>
    <row r="13" spans="1:9" ht="17.5" x14ac:dyDescent="0.35">
      <c r="A13" s="367" t="s">
        <v>2661</v>
      </c>
      <c r="B13" s="142"/>
    </row>
    <row r="14" spans="1:9" ht="17.5" x14ac:dyDescent="0.35">
      <c r="A14" s="334" t="s">
        <v>2701</v>
      </c>
      <c r="B14" s="456">
        <f>+I10</f>
        <v>0</v>
      </c>
    </row>
  </sheetData>
  <pageMargins left="0.7" right="0.7" top="0.75" bottom="0.75" header="0.3" footer="0.3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6"/>
  <sheetViews>
    <sheetView workbookViewId="0">
      <pane ySplit="1" topLeftCell="A2" activePane="bottomLeft" state="frozen"/>
      <selection activeCell="C26" sqref="C26"/>
      <selection pane="bottomLeft" activeCell="A34" sqref="A31:XFD34"/>
    </sheetView>
  </sheetViews>
  <sheetFormatPr defaultColWidth="9.08984375" defaultRowHeight="15.5" x14ac:dyDescent="0.35"/>
  <cols>
    <col min="1" max="1" width="51.90625" style="145" bestFit="1" customWidth="1"/>
    <col min="2" max="2" width="16.08984375" style="144" customWidth="1"/>
    <col min="3" max="3" width="21.1796875" style="144" customWidth="1"/>
    <col min="4" max="4" width="21.81640625" style="144" customWidth="1"/>
    <col min="5" max="5" width="14.36328125" style="144" customWidth="1"/>
    <col min="6" max="6" width="16.453125" style="144" customWidth="1"/>
    <col min="7" max="7" width="13.08984375" style="141" customWidth="1"/>
    <col min="8" max="8" width="13.08984375" style="427" customWidth="1"/>
    <col min="9" max="9" width="18.6328125" style="503" customWidth="1"/>
    <col min="10" max="10" width="15.6328125" style="141" bestFit="1" customWidth="1"/>
    <col min="11" max="16384" width="9.08984375" style="141"/>
  </cols>
  <sheetData>
    <row r="1" spans="1:9" x14ac:dyDescent="0.35">
      <c r="A1" s="628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81" t="s">
        <v>2699</v>
      </c>
      <c r="G1" s="23" t="s">
        <v>364</v>
      </c>
      <c r="H1" s="393" t="s">
        <v>2695</v>
      </c>
      <c r="I1" s="404" t="s">
        <v>2696</v>
      </c>
    </row>
    <row r="2" spans="1:9" x14ac:dyDescent="0.35">
      <c r="A2" s="223" t="s">
        <v>408</v>
      </c>
      <c r="B2" s="62" t="s">
        <v>1562</v>
      </c>
      <c r="C2" s="315"/>
      <c r="D2" s="62"/>
      <c r="E2" s="62">
        <v>55719</v>
      </c>
      <c r="F2" s="466"/>
      <c r="G2" s="43">
        <v>1</v>
      </c>
      <c r="H2" s="510"/>
      <c r="I2" s="424">
        <f t="shared" ref="I2:I30" si="0">+G2*H2</f>
        <v>0</v>
      </c>
    </row>
    <row r="3" spans="1:9" x14ac:dyDescent="0.35">
      <c r="A3" s="223" t="s">
        <v>5</v>
      </c>
      <c r="B3" s="62" t="s">
        <v>415</v>
      </c>
      <c r="C3" s="315"/>
      <c r="D3" s="62"/>
      <c r="E3" s="62">
        <v>55719</v>
      </c>
      <c r="F3" s="466"/>
      <c r="G3" s="43">
        <v>1</v>
      </c>
      <c r="H3" s="510"/>
      <c r="I3" s="424">
        <f t="shared" si="0"/>
        <v>0</v>
      </c>
    </row>
    <row r="4" spans="1:9" x14ac:dyDescent="0.35">
      <c r="A4" s="223" t="s">
        <v>135</v>
      </c>
      <c r="B4" s="62" t="s">
        <v>523</v>
      </c>
      <c r="C4" s="315"/>
      <c r="D4" s="62"/>
      <c r="E4" s="62">
        <v>55719</v>
      </c>
      <c r="F4" s="466"/>
      <c r="G4" s="43">
        <v>1</v>
      </c>
      <c r="H4" s="510"/>
      <c r="I4" s="424">
        <f t="shared" si="0"/>
        <v>0</v>
      </c>
    </row>
    <row r="5" spans="1:9" x14ac:dyDescent="0.35">
      <c r="A5" s="223" t="s">
        <v>1025</v>
      </c>
      <c r="B5" s="62" t="s">
        <v>212</v>
      </c>
      <c r="C5" s="315"/>
      <c r="D5" s="62"/>
      <c r="E5" s="62">
        <v>55719</v>
      </c>
      <c r="F5" s="466"/>
      <c r="G5" s="43">
        <v>1</v>
      </c>
      <c r="H5" s="510"/>
      <c r="I5" s="424">
        <f t="shared" si="0"/>
        <v>0</v>
      </c>
    </row>
    <row r="6" spans="1:9" x14ac:dyDescent="0.35">
      <c r="A6" s="223" t="s">
        <v>1308</v>
      </c>
      <c r="B6" s="62" t="s">
        <v>1675</v>
      </c>
      <c r="C6" s="315"/>
      <c r="D6" s="62"/>
      <c r="E6" s="62">
        <v>55719</v>
      </c>
      <c r="F6" s="466"/>
      <c r="G6" s="43">
        <v>1</v>
      </c>
      <c r="H6" s="510"/>
      <c r="I6" s="424">
        <f t="shared" si="0"/>
        <v>0</v>
      </c>
    </row>
    <row r="7" spans="1:9" x14ac:dyDescent="0.35">
      <c r="A7" s="223" t="s">
        <v>1019</v>
      </c>
      <c r="B7" s="62" t="s">
        <v>90</v>
      </c>
      <c r="C7" s="315"/>
      <c r="D7" s="62"/>
      <c r="E7" s="62">
        <v>55719</v>
      </c>
      <c r="F7" s="466"/>
      <c r="G7" s="43">
        <v>1</v>
      </c>
      <c r="H7" s="510"/>
      <c r="I7" s="424">
        <f t="shared" si="0"/>
        <v>0</v>
      </c>
    </row>
    <row r="8" spans="1:9" x14ac:dyDescent="0.35">
      <c r="A8" s="223" t="s">
        <v>880</v>
      </c>
      <c r="B8" s="62" t="s">
        <v>366</v>
      </c>
      <c r="C8" s="315"/>
      <c r="D8" s="62"/>
      <c r="E8" s="62">
        <v>55719</v>
      </c>
      <c r="F8" s="466"/>
      <c r="G8" s="43">
        <v>2</v>
      </c>
      <c r="H8" s="510"/>
      <c r="I8" s="424">
        <f t="shared" si="0"/>
        <v>0</v>
      </c>
    </row>
    <row r="9" spans="1:9" ht="18" customHeight="1" x14ac:dyDescent="0.35">
      <c r="A9" s="223" t="s">
        <v>6</v>
      </c>
      <c r="B9" s="62" t="s">
        <v>87</v>
      </c>
      <c r="C9" s="315"/>
      <c r="D9" s="62"/>
      <c r="E9" s="62">
        <v>55719</v>
      </c>
      <c r="F9" s="466"/>
      <c r="G9" s="43">
        <v>1</v>
      </c>
      <c r="H9" s="510"/>
      <c r="I9" s="424">
        <f t="shared" si="0"/>
        <v>0</v>
      </c>
    </row>
    <row r="10" spans="1:9" x14ac:dyDescent="0.35">
      <c r="A10" s="223" t="s">
        <v>174</v>
      </c>
      <c r="B10" s="62" t="s">
        <v>215</v>
      </c>
      <c r="C10" s="315"/>
      <c r="D10" s="62"/>
      <c r="E10" s="62">
        <v>55719</v>
      </c>
      <c r="F10" s="466"/>
      <c r="G10" s="43">
        <v>1</v>
      </c>
      <c r="H10" s="510"/>
      <c r="I10" s="424">
        <f t="shared" si="0"/>
        <v>0</v>
      </c>
    </row>
    <row r="11" spans="1:9" x14ac:dyDescent="0.35">
      <c r="A11" s="223" t="s">
        <v>43</v>
      </c>
      <c r="B11" s="62" t="s">
        <v>765</v>
      </c>
      <c r="C11" s="315"/>
      <c r="D11" s="62"/>
      <c r="E11" s="62">
        <v>55719</v>
      </c>
      <c r="F11" s="466"/>
      <c r="G11" s="43">
        <v>1</v>
      </c>
      <c r="H11" s="510"/>
      <c r="I11" s="424">
        <f t="shared" si="0"/>
        <v>0</v>
      </c>
    </row>
    <row r="12" spans="1:9" x14ac:dyDescent="0.35">
      <c r="A12" s="223" t="s">
        <v>981</v>
      </c>
      <c r="B12" s="62" t="s">
        <v>1681</v>
      </c>
      <c r="C12" s="315"/>
      <c r="D12" s="62"/>
      <c r="E12" s="62">
        <v>55719</v>
      </c>
      <c r="F12" s="466"/>
      <c r="G12" s="43">
        <v>1</v>
      </c>
      <c r="H12" s="510"/>
      <c r="I12" s="424">
        <f t="shared" si="0"/>
        <v>0</v>
      </c>
    </row>
    <row r="13" spans="1:9" x14ac:dyDescent="0.35">
      <c r="A13" s="223" t="s">
        <v>1007</v>
      </c>
      <c r="B13" s="62" t="s">
        <v>313</v>
      </c>
      <c r="C13" s="315"/>
      <c r="D13" s="62"/>
      <c r="E13" s="62">
        <v>55719</v>
      </c>
      <c r="F13" s="466"/>
      <c r="G13" s="43">
        <v>1</v>
      </c>
      <c r="H13" s="510"/>
      <c r="I13" s="424">
        <f t="shared" si="0"/>
        <v>0</v>
      </c>
    </row>
    <row r="14" spans="1:9" x14ac:dyDescent="0.35">
      <c r="A14" s="223" t="s">
        <v>1014</v>
      </c>
      <c r="B14" s="62" t="s">
        <v>314</v>
      </c>
      <c r="C14" s="315"/>
      <c r="D14" s="62"/>
      <c r="E14" s="62">
        <v>55719</v>
      </c>
      <c r="F14" s="466"/>
      <c r="G14" s="43">
        <v>2</v>
      </c>
      <c r="H14" s="510"/>
      <c r="I14" s="424">
        <f t="shared" si="0"/>
        <v>0</v>
      </c>
    </row>
    <row r="15" spans="1:9" x14ac:dyDescent="0.35">
      <c r="A15" s="223" t="s">
        <v>899</v>
      </c>
      <c r="B15" s="62" t="s">
        <v>281</v>
      </c>
      <c r="C15" s="315"/>
      <c r="D15" s="62"/>
      <c r="E15" s="62">
        <v>55719</v>
      </c>
      <c r="F15" s="466"/>
      <c r="G15" s="43">
        <v>1</v>
      </c>
      <c r="H15" s="510"/>
      <c r="I15" s="424">
        <f t="shared" si="0"/>
        <v>0</v>
      </c>
    </row>
    <row r="16" spans="1:9" x14ac:dyDescent="0.35">
      <c r="A16" s="223" t="s">
        <v>1042</v>
      </c>
      <c r="B16" s="62" t="s">
        <v>429</v>
      </c>
      <c r="C16" s="315"/>
      <c r="D16" s="62"/>
      <c r="E16" s="62">
        <v>55719</v>
      </c>
      <c r="F16" s="466"/>
      <c r="G16" s="43">
        <v>1</v>
      </c>
      <c r="H16" s="510"/>
      <c r="I16" s="424">
        <f t="shared" si="0"/>
        <v>0</v>
      </c>
    </row>
    <row r="17" spans="1:9" x14ac:dyDescent="0.35">
      <c r="A17" s="223" t="s">
        <v>1368</v>
      </c>
      <c r="B17" s="62" t="s">
        <v>499</v>
      </c>
      <c r="C17" s="315"/>
      <c r="D17" s="62"/>
      <c r="E17" s="62">
        <v>55719</v>
      </c>
      <c r="F17" s="466"/>
      <c r="G17" s="43">
        <v>2</v>
      </c>
      <c r="H17" s="510"/>
      <c r="I17" s="424">
        <f t="shared" si="0"/>
        <v>0</v>
      </c>
    </row>
    <row r="18" spans="1:9" x14ac:dyDescent="0.35">
      <c r="A18" s="223" t="s">
        <v>1110</v>
      </c>
      <c r="B18" s="62" t="s">
        <v>422</v>
      </c>
      <c r="C18" s="315"/>
      <c r="D18" s="62"/>
      <c r="E18" s="62">
        <v>55719</v>
      </c>
      <c r="F18" s="466"/>
      <c r="G18" s="43">
        <v>1</v>
      </c>
      <c r="H18" s="510"/>
      <c r="I18" s="424">
        <f t="shared" si="0"/>
        <v>0</v>
      </c>
    </row>
    <row r="19" spans="1:9" x14ac:dyDescent="0.35">
      <c r="A19" s="223" t="s">
        <v>1379</v>
      </c>
      <c r="B19" s="62" t="s">
        <v>776</v>
      </c>
      <c r="C19" s="315"/>
      <c r="D19" s="62"/>
      <c r="E19" s="62">
        <v>55719</v>
      </c>
      <c r="F19" s="466"/>
      <c r="G19" s="43">
        <v>1</v>
      </c>
      <c r="H19" s="510"/>
      <c r="I19" s="424">
        <f t="shared" si="0"/>
        <v>0</v>
      </c>
    </row>
    <row r="20" spans="1:9" x14ac:dyDescent="0.35">
      <c r="A20" s="223" t="s">
        <v>930</v>
      </c>
      <c r="B20" s="62" t="s">
        <v>88</v>
      </c>
      <c r="C20" s="315"/>
      <c r="D20" s="62"/>
      <c r="E20" s="62">
        <v>55719</v>
      </c>
      <c r="F20" s="466"/>
      <c r="G20" s="43">
        <v>1</v>
      </c>
      <c r="H20" s="510"/>
      <c r="I20" s="424">
        <f t="shared" si="0"/>
        <v>0</v>
      </c>
    </row>
    <row r="21" spans="1:9" x14ac:dyDescent="0.35">
      <c r="A21" s="223" t="s">
        <v>4</v>
      </c>
      <c r="B21" s="62" t="s">
        <v>86</v>
      </c>
      <c r="C21" s="315"/>
      <c r="D21" s="62"/>
      <c r="E21" s="62">
        <v>55719</v>
      </c>
      <c r="F21" s="466"/>
      <c r="G21" s="43">
        <v>1</v>
      </c>
      <c r="H21" s="510"/>
      <c r="I21" s="424">
        <f t="shared" si="0"/>
        <v>0</v>
      </c>
    </row>
    <row r="22" spans="1:9" x14ac:dyDescent="0.35">
      <c r="A22" s="223" t="s">
        <v>1055</v>
      </c>
      <c r="B22" s="62" t="s">
        <v>531</v>
      </c>
      <c r="C22" s="315"/>
      <c r="D22" s="62"/>
      <c r="E22" s="62">
        <v>55719</v>
      </c>
      <c r="F22" s="466"/>
      <c r="G22" s="43">
        <v>1</v>
      </c>
      <c r="H22" s="510"/>
      <c r="I22" s="424">
        <f t="shared" si="0"/>
        <v>0</v>
      </c>
    </row>
    <row r="23" spans="1:9" x14ac:dyDescent="0.35">
      <c r="A23" s="223" t="s">
        <v>1153</v>
      </c>
      <c r="B23" s="62" t="s">
        <v>815</v>
      </c>
      <c r="C23" s="315"/>
      <c r="D23" s="62"/>
      <c r="E23" s="62">
        <v>55719</v>
      </c>
      <c r="F23" s="466"/>
      <c r="G23" s="43">
        <v>1</v>
      </c>
      <c r="H23" s="510"/>
      <c r="I23" s="424">
        <f t="shared" si="0"/>
        <v>0</v>
      </c>
    </row>
    <row r="24" spans="1:9" x14ac:dyDescent="0.35">
      <c r="A24" s="223" t="s">
        <v>1163</v>
      </c>
      <c r="B24" s="62" t="s">
        <v>83</v>
      </c>
      <c r="C24" s="315"/>
      <c r="D24" s="62"/>
      <c r="E24" s="62">
        <v>55719</v>
      </c>
      <c r="F24" s="466"/>
      <c r="G24" s="43">
        <v>1</v>
      </c>
      <c r="H24" s="510"/>
      <c r="I24" s="424">
        <f t="shared" si="0"/>
        <v>0</v>
      </c>
    </row>
    <row r="25" spans="1:9" x14ac:dyDescent="0.35">
      <c r="A25" s="223" t="s">
        <v>1060</v>
      </c>
      <c r="B25" s="62" t="s">
        <v>74</v>
      </c>
      <c r="C25" s="315"/>
      <c r="D25" s="62"/>
      <c r="E25" s="62">
        <v>55719</v>
      </c>
      <c r="F25" s="466"/>
      <c r="G25" s="43">
        <v>1</v>
      </c>
      <c r="H25" s="510"/>
      <c r="I25" s="424">
        <f t="shared" si="0"/>
        <v>0</v>
      </c>
    </row>
    <row r="26" spans="1:9" x14ac:dyDescent="0.35">
      <c r="A26" s="223" t="s">
        <v>743</v>
      </c>
      <c r="B26" s="62" t="s">
        <v>750</v>
      </c>
      <c r="C26" s="315"/>
      <c r="D26" s="62"/>
      <c r="E26" s="62">
        <v>55719</v>
      </c>
      <c r="F26" s="466"/>
      <c r="G26" s="43">
        <v>1</v>
      </c>
      <c r="H26" s="510"/>
      <c r="I26" s="424">
        <f t="shared" si="0"/>
        <v>0</v>
      </c>
    </row>
    <row r="27" spans="1:9" x14ac:dyDescent="0.35">
      <c r="A27" s="223" t="s">
        <v>214</v>
      </c>
      <c r="B27" s="62" t="s">
        <v>197</v>
      </c>
      <c r="C27" s="315"/>
      <c r="D27" s="62"/>
      <c r="E27" s="62">
        <v>55719</v>
      </c>
      <c r="F27" s="466"/>
      <c r="G27" s="43">
        <v>1</v>
      </c>
      <c r="H27" s="510"/>
      <c r="I27" s="424">
        <f t="shared" si="0"/>
        <v>0</v>
      </c>
    </row>
    <row r="28" spans="1:9" x14ac:dyDescent="0.35">
      <c r="A28" s="223" t="s">
        <v>10</v>
      </c>
      <c r="B28" s="62" t="s">
        <v>418</v>
      </c>
      <c r="C28" s="315"/>
      <c r="D28" s="62"/>
      <c r="E28" s="62">
        <v>55719</v>
      </c>
      <c r="F28" s="466"/>
      <c r="G28" s="43">
        <v>1</v>
      </c>
      <c r="H28" s="510"/>
      <c r="I28" s="424">
        <f t="shared" si="0"/>
        <v>0</v>
      </c>
    </row>
    <row r="29" spans="1:9" x14ac:dyDescent="0.35">
      <c r="A29" s="223" t="s">
        <v>97</v>
      </c>
      <c r="B29" s="62" t="s">
        <v>457</v>
      </c>
      <c r="C29" s="315"/>
      <c r="D29" s="62"/>
      <c r="E29" s="62">
        <v>55719</v>
      </c>
      <c r="F29" s="466"/>
      <c r="G29" s="43">
        <v>1</v>
      </c>
      <c r="H29" s="510"/>
      <c r="I29" s="424">
        <f t="shared" si="0"/>
        <v>0</v>
      </c>
    </row>
    <row r="30" spans="1:9" x14ac:dyDescent="0.35">
      <c r="A30" s="566" t="s">
        <v>2602</v>
      </c>
      <c r="B30" s="207" t="s">
        <v>2603</v>
      </c>
      <c r="C30" s="315"/>
      <c r="D30" s="207"/>
      <c r="E30" s="207">
        <v>55719</v>
      </c>
      <c r="F30" s="465"/>
      <c r="G30" s="201">
        <v>1</v>
      </c>
      <c r="H30" s="408"/>
      <c r="I30" s="424">
        <f t="shared" si="0"/>
        <v>0</v>
      </c>
    </row>
    <row r="31" spans="1:9" s="208" customFormat="1" x14ac:dyDescent="0.35">
      <c r="A31" s="291"/>
      <c r="B31" s="129"/>
      <c r="C31" s="278"/>
      <c r="D31" s="129"/>
      <c r="E31" s="129"/>
      <c r="F31" s="129"/>
      <c r="G31" s="292"/>
      <c r="H31" s="511"/>
      <c r="I31" s="503">
        <f>SUM(I2:I30)</f>
        <v>0</v>
      </c>
    </row>
    <row r="33" spans="1:9" s="4" customFormat="1" ht="17.5" x14ac:dyDescent="0.35">
      <c r="A33" s="309" t="s">
        <v>1511</v>
      </c>
      <c r="B33" s="312"/>
      <c r="C33" s="249"/>
      <c r="D33" s="3"/>
      <c r="E33" s="3"/>
      <c r="F33" s="249"/>
      <c r="G33" s="3"/>
      <c r="H33" s="396"/>
      <c r="I33" s="406"/>
    </row>
    <row r="34" spans="1:9" s="4" customFormat="1" ht="17.5" x14ac:dyDescent="0.35">
      <c r="A34" s="309" t="s">
        <v>2395</v>
      </c>
      <c r="B34" s="312"/>
      <c r="C34" s="249"/>
      <c r="D34" s="3"/>
      <c r="E34" s="3"/>
      <c r="F34" s="249"/>
      <c r="G34" s="3"/>
      <c r="H34" s="396"/>
      <c r="I34" s="406"/>
    </row>
    <row r="35" spans="1:9" ht="17.5" x14ac:dyDescent="0.35">
      <c r="A35" s="367" t="s">
        <v>2660</v>
      </c>
      <c r="B35" s="383"/>
      <c r="C35" s="270"/>
      <c r="D35" s="270"/>
      <c r="E35" s="270"/>
      <c r="F35" s="270"/>
      <c r="G35" s="271"/>
      <c r="H35" s="512"/>
    </row>
    <row r="36" spans="1:9" ht="17.5" x14ac:dyDescent="0.35">
      <c r="A36" s="334" t="s">
        <v>2701</v>
      </c>
      <c r="B36" s="456">
        <f>+I31</f>
        <v>0</v>
      </c>
    </row>
  </sheetData>
  <sortState xmlns:xlrd2="http://schemas.microsoft.com/office/spreadsheetml/2017/richdata2" ref="A2:H31">
    <sortCondition ref="B2:B31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30"/>
  <sheetViews>
    <sheetView workbookViewId="0">
      <pane ySplit="1" topLeftCell="A112" activePane="bottomLeft" state="frozen"/>
      <selection activeCell="C26" sqref="C26"/>
      <selection pane="bottomLeft" activeCell="A139" sqref="A125:XFD139"/>
    </sheetView>
  </sheetViews>
  <sheetFormatPr defaultColWidth="9.08984375" defaultRowHeight="15.5" x14ac:dyDescent="0.35"/>
  <cols>
    <col min="1" max="1" width="78" style="106" bestFit="1" customWidth="1"/>
    <col min="2" max="2" width="20" style="76" bestFit="1" customWidth="1"/>
    <col min="3" max="3" width="21.08984375" style="76" bestFit="1" customWidth="1"/>
    <col min="4" max="4" width="20.08984375" style="76" bestFit="1" customWidth="1"/>
    <col min="5" max="5" width="12.453125" style="76" bestFit="1" customWidth="1"/>
    <col min="6" max="6" width="15.6328125" style="76" bestFit="1" customWidth="1"/>
    <col min="7" max="7" width="11.54296875" style="76" customWidth="1"/>
    <col min="8" max="8" width="11.36328125" style="386" bestFit="1" customWidth="1"/>
    <col min="9" max="9" width="16.90625" style="386" bestFit="1" customWidth="1"/>
    <col min="10" max="10" width="17" style="106" bestFit="1" customWidth="1"/>
    <col min="11" max="16384" width="9.08984375" style="106"/>
  </cols>
  <sheetData>
    <row r="1" spans="1:9" x14ac:dyDescent="0.35">
      <c r="A1" s="212" t="s">
        <v>0</v>
      </c>
      <c r="B1" s="261" t="s">
        <v>1</v>
      </c>
      <c r="C1" s="281" t="s">
        <v>2700</v>
      </c>
      <c r="D1" s="261" t="s">
        <v>1598</v>
      </c>
      <c r="E1" s="261" t="s">
        <v>1599</v>
      </c>
      <c r="F1" s="281" t="s">
        <v>2699</v>
      </c>
      <c r="G1" s="211" t="s">
        <v>364</v>
      </c>
      <c r="H1" s="393" t="s">
        <v>2695</v>
      </c>
      <c r="I1" s="513" t="s">
        <v>2696</v>
      </c>
    </row>
    <row r="2" spans="1:9" x14ac:dyDescent="0.35">
      <c r="A2" s="235" t="s">
        <v>1088</v>
      </c>
      <c r="B2" s="253" t="s">
        <v>828</v>
      </c>
      <c r="C2" s="340"/>
      <c r="D2" s="62"/>
      <c r="E2" s="253">
        <v>55719</v>
      </c>
      <c r="F2" s="466"/>
      <c r="G2" s="29">
        <v>1</v>
      </c>
      <c r="H2" s="514"/>
      <c r="I2" s="386">
        <f>+Table16[[#This Row],[Quantity]]*Table16[[#This Row],[Unit Price]]</f>
        <v>0</v>
      </c>
    </row>
    <row r="3" spans="1:9" s="184" customFormat="1" x14ac:dyDescent="0.35">
      <c r="A3" s="235" t="s">
        <v>1089</v>
      </c>
      <c r="B3" s="253" t="s">
        <v>827</v>
      </c>
      <c r="C3" s="340"/>
      <c r="D3" s="62"/>
      <c r="E3" s="253">
        <v>55719</v>
      </c>
      <c r="F3" s="466"/>
      <c r="G3" s="29">
        <v>1</v>
      </c>
      <c r="H3" s="514"/>
      <c r="I3" s="386">
        <f>+Table16[[#This Row],[Quantity]]*Table16[[#This Row],[Unit Price]]</f>
        <v>0</v>
      </c>
    </row>
    <row r="4" spans="1:9" s="184" customFormat="1" x14ac:dyDescent="0.35">
      <c r="A4" s="235" t="s">
        <v>1091</v>
      </c>
      <c r="B4" s="253" t="s">
        <v>1610</v>
      </c>
      <c r="C4" s="340"/>
      <c r="D4" s="62"/>
      <c r="E4" s="253">
        <v>55719</v>
      </c>
      <c r="F4" s="466"/>
      <c r="G4" s="29">
        <v>1</v>
      </c>
      <c r="H4" s="514"/>
      <c r="I4" s="386">
        <f>+Table16[[#This Row],[Quantity]]*Table16[[#This Row],[Unit Price]]</f>
        <v>0</v>
      </c>
    </row>
    <row r="5" spans="1:9" s="184" customFormat="1" x14ac:dyDescent="0.35">
      <c r="A5" s="235" t="s">
        <v>1092</v>
      </c>
      <c r="B5" s="253" t="s">
        <v>148</v>
      </c>
      <c r="C5" s="340"/>
      <c r="D5" s="62"/>
      <c r="E5" s="253">
        <v>55719</v>
      </c>
      <c r="F5" s="466"/>
      <c r="G5" s="29">
        <v>1</v>
      </c>
      <c r="H5" s="514"/>
      <c r="I5" s="386">
        <f>+Table16[[#This Row],[Quantity]]*Table16[[#This Row],[Unit Price]]</f>
        <v>0</v>
      </c>
    </row>
    <row r="6" spans="1:9" x14ac:dyDescent="0.35">
      <c r="A6" s="235" t="s">
        <v>1093</v>
      </c>
      <c r="B6" s="253" t="s">
        <v>830</v>
      </c>
      <c r="C6" s="340"/>
      <c r="D6" s="62"/>
      <c r="E6" s="253">
        <v>55719</v>
      </c>
      <c r="F6" s="466"/>
      <c r="G6" s="29">
        <v>1</v>
      </c>
      <c r="H6" s="514"/>
      <c r="I6" s="386">
        <f>+Table16[[#This Row],[Quantity]]*Table16[[#This Row],[Unit Price]]</f>
        <v>0</v>
      </c>
    </row>
    <row r="7" spans="1:9" x14ac:dyDescent="0.35">
      <c r="A7" s="235" t="s">
        <v>1094</v>
      </c>
      <c r="B7" s="253" t="s">
        <v>829</v>
      </c>
      <c r="C7" s="340"/>
      <c r="D7" s="62"/>
      <c r="E7" s="253">
        <v>55719</v>
      </c>
      <c r="F7" s="466"/>
      <c r="G7" s="29">
        <v>1</v>
      </c>
      <c r="H7" s="514"/>
      <c r="I7" s="386">
        <f>+Table16[[#This Row],[Quantity]]*Table16[[#This Row],[Unit Price]]</f>
        <v>0</v>
      </c>
    </row>
    <row r="8" spans="1:9" ht="14.25" customHeight="1" x14ac:dyDescent="0.35">
      <c r="A8" s="235" t="s">
        <v>1095</v>
      </c>
      <c r="B8" s="253" t="s">
        <v>832</v>
      </c>
      <c r="C8" s="340"/>
      <c r="D8" s="62"/>
      <c r="E8" s="253">
        <v>55719</v>
      </c>
      <c r="F8" s="466"/>
      <c r="G8" s="29">
        <v>1</v>
      </c>
      <c r="H8" s="514"/>
      <c r="I8" s="386">
        <f>+Table16[[#This Row],[Quantity]]*Table16[[#This Row],[Unit Price]]</f>
        <v>0</v>
      </c>
    </row>
    <row r="9" spans="1:9" x14ac:dyDescent="0.35">
      <c r="A9" s="235" t="s">
        <v>1096</v>
      </c>
      <c r="B9" s="253" t="s">
        <v>831</v>
      </c>
      <c r="C9" s="340"/>
      <c r="D9" s="62"/>
      <c r="E9" s="253">
        <v>55719</v>
      </c>
      <c r="F9" s="466"/>
      <c r="G9" s="29">
        <v>1</v>
      </c>
      <c r="H9" s="514"/>
      <c r="I9" s="386">
        <f>+Table16[[#This Row],[Quantity]]*Table16[[#This Row],[Unit Price]]</f>
        <v>0</v>
      </c>
    </row>
    <row r="10" spans="1:9" x14ac:dyDescent="0.35">
      <c r="A10" s="235" t="s">
        <v>17</v>
      </c>
      <c r="B10" s="253" t="s">
        <v>2473</v>
      </c>
      <c r="C10" s="340"/>
      <c r="D10" s="62"/>
      <c r="E10" s="253">
        <v>55719</v>
      </c>
      <c r="F10" s="466"/>
      <c r="G10" s="29">
        <v>1</v>
      </c>
      <c r="H10" s="514"/>
      <c r="I10" s="386">
        <f>+Table16[[#This Row],[Quantity]]*Table16[[#This Row],[Unit Price]]</f>
        <v>0</v>
      </c>
    </row>
    <row r="11" spans="1:9" x14ac:dyDescent="0.35">
      <c r="A11" s="235" t="s">
        <v>1090</v>
      </c>
      <c r="B11" s="253" t="s">
        <v>2222</v>
      </c>
      <c r="C11" s="340"/>
      <c r="D11" s="62"/>
      <c r="E11" s="253">
        <v>55719</v>
      </c>
      <c r="F11" s="466"/>
      <c r="G11" s="29">
        <v>1</v>
      </c>
      <c r="H11" s="514"/>
      <c r="I11" s="386">
        <f>+Table16[[#This Row],[Quantity]]*Table16[[#This Row],[Unit Price]]</f>
        <v>0</v>
      </c>
    </row>
    <row r="12" spans="1:9" x14ac:dyDescent="0.35">
      <c r="A12" s="235" t="s">
        <v>408</v>
      </c>
      <c r="B12" s="253" t="s">
        <v>1562</v>
      </c>
      <c r="C12" s="340"/>
      <c r="D12" s="62"/>
      <c r="E12" s="253">
        <v>55719</v>
      </c>
      <c r="F12" s="466"/>
      <c r="G12" s="29">
        <v>1</v>
      </c>
      <c r="H12" s="514"/>
      <c r="I12" s="386">
        <f>+Table16[[#This Row],[Quantity]]*Table16[[#This Row],[Unit Price]]</f>
        <v>0</v>
      </c>
    </row>
    <row r="13" spans="1:9" x14ac:dyDescent="0.35">
      <c r="A13" s="235" t="s">
        <v>1643</v>
      </c>
      <c r="B13" s="253" t="s">
        <v>1642</v>
      </c>
      <c r="C13" s="340"/>
      <c r="D13" s="62"/>
      <c r="E13" s="253">
        <v>55719</v>
      </c>
      <c r="F13" s="466"/>
      <c r="G13" s="29">
        <v>1</v>
      </c>
      <c r="H13" s="514"/>
      <c r="I13" s="386">
        <f>+Table16[[#This Row],[Quantity]]*Table16[[#This Row],[Unit Price]]</f>
        <v>0</v>
      </c>
    </row>
    <row r="14" spans="1:9" x14ac:dyDescent="0.35">
      <c r="A14" s="235" t="s">
        <v>16</v>
      </c>
      <c r="B14" s="253" t="s">
        <v>360</v>
      </c>
      <c r="C14" s="340"/>
      <c r="D14" s="62"/>
      <c r="E14" s="253">
        <v>55719</v>
      </c>
      <c r="F14" s="466"/>
      <c r="G14" s="29">
        <v>1</v>
      </c>
      <c r="H14" s="514"/>
      <c r="I14" s="386">
        <f>+Table16[[#This Row],[Quantity]]*Table16[[#This Row],[Unit Price]]</f>
        <v>0</v>
      </c>
    </row>
    <row r="15" spans="1:9" x14ac:dyDescent="0.35">
      <c r="A15" s="235" t="s">
        <v>1097</v>
      </c>
      <c r="B15" s="253" t="s">
        <v>796</v>
      </c>
      <c r="C15" s="340"/>
      <c r="D15" s="62"/>
      <c r="E15" s="253">
        <v>55719</v>
      </c>
      <c r="F15" s="466"/>
      <c r="G15" s="29">
        <v>1</v>
      </c>
      <c r="H15" s="514"/>
      <c r="I15" s="386">
        <f>+Table16[[#This Row],[Quantity]]*Table16[[#This Row],[Unit Price]]</f>
        <v>0</v>
      </c>
    </row>
    <row r="16" spans="1:9" x14ac:dyDescent="0.35">
      <c r="A16" s="235" t="s">
        <v>1411</v>
      </c>
      <c r="B16" s="253" t="s">
        <v>49</v>
      </c>
      <c r="C16" s="340"/>
      <c r="D16" s="62"/>
      <c r="E16" s="253">
        <v>55719</v>
      </c>
      <c r="F16" s="466"/>
      <c r="G16" s="29">
        <v>1</v>
      </c>
      <c r="H16" s="514"/>
      <c r="I16" s="386">
        <f>+Table16[[#This Row],[Quantity]]*Table16[[#This Row],[Unit Price]]</f>
        <v>0</v>
      </c>
    </row>
    <row r="17" spans="1:9" x14ac:dyDescent="0.35">
      <c r="A17" s="235" t="s">
        <v>1412</v>
      </c>
      <c r="B17" s="253" t="s">
        <v>480</v>
      </c>
      <c r="C17" s="340"/>
      <c r="D17" s="62"/>
      <c r="E17" s="253">
        <v>55719</v>
      </c>
      <c r="F17" s="466"/>
      <c r="G17" s="29">
        <v>1</v>
      </c>
      <c r="H17" s="514"/>
      <c r="I17" s="386">
        <f>+Table16[[#This Row],[Quantity]]*Table16[[#This Row],[Unit Price]]</f>
        <v>0</v>
      </c>
    </row>
    <row r="18" spans="1:9" x14ac:dyDescent="0.35">
      <c r="A18" s="235" t="s">
        <v>884</v>
      </c>
      <c r="B18" s="253" t="s">
        <v>198</v>
      </c>
      <c r="C18" s="340"/>
      <c r="D18" s="62"/>
      <c r="E18" s="253">
        <v>55719</v>
      </c>
      <c r="F18" s="466"/>
      <c r="G18" s="29">
        <v>1</v>
      </c>
      <c r="H18" s="514"/>
      <c r="I18" s="386">
        <f>+Table16[[#This Row],[Quantity]]*Table16[[#This Row],[Unit Price]]</f>
        <v>0</v>
      </c>
    </row>
    <row r="19" spans="1:9" x14ac:dyDescent="0.35">
      <c r="A19" s="235" t="s">
        <v>15</v>
      </c>
      <c r="B19" s="253" t="s">
        <v>424</v>
      </c>
      <c r="C19" s="340"/>
      <c r="D19" s="62"/>
      <c r="E19" s="253">
        <v>55719</v>
      </c>
      <c r="F19" s="466"/>
      <c r="G19" s="29">
        <v>2</v>
      </c>
      <c r="H19" s="514"/>
      <c r="I19" s="386">
        <f>+Table16[[#This Row],[Quantity]]*Table16[[#This Row],[Unit Price]]</f>
        <v>0</v>
      </c>
    </row>
    <row r="20" spans="1:9" x14ac:dyDescent="0.35">
      <c r="A20" s="235" t="s">
        <v>1019</v>
      </c>
      <c r="B20" s="253" t="s">
        <v>90</v>
      </c>
      <c r="C20" s="340"/>
      <c r="D20" s="62"/>
      <c r="E20" s="253">
        <v>55719</v>
      </c>
      <c r="F20" s="466"/>
      <c r="G20" s="29">
        <v>2</v>
      </c>
      <c r="H20" s="514"/>
      <c r="I20" s="386">
        <f>+Table16[[#This Row],[Quantity]]*Table16[[#This Row],[Unit Price]]</f>
        <v>0</v>
      </c>
    </row>
    <row r="21" spans="1:9" x14ac:dyDescent="0.35">
      <c r="A21" s="235" t="s">
        <v>1120</v>
      </c>
      <c r="B21" s="253" t="s">
        <v>85</v>
      </c>
      <c r="C21" s="340"/>
      <c r="D21" s="62"/>
      <c r="E21" s="253">
        <v>55719</v>
      </c>
      <c r="F21" s="466"/>
      <c r="G21" s="29">
        <v>1</v>
      </c>
      <c r="H21" s="514"/>
      <c r="I21" s="386">
        <f>+Table16[[#This Row],[Quantity]]*Table16[[#This Row],[Unit Price]]</f>
        <v>0</v>
      </c>
    </row>
    <row r="22" spans="1:9" x14ac:dyDescent="0.35">
      <c r="A22" s="235" t="s">
        <v>1122</v>
      </c>
      <c r="B22" s="253" t="s">
        <v>706</v>
      </c>
      <c r="C22" s="340"/>
      <c r="D22" s="62"/>
      <c r="E22" s="253">
        <v>55719</v>
      </c>
      <c r="F22" s="466"/>
      <c r="G22" s="29">
        <v>1</v>
      </c>
      <c r="H22" s="514"/>
      <c r="I22" s="386">
        <f>+Table16[[#This Row],[Quantity]]*Table16[[#This Row],[Unit Price]]</f>
        <v>0</v>
      </c>
    </row>
    <row r="23" spans="1:9" x14ac:dyDescent="0.35">
      <c r="A23" s="235" t="s">
        <v>1126</v>
      </c>
      <c r="B23" s="253" t="s">
        <v>837</v>
      </c>
      <c r="C23" s="340"/>
      <c r="D23" s="62"/>
      <c r="E23" s="253">
        <v>55719</v>
      </c>
      <c r="F23" s="466"/>
      <c r="G23" s="29">
        <v>1</v>
      </c>
      <c r="H23" s="514"/>
      <c r="I23" s="386">
        <f>+Table16[[#This Row],[Quantity]]*Table16[[#This Row],[Unit Price]]</f>
        <v>0</v>
      </c>
    </row>
    <row r="24" spans="1:9" x14ac:dyDescent="0.35">
      <c r="A24" s="235" t="s">
        <v>1131</v>
      </c>
      <c r="B24" s="253" t="s">
        <v>151</v>
      </c>
      <c r="C24" s="340"/>
      <c r="D24" s="62"/>
      <c r="E24" s="253">
        <v>55719</v>
      </c>
      <c r="F24" s="466"/>
      <c r="G24" s="29">
        <v>1</v>
      </c>
      <c r="H24" s="514"/>
      <c r="I24" s="386">
        <f>+Table16[[#This Row],[Quantity]]*Table16[[#This Row],[Unit Price]]</f>
        <v>0</v>
      </c>
    </row>
    <row r="25" spans="1:9" x14ac:dyDescent="0.35">
      <c r="A25" s="235" t="s">
        <v>1132</v>
      </c>
      <c r="B25" s="253" t="s">
        <v>840</v>
      </c>
      <c r="C25" s="340"/>
      <c r="D25" s="62"/>
      <c r="E25" s="253">
        <v>55719</v>
      </c>
      <c r="F25" s="466"/>
      <c r="G25" s="29">
        <v>1</v>
      </c>
      <c r="H25" s="514"/>
      <c r="I25" s="386">
        <f>+Table16[[#This Row],[Quantity]]*Table16[[#This Row],[Unit Price]]</f>
        <v>0</v>
      </c>
    </row>
    <row r="26" spans="1:9" x14ac:dyDescent="0.35">
      <c r="A26" s="235" t="s">
        <v>1133</v>
      </c>
      <c r="B26" s="253" t="s">
        <v>489</v>
      </c>
      <c r="C26" s="340"/>
      <c r="D26" s="62"/>
      <c r="E26" s="253">
        <v>55719</v>
      </c>
      <c r="F26" s="466"/>
      <c r="G26" s="29">
        <v>1</v>
      </c>
      <c r="H26" s="514"/>
      <c r="I26" s="386">
        <f>+Table16[[#This Row],[Quantity]]*Table16[[#This Row],[Unit Price]]</f>
        <v>0</v>
      </c>
    </row>
    <row r="27" spans="1:9" x14ac:dyDescent="0.35">
      <c r="A27" s="235" t="s">
        <v>1130</v>
      </c>
      <c r="B27" s="253" t="s">
        <v>838</v>
      </c>
      <c r="C27" s="340"/>
      <c r="D27" s="62"/>
      <c r="E27" s="253">
        <v>55719</v>
      </c>
      <c r="F27" s="466"/>
      <c r="G27" s="29">
        <v>1</v>
      </c>
      <c r="H27" s="514"/>
      <c r="I27" s="386">
        <f>+Table16[[#This Row],[Quantity]]*Table16[[#This Row],[Unit Price]]</f>
        <v>0</v>
      </c>
    </row>
    <row r="28" spans="1:9" x14ac:dyDescent="0.35">
      <c r="A28" s="235" t="s">
        <v>1134</v>
      </c>
      <c r="B28" s="253" t="s">
        <v>65</v>
      </c>
      <c r="C28" s="340"/>
      <c r="D28" s="62"/>
      <c r="E28" s="253">
        <v>55719</v>
      </c>
      <c r="F28" s="466"/>
      <c r="G28" s="29">
        <v>1</v>
      </c>
      <c r="H28" s="514"/>
      <c r="I28" s="386">
        <f>+Table16[[#This Row],[Quantity]]*Table16[[#This Row],[Unit Price]]</f>
        <v>0</v>
      </c>
    </row>
    <row r="29" spans="1:9" x14ac:dyDescent="0.35">
      <c r="A29" s="235" t="s">
        <v>1135</v>
      </c>
      <c r="B29" s="253" t="s">
        <v>490</v>
      </c>
      <c r="C29" s="340"/>
      <c r="D29" s="62"/>
      <c r="E29" s="253">
        <v>55719</v>
      </c>
      <c r="F29" s="466"/>
      <c r="G29" s="29">
        <v>1</v>
      </c>
      <c r="H29" s="514"/>
      <c r="I29" s="386">
        <f>+Table16[[#This Row],[Quantity]]*Table16[[#This Row],[Unit Price]]</f>
        <v>0</v>
      </c>
    </row>
    <row r="30" spans="1:9" x14ac:dyDescent="0.35">
      <c r="A30" s="235" t="s">
        <v>1136</v>
      </c>
      <c r="B30" s="253" t="s">
        <v>839</v>
      </c>
      <c r="C30" s="340"/>
      <c r="D30" s="62"/>
      <c r="E30" s="253">
        <v>55719</v>
      </c>
      <c r="F30" s="466"/>
      <c r="G30" s="29">
        <v>1</v>
      </c>
      <c r="H30" s="514"/>
      <c r="I30" s="386">
        <f>+Table16[[#This Row],[Quantity]]*Table16[[#This Row],[Unit Price]]</f>
        <v>0</v>
      </c>
    </row>
    <row r="31" spans="1:9" x14ac:dyDescent="0.35">
      <c r="A31" s="235" t="s">
        <v>980</v>
      </c>
      <c r="B31" s="253" t="s">
        <v>236</v>
      </c>
      <c r="C31" s="340"/>
      <c r="D31" s="62"/>
      <c r="E31" s="253">
        <v>55719</v>
      </c>
      <c r="F31" s="466"/>
      <c r="G31" s="29">
        <v>1</v>
      </c>
      <c r="H31" s="514"/>
      <c r="I31" s="386">
        <f>+Table16[[#This Row],[Quantity]]*Table16[[#This Row],[Unit Price]]</f>
        <v>0</v>
      </c>
    </row>
    <row r="32" spans="1:9" x14ac:dyDescent="0.35">
      <c r="A32" s="235" t="s">
        <v>1178</v>
      </c>
      <c r="B32" s="253" t="s">
        <v>379</v>
      </c>
      <c r="C32" s="340"/>
      <c r="D32" s="62"/>
      <c r="E32" s="253">
        <v>55719</v>
      </c>
      <c r="F32" s="466"/>
      <c r="G32" s="29">
        <v>1</v>
      </c>
      <c r="H32" s="514"/>
      <c r="I32" s="386">
        <f>+Table16[[#This Row],[Quantity]]*Table16[[#This Row],[Unit Price]]</f>
        <v>0</v>
      </c>
    </row>
    <row r="33" spans="1:9" x14ac:dyDescent="0.35">
      <c r="A33" s="235" t="s">
        <v>34</v>
      </c>
      <c r="B33" s="253" t="s">
        <v>1566</v>
      </c>
      <c r="C33" s="340"/>
      <c r="D33" s="62"/>
      <c r="E33" s="253">
        <v>55719</v>
      </c>
      <c r="F33" s="466"/>
      <c r="G33" s="29">
        <v>1</v>
      </c>
      <c r="H33" s="514"/>
      <c r="I33" s="386">
        <f>+Table16[[#This Row],[Quantity]]*Table16[[#This Row],[Unit Price]]</f>
        <v>0</v>
      </c>
    </row>
    <row r="34" spans="1:9" x14ac:dyDescent="0.35">
      <c r="A34" s="235" t="s">
        <v>35</v>
      </c>
      <c r="B34" s="253" t="s">
        <v>1567</v>
      </c>
      <c r="C34" s="340"/>
      <c r="D34" s="62"/>
      <c r="E34" s="253">
        <v>55719</v>
      </c>
      <c r="F34" s="466"/>
      <c r="G34" s="29">
        <v>1</v>
      </c>
      <c r="H34" s="514"/>
      <c r="I34" s="386">
        <f>+Table16[[#This Row],[Quantity]]*Table16[[#This Row],[Unit Price]]</f>
        <v>0</v>
      </c>
    </row>
    <row r="35" spans="1:9" x14ac:dyDescent="0.35">
      <c r="A35" s="235" t="s">
        <v>33</v>
      </c>
      <c r="B35" s="253" t="s">
        <v>1565</v>
      </c>
      <c r="C35" s="340"/>
      <c r="D35" s="62"/>
      <c r="E35" s="253">
        <v>55719</v>
      </c>
      <c r="F35" s="466"/>
      <c r="G35" s="29">
        <v>1</v>
      </c>
      <c r="H35" s="514"/>
      <c r="I35" s="386">
        <f>+Table16[[#This Row],[Quantity]]*Table16[[#This Row],[Unit Price]]</f>
        <v>0</v>
      </c>
    </row>
    <row r="36" spans="1:9" x14ac:dyDescent="0.35">
      <c r="A36" s="235" t="s">
        <v>834</v>
      </c>
      <c r="B36" s="253" t="s">
        <v>1568</v>
      </c>
      <c r="C36" s="340"/>
      <c r="D36" s="62"/>
      <c r="E36" s="253">
        <v>55719</v>
      </c>
      <c r="F36" s="466"/>
      <c r="G36" s="29">
        <v>1</v>
      </c>
      <c r="H36" s="514"/>
      <c r="I36" s="386">
        <f>+Table16[[#This Row],[Quantity]]*Table16[[#This Row],[Unit Price]]</f>
        <v>0</v>
      </c>
    </row>
    <row r="37" spans="1:9" x14ac:dyDescent="0.35">
      <c r="A37" s="235" t="s">
        <v>1069</v>
      </c>
      <c r="B37" s="253" t="s">
        <v>1569</v>
      </c>
      <c r="C37" s="340"/>
      <c r="D37" s="62"/>
      <c r="E37" s="253">
        <v>55719</v>
      </c>
      <c r="F37" s="466"/>
      <c r="G37" s="29">
        <v>1</v>
      </c>
      <c r="H37" s="514"/>
      <c r="I37" s="386">
        <f>+Table16[[#This Row],[Quantity]]*Table16[[#This Row],[Unit Price]]</f>
        <v>0</v>
      </c>
    </row>
    <row r="38" spans="1:9" x14ac:dyDescent="0.35">
      <c r="A38" s="235" t="s">
        <v>67</v>
      </c>
      <c r="B38" s="253" t="s">
        <v>204</v>
      </c>
      <c r="C38" s="340"/>
      <c r="D38" s="62"/>
      <c r="E38" s="253">
        <v>55719</v>
      </c>
      <c r="F38" s="466"/>
      <c r="G38" s="29">
        <v>1</v>
      </c>
      <c r="H38" s="514"/>
      <c r="I38" s="386">
        <f>+Table16[[#This Row],[Quantity]]*Table16[[#This Row],[Unit Price]]</f>
        <v>0</v>
      </c>
    </row>
    <row r="39" spans="1:9" x14ac:dyDescent="0.35">
      <c r="A39" s="235" t="s">
        <v>68</v>
      </c>
      <c r="B39" s="253" t="s">
        <v>205</v>
      </c>
      <c r="C39" s="340"/>
      <c r="D39" s="62"/>
      <c r="E39" s="253">
        <v>55719</v>
      </c>
      <c r="F39" s="466"/>
      <c r="G39" s="29">
        <v>1</v>
      </c>
      <c r="H39" s="514"/>
      <c r="I39" s="386">
        <f>+Table16[[#This Row],[Quantity]]*Table16[[#This Row],[Unit Price]]</f>
        <v>0</v>
      </c>
    </row>
    <row r="40" spans="1:9" x14ac:dyDescent="0.35">
      <c r="A40" s="235" t="s">
        <v>2540</v>
      </c>
      <c r="B40" s="253" t="s">
        <v>2456</v>
      </c>
      <c r="C40" s="340"/>
      <c r="D40" s="62"/>
      <c r="E40" s="253">
        <v>55719</v>
      </c>
      <c r="F40" s="466"/>
      <c r="G40" s="29">
        <v>1</v>
      </c>
      <c r="H40" s="514"/>
      <c r="I40" s="386">
        <f>+Table16[[#This Row],[Quantity]]*Table16[[#This Row],[Unit Price]]</f>
        <v>0</v>
      </c>
    </row>
    <row r="41" spans="1:9" x14ac:dyDescent="0.35">
      <c r="A41" s="235" t="s">
        <v>1189</v>
      </c>
      <c r="B41" s="253" t="s">
        <v>1724</v>
      </c>
      <c r="C41" s="340"/>
      <c r="D41" s="62"/>
      <c r="E41" s="253">
        <v>55719</v>
      </c>
      <c r="F41" s="466"/>
      <c r="G41" s="29">
        <v>1</v>
      </c>
      <c r="H41" s="514"/>
      <c r="I41" s="386">
        <f>+Table16[[#This Row],[Quantity]]*Table16[[#This Row],[Unit Price]]</f>
        <v>0</v>
      </c>
    </row>
    <row r="42" spans="1:9" x14ac:dyDescent="0.35">
      <c r="A42" s="235" t="s">
        <v>38</v>
      </c>
      <c r="B42" s="253" t="s">
        <v>200</v>
      </c>
      <c r="C42" s="340"/>
      <c r="D42" s="62"/>
      <c r="E42" s="253">
        <v>55719</v>
      </c>
      <c r="F42" s="466"/>
      <c r="G42" s="29">
        <v>1</v>
      </c>
      <c r="H42" s="514"/>
      <c r="I42" s="386">
        <f>+Table16[[#This Row],[Quantity]]*Table16[[#This Row],[Unit Price]]</f>
        <v>0</v>
      </c>
    </row>
    <row r="43" spans="1:9" x14ac:dyDescent="0.35">
      <c r="A43" s="235" t="s">
        <v>6</v>
      </c>
      <c r="B43" s="253" t="s">
        <v>87</v>
      </c>
      <c r="C43" s="340"/>
      <c r="D43" s="62"/>
      <c r="E43" s="253">
        <v>55719</v>
      </c>
      <c r="F43" s="466"/>
      <c r="G43" s="29">
        <v>1</v>
      </c>
      <c r="H43" s="514"/>
      <c r="I43" s="386">
        <f>+Table16[[#This Row],[Quantity]]*Table16[[#This Row],[Unit Price]]</f>
        <v>0</v>
      </c>
    </row>
    <row r="44" spans="1:9" x14ac:dyDescent="0.35">
      <c r="A44" s="235" t="s">
        <v>1200</v>
      </c>
      <c r="B44" s="253" t="s">
        <v>59</v>
      </c>
      <c r="C44" s="340"/>
      <c r="D44" s="62"/>
      <c r="E44" s="253">
        <v>55719</v>
      </c>
      <c r="F44" s="466"/>
      <c r="G44" s="29">
        <v>1</v>
      </c>
      <c r="H44" s="514"/>
      <c r="I44" s="386">
        <f>+Table16[[#This Row],[Quantity]]*Table16[[#This Row],[Unit Price]]</f>
        <v>0</v>
      </c>
    </row>
    <row r="45" spans="1:9" x14ac:dyDescent="0.35">
      <c r="A45" s="235" t="s">
        <v>1034</v>
      </c>
      <c r="B45" s="253" t="s">
        <v>792</v>
      </c>
      <c r="C45" s="340"/>
      <c r="D45" s="62"/>
      <c r="E45" s="253">
        <v>55719</v>
      </c>
      <c r="F45" s="466"/>
      <c r="G45" s="29">
        <v>2</v>
      </c>
      <c r="H45" s="514"/>
      <c r="I45" s="386">
        <f>+Table16[[#This Row],[Quantity]]*Table16[[#This Row],[Unit Price]]</f>
        <v>0</v>
      </c>
    </row>
    <row r="46" spans="1:9" x14ac:dyDescent="0.35">
      <c r="A46" s="235" t="s">
        <v>1098</v>
      </c>
      <c r="B46" s="253" t="s">
        <v>63</v>
      </c>
      <c r="C46" s="340"/>
      <c r="D46" s="62"/>
      <c r="E46" s="253">
        <v>55719</v>
      </c>
      <c r="F46" s="466"/>
      <c r="G46" s="29">
        <v>1</v>
      </c>
      <c r="H46" s="514"/>
      <c r="I46" s="386">
        <f>+Table16[[#This Row],[Quantity]]*Table16[[#This Row],[Unit Price]]</f>
        <v>0</v>
      </c>
    </row>
    <row r="47" spans="1:9" x14ac:dyDescent="0.35">
      <c r="A47" s="235" t="s">
        <v>1626</v>
      </c>
      <c r="B47" s="253" t="s">
        <v>1624</v>
      </c>
      <c r="C47" s="340"/>
      <c r="D47" s="62"/>
      <c r="E47" s="253">
        <v>55719</v>
      </c>
      <c r="F47" s="466"/>
      <c r="G47" s="29">
        <v>1</v>
      </c>
      <c r="H47" s="514"/>
      <c r="I47" s="386">
        <f>+Table16[[#This Row],[Quantity]]*Table16[[#This Row],[Unit Price]]</f>
        <v>0</v>
      </c>
    </row>
    <row r="48" spans="1:9" x14ac:dyDescent="0.35">
      <c r="A48" s="235" t="s">
        <v>2594</v>
      </c>
      <c r="B48" s="253" t="s">
        <v>757</v>
      </c>
      <c r="C48" s="340"/>
      <c r="D48" s="62"/>
      <c r="E48" s="253">
        <v>55719</v>
      </c>
      <c r="F48" s="466"/>
      <c r="G48" s="29">
        <v>1</v>
      </c>
      <c r="H48" s="514"/>
      <c r="I48" s="386">
        <f>+Table16[[#This Row],[Quantity]]*Table16[[#This Row],[Unit Price]]</f>
        <v>0</v>
      </c>
    </row>
    <row r="49" spans="1:9" x14ac:dyDescent="0.35">
      <c r="A49" s="235" t="s">
        <v>914</v>
      </c>
      <c r="B49" s="253" t="s">
        <v>444</v>
      </c>
      <c r="C49" s="340"/>
      <c r="D49" s="62"/>
      <c r="E49" s="253">
        <v>55719</v>
      </c>
      <c r="F49" s="466"/>
      <c r="G49" s="29">
        <v>1</v>
      </c>
      <c r="H49" s="514"/>
      <c r="I49" s="386">
        <f>+Table16[[#This Row],[Quantity]]*Table16[[#This Row],[Unit Price]]</f>
        <v>0</v>
      </c>
    </row>
    <row r="50" spans="1:9" x14ac:dyDescent="0.35">
      <c r="A50" s="235" t="s">
        <v>1144</v>
      </c>
      <c r="B50" s="253" t="s">
        <v>822</v>
      </c>
      <c r="C50" s="340"/>
      <c r="D50" s="62"/>
      <c r="E50" s="253">
        <v>55719</v>
      </c>
      <c r="F50" s="466"/>
      <c r="G50" s="29">
        <v>1</v>
      </c>
      <c r="H50" s="514"/>
      <c r="I50" s="386">
        <f>+Table16[[#This Row],[Quantity]]*Table16[[#This Row],[Unit Price]]</f>
        <v>0</v>
      </c>
    </row>
    <row r="51" spans="1:9" x14ac:dyDescent="0.35">
      <c r="A51" s="235" t="s">
        <v>2069</v>
      </c>
      <c r="B51" s="253" t="s">
        <v>1911</v>
      </c>
      <c r="C51" s="340"/>
      <c r="D51" s="62"/>
      <c r="E51" s="253">
        <v>55719</v>
      </c>
      <c r="F51" s="466"/>
      <c r="G51" s="29">
        <v>1</v>
      </c>
      <c r="H51" s="514"/>
      <c r="I51" s="386">
        <f>+Table16[[#This Row],[Quantity]]*Table16[[#This Row],[Unit Price]]</f>
        <v>0</v>
      </c>
    </row>
    <row r="52" spans="1:9" x14ac:dyDescent="0.35">
      <c r="A52" s="235" t="s">
        <v>1146</v>
      </c>
      <c r="B52" s="253" t="s">
        <v>824</v>
      </c>
      <c r="C52" s="340"/>
      <c r="D52" s="62"/>
      <c r="E52" s="253">
        <v>55719</v>
      </c>
      <c r="F52" s="466"/>
      <c r="G52" s="29">
        <v>1</v>
      </c>
      <c r="H52" s="514"/>
      <c r="I52" s="386">
        <f>+Table16[[#This Row],[Quantity]]*Table16[[#This Row],[Unit Price]]</f>
        <v>0</v>
      </c>
    </row>
    <row r="53" spans="1:9" x14ac:dyDescent="0.35">
      <c r="A53" s="235" t="s">
        <v>1016</v>
      </c>
      <c r="B53" s="253" t="s">
        <v>310</v>
      </c>
      <c r="C53" s="340"/>
      <c r="D53" s="62"/>
      <c r="E53" s="253">
        <v>55719</v>
      </c>
      <c r="F53" s="466"/>
      <c r="G53" s="29">
        <v>1</v>
      </c>
      <c r="H53" s="514"/>
      <c r="I53" s="386">
        <f>+Table16[[#This Row],[Quantity]]*Table16[[#This Row],[Unit Price]]</f>
        <v>0</v>
      </c>
    </row>
    <row r="54" spans="1:9" x14ac:dyDescent="0.35">
      <c r="A54" s="235" t="s">
        <v>900</v>
      </c>
      <c r="B54" s="253" t="s">
        <v>301</v>
      </c>
      <c r="C54" s="340"/>
      <c r="D54" s="62"/>
      <c r="E54" s="253">
        <v>55719</v>
      </c>
      <c r="F54" s="466"/>
      <c r="G54" s="29">
        <v>1</v>
      </c>
      <c r="H54" s="514"/>
      <c r="I54" s="386">
        <f>+Table16[[#This Row],[Quantity]]*Table16[[#This Row],[Unit Price]]</f>
        <v>0</v>
      </c>
    </row>
    <row r="55" spans="1:9" x14ac:dyDescent="0.35">
      <c r="A55" s="235" t="s">
        <v>885</v>
      </c>
      <c r="B55" s="253" t="s">
        <v>229</v>
      </c>
      <c r="C55" s="340"/>
      <c r="D55" s="62"/>
      <c r="E55" s="253">
        <v>55719</v>
      </c>
      <c r="F55" s="466"/>
      <c r="G55" s="29">
        <v>1</v>
      </c>
      <c r="H55" s="514"/>
      <c r="I55" s="386">
        <f>+Table16[[#This Row],[Quantity]]*Table16[[#This Row],[Unit Price]]</f>
        <v>0</v>
      </c>
    </row>
    <row r="56" spans="1:9" x14ac:dyDescent="0.35">
      <c r="A56" s="235" t="s">
        <v>2548</v>
      </c>
      <c r="B56" s="253" t="s">
        <v>208</v>
      </c>
      <c r="C56" s="340"/>
      <c r="D56" s="62"/>
      <c r="E56" s="253">
        <v>55719</v>
      </c>
      <c r="F56" s="466"/>
      <c r="G56" s="29">
        <v>1</v>
      </c>
      <c r="H56" s="514"/>
      <c r="I56" s="386">
        <f>+Table16[[#This Row],[Quantity]]*Table16[[#This Row],[Unit Price]]</f>
        <v>0</v>
      </c>
    </row>
    <row r="57" spans="1:9" x14ac:dyDescent="0.35">
      <c r="A57" s="235" t="s">
        <v>2546</v>
      </c>
      <c r="B57" s="253" t="s">
        <v>209</v>
      </c>
      <c r="C57" s="340"/>
      <c r="D57" s="62"/>
      <c r="E57" s="253">
        <v>55719</v>
      </c>
      <c r="F57" s="466"/>
      <c r="G57" s="29">
        <v>1</v>
      </c>
      <c r="H57" s="514"/>
      <c r="I57" s="386">
        <f>+Table16[[#This Row],[Quantity]]*Table16[[#This Row],[Unit Price]]</f>
        <v>0</v>
      </c>
    </row>
    <row r="58" spans="1:9" x14ac:dyDescent="0.35">
      <c r="A58" s="235" t="s">
        <v>1433</v>
      </c>
      <c r="B58" s="253" t="s">
        <v>323</v>
      </c>
      <c r="C58" s="340"/>
      <c r="D58" s="62"/>
      <c r="E58" s="253">
        <v>55719</v>
      </c>
      <c r="F58" s="466"/>
      <c r="G58" s="29">
        <v>1</v>
      </c>
      <c r="H58" s="514"/>
      <c r="I58" s="386">
        <f>+Table16[[#This Row],[Quantity]]*Table16[[#This Row],[Unit Price]]</f>
        <v>0</v>
      </c>
    </row>
    <row r="59" spans="1:9" x14ac:dyDescent="0.35">
      <c r="A59" s="235" t="s">
        <v>2547</v>
      </c>
      <c r="B59" s="253" t="s">
        <v>210</v>
      </c>
      <c r="C59" s="340"/>
      <c r="D59" s="62"/>
      <c r="E59" s="253">
        <v>55719</v>
      </c>
      <c r="F59" s="466"/>
      <c r="G59" s="29">
        <v>1</v>
      </c>
      <c r="H59" s="514"/>
      <c r="I59" s="386">
        <f>+Table16[[#This Row],[Quantity]]*Table16[[#This Row],[Unit Price]]</f>
        <v>0</v>
      </c>
    </row>
    <row r="60" spans="1:9" x14ac:dyDescent="0.35">
      <c r="A60" s="235" t="s">
        <v>1434</v>
      </c>
      <c r="B60" s="253" t="s">
        <v>825</v>
      </c>
      <c r="C60" s="340"/>
      <c r="D60" s="62"/>
      <c r="E60" s="253">
        <v>55719</v>
      </c>
      <c r="F60" s="466"/>
      <c r="G60" s="29">
        <v>1</v>
      </c>
      <c r="H60" s="514"/>
      <c r="I60" s="386">
        <f>+Table16[[#This Row],[Quantity]]*Table16[[#This Row],[Unit Price]]</f>
        <v>0</v>
      </c>
    </row>
    <row r="61" spans="1:9" x14ac:dyDescent="0.35">
      <c r="A61" s="235" t="s">
        <v>1436</v>
      </c>
      <c r="B61" s="253" t="s">
        <v>798</v>
      </c>
      <c r="C61" s="340"/>
      <c r="D61" s="62"/>
      <c r="E61" s="253">
        <v>55719</v>
      </c>
      <c r="F61" s="466"/>
      <c r="G61" s="29">
        <v>1</v>
      </c>
      <c r="H61" s="514"/>
      <c r="I61" s="386">
        <f>+Table16[[#This Row],[Quantity]]*Table16[[#This Row],[Unit Price]]</f>
        <v>0</v>
      </c>
    </row>
    <row r="62" spans="1:9" x14ac:dyDescent="0.35">
      <c r="A62" s="235" t="s">
        <v>1437</v>
      </c>
      <c r="B62" s="253" t="s">
        <v>799</v>
      </c>
      <c r="C62" s="340"/>
      <c r="D62" s="62"/>
      <c r="E62" s="253">
        <v>55719</v>
      </c>
      <c r="F62" s="466"/>
      <c r="G62" s="29">
        <v>1</v>
      </c>
      <c r="H62" s="514"/>
      <c r="I62" s="386">
        <f>+Table16[[#This Row],[Quantity]]*Table16[[#This Row],[Unit Price]]</f>
        <v>0</v>
      </c>
    </row>
    <row r="63" spans="1:9" x14ac:dyDescent="0.35">
      <c r="A63" s="235" t="s">
        <v>1438</v>
      </c>
      <c r="B63" s="253" t="s">
        <v>800</v>
      </c>
      <c r="C63" s="340"/>
      <c r="D63" s="62"/>
      <c r="E63" s="253">
        <v>55719</v>
      </c>
      <c r="F63" s="466"/>
      <c r="G63" s="29">
        <v>1</v>
      </c>
      <c r="H63" s="514"/>
      <c r="I63" s="386">
        <f>+Table16[[#This Row],[Quantity]]*Table16[[#This Row],[Unit Price]]</f>
        <v>0</v>
      </c>
    </row>
    <row r="64" spans="1:9" x14ac:dyDescent="0.35">
      <c r="A64" s="235" t="s">
        <v>1439</v>
      </c>
      <c r="B64" s="253" t="s">
        <v>797</v>
      </c>
      <c r="C64" s="340"/>
      <c r="D64" s="62"/>
      <c r="E64" s="253">
        <v>55719</v>
      </c>
      <c r="F64" s="466"/>
      <c r="G64" s="29">
        <v>1</v>
      </c>
      <c r="H64" s="514"/>
      <c r="I64" s="386">
        <f>+Table16[[#This Row],[Quantity]]*Table16[[#This Row],[Unit Price]]</f>
        <v>0</v>
      </c>
    </row>
    <row r="65" spans="1:9" x14ac:dyDescent="0.35">
      <c r="A65" s="235" t="s">
        <v>1445</v>
      </c>
      <c r="B65" s="253" t="s">
        <v>826</v>
      </c>
      <c r="C65" s="340"/>
      <c r="D65" s="62"/>
      <c r="E65" s="253">
        <v>55719</v>
      </c>
      <c r="F65" s="466"/>
      <c r="G65" s="29">
        <v>1</v>
      </c>
      <c r="H65" s="514"/>
      <c r="I65" s="386">
        <f>+Table16[[#This Row],[Quantity]]*Table16[[#This Row],[Unit Price]]</f>
        <v>0</v>
      </c>
    </row>
    <row r="66" spans="1:9" x14ac:dyDescent="0.35">
      <c r="A66" s="235" t="s">
        <v>1036</v>
      </c>
      <c r="B66" s="253" t="s">
        <v>423</v>
      </c>
      <c r="C66" s="340"/>
      <c r="D66" s="62"/>
      <c r="E66" s="253">
        <v>55719</v>
      </c>
      <c r="F66" s="466"/>
      <c r="G66" s="29">
        <v>2</v>
      </c>
      <c r="H66" s="514"/>
      <c r="I66" s="386">
        <f>+Table16[[#This Row],[Quantity]]*Table16[[#This Row],[Unit Price]]</f>
        <v>0</v>
      </c>
    </row>
    <row r="67" spans="1:9" x14ac:dyDescent="0.35">
      <c r="A67" s="235" t="s">
        <v>1236</v>
      </c>
      <c r="B67" s="253" t="s">
        <v>549</v>
      </c>
      <c r="C67" s="340"/>
      <c r="D67" s="62"/>
      <c r="E67" s="253">
        <v>55719</v>
      </c>
      <c r="F67" s="466"/>
      <c r="G67" s="29">
        <v>1</v>
      </c>
      <c r="H67" s="514"/>
      <c r="I67" s="386">
        <f>+Table16[[#This Row],[Quantity]]*Table16[[#This Row],[Unit Price]]</f>
        <v>0</v>
      </c>
    </row>
    <row r="68" spans="1:9" x14ac:dyDescent="0.35">
      <c r="A68" s="235" t="s">
        <v>1237</v>
      </c>
      <c r="B68" s="253" t="s">
        <v>772</v>
      </c>
      <c r="C68" s="340"/>
      <c r="D68" s="62"/>
      <c r="E68" s="253">
        <v>55719</v>
      </c>
      <c r="F68" s="466"/>
      <c r="G68" s="29">
        <v>1</v>
      </c>
      <c r="H68" s="514"/>
      <c r="I68" s="386">
        <f>+Table16[[#This Row],[Quantity]]*Table16[[#This Row],[Unit Price]]</f>
        <v>0</v>
      </c>
    </row>
    <row r="69" spans="1:9" x14ac:dyDescent="0.35">
      <c r="A69" s="235" t="s">
        <v>1238</v>
      </c>
      <c r="B69" s="253" t="s">
        <v>793</v>
      </c>
      <c r="C69" s="340"/>
      <c r="D69" s="62"/>
      <c r="E69" s="253">
        <v>55719</v>
      </c>
      <c r="F69" s="466"/>
      <c r="G69" s="29">
        <v>1</v>
      </c>
      <c r="H69" s="514"/>
      <c r="I69" s="386">
        <f>+Table16[[#This Row],[Quantity]]*Table16[[#This Row],[Unit Price]]</f>
        <v>0</v>
      </c>
    </row>
    <row r="70" spans="1:9" x14ac:dyDescent="0.35">
      <c r="A70" s="235" t="s">
        <v>925</v>
      </c>
      <c r="B70" s="253" t="s">
        <v>794</v>
      </c>
      <c r="C70" s="340"/>
      <c r="D70" s="62"/>
      <c r="E70" s="253">
        <v>55719</v>
      </c>
      <c r="F70" s="466"/>
      <c r="G70" s="29">
        <v>1</v>
      </c>
      <c r="H70" s="514"/>
      <c r="I70" s="386">
        <f>+Table16[[#This Row],[Quantity]]*Table16[[#This Row],[Unit Price]]</f>
        <v>0</v>
      </c>
    </row>
    <row r="71" spans="1:9" x14ac:dyDescent="0.35">
      <c r="A71" s="235" t="s">
        <v>1239</v>
      </c>
      <c r="B71" s="253" t="s">
        <v>795</v>
      </c>
      <c r="C71" s="340"/>
      <c r="D71" s="62"/>
      <c r="E71" s="253">
        <v>55719</v>
      </c>
      <c r="F71" s="466"/>
      <c r="G71" s="29">
        <v>1</v>
      </c>
      <c r="H71" s="514"/>
      <c r="I71" s="386">
        <f>+Table16[[#This Row],[Quantity]]*Table16[[#This Row],[Unit Price]]</f>
        <v>0</v>
      </c>
    </row>
    <row r="72" spans="1:9" x14ac:dyDescent="0.35">
      <c r="A72" s="235" t="s">
        <v>953</v>
      </c>
      <c r="B72" s="253" t="s">
        <v>238</v>
      </c>
      <c r="C72" s="340"/>
      <c r="D72" s="62"/>
      <c r="E72" s="253">
        <v>55719</v>
      </c>
      <c r="F72" s="466"/>
      <c r="G72" s="29">
        <v>1</v>
      </c>
      <c r="H72" s="514"/>
      <c r="I72" s="386">
        <f>+Table16[[#This Row],[Quantity]]*Table16[[#This Row],[Unit Price]]</f>
        <v>0</v>
      </c>
    </row>
    <row r="73" spans="1:9" x14ac:dyDescent="0.35">
      <c r="A73" s="235" t="s">
        <v>954</v>
      </c>
      <c r="B73" s="253" t="s">
        <v>239</v>
      </c>
      <c r="C73" s="340"/>
      <c r="D73" s="62"/>
      <c r="E73" s="253">
        <v>55719</v>
      </c>
      <c r="F73" s="466"/>
      <c r="G73" s="29">
        <v>1</v>
      </c>
      <c r="H73" s="514"/>
      <c r="I73" s="386">
        <f>+Table16[[#This Row],[Quantity]]*Table16[[#This Row],[Unit Price]]</f>
        <v>0</v>
      </c>
    </row>
    <row r="74" spans="1:9" x14ac:dyDescent="0.35">
      <c r="A74" s="235" t="s">
        <v>1031</v>
      </c>
      <c r="B74" s="253" t="s">
        <v>240</v>
      </c>
      <c r="C74" s="340"/>
      <c r="D74" s="62"/>
      <c r="E74" s="253">
        <v>55719</v>
      </c>
      <c r="F74" s="466"/>
      <c r="G74" s="29">
        <v>1</v>
      </c>
      <c r="H74" s="514"/>
      <c r="I74" s="386">
        <f>+Table16[[#This Row],[Quantity]]*Table16[[#This Row],[Unit Price]]</f>
        <v>0</v>
      </c>
    </row>
    <row r="75" spans="1:9" x14ac:dyDescent="0.35">
      <c r="A75" s="235" t="s">
        <v>1242</v>
      </c>
      <c r="B75" s="253" t="s">
        <v>835</v>
      </c>
      <c r="C75" s="340"/>
      <c r="D75" s="62"/>
      <c r="E75" s="253">
        <v>55719</v>
      </c>
      <c r="F75" s="466"/>
      <c r="G75" s="29">
        <v>1</v>
      </c>
      <c r="H75" s="514"/>
      <c r="I75" s="386">
        <f>+Table16[[#This Row],[Quantity]]*Table16[[#This Row],[Unit Price]]</f>
        <v>0</v>
      </c>
    </row>
    <row r="76" spans="1:9" x14ac:dyDescent="0.35">
      <c r="A76" s="235" t="s">
        <v>27</v>
      </c>
      <c r="B76" s="253" t="s">
        <v>199</v>
      </c>
      <c r="C76" s="340"/>
      <c r="D76" s="62"/>
      <c r="E76" s="253">
        <v>55719</v>
      </c>
      <c r="F76" s="466"/>
      <c r="G76" s="29">
        <v>1</v>
      </c>
      <c r="H76" s="514"/>
      <c r="I76" s="386">
        <f>+Table16[[#This Row],[Quantity]]*Table16[[#This Row],[Unit Price]]</f>
        <v>0</v>
      </c>
    </row>
    <row r="77" spans="1:9" x14ac:dyDescent="0.35">
      <c r="A77" s="235" t="s">
        <v>25</v>
      </c>
      <c r="B77" s="253" t="s">
        <v>436</v>
      </c>
      <c r="C77" s="340"/>
      <c r="D77" s="62"/>
      <c r="E77" s="253">
        <v>55719</v>
      </c>
      <c r="F77" s="466"/>
      <c r="G77" s="29">
        <v>1</v>
      </c>
      <c r="H77" s="514"/>
      <c r="I77" s="386">
        <f>+Table16[[#This Row],[Quantity]]*Table16[[#This Row],[Unit Price]]</f>
        <v>0</v>
      </c>
    </row>
    <row r="78" spans="1:9" x14ac:dyDescent="0.35">
      <c r="A78" s="235" t="s">
        <v>22</v>
      </c>
      <c r="B78" s="253" t="s">
        <v>245</v>
      </c>
      <c r="C78" s="340"/>
      <c r="D78" s="62"/>
      <c r="E78" s="253">
        <v>55719</v>
      </c>
      <c r="F78" s="466"/>
      <c r="G78" s="29">
        <v>1</v>
      </c>
      <c r="H78" s="514"/>
      <c r="I78" s="386">
        <f>+Table16[[#This Row],[Quantity]]*Table16[[#This Row],[Unit Price]]</f>
        <v>0</v>
      </c>
    </row>
    <row r="79" spans="1:9" x14ac:dyDescent="0.35">
      <c r="A79" s="235" t="s">
        <v>24</v>
      </c>
      <c r="B79" s="253" t="s">
        <v>255</v>
      </c>
      <c r="C79" s="340"/>
      <c r="D79" s="62"/>
      <c r="E79" s="253">
        <v>55719</v>
      </c>
      <c r="F79" s="466"/>
      <c r="G79" s="29">
        <v>1</v>
      </c>
      <c r="H79" s="514"/>
      <c r="I79" s="386">
        <f>+Table16[[#This Row],[Quantity]]*Table16[[#This Row],[Unit Price]]</f>
        <v>0</v>
      </c>
    </row>
    <row r="80" spans="1:9" x14ac:dyDescent="0.35">
      <c r="A80" s="235" t="s">
        <v>1049</v>
      </c>
      <c r="B80" s="253" t="s">
        <v>110</v>
      </c>
      <c r="C80" s="340"/>
      <c r="D80" s="62"/>
      <c r="E80" s="253">
        <v>55719</v>
      </c>
      <c r="F80" s="466"/>
      <c r="G80" s="29">
        <v>1</v>
      </c>
      <c r="H80" s="514"/>
      <c r="I80" s="386">
        <f>+Table16[[#This Row],[Quantity]]*Table16[[#This Row],[Unit Price]]</f>
        <v>0</v>
      </c>
    </row>
    <row r="81" spans="1:9" x14ac:dyDescent="0.35">
      <c r="A81" s="235" t="s">
        <v>26</v>
      </c>
      <c r="B81" s="253" t="s">
        <v>257</v>
      </c>
      <c r="C81" s="340"/>
      <c r="D81" s="62"/>
      <c r="E81" s="253">
        <v>55719</v>
      </c>
      <c r="F81" s="466"/>
      <c r="G81" s="29">
        <v>1</v>
      </c>
      <c r="H81" s="514"/>
      <c r="I81" s="386">
        <f>+Table16[[#This Row],[Quantity]]*Table16[[#This Row],[Unit Price]]</f>
        <v>0</v>
      </c>
    </row>
    <row r="82" spans="1:9" x14ac:dyDescent="0.35">
      <c r="A82" s="235" t="s">
        <v>23</v>
      </c>
      <c r="B82" s="253" t="s">
        <v>252</v>
      </c>
      <c r="C82" s="340"/>
      <c r="D82" s="62"/>
      <c r="E82" s="253">
        <v>55719</v>
      </c>
      <c r="F82" s="466"/>
      <c r="G82" s="29">
        <v>1</v>
      </c>
      <c r="H82" s="514"/>
      <c r="I82" s="386">
        <f>+Table16[[#This Row],[Quantity]]*Table16[[#This Row],[Unit Price]]</f>
        <v>0</v>
      </c>
    </row>
    <row r="83" spans="1:9" x14ac:dyDescent="0.35">
      <c r="A83" s="235" t="s">
        <v>1099</v>
      </c>
      <c r="B83" s="253" t="s">
        <v>426</v>
      </c>
      <c r="C83" s="340"/>
      <c r="D83" s="62"/>
      <c r="E83" s="253">
        <v>55719</v>
      </c>
      <c r="F83" s="466"/>
      <c r="G83" s="29">
        <v>1</v>
      </c>
      <c r="H83" s="514"/>
      <c r="I83" s="386">
        <f>+Table16[[#This Row],[Quantity]]*Table16[[#This Row],[Unit Price]]</f>
        <v>0</v>
      </c>
    </row>
    <row r="84" spans="1:9" x14ac:dyDescent="0.35">
      <c r="A84" s="235" t="s">
        <v>1360</v>
      </c>
      <c r="B84" s="253" t="s">
        <v>145</v>
      </c>
      <c r="C84" s="340"/>
      <c r="D84" s="62"/>
      <c r="E84" s="253">
        <v>55719</v>
      </c>
      <c r="F84" s="466"/>
      <c r="G84" s="29">
        <v>1</v>
      </c>
      <c r="H84" s="514"/>
      <c r="I84" s="386">
        <f>+Table16[[#This Row],[Quantity]]*Table16[[#This Row],[Unit Price]]</f>
        <v>0</v>
      </c>
    </row>
    <row r="85" spans="1:9" x14ac:dyDescent="0.35">
      <c r="A85" s="235" t="s">
        <v>362</v>
      </c>
      <c r="B85" s="253" t="s">
        <v>431</v>
      </c>
      <c r="C85" s="340"/>
      <c r="D85" s="62"/>
      <c r="E85" s="253">
        <v>55719</v>
      </c>
      <c r="F85" s="466"/>
      <c r="G85" s="29">
        <v>1</v>
      </c>
      <c r="H85" s="514"/>
      <c r="I85" s="386">
        <f>+Table16[[#This Row],[Quantity]]*Table16[[#This Row],[Unit Price]]</f>
        <v>0</v>
      </c>
    </row>
    <row r="86" spans="1:9" x14ac:dyDescent="0.35">
      <c r="A86" s="235" t="s">
        <v>1245</v>
      </c>
      <c r="B86" s="253" t="s">
        <v>481</v>
      </c>
      <c r="C86" s="340"/>
      <c r="D86" s="62"/>
      <c r="E86" s="253">
        <v>55719</v>
      </c>
      <c r="F86" s="466"/>
      <c r="G86" s="29">
        <v>1</v>
      </c>
      <c r="H86" s="514"/>
      <c r="I86" s="386">
        <f>+Table16[[#This Row],[Quantity]]*Table16[[#This Row],[Unit Price]]</f>
        <v>0</v>
      </c>
    </row>
    <row r="87" spans="1:9" x14ac:dyDescent="0.35">
      <c r="A87" s="235" t="s">
        <v>1427</v>
      </c>
      <c r="B87" s="253" t="s">
        <v>1637</v>
      </c>
      <c r="C87" s="340"/>
      <c r="D87" s="62"/>
      <c r="E87" s="253">
        <v>55719</v>
      </c>
      <c r="F87" s="466"/>
      <c r="G87" s="29">
        <v>2</v>
      </c>
      <c r="H87" s="514"/>
      <c r="I87" s="386">
        <f>+Table16[[#This Row],[Quantity]]*Table16[[#This Row],[Unit Price]]</f>
        <v>0</v>
      </c>
    </row>
    <row r="88" spans="1:9" x14ac:dyDescent="0.35">
      <c r="A88" s="235" t="s">
        <v>8</v>
      </c>
      <c r="B88" s="253" t="s">
        <v>211</v>
      </c>
      <c r="C88" s="340"/>
      <c r="D88" s="62"/>
      <c r="E88" s="253">
        <v>55719</v>
      </c>
      <c r="F88" s="466"/>
      <c r="G88" s="29">
        <v>1</v>
      </c>
      <c r="H88" s="514"/>
      <c r="I88" s="386">
        <f>+Table16[[#This Row],[Quantity]]*Table16[[#This Row],[Unit Price]]</f>
        <v>0</v>
      </c>
    </row>
    <row r="89" spans="1:9" x14ac:dyDescent="0.35">
      <c r="A89" s="235" t="s">
        <v>9</v>
      </c>
      <c r="B89" s="253" t="s">
        <v>329</v>
      </c>
      <c r="C89" s="340"/>
      <c r="D89" s="62"/>
      <c r="E89" s="253">
        <v>55719</v>
      </c>
      <c r="F89" s="466"/>
      <c r="G89" s="29">
        <v>1</v>
      </c>
      <c r="H89" s="514"/>
      <c r="I89" s="386">
        <f>+Table16[[#This Row],[Quantity]]*Table16[[#This Row],[Unit Price]]</f>
        <v>0</v>
      </c>
    </row>
    <row r="90" spans="1:9" x14ac:dyDescent="0.35">
      <c r="A90" s="235" t="s">
        <v>930</v>
      </c>
      <c r="B90" s="253" t="s">
        <v>88</v>
      </c>
      <c r="C90" s="340"/>
      <c r="D90" s="62"/>
      <c r="E90" s="253">
        <v>55719</v>
      </c>
      <c r="F90" s="466"/>
      <c r="G90" s="29">
        <v>2</v>
      </c>
      <c r="H90" s="514"/>
      <c r="I90" s="386">
        <f>+Table16[[#This Row],[Quantity]]*Table16[[#This Row],[Unit Price]]</f>
        <v>0</v>
      </c>
    </row>
    <row r="91" spans="1:9" x14ac:dyDescent="0.35">
      <c r="A91" s="235" t="s">
        <v>29</v>
      </c>
      <c r="B91" s="253" t="s">
        <v>1564</v>
      </c>
      <c r="C91" s="340"/>
      <c r="D91" s="62"/>
      <c r="E91" s="253">
        <v>55719</v>
      </c>
      <c r="F91" s="466"/>
      <c r="G91" s="29">
        <v>1</v>
      </c>
      <c r="H91" s="514"/>
      <c r="I91" s="386">
        <f>+Table16[[#This Row],[Quantity]]*Table16[[#This Row],[Unit Price]]</f>
        <v>0</v>
      </c>
    </row>
    <row r="92" spans="1:9" x14ac:dyDescent="0.35">
      <c r="A92" s="235" t="s">
        <v>28</v>
      </c>
      <c r="B92" s="253" t="s">
        <v>2242</v>
      </c>
      <c r="C92" s="340"/>
      <c r="D92" s="62"/>
      <c r="E92" s="253">
        <v>55719</v>
      </c>
      <c r="F92" s="466"/>
      <c r="G92" s="29">
        <v>1</v>
      </c>
      <c r="H92" s="514"/>
      <c r="I92" s="386">
        <f>+Table16[[#This Row],[Quantity]]*Table16[[#This Row],[Unit Price]]</f>
        <v>0</v>
      </c>
    </row>
    <row r="93" spans="1:9" x14ac:dyDescent="0.35">
      <c r="A93" s="235" t="s">
        <v>833</v>
      </c>
      <c r="B93" s="253" t="s">
        <v>244</v>
      </c>
      <c r="C93" s="340"/>
      <c r="D93" s="62"/>
      <c r="E93" s="253">
        <v>55719</v>
      </c>
      <c r="F93" s="466"/>
      <c r="G93" s="29">
        <v>1</v>
      </c>
      <c r="H93" s="514"/>
      <c r="I93" s="386">
        <f>+Table16[[#This Row],[Quantity]]*Table16[[#This Row],[Unit Price]]</f>
        <v>0</v>
      </c>
    </row>
    <row r="94" spans="1:9" x14ac:dyDescent="0.35">
      <c r="A94" s="235" t="s">
        <v>1156</v>
      </c>
      <c r="B94" s="253" t="s">
        <v>61</v>
      </c>
      <c r="C94" s="340"/>
      <c r="D94" s="62"/>
      <c r="E94" s="253">
        <v>55719</v>
      </c>
      <c r="F94" s="466"/>
      <c r="G94" s="29">
        <v>1</v>
      </c>
      <c r="H94" s="514"/>
      <c r="I94" s="386">
        <f>+Table16[[#This Row],[Quantity]]*Table16[[#This Row],[Unit Price]]</f>
        <v>0</v>
      </c>
    </row>
    <row r="95" spans="1:9" x14ac:dyDescent="0.35">
      <c r="A95" s="235" t="s">
        <v>1158</v>
      </c>
      <c r="B95" s="253" t="s">
        <v>487</v>
      </c>
      <c r="C95" s="340"/>
      <c r="D95" s="62"/>
      <c r="E95" s="253">
        <v>55719</v>
      </c>
      <c r="F95" s="466"/>
      <c r="G95" s="29">
        <v>1</v>
      </c>
      <c r="H95" s="514"/>
      <c r="I95" s="386">
        <f>+Table16[[#This Row],[Quantity]]*Table16[[#This Row],[Unit Price]]</f>
        <v>0</v>
      </c>
    </row>
    <row r="96" spans="1:9" x14ac:dyDescent="0.35">
      <c r="A96" s="235" t="s">
        <v>1159</v>
      </c>
      <c r="B96" s="253" t="s">
        <v>484</v>
      </c>
      <c r="C96" s="340"/>
      <c r="D96" s="62"/>
      <c r="E96" s="253">
        <v>55719</v>
      </c>
      <c r="F96" s="466"/>
      <c r="G96" s="29">
        <v>1</v>
      </c>
      <c r="H96" s="514"/>
      <c r="I96" s="386">
        <f>+Table16[[#This Row],[Quantity]]*Table16[[#This Row],[Unit Price]]</f>
        <v>0</v>
      </c>
    </row>
    <row r="97" spans="1:9" x14ac:dyDescent="0.35">
      <c r="A97" s="235" t="s">
        <v>931</v>
      </c>
      <c r="B97" s="253" t="s">
        <v>66</v>
      </c>
      <c r="C97" s="340"/>
      <c r="D97" s="62"/>
      <c r="E97" s="253">
        <v>55719</v>
      </c>
      <c r="F97" s="466"/>
      <c r="G97" s="29">
        <v>1</v>
      </c>
      <c r="H97" s="514"/>
      <c r="I97" s="386">
        <f>+Table16[[#This Row],[Quantity]]*Table16[[#This Row],[Unit Price]]</f>
        <v>0</v>
      </c>
    </row>
    <row r="98" spans="1:9" x14ac:dyDescent="0.35">
      <c r="A98" s="235" t="s">
        <v>932</v>
      </c>
      <c r="B98" s="253" t="s">
        <v>432</v>
      </c>
      <c r="C98" s="340"/>
      <c r="D98" s="62"/>
      <c r="E98" s="253">
        <v>55719</v>
      </c>
      <c r="F98" s="466"/>
      <c r="G98" s="29">
        <v>1</v>
      </c>
      <c r="H98" s="514"/>
      <c r="I98" s="386">
        <f>+Table16[[#This Row],[Quantity]]*Table16[[#This Row],[Unit Price]]</f>
        <v>0</v>
      </c>
    </row>
    <row r="99" spans="1:9" x14ac:dyDescent="0.35">
      <c r="A99" s="235" t="s">
        <v>1160</v>
      </c>
      <c r="B99" s="253" t="s">
        <v>467</v>
      </c>
      <c r="C99" s="340"/>
      <c r="D99" s="62"/>
      <c r="E99" s="253">
        <v>55719</v>
      </c>
      <c r="F99" s="466"/>
      <c r="G99" s="29">
        <v>1</v>
      </c>
      <c r="H99" s="514"/>
      <c r="I99" s="386">
        <f>+Table16[[#This Row],[Quantity]]*Table16[[#This Row],[Unit Price]]</f>
        <v>0</v>
      </c>
    </row>
    <row r="100" spans="1:9" x14ac:dyDescent="0.35">
      <c r="A100" s="235" t="s">
        <v>1161</v>
      </c>
      <c r="B100" s="253" t="s">
        <v>617</v>
      </c>
      <c r="C100" s="340"/>
      <c r="D100" s="62"/>
      <c r="E100" s="253">
        <v>55719</v>
      </c>
      <c r="F100" s="466"/>
      <c r="G100" s="29">
        <v>1</v>
      </c>
      <c r="H100" s="514"/>
      <c r="I100" s="386">
        <f>+Table16[[#This Row],[Quantity]]*Table16[[#This Row],[Unit Price]]</f>
        <v>0</v>
      </c>
    </row>
    <row r="101" spans="1:9" x14ac:dyDescent="0.35">
      <c r="A101" s="235" t="s">
        <v>933</v>
      </c>
      <c r="B101" s="253" t="s">
        <v>433</v>
      </c>
      <c r="C101" s="340"/>
      <c r="D101" s="62"/>
      <c r="E101" s="253">
        <v>55719</v>
      </c>
      <c r="F101" s="466"/>
      <c r="G101" s="29">
        <v>1</v>
      </c>
      <c r="H101" s="514"/>
      <c r="I101" s="386">
        <f>+Table16[[#This Row],[Quantity]]*Table16[[#This Row],[Unit Price]]</f>
        <v>0</v>
      </c>
    </row>
    <row r="102" spans="1:9" x14ac:dyDescent="0.35">
      <c r="A102" s="235" t="s">
        <v>1162</v>
      </c>
      <c r="B102" s="253" t="s">
        <v>84</v>
      </c>
      <c r="C102" s="340"/>
      <c r="D102" s="62"/>
      <c r="E102" s="253">
        <v>55719</v>
      </c>
      <c r="F102" s="466"/>
      <c r="G102" s="29">
        <v>1</v>
      </c>
      <c r="H102" s="514"/>
      <c r="I102" s="386">
        <f>+Table16[[#This Row],[Quantity]]*Table16[[#This Row],[Unit Price]]</f>
        <v>0</v>
      </c>
    </row>
    <row r="103" spans="1:9" x14ac:dyDescent="0.35">
      <c r="A103" s="235" t="s">
        <v>934</v>
      </c>
      <c r="B103" s="253" t="s">
        <v>434</v>
      </c>
      <c r="C103" s="340"/>
      <c r="D103" s="62"/>
      <c r="E103" s="253">
        <v>55719</v>
      </c>
      <c r="F103" s="466"/>
      <c r="G103" s="29">
        <v>1</v>
      </c>
      <c r="H103" s="514"/>
      <c r="I103" s="386">
        <f>+Table16[[#This Row],[Quantity]]*Table16[[#This Row],[Unit Price]]</f>
        <v>0</v>
      </c>
    </row>
    <row r="104" spans="1:9" x14ac:dyDescent="0.35">
      <c r="A104" s="235" t="s">
        <v>1163</v>
      </c>
      <c r="B104" s="253" t="s">
        <v>83</v>
      </c>
      <c r="C104" s="340"/>
      <c r="D104" s="62"/>
      <c r="E104" s="253">
        <v>55719</v>
      </c>
      <c r="F104" s="466"/>
      <c r="G104" s="29">
        <v>1</v>
      </c>
      <c r="H104" s="514"/>
      <c r="I104" s="386">
        <f>+Table16[[#This Row],[Quantity]]*Table16[[#This Row],[Unit Price]]</f>
        <v>0</v>
      </c>
    </row>
    <row r="105" spans="1:9" x14ac:dyDescent="0.35">
      <c r="A105" s="235" t="s">
        <v>14</v>
      </c>
      <c r="B105" s="253" t="s">
        <v>334</v>
      </c>
      <c r="C105" s="340"/>
      <c r="D105" s="62"/>
      <c r="E105" s="253">
        <v>55719</v>
      </c>
      <c r="F105" s="466"/>
      <c r="G105" s="29">
        <v>2</v>
      </c>
      <c r="H105" s="514"/>
      <c r="I105" s="386">
        <f>+Table16[[#This Row],[Quantity]]*Table16[[#This Row],[Unit Price]]</f>
        <v>0</v>
      </c>
    </row>
    <row r="106" spans="1:9" x14ac:dyDescent="0.35">
      <c r="A106" s="235" t="s">
        <v>36</v>
      </c>
      <c r="B106" s="253" t="s">
        <v>37</v>
      </c>
      <c r="C106" s="340"/>
      <c r="D106" s="62"/>
      <c r="E106" s="253">
        <v>55719</v>
      </c>
      <c r="F106" s="466"/>
      <c r="G106" s="29">
        <v>1</v>
      </c>
      <c r="H106" s="514"/>
      <c r="I106" s="386">
        <f>+Table16[[#This Row],[Quantity]]*Table16[[#This Row],[Unit Price]]</f>
        <v>0</v>
      </c>
    </row>
    <row r="107" spans="1:9" x14ac:dyDescent="0.35">
      <c r="A107" s="235" t="s">
        <v>881</v>
      </c>
      <c r="B107" s="253" t="s">
        <v>417</v>
      </c>
      <c r="C107" s="340"/>
      <c r="D107" s="62"/>
      <c r="E107" s="253">
        <v>55719</v>
      </c>
      <c r="F107" s="466"/>
      <c r="G107" s="29">
        <v>1</v>
      </c>
      <c r="H107" s="514"/>
      <c r="I107" s="386">
        <f>+Table16[[#This Row],[Quantity]]*Table16[[#This Row],[Unit Price]]</f>
        <v>0</v>
      </c>
    </row>
    <row r="108" spans="1:9" x14ac:dyDescent="0.35">
      <c r="A108" s="235" t="s">
        <v>10</v>
      </c>
      <c r="B108" s="253" t="s">
        <v>418</v>
      </c>
      <c r="C108" s="340"/>
      <c r="D108" s="62"/>
      <c r="E108" s="253">
        <v>55719</v>
      </c>
      <c r="F108" s="466"/>
      <c r="G108" s="29">
        <v>1</v>
      </c>
      <c r="H108" s="514"/>
      <c r="I108" s="386">
        <f>+Table16[[#This Row],[Quantity]]*Table16[[#This Row],[Unit Price]]</f>
        <v>0</v>
      </c>
    </row>
    <row r="109" spans="1:9" x14ac:dyDescent="0.35">
      <c r="A109" s="235" t="s">
        <v>1268</v>
      </c>
      <c r="B109" s="253" t="s">
        <v>836</v>
      </c>
      <c r="C109" s="340"/>
      <c r="D109" s="62"/>
      <c r="E109" s="253">
        <v>55719</v>
      </c>
      <c r="F109" s="466"/>
      <c r="G109" s="29">
        <v>1</v>
      </c>
      <c r="H109" s="514"/>
      <c r="I109" s="386">
        <f>+Table16[[#This Row],[Quantity]]*Table16[[#This Row],[Unit Price]]</f>
        <v>0</v>
      </c>
    </row>
    <row r="110" spans="1:9" x14ac:dyDescent="0.35">
      <c r="A110" s="235" t="s">
        <v>1275</v>
      </c>
      <c r="B110" s="253" t="s">
        <v>823</v>
      </c>
      <c r="C110" s="340"/>
      <c r="D110" s="62"/>
      <c r="E110" s="253">
        <v>55719</v>
      </c>
      <c r="F110" s="466"/>
      <c r="G110" s="29">
        <v>1</v>
      </c>
      <c r="H110" s="514"/>
      <c r="I110" s="386">
        <f>+Table16[[#This Row],[Quantity]]*Table16[[#This Row],[Unit Price]]</f>
        <v>0</v>
      </c>
    </row>
    <row r="111" spans="1:9" x14ac:dyDescent="0.35">
      <c r="A111" s="235" t="s">
        <v>19</v>
      </c>
      <c r="B111" s="253" t="s">
        <v>242</v>
      </c>
      <c r="C111" s="340"/>
      <c r="D111" s="62"/>
      <c r="E111" s="253">
        <v>55719</v>
      </c>
      <c r="F111" s="466"/>
      <c r="G111" s="29">
        <v>2</v>
      </c>
      <c r="H111" s="514"/>
      <c r="I111" s="386">
        <f>+Table16[[#This Row],[Quantity]]*Table16[[#This Row],[Unit Price]]</f>
        <v>0</v>
      </c>
    </row>
    <row r="112" spans="1:9" x14ac:dyDescent="0.35">
      <c r="A112" s="235" t="s">
        <v>13</v>
      </c>
      <c r="B112" s="253" t="s">
        <v>420</v>
      </c>
      <c r="C112" s="340"/>
      <c r="D112" s="62"/>
      <c r="E112" s="253">
        <v>55719</v>
      </c>
      <c r="F112" s="466"/>
      <c r="G112" s="29">
        <v>1</v>
      </c>
      <c r="H112" s="514"/>
      <c r="I112" s="386">
        <f>+Table16[[#This Row],[Quantity]]*Table16[[#This Row],[Unit Price]]</f>
        <v>0</v>
      </c>
    </row>
    <row r="113" spans="1:9" x14ac:dyDescent="0.35">
      <c r="A113" s="235" t="s">
        <v>2359</v>
      </c>
      <c r="B113" s="253" t="s">
        <v>2358</v>
      </c>
      <c r="C113" s="340"/>
      <c r="D113" s="62"/>
      <c r="E113" s="253">
        <v>55719</v>
      </c>
      <c r="F113" s="466"/>
      <c r="G113" s="29">
        <v>1</v>
      </c>
      <c r="H113" s="514"/>
      <c r="I113" s="386">
        <f>+Table16[[#This Row],[Quantity]]*Table16[[#This Row],[Unit Price]]</f>
        <v>0</v>
      </c>
    </row>
    <row r="114" spans="1:9" x14ac:dyDescent="0.35">
      <c r="A114" s="235" t="s">
        <v>5</v>
      </c>
      <c r="B114" s="253" t="s">
        <v>415</v>
      </c>
      <c r="C114" s="340"/>
      <c r="D114" s="62"/>
      <c r="E114" s="253">
        <v>55719</v>
      </c>
      <c r="F114" s="466"/>
      <c r="G114" s="29">
        <v>1</v>
      </c>
      <c r="H114" s="514"/>
      <c r="I114" s="386">
        <f>+Table16[[#This Row],[Quantity]]*Table16[[#This Row],[Unit Price]]</f>
        <v>0</v>
      </c>
    </row>
    <row r="115" spans="1:9" x14ac:dyDescent="0.35">
      <c r="A115" s="235" t="s">
        <v>181</v>
      </c>
      <c r="B115" s="253" t="s">
        <v>182</v>
      </c>
      <c r="C115" s="340"/>
      <c r="D115" s="62"/>
      <c r="E115" s="253">
        <v>55719</v>
      </c>
      <c r="F115" s="466"/>
      <c r="G115" s="29">
        <v>1</v>
      </c>
      <c r="H115" s="514"/>
      <c r="I115" s="386">
        <f>+Table16[[#This Row],[Quantity]]*Table16[[#This Row],[Unit Price]]</f>
        <v>0</v>
      </c>
    </row>
    <row r="116" spans="1:9" x14ac:dyDescent="0.35">
      <c r="A116" s="235" t="s">
        <v>11</v>
      </c>
      <c r="B116" s="253" t="s">
        <v>233</v>
      </c>
      <c r="C116" s="340"/>
      <c r="D116" s="62"/>
      <c r="E116" s="253">
        <v>55719</v>
      </c>
      <c r="F116" s="466"/>
      <c r="G116" s="29">
        <v>1</v>
      </c>
      <c r="H116" s="514"/>
      <c r="I116" s="386">
        <f>+Table16[[#This Row],[Quantity]]*Table16[[#This Row],[Unit Price]]</f>
        <v>0</v>
      </c>
    </row>
    <row r="117" spans="1:9" x14ac:dyDescent="0.35">
      <c r="A117" s="235" t="s">
        <v>12</v>
      </c>
      <c r="B117" s="253" t="s">
        <v>150</v>
      </c>
      <c r="C117" s="340"/>
      <c r="D117" s="62"/>
      <c r="E117" s="253">
        <v>55719</v>
      </c>
      <c r="F117" s="466"/>
      <c r="G117" s="29">
        <v>1</v>
      </c>
      <c r="H117" s="514"/>
      <c r="I117" s="386">
        <f>+Table16[[#This Row],[Quantity]]*Table16[[#This Row],[Unit Price]]</f>
        <v>0</v>
      </c>
    </row>
    <row r="118" spans="1:9" x14ac:dyDescent="0.35">
      <c r="A118" s="235" t="s">
        <v>887</v>
      </c>
      <c r="B118" s="253" t="s">
        <v>802</v>
      </c>
      <c r="C118" s="340"/>
      <c r="D118" s="62"/>
      <c r="E118" s="253">
        <v>55719</v>
      </c>
      <c r="F118" s="466"/>
      <c r="G118" s="29">
        <v>1</v>
      </c>
      <c r="H118" s="514"/>
      <c r="I118" s="386">
        <f>+Table16[[#This Row],[Quantity]]*Table16[[#This Row],[Unit Price]]</f>
        <v>0</v>
      </c>
    </row>
    <row r="119" spans="1:9" x14ac:dyDescent="0.35">
      <c r="A119" s="235" t="s">
        <v>64</v>
      </c>
      <c r="B119" s="253" t="s">
        <v>841</v>
      </c>
      <c r="C119" s="340"/>
      <c r="D119" s="62"/>
      <c r="E119" s="253">
        <v>55719</v>
      </c>
      <c r="F119" s="466"/>
      <c r="G119" s="29">
        <v>1</v>
      </c>
      <c r="H119" s="514"/>
      <c r="I119" s="386">
        <f>+Table16[[#This Row],[Quantity]]*Table16[[#This Row],[Unit Price]]</f>
        <v>0</v>
      </c>
    </row>
    <row r="120" spans="1:9" x14ac:dyDescent="0.35">
      <c r="A120" s="235" t="s">
        <v>1042</v>
      </c>
      <c r="B120" s="253" t="s">
        <v>429</v>
      </c>
      <c r="C120" s="340"/>
      <c r="D120" s="62"/>
      <c r="E120" s="253">
        <v>55719</v>
      </c>
      <c r="F120" s="466"/>
      <c r="G120" s="29">
        <v>1</v>
      </c>
      <c r="H120" s="514"/>
      <c r="I120" s="386">
        <f>+Table16[[#This Row],[Quantity]]*Table16[[#This Row],[Unit Price]]</f>
        <v>0</v>
      </c>
    </row>
    <row r="121" spans="1:9" x14ac:dyDescent="0.35">
      <c r="A121" s="235" t="s">
        <v>1109</v>
      </c>
      <c r="B121" s="253" t="s">
        <v>340</v>
      </c>
      <c r="C121" s="340"/>
      <c r="D121" s="62"/>
      <c r="E121" s="253">
        <v>55719</v>
      </c>
      <c r="F121" s="466"/>
      <c r="G121" s="29">
        <v>1</v>
      </c>
      <c r="H121" s="514"/>
      <c r="I121" s="386">
        <f>+Table16[[#This Row],[Quantity]]*Table16[[#This Row],[Unit Price]]</f>
        <v>0</v>
      </c>
    </row>
    <row r="122" spans="1:9" x14ac:dyDescent="0.35">
      <c r="A122" s="235" t="s">
        <v>4</v>
      </c>
      <c r="B122" s="253" t="s">
        <v>86</v>
      </c>
      <c r="C122" s="340"/>
      <c r="D122" s="62"/>
      <c r="E122" s="253">
        <v>55719</v>
      </c>
      <c r="F122" s="466"/>
      <c r="G122" s="29">
        <v>1</v>
      </c>
      <c r="H122" s="514"/>
      <c r="I122" s="386">
        <f>+Table16[[#This Row],[Quantity]]*Table16[[#This Row],[Unit Price]]</f>
        <v>0</v>
      </c>
    </row>
    <row r="123" spans="1:9" x14ac:dyDescent="0.35">
      <c r="A123" s="235" t="s">
        <v>97</v>
      </c>
      <c r="B123" s="253" t="s">
        <v>457</v>
      </c>
      <c r="C123" s="340"/>
      <c r="D123" s="62"/>
      <c r="E123" s="253">
        <v>55719</v>
      </c>
      <c r="F123" s="466"/>
      <c r="G123" s="29">
        <v>1</v>
      </c>
      <c r="H123" s="514"/>
      <c r="I123" s="386">
        <f>+Table16[[#This Row],[Quantity]]*Table16[[#This Row],[Unit Price]]</f>
        <v>0</v>
      </c>
    </row>
    <row r="124" spans="1:9" x14ac:dyDescent="0.35">
      <c r="A124" s="235" t="s">
        <v>821</v>
      </c>
      <c r="B124" s="253" t="s">
        <v>782</v>
      </c>
      <c r="C124" s="340"/>
      <c r="D124" s="62"/>
      <c r="E124" s="253">
        <v>55719</v>
      </c>
      <c r="F124" s="466"/>
      <c r="G124" s="29">
        <v>1</v>
      </c>
      <c r="H124" s="514"/>
      <c r="I124" s="386">
        <f>+Table16[[#This Row],[Quantity]]*Table16[[#This Row],[Unit Price]]</f>
        <v>0</v>
      </c>
    </row>
    <row r="125" spans="1:9" x14ac:dyDescent="0.35">
      <c r="A125" s="74"/>
      <c r="B125" s="81"/>
      <c r="C125" s="516"/>
      <c r="D125" s="517"/>
      <c r="E125" s="515"/>
      <c r="F125" s="518"/>
      <c r="G125" s="519"/>
      <c r="H125" s="520"/>
      <c r="I125" s="426">
        <f>SUM(I2:I124)</f>
        <v>0</v>
      </c>
    </row>
    <row r="127" spans="1:9" s="4" customFormat="1" ht="17.5" x14ac:dyDescent="0.35">
      <c r="A127" s="309" t="s">
        <v>1536</v>
      </c>
      <c r="B127" s="312"/>
      <c r="C127" s="249"/>
      <c r="D127" s="3"/>
      <c r="E127" s="249"/>
      <c r="F127" s="249"/>
      <c r="G127" s="249"/>
      <c r="H127" s="432"/>
      <c r="I127" s="406"/>
    </row>
    <row r="128" spans="1:9" s="4" customFormat="1" ht="17.5" x14ac:dyDescent="0.35">
      <c r="A128" s="309" t="s">
        <v>2396</v>
      </c>
      <c r="B128" s="312"/>
      <c r="C128" s="249"/>
      <c r="D128" s="3"/>
      <c r="E128" s="249"/>
      <c r="F128" s="249"/>
      <c r="G128" s="249"/>
      <c r="H128" s="432"/>
      <c r="I128" s="406"/>
    </row>
    <row r="129" spans="1:2" ht="17.5" x14ac:dyDescent="0.35">
      <c r="A129" s="367" t="s">
        <v>2659</v>
      </c>
      <c r="B129" s="201"/>
    </row>
    <row r="130" spans="1:2" ht="17.5" x14ac:dyDescent="0.35">
      <c r="A130" s="334" t="s">
        <v>2701</v>
      </c>
      <c r="B130" s="456">
        <f>+Table16[[#Totals],[Extended price]]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66"/>
  <sheetViews>
    <sheetView workbookViewId="0">
      <pane ySplit="1" topLeftCell="A127" activePane="bottomLeft" state="frozen"/>
      <selection activeCell="C26" sqref="C26"/>
      <selection pane="bottomLeft" activeCell="A169" sqref="A162:XFD169"/>
    </sheetView>
  </sheetViews>
  <sheetFormatPr defaultColWidth="9.08984375" defaultRowHeight="15.5" x14ac:dyDescent="0.35"/>
  <cols>
    <col min="1" max="1" width="78" style="104" bestFit="1" customWidth="1"/>
    <col min="2" max="2" width="20" style="54" bestFit="1" customWidth="1"/>
    <col min="3" max="3" width="21.1796875" style="54" customWidth="1"/>
    <col min="4" max="4" width="21.81640625" style="54" customWidth="1"/>
    <col min="5" max="5" width="14.36328125" style="54" customWidth="1"/>
    <col min="6" max="6" width="16.453125" style="54" customWidth="1"/>
    <col min="7" max="7" width="12.08984375" style="54" customWidth="1"/>
    <col min="8" max="8" width="13.08984375" style="521" customWidth="1"/>
    <col min="9" max="9" width="18.6328125" style="463" customWidth="1"/>
    <col min="10" max="10" width="17" style="104" bestFit="1" customWidth="1"/>
    <col min="11" max="16384" width="9.08984375" style="104"/>
  </cols>
  <sheetData>
    <row r="1" spans="1:9" x14ac:dyDescent="0.35">
      <c r="A1" s="567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81" t="s">
        <v>2699</v>
      </c>
      <c r="G1" s="23" t="s">
        <v>364</v>
      </c>
      <c r="H1" s="393" t="s">
        <v>2695</v>
      </c>
      <c r="I1" s="404" t="s">
        <v>2696</v>
      </c>
    </row>
    <row r="2" spans="1:9" x14ac:dyDescent="0.35">
      <c r="A2" s="259" t="s">
        <v>17</v>
      </c>
      <c r="B2" s="253" t="s">
        <v>2473</v>
      </c>
      <c r="C2" s="315"/>
      <c r="D2" s="253"/>
      <c r="E2" s="253">
        <v>55719</v>
      </c>
      <c r="F2" s="466"/>
      <c r="G2" s="222">
        <v>1</v>
      </c>
      <c r="H2" s="394"/>
      <c r="I2" s="433">
        <f t="shared" ref="I2:I33" si="0">+G2*H2</f>
        <v>0</v>
      </c>
    </row>
    <row r="3" spans="1:9" x14ac:dyDescent="0.35">
      <c r="A3" s="259" t="s">
        <v>408</v>
      </c>
      <c r="B3" s="253" t="s">
        <v>1562</v>
      </c>
      <c r="C3" s="315"/>
      <c r="D3" s="253"/>
      <c r="E3" s="253">
        <v>55719</v>
      </c>
      <c r="F3" s="466"/>
      <c r="G3" s="222">
        <v>1</v>
      </c>
      <c r="H3" s="394"/>
      <c r="I3" s="433">
        <f t="shared" si="0"/>
        <v>0</v>
      </c>
    </row>
    <row r="4" spans="1:9" x14ac:dyDescent="0.35">
      <c r="A4" s="259" t="s">
        <v>5</v>
      </c>
      <c r="B4" s="253" t="s">
        <v>415</v>
      </c>
      <c r="C4" s="315"/>
      <c r="D4" s="253"/>
      <c r="E4" s="253">
        <v>55719</v>
      </c>
      <c r="F4" s="466"/>
      <c r="G4" s="222">
        <v>1</v>
      </c>
      <c r="H4" s="394"/>
      <c r="I4" s="433">
        <f t="shared" si="0"/>
        <v>0</v>
      </c>
    </row>
    <row r="5" spans="1:9" x14ac:dyDescent="0.35">
      <c r="A5" s="259" t="s">
        <v>1643</v>
      </c>
      <c r="B5" s="253" t="s">
        <v>1642</v>
      </c>
      <c r="C5" s="315"/>
      <c r="D5" s="253"/>
      <c r="E5" s="253">
        <v>55719</v>
      </c>
      <c r="F5" s="466"/>
      <c r="G5" s="222">
        <v>1</v>
      </c>
      <c r="H5" s="394"/>
      <c r="I5" s="433">
        <f t="shared" si="0"/>
        <v>0</v>
      </c>
    </row>
    <row r="6" spans="1:9" x14ac:dyDescent="0.35">
      <c r="A6" s="259" t="s">
        <v>2381</v>
      </c>
      <c r="B6" s="253" t="s">
        <v>646</v>
      </c>
      <c r="C6" s="315"/>
      <c r="D6" s="253"/>
      <c r="E6" s="253">
        <v>55719</v>
      </c>
      <c r="F6" s="466"/>
      <c r="G6" s="222">
        <v>1</v>
      </c>
      <c r="H6" s="394"/>
      <c r="I6" s="433">
        <f t="shared" si="0"/>
        <v>0</v>
      </c>
    </row>
    <row r="7" spans="1:9" x14ac:dyDescent="0.35">
      <c r="A7" s="259" t="s">
        <v>1390</v>
      </c>
      <c r="B7" s="253" t="s">
        <v>494</v>
      </c>
      <c r="C7" s="315"/>
      <c r="D7" s="253"/>
      <c r="E7" s="253">
        <v>55719</v>
      </c>
      <c r="F7" s="466"/>
      <c r="G7" s="222">
        <v>1</v>
      </c>
      <c r="H7" s="394"/>
      <c r="I7" s="433">
        <f t="shared" si="0"/>
        <v>0</v>
      </c>
    </row>
    <row r="8" spans="1:9" x14ac:dyDescent="0.35">
      <c r="A8" s="259" t="s">
        <v>1392</v>
      </c>
      <c r="B8" s="253" t="s">
        <v>791</v>
      </c>
      <c r="C8" s="315"/>
      <c r="D8" s="253"/>
      <c r="E8" s="253">
        <v>55719</v>
      </c>
      <c r="F8" s="466"/>
      <c r="G8" s="222">
        <v>1</v>
      </c>
      <c r="H8" s="394"/>
      <c r="I8" s="433">
        <f t="shared" si="0"/>
        <v>0</v>
      </c>
    </row>
    <row r="9" spans="1:9" x14ac:dyDescent="0.35">
      <c r="A9" s="259" t="s">
        <v>16</v>
      </c>
      <c r="B9" s="253" t="s">
        <v>360</v>
      </c>
      <c r="C9" s="315"/>
      <c r="D9" s="253"/>
      <c r="E9" s="253">
        <v>55719</v>
      </c>
      <c r="F9" s="466"/>
      <c r="G9" s="222">
        <v>1</v>
      </c>
      <c r="H9" s="394"/>
      <c r="I9" s="433">
        <f t="shared" si="0"/>
        <v>0</v>
      </c>
    </row>
    <row r="10" spans="1:9" x14ac:dyDescent="0.35">
      <c r="A10" s="259" t="s">
        <v>1097</v>
      </c>
      <c r="B10" s="253" t="s">
        <v>796</v>
      </c>
      <c r="C10" s="315"/>
      <c r="D10" s="253"/>
      <c r="E10" s="253">
        <v>55719</v>
      </c>
      <c r="F10" s="466"/>
      <c r="G10" s="222">
        <v>1</v>
      </c>
      <c r="H10" s="394"/>
      <c r="I10" s="433">
        <f t="shared" si="0"/>
        <v>0</v>
      </c>
    </row>
    <row r="11" spans="1:9" x14ac:dyDescent="0.35">
      <c r="A11" s="259" t="s">
        <v>1294</v>
      </c>
      <c r="B11" s="253" t="s">
        <v>2461</v>
      </c>
      <c r="C11" s="315"/>
      <c r="D11" s="253"/>
      <c r="E11" s="253">
        <v>55719</v>
      </c>
      <c r="F11" s="466"/>
      <c r="G11" s="222">
        <v>1</v>
      </c>
      <c r="H11" s="394"/>
      <c r="I11" s="433">
        <f t="shared" si="0"/>
        <v>0</v>
      </c>
    </row>
    <row r="12" spans="1:9" x14ac:dyDescent="0.35">
      <c r="A12" s="259" t="s">
        <v>1411</v>
      </c>
      <c r="B12" s="253" t="s">
        <v>49</v>
      </c>
      <c r="C12" s="315"/>
      <c r="D12" s="253"/>
      <c r="E12" s="253">
        <v>55719</v>
      </c>
      <c r="F12" s="466"/>
      <c r="G12" s="222">
        <v>1</v>
      </c>
      <c r="H12" s="394"/>
      <c r="I12" s="433">
        <f t="shared" si="0"/>
        <v>0</v>
      </c>
    </row>
    <row r="13" spans="1:9" x14ac:dyDescent="0.35">
      <c r="A13" s="259" t="s">
        <v>1412</v>
      </c>
      <c r="B13" s="253" t="s">
        <v>480</v>
      </c>
      <c r="C13" s="315"/>
      <c r="D13" s="253"/>
      <c r="E13" s="253">
        <v>55719</v>
      </c>
      <c r="F13" s="466"/>
      <c r="G13" s="222">
        <v>1</v>
      </c>
      <c r="H13" s="394"/>
      <c r="I13" s="433">
        <f t="shared" si="0"/>
        <v>0</v>
      </c>
    </row>
    <row r="14" spans="1:9" x14ac:dyDescent="0.35">
      <c r="A14" s="259" t="s">
        <v>892</v>
      </c>
      <c r="B14" s="253" t="s">
        <v>440</v>
      </c>
      <c r="C14" s="315"/>
      <c r="D14" s="253"/>
      <c r="E14" s="253">
        <v>55719</v>
      </c>
      <c r="F14" s="466"/>
      <c r="G14" s="222">
        <v>1</v>
      </c>
      <c r="H14" s="394"/>
      <c r="I14" s="433">
        <f t="shared" si="0"/>
        <v>0</v>
      </c>
    </row>
    <row r="15" spans="1:9" x14ac:dyDescent="0.35">
      <c r="A15" s="259" t="s">
        <v>894</v>
      </c>
      <c r="B15" s="253" t="s">
        <v>441</v>
      </c>
      <c r="C15" s="315"/>
      <c r="D15" s="253"/>
      <c r="E15" s="253">
        <v>55719</v>
      </c>
      <c r="F15" s="466"/>
      <c r="G15" s="222">
        <v>1</v>
      </c>
      <c r="H15" s="394"/>
      <c r="I15" s="433">
        <f t="shared" si="0"/>
        <v>0</v>
      </c>
    </row>
    <row r="16" spans="1:9" x14ac:dyDescent="0.35">
      <c r="A16" s="259" t="s">
        <v>893</v>
      </c>
      <c r="B16" s="253" t="s">
        <v>149</v>
      </c>
      <c r="C16" s="315"/>
      <c r="D16" s="253"/>
      <c r="E16" s="253">
        <v>55719</v>
      </c>
      <c r="F16" s="466"/>
      <c r="G16" s="222">
        <v>1</v>
      </c>
      <c r="H16" s="394"/>
      <c r="I16" s="433">
        <f t="shared" si="0"/>
        <v>0</v>
      </c>
    </row>
    <row r="17" spans="1:9" x14ac:dyDescent="0.35">
      <c r="A17" s="259" t="s">
        <v>884</v>
      </c>
      <c r="B17" s="253" t="s">
        <v>198</v>
      </c>
      <c r="C17" s="315"/>
      <c r="D17" s="253"/>
      <c r="E17" s="253">
        <v>55719</v>
      </c>
      <c r="F17" s="466"/>
      <c r="G17" s="222">
        <v>1</v>
      </c>
      <c r="H17" s="394"/>
      <c r="I17" s="433">
        <f t="shared" si="0"/>
        <v>0</v>
      </c>
    </row>
    <row r="18" spans="1:9" x14ac:dyDescent="0.35">
      <c r="A18" s="259" t="s">
        <v>895</v>
      </c>
      <c r="B18" s="253" t="s">
        <v>357</v>
      </c>
      <c r="C18" s="315"/>
      <c r="D18" s="253"/>
      <c r="E18" s="253">
        <v>55719</v>
      </c>
      <c r="F18" s="466"/>
      <c r="G18" s="222">
        <v>1</v>
      </c>
      <c r="H18" s="394"/>
      <c r="I18" s="433">
        <f t="shared" si="0"/>
        <v>0</v>
      </c>
    </row>
    <row r="19" spans="1:9" x14ac:dyDescent="0.35">
      <c r="A19" s="259" t="s">
        <v>1020</v>
      </c>
      <c r="B19" s="253" t="s">
        <v>271</v>
      </c>
      <c r="C19" s="315"/>
      <c r="D19" s="253"/>
      <c r="E19" s="253">
        <v>55719</v>
      </c>
      <c r="F19" s="466"/>
      <c r="G19" s="222">
        <v>1</v>
      </c>
      <c r="H19" s="394"/>
      <c r="I19" s="433">
        <f t="shared" si="0"/>
        <v>0</v>
      </c>
    </row>
    <row r="20" spans="1:9" x14ac:dyDescent="0.35">
      <c r="A20" s="259" t="s">
        <v>1021</v>
      </c>
      <c r="B20" s="253" t="s">
        <v>269</v>
      </c>
      <c r="C20" s="315"/>
      <c r="D20" s="253"/>
      <c r="E20" s="253">
        <v>55719</v>
      </c>
      <c r="F20" s="466"/>
      <c r="G20" s="222">
        <v>1</v>
      </c>
      <c r="H20" s="394"/>
      <c r="I20" s="433">
        <f t="shared" si="0"/>
        <v>0</v>
      </c>
    </row>
    <row r="21" spans="1:9" x14ac:dyDescent="0.35">
      <c r="A21" s="259" t="s">
        <v>896</v>
      </c>
      <c r="B21" s="253" t="s">
        <v>272</v>
      </c>
      <c r="C21" s="315"/>
      <c r="D21" s="253"/>
      <c r="E21" s="253">
        <v>55719</v>
      </c>
      <c r="F21" s="466"/>
      <c r="G21" s="222">
        <v>1</v>
      </c>
      <c r="H21" s="394"/>
      <c r="I21" s="433">
        <f t="shared" si="0"/>
        <v>0</v>
      </c>
    </row>
    <row r="22" spans="1:9" x14ac:dyDescent="0.35">
      <c r="A22" s="259" t="s">
        <v>2583</v>
      </c>
      <c r="B22" s="253" t="s">
        <v>78</v>
      </c>
      <c r="C22" s="315"/>
      <c r="D22" s="253"/>
      <c r="E22" s="253">
        <v>55719</v>
      </c>
      <c r="F22" s="466"/>
      <c r="G22" s="222">
        <v>1</v>
      </c>
      <c r="H22" s="394"/>
      <c r="I22" s="433">
        <f t="shared" si="0"/>
        <v>0</v>
      </c>
    </row>
    <row r="23" spans="1:9" x14ac:dyDescent="0.35">
      <c r="A23" s="259" t="s">
        <v>2584</v>
      </c>
      <c r="B23" s="253" t="s">
        <v>263</v>
      </c>
      <c r="C23" s="315"/>
      <c r="D23" s="253"/>
      <c r="E23" s="253">
        <v>55719</v>
      </c>
      <c r="F23" s="466"/>
      <c r="G23" s="222">
        <v>1</v>
      </c>
      <c r="H23" s="394"/>
      <c r="I23" s="433">
        <f t="shared" si="0"/>
        <v>0</v>
      </c>
    </row>
    <row r="24" spans="1:9" x14ac:dyDescent="0.35">
      <c r="A24" s="259" t="s">
        <v>1119</v>
      </c>
      <c r="B24" s="253" t="s">
        <v>60</v>
      </c>
      <c r="C24" s="315"/>
      <c r="D24" s="253"/>
      <c r="E24" s="253">
        <v>55719</v>
      </c>
      <c r="F24" s="466"/>
      <c r="G24" s="222">
        <v>1</v>
      </c>
      <c r="H24" s="394"/>
      <c r="I24" s="433">
        <f t="shared" si="0"/>
        <v>0</v>
      </c>
    </row>
    <row r="25" spans="1:9" x14ac:dyDescent="0.35">
      <c r="A25" s="259" t="s">
        <v>15</v>
      </c>
      <c r="B25" s="253" t="s">
        <v>424</v>
      </c>
      <c r="C25" s="315"/>
      <c r="D25" s="253"/>
      <c r="E25" s="253">
        <v>55719</v>
      </c>
      <c r="F25" s="466"/>
      <c r="G25" s="222">
        <v>2</v>
      </c>
      <c r="H25" s="394"/>
      <c r="I25" s="433">
        <f t="shared" si="0"/>
        <v>0</v>
      </c>
    </row>
    <row r="26" spans="1:9" x14ac:dyDescent="0.35">
      <c r="A26" s="259" t="s">
        <v>1019</v>
      </c>
      <c r="B26" s="253" t="s">
        <v>90</v>
      </c>
      <c r="C26" s="315"/>
      <c r="D26" s="253"/>
      <c r="E26" s="253">
        <v>55719</v>
      </c>
      <c r="F26" s="466"/>
      <c r="G26" s="222">
        <v>1</v>
      </c>
      <c r="H26" s="394"/>
      <c r="I26" s="433">
        <f t="shared" si="0"/>
        <v>0</v>
      </c>
    </row>
    <row r="27" spans="1:9" x14ac:dyDescent="0.35">
      <c r="A27" s="259" t="s">
        <v>1129</v>
      </c>
      <c r="B27" s="253" t="s">
        <v>51</v>
      </c>
      <c r="C27" s="315"/>
      <c r="D27" s="253"/>
      <c r="E27" s="253">
        <v>55719</v>
      </c>
      <c r="F27" s="466"/>
      <c r="G27" s="222">
        <v>1</v>
      </c>
      <c r="H27" s="394"/>
      <c r="I27" s="433">
        <f t="shared" si="0"/>
        <v>0</v>
      </c>
    </row>
    <row r="28" spans="1:9" x14ac:dyDescent="0.35">
      <c r="A28" s="259" t="s">
        <v>1131</v>
      </c>
      <c r="B28" s="253" t="s">
        <v>151</v>
      </c>
      <c r="C28" s="315"/>
      <c r="D28" s="253"/>
      <c r="E28" s="253">
        <v>55719</v>
      </c>
      <c r="F28" s="466"/>
      <c r="G28" s="222">
        <v>1</v>
      </c>
      <c r="H28" s="394"/>
      <c r="I28" s="433">
        <f t="shared" si="0"/>
        <v>0</v>
      </c>
    </row>
    <row r="29" spans="1:9" x14ac:dyDescent="0.35">
      <c r="A29" s="259" t="s">
        <v>1133</v>
      </c>
      <c r="B29" s="253" t="s">
        <v>489</v>
      </c>
      <c r="C29" s="315"/>
      <c r="D29" s="253"/>
      <c r="E29" s="253">
        <v>55719</v>
      </c>
      <c r="F29" s="466"/>
      <c r="G29" s="222">
        <v>1</v>
      </c>
      <c r="H29" s="394"/>
      <c r="I29" s="433">
        <f t="shared" si="0"/>
        <v>0</v>
      </c>
    </row>
    <row r="30" spans="1:9" x14ac:dyDescent="0.35">
      <c r="A30" s="259" t="s">
        <v>1130</v>
      </c>
      <c r="B30" s="253" t="s">
        <v>838</v>
      </c>
      <c r="C30" s="315"/>
      <c r="D30" s="253"/>
      <c r="E30" s="253">
        <v>55719</v>
      </c>
      <c r="F30" s="466"/>
      <c r="G30" s="222">
        <v>1</v>
      </c>
      <c r="H30" s="394"/>
      <c r="I30" s="433">
        <f t="shared" si="0"/>
        <v>0</v>
      </c>
    </row>
    <row r="31" spans="1:9" x14ac:dyDescent="0.35">
      <c r="A31" s="259" t="s">
        <v>1134</v>
      </c>
      <c r="B31" s="253" t="s">
        <v>65</v>
      </c>
      <c r="C31" s="315"/>
      <c r="D31" s="253"/>
      <c r="E31" s="253">
        <v>55719</v>
      </c>
      <c r="F31" s="466"/>
      <c r="G31" s="222">
        <v>2</v>
      </c>
      <c r="H31" s="394"/>
      <c r="I31" s="433">
        <f t="shared" si="0"/>
        <v>0</v>
      </c>
    </row>
    <row r="32" spans="1:9" x14ac:dyDescent="0.35">
      <c r="A32" s="259" t="s">
        <v>1135</v>
      </c>
      <c r="B32" s="253" t="s">
        <v>490</v>
      </c>
      <c r="C32" s="315"/>
      <c r="D32" s="253"/>
      <c r="E32" s="253">
        <v>55719</v>
      </c>
      <c r="F32" s="466"/>
      <c r="G32" s="222">
        <v>1</v>
      </c>
      <c r="H32" s="394"/>
      <c r="I32" s="433">
        <f t="shared" si="0"/>
        <v>0</v>
      </c>
    </row>
    <row r="33" spans="1:9" x14ac:dyDescent="0.35">
      <c r="A33" s="259" t="s">
        <v>980</v>
      </c>
      <c r="B33" s="253" t="s">
        <v>236</v>
      </c>
      <c r="C33" s="315"/>
      <c r="D33" s="253"/>
      <c r="E33" s="253">
        <v>55719</v>
      </c>
      <c r="F33" s="466"/>
      <c r="G33" s="222">
        <v>1</v>
      </c>
      <c r="H33" s="394"/>
      <c r="I33" s="433">
        <f t="shared" si="0"/>
        <v>0</v>
      </c>
    </row>
    <row r="34" spans="1:9" x14ac:dyDescent="0.35">
      <c r="A34" s="259" t="s">
        <v>877</v>
      </c>
      <c r="B34" s="253" t="s">
        <v>365</v>
      </c>
      <c r="C34" s="315"/>
      <c r="D34" s="253"/>
      <c r="E34" s="253">
        <v>55719</v>
      </c>
      <c r="F34" s="466"/>
      <c r="G34" s="222">
        <v>1</v>
      </c>
      <c r="H34" s="394"/>
      <c r="I34" s="433">
        <f t="shared" ref="I34:I65" si="1">+G34*H34</f>
        <v>0</v>
      </c>
    </row>
    <row r="35" spans="1:9" x14ac:dyDescent="0.35">
      <c r="A35" s="259" t="s">
        <v>880</v>
      </c>
      <c r="B35" s="253" t="s">
        <v>366</v>
      </c>
      <c r="C35" s="315"/>
      <c r="D35" s="253"/>
      <c r="E35" s="253">
        <v>55719</v>
      </c>
      <c r="F35" s="466"/>
      <c r="G35" s="222">
        <v>1</v>
      </c>
      <c r="H35" s="394"/>
      <c r="I35" s="433">
        <f t="shared" si="1"/>
        <v>0</v>
      </c>
    </row>
    <row r="36" spans="1:9" x14ac:dyDescent="0.35">
      <c r="A36" s="259" t="s">
        <v>1101</v>
      </c>
      <c r="B36" s="253" t="s">
        <v>1570</v>
      </c>
      <c r="C36" s="315"/>
      <c r="D36" s="253"/>
      <c r="E36" s="253">
        <v>55719</v>
      </c>
      <c r="F36" s="466"/>
      <c r="G36" s="222">
        <v>1</v>
      </c>
      <c r="H36" s="394"/>
      <c r="I36" s="433">
        <f t="shared" si="1"/>
        <v>0</v>
      </c>
    </row>
    <row r="37" spans="1:9" x14ac:dyDescent="0.35">
      <c r="A37" s="259" t="s">
        <v>1103</v>
      </c>
      <c r="B37" s="253" t="s">
        <v>1571</v>
      </c>
      <c r="C37" s="315"/>
      <c r="D37" s="253"/>
      <c r="E37" s="253">
        <v>55719</v>
      </c>
      <c r="F37" s="466"/>
      <c r="G37" s="222">
        <v>1</v>
      </c>
      <c r="H37" s="394"/>
      <c r="I37" s="433">
        <f t="shared" si="1"/>
        <v>0</v>
      </c>
    </row>
    <row r="38" spans="1:9" x14ac:dyDescent="0.35">
      <c r="A38" s="259" t="s">
        <v>1104</v>
      </c>
      <c r="B38" s="253" t="s">
        <v>1572</v>
      </c>
      <c r="C38" s="315"/>
      <c r="D38" s="253"/>
      <c r="E38" s="253">
        <v>55719</v>
      </c>
      <c r="F38" s="466"/>
      <c r="G38" s="222">
        <v>1</v>
      </c>
      <c r="H38" s="394"/>
      <c r="I38" s="433">
        <f t="shared" si="1"/>
        <v>0</v>
      </c>
    </row>
    <row r="39" spans="1:9" x14ac:dyDescent="0.35">
      <c r="A39" s="259" t="s">
        <v>1102</v>
      </c>
      <c r="B39" s="253" t="s">
        <v>1573</v>
      </c>
      <c r="C39" s="315"/>
      <c r="D39" s="253"/>
      <c r="E39" s="253">
        <v>55719</v>
      </c>
      <c r="F39" s="466"/>
      <c r="G39" s="222">
        <v>1</v>
      </c>
      <c r="H39" s="394"/>
      <c r="I39" s="433">
        <f t="shared" si="1"/>
        <v>0</v>
      </c>
    </row>
    <row r="40" spans="1:9" x14ac:dyDescent="0.35">
      <c r="A40" s="259" t="s">
        <v>34</v>
      </c>
      <c r="B40" s="253" t="s">
        <v>1566</v>
      </c>
      <c r="C40" s="315"/>
      <c r="D40" s="253"/>
      <c r="E40" s="253">
        <v>55719</v>
      </c>
      <c r="F40" s="466"/>
      <c r="G40" s="222">
        <v>1</v>
      </c>
      <c r="H40" s="394"/>
      <c r="I40" s="433">
        <f t="shared" si="1"/>
        <v>0</v>
      </c>
    </row>
    <row r="41" spans="1:9" x14ac:dyDescent="0.35">
      <c r="A41" s="259" t="s">
        <v>35</v>
      </c>
      <c r="B41" s="253" t="s">
        <v>1567</v>
      </c>
      <c r="C41" s="315"/>
      <c r="D41" s="253"/>
      <c r="E41" s="253">
        <v>55719</v>
      </c>
      <c r="F41" s="466"/>
      <c r="G41" s="222">
        <v>1</v>
      </c>
      <c r="H41" s="394"/>
      <c r="I41" s="433">
        <f t="shared" si="1"/>
        <v>0</v>
      </c>
    </row>
    <row r="42" spans="1:9" x14ac:dyDescent="0.35">
      <c r="A42" s="259" t="s">
        <v>33</v>
      </c>
      <c r="B42" s="253" t="s">
        <v>1565</v>
      </c>
      <c r="C42" s="315"/>
      <c r="D42" s="253"/>
      <c r="E42" s="253">
        <v>55719</v>
      </c>
      <c r="F42" s="466"/>
      <c r="G42" s="222">
        <v>1</v>
      </c>
      <c r="H42" s="394"/>
      <c r="I42" s="433">
        <f t="shared" si="1"/>
        <v>0</v>
      </c>
    </row>
    <row r="43" spans="1:9" x14ac:dyDescent="0.35">
      <c r="A43" s="259" t="s">
        <v>834</v>
      </c>
      <c r="B43" s="253" t="s">
        <v>1568</v>
      </c>
      <c r="C43" s="315"/>
      <c r="D43" s="253"/>
      <c r="E43" s="253">
        <v>55719</v>
      </c>
      <c r="F43" s="466"/>
      <c r="G43" s="222">
        <v>1</v>
      </c>
      <c r="H43" s="394"/>
      <c r="I43" s="433">
        <f t="shared" si="1"/>
        <v>0</v>
      </c>
    </row>
    <row r="44" spans="1:9" x14ac:dyDescent="0.35">
      <c r="A44" s="259" t="s">
        <v>1069</v>
      </c>
      <c r="B44" s="253" t="s">
        <v>1569</v>
      </c>
      <c r="C44" s="315"/>
      <c r="D44" s="253"/>
      <c r="E44" s="253">
        <v>55719</v>
      </c>
      <c r="F44" s="466"/>
      <c r="G44" s="222">
        <v>1</v>
      </c>
      <c r="H44" s="394"/>
      <c r="I44" s="433">
        <f t="shared" si="1"/>
        <v>0</v>
      </c>
    </row>
    <row r="45" spans="1:9" x14ac:dyDescent="0.35">
      <c r="A45" s="259" t="s">
        <v>67</v>
      </c>
      <c r="B45" s="253" t="s">
        <v>204</v>
      </c>
      <c r="C45" s="315"/>
      <c r="D45" s="253"/>
      <c r="E45" s="253">
        <v>55719</v>
      </c>
      <c r="F45" s="466"/>
      <c r="G45" s="222">
        <v>1</v>
      </c>
      <c r="H45" s="394"/>
      <c r="I45" s="433">
        <f t="shared" si="1"/>
        <v>0</v>
      </c>
    </row>
    <row r="46" spans="1:9" x14ac:dyDescent="0.35">
      <c r="A46" s="259" t="s">
        <v>68</v>
      </c>
      <c r="B46" s="253" t="s">
        <v>205</v>
      </c>
      <c r="C46" s="315"/>
      <c r="D46" s="253"/>
      <c r="E46" s="253">
        <v>55719</v>
      </c>
      <c r="F46" s="466"/>
      <c r="G46" s="222">
        <v>1</v>
      </c>
      <c r="H46" s="394"/>
      <c r="I46" s="433">
        <f t="shared" si="1"/>
        <v>0</v>
      </c>
    </row>
    <row r="47" spans="1:9" x14ac:dyDescent="0.35">
      <c r="A47" s="235" t="s">
        <v>2540</v>
      </c>
      <c r="B47" s="253" t="s">
        <v>2456</v>
      </c>
      <c r="C47" s="315"/>
      <c r="D47" s="253"/>
      <c r="E47" s="253">
        <v>55719</v>
      </c>
      <c r="F47" s="466"/>
      <c r="G47" s="29">
        <v>1</v>
      </c>
      <c r="H47" s="514"/>
      <c r="I47" s="433">
        <f t="shared" si="1"/>
        <v>0</v>
      </c>
    </row>
    <row r="48" spans="1:9" x14ac:dyDescent="0.35">
      <c r="A48" s="259" t="s">
        <v>935</v>
      </c>
      <c r="B48" s="253" t="s">
        <v>359</v>
      </c>
      <c r="C48" s="315"/>
      <c r="D48" s="253"/>
      <c r="E48" s="253">
        <v>55719</v>
      </c>
      <c r="F48" s="466"/>
      <c r="G48" s="222">
        <v>2</v>
      </c>
      <c r="H48" s="394"/>
      <c r="I48" s="433">
        <f t="shared" si="1"/>
        <v>0</v>
      </c>
    </row>
    <row r="49" spans="1:9" x14ac:dyDescent="0.35">
      <c r="A49" s="259" t="s">
        <v>936</v>
      </c>
      <c r="B49" s="253" t="s">
        <v>185</v>
      </c>
      <c r="C49" s="315"/>
      <c r="D49" s="253"/>
      <c r="E49" s="253">
        <v>55719</v>
      </c>
      <c r="F49" s="466"/>
      <c r="G49" s="222">
        <v>2</v>
      </c>
      <c r="H49" s="394"/>
      <c r="I49" s="433">
        <f t="shared" si="1"/>
        <v>0</v>
      </c>
    </row>
    <row r="50" spans="1:9" x14ac:dyDescent="0.35">
      <c r="A50" s="259" t="s">
        <v>889</v>
      </c>
      <c r="B50" s="253" t="s">
        <v>227</v>
      </c>
      <c r="C50" s="315"/>
      <c r="D50" s="253"/>
      <c r="E50" s="253">
        <v>55719</v>
      </c>
      <c r="F50" s="466"/>
      <c r="G50" s="222">
        <v>2</v>
      </c>
      <c r="H50" s="394"/>
      <c r="I50" s="433">
        <f t="shared" si="1"/>
        <v>0</v>
      </c>
    </row>
    <row r="51" spans="1:9" x14ac:dyDescent="0.35">
      <c r="A51" s="259" t="s">
        <v>38</v>
      </c>
      <c r="B51" s="253" t="s">
        <v>200</v>
      </c>
      <c r="C51" s="315"/>
      <c r="D51" s="253"/>
      <c r="E51" s="253">
        <v>55719</v>
      </c>
      <c r="F51" s="466"/>
      <c r="G51" s="222">
        <v>1</v>
      </c>
      <c r="H51" s="394"/>
      <c r="I51" s="433">
        <f t="shared" si="1"/>
        <v>0</v>
      </c>
    </row>
    <row r="52" spans="1:9" x14ac:dyDescent="0.35">
      <c r="A52" s="259" t="s">
        <v>181</v>
      </c>
      <c r="B52" s="253" t="s">
        <v>182</v>
      </c>
      <c r="C52" s="315"/>
      <c r="D52" s="253"/>
      <c r="E52" s="253">
        <v>55719</v>
      </c>
      <c r="F52" s="466"/>
      <c r="G52" s="222">
        <v>1</v>
      </c>
      <c r="H52" s="394"/>
      <c r="I52" s="433">
        <f t="shared" si="1"/>
        <v>0</v>
      </c>
    </row>
    <row r="53" spans="1:9" x14ac:dyDescent="0.35">
      <c r="A53" s="259" t="s">
        <v>11</v>
      </c>
      <c r="B53" s="253" t="s">
        <v>233</v>
      </c>
      <c r="C53" s="315"/>
      <c r="D53" s="253"/>
      <c r="E53" s="253">
        <v>55719</v>
      </c>
      <c r="F53" s="466"/>
      <c r="G53" s="222">
        <v>1</v>
      </c>
      <c r="H53" s="394"/>
      <c r="I53" s="433">
        <f t="shared" si="1"/>
        <v>0</v>
      </c>
    </row>
    <row r="54" spans="1:9" x14ac:dyDescent="0.35">
      <c r="A54" s="259" t="s">
        <v>12</v>
      </c>
      <c r="B54" s="253" t="s">
        <v>150</v>
      </c>
      <c r="C54" s="315"/>
      <c r="D54" s="253"/>
      <c r="E54" s="253">
        <v>55719</v>
      </c>
      <c r="F54" s="466"/>
      <c r="G54" s="222">
        <v>1</v>
      </c>
      <c r="H54" s="394"/>
      <c r="I54" s="433">
        <f t="shared" si="1"/>
        <v>0</v>
      </c>
    </row>
    <row r="55" spans="1:9" x14ac:dyDescent="0.35">
      <c r="A55" s="259" t="s">
        <v>6</v>
      </c>
      <c r="B55" s="253" t="s">
        <v>87</v>
      </c>
      <c r="C55" s="315"/>
      <c r="D55" s="253"/>
      <c r="E55" s="253">
        <v>55719</v>
      </c>
      <c r="F55" s="466"/>
      <c r="G55" s="222">
        <v>1</v>
      </c>
      <c r="H55" s="394"/>
      <c r="I55" s="433">
        <f t="shared" si="1"/>
        <v>0</v>
      </c>
    </row>
    <row r="56" spans="1:9" x14ac:dyDescent="0.35">
      <c r="A56" s="259" t="s">
        <v>1193</v>
      </c>
      <c r="B56" s="253" t="s">
        <v>941</v>
      </c>
      <c r="C56" s="315"/>
      <c r="D56" s="253"/>
      <c r="E56" s="253">
        <v>55719</v>
      </c>
      <c r="F56" s="466"/>
      <c r="G56" s="222">
        <v>1</v>
      </c>
      <c r="H56" s="394"/>
      <c r="I56" s="433">
        <f t="shared" si="1"/>
        <v>0</v>
      </c>
    </row>
    <row r="57" spans="1:9" x14ac:dyDescent="0.35">
      <c r="A57" s="259" t="s">
        <v>1100</v>
      </c>
      <c r="B57" s="253" t="s">
        <v>810</v>
      </c>
      <c r="C57" s="315"/>
      <c r="D57" s="253"/>
      <c r="E57" s="253">
        <v>55719</v>
      </c>
      <c r="F57" s="466"/>
      <c r="G57" s="222">
        <v>1</v>
      </c>
      <c r="H57" s="394"/>
      <c r="I57" s="433">
        <f t="shared" si="1"/>
        <v>0</v>
      </c>
    </row>
    <row r="58" spans="1:9" x14ac:dyDescent="0.35">
      <c r="A58" s="259" t="s">
        <v>174</v>
      </c>
      <c r="B58" s="253" t="s">
        <v>215</v>
      </c>
      <c r="C58" s="315"/>
      <c r="D58" s="253"/>
      <c r="E58" s="253">
        <v>55719</v>
      </c>
      <c r="F58" s="466"/>
      <c r="G58" s="222">
        <v>1</v>
      </c>
      <c r="H58" s="394"/>
      <c r="I58" s="433">
        <f t="shared" si="1"/>
        <v>0</v>
      </c>
    </row>
    <row r="59" spans="1:9" x14ac:dyDescent="0.35">
      <c r="A59" s="259" t="s">
        <v>1200</v>
      </c>
      <c r="B59" s="253" t="s">
        <v>59</v>
      </c>
      <c r="C59" s="315"/>
      <c r="D59" s="253"/>
      <c r="E59" s="253">
        <v>55719</v>
      </c>
      <c r="F59" s="466"/>
      <c r="G59" s="222">
        <v>1</v>
      </c>
      <c r="H59" s="394"/>
      <c r="I59" s="433">
        <f t="shared" si="1"/>
        <v>0</v>
      </c>
    </row>
    <row r="60" spans="1:9" x14ac:dyDescent="0.35">
      <c r="A60" s="259" t="s">
        <v>1034</v>
      </c>
      <c r="B60" s="253" t="s">
        <v>792</v>
      </c>
      <c r="C60" s="315"/>
      <c r="D60" s="253"/>
      <c r="E60" s="253">
        <v>55719</v>
      </c>
      <c r="F60" s="466"/>
      <c r="G60" s="222">
        <v>2</v>
      </c>
      <c r="H60" s="394"/>
      <c r="I60" s="433">
        <f t="shared" si="1"/>
        <v>0</v>
      </c>
    </row>
    <row r="61" spans="1:9" x14ac:dyDescent="0.35">
      <c r="A61" s="259" t="s">
        <v>887</v>
      </c>
      <c r="B61" s="253" t="s">
        <v>802</v>
      </c>
      <c r="C61" s="315"/>
      <c r="D61" s="253"/>
      <c r="E61" s="253">
        <v>55719</v>
      </c>
      <c r="F61" s="466"/>
      <c r="G61" s="222">
        <v>1</v>
      </c>
      <c r="H61" s="394"/>
      <c r="I61" s="433">
        <f t="shared" si="1"/>
        <v>0</v>
      </c>
    </row>
    <row r="62" spans="1:9" x14ac:dyDescent="0.35">
      <c r="A62" s="259" t="s">
        <v>1098</v>
      </c>
      <c r="B62" s="253" t="s">
        <v>63</v>
      </c>
      <c r="C62" s="315"/>
      <c r="D62" s="253"/>
      <c r="E62" s="253">
        <v>55719</v>
      </c>
      <c r="F62" s="466"/>
      <c r="G62" s="222">
        <v>1</v>
      </c>
      <c r="H62" s="394"/>
      <c r="I62" s="433">
        <f t="shared" si="1"/>
        <v>0</v>
      </c>
    </row>
    <row r="63" spans="1:9" x14ac:dyDescent="0.35">
      <c r="A63" s="259" t="s">
        <v>159</v>
      </c>
      <c r="B63" s="253" t="s">
        <v>427</v>
      </c>
      <c r="C63" s="315"/>
      <c r="D63" s="124"/>
      <c r="E63" s="253">
        <v>55719</v>
      </c>
      <c r="F63" s="466"/>
      <c r="G63" s="222">
        <v>1</v>
      </c>
      <c r="H63" s="394"/>
      <c r="I63" s="433">
        <f t="shared" si="1"/>
        <v>0</v>
      </c>
    </row>
    <row r="64" spans="1:9" x14ac:dyDescent="0.35">
      <c r="A64" s="259" t="s">
        <v>1214</v>
      </c>
      <c r="B64" s="253" t="s">
        <v>573</v>
      </c>
      <c r="C64" s="315"/>
      <c r="D64" s="124"/>
      <c r="E64" s="253">
        <v>55719</v>
      </c>
      <c r="F64" s="466"/>
      <c r="G64" s="222">
        <v>1</v>
      </c>
      <c r="H64" s="394"/>
      <c r="I64" s="433">
        <f t="shared" si="1"/>
        <v>0</v>
      </c>
    </row>
    <row r="65" spans="1:9" x14ac:dyDescent="0.35">
      <c r="A65" s="259" t="s">
        <v>2594</v>
      </c>
      <c r="B65" s="253" t="s">
        <v>757</v>
      </c>
      <c r="C65" s="315"/>
      <c r="D65" s="124"/>
      <c r="E65" s="253">
        <v>55719</v>
      </c>
      <c r="F65" s="466"/>
      <c r="G65" s="222">
        <v>1</v>
      </c>
      <c r="H65" s="394"/>
      <c r="I65" s="433">
        <f t="shared" si="1"/>
        <v>0</v>
      </c>
    </row>
    <row r="66" spans="1:9" x14ac:dyDescent="0.35">
      <c r="A66" s="259" t="s">
        <v>1081</v>
      </c>
      <c r="B66" s="253" t="s">
        <v>276</v>
      </c>
      <c r="C66" s="315"/>
      <c r="D66" s="124"/>
      <c r="E66" s="253">
        <v>55719</v>
      </c>
      <c r="F66" s="466"/>
      <c r="G66" s="222">
        <v>1</v>
      </c>
      <c r="H66" s="394"/>
      <c r="I66" s="433">
        <f t="shared" ref="I66:I97" si="2">+G66*H66</f>
        <v>0</v>
      </c>
    </row>
    <row r="67" spans="1:9" x14ac:dyDescent="0.35">
      <c r="A67" s="259" t="s">
        <v>1018</v>
      </c>
      <c r="B67" s="253" t="s">
        <v>493</v>
      </c>
      <c r="C67" s="315"/>
      <c r="D67" s="124"/>
      <c r="E67" s="253">
        <v>55719</v>
      </c>
      <c r="F67" s="466"/>
      <c r="G67" s="222">
        <v>1</v>
      </c>
      <c r="H67" s="394"/>
      <c r="I67" s="433">
        <f t="shared" si="2"/>
        <v>0</v>
      </c>
    </row>
    <row r="68" spans="1:9" x14ac:dyDescent="0.35">
      <c r="A68" s="259" t="s">
        <v>1007</v>
      </c>
      <c r="B68" s="253" t="s">
        <v>313</v>
      </c>
      <c r="C68" s="315"/>
      <c r="D68" s="124"/>
      <c r="E68" s="253">
        <v>55719</v>
      </c>
      <c r="F68" s="466"/>
      <c r="G68" s="222">
        <v>1</v>
      </c>
      <c r="H68" s="394"/>
      <c r="I68" s="433">
        <f t="shared" si="2"/>
        <v>0</v>
      </c>
    </row>
    <row r="69" spans="1:9" x14ac:dyDescent="0.35">
      <c r="A69" s="259" t="s">
        <v>1014</v>
      </c>
      <c r="B69" s="253" t="s">
        <v>314</v>
      </c>
      <c r="C69" s="315"/>
      <c r="D69" s="124"/>
      <c r="E69" s="253">
        <v>55719</v>
      </c>
      <c r="F69" s="466"/>
      <c r="G69" s="222">
        <v>2</v>
      </c>
      <c r="H69" s="394"/>
      <c r="I69" s="433">
        <f t="shared" si="2"/>
        <v>0</v>
      </c>
    </row>
    <row r="70" spans="1:9" x14ac:dyDescent="0.35">
      <c r="A70" s="259" t="s">
        <v>1083</v>
      </c>
      <c r="B70" s="253" t="s">
        <v>491</v>
      </c>
      <c r="C70" s="315"/>
      <c r="D70" s="124"/>
      <c r="E70" s="253">
        <v>55719</v>
      </c>
      <c r="F70" s="466"/>
      <c r="G70" s="222">
        <v>1</v>
      </c>
      <c r="H70" s="394"/>
      <c r="I70" s="433">
        <f t="shared" si="2"/>
        <v>0</v>
      </c>
    </row>
    <row r="71" spans="1:9" x14ac:dyDescent="0.35">
      <c r="A71" s="259" t="s">
        <v>1012</v>
      </c>
      <c r="B71" s="253" t="s">
        <v>285</v>
      </c>
      <c r="C71" s="315"/>
      <c r="D71" s="124"/>
      <c r="E71" s="253">
        <v>55719</v>
      </c>
      <c r="F71" s="466"/>
      <c r="G71" s="222">
        <v>1</v>
      </c>
      <c r="H71" s="394"/>
      <c r="I71" s="433">
        <f t="shared" si="2"/>
        <v>0</v>
      </c>
    </row>
    <row r="72" spans="1:9" x14ac:dyDescent="0.35">
      <c r="A72" s="259" t="s">
        <v>1008</v>
      </c>
      <c r="B72" s="253" t="s">
        <v>173</v>
      </c>
      <c r="C72" s="315"/>
      <c r="D72" s="124"/>
      <c r="E72" s="253">
        <v>55719</v>
      </c>
      <c r="F72" s="466"/>
      <c r="G72" s="222">
        <v>1</v>
      </c>
      <c r="H72" s="394"/>
      <c r="I72" s="433">
        <f t="shared" si="2"/>
        <v>0</v>
      </c>
    </row>
    <row r="73" spans="1:9" x14ac:dyDescent="0.35">
      <c r="A73" s="259" t="s">
        <v>899</v>
      </c>
      <c r="B73" s="253" t="s">
        <v>281</v>
      </c>
      <c r="C73" s="315"/>
      <c r="D73" s="124"/>
      <c r="E73" s="253">
        <v>55719</v>
      </c>
      <c r="F73" s="466"/>
      <c r="G73" s="222">
        <v>1</v>
      </c>
      <c r="H73" s="394"/>
      <c r="I73" s="433">
        <f t="shared" si="2"/>
        <v>0</v>
      </c>
    </row>
    <row r="74" spans="1:9" x14ac:dyDescent="0.35">
      <c r="A74" s="259" t="s">
        <v>2334</v>
      </c>
      <c r="B74" s="253" t="s">
        <v>284</v>
      </c>
      <c r="C74" s="315"/>
      <c r="D74" s="124"/>
      <c r="E74" s="253">
        <v>55719</v>
      </c>
      <c r="F74" s="466"/>
      <c r="G74" s="222">
        <v>1</v>
      </c>
      <c r="H74" s="394"/>
      <c r="I74" s="433">
        <f t="shared" si="2"/>
        <v>0</v>
      </c>
    </row>
    <row r="75" spans="1:9" x14ac:dyDescent="0.35">
      <c r="A75" s="259" t="s">
        <v>2344</v>
      </c>
      <c r="B75" s="253" t="s">
        <v>279</v>
      </c>
      <c r="C75" s="315"/>
      <c r="D75" s="124"/>
      <c r="E75" s="253">
        <v>55719</v>
      </c>
      <c r="F75" s="466"/>
      <c r="G75" s="222">
        <v>1</v>
      </c>
      <c r="H75" s="394"/>
      <c r="I75" s="433">
        <f t="shared" si="2"/>
        <v>0</v>
      </c>
    </row>
    <row r="76" spans="1:9" x14ac:dyDescent="0.35">
      <c r="A76" s="259" t="s">
        <v>914</v>
      </c>
      <c r="B76" s="253" t="s">
        <v>444</v>
      </c>
      <c r="C76" s="315"/>
      <c r="D76" s="124"/>
      <c r="E76" s="253">
        <v>55719</v>
      </c>
      <c r="F76" s="466"/>
      <c r="G76" s="222">
        <v>1</v>
      </c>
      <c r="H76" s="394"/>
      <c r="I76" s="433">
        <f t="shared" si="2"/>
        <v>0</v>
      </c>
    </row>
    <row r="77" spans="1:9" x14ac:dyDescent="0.35">
      <c r="A77" s="235" t="s">
        <v>2069</v>
      </c>
      <c r="B77" s="253" t="s">
        <v>1911</v>
      </c>
      <c r="C77" s="315"/>
      <c r="D77" s="124"/>
      <c r="E77" s="253">
        <v>55719</v>
      </c>
      <c r="F77" s="466"/>
      <c r="G77" s="29">
        <v>1</v>
      </c>
      <c r="H77" s="514"/>
      <c r="I77" s="433">
        <f t="shared" si="2"/>
        <v>0</v>
      </c>
    </row>
    <row r="78" spans="1:9" x14ac:dyDescent="0.35">
      <c r="A78" s="259" t="s">
        <v>731</v>
      </c>
      <c r="B78" s="253" t="s">
        <v>492</v>
      </c>
      <c r="C78" s="315"/>
      <c r="D78" s="124"/>
      <c r="E78" s="253">
        <v>55719</v>
      </c>
      <c r="F78" s="466"/>
      <c r="G78" s="222">
        <v>1</v>
      </c>
      <c r="H78" s="394"/>
      <c r="I78" s="433">
        <f t="shared" si="2"/>
        <v>0</v>
      </c>
    </row>
    <row r="79" spans="1:9" x14ac:dyDescent="0.35">
      <c r="A79" s="259" t="s">
        <v>1145</v>
      </c>
      <c r="B79" s="253" t="s">
        <v>202</v>
      </c>
      <c r="C79" s="315"/>
      <c r="D79" s="124"/>
      <c r="E79" s="253">
        <v>55719</v>
      </c>
      <c r="F79" s="466"/>
      <c r="G79" s="222">
        <v>1</v>
      </c>
      <c r="H79" s="394"/>
      <c r="I79" s="433">
        <f t="shared" si="2"/>
        <v>0</v>
      </c>
    </row>
    <row r="80" spans="1:9" x14ac:dyDescent="0.35">
      <c r="A80" s="259" t="s">
        <v>1016</v>
      </c>
      <c r="B80" s="253" t="s">
        <v>310</v>
      </c>
      <c r="C80" s="315"/>
      <c r="D80" s="124"/>
      <c r="E80" s="253">
        <v>55719</v>
      </c>
      <c r="F80" s="466"/>
      <c r="G80" s="222">
        <v>1</v>
      </c>
      <c r="H80" s="394"/>
      <c r="I80" s="433">
        <f t="shared" si="2"/>
        <v>0</v>
      </c>
    </row>
    <row r="81" spans="1:9" x14ac:dyDescent="0.35">
      <c r="A81" s="259" t="s">
        <v>900</v>
      </c>
      <c r="B81" s="253" t="s">
        <v>301</v>
      </c>
      <c r="C81" s="315"/>
      <c r="D81" s="124"/>
      <c r="E81" s="253">
        <v>55719</v>
      </c>
      <c r="F81" s="466"/>
      <c r="G81" s="222">
        <v>1</v>
      </c>
      <c r="H81" s="394"/>
      <c r="I81" s="433">
        <f t="shared" si="2"/>
        <v>0</v>
      </c>
    </row>
    <row r="82" spans="1:9" x14ac:dyDescent="0.35">
      <c r="A82" s="259" t="s">
        <v>885</v>
      </c>
      <c r="B82" s="253" t="s">
        <v>229</v>
      </c>
      <c r="C82" s="315"/>
      <c r="D82" s="124"/>
      <c r="E82" s="253">
        <v>55719</v>
      </c>
      <c r="F82" s="466"/>
      <c r="G82" s="222">
        <v>1</v>
      </c>
      <c r="H82" s="394"/>
      <c r="I82" s="433">
        <f t="shared" si="2"/>
        <v>0</v>
      </c>
    </row>
    <row r="83" spans="1:9" x14ac:dyDescent="0.35">
      <c r="A83" s="259" t="s">
        <v>2548</v>
      </c>
      <c r="B83" s="253" t="s">
        <v>208</v>
      </c>
      <c r="C83" s="315"/>
      <c r="D83" s="124"/>
      <c r="E83" s="253">
        <v>55719</v>
      </c>
      <c r="F83" s="466"/>
      <c r="G83" s="222">
        <v>1</v>
      </c>
      <c r="H83" s="394"/>
      <c r="I83" s="433">
        <f t="shared" si="2"/>
        <v>0</v>
      </c>
    </row>
    <row r="84" spans="1:9" x14ac:dyDescent="0.35">
      <c r="A84" s="259" t="s">
        <v>2546</v>
      </c>
      <c r="B84" s="253" t="s">
        <v>209</v>
      </c>
      <c r="C84" s="315"/>
      <c r="D84" s="124"/>
      <c r="E84" s="253">
        <v>55719</v>
      </c>
      <c r="F84" s="466"/>
      <c r="G84" s="222">
        <v>1</v>
      </c>
      <c r="H84" s="394"/>
      <c r="I84" s="433">
        <f t="shared" si="2"/>
        <v>0</v>
      </c>
    </row>
    <row r="85" spans="1:9" x14ac:dyDescent="0.35">
      <c r="A85" s="259" t="s">
        <v>1433</v>
      </c>
      <c r="B85" s="253" t="s">
        <v>323</v>
      </c>
      <c r="C85" s="315"/>
      <c r="D85" s="124"/>
      <c r="E85" s="253">
        <v>55719</v>
      </c>
      <c r="F85" s="466"/>
      <c r="G85" s="222">
        <v>1</v>
      </c>
      <c r="H85" s="394"/>
      <c r="I85" s="433">
        <f t="shared" si="2"/>
        <v>0</v>
      </c>
    </row>
    <row r="86" spans="1:9" x14ac:dyDescent="0.35">
      <c r="A86" s="259" t="s">
        <v>2547</v>
      </c>
      <c r="B86" s="253" t="s">
        <v>210</v>
      </c>
      <c r="C86" s="315"/>
      <c r="D86" s="124"/>
      <c r="E86" s="253">
        <v>55719</v>
      </c>
      <c r="F86" s="466"/>
      <c r="G86" s="222">
        <v>1</v>
      </c>
      <c r="H86" s="394"/>
      <c r="I86" s="433">
        <f t="shared" si="2"/>
        <v>0</v>
      </c>
    </row>
    <row r="87" spans="1:9" x14ac:dyDescent="0.35">
      <c r="A87" s="259" t="s">
        <v>1436</v>
      </c>
      <c r="B87" s="253" t="s">
        <v>798</v>
      </c>
      <c r="C87" s="315"/>
      <c r="D87" s="253"/>
      <c r="E87" s="253">
        <v>55719</v>
      </c>
      <c r="F87" s="466"/>
      <c r="G87" s="222">
        <v>1</v>
      </c>
      <c r="H87" s="394"/>
      <c r="I87" s="433">
        <f t="shared" si="2"/>
        <v>0</v>
      </c>
    </row>
    <row r="88" spans="1:9" x14ac:dyDescent="0.35">
      <c r="A88" s="259" t="s">
        <v>1437</v>
      </c>
      <c r="B88" s="253" t="s">
        <v>799</v>
      </c>
      <c r="C88" s="315"/>
      <c r="D88" s="253"/>
      <c r="E88" s="253">
        <v>55719</v>
      </c>
      <c r="F88" s="466"/>
      <c r="G88" s="222">
        <v>1</v>
      </c>
      <c r="H88" s="394"/>
      <c r="I88" s="433">
        <f t="shared" si="2"/>
        <v>0</v>
      </c>
    </row>
    <row r="89" spans="1:9" x14ac:dyDescent="0.35">
      <c r="A89" s="259" t="s">
        <v>1438</v>
      </c>
      <c r="B89" s="253" t="s">
        <v>800</v>
      </c>
      <c r="C89" s="315"/>
      <c r="D89" s="253"/>
      <c r="E89" s="253">
        <v>55719</v>
      </c>
      <c r="F89" s="466"/>
      <c r="G89" s="222">
        <v>1</v>
      </c>
      <c r="H89" s="394"/>
      <c r="I89" s="433">
        <f t="shared" si="2"/>
        <v>0</v>
      </c>
    </row>
    <row r="90" spans="1:9" x14ac:dyDescent="0.35">
      <c r="A90" s="259" t="s">
        <v>1439</v>
      </c>
      <c r="B90" s="253" t="s">
        <v>797</v>
      </c>
      <c r="C90" s="315"/>
      <c r="D90" s="253"/>
      <c r="E90" s="253">
        <v>55719</v>
      </c>
      <c r="F90" s="466"/>
      <c r="G90" s="222">
        <v>1</v>
      </c>
      <c r="H90" s="394"/>
      <c r="I90" s="433">
        <f t="shared" si="2"/>
        <v>0</v>
      </c>
    </row>
    <row r="91" spans="1:9" x14ac:dyDescent="0.35">
      <c r="A91" s="259" t="s">
        <v>1444</v>
      </c>
      <c r="B91" s="253" t="s">
        <v>475</v>
      </c>
      <c r="C91" s="315"/>
      <c r="D91" s="253"/>
      <c r="E91" s="253">
        <v>55719</v>
      </c>
      <c r="F91" s="466"/>
      <c r="G91" s="222">
        <v>1</v>
      </c>
      <c r="H91" s="394"/>
      <c r="I91" s="433">
        <f t="shared" si="2"/>
        <v>0</v>
      </c>
    </row>
    <row r="92" spans="1:9" x14ac:dyDescent="0.35">
      <c r="A92" s="259" t="s">
        <v>1446</v>
      </c>
      <c r="B92" s="253" t="s">
        <v>482</v>
      </c>
      <c r="C92" s="315"/>
      <c r="D92" s="253"/>
      <c r="E92" s="253">
        <v>55719</v>
      </c>
      <c r="F92" s="466"/>
      <c r="G92" s="222">
        <v>2</v>
      </c>
      <c r="H92" s="394"/>
      <c r="I92" s="433">
        <f t="shared" si="2"/>
        <v>0</v>
      </c>
    </row>
    <row r="93" spans="1:9" x14ac:dyDescent="0.35">
      <c r="A93" s="259" t="s">
        <v>1036</v>
      </c>
      <c r="B93" s="253" t="s">
        <v>423</v>
      </c>
      <c r="C93" s="315"/>
      <c r="D93" s="253"/>
      <c r="E93" s="253">
        <v>55719</v>
      </c>
      <c r="F93" s="466"/>
      <c r="G93" s="222">
        <v>1</v>
      </c>
      <c r="H93" s="394"/>
      <c r="I93" s="433">
        <f t="shared" si="2"/>
        <v>0</v>
      </c>
    </row>
    <row r="94" spans="1:9" x14ac:dyDescent="0.35">
      <c r="A94" s="259" t="s">
        <v>1236</v>
      </c>
      <c r="B94" s="253" t="s">
        <v>549</v>
      </c>
      <c r="C94" s="315"/>
      <c r="D94" s="253"/>
      <c r="E94" s="253">
        <v>55719</v>
      </c>
      <c r="F94" s="466"/>
      <c r="G94" s="222">
        <v>1</v>
      </c>
      <c r="H94" s="394"/>
      <c r="I94" s="433">
        <f t="shared" si="2"/>
        <v>0</v>
      </c>
    </row>
    <row r="95" spans="1:9" x14ac:dyDescent="0.35">
      <c r="A95" s="259" t="s">
        <v>1237</v>
      </c>
      <c r="B95" s="253" t="s">
        <v>772</v>
      </c>
      <c r="C95" s="315"/>
      <c r="D95" s="253"/>
      <c r="E95" s="253">
        <v>55719</v>
      </c>
      <c r="F95" s="466"/>
      <c r="G95" s="222">
        <v>2</v>
      </c>
      <c r="H95" s="394"/>
      <c r="I95" s="433">
        <f t="shared" si="2"/>
        <v>0</v>
      </c>
    </row>
    <row r="96" spans="1:9" x14ac:dyDescent="0.35">
      <c r="A96" s="259" t="s">
        <v>1238</v>
      </c>
      <c r="B96" s="253" t="s">
        <v>793</v>
      </c>
      <c r="C96" s="315"/>
      <c r="D96" s="253"/>
      <c r="E96" s="253">
        <v>55719</v>
      </c>
      <c r="F96" s="466"/>
      <c r="G96" s="222">
        <v>1</v>
      </c>
      <c r="H96" s="394"/>
      <c r="I96" s="433">
        <f t="shared" si="2"/>
        <v>0</v>
      </c>
    </row>
    <row r="97" spans="1:9" x14ac:dyDescent="0.35">
      <c r="A97" s="259" t="s">
        <v>925</v>
      </c>
      <c r="B97" s="253" t="s">
        <v>794</v>
      </c>
      <c r="C97" s="315"/>
      <c r="D97" s="253"/>
      <c r="E97" s="253">
        <v>55719</v>
      </c>
      <c r="F97" s="466"/>
      <c r="G97" s="222">
        <v>1</v>
      </c>
      <c r="H97" s="394"/>
      <c r="I97" s="433">
        <f t="shared" si="2"/>
        <v>0</v>
      </c>
    </row>
    <row r="98" spans="1:9" x14ac:dyDescent="0.35">
      <c r="A98" s="259" t="s">
        <v>1239</v>
      </c>
      <c r="B98" s="253" t="s">
        <v>795</v>
      </c>
      <c r="C98" s="315"/>
      <c r="D98" s="253"/>
      <c r="E98" s="253">
        <v>55719</v>
      </c>
      <c r="F98" s="466"/>
      <c r="G98" s="222">
        <v>1</v>
      </c>
      <c r="H98" s="394"/>
      <c r="I98" s="433">
        <f t="shared" ref="I98:I129" si="3">+G98*H98</f>
        <v>0</v>
      </c>
    </row>
    <row r="99" spans="1:9" x14ac:dyDescent="0.35">
      <c r="A99" s="259" t="s">
        <v>953</v>
      </c>
      <c r="B99" s="253" t="s">
        <v>238</v>
      </c>
      <c r="C99" s="315"/>
      <c r="D99" s="253"/>
      <c r="E99" s="253">
        <v>55719</v>
      </c>
      <c r="F99" s="466"/>
      <c r="G99" s="222">
        <v>1</v>
      </c>
      <c r="H99" s="394"/>
      <c r="I99" s="433">
        <f t="shared" si="3"/>
        <v>0</v>
      </c>
    </row>
    <row r="100" spans="1:9" x14ac:dyDescent="0.35">
      <c r="A100" s="259" t="s">
        <v>1240</v>
      </c>
      <c r="B100" s="253" t="s">
        <v>771</v>
      </c>
      <c r="C100" s="315"/>
      <c r="D100" s="253"/>
      <c r="E100" s="253">
        <v>55719</v>
      </c>
      <c r="F100" s="466"/>
      <c r="G100" s="222">
        <v>1</v>
      </c>
      <c r="H100" s="394"/>
      <c r="I100" s="433">
        <f t="shared" si="3"/>
        <v>0</v>
      </c>
    </row>
    <row r="101" spans="1:9" x14ac:dyDescent="0.35">
      <c r="A101" s="259" t="s">
        <v>954</v>
      </c>
      <c r="B101" s="253" t="s">
        <v>239</v>
      </c>
      <c r="C101" s="315"/>
      <c r="D101" s="253"/>
      <c r="E101" s="253">
        <v>55719</v>
      </c>
      <c r="F101" s="466"/>
      <c r="G101" s="222">
        <v>1</v>
      </c>
      <c r="H101" s="394"/>
      <c r="I101" s="433">
        <f t="shared" si="3"/>
        <v>0</v>
      </c>
    </row>
    <row r="102" spans="1:9" x14ac:dyDescent="0.35">
      <c r="A102" s="259" t="s">
        <v>1031</v>
      </c>
      <c r="B102" s="253" t="s">
        <v>240</v>
      </c>
      <c r="C102" s="315"/>
      <c r="D102" s="253"/>
      <c r="E102" s="253">
        <v>55719</v>
      </c>
      <c r="F102" s="466"/>
      <c r="G102" s="222">
        <v>1</v>
      </c>
      <c r="H102" s="394"/>
      <c r="I102" s="433">
        <f t="shared" si="3"/>
        <v>0</v>
      </c>
    </row>
    <row r="103" spans="1:9" x14ac:dyDescent="0.35">
      <c r="A103" s="259" t="s">
        <v>27</v>
      </c>
      <c r="B103" s="253" t="s">
        <v>199</v>
      </c>
      <c r="C103" s="315"/>
      <c r="D103" s="253"/>
      <c r="E103" s="253">
        <v>55719</v>
      </c>
      <c r="F103" s="466"/>
      <c r="G103" s="222">
        <v>1</v>
      </c>
      <c r="H103" s="394"/>
      <c r="I103" s="433">
        <f t="shared" si="3"/>
        <v>0</v>
      </c>
    </row>
    <row r="104" spans="1:9" x14ac:dyDescent="0.35">
      <c r="A104" s="259" t="s">
        <v>22</v>
      </c>
      <c r="B104" s="253" t="s">
        <v>245</v>
      </c>
      <c r="C104" s="315"/>
      <c r="D104" s="253"/>
      <c r="E104" s="253">
        <v>55719</v>
      </c>
      <c r="F104" s="466"/>
      <c r="G104" s="222">
        <v>1</v>
      </c>
      <c r="H104" s="394"/>
      <c r="I104" s="433">
        <f t="shared" si="3"/>
        <v>0</v>
      </c>
    </row>
    <row r="105" spans="1:9" x14ac:dyDescent="0.35">
      <c r="A105" s="259" t="s">
        <v>24</v>
      </c>
      <c r="B105" s="253" t="s">
        <v>255</v>
      </c>
      <c r="C105" s="315"/>
      <c r="D105" s="253"/>
      <c r="E105" s="253">
        <v>55719</v>
      </c>
      <c r="F105" s="466"/>
      <c r="G105" s="222">
        <v>1</v>
      </c>
      <c r="H105" s="394"/>
      <c r="I105" s="433">
        <f t="shared" si="3"/>
        <v>0</v>
      </c>
    </row>
    <row r="106" spans="1:9" x14ac:dyDescent="0.35">
      <c r="A106" s="259" t="s">
        <v>1049</v>
      </c>
      <c r="B106" s="253" t="s">
        <v>110</v>
      </c>
      <c r="C106" s="315"/>
      <c r="D106" s="253"/>
      <c r="E106" s="253">
        <v>55719</v>
      </c>
      <c r="F106" s="466"/>
      <c r="G106" s="222">
        <v>1</v>
      </c>
      <c r="H106" s="394"/>
      <c r="I106" s="433">
        <f t="shared" si="3"/>
        <v>0</v>
      </c>
    </row>
    <row r="107" spans="1:9" x14ac:dyDescent="0.35">
      <c r="A107" s="259" t="s">
        <v>26</v>
      </c>
      <c r="B107" s="253" t="s">
        <v>257</v>
      </c>
      <c r="C107" s="315"/>
      <c r="D107" s="253"/>
      <c r="E107" s="253">
        <v>55719</v>
      </c>
      <c r="F107" s="466"/>
      <c r="G107" s="222">
        <v>1</v>
      </c>
      <c r="H107" s="394"/>
      <c r="I107" s="433">
        <f t="shared" si="3"/>
        <v>0</v>
      </c>
    </row>
    <row r="108" spans="1:9" x14ac:dyDescent="0.35">
      <c r="A108" s="259" t="s">
        <v>1099</v>
      </c>
      <c r="B108" s="253" t="s">
        <v>426</v>
      </c>
      <c r="C108" s="315"/>
      <c r="D108" s="253"/>
      <c r="E108" s="253">
        <v>55719</v>
      </c>
      <c r="F108" s="466"/>
      <c r="G108" s="222">
        <v>1</v>
      </c>
      <c r="H108" s="394"/>
      <c r="I108" s="433">
        <f t="shared" si="3"/>
        <v>0</v>
      </c>
    </row>
    <row r="109" spans="1:9" x14ac:dyDescent="0.35">
      <c r="A109" s="259" t="s">
        <v>1078</v>
      </c>
      <c r="B109" s="253" t="s">
        <v>270</v>
      </c>
      <c r="C109" s="315"/>
      <c r="D109" s="253"/>
      <c r="E109" s="253">
        <v>55719</v>
      </c>
      <c r="F109" s="466"/>
      <c r="G109" s="222">
        <v>1</v>
      </c>
      <c r="H109" s="394"/>
      <c r="I109" s="433">
        <f t="shared" si="3"/>
        <v>0</v>
      </c>
    </row>
    <row r="110" spans="1:9" x14ac:dyDescent="0.35">
      <c r="A110" s="259" t="s">
        <v>1003</v>
      </c>
      <c r="B110" s="253" t="s">
        <v>265</v>
      </c>
      <c r="C110" s="315"/>
      <c r="D110" s="253"/>
      <c r="E110" s="253">
        <v>55719</v>
      </c>
      <c r="F110" s="466"/>
      <c r="G110" s="222">
        <v>1</v>
      </c>
      <c r="H110" s="394"/>
      <c r="I110" s="433">
        <f t="shared" si="3"/>
        <v>0</v>
      </c>
    </row>
    <row r="111" spans="1:9" x14ac:dyDescent="0.35">
      <c r="A111" s="259" t="s">
        <v>2354</v>
      </c>
      <c r="B111" s="253" t="s">
        <v>2353</v>
      </c>
      <c r="C111" s="315"/>
      <c r="D111" s="253"/>
      <c r="E111" s="253">
        <v>55719</v>
      </c>
      <c r="F111" s="466"/>
      <c r="G111" s="222">
        <v>1</v>
      </c>
      <c r="H111" s="394"/>
      <c r="I111" s="433">
        <f t="shared" si="3"/>
        <v>0</v>
      </c>
    </row>
    <row r="112" spans="1:9" x14ac:dyDescent="0.35">
      <c r="A112" s="259" t="s">
        <v>1447</v>
      </c>
      <c r="B112" s="253" t="s">
        <v>201</v>
      </c>
      <c r="C112" s="315"/>
      <c r="D112" s="253"/>
      <c r="E112" s="253">
        <v>55719</v>
      </c>
      <c r="F112" s="466"/>
      <c r="G112" s="222">
        <v>1</v>
      </c>
      <c r="H112" s="394"/>
      <c r="I112" s="433">
        <f t="shared" si="3"/>
        <v>0</v>
      </c>
    </row>
    <row r="113" spans="1:9" x14ac:dyDescent="0.35">
      <c r="A113" s="259" t="s">
        <v>64</v>
      </c>
      <c r="B113" s="253" t="s">
        <v>483</v>
      </c>
      <c r="C113" s="315"/>
      <c r="D113" s="253"/>
      <c r="E113" s="253">
        <v>55719</v>
      </c>
      <c r="F113" s="466"/>
      <c r="G113" s="222">
        <v>1</v>
      </c>
      <c r="H113" s="394"/>
      <c r="I113" s="433">
        <f t="shared" si="3"/>
        <v>0</v>
      </c>
    </row>
    <row r="114" spans="1:9" x14ac:dyDescent="0.35">
      <c r="A114" s="259" t="s">
        <v>1042</v>
      </c>
      <c r="B114" s="253" t="s">
        <v>429</v>
      </c>
      <c r="C114" s="315"/>
      <c r="D114" s="253"/>
      <c r="E114" s="253">
        <v>55719</v>
      </c>
      <c r="F114" s="466"/>
      <c r="G114" s="222">
        <v>1</v>
      </c>
      <c r="H114" s="394"/>
      <c r="I114" s="433">
        <f t="shared" si="3"/>
        <v>0</v>
      </c>
    </row>
    <row r="115" spans="1:9" x14ac:dyDescent="0.35">
      <c r="A115" s="259" t="s">
        <v>1109</v>
      </c>
      <c r="B115" s="253" t="s">
        <v>430</v>
      </c>
      <c r="C115" s="315"/>
      <c r="D115" s="253"/>
      <c r="E115" s="253">
        <v>55719</v>
      </c>
      <c r="F115" s="466"/>
      <c r="G115" s="222">
        <v>1</v>
      </c>
      <c r="H115" s="394"/>
      <c r="I115" s="433">
        <f t="shared" si="3"/>
        <v>0</v>
      </c>
    </row>
    <row r="116" spans="1:9" x14ac:dyDescent="0.35">
      <c r="A116" s="259" t="s">
        <v>362</v>
      </c>
      <c r="B116" s="253" t="s">
        <v>431</v>
      </c>
      <c r="C116" s="315"/>
      <c r="D116" s="253"/>
      <c r="E116" s="253">
        <v>55719</v>
      </c>
      <c r="F116" s="466"/>
      <c r="G116" s="222">
        <v>1</v>
      </c>
      <c r="H116" s="394"/>
      <c r="I116" s="433">
        <f t="shared" si="3"/>
        <v>0</v>
      </c>
    </row>
    <row r="117" spans="1:9" x14ac:dyDescent="0.35">
      <c r="A117" s="259" t="s">
        <v>1245</v>
      </c>
      <c r="B117" s="253" t="s">
        <v>481</v>
      </c>
      <c r="C117" s="315"/>
      <c r="D117" s="253"/>
      <c r="E117" s="253">
        <v>55719</v>
      </c>
      <c r="F117" s="466"/>
      <c r="G117" s="222">
        <v>1</v>
      </c>
      <c r="H117" s="394"/>
      <c r="I117" s="433">
        <f t="shared" si="3"/>
        <v>0</v>
      </c>
    </row>
    <row r="118" spans="1:9" x14ac:dyDescent="0.35">
      <c r="A118" s="259" t="s">
        <v>1054</v>
      </c>
      <c r="B118" s="253" t="s">
        <v>258</v>
      </c>
      <c r="C118" s="315"/>
      <c r="D118" s="253"/>
      <c r="E118" s="253">
        <v>55719</v>
      </c>
      <c r="F118" s="466"/>
      <c r="G118" s="222">
        <v>1</v>
      </c>
      <c r="H118" s="394"/>
      <c r="I118" s="433">
        <f t="shared" si="3"/>
        <v>0</v>
      </c>
    </row>
    <row r="119" spans="1:9" x14ac:dyDescent="0.35">
      <c r="A119" s="259" t="s">
        <v>1046</v>
      </c>
      <c r="B119" s="253" t="s">
        <v>203</v>
      </c>
      <c r="C119" s="315"/>
      <c r="D119" s="253"/>
      <c r="E119" s="253">
        <v>55719</v>
      </c>
      <c r="F119" s="466"/>
      <c r="G119" s="222">
        <v>1</v>
      </c>
      <c r="H119" s="394"/>
      <c r="I119" s="433">
        <f t="shared" si="3"/>
        <v>0</v>
      </c>
    </row>
    <row r="120" spans="1:9" x14ac:dyDescent="0.35">
      <c r="A120" s="259" t="s">
        <v>763</v>
      </c>
      <c r="B120" s="253" t="s">
        <v>764</v>
      </c>
      <c r="C120" s="315"/>
      <c r="D120" s="253"/>
      <c r="E120" s="253">
        <v>55719</v>
      </c>
      <c r="F120" s="466"/>
      <c r="G120" s="222">
        <v>1</v>
      </c>
      <c r="H120" s="394"/>
      <c r="I120" s="433">
        <f t="shared" si="3"/>
        <v>0</v>
      </c>
    </row>
    <row r="121" spans="1:9" x14ac:dyDescent="0.35">
      <c r="A121" s="259" t="s">
        <v>9</v>
      </c>
      <c r="B121" s="253" t="s">
        <v>329</v>
      </c>
      <c r="C121" s="315"/>
      <c r="D121" s="253"/>
      <c r="E121" s="253">
        <v>55719</v>
      </c>
      <c r="F121" s="466"/>
      <c r="G121" s="222">
        <v>1</v>
      </c>
      <c r="H121" s="394"/>
      <c r="I121" s="433">
        <f t="shared" si="3"/>
        <v>0</v>
      </c>
    </row>
    <row r="122" spans="1:9" x14ac:dyDescent="0.35">
      <c r="A122" s="259" t="s">
        <v>930</v>
      </c>
      <c r="B122" s="253" t="s">
        <v>88</v>
      </c>
      <c r="C122" s="315"/>
      <c r="D122" s="253"/>
      <c r="E122" s="253">
        <v>55719</v>
      </c>
      <c r="F122" s="466"/>
      <c r="G122" s="222">
        <v>2</v>
      </c>
      <c r="H122" s="394"/>
      <c r="I122" s="433">
        <f t="shared" si="3"/>
        <v>0</v>
      </c>
    </row>
    <row r="123" spans="1:9" x14ac:dyDescent="0.35">
      <c r="A123" s="259" t="s">
        <v>4</v>
      </c>
      <c r="B123" s="253" t="s">
        <v>86</v>
      </c>
      <c r="C123" s="315"/>
      <c r="D123" s="253"/>
      <c r="E123" s="253">
        <v>55719</v>
      </c>
      <c r="F123" s="466"/>
      <c r="G123" s="222">
        <v>1</v>
      </c>
      <c r="H123" s="394"/>
      <c r="I123" s="433">
        <f t="shared" si="3"/>
        <v>0</v>
      </c>
    </row>
    <row r="124" spans="1:9" x14ac:dyDescent="0.35">
      <c r="A124" s="259" t="s">
        <v>29</v>
      </c>
      <c r="B124" s="253" t="s">
        <v>1564</v>
      </c>
      <c r="C124" s="315"/>
      <c r="D124" s="253"/>
      <c r="E124" s="253">
        <v>55719</v>
      </c>
      <c r="F124" s="466"/>
      <c r="G124" s="222">
        <v>1</v>
      </c>
      <c r="H124" s="394"/>
      <c r="I124" s="433">
        <f t="shared" si="3"/>
        <v>0</v>
      </c>
    </row>
    <row r="125" spans="1:9" x14ac:dyDescent="0.35">
      <c r="A125" s="259" t="s">
        <v>28</v>
      </c>
      <c r="B125" s="253" t="s">
        <v>2242</v>
      </c>
      <c r="C125" s="315"/>
      <c r="D125" s="253"/>
      <c r="E125" s="253">
        <v>55719</v>
      </c>
      <c r="F125" s="466"/>
      <c r="G125" s="222">
        <v>1</v>
      </c>
      <c r="H125" s="394"/>
      <c r="I125" s="433">
        <f t="shared" si="3"/>
        <v>0</v>
      </c>
    </row>
    <row r="126" spans="1:9" x14ac:dyDescent="0.35">
      <c r="A126" s="259" t="s">
        <v>2243</v>
      </c>
      <c r="B126" s="253" t="s">
        <v>479</v>
      </c>
      <c r="C126" s="315"/>
      <c r="D126" s="253"/>
      <c r="E126" s="253">
        <v>55719</v>
      </c>
      <c r="F126" s="466"/>
      <c r="G126" s="222">
        <v>1</v>
      </c>
      <c r="H126" s="394"/>
      <c r="I126" s="433">
        <f t="shared" si="3"/>
        <v>0</v>
      </c>
    </row>
    <row r="127" spans="1:9" x14ac:dyDescent="0.35">
      <c r="A127" s="259" t="s">
        <v>1156</v>
      </c>
      <c r="B127" s="253" t="s">
        <v>61</v>
      </c>
      <c r="C127" s="315"/>
      <c r="D127" s="253"/>
      <c r="E127" s="253">
        <v>55719</v>
      </c>
      <c r="F127" s="466"/>
      <c r="G127" s="222">
        <v>1</v>
      </c>
      <c r="H127" s="394"/>
      <c r="I127" s="433">
        <f t="shared" si="3"/>
        <v>0</v>
      </c>
    </row>
    <row r="128" spans="1:9" x14ac:dyDescent="0.35">
      <c r="A128" s="259" t="s">
        <v>1158</v>
      </c>
      <c r="B128" s="253" t="s">
        <v>487</v>
      </c>
      <c r="C128" s="315"/>
      <c r="D128" s="253"/>
      <c r="E128" s="253">
        <v>55719</v>
      </c>
      <c r="F128" s="466"/>
      <c r="G128" s="222">
        <v>1</v>
      </c>
      <c r="H128" s="394"/>
      <c r="I128" s="433">
        <f t="shared" si="3"/>
        <v>0</v>
      </c>
    </row>
    <row r="129" spans="1:9" x14ac:dyDescent="0.35">
      <c r="A129" s="259" t="s">
        <v>1159</v>
      </c>
      <c r="B129" s="253" t="s">
        <v>484</v>
      </c>
      <c r="C129" s="315"/>
      <c r="D129" s="253"/>
      <c r="E129" s="253">
        <v>55719</v>
      </c>
      <c r="F129" s="466"/>
      <c r="G129" s="222">
        <v>1</v>
      </c>
      <c r="H129" s="394"/>
      <c r="I129" s="433">
        <f t="shared" si="3"/>
        <v>0</v>
      </c>
    </row>
    <row r="130" spans="1:9" x14ac:dyDescent="0.35">
      <c r="A130" s="259" t="s">
        <v>931</v>
      </c>
      <c r="B130" s="253" t="s">
        <v>66</v>
      </c>
      <c r="C130" s="315"/>
      <c r="D130" s="253"/>
      <c r="E130" s="253">
        <v>55719</v>
      </c>
      <c r="F130" s="466"/>
      <c r="G130" s="222">
        <v>1</v>
      </c>
      <c r="H130" s="394"/>
      <c r="I130" s="433">
        <f t="shared" ref="I130:I161" si="4">+G130*H130</f>
        <v>0</v>
      </c>
    </row>
    <row r="131" spans="1:9" x14ac:dyDescent="0.35">
      <c r="A131" s="259" t="s">
        <v>932</v>
      </c>
      <c r="B131" s="253" t="s">
        <v>432</v>
      </c>
      <c r="C131" s="315"/>
      <c r="D131" s="253"/>
      <c r="E131" s="253">
        <v>55719</v>
      </c>
      <c r="F131" s="466"/>
      <c r="G131" s="222">
        <v>1</v>
      </c>
      <c r="H131" s="394"/>
      <c r="I131" s="433">
        <f t="shared" si="4"/>
        <v>0</v>
      </c>
    </row>
    <row r="132" spans="1:9" x14ac:dyDescent="0.35">
      <c r="A132" s="259" t="s">
        <v>1608</v>
      </c>
      <c r="B132" s="253" t="s">
        <v>1609</v>
      </c>
      <c r="C132" s="315"/>
      <c r="D132" s="253"/>
      <c r="E132" s="253">
        <v>55719</v>
      </c>
      <c r="F132" s="466"/>
      <c r="G132" s="222">
        <v>1</v>
      </c>
      <c r="H132" s="394"/>
      <c r="I132" s="433">
        <f t="shared" si="4"/>
        <v>0</v>
      </c>
    </row>
    <row r="133" spans="1:9" x14ac:dyDescent="0.35">
      <c r="A133" s="259" t="s">
        <v>933</v>
      </c>
      <c r="B133" s="253" t="s">
        <v>433</v>
      </c>
      <c r="C133" s="315"/>
      <c r="D133" s="253"/>
      <c r="E133" s="253">
        <v>55719</v>
      </c>
      <c r="F133" s="466"/>
      <c r="G133" s="222">
        <v>1</v>
      </c>
      <c r="H133" s="394"/>
      <c r="I133" s="433">
        <f t="shared" si="4"/>
        <v>0</v>
      </c>
    </row>
    <row r="134" spans="1:9" x14ac:dyDescent="0.35">
      <c r="A134" s="259" t="s">
        <v>1162</v>
      </c>
      <c r="B134" s="253" t="s">
        <v>84</v>
      </c>
      <c r="C134" s="315"/>
      <c r="D134" s="253"/>
      <c r="E134" s="253">
        <v>55719</v>
      </c>
      <c r="F134" s="466"/>
      <c r="G134" s="222">
        <v>1</v>
      </c>
      <c r="H134" s="394"/>
      <c r="I134" s="433">
        <f t="shared" si="4"/>
        <v>0</v>
      </c>
    </row>
    <row r="135" spans="1:9" x14ac:dyDescent="0.35">
      <c r="A135" s="259" t="s">
        <v>934</v>
      </c>
      <c r="B135" s="253" t="s">
        <v>434</v>
      </c>
      <c r="C135" s="315"/>
      <c r="D135" s="253"/>
      <c r="E135" s="253">
        <v>55719</v>
      </c>
      <c r="F135" s="466"/>
      <c r="G135" s="222">
        <v>1</v>
      </c>
      <c r="H135" s="394"/>
      <c r="I135" s="433">
        <f t="shared" si="4"/>
        <v>0</v>
      </c>
    </row>
    <row r="136" spans="1:9" x14ac:dyDescent="0.35">
      <c r="A136" s="259" t="s">
        <v>1164</v>
      </c>
      <c r="B136" s="253" t="s">
        <v>486</v>
      </c>
      <c r="C136" s="315"/>
      <c r="D136" s="253"/>
      <c r="E136" s="253">
        <v>55719</v>
      </c>
      <c r="F136" s="466"/>
      <c r="G136" s="222">
        <v>1</v>
      </c>
      <c r="H136" s="394"/>
      <c r="I136" s="433">
        <f t="shared" si="4"/>
        <v>0</v>
      </c>
    </row>
    <row r="137" spans="1:9" x14ac:dyDescent="0.35">
      <c r="A137" s="259" t="s">
        <v>1165</v>
      </c>
      <c r="B137" s="253" t="s">
        <v>478</v>
      </c>
      <c r="C137" s="315"/>
      <c r="D137" s="253"/>
      <c r="E137" s="253">
        <v>55719</v>
      </c>
      <c r="F137" s="466"/>
      <c r="G137" s="222">
        <v>1</v>
      </c>
      <c r="H137" s="394"/>
      <c r="I137" s="433">
        <f t="shared" si="4"/>
        <v>0</v>
      </c>
    </row>
    <row r="138" spans="1:9" x14ac:dyDescent="0.35">
      <c r="A138" s="259" t="s">
        <v>1166</v>
      </c>
      <c r="B138" s="253" t="s">
        <v>485</v>
      </c>
      <c r="C138" s="315"/>
      <c r="D138" s="253"/>
      <c r="E138" s="253">
        <v>55719</v>
      </c>
      <c r="F138" s="466"/>
      <c r="G138" s="222">
        <v>1</v>
      </c>
      <c r="H138" s="394"/>
      <c r="I138" s="433">
        <f t="shared" si="4"/>
        <v>0</v>
      </c>
    </row>
    <row r="139" spans="1:9" x14ac:dyDescent="0.35">
      <c r="A139" s="259" t="s">
        <v>1112</v>
      </c>
      <c r="B139" s="253" t="s">
        <v>790</v>
      </c>
      <c r="C139" s="315"/>
      <c r="D139" s="253"/>
      <c r="E139" s="253">
        <v>55719</v>
      </c>
      <c r="F139" s="466"/>
      <c r="G139" s="222">
        <v>1</v>
      </c>
      <c r="H139" s="394"/>
      <c r="I139" s="433">
        <f t="shared" si="4"/>
        <v>0</v>
      </c>
    </row>
    <row r="140" spans="1:9" x14ac:dyDescent="0.35">
      <c r="A140" s="259" t="s">
        <v>1061</v>
      </c>
      <c r="B140" s="253" t="s">
        <v>73</v>
      </c>
      <c r="C140" s="315"/>
      <c r="D140" s="253"/>
      <c r="E140" s="253">
        <v>55719</v>
      </c>
      <c r="F140" s="466"/>
      <c r="G140" s="222">
        <v>2</v>
      </c>
      <c r="H140" s="394"/>
      <c r="I140" s="433">
        <f t="shared" si="4"/>
        <v>0</v>
      </c>
    </row>
    <row r="141" spans="1:9" x14ac:dyDescent="0.35">
      <c r="A141" s="259" t="s">
        <v>1060</v>
      </c>
      <c r="B141" s="253" t="s">
        <v>74</v>
      </c>
      <c r="C141" s="315"/>
      <c r="D141" s="253"/>
      <c r="E141" s="253">
        <v>55719</v>
      </c>
      <c r="F141" s="466"/>
      <c r="G141" s="222">
        <v>1</v>
      </c>
      <c r="H141" s="394"/>
      <c r="I141" s="433">
        <f t="shared" si="4"/>
        <v>0</v>
      </c>
    </row>
    <row r="142" spans="1:9" x14ac:dyDescent="0.35">
      <c r="A142" s="259" t="s">
        <v>1062</v>
      </c>
      <c r="B142" s="253" t="s">
        <v>261</v>
      </c>
      <c r="C142" s="315"/>
      <c r="D142" s="253"/>
      <c r="E142" s="253">
        <v>55719</v>
      </c>
      <c r="F142" s="466"/>
      <c r="G142" s="222">
        <v>1</v>
      </c>
      <c r="H142" s="394"/>
      <c r="I142" s="433">
        <f t="shared" si="4"/>
        <v>0</v>
      </c>
    </row>
    <row r="143" spans="1:9" x14ac:dyDescent="0.35">
      <c r="A143" s="259" t="s">
        <v>1168</v>
      </c>
      <c r="B143" s="253" t="s">
        <v>75</v>
      </c>
      <c r="C143" s="315"/>
      <c r="D143" s="253"/>
      <c r="E143" s="253">
        <v>55719</v>
      </c>
      <c r="F143" s="466"/>
      <c r="G143" s="222">
        <v>1</v>
      </c>
      <c r="H143" s="394"/>
      <c r="I143" s="433">
        <f t="shared" si="4"/>
        <v>0</v>
      </c>
    </row>
    <row r="144" spans="1:9" x14ac:dyDescent="0.35">
      <c r="A144" s="259" t="s">
        <v>1057</v>
      </c>
      <c r="B144" s="253" t="s">
        <v>72</v>
      </c>
      <c r="C144" s="315"/>
      <c r="D144" s="253"/>
      <c r="E144" s="253">
        <v>55719</v>
      </c>
      <c r="F144" s="466"/>
      <c r="G144" s="222">
        <v>1</v>
      </c>
      <c r="H144" s="394"/>
      <c r="I144" s="433">
        <f t="shared" si="4"/>
        <v>0</v>
      </c>
    </row>
    <row r="145" spans="1:9" x14ac:dyDescent="0.35">
      <c r="A145" s="259" t="s">
        <v>743</v>
      </c>
      <c r="B145" s="253" t="s">
        <v>750</v>
      </c>
      <c r="C145" s="315"/>
      <c r="D145" s="253"/>
      <c r="E145" s="253">
        <v>55719</v>
      </c>
      <c r="F145" s="466"/>
      <c r="G145" s="222">
        <v>1</v>
      </c>
      <c r="H145" s="394"/>
      <c r="I145" s="433">
        <f t="shared" si="4"/>
        <v>0</v>
      </c>
    </row>
    <row r="146" spans="1:9" x14ac:dyDescent="0.35">
      <c r="A146" s="259" t="s">
        <v>214</v>
      </c>
      <c r="B146" s="253" t="s">
        <v>197</v>
      </c>
      <c r="C146" s="315"/>
      <c r="D146" s="253"/>
      <c r="E146" s="253">
        <v>55719</v>
      </c>
      <c r="F146" s="466"/>
      <c r="G146" s="222">
        <v>2</v>
      </c>
      <c r="H146" s="394"/>
      <c r="I146" s="433">
        <f t="shared" si="4"/>
        <v>0</v>
      </c>
    </row>
    <row r="147" spans="1:9" x14ac:dyDescent="0.35">
      <c r="A147" s="259" t="s">
        <v>14</v>
      </c>
      <c r="B147" s="253" t="s">
        <v>334</v>
      </c>
      <c r="C147" s="315"/>
      <c r="D147" s="253"/>
      <c r="E147" s="253">
        <v>55719</v>
      </c>
      <c r="F147" s="466"/>
      <c r="G147" s="222">
        <v>2</v>
      </c>
      <c r="H147" s="394"/>
      <c r="I147" s="433">
        <f t="shared" si="4"/>
        <v>0</v>
      </c>
    </row>
    <row r="148" spans="1:9" x14ac:dyDescent="0.35">
      <c r="A148" s="259" t="s">
        <v>36</v>
      </c>
      <c r="B148" s="253" t="s">
        <v>37</v>
      </c>
      <c r="C148" s="315"/>
      <c r="D148" s="253"/>
      <c r="E148" s="253">
        <v>55719</v>
      </c>
      <c r="F148" s="466"/>
      <c r="G148" s="222">
        <v>1</v>
      </c>
      <c r="H148" s="394"/>
      <c r="I148" s="433">
        <f t="shared" si="4"/>
        <v>0</v>
      </c>
    </row>
    <row r="149" spans="1:9" x14ac:dyDescent="0.35">
      <c r="A149" s="259" t="s">
        <v>881</v>
      </c>
      <c r="B149" s="253" t="s">
        <v>417</v>
      </c>
      <c r="C149" s="315"/>
      <c r="D149" s="253"/>
      <c r="E149" s="253">
        <v>55719</v>
      </c>
      <c r="F149" s="466"/>
      <c r="G149" s="222">
        <v>1</v>
      </c>
      <c r="H149" s="394"/>
      <c r="I149" s="433">
        <f t="shared" si="4"/>
        <v>0</v>
      </c>
    </row>
    <row r="150" spans="1:9" x14ac:dyDescent="0.35">
      <c r="A150" s="259" t="s">
        <v>10</v>
      </c>
      <c r="B150" s="253" t="s">
        <v>418</v>
      </c>
      <c r="C150" s="315"/>
      <c r="D150" s="253"/>
      <c r="E150" s="253">
        <v>55719</v>
      </c>
      <c r="F150" s="466"/>
      <c r="G150" s="222">
        <v>1</v>
      </c>
      <c r="H150" s="394"/>
      <c r="I150" s="433">
        <f t="shared" si="4"/>
        <v>0</v>
      </c>
    </row>
    <row r="151" spans="1:9" x14ac:dyDescent="0.35">
      <c r="A151" s="259" t="s">
        <v>97</v>
      </c>
      <c r="B151" s="253" t="s">
        <v>457</v>
      </c>
      <c r="C151" s="315"/>
      <c r="D151" s="253"/>
      <c r="E151" s="253">
        <v>55719</v>
      </c>
      <c r="F151" s="466"/>
      <c r="G151" s="222">
        <v>1</v>
      </c>
      <c r="H151" s="394"/>
      <c r="I151" s="433">
        <f t="shared" si="4"/>
        <v>0</v>
      </c>
    </row>
    <row r="152" spans="1:9" x14ac:dyDescent="0.35">
      <c r="A152" s="259" t="s">
        <v>1263</v>
      </c>
      <c r="B152" s="253" t="s">
        <v>488</v>
      </c>
      <c r="C152" s="315"/>
      <c r="D152" s="253"/>
      <c r="E152" s="253">
        <v>55719</v>
      </c>
      <c r="F152" s="466"/>
      <c r="G152" s="222">
        <v>1</v>
      </c>
      <c r="H152" s="394"/>
      <c r="I152" s="433">
        <f t="shared" si="4"/>
        <v>0</v>
      </c>
    </row>
    <row r="153" spans="1:9" x14ac:dyDescent="0.35">
      <c r="A153" s="259" t="s">
        <v>2360</v>
      </c>
      <c r="B153" s="253" t="s">
        <v>358</v>
      </c>
      <c r="C153" s="315"/>
      <c r="D153" s="253"/>
      <c r="E153" s="253">
        <v>55719</v>
      </c>
      <c r="F153" s="466"/>
      <c r="G153" s="222">
        <v>2</v>
      </c>
      <c r="H153" s="394"/>
      <c r="I153" s="433">
        <f t="shared" si="4"/>
        <v>0</v>
      </c>
    </row>
    <row r="154" spans="1:9" x14ac:dyDescent="0.35">
      <c r="A154" s="259" t="s">
        <v>2361</v>
      </c>
      <c r="B154" s="253" t="s">
        <v>196</v>
      </c>
      <c r="C154" s="315"/>
      <c r="D154" s="253"/>
      <c r="E154" s="253">
        <v>55719</v>
      </c>
      <c r="F154" s="466"/>
      <c r="G154" s="222">
        <v>2</v>
      </c>
      <c r="H154" s="394"/>
      <c r="I154" s="433">
        <f t="shared" si="4"/>
        <v>0</v>
      </c>
    </row>
    <row r="155" spans="1:9" x14ac:dyDescent="0.35">
      <c r="A155" s="259" t="s">
        <v>1265</v>
      </c>
      <c r="B155" s="253" t="s">
        <v>751</v>
      </c>
      <c r="C155" s="315"/>
      <c r="D155" s="253"/>
      <c r="E155" s="253">
        <v>55719</v>
      </c>
      <c r="F155" s="466"/>
      <c r="G155" s="222">
        <v>1</v>
      </c>
      <c r="H155" s="394"/>
      <c r="I155" s="433">
        <f t="shared" si="4"/>
        <v>0</v>
      </c>
    </row>
    <row r="156" spans="1:9" x14ac:dyDescent="0.35">
      <c r="A156" s="259" t="s">
        <v>1672</v>
      </c>
      <c r="B156" s="253" t="s">
        <v>1671</v>
      </c>
      <c r="C156" s="315"/>
      <c r="D156" s="253"/>
      <c r="E156" s="253">
        <v>55719</v>
      </c>
      <c r="F156" s="466"/>
      <c r="G156" s="222">
        <v>1</v>
      </c>
      <c r="H156" s="394"/>
      <c r="I156" s="433">
        <f t="shared" si="4"/>
        <v>0</v>
      </c>
    </row>
    <row r="157" spans="1:9" x14ac:dyDescent="0.35">
      <c r="A157" s="259" t="s">
        <v>1268</v>
      </c>
      <c r="B157" s="253" t="s">
        <v>836</v>
      </c>
      <c r="C157" s="315"/>
      <c r="D157" s="253"/>
      <c r="E157" s="253">
        <v>55719</v>
      </c>
      <c r="F157" s="466"/>
      <c r="G157" s="222">
        <v>1</v>
      </c>
      <c r="H157" s="394"/>
      <c r="I157" s="433">
        <f t="shared" si="4"/>
        <v>0</v>
      </c>
    </row>
    <row r="158" spans="1:9" x14ac:dyDescent="0.35">
      <c r="A158" s="259" t="s">
        <v>19</v>
      </c>
      <c r="B158" s="253" t="s">
        <v>242</v>
      </c>
      <c r="C158" s="315"/>
      <c r="D158" s="253"/>
      <c r="E158" s="253">
        <v>55719</v>
      </c>
      <c r="F158" s="466"/>
      <c r="G158" s="222">
        <v>2</v>
      </c>
      <c r="H158" s="394"/>
      <c r="I158" s="433">
        <f t="shared" si="4"/>
        <v>0</v>
      </c>
    </row>
    <row r="159" spans="1:9" x14ac:dyDescent="0.35">
      <c r="A159" s="259" t="s">
        <v>13</v>
      </c>
      <c r="B159" s="253" t="s">
        <v>420</v>
      </c>
      <c r="C159" s="315"/>
      <c r="D159" s="253"/>
      <c r="E159" s="253">
        <v>55719</v>
      </c>
      <c r="F159" s="466"/>
      <c r="G159" s="222">
        <v>1</v>
      </c>
      <c r="H159" s="394"/>
      <c r="I159" s="433">
        <f t="shared" si="4"/>
        <v>0</v>
      </c>
    </row>
    <row r="160" spans="1:9" x14ac:dyDescent="0.35">
      <c r="A160" s="223" t="s">
        <v>1090</v>
      </c>
      <c r="B160" s="253" t="s">
        <v>2222</v>
      </c>
      <c r="C160" s="315"/>
      <c r="D160" s="253"/>
      <c r="E160" s="253">
        <v>55719</v>
      </c>
      <c r="F160" s="466"/>
      <c r="G160" s="43">
        <v>1</v>
      </c>
      <c r="H160" s="501"/>
      <c r="I160" s="433">
        <f t="shared" si="4"/>
        <v>0</v>
      </c>
    </row>
    <row r="161" spans="1:9" x14ac:dyDescent="0.35">
      <c r="A161" s="223" t="s">
        <v>1357</v>
      </c>
      <c r="B161" s="253" t="s">
        <v>801</v>
      </c>
      <c r="C161" s="315"/>
      <c r="D161" s="253"/>
      <c r="E161" s="253">
        <v>55719</v>
      </c>
      <c r="F161" s="466"/>
      <c r="G161" s="43">
        <v>1</v>
      </c>
      <c r="H161" s="501"/>
      <c r="I161" s="433">
        <f t="shared" si="4"/>
        <v>0</v>
      </c>
    </row>
    <row r="162" spans="1:9" x14ac:dyDescent="0.35">
      <c r="I162" s="463">
        <f>SUM(I2:I161)</f>
        <v>0</v>
      </c>
    </row>
    <row r="163" spans="1:9" ht="17.5" x14ac:dyDescent="0.35">
      <c r="A163" s="309" t="s">
        <v>2691</v>
      </c>
      <c r="B163" s="6"/>
    </row>
    <row r="164" spans="1:9" ht="17.5" x14ac:dyDescent="0.35">
      <c r="A164" s="309" t="s">
        <v>2397</v>
      </c>
      <c r="B164" s="6"/>
    </row>
    <row r="165" spans="1:9" ht="17.5" x14ac:dyDescent="0.35">
      <c r="A165" s="367" t="s">
        <v>2658</v>
      </c>
      <c r="B165" s="6"/>
    </row>
    <row r="166" spans="1:9" ht="17.5" x14ac:dyDescent="0.35">
      <c r="A166" s="334" t="s">
        <v>2701</v>
      </c>
      <c r="B166" s="456">
        <f>+I162</f>
        <v>0</v>
      </c>
    </row>
  </sheetData>
  <printOptions gridLines="1"/>
  <pageMargins left="0.5" right="0.5" top="0.5" bottom="0.5" header="0.3" footer="0.3"/>
  <pageSetup scale="60" orientation="landscape" r:id="rId1"/>
  <headerFooter>
    <oddFooter xml:space="preserve">&amp;C </oddFooter>
  </headerFooter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42"/>
  <sheetViews>
    <sheetView workbookViewId="0">
      <pane ySplit="1" topLeftCell="A2" activePane="bottomLeft" state="frozen"/>
      <selection activeCell="C26" sqref="C26"/>
      <selection pane="bottomLeft" activeCell="A49" sqref="A36:XFD49"/>
    </sheetView>
  </sheetViews>
  <sheetFormatPr defaultColWidth="9.08984375" defaultRowHeight="15.5" x14ac:dyDescent="0.35"/>
  <cols>
    <col min="1" max="1" width="63.90625" style="301" bestFit="1" customWidth="1"/>
    <col min="2" max="2" width="16.36328125" style="107" bestFit="1" customWidth="1"/>
    <col min="3" max="3" width="21.1796875" style="107" customWidth="1"/>
    <col min="4" max="4" width="21.81640625" style="107" customWidth="1"/>
    <col min="5" max="5" width="14.36328125" style="107" customWidth="1"/>
    <col min="6" max="6" width="16.453125" style="107" customWidth="1"/>
    <col min="7" max="7" width="11.90625" style="107" customWidth="1"/>
    <col min="8" max="8" width="13.08984375" style="509" customWidth="1"/>
    <col min="9" max="9" width="18.6328125" style="507" customWidth="1"/>
    <col min="10" max="10" width="17" style="301" bestFit="1" customWidth="1"/>
    <col min="11" max="16384" width="9.08984375" style="301"/>
  </cols>
  <sheetData>
    <row r="1" spans="1:9" x14ac:dyDescent="0.35">
      <c r="A1" s="631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81" t="s">
        <v>2699</v>
      </c>
      <c r="G1" s="47" t="s">
        <v>364</v>
      </c>
      <c r="H1" s="393" t="s">
        <v>2695</v>
      </c>
      <c r="I1" s="404" t="s">
        <v>2696</v>
      </c>
    </row>
    <row r="2" spans="1:9" x14ac:dyDescent="0.35">
      <c r="A2" s="632" t="s">
        <v>2381</v>
      </c>
      <c r="B2" s="201" t="s">
        <v>646</v>
      </c>
      <c r="C2" s="315"/>
      <c r="D2" s="201"/>
      <c r="E2" s="201">
        <v>55719</v>
      </c>
      <c r="F2" s="323"/>
      <c r="G2" s="48">
        <v>1</v>
      </c>
      <c r="H2" s="504"/>
      <c r="I2" s="505">
        <f t="shared" ref="I2:I35" si="0">+G2*H2</f>
        <v>0</v>
      </c>
    </row>
    <row r="3" spans="1:9" x14ac:dyDescent="0.35">
      <c r="A3" s="632" t="s">
        <v>985</v>
      </c>
      <c r="B3" s="201" t="s">
        <v>591</v>
      </c>
      <c r="C3" s="315"/>
      <c r="D3" s="201"/>
      <c r="E3" s="201">
        <v>55719</v>
      </c>
      <c r="F3" s="323"/>
      <c r="G3" s="48">
        <v>1</v>
      </c>
      <c r="H3" s="504"/>
      <c r="I3" s="505">
        <f t="shared" si="0"/>
        <v>0</v>
      </c>
    </row>
    <row r="4" spans="1:9" x14ac:dyDescent="0.35">
      <c r="A4" s="632" t="s">
        <v>16</v>
      </c>
      <c r="B4" s="201" t="s">
        <v>360</v>
      </c>
      <c r="C4" s="315"/>
      <c r="D4" s="201"/>
      <c r="E4" s="201">
        <v>55719</v>
      </c>
      <c r="F4" s="323"/>
      <c r="G4" s="48">
        <v>1</v>
      </c>
      <c r="H4" s="504"/>
      <c r="I4" s="505">
        <f t="shared" si="0"/>
        <v>0</v>
      </c>
    </row>
    <row r="5" spans="1:9" x14ac:dyDescent="0.35">
      <c r="A5" s="632" t="s">
        <v>986</v>
      </c>
      <c r="B5" s="201" t="s">
        <v>460</v>
      </c>
      <c r="C5" s="315"/>
      <c r="D5" s="201"/>
      <c r="E5" s="201">
        <v>55719</v>
      </c>
      <c r="F5" s="323"/>
      <c r="G5" s="48">
        <v>1</v>
      </c>
      <c r="H5" s="504"/>
      <c r="I5" s="505">
        <f t="shared" si="0"/>
        <v>0</v>
      </c>
    </row>
    <row r="6" spans="1:9" x14ac:dyDescent="0.35">
      <c r="A6" s="632" t="s">
        <v>1410</v>
      </c>
      <c r="B6" s="201" t="s">
        <v>138</v>
      </c>
      <c r="C6" s="315"/>
      <c r="D6" s="201"/>
      <c r="E6" s="201">
        <v>55719</v>
      </c>
      <c r="F6" s="323"/>
      <c r="G6" s="48">
        <v>1</v>
      </c>
      <c r="H6" s="504"/>
      <c r="I6" s="505">
        <f t="shared" si="0"/>
        <v>0</v>
      </c>
    </row>
    <row r="7" spans="1:9" x14ac:dyDescent="0.35">
      <c r="A7" s="632" t="s">
        <v>892</v>
      </c>
      <c r="B7" s="201" t="s">
        <v>440</v>
      </c>
      <c r="C7" s="315"/>
      <c r="D7" s="201"/>
      <c r="E7" s="201">
        <v>55719</v>
      </c>
      <c r="F7" s="323"/>
      <c r="G7" s="48">
        <v>1</v>
      </c>
      <c r="H7" s="504"/>
      <c r="I7" s="505">
        <f t="shared" si="0"/>
        <v>0</v>
      </c>
    </row>
    <row r="8" spans="1:9" x14ac:dyDescent="0.35">
      <c r="A8" s="632" t="s">
        <v>893</v>
      </c>
      <c r="B8" s="201" t="s">
        <v>149</v>
      </c>
      <c r="C8" s="315"/>
      <c r="D8" s="201"/>
      <c r="E8" s="201">
        <v>55719</v>
      </c>
      <c r="F8" s="323"/>
      <c r="G8" s="48">
        <v>1</v>
      </c>
      <c r="H8" s="504"/>
      <c r="I8" s="505">
        <f t="shared" si="0"/>
        <v>0</v>
      </c>
    </row>
    <row r="9" spans="1:9" x14ac:dyDescent="0.35">
      <c r="A9" s="632" t="s">
        <v>895</v>
      </c>
      <c r="B9" s="201" t="s">
        <v>357</v>
      </c>
      <c r="C9" s="315"/>
      <c r="D9" s="201"/>
      <c r="E9" s="201">
        <v>55719</v>
      </c>
      <c r="F9" s="323"/>
      <c r="G9" s="48">
        <v>1</v>
      </c>
      <c r="H9" s="504"/>
      <c r="I9" s="505">
        <f t="shared" si="0"/>
        <v>0</v>
      </c>
    </row>
    <row r="10" spans="1:9" x14ac:dyDescent="0.35">
      <c r="A10" s="632" t="s">
        <v>2583</v>
      </c>
      <c r="B10" s="201" t="s">
        <v>78</v>
      </c>
      <c r="C10" s="315"/>
      <c r="D10" s="201"/>
      <c r="E10" s="201">
        <v>55719</v>
      </c>
      <c r="F10" s="323"/>
      <c r="G10" s="48">
        <v>1</v>
      </c>
      <c r="H10" s="504"/>
      <c r="I10" s="505">
        <f t="shared" si="0"/>
        <v>0</v>
      </c>
    </row>
    <row r="11" spans="1:9" x14ac:dyDescent="0.35">
      <c r="A11" s="632" t="s">
        <v>136</v>
      </c>
      <c r="B11" s="201" t="s">
        <v>1674</v>
      </c>
      <c r="C11" s="315"/>
      <c r="D11" s="201"/>
      <c r="E11" s="201">
        <v>55719</v>
      </c>
      <c r="F11" s="323"/>
      <c r="G11" s="48">
        <v>1</v>
      </c>
      <c r="H11" s="504"/>
      <c r="I11" s="505">
        <f t="shared" si="0"/>
        <v>0</v>
      </c>
    </row>
    <row r="12" spans="1:9" x14ac:dyDescent="0.35">
      <c r="A12" s="632" t="s">
        <v>137</v>
      </c>
      <c r="B12" s="201" t="s">
        <v>1673</v>
      </c>
      <c r="C12" s="315"/>
      <c r="D12" s="201"/>
      <c r="E12" s="201">
        <v>55719</v>
      </c>
      <c r="F12" s="323"/>
      <c r="G12" s="48">
        <v>1</v>
      </c>
      <c r="H12" s="504"/>
      <c r="I12" s="505">
        <f t="shared" si="0"/>
        <v>0</v>
      </c>
    </row>
    <row r="13" spans="1:9" x14ac:dyDescent="0.35">
      <c r="A13" s="632" t="s">
        <v>15</v>
      </c>
      <c r="B13" s="201" t="s">
        <v>424</v>
      </c>
      <c r="C13" s="315"/>
      <c r="D13" s="201"/>
      <c r="E13" s="201">
        <v>55719</v>
      </c>
      <c r="F13" s="323"/>
      <c r="G13" s="48">
        <v>2</v>
      </c>
      <c r="H13" s="504"/>
      <c r="I13" s="505">
        <f t="shared" si="0"/>
        <v>0</v>
      </c>
    </row>
    <row r="14" spans="1:9" x14ac:dyDescent="0.35">
      <c r="A14" s="632" t="s">
        <v>1019</v>
      </c>
      <c r="B14" s="201" t="s">
        <v>90</v>
      </c>
      <c r="C14" s="315"/>
      <c r="D14" s="201"/>
      <c r="E14" s="201">
        <v>55719</v>
      </c>
      <c r="F14" s="323"/>
      <c r="G14" s="48">
        <v>1</v>
      </c>
      <c r="H14" s="504"/>
      <c r="I14" s="505">
        <f t="shared" si="0"/>
        <v>0</v>
      </c>
    </row>
    <row r="15" spans="1:9" x14ac:dyDescent="0.35">
      <c r="A15" s="632" t="s">
        <v>34</v>
      </c>
      <c r="B15" s="201" t="s">
        <v>1566</v>
      </c>
      <c r="C15" s="315"/>
      <c r="D15" s="201"/>
      <c r="E15" s="201">
        <v>55719</v>
      </c>
      <c r="F15" s="323"/>
      <c r="G15" s="48">
        <v>1</v>
      </c>
      <c r="H15" s="504"/>
      <c r="I15" s="505">
        <f t="shared" si="0"/>
        <v>0</v>
      </c>
    </row>
    <row r="16" spans="1:9" x14ac:dyDescent="0.35">
      <c r="A16" s="632" t="s">
        <v>35</v>
      </c>
      <c r="B16" s="201" t="s">
        <v>1567</v>
      </c>
      <c r="C16" s="315"/>
      <c r="D16" s="201"/>
      <c r="E16" s="201">
        <v>55719</v>
      </c>
      <c r="F16" s="323"/>
      <c r="G16" s="48">
        <v>1</v>
      </c>
      <c r="H16" s="504"/>
      <c r="I16" s="505">
        <f t="shared" si="0"/>
        <v>0</v>
      </c>
    </row>
    <row r="17" spans="1:9" x14ac:dyDescent="0.35">
      <c r="A17" s="632" t="s">
        <v>834</v>
      </c>
      <c r="B17" s="201" t="s">
        <v>1568</v>
      </c>
      <c r="C17" s="315"/>
      <c r="D17" s="201"/>
      <c r="E17" s="201">
        <v>55719</v>
      </c>
      <c r="F17" s="323"/>
      <c r="G17" s="48">
        <v>1</v>
      </c>
      <c r="H17" s="504"/>
      <c r="I17" s="505">
        <f t="shared" si="0"/>
        <v>0</v>
      </c>
    </row>
    <row r="18" spans="1:9" x14ac:dyDescent="0.35">
      <c r="A18" s="632" t="s">
        <v>11</v>
      </c>
      <c r="B18" s="201" t="s">
        <v>233</v>
      </c>
      <c r="C18" s="315"/>
      <c r="D18" s="201"/>
      <c r="E18" s="201">
        <v>55719</v>
      </c>
      <c r="F18" s="323"/>
      <c r="G18" s="48">
        <v>1</v>
      </c>
      <c r="H18" s="504"/>
      <c r="I18" s="505">
        <f t="shared" si="0"/>
        <v>0</v>
      </c>
    </row>
    <row r="19" spans="1:9" x14ac:dyDescent="0.35">
      <c r="A19" s="632" t="s">
        <v>12</v>
      </c>
      <c r="B19" s="201" t="s">
        <v>150</v>
      </c>
      <c r="C19" s="315"/>
      <c r="D19" s="201"/>
      <c r="E19" s="201">
        <v>55719</v>
      </c>
      <c r="F19" s="323"/>
      <c r="G19" s="48">
        <v>1</v>
      </c>
      <c r="H19" s="504"/>
      <c r="I19" s="505">
        <f t="shared" si="0"/>
        <v>0</v>
      </c>
    </row>
    <row r="20" spans="1:9" x14ac:dyDescent="0.35">
      <c r="A20" s="632" t="s">
        <v>6</v>
      </c>
      <c r="B20" s="201" t="s">
        <v>87</v>
      </c>
      <c r="C20" s="315"/>
      <c r="D20" s="201"/>
      <c r="E20" s="201">
        <v>55719</v>
      </c>
      <c r="F20" s="323"/>
      <c r="G20" s="48">
        <v>1</v>
      </c>
      <c r="H20" s="504"/>
      <c r="I20" s="505">
        <f t="shared" si="0"/>
        <v>0</v>
      </c>
    </row>
    <row r="21" spans="1:9" x14ac:dyDescent="0.35">
      <c r="A21" s="632" t="s">
        <v>43</v>
      </c>
      <c r="B21" s="201" t="s">
        <v>765</v>
      </c>
      <c r="C21" s="315"/>
      <c r="D21" s="201"/>
      <c r="E21" s="201">
        <v>55719</v>
      </c>
      <c r="F21" s="323"/>
      <c r="G21" s="48">
        <v>1</v>
      </c>
      <c r="H21" s="504"/>
      <c r="I21" s="505">
        <f t="shared" si="0"/>
        <v>0</v>
      </c>
    </row>
    <row r="22" spans="1:9" x14ac:dyDescent="0.35">
      <c r="A22" s="632" t="s">
        <v>1207</v>
      </c>
      <c r="B22" s="201" t="s">
        <v>611</v>
      </c>
      <c r="C22" s="315"/>
      <c r="D22" s="201"/>
      <c r="E22" s="201">
        <v>55719</v>
      </c>
      <c r="F22" s="323"/>
      <c r="G22" s="48">
        <v>1</v>
      </c>
      <c r="H22" s="504"/>
      <c r="I22" s="505">
        <f t="shared" si="0"/>
        <v>0</v>
      </c>
    </row>
    <row r="23" spans="1:9" x14ac:dyDescent="0.35">
      <c r="A23" s="632" t="s">
        <v>909</v>
      </c>
      <c r="B23" s="201" t="s">
        <v>108</v>
      </c>
      <c r="C23" s="315"/>
      <c r="D23" s="201"/>
      <c r="E23" s="201">
        <v>55719</v>
      </c>
      <c r="F23" s="323"/>
      <c r="G23" s="48">
        <v>1</v>
      </c>
      <c r="H23" s="504"/>
      <c r="I23" s="505">
        <f t="shared" si="0"/>
        <v>0</v>
      </c>
    </row>
    <row r="24" spans="1:9" x14ac:dyDescent="0.35">
      <c r="A24" s="632" t="s">
        <v>159</v>
      </c>
      <c r="B24" s="201" t="s">
        <v>427</v>
      </c>
      <c r="C24" s="315"/>
      <c r="D24" s="201"/>
      <c r="E24" s="201">
        <v>55719</v>
      </c>
      <c r="F24" s="323"/>
      <c r="G24" s="48">
        <v>1</v>
      </c>
      <c r="H24" s="504"/>
      <c r="I24" s="505">
        <f t="shared" si="0"/>
        <v>0</v>
      </c>
    </row>
    <row r="25" spans="1:9" x14ac:dyDescent="0.35">
      <c r="A25" s="632" t="s">
        <v>1013</v>
      </c>
      <c r="B25" s="201" t="s">
        <v>283</v>
      </c>
      <c r="C25" s="315"/>
      <c r="D25" s="201"/>
      <c r="E25" s="201">
        <v>55719</v>
      </c>
      <c r="F25" s="323"/>
      <c r="G25" s="48">
        <v>1</v>
      </c>
      <c r="H25" s="504"/>
      <c r="I25" s="505">
        <f t="shared" si="0"/>
        <v>0</v>
      </c>
    </row>
    <row r="26" spans="1:9" x14ac:dyDescent="0.35">
      <c r="A26" s="632" t="s">
        <v>1007</v>
      </c>
      <c r="B26" s="201" t="s">
        <v>313</v>
      </c>
      <c r="C26" s="315"/>
      <c r="D26" s="201"/>
      <c r="E26" s="201">
        <v>55719</v>
      </c>
      <c r="F26" s="323"/>
      <c r="G26" s="48">
        <v>1</v>
      </c>
      <c r="H26" s="504"/>
      <c r="I26" s="505">
        <f t="shared" si="0"/>
        <v>0</v>
      </c>
    </row>
    <row r="27" spans="1:9" x14ac:dyDescent="0.35">
      <c r="A27" s="632" t="s">
        <v>1014</v>
      </c>
      <c r="B27" s="201" t="s">
        <v>314</v>
      </c>
      <c r="C27" s="315"/>
      <c r="D27" s="201"/>
      <c r="E27" s="201">
        <v>55719</v>
      </c>
      <c r="F27" s="323"/>
      <c r="G27" s="48">
        <v>1</v>
      </c>
      <c r="H27" s="504"/>
      <c r="I27" s="505">
        <f t="shared" si="0"/>
        <v>0</v>
      </c>
    </row>
    <row r="28" spans="1:9" x14ac:dyDescent="0.35">
      <c r="A28" s="632" t="s">
        <v>2344</v>
      </c>
      <c r="B28" s="201" t="s">
        <v>279</v>
      </c>
      <c r="C28" s="315"/>
      <c r="D28" s="201"/>
      <c r="E28" s="201">
        <v>55719</v>
      </c>
      <c r="F28" s="323"/>
      <c r="G28" s="48">
        <v>1</v>
      </c>
      <c r="H28" s="504"/>
      <c r="I28" s="505">
        <f t="shared" si="0"/>
        <v>0</v>
      </c>
    </row>
    <row r="29" spans="1:9" x14ac:dyDescent="0.35">
      <c r="A29" s="632" t="s">
        <v>1335</v>
      </c>
      <c r="B29" s="201" t="s">
        <v>533</v>
      </c>
      <c r="C29" s="315"/>
      <c r="D29" s="201"/>
      <c r="E29" s="201">
        <v>55719</v>
      </c>
      <c r="F29" s="323"/>
      <c r="G29" s="48">
        <v>1</v>
      </c>
      <c r="H29" s="504"/>
      <c r="I29" s="505">
        <f t="shared" si="0"/>
        <v>0</v>
      </c>
    </row>
    <row r="30" spans="1:9" x14ac:dyDescent="0.35">
      <c r="A30" s="632" t="s">
        <v>1348</v>
      </c>
      <c r="B30" s="201" t="s">
        <v>518</v>
      </c>
      <c r="C30" s="315"/>
      <c r="D30" s="201"/>
      <c r="E30" s="201">
        <v>55719</v>
      </c>
      <c r="F30" s="323"/>
      <c r="G30" s="48">
        <v>2</v>
      </c>
      <c r="H30" s="504"/>
      <c r="I30" s="505">
        <f t="shared" si="0"/>
        <v>0</v>
      </c>
    </row>
    <row r="31" spans="1:9" x14ac:dyDescent="0.35">
      <c r="A31" s="632" t="s">
        <v>1099</v>
      </c>
      <c r="B31" s="201" t="s">
        <v>426</v>
      </c>
      <c r="C31" s="315"/>
      <c r="D31" s="201"/>
      <c r="E31" s="201">
        <v>55719</v>
      </c>
      <c r="F31" s="323"/>
      <c r="G31" s="48">
        <v>1</v>
      </c>
      <c r="H31" s="504"/>
      <c r="I31" s="505">
        <f t="shared" si="0"/>
        <v>0</v>
      </c>
    </row>
    <row r="32" spans="1:9" x14ac:dyDescent="0.35">
      <c r="A32" s="632" t="s">
        <v>1381</v>
      </c>
      <c r="B32" s="201" t="s">
        <v>532</v>
      </c>
      <c r="C32" s="315"/>
      <c r="D32" s="201"/>
      <c r="E32" s="201">
        <v>55719</v>
      </c>
      <c r="F32" s="323"/>
      <c r="G32" s="48">
        <v>1</v>
      </c>
      <c r="H32" s="504"/>
      <c r="I32" s="505">
        <f t="shared" si="0"/>
        <v>0</v>
      </c>
    </row>
    <row r="33" spans="1:9" x14ac:dyDescent="0.35">
      <c r="A33" s="632" t="s">
        <v>4</v>
      </c>
      <c r="B33" s="201" t="s">
        <v>86</v>
      </c>
      <c r="C33" s="315"/>
      <c r="D33" s="201"/>
      <c r="E33" s="201">
        <v>55719</v>
      </c>
      <c r="F33" s="323"/>
      <c r="G33" s="48">
        <v>1</v>
      </c>
      <c r="H33" s="504"/>
      <c r="I33" s="505">
        <f t="shared" si="0"/>
        <v>0</v>
      </c>
    </row>
    <row r="34" spans="1:9" x14ac:dyDescent="0.35">
      <c r="A34" s="632" t="s">
        <v>2361</v>
      </c>
      <c r="B34" s="201" t="s">
        <v>196</v>
      </c>
      <c r="C34" s="315"/>
      <c r="D34" s="201"/>
      <c r="E34" s="201">
        <v>55719</v>
      </c>
      <c r="F34" s="323"/>
      <c r="G34" s="48">
        <v>2</v>
      </c>
      <c r="H34" s="504"/>
      <c r="I34" s="505">
        <f t="shared" si="0"/>
        <v>0</v>
      </c>
    </row>
    <row r="35" spans="1:9" x14ac:dyDescent="0.35">
      <c r="A35" s="632" t="s">
        <v>19</v>
      </c>
      <c r="B35" s="201" t="s">
        <v>242</v>
      </c>
      <c r="C35" s="315"/>
      <c r="D35" s="201"/>
      <c r="E35" s="201">
        <v>55719</v>
      </c>
      <c r="F35" s="323"/>
      <c r="G35" s="48">
        <v>2</v>
      </c>
      <c r="H35" s="504"/>
      <c r="I35" s="505">
        <f t="shared" si="0"/>
        <v>0</v>
      </c>
    </row>
    <row r="36" spans="1:9" x14ac:dyDescent="0.35">
      <c r="H36" s="506"/>
      <c r="I36" s="507">
        <f>SUM(I2:I35)</f>
        <v>0</v>
      </c>
    </row>
    <row r="37" spans="1:9" x14ac:dyDescent="0.35">
      <c r="H37" s="506"/>
    </row>
    <row r="38" spans="1:9" x14ac:dyDescent="0.35">
      <c r="H38" s="506"/>
    </row>
    <row r="39" spans="1:9" s="188" customFormat="1" ht="17.5" x14ac:dyDescent="0.35">
      <c r="A39" s="378" t="s">
        <v>1513</v>
      </c>
      <c r="B39" s="312"/>
      <c r="C39" s="249"/>
      <c r="D39" s="249"/>
      <c r="E39" s="249"/>
      <c r="F39" s="249"/>
      <c r="G39" s="249"/>
      <c r="H39" s="508"/>
      <c r="I39" s="508"/>
    </row>
    <row r="40" spans="1:9" s="188" customFormat="1" ht="17.5" x14ac:dyDescent="0.35">
      <c r="A40" s="378" t="s">
        <v>2402</v>
      </c>
      <c r="B40" s="312"/>
      <c r="C40" s="249"/>
      <c r="D40" s="249"/>
      <c r="E40" s="249"/>
      <c r="F40" s="249"/>
      <c r="G40" s="249"/>
      <c r="H40" s="508"/>
      <c r="I40" s="508"/>
    </row>
    <row r="41" spans="1:9" ht="17.5" x14ac:dyDescent="0.35">
      <c r="A41" s="379" t="s">
        <v>2657</v>
      </c>
      <c r="B41" s="382"/>
    </row>
    <row r="42" spans="1:9" ht="17.5" x14ac:dyDescent="0.35">
      <c r="A42" s="334" t="s">
        <v>2701</v>
      </c>
      <c r="B42" s="456">
        <f>+I36</f>
        <v>0</v>
      </c>
    </row>
  </sheetData>
  <pageMargins left="0.5" right="0.5" top="0.5" bottom="0.5" header="0.3" footer="0.3"/>
  <pageSetup scale="70" orientation="landscape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XFC135"/>
  <sheetViews>
    <sheetView workbookViewId="0">
      <pane ySplit="1" topLeftCell="A91" activePane="bottomLeft" state="frozen"/>
      <selection activeCell="C26" sqref="C26"/>
      <selection pane="bottomLeft" activeCell="A135" sqref="A129:XFD135"/>
    </sheetView>
  </sheetViews>
  <sheetFormatPr defaultColWidth="9.08984375" defaultRowHeight="15.5" x14ac:dyDescent="0.35"/>
  <cols>
    <col min="1" max="1" width="65.54296875" style="51" bestFit="1" customWidth="1"/>
    <col min="2" max="2" width="21.08984375" style="52" bestFit="1" customWidth="1"/>
    <col min="3" max="3" width="20.36328125" style="218" bestFit="1" customWidth="1"/>
    <col min="4" max="4" width="20.08984375" style="52" bestFit="1" customWidth="1"/>
    <col min="5" max="5" width="12.453125" style="52" bestFit="1" customWidth="1"/>
    <col min="6" max="6" width="15.6328125" style="218" bestFit="1" customWidth="1"/>
    <col min="7" max="7" width="12" style="52" customWidth="1"/>
    <col min="8" max="8" width="11.36328125" style="443" bestFit="1" customWidth="1"/>
    <col min="9" max="9" width="16.90625" style="441" bestFit="1" customWidth="1"/>
    <col min="10" max="10" width="17" style="51" bestFit="1" customWidth="1"/>
    <col min="11" max="16384" width="9.08984375" style="51"/>
  </cols>
  <sheetData>
    <row r="1" spans="1:9" x14ac:dyDescent="0.35">
      <c r="A1" s="212" t="s">
        <v>0</v>
      </c>
      <c r="B1" s="261" t="s">
        <v>1</v>
      </c>
      <c r="C1" s="281" t="s">
        <v>2700</v>
      </c>
      <c r="D1" s="261" t="s">
        <v>1598</v>
      </c>
      <c r="E1" s="261" t="s">
        <v>1599</v>
      </c>
      <c r="F1" s="281" t="s">
        <v>2699</v>
      </c>
      <c r="G1" s="211" t="s">
        <v>364</v>
      </c>
      <c r="H1" s="393" t="s">
        <v>2695</v>
      </c>
      <c r="I1" s="513" t="s">
        <v>2696</v>
      </c>
    </row>
    <row r="2" spans="1:9" s="179" customFormat="1" x14ac:dyDescent="0.35">
      <c r="A2" s="223" t="s">
        <v>17</v>
      </c>
      <c r="B2" s="62" t="s">
        <v>2473</v>
      </c>
      <c r="C2" s="466"/>
      <c r="D2" s="62"/>
      <c r="E2" s="62">
        <v>55719</v>
      </c>
      <c r="F2" s="466"/>
      <c r="G2" s="10">
        <v>1</v>
      </c>
      <c r="H2" s="416"/>
      <c r="I2" s="441">
        <f>+Table19[[#This Row],[Quantity]]*Table19[[#This Row],[Unit Price]]</f>
        <v>0</v>
      </c>
    </row>
    <row r="3" spans="1:9" s="179" customFormat="1" x14ac:dyDescent="0.35">
      <c r="A3" s="223" t="s">
        <v>408</v>
      </c>
      <c r="B3" s="62" t="s">
        <v>1562</v>
      </c>
      <c r="C3" s="466"/>
      <c r="D3" s="62"/>
      <c r="E3" s="62">
        <v>55719</v>
      </c>
      <c r="F3" s="466"/>
      <c r="G3" s="10">
        <v>2</v>
      </c>
      <c r="H3" s="416"/>
      <c r="I3" s="441">
        <f>+Table19[[#This Row],[Quantity]]*Table19[[#This Row],[Unit Price]]</f>
        <v>0</v>
      </c>
    </row>
    <row r="4" spans="1:9" s="179" customFormat="1" x14ac:dyDescent="0.35">
      <c r="A4" s="223" t="s">
        <v>1643</v>
      </c>
      <c r="B4" s="62" t="s">
        <v>1642</v>
      </c>
      <c r="C4" s="466"/>
      <c r="D4" s="62"/>
      <c r="E4" s="62">
        <v>55719</v>
      </c>
      <c r="F4" s="466"/>
      <c r="G4" s="10">
        <v>1</v>
      </c>
      <c r="H4" s="416"/>
      <c r="I4" s="441">
        <f>+Table19[[#This Row],[Quantity]]*Table19[[#This Row],[Unit Price]]</f>
        <v>0</v>
      </c>
    </row>
    <row r="5" spans="1:9" s="179" customFormat="1" x14ac:dyDescent="0.35">
      <c r="A5" s="223" t="s">
        <v>2381</v>
      </c>
      <c r="B5" s="62" t="s">
        <v>646</v>
      </c>
      <c r="C5" s="466"/>
      <c r="D5" s="62"/>
      <c r="E5" s="62">
        <v>55719</v>
      </c>
      <c r="F5" s="466"/>
      <c r="G5" s="10">
        <v>1</v>
      </c>
      <c r="H5" s="416"/>
      <c r="I5" s="441">
        <f>+Table19[[#This Row],[Quantity]]*Table19[[#This Row],[Unit Price]]</f>
        <v>0</v>
      </c>
    </row>
    <row r="6" spans="1:9" s="179" customFormat="1" x14ac:dyDescent="0.35">
      <c r="A6" s="223" t="s">
        <v>1027</v>
      </c>
      <c r="B6" s="62" t="s">
        <v>96</v>
      </c>
      <c r="C6" s="466"/>
      <c r="D6" s="62"/>
      <c r="E6" s="62">
        <v>55719</v>
      </c>
      <c r="F6" s="466"/>
      <c r="G6" s="10">
        <v>1</v>
      </c>
      <c r="H6" s="416"/>
      <c r="I6" s="441">
        <f>+Table19[[#This Row],[Quantity]]*Table19[[#This Row],[Unit Price]]</f>
        <v>0</v>
      </c>
    </row>
    <row r="7" spans="1:9" x14ac:dyDescent="0.35">
      <c r="A7" s="223" t="s">
        <v>937</v>
      </c>
      <c r="B7" s="62" t="s">
        <v>456</v>
      </c>
      <c r="C7" s="466"/>
      <c r="D7" s="62"/>
      <c r="E7" s="62">
        <v>55719</v>
      </c>
      <c r="F7" s="466"/>
      <c r="G7" s="10">
        <v>1</v>
      </c>
      <c r="H7" s="416"/>
      <c r="I7" s="441">
        <f>+Table19[[#This Row],[Quantity]]*Table19[[#This Row],[Unit Price]]</f>
        <v>0</v>
      </c>
    </row>
    <row r="8" spans="1:9" x14ac:dyDescent="0.35">
      <c r="A8" s="223" t="s">
        <v>938</v>
      </c>
      <c r="B8" s="62" t="s">
        <v>45</v>
      </c>
      <c r="C8" s="466"/>
      <c r="D8" s="62"/>
      <c r="E8" s="62">
        <v>55719</v>
      </c>
      <c r="F8" s="466"/>
      <c r="G8" s="10">
        <v>1</v>
      </c>
      <c r="H8" s="416"/>
      <c r="I8" s="441">
        <f>+Table19[[#This Row],[Quantity]]*Table19[[#This Row],[Unit Price]]</f>
        <v>0</v>
      </c>
    </row>
    <row r="9" spans="1:9" x14ac:dyDescent="0.35">
      <c r="A9" s="223" t="s">
        <v>1313</v>
      </c>
      <c r="B9" s="62" t="s">
        <v>477</v>
      </c>
      <c r="C9" s="466"/>
      <c r="D9" s="62"/>
      <c r="E9" s="62">
        <v>55719</v>
      </c>
      <c r="F9" s="466"/>
      <c r="G9" s="10">
        <v>1</v>
      </c>
      <c r="H9" s="416"/>
      <c r="I9" s="441">
        <f>+Table19[[#This Row],[Quantity]]*Table19[[#This Row],[Unit Price]]</f>
        <v>0</v>
      </c>
    </row>
    <row r="10" spans="1:9" x14ac:dyDescent="0.35">
      <c r="A10" s="223" t="s">
        <v>939</v>
      </c>
      <c r="B10" s="62" t="s">
        <v>459</v>
      </c>
      <c r="C10" s="466"/>
      <c r="D10" s="62"/>
      <c r="E10" s="62">
        <v>55719</v>
      </c>
      <c r="F10" s="466"/>
      <c r="G10" s="10">
        <v>1</v>
      </c>
      <c r="H10" s="416"/>
      <c r="I10" s="441">
        <f>+Table19[[#This Row],[Quantity]]*Table19[[#This Row],[Unit Price]]</f>
        <v>0</v>
      </c>
    </row>
    <row r="11" spans="1:9" x14ac:dyDescent="0.35">
      <c r="A11" s="223" t="s">
        <v>16</v>
      </c>
      <c r="B11" s="62" t="s">
        <v>360</v>
      </c>
      <c r="C11" s="466"/>
      <c r="D11" s="62"/>
      <c r="E11" s="62">
        <v>55719</v>
      </c>
      <c r="F11" s="466"/>
      <c r="G11" s="10">
        <v>1</v>
      </c>
      <c r="H11" s="416"/>
      <c r="I11" s="441">
        <f>+Table19[[#This Row],[Quantity]]*Table19[[#This Row],[Unit Price]]</f>
        <v>0</v>
      </c>
    </row>
    <row r="12" spans="1:9" x14ac:dyDescent="0.35">
      <c r="A12" s="223" t="s">
        <v>171</v>
      </c>
      <c r="B12" s="62" t="s">
        <v>565</v>
      </c>
      <c r="C12" s="466"/>
      <c r="D12" s="62"/>
      <c r="E12" s="62">
        <v>55719</v>
      </c>
      <c r="F12" s="466"/>
      <c r="G12" s="10">
        <v>1</v>
      </c>
      <c r="H12" s="416"/>
      <c r="I12" s="441">
        <f>+Table19[[#This Row],[Quantity]]*Table19[[#This Row],[Unit Price]]</f>
        <v>0</v>
      </c>
    </row>
    <row r="13" spans="1:9" x14ac:dyDescent="0.35">
      <c r="A13" s="223" t="s">
        <v>1394</v>
      </c>
      <c r="B13" s="62" t="s">
        <v>476</v>
      </c>
      <c r="C13" s="466"/>
      <c r="D13" s="62"/>
      <c r="E13" s="62">
        <v>55719</v>
      </c>
      <c r="F13" s="466"/>
      <c r="G13" s="10">
        <v>1</v>
      </c>
      <c r="H13" s="416"/>
      <c r="I13" s="441">
        <f>+Table19[[#This Row],[Quantity]]*Table19[[#This Row],[Unit Price]]</f>
        <v>0</v>
      </c>
    </row>
    <row r="14" spans="1:9" x14ac:dyDescent="0.35">
      <c r="A14" s="223" t="s">
        <v>1411</v>
      </c>
      <c r="B14" s="62" t="s">
        <v>49</v>
      </c>
      <c r="C14" s="466"/>
      <c r="D14" s="62"/>
      <c r="E14" s="62">
        <v>55719</v>
      </c>
      <c r="F14" s="466"/>
      <c r="G14" s="10">
        <v>2</v>
      </c>
      <c r="H14" s="416"/>
      <c r="I14" s="441">
        <f>+Table19[[#This Row],[Quantity]]*Table19[[#This Row],[Unit Price]]</f>
        <v>0</v>
      </c>
    </row>
    <row r="15" spans="1:9" x14ac:dyDescent="0.35">
      <c r="A15" s="223" t="s">
        <v>893</v>
      </c>
      <c r="B15" s="62" t="s">
        <v>149</v>
      </c>
      <c r="C15" s="466"/>
      <c r="D15" s="62"/>
      <c r="E15" s="62">
        <v>55719</v>
      </c>
      <c r="F15" s="466"/>
      <c r="G15" s="10">
        <v>1</v>
      </c>
      <c r="H15" s="416"/>
      <c r="I15" s="441">
        <f>+Table19[[#This Row],[Quantity]]*Table19[[#This Row],[Unit Price]]</f>
        <v>0</v>
      </c>
    </row>
    <row r="16" spans="1:9" x14ac:dyDescent="0.35">
      <c r="A16" s="223" t="s">
        <v>895</v>
      </c>
      <c r="B16" s="62" t="s">
        <v>357</v>
      </c>
      <c r="C16" s="466"/>
      <c r="D16" s="62"/>
      <c r="E16" s="62">
        <v>55719</v>
      </c>
      <c r="F16" s="466"/>
      <c r="G16" s="10">
        <v>1</v>
      </c>
      <c r="H16" s="416"/>
      <c r="I16" s="441">
        <f>+Table19[[#This Row],[Quantity]]*Table19[[#This Row],[Unit Price]]</f>
        <v>0</v>
      </c>
    </row>
    <row r="17" spans="1:9" x14ac:dyDescent="0.35">
      <c r="A17" s="223" t="s">
        <v>1020</v>
      </c>
      <c r="B17" s="62" t="s">
        <v>271</v>
      </c>
      <c r="C17" s="466"/>
      <c r="D17" s="62"/>
      <c r="E17" s="62">
        <v>55719</v>
      </c>
      <c r="F17" s="466"/>
      <c r="G17" s="10">
        <v>1</v>
      </c>
      <c r="H17" s="416"/>
      <c r="I17" s="441">
        <f>+Table19[[#This Row],[Quantity]]*Table19[[#This Row],[Unit Price]]</f>
        <v>0</v>
      </c>
    </row>
    <row r="18" spans="1:9" x14ac:dyDescent="0.35">
      <c r="A18" s="223" t="s">
        <v>1021</v>
      </c>
      <c r="B18" s="62" t="s">
        <v>269</v>
      </c>
      <c r="C18" s="466"/>
      <c r="D18" s="62"/>
      <c r="E18" s="62">
        <v>55719</v>
      </c>
      <c r="F18" s="466"/>
      <c r="G18" s="10">
        <v>1</v>
      </c>
      <c r="H18" s="416"/>
      <c r="I18" s="441">
        <f>+Table19[[#This Row],[Quantity]]*Table19[[#This Row],[Unit Price]]</f>
        <v>0</v>
      </c>
    </row>
    <row r="19" spans="1:9" x14ac:dyDescent="0.35">
      <c r="A19" s="223" t="s">
        <v>2583</v>
      </c>
      <c r="B19" s="62" t="s">
        <v>78</v>
      </c>
      <c r="C19" s="466"/>
      <c r="D19" s="62"/>
      <c r="E19" s="62">
        <v>55719</v>
      </c>
      <c r="F19" s="466"/>
      <c r="G19" s="10">
        <v>1</v>
      </c>
      <c r="H19" s="416"/>
      <c r="I19" s="441">
        <f>+Table19[[#This Row],[Quantity]]*Table19[[#This Row],[Unit Price]]</f>
        <v>0</v>
      </c>
    </row>
    <row r="20" spans="1:9" x14ac:dyDescent="0.35">
      <c r="A20" s="223" t="s">
        <v>1117</v>
      </c>
      <c r="B20" s="62" t="s">
        <v>466</v>
      </c>
      <c r="C20" s="466"/>
      <c r="D20" s="62"/>
      <c r="E20" s="62">
        <v>55719</v>
      </c>
      <c r="F20" s="466"/>
      <c r="G20" s="10">
        <v>2</v>
      </c>
      <c r="H20" s="416"/>
      <c r="I20" s="441">
        <f>+Table19[[#This Row],[Quantity]]*Table19[[#This Row],[Unit Price]]</f>
        <v>0</v>
      </c>
    </row>
    <row r="21" spans="1:9" x14ac:dyDescent="0.35">
      <c r="A21" s="223" t="s">
        <v>897</v>
      </c>
      <c r="B21" s="62" t="s">
        <v>267</v>
      </c>
      <c r="C21" s="466"/>
      <c r="D21" s="62"/>
      <c r="E21" s="62">
        <v>55719</v>
      </c>
      <c r="F21" s="466"/>
      <c r="G21" s="10">
        <v>1</v>
      </c>
      <c r="H21" s="416"/>
      <c r="I21" s="441">
        <f>+Table19[[#This Row],[Quantity]]*Table19[[#This Row],[Unit Price]]</f>
        <v>0</v>
      </c>
    </row>
    <row r="22" spans="1:9" x14ac:dyDescent="0.35">
      <c r="A22" s="223" t="s">
        <v>1118</v>
      </c>
      <c r="B22" s="62" t="s">
        <v>50</v>
      </c>
      <c r="C22" s="466"/>
      <c r="D22" s="62"/>
      <c r="E22" s="62">
        <v>55719</v>
      </c>
      <c r="F22" s="466"/>
      <c r="G22" s="10">
        <v>1</v>
      </c>
      <c r="H22" s="416"/>
      <c r="I22" s="441">
        <f>+Table19[[#This Row],[Quantity]]*Table19[[#This Row],[Unit Price]]</f>
        <v>0</v>
      </c>
    </row>
    <row r="23" spans="1:9" x14ac:dyDescent="0.35">
      <c r="A23" s="223" t="s">
        <v>15</v>
      </c>
      <c r="B23" s="62" t="s">
        <v>424</v>
      </c>
      <c r="C23" s="466"/>
      <c r="D23" s="62"/>
      <c r="E23" s="62">
        <v>55719</v>
      </c>
      <c r="F23" s="466"/>
      <c r="G23" s="10">
        <v>3</v>
      </c>
      <c r="H23" s="416"/>
      <c r="I23" s="441">
        <f>+Table19[[#This Row],[Quantity]]*Table19[[#This Row],[Unit Price]]</f>
        <v>0</v>
      </c>
    </row>
    <row r="24" spans="1:9" x14ac:dyDescent="0.35">
      <c r="A24" s="223" t="s">
        <v>1019</v>
      </c>
      <c r="B24" s="62" t="s">
        <v>90</v>
      </c>
      <c r="C24" s="466"/>
      <c r="D24" s="62"/>
      <c r="E24" s="62">
        <v>55719</v>
      </c>
      <c r="F24" s="466"/>
      <c r="G24" s="10">
        <v>2</v>
      </c>
      <c r="H24" s="416"/>
      <c r="I24" s="441">
        <f>+Table19[[#This Row],[Quantity]]*Table19[[#This Row],[Unit Price]]</f>
        <v>0</v>
      </c>
    </row>
    <row r="25" spans="1:9" x14ac:dyDescent="0.35">
      <c r="A25" s="223" t="s">
        <v>1120</v>
      </c>
      <c r="B25" s="62" t="s">
        <v>85</v>
      </c>
      <c r="C25" s="466"/>
      <c r="D25" s="62"/>
      <c r="E25" s="62">
        <v>55719</v>
      </c>
      <c r="F25" s="466"/>
      <c r="G25" s="10">
        <v>1</v>
      </c>
      <c r="H25" s="416"/>
      <c r="I25" s="441">
        <f>+Table19[[#This Row],[Quantity]]*Table19[[#This Row],[Unit Price]]</f>
        <v>0</v>
      </c>
    </row>
    <row r="26" spans="1:9" x14ac:dyDescent="0.35">
      <c r="A26" s="223" t="s">
        <v>1085</v>
      </c>
      <c r="B26" s="62" t="s">
        <v>468</v>
      </c>
      <c r="C26" s="466"/>
      <c r="D26" s="62"/>
      <c r="E26" s="62">
        <v>55719</v>
      </c>
      <c r="F26" s="466"/>
      <c r="G26" s="10">
        <v>1</v>
      </c>
      <c r="H26" s="416"/>
      <c r="I26" s="441">
        <f>+Table19[[#This Row],[Quantity]]*Table19[[#This Row],[Unit Price]]</f>
        <v>0</v>
      </c>
    </row>
    <row r="27" spans="1:9" x14ac:dyDescent="0.35">
      <c r="A27" s="223" t="s">
        <v>1123</v>
      </c>
      <c r="B27" s="62" t="s">
        <v>540</v>
      </c>
      <c r="C27" s="466"/>
      <c r="D27" s="62"/>
      <c r="E27" s="62">
        <v>55719</v>
      </c>
      <c r="F27" s="466"/>
      <c r="G27" s="10">
        <v>1</v>
      </c>
      <c r="H27" s="416"/>
      <c r="I27" s="441">
        <f>+Table19[[#This Row],[Quantity]]*Table19[[#This Row],[Unit Price]]</f>
        <v>0</v>
      </c>
    </row>
    <row r="28" spans="1:9" x14ac:dyDescent="0.35">
      <c r="A28" s="223" t="s">
        <v>1124</v>
      </c>
      <c r="B28" s="62" t="s">
        <v>708</v>
      </c>
      <c r="C28" s="466"/>
      <c r="D28" s="62"/>
      <c r="E28" s="62">
        <v>55719</v>
      </c>
      <c r="F28" s="466"/>
      <c r="G28" s="10">
        <v>1</v>
      </c>
      <c r="H28" s="416"/>
      <c r="I28" s="441">
        <f>+Table19[[#This Row],[Quantity]]*Table19[[#This Row],[Unit Price]]</f>
        <v>0</v>
      </c>
    </row>
    <row r="29" spans="1:9" x14ac:dyDescent="0.35">
      <c r="A29" s="223" t="s">
        <v>1127</v>
      </c>
      <c r="B29" s="62" t="s">
        <v>539</v>
      </c>
      <c r="C29" s="466"/>
      <c r="D29" s="62"/>
      <c r="E29" s="62">
        <v>55719</v>
      </c>
      <c r="F29" s="466"/>
      <c r="G29" s="10">
        <v>1</v>
      </c>
      <c r="H29" s="416"/>
      <c r="I29" s="441">
        <f>+Table19[[#This Row],[Quantity]]*Table19[[#This Row],[Unit Price]]</f>
        <v>0</v>
      </c>
    </row>
    <row r="30" spans="1:9" x14ac:dyDescent="0.35">
      <c r="A30" s="223" t="s">
        <v>904</v>
      </c>
      <c r="B30" s="62" t="s">
        <v>538</v>
      </c>
      <c r="C30" s="466"/>
      <c r="D30" s="62"/>
      <c r="E30" s="62">
        <v>55719</v>
      </c>
      <c r="F30" s="466"/>
      <c r="G30" s="10">
        <v>1</v>
      </c>
      <c r="H30" s="416"/>
      <c r="I30" s="441">
        <f>+Table19[[#This Row],[Quantity]]*Table19[[#This Row],[Unit Price]]</f>
        <v>0</v>
      </c>
    </row>
    <row r="31" spans="1:9" x14ac:dyDescent="0.35">
      <c r="A31" s="223" t="s">
        <v>1129</v>
      </c>
      <c r="B31" s="62" t="s">
        <v>51</v>
      </c>
      <c r="C31" s="466"/>
      <c r="D31" s="62"/>
      <c r="E31" s="62">
        <v>55719</v>
      </c>
      <c r="F31" s="466"/>
      <c r="G31" s="10">
        <v>2</v>
      </c>
      <c r="H31" s="416"/>
      <c r="I31" s="441">
        <f>+Table19[[#This Row],[Quantity]]*Table19[[#This Row],[Unit Price]]</f>
        <v>0</v>
      </c>
    </row>
    <row r="32" spans="1:9" x14ac:dyDescent="0.35">
      <c r="A32" s="223" t="s">
        <v>1133</v>
      </c>
      <c r="B32" s="62" t="s">
        <v>489</v>
      </c>
      <c r="C32" s="466"/>
      <c r="D32" s="62"/>
      <c r="E32" s="62">
        <v>55719</v>
      </c>
      <c r="F32" s="466"/>
      <c r="G32" s="10">
        <v>2</v>
      </c>
      <c r="H32" s="416"/>
      <c r="I32" s="441">
        <f>+Table19[[#This Row],[Quantity]]*Table19[[#This Row],[Unit Price]]</f>
        <v>0</v>
      </c>
    </row>
    <row r="33" spans="1:9" x14ac:dyDescent="0.35">
      <c r="A33" s="223" t="s">
        <v>967</v>
      </c>
      <c r="B33" s="62" t="s">
        <v>44</v>
      </c>
      <c r="C33" s="466"/>
      <c r="D33" s="62"/>
      <c r="E33" s="62">
        <v>55719</v>
      </c>
      <c r="F33" s="466"/>
      <c r="G33" s="10">
        <v>1</v>
      </c>
      <c r="H33" s="416"/>
      <c r="I33" s="441">
        <f>+Table19[[#This Row],[Quantity]]*Table19[[#This Row],[Unit Price]]</f>
        <v>0</v>
      </c>
    </row>
    <row r="34" spans="1:9" x14ac:dyDescent="0.35">
      <c r="A34" s="223" t="s">
        <v>871</v>
      </c>
      <c r="B34" s="62" t="s">
        <v>95</v>
      </c>
      <c r="C34" s="466"/>
      <c r="D34" s="62"/>
      <c r="E34" s="62">
        <v>55719</v>
      </c>
      <c r="F34" s="466"/>
      <c r="G34" s="10">
        <v>1</v>
      </c>
      <c r="H34" s="416"/>
      <c r="I34" s="441">
        <f>+Table19[[#This Row],[Quantity]]*Table19[[#This Row],[Unit Price]]</f>
        <v>0</v>
      </c>
    </row>
    <row r="35" spans="1:9" x14ac:dyDescent="0.35">
      <c r="A35" s="223" t="s">
        <v>34</v>
      </c>
      <c r="B35" s="62" t="s">
        <v>1566</v>
      </c>
      <c r="C35" s="466"/>
      <c r="D35" s="62"/>
      <c r="E35" s="62">
        <v>55719</v>
      </c>
      <c r="F35" s="466"/>
      <c r="G35" s="10">
        <v>1</v>
      </c>
      <c r="H35" s="416"/>
      <c r="I35" s="441">
        <f>+Table19[[#This Row],[Quantity]]*Table19[[#This Row],[Unit Price]]</f>
        <v>0</v>
      </c>
    </row>
    <row r="36" spans="1:9" x14ac:dyDescent="0.35">
      <c r="A36" s="223" t="s">
        <v>35</v>
      </c>
      <c r="B36" s="62" t="s">
        <v>1567</v>
      </c>
      <c r="C36" s="466"/>
      <c r="D36" s="62"/>
      <c r="E36" s="62">
        <v>55719</v>
      </c>
      <c r="F36" s="466"/>
      <c r="G36" s="10">
        <v>1</v>
      </c>
      <c r="H36" s="416"/>
      <c r="I36" s="441">
        <f>+Table19[[#This Row],[Quantity]]*Table19[[#This Row],[Unit Price]]</f>
        <v>0</v>
      </c>
    </row>
    <row r="37" spans="1:9" x14ac:dyDescent="0.35">
      <c r="A37" s="223" t="s">
        <v>33</v>
      </c>
      <c r="B37" s="62" t="s">
        <v>1565</v>
      </c>
      <c r="C37" s="466"/>
      <c r="D37" s="62"/>
      <c r="E37" s="62">
        <v>55719</v>
      </c>
      <c r="F37" s="466"/>
      <c r="G37" s="10">
        <v>1</v>
      </c>
      <c r="H37" s="416"/>
      <c r="I37" s="441">
        <f>+Table19[[#This Row],[Quantity]]*Table19[[#This Row],[Unit Price]]</f>
        <v>0</v>
      </c>
    </row>
    <row r="38" spans="1:9" x14ac:dyDescent="0.35">
      <c r="A38" s="223" t="s">
        <v>1187</v>
      </c>
      <c r="B38" s="62" t="s">
        <v>541</v>
      </c>
      <c r="C38" s="466"/>
      <c r="D38" s="62"/>
      <c r="E38" s="62">
        <v>55719</v>
      </c>
      <c r="F38" s="466"/>
      <c r="G38" s="10">
        <v>1</v>
      </c>
      <c r="H38" s="416"/>
      <c r="I38" s="441">
        <f>+Table19[[#This Row],[Quantity]]*Table19[[#This Row],[Unit Price]]</f>
        <v>0</v>
      </c>
    </row>
    <row r="39" spans="1:9" x14ac:dyDescent="0.35">
      <c r="A39" s="223" t="s">
        <v>935</v>
      </c>
      <c r="B39" s="62" t="s">
        <v>359</v>
      </c>
      <c r="C39" s="466"/>
      <c r="D39" s="62"/>
      <c r="E39" s="62">
        <v>55719</v>
      </c>
      <c r="F39" s="466"/>
      <c r="G39" s="10">
        <v>2</v>
      </c>
      <c r="H39" s="416"/>
      <c r="I39" s="441">
        <f>+Table19[[#This Row],[Quantity]]*Table19[[#This Row],[Unit Price]]</f>
        <v>0</v>
      </c>
    </row>
    <row r="40" spans="1:9" x14ac:dyDescent="0.35">
      <c r="A40" s="223" t="s">
        <v>889</v>
      </c>
      <c r="B40" s="62" t="s">
        <v>227</v>
      </c>
      <c r="C40" s="466"/>
      <c r="D40" s="62"/>
      <c r="E40" s="62">
        <v>55719</v>
      </c>
      <c r="F40" s="466"/>
      <c r="G40" s="10">
        <v>2</v>
      </c>
      <c r="H40" s="416"/>
      <c r="I40" s="441">
        <f>+Table19[[#This Row],[Quantity]]*Table19[[#This Row],[Unit Price]]</f>
        <v>0</v>
      </c>
    </row>
    <row r="41" spans="1:9" x14ac:dyDescent="0.35">
      <c r="A41" s="223" t="s">
        <v>890</v>
      </c>
      <c r="B41" s="62" t="s">
        <v>228</v>
      </c>
      <c r="C41" s="466"/>
      <c r="D41" s="62"/>
      <c r="E41" s="62">
        <v>55719</v>
      </c>
      <c r="F41" s="466"/>
      <c r="G41" s="10">
        <v>1</v>
      </c>
      <c r="H41" s="416"/>
      <c r="I41" s="441">
        <f>+Table19[[#This Row],[Quantity]]*Table19[[#This Row],[Unit Price]]</f>
        <v>0</v>
      </c>
    </row>
    <row r="42" spans="1:9" x14ac:dyDescent="0.35">
      <c r="A42" s="223" t="s">
        <v>38</v>
      </c>
      <c r="B42" s="62" t="s">
        <v>200</v>
      </c>
      <c r="C42" s="466"/>
      <c r="D42" s="62"/>
      <c r="E42" s="62">
        <v>55719</v>
      </c>
      <c r="F42" s="466"/>
      <c r="G42" s="10">
        <v>1</v>
      </c>
      <c r="H42" s="416"/>
      <c r="I42" s="441">
        <f>+Table19[[#This Row],[Quantity]]*Table19[[#This Row],[Unit Price]]</f>
        <v>0</v>
      </c>
    </row>
    <row r="43" spans="1:9" x14ac:dyDescent="0.35">
      <c r="A43" s="223" t="s">
        <v>882</v>
      </c>
      <c r="B43" s="62" t="s">
        <v>419</v>
      </c>
      <c r="C43" s="466"/>
      <c r="D43" s="62"/>
      <c r="E43" s="62">
        <v>55719</v>
      </c>
      <c r="F43" s="466"/>
      <c r="G43" s="10">
        <v>1</v>
      </c>
      <c r="H43" s="416"/>
      <c r="I43" s="441">
        <f>+Table19[[#This Row],[Quantity]]*Table19[[#This Row],[Unit Price]]</f>
        <v>0</v>
      </c>
    </row>
    <row r="44" spans="1:9" x14ac:dyDescent="0.35">
      <c r="A44" s="223" t="s">
        <v>6</v>
      </c>
      <c r="B44" s="62" t="s">
        <v>87</v>
      </c>
      <c r="C44" s="466"/>
      <c r="D44" s="62"/>
      <c r="E44" s="62">
        <v>55719</v>
      </c>
      <c r="F44" s="466"/>
      <c r="G44" s="10">
        <v>2</v>
      </c>
      <c r="H44" s="416"/>
      <c r="I44" s="441">
        <f>+Table19[[#This Row],[Quantity]]*Table19[[#This Row],[Unit Price]]</f>
        <v>0</v>
      </c>
    </row>
    <row r="45" spans="1:9" x14ac:dyDescent="0.35">
      <c r="A45" s="223" t="s">
        <v>174</v>
      </c>
      <c r="B45" s="62" t="s">
        <v>215</v>
      </c>
      <c r="C45" s="466"/>
      <c r="D45" s="62"/>
      <c r="E45" s="62">
        <v>55719</v>
      </c>
      <c r="F45" s="466"/>
      <c r="G45" s="10">
        <v>1</v>
      </c>
      <c r="H45" s="416"/>
      <c r="I45" s="441">
        <f>+Table19[[#This Row],[Quantity]]*Table19[[#This Row],[Unit Price]]</f>
        <v>0</v>
      </c>
    </row>
    <row r="46" spans="1:9" x14ac:dyDescent="0.35">
      <c r="A46" s="223" t="s">
        <v>43</v>
      </c>
      <c r="B46" s="62" t="s">
        <v>765</v>
      </c>
      <c r="C46" s="466"/>
      <c r="D46" s="62"/>
      <c r="E46" s="62">
        <v>55719</v>
      </c>
      <c r="F46" s="466"/>
      <c r="G46" s="10">
        <v>1</v>
      </c>
      <c r="H46" s="416"/>
      <c r="I46" s="441">
        <f>+Table19[[#This Row],[Quantity]]*Table19[[#This Row],[Unit Price]]</f>
        <v>0</v>
      </c>
    </row>
    <row r="47" spans="1:9" x14ac:dyDescent="0.35">
      <c r="A47" s="223" t="s">
        <v>1084</v>
      </c>
      <c r="B47" s="62" t="s">
        <v>546</v>
      </c>
      <c r="C47" s="466"/>
      <c r="D47" s="62"/>
      <c r="E47" s="62">
        <v>55719</v>
      </c>
      <c r="F47" s="466"/>
      <c r="G47" s="10">
        <v>3</v>
      </c>
      <c r="H47" s="416"/>
      <c r="I47" s="441">
        <f>+Table19[[#This Row],[Quantity]]*Table19[[#This Row],[Unit Price]]</f>
        <v>0</v>
      </c>
    </row>
    <row r="48" spans="1:9" x14ac:dyDescent="0.35">
      <c r="A48" s="223" t="s">
        <v>3</v>
      </c>
      <c r="B48" s="62" t="s">
        <v>414</v>
      </c>
      <c r="C48" s="466"/>
      <c r="D48" s="62"/>
      <c r="E48" s="62">
        <v>55719</v>
      </c>
      <c r="F48" s="466"/>
      <c r="G48" s="10">
        <v>1</v>
      </c>
      <c r="H48" s="416"/>
      <c r="I48" s="441">
        <f>+Table19[[#This Row],[Quantity]]*Table19[[#This Row],[Unit Price]]</f>
        <v>0</v>
      </c>
    </row>
    <row r="49" spans="1:9" x14ac:dyDescent="0.35">
      <c r="A49" s="223" t="s">
        <v>1035</v>
      </c>
      <c r="B49" s="253" t="s">
        <v>421</v>
      </c>
      <c r="C49" s="466"/>
      <c r="D49" s="62"/>
      <c r="E49" s="62">
        <v>55719</v>
      </c>
      <c r="F49" s="466"/>
      <c r="G49" s="10">
        <v>1</v>
      </c>
      <c r="H49" s="416"/>
      <c r="I49" s="441">
        <f>+Table19[[#This Row],[Quantity]]*Table19[[#This Row],[Unit Price]]</f>
        <v>0</v>
      </c>
    </row>
    <row r="50" spans="1:9" x14ac:dyDescent="0.35">
      <c r="A50" s="223" t="s">
        <v>2681</v>
      </c>
      <c r="B50" s="62" t="s">
        <v>2238</v>
      </c>
      <c r="C50" s="466"/>
      <c r="D50" s="62"/>
      <c r="E50" s="62">
        <v>55719</v>
      </c>
      <c r="F50" s="466"/>
      <c r="G50" s="10">
        <v>1</v>
      </c>
      <c r="H50" s="416"/>
      <c r="I50" s="441">
        <f>+Table19[[#This Row],[Quantity]]*Table19[[#This Row],[Unit Price]]</f>
        <v>0</v>
      </c>
    </row>
    <row r="51" spans="1:9" x14ac:dyDescent="0.35">
      <c r="A51" s="223" t="s">
        <v>2680</v>
      </c>
      <c r="B51" s="24" t="s">
        <v>2239</v>
      </c>
      <c r="C51" s="466"/>
      <c r="D51" s="62"/>
      <c r="E51" s="62">
        <v>55719</v>
      </c>
      <c r="F51" s="466"/>
      <c r="G51" s="10">
        <v>1</v>
      </c>
      <c r="H51" s="522"/>
      <c r="I51" s="441">
        <f>+Table19[[#This Row],[Quantity]]*Table19[[#This Row],[Unit Price]]</f>
        <v>0</v>
      </c>
    </row>
    <row r="52" spans="1:9" x14ac:dyDescent="0.35">
      <c r="A52" s="223" t="s">
        <v>739</v>
      </c>
      <c r="B52" s="62" t="s">
        <v>454</v>
      </c>
      <c r="C52" s="466"/>
      <c r="D52" s="62"/>
      <c r="E52" s="62">
        <v>55719</v>
      </c>
      <c r="F52" s="466"/>
      <c r="G52" s="10">
        <v>1</v>
      </c>
      <c r="H52" s="416"/>
      <c r="I52" s="441">
        <f>+Table19[[#This Row],[Quantity]]*Table19[[#This Row],[Unit Price]]</f>
        <v>0</v>
      </c>
    </row>
    <row r="53" spans="1:9" x14ac:dyDescent="0.35">
      <c r="A53" s="223" t="s">
        <v>1213</v>
      </c>
      <c r="B53" s="62" t="s">
        <v>455</v>
      </c>
      <c r="C53" s="466"/>
      <c r="D53" s="62"/>
      <c r="E53" s="62">
        <v>55719</v>
      </c>
      <c r="F53" s="466"/>
      <c r="G53" s="10">
        <v>1</v>
      </c>
      <c r="H53" s="416"/>
      <c r="I53" s="441">
        <f>+Table19[[#This Row],[Quantity]]*Table19[[#This Row],[Unit Price]]</f>
        <v>0</v>
      </c>
    </row>
    <row r="54" spans="1:9" x14ac:dyDescent="0.35">
      <c r="A54" s="223" t="s">
        <v>47</v>
      </c>
      <c r="B54" s="62" t="s">
        <v>1606</v>
      </c>
      <c r="C54" s="466"/>
      <c r="D54" s="62"/>
      <c r="E54" s="62">
        <v>55719</v>
      </c>
      <c r="F54" s="466"/>
      <c r="G54" s="10">
        <v>1</v>
      </c>
      <c r="H54" s="416"/>
      <c r="I54" s="441">
        <f>+Table19[[#This Row],[Quantity]]*Table19[[#This Row],[Unit Price]]</f>
        <v>0</v>
      </c>
    </row>
    <row r="55" spans="1:9" x14ac:dyDescent="0.35">
      <c r="A55" s="223" t="s">
        <v>159</v>
      </c>
      <c r="B55" s="62" t="s">
        <v>427</v>
      </c>
      <c r="C55" s="466"/>
      <c r="D55" s="62"/>
      <c r="E55" s="62">
        <v>55719</v>
      </c>
      <c r="F55" s="466"/>
      <c r="G55" s="10">
        <v>1</v>
      </c>
      <c r="H55" s="416"/>
      <c r="I55" s="441">
        <f>+Table19[[#This Row],[Quantity]]*Table19[[#This Row],[Unit Price]]</f>
        <v>0</v>
      </c>
    </row>
    <row r="56" spans="1:9" x14ac:dyDescent="0.35">
      <c r="A56" s="223" t="s">
        <v>1307</v>
      </c>
      <c r="B56" s="62" t="s">
        <v>465</v>
      </c>
      <c r="C56" s="466"/>
      <c r="D56" s="62"/>
      <c r="E56" s="62">
        <v>55719</v>
      </c>
      <c r="F56" s="466"/>
      <c r="G56" s="10">
        <v>1</v>
      </c>
      <c r="H56" s="416"/>
      <c r="I56" s="441">
        <f>+Table19[[#This Row],[Quantity]]*Table19[[#This Row],[Unit Price]]</f>
        <v>0</v>
      </c>
    </row>
    <row r="57" spans="1:9" x14ac:dyDescent="0.35">
      <c r="A57" s="223" t="s">
        <v>54</v>
      </c>
      <c r="B57" s="62" t="s">
        <v>473</v>
      </c>
      <c r="C57" s="466"/>
      <c r="D57" s="62"/>
      <c r="E57" s="62">
        <v>55719</v>
      </c>
      <c r="F57" s="466"/>
      <c r="G57" s="10">
        <v>1</v>
      </c>
      <c r="H57" s="416"/>
      <c r="I57" s="441">
        <f>+Table19[[#This Row],[Quantity]]*Table19[[#This Row],[Unit Price]]</f>
        <v>0</v>
      </c>
    </row>
    <row r="58" spans="1:9" x14ac:dyDescent="0.35">
      <c r="A58" s="223" t="s">
        <v>52</v>
      </c>
      <c r="B58" s="62" t="s">
        <v>2445</v>
      </c>
      <c r="C58" s="466"/>
      <c r="D58" s="62"/>
      <c r="E58" s="62">
        <v>55719</v>
      </c>
      <c r="F58" s="466"/>
      <c r="G58" s="10">
        <v>1</v>
      </c>
      <c r="H58" s="416"/>
      <c r="I58" s="441">
        <f>+Table19[[#This Row],[Quantity]]*Table19[[#This Row],[Unit Price]]</f>
        <v>0</v>
      </c>
    </row>
    <row r="59" spans="1:9" x14ac:dyDescent="0.35">
      <c r="A59" s="223" t="s">
        <v>1215</v>
      </c>
      <c r="B59" s="62" t="s">
        <v>195</v>
      </c>
      <c r="C59" s="466"/>
      <c r="D59" s="62"/>
      <c r="E59" s="62">
        <v>55719</v>
      </c>
      <c r="F59" s="466"/>
      <c r="G59" s="10">
        <v>1</v>
      </c>
      <c r="H59" s="416"/>
      <c r="I59" s="441">
        <f>+Table19[[#This Row],[Quantity]]*Table19[[#This Row],[Unit Price]]</f>
        <v>0</v>
      </c>
    </row>
    <row r="60" spans="1:9" x14ac:dyDescent="0.35">
      <c r="A60" s="223" t="s">
        <v>53</v>
      </c>
      <c r="B60" s="62" t="s">
        <v>472</v>
      </c>
      <c r="C60" s="466"/>
      <c r="D60" s="62"/>
      <c r="E60" s="62">
        <v>55719</v>
      </c>
      <c r="F60" s="466"/>
      <c r="G60" s="10">
        <v>1</v>
      </c>
      <c r="H60" s="416"/>
      <c r="I60" s="441">
        <f>+Table19[[#This Row],[Quantity]]*Table19[[#This Row],[Unit Price]]</f>
        <v>0</v>
      </c>
    </row>
    <row r="61" spans="1:9" x14ac:dyDescent="0.35">
      <c r="A61" s="223" t="s">
        <v>1218</v>
      </c>
      <c r="B61" s="62" t="s">
        <v>470</v>
      </c>
      <c r="C61" s="466"/>
      <c r="D61" s="62"/>
      <c r="E61" s="62">
        <v>55719</v>
      </c>
      <c r="F61" s="466"/>
      <c r="G61" s="10">
        <v>1</v>
      </c>
      <c r="H61" s="416"/>
      <c r="I61" s="441">
        <f>+Table19[[#This Row],[Quantity]]*Table19[[#This Row],[Unit Price]]</f>
        <v>0</v>
      </c>
    </row>
    <row r="62" spans="1:9" x14ac:dyDescent="0.35">
      <c r="A62" s="223" t="s">
        <v>1220</v>
      </c>
      <c r="B62" s="62" t="s">
        <v>469</v>
      </c>
      <c r="C62" s="466"/>
      <c r="D62" s="62"/>
      <c r="E62" s="62">
        <v>55719</v>
      </c>
      <c r="F62" s="466"/>
      <c r="G62" s="10">
        <v>1</v>
      </c>
      <c r="H62" s="416"/>
      <c r="I62" s="441">
        <f>+Table19[[#This Row],[Quantity]]*Table19[[#This Row],[Unit Price]]</f>
        <v>0</v>
      </c>
    </row>
    <row r="63" spans="1:9" x14ac:dyDescent="0.35">
      <c r="A63" s="223" t="s">
        <v>2594</v>
      </c>
      <c r="B63" s="62" t="s">
        <v>757</v>
      </c>
      <c r="C63" s="466"/>
      <c r="D63" s="62"/>
      <c r="E63" s="62">
        <v>55719</v>
      </c>
      <c r="F63" s="466"/>
      <c r="G63" s="10">
        <v>2</v>
      </c>
      <c r="H63" s="416"/>
      <c r="I63" s="441">
        <f>+Table19[[#This Row],[Quantity]]*Table19[[#This Row],[Unit Price]]</f>
        <v>0</v>
      </c>
    </row>
    <row r="64" spans="1:9" x14ac:dyDescent="0.35">
      <c r="A64" s="223" t="s">
        <v>2588</v>
      </c>
      <c r="B64" s="62" t="s">
        <v>273</v>
      </c>
      <c r="C64" s="466"/>
      <c r="D64" s="62"/>
      <c r="E64" s="62">
        <v>55719</v>
      </c>
      <c r="F64" s="466"/>
      <c r="G64" s="10">
        <v>1</v>
      </c>
      <c r="H64" s="416"/>
      <c r="I64" s="441">
        <f>+Table19[[#This Row],[Quantity]]*Table19[[#This Row],[Unit Price]]</f>
        <v>0</v>
      </c>
    </row>
    <row r="65" spans="1:9" x14ac:dyDescent="0.35">
      <c r="A65" s="223" t="s">
        <v>146</v>
      </c>
      <c r="B65" s="62" t="s">
        <v>278</v>
      </c>
      <c r="C65" s="466"/>
      <c r="D65" s="62"/>
      <c r="E65" s="62">
        <v>55719</v>
      </c>
      <c r="F65" s="466"/>
      <c r="G65" s="10">
        <v>1</v>
      </c>
      <c r="H65" s="416"/>
      <c r="I65" s="441">
        <f>+Table19[[#This Row],[Quantity]]*Table19[[#This Row],[Unit Price]]</f>
        <v>0</v>
      </c>
    </row>
    <row r="66" spans="1:9" x14ac:dyDescent="0.35">
      <c r="A66" s="223" t="s">
        <v>2344</v>
      </c>
      <c r="B66" s="62" t="s">
        <v>279</v>
      </c>
      <c r="C66" s="466"/>
      <c r="D66" s="62"/>
      <c r="E66" s="62">
        <v>55719</v>
      </c>
      <c r="F66" s="466"/>
      <c r="G66" s="10">
        <v>1</v>
      </c>
      <c r="H66" s="416"/>
      <c r="I66" s="441">
        <f>+Table19[[#This Row],[Quantity]]*Table19[[#This Row],[Unit Price]]</f>
        <v>0</v>
      </c>
    </row>
    <row r="67" spans="1:9" x14ac:dyDescent="0.35">
      <c r="A67" s="223" t="s">
        <v>914</v>
      </c>
      <c r="B67" s="62" t="s">
        <v>444</v>
      </c>
      <c r="C67" s="466"/>
      <c r="D67" s="62"/>
      <c r="E67" s="62">
        <v>55719</v>
      </c>
      <c r="F67" s="466"/>
      <c r="G67" s="10">
        <v>1</v>
      </c>
      <c r="H67" s="416"/>
      <c r="I67" s="441">
        <f>+Table19[[#This Row],[Quantity]]*Table19[[#This Row],[Unit Price]]</f>
        <v>0</v>
      </c>
    </row>
    <row r="68" spans="1:9" x14ac:dyDescent="0.35">
      <c r="A68" s="223" t="s">
        <v>915</v>
      </c>
      <c r="B68" s="62" t="s">
        <v>448</v>
      </c>
      <c r="C68" s="466"/>
      <c r="D68" s="62"/>
      <c r="E68" s="62">
        <v>55719</v>
      </c>
      <c r="F68" s="466"/>
      <c r="G68" s="10">
        <v>1</v>
      </c>
      <c r="H68" s="416"/>
      <c r="I68" s="441">
        <f>+Table19[[#This Row],[Quantity]]*Table19[[#This Row],[Unit Price]]</f>
        <v>0</v>
      </c>
    </row>
    <row r="69" spans="1:9" x14ac:dyDescent="0.35">
      <c r="A69" s="223" t="s">
        <v>1338</v>
      </c>
      <c r="B69" s="62" t="s">
        <v>461</v>
      </c>
      <c r="C69" s="466"/>
      <c r="D69" s="62"/>
      <c r="E69" s="62">
        <v>55719</v>
      </c>
      <c r="F69" s="466"/>
      <c r="G69" s="10">
        <v>1</v>
      </c>
      <c r="H69" s="416"/>
      <c r="I69" s="441">
        <f>+Table19[[#This Row],[Quantity]]*Table19[[#This Row],[Unit Price]]</f>
        <v>0</v>
      </c>
    </row>
    <row r="70" spans="1:9" x14ac:dyDescent="0.35">
      <c r="A70" s="223" t="s">
        <v>1341</v>
      </c>
      <c r="B70" s="62" t="s">
        <v>462</v>
      </c>
      <c r="C70" s="466"/>
      <c r="D70" s="62"/>
      <c r="E70" s="62">
        <v>55719</v>
      </c>
      <c r="F70" s="466"/>
      <c r="G70" s="10">
        <v>1</v>
      </c>
      <c r="H70" s="416"/>
      <c r="I70" s="441">
        <f>+Table19[[#This Row],[Quantity]]*Table19[[#This Row],[Unit Price]]</f>
        <v>0</v>
      </c>
    </row>
    <row r="71" spans="1:9" x14ac:dyDescent="0.35">
      <c r="A71" s="223" t="s">
        <v>1429</v>
      </c>
      <c r="B71" s="62" t="s">
        <v>537</v>
      </c>
      <c r="C71" s="466"/>
      <c r="D71" s="62"/>
      <c r="E71" s="62">
        <v>55719</v>
      </c>
      <c r="F71" s="466"/>
      <c r="G71" s="10">
        <v>1</v>
      </c>
      <c r="H71" s="416"/>
      <c r="I71" s="441">
        <f>+Table19[[#This Row],[Quantity]]*Table19[[#This Row],[Unit Price]]</f>
        <v>0</v>
      </c>
    </row>
    <row r="72" spans="1:9" x14ac:dyDescent="0.35">
      <c r="A72" s="223" t="s">
        <v>885</v>
      </c>
      <c r="B72" s="62" t="s">
        <v>229</v>
      </c>
      <c r="C72" s="466"/>
      <c r="D72" s="62"/>
      <c r="E72" s="62">
        <v>55719</v>
      </c>
      <c r="F72" s="466"/>
      <c r="G72" s="10">
        <v>1</v>
      </c>
      <c r="H72" s="416"/>
      <c r="I72" s="441">
        <f>+Table19[[#This Row],[Quantity]]*Table19[[#This Row],[Unit Price]]</f>
        <v>0</v>
      </c>
    </row>
    <row r="73" spans="1:9" x14ac:dyDescent="0.35">
      <c r="A73" s="223" t="s">
        <v>1443</v>
      </c>
      <c r="B73" s="62" t="s">
        <v>474</v>
      </c>
      <c r="C73" s="466"/>
      <c r="D73" s="62"/>
      <c r="E73" s="62">
        <v>55719</v>
      </c>
      <c r="F73" s="466"/>
      <c r="G73" s="10">
        <v>1</v>
      </c>
      <c r="H73" s="416"/>
      <c r="I73" s="441">
        <f>+Table19[[#This Row],[Quantity]]*Table19[[#This Row],[Unit Price]]</f>
        <v>0</v>
      </c>
    </row>
    <row r="74" spans="1:9" x14ac:dyDescent="0.35">
      <c r="A74" s="223" t="s">
        <v>1444</v>
      </c>
      <c r="B74" s="62" t="s">
        <v>475</v>
      </c>
      <c r="C74" s="466"/>
      <c r="D74" s="62"/>
      <c r="E74" s="62">
        <v>55719</v>
      </c>
      <c r="F74" s="466"/>
      <c r="G74" s="10">
        <v>1</v>
      </c>
      <c r="H74" s="416"/>
      <c r="I74" s="441">
        <f>+Table19[[#This Row],[Quantity]]*Table19[[#This Row],[Unit Price]]</f>
        <v>0</v>
      </c>
    </row>
    <row r="75" spans="1:9" x14ac:dyDescent="0.35">
      <c r="A75" s="223" t="s">
        <v>48</v>
      </c>
      <c r="B75" s="62" t="s">
        <v>335</v>
      </c>
      <c r="C75" s="466"/>
      <c r="D75" s="62"/>
      <c r="E75" s="62">
        <v>55719</v>
      </c>
      <c r="F75" s="466"/>
      <c r="G75" s="10">
        <v>1</v>
      </c>
      <c r="H75" s="416"/>
      <c r="I75" s="441">
        <f>+Table19[[#This Row],[Quantity]]*Table19[[#This Row],[Unit Price]]</f>
        <v>0</v>
      </c>
    </row>
    <row r="76" spans="1:9" x14ac:dyDescent="0.35">
      <c r="A76" s="223" t="s">
        <v>924</v>
      </c>
      <c r="B76" s="62" t="s">
        <v>435</v>
      </c>
      <c r="C76" s="466"/>
      <c r="D76" s="62"/>
      <c r="E76" s="62">
        <v>55719</v>
      </c>
      <c r="F76" s="466"/>
      <c r="G76" s="10">
        <v>1</v>
      </c>
      <c r="H76" s="416"/>
      <c r="I76" s="441">
        <f>+Table19[[#This Row],[Quantity]]*Table19[[#This Row],[Unit Price]]</f>
        <v>0</v>
      </c>
    </row>
    <row r="77" spans="1:9" x14ac:dyDescent="0.35">
      <c r="A77" s="223" t="s">
        <v>1036</v>
      </c>
      <c r="B77" s="62" t="s">
        <v>423</v>
      </c>
      <c r="C77" s="466"/>
      <c r="D77" s="62"/>
      <c r="E77" s="62">
        <v>55719</v>
      </c>
      <c r="F77" s="466"/>
      <c r="G77" s="10">
        <v>2</v>
      </c>
      <c r="H77" s="416"/>
      <c r="I77" s="441">
        <f>+Table19[[#This Row],[Quantity]]*Table19[[#This Row],[Unit Price]]</f>
        <v>0</v>
      </c>
    </row>
    <row r="78" spans="1:9" x14ac:dyDescent="0.35">
      <c r="A78" s="223" t="s">
        <v>24</v>
      </c>
      <c r="B78" s="62" t="s">
        <v>255</v>
      </c>
      <c r="C78" s="466"/>
      <c r="D78" s="62"/>
      <c r="E78" s="62">
        <v>55719</v>
      </c>
      <c r="F78" s="466"/>
      <c r="G78" s="10">
        <v>2</v>
      </c>
      <c r="H78" s="416"/>
      <c r="I78" s="441">
        <f>+Table19[[#This Row],[Quantity]]*Table19[[#This Row],[Unit Price]]</f>
        <v>0</v>
      </c>
    </row>
    <row r="79" spans="1:9" x14ac:dyDescent="0.35">
      <c r="A79" s="223" t="s">
        <v>26</v>
      </c>
      <c r="B79" s="62" t="s">
        <v>257</v>
      </c>
      <c r="C79" s="466"/>
      <c r="D79" s="62"/>
      <c r="E79" s="62">
        <v>55719</v>
      </c>
      <c r="F79" s="466"/>
      <c r="G79" s="10">
        <v>1</v>
      </c>
      <c r="H79" s="416"/>
      <c r="I79" s="441">
        <f>+Table19[[#This Row],[Quantity]]*Table19[[#This Row],[Unit Price]]</f>
        <v>0</v>
      </c>
    </row>
    <row r="80" spans="1:9" x14ac:dyDescent="0.35">
      <c r="A80" s="223" t="s">
        <v>23</v>
      </c>
      <c r="B80" s="62" t="s">
        <v>252</v>
      </c>
      <c r="C80" s="466"/>
      <c r="D80" s="62"/>
      <c r="E80" s="62">
        <v>55719</v>
      </c>
      <c r="F80" s="466"/>
      <c r="G80" s="10">
        <v>1</v>
      </c>
      <c r="H80" s="416"/>
      <c r="I80" s="441">
        <f>+Table19[[#This Row],[Quantity]]*Table19[[#This Row],[Unit Price]]</f>
        <v>0</v>
      </c>
    </row>
    <row r="81" spans="1:9" x14ac:dyDescent="0.35">
      <c r="A81" s="223" t="s">
        <v>1099</v>
      </c>
      <c r="B81" s="62" t="s">
        <v>426</v>
      </c>
      <c r="C81" s="466"/>
      <c r="D81" s="62"/>
      <c r="E81" s="62">
        <v>55719</v>
      </c>
      <c r="F81" s="466"/>
      <c r="G81" s="10">
        <v>1</v>
      </c>
      <c r="H81" s="416"/>
      <c r="I81" s="441">
        <f>+Table19[[#This Row],[Quantity]]*Table19[[#This Row],[Unit Price]]</f>
        <v>0</v>
      </c>
    </row>
    <row r="82" spans="1:9" x14ac:dyDescent="0.35">
      <c r="A82" s="223" t="s">
        <v>1075</v>
      </c>
      <c r="B82" s="62" t="s">
        <v>411</v>
      </c>
      <c r="C82" s="466"/>
      <c r="D82" s="62"/>
      <c r="E82" s="62">
        <v>55719</v>
      </c>
      <c r="F82" s="466"/>
      <c r="G82" s="10">
        <v>1</v>
      </c>
      <c r="H82" s="416"/>
      <c r="I82" s="441">
        <f>+Table19[[#This Row],[Quantity]]*Table19[[#This Row],[Unit Price]]</f>
        <v>0</v>
      </c>
    </row>
    <row r="83" spans="1:9" x14ac:dyDescent="0.35">
      <c r="A83" s="223" t="s">
        <v>1077</v>
      </c>
      <c r="B83" s="62" t="s">
        <v>266</v>
      </c>
      <c r="C83" s="466"/>
      <c r="D83" s="62"/>
      <c r="E83" s="62">
        <v>55719</v>
      </c>
      <c r="F83" s="466"/>
      <c r="G83" s="10">
        <v>1</v>
      </c>
      <c r="H83" s="416"/>
      <c r="I83" s="441">
        <f>+Table19[[#This Row],[Quantity]]*Table19[[#This Row],[Unit Price]]</f>
        <v>0</v>
      </c>
    </row>
    <row r="84" spans="1:9" x14ac:dyDescent="0.35">
      <c r="A84" s="223" t="s">
        <v>1076</v>
      </c>
      <c r="B84" s="62" t="s">
        <v>77</v>
      </c>
      <c r="C84" s="466"/>
      <c r="D84" s="62"/>
      <c r="E84" s="62">
        <v>55719</v>
      </c>
      <c r="F84" s="466"/>
      <c r="G84" s="10">
        <v>1</v>
      </c>
      <c r="H84" s="416"/>
      <c r="I84" s="441">
        <f>+Table19[[#This Row],[Quantity]]*Table19[[#This Row],[Unit Price]]</f>
        <v>0</v>
      </c>
    </row>
    <row r="85" spans="1:9" x14ac:dyDescent="0.35">
      <c r="A85" s="223" t="s">
        <v>1072</v>
      </c>
      <c r="B85" s="62" t="s">
        <v>395</v>
      </c>
      <c r="C85" s="466"/>
      <c r="D85" s="62"/>
      <c r="E85" s="62">
        <v>55719</v>
      </c>
      <c r="F85" s="466"/>
      <c r="G85" s="10">
        <v>1</v>
      </c>
      <c r="H85" s="416"/>
      <c r="I85" s="441">
        <f>+Table19[[#This Row],[Quantity]]*Table19[[#This Row],[Unit Price]]</f>
        <v>0</v>
      </c>
    </row>
    <row r="86" spans="1:9" x14ac:dyDescent="0.35">
      <c r="A86" s="223" t="s">
        <v>887</v>
      </c>
      <c r="B86" s="62" t="s">
        <v>405</v>
      </c>
      <c r="C86" s="466"/>
      <c r="D86" s="62"/>
      <c r="E86" s="62">
        <v>55719</v>
      </c>
      <c r="F86" s="466"/>
      <c r="G86" s="10">
        <v>1</v>
      </c>
      <c r="H86" s="416"/>
      <c r="I86" s="441">
        <f>+Table19[[#This Row],[Quantity]]*Table19[[#This Row],[Unit Price]]</f>
        <v>0</v>
      </c>
    </row>
    <row r="87" spans="1:9" x14ac:dyDescent="0.35">
      <c r="A87" s="223" t="s">
        <v>991</v>
      </c>
      <c r="B87" s="62" t="s">
        <v>194</v>
      </c>
      <c r="C87" s="466"/>
      <c r="D87" s="62"/>
      <c r="E87" s="62">
        <v>55719</v>
      </c>
      <c r="F87" s="466"/>
      <c r="G87" s="10">
        <v>1</v>
      </c>
      <c r="H87" s="416"/>
      <c r="I87" s="441">
        <f>+Table19[[#This Row],[Quantity]]*Table19[[#This Row],[Unit Price]]</f>
        <v>0</v>
      </c>
    </row>
    <row r="88" spans="1:9" x14ac:dyDescent="0.35">
      <c r="A88" s="223" t="s">
        <v>362</v>
      </c>
      <c r="B88" s="62" t="s">
        <v>431</v>
      </c>
      <c r="C88" s="466"/>
      <c r="D88" s="62"/>
      <c r="E88" s="62">
        <v>55719</v>
      </c>
      <c r="F88" s="466"/>
      <c r="G88" s="10">
        <v>1</v>
      </c>
      <c r="H88" s="416"/>
      <c r="I88" s="441">
        <f>+Table19[[#This Row],[Quantity]]*Table19[[#This Row],[Unit Price]]</f>
        <v>0</v>
      </c>
    </row>
    <row r="89" spans="1:9" x14ac:dyDescent="0.35">
      <c r="A89" s="223" t="s">
        <v>1110</v>
      </c>
      <c r="B89" s="62" t="s">
        <v>422</v>
      </c>
      <c r="C89" s="466"/>
      <c r="D89" s="62"/>
      <c r="E89" s="62">
        <v>55719</v>
      </c>
      <c r="F89" s="466"/>
      <c r="G89" s="10">
        <v>1</v>
      </c>
      <c r="H89" s="416"/>
      <c r="I89" s="441">
        <f>+Table19[[#This Row],[Quantity]]*Table19[[#This Row],[Unit Price]]</f>
        <v>0</v>
      </c>
    </row>
    <row r="90" spans="1:9" x14ac:dyDescent="0.35">
      <c r="A90" s="223" t="s">
        <v>1065</v>
      </c>
      <c r="B90" s="62" t="s">
        <v>259</v>
      </c>
      <c r="C90" s="466"/>
      <c r="D90" s="62"/>
      <c r="E90" s="62">
        <v>55719</v>
      </c>
      <c r="F90" s="466"/>
      <c r="G90" s="10">
        <v>2</v>
      </c>
      <c r="H90" s="416"/>
      <c r="I90" s="441">
        <f>+Table19[[#This Row],[Quantity]]*Table19[[#This Row],[Unit Price]]</f>
        <v>0</v>
      </c>
    </row>
    <row r="91" spans="1:9" x14ac:dyDescent="0.35">
      <c r="A91" s="223" t="s">
        <v>1054</v>
      </c>
      <c r="B91" s="62" t="s">
        <v>258</v>
      </c>
      <c r="C91" s="466"/>
      <c r="D91" s="62"/>
      <c r="E91" s="62">
        <v>55719</v>
      </c>
      <c r="F91" s="466"/>
      <c r="G91" s="10">
        <v>1</v>
      </c>
      <c r="H91" s="416"/>
      <c r="I91" s="441">
        <f>+Table19[[#This Row],[Quantity]]*Table19[[#This Row],[Unit Price]]</f>
        <v>0</v>
      </c>
    </row>
    <row r="92" spans="1:9" x14ac:dyDescent="0.35">
      <c r="A92" s="223" t="s">
        <v>1053</v>
      </c>
      <c r="B92" s="62" t="s">
        <v>437</v>
      </c>
      <c r="C92" s="466"/>
      <c r="D92" s="62"/>
      <c r="E92" s="62">
        <v>55719</v>
      </c>
      <c r="F92" s="466"/>
      <c r="G92" s="10">
        <v>2</v>
      </c>
      <c r="H92" s="416"/>
      <c r="I92" s="441">
        <f>+Table19[[#This Row],[Quantity]]*Table19[[#This Row],[Unit Price]]</f>
        <v>0</v>
      </c>
    </row>
    <row r="93" spans="1:9" x14ac:dyDescent="0.35">
      <c r="A93" s="223" t="s">
        <v>1050</v>
      </c>
      <c r="B93" s="62" t="s">
        <v>471</v>
      </c>
      <c r="C93" s="466"/>
      <c r="D93" s="62"/>
      <c r="E93" s="62">
        <v>55719</v>
      </c>
      <c r="F93" s="466"/>
      <c r="G93" s="10">
        <v>1</v>
      </c>
      <c r="H93" s="416"/>
      <c r="I93" s="441">
        <f>+Table19[[#This Row],[Quantity]]*Table19[[#This Row],[Unit Price]]</f>
        <v>0</v>
      </c>
    </row>
    <row r="94" spans="1:9" x14ac:dyDescent="0.35">
      <c r="A94" s="223" t="s">
        <v>995</v>
      </c>
      <c r="B94" s="62" t="s">
        <v>251</v>
      </c>
      <c r="C94" s="466"/>
      <c r="D94" s="62"/>
      <c r="E94" s="62">
        <v>55719</v>
      </c>
      <c r="F94" s="466"/>
      <c r="G94" s="10">
        <v>1</v>
      </c>
      <c r="H94" s="416"/>
      <c r="I94" s="441">
        <f>+Table19[[#This Row],[Quantity]]*Table19[[#This Row],[Unit Price]]</f>
        <v>0</v>
      </c>
    </row>
    <row r="95" spans="1:9" x14ac:dyDescent="0.35">
      <c r="A95" s="223" t="s">
        <v>763</v>
      </c>
      <c r="B95" s="62" t="s">
        <v>764</v>
      </c>
      <c r="C95" s="466"/>
      <c r="D95" s="62"/>
      <c r="E95" s="62">
        <v>55719</v>
      </c>
      <c r="F95" s="466"/>
      <c r="G95" s="10">
        <v>1</v>
      </c>
      <c r="H95" s="416"/>
      <c r="I95" s="441">
        <f>+Table19[[#This Row],[Quantity]]*Table19[[#This Row],[Unit Price]]</f>
        <v>0</v>
      </c>
    </row>
    <row r="96" spans="1:9" x14ac:dyDescent="0.35">
      <c r="A96" s="223" t="s">
        <v>9</v>
      </c>
      <c r="B96" s="62" t="s">
        <v>329</v>
      </c>
      <c r="C96" s="466"/>
      <c r="D96" s="62"/>
      <c r="E96" s="62">
        <v>55719</v>
      </c>
      <c r="F96" s="466"/>
      <c r="G96" s="10">
        <v>2</v>
      </c>
      <c r="H96" s="416"/>
      <c r="I96" s="441">
        <f>+Table19[[#This Row],[Quantity]]*Table19[[#This Row],[Unit Price]]</f>
        <v>0</v>
      </c>
    </row>
    <row r="97" spans="1:9" x14ac:dyDescent="0.35">
      <c r="A97" s="223" t="s">
        <v>169</v>
      </c>
      <c r="B97" s="62" t="s">
        <v>1607</v>
      </c>
      <c r="C97" s="466"/>
      <c r="D97" s="62"/>
      <c r="E97" s="62">
        <v>55719</v>
      </c>
      <c r="F97" s="466"/>
      <c r="G97" s="10">
        <v>3</v>
      </c>
      <c r="H97" s="416"/>
      <c r="I97" s="441">
        <f>+Table19[[#This Row],[Quantity]]*Table19[[#This Row],[Unit Price]]</f>
        <v>0</v>
      </c>
    </row>
    <row r="98" spans="1:9" x14ac:dyDescent="0.35">
      <c r="A98" s="223" t="s">
        <v>930</v>
      </c>
      <c r="B98" s="62" t="s">
        <v>88</v>
      </c>
      <c r="C98" s="466"/>
      <c r="D98" s="62"/>
      <c r="E98" s="62">
        <v>55719</v>
      </c>
      <c r="F98" s="466"/>
      <c r="G98" s="10">
        <v>2</v>
      </c>
      <c r="H98" s="416"/>
      <c r="I98" s="441">
        <f>+Table19[[#This Row],[Quantity]]*Table19[[#This Row],[Unit Price]]</f>
        <v>0</v>
      </c>
    </row>
    <row r="99" spans="1:9" x14ac:dyDescent="0.35">
      <c r="A99" s="223" t="s">
        <v>28</v>
      </c>
      <c r="B99" s="62" t="s">
        <v>2242</v>
      </c>
      <c r="C99" s="466"/>
      <c r="D99" s="62"/>
      <c r="E99" s="62">
        <v>55719</v>
      </c>
      <c r="F99" s="466"/>
      <c r="G99" s="10">
        <v>1</v>
      </c>
      <c r="H99" s="416"/>
      <c r="I99" s="441">
        <f>+Table19[[#This Row],[Quantity]]*Table19[[#This Row],[Unit Price]]</f>
        <v>0</v>
      </c>
    </row>
    <row r="100" spans="1:9" x14ac:dyDescent="0.35">
      <c r="A100" s="223" t="s">
        <v>1190</v>
      </c>
      <c r="B100" s="62" t="s">
        <v>2329</v>
      </c>
      <c r="C100" s="466"/>
      <c r="D100" s="62"/>
      <c r="E100" s="62">
        <v>55719</v>
      </c>
      <c r="F100" s="466"/>
      <c r="G100" s="10">
        <v>3</v>
      </c>
      <c r="H100" s="416"/>
      <c r="I100" s="441">
        <f>+Table19[[#This Row],[Quantity]]*Table19[[#This Row],[Unit Price]]</f>
        <v>0</v>
      </c>
    </row>
    <row r="101" spans="1:9" x14ac:dyDescent="0.35">
      <c r="A101" s="223" t="s">
        <v>1153</v>
      </c>
      <c r="B101" s="62" t="s">
        <v>815</v>
      </c>
      <c r="C101" s="466"/>
      <c r="D101" s="62"/>
      <c r="E101" s="62">
        <v>55719</v>
      </c>
      <c r="F101" s="466"/>
      <c r="G101" s="10">
        <v>1</v>
      </c>
      <c r="H101" s="416"/>
      <c r="I101" s="441">
        <f>+Table19[[#This Row],[Quantity]]*Table19[[#This Row],[Unit Price]]</f>
        <v>0</v>
      </c>
    </row>
    <row r="102" spans="1:9" x14ac:dyDescent="0.35">
      <c r="A102" s="223" t="s">
        <v>1160</v>
      </c>
      <c r="B102" s="62" t="s">
        <v>467</v>
      </c>
      <c r="C102" s="466"/>
      <c r="D102" s="62"/>
      <c r="E102" s="62">
        <v>55719</v>
      </c>
      <c r="F102" s="466"/>
      <c r="G102" s="10">
        <v>2</v>
      </c>
      <c r="H102" s="416"/>
      <c r="I102" s="441">
        <f>+Table19[[#This Row],[Quantity]]*Table19[[#This Row],[Unit Price]]</f>
        <v>0</v>
      </c>
    </row>
    <row r="103" spans="1:9" x14ac:dyDescent="0.35">
      <c r="A103" s="223" t="s">
        <v>933</v>
      </c>
      <c r="B103" s="62" t="s">
        <v>433</v>
      </c>
      <c r="C103" s="466"/>
      <c r="D103" s="62"/>
      <c r="E103" s="62">
        <v>55719</v>
      </c>
      <c r="F103" s="466"/>
      <c r="G103" s="10">
        <v>1</v>
      </c>
      <c r="H103" s="416"/>
      <c r="I103" s="441">
        <f>+Table19[[#This Row],[Quantity]]*Table19[[#This Row],[Unit Price]]</f>
        <v>0</v>
      </c>
    </row>
    <row r="104" spans="1:9" x14ac:dyDescent="0.35">
      <c r="A104" s="223" t="s">
        <v>1162</v>
      </c>
      <c r="B104" s="62" t="s">
        <v>84</v>
      </c>
      <c r="C104" s="466"/>
      <c r="D104" s="62"/>
      <c r="E104" s="62">
        <v>55719</v>
      </c>
      <c r="F104" s="466"/>
      <c r="G104" s="10">
        <v>1</v>
      </c>
      <c r="H104" s="416"/>
      <c r="I104" s="441">
        <f>+Table19[[#This Row],[Quantity]]*Table19[[#This Row],[Unit Price]]</f>
        <v>0</v>
      </c>
    </row>
    <row r="105" spans="1:9" x14ac:dyDescent="0.35">
      <c r="A105" s="223" t="s">
        <v>1163</v>
      </c>
      <c r="B105" s="62" t="s">
        <v>83</v>
      </c>
      <c r="C105" s="466"/>
      <c r="D105" s="62"/>
      <c r="E105" s="62">
        <v>55719</v>
      </c>
      <c r="F105" s="466"/>
      <c r="G105" s="10">
        <v>1</v>
      </c>
      <c r="H105" s="416"/>
      <c r="I105" s="441">
        <f>+Table19[[#This Row],[Quantity]]*Table19[[#This Row],[Unit Price]]</f>
        <v>0</v>
      </c>
    </row>
    <row r="106" spans="1:9" x14ac:dyDescent="0.35">
      <c r="A106" s="223" t="s">
        <v>1061</v>
      </c>
      <c r="B106" s="62" t="s">
        <v>73</v>
      </c>
      <c r="C106" s="466"/>
      <c r="D106" s="62"/>
      <c r="E106" s="62">
        <v>55719</v>
      </c>
      <c r="F106" s="466"/>
      <c r="G106" s="10">
        <v>1</v>
      </c>
      <c r="H106" s="416"/>
      <c r="I106" s="441">
        <f>+Table19[[#This Row],[Quantity]]*Table19[[#This Row],[Unit Price]]</f>
        <v>0</v>
      </c>
    </row>
    <row r="107" spans="1:9" x14ac:dyDescent="0.35">
      <c r="A107" s="223" t="s">
        <v>1060</v>
      </c>
      <c r="B107" s="62" t="s">
        <v>74</v>
      </c>
      <c r="C107" s="466"/>
      <c r="D107" s="62"/>
      <c r="E107" s="62">
        <v>55719</v>
      </c>
      <c r="F107" s="466"/>
      <c r="G107" s="10">
        <v>1</v>
      </c>
      <c r="H107" s="416"/>
      <c r="I107" s="441">
        <f>+Table19[[#This Row],[Quantity]]*Table19[[#This Row],[Unit Price]]</f>
        <v>0</v>
      </c>
    </row>
    <row r="108" spans="1:9" x14ac:dyDescent="0.35">
      <c r="A108" s="223" t="s">
        <v>1057</v>
      </c>
      <c r="B108" s="62" t="s">
        <v>72</v>
      </c>
      <c r="C108" s="466"/>
      <c r="D108" s="62"/>
      <c r="E108" s="62">
        <v>55719</v>
      </c>
      <c r="F108" s="466"/>
      <c r="G108" s="10">
        <v>1</v>
      </c>
      <c r="H108" s="416"/>
      <c r="I108" s="441">
        <f>+Table19[[#This Row],[Quantity]]*Table19[[#This Row],[Unit Price]]</f>
        <v>0</v>
      </c>
    </row>
    <row r="109" spans="1:9" x14ac:dyDescent="0.35">
      <c r="A109" s="223" t="s">
        <v>870</v>
      </c>
      <c r="B109" s="62" t="s">
        <v>416</v>
      </c>
      <c r="C109" s="466"/>
      <c r="D109" s="62"/>
      <c r="E109" s="62">
        <v>55719</v>
      </c>
      <c r="F109" s="466"/>
      <c r="G109" s="10">
        <v>1</v>
      </c>
      <c r="H109" s="416"/>
      <c r="I109" s="441">
        <f>+Table19[[#This Row],[Quantity]]*Table19[[#This Row],[Unit Price]]</f>
        <v>0</v>
      </c>
    </row>
    <row r="110" spans="1:9" x14ac:dyDescent="0.35">
      <c r="A110" s="223" t="s">
        <v>1260</v>
      </c>
      <c r="B110" s="62" t="s">
        <v>501</v>
      </c>
      <c r="C110" s="466"/>
      <c r="D110" s="62"/>
      <c r="E110" s="62">
        <v>55719</v>
      </c>
      <c r="F110" s="466"/>
      <c r="G110" s="10">
        <v>1</v>
      </c>
      <c r="H110" s="416"/>
      <c r="I110" s="441">
        <f>+Table19[[#This Row],[Quantity]]*Table19[[#This Row],[Unit Price]]</f>
        <v>0</v>
      </c>
    </row>
    <row r="111" spans="1:9" x14ac:dyDescent="0.35">
      <c r="A111" s="223" t="s">
        <v>14</v>
      </c>
      <c r="B111" s="62" t="s">
        <v>334</v>
      </c>
      <c r="C111" s="466"/>
      <c r="D111" s="62"/>
      <c r="E111" s="62">
        <v>55719</v>
      </c>
      <c r="F111" s="466"/>
      <c r="G111" s="10">
        <v>1</v>
      </c>
      <c r="H111" s="416"/>
      <c r="I111" s="441">
        <f>+Table19[[#This Row],[Quantity]]*Table19[[#This Row],[Unit Price]]</f>
        <v>0</v>
      </c>
    </row>
    <row r="112" spans="1:9" x14ac:dyDescent="0.35">
      <c r="A112" s="223" t="s">
        <v>881</v>
      </c>
      <c r="B112" s="62" t="s">
        <v>417</v>
      </c>
      <c r="C112" s="466"/>
      <c r="D112" s="62"/>
      <c r="E112" s="62">
        <v>55719</v>
      </c>
      <c r="F112" s="466"/>
      <c r="G112" s="10">
        <v>1</v>
      </c>
      <c r="H112" s="416"/>
      <c r="I112" s="441">
        <f>+Table19[[#This Row],[Quantity]]*Table19[[#This Row],[Unit Price]]</f>
        <v>0</v>
      </c>
    </row>
    <row r="113" spans="1:9" x14ac:dyDescent="0.35">
      <c r="A113" s="223" t="s">
        <v>1263</v>
      </c>
      <c r="B113" s="62" t="s">
        <v>488</v>
      </c>
      <c r="C113" s="466"/>
      <c r="D113" s="62"/>
      <c r="E113" s="62">
        <v>55719</v>
      </c>
      <c r="F113" s="466"/>
      <c r="G113" s="10">
        <v>1</v>
      </c>
      <c r="H113" s="416"/>
      <c r="I113" s="441">
        <f>+Table19[[#This Row],[Quantity]]*Table19[[#This Row],[Unit Price]]</f>
        <v>0</v>
      </c>
    </row>
    <row r="114" spans="1:9" x14ac:dyDescent="0.35">
      <c r="A114" s="223" t="s">
        <v>2361</v>
      </c>
      <c r="B114" s="62" t="s">
        <v>196</v>
      </c>
      <c r="C114" s="466"/>
      <c r="D114" s="62"/>
      <c r="E114" s="62">
        <v>55719</v>
      </c>
      <c r="F114" s="466"/>
      <c r="G114" s="10">
        <v>3</v>
      </c>
      <c r="H114" s="416"/>
      <c r="I114" s="441">
        <f>+Table19[[#This Row],[Quantity]]*Table19[[#This Row],[Unit Price]]</f>
        <v>0</v>
      </c>
    </row>
    <row r="115" spans="1:9" x14ac:dyDescent="0.35">
      <c r="A115" s="223" t="s">
        <v>1267</v>
      </c>
      <c r="B115" s="62" t="s">
        <v>737</v>
      </c>
      <c r="C115" s="466"/>
      <c r="D115" s="62"/>
      <c r="E115" s="62">
        <v>55719</v>
      </c>
      <c r="F115" s="466"/>
      <c r="G115" s="10">
        <v>1</v>
      </c>
      <c r="H115" s="416"/>
      <c r="I115" s="441">
        <f>+Table19[[#This Row],[Quantity]]*Table19[[#This Row],[Unit Price]]</f>
        <v>0</v>
      </c>
    </row>
    <row r="116" spans="1:9" x14ac:dyDescent="0.35">
      <c r="A116" s="223" t="s">
        <v>55</v>
      </c>
      <c r="B116" s="62" t="s">
        <v>56</v>
      </c>
      <c r="C116" s="466"/>
      <c r="D116" s="62"/>
      <c r="E116" s="62">
        <v>55719</v>
      </c>
      <c r="F116" s="466"/>
      <c r="G116" s="10">
        <v>1</v>
      </c>
      <c r="H116" s="416"/>
      <c r="I116" s="441">
        <f>+Table19[[#This Row],[Quantity]]*Table19[[#This Row],[Unit Price]]</f>
        <v>0</v>
      </c>
    </row>
    <row r="117" spans="1:9" x14ac:dyDescent="0.35">
      <c r="A117" s="223" t="s">
        <v>57</v>
      </c>
      <c r="B117" s="62" t="s">
        <v>58</v>
      </c>
      <c r="C117" s="466"/>
      <c r="D117" s="62"/>
      <c r="E117" s="62">
        <v>55719</v>
      </c>
      <c r="F117" s="466"/>
      <c r="G117" s="10">
        <v>1</v>
      </c>
      <c r="H117" s="416"/>
      <c r="I117" s="441">
        <f>+Table19[[#This Row],[Quantity]]*Table19[[#This Row],[Unit Price]]</f>
        <v>0</v>
      </c>
    </row>
    <row r="118" spans="1:9" x14ac:dyDescent="0.35">
      <c r="A118" s="223" t="s">
        <v>1040</v>
      </c>
      <c r="B118" s="62" t="s">
        <v>463</v>
      </c>
      <c r="C118" s="466"/>
      <c r="D118" s="62"/>
      <c r="E118" s="62">
        <v>55719</v>
      </c>
      <c r="F118" s="466"/>
      <c r="G118" s="10">
        <v>2</v>
      </c>
      <c r="H118" s="416"/>
      <c r="I118" s="441">
        <f>+Table19[[#This Row],[Quantity]]*Table19[[#This Row],[Unit Price]]</f>
        <v>0</v>
      </c>
    </row>
    <row r="119" spans="1:9" x14ac:dyDescent="0.35">
      <c r="A119" s="223" t="s">
        <v>19</v>
      </c>
      <c r="B119" s="62" t="s">
        <v>242</v>
      </c>
      <c r="C119" s="466"/>
      <c r="D119" s="62"/>
      <c r="E119" s="62">
        <v>55719</v>
      </c>
      <c r="F119" s="466"/>
      <c r="G119" s="10">
        <v>2</v>
      </c>
      <c r="H119" s="416"/>
      <c r="I119" s="441">
        <f>+Table19[[#This Row],[Quantity]]*Table19[[#This Row],[Unit Price]]</f>
        <v>0</v>
      </c>
    </row>
    <row r="120" spans="1:9" x14ac:dyDescent="0.35">
      <c r="A120" s="223" t="s">
        <v>13</v>
      </c>
      <c r="B120" s="62" t="s">
        <v>420</v>
      </c>
      <c r="C120" s="466"/>
      <c r="D120" s="62"/>
      <c r="E120" s="62">
        <v>55719</v>
      </c>
      <c r="F120" s="466"/>
      <c r="G120" s="10">
        <v>1</v>
      </c>
      <c r="H120" s="416"/>
      <c r="I120" s="441">
        <f>+Table19[[#This Row],[Quantity]]*Table19[[#This Row],[Unit Price]]</f>
        <v>0</v>
      </c>
    </row>
    <row r="121" spans="1:9" x14ac:dyDescent="0.35">
      <c r="A121" s="223" t="s">
        <v>5</v>
      </c>
      <c r="B121" s="62" t="s">
        <v>415</v>
      </c>
      <c r="C121" s="466"/>
      <c r="D121" s="62"/>
      <c r="E121" s="62">
        <v>55719</v>
      </c>
      <c r="F121" s="466"/>
      <c r="G121" s="10">
        <v>1</v>
      </c>
      <c r="H121" s="416"/>
      <c r="I121" s="441">
        <f>+Table19[[#This Row],[Quantity]]*Table19[[#This Row],[Unit Price]]</f>
        <v>0</v>
      </c>
    </row>
    <row r="122" spans="1:9" x14ac:dyDescent="0.35">
      <c r="A122" s="223" t="s">
        <v>11</v>
      </c>
      <c r="B122" s="62" t="s">
        <v>233</v>
      </c>
      <c r="C122" s="466"/>
      <c r="D122" s="62"/>
      <c r="E122" s="62">
        <v>55719</v>
      </c>
      <c r="F122" s="466"/>
      <c r="G122" s="10">
        <v>1</v>
      </c>
      <c r="H122" s="416"/>
      <c r="I122" s="441">
        <f>+Table19[[#This Row],[Quantity]]*Table19[[#This Row],[Unit Price]]</f>
        <v>0</v>
      </c>
    </row>
    <row r="123" spans="1:9" x14ac:dyDescent="0.35">
      <c r="A123" s="223" t="s">
        <v>12</v>
      </c>
      <c r="B123" s="62" t="s">
        <v>150</v>
      </c>
      <c r="C123" s="466"/>
      <c r="D123" s="62"/>
      <c r="E123" s="62">
        <v>55719</v>
      </c>
      <c r="F123" s="466"/>
      <c r="G123" s="10">
        <v>1</v>
      </c>
      <c r="H123" s="416"/>
      <c r="I123" s="441">
        <f>+Table19[[#This Row],[Quantity]]*Table19[[#This Row],[Unit Price]]</f>
        <v>0</v>
      </c>
    </row>
    <row r="124" spans="1:9" x14ac:dyDescent="0.35">
      <c r="A124" s="223" t="s">
        <v>2683</v>
      </c>
      <c r="B124" s="62" t="s">
        <v>2240</v>
      </c>
      <c r="C124" s="466"/>
      <c r="D124" s="62"/>
      <c r="E124" s="62">
        <v>55719</v>
      </c>
      <c r="F124" s="466"/>
      <c r="G124" s="10">
        <v>1</v>
      </c>
      <c r="H124" s="522"/>
      <c r="I124" s="441">
        <f>+Table19[[#This Row],[Quantity]]*Table19[[#This Row],[Unit Price]]</f>
        <v>0</v>
      </c>
    </row>
    <row r="125" spans="1:9" x14ac:dyDescent="0.35">
      <c r="A125" s="223" t="s">
        <v>1360</v>
      </c>
      <c r="B125" s="62" t="s">
        <v>464</v>
      </c>
      <c r="C125" s="466"/>
      <c r="D125" s="62"/>
      <c r="E125" s="62">
        <v>55719</v>
      </c>
      <c r="F125" s="466"/>
      <c r="G125" s="10">
        <v>2</v>
      </c>
      <c r="H125" s="416"/>
      <c r="I125" s="441">
        <f>+Table19[[#This Row],[Quantity]]*Table19[[#This Row],[Unit Price]]</f>
        <v>0</v>
      </c>
    </row>
    <row r="126" spans="1:9" x14ac:dyDescent="0.35">
      <c r="A126" s="223" t="s">
        <v>1042</v>
      </c>
      <c r="B126" s="62" t="s">
        <v>429</v>
      </c>
      <c r="C126" s="466"/>
      <c r="D126" s="62"/>
      <c r="E126" s="62">
        <v>55719</v>
      </c>
      <c r="F126" s="466"/>
      <c r="G126" s="10">
        <v>1</v>
      </c>
      <c r="H126" s="416"/>
      <c r="I126" s="441">
        <f>+Table19[[#This Row],[Quantity]]*Table19[[#This Row],[Unit Price]]</f>
        <v>0</v>
      </c>
    </row>
    <row r="127" spans="1:9" x14ac:dyDescent="0.35">
      <c r="A127" s="223" t="s">
        <v>4</v>
      </c>
      <c r="B127" s="253" t="s">
        <v>86</v>
      </c>
      <c r="C127" s="466"/>
      <c r="D127" s="253"/>
      <c r="E127" s="253">
        <v>55719</v>
      </c>
      <c r="F127" s="466"/>
      <c r="G127" s="10">
        <v>2</v>
      </c>
      <c r="H127" s="416"/>
      <c r="I127" s="441">
        <f>+Table19[[#This Row],[Quantity]]*Table19[[#This Row],[Unit Price]]</f>
        <v>0</v>
      </c>
    </row>
    <row r="128" spans="1:9" x14ac:dyDescent="0.35">
      <c r="A128" s="223" t="s">
        <v>97</v>
      </c>
      <c r="B128" s="253" t="s">
        <v>457</v>
      </c>
      <c r="C128" s="466"/>
      <c r="D128" s="253"/>
      <c r="E128" s="253">
        <v>55719</v>
      </c>
      <c r="F128" s="466"/>
      <c r="G128" s="10">
        <v>1</v>
      </c>
      <c r="H128" s="416"/>
      <c r="I128" s="441">
        <f>+Table19[[#This Row],[Quantity]]*Table19[[#This Row],[Unit Price]]</f>
        <v>0</v>
      </c>
    </row>
    <row r="129" spans="1:16383" x14ac:dyDescent="0.35">
      <c r="A129" s="525"/>
      <c r="B129" s="526"/>
      <c r="C129" s="527"/>
      <c r="D129" s="523"/>
      <c r="E129" s="524"/>
      <c r="F129" s="528"/>
      <c r="G129" s="523"/>
      <c r="H129" s="529"/>
      <c r="I129" s="530">
        <f>SUM(I2:I128)</f>
        <v>0</v>
      </c>
    </row>
    <row r="132" spans="1:16383" ht="17.5" x14ac:dyDescent="0.35">
      <c r="A132" s="309" t="s">
        <v>1761</v>
      </c>
      <c r="B132" s="309"/>
      <c r="C132" s="248"/>
      <c r="D132" s="4"/>
      <c r="E132" s="4"/>
      <c r="F132" s="248"/>
      <c r="G132" s="4"/>
      <c r="H132" s="406"/>
      <c r="I132" s="40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  <c r="ZO132" s="4"/>
      <c r="ZP132" s="4"/>
      <c r="ZQ132" s="4"/>
      <c r="ZR132" s="4"/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/>
      <c r="ACQ132" s="4"/>
      <c r="ACR132" s="4"/>
      <c r="ACS132" s="4"/>
      <c r="ACT132" s="4"/>
      <c r="ACU132" s="4"/>
      <c r="ACV132" s="4"/>
      <c r="ACW132" s="4"/>
      <c r="ACX132" s="4"/>
      <c r="ACY132" s="4"/>
      <c r="ACZ132" s="4"/>
      <c r="ADA132" s="4"/>
      <c r="ADB132" s="4"/>
      <c r="ADC132" s="4"/>
      <c r="ADD132" s="4"/>
      <c r="ADE132" s="4"/>
      <c r="ADF132" s="4"/>
      <c r="ADG132" s="4"/>
      <c r="ADH132" s="4"/>
      <c r="ADI132" s="4"/>
      <c r="ADJ132" s="4"/>
      <c r="ADK132" s="4"/>
      <c r="ADL132" s="4"/>
      <c r="ADM132" s="4"/>
      <c r="ADN132" s="4"/>
      <c r="ADO132" s="4"/>
      <c r="ADP132" s="4"/>
      <c r="ADQ132" s="4"/>
      <c r="ADR132" s="4"/>
      <c r="ADS132" s="4"/>
      <c r="ADT132" s="4"/>
      <c r="ADU132" s="4"/>
      <c r="ADV132" s="4"/>
      <c r="ADW132" s="4"/>
      <c r="ADX132" s="4"/>
      <c r="ADY132" s="4"/>
      <c r="ADZ132" s="4"/>
      <c r="AEA132" s="4"/>
      <c r="AEB132" s="4"/>
      <c r="AEC132" s="4"/>
      <c r="AED132" s="4"/>
      <c r="AEE132" s="4"/>
      <c r="AEF132" s="4"/>
      <c r="AEG132" s="4"/>
      <c r="AEH132" s="4"/>
      <c r="AEI132" s="4"/>
      <c r="AEJ132" s="4"/>
      <c r="AEK132" s="4"/>
      <c r="AEL132" s="4"/>
      <c r="AEM132" s="4"/>
      <c r="AEN132" s="4"/>
      <c r="AEO132" s="4"/>
      <c r="AEP132" s="4"/>
      <c r="AEQ132" s="4"/>
      <c r="AER132" s="4"/>
      <c r="AES132" s="4"/>
      <c r="AET132" s="4"/>
      <c r="AEU132" s="4"/>
      <c r="AEV132" s="4"/>
      <c r="AEW132" s="4"/>
      <c r="AEX132" s="4"/>
      <c r="AEY132" s="4"/>
      <c r="AEZ132" s="4"/>
      <c r="AFA132" s="4"/>
      <c r="AFB132" s="4"/>
      <c r="AFC132" s="4"/>
      <c r="AFD132" s="4"/>
      <c r="AFE132" s="4"/>
      <c r="AFF132" s="4"/>
      <c r="AFG132" s="4"/>
      <c r="AFH132" s="4"/>
      <c r="AFI132" s="4"/>
      <c r="AFJ132" s="4"/>
      <c r="AFK132" s="4"/>
      <c r="AFL132" s="4"/>
      <c r="AFM132" s="4"/>
      <c r="AFN132" s="4"/>
      <c r="AFO132" s="4"/>
      <c r="AFP132" s="4"/>
      <c r="AFQ132" s="4"/>
      <c r="AFR132" s="4"/>
      <c r="AFS132" s="4"/>
      <c r="AFT132" s="4"/>
      <c r="AFU132" s="4"/>
      <c r="AFV132" s="4"/>
      <c r="AFW132" s="4"/>
      <c r="AFX132" s="4"/>
      <c r="AFY132" s="4"/>
      <c r="AFZ132" s="4"/>
      <c r="AGA132" s="4"/>
      <c r="AGB132" s="4"/>
      <c r="AGC132" s="4"/>
      <c r="AGD132" s="4"/>
      <c r="AGE132" s="4"/>
      <c r="AGF132" s="4"/>
      <c r="AGG132" s="4"/>
      <c r="AGH132" s="4"/>
      <c r="AGI132" s="4"/>
      <c r="AGJ132" s="4"/>
      <c r="AGK132" s="4"/>
      <c r="AGL132" s="4"/>
      <c r="AGM132" s="4"/>
      <c r="AGN132" s="4"/>
      <c r="AGO132" s="4"/>
      <c r="AGP132" s="4"/>
      <c r="AGQ132" s="4"/>
      <c r="AGR132" s="4"/>
      <c r="AGS132" s="4"/>
      <c r="AGT132" s="4"/>
      <c r="AGU132" s="4"/>
      <c r="AGV132" s="4"/>
      <c r="AGW132" s="4"/>
      <c r="AGX132" s="4"/>
      <c r="AGY132" s="4"/>
      <c r="AGZ132" s="4"/>
      <c r="AHA132" s="4"/>
      <c r="AHB132" s="4"/>
      <c r="AHC132" s="4"/>
      <c r="AHD132" s="4"/>
      <c r="AHE132" s="4"/>
      <c r="AHF132" s="4"/>
      <c r="AHG132" s="4"/>
      <c r="AHH132" s="4"/>
      <c r="AHI132" s="4"/>
      <c r="AHJ132" s="4"/>
      <c r="AHK132" s="4"/>
      <c r="AHL132" s="4"/>
      <c r="AHM132" s="4"/>
      <c r="AHN132" s="4"/>
      <c r="AHO132" s="4"/>
      <c r="AHP132" s="4"/>
      <c r="AHQ132" s="4"/>
      <c r="AHR132" s="4"/>
      <c r="AHS132" s="4"/>
      <c r="AHT132" s="4"/>
      <c r="AHU132" s="4"/>
      <c r="AHV132" s="4"/>
      <c r="AHW132" s="4"/>
      <c r="AHX132" s="4"/>
      <c r="AHY132" s="4"/>
      <c r="AHZ132" s="4"/>
      <c r="AIA132" s="4"/>
      <c r="AIB132" s="4"/>
      <c r="AIC132" s="4"/>
      <c r="AID132" s="4"/>
      <c r="AIE132" s="4"/>
      <c r="AIF132" s="4"/>
      <c r="AIG132" s="4"/>
      <c r="AIH132" s="4"/>
      <c r="AII132" s="4"/>
      <c r="AIJ132" s="4"/>
      <c r="AIK132" s="4"/>
      <c r="AIL132" s="4"/>
      <c r="AIM132" s="4"/>
      <c r="AIN132" s="4"/>
      <c r="AIO132" s="4"/>
      <c r="AIP132" s="4"/>
      <c r="AIQ132" s="4"/>
      <c r="AIR132" s="4"/>
      <c r="AIS132" s="4"/>
      <c r="AIT132" s="4"/>
      <c r="AIU132" s="4"/>
      <c r="AIV132" s="4"/>
      <c r="AIW132" s="4"/>
      <c r="AIX132" s="4"/>
      <c r="AIY132" s="4"/>
      <c r="AIZ132" s="4"/>
      <c r="AJA132" s="4"/>
      <c r="AJB132" s="4"/>
      <c r="AJC132" s="4"/>
      <c r="AJD132" s="4"/>
      <c r="AJE132" s="4"/>
      <c r="AJF132" s="4"/>
      <c r="AJG132" s="4"/>
      <c r="AJH132" s="4"/>
      <c r="AJI132" s="4"/>
      <c r="AJJ132" s="4"/>
      <c r="AJK132" s="4"/>
      <c r="AJL132" s="4"/>
      <c r="AJM132" s="4"/>
      <c r="AJN132" s="4"/>
      <c r="AJO132" s="4"/>
      <c r="AJP132" s="4"/>
      <c r="AJQ132" s="4"/>
      <c r="AJR132" s="4"/>
      <c r="AJS132" s="4"/>
      <c r="AJT132" s="4"/>
      <c r="AJU132" s="4"/>
      <c r="AJV132" s="4"/>
      <c r="AJW132" s="4"/>
      <c r="AJX132" s="4"/>
      <c r="AJY132" s="4"/>
      <c r="AJZ132" s="4"/>
      <c r="AKA132" s="4"/>
      <c r="AKB132" s="4"/>
      <c r="AKC132" s="4"/>
      <c r="AKD132" s="4"/>
      <c r="AKE132" s="4"/>
      <c r="AKF132" s="4"/>
      <c r="AKG132" s="4"/>
      <c r="AKH132" s="4"/>
      <c r="AKI132" s="4"/>
      <c r="AKJ132" s="4"/>
      <c r="AKK132" s="4"/>
      <c r="AKL132" s="4"/>
      <c r="AKM132" s="4"/>
      <c r="AKN132" s="4"/>
      <c r="AKO132" s="4"/>
      <c r="AKP132" s="4"/>
      <c r="AKQ132" s="4"/>
      <c r="AKR132" s="4"/>
      <c r="AKS132" s="4"/>
      <c r="AKT132" s="4"/>
      <c r="AKU132" s="4"/>
      <c r="AKV132" s="4"/>
      <c r="AKW132" s="4"/>
      <c r="AKX132" s="4"/>
      <c r="AKY132" s="4"/>
      <c r="AKZ132" s="4"/>
      <c r="ALA132" s="4"/>
      <c r="ALB132" s="4"/>
      <c r="ALC132" s="4"/>
      <c r="ALD132" s="4"/>
      <c r="ALE132" s="4"/>
      <c r="ALF132" s="4"/>
      <c r="ALG132" s="4"/>
      <c r="ALH132" s="4"/>
      <c r="ALI132" s="4"/>
      <c r="ALJ132" s="4"/>
      <c r="ALK132" s="4"/>
      <c r="ALL132" s="4"/>
      <c r="ALM132" s="4"/>
      <c r="ALN132" s="4"/>
      <c r="ALO132" s="4"/>
      <c r="ALP132" s="4"/>
      <c r="ALQ132" s="4"/>
      <c r="ALR132" s="4"/>
      <c r="ALS132" s="4"/>
      <c r="ALT132" s="4"/>
      <c r="ALU132" s="4"/>
      <c r="ALV132" s="4"/>
      <c r="ALW132" s="4"/>
      <c r="ALX132" s="4"/>
      <c r="ALY132" s="4"/>
      <c r="ALZ132" s="4"/>
      <c r="AMA132" s="4"/>
      <c r="AMB132" s="4"/>
      <c r="AMC132" s="4"/>
      <c r="AMD132" s="4"/>
      <c r="AME132" s="4"/>
      <c r="AMF132" s="4"/>
      <c r="AMG132" s="4"/>
      <c r="AMH132" s="4"/>
      <c r="AMI132" s="4"/>
      <c r="AMJ132" s="4"/>
      <c r="AMK132" s="4"/>
      <c r="AML132" s="4"/>
      <c r="AMM132" s="4"/>
      <c r="AMN132" s="4"/>
      <c r="AMO132" s="4"/>
      <c r="AMP132" s="4"/>
      <c r="AMQ132" s="4"/>
      <c r="AMR132" s="4"/>
      <c r="AMS132" s="4"/>
      <c r="AMT132" s="4"/>
      <c r="AMU132" s="4"/>
      <c r="AMV132" s="4"/>
      <c r="AMW132" s="4"/>
      <c r="AMX132" s="4"/>
      <c r="AMY132" s="4"/>
      <c r="AMZ132" s="4"/>
      <c r="ANA132" s="4"/>
      <c r="ANB132" s="4"/>
      <c r="ANC132" s="4"/>
      <c r="AND132" s="4"/>
      <c r="ANE132" s="4"/>
      <c r="ANF132" s="4"/>
      <c r="ANG132" s="4"/>
      <c r="ANH132" s="4"/>
      <c r="ANI132" s="4"/>
      <c r="ANJ132" s="4"/>
      <c r="ANK132" s="4"/>
      <c r="ANL132" s="4"/>
      <c r="ANM132" s="4"/>
      <c r="ANN132" s="4"/>
      <c r="ANO132" s="4"/>
      <c r="ANP132" s="4"/>
      <c r="ANQ132" s="4"/>
      <c r="ANR132" s="4"/>
      <c r="ANS132" s="4"/>
      <c r="ANT132" s="4"/>
      <c r="ANU132" s="4"/>
      <c r="ANV132" s="4"/>
      <c r="ANW132" s="4"/>
      <c r="ANX132" s="4"/>
      <c r="ANY132" s="4"/>
      <c r="ANZ132" s="4"/>
      <c r="AOA132" s="4"/>
      <c r="AOB132" s="4"/>
      <c r="AOC132" s="4"/>
      <c r="AOD132" s="4"/>
      <c r="AOE132" s="4"/>
      <c r="AOF132" s="4"/>
      <c r="AOG132" s="4"/>
      <c r="AOH132" s="4"/>
      <c r="AOI132" s="4"/>
      <c r="AOJ132" s="4"/>
      <c r="AOK132" s="4"/>
      <c r="AOL132" s="4"/>
      <c r="AOM132" s="4"/>
      <c r="AON132" s="4"/>
      <c r="AOO132" s="4"/>
      <c r="AOP132" s="4"/>
      <c r="AOQ132" s="4"/>
      <c r="AOR132" s="4"/>
      <c r="AOS132" s="4"/>
      <c r="AOT132" s="4"/>
      <c r="AOU132" s="4"/>
      <c r="AOV132" s="4"/>
      <c r="AOW132" s="4"/>
      <c r="AOX132" s="4"/>
      <c r="AOY132" s="4"/>
      <c r="AOZ132" s="4"/>
      <c r="APA132" s="4"/>
      <c r="APB132" s="4"/>
      <c r="APC132" s="4"/>
      <c r="APD132" s="4"/>
      <c r="APE132" s="4"/>
      <c r="APF132" s="4"/>
      <c r="APG132" s="4"/>
      <c r="APH132" s="4"/>
      <c r="API132" s="4"/>
      <c r="APJ132" s="4"/>
      <c r="APK132" s="4"/>
      <c r="APL132" s="4"/>
      <c r="APM132" s="4"/>
      <c r="APN132" s="4"/>
      <c r="APO132" s="4"/>
      <c r="APP132" s="4"/>
      <c r="APQ132" s="4"/>
      <c r="APR132" s="4"/>
      <c r="APS132" s="4"/>
      <c r="APT132" s="4"/>
      <c r="APU132" s="4"/>
      <c r="APV132" s="4"/>
      <c r="APW132" s="4"/>
      <c r="APX132" s="4"/>
      <c r="APY132" s="4"/>
      <c r="APZ132" s="4"/>
      <c r="AQA132" s="4"/>
      <c r="AQB132" s="4"/>
      <c r="AQC132" s="4"/>
      <c r="AQD132" s="4"/>
      <c r="AQE132" s="4"/>
      <c r="AQF132" s="4"/>
      <c r="AQG132" s="4"/>
      <c r="AQH132" s="4"/>
      <c r="AQI132" s="4"/>
      <c r="AQJ132" s="4"/>
      <c r="AQK132" s="4"/>
      <c r="AQL132" s="4"/>
      <c r="AQM132" s="4"/>
      <c r="AQN132" s="4"/>
      <c r="AQO132" s="4"/>
      <c r="AQP132" s="4"/>
      <c r="AQQ132" s="4"/>
      <c r="AQR132" s="4"/>
      <c r="AQS132" s="4"/>
      <c r="AQT132" s="4"/>
      <c r="AQU132" s="4"/>
      <c r="AQV132" s="4"/>
      <c r="AQW132" s="4"/>
      <c r="AQX132" s="4"/>
      <c r="AQY132" s="4"/>
      <c r="AQZ132" s="4"/>
      <c r="ARA132" s="4"/>
      <c r="ARB132" s="4"/>
      <c r="ARC132" s="4"/>
      <c r="ARD132" s="4"/>
      <c r="ARE132" s="4"/>
      <c r="ARF132" s="4"/>
      <c r="ARG132" s="4"/>
      <c r="ARH132" s="4"/>
      <c r="ARI132" s="4"/>
      <c r="ARJ132" s="4"/>
      <c r="ARK132" s="4"/>
      <c r="ARL132" s="4"/>
      <c r="ARM132" s="4"/>
      <c r="ARN132" s="4"/>
      <c r="ARO132" s="4"/>
      <c r="ARP132" s="4"/>
      <c r="ARQ132" s="4"/>
      <c r="ARR132" s="4"/>
      <c r="ARS132" s="4"/>
      <c r="ART132" s="4"/>
      <c r="ARU132" s="4"/>
      <c r="ARV132" s="4"/>
      <c r="ARW132" s="4"/>
      <c r="ARX132" s="4"/>
      <c r="ARY132" s="4"/>
      <c r="ARZ132" s="4"/>
      <c r="ASA132" s="4"/>
      <c r="ASB132" s="4"/>
      <c r="ASC132" s="4"/>
      <c r="ASD132" s="4"/>
      <c r="ASE132" s="4"/>
      <c r="ASF132" s="4"/>
      <c r="ASG132" s="4"/>
      <c r="ASH132" s="4"/>
      <c r="ASI132" s="4"/>
      <c r="ASJ132" s="4"/>
      <c r="ASK132" s="4"/>
      <c r="ASL132" s="4"/>
      <c r="ASM132" s="4"/>
      <c r="ASN132" s="4"/>
      <c r="ASO132" s="4"/>
      <c r="ASP132" s="4"/>
      <c r="ASQ132" s="4"/>
      <c r="ASR132" s="4"/>
      <c r="ASS132" s="4"/>
      <c r="AST132" s="4"/>
      <c r="ASU132" s="4"/>
      <c r="ASV132" s="4"/>
      <c r="ASW132" s="4"/>
      <c r="ASX132" s="4"/>
      <c r="ASY132" s="4"/>
      <c r="ASZ132" s="4"/>
      <c r="ATA132" s="4"/>
      <c r="ATB132" s="4"/>
      <c r="ATC132" s="4"/>
      <c r="ATD132" s="4"/>
      <c r="ATE132" s="4"/>
      <c r="ATF132" s="4"/>
      <c r="ATG132" s="4"/>
      <c r="ATH132" s="4"/>
      <c r="ATI132" s="4"/>
      <c r="ATJ132" s="4"/>
      <c r="ATK132" s="4"/>
      <c r="ATL132" s="4"/>
      <c r="ATM132" s="4"/>
      <c r="ATN132" s="4"/>
      <c r="ATO132" s="4"/>
      <c r="ATP132" s="4"/>
      <c r="ATQ132" s="4"/>
      <c r="ATR132" s="4"/>
      <c r="ATS132" s="4"/>
      <c r="ATT132" s="4"/>
      <c r="ATU132" s="4"/>
      <c r="ATV132" s="4"/>
      <c r="ATW132" s="4"/>
      <c r="ATX132" s="4"/>
      <c r="ATY132" s="4"/>
      <c r="ATZ132" s="4"/>
      <c r="AUA132" s="4"/>
      <c r="AUB132" s="4"/>
      <c r="AUC132" s="4"/>
      <c r="AUD132" s="4"/>
      <c r="AUE132" s="4"/>
      <c r="AUF132" s="4"/>
      <c r="AUG132" s="4"/>
      <c r="AUH132" s="4"/>
      <c r="AUI132" s="4"/>
      <c r="AUJ132" s="4"/>
      <c r="AUK132" s="4"/>
      <c r="AUL132" s="4"/>
      <c r="AUM132" s="4"/>
      <c r="AUN132" s="4"/>
      <c r="AUO132" s="4"/>
      <c r="AUP132" s="4"/>
      <c r="AUQ132" s="4"/>
      <c r="AUR132" s="4"/>
      <c r="AUS132" s="4"/>
      <c r="AUT132" s="4"/>
      <c r="AUU132" s="4"/>
      <c r="AUV132" s="4"/>
      <c r="AUW132" s="4"/>
      <c r="AUX132" s="4"/>
      <c r="AUY132" s="4"/>
      <c r="AUZ132" s="4"/>
      <c r="AVA132" s="4"/>
      <c r="AVB132" s="4"/>
      <c r="AVC132" s="4"/>
      <c r="AVD132" s="4"/>
      <c r="AVE132" s="4"/>
      <c r="AVF132" s="4"/>
      <c r="AVG132" s="4"/>
      <c r="AVH132" s="4"/>
      <c r="AVI132" s="4"/>
      <c r="AVJ132" s="4"/>
      <c r="AVK132" s="4"/>
      <c r="AVL132" s="4"/>
      <c r="AVM132" s="4"/>
      <c r="AVN132" s="4"/>
      <c r="AVO132" s="4"/>
      <c r="AVP132" s="4"/>
      <c r="AVQ132" s="4"/>
      <c r="AVR132" s="4"/>
      <c r="AVS132" s="4"/>
      <c r="AVT132" s="4"/>
      <c r="AVU132" s="4"/>
      <c r="AVV132" s="4"/>
      <c r="AVW132" s="4"/>
      <c r="AVX132" s="4"/>
      <c r="AVY132" s="4"/>
      <c r="AVZ132" s="4"/>
      <c r="AWA132" s="4"/>
      <c r="AWB132" s="4"/>
      <c r="AWC132" s="4"/>
      <c r="AWD132" s="4"/>
      <c r="AWE132" s="4"/>
      <c r="AWF132" s="4"/>
      <c r="AWG132" s="4"/>
      <c r="AWH132" s="4"/>
      <c r="AWI132" s="4"/>
      <c r="AWJ132" s="4"/>
      <c r="AWK132" s="4"/>
      <c r="AWL132" s="4"/>
      <c r="AWM132" s="4"/>
      <c r="AWN132" s="4"/>
      <c r="AWO132" s="4"/>
      <c r="AWP132" s="4"/>
      <c r="AWQ132" s="4"/>
      <c r="AWR132" s="4"/>
      <c r="AWS132" s="4"/>
      <c r="AWT132" s="4"/>
      <c r="AWU132" s="4"/>
      <c r="AWV132" s="4"/>
      <c r="AWW132" s="4"/>
      <c r="AWX132" s="4"/>
      <c r="AWY132" s="4"/>
      <c r="AWZ132" s="4"/>
      <c r="AXA132" s="4"/>
      <c r="AXB132" s="4"/>
      <c r="AXC132" s="4"/>
      <c r="AXD132" s="4"/>
      <c r="AXE132" s="4"/>
      <c r="AXF132" s="4"/>
      <c r="AXG132" s="4"/>
      <c r="AXH132" s="4"/>
      <c r="AXI132" s="4"/>
      <c r="AXJ132" s="4"/>
      <c r="AXK132" s="4"/>
      <c r="AXL132" s="4"/>
      <c r="AXM132" s="4"/>
      <c r="AXN132" s="4"/>
      <c r="AXO132" s="4"/>
      <c r="AXP132" s="4"/>
      <c r="AXQ132" s="4"/>
      <c r="AXR132" s="4"/>
      <c r="AXS132" s="4"/>
      <c r="AXT132" s="4"/>
      <c r="AXU132" s="4"/>
      <c r="AXV132" s="4"/>
      <c r="AXW132" s="4"/>
      <c r="AXX132" s="4"/>
      <c r="AXY132" s="4"/>
      <c r="AXZ132" s="4"/>
      <c r="AYA132" s="4"/>
      <c r="AYB132" s="4"/>
      <c r="AYC132" s="4"/>
      <c r="AYD132" s="4"/>
      <c r="AYE132" s="4"/>
      <c r="AYF132" s="4"/>
      <c r="AYG132" s="4"/>
      <c r="AYH132" s="4"/>
      <c r="AYI132" s="4"/>
      <c r="AYJ132" s="4"/>
      <c r="AYK132" s="4"/>
      <c r="AYL132" s="4"/>
      <c r="AYM132" s="4"/>
      <c r="AYN132" s="4"/>
      <c r="AYO132" s="4"/>
      <c r="AYP132" s="4"/>
      <c r="AYQ132" s="4"/>
      <c r="AYR132" s="4"/>
      <c r="AYS132" s="4"/>
      <c r="AYT132" s="4"/>
      <c r="AYU132" s="4"/>
      <c r="AYV132" s="4"/>
      <c r="AYW132" s="4"/>
      <c r="AYX132" s="4"/>
      <c r="AYY132" s="4"/>
      <c r="AYZ132" s="4"/>
      <c r="AZA132" s="4"/>
      <c r="AZB132" s="4"/>
      <c r="AZC132" s="4"/>
      <c r="AZD132" s="4"/>
      <c r="AZE132" s="4"/>
      <c r="AZF132" s="4"/>
      <c r="AZG132" s="4"/>
      <c r="AZH132" s="4"/>
      <c r="AZI132" s="4"/>
      <c r="AZJ132" s="4"/>
      <c r="AZK132" s="4"/>
      <c r="AZL132" s="4"/>
      <c r="AZM132" s="4"/>
      <c r="AZN132" s="4"/>
      <c r="AZO132" s="4"/>
      <c r="AZP132" s="4"/>
      <c r="AZQ132" s="4"/>
      <c r="AZR132" s="4"/>
      <c r="AZS132" s="4"/>
      <c r="AZT132" s="4"/>
      <c r="AZU132" s="4"/>
      <c r="AZV132" s="4"/>
      <c r="AZW132" s="4"/>
      <c r="AZX132" s="4"/>
      <c r="AZY132" s="4"/>
      <c r="AZZ132" s="4"/>
      <c r="BAA132" s="4"/>
      <c r="BAB132" s="4"/>
      <c r="BAC132" s="4"/>
      <c r="BAD132" s="4"/>
      <c r="BAE132" s="4"/>
      <c r="BAF132" s="4"/>
      <c r="BAG132" s="4"/>
      <c r="BAH132" s="4"/>
      <c r="BAI132" s="4"/>
      <c r="BAJ132" s="4"/>
      <c r="BAK132" s="4"/>
      <c r="BAL132" s="4"/>
      <c r="BAM132" s="4"/>
      <c r="BAN132" s="4"/>
      <c r="BAO132" s="4"/>
      <c r="BAP132" s="4"/>
      <c r="BAQ132" s="4"/>
      <c r="BAR132" s="4"/>
      <c r="BAS132" s="4"/>
      <c r="BAT132" s="4"/>
      <c r="BAU132" s="4"/>
      <c r="BAV132" s="4"/>
      <c r="BAW132" s="4"/>
      <c r="BAX132" s="4"/>
      <c r="BAY132" s="4"/>
      <c r="BAZ132" s="4"/>
      <c r="BBA132" s="4"/>
      <c r="BBB132" s="4"/>
      <c r="BBC132" s="4"/>
      <c r="BBD132" s="4"/>
      <c r="BBE132" s="4"/>
      <c r="BBF132" s="4"/>
      <c r="BBG132" s="4"/>
      <c r="BBH132" s="4"/>
      <c r="BBI132" s="4"/>
      <c r="BBJ132" s="4"/>
      <c r="BBK132" s="4"/>
      <c r="BBL132" s="4"/>
      <c r="BBM132" s="4"/>
      <c r="BBN132" s="4"/>
      <c r="BBO132" s="4"/>
      <c r="BBP132" s="4"/>
      <c r="BBQ132" s="4"/>
      <c r="BBR132" s="4"/>
      <c r="BBS132" s="4"/>
      <c r="BBT132" s="4"/>
      <c r="BBU132" s="4"/>
      <c r="BBV132" s="4"/>
      <c r="BBW132" s="4"/>
      <c r="BBX132" s="4"/>
      <c r="BBY132" s="4"/>
      <c r="BBZ132" s="4"/>
      <c r="BCA132" s="4"/>
      <c r="BCB132" s="4"/>
      <c r="BCC132" s="4"/>
      <c r="BCD132" s="4"/>
      <c r="BCE132" s="4"/>
      <c r="BCF132" s="4"/>
      <c r="BCG132" s="4"/>
      <c r="BCH132" s="4"/>
      <c r="BCI132" s="4"/>
      <c r="BCJ132" s="4"/>
      <c r="BCK132" s="4"/>
      <c r="BCL132" s="4"/>
      <c r="BCM132" s="4"/>
      <c r="BCN132" s="4"/>
      <c r="BCO132" s="4"/>
      <c r="BCP132" s="4"/>
      <c r="BCQ132" s="4"/>
      <c r="BCR132" s="4"/>
      <c r="BCS132" s="4"/>
      <c r="BCT132" s="4"/>
      <c r="BCU132" s="4"/>
      <c r="BCV132" s="4"/>
      <c r="BCW132" s="4"/>
      <c r="BCX132" s="4"/>
      <c r="BCY132" s="4"/>
      <c r="BCZ132" s="4"/>
      <c r="BDA132" s="4"/>
      <c r="BDB132" s="4"/>
      <c r="BDC132" s="4"/>
      <c r="BDD132" s="4"/>
      <c r="BDE132" s="4"/>
      <c r="BDF132" s="4"/>
      <c r="BDG132" s="4"/>
      <c r="BDH132" s="4"/>
      <c r="BDI132" s="4"/>
      <c r="BDJ132" s="4"/>
      <c r="BDK132" s="4"/>
      <c r="BDL132" s="4"/>
      <c r="BDM132" s="4"/>
      <c r="BDN132" s="4"/>
      <c r="BDO132" s="4"/>
      <c r="BDP132" s="4"/>
      <c r="BDQ132" s="4"/>
      <c r="BDR132" s="4"/>
      <c r="BDS132" s="4"/>
      <c r="BDT132" s="4"/>
      <c r="BDU132" s="4"/>
      <c r="BDV132" s="4"/>
      <c r="BDW132" s="4"/>
      <c r="BDX132" s="4"/>
      <c r="BDY132" s="4"/>
      <c r="BDZ132" s="4"/>
      <c r="BEA132" s="4"/>
      <c r="BEB132" s="4"/>
      <c r="BEC132" s="4"/>
      <c r="BED132" s="4"/>
      <c r="BEE132" s="4"/>
      <c r="BEF132" s="4"/>
      <c r="BEG132" s="4"/>
      <c r="BEH132" s="4"/>
      <c r="BEI132" s="4"/>
      <c r="BEJ132" s="4"/>
      <c r="BEK132" s="4"/>
      <c r="BEL132" s="4"/>
      <c r="BEM132" s="4"/>
      <c r="BEN132" s="4"/>
      <c r="BEO132" s="4"/>
      <c r="BEP132" s="4"/>
      <c r="BEQ132" s="4"/>
      <c r="BER132" s="4"/>
      <c r="BES132" s="4"/>
      <c r="BET132" s="4"/>
      <c r="BEU132" s="4"/>
      <c r="BEV132" s="4"/>
      <c r="BEW132" s="4"/>
      <c r="BEX132" s="4"/>
      <c r="BEY132" s="4"/>
      <c r="BEZ132" s="4"/>
      <c r="BFA132" s="4"/>
      <c r="BFB132" s="4"/>
      <c r="BFC132" s="4"/>
      <c r="BFD132" s="4"/>
      <c r="BFE132" s="4"/>
      <c r="BFF132" s="4"/>
      <c r="BFG132" s="4"/>
      <c r="BFH132" s="4"/>
      <c r="BFI132" s="4"/>
      <c r="BFJ132" s="4"/>
      <c r="BFK132" s="4"/>
      <c r="BFL132" s="4"/>
      <c r="BFM132" s="4"/>
      <c r="BFN132" s="4"/>
      <c r="BFO132" s="4"/>
      <c r="BFP132" s="4"/>
      <c r="BFQ132" s="4"/>
      <c r="BFR132" s="4"/>
      <c r="BFS132" s="4"/>
      <c r="BFT132" s="4"/>
      <c r="BFU132" s="4"/>
      <c r="BFV132" s="4"/>
      <c r="BFW132" s="4"/>
      <c r="BFX132" s="4"/>
      <c r="BFY132" s="4"/>
      <c r="BFZ132" s="4"/>
      <c r="BGA132" s="4"/>
      <c r="BGB132" s="4"/>
      <c r="BGC132" s="4"/>
      <c r="BGD132" s="4"/>
      <c r="BGE132" s="4"/>
      <c r="BGF132" s="4"/>
      <c r="BGG132" s="4"/>
      <c r="BGH132" s="4"/>
      <c r="BGI132" s="4"/>
      <c r="BGJ132" s="4"/>
      <c r="BGK132" s="4"/>
      <c r="BGL132" s="4"/>
      <c r="BGM132" s="4"/>
      <c r="BGN132" s="4"/>
      <c r="BGO132" s="4"/>
      <c r="BGP132" s="4"/>
      <c r="BGQ132" s="4"/>
      <c r="BGR132" s="4"/>
      <c r="BGS132" s="4"/>
      <c r="BGT132" s="4"/>
      <c r="BGU132" s="4"/>
      <c r="BGV132" s="4"/>
      <c r="BGW132" s="4"/>
      <c r="BGX132" s="4"/>
      <c r="BGY132" s="4"/>
      <c r="BGZ132" s="4"/>
      <c r="BHA132" s="4"/>
      <c r="BHB132" s="4"/>
      <c r="BHC132" s="4"/>
      <c r="BHD132" s="4"/>
      <c r="BHE132" s="4"/>
      <c r="BHF132" s="4"/>
      <c r="BHG132" s="4"/>
      <c r="BHH132" s="4"/>
      <c r="BHI132" s="4"/>
      <c r="BHJ132" s="4"/>
      <c r="BHK132" s="4"/>
      <c r="BHL132" s="4"/>
      <c r="BHM132" s="4"/>
      <c r="BHN132" s="4"/>
      <c r="BHO132" s="4"/>
      <c r="BHP132" s="4"/>
      <c r="BHQ132" s="4"/>
      <c r="BHR132" s="4"/>
      <c r="BHS132" s="4"/>
      <c r="BHT132" s="4"/>
      <c r="BHU132" s="4"/>
      <c r="BHV132" s="4"/>
      <c r="BHW132" s="4"/>
      <c r="BHX132" s="4"/>
      <c r="BHY132" s="4"/>
      <c r="BHZ132" s="4"/>
      <c r="BIA132" s="4"/>
      <c r="BIB132" s="4"/>
      <c r="BIC132" s="4"/>
      <c r="BID132" s="4"/>
      <c r="BIE132" s="4"/>
      <c r="BIF132" s="4"/>
      <c r="BIG132" s="4"/>
      <c r="BIH132" s="4"/>
      <c r="BII132" s="4"/>
      <c r="BIJ132" s="4"/>
      <c r="BIK132" s="4"/>
      <c r="BIL132" s="4"/>
      <c r="BIM132" s="4"/>
      <c r="BIN132" s="4"/>
      <c r="BIO132" s="4"/>
      <c r="BIP132" s="4"/>
      <c r="BIQ132" s="4"/>
      <c r="BIR132" s="4"/>
      <c r="BIS132" s="4"/>
      <c r="BIT132" s="4"/>
      <c r="BIU132" s="4"/>
      <c r="BIV132" s="4"/>
      <c r="BIW132" s="4"/>
      <c r="BIX132" s="4"/>
      <c r="BIY132" s="4"/>
      <c r="BIZ132" s="4"/>
      <c r="BJA132" s="4"/>
      <c r="BJB132" s="4"/>
      <c r="BJC132" s="4"/>
      <c r="BJD132" s="4"/>
      <c r="BJE132" s="4"/>
      <c r="BJF132" s="4"/>
      <c r="BJG132" s="4"/>
      <c r="BJH132" s="4"/>
      <c r="BJI132" s="4"/>
      <c r="BJJ132" s="4"/>
      <c r="BJK132" s="4"/>
      <c r="BJL132" s="4"/>
      <c r="BJM132" s="4"/>
      <c r="BJN132" s="4"/>
      <c r="BJO132" s="4"/>
      <c r="BJP132" s="4"/>
      <c r="BJQ132" s="4"/>
      <c r="BJR132" s="4"/>
      <c r="BJS132" s="4"/>
      <c r="BJT132" s="4"/>
      <c r="BJU132" s="4"/>
      <c r="BJV132" s="4"/>
      <c r="BJW132" s="4"/>
      <c r="BJX132" s="4"/>
      <c r="BJY132" s="4"/>
      <c r="BJZ132" s="4"/>
      <c r="BKA132" s="4"/>
      <c r="BKB132" s="4"/>
      <c r="BKC132" s="4"/>
      <c r="BKD132" s="4"/>
      <c r="BKE132" s="4"/>
      <c r="BKF132" s="4"/>
      <c r="BKG132" s="4"/>
      <c r="BKH132" s="4"/>
      <c r="BKI132" s="4"/>
      <c r="BKJ132" s="4"/>
      <c r="BKK132" s="4"/>
      <c r="BKL132" s="4"/>
      <c r="BKM132" s="4"/>
      <c r="BKN132" s="4"/>
      <c r="BKO132" s="4"/>
      <c r="BKP132" s="4"/>
      <c r="BKQ132" s="4"/>
      <c r="BKR132" s="4"/>
      <c r="BKS132" s="4"/>
      <c r="BKT132" s="4"/>
      <c r="BKU132" s="4"/>
      <c r="BKV132" s="4"/>
      <c r="BKW132" s="4"/>
      <c r="BKX132" s="4"/>
      <c r="BKY132" s="4"/>
      <c r="BKZ132" s="4"/>
      <c r="BLA132" s="4"/>
      <c r="BLB132" s="4"/>
      <c r="BLC132" s="4"/>
      <c r="BLD132" s="4"/>
      <c r="BLE132" s="4"/>
      <c r="BLF132" s="4"/>
      <c r="BLG132" s="4"/>
      <c r="BLH132" s="4"/>
      <c r="BLI132" s="4"/>
      <c r="BLJ132" s="4"/>
      <c r="BLK132" s="4"/>
      <c r="BLL132" s="4"/>
      <c r="BLM132" s="4"/>
      <c r="BLN132" s="4"/>
      <c r="BLO132" s="4"/>
      <c r="BLP132" s="4"/>
      <c r="BLQ132" s="4"/>
      <c r="BLR132" s="4"/>
      <c r="BLS132" s="4"/>
      <c r="BLT132" s="4"/>
      <c r="BLU132" s="4"/>
      <c r="BLV132" s="4"/>
      <c r="BLW132" s="4"/>
      <c r="BLX132" s="4"/>
      <c r="BLY132" s="4"/>
      <c r="BLZ132" s="4"/>
      <c r="BMA132" s="4"/>
      <c r="BMB132" s="4"/>
      <c r="BMC132" s="4"/>
      <c r="BMD132" s="4"/>
      <c r="BME132" s="4"/>
      <c r="BMF132" s="4"/>
      <c r="BMG132" s="4"/>
      <c r="BMH132" s="4"/>
      <c r="BMI132" s="4"/>
      <c r="BMJ132" s="4"/>
      <c r="BMK132" s="4"/>
      <c r="BML132" s="4"/>
      <c r="BMM132" s="4"/>
      <c r="BMN132" s="4"/>
      <c r="BMO132" s="4"/>
      <c r="BMP132" s="4"/>
      <c r="BMQ132" s="4"/>
      <c r="BMR132" s="4"/>
      <c r="BMS132" s="4"/>
      <c r="BMT132" s="4"/>
      <c r="BMU132" s="4"/>
      <c r="BMV132" s="4"/>
      <c r="BMW132" s="4"/>
      <c r="BMX132" s="4"/>
      <c r="BMY132" s="4"/>
      <c r="BMZ132" s="4"/>
      <c r="BNA132" s="4"/>
      <c r="BNB132" s="4"/>
      <c r="BNC132" s="4"/>
      <c r="BND132" s="4"/>
      <c r="BNE132" s="4"/>
      <c r="BNF132" s="4"/>
      <c r="BNG132" s="4"/>
      <c r="BNH132" s="4"/>
      <c r="BNI132" s="4"/>
      <c r="BNJ132" s="4"/>
      <c r="BNK132" s="4"/>
      <c r="BNL132" s="4"/>
      <c r="BNM132" s="4"/>
      <c r="BNN132" s="4"/>
      <c r="BNO132" s="4"/>
      <c r="BNP132" s="4"/>
      <c r="BNQ132" s="4"/>
      <c r="BNR132" s="4"/>
      <c r="BNS132" s="4"/>
      <c r="BNT132" s="4"/>
      <c r="BNU132" s="4"/>
      <c r="BNV132" s="4"/>
      <c r="BNW132" s="4"/>
      <c r="BNX132" s="4"/>
      <c r="BNY132" s="4"/>
      <c r="BNZ132" s="4"/>
      <c r="BOA132" s="4"/>
      <c r="BOB132" s="4"/>
      <c r="BOC132" s="4"/>
      <c r="BOD132" s="4"/>
      <c r="BOE132" s="4"/>
      <c r="BOF132" s="4"/>
      <c r="BOG132" s="4"/>
      <c r="BOH132" s="4"/>
      <c r="BOI132" s="4"/>
      <c r="BOJ132" s="4"/>
      <c r="BOK132" s="4"/>
      <c r="BOL132" s="4"/>
      <c r="BOM132" s="4"/>
      <c r="BON132" s="4"/>
      <c r="BOO132" s="4"/>
      <c r="BOP132" s="4"/>
      <c r="BOQ132" s="4"/>
      <c r="BOR132" s="4"/>
      <c r="BOS132" s="4"/>
      <c r="BOT132" s="4"/>
      <c r="BOU132" s="4"/>
      <c r="BOV132" s="4"/>
      <c r="BOW132" s="4"/>
      <c r="BOX132" s="4"/>
      <c r="BOY132" s="4"/>
      <c r="BOZ132" s="4"/>
      <c r="BPA132" s="4"/>
      <c r="BPB132" s="4"/>
      <c r="BPC132" s="4"/>
      <c r="BPD132" s="4"/>
      <c r="BPE132" s="4"/>
      <c r="BPF132" s="4"/>
      <c r="BPG132" s="4"/>
      <c r="BPH132" s="4"/>
      <c r="BPI132" s="4"/>
      <c r="BPJ132" s="4"/>
      <c r="BPK132" s="4"/>
      <c r="BPL132" s="4"/>
      <c r="BPM132" s="4"/>
      <c r="BPN132" s="4"/>
      <c r="BPO132" s="4"/>
      <c r="BPP132" s="4"/>
      <c r="BPQ132" s="4"/>
      <c r="BPR132" s="4"/>
      <c r="BPS132" s="4"/>
      <c r="BPT132" s="4"/>
      <c r="BPU132" s="4"/>
      <c r="BPV132" s="4"/>
      <c r="BPW132" s="4"/>
      <c r="BPX132" s="4"/>
      <c r="BPY132" s="4"/>
      <c r="BPZ132" s="4"/>
      <c r="BQA132" s="4"/>
      <c r="BQB132" s="4"/>
      <c r="BQC132" s="4"/>
      <c r="BQD132" s="4"/>
      <c r="BQE132" s="4"/>
      <c r="BQF132" s="4"/>
      <c r="BQG132" s="4"/>
      <c r="BQH132" s="4"/>
      <c r="BQI132" s="4"/>
      <c r="BQJ132" s="4"/>
      <c r="BQK132" s="4"/>
      <c r="BQL132" s="4"/>
      <c r="BQM132" s="4"/>
      <c r="BQN132" s="4"/>
      <c r="BQO132" s="4"/>
      <c r="BQP132" s="4"/>
      <c r="BQQ132" s="4"/>
      <c r="BQR132" s="4"/>
      <c r="BQS132" s="4"/>
      <c r="BQT132" s="4"/>
      <c r="BQU132" s="4"/>
      <c r="BQV132" s="4"/>
      <c r="BQW132" s="4"/>
      <c r="BQX132" s="4"/>
      <c r="BQY132" s="4"/>
      <c r="BQZ132" s="4"/>
      <c r="BRA132" s="4"/>
      <c r="BRB132" s="4"/>
      <c r="BRC132" s="4"/>
      <c r="BRD132" s="4"/>
      <c r="BRE132" s="4"/>
      <c r="BRF132" s="4"/>
      <c r="BRG132" s="4"/>
      <c r="BRH132" s="4"/>
      <c r="BRI132" s="4"/>
      <c r="BRJ132" s="4"/>
      <c r="BRK132" s="4"/>
      <c r="BRL132" s="4"/>
      <c r="BRM132" s="4"/>
      <c r="BRN132" s="4"/>
      <c r="BRO132" s="4"/>
      <c r="BRP132" s="4"/>
      <c r="BRQ132" s="4"/>
      <c r="BRR132" s="4"/>
      <c r="BRS132" s="4"/>
      <c r="BRT132" s="4"/>
      <c r="BRU132" s="4"/>
      <c r="BRV132" s="4"/>
      <c r="BRW132" s="4"/>
      <c r="BRX132" s="4"/>
      <c r="BRY132" s="4"/>
      <c r="BRZ132" s="4"/>
      <c r="BSA132" s="4"/>
      <c r="BSB132" s="4"/>
      <c r="BSC132" s="4"/>
      <c r="BSD132" s="4"/>
      <c r="BSE132" s="4"/>
      <c r="BSF132" s="4"/>
      <c r="BSG132" s="4"/>
      <c r="BSH132" s="4"/>
      <c r="BSI132" s="4"/>
      <c r="BSJ132" s="4"/>
      <c r="BSK132" s="4"/>
      <c r="BSL132" s="4"/>
      <c r="BSM132" s="4"/>
      <c r="BSN132" s="4"/>
      <c r="BSO132" s="4"/>
      <c r="BSP132" s="4"/>
      <c r="BSQ132" s="4"/>
      <c r="BSR132" s="4"/>
      <c r="BSS132" s="4"/>
      <c r="BST132" s="4"/>
      <c r="BSU132" s="4"/>
      <c r="BSV132" s="4"/>
      <c r="BSW132" s="4"/>
      <c r="BSX132" s="4"/>
      <c r="BSY132" s="4"/>
      <c r="BSZ132" s="4"/>
      <c r="BTA132" s="4"/>
      <c r="BTB132" s="4"/>
      <c r="BTC132" s="4"/>
      <c r="BTD132" s="4"/>
      <c r="BTE132" s="4"/>
      <c r="BTF132" s="4"/>
      <c r="BTG132" s="4"/>
      <c r="BTH132" s="4"/>
      <c r="BTI132" s="4"/>
      <c r="BTJ132" s="4"/>
      <c r="BTK132" s="4"/>
      <c r="BTL132" s="4"/>
      <c r="BTM132" s="4"/>
      <c r="BTN132" s="4"/>
      <c r="BTO132" s="4"/>
      <c r="BTP132" s="4"/>
      <c r="BTQ132" s="4"/>
      <c r="BTR132" s="4"/>
      <c r="BTS132" s="4"/>
      <c r="BTT132" s="4"/>
      <c r="BTU132" s="4"/>
      <c r="BTV132" s="4"/>
      <c r="BTW132" s="4"/>
      <c r="BTX132" s="4"/>
      <c r="BTY132" s="4"/>
      <c r="BTZ132" s="4"/>
      <c r="BUA132" s="4"/>
      <c r="BUB132" s="4"/>
      <c r="BUC132" s="4"/>
      <c r="BUD132" s="4"/>
      <c r="BUE132" s="4"/>
      <c r="BUF132" s="4"/>
      <c r="BUG132" s="4"/>
      <c r="BUH132" s="4"/>
      <c r="BUI132" s="4"/>
      <c r="BUJ132" s="4"/>
      <c r="BUK132" s="4"/>
      <c r="BUL132" s="4"/>
      <c r="BUM132" s="4"/>
      <c r="BUN132" s="4"/>
      <c r="BUO132" s="4"/>
      <c r="BUP132" s="4"/>
      <c r="BUQ132" s="4"/>
      <c r="BUR132" s="4"/>
      <c r="BUS132" s="4"/>
      <c r="BUT132" s="4"/>
      <c r="BUU132" s="4"/>
      <c r="BUV132" s="4"/>
      <c r="BUW132" s="4"/>
      <c r="BUX132" s="4"/>
      <c r="BUY132" s="4"/>
      <c r="BUZ132" s="4"/>
      <c r="BVA132" s="4"/>
      <c r="BVB132" s="4"/>
      <c r="BVC132" s="4"/>
      <c r="BVD132" s="4"/>
      <c r="BVE132" s="4"/>
      <c r="BVF132" s="4"/>
      <c r="BVG132" s="4"/>
      <c r="BVH132" s="4"/>
      <c r="BVI132" s="4"/>
      <c r="BVJ132" s="4"/>
      <c r="BVK132" s="4"/>
      <c r="BVL132" s="4"/>
      <c r="BVM132" s="4"/>
      <c r="BVN132" s="4"/>
      <c r="BVO132" s="4"/>
      <c r="BVP132" s="4"/>
      <c r="BVQ132" s="4"/>
      <c r="BVR132" s="4"/>
      <c r="BVS132" s="4"/>
      <c r="BVT132" s="4"/>
      <c r="BVU132" s="4"/>
      <c r="BVV132" s="4"/>
      <c r="BVW132" s="4"/>
      <c r="BVX132" s="4"/>
      <c r="BVY132" s="4"/>
      <c r="BVZ132" s="4"/>
      <c r="BWA132" s="4"/>
      <c r="BWB132" s="4"/>
      <c r="BWC132" s="4"/>
      <c r="BWD132" s="4"/>
      <c r="BWE132" s="4"/>
      <c r="BWF132" s="4"/>
      <c r="BWG132" s="4"/>
      <c r="BWH132" s="4"/>
      <c r="BWI132" s="4"/>
      <c r="BWJ132" s="4"/>
      <c r="BWK132" s="4"/>
      <c r="BWL132" s="4"/>
      <c r="BWM132" s="4"/>
      <c r="BWN132" s="4"/>
      <c r="BWO132" s="4"/>
      <c r="BWP132" s="4"/>
      <c r="BWQ132" s="4"/>
      <c r="BWR132" s="4"/>
      <c r="BWS132" s="4"/>
      <c r="BWT132" s="4"/>
      <c r="BWU132" s="4"/>
      <c r="BWV132" s="4"/>
      <c r="BWW132" s="4"/>
      <c r="BWX132" s="4"/>
      <c r="BWY132" s="4"/>
      <c r="BWZ132" s="4"/>
      <c r="BXA132" s="4"/>
      <c r="BXB132" s="4"/>
      <c r="BXC132" s="4"/>
      <c r="BXD132" s="4"/>
      <c r="BXE132" s="4"/>
      <c r="BXF132" s="4"/>
      <c r="BXG132" s="4"/>
      <c r="BXH132" s="4"/>
      <c r="BXI132" s="4"/>
      <c r="BXJ132" s="4"/>
      <c r="BXK132" s="4"/>
      <c r="BXL132" s="4"/>
      <c r="BXM132" s="4"/>
      <c r="BXN132" s="4"/>
      <c r="BXO132" s="4"/>
      <c r="BXP132" s="4"/>
      <c r="BXQ132" s="4"/>
      <c r="BXR132" s="4"/>
      <c r="BXS132" s="4"/>
      <c r="BXT132" s="4"/>
      <c r="BXU132" s="4"/>
      <c r="BXV132" s="4"/>
      <c r="BXW132" s="4"/>
      <c r="BXX132" s="4"/>
      <c r="BXY132" s="4"/>
      <c r="BXZ132" s="4"/>
      <c r="BYA132" s="4"/>
      <c r="BYB132" s="4"/>
      <c r="BYC132" s="4"/>
      <c r="BYD132" s="4"/>
      <c r="BYE132" s="4"/>
      <c r="BYF132" s="4"/>
      <c r="BYG132" s="4"/>
      <c r="BYH132" s="4"/>
      <c r="BYI132" s="4"/>
      <c r="BYJ132" s="4"/>
      <c r="BYK132" s="4"/>
      <c r="BYL132" s="4"/>
      <c r="BYM132" s="4"/>
      <c r="BYN132" s="4"/>
      <c r="BYO132" s="4"/>
      <c r="BYP132" s="4"/>
      <c r="BYQ132" s="4"/>
      <c r="BYR132" s="4"/>
      <c r="BYS132" s="4"/>
      <c r="BYT132" s="4"/>
      <c r="BYU132" s="4"/>
      <c r="BYV132" s="4"/>
      <c r="BYW132" s="4"/>
      <c r="BYX132" s="4"/>
      <c r="BYY132" s="4"/>
      <c r="BYZ132" s="4"/>
      <c r="BZA132" s="4"/>
      <c r="BZB132" s="4"/>
      <c r="BZC132" s="4"/>
      <c r="BZD132" s="4"/>
      <c r="BZE132" s="4"/>
      <c r="BZF132" s="4"/>
      <c r="BZG132" s="4"/>
      <c r="BZH132" s="4"/>
      <c r="BZI132" s="4"/>
      <c r="BZJ132" s="4"/>
      <c r="BZK132" s="4"/>
      <c r="BZL132" s="4"/>
      <c r="BZM132" s="4"/>
      <c r="BZN132" s="4"/>
      <c r="BZO132" s="4"/>
      <c r="BZP132" s="4"/>
      <c r="BZQ132" s="4"/>
      <c r="BZR132" s="4"/>
      <c r="BZS132" s="4"/>
      <c r="BZT132" s="4"/>
      <c r="BZU132" s="4"/>
      <c r="BZV132" s="4"/>
      <c r="BZW132" s="4"/>
      <c r="BZX132" s="4"/>
      <c r="BZY132" s="4"/>
      <c r="BZZ132" s="4"/>
      <c r="CAA132" s="4"/>
      <c r="CAB132" s="4"/>
      <c r="CAC132" s="4"/>
      <c r="CAD132" s="4"/>
      <c r="CAE132" s="4"/>
      <c r="CAF132" s="4"/>
      <c r="CAG132" s="4"/>
      <c r="CAH132" s="4"/>
      <c r="CAI132" s="4"/>
      <c r="CAJ132" s="4"/>
      <c r="CAK132" s="4"/>
      <c r="CAL132" s="4"/>
      <c r="CAM132" s="4"/>
      <c r="CAN132" s="4"/>
      <c r="CAO132" s="4"/>
      <c r="CAP132" s="4"/>
      <c r="CAQ132" s="4"/>
      <c r="CAR132" s="4"/>
      <c r="CAS132" s="4"/>
      <c r="CAT132" s="4"/>
      <c r="CAU132" s="4"/>
      <c r="CAV132" s="4"/>
      <c r="CAW132" s="4"/>
      <c r="CAX132" s="4"/>
      <c r="CAY132" s="4"/>
      <c r="CAZ132" s="4"/>
      <c r="CBA132" s="4"/>
      <c r="CBB132" s="4"/>
      <c r="CBC132" s="4"/>
      <c r="CBD132" s="4"/>
      <c r="CBE132" s="4"/>
      <c r="CBF132" s="4"/>
      <c r="CBG132" s="4"/>
      <c r="CBH132" s="4"/>
      <c r="CBI132" s="4"/>
      <c r="CBJ132" s="4"/>
      <c r="CBK132" s="4"/>
      <c r="CBL132" s="4"/>
      <c r="CBM132" s="4"/>
      <c r="CBN132" s="4"/>
      <c r="CBO132" s="4"/>
      <c r="CBP132" s="4"/>
      <c r="CBQ132" s="4"/>
      <c r="CBR132" s="4"/>
      <c r="CBS132" s="4"/>
      <c r="CBT132" s="4"/>
      <c r="CBU132" s="4"/>
      <c r="CBV132" s="4"/>
      <c r="CBW132" s="4"/>
      <c r="CBX132" s="4"/>
      <c r="CBY132" s="4"/>
      <c r="CBZ132" s="4"/>
      <c r="CCA132" s="4"/>
      <c r="CCB132" s="4"/>
      <c r="CCC132" s="4"/>
      <c r="CCD132" s="4"/>
      <c r="CCE132" s="4"/>
      <c r="CCF132" s="4"/>
      <c r="CCG132" s="4"/>
      <c r="CCH132" s="4"/>
      <c r="CCI132" s="4"/>
      <c r="CCJ132" s="4"/>
      <c r="CCK132" s="4"/>
      <c r="CCL132" s="4"/>
      <c r="CCM132" s="4"/>
      <c r="CCN132" s="4"/>
      <c r="CCO132" s="4"/>
      <c r="CCP132" s="4"/>
      <c r="CCQ132" s="4"/>
      <c r="CCR132" s="4"/>
      <c r="CCS132" s="4"/>
      <c r="CCT132" s="4"/>
      <c r="CCU132" s="4"/>
      <c r="CCV132" s="4"/>
      <c r="CCW132" s="4"/>
      <c r="CCX132" s="4"/>
      <c r="CCY132" s="4"/>
      <c r="CCZ132" s="4"/>
      <c r="CDA132" s="4"/>
      <c r="CDB132" s="4"/>
      <c r="CDC132" s="4"/>
      <c r="CDD132" s="4"/>
      <c r="CDE132" s="4"/>
      <c r="CDF132" s="4"/>
      <c r="CDG132" s="4"/>
      <c r="CDH132" s="4"/>
      <c r="CDI132" s="4"/>
      <c r="CDJ132" s="4"/>
      <c r="CDK132" s="4"/>
      <c r="CDL132" s="4"/>
      <c r="CDM132" s="4"/>
      <c r="CDN132" s="4"/>
      <c r="CDO132" s="4"/>
      <c r="CDP132" s="4"/>
      <c r="CDQ132" s="4"/>
      <c r="CDR132" s="4"/>
      <c r="CDS132" s="4"/>
      <c r="CDT132" s="4"/>
      <c r="CDU132" s="4"/>
      <c r="CDV132" s="4"/>
      <c r="CDW132" s="4"/>
      <c r="CDX132" s="4"/>
      <c r="CDY132" s="4"/>
      <c r="CDZ132" s="4"/>
      <c r="CEA132" s="4"/>
      <c r="CEB132" s="4"/>
      <c r="CEC132" s="4"/>
      <c r="CED132" s="4"/>
      <c r="CEE132" s="4"/>
      <c r="CEF132" s="4"/>
      <c r="CEG132" s="4"/>
      <c r="CEH132" s="4"/>
      <c r="CEI132" s="4"/>
      <c r="CEJ132" s="4"/>
      <c r="CEK132" s="4"/>
      <c r="CEL132" s="4"/>
      <c r="CEM132" s="4"/>
      <c r="CEN132" s="4"/>
      <c r="CEO132" s="4"/>
      <c r="CEP132" s="4"/>
      <c r="CEQ132" s="4"/>
      <c r="CER132" s="4"/>
      <c r="CES132" s="4"/>
      <c r="CET132" s="4"/>
      <c r="CEU132" s="4"/>
      <c r="CEV132" s="4"/>
      <c r="CEW132" s="4"/>
      <c r="CEX132" s="4"/>
      <c r="CEY132" s="4"/>
      <c r="CEZ132" s="4"/>
      <c r="CFA132" s="4"/>
      <c r="CFB132" s="4"/>
      <c r="CFC132" s="4"/>
      <c r="CFD132" s="4"/>
      <c r="CFE132" s="4"/>
      <c r="CFF132" s="4"/>
      <c r="CFG132" s="4"/>
      <c r="CFH132" s="4"/>
      <c r="CFI132" s="4"/>
      <c r="CFJ132" s="4"/>
      <c r="CFK132" s="4"/>
      <c r="CFL132" s="4"/>
      <c r="CFM132" s="4"/>
      <c r="CFN132" s="4"/>
      <c r="CFO132" s="4"/>
      <c r="CFP132" s="4"/>
      <c r="CFQ132" s="4"/>
      <c r="CFR132" s="4"/>
      <c r="CFS132" s="4"/>
      <c r="CFT132" s="4"/>
      <c r="CFU132" s="4"/>
      <c r="CFV132" s="4"/>
      <c r="CFW132" s="4"/>
      <c r="CFX132" s="4"/>
      <c r="CFY132" s="4"/>
      <c r="CFZ132" s="4"/>
      <c r="CGA132" s="4"/>
      <c r="CGB132" s="4"/>
      <c r="CGC132" s="4"/>
      <c r="CGD132" s="4"/>
      <c r="CGE132" s="4"/>
      <c r="CGF132" s="4"/>
      <c r="CGG132" s="4"/>
      <c r="CGH132" s="4"/>
      <c r="CGI132" s="4"/>
      <c r="CGJ132" s="4"/>
      <c r="CGK132" s="4"/>
      <c r="CGL132" s="4"/>
      <c r="CGM132" s="4"/>
      <c r="CGN132" s="4"/>
      <c r="CGO132" s="4"/>
      <c r="CGP132" s="4"/>
      <c r="CGQ132" s="4"/>
      <c r="CGR132" s="4"/>
      <c r="CGS132" s="4"/>
      <c r="CGT132" s="4"/>
      <c r="CGU132" s="4"/>
      <c r="CGV132" s="4"/>
      <c r="CGW132" s="4"/>
      <c r="CGX132" s="4"/>
      <c r="CGY132" s="4"/>
      <c r="CGZ132" s="4"/>
      <c r="CHA132" s="4"/>
      <c r="CHB132" s="4"/>
      <c r="CHC132" s="4"/>
      <c r="CHD132" s="4"/>
      <c r="CHE132" s="4"/>
      <c r="CHF132" s="4"/>
      <c r="CHG132" s="4"/>
      <c r="CHH132" s="4"/>
      <c r="CHI132" s="4"/>
      <c r="CHJ132" s="4"/>
      <c r="CHK132" s="4"/>
      <c r="CHL132" s="4"/>
      <c r="CHM132" s="4"/>
      <c r="CHN132" s="4"/>
      <c r="CHO132" s="4"/>
      <c r="CHP132" s="4"/>
      <c r="CHQ132" s="4"/>
      <c r="CHR132" s="4"/>
      <c r="CHS132" s="4"/>
      <c r="CHT132" s="4"/>
      <c r="CHU132" s="4"/>
      <c r="CHV132" s="4"/>
      <c r="CHW132" s="4"/>
      <c r="CHX132" s="4"/>
      <c r="CHY132" s="4"/>
      <c r="CHZ132" s="4"/>
      <c r="CIA132" s="4"/>
      <c r="CIB132" s="4"/>
      <c r="CIC132" s="4"/>
      <c r="CID132" s="4"/>
      <c r="CIE132" s="4"/>
      <c r="CIF132" s="4"/>
      <c r="CIG132" s="4"/>
      <c r="CIH132" s="4"/>
      <c r="CII132" s="4"/>
      <c r="CIJ132" s="4"/>
      <c r="CIK132" s="4"/>
      <c r="CIL132" s="4"/>
      <c r="CIM132" s="4"/>
      <c r="CIN132" s="4"/>
      <c r="CIO132" s="4"/>
      <c r="CIP132" s="4"/>
      <c r="CIQ132" s="4"/>
      <c r="CIR132" s="4"/>
      <c r="CIS132" s="4"/>
      <c r="CIT132" s="4"/>
      <c r="CIU132" s="4"/>
      <c r="CIV132" s="4"/>
      <c r="CIW132" s="4"/>
      <c r="CIX132" s="4"/>
      <c r="CIY132" s="4"/>
      <c r="CIZ132" s="4"/>
      <c r="CJA132" s="4"/>
      <c r="CJB132" s="4"/>
      <c r="CJC132" s="4"/>
      <c r="CJD132" s="4"/>
      <c r="CJE132" s="4"/>
      <c r="CJF132" s="4"/>
      <c r="CJG132" s="4"/>
      <c r="CJH132" s="4"/>
      <c r="CJI132" s="4"/>
      <c r="CJJ132" s="4"/>
      <c r="CJK132" s="4"/>
      <c r="CJL132" s="4"/>
      <c r="CJM132" s="4"/>
      <c r="CJN132" s="4"/>
      <c r="CJO132" s="4"/>
      <c r="CJP132" s="4"/>
      <c r="CJQ132" s="4"/>
      <c r="CJR132" s="4"/>
      <c r="CJS132" s="4"/>
      <c r="CJT132" s="4"/>
      <c r="CJU132" s="4"/>
      <c r="CJV132" s="4"/>
      <c r="CJW132" s="4"/>
      <c r="CJX132" s="4"/>
      <c r="CJY132" s="4"/>
      <c r="CJZ132" s="4"/>
      <c r="CKA132" s="4"/>
      <c r="CKB132" s="4"/>
      <c r="CKC132" s="4"/>
      <c r="CKD132" s="4"/>
      <c r="CKE132" s="4"/>
      <c r="CKF132" s="4"/>
      <c r="CKG132" s="4"/>
      <c r="CKH132" s="4"/>
      <c r="CKI132" s="4"/>
      <c r="CKJ132" s="4"/>
      <c r="CKK132" s="4"/>
      <c r="CKL132" s="4"/>
      <c r="CKM132" s="4"/>
      <c r="CKN132" s="4"/>
      <c r="CKO132" s="4"/>
      <c r="CKP132" s="4"/>
      <c r="CKQ132" s="4"/>
      <c r="CKR132" s="4"/>
      <c r="CKS132" s="4"/>
      <c r="CKT132" s="4"/>
      <c r="CKU132" s="4"/>
      <c r="CKV132" s="4"/>
      <c r="CKW132" s="4"/>
      <c r="CKX132" s="4"/>
      <c r="CKY132" s="4"/>
      <c r="CKZ132" s="4"/>
      <c r="CLA132" s="4"/>
      <c r="CLB132" s="4"/>
      <c r="CLC132" s="4"/>
      <c r="CLD132" s="4"/>
      <c r="CLE132" s="4"/>
      <c r="CLF132" s="4"/>
      <c r="CLG132" s="4"/>
      <c r="CLH132" s="4"/>
      <c r="CLI132" s="4"/>
      <c r="CLJ132" s="4"/>
      <c r="CLK132" s="4"/>
      <c r="CLL132" s="4"/>
      <c r="CLM132" s="4"/>
      <c r="CLN132" s="4"/>
      <c r="CLO132" s="4"/>
      <c r="CLP132" s="4"/>
      <c r="CLQ132" s="4"/>
      <c r="CLR132" s="4"/>
      <c r="CLS132" s="4"/>
      <c r="CLT132" s="4"/>
      <c r="CLU132" s="4"/>
      <c r="CLV132" s="4"/>
      <c r="CLW132" s="4"/>
      <c r="CLX132" s="4"/>
      <c r="CLY132" s="4"/>
      <c r="CLZ132" s="4"/>
      <c r="CMA132" s="4"/>
      <c r="CMB132" s="4"/>
      <c r="CMC132" s="4"/>
      <c r="CMD132" s="4"/>
      <c r="CME132" s="4"/>
      <c r="CMF132" s="4"/>
      <c r="CMG132" s="4"/>
      <c r="CMH132" s="4"/>
      <c r="CMI132" s="4"/>
      <c r="CMJ132" s="4"/>
      <c r="CMK132" s="4"/>
      <c r="CML132" s="4"/>
      <c r="CMM132" s="4"/>
      <c r="CMN132" s="4"/>
      <c r="CMO132" s="4"/>
      <c r="CMP132" s="4"/>
      <c r="CMQ132" s="4"/>
      <c r="CMR132" s="4"/>
      <c r="CMS132" s="4"/>
      <c r="CMT132" s="4"/>
      <c r="CMU132" s="4"/>
      <c r="CMV132" s="4"/>
      <c r="CMW132" s="4"/>
      <c r="CMX132" s="4"/>
      <c r="CMY132" s="4"/>
      <c r="CMZ132" s="4"/>
      <c r="CNA132" s="4"/>
      <c r="CNB132" s="4"/>
      <c r="CNC132" s="4"/>
      <c r="CND132" s="4"/>
      <c r="CNE132" s="4"/>
      <c r="CNF132" s="4"/>
      <c r="CNG132" s="4"/>
      <c r="CNH132" s="4"/>
      <c r="CNI132" s="4"/>
      <c r="CNJ132" s="4"/>
      <c r="CNK132" s="4"/>
      <c r="CNL132" s="4"/>
      <c r="CNM132" s="4"/>
      <c r="CNN132" s="4"/>
      <c r="CNO132" s="4"/>
      <c r="CNP132" s="4"/>
      <c r="CNQ132" s="4"/>
      <c r="CNR132" s="4"/>
      <c r="CNS132" s="4"/>
      <c r="CNT132" s="4"/>
      <c r="CNU132" s="4"/>
      <c r="CNV132" s="4"/>
      <c r="CNW132" s="4"/>
      <c r="CNX132" s="4"/>
      <c r="CNY132" s="4"/>
      <c r="CNZ132" s="4"/>
      <c r="COA132" s="4"/>
      <c r="COB132" s="4"/>
      <c r="COC132" s="4"/>
      <c r="COD132" s="4"/>
      <c r="COE132" s="4"/>
      <c r="COF132" s="4"/>
      <c r="COG132" s="4"/>
      <c r="COH132" s="4"/>
      <c r="COI132" s="4"/>
      <c r="COJ132" s="4"/>
      <c r="COK132" s="4"/>
      <c r="COL132" s="4"/>
      <c r="COM132" s="4"/>
      <c r="CON132" s="4"/>
      <c r="COO132" s="4"/>
      <c r="COP132" s="4"/>
      <c r="COQ132" s="4"/>
      <c r="COR132" s="4"/>
      <c r="COS132" s="4"/>
      <c r="COT132" s="4"/>
      <c r="COU132" s="4"/>
      <c r="COV132" s="4"/>
      <c r="COW132" s="4"/>
      <c r="COX132" s="4"/>
      <c r="COY132" s="4"/>
      <c r="COZ132" s="4"/>
      <c r="CPA132" s="4"/>
      <c r="CPB132" s="4"/>
      <c r="CPC132" s="4"/>
      <c r="CPD132" s="4"/>
      <c r="CPE132" s="4"/>
      <c r="CPF132" s="4"/>
      <c r="CPG132" s="4"/>
      <c r="CPH132" s="4"/>
      <c r="CPI132" s="4"/>
      <c r="CPJ132" s="4"/>
      <c r="CPK132" s="4"/>
      <c r="CPL132" s="4"/>
      <c r="CPM132" s="4"/>
      <c r="CPN132" s="4"/>
      <c r="CPO132" s="4"/>
      <c r="CPP132" s="4"/>
      <c r="CPQ132" s="4"/>
      <c r="CPR132" s="4"/>
      <c r="CPS132" s="4"/>
      <c r="CPT132" s="4"/>
      <c r="CPU132" s="4"/>
      <c r="CPV132" s="4"/>
      <c r="CPW132" s="4"/>
      <c r="CPX132" s="4"/>
      <c r="CPY132" s="4"/>
      <c r="CPZ132" s="4"/>
      <c r="CQA132" s="4"/>
      <c r="CQB132" s="4"/>
      <c r="CQC132" s="4"/>
      <c r="CQD132" s="4"/>
      <c r="CQE132" s="4"/>
      <c r="CQF132" s="4"/>
      <c r="CQG132" s="4"/>
      <c r="CQH132" s="4"/>
      <c r="CQI132" s="4"/>
      <c r="CQJ132" s="4"/>
      <c r="CQK132" s="4"/>
      <c r="CQL132" s="4"/>
      <c r="CQM132" s="4"/>
      <c r="CQN132" s="4"/>
      <c r="CQO132" s="4"/>
      <c r="CQP132" s="4"/>
      <c r="CQQ132" s="4"/>
      <c r="CQR132" s="4"/>
      <c r="CQS132" s="4"/>
      <c r="CQT132" s="4"/>
      <c r="CQU132" s="4"/>
      <c r="CQV132" s="4"/>
      <c r="CQW132" s="4"/>
      <c r="CQX132" s="4"/>
      <c r="CQY132" s="4"/>
      <c r="CQZ132" s="4"/>
      <c r="CRA132" s="4"/>
      <c r="CRB132" s="4"/>
      <c r="CRC132" s="4"/>
      <c r="CRD132" s="4"/>
      <c r="CRE132" s="4"/>
      <c r="CRF132" s="4"/>
      <c r="CRG132" s="4"/>
      <c r="CRH132" s="4"/>
      <c r="CRI132" s="4"/>
      <c r="CRJ132" s="4"/>
      <c r="CRK132" s="4"/>
      <c r="CRL132" s="4"/>
      <c r="CRM132" s="4"/>
      <c r="CRN132" s="4"/>
      <c r="CRO132" s="4"/>
      <c r="CRP132" s="4"/>
      <c r="CRQ132" s="4"/>
      <c r="CRR132" s="4"/>
      <c r="CRS132" s="4"/>
      <c r="CRT132" s="4"/>
      <c r="CRU132" s="4"/>
      <c r="CRV132" s="4"/>
      <c r="CRW132" s="4"/>
      <c r="CRX132" s="4"/>
      <c r="CRY132" s="4"/>
      <c r="CRZ132" s="4"/>
      <c r="CSA132" s="4"/>
      <c r="CSB132" s="4"/>
      <c r="CSC132" s="4"/>
      <c r="CSD132" s="4"/>
      <c r="CSE132" s="4"/>
      <c r="CSF132" s="4"/>
      <c r="CSG132" s="4"/>
      <c r="CSH132" s="4"/>
      <c r="CSI132" s="4"/>
      <c r="CSJ132" s="4"/>
      <c r="CSK132" s="4"/>
      <c r="CSL132" s="4"/>
      <c r="CSM132" s="4"/>
      <c r="CSN132" s="4"/>
      <c r="CSO132" s="4"/>
      <c r="CSP132" s="4"/>
      <c r="CSQ132" s="4"/>
      <c r="CSR132" s="4"/>
      <c r="CSS132" s="4"/>
      <c r="CST132" s="4"/>
      <c r="CSU132" s="4"/>
      <c r="CSV132" s="4"/>
      <c r="CSW132" s="4"/>
      <c r="CSX132" s="4"/>
      <c r="CSY132" s="4"/>
      <c r="CSZ132" s="4"/>
      <c r="CTA132" s="4"/>
      <c r="CTB132" s="4"/>
      <c r="CTC132" s="4"/>
      <c r="CTD132" s="4"/>
      <c r="CTE132" s="4"/>
      <c r="CTF132" s="4"/>
      <c r="CTG132" s="4"/>
      <c r="CTH132" s="4"/>
      <c r="CTI132" s="4"/>
      <c r="CTJ132" s="4"/>
      <c r="CTK132" s="4"/>
      <c r="CTL132" s="4"/>
      <c r="CTM132" s="4"/>
      <c r="CTN132" s="4"/>
      <c r="CTO132" s="4"/>
      <c r="CTP132" s="4"/>
      <c r="CTQ132" s="4"/>
      <c r="CTR132" s="4"/>
      <c r="CTS132" s="4"/>
      <c r="CTT132" s="4"/>
      <c r="CTU132" s="4"/>
      <c r="CTV132" s="4"/>
      <c r="CTW132" s="4"/>
      <c r="CTX132" s="4"/>
      <c r="CTY132" s="4"/>
      <c r="CTZ132" s="4"/>
      <c r="CUA132" s="4"/>
      <c r="CUB132" s="4"/>
      <c r="CUC132" s="4"/>
      <c r="CUD132" s="4"/>
      <c r="CUE132" s="4"/>
      <c r="CUF132" s="4"/>
      <c r="CUG132" s="4"/>
      <c r="CUH132" s="4"/>
      <c r="CUI132" s="4"/>
      <c r="CUJ132" s="4"/>
      <c r="CUK132" s="4"/>
      <c r="CUL132" s="4"/>
      <c r="CUM132" s="4"/>
      <c r="CUN132" s="4"/>
      <c r="CUO132" s="4"/>
      <c r="CUP132" s="4"/>
      <c r="CUQ132" s="4"/>
      <c r="CUR132" s="4"/>
      <c r="CUS132" s="4"/>
      <c r="CUT132" s="4"/>
      <c r="CUU132" s="4"/>
      <c r="CUV132" s="4"/>
      <c r="CUW132" s="4"/>
      <c r="CUX132" s="4"/>
      <c r="CUY132" s="4"/>
      <c r="CUZ132" s="4"/>
      <c r="CVA132" s="4"/>
      <c r="CVB132" s="4"/>
      <c r="CVC132" s="4"/>
      <c r="CVD132" s="4"/>
      <c r="CVE132" s="4"/>
      <c r="CVF132" s="4"/>
      <c r="CVG132" s="4"/>
      <c r="CVH132" s="4"/>
      <c r="CVI132" s="4"/>
      <c r="CVJ132" s="4"/>
      <c r="CVK132" s="4"/>
      <c r="CVL132" s="4"/>
      <c r="CVM132" s="4"/>
      <c r="CVN132" s="4"/>
      <c r="CVO132" s="4"/>
      <c r="CVP132" s="4"/>
      <c r="CVQ132" s="4"/>
      <c r="CVR132" s="4"/>
      <c r="CVS132" s="4"/>
      <c r="CVT132" s="4"/>
      <c r="CVU132" s="4"/>
      <c r="CVV132" s="4"/>
      <c r="CVW132" s="4"/>
      <c r="CVX132" s="4"/>
      <c r="CVY132" s="4"/>
      <c r="CVZ132" s="4"/>
      <c r="CWA132" s="4"/>
      <c r="CWB132" s="4"/>
      <c r="CWC132" s="4"/>
      <c r="CWD132" s="4"/>
      <c r="CWE132" s="4"/>
      <c r="CWF132" s="4"/>
      <c r="CWG132" s="4"/>
      <c r="CWH132" s="4"/>
      <c r="CWI132" s="4"/>
      <c r="CWJ132" s="4"/>
      <c r="CWK132" s="4"/>
      <c r="CWL132" s="4"/>
      <c r="CWM132" s="4"/>
      <c r="CWN132" s="4"/>
      <c r="CWO132" s="4"/>
      <c r="CWP132" s="4"/>
      <c r="CWQ132" s="4"/>
      <c r="CWR132" s="4"/>
      <c r="CWS132" s="4"/>
      <c r="CWT132" s="4"/>
      <c r="CWU132" s="4"/>
      <c r="CWV132" s="4"/>
      <c r="CWW132" s="4"/>
      <c r="CWX132" s="4"/>
      <c r="CWY132" s="4"/>
      <c r="CWZ132" s="4"/>
      <c r="CXA132" s="4"/>
      <c r="CXB132" s="4"/>
      <c r="CXC132" s="4"/>
      <c r="CXD132" s="4"/>
      <c r="CXE132" s="4"/>
      <c r="CXF132" s="4"/>
      <c r="CXG132" s="4"/>
      <c r="CXH132" s="4"/>
      <c r="CXI132" s="4"/>
      <c r="CXJ132" s="4"/>
      <c r="CXK132" s="4"/>
      <c r="CXL132" s="4"/>
      <c r="CXM132" s="4"/>
      <c r="CXN132" s="4"/>
      <c r="CXO132" s="4"/>
      <c r="CXP132" s="4"/>
      <c r="CXQ132" s="4"/>
      <c r="CXR132" s="4"/>
      <c r="CXS132" s="4"/>
      <c r="CXT132" s="4"/>
      <c r="CXU132" s="4"/>
      <c r="CXV132" s="4"/>
      <c r="CXW132" s="4"/>
      <c r="CXX132" s="4"/>
      <c r="CXY132" s="4"/>
      <c r="CXZ132" s="4"/>
      <c r="CYA132" s="4"/>
      <c r="CYB132" s="4"/>
      <c r="CYC132" s="4"/>
      <c r="CYD132" s="4"/>
      <c r="CYE132" s="4"/>
      <c r="CYF132" s="4"/>
      <c r="CYG132" s="4"/>
      <c r="CYH132" s="4"/>
      <c r="CYI132" s="4"/>
      <c r="CYJ132" s="4"/>
      <c r="CYK132" s="4"/>
      <c r="CYL132" s="4"/>
      <c r="CYM132" s="4"/>
      <c r="CYN132" s="4"/>
      <c r="CYO132" s="4"/>
      <c r="CYP132" s="4"/>
      <c r="CYQ132" s="4"/>
      <c r="CYR132" s="4"/>
      <c r="CYS132" s="4"/>
      <c r="CYT132" s="4"/>
      <c r="CYU132" s="4"/>
      <c r="CYV132" s="4"/>
      <c r="CYW132" s="4"/>
      <c r="CYX132" s="4"/>
      <c r="CYY132" s="4"/>
      <c r="CYZ132" s="4"/>
      <c r="CZA132" s="4"/>
      <c r="CZB132" s="4"/>
      <c r="CZC132" s="4"/>
      <c r="CZD132" s="4"/>
      <c r="CZE132" s="4"/>
      <c r="CZF132" s="4"/>
      <c r="CZG132" s="4"/>
      <c r="CZH132" s="4"/>
      <c r="CZI132" s="4"/>
      <c r="CZJ132" s="4"/>
      <c r="CZK132" s="4"/>
      <c r="CZL132" s="4"/>
      <c r="CZM132" s="4"/>
      <c r="CZN132" s="4"/>
      <c r="CZO132" s="4"/>
      <c r="CZP132" s="4"/>
      <c r="CZQ132" s="4"/>
      <c r="CZR132" s="4"/>
      <c r="CZS132" s="4"/>
      <c r="CZT132" s="4"/>
      <c r="CZU132" s="4"/>
      <c r="CZV132" s="4"/>
      <c r="CZW132" s="4"/>
      <c r="CZX132" s="4"/>
      <c r="CZY132" s="4"/>
      <c r="CZZ132" s="4"/>
      <c r="DAA132" s="4"/>
      <c r="DAB132" s="4"/>
      <c r="DAC132" s="4"/>
      <c r="DAD132" s="4"/>
      <c r="DAE132" s="4"/>
      <c r="DAF132" s="4"/>
      <c r="DAG132" s="4"/>
      <c r="DAH132" s="4"/>
      <c r="DAI132" s="4"/>
      <c r="DAJ132" s="4"/>
      <c r="DAK132" s="4"/>
      <c r="DAL132" s="4"/>
      <c r="DAM132" s="4"/>
      <c r="DAN132" s="4"/>
      <c r="DAO132" s="4"/>
      <c r="DAP132" s="4"/>
      <c r="DAQ132" s="4"/>
      <c r="DAR132" s="4"/>
      <c r="DAS132" s="4"/>
      <c r="DAT132" s="4"/>
      <c r="DAU132" s="4"/>
      <c r="DAV132" s="4"/>
      <c r="DAW132" s="4"/>
      <c r="DAX132" s="4"/>
      <c r="DAY132" s="4"/>
      <c r="DAZ132" s="4"/>
      <c r="DBA132" s="4"/>
      <c r="DBB132" s="4"/>
      <c r="DBC132" s="4"/>
      <c r="DBD132" s="4"/>
      <c r="DBE132" s="4"/>
      <c r="DBF132" s="4"/>
      <c r="DBG132" s="4"/>
      <c r="DBH132" s="4"/>
      <c r="DBI132" s="4"/>
      <c r="DBJ132" s="4"/>
      <c r="DBK132" s="4"/>
      <c r="DBL132" s="4"/>
      <c r="DBM132" s="4"/>
      <c r="DBN132" s="4"/>
      <c r="DBO132" s="4"/>
      <c r="DBP132" s="4"/>
      <c r="DBQ132" s="4"/>
      <c r="DBR132" s="4"/>
      <c r="DBS132" s="4"/>
      <c r="DBT132" s="4"/>
      <c r="DBU132" s="4"/>
      <c r="DBV132" s="4"/>
      <c r="DBW132" s="4"/>
      <c r="DBX132" s="4"/>
      <c r="DBY132" s="4"/>
      <c r="DBZ132" s="4"/>
      <c r="DCA132" s="4"/>
      <c r="DCB132" s="4"/>
      <c r="DCC132" s="4"/>
      <c r="DCD132" s="4"/>
      <c r="DCE132" s="4"/>
      <c r="DCF132" s="4"/>
      <c r="DCG132" s="4"/>
      <c r="DCH132" s="4"/>
      <c r="DCI132" s="4"/>
      <c r="DCJ132" s="4"/>
      <c r="DCK132" s="4"/>
      <c r="DCL132" s="4"/>
      <c r="DCM132" s="4"/>
      <c r="DCN132" s="4"/>
      <c r="DCO132" s="4"/>
      <c r="DCP132" s="4"/>
      <c r="DCQ132" s="4"/>
      <c r="DCR132" s="4"/>
      <c r="DCS132" s="4"/>
      <c r="DCT132" s="4"/>
      <c r="DCU132" s="4"/>
      <c r="DCV132" s="4"/>
      <c r="DCW132" s="4"/>
      <c r="DCX132" s="4"/>
      <c r="DCY132" s="4"/>
      <c r="DCZ132" s="4"/>
      <c r="DDA132" s="4"/>
      <c r="DDB132" s="4"/>
      <c r="DDC132" s="4"/>
      <c r="DDD132" s="4"/>
      <c r="DDE132" s="4"/>
      <c r="DDF132" s="4"/>
      <c r="DDG132" s="4"/>
      <c r="DDH132" s="4"/>
      <c r="DDI132" s="4"/>
      <c r="DDJ132" s="4"/>
      <c r="DDK132" s="4"/>
      <c r="DDL132" s="4"/>
      <c r="DDM132" s="4"/>
      <c r="DDN132" s="4"/>
      <c r="DDO132" s="4"/>
      <c r="DDP132" s="4"/>
      <c r="DDQ132" s="4"/>
      <c r="DDR132" s="4"/>
      <c r="DDS132" s="4"/>
      <c r="DDT132" s="4"/>
      <c r="DDU132" s="4"/>
      <c r="DDV132" s="4"/>
      <c r="DDW132" s="4"/>
      <c r="DDX132" s="4"/>
      <c r="DDY132" s="4"/>
      <c r="DDZ132" s="4"/>
      <c r="DEA132" s="4"/>
      <c r="DEB132" s="4"/>
      <c r="DEC132" s="4"/>
      <c r="DED132" s="4"/>
      <c r="DEE132" s="4"/>
      <c r="DEF132" s="4"/>
      <c r="DEG132" s="4"/>
      <c r="DEH132" s="4"/>
      <c r="DEI132" s="4"/>
      <c r="DEJ132" s="4"/>
      <c r="DEK132" s="4"/>
      <c r="DEL132" s="4"/>
      <c r="DEM132" s="4"/>
      <c r="DEN132" s="4"/>
      <c r="DEO132" s="4"/>
      <c r="DEP132" s="4"/>
      <c r="DEQ132" s="4"/>
      <c r="DER132" s="4"/>
      <c r="DES132" s="4"/>
      <c r="DET132" s="4"/>
      <c r="DEU132" s="4"/>
      <c r="DEV132" s="4"/>
      <c r="DEW132" s="4"/>
      <c r="DEX132" s="4"/>
      <c r="DEY132" s="4"/>
      <c r="DEZ132" s="4"/>
      <c r="DFA132" s="4"/>
      <c r="DFB132" s="4"/>
      <c r="DFC132" s="4"/>
      <c r="DFD132" s="4"/>
      <c r="DFE132" s="4"/>
      <c r="DFF132" s="4"/>
      <c r="DFG132" s="4"/>
      <c r="DFH132" s="4"/>
      <c r="DFI132" s="4"/>
      <c r="DFJ132" s="4"/>
      <c r="DFK132" s="4"/>
      <c r="DFL132" s="4"/>
      <c r="DFM132" s="4"/>
      <c r="DFN132" s="4"/>
      <c r="DFO132" s="4"/>
      <c r="DFP132" s="4"/>
      <c r="DFQ132" s="4"/>
      <c r="DFR132" s="4"/>
      <c r="DFS132" s="4"/>
      <c r="DFT132" s="4"/>
      <c r="DFU132" s="4"/>
      <c r="DFV132" s="4"/>
      <c r="DFW132" s="4"/>
      <c r="DFX132" s="4"/>
      <c r="DFY132" s="4"/>
      <c r="DFZ132" s="4"/>
      <c r="DGA132" s="4"/>
      <c r="DGB132" s="4"/>
      <c r="DGC132" s="4"/>
      <c r="DGD132" s="4"/>
      <c r="DGE132" s="4"/>
      <c r="DGF132" s="4"/>
      <c r="DGG132" s="4"/>
      <c r="DGH132" s="4"/>
      <c r="DGI132" s="4"/>
      <c r="DGJ132" s="4"/>
      <c r="DGK132" s="4"/>
      <c r="DGL132" s="4"/>
      <c r="DGM132" s="4"/>
      <c r="DGN132" s="4"/>
      <c r="DGO132" s="4"/>
      <c r="DGP132" s="4"/>
      <c r="DGQ132" s="4"/>
      <c r="DGR132" s="4"/>
      <c r="DGS132" s="4"/>
      <c r="DGT132" s="4"/>
      <c r="DGU132" s="4"/>
      <c r="DGV132" s="4"/>
      <c r="DGW132" s="4"/>
      <c r="DGX132" s="4"/>
      <c r="DGY132" s="4"/>
      <c r="DGZ132" s="4"/>
      <c r="DHA132" s="4"/>
      <c r="DHB132" s="4"/>
      <c r="DHC132" s="4"/>
      <c r="DHD132" s="4"/>
      <c r="DHE132" s="4"/>
      <c r="DHF132" s="4"/>
      <c r="DHG132" s="4"/>
      <c r="DHH132" s="4"/>
      <c r="DHI132" s="4"/>
      <c r="DHJ132" s="4"/>
      <c r="DHK132" s="4"/>
      <c r="DHL132" s="4"/>
      <c r="DHM132" s="4"/>
      <c r="DHN132" s="4"/>
      <c r="DHO132" s="4"/>
      <c r="DHP132" s="4"/>
      <c r="DHQ132" s="4"/>
      <c r="DHR132" s="4"/>
      <c r="DHS132" s="4"/>
      <c r="DHT132" s="4"/>
      <c r="DHU132" s="4"/>
      <c r="DHV132" s="4"/>
      <c r="DHW132" s="4"/>
      <c r="DHX132" s="4"/>
      <c r="DHY132" s="4"/>
      <c r="DHZ132" s="4"/>
      <c r="DIA132" s="4"/>
      <c r="DIB132" s="4"/>
      <c r="DIC132" s="4"/>
      <c r="DID132" s="4"/>
      <c r="DIE132" s="4"/>
      <c r="DIF132" s="4"/>
      <c r="DIG132" s="4"/>
      <c r="DIH132" s="4"/>
      <c r="DII132" s="4"/>
      <c r="DIJ132" s="4"/>
      <c r="DIK132" s="4"/>
      <c r="DIL132" s="4"/>
      <c r="DIM132" s="4"/>
      <c r="DIN132" s="4"/>
      <c r="DIO132" s="4"/>
      <c r="DIP132" s="4"/>
      <c r="DIQ132" s="4"/>
      <c r="DIR132" s="4"/>
      <c r="DIS132" s="4"/>
      <c r="DIT132" s="4"/>
      <c r="DIU132" s="4"/>
      <c r="DIV132" s="4"/>
      <c r="DIW132" s="4"/>
      <c r="DIX132" s="4"/>
      <c r="DIY132" s="4"/>
      <c r="DIZ132" s="4"/>
      <c r="DJA132" s="4"/>
      <c r="DJB132" s="4"/>
      <c r="DJC132" s="4"/>
      <c r="DJD132" s="4"/>
      <c r="DJE132" s="4"/>
      <c r="DJF132" s="4"/>
      <c r="DJG132" s="4"/>
      <c r="DJH132" s="4"/>
      <c r="DJI132" s="4"/>
      <c r="DJJ132" s="4"/>
      <c r="DJK132" s="4"/>
      <c r="DJL132" s="4"/>
      <c r="DJM132" s="4"/>
      <c r="DJN132" s="4"/>
      <c r="DJO132" s="4"/>
      <c r="DJP132" s="4"/>
      <c r="DJQ132" s="4"/>
      <c r="DJR132" s="4"/>
      <c r="DJS132" s="4"/>
      <c r="DJT132" s="4"/>
      <c r="DJU132" s="4"/>
      <c r="DJV132" s="4"/>
      <c r="DJW132" s="4"/>
      <c r="DJX132" s="4"/>
      <c r="DJY132" s="4"/>
      <c r="DJZ132" s="4"/>
      <c r="DKA132" s="4"/>
      <c r="DKB132" s="4"/>
      <c r="DKC132" s="4"/>
      <c r="DKD132" s="4"/>
      <c r="DKE132" s="4"/>
      <c r="DKF132" s="4"/>
      <c r="DKG132" s="4"/>
      <c r="DKH132" s="4"/>
      <c r="DKI132" s="4"/>
      <c r="DKJ132" s="4"/>
      <c r="DKK132" s="4"/>
      <c r="DKL132" s="4"/>
      <c r="DKM132" s="4"/>
      <c r="DKN132" s="4"/>
      <c r="DKO132" s="4"/>
      <c r="DKP132" s="4"/>
      <c r="DKQ132" s="4"/>
      <c r="DKR132" s="4"/>
      <c r="DKS132" s="4"/>
      <c r="DKT132" s="4"/>
      <c r="DKU132" s="4"/>
      <c r="DKV132" s="4"/>
      <c r="DKW132" s="4"/>
      <c r="DKX132" s="4"/>
      <c r="DKY132" s="4"/>
      <c r="DKZ132" s="4"/>
      <c r="DLA132" s="4"/>
      <c r="DLB132" s="4"/>
      <c r="DLC132" s="4"/>
      <c r="DLD132" s="4"/>
      <c r="DLE132" s="4"/>
      <c r="DLF132" s="4"/>
      <c r="DLG132" s="4"/>
      <c r="DLH132" s="4"/>
      <c r="DLI132" s="4"/>
      <c r="DLJ132" s="4"/>
      <c r="DLK132" s="4"/>
      <c r="DLL132" s="4"/>
      <c r="DLM132" s="4"/>
      <c r="DLN132" s="4"/>
      <c r="DLO132" s="4"/>
      <c r="DLP132" s="4"/>
      <c r="DLQ132" s="4"/>
      <c r="DLR132" s="4"/>
      <c r="DLS132" s="4"/>
      <c r="DLT132" s="4"/>
      <c r="DLU132" s="4"/>
      <c r="DLV132" s="4"/>
      <c r="DLW132" s="4"/>
      <c r="DLX132" s="4"/>
      <c r="DLY132" s="4"/>
      <c r="DLZ132" s="4"/>
      <c r="DMA132" s="4"/>
      <c r="DMB132" s="4"/>
      <c r="DMC132" s="4"/>
      <c r="DMD132" s="4"/>
      <c r="DME132" s="4"/>
      <c r="DMF132" s="4"/>
      <c r="DMG132" s="4"/>
      <c r="DMH132" s="4"/>
      <c r="DMI132" s="4"/>
      <c r="DMJ132" s="4"/>
      <c r="DMK132" s="4"/>
      <c r="DML132" s="4"/>
      <c r="DMM132" s="4"/>
      <c r="DMN132" s="4"/>
      <c r="DMO132" s="4"/>
      <c r="DMP132" s="4"/>
      <c r="DMQ132" s="4"/>
      <c r="DMR132" s="4"/>
      <c r="DMS132" s="4"/>
      <c r="DMT132" s="4"/>
      <c r="DMU132" s="4"/>
      <c r="DMV132" s="4"/>
      <c r="DMW132" s="4"/>
      <c r="DMX132" s="4"/>
      <c r="DMY132" s="4"/>
      <c r="DMZ132" s="4"/>
      <c r="DNA132" s="4"/>
      <c r="DNB132" s="4"/>
      <c r="DNC132" s="4"/>
      <c r="DND132" s="4"/>
      <c r="DNE132" s="4"/>
      <c r="DNF132" s="4"/>
      <c r="DNG132" s="4"/>
      <c r="DNH132" s="4"/>
      <c r="DNI132" s="4"/>
      <c r="DNJ132" s="4"/>
      <c r="DNK132" s="4"/>
      <c r="DNL132" s="4"/>
      <c r="DNM132" s="4"/>
      <c r="DNN132" s="4"/>
      <c r="DNO132" s="4"/>
      <c r="DNP132" s="4"/>
      <c r="DNQ132" s="4"/>
      <c r="DNR132" s="4"/>
      <c r="DNS132" s="4"/>
      <c r="DNT132" s="4"/>
      <c r="DNU132" s="4"/>
      <c r="DNV132" s="4"/>
      <c r="DNW132" s="4"/>
      <c r="DNX132" s="4"/>
      <c r="DNY132" s="4"/>
      <c r="DNZ132" s="4"/>
      <c r="DOA132" s="4"/>
      <c r="DOB132" s="4"/>
      <c r="DOC132" s="4"/>
      <c r="DOD132" s="4"/>
      <c r="DOE132" s="4"/>
      <c r="DOF132" s="4"/>
      <c r="DOG132" s="4"/>
      <c r="DOH132" s="4"/>
      <c r="DOI132" s="4"/>
      <c r="DOJ132" s="4"/>
      <c r="DOK132" s="4"/>
      <c r="DOL132" s="4"/>
      <c r="DOM132" s="4"/>
      <c r="DON132" s="4"/>
      <c r="DOO132" s="4"/>
      <c r="DOP132" s="4"/>
      <c r="DOQ132" s="4"/>
      <c r="DOR132" s="4"/>
      <c r="DOS132" s="4"/>
      <c r="DOT132" s="4"/>
      <c r="DOU132" s="4"/>
      <c r="DOV132" s="4"/>
      <c r="DOW132" s="4"/>
      <c r="DOX132" s="4"/>
      <c r="DOY132" s="4"/>
      <c r="DOZ132" s="4"/>
      <c r="DPA132" s="4"/>
      <c r="DPB132" s="4"/>
      <c r="DPC132" s="4"/>
      <c r="DPD132" s="4"/>
      <c r="DPE132" s="4"/>
      <c r="DPF132" s="4"/>
      <c r="DPG132" s="4"/>
      <c r="DPH132" s="4"/>
      <c r="DPI132" s="4"/>
      <c r="DPJ132" s="4"/>
      <c r="DPK132" s="4"/>
      <c r="DPL132" s="4"/>
      <c r="DPM132" s="4"/>
      <c r="DPN132" s="4"/>
      <c r="DPO132" s="4"/>
      <c r="DPP132" s="4"/>
      <c r="DPQ132" s="4"/>
      <c r="DPR132" s="4"/>
      <c r="DPS132" s="4"/>
      <c r="DPT132" s="4"/>
      <c r="DPU132" s="4"/>
      <c r="DPV132" s="4"/>
      <c r="DPW132" s="4"/>
      <c r="DPX132" s="4"/>
      <c r="DPY132" s="4"/>
      <c r="DPZ132" s="4"/>
      <c r="DQA132" s="4"/>
      <c r="DQB132" s="4"/>
      <c r="DQC132" s="4"/>
      <c r="DQD132" s="4"/>
      <c r="DQE132" s="4"/>
      <c r="DQF132" s="4"/>
      <c r="DQG132" s="4"/>
      <c r="DQH132" s="4"/>
      <c r="DQI132" s="4"/>
      <c r="DQJ132" s="4"/>
      <c r="DQK132" s="4"/>
      <c r="DQL132" s="4"/>
      <c r="DQM132" s="4"/>
      <c r="DQN132" s="4"/>
      <c r="DQO132" s="4"/>
      <c r="DQP132" s="4"/>
      <c r="DQQ132" s="4"/>
      <c r="DQR132" s="4"/>
      <c r="DQS132" s="4"/>
      <c r="DQT132" s="4"/>
      <c r="DQU132" s="4"/>
      <c r="DQV132" s="4"/>
      <c r="DQW132" s="4"/>
      <c r="DQX132" s="4"/>
      <c r="DQY132" s="4"/>
      <c r="DQZ132" s="4"/>
      <c r="DRA132" s="4"/>
      <c r="DRB132" s="4"/>
      <c r="DRC132" s="4"/>
      <c r="DRD132" s="4"/>
      <c r="DRE132" s="4"/>
      <c r="DRF132" s="4"/>
      <c r="DRG132" s="4"/>
      <c r="DRH132" s="4"/>
      <c r="DRI132" s="4"/>
      <c r="DRJ132" s="4"/>
      <c r="DRK132" s="4"/>
      <c r="DRL132" s="4"/>
      <c r="DRM132" s="4"/>
      <c r="DRN132" s="4"/>
      <c r="DRO132" s="4"/>
      <c r="DRP132" s="4"/>
      <c r="DRQ132" s="4"/>
      <c r="DRR132" s="4"/>
      <c r="DRS132" s="4"/>
      <c r="DRT132" s="4"/>
      <c r="DRU132" s="4"/>
      <c r="DRV132" s="4"/>
      <c r="DRW132" s="4"/>
      <c r="DRX132" s="4"/>
      <c r="DRY132" s="4"/>
      <c r="DRZ132" s="4"/>
      <c r="DSA132" s="4"/>
      <c r="DSB132" s="4"/>
      <c r="DSC132" s="4"/>
      <c r="DSD132" s="4"/>
      <c r="DSE132" s="4"/>
      <c r="DSF132" s="4"/>
      <c r="DSG132" s="4"/>
      <c r="DSH132" s="4"/>
      <c r="DSI132" s="4"/>
      <c r="DSJ132" s="4"/>
      <c r="DSK132" s="4"/>
      <c r="DSL132" s="4"/>
      <c r="DSM132" s="4"/>
      <c r="DSN132" s="4"/>
      <c r="DSO132" s="4"/>
      <c r="DSP132" s="4"/>
      <c r="DSQ132" s="4"/>
      <c r="DSR132" s="4"/>
      <c r="DSS132" s="4"/>
      <c r="DST132" s="4"/>
      <c r="DSU132" s="4"/>
      <c r="DSV132" s="4"/>
      <c r="DSW132" s="4"/>
      <c r="DSX132" s="4"/>
      <c r="DSY132" s="4"/>
      <c r="DSZ132" s="4"/>
      <c r="DTA132" s="4"/>
      <c r="DTB132" s="4"/>
      <c r="DTC132" s="4"/>
      <c r="DTD132" s="4"/>
      <c r="DTE132" s="4"/>
      <c r="DTF132" s="4"/>
      <c r="DTG132" s="4"/>
      <c r="DTH132" s="4"/>
      <c r="DTI132" s="4"/>
      <c r="DTJ132" s="4"/>
      <c r="DTK132" s="4"/>
      <c r="DTL132" s="4"/>
      <c r="DTM132" s="4"/>
      <c r="DTN132" s="4"/>
      <c r="DTO132" s="4"/>
      <c r="DTP132" s="4"/>
      <c r="DTQ132" s="4"/>
      <c r="DTR132" s="4"/>
      <c r="DTS132" s="4"/>
      <c r="DTT132" s="4"/>
      <c r="DTU132" s="4"/>
      <c r="DTV132" s="4"/>
      <c r="DTW132" s="4"/>
      <c r="DTX132" s="4"/>
      <c r="DTY132" s="4"/>
      <c r="DTZ132" s="4"/>
      <c r="DUA132" s="4"/>
      <c r="DUB132" s="4"/>
      <c r="DUC132" s="4"/>
      <c r="DUD132" s="4"/>
      <c r="DUE132" s="4"/>
      <c r="DUF132" s="4"/>
      <c r="DUG132" s="4"/>
      <c r="DUH132" s="4"/>
      <c r="DUI132" s="4"/>
      <c r="DUJ132" s="4"/>
      <c r="DUK132" s="4"/>
      <c r="DUL132" s="4"/>
      <c r="DUM132" s="4"/>
      <c r="DUN132" s="4"/>
      <c r="DUO132" s="4"/>
      <c r="DUP132" s="4"/>
      <c r="DUQ132" s="4"/>
      <c r="DUR132" s="4"/>
      <c r="DUS132" s="4"/>
      <c r="DUT132" s="4"/>
      <c r="DUU132" s="4"/>
      <c r="DUV132" s="4"/>
      <c r="DUW132" s="4"/>
      <c r="DUX132" s="4"/>
      <c r="DUY132" s="4"/>
      <c r="DUZ132" s="4"/>
      <c r="DVA132" s="4"/>
      <c r="DVB132" s="4"/>
      <c r="DVC132" s="4"/>
      <c r="DVD132" s="4"/>
      <c r="DVE132" s="4"/>
      <c r="DVF132" s="4"/>
      <c r="DVG132" s="4"/>
      <c r="DVH132" s="4"/>
      <c r="DVI132" s="4"/>
      <c r="DVJ132" s="4"/>
      <c r="DVK132" s="4"/>
      <c r="DVL132" s="4"/>
      <c r="DVM132" s="4"/>
      <c r="DVN132" s="4"/>
      <c r="DVO132" s="4"/>
      <c r="DVP132" s="4"/>
      <c r="DVQ132" s="4"/>
      <c r="DVR132" s="4"/>
      <c r="DVS132" s="4"/>
      <c r="DVT132" s="4"/>
      <c r="DVU132" s="4"/>
      <c r="DVV132" s="4"/>
      <c r="DVW132" s="4"/>
      <c r="DVX132" s="4"/>
      <c r="DVY132" s="4"/>
      <c r="DVZ132" s="4"/>
      <c r="DWA132" s="4"/>
      <c r="DWB132" s="4"/>
      <c r="DWC132" s="4"/>
      <c r="DWD132" s="4"/>
      <c r="DWE132" s="4"/>
      <c r="DWF132" s="4"/>
      <c r="DWG132" s="4"/>
      <c r="DWH132" s="4"/>
      <c r="DWI132" s="4"/>
      <c r="DWJ132" s="4"/>
      <c r="DWK132" s="4"/>
      <c r="DWL132" s="4"/>
      <c r="DWM132" s="4"/>
      <c r="DWN132" s="4"/>
      <c r="DWO132" s="4"/>
      <c r="DWP132" s="4"/>
      <c r="DWQ132" s="4"/>
      <c r="DWR132" s="4"/>
      <c r="DWS132" s="4"/>
      <c r="DWT132" s="4"/>
      <c r="DWU132" s="4"/>
      <c r="DWV132" s="4"/>
      <c r="DWW132" s="4"/>
      <c r="DWX132" s="4"/>
      <c r="DWY132" s="4"/>
      <c r="DWZ132" s="4"/>
      <c r="DXA132" s="4"/>
      <c r="DXB132" s="4"/>
      <c r="DXC132" s="4"/>
      <c r="DXD132" s="4"/>
      <c r="DXE132" s="4"/>
      <c r="DXF132" s="4"/>
      <c r="DXG132" s="4"/>
      <c r="DXH132" s="4"/>
      <c r="DXI132" s="4"/>
      <c r="DXJ132" s="4"/>
      <c r="DXK132" s="4"/>
      <c r="DXL132" s="4"/>
      <c r="DXM132" s="4"/>
      <c r="DXN132" s="4"/>
      <c r="DXO132" s="4"/>
      <c r="DXP132" s="4"/>
      <c r="DXQ132" s="4"/>
      <c r="DXR132" s="4"/>
      <c r="DXS132" s="4"/>
      <c r="DXT132" s="4"/>
      <c r="DXU132" s="4"/>
      <c r="DXV132" s="4"/>
      <c r="DXW132" s="4"/>
      <c r="DXX132" s="4"/>
      <c r="DXY132" s="4"/>
      <c r="DXZ132" s="4"/>
      <c r="DYA132" s="4"/>
      <c r="DYB132" s="4"/>
      <c r="DYC132" s="4"/>
      <c r="DYD132" s="4"/>
      <c r="DYE132" s="4"/>
      <c r="DYF132" s="4"/>
      <c r="DYG132" s="4"/>
      <c r="DYH132" s="4"/>
      <c r="DYI132" s="4"/>
      <c r="DYJ132" s="4"/>
      <c r="DYK132" s="4"/>
      <c r="DYL132" s="4"/>
      <c r="DYM132" s="4"/>
      <c r="DYN132" s="4"/>
      <c r="DYO132" s="4"/>
      <c r="DYP132" s="4"/>
      <c r="DYQ132" s="4"/>
      <c r="DYR132" s="4"/>
      <c r="DYS132" s="4"/>
      <c r="DYT132" s="4"/>
      <c r="DYU132" s="4"/>
      <c r="DYV132" s="4"/>
      <c r="DYW132" s="4"/>
      <c r="DYX132" s="4"/>
      <c r="DYY132" s="4"/>
      <c r="DYZ132" s="4"/>
      <c r="DZA132" s="4"/>
      <c r="DZB132" s="4"/>
      <c r="DZC132" s="4"/>
      <c r="DZD132" s="4"/>
      <c r="DZE132" s="4"/>
      <c r="DZF132" s="4"/>
      <c r="DZG132" s="4"/>
      <c r="DZH132" s="4"/>
      <c r="DZI132" s="4"/>
      <c r="DZJ132" s="4"/>
      <c r="DZK132" s="4"/>
      <c r="DZL132" s="4"/>
      <c r="DZM132" s="4"/>
      <c r="DZN132" s="4"/>
      <c r="DZO132" s="4"/>
      <c r="DZP132" s="4"/>
      <c r="DZQ132" s="4"/>
      <c r="DZR132" s="4"/>
      <c r="DZS132" s="4"/>
      <c r="DZT132" s="4"/>
      <c r="DZU132" s="4"/>
      <c r="DZV132" s="4"/>
      <c r="DZW132" s="4"/>
      <c r="DZX132" s="4"/>
      <c r="DZY132" s="4"/>
      <c r="DZZ132" s="4"/>
      <c r="EAA132" s="4"/>
      <c r="EAB132" s="4"/>
      <c r="EAC132" s="4"/>
      <c r="EAD132" s="4"/>
      <c r="EAE132" s="4"/>
      <c r="EAF132" s="4"/>
      <c r="EAG132" s="4"/>
      <c r="EAH132" s="4"/>
      <c r="EAI132" s="4"/>
      <c r="EAJ132" s="4"/>
      <c r="EAK132" s="4"/>
      <c r="EAL132" s="4"/>
      <c r="EAM132" s="4"/>
      <c r="EAN132" s="4"/>
      <c r="EAO132" s="4"/>
      <c r="EAP132" s="4"/>
      <c r="EAQ132" s="4"/>
      <c r="EAR132" s="4"/>
      <c r="EAS132" s="4"/>
      <c r="EAT132" s="4"/>
      <c r="EAU132" s="4"/>
      <c r="EAV132" s="4"/>
      <c r="EAW132" s="4"/>
      <c r="EAX132" s="4"/>
      <c r="EAY132" s="4"/>
      <c r="EAZ132" s="4"/>
      <c r="EBA132" s="4"/>
      <c r="EBB132" s="4"/>
      <c r="EBC132" s="4"/>
      <c r="EBD132" s="4"/>
      <c r="EBE132" s="4"/>
      <c r="EBF132" s="4"/>
      <c r="EBG132" s="4"/>
      <c r="EBH132" s="4"/>
      <c r="EBI132" s="4"/>
      <c r="EBJ132" s="4"/>
      <c r="EBK132" s="4"/>
      <c r="EBL132" s="4"/>
      <c r="EBM132" s="4"/>
      <c r="EBN132" s="4"/>
      <c r="EBO132" s="4"/>
      <c r="EBP132" s="4"/>
      <c r="EBQ132" s="4"/>
      <c r="EBR132" s="4"/>
      <c r="EBS132" s="4"/>
      <c r="EBT132" s="4"/>
      <c r="EBU132" s="4"/>
      <c r="EBV132" s="4"/>
      <c r="EBW132" s="4"/>
      <c r="EBX132" s="4"/>
      <c r="EBY132" s="4"/>
      <c r="EBZ132" s="4"/>
      <c r="ECA132" s="4"/>
      <c r="ECB132" s="4"/>
      <c r="ECC132" s="4"/>
      <c r="ECD132" s="4"/>
      <c r="ECE132" s="4"/>
      <c r="ECF132" s="4"/>
      <c r="ECG132" s="4"/>
      <c r="ECH132" s="4"/>
      <c r="ECI132" s="4"/>
      <c r="ECJ132" s="4"/>
      <c r="ECK132" s="4"/>
      <c r="ECL132" s="4"/>
      <c r="ECM132" s="4"/>
      <c r="ECN132" s="4"/>
      <c r="ECO132" s="4"/>
      <c r="ECP132" s="4"/>
      <c r="ECQ132" s="4"/>
      <c r="ECR132" s="4"/>
      <c r="ECS132" s="4"/>
      <c r="ECT132" s="4"/>
      <c r="ECU132" s="4"/>
      <c r="ECV132" s="4"/>
      <c r="ECW132" s="4"/>
      <c r="ECX132" s="4"/>
      <c r="ECY132" s="4"/>
      <c r="ECZ132" s="4"/>
      <c r="EDA132" s="4"/>
      <c r="EDB132" s="4"/>
      <c r="EDC132" s="4"/>
      <c r="EDD132" s="4"/>
      <c r="EDE132" s="4"/>
      <c r="EDF132" s="4"/>
      <c r="EDG132" s="4"/>
      <c r="EDH132" s="4"/>
      <c r="EDI132" s="4"/>
      <c r="EDJ132" s="4"/>
      <c r="EDK132" s="4"/>
      <c r="EDL132" s="4"/>
      <c r="EDM132" s="4"/>
      <c r="EDN132" s="4"/>
      <c r="EDO132" s="4"/>
      <c r="EDP132" s="4"/>
      <c r="EDQ132" s="4"/>
      <c r="EDR132" s="4"/>
      <c r="EDS132" s="4"/>
      <c r="EDT132" s="4"/>
      <c r="EDU132" s="4"/>
      <c r="EDV132" s="4"/>
      <c r="EDW132" s="4"/>
      <c r="EDX132" s="4"/>
      <c r="EDY132" s="4"/>
      <c r="EDZ132" s="4"/>
      <c r="EEA132" s="4"/>
      <c r="EEB132" s="4"/>
      <c r="EEC132" s="4"/>
      <c r="EED132" s="4"/>
      <c r="EEE132" s="4"/>
      <c r="EEF132" s="4"/>
      <c r="EEG132" s="4"/>
      <c r="EEH132" s="4"/>
      <c r="EEI132" s="4"/>
      <c r="EEJ132" s="4"/>
      <c r="EEK132" s="4"/>
      <c r="EEL132" s="4"/>
      <c r="EEM132" s="4"/>
      <c r="EEN132" s="4"/>
      <c r="EEO132" s="4"/>
      <c r="EEP132" s="4"/>
      <c r="EEQ132" s="4"/>
      <c r="EER132" s="4"/>
      <c r="EES132" s="4"/>
      <c r="EET132" s="4"/>
      <c r="EEU132" s="4"/>
      <c r="EEV132" s="4"/>
      <c r="EEW132" s="4"/>
      <c r="EEX132" s="4"/>
      <c r="EEY132" s="4"/>
      <c r="EEZ132" s="4"/>
      <c r="EFA132" s="4"/>
      <c r="EFB132" s="4"/>
      <c r="EFC132" s="4"/>
      <c r="EFD132" s="4"/>
      <c r="EFE132" s="4"/>
      <c r="EFF132" s="4"/>
      <c r="EFG132" s="4"/>
      <c r="EFH132" s="4"/>
      <c r="EFI132" s="4"/>
      <c r="EFJ132" s="4"/>
      <c r="EFK132" s="4"/>
      <c r="EFL132" s="4"/>
      <c r="EFM132" s="4"/>
      <c r="EFN132" s="4"/>
      <c r="EFO132" s="4"/>
      <c r="EFP132" s="4"/>
      <c r="EFQ132" s="4"/>
      <c r="EFR132" s="4"/>
      <c r="EFS132" s="4"/>
      <c r="EFT132" s="4"/>
      <c r="EFU132" s="4"/>
      <c r="EFV132" s="4"/>
      <c r="EFW132" s="4"/>
      <c r="EFX132" s="4"/>
      <c r="EFY132" s="4"/>
      <c r="EFZ132" s="4"/>
      <c r="EGA132" s="4"/>
      <c r="EGB132" s="4"/>
      <c r="EGC132" s="4"/>
      <c r="EGD132" s="4"/>
      <c r="EGE132" s="4"/>
      <c r="EGF132" s="4"/>
      <c r="EGG132" s="4"/>
      <c r="EGH132" s="4"/>
      <c r="EGI132" s="4"/>
      <c r="EGJ132" s="4"/>
      <c r="EGK132" s="4"/>
      <c r="EGL132" s="4"/>
      <c r="EGM132" s="4"/>
      <c r="EGN132" s="4"/>
      <c r="EGO132" s="4"/>
      <c r="EGP132" s="4"/>
      <c r="EGQ132" s="4"/>
      <c r="EGR132" s="4"/>
      <c r="EGS132" s="4"/>
      <c r="EGT132" s="4"/>
      <c r="EGU132" s="4"/>
      <c r="EGV132" s="4"/>
      <c r="EGW132" s="4"/>
      <c r="EGX132" s="4"/>
      <c r="EGY132" s="4"/>
      <c r="EGZ132" s="4"/>
      <c r="EHA132" s="4"/>
      <c r="EHB132" s="4"/>
      <c r="EHC132" s="4"/>
      <c r="EHD132" s="4"/>
      <c r="EHE132" s="4"/>
      <c r="EHF132" s="4"/>
      <c r="EHG132" s="4"/>
      <c r="EHH132" s="4"/>
      <c r="EHI132" s="4"/>
      <c r="EHJ132" s="4"/>
      <c r="EHK132" s="4"/>
      <c r="EHL132" s="4"/>
      <c r="EHM132" s="4"/>
      <c r="EHN132" s="4"/>
      <c r="EHO132" s="4"/>
      <c r="EHP132" s="4"/>
      <c r="EHQ132" s="4"/>
      <c r="EHR132" s="4"/>
      <c r="EHS132" s="4"/>
      <c r="EHT132" s="4"/>
      <c r="EHU132" s="4"/>
      <c r="EHV132" s="4"/>
      <c r="EHW132" s="4"/>
      <c r="EHX132" s="4"/>
      <c r="EHY132" s="4"/>
      <c r="EHZ132" s="4"/>
      <c r="EIA132" s="4"/>
      <c r="EIB132" s="4"/>
      <c r="EIC132" s="4"/>
      <c r="EID132" s="4"/>
      <c r="EIE132" s="4"/>
      <c r="EIF132" s="4"/>
      <c r="EIG132" s="4"/>
      <c r="EIH132" s="4"/>
      <c r="EII132" s="4"/>
      <c r="EIJ132" s="4"/>
      <c r="EIK132" s="4"/>
      <c r="EIL132" s="4"/>
      <c r="EIM132" s="4"/>
      <c r="EIN132" s="4"/>
      <c r="EIO132" s="4"/>
      <c r="EIP132" s="4"/>
      <c r="EIQ132" s="4"/>
      <c r="EIR132" s="4"/>
      <c r="EIS132" s="4"/>
      <c r="EIT132" s="4"/>
      <c r="EIU132" s="4"/>
      <c r="EIV132" s="4"/>
      <c r="EIW132" s="4"/>
      <c r="EIX132" s="4"/>
      <c r="EIY132" s="4"/>
      <c r="EIZ132" s="4"/>
      <c r="EJA132" s="4"/>
      <c r="EJB132" s="4"/>
      <c r="EJC132" s="4"/>
      <c r="EJD132" s="4"/>
      <c r="EJE132" s="4"/>
      <c r="EJF132" s="4"/>
      <c r="EJG132" s="4"/>
      <c r="EJH132" s="4"/>
      <c r="EJI132" s="4"/>
      <c r="EJJ132" s="4"/>
      <c r="EJK132" s="4"/>
      <c r="EJL132" s="4"/>
      <c r="EJM132" s="4"/>
      <c r="EJN132" s="4"/>
      <c r="EJO132" s="4"/>
      <c r="EJP132" s="4"/>
      <c r="EJQ132" s="4"/>
      <c r="EJR132" s="4"/>
      <c r="EJS132" s="4"/>
      <c r="EJT132" s="4"/>
      <c r="EJU132" s="4"/>
      <c r="EJV132" s="4"/>
      <c r="EJW132" s="4"/>
      <c r="EJX132" s="4"/>
      <c r="EJY132" s="4"/>
      <c r="EJZ132" s="4"/>
      <c r="EKA132" s="4"/>
      <c r="EKB132" s="4"/>
      <c r="EKC132" s="4"/>
      <c r="EKD132" s="4"/>
      <c r="EKE132" s="4"/>
      <c r="EKF132" s="4"/>
      <c r="EKG132" s="4"/>
      <c r="EKH132" s="4"/>
      <c r="EKI132" s="4"/>
      <c r="EKJ132" s="4"/>
      <c r="EKK132" s="4"/>
      <c r="EKL132" s="4"/>
      <c r="EKM132" s="4"/>
      <c r="EKN132" s="4"/>
      <c r="EKO132" s="4"/>
      <c r="EKP132" s="4"/>
      <c r="EKQ132" s="4"/>
      <c r="EKR132" s="4"/>
      <c r="EKS132" s="4"/>
      <c r="EKT132" s="4"/>
      <c r="EKU132" s="4"/>
      <c r="EKV132" s="4"/>
      <c r="EKW132" s="4"/>
      <c r="EKX132" s="4"/>
      <c r="EKY132" s="4"/>
      <c r="EKZ132" s="4"/>
      <c r="ELA132" s="4"/>
      <c r="ELB132" s="4"/>
      <c r="ELC132" s="4"/>
      <c r="ELD132" s="4"/>
      <c r="ELE132" s="4"/>
      <c r="ELF132" s="4"/>
      <c r="ELG132" s="4"/>
      <c r="ELH132" s="4"/>
      <c r="ELI132" s="4"/>
      <c r="ELJ132" s="4"/>
      <c r="ELK132" s="4"/>
      <c r="ELL132" s="4"/>
      <c r="ELM132" s="4"/>
      <c r="ELN132" s="4"/>
      <c r="ELO132" s="4"/>
      <c r="ELP132" s="4"/>
      <c r="ELQ132" s="4"/>
      <c r="ELR132" s="4"/>
      <c r="ELS132" s="4"/>
      <c r="ELT132" s="4"/>
      <c r="ELU132" s="4"/>
      <c r="ELV132" s="4"/>
      <c r="ELW132" s="4"/>
      <c r="ELX132" s="4"/>
      <c r="ELY132" s="4"/>
      <c r="ELZ132" s="4"/>
      <c r="EMA132" s="4"/>
      <c r="EMB132" s="4"/>
      <c r="EMC132" s="4"/>
      <c r="EMD132" s="4"/>
      <c r="EME132" s="4"/>
      <c r="EMF132" s="4"/>
      <c r="EMG132" s="4"/>
      <c r="EMH132" s="4"/>
      <c r="EMI132" s="4"/>
      <c r="EMJ132" s="4"/>
      <c r="EMK132" s="4"/>
      <c r="EML132" s="4"/>
      <c r="EMM132" s="4"/>
      <c r="EMN132" s="4"/>
      <c r="EMO132" s="4"/>
      <c r="EMP132" s="4"/>
      <c r="EMQ132" s="4"/>
      <c r="EMR132" s="4"/>
      <c r="EMS132" s="4"/>
      <c r="EMT132" s="4"/>
      <c r="EMU132" s="4"/>
      <c r="EMV132" s="4"/>
      <c r="EMW132" s="4"/>
      <c r="EMX132" s="4"/>
      <c r="EMY132" s="4"/>
      <c r="EMZ132" s="4"/>
      <c r="ENA132" s="4"/>
      <c r="ENB132" s="4"/>
      <c r="ENC132" s="4"/>
      <c r="END132" s="4"/>
      <c r="ENE132" s="4"/>
      <c r="ENF132" s="4"/>
      <c r="ENG132" s="4"/>
      <c r="ENH132" s="4"/>
      <c r="ENI132" s="4"/>
      <c r="ENJ132" s="4"/>
      <c r="ENK132" s="4"/>
      <c r="ENL132" s="4"/>
      <c r="ENM132" s="4"/>
      <c r="ENN132" s="4"/>
      <c r="ENO132" s="4"/>
      <c r="ENP132" s="4"/>
      <c r="ENQ132" s="4"/>
      <c r="ENR132" s="4"/>
      <c r="ENS132" s="4"/>
      <c r="ENT132" s="4"/>
      <c r="ENU132" s="4"/>
      <c r="ENV132" s="4"/>
      <c r="ENW132" s="4"/>
      <c r="ENX132" s="4"/>
      <c r="ENY132" s="4"/>
      <c r="ENZ132" s="4"/>
      <c r="EOA132" s="4"/>
      <c r="EOB132" s="4"/>
      <c r="EOC132" s="4"/>
      <c r="EOD132" s="4"/>
      <c r="EOE132" s="4"/>
      <c r="EOF132" s="4"/>
      <c r="EOG132" s="4"/>
      <c r="EOH132" s="4"/>
      <c r="EOI132" s="4"/>
      <c r="EOJ132" s="4"/>
      <c r="EOK132" s="4"/>
      <c r="EOL132" s="4"/>
      <c r="EOM132" s="4"/>
      <c r="EON132" s="4"/>
      <c r="EOO132" s="4"/>
      <c r="EOP132" s="4"/>
      <c r="EOQ132" s="4"/>
      <c r="EOR132" s="4"/>
      <c r="EOS132" s="4"/>
      <c r="EOT132" s="4"/>
      <c r="EOU132" s="4"/>
      <c r="EOV132" s="4"/>
      <c r="EOW132" s="4"/>
      <c r="EOX132" s="4"/>
      <c r="EOY132" s="4"/>
      <c r="EOZ132" s="4"/>
      <c r="EPA132" s="4"/>
      <c r="EPB132" s="4"/>
      <c r="EPC132" s="4"/>
      <c r="EPD132" s="4"/>
      <c r="EPE132" s="4"/>
      <c r="EPF132" s="4"/>
      <c r="EPG132" s="4"/>
      <c r="EPH132" s="4"/>
      <c r="EPI132" s="4"/>
      <c r="EPJ132" s="4"/>
      <c r="EPK132" s="4"/>
      <c r="EPL132" s="4"/>
      <c r="EPM132" s="4"/>
      <c r="EPN132" s="4"/>
      <c r="EPO132" s="4"/>
      <c r="EPP132" s="4"/>
      <c r="EPQ132" s="4"/>
      <c r="EPR132" s="4"/>
      <c r="EPS132" s="4"/>
      <c r="EPT132" s="4"/>
      <c r="EPU132" s="4"/>
      <c r="EPV132" s="4"/>
      <c r="EPW132" s="4"/>
      <c r="EPX132" s="4"/>
      <c r="EPY132" s="4"/>
      <c r="EPZ132" s="4"/>
      <c r="EQA132" s="4"/>
      <c r="EQB132" s="4"/>
      <c r="EQC132" s="4"/>
      <c r="EQD132" s="4"/>
      <c r="EQE132" s="4"/>
      <c r="EQF132" s="4"/>
      <c r="EQG132" s="4"/>
      <c r="EQH132" s="4"/>
      <c r="EQI132" s="4"/>
      <c r="EQJ132" s="4"/>
      <c r="EQK132" s="4"/>
      <c r="EQL132" s="4"/>
      <c r="EQM132" s="4"/>
      <c r="EQN132" s="4"/>
      <c r="EQO132" s="4"/>
      <c r="EQP132" s="4"/>
      <c r="EQQ132" s="4"/>
      <c r="EQR132" s="4"/>
      <c r="EQS132" s="4"/>
      <c r="EQT132" s="4"/>
      <c r="EQU132" s="4"/>
      <c r="EQV132" s="4"/>
      <c r="EQW132" s="4"/>
      <c r="EQX132" s="4"/>
      <c r="EQY132" s="4"/>
      <c r="EQZ132" s="4"/>
      <c r="ERA132" s="4"/>
      <c r="ERB132" s="4"/>
      <c r="ERC132" s="4"/>
      <c r="ERD132" s="4"/>
      <c r="ERE132" s="4"/>
      <c r="ERF132" s="4"/>
      <c r="ERG132" s="4"/>
      <c r="ERH132" s="4"/>
      <c r="ERI132" s="4"/>
      <c r="ERJ132" s="4"/>
      <c r="ERK132" s="4"/>
      <c r="ERL132" s="4"/>
      <c r="ERM132" s="4"/>
      <c r="ERN132" s="4"/>
      <c r="ERO132" s="4"/>
      <c r="ERP132" s="4"/>
      <c r="ERQ132" s="4"/>
      <c r="ERR132" s="4"/>
      <c r="ERS132" s="4"/>
      <c r="ERT132" s="4"/>
      <c r="ERU132" s="4"/>
      <c r="ERV132" s="4"/>
      <c r="ERW132" s="4"/>
      <c r="ERX132" s="4"/>
      <c r="ERY132" s="4"/>
      <c r="ERZ132" s="4"/>
      <c r="ESA132" s="4"/>
      <c r="ESB132" s="4"/>
      <c r="ESC132" s="4"/>
      <c r="ESD132" s="4"/>
      <c r="ESE132" s="4"/>
      <c r="ESF132" s="4"/>
      <c r="ESG132" s="4"/>
      <c r="ESH132" s="4"/>
      <c r="ESI132" s="4"/>
      <c r="ESJ132" s="4"/>
      <c r="ESK132" s="4"/>
      <c r="ESL132" s="4"/>
      <c r="ESM132" s="4"/>
      <c r="ESN132" s="4"/>
      <c r="ESO132" s="4"/>
      <c r="ESP132" s="4"/>
      <c r="ESQ132" s="4"/>
      <c r="ESR132" s="4"/>
      <c r="ESS132" s="4"/>
      <c r="EST132" s="4"/>
      <c r="ESU132" s="4"/>
      <c r="ESV132" s="4"/>
      <c r="ESW132" s="4"/>
      <c r="ESX132" s="4"/>
      <c r="ESY132" s="4"/>
      <c r="ESZ132" s="4"/>
      <c r="ETA132" s="4"/>
      <c r="ETB132" s="4"/>
      <c r="ETC132" s="4"/>
      <c r="ETD132" s="4"/>
      <c r="ETE132" s="4"/>
      <c r="ETF132" s="4"/>
      <c r="ETG132" s="4"/>
      <c r="ETH132" s="4"/>
      <c r="ETI132" s="4"/>
      <c r="ETJ132" s="4"/>
      <c r="ETK132" s="4"/>
      <c r="ETL132" s="4"/>
      <c r="ETM132" s="4"/>
      <c r="ETN132" s="4"/>
      <c r="ETO132" s="4"/>
      <c r="ETP132" s="4"/>
      <c r="ETQ132" s="4"/>
      <c r="ETR132" s="4"/>
      <c r="ETS132" s="4"/>
      <c r="ETT132" s="4"/>
      <c r="ETU132" s="4"/>
      <c r="ETV132" s="4"/>
      <c r="ETW132" s="4"/>
      <c r="ETX132" s="4"/>
      <c r="ETY132" s="4"/>
      <c r="ETZ132" s="4"/>
      <c r="EUA132" s="4"/>
      <c r="EUB132" s="4"/>
      <c r="EUC132" s="4"/>
      <c r="EUD132" s="4"/>
      <c r="EUE132" s="4"/>
      <c r="EUF132" s="4"/>
      <c r="EUG132" s="4"/>
      <c r="EUH132" s="4"/>
      <c r="EUI132" s="4"/>
      <c r="EUJ132" s="4"/>
      <c r="EUK132" s="4"/>
      <c r="EUL132" s="4"/>
      <c r="EUM132" s="4"/>
      <c r="EUN132" s="4"/>
      <c r="EUO132" s="4"/>
      <c r="EUP132" s="4"/>
      <c r="EUQ132" s="4"/>
      <c r="EUR132" s="4"/>
      <c r="EUS132" s="4"/>
      <c r="EUT132" s="4"/>
      <c r="EUU132" s="4"/>
      <c r="EUV132" s="4"/>
      <c r="EUW132" s="4"/>
      <c r="EUX132" s="4"/>
      <c r="EUY132" s="4"/>
      <c r="EUZ132" s="4"/>
      <c r="EVA132" s="4"/>
      <c r="EVB132" s="4"/>
      <c r="EVC132" s="4"/>
      <c r="EVD132" s="4"/>
      <c r="EVE132" s="4"/>
      <c r="EVF132" s="4"/>
      <c r="EVG132" s="4"/>
      <c r="EVH132" s="4"/>
      <c r="EVI132" s="4"/>
      <c r="EVJ132" s="4"/>
      <c r="EVK132" s="4"/>
      <c r="EVL132" s="4"/>
      <c r="EVM132" s="4"/>
      <c r="EVN132" s="4"/>
      <c r="EVO132" s="4"/>
      <c r="EVP132" s="4"/>
      <c r="EVQ132" s="4"/>
      <c r="EVR132" s="4"/>
      <c r="EVS132" s="4"/>
      <c r="EVT132" s="4"/>
      <c r="EVU132" s="4"/>
      <c r="EVV132" s="4"/>
      <c r="EVW132" s="4"/>
      <c r="EVX132" s="4"/>
      <c r="EVY132" s="4"/>
      <c r="EVZ132" s="4"/>
      <c r="EWA132" s="4"/>
      <c r="EWB132" s="4"/>
      <c r="EWC132" s="4"/>
      <c r="EWD132" s="4"/>
      <c r="EWE132" s="4"/>
      <c r="EWF132" s="4"/>
      <c r="EWG132" s="4"/>
      <c r="EWH132" s="4"/>
      <c r="EWI132" s="4"/>
      <c r="EWJ132" s="4"/>
      <c r="EWK132" s="4"/>
      <c r="EWL132" s="4"/>
      <c r="EWM132" s="4"/>
      <c r="EWN132" s="4"/>
      <c r="EWO132" s="4"/>
      <c r="EWP132" s="4"/>
      <c r="EWQ132" s="4"/>
      <c r="EWR132" s="4"/>
      <c r="EWS132" s="4"/>
      <c r="EWT132" s="4"/>
      <c r="EWU132" s="4"/>
      <c r="EWV132" s="4"/>
      <c r="EWW132" s="4"/>
      <c r="EWX132" s="4"/>
      <c r="EWY132" s="4"/>
      <c r="EWZ132" s="4"/>
      <c r="EXA132" s="4"/>
      <c r="EXB132" s="4"/>
      <c r="EXC132" s="4"/>
      <c r="EXD132" s="4"/>
      <c r="EXE132" s="4"/>
      <c r="EXF132" s="4"/>
      <c r="EXG132" s="4"/>
      <c r="EXH132" s="4"/>
      <c r="EXI132" s="4"/>
      <c r="EXJ132" s="4"/>
      <c r="EXK132" s="4"/>
      <c r="EXL132" s="4"/>
      <c r="EXM132" s="4"/>
      <c r="EXN132" s="4"/>
      <c r="EXO132" s="4"/>
      <c r="EXP132" s="4"/>
      <c r="EXQ132" s="4"/>
      <c r="EXR132" s="4"/>
      <c r="EXS132" s="4"/>
      <c r="EXT132" s="4"/>
      <c r="EXU132" s="4"/>
      <c r="EXV132" s="4"/>
      <c r="EXW132" s="4"/>
      <c r="EXX132" s="4"/>
      <c r="EXY132" s="4"/>
      <c r="EXZ132" s="4"/>
      <c r="EYA132" s="4"/>
      <c r="EYB132" s="4"/>
      <c r="EYC132" s="4"/>
      <c r="EYD132" s="4"/>
      <c r="EYE132" s="4"/>
      <c r="EYF132" s="4"/>
      <c r="EYG132" s="4"/>
      <c r="EYH132" s="4"/>
      <c r="EYI132" s="4"/>
      <c r="EYJ132" s="4"/>
      <c r="EYK132" s="4"/>
      <c r="EYL132" s="4"/>
      <c r="EYM132" s="4"/>
      <c r="EYN132" s="4"/>
      <c r="EYO132" s="4"/>
      <c r="EYP132" s="4"/>
      <c r="EYQ132" s="4"/>
      <c r="EYR132" s="4"/>
      <c r="EYS132" s="4"/>
      <c r="EYT132" s="4"/>
      <c r="EYU132" s="4"/>
      <c r="EYV132" s="4"/>
      <c r="EYW132" s="4"/>
      <c r="EYX132" s="4"/>
      <c r="EYY132" s="4"/>
      <c r="EYZ132" s="4"/>
      <c r="EZA132" s="4"/>
      <c r="EZB132" s="4"/>
      <c r="EZC132" s="4"/>
      <c r="EZD132" s="4"/>
      <c r="EZE132" s="4"/>
      <c r="EZF132" s="4"/>
      <c r="EZG132" s="4"/>
      <c r="EZH132" s="4"/>
      <c r="EZI132" s="4"/>
      <c r="EZJ132" s="4"/>
      <c r="EZK132" s="4"/>
      <c r="EZL132" s="4"/>
      <c r="EZM132" s="4"/>
      <c r="EZN132" s="4"/>
      <c r="EZO132" s="4"/>
      <c r="EZP132" s="4"/>
      <c r="EZQ132" s="4"/>
      <c r="EZR132" s="4"/>
      <c r="EZS132" s="4"/>
      <c r="EZT132" s="4"/>
      <c r="EZU132" s="4"/>
      <c r="EZV132" s="4"/>
      <c r="EZW132" s="4"/>
      <c r="EZX132" s="4"/>
      <c r="EZY132" s="4"/>
      <c r="EZZ132" s="4"/>
      <c r="FAA132" s="4"/>
      <c r="FAB132" s="4"/>
      <c r="FAC132" s="4"/>
      <c r="FAD132" s="4"/>
      <c r="FAE132" s="4"/>
      <c r="FAF132" s="4"/>
      <c r="FAG132" s="4"/>
      <c r="FAH132" s="4"/>
      <c r="FAI132" s="4"/>
      <c r="FAJ132" s="4"/>
      <c r="FAK132" s="4"/>
      <c r="FAL132" s="4"/>
      <c r="FAM132" s="4"/>
      <c r="FAN132" s="4"/>
      <c r="FAO132" s="4"/>
      <c r="FAP132" s="4"/>
      <c r="FAQ132" s="4"/>
      <c r="FAR132" s="4"/>
      <c r="FAS132" s="4"/>
      <c r="FAT132" s="4"/>
      <c r="FAU132" s="4"/>
      <c r="FAV132" s="4"/>
      <c r="FAW132" s="4"/>
      <c r="FAX132" s="4"/>
      <c r="FAY132" s="4"/>
      <c r="FAZ132" s="4"/>
      <c r="FBA132" s="4"/>
      <c r="FBB132" s="4"/>
      <c r="FBC132" s="4"/>
      <c r="FBD132" s="4"/>
      <c r="FBE132" s="4"/>
      <c r="FBF132" s="4"/>
      <c r="FBG132" s="4"/>
      <c r="FBH132" s="4"/>
      <c r="FBI132" s="4"/>
      <c r="FBJ132" s="4"/>
      <c r="FBK132" s="4"/>
      <c r="FBL132" s="4"/>
      <c r="FBM132" s="4"/>
      <c r="FBN132" s="4"/>
      <c r="FBO132" s="4"/>
      <c r="FBP132" s="4"/>
      <c r="FBQ132" s="4"/>
      <c r="FBR132" s="4"/>
      <c r="FBS132" s="4"/>
      <c r="FBT132" s="4"/>
      <c r="FBU132" s="4"/>
      <c r="FBV132" s="4"/>
      <c r="FBW132" s="4"/>
      <c r="FBX132" s="4"/>
      <c r="FBY132" s="4"/>
      <c r="FBZ132" s="4"/>
      <c r="FCA132" s="4"/>
      <c r="FCB132" s="4"/>
      <c r="FCC132" s="4"/>
      <c r="FCD132" s="4"/>
      <c r="FCE132" s="4"/>
      <c r="FCF132" s="4"/>
      <c r="FCG132" s="4"/>
      <c r="FCH132" s="4"/>
      <c r="FCI132" s="4"/>
      <c r="FCJ132" s="4"/>
      <c r="FCK132" s="4"/>
      <c r="FCL132" s="4"/>
      <c r="FCM132" s="4"/>
      <c r="FCN132" s="4"/>
      <c r="FCO132" s="4"/>
      <c r="FCP132" s="4"/>
      <c r="FCQ132" s="4"/>
      <c r="FCR132" s="4"/>
      <c r="FCS132" s="4"/>
      <c r="FCT132" s="4"/>
      <c r="FCU132" s="4"/>
      <c r="FCV132" s="4"/>
      <c r="FCW132" s="4"/>
      <c r="FCX132" s="4"/>
      <c r="FCY132" s="4"/>
      <c r="FCZ132" s="4"/>
      <c r="FDA132" s="4"/>
      <c r="FDB132" s="4"/>
      <c r="FDC132" s="4"/>
      <c r="FDD132" s="4"/>
      <c r="FDE132" s="4"/>
      <c r="FDF132" s="4"/>
      <c r="FDG132" s="4"/>
      <c r="FDH132" s="4"/>
      <c r="FDI132" s="4"/>
      <c r="FDJ132" s="4"/>
      <c r="FDK132" s="4"/>
      <c r="FDL132" s="4"/>
      <c r="FDM132" s="4"/>
      <c r="FDN132" s="4"/>
      <c r="FDO132" s="4"/>
      <c r="FDP132" s="4"/>
      <c r="FDQ132" s="4"/>
      <c r="FDR132" s="4"/>
      <c r="FDS132" s="4"/>
      <c r="FDT132" s="4"/>
      <c r="FDU132" s="4"/>
      <c r="FDV132" s="4"/>
      <c r="FDW132" s="4"/>
      <c r="FDX132" s="4"/>
      <c r="FDY132" s="4"/>
      <c r="FDZ132" s="4"/>
      <c r="FEA132" s="4"/>
      <c r="FEB132" s="4"/>
      <c r="FEC132" s="4"/>
      <c r="FED132" s="4"/>
      <c r="FEE132" s="4"/>
      <c r="FEF132" s="4"/>
      <c r="FEG132" s="4"/>
      <c r="FEH132" s="4"/>
      <c r="FEI132" s="4"/>
      <c r="FEJ132" s="4"/>
      <c r="FEK132" s="4"/>
      <c r="FEL132" s="4"/>
      <c r="FEM132" s="4"/>
      <c r="FEN132" s="4"/>
      <c r="FEO132" s="4"/>
      <c r="FEP132" s="4"/>
      <c r="FEQ132" s="4"/>
      <c r="FER132" s="4"/>
      <c r="FES132" s="4"/>
      <c r="FET132" s="4"/>
      <c r="FEU132" s="4"/>
      <c r="FEV132" s="4"/>
      <c r="FEW132" s="4"/>
      <c r="FEX132" s="4"/>
      <c r="FEY132" s="4"/>
      <c r="FEZ132" s="4"/>
      <c r="FFA132" s="4"/>
      <c r="FFB132" s="4"/>
      <c r="FFC132" s="4"/>
      <c r="FFD132" s="4"/>
      <c r="FFE132" s="4"/>
      <c r="FFF132" s="4"/>
      <c r="FFG132" s="4"/>
      <c r="FFH132" s="4"/>
      <c r="FFI132" s="4"/>
      <c r="FFJ132" s="4"/>
      <c r="FFK132" s="4"/>
      <c r="FFL132" s="4"/>
      <c r="FFM132" s="4"/>
      <c r="FFN132" s="4"/>
      <c r="FFO132" s="4"/>
      <c r="FFP132" s="4"/>
      <c r="FFQ132" s="4"/>
      <c r="FFR132" s="4"/>
      <c r="FFS132" s="4"/>
      <c r="FFT132" s="4"/>
      <c r="FFU132" s="4"/>
      <c r="FFV132" s="4"/>
      <c r="FFW132" s="4"/>
      <c r="FFX132" s="4"/>
      <c r="FFY132" s="4"/>
      <c r="FFZ132" s="4"/>
      <c r="FGA132" s="4"/>
      <c r="FGB132" s="4"/>
      <c r="FGC132" s="4"/>
      <c r="FGD132" s="4"/>
      <c r="FGE132" s="4"/>
      <c r="FGF132" s="4"/>
      <c r="FGG132" s="4"/>
      <c r="FGH132" s="4"/>
      <c r="FGI132" s="4"/>
      <c r="FGJ132" s="4"/>
      <c r="FGK132" s="4"/>
      <c r="FGL132" s="4"/>
      <c r="FGM132" s="4"/>
      <c r="FGN132" s="4"/>
      <c r="FGO132" s="4"/>
      <c r="FGP132" s="4"/>
      <c r="FGQ132" s="4"/>
      <c r="FGR132" s="4"/>
      <c r="FGS132" s="4"/>
      <c r="FGT132" s="4"/>
      <c r="FGU132" s="4"/>
      <c r="FGV132" s="4"/>
      <c r="FGW132" s="4"/>
      <c r="FGX132" s="4"/>
      <c r="FGY132" s="4"/>
      <c r="FGZ132" s="4"/>
      <c r="FHA132" s="4"/>
      <c r="FHB132" s="4"/>
      <c r="FHC132" s="4"/>
      <c r="FHD132" s="4"/>
      <c r="FHE132" s="4"/>
      <c r="FHF132" s="4"/>
      <c r="FHG132" s="4"/>
      <c r="FHH132" s="4"/>
      <c r="FHI132" s="4"/>
      <c r="FHJ132" s="4"/>
      <c r="FHK132" s="4"/>
      <c r="FHL132" s="4"/>
      <c r="FHM132" s="4"/>
      <c r="FHN132" s="4"/>
      <c r="FHO132" s="4"/>
      <c r="FHP132" s="4"/>
      <c r="FHQ132" s="4"/>
      <c r="FHR132" s="4"/>
      <c r="FHS132" s="4"/>
      <c r="FHT132" s="4"/>
      <c r="FHU132" s="4"/>
      <c r="FHV132" s="4"/>
      <c r="FHW132" s="4"/>
      <c r="FHX132" s="4"/>
      <c r="FHY132" s="4"/>
      <c r="FHZ132" s="4"/>
      <c r="FIA132" s="4"/>
      <c r="FIB132" s="4"/>
      <c r="FIC132" s="4"/>
      <c r="FID132" s="4"/>
      <c r="FIE132" s="4"/>
      <c r="FIF132" s="4"/>
      <c r="FIG132" s="4"/>
      <c r="FIH132" s="4"/>
      <c r="FII132" s="4"/>
      <c r="FIJ132" s="4"/>
      <c r="FIK132" s="4"/>
      <c r="FIL132" s="4"/>
      <c r="FIM132" s="4"/>
      <c r="FIN132" s="4"/>
      <c r="FIO132" s="4"/>
      <c r="FIP132" s="4"/>
      <c r="FIQ132" s="4"/>
      <c r="FIR132" s="4"/>
      <c r="FIS132" s="4"/>
      <c r="FIT132" s="4"/>
      <c r="FIU132" s="4"/>
      <c r="FIV132" s="4"/>
      <c r="FIW132" s="4"/>
      <c r="FIX132" s="4"/>
      <c r="FIY132" s="4"/>
      <c r="FIZ132" s="4"/>
      <c r="FJA132" s="4"/>
      <c r="FJB132" s="4"/>
      <c r="FJC132" s="4"/>
      <c r="FJD132" s="4"/>
      <c r="FJE132" s="4"/>
      <c r="FJF132" s="4"/>
      <c r="FJG132" s="4"/>
      <c r="FJH132" s="4"/>
      <c r="FJI132" s="4"/>
      <c r="FJJ132" s="4"/>
      <c r="FJK132" s="4"/>
      <c r="FJL132" s="4"/>
      <c r="FJM132" s="4"/>
      <c r="FJN132" s="4"/>
      <c r="FJO132" s="4"/>
      <c r="FJP132" s="4"/>
      <c r="FJQ132" s="4"/>
      <c r="FJR132" s="4"/>
      <c r="FJS132" s="4"/>
      <c r="FJT132" s="4"/>
      <c r="FJU132" s="4"/>
      <c r="FJV132" s="4"/>
      <c r="FJW132" s="4"/>
      <c r="FJX132" s="4"/>
      <c r="FJY132" s="4"/>
      <c r="FJZ132" s="4"/>
      <c r="FKA132" s="4"/>
      <c r="FKB132" s="4"/>
      <c r="FKC132" s="4"/>
      <c r="FKD132" s="4"/>
      <c r="FKE132" s="4"/>
      <c r="FKF132" s="4"/>
      <c r="FKG132" s="4"/>
      <c r="FKH132" s="4"/>
      <c r="FKI132" s="4"/>
      <c r="FKJ132" s="4"/>
      <c r="FKK132" s="4"/>
      <c r="FKL132" s="4"/>
      <c r="FKM132" s="4"/>
      <c r="FKN132" s="4"/>
      <c r="FKO132" s="4"/>
      <c r="FKP132" s="4"/>
      <c r="FKQ132" s="4"/>
      <c r="FKR132" s="4"/>
      <c r="FKS132" s="4"/>
      <c r="FKT132" s="4"/>
      <c r="FKU132" s="4"/>
      <c r="FKV132" s="4"/>
      <c r="FKW132" s="4"/>
      <c r="FKX132" s="4"/>
      <c r="FKY132" s="4"/>
      <c r="FKZ132" s="4"/>
      <c r="FLA132" s="4"/>
      <c r="FLB132" s="4"/>
      <c r="FLC132" s="4"/>
      <c r="FLD132" s="4"/>
      <c r="FLE132" s="4"/>
      <c r="FLF132" s="4"/>
      <c r="FLG132" s="4"/>
      <c r="FLH132" s="4"/>
      <c r="FLI132" s="4"/>
      <c r="FLJ132" s="4"/>
      <c r="FLK132" s="4"/>
      <c r="FLL132" s="4"/>
      <c r="FLM132" s="4"/>
      <c r="FLN132" s="4"/>
      <c r="FLO132" s="4"/>
      <c r="FLP132" s="4"/>
      <c r="FLQ132" s="4"/>
      <c r="FLR132" s="4"/>
      <c r="FLS132" s="4"/>
      <c r="FLT132" s="4"/>
      <c r="FLU132" s="4"/>
      <c r="FLV132" s="4"/>
      <c r="FLW132" s="4"/>
      <c r="FLX132" s="4"/>
      <c r="FLY132" s="4"/>
      <c r="FLZ132" s="4"/>
      <c r="FMA132" s="4"/>
      <c r="FMB132" s="4"/>
      <c r="FMC132" s="4"/>
      <c r="FMD132" s="4"/>
      <c r="FME132" s="4"/>
      <c r="FMF132" s="4"/>
      <c r="FMG132" s="4"/>
      <c r="FMH132" s="4"/>
      <c r="FMI132" s="4"/>
      <c r="FMJ132" s="4"/>
      <c r="FMK132" s="4"/>
      <c r="FML132" s="4"/>
      <c r="FMM132" s="4"/>
      <c r="FMN132" s="4"/>
      <c r="FMO132" s="4"/>
      <c r="FMP132" s="4"/>
      <c r="FMQ132" s="4"/>
      <c r="FMR132" s="4"/>
      <c r="FMS132" s="4"/>
      <c r="FMT132" s="4"/>
      <c r="FMU132" s="4"/>
      <c r="FMV132" s="4"/>
      <c r="FMW132" s="4"/>
      <c r="FMX132" s="4"/>
      <c r="FMY132" s="4"/>
      <c r="FMZ132" s="4"/>
      <c r="FNA132" s="4"/>
      <c r="FNB132" s="4"/>
      <c r="FNC132" s="4"/>
      <c r="FND132" s="4"/>
      <c r="FNE132" s="4"/>
      <c r="FNF132" s="4"/>
      <c r="FNG132" s="4"/>
      <c r="FNH132" s="4"/>
      <c r="FNI132" s="4"/>
      <c r="FNJ132" s="4"/>
      <c r="FNK132" s="4"/>
      <c r="FNL132" s="4"/>
      <c r="FNM132" s="4"/>
      <c r="FNN132" s="4"/>
      <c r="FNO132" s="4"/>
      <c r="FNP132" s="4"/>
      <c r="FNQ132" s="4"/>
      <c r="FNR132" s="4"/>
      <c r="FNS132" s="4"/>
      <c r="FNT132" s="4"/>
      <c r="FNU132" s="4"/>
      <c r="FNV132" s="4"/>
      <c r="FNW132" s="4"/>
      <c r="FNX132" s="4"/>
      <c r="FNY132" s="4"/>
      <c r="FNZ132" s="4"/>
      <c r="FOA132" s="4"/>
      <c r="FOB132" s="4"/>
      <c r="FOC132" s="4"/>
      <c r="FOD132" s="4"/>
      <c r="FOE132" s="4"/>
      <c r="FOF132" s="4"/>
      <c r="FOG132" s="4"/>
      <c r="FOH132" s="4"/>
      <c r="FOI132" s="4"/>
      <c r="FOJ132" s="4"/>
      <c r="FOK132" s="4"/>
      <c r="FOL132" s="4"/>
      <c r="FOM132" s="4"/>
      <c r="FON132" s="4"/>
      <c r="FOO132" s="4"/>
      <c r="FOP132" s="4"/>
      <c r="FOQ132" s="4"/>
      <c r="FOR132" s="4"/>
      <c r="FOS132" s="4"/>
      <c r="FOT132" s="4"/>
      <c r="FOU132" s="4"/>
      <c r="FOV132" s="4"/>
      <c r="FOW132" s="4"/>
      <c r="FOX132" s="4"/>
      <c r="FOY132" s="4"/>
      <c r="FOZ132" s="4"/>
      <c r="FPA132" s="4"/>
      <c r="FPB132" s="4"/>
      <c r="FPC132" s="4"/>
      <c r="FPD132" s="4"/>
      <c r="FPE132" s="4"/>
      <c r="FPF132" s="4"/>
      <c r="FPG132" s="4"/>
      <c r="FPH132" s="4"/>
      <c r="FPI132" s="4"/>
      <c r="FPJ132" s="4"/>
      <c r="FPK132" s="4"/>
      <c r="FPL132" s="4"/>
      <c r="FPM132" s="4"/>
      <c r="FPN132" s="4"/>
      <c r="FPO132" s="4"/>
      <c r="FPP132" s="4"/>
      <c r="FPQ132" s="4"/>
      <c r="FPR132" s="4"/>
      <c r="FPS132" s="4"/>
      <c r="FPT132" s="4"/>
      <c r="FPU132" s="4"/>
      <c r="FPV132" s="4"/>
      <c r="FPW132" s="4"/>
      <c r="FPX132" s="4"/>
      <c r="FPY132" s="4"/>
      <c r="FPZ132" s="4"/>
      <c r="FQA132" s="4"/>
      <c r="FQB132" s="4"/>
      <c r="FQC132" s="4"/>
      <c r="FQD132" s="4"/>
      <c r="FQE132" s="4"/>
      <c r="FQF132" s="4"/>
      <c r="FQG132" s="4"/>
      <c r="FQH132" s="4"/>
      <c r="FQI132" s="4"/>
      <c r="FQJ132" s="4"/>
      <c r="FQK132" s="4"/>
      <c r="FQL132" s="4"/>
      <c r="FQM132" s="4"/>
      <c r="FQN132" s="4"/>
      <c r="FQO132" s="4"/>
      <c r="FQP132" s="4"/>
      <c r="FQQ132" s="4"/>
      <c r="FQR132" s="4"/>
      <c r="FQS132" s="4"/>
      <c r="FQT132" s="4"/>
      <c r="FQU132" s="4"/>
      <c r="FQV132" s="4"/>
      <c r="FQW132" s="4"/>
      <c r="FQX132" s="4"/>
      <c r="FQY132" s="4"/>
      <c r="FQZ132" s="4"/>
      <c r="FRA132" s="4"/>
      <c r="FRB132" s="4"/>
      <c r="FRC132" s="4"/>
      <c r="FRD132" s="4"/>
      <c r="FRE132" s="4"/>
      <c r="FRF132" s="4"/>
      <c r="FRG132" s="4"/>
      <c r="FRH132" s="4"/>
      <c r="FRI132" s="4"/>
      <c r="FRJ132" s="4"/>
      <c r="FRK132" s="4"/>
      <c r="FRL132" s="4"/>
      <c r="FRM132" s="4"/>
      <c r="FRN132" s="4"/>
      <c r="FRO132" s="4"/>
      <c r="FRP132" s="4"/>
      <c r="FRQ132" s="4"/>
      <c r="FRR132" s="4"/>
      <c r="FRS132" s="4"/>
      <c r="FRT132" s="4"/>
      <c r="FRU132" s="4"/>
      <c r="FRV132" s="4"/>
      <c r="FRW132" s="4"/>
      <c r="FRX132" s="4"/>
      <c r="FRY132" s="4"/>
      <c r="FRZ132" s="4"/>
      <c r="FSA132" s="4"/>
      <c r="FSB132" s="4"/>
      <c r="FSC132" s="4"/>
      <c r="FSD132" s="4"/>
      <c r="FSE132" s="4"/>
      <c r="FSF132" s="4"/>
      <c r="FSG132" s="4"/>
      <c r="FSH132" s="4"/>
      <c r="FSI132" s="4"/>
      <c r="FSJ132" s="4"/>
      <c r="FSK132" s="4"/>
      <c r="FSL132" s="4"/>
      <c r="FSM132" s="4"/>
      <c r="FSN132" s="4"/>
      <c r="FSO132" s="4"/>
      <c r="FSP132" s="4"/>
      <c r="FSQ132" s="4"/>
      <c r="FSR132" s="4"/>
      <c r="FSS132" s="4"/>
      <c r="FST132" s="4"/>
      <c r="FSU132" s="4"/>
      <c r="FSV132" s="4"/>
      <c r="FSW132" s="4"/>
      <c r="FSX132" s="4"/>
      <c r="FSY132" s="4"/>
      <c r="FSZ132" s="4"/>
      <c r="FTA132" s="4"/>
      <c r="FTB132" s="4"/>
      <c r="FTC132" s="4"/>
      <c r="FTD132" s="4"/>
      <c r="FTE132" s="4"/>
      <c r="FTF132" s="4"/>
      <c r="FTG132" s="4"/>
      <c r="FTH132" s="4"/>
      <c r="FTI132" s="4"/>
      <c r="FTJ132" s="4"/>
      <c r="FTK132" s="4"/>
      <c r="FTL132" s="4"/>
      <c r="FTM132" s="4"/>
      <c r="FTN132" s="4"/>
      <c r="FTO132" s="4"/>
      <c r="FTP132" s="4"/>
      <c r="FTQ132" s="4"/>
      <c r="FTR132" s="4"/>
      <c r="FTS132" s="4"/>
      <c r="FTT132" s="4"/>
      <c r="FTU132" s="4"/>
      <c r="FTV132" s="4"/>
      <c r="FTW132" s="4"/>
      <c r="FTX132" s="4"/>
      <c r="FTY132" s="4"/>
      <c r="FTZ132" s="4"/>
      <c r="FUA132" s="4"/>
      <c r="FUB132" s="4"/>
      <c r="FUC132" s="4"/>
      <c r="FUD132" s="4"/>
      <c r="FUE132" s="4"/>
      <c r="FUF132" s="4"/>
      <c r="FUG132" s="4"/>
      <c r="FUH132" s="4"/>
      <c r="FUI132" s="4"/>
      <c r="FUJ132" s="4"/>
      <c r="FUK132" s="4"/>
      <c r="FUL132" s="4"/>
      <c r="FUM132" s="4"/>
      <c r="FUN132" s="4"/>
      <c r="FUO132" s="4"/>
      <c r="FUP132" s="4"/>
      <c r="FUQ132" s="4"/>
      <c r="FUR132" s="4"/>
      <c r="FUS132" s="4"/>
      <c r="FUT132" s="4"/>
      <c r="FUU132" s="4"/>
      <c r="FUV132" s="4"/>
      <c r="FUW132" s="4"/>
      <c r="FUX132" s="4"/>
      <c r="FUY132" s="4"/>
      <c r="FUZ132" s="4"/>
      <c r="FVA132" s="4"/>
      <c r="FVB132" s="4"/>
      <c r="FVC132" s="4"/>
      <c r="FVD132" s="4"/>
      <c r="FVE132" s="4"/>
      <c r="FVF132" s="4"/>
      <c r="FVG132" s="4"/>
      <c r="FVH132" s="4"/>
      <c r="FVI132" s="4"/>
      <c r="FVJ132" s="4"/>
      <c r="FVK132" s="4"/>
      <c r="FVL132" s="4"/>
      <c r="FVM132" s="4"/>
      <c r="FVN132" s="4"/>
      <c r="FVO132" s="4"/>
      <c r="FVP132" s="4"/>
      <c r="FVQ132" s="4"/>
      <c r="FVR132" s="4"/>
      <c r="FVS132" s="4"/>
      <c r="FVT132" s="4"/>
      <c r="FVU132" s="4"/>
      <c r="FVV132" s="4"/>
      <c r="FVW132" s="4"/>
      <c r="FVX132" s="4"/>
      <c r="FVY132" s="4"/>
      <c r="FVZ132" s="4"/>
      <c r="FWA132" s="4"/>
      <c r="FWB132" s="4"/>
      <c r="FWC132" s="4"/>
      <c r="FWD132" s="4"/>
      <c r="FWE132" s="4"/>
      <c r="FWF132" s="4"/>
      <c r="FWG132" s="4"/>
      <c r="FWH132" s="4"/>
      <c r="FWI132" s="4"/>
      <c r="FWJ132" s="4"/>
      <c r="FWK132" s="4"/>
      <c r="FWL132" s="4"/>
      <c r="FWM132" s="4"/>
      <c r="FWN132" s="4"/>
      <c r="FWO132" s="4"/>
      <c r="FWP132" s="4"/>
      <c r="FWQ132" s="4"/>
      <c r="FWR132" s="4"/>
      <c r="FWS132" s="4"/>
      <c r="FWT132" s="4"/>
      <c r="FWU132" s="4"/>
      <c r="FWV132" s="4"/>
      <c r="FWW132" s="4"/>
      <c r="FWX132" s="4"/>
      <c r="FWY132" s="4"/>
      <c r="FWZ132" s="4"/>
      <c r="FXA132" s="4"/>
      <c r="FXB132" s="4"/>
      <c r="FXC132" s="4"/>
      <c r="FXD132" s="4"/>
      <c r="FXE132" s="4"/>
      <c r="FXF132" s="4"/>
      <c r="FXG132" s="4"/>
      <c r="FXH132" s="4"/>
      <c r="FXI132" s="4"/>
      <c r="FXJ132" s="4"/>
      <c r="FXK132" s="4"/>
      <c r="FXL132" s="4"/>
      <c r="FXM132" s="4"/>
      <c r="FXN132" s="4"/>
      <c r="FXO132" s="4"/>
      <c r="FXP132" s="4"/>
      <c r="FXQ132" s="4"/>
      <c r="FXR132" s="4"/>
      <c r="FXS132" s="4"/>
      <c r="FXT132" s="4"/>
      <c r="FXU132" s="4"/>
      <c r="FXV132" s="4"/>
      <c r="FXW132" s="4"/>
      <c r="FXX132" s="4"/>
      <c r="FXY132" s="4"/>
      <c r="FXZ132" s="4"/>
      <c r="FYA132" s="4"/>
      <c r="FYB132" s="4"/>
      <c r="FYC132" s="4"/>
      <c r="FYD132" s="4"/>
      <c r="FYE132" s="4"/>
      <c r="FYF132" s="4"/>
      <c r="FYG132" s="4"/>
      <c r="FYH132" s="4"/>
      <c r="FYI132" s="4"/>
      <c r="FYJ132" s="4"/>
      <c r="FYK132" s="4"/>
      <c r="FYL132" s="4"/>
      <c r="FYM132" s="4"/>
      <c r="FYN132" s="4"/>
      <c r="FYO132" s="4"/>
      <c r="FYP132" s="4"/>
      <c r="FYQ132" s="4"/>
      <c r="FYR132" s="4"/>
      <c r="FYS132" s="4"/>
      <c r="FYT132" s="4"/>
      <c r="FYU132" s="4"/>
      <c r="FYV132" s="4"/>
      <c r="FYW132" s="4"/>
      <c r="FYX132" s="4"/>
      <c r="FYY132" s="4"/>
      <c r="FYZ132" s="4"/>
      <c r="FZA132" s="4"/>
      <c r="FZB132" s="4"/>
      <c r="FZC132" s="4"/>
      <c r="FZD132" s="4"/>
      <c r="FZE132" s="4"/>
      <c r="FZF132" s="4"/>
      <c r="FZG132" s="4"/>
      <c r="FZH132" s="4"/>
      <c r="FZI132" s="4"/>
      <c r="FZJ132" s="4"/>
      <c r="FZK132" s="4"/>
      <c r="FZL132" s="4"/>
      <c r="FZM132" s="4"/>
      <c r="FZN132" s="4"/>
      <c r="FZO132" s="4"/>
      <c r="FZP132" s="4"/>
      <c r="FZQ132" s="4"/>
      <c r="FZR132" s="4"/>
      <c r="FZS132" s="4"/>
      <c r="FZT132" s="4"/>
      <c r="FZU132" s="4"/>
      <c r="FZV132" s="4"/>
      <c r="FZW132" s="4"/>
      <c r="FZX132" s="4"/>
      <c r="FZY132" s="4"/>
      <c r="FZZ132" s="4"/>
      <c r="GAA132" s="4"/>
      <c r="GAB132" s="4"/>
      <c r="GAC132" s="4"/>
      <c r="GAD132" s="4"/>
      <c r="GAE132" s="4"/>
      <c r="GAF132" s="4"/>
      <c r="GAG132" s="4"/>
      <c r="GAH132" s="4"/>
      <c r="GAI132" s="4"/>
      <c r="GAJ132" s="4"/>
      <c r="GAK132" s="4"/>
      <c r="GAL132" s="4"/>
      <c r="GAM132" s="4"/>
      <c r="GAN132" s="4"/>
      <c r="GAO132" s="4"/>
      <c r="GAP132" s="4"/>
      <c r="GAQ132" s="4"/>
      <c r="GAR132" s="4"/>
      <c r="GAS132" s="4"/>
      <c r="GAT132" s="4"/>
      <c r="GAU132" s="4"/>
      <c r="GAV132" s="4"/>
      <c r="GAW132" s="4"/>
      <c r="GAX132" s="4"/>
      <c r="GAY132" s="4"/>
      <c r="GAZ132" s="4"/>
      <c r="GBA132" s="4"/>
      <c r="GBB132" s="4"/>
      <c r="GBC132" s="4"/>
      <c r="GBD132" s="4"/>
      <c r="GBE132" s="4"/>
      <c r="GBF132" s="4"/>
      <c r="GBG132" s="4"/>
      <c r="GBH132" s="4"/>
      <c r="GBI132" s="4"/>
      <c r="GBJ132" s="4"/>
      <c r="GBK132" s="4"/>
      <c r="GBL132" s="4"/>
      <c r="GBM132" s="4"/>
      <c r="GBN132" s="4"/>
      <c r="GBO132" s="4"/>
      <c r="GBP132" s="4"/>
      <c r="GBQ132" s="4"/>
      <c r="GBR132" s="4"/>
      <c r="GBS132" s="4"/>
      <c r="GBT132" s="4"/>
      <c r="GBU132" s="4"/>
      <c r="GBV132" s="4"/>
      <c r="GBW132" s="4"/>
      <c r="GBX132" s="4"/>
      <c r="GBY132" s="4"/>
      <c r="GBZ132" s="4"/>
      <c r="GCA132" s="4"/>
      <c r="GCB132" s="4"/>
      <c r="GCC132" s="4"/>
      <c r="GCD132" s="4"/>
      <c r="GCE132" s="4"/>
      <c r="GCF132" s="4"/>
      <c r="GCG132" s="4"/>
      <c r="GCH132" s="4"/>
      <c r="GCI132" s="4"/>
      <c r="GCJ132" s="4"/>
      <c r="GCK132" s="4"/>
      <c r="GCL132" s="4"/>
      <c r="GCM132" s="4"/>
      <c r="GCN132" s="4"/>
      <c r="GCO132" s="4"/>
      <c r="GCP132" s="4"/>
      <c r="GCQ132" s="4"/>
      <c r="GCR132" s="4"/>
      <c r="GCS132" s="4"/>
      <c r="GCT132" s="4"/>
      <c r="GCU132" s="4"/>
      <c r="GCV132" s="4"/>
      <c r="GCW132" s="4"/>
      <c r="GCX132" s="4"/>
      <c r="GCY132" s="4"/>
      <c r="GCZ132" s="4"/>
      <c r="GDA132" s="4"/>
      <c r="GDB132" s="4"/>
      <c r="GDC132" s="4"/>
      <c r="GDD132" s="4"/>
      <c r="GDE132" s="4"/>
      <c r="GDF132" s="4"/>
      <c r="GDG132" s="4"/>
      <c r="GDH132" s="4"/>
      <c r="GDI132" s="4"/>
      <c r="GDJ132" s="4"/>
      <c r="GDK132" s="4"/>
      <c r="GDL132" s="4"/>
      <c r="GDM132" s="4"/>
      <c r="GDN132" s="4"/>
      <c r="GDO132" s="4"/>
      <c r="GDP132" s="4"/>
      <c r="GDQ132" s="4"/>
      <c r="GDR132" s="4"/>
      <c r="GDS132" s="4"/>
      <c r="GDT132" s="4"/>
      <c r="GDU132" s="4"/>
      <c r="GDV132" s="4"/>
      <c r="GDW132" s="4"/>
      <c r="GDX132" s="4"/>
      <c r="GDY132" s="4"/>
      <c r="GDZ132" s="4"/>
      <c r="GEA132" s="4"/>
      <c r="GEB132" s="4"/>
      <c r="GEC132" s="4"/>
      <c r="GED132" s="4"/>
      <c r="GEE132" s="4"/>
      <c r="GEF132" s="4"/>
      <c r="GEG132" s="4"/>
      <c r="GEH132" s="4"/>
      <c r="GEI132" s="4"/>
      <c r="GEJ132" s="4"/>
      <c r="GEK132" s="4"/>
      <c r="GEL132" s="4"/>
      <c r="GEM132" s="4"/>
      <c r="GEN132" s="4"/>
      <c r="GEO132" s="4"/>
      <c r="GEP132" s="4"/>
      <c r="GEQ132" s="4"/>
      <c r="GER132" s="4"/>
      <c r="GES132" s="4"/>
      <c r="GET132" s="4"/>
      <c r="GEU132" s="4"/>
      <c r="GEV132" s="4"/>
      <c r="GEW132" s="4"/>
      <c r="GEX132" s="4"/>
      <c r="GEY132" s="4"/>
      <c r="GEZ132" s="4"/>
      <c r="GFA132" s="4"/>
      <c r="GFB132" s="4"/>
      <c r="GFC132" s="4"/>
      <c r="GFD132" s="4"/>
      <c r="GFE132" s="4"/>
      <c r="GFF132" s="4"/>
      <c r="GFG132" s="4"/>
      <c r="GFH132" s="4"/>
      <c r="GFI132" s="4"/>
      <c r="GFJ132" s="4"/>
      <c r="GFK132" s="4"/>
      <c r="GFL132" s="4"/>
      <c r="GFM132" s="4"/>
      <c r="GFN132" s="4"/>
      <c r="GFO132" s="4"/>
      <c r="GFP132" s="4"/>
      <c r="GFQ132" s="4"/>
      <c r="GFR132" s="4"/>
      <c r="GFS132" s="4"/>
      <c r="GFT132" s="4"/>
      <c r="GFU132" s="4"/>
      <c r="GFV132" s="4"/>
      <c r="GFW132" s="4"/>
      <c r="GFX132" s="4"/>
      <c r="GFY132" s="4"/>
      <c r="GFZ132" s="4"/>
      <c r="GGA132" s="4"/>
      <c r="GGB132" s="4"/>
      <c r="GGC132" s="4"/>
      <c r="GGD132" s="4"/>
      <c r="GGE132" s="4"/>
      <c r="GGF132" s="4"/>
      <c r="GGG132" s="4"/>
      <c r="GGH132" s="4"/>
      <c r="GGI132" s="4"/>
      <c r="GGJ132" s="4"/>
      <c r="GGK132" s="4"/>
      <c r="GGL132" s="4"/>
      <c r="GGM132" s="4"/>
      <c r="GGN132" s="4"/>
      <c r="GGO132" s="4"/>
      <c r="GGP132" s="4"/>
      <c r="GGQ132" s="4"/>
      <c r="GGR132" s="4"/>
      <c r="GGS132" s="4"/>
      <c r="GGT132" s="4"/>
      <c r="GGU132" s="4"/>
      <c r="GGV132" s="4"/>
      <c r="GGW132" s="4"/>
      <c r="GGX132" s="4"/>
      <c r="GGY132" s="4"/>
      <c r="GGZ132" s="4"/>
      <c r="GHA132" s="4"/>
      <c r="GHB132" s="4"/>
      <c r="GHC132" s="4"/>
      <c r="GHD132" s="4"/>
      <c r="GHE132" s="4"/>
      <c r="GHF132" s="4"/>
      <c r="GHG132" s="4"/>
      <c r="GHH132" s="4"/>
      <c r="GHI132" s="4"/>
      <c r="GHJ132" s="4"/>
      <c r="GHK132" s="4"/>
      <c r="GHL132" s="4"/>
      <c r="GHM132" s="4"/>
      <c r="GHN132" s="4"/>
      <c r="GHO132" s="4"/>
      <c r="GHP132" s="4"/>
      <c r="GHQ132" s="4"/>
      <c r="GHR132" s="4"/>
      <c r="GHS132" s="4"/>
      <c r="GHT132" s="4"/>
      <c r="GHU132" s="4"/>
      <c r="GHV132" s="4"/>
      <c r="GHW132" s="4"/>
      <c r="GHX132" s="4"/>
      <c r="GHY132" s="4"/>
      <c r="GHZ132" s="4"/>
      <c r="GIA132" s="4"/>
      <c r="GIB132" s="4"/>
      <c r="GIC132" s="4"/>
      <c r="GID132" s="4"/>
      <c r="GIE132" s="4"/>
      <c r="GIF132" s="4"/>
      <c r="GIG132" s="4"/>
      <c r="GIH132" s="4"/>
      <c r="GII132" s="4"/>
      <c r="GIJ132" s="4"/>
      <c r="GIK132" s="4"/>
      <c r="GIL132" s="4"/>
      <c r="GIM132" s="4"/>
      <c r="GIN132" s="4"/>
      <c r="GIO132" s="4"/>
      <c r="GIP132" s="4"/>
      <c r="GIQ132" s="4"/>
      <c r="GIR132" s="4"/>
      <c r="GIS132" s="4"/>
      <c r="GIT132" s="4"/>
      <c r="GIU132" s="4"/>
      <c r="GIV132" s="4"/>
      <c r="GIW132" s="4"/>
      <c r="GIX132" s="4"/>
      <c r="GIY132" s="4"/>
      <c r="GIZ132" s="4"/>
      <c r="GJA132" s="4"/>
      <c r="GJB132" s="4"/>
      <c r="GJC132" s="4"/>
      <c r="GJD132" s="4"/>
      <c r="GJE132" s="4"/>
      <c r="GJF132" s="4"/>
      <c r="GJG132" s="4"/>
      <c r="GJH132" s="4"/>
      <c r="GJI132" s="4"/>
      <c r="GJJ132" s="4"/>
      <c r="GJK132" s="4"/>
      <c r="GJL132" s="4"/>
      <c r="GJM132" s="4"/>
      <c r="GJN132" s="4"/>
      <c r="GJO132" s="4"/>
      <c r="GJP132" s="4"/>
      <c r="GJQ132" s="4"/>
      <c r="GJR132" s="4"/>
      <c r="GJS132" s="4"/>
      <c r="GJT132" s="4"/>
      <c r="GJU132" s="4"/>
      <c r="GJV132" s="4"/>
      <c r="GJW132" s="4"/>
      <c r="GJX132" s="4"/>
      <c r="GJY132" s="4"/>
      <c r="GJZ132" s="4"/>
      <c r="GKA132" s="4"/>
      <c r="GKB132" s="4"/>
      <c r="GKC132" s="4"/>
      <c r="GKD132" s="4"/>
      <c r="GKE132" s="4"/>
      <c r="GKF132" s="4"/>
      <c r="GKG132" s="4"/>
      <c r="GKH132" s="4"/>
      <c r="GKI132" s="4"/>
      <c r="GKJ132" s="4"/>
      <c r="GKK132" s="4"/>
      <c r="GKL132" s="4"/>
      <c r="GKM132" s="4"/>
      <c r="GKN132" s="4"/>
      <c r="GKO132" s="4"/>
      <c r="GKP132" s="4"/>
      <c r="GKQ132" s="4"/>
      <c r="GKR132" s="4"/>
      <c r="GKS132" s="4"/>
      <c r="GKT132" s="4"/>
      <c r="GKU132" s="4"/>
      <c r="GKV132" s="4"/>
      <c r="GKW132" s="4"/>
      <c r="GKX132" s="4"/>
      <c r="GKY132" s="4"/>
      <c r="GKZ132" s="4"/>
      <c r="GLA132" s="4"/>
      <c r="GLB132" s="4"/>
      <c r="GLC132" s="4"/>
      <c r="GLD132" s="4"/>
      <c r="GLE132" s="4"/>
      <c r="GLF132" s="4"/>
      <c r="GLG132" s="4"/>
      <c r="GLH132" s="4"/>
      <c r="GLI132" s="4"/>
      <c r="GLJ132" s="4"/>
      <c r="GLK132" s="4"/>
      <c r="GLL132" s="4"/>
      <c r="GLM132" s="4"/>
      <c r="GLN132" s="4"/>
      <c r="GLO132" s="4"/>
      <c r="GLP132" s="4"/>
      <c r="GLQ132" s="4"/>
      <c r="GLR132" s="4"/>
      <c r="GLS132" s="4"/>
      <c r="GLT132" s="4"/>
      <c r="GLU132" s="4"/>
      <c r="GLV132" s="4"/>
      <c r="GLW132" s="4"/>
      <c r="GLX132" s="4"/>
      <c r="GLY132" s="4"/>
      <c r="GLZ132" s="4"/>
      <c r="GMA132" s="4"/>
      <c r="GMB132" s="4"/>
      <c r="GMC132" s="4"/>
      <c r="GMD132" s="4"/>
      <c r="GME132" s="4"/>
      <c r="GMF132" s="4"/>
      <c r="GMG132" s="4"/>
      <c r="GMH132" s="4"/>
      <c r="GMI132" s="4"/>
      <c r="GMJ132" s="4"/>
      <c r="GMK132" s="4"/>
      <c r="GML132" s="4"/>
      <c r="GMM132" s="4"/>
      <c r="GMN132" s="4"/>
      <c r="GMO132" s="4"/>
      <c r="GMP132" s="4"/>
      <c r="GMQ132" s="4"/>
      <c r="GMR132" s="4"/>
      <c r="GMS132" s="4"/>
      <c r="GMT132" s="4"/>
      <c r="GMU132" s="4"/>
      <c r="GMV132" s="4"/>
      <c r="GMW132" s="4"/>
      <c r="GMX132" s="4"/>
      <c r="GMY132" s="4"/>
      <c r="GMZ132" s="4"/>
      <c r="GNA132" s="4"/>
      <c r="GNB132" s="4"/>
      <c r="GNC132" s="4"/>
      <c r="GND132" s="4"/>
      <c r="GNE132" s="4"/>
      <c r="GNF132" s="4"/>
      <c r="GNG132" s="4"/>
      <c r="GNH132" s="4"/>
      <c r="GNI132" s="4"/>
      <c r="GNJ132" s="4"/>
      <c r="GNK132" s="4"/>
      <c r="GNL132" s="4"/>
      <c r="GNM132" s="4"/>
      <c r="GNN132" s="4"/>
      <c r="GNO132" s="4"/>
      <c r="GNP132" s="4"/>
      <c r="GNQ132" s="4"/>
      <c r="GNR132" s="4"/>
      <c r="GNS132" s="4"/>
      <c r="GNT132" s="4"/>
      <c r="GNU132" s="4"/>
      <c r="GNV132" s="4"/>
      <c r="GNW132" s="4"/>
      <c r="GNX132" s="4"/>
      <c r="GNY132" s="4"/>
      <c r="GNZ132" s="4"/>
      <c r="GOA132" s="4"/>
      <c r="GOB132" s="4"/>
      <c r="GOC132" s="4"/>
      <c r="GOD132" s="4"/>
      <c r="GOE132" s="4"/>
      <c r="GOF132" s="4"/>
      <c r="GOG132" s="4"/>
      <c r="GOH132" s="4"/>
      <c r="GOI132" s="4"/>
      <c r="GOJ132" s="4"/>
      <c r="GOK132" s="4"/>
      <c r="GOL132" s="4"/>
      <c r="GOM132" s="4"/>
      <c r="GON132" s="4"/>
      <c r="GOO132" s="4"/>
      <c r="GOP132" s="4"/>
      <c r="GOQ132" s="4"/>
      <c r="GOR132" s="4"/>
      <c r="GOS132" s="4"/>
      <c r="GOT132" s="4"/>
      <c r="GOU132" s="4"/>
      <c r="GOV132" s="4"/>
      <c r="GOW132" s="4"/>
      <c r="GOX132" s="4"/>
      <c r="GOY132" s="4"/>
      <c r="GOZ132" s="4"/>
      <c r="GPA132" s="4"/>
      <c r="GPB132" s="4"/>
      <c r="GPC132" s="4"/>
      <c r="GPD132" s="4"/>
      <c r="GPE132" s="4"/>
      <c r="GPF132" s="4"/>
      <c r="GPG132" s="4"/>
      <c r="GPH132" s="4"/>
      <c r="GPI132" s="4"/>
      <c r="GPJ132" s="4"/>
      <c r="GPK132" s="4"/>
      <c r="GPL132" s="4"/>
      <c r="GPM132" s="4"/>
      <c r="GPN132" s="4"/>
      <c r="GPO132" s="4"/>
      <c r="GPP132" s="4"/>
      <c r="GPQ132" s="4"/>
      <c r="GPR132" s="4"/>
      <c r="GPS132" s="4"/>
      <c r="GPT132" s="4"/>
      <c r="GPU132" s="4"/>
      <c r="GPV132" s="4"/>
      <c r="GPW132" s="4"/>
      <c r="GPX132" s="4"/>
      <c r="GPY132" s="4"/>
      <c r="GPZ132" s="4"/>
      <c r="GQA132" s="4"/>
      <c r="GQB132" s="4"/>
      <c r="GQC132" s="4"/>
      <c r="GQD132" s="4"/>
      <c r="GQE132" s="4"/>
      <c r="GQF132" s="4"/>
      <c r="GQG132" s="4"/>
      <c r="GQH132" s="4"/>
      <c r="GQI132" s="4"/>
      <c r="GQJ132" s="4"/>
      <c r="GQK132" s="4"/>
      <c r="GQL132" s="4"/>
      <c r="GQM132" s="4"/>
      <c r="GQN132" s="4"/>
      <c r="GQO132" s="4"/>
      <c r="GQP132" s="4"/>
      <c r="GQQ132" s="4"/>
      <c r="GQR132" s="4"/>
      <c r="GQS132" s="4"/>
      <c r="GQT132" s="4"/>
      <c r="GQU132" s="4"/>
      <c r="GQV132" s="4"/>
      <c r="GQW132" s="4"/>
      <c r="GQX132" s="4"/>
      <c r="GQY132" s="4"/>
      <c r="GQZ132" s="4"/>
      <c r="GRA132" s="4"/>
      <c r="GRB132" s="4"/>
      <c r="GRC132" s="4"/>
      <c r="GRD132" s="4"/>
      <c r="GRE132" s="4"/>
      <c r="GRF132" s="4"/>
      <c r="GRG132" s="4"/>
      <c r="GRH132" s="4"/>
      <c r="GRI132" s="4"/>
      <c r="GRJ132" s="4"/>
      <c r="GRK132" s="4"/>
      <c r="GRL132" s="4"/>
      <c r="GRM132" s="4"/>
      <c r="GRN132" s="4"/>
      <c r="GRO132" s="4"/>
      <c r="GRP132" s="4"/>
      <c r="GRQ132" s="4"/>
      <c r="GRR132" s="4"/>
      <c r="GRS132" s="4"/>
      <c r="GRT132" s="4"/>
      <c r="GRU132" s="4"/>
      <c r="GRV132" s="4"/>
      <c r="GRW132" s="4"/>
      <c r="GRX132" s="4"/>
      <c r="GRY132" s="4"/>
      <c r="GRZ132" s="4"/>
      <c r="GSA132" s="4"/>
      <c r="GSB132" s="4"/>
      <c r="GSC132" s="4"/>
      <c r="GSD132" s="4"/>
      <c r="GSE132" s="4"/>
      <c r="GSF132" s="4"/>
      <c r="GSG132" s="4"/>
      <c r="GSH132" s="4"/>
      <c r="GSI132" s="4"/>
      <c r="GSJ132" s="4"/>
      <c r="GSK132" s="4"/>
      <c r="GSL132" s="4"/>
      <c r="GSM132" s="4"/>
      <c r="GSN132" s="4"/>
      <c r="GSO132" s="4"/>
      <c r="GSP132" s="4"/>
      <c r="GSQ132" s="4"/>
      <c r="GSR132" s="4"/>
      <c r="GSS132" s="4"/>
      <c r="GST132" s="4"/>
      <c r="GSU132" s="4"/>
      <c r="GSV132" s="4"/>
      <c r="GSW132" s="4"/>
      <c r="GSX132" s="4"/>
      <c r="GSY132" s="4"/>
      <c r="GSZ132" s="4"/>
      <c r="GTA132" s="4"/>
      <c r="GTB132" s="4"/>
      <c r="GTC132" s="4"/>
      <c r="GTD132" s="4"/>
      <c r="GTE132" s="4"/>
      <c r="GTF132" s="4"/>
      <c r="GTG132" s="4"/>
      <c r="GTH132" s="4"/>
      <c r="GTI132" s="4"/>
      <c r="GTJ132" s="4"/>
      <c r="GTK132" s="4"/>
      <c r="GTL132" s="4"/>
      <c r="GTM132" s="4"/>
      <c r="GTN132" s="4"/>
      <c r="GTO132" s="4"/>
      <c r="GTP132" s="4"/>
      <c r="GTQ132" s="4"/>
      <c r="GTR132" s="4"/>
      <c r="GTS132" s="4"/>
      <c r="GTT132" s="4"/>
      <c r="GTU132" s="4"/>
      <c r="GTV132" s="4"/>
      <c r="GTW132" s="4"/>
      <c r="GTX132" s="4"/>
      <c r="GTY132" s="4"/>
      <c r="GTZ132" s="4"/>
      <c r="GUA132" s="4"/>
      <c r="GUB132" s="4"/>
      <c r="GUC132" s="4"/>
      <c r="GUD132" s="4"/>
      <c r="GUE132" s="4"/>
      <c r="GUF132" s="4"/>
      <c r="GUG132" s="4"/>
      <c r="GUH132" s="4"/>
      <c r="GUI132" s="4"/>
      <c r="GUJ132" s="4"/>
      <c r="GUK132" s="4"/>
      <c r="GUL132" s="4"/>
      <c r="GUM132" s="4"/>
      <c r="GUN132" s="4"/>
      <c r="GUO132" s="4"/>
      <c r="GUP132" s="4"/>
      <c r="GUQ132" s="4"/>
      <c r="GUR132" s="4"/>
      <c r="GUS132" s="4"/>
      <c r="GUT132" s="4"/>
      <c r="GUU132" s="4"/>
      <c r="GUV132" s="4"/>
      <c r="GUW132" s="4"/>
      <c r="GUX132" s="4"/>
      <c r="GUY132" s="4"/>
      <c r="GUZ132" s="4"/>
      <c r="GVA132" s="4"/>
      <c r="GVB132" s="4"/>
      <c r="GVC132" s="4"/>
      <c r="GVD132" s="4"/>
      <c r="GVE132" s="4"/>
      <c r="GVF132" s="4"/>
      <c r="GVG132" s="4"/>
      <c r="GVH132" s="4"/>
      <c r="GVI132" s="4"/>
      <c r="GVJ132" s="4"/>
      <c r="GVK132" s="4"/>
      <c r="GVL132" s="4"/>
      <c r="GVM132" s="4"/>
      <c r="GVN132" s="4"/>
      <c r="GVO132" s="4"/>
      <c r="GVP132" s="4"/>
      <c r="GVQ132" s="4"/>
      <c r="GVR132" s="4"/>
      <c r="GVS132" s="4"/>
      <c r="GVT132" s="4"/>
      <c r="GVU132" s="4"/>
      <c r="GVV132" s="4"/>
      <c r="GVW132" s="4"/>
      <c r="GVX132" s="4"/>
      <c r="GVY132" s="4"/>
      <c r="GVZ132" s="4"/>
      <c r="GWA132" s="4"/>
      <c r="GWB132" s="4"/>
      <c r="GWC132" s="4"/>
      <c r="GWD132" s="4"/>
      <c r="GWE132" s="4"/>
      <c r="GWF132" s="4"/>
      <c r="GWG132" s="4"/>
      <c r="GWH132" s="4"/>
      <c r="GWI132" s="4"/>
      <c r="GWJ132" s="4"/>
      <c r="GWK132" s="4"/>
      <c r="GWL132" s="4"/>
      <c r="GWM132" s="4"/>
      <c r="GWN132" s="4"/>
      <c r="GWO132" s="4"/>
      <c r="GWP132" s="4"/>
      <c r="GWQ132" s="4"/>
      <c r="GWR132" s="4"/>
      <c r="GWS132" s="4"/>
      <c r="GWT132" s="4"/>
      <c r="GWU132" s="4"/>
      <c r="GWV132" s="4"/>
      <c r="GWW132" s="4"/>
      <c r="GWX132" s="4"/>
      <c r="GWY132" s="4"/>
      <c r="GWZ132" s="4"/>
      <c r="GXA132" s="4"/>
      <c r="GXB132" s="4"/>
      <c r="GXC132" s="4"/>
      <c r="GXD132" s="4"/>
      <c r="GXE132" s="4"/>
      <c r="GXF132" s="4"/>
      <c r="GXG132" s="4"/>
      <c r="GXH132" s="4"/>
      <c r="GXI132" s="4"/>
      <c r="GXJ132" s="4"/>
      <c r="GXK132" s="4"/>
      <c r="GXL132" s="4"/>
      <c r="GXM132" s="4"/>
      <c r="GXN132" s="4"/>
      <c r="GXO132" s="4"/>
      <c r="GXP132" s="4"/>
      <c r="GXQ132" s="4"/>
      <c r="GXR132" s="4"/>
      <c r="GXS132" s="4"/>
      <c r="GXT132" s="4"/>
      <c r="GXU132" s="4"/>
      <c r="GXV132" s="4"/>
      <c r="GXW132" s="4"/>
      <c r="GXX132" s="4"/>
      <c r="GXY132" s="4"/>
      <c r="GXZ132" s="4"/>
      <c r="GYA132" s="4"/>
      <c r="GYB132" s="4"/>
      <c r="GYC132" s="4"/>
      <c r="GYD132" s="4"/>
      <c r="GYE132" s="4"/>
      <c r="GYF132" s="4"/>
      <c r="GYG132" s="4"/>
      <c r="GYH132" s="4"/>
      <c r="GYI132" s="4"/>
      <c r="GYJ132" s="4"/>
      <c r="GYK132" s="4"/>
      <c r="GYL132" s="4"/>
      <c r="GYM132" s="4"/>
      <c r="GYN132" s="4"/>
      <c r="GYO132" s="4"/>
      <c r="GYP132" s="4"/>
      <c r="GYQ132" s="4"/>
      <c r="GYR132" s="4"/>
      <c r="GYS132" s="4"/>
      <c r="GYT132" s="4"/>
      <c r="GYU132" s="4"/>
      <c r="GYV132" s="4"/>
      <c r="GYW132" s="4"/>
      <c r="GYX132" s="4"/>
      <c r="GYY132" s="4"/>
      <c r="GYZ132" s="4"/>
      <c r="GZA132" s="4"/>
      <c r="GZB132" s="4"/>
      <c r="GZC132" s="4"/>
      <c r="GZD132" s="4"/>
      <c r="GZE132" s="4"/>
      <c r="GZF132" s="4"/>
      <c r="GZG132" s="4"/>
      <c r="GZH132" s="4"/>
      <c r="GZI132" s="4"/>
      <c r="GZJ132" s="4"/>
      <c r="GZK132" s="4"/>
      <c r="GZL132" s="4"/>
      <c r="GZM132" s="4"/>
      <c r="GZN132" s="4"/>
      <c r="GZO132" s="4"/>
      <c r="GZP132" s="4"/>
      <c r="GZQ132" s="4"/>
      <c r="GZR132" s="4"/>
      <c r="GZS132" s="4"/>
      <c r="GZT132" s="4"/>
      <c r="GZU132" s="4"/>
      <c r="GZV132" s="4"/>
      <c r="GZW132" s="4"/>
      <c r="GZX132" s="4"/>
      <c r="GZY132" s="4"/>
      <c r="GZZ132" s="4"/>
      <c r="HAA132" s="4"/>
      <c r="HAB132" s="4"/>
      <c r="HAC132" s="4"/>
      <c r="HAD132" s="4"/>
      <c r="HAE132" s="4"/>
      <c r="HAF132" s="4"/>
      <c r="HAG132" s="4"/>
      <c r="HAH132" s="4"/>
      <c r="HAI132" s="4"/>
      <c r="HAJ132" s="4"/>
      <c r="HAK132" s="4"/>
      <c r="HAL132" s="4"/>
      <c r="HAM132" s="4"/>
      <c r="HAN132" s="4"/>
      <c r="HAO132" s="4"/>
      <c r="HAP132" s="4"/>
      <c r="HAQ132" s="4"/>
      <c r="HAR132" s="4"/>
      <c r="HAS132" s="4"/>
      <c r="HAT132" s="4"/>
      <c r="HAU132" s="4"/>
      <c r="HAV132" s="4"/>
      <c r="HAW132" s="4"/>
      <c r="HAX132" s="4"/>
      <c r="HAY132" s="4"/>
      <c r="HAZ132" s="4"/>
      <c r="HBA132" s="4"/>
      <c r="HBB132" s="4"/>
      <c r="HBC132" s="4"/>
      <c r="HBD132" s="4"/>
      <c r="HBE132" s="4"/>
      <c r="HBF132" s="4"/>
      <c r="HBG132" s="4"/>
      <c r="HBH132" s="4"/>
      <c r="HBI132" s="4"/>
      <c r="HBJ132" s="4"/>
      <c r="HBK132" s="4"/>
      <c r="HBL132" s="4"/>
      <c r="HBM132" s="4"/>
      <c r="HBN132" s="4"/>
      <c r="HBO132" s="4"/>
      <c r="HBP132" s="4"/>
      <c r="HBQ132" s="4"/>
      <c r="HBR132" s="4"/>
      <c r="HBS132" s="4"/>
      <c r="HBT132" s="4"/>
      <c r="HBU132" s="4"/>
      <c r="HBV132" s="4"/>
      <c r="HBW132" s="4"/>
      <c r="HBX132" s="4"/>
      <c r="HBY132" s="4"/>
      <c r="HBZ132" s="4"/>
      <c r="HCA132" s="4"/>
      <c r="HCB132" s="4"/>
      <c r="HCC132" s="4"/>
      <c r="HCD132" s="4"/>
      <c r="HCE132" s="4"/>
      <c r="HCF132" s="4"/>
      <c r="HCG132" s="4"/>
      <c r="HCH132" s="4"/>
      <c r="HCI132" s="4"/>
      <c r="HCJ132" s="4"/>
      <c r="HCK132" s="4"/>
      <c r="HCL132" s="4"/>
      <c r="HCM132" s="4"/>
      <c r="HCN132" s="4"/>
      <c r="HCO132" s="4"/>
      <c r="HCP132" s="4"/>
      <c r="HCQ132" s="4"/>
      <c r="HCR132" s="4"/>
      <c r="HCS132" s="4"/>
      <c r="HCT132" s="4"/>
      <c r="HCU132" s="4"/>
      <c r="HCV132" s="4"/>
      <c r="HCW132" s="4"/>
      <c r="HCX132" s="4"/>
      <c r="HCY132" s="4"/>
      <c r="HCZ132" s="4"/>
      <c r="HDA132" s="4"/>
      <c r="HDB132" s="4"/>
      <c r="HDC132" s="4"/>
      <c r="HDD132" s="4"/>
      <c r="HDE132" s="4"/>
      <c r="HDF132" s="4"/>
      <c r="HDG132" s="4"/>
      <c r="HDH132" s="4"/>
      <c r="HDI132" s="4"/>
      <c r="HDJ132" s="4"/>
      <c r="HDK132" s="4"/>
      <c r="HDL132" s="4"/>
      <c r="HDM132" s="4"/>
      <c r="HDN132" s="4"/>
      <c r="HDO132" s="4"/>
      <c r="HDP132" s="4"/>
      <c r="HDQ132" s="4"/>
      <c r="HDR132" s="4"/>
      <c r="HDS132" s="4"/>
      <c r="HDT132" s="4"/>
      <c r="HDU132" s="4"/>
      <c r="HDV132" s="4"/>
      <c r="HDW132" s="4"/>
      <c r="HDX132" s="4"/>
      <c r="HDY132" s="4"/>
      <c r="HDZ132" s="4"/>
      <c r="HEA132" s="4"/>
      <c r="HEB132" s="4"/>
      <c r="HEC132" s="4"/>
      <c r="HED132" s="4"/>
      <c r="HEE132" s="4"/>
      <c r="HEF132" s="4"/>
      <c r="HEG132" s="4"/>
      <c r="HEH132" s="4"/>
      <c r="HEI132" s="4"/>
      <c r="HEJ132" s="4"/>
      <c r="HEK132" s="4"/>
      <c r="HEL132" s="4"/>
      <c r="HEM132" s="4"/>
      <c r="HEN132" s="4"/>
      <c r="HEO132" s="4"/>
      <c r="HEP132" s="4"/>
      <c r="HEQ132" s="4"/>
      <c r="HER132" s="4"/>
      <c r="HES132" s="4"/>
      <c r="HET132" s="4"/>
      <c r="HEU132" s="4"/>
      <c r="HEV132" s="4"/>
      <c r="HEW132" s="4"/>
      <c r="HEX132" s="4"/>
      <c r="HEY132" s="4"/>
      <c r="HEZ132" s="4"/>
      <c r="HFA132" s="4"/>
      <c r="HFB132" s="4"/>
      <c r="HFC132" s="4"/>
      <c r="HFD132" s="4"/>
      <c r="HFE132" s="4"/>
      <c r="HFF132" s="4"/>
      <c r="HFG132" s="4"/>
      <c r="HFH132" s="4"/>
      <c r="HFI132" s="4"/>
      <c r="HFJ132" s="4"/>
      <c r="HFK132" s="4"/>
      <c r="HFL132" s="4"/>
      <c r="HFM132" s="4"/>
      <c r="HFN132" s="4"/>
      <c r="HFO132" s="4"/>
      <c r="HFP132" s="4"/>
      <c r="HFQ132" s="4"/>
      <c r="HFR132" s="4"/>
      <c r="HFS132" s="4"/>
      <c r="HFT132" s="4"/>
      <c r="HFU132" s="4"/>
      <c r="HFV132" s="4"/>
      <c r="HFW132" s="4"/>
      <c r="HFX132" s="4"/>
      <c r="HFY132" s="4"/>
      <c r="HFZ132" s="4"/>
      <c r="HGA132" s="4"/>
      <c r="HGB132" s="4"/>
      <c r="HGC132" s="4"/>
      <c r="HGD132" s="4"/>
      <c r="HGE132" s="4"/>
      <c r="HGF132" s="4"/>
      <c r="HGG132" s="4"/>
      <c r="HGH132" s="4"/>
      <c r="HGI132" s="4"/>
      <c r="HGJ132" s="4"/>
      <c r="HGK132" s="4"/>
      <c r="HGL132" s="4"/>
      <c r="HGM132" s="4"/>
      <c r="HGN132" s="4"/>
      <c r="HGO132" s="4"/>
      <c r="HGP132" s="4"/>
      <c r="HGQ132" s="4"/>
      <c r="HGR132" s="4"/>
      <c r="HGS132" s="4"/>
      <c r="HGT132" s="4"/>
      <c r="HGU132" s="4"/>
      <c r="HGV132" s="4"/>
      <c r="HGW132" s="4"/>
      <c r="HGX132" s="4"/>
      <c r="HGY132" s="4"/>
      <c r="HGZ132" s="4"/>
      <c r="HHA132" s="4"/>
      <c r="HHB132" s="4"/>
      <c r="HHC132" s="4"/>
      <c r="HHD132" s="4"/>
      <c r="HHE132" s="4"/>
      <c r="HHF132" s="4"/>
      <c r="HHG132" s="4"/>
      <c r="HHH132" s="4"/>
      <c r="HHI132" s="4"/>
      <c r="HHJ132" s="4"/>
      <c r="HHK132" s="4"/>
      <c r="HHL132" s="4"/>
      <c r="HHM132" s="4"/>
      <c r="HHN132" s="4"/>
      <c r="HHO132" s="4"/>
      <c r="HHP132" s="4"/>
      <c r="HHQ132" s="4"/>
      <c r="HHR132" s="4"/>
      <c r="HHS132" s="4"/>
      <c r="HHT132" s="4"/>
      <c r="HHU132" s="4"/>
      <c r="HHV132" s="4"/>
      <c r="HHW132" s="4"/>
      <c r="HHX132" s="4"/>
      <c r="HHY132" s="4"/>
      <c r="HHZ132" s="4"/>
      <c r="HIA132" s="4"/>
      <c r="HIB132" s="4"/>
      <c r="HIC132" s="4"/>
      <c r="HID132" s="4"/>
      <c r="HIE132" s="4"/>
      <c r="HIF132" s="4"/>
      <c r="HIG132" s="4"/>
      <c r="HIH132" s="4"/>
      <c r="HII132" s="4"/>
      <c r="HIJ132" s="4"/>
      <c r="HIK132" s="4"/>
      <c r="HIL132" s="4"/>
      <c r="HIM132" s="4"/>
      <c r="HIN132" s="4"/>
      <c r="HIO132" s="4"/>
      <c r="HIP132" s="4"/>
      <c r="HIQ132" s="4"/>
      <c r="HIR132" s="4"/>
      <c r="HIS132" s="4"/>
      <c r="HIT132" s="4"/>
      <c r="HIU132" s="4"/>
      <c r="HIV132" s="4"/>
      <c r="HIW132" s="4"/>
      <c r="HIX132" s="4"/>
      <c r="HIY132" s="4"/>
      <c r="HIZ132" s="4"/>
      <c r="HJA132" s="4"/>
      <c r="HJB132" s="4"/>
      <c r="HJC132" s="4"/>
      <c r="HJD132" s="4"/>
      <c r="HJE132" s="4"/>
      <c r="HJF132" s="4"/>
      <c r="HJG132" s="4"/>
      <c r="HJH132" s="4"/>
      <c r="HJI132" s="4"/>
      <c r="HJJ132" s="4"/>
      <c r="HJK132" s="4"/>
      <c r="HJL132" s="4"/>
      <c r="HJM132" s="4"/>
      <c r="HJN132" s="4"/>
      <c r="HJO132" s="4"/>
      <c r="HJP132" s="4"/>
      <c r="HJQ132" s="4"/>
      <c r="HJR132" s="4"/>
      <c r="HJS132" s="4"/>
      <c r="HJT132" s="4"/>
      <c r="HJU132" s="4"/>
      <c r="HJV132" s="4"/>
      <c r="HJW132" s="4"/>
      <c r="HJX132" s="4"/>
      <c r="HJY132" s="4"/>
      <c r="HJZ132" s="4"/>
      <c r="HKA132" s="4"/>
      <c r="HKB132" s="4"/>
      <c r="HKC132" s="4"/>
      <c r="HKD132" s="4"/>
      <c r="HKE132" s="4"/>
      <c r="HKF132" s="4"/>
      <c r="HKG132" s="4"/>
      <c r="HKH132" s="4"/>
      <c r="HKI132" s="4"/>
      <c r="HKJ132" s="4"/>
      <c r="HKK132" s="4"/>
      <c r="HKL132" s="4"/>
      <c r="HKM132" s="4"/>
      <c r="HKN132" s="4"/>
      <c r="HKO132" s="4"/>
      <c r="HKP132" s="4"/>
      <c r="HKQ132" s="4"/>
      <c r="HKR132" s="4"/>
      <c r="HKS132" s="4"/>
      <c r="HKT132" s="4"/>
      <c r="HKU132" s="4"/>
      <c r="HKV132" s="4"/>
      <c r="HKW132" s="4"/>
      <c r="HKX132" s="4"/>
      <c r="HKY132" s="4"/>
      <c r="HKZ132" s="4"/>
      <c r="HLA132" s="4"/>
      <c r="HLB132" s="4"/>
      <c r="HLC132" s="4"/>
      <c r="HLD132" s="4"/>
      <c r="HLE132" s="4"/>
      <c r="HLF132" s="4"/>
      <c r="HLG132" s="4"/>
      <c r="HLH132" s="4"/>
      <c r="HLI132" s="4"/>
      <c r="HLJ132" s="4"/>
      <c r="HLK132" s="4"/>
      <c r="HLL132" s="4"/>
      <c r="HLM132" s="4"/>
      <c r="HLN132" s="4"/>
      <c r="HLO132" s="4"/>
      <c r="HLP132" s="4"/>
      <c r="HLQ132" s="4"/>
      <c r="HLR132" s="4"/>
      <c r="HLS132" s="4"/>
      <c r="HLT132" s="4"/>
      <c r="HLU132" s="4"/>
      <c r="HLV132" s="4"/>
      <c r="HLW132" s="4"/>
      <c r="HLX132" s="4"/>
      <c r="HLY132" s="4"/>
      <c r="HLZ132" s="4"/>
      <c r="HMA132" s="4"/>
      <c r="HMB132" s="4"/>
      <c r="HMC132" s="4"/>
      <c r="HMD132" s="4"/>
      <c r="HME132" s="4"/>
      <c r="HMF132" s="4"/>
      <c r="HMG132" s="4"/>
      <c r="HMH132" s="4"/>
      <c r="HMI132" s="4"/>
      <c r="HMJ132" s="4"/>
      <c r="HMK132" s="4"/>
      <c r="HML132" s="4"/>
      <c r="HMM132" s="4"/>
      <c r="HMN132" s="4"/>
      <c r="HMO132" s="4"/>
      <c r="HMP132" s="4"/>
      <c r="HMQ132" s="4"/>
      <c r="HMR132" s="4"/>
      <c r="HMS132" s="4"/>
      <c r="HMT132" s="4"/>
      <c r="HMU132" s="4"/>
      <c r="HMV132" s="4"/>
      <c r="HMW132" s="4"/>
      <c r="HMX132" s="4"/>
      <c r="HMY132" s="4"/>
      <c r="HMZ132" s="4"/>
      <c r="HNA132" s="4"/>
      <c r="HNB132" s="4"/>
      <c r="HNC132" s="4"/>
      <c r="HND132" s="4"/>
      <c r="HNE132" s="4"/>
      <c r="HNF132" s="4"/>
      <c r="HNG132" s="4"/>
      <c r="HNH132" s="4"/>
      <c r="HNI132" s="4"/>
      <c r="HNJ132" s="4"/>
      <c r="HNK132" s="4"/>
      <c r="HNL132" s="4"/>
      <c r="HNM132" s="4"/>
      <c r="HNN132" s="4"/>
      <c r="HNO132" s="4"/>
      <c r="HNP132" s="4"/>
      <c r="HNQ132" s="4"/>
      <c r="HNR132" s="4"/>
      <c r="HNS132" s="4"/>
      <c r="HNT132" s="4"/>
      <c r="HNU132" s="4"/>
      <c r="HNV132" s="4"/>
      <c r="HNW132" s="4"/>
      <c r="HNX132" s="4"/>
      <c r="HNY132" s="4"/>
      <c r="HNZ132" s="4"/>
      <c r="HOA132" s="4"/>
      <c r="HOB132" s="4"/>
      <c r="HOC132" s="4"/>
      <c r="HOD132" s="4"/>
      <c r="HOE132" s="4"/>
      <c r="HOF132" s="4"/>
      <c r="HOG132" s="4"/>
      <c r="HOH132" s="4"/>
      <c r="HOI132" s="4"/>
      <c r="HOJ132" s="4"/>
      <c r="HOK132" s="4"/>
      <c r="HOL132" s="4"/>
      <c r="HOM132" s="4"/>
      <c r="HON132" s="4"/>
      <c r="HOO132" s="4"/>
      <c r="HOP132" s="4"/>
      <c r="HOQ132" s="4"/>
      <c r="HOR132" s="4"/>
      <c r="HOS132" s="4"/>
      <c r="HOT132" s="4"/>
      <c r="HOU132" s="4"/>
      <c r="HOV132" s="4"/>
      <c r="HOW132" s="4"/>
      <c r="HOX132" s="4"/>
      <c r="HOY132" s="4"/>
      <c r="HOZ132" s="4"/>
      <c r="HPA132" s="4"/>
      <c r="HPB132" s="4"/>
      <c r="HPC132" s="4"/>
      <c r="HPD132" s="4"/>
      <c r="HPE132" s="4"/>
      <c r="HPF132" s="4"/>
      <c r="HPG132" s="4"/>
      <c r="HPH132" s="4"/>
      <c r="HPI132" s="4"/>
      <c r="HPJ132" s="4"/>
      <c r="HPK132" s="4"/>
      <c r="HPL132" s="4"/>
      <c r="HPM132" s="4"/>
      <c r="HPN132" s="4"/>
      <c r="HPO132" s="4"/>
      <c r="HPP132" s="4"/>
      <c r="HPQ132" s="4"/>
      <c r="HPR132" s="4"/>
      <c r="HPS132" s="4"/>
      <c r="HPT132" s="4"/>
      <c r="HPU132" s="4"/>
      <c r="HPV132" s="4"/>
      <c r="HPW132" s="4"/>
      <c r="HPX132" s="4"/>
      <c r="HPY132" s="4"/>
      <c r="HPZ132" s="4"/>
      <c r="HQA132" s="4"/>
      <c r="HQB132" s="4"/>
      <c r="HQC132" s="4"/>
      <c r="HQD132" s="4"/>
      <c r="HQE132" s="4"/>
      <c r="HQF132" s="4"/>
      <c r="HQG132" s="4"/>
      <c r="HQH132" s="4"/>
      <c r="HQI132" s="4"/>
      <c r="HQJ132" s="4"/>
      <c r="HQK132" s="4"/>
      <c r="HQL132" s="4"/>
      <c r="HQM132" s="4"/>
      <c r="HQN132" s="4"/>
      <c r="HQO132" s="4"/>
      <c r="HQP132" s="4"/>
      <c r="HQQ132" s="4"/>
      <c r="HQR132" s="4"/>
      <c r="HQS132" s="4"/>
      <c r="HQT132" s="4"/>
      <c r="HQU132" s="4"/>
      <c r="HQV132" s="4"/>
      <c r="HQW132" s="4"/>
      <c r="HQX132" s="4"/>
      <c r="HQY132" s="4"/>
      <c r="HQZ132" s="4"/>
      <c r="HRA132" s="4"/>
      <c r="HRB132" s="4"/>
      <c r="HRC132" s="4"/>
      <c r="HRD132" s="4"/>
      <c r="HRE132" s="4"/>
      <c r="HRF132" s="4"/>
      <c r="HRG132" s="4"/>
      <c r="HRH132" s="4"/>
      <c r="HRI132" s="4"/>
      <c r="HRJ132" s="4"/>
      <c r="HRK132" s="4"/>
      <c r="HRL132" s="4"/>
      <c r="HRM132" s="4"/>
      <c r="HRN132" s="4"/>
      <c r="HRO132" s="4"/>
      <c r="HRP132" s="4"/>
      <c r="HRQ132" s="4"/>
      <c r="HRR132" s="4"/>
      <c r="HRS132" s="4"/>
      <c r="HRT132" s="4"/>
      <c r="HRU132" s="4"/>
      <c r="HRV132" s="4"/>
      <c r="HRW132" s="4"/>
      <c r="HRX132" s="4"/>
      <c r="HRY132" s="4"/>
      <c r="HRZ132" s="4"/>
      <c r="HSA132" s="4"/>
      <c r="HSB132" s="4"/>
      <c r="HSC132" s="4"/>
      <c r="HSD132" s="4"/>
      <c r="HSE132" s="4"/>
      <c r="HSF132" s="4"/>
      <c r="HSG132" s="4"/>
      <c r="HSH132" s="4"/>
      <c r="HSI132" s="4"/>
      <c r="HSJ132" s="4"/>
      <c r="HSK132" s="4"/>
      <c r="HSL132" s="4"/>
      <c r="HSM132" s="4"/>
      <c r="HSN132" s="4"/>
      <c r="HSO132" s="4"/>
      <c r="HSP132" s="4"/>
      <c r="HSQ132" s="4"/>
      <c r="HSR132" s="4"/>
      <c r="HSS132" s="4"/>
      <c r="HST132" s="4"/>
      <c r="HSU132" s="4"/>
      <c r="HSV132" s="4"/>
      <c r="HSW132" s="4"/>
      <c r="HSX132" s="4"/>
      <c r="HSY132" s="4"/>
      <c r="HSZ132" s="4"/>
      <c r="HTA132" s="4"/>
      <c r="HTB132" s="4"/>
      <c r="HTC132" s="4"/>
      <c r="HTD132" s="4"/>
      <c r="HTE132" s="4"/>
      <c r="HTF132" s="4"/>
      <c r="HTG132" s="4"/>
      <c r="HTH132" s="4"/>
      <c r="HTI132" s="4"/>
      <c r="HTJ132" s="4"/>
      <c r="HTK132" s="4"/>
      <c r="HTL132" s="4"/>
      <c r="HTM132" s="4"/>
      <c r="HTN132" s="4"/>
      <c r="HTO132" s="4"/>
      <c r="HTP132" s="4"/>
      <c r="HTQ132" s="4"/>
      <c r="HTR132" s="4"/>
      <c r="HTS132" s="4"/>
      <c r="HTT132" s="4"/>
      <c r="HTU132" s="4"/>
      <c r="HTV132" s="4"/>
      <c r="HTW132" s="4"/>
      <c r="HTX132" s="4"/>
      <c r="HTY132" s="4"/>
      <c r="HTZ132" s="4"/>
      <c r="HUA132" s="4"/>
      <c r="HUB132" s="4"/>
      <c r="HUC132" s="4"/>
      <c r="HUD132" s="4"/>
      <c r="HUE132" s="4"/>
      <c r="HUF132" s="4"/>
      <c r="HUG132" s="4"/>
      <c r="HUH132" s="4"/>
      <c r="HUI132" s="4"/>
      <c r="HUJ132" s="4"/>
      <c r="HUK132" s="4"/>
      <c r="HUL132" s="4"/>
      <c r="HUM132" s="4"/>
      <c r="HUN132" s="4"/>
      <c r="HUO132" s="4"/>
      <c r="HUP132" s="4"/>
      <c r="HUQ132" s="4"/>
      <c r="HUR132" s="4"/>
      <c r="HUS132" s="4"/>
      <c r="HUT132" s="4"/>
      <c r="HUU132" s="4"/>
      <c r="HUV132" s="4"/>
      <c r="HUW132" s="4"/>
      <c r="HUX132" s="4"/>
      <c r="HUY132" s="4"/>
      <c r="HUZ132" s="4"/>
      <c r="HVA132" s="4"/>
      <c r="HVB132" s="4"/>
      <c r="HVC132" s="4"/>
      <c r="HVD132" s="4"/>
      <c r="HVE132" s="4"/>
      <c r="HVF132" s="4"/>
      <c r="HVG132" s="4"/>
      <c r="HVH132" s="4"/>
      <c r="HVI132" s="4"/>
      <c r="HVJ132" s="4"/>
      <c r="HVK132" s="4"/>
      <c r="HVL132" s="4"/>
      <c r="HVM132" s="4"/>
      <c r="HVN132" s="4"/>
      <c r="HVO132" s="4"/>
      <c r="HVP132" s="4"/>
      <c r="HVQ132" s="4"/>
      <c r="HVR132" s="4"/>
      <c r="HVS132" s="4"/>
      <c r="HVT132" s="4"/>
      <c r="HVU132" s="4"/>
      <c r="HVV132" s="4"/>
      <c r="HVW132" s="4"/>
      <c r="HVX132" s="4"/>
      <c r="HVY132" s="4"/>
      <c r="HVZ132" s="4"/>
      <c r="HWA132" s="4"/>
      <c r="HWB132" s="4"/>
      <c r="HWC132" s="4"/>
      <c r="HWD132" s="4"/>
      <c r="HWE132" s="4"/>
      <c r="HWF132" s="4"/>
      <c r="HWG132" s="4"/>
      <c r="HWH132" s="4"/>
      <c r="HWI132" s="4"/>
      <c r="HWJ132" s="4"/>
      <c r="HWK132" s="4"/>
      <c r="HWL132" s="4"/>
      <c r="HWM132" s="4"/>
      <c r="HWN132" s="4"/>
      <c r="HWO132" s="4"/>
      <c r="HWP132" s="4"/>
      <c r="HWQ132" s="4"/>
      <c r="HWR132" s="4"/>
      <c r="HWS132" s="4"/>
      <c r="HWT132" s="4"/>
      <c r="HWU132" s="4"/>
      <c r="HWV132" s="4"/>
      <c r="HWW132" s="4"/>
      <c r="HWX132" s="4"/>
      <c r="HWY132" s="4"/>
      <c r="HWZ132" s="4"/>
      <c r="HXA132" s="4"/>
      <c r="HXB132" s="4"/>
      <c r="HXC132" s="4"/>
      <c r="HXD132" s="4"/>
      <c r="HXE132" s="4"/>
      <c r="HXF132" s="4"/>
      <c r="HXG132" s="4"/>
      <c r="HXH132" s="4"/>
      <c r="HXI132" s="4"/>
      <c r="HXJ132" s="4"/>
      <c r="HXK132" s="4"/>
      <c r="HXL132" s="4"/>
      <c r="HXM132" s="4"/>
      <c r="HXN132" s="4"/>
      <c r="HXO132" s="4"/>
      <c r="HXP132" s="4"/>
      <c r="HXQ132" s="4"/>
      <c r="HXR132" s="4"/>
      <c r="HXS132" s="4"/>
      <c r="HXT132" s="4"/>
      <c r="HXU132" s="4"/>
      <c r="HXV132" s="4"/>
      <c r="HXW132" s="4"/>
      <c r="HXX132" s="4"/>
      <c r="HXY132" s="4"/>
      <c r="HXZ132" s="4"/>
      <c r="HYA132" s="4"/>
      <c r="HYB132" s="4"/>
      <c r="HYC132" s="4"/>
      <c r="HYD132" s="4"/>
      <c r="HYE132" s="4"/>
      <c r="HYF132" s="4"/>
      <c r="HYG132" s="4"/>
      <c r="HYH132" s="4"/>
      <c r="HYI132" s="4"/>
      <c r="HYJ132" s="4"/>
      <c r="HYK132" s="4"/>
      <c r="HYL132" s="4"/>
      <c r="HYM132" s="4"/>
      <c r="HYN132" s="4"/>
      <c r="HYO132" s="4"/>
      <c r="HYP132" s="4"/>
      <c r="HYQ132" s="4"/>
      <c r="HYR132" s="4"/>
      <c r="HYS132" s="4"/>
      <c r="HYT132" s="4"/>
      <c r="HYU132" s="4"/>
      <c r="HYV132" s="4"/>
      <c r="HYW132" s="4"/>
      <c r="HYX132" s="4"/>
      <c r="HYY132" s="4"/>
      <c r="HYZ132" s="4"/>
      <c r="HZA132" s="4"/>
      <c r="HZB132" s="4"/>
      <c r="HZC132" s="4"/>
      <c r="HZD132" s="4"/>
      <c r="HZE132" s="4"/>
      <c r="HZF132" s="4"/>
      <c r="HZG132" s="4"/>
      <c r="HZH132" s="4"/>
      <c r="HZI132" s="4"/>
      <c r="HZJ132" s="4"/>
      <c r="HZK132" s="4"/>
      <c r="HZL132" s="4"/>
      <c r="HZM132" s="4"/>
      <c r="HZN132" s="4"/>
      <c r="HZO132" s="4"/>
      <c r="HZP132" s="4"/>
      <c r="HZQ132" s="4"/>
      <c r="HZR132" s="4"/>
      <c r="HZS132" s="4"/>
      <c r="HZT132" s="4"/>
      <c r="HZU132" s="4"/>
      <c r="HZV132" s="4"/>
      <c r="HZW132" s="4"/>
      <c r="HZX132" s="4"/>
      <c r="HZY132" s="4"/>
      <c r="HZZ132" s="4"/>
      <c r="IAA132" s="4"/>
      <c r="IAB132" s="4"/>
      <c r="IAC132" s="4"/>
      <c r="IAD132" s="4"/>
      <c r="IAE132" s="4"/>
      <c r="IAF132" s="4"/>
      <c r="IAG132" s="4"/>
      <c r="IAH132" s="4"/>
      <c r="IAI132" s="4"/>
      <c r="IAJ132" s="4"/>
      <c r="IAK132" s="4"/>
      <c r="IAL132" s="4"/>
      <c r="IAM132" s="4"/>
      <c r="IAN132" s="4"/>
      <c r="IAO132" s="4"/>
      <c r="IAP132" s="4"/>
      <c r="IAQ132" s="4"/>
      <c r="IAR132" s="4"/>
      <c r="IAS132" s="4"/>
      <c r="IAT132" s="4"/>
      <c r="IAU132" s="4"/>
      <c r="IAV132" s="4"/>
      <c r="IAW132" s="4"/>
      <c r="IAX132" s="4"/>
      <c r="IAY132" s="4"/>
      <c r="IAZ132" s="4"/>
      <c r="IBA132" s="4"/>
      <c r="IBB132" s="4"/>
      <c r="IBC132" s="4"/>
      <c r="IBD132" s="4"/>
      <c r="IBE132" s="4"/>
      <c r="IBF132" s="4"/>
      <c r="IBG132" s="4"/>
      <c r="IBH132" s="4"/>
      <c r="IBI132" s="4"/>
      <c r="IBJ132" s="4"/>
      <c r="IBK132" s="4"/>
      <c r="IBL132" s="4"/>
      <c r="IBM132" s="4"/>
      <c r="IBN132" s="4"/>
      <c r="IBO132" s="4"/>
      <c r="IBP132" s="4"/>
      <c r="IBQ132" s="4"/>
      <c r="IBR132" s="4"/>
      <c r="IBS132" s="4"/>
      <c r="IBT132" s="4"/>
      <c r="IBU132" s="4"/>
      <c r="IBV132" s="4"/>
      <c r="IBW132" s="4"/>
      <c r="IBX132" s="4"/>
      <c r="IBY132" s="4"/>
      <c r="IBZ132" s="4"/>
      <c r="ICA132" s="4"/>
      <c r="ICB132" s="4"/>
      <c r="ICC132" s="4"/>
      <c r="ICD132" s="4"/>
      <c r="ICE132" s="4"/>
      <c r="ICF132" s="4"/>
      <c r="ICG132" s="4"/>
      <c r="ICH132" s="4"/>
      <c r="ICI132" s="4"/>
      <c r="ICJ132" s="4"/>
      <c r="ICK132" s="4"/>
      <c r="ICL132" s="4"/>
      <c r="ICM132" s="4"/>
      <c r="ICN132" s="4"/>
      <c r="ICO132" s="4"/>
      <c r="ICP132" s="4"/>
      <c r="ICQ132" s="4"/>
      <c r="ICR132" s="4"/>
      <c r="ICS132" s="4"/>
      <c r="ICT132" s="4"/>
      <c r="ICU132" s="4"/>
      <c r="ICV132" s="4"/>
      <c r="ICW132" s="4"/>
      <c r="ICX132" s="4"/>
      <c r="ICY132" s="4"/>
      <c r="ICZ132" s="4"/>
      <c r="IDA132" s="4"/>
      <c r="IDB132" s="4"/>
      <c r="IDC132" s="4"/>
      <c r="IDD132" s="4"/>
      <c r="IDE132" s="4"/>
      <c r="IDF132" s="4"/>
      <c r="IDG132" s="4"/>
      <c r="IDH132" s="4"/>
      <c r="IDI132" s="4"/>
      <c r="IDJ132" s="4"/>
      <c r="IDK132" s="4"/>
      <c r="IDL132" s="4"/>
      <c r="IDM132" s="4"/>
      <c r="IDN132" s="4"/>
      <c r="IDO132" s="4"/>
      <c r="IDP132" s="4"/>
      <c r="IDQ132" s="4"/>
      <c r="IDR132" s="4"/>
      <c r="IDS132" s="4"/>
      <c r="IDT132" s="4"/>
      <c r="IDU132" s="4"/>
      <c r="IDV132" s="4"/>
      <c r="IDW132" s="4"/>
      <c r="IDX132" s="4"/>
      <c r="IDY132" s="4"/>
      <c r="IDZ132" s="4"/>
      <c r="IEA132" s="4"/>
      <c r="IEB132" s="4"/>
      <c r="IEC132" s="4"/>
      <c r="IED132" s="4"/>
      <c r="IEE132" s="4"/>
      <c r="IEF132" s="4"/>
      <c r="IEG132" s="4"/>
      <c r="IEH132" s="4"/>
      <c r="IEI132" s="4"/>
      <c r="IEJ132" s="4"/>
      <c r="IEK132" s="4"/>
      <c r="IEL132" s="4"/>
      <c r="IEM132" s="4"/>
      <c r="IEN132" s="4"/>
      <c r="IEO132" s="4"/>
      <c r="IEP132" s="4"/>
      <c r="IEQ132" s="4"/>
      <c r="IER132" s="4"/>
      <c r="IES132" s="4"/>
      <c r="IET132" s="4"/>
      <c r="IEU132" s="4"/>
      <c r="IEV132" s="4"/>
      <c r="IEW132" s="4"/>
      <c r="IEX132" s="4"/>
      <c r="IEY132" s="4"/>
      <c r="IEZ132" s="4"/>
      <c r="IFA132" s="4"/>
      <c r="IFB132" s="4"/>
      <c r="IFC132" s="4"/>
      <c r="IFD132" s="4"/>
      <c r="IFE132" s="4"/>
      <c r="IFF132" s="4"/>
      <c r="IFG132" s="4"/>
      <c r="IFH132" s="4"/>
      <c r="IFI132" s="4"/>
      <c r="IFJ132" s="4"/>
      <c r="IFK132" s="4"/>
      <c r="IFL132" s="4"/>
      <c r="IFM132" s="4"/>
      <c r="IFN132" s="4"/>
      <c r="IFO132" s="4"/>
      <c r="IFP132" s="4"/>
      <c r="IFQ132" s="4"/>
      <c r="IFR132" s="4"/>
      <c r="IFS132" s="4"/>
      <c r="IFT132" s="4"/>
      <c r="IFU132" s="4"/>
      <c r="IFV132" s="4"/>
      <c r="IFW132" s="4"/>
      <c r="IFX132" s="4"/>
      <c r="IFY132" s="4"/>
      <c r="IFZ132" s="4"/>
      <c r="IGA132" s="4"/>
      <c r="IGB132" s="4"/>
      <c r="IGC132" s="4"/>
      <c r="IGD132" s="4"/>
      <c r="IGE132" s="4"/>
      <c r="IGF132" s="4"/>
      <c r="IGG132" s="4"/>
      <c r="IGH132" s="4"/>
      <c r="IGI132" s="4"/>
      <c r="IGJ132" s="4"/>
      <c r="IGK132" s="4"/>
      <c r="IGL132" s="4"/>
      <c r="IGM132" s="4"/>
      <c r="IGN132" s="4"/>
      <c r="IGO132" s="4"/>
      <c r="IGP132" s="4"/>
      <c r="IGQ132" s="4"/>
      <c r="IGR132" s="4"/>
      <c r="IGS132" s="4"/>
      <c r="IGT132" s="4"/>
      <c r="IGU132" s="4"/>
      <c r="IGV132" s="4"/>
      <c r="IGW132" s="4"/>
      <c r="IGX132" s="4"/>
      <c r="IGY132" s="4"/>
      <c r="IGZ132" s="4"/>
      <c r="IHA132" s="4"/>
      <c r="IHB132" s="4"/>
      <c r="IHC132" s="4"/>
      <c r="IHD132" s="4"/>
      <c r="IHE132" s="4"/>
      <c r="IHF132" s="4"/>
      <c r="IHG132" s="4"/>
      <c r="IHH132" s="4"/>
      <c r="IHI132" s="4"/>
      <c r="IHJ132" s="4"/>
      <c r="IHK132" s="4"/>
      <c r="IHL132" s="4"/>
      <c r="IHM132" s="4"/>
      <c r="IHN132" s="4"/>
      <c r="IHO132" s="4"/>
      <c r="IHP132" s="4"/>
      <c r="IHQ132" s="4"/>
      <c r="IHR132" s="4"/>
      <c r="IHS132" s="4"/>
      <c r="IHT132" s="4"/>
      <c r="IHU132" s="4"/>
      <c r="IHV132" s="4"/>
      <c r="IHW132" s="4"/>
      <c r="IHX132" s="4"/>
      <c r="IHY132" s="4"/>
      <c r="IHZ132" s="4"/>
      <c r="IIA132" s="4"/>
      <c r="IIB132" s="4"/>
      <c r="IIC132" s="4"/>
      <c r="IID132" s="4"/>
      <c r="IIE132" s="4"/>
      <c r="IIF132" s="4"/>
      <c r="IIG132" s="4"/>
      <c r="IIH132" s="4"/>
      <c r="III132" s="4"/>
      <c r="IIJ132" s="4"/>
      <c r="IIK132" s="4"/>
      <c r="IIL132" s="4"/>
      <c r="IIM132" s="4"/>
      <c r="IIN132" s="4"/>
      <c r="IIO132" s="4"/>
      <c r="IIP132" s="4"/>
      <c r="IIQ132" s="4"/>
      <c r="IIR132" s="4"/>
      <c r="IIS132" s="4"/>
      <c r="IIT132" s="4"/>
      <c r="IIU132" s="4"/>
      <c r="IIV132" s="4"/>
      <c r="IIW132" s="4"/>
      <c r="IIX132" s="4"/>
      <c r="IIY132" s="4"/>
      <c r="IIZ132" s="4"/>
      <c r="IJA132" s="4"/>
      <c r="IJB132" s="4"/>
      <c r="IJC132" s="4"/>
      <c r="IJD132" s="4"/>
      <c r="IJE132" s="4"/>
      <c r="IJF132" s="4"/>
      <c r="IJG132" s="4"/>
      <c r="IJH132" s="4"/>
      <c r="IJI132" s="4"/>
      <c r="IJJ132" s="4"/>
      <c r="IJK132" s="4"/>
      <c r="IJL132" s="4"/>
      <c r="IJM132" s="4"/>
      <c r="IJN132" s="4"/>
      <c r="IJO132" s="4"/>
      <c r="IJP132" s="4"/>
      <c r="IJQ132" s="4"/>
      <c r="IJR132" s="4"/>
      <c r="IJS132" s="4"/>
      <c r="IJT132" s="4"/>
      <c r="IJU132" s="4"/>
      <c r="IJV132" s="4"/>
      <c r="IJW132" s="4"/>
      <c r="IJX132" s="4"/>
      <c r="IJY132" s="4"/>
      <c r="IJZ132" s="4"/>
      <c r="IKA132" s="4"/>
      <c r="IKB132" s="4"/>
      <c r="IKC132" s="4"/>
      <c r="IKD132" s="4"/>
      <c r="IKE132" s="4"/>
      <c r="IKF132" s="4"/>
      <c r="IKG132" s="4"/>
      <c r="IKH132" s="4"/>
      <c r="IKI132" s="4"/>
      <c r="IKJ132" s="4"/>
      <c r="IKK132" s="4"/>
      <c r="IKL132" s="4"/>
      <c r="IKM132" s="4"/>
      <c r="IKN132" s="4"/>
      <c r="IKO132" s="4"/>
      <c r="IKP132" s="4"/>
      <c r="IKQ132" s="4"/>
      <c r="IKR132" s="4"/>
      <c r="IKS132" s="4"/>
      <c r="IKT132" s="4"/>
      <c r="IKU132" s="4"/>
      <c r="IKV132" s="4"/>
      <c r="IKW132" s="4"/>
      <c r="IKX132" s="4"/>
      <c r="IKY132" s="4"/>
      <c r="IKZ132" s="4"/>
      <c r="ILA132" s="4"/>
      <c r="ILB132" s="4"/>
      <c r="ILC132" s="4"/>
      <c r="ILD132" s="4"/>
      <c r="ILE132" s="4"/>
      <c r="ILF132" s="4"/>
      <c r="ILG132" s="4"/>
      <c r="ILH132" s="4"/>
      <c r="ILI132" s="4"/>
      <c r="ILJ132" s="4"/>
      <c r="ILK132" s="4"/>
      <c r="ILL132" s="4"/>
      <c r="ILM132" s="4"/>
      <c r="ILN132" s="4"/>
      <c r="ILO132" s="4"/>
      <c r="ILP132" s="4"/>
      <c r="ILQ132" s="4"/>
      <c r="ILR132" s="4"/>
      <c r="ILS132" s="4"/>
      <c r="ILT132" s="4"/>
      <c r="ILU132" s="4"/>
      <c r="ILV132" s="4"/>
      <c r="ILW132" s="4"/>
      <c r="ILX132" s="4"/>
      <c r="ILY132" s="4"/>
      <c r="ILZ132" s="4"/>
      <c r="IMA132" s="4"/>
      <c r="IMB132" s="4"/>
      <c r="IMC132" s="4"/>
      <c r="IMD132" s="4"/>
      <c r="IME132" s="4"/>
      <c r="IMF132" s="4"/>
      <c r="IMG132" s="4"/>
      <c r="IMH132" s="4"/>
      <c r="IMI132" s="4"/>
      <c r="IMJ132" s="4"/>
      <c r="IMK132" s="4"/>
      <c r="IML132" s="4"/>
      <c r="IMM132" s="4"/>
      <c r="IMN132" s="4"/>
      <c r="IMO132" s="4"/>
      <c r="IMP132" s="4"/>
      <c r="IMQ132" s="4"/>
      <c r="IMR132" s="4"/>
      <c r="IMS132" s="4"/>
      <c r="IMT132" s="4"/>
      <c r="IMU132" s="4"/>
      <c r="IMV132" s="4"/>
      <c r="IMW132" s="4"/>
      <c r="IMX132" s="4"/>
      <c r="IMY132" s="4"/>
      <c r="IMZ132" s="4"/>
      <c r="INA132" s="4"/>
      <c r="INB132" s="4"/>
      <c r="INC132" s="4"/>
      <c r="IND132" s="4"/>
      <c r="INE132" s="4"/>
      <c r="INF132" s="4"/>
      <c r="ING132" s="4"/>
      <c r="INH132" s="4"/>
      <c r="INI132" s="4"/>
      <c r="INJ132" s="4"/>
      <c r="INK132" s="4"/>
      <c r="INL132" s="4"/>
      <c r="INM132" s="4"/>
      <c r="INN132" s="4"/>
      <c r="INO132" s="4"/>
      <c r="INP132" s="4"/>
      <c r="INQ132" s="4"/>
      <c r="INR132" s="4"/>
      <c r="INS132" s="4"/>
      <c r="INT132" s="4"/>
      <c r="INU132" s="4"/>
      <c r="INV132" s="4"/>
      <c r="INW132" s="4"/>
      <c r="INX132" s="4"/>
      <c r="INY132" s="4"/>
      <c r="INZ132" s="4"/>
      <c r="IOA132" s="4"/>
      <c r="IOB132" s="4"/>
      <c r="IOC132" s="4"/>
      <c r="IOD132" s="4"/>
      <c r="IOE132" s="4"/>
      <c r="IOF132" s="4"/>
      <c r="IOG132" s="4"/>
      <c r="IOH132" s="4"/>
      <c r="IOI132" s="4"/>
      <c r="IOJ132" s="4"/>
      <c r="IOK132" s="4"/>
      <c r="IOL132" s="4"/>
      <c r="IOM132" s="4"/>
      <c r="ION132" s="4"/>
      <c r="IOO132" s="4"/>
      <c r="IOP132" s="4"/>
      <c r="IOQ132" s="4"/>
      <c r="IOR132" s="4"/>
      <c r="IOS132" s="4"/>
      <c r="IOT132" s="4"/>
      <c r="IOU132" s="4"/>
      <c r="IOV132" s="4"/>
      <c r="IOW132" s="4"/>
      <c r="IOX132" s="4"/>
      <c r="IOY132" s="4"/>
      <c r="IOZ132" s="4"/>
      <c r="IPA132" s="4"/>
      <c r="IPB132" s="4"/>
      <c r="IPC132" s="4"/>
      <c r="IPD132" s="4"/>
      <c r="IPE132" s="4"/>
      <c r="IPF132" s="4"/>
      <c r="IPG132" s="4"/>
      <c r="IPH132" s="4"/>
      <c r="IPI132" s="4"/>
      <c r="IPJ132" s="4"/>
      <c r="IPK132" s="4"/>
      <c r="IPL132" s="4"/>
      <c r="IPM132" s="4"/>
      <c r="IPN132" s="4"/>
      <c r="IPO132" s="4"/>
      <c r="IPP132" s="4"/>
      <c r="IPQ132" s="4"/>
      <c r="IPR132" s="4"/>
      <c r="IPS132" s="4"/>
      <c r="IPT132" s="4"/>
      <c r="IPU132" s="4"/>
      <c r="IPV132" s="4"/>
      <c r="IPW132" s="4"/>
      <c r="IPX132" s="4"/>
      <c r="IPY132" s="4"/>
      <c r="IPZ132" s="4"/>
      <c r="IQA132" s="4"/>
      <c r="IQB132" s="4"/>
      <c r="IQC132" s="4"/>
      <c r="IQD132" s="4"/>
      <c r="IQE132" s="4"/>
      <c r="IQF132" s="4"/>
      <c r="IQG132" s="4"/>
      <c r="IQH132" s="4"/>
      <c r="IQI132" s="4"/>
      <c r="IQJ132" s="4"/>
      <c r="IQK132" s="4"/>
      <c r="IQL132" s="4"/>
      <c r="IQM132" s="4"/>
      <c r="IQN132" s="4"/>
      <c r="IQO132" s="4"/>
      <c r="IQP132" s="4"/>
      <c r="IQQ132" s="4"/>
      <c r="IQR132" s="4"/>
      <c r="IQS132" s="4"/>
      <c r="IQT132" s="4"/>
      <c r="IQU132" s="4"/>
      <c r="IQV132" s="4"/>
      <c r="IQW132" s="4"/>
      <c r="IQX132" s="4"/>
      <c r="IQY132" s="4"/>
      <c r="IQZ132" s="4"/>
      <c r="IRA132" s="4"/>
      <c r="IRB132" s="4"/>
      <c r="IRC132" s="4"/>
      <c r="IRD132" s="4"/>
      <c r="IRE132" s="4"/>
      <c r="IRF132" s="4"/>
      <c r="IRG132" s="4"/>
      <c r="IRH132" s="4"/>
      <c r="IRI132" s="4"/>
      <c r="IRJ132" s="4"/>
      <c r="IRK132" s="4"/>
      <c r="IRL132" s="4"/>
      <c r="IRM132" s="4"/>
      <c r="IRN132" s="4"/>
      <c r="IRO132" s="4"/>
      <c r="IRP132" s="4"/>
      <c r="IRQ132" s="4"/>
      <c r="IRR132" s="4"/>
      <c r="IRS132" s="4"/>
      <c r="IRT132" s="4"/>
      <c r="IRU132" s="4"/>
      <c r="IRV132" s="4"/>
      <c r="IRW132" s="4"/>
      <c r="IRX132" s="4"/>
      <c r="IRY132" s="4"/>
      <c r="IRZ132" s="4"/>
      <c r="ISA132" s="4"/>
      <c r="ISB132" s="4"/>
      <c r="ISC132" s="4"/>
      <c r="ISD132" s="4"/>
      <c r="ISE132" s="4"/>
      <c r="ISF132" s="4"/>
      <c r="ISG132" s="4"/>
      <c r="ISH132" s="4"/>
      <c r="ISI132" s="4"/>
      <c r="ISJ132" s="4"/>
      <c r="ISK132" s="4"/>
      <c r="ISL132" s="4"/>
      <c r="ISM132" s="4"/>
      <c r="ISN132" s="4"/>
      <c r="ISO132" s="4"/>
      <c r="ISP132" s="4"/>
      <c r="ISQ132" s="4"/>
      <c r="ISR132" s="4"/>
      <c r="ISS132" s="4"/>
      <c r="IST132" s="4"/>
      <c r="ISU132" s="4"/>
      <c r="ISV132" s="4"/>
      <c r="ISW132" s="4"/>
      <c r="ISX132" s="4"/>
      <c r="ISY132" s="4"/>
      <c r="ISZ132" s="4"/>
      <c r="ITA132" s="4"/>
      <c r="ITB132" s="4"/>
      <c r="ITC132" s="4"/>
      <c r="ITD132" s="4"/>
      <c r="ITE132" s="4"/>
      <c r="ITF132" s="4"/>
      <c r="ITG132" s="4"/>
      <c r="ITH132" s="4"/>
      <c r="ITI132" s="4"/>
      <c r="ITJ132" s="4"/>
      <c r="ITK132" s="4"/>
      <c r="ITL132" s="4"/>
      <c r="ITM132" s="4"/>
      <c r="ITN132" s="4"/>
      <c r="ITO132" s="4"/>
      <c r="ITP132" s="4"/>
      <c r="ITQ132" s="4"/>
      <c r="ITR132" s="4"/>
      <c r="ITS132" s="4"/>
      <c r="ITT132" s="4"/>
      <c r="ITU132" s="4"/>
      <c r="ITV132" s="4"/>
      <c r="ITW132" s="4"/>
      <c r="ITX132" s="4"/>
      <c r="ITY132" s="4"/>
      <c r="ITZ132" s="4"/>
      <c r="IUA132" s="4"/>
      <c r="IUB132" s="4"/>
      <c r="IUC132" s="4"/>
      <c r="IUD132" s="4"/>
      <c r="IUE132" s="4"/>
      <c r="IUF132" s="4"/>
      <c r="IUG132" s="4"/>
      <c r="IUH132" s="4"/>
      <c r="IUI132" s="4"/>
      <c r="IUJ132" s="4"/>
      <c r="IUK132" s="4"/>
      <c r="IUL132" s="4"/>
      <c r="IUM132" s="4"/>
      <c r="IUN132" s="4"/>
      <c r="IUO132" s="4"/>
      <c r="IUP132" s="4"/>
      <c r="IUQ132" s="4"/>
      <c r="IUR132" s="4"/>
      <c r="IUS132" s="4"/>
      <c r="IUT132" s="4"/>
      <c r="IUU132" s="4"/>
      <c r="IUV132" s="4"/>
      <c r="IUW132" s="4"/>
      <c r="IUX132" s="4"/>
      <c r="IUY132" s="4"/>
      <c r="IUZ132" s="4"/>
      <c r="IVA132" s="4"/>
      <c r="IVB132" s="4"/>
      <c r="IVC132" s="4"/>
      <c r="IVD132" s="4"/>
      <c r="IVE132" s="4"/>
      <c r="IVF132" s="4"/>
      <c r="IVG132" s="4"/>
      <c r="IVH132" s="4"/>
      <c r="IVI132" s="4"/>
      <c r="IVJ132" s="4"/>
      <c r="IVK132" s="4"/>
      <c r="IVL132" s="4"/>
      <c r="IVM132" s="4"/>
      <c r="IVN132" s="4"/>
      <c r="IVO132" s="4"/>
      <c r="IVP132" s="4"/>
      <c r="IVQ132" s="4"/>
      <c r="IVR132" s="4"/>
      <c r="IVS132" s="4"/>
      <c r="IVT132" s="4"/>
      <c r="IVU132" s="4"/>
      <c r="IVV132" s="4"/>
      <c r="IVW132" s="4"/>
      <c r="IVX132" s="4"/>
      <c r="IVY132" s="4"/>
      <c r="IVZ132" s="4"/>
      <c r="IWA132" s="4"/>
      <c r="IWB132" s="4"/>
      <c r="IWC132" s="4"/>
      <c r="IWD132" s="4"/>
      <c r="IWE132" s="4"/>
      <c r="IWF132" s="4"/>
      <c r="IWG132" s="4"/>
      <c r="IWH132" s="4"/>
      <c r="IWI132" s="4"/>
      <c r="IWJ132" s="4"/>
      <c r="IWK132" s="4"/>
      <c r="IWL132" s="4"/>
      <c r="IWM132" s="4"/>
      <c r="IWN132" s="4"/>
      <c r="IWO132" s="4"/>
      <c r="IWP132" s="4"/>
      <c r="IWQ132" s="4"/>
      <c r="IWR132" s="4"/>
      <c r="IWS132" s="4"/>
      <c r="IWT132" s="4"/>
      <c r="IWU132" s="4"/>
      <c r="IWV132" s="4"/>
      <c r="IWW132" s="4"/>
      <c r="IWX132" s="4"/>
      <c r="IWY132" s="4"/>
      <c r="IWZ132" s="4"/>
      <c r="IXA132" s="4"/>
      <c r="IXB132" s="4"/>
      <c r="IXC132" s="4"/>
      <c r="IXD132" s="4"/>
      <c r="IXE132" s="4"/>
      <c r="IXF132" s="4"/>
      <c r="IXG132" s="4"/>
      <c r="IXH132" s="4"/>
      <c r="IXI132" s="4"/>
      <c r="IXJ132" s="4"/>
      <c r="IXK132" s="4"/>
      <c r="IXL132" s="4"/>
      <c r="IXM132" s="4"/>
      <c r="IXN132" s="4"/>
      <c r="IXO132" s="4"/>
      <c r="IXP132" s="4"/>
      <c r="IXQ132" s="4"/>
      <c r="IXR132" s="4"/>
      <c r="IXS132" s="4"/>
      <c r="IXT132" s="4"/>
      <c r="IXU132" s="4"/>
      <c r="IXV132" s="4"/>
      <c r="IXW132" s="4"/>
      <c r="IXX132" s="4"/>
      <c r="IXY132" s="4"/>
      <c r="IXZ132" s="4"/>
      <c r="IYA132" s="4"/>
      <c r="IYB132" s="4"/>
      <c r="IYC132" s="4"/>
      <c r="IYD132" s="4"/>
      <c r="IYE132" s="4"/>
      <c r="IYF132" s="4"/>
      <c r="IYG132" s="4"/>
      <c r="IYH132" s="4"/>
      <c r="IYI132" s="4"/>
      <c r="IYJ132" s="4"/>
      <c r="IYK132" s="4"/>
      <c r="IYL132" s="4"/>
      <c r="IYM132" s="4"/>
      <c r="IYN132" s="4"/>
      <c r="IYO132" s="4"/>
      <c r="IYP132" s="4"/>
      <c r="IYQ132" s="4"/>
      <c r="IYR132" s="4"/>
      <c r="IYS132" s="4"/>
      <c r="IYT132" s="4"/>
      <c r="IYU132" s="4"/>
      <c r="IYV132" s="4"/>
      <c r="IYW132" s="4"/>
      <c r="IYX132" s="4"/>
      <c r="IYY132" s="4"/>
      <c r="IYZ132" s="4"/>
      <c r="IZA132" s="4"/>
      <c r="IZB132" s="4"/>
      <c r="IZC132" s="4"/>
      <c r="IZD132" s="4"/>
      <c r="IZE132" s="4"/>
      <c r="IZF132" s="4"/>
      <c r="IZG132" s="4"/>
      <c r="IZH132" s="4"/>
      <c r="IZI132" s="4"/>
      <c r="IZJ132" s="4"/>
      <c r="IZK132" s="4"/>
      <c r="IZL132" s="4"/>
      <c r="IZM132" s="4"/>
      <c r="IZN132" s="4"/>
      <c r="IZO132" s="4"/>
      <c r="IZP132" s="4"/>
      <c r="IZQ132" s="4"/>
      <c r="IZR132" s="4"/>
      <c r="IZS132" s="4"/>
      <c r="IZT132" s="4"/>
      <c r="IZU132" s="4"/>
      <c r="IZV132" s="4"/>
      <c r="IZW132" s="4"/>
      <c r="IZX132" s="4"/>
      <c r="IZY132" s="4"/>
      <c r="IZZ132" s="4"/>
      <c r="JAA132" s="4"/>
      <c r="JAB132" s="4"/>
      <c r="JAC132" s="4"/>
      <c r="JAD132" s="4"/>
      <c r="JAE132" s="4"/>
      <c r="JAF132" s="4"/>
      <c r="JAG132" s="4"/>
      <c r="JAH132" s="4"/>
      <c r="JAI132" s="4"/>
      <c r="JAJ132" s="4"/>
      <c r="JAK132" s="4"/>
      <c r="JAL132" s="4"/>
      <c r="JAM132" s="4"/>
      <c r="JAN132" s="4"/>
      <c r="JAO132" s="4"/>
      <c r="JAP132" s="4"/>
      <c r="JAQ132" s="4"/>
      <c r="JAR132" s="4"/>
      <c r="JAS132" s="4"/>
      <c r="JAT132" s="4"/>
      <c r="JAU132" s="4"/>
      <c r="JAV132" s="4"/>
      <c r="JAW132" s="4"/>
      <c r="JAX132" s="4"/>
      <c r="JAY132" s="4"/>
      <c r="JAZ132" s="4"/>
      <c r="JBA132" s="4"/>
      <c r="JBB132" s="4"/>
      <c r="JBC132" s="4"/>
      <c r="JBD132" s="4"/>
      <c r="JBE132" s="4"/>
      <c r="JBF132" s="4"/>
      <c r="JBG132" s="4"/>
      <c r="JBH132" s="4"/>
      <c r="JBI132" s="4"/>
      <c r="JBJ132" s="4"/>
      <c r="JBK132" s="4"/>
      <c r="JBL132" s="4"/>
      <c r="JBM132" s="4"/>
      <c r="JBN132" s="4"/>
      <c r="JBO132" s="4"/>
      <c r="JBP132" s="4"/>
      <c r="JBQ132" s="4"/>
      <c r="JBR132" s="4"/>
      <c r="JBS132" s="4"/>
      <c r="JBT132" s="4"/>
      <c r="JBU132" s="4"/>
      <c r="JBV132" s="4"/>
      <c r="JBW132" s="4"/>
      <c r="JBX132" s="4"/>
      <c r="JBY132" s="4"/>
      <c r="JBZ132" s="4"/>
      <c r="JCA132" s="4"/>
      <c r="JCB132" s="4"/>
      <c r="JCC132" s="4"/>
      <c r="JCD132" s="4"/>
      <c r="JCE132" s="4"/>
      <c r="JCF132" s="4"/>
      <c r="JCG132" s="4"/>
      <c r="JCH132" s="4"/>
      <c r="JCI132" s="4"/>
      <c r="JCJ132" s="4"/>
      <c r="JCK132" s="4"/>
      <c r="JCL132" s="4"/>
      <c r="JCM132" s="4"/>
      <c r="JCN132" s="4"/>
      <c r="JCO132" s="4"/>
      <c r="JCP132" s="4"/>
      <c r="JCQ132" s="4"/>
      <c r="JCR132" s="4"/>
      <c r="JCS132" s="4"/>
      <c r="JCT132" s="4"/>
      <c r="JCU132" s="4"/>
      <c r="JCV132" s="4"/>
      <c r="JCW132" s="4"/>
      <c r="JCX132" s="4"/>
      <c r="JCY132" s="4"/>
      <c r="JCZ132" s="4"/>
      <c r="JDA132" s="4"/>
      <c r="JDB132" s="4"/>
      <c r="JDC132" s="4"/>
      <c r="JDD132" s="4"/>
      <c r="JDE132" s="4"/>
      <c r="JDF132" s="4"/>
      <c r="JDG132" s="4"/>
      <c r="JDH132" s="4"/>
      <c r="JDI132" s="4"/>
      <c r="JDJ132" s="4"/>
      <c r="JDK132" s="4"/>
      <c r="JDL132" s="4"/>
      <c r="JDM132" s="4"/>
      <c r="JDN132" s="4"/>
      <c r="JDO132" s="4"/>
      <c r="JDP132" s="4"/>
      <c r="JDQ132" s="4"/>
      <c r="JDR132" s="4"/>
      <c r="JDS132" s="4"/>
      <c r="JDT132" s="4"/>
      <c r="JDU132" s="4"/>
      <c r="JDV132" s="4"/>
      <c r="JDW132" s="4"/>
      <c r="JDX132" s="4"/>
      <c r="JDY132" s="4"/>
      <c r="JDZ132" s="4"/>
      <c r="JEA132" s="4"/>
      <c r="JEB132" s="4"/>
      <c r="JEC132" s="4"/>
      <c r="JED132" s="4"/>
      <c r="JEE132" s="4"/>
      <c r="JEF132" s="4"/>
      <c r="JEG132" s="4"/>
      <c r="JEH132" s="4"/>
      <c r="JEI132" s="4"/>
      <c r="JEJ132" s="4"/>
      <c r="JEK132" s="4"/>
      <c r="JEL132" s="4"/>
      <c r="JEM132" s="4"/>
      <c r="JEN132" s="4"/>
      <c r="JEO132" s="4"/>
      <c r="JEP132" s="4"/>
      <c r="JEQ132" s="4"/>
      <c r="JER132" s="4"/>
      <c r="JES132" s="4"/>
      <c r="JET132" s="4"/>
      <c r="JEU132" s="4"/>
      <c r="JEV132" s="4"/>
      <c r="JEW132" s="4"/>
      <c r="JEX132" s="4"/>
      <c r="JEY132" s="4"/>
      <c r="JEZ132" s="4"/>
      <c r="JFA132" s="4"/>
      <c r="JFB132" s="4"/>
      <c r="JFC132" s="4"/>
      <c r="JFD132" s="4"/>
      <c r="JFE132" s="4"/>
      <c r="JFF132" s="4"/>
      <c r="JFG132" s="4"/>
      <c r="JFH132" s="4"/>
      <c r="JFI132" s="4"/>
      <c r="JFJ132" s="4"/>
      <c r="JFK132" s="4"/>
      <c r="JFL132" s="4"/>
      <c r="JFM132" s="4"/>
      <c r="JFN132" s="4"/>
      <c r="JFO132" s="4"/>
      <c r="JFP132" s="4"/>
      <c r="JFQ132" s="4"/>
      <c r="JFR132" s="4"/>
      <c r="JFS132" s="4"/>
      <c r="JFT132" s="4"/>
      <c r="JFU132" s="4"/>
      <c r="JFV132" s="4"/>
      <c r="JFW132" s="4"/>
      <c r="JFX132" s="4"/>
      <c r="JFY132" s="4"/>
      <c r="JFZ132" s="4"/>
      <c r="JGA132" s="4"/>
      <c r="JGB132" s="4"/>
      <c r="JGC132" s="4"/>
      <c r="JGD132" s="4"/>
      <c r="JGE132" s="4"/>
      <c r="JGF132" s="4"/>
      <c r="JGG132" s="4"/>
      <c r="JGH132" s="4"/>
      <c r="JGI132" s="4"/>
      <c r="JGJ132" s="4"/>
      <c r="JGK132" s="4"/>
      <c r="JGL132" s="4"/>
      <c r="JGM132" s="4"/>
      <c r="JGN132" s="4"/>
      <c r="JGO132" s="4"/>
      <c r="JGP132" s="4"/>
      <c r="JGQ132" s="4"/>
      <c r="JGR132" s="4"/>
      <c r="JGS132" s="4"/>
      <c r="JGT132" s="4"/>
      <c r="JGU132" s="4"/>
      <c r="JGV132" s="4"/>
      <c r="JGW132" s="4"/>
      <c r="JGX132" s="4"/>
      <c r="JGY132" s="4"/>
      <c r="JGZ132" s="4"/>
      <c r="JHA132" s="4"/>
      <c r="JHB132" s="4"/>
      <c r="JHC132" s="4"/>
      <c r="JHD132" s="4"/>
      <c r="JHE132" s="4"/>
      <c r="JHF132" s="4"/>
      <c r="JHG132" s="4"/>
      <c r="JHH132" s="4"/>
      <c r="JHI132" s="4"/>
      <c r="JHJ132" s="4"/>
      <c r="JHK132" s="4"/>
      <c r="JHL132" s="4"/>
      <c r="JHM132" s="4"/>
      <c r="JHN132" s="4"/>
      <c r="JHO132" s="4"/>
      <c r="JHP132" s="4"/>
      <c r="JHQ132" s="4"/>
      <c r="JHR132" s="4"/>
      <c r="JHS132" s="4"/>
      <c r="JHT132" s="4"/>
      <c r="JHU132" s="4"/>
      <c r="JHV132" s="4"/>
      <c r="JHW132" s="4"/>
      <c r="JHX132" s="4"/>
      <c r="JHY132" s="4"/>
      <c r="JHZ132" s="4"/>
      <c r="JIA132" s="4"/>
      <c r="JIB132" s="4"/>
      <c r="JIC132" s="4"/>
      <c r="JID132" s="4"/>
      <c r="JIE132" s="4"/>
      <c r="JIF132" s="4"/>
      <c r="JIG132" s="4"/>
      <c r="JIH132" s="4"/>
      <c r="JII132" s="4"/>
      <c r="JIJ132" s="4"/>
      <c r="JIK132" s="4"/>
      <c r="JIL132" s="4"/>
      <c r="JIM132" s="4"/>
      <c r="JIN132" s="4"/>
      <c r="JIO132" s="4"/>
      <c r="JIP132" s="4"/>
      <c r="JIQ132" s="4"/>
      <c r="JIR132" s="4"/>
      <c r="JIS132" s="4"/>
      <c r="JIT132" s="4"/>
      <c r="JIU132" s="4"/>
      <c r="JIV132" s="4"/>
      <c r="JIW132" s="4"/>
      <c r="JIX132" s="4"/>
      <c r="JIY132" s="4"/>
      <c r="JIZ132" s="4"/>
      <c r="JJA132" s="4"/>
      <c r="JJB132" s="4"/>
      <c r="JJC132" s="4"/>
      <c r="JJD132" s="4"/>
      <c r="JJE132" s="4"/>
      <c r="JJF132" s="4"/>
      <c r="JJG132" s="4"/>
      <c r="JJH132" s="4"/>
      <c r="JJI132" s="4"/>
      <c r="JJJ132" s="4"/>
      <c r="JJK132" s="4"/>
      <c r="JJL132" s="4"/>
      <c r="JJM132" s="4"/>
      <c r="JJN132" s="4"/>
      <c r="JJO132" s="4"/>
      <c r="JJP132" s="4"/>
      <c r="JJQ132" s="4"/>
      <c r="JJR132" s="4"/>
      <c r="JJS132" s="4"/>
      <c r="JJT132" s="4"/>
      <c r="JJU132" s="4"/>
      <c r="JJV132" s="4"/>
      <c r="JJW132" s="4"/>
      <c r="JJX132" s="4"/>
      <c r="JJY132" s="4"/>
      <c r="JJZ132" s="4"/>
      <c r="JKA132" s="4"/>
      <c r="JKB132" s="4"/>
      <c r="JKC132" s="4"/>
      <c r="JKD132" s="4"/>
      <c r="JKE132" s="4"/>
      <c r="JKF132" s="4"/>
      <c r="JKG132" s="4"/>
      <c r="JKH132" s="4"/>
      <c r="JKI132" s="4"/>
      <c r="JKJ132" s="4"/>
      <c r="JKK132" s="4"/>
      <c r="JKL132" s="4"/>
      <c r="JKM132" s="4"/>
      <c r="JKN132" s="4"/>
      <c r="JKO132" s="4"/>
      <c r="JKP132" s="4"/>
      <c r="JKQ132" s="4"/>
      <c r="JKR132" s="4"/>
      <c r="JKS132" s="4"/>
      <c r="JKT132" s="4"/>
      <c r="JKU132" s="4"/>
      <c r="JKV132" s="4"/>
      <c r="JKW132" s="4"/>
      <c r="JKX132" s="4"/>
      <c r="JKY132" s="4"/>
      <c r="JKZ132" s="4"/>
      <c r="JLA132" s="4"/>
      <c r="JLB132" s="4"/>
      <c r="JLC132" s="4"/>
      <c r="JLD132" s="4"/>
      <c r="JLE132" s="4"/>
      <c r="JLF132" s="4"/>
      <c r="JLG132" s="4"/>
      <c r="JLH132" s="4"/>
      <c r="JLI132" s="4"/>
      <c r="JLJ132" s="4"/>
      <c r="JLK132" s="4"/>
      <c r="JLL132" s="4"/>
      <c r="JLM132" s="4"/>
      <c r="JLN132" s="4"/>
      <c r="JLO132" s="4"/>
      <c r="JLP132" s="4"/>
      <c r="JLQ132" s="4"/>
      <c r="JLR132" s="4"/>
      <c r="JLS132" s="4"/>
      <c r="JLT132" s="4"/>
      <c r="JLU132" s="4"/>
      <c r="JLV132" s="4"/>
      <c r="JLW132" s="4"/>
      <c r="JLX132" s="4"/>
      <c r="JLY132" s="4"/>
      <c r="JLZ132" s="4"/>
      <c r="JMA132" s="4"/>
      <c r="JMB132" s="4"/>
      <c r="JMC132" s="4"/>
      <c r="JMD132" s="4"/>
      <c r="JME132" s="4"/>
      <c r="JMF132" s="4"/>
      <c r="JMG132" s="4"/>
      <c r="JMH132" s="4"/>
      <c r="JMI132" s="4"/>
      <c r="JMJ132" s="4"/>
      <c r="JMK132" s="4"/>
      <c r="JML132" s="4"/>
      <c r="JMM132" s="4"/>
      <c r="JMN132" s="4"/>
      <c r="JMO132" s="4"/>
      <c r="JMP132" s="4"/>
      <c r="JMQ132" s="4"/>
      <c r="JMR132" s="4"/>
      <c r="JMS132" s="4"/>
      <c r="JMT132" s="4"/>
      <c r="JMU132" s="4"/>
      <c r="JMV132" s="4"/>
      <c r="JMW132" s="4"/>
      <c r="JMX132" s="4"/>
      <c r="JMY132" s="4"/>
      <c r="JMZ132" s="4"/>
      <c r="JNA132" s="4"/>
      <c r="JNB132" s="4"/>
      <c r="JNC132" s="4"/>
      <c r="JND132" s="4"/>
      <c r="JNE132" s="4"/>
      <c r="JNF132" s="4"/>
      <c r="JNG132" s="4"/>
      <c r="JNH132" s="4"/>
      <c r="JNI132" s="4"/>
      <c r="JNJ132" s="4"/>
      <c r="JNK132" s="4"/>
      <c r="JNL132" s="4"/>
      <c r="JNM132" s="4"/>
      <c r="JNN132" s="4"/>
      <c r="JNO132" s="4"/>
      <c r="JNP132" s="4"/>
      <c r="JNQ132" s="4"/>
      <c r="JNR132" s="4"/>
      <c r="JNS132" s="4"/>
      <c r="JNT132" s="4"/>
      <c r="JNU132" s="4"/>
      <c r="JNV132" s="4"/>
      <c r="JNW132" s="4"/>
      <c r="JNX132" s="4"/>
      <c r="JNY132" s="4"/>
      <c r="JNZ132" s="4"/>
      <c r="JOA132" s="4"/>
      <c r="JOB132" s="4"/>
      <c r="JOC132" s="4"/>
      <c r="JOD132" s="4"/>
      <c r="JOE132" s="4"/>
      <c r="JOF132" s="4"/>
      <c r="JOG132" s="4"/>
      <c r="JOH132" s="4"/>
      <c r="JOI132" s="4"/>
      <c r="JOJ132" s="4"/>
      <c r="JOK132" s="4"/>
      <c r="JOL132" s="4"/>
      <c r="JOM132" s="4"/>
      <c r="JON132" s="4"/>
      <c r="JOO132" s="4"/>
      <c r="JOP132" s="4"/>
      <c r="JOQ132" s="4"/>
      <c r="JOR132" s="4"/>
      <c r="JOS132" s="4"/>
      <c r="JOT132" s="4"/>
      <c r="JOU132" s="4"/>
      <c r="JOV132" s="4"/>
      <c r="JOW132" s="4"/>
      <c r="JOX132" s="4"/>
      <c r="JOY132" s="4"/>
      <c r="JOZ132" s="4"/>
      <c r="JPA132" s="4"/>
      <c r="JPB132" s="4"/>
      <c r="JPC132" s="4"/>
      <c r="JPD132" s="4"/>
      <c r="JPE132" s="4"/>
      <c r="JPF132" s="4"/>
      <c r="JPG132" s="4"/>
      <c r="JPH132" s="4"/>
      <c r="JPI132" s="4"/>
      <c r="JPJ132" s="4"/>
      <c r="JPK132" s="4"/>
      <c r="JPL132" s="4"/>
      <c r="JPM132" s="4"/>
      <c r="JPN132" s="4"/>
      <c r="JPO132" s="4"/>
      <c r="JPP132" s="4"/>
      <c r="JPQ132" s="4"/>
      <c r="JPR132" s="4"/>
      <c r="JPS132" s="4"/>
      <c r="JPT132" s="4"/>
      <c r="JPU132" s="4"/>
      <c r="JPV132" s="4"/>
      <c r="JPW132" s="4"/>
      <c r="JPX132" s="4"/>
      <c r="JPY132" s="4"/>
      <c r="JPZ132" s="4"/>
      <c r="JQA132" s="4"/>
      <c r="JQB132" s="4"/>
      <c r="JQC132" s="4"/>
      <c r="JQD132" s="4"/>
      <c r="JQE132" s="4"/>
      <c r="JQF132" s="4"/>
      <c r="JQG132" s="4"/>
      <c r="JQH132" s="4"/>
      <c r="JQI132" s="4"/>
      <c r="JQJ132" s="4"/>
      <c r="JQK132" s="4"/>
      <c r="JQL132" s="4"/>
      <c r="JQM132" s="4"/>
      <c r="JQN132" s="4"/>
      <c r="JQO132" s="4"/>
      <c r="JQP132" s="4"/>
      <c r="JQQ132" s="4"/>
      <c r="JQR132" s="4"/>
      <c r="JQS132" s="4"/>
      <c r="JQT132" s="4"/>
      <c r="JQU132" s="4"/>
      <c r="JQV132" s="4"/>
      <c r="JQW132" s="4"/>
      <c r="JQX132" s="4"/>
      <c r="JQY132" s="4"/>
      <c r="JQZ132" s="4"/>
      <c r="JRA132" s="4"/>
      <c r="JRB132" s="4"/>
      <c r="JRC132" s="4"/>
      <c r="JRD132" s="4"/>
      <c r="JRE132" s="4"/>
      <c r="JRF132" s="4"/>
      <c r="JRG132" s="4"/>
      <c r="JRH132" s="4"/>
      <c r="JRI132" s="4"/>
      <c r="JRJ132" s="4"/>
      <c r="JRK132" s="4"/>
      <c r="JRL132" s="4"/>
      <c r="JRM132" s="4"/>
      <c r="JRN132" s="4"/>
      <c r="JRO132" s="4"/>
      <c r="JRP132" s="4"/>
      <c r="JRQ132" s="4"/>
      <c r="JRR132" s="4"/>
      <c r="JRS132" s="4"/>
      <c r="JRT132" s="4"/>
      <c r="JRU132" s="4"/>
      <c r="JRV132" s="4"/>
      <c r="JRW132" s="4"/>
      <c r="JRX132" s="4"/>
      <c r="JRY132" s="4"/>
      <c r="JRZ132" s="4"/>
      <c r="JSA132" s="4"/>
      <c r="JSB132" s="4"/>
      <c r="JSC132" s="4"/>
      <c r="JSD132" s="4"/>
      <c r="JSE132" s="4"/>
      <c r="JSF132" s="4"/>
      <c r="JSG132" s="4"/>
      <c r="JSH132" s="4"/>
      <c r="JSI132" s="4"/>
      <c r="JSJ132" s="4"/>
      <c r="JSK132" s="4"/>
      <c r="JSL132" s="4"/>
      <c r="JSM132" s="4"/>
      <c r="JSN132" s="4"/>
      <c r="JSO132" s="4"/>
      <c r="JSP132" s="4"/>
      <c r="JSQ132" s="4"/>
      <c r="JSR132" s="4"/>
      <c r="JSS132" s="4"/>
      <c r="JST132" s="4"/>
      <c r="JSU132" s="4"/>
      <c r="JSV132" s="4"/>
      <c r="JSW132" s="4"/>
      <c r="JSX132" s="4"/>
      <c r="JSY132" s="4"/>
      <c r="JSZ132" s="4"/>
      <c r="JTA132" s="4"/>
      <c r="JTB132" s="4"/>
      <c r="JTC132" s="4"/>
      <c r="JTD132" s="4"/>
      <c r="JTE132" s="4"/>
      <c r="JTF132" s="4"/>
      <c r="JTG132" s="4"/>
      <c r="JTH132" s="4"/>
      <c r="JTI132" s="4"/>
      <c r="JTJ132" s="4"/>
      <c r="JTK132" s="4"/>
      <c r="JTL132" s="4"/>
      <c r="JTM132" s="4"/>
      <c r="JTN132" s="4"/>
      <c r="JTO132" s="4"/>
      <c r="JTP132" s="4"/>
      <c r="JTQ132" s="4"/>
      <c r="JTR132" s="4"/>
      <c r="JTS132" s="4"/>
      <c r="JTT132" s="4"/>
      <c r="JTU132" s="4"/>
      <c r="JTV132" s="4"/>
      <c r="JTW132" s="4"/>
      <c r="JTX132" s="4"/>
      <c r="JTY132" s="4"/>
      <c r="JTZ132" s="4"/>
      <c r="JUA132" s="4"/>
      <c r="JUB132" s="4"/>
      <c r="JUC132" s="4"/>
      <c r="JUD132" s="4"/>
      <c r="JUE132" s="4"/>
      <c r="JUF132" s="4"/>
      <c r="JUG132" s="4"/>
      <c r="JUH132" s="4"/>
      <c r="JUI132" s="4"/>
      <c r="JUJ132" s="4"/>
      <c r="JUK132" s="4"/>
      <c r="JUL132" s="4"/>
      <c r="JUM132" s="4"/>
      <c r="JUN132" s="4"/>
      <c r="JUO132" s="4"/>
      <c r="JUP132" s="4"/>
      <c r="JUQ132" s="4"/>
      <c r="JUR132" s="4"/>
      <c r="JUS132" s="4"/>
      <c r="JUT132" s="4"/>
      <c r="JUU132" s="4"/>
      <c r="JUV132" s="4"/>
      <c r="JUW132" s="4"/>
      <c r="JUX132" s="4"/>
      <c r="JUY132" s="4"/>
      <c r="JUZ132" s="4"/>
      <c r="JVA132" s="4"/>
      <c r="JVB132" s="4"/>
      <c r="JVC132" s="4"/>
      <c r="JVD132" s="4"/>
      <c r="JVE132" s="4"/>
      <c r="JVF132" s="4"/>
      <c r="JVG132" s="4"/>
      <c r="JVH132" s="4"/>
      <c r="JVI132" s="4"/>
      <c r="JVJ132" s="4"/>
      <c r="JVK132" s="4"/>
      <c r="JVL132" s="4"/>
      <c r="JVM132" s="4"/>
      <c r="JVN132" s="4"/>
      <c r="JVO132" s="4"/>
      <c r="JVP132" s="4"/>
      <c r="JVQ132" s="4"/>
      <c r="JVR132" s="4"/>
      <c r="JVS132" s="4"/>
      <c r="JVT132" s="4"/>
      <c r="JVU132" s="4"/>
      <c r="JVV132" s="4"/>
      <c r="JVW132" s="4"/>
      <c r="JVX132" s="4"/>
      <c r="JVY132" s="4"/>
      <c r="JVZ132" s="4"/>
      <c r="JWA132" s="4"/>
      <c r="JWB132" s="4"/>
      <c r="JWC132" s="4"/>
      <c r="JWD132" s="4"/>
      <c r="JWE132" s="4"/>
      <c r="JWF132" s="4"/>
      <c r="JWG132" s="4"/>
      <c r="JWH132" s="4"/>
      <c r="JWI132" s="4"/>
      <c r="JWJ132" s="4"/>
      <c r="JWK132" s="4"/>
      <c r="JWL132" s="4"/>
      <c r="JWM132" s="4"/>
      <c r="JWN132" s="4"/>
      <c r="JWO132" s="4"/>
      <c r="JWP132" s="4"/>
      <c r="JWQ132" s="4"/>
      <c r="JWR132" s="4"/>
      <c r="JWS132" s="4"/>
      <c r="JWT132" s="4"/>
      <c r="JWU132" s="4"/>
      <c r="JWV132" s="4"/>
      <c r="JWW132" s="4"/>
      <c r="JWX132" s="4"/>
      <c r="JWY132" s="4"/>
      <c r="JWZ132" s="4"/>
      <c r="JXA132" s="4"/>
      <c r="JXB132" s="4"/>
      <c r="JXC132" s="4"/>
      <c r="JXD132" s="4"/>
      <c r="JXE132" s="4"/>
      <c r="JXF132" s="4"/>
      <c r="JXG132" s="4"/>
      <c r="JXH132" s="4"/>
      <c r="JXI132" s="4"/>
      <c r="JXJ132" s="4"/>
      <c r="JXK132" s="4"/>
      <c r="JXL132" s="4"/>
      <c r="JXM132" s="4"/>
      <c r="JXN132" s="4"/>
      <c r="JXO132" s="4"/>
      <c r="JXP132" s="4"/>
      <c r="JXQ132" s="4"/>
      <c r="JXR132" s="4"/>
      <c r="JXS132" s="4"/>
      <c r="JXT132" s="4"/>
      <c r="JXU132" s="4"/>
      <c r="JXV132" s="4"/>
      <c r="JXW132" s="4"/>
      <c r="JXX132" s="4"/>
      <c r="JXY132" s="4"/>
      <c r="JXZ132" s="4"/>
      <c r="JYA132" s="4"/>
      <c r="JYB132" s="4"/>
      <c r="JYC132" s="4"/>
      <c r="JYD132" s="4"/>
      <c r="JYE132" s="4"/>
      <c r="JYF132" s="4"/>
      <c r="JYG132" s="4"/>
      <c r="JYH132" s="4"/>
      <c r="JYI132" s="4"/>
      <c r="JYJ132" s="4"/>
      <c r="JYK132" s="4"/>
      <c r="JYL132" s="4"/>
      <c r="JYM132" s="4"/>
      <c r="JYN132" s="4"/>
      <c r="JYO132" s="4"/>
      <c r="JYP132" s="4"/>
      <c r="JYQ132" s="4"/>
      <c r="JYR132" s="4"/>
      <c r="JYS132" s="4"/>
      <c r="JYT132" s="4"/>
      <c r="JYU132" s="4"/>
      <c r="JYV132" s="4"/>
      <c r="JYW132" s="4"/>
      <c r="JYX132" s="4"/>
      <c r="JYY132" s="4"/>
      <c r="JYZ132" s="4"/>
      <c r="JZA132" s="4"/>
      <c r="JZB132" s="4"/>
      <c r="JZC132" s="4"/>
      <c r="JZD132" s="4"/>
      <c r="JZE132" s="4"/>
      <c r="JZF132" s="4"/>
      <c r="JZG132" s="4"/>
      <c r="JZH132" s="4"/>
      <c r="JZI132" s="4"/>
      <c r="JZJ132" s="4"/>
      <c r="JZK132" s="4"/>
      <c r="JZL132" s="4"/>
      <c r="JZM132" s="4"/>
      <c r="JZN132" s="4"/>
      <c r="JZO132" s="4"/>
      <c r="JZP132" s="4"/>
      <c r="JZQ132" s="4"/>
      <c r="JZR132" s="4"/>
      <c r="JZS132" s="4"/>
      <c r="JZT132" s="4"/>
      <c r="JZU132" s="4"/>
      <c r="JZV132" s="4"/>
      <c r="JZW132" s="4"/>
      <c r="JZX132" s="4"/>
      <c r="JZY132" s="4"/>
      <c r="JZZ132" s="4"/>
      <c r="KAA132" s="4"/>
      <c r="KAB132" s="4"/>
      <c r="KAC132" s="4"/>
      <c r="KAD132" s="4"/>
      <c r="KAE132" s="4"/>
      <c r="KAF132" s="4"/>
      <c r="KAG132" s="4"/>
      <c r="KAH132" s="4"/>
      <c r="KAI132" s="4"/>
      <c r="KAJ132" s="4"/>
      <c r="KAK132" s="4"/>
      <c r="KAL132" s="4"/>
      <c r="KAM132" s="4"/>
      <c r="KAN132" s="4"/>
      <c r="KAO132" s="4"/>
      <c r="KAP132" s="4"/>
      <c r="KAQ132" s="4"/>
      <c r="KAR132" s="4"/>
      <c r="KAS132" s="4"/>
      <c r="KAT132" s="4"/>
      <c r="KAU132" s="4"/>
      <c r="KAV132" s="4"/>
      <c r="KAW132" s="4"/>
      <c r="KAX132" s="4"/>
      <c r="KAY132" s="4"/>
      <c r="KAZ132" s="4"/>
      <c r="KBA132" s="4"/>
      <c r="KBB132" s="4"/>
      <c r="KBC132" s="4"/>
      <c r="KBD132" s="4"/>
      <c r="KBE132" s="4"/>
      <c r="KBF132" s="4"/>
      <c r="KBG132" s="4"/>
      <c r="KBH132" s="4"/>
      <c r="KBI132" s="4"/>
      <c r="KBJ132" s="4"/>
      <c r="KBK132" s="4"/>
      <c r="KBL132" s="4"/>
      <c r="KBM132" s="4"/>
      <c r="KBN132" s="4"/>
      <c r="KBO132" s="4"/>
      <c r="KBP132" s="4"/>
      <c r="KBQ132" s="4"/>
      <c r="KBR132" s="4"/>
      <c r="KBS132" s="4"/>
      <c r="KBT132" s="4"/>
      <c r="KBU132" s="4"/>
      <c r="KBV132" s="4"/>
      <c r="KBW132" s="4"/>
      <c r="KBX132" s="4"/>
      <c r="KBY132" s="4"/>
      <c r="KBZ132" s="4"/>
      <c r="KCA132" s="4"/>
      <c r="KCB132" s="4"/>
      <c r="KCC132" s="4"/>
      <c r="KCD132" s="4"/>
      <c r="KCE132" s="4"/>
      <c r="KCF132" s="4"/>
      <c r="KCG132" s="4"/>
      <c r="KCH132" s="4"/>
      <c r="KCI132" s="4"/>
      <c r="KCJ132" s="4"/>
      <c r="KCK132" s="4"/>
      <c r="KCL132" s="4"/>
      <c r="KCM132" s="4"/>
      <c r="KCN132" s="4"/>
      <c r="KCO132" s="4"/>
      <c r="KCP132" s="4"/>
      <c r="KCQ132" s="4"/>
      <c r="KCR132" s="4"/>
      <c r="KCS132" s="4"/>
      <c r="KCT132" s="4"/>
      <c r="KCU132" s="4"/>
      <c r="KCV132" s="4"/>
      <c r="KCW132" s="4"/>
      <c r="KCX132" s="4"/>
      <c r="KCY132" s="4"/>
      <c r="KCZ132" s="4"/>
      <c r="KDA132" s="4"/>
      <c r="KDB132" s="4"/>
      <c r="KDC132" s="4"/>
      <c r="KDD132" s="4"/>
      <c r="KDE132" s="4"/>
      <c r="KDF132" s="4"/>
      <c r="KDG132" s="4"/>
      <c r="KDH132" s="4"/>
      <c r="KDI132" s="4"/>
      <c r="KDJ132" s="4"/>
      <c r="KDK132" s="4"/>
      <c r="KDL132" s="4"/>
      <c r="KDM132" s="4"/>
      <c r="KDN132" s="4"/>
      <c r="KDO132" s="4"/>
      <c r="KDP132" s="4"/>
      <c r="KDQ132" s="4"/>
      <c r="KDR132" s="4"/>
      <c r="KDS132" s="4"/>
      <c r="KDT132" s="4"/>
      <c r="KDU132" s="4"/>
      <c r="KDV132" s="4"/>
      <c r="KDW132" s="4"/>
      <c r="KDX132" s="4"/>
      <c r="KDY132" s="4"/>
      <c r="KDZ132" s="4"/>
      <c r="KEA132" s="4"/>
      <c r="KEB132" s="4"/>
      <c r="KEC132" s="4"/>
      <c r="KED132" s="4"/>
      <c r="KEE132" s="4"/>
      <c r="KEF132" s="4"/>
      <c r="KEG132" s="4"/>
      <c r="KEH132" s="4"/>
      <c r="KEI132" s="4"/>
      <c r="KEJ132" s="4"/>
      <c r="KEK132" s="4"/>
      <c r="KEL132" s="4"/>
      <c r="KEM132" s="4"/>
      <c r="KEN132" s="4"/>
      <c r="KEO132" s="4"/>
      <c r="KEP132" s="4"/>
      <c r="KEQ132" s="4"/>
      <c r="KER132" s="4"/>
      <c r="KES132" s="4"/>
      <c r="KET132" s="4"/>
      <c r="KEU132" s="4"/>
      <c r="KEV132" s="4"/>
      <c r="KEW132" s="4"/>
      <c r="KEX132" s="4"/>
      <c r="KEY132" s="4"/>
      <c r="KEZ132" s="4"/>
      <c r="KFA132" s="4"/>
      <c r="KFB132" s="4"/>
      <c r="KFC132" s="4"/>
      <c r="KFD132" s="4"/>
      <c r="KFE132" s="4"/>
      <c r="KFF132" s="4"/>
      <c r="KFG132" s="4"/>
      <c r="KFH132" s="4"/>
      <c r="KFI132" s="4"/>
      <c r="KFJ132" s="4"/>
      <c r="KFK132" s="4"/>
      <c r="KFL132" s="4"/>
      <c r="KFM132" s="4"/>
      <c r="KFN132" s="4"/>
      <c r="KFO132" s="4"/>
      <c r="KFP132" s="4"/>
      <c r="KFQ132" s="4"/>
      <c r="KFR132" s="4"/>
      <c r="KFS132" s="4"/>
      <c r="KFT132" s="4"/>
      <c r="KFU132" s="4"/>
      <c r="KFV132" s="4"/>
      <c r="KFW132" s="4"/>
      <c r="KFX132" s="4"/>
      <c r="KFY132" s="4"/>
      <c r="KFZ132" s="4"/>
      <c r="KGA132" s="4"/>
      <c r="KGB132" s="4"/>
      <c r="KGC132" s="4"/>
      <c r="KGD132" s="4"/>
      <c r="KGE132" s="4"/>
      <c r="KGF132" s="4"/>
      <c r="KGG132" s="4"/>
      <c r="KGH132" s="4"/>
      <c r="KGI132" s="4"/>
      <c r="KGJ132" s="4"/>
      <c r="KGK132" s="4"/>
      <c r="KGL132" s="4"/>
      <c r="KGM132" s="4"/>
      <c r="KGN132" s="4"/>
      <c r="KGO132" s="4"/>
      <c r="KGP132" s="4"/>
      <c r="KGQ132" s="4"/>
      <c r="KGR132" s="4"/>
      <c r="KGS132" s="4"/>
      <c r="KGT132" s="4"/>
      <c r="KGU132" s="4"/>
      <c r="KGV132" s="4"/>
      <c r="KGW132" s="4"/>
      <c r="KGX132" s="4"/>
      <c r="KGY132" s="4"/>
      <c r="KGZ132" s="4"/>
      <c r="KHA132" s="4"/>
      <c r="KHB132" s="4"/>
      <c r="KHC132" s="4"/>
      <c r="KHD132" s="4"/>
      <c r="KHE132" s="4"/>
      <c r="KHF132" s="4"/>
      <c r="KHG132" s="4"/>
      <c r="KHH132" s="4"/>
      <c r="KHI132" s="4"/>
      <c r="KHJ132" s="4"/>
      <c r="KHK132" s="4"/>
      <c r="KHL132" s="4"/>
      <c r="KHM132" s="4"/>
      <c r="KHN132" s="4"/>
      <c r="KHO132" s="4"/>
      <c r="KHP132" s="4"/>
      <c r="KHQ132" s="4"/>
      <c r="KHR132" s="4"/>
      <c r="KHS132" s="4"/>
      <c r="KHT132" s="4"/>
      <c r="KHU132" s="4"/>
      <c r="KHV132" s="4"/>
      <c r="KHW132" s="4"/>
      <c r="KHX132" s="4"/>
      <c r="KHY132" s="4"/>
      <c r="KHZ132" s="4"/>
      <c r="KIA132" s="4"/>
      <c r="KIB132" s="4"/>
      <c r="KIC132" s="4"/>
      <c r="KID132" s="4"/>
      <c r="KIE132" s="4"/>
      <c r="KIF132" s="4"/>
      <c r="KIG132" s="4"/>
      <c r="KIH132" s="4"/>
      <c r="KII132" s="4"/>
      <c r="KIJ132" s="4"/>
      <c r="KIK132" s="4"/>
      <c r="KIL132" s="4"/>
      <c r="KIM132" s="4"/>
      <c r="KIN132" s="4"/>
      <c r="KIO132" s="4"/>
      <c r="KIP132" s="4"/>
      <c r="KIQ132" s="4"/>
      <c r="KIR132" s="4"/>
      <c r="KIS132" s="4"/>
      <c r="KIT132" s="4"/>
      <c r="KIU132" s="4"/>
      <c r="KIV132" s="4"/>
      <c r="KIW132" s="4"/>
      <c r="KIX132" s="4"/>
      <c r="KIY132" s="4"/>
      <c r="KIZ132" s="4"/>
      <c r="KJA132" s="4"/>
      <c r="KJB132" s="4"/>
      <c r="KJC132" s="4"/>
      <c r="KJD132" s="4"/>
      <c r="KJE132" s="4"/>
      <c r="KJF132" s="4"/>
      <c r="KJG132" s="4"/>
      <c r="KJH132" s="4"/>
      <c r="KJI132" s="4"/>
      <c r="KJJ132" s="4"/>
      <c r="KJK132" s="4"/>
      <c r="KJL132" s="4"/>
      <c r="KJM132" s="4"/>
      <c r="KJN132" s="4"/>
      <c r="KJO132" s="4"/>
      <c r="KJP132" s="4"/>
      <c r="KJQ132" s="4"/>
      <c r="KJR132" s="4"/>
      <c r="KJS132" s="4"/>
      <c r="KJT132" s="4"/>
      <c r="KJU132" s="4"/>
      <c r="KJV132" s="4"/>
      <c r="KJW132" s="4"/>
      <c r="KJX132" s="4"/>
      <c r="KJY132" s="4"/>
      <c r="KJZ132" s="4"/>
      <c r="KKA132" s="4"/>
      <c r="KKB132" s="4"/>
      <c r="KKC132" s="4"/>
      <c r="KKD132" s="4"/>
      <c r="KKE132" s="4"/>
      <c r="KKF132" s="4"/>
      <c r="KKG132" s="4"/>
      <c r="KKH132" s="4"/>
      <c r="KKI132" s="4"/>
      <c r="KKJ132" s="4"/>
      <c r="KKK132" s="4"/>
      <c r="KKL132" s="4"/>
      <c r="KKM132" s="4"/>
      <c r="KKN132" s="4"/>
      <c r="KKO132" s="4"/>
      <c r="KKP132" s="4"/>
      <c r="KKQ132" s="4"/>
      <c r="KKR132" s="4"/>
      <c r="KKS132" s="4"/>
      <c r="KKT132" s="4"/>
      <c r="KKU132" s="4"/>
      <c r="KKV132" s="4"/>
      <c r="KKW132" s="4"/>
      <c r="KKX132" s="4"/>
      <c r="KKY132" s="4"/>
      <c r="KKZ132" s="4"/>
      <c r="KLA132" s="4"/>
      <c r="KLB132" s="4"/>
      <c r="KLC132" s="4"/>
      <c r="KLD132" s="4"/>
      <c r="KLE132" s="4"/>
      <c r="KLF132" s="4"/>
      <c r="KLG132" s="4"/>
      <c r="KLH132" s="4"/>
      <c r="KLI132" s="4"/>
      <c r="KLJ132" s="4"/>
      <c r="KLK132" s="4"/>
      <c r="KLL132" s="4"/>
      <c r="KLM132" s="4"/>
      <c r="KLN132" s="4"/>
      <c r="KLO132" s="4"/>
      <c r="KLP132" s="4"/>
      <c r="KLQ132" s="4"/>
      <c r="KLR132" s="4"/>
      <c r="KLS132" s="4"/>
      <c r="KLT132" s="4"/>
      <c r="KLU132" s="4"/>
      <c r="KLV132" s="4"/>
      <c r="KLW132" s="4"/>
      <c r="KLX132" s="4"/>
      <c r="KLY132" s="4"/>
      <c r="KLZ132" s="4"/>
      <c r="KMA132" s="4"/>
      <c r="KMB132" s="4"/>
      <c r="KMC132" s="4"/>
      <c r="KMD132" s="4"/>
      <c r="KME132" s="4"/>
      <c r="KMF132" s="4"/>
      <c r="KMG132" s="4"/>
      <c r="KMH132" s="4"/>
      <c r="KMI132" s="4"/>
      <c r="KMJ132" s="4"/>
      <c r="KMK132" s="4"/>
      <c r="KML132" s="4"/>
      <c r="KMM132" s="4"/>
      <c r="KMN132" s="4"/>
      <c r="KMO132" s="4"/>
      <c r="KMP132" s="4"/>
      <c r="KMQ132" s="4"/>
      <c r="KMR132" s="4"/>
      <c r="KMS132" s="4"/>
      <c r="KMT132" s="4"/>
      <c r="KMU132" s="4"/>
      <c r="KMV132" s="4"/>
      <c r="KMW132" s="4"/>
      <c r="KMX132" s="4"/>
      <c r="KMY132" s="4"/>
      <c r="KMZ132" s="4"/>
      <c r="KNA132" s="4"/>
      <c r="KNB132" s="4"/>
      <c r="KNC132" s="4"/>
      <c r="KND132" s="4"/>
      <c r="KNE132" s="4"/>
      <c r="KNF132" s="4"/>
      <c r="KNG132" s="4"/>
      <c r="KNH132" s="4"/>
      <c r="KNI132" s="4"/>
      <c r="KNJ132" s="4"/>
      <c r="KNK132" s="4"/>
      <c r="KNL132" s="4"/>
      <c r="KNM132" s="4"/>
      <c r="KNN132" s="4"/>
      <c r="KNO132" s="4"/>
      <c r="KNP132" s="4"/>
      <c r="KNQ132" s="4"/>
      <c r="KNR132" s="4"/>
      <c r="KNS132" s="4"/>
      <c r="KNT132" s="4"/>
      <c r="KNU132" s="4"/>
      <c r="KNV132" s="4"/>
      <c r="KNW132" s="4"/>
      <c r="KNX132" s="4"/>
      <c r="KNY132" s="4"/>
      <c r="KNZ132" s="4"/>
      <c r="KOA132" s="4"/>
      <c r="KOB132" s="4"/>
      <c r="KOC132" s="4"/>
      <c r="KOD132" s="4"/>
      <c r="KOE132" s="4"/>
      <c r="KOF132" s="4"/>
      <c r="KOG132" s="4"/>
      <c r="KOH132" s="4"/>
      <c r="KOI132" s="4"/>
      <c r="KOJ132" s="4"/>
      <c r="KOK132" s="4"/>
      <c r="KOL132" s="4"/>
      <c r="KOM132" s="4"/>
      <c r="KON132" s="4"/>
      <c r="KOO132" s="4"/>
      <c r="KOP132" s="4"/>
      <c r="KOQ132" s="4"/>
      <c r="KOR132" s="4"/>
      <c r="KOS132" s="4"/>
      <c r="KOT132" s="4"/>
      <c r="KOU132" s="4"/>
      <c r="KOV132" s="4"/>
      <c r="KOW132" s="4"/>
      <c r="KOX132" s="4"/>
      <c r="KOY132" s="4"/>
      <c r="KOZ132" s="4"/>
      <c r="KPA132" s="4"/>
      <c r="KPB132" s="4"/>
      <c r="KPC132" s="4"/>
      <c r="KPD132" s="4"/>
      <c r="KPE132" s="4"/>
      <c r="KPF132" s="4"/>
      <c r="KPG132" s="4"/>
      <c r="KPH132" s="4"/>
      <c r="KPI132" s="4"/>
      <c r="KPJ132" s="4"/>
      <c r="KPK132" s="4"/>
      <c r="KPL132" s="4"/>
      <c r="KPM132" s="4"/>
      <c r="KPN132" s="4"/>
      <c r="KPO132" s="4"/>
      <c r="KPP132" s="4"/>
      <c r="KPQ132" s="4"/>
      <c r="KPR132" s="4"/>
      <c r="KPS132" s="4"/>
      <c r="KPT132" s="4"/>
      <c r="KPU132" s="4"/>
      <c r="KPV132" s="4"/>
      <c r="KPW132" s="4"/>
      <c r="KPX132" s="4"/>
      <c r="KPY132" s="4"/>
      <c r="KPZ132" s="4"/>
      <c r="KQA132" s="4"/>
      <c r="KQB132" s="4"/>
      <c r="KQC132" s="4"/>
      <c r="KQD132" s="4"/>
      <c r="KQE132" s="4"/>
      <c r="KQF132" s="4"/>
      <c r="KQG132" s="4"/>
      <c r="KQH132" s="4"/>
      <c r="KQI132" s="4"/>
      <c r="KQJ132" s="4"/>
      <c r="KQK132" s="4"/>
      <c r="KQL132" s="4"/>
      <c r="KQM132" s="4"/>
      <c r="KQN132" s="4"/>
      <c r="KQO132" s="4"/>
      <c r="KQP132" s="4"/>
      <c r="KQQ132" s="4"/>
      <c r="KQR132" s="4"/>
      <c r="KQS132" s="4"/>
      <c r="KQT132" s="4"/>
      <c r="KQU132" s="4"/>
      <c r="KQV132" s="4"/>
      <c r="KQW132" s="4"/>
      <c r="KQX132" s="4"/>
      <c r="KQY132" s="4"/>
      <c r="KQZ132" s="4"/>
      <c r="KRA132" s="4"/>
      <c r="KRB132" s="4"/>
      <c r="KRC132" s="4"/>
      <c r="KRD132" s="4"/>
      <c r="KRE132" s="4"/>
      <c r="KRF132" s="4"/>
      <c r="KRG132" s="4"/>
      <c r="KRH132" s="4"/>
      <c r="KRI132" s="4"/>
      <c r="KRJ132" s="4"/>
      <c r="KRK132" s="4"/>
      <c r="KRL132" s="4"/>
      <c r="KRM132" s="4"/>
      <c r="KRN132" s="4"/>
      <c r="KRO132" s="4"/>
      <c r="KRP132" s="4"/>
      <c r="KRQ132" s="4"/>
      <c r="KRR132" s="4"/>
      <c r="KRS132" s="4"/>
      <c r="KRT132" s="4"/>
      <c r="KRU132" s="4"/>
      <c r="KRV132" s="4"/>
      <c r="KRW132" s="4"/>
      <c r="KRX132" s="4"/>
      <c r="KRY132" s="4"/>
      <c r="KRZ132" s="4"/>
      <c r="KSA132" s="4"/>
      <c r="KSB132" s="4"/>
      <c r="KSC132" s="4"/>
      <c r="KSD132" s="4"/>
      <c r="KSE132" s="4"/>
      <c r="KSF132" s="4"/>
      <c r="KSG132" s="4"/>
      <c r="KSH132" s="4"/>
      <c r="KSI132" s="4"/>
      <c r="KSJ132" s="4"/>
      <c r="KSK132" s="4"/>
      <c r="KSL132" s="4"/>
      <c r="KSM132" s="4"/>
      <c r="KSN132" s="4"/>
      <c r="KSO132" s="4"/>
      <c r="KSP132" s="4"/>
      <c r="KSQ132" s="4"/>
      <c r="KSR132" s="4"/>
      <c r="KSS132" s="4"/>
      <c r="KST132" s="4"/>
      <c r="KSU132" s="4"/>
      <c r="KSV132" s="4"/>
      <c r="KSW132" s="4"/>
      <c r="KSX132" s="4"/>
      <c r="KSY132" s="4"/>
      <c r="KSZ132" s="4"/>
      <c r="KTA132" s="4"/>
      <c r="KTB132" s="4"/>
      <c r="KTC132" s="4"/>
      <c r="KTD132" s="4"/>
      <c r="KTE132" s="4"/>
      <c r="KTF132" s="4"/>
      <c r="KTG132" s="4"/>
      <c r="KTH132" s="4"/>
      <c r="KTI132" s="4"/>
      <c r="KTJ132" s="4"/>
      <c r="KTK132" s="4"/>
      <c r="KTL132" s="4"/>
      <c r="KTM132" s="4"/>
      <c r="KTN132" s="4"/>
      <c r="KTO132" s="4"/>
      <c r="KTP132" s="4"/>
      <c r="KTQ132" s="4"/>
      <c r="KTR132" s="4"/>
      <c r="KTS132" s="4"/>
      <c r="KTT132" s="4"/>
      <c r="KTU132" s="4"/>
      <c r="KTV132" s="4"/>
      <c r="KTW132" s="4"/>
      <c r="KTX132" s="4"/>
      <c r="KTY132" s="4"/>
      <c r="KTZ132" s="4"/>
      <c r="KUA132" s="4"/>
      <c r="KUB132" s="4"/>
      <c r="KUC132" s="4"/>
      <c r="KUD132" s="4"/>
      <c r="KUE132" s="4"/>
      <c r="KUF132" s="4"/>
      <c r="KUG132" s="4"/>
      <c r="KUH132" s="4"/>
      <c r="KUI132" s="4"/>
      <c r="KUJ132" s="4"/>
      <c r="KUK132" s="4"/>
      <c r="KUL132" s="4"/>
      <c r="KUM132" s="4"/>
      <c r="KUN132" s="4"/>
      <c r="KUO132" s="4"/>
      <c r="KUP132" s="4"/>
      <c r="KUQ132" s="4"/>
      <c r="KUR132" s="4"/>
      <c r="KUS132" s="4"/>
      <c r="KUT132" s="4"/>
      <c r="KUU132" s="4"/>
      <c r="KUV132" s="4"/>
      <c r="KUW132" s="4"/>
      <c r="KUX132" s="4"/>
      <c r="KUY132" s="4"/>
      <c r="KUZ132" s="4"/>
      <c r="KVA132" s="4"/>
      <c r="KVB132" s="4"/>
      <c r="KVC132" s="4"/>
      <c r="KVD132" s="4"/>
      <c r="KVE132" s="4"/>
      <c r="KVF132" s="4"/>
      <c r="KVG132" s="4"/>
      <c r="KVH132" s="4"/>
      <c r="KVI132" s="4"/>
      <c r="KVJ132" s="4"/>
      <c r="KVK132" s="4"/>
      <c r="KVL132" s="4"/>
      <c r="KVM132" s="4"/>
      <c r="KVN132" s="4"/>
      <c r="KVO132" s="4"/>
      <c r="KVP132" s="4"/>
      <c r="KVQ132" s="4"/>
      <c r="KVR132" s="4"/>
      <c r="KVS132" s="4"/>
      <c r="KVT132" s="4"/>
      <c r="KVU132" s="4"/>
      <c r="KVV132" s="4"/>
      <c r="KVW132" s="4"/>
      <c r="KVX132" s="4"/>
      <c r="KVY132" s="4"/>
      <c r="KVZ132" s="4"/>
      <c r="KWA132" s="4"/>
      <c r="KWB132" s="4"/>
      <c r="KWC132" s="4"/>
      <c r="KWD132" s="4"/>
      <c r="KWE132" s="4"/>
      <c r="KWF132" s="4"/>
      <c r="KWG132" s="4"/>
      <c r="KWH132" s="4"/>
      <c r="KWI132" s="4"/>
      <c r="KWJ132" s="4"/>
      <c r="KWK132" s="4"/>
      <c r="KWL132" s="4"/>
      <c r="KWM132" s="4"/>
      <c r="KWN132" s="4"/>
      <c r="KWO132" s="4"/>
      <c r="KWP132" s="4"/>
      <c r="KWQ132" s="4"/>
      <c r="KWR132" s="4"/>
      <c r="KWS132" s="4"/>
      <c r="KWT132" s="4"/>
      <c r="KWU132" s="4"/>
      <c r="KWV132" s="4"/>
      <c r="KWW132" s="4"/>
      <c r="KWX132" s="4"/>
      <c r="KWY132" s="4"/>
      <c r="KWZ132" s="4"/>
      <c r="KXA132" s="4"/>
      <c r="KXB132" s="4"/>
      <c r="KXC132" s="4"/>
      <c r="KXD132" s="4"/>
      <c r="KXE132" s="4"/>
      <c r="KXF132" s="4"/>
      <c r="KXG132" s="4"/>
      <c r="KXH132" s="4"/>
      <c r="KXI132" s="4"/>
      <c r="KXJ132" s="4"/>
      <c r="KXK132" s="4"/>
      <c r="KXL132" s="4"/>
      <c r="KXM132" s="4"/>
      <c r="KXN132" s="4"/>
      <c r="KXO132" s="4"/>
      <c r="KXP132" s="4"/>
      <c r="KXQ132" s="4"/>
      <c r="KXR132" s="4"/>
      <c r="KXS132" s="4"/>
      <c r="KXT132" s="4"/>
      <c r="KXU132" s="4"/>
      <c r="KXV132" s="4"/>
      <c r="KXW132" s="4"/>
      <c r="KXX132" s="4"/>
      <c r="KXY132" s="4"/>
      <c r="KXZ132" s="4"/>
      <c r="KYA132" s="4"/>
      <c r="KYB132" s="4"/>
      <c r="KYC132" s="4"/>
      <c r="KYD132" s="4"/>
      <c r="KYE132" s="4"/>
      <c r="KYF132" s="4"/>
      <c r="KYG132" s="4"/>
      <c r="KYH132" s="4"/>
      <c r="KYI132" s="4"/>
      <c r="KYJ132" s="4"/>
      <c r="KYK132" s="4"/>
      <c r="KYL132" s="4"/>
      <c r="KYM132" s="4"/>
      <c r="KYN132" s="4"/>
      <c r="KYO132" s="4"/>
      <c r="KYP132" s="4"/>
      <c r="KYQ132" s="4"/>
      <c r="KYR132" s="4"/>
      <c r="KYS132" s="4"/>
      <c r="KYT132" s="4"/>
      <c r="KYU132" s="4"/>
      <c r="KYV132" s="4"/>
      <c r="KYW132" s="4"/>
      <c r="KYX132" s="4"/>
      <c r="KYY132" s="4"/>
      <c r="KYZ132" s="4"/>
      <c r="KZA132" s="4"/>
      <c r="KZB132" s="4"/>
      <c r="KZC132" s="4"/>
      <c r="KZD132" s="4"/>
      <c r="KZE132" s="4"/>
      <c r="KZF132" s="4"/>
      <c r="KZG132" s="4"/>
      <c r="KZH132" s="4"/>
      <c r="KZI132" s="4"/>
      <c r="KZJ132" s="4"/>
      <c r="KZK132" s="4"/>
      <c r="KZL132" s="4"/>
      <c r="KZM132" s="4"/>
      <c r="KZN132" s="4"/>
      <c r="KZO132" s="4"/>
      <c r="KZP132" s="4"/>
      <c r="KZQ132" s="4"/>
      <c r="KZR132" s="4"/>
      <c r="KZS132" s="4"/>
      <c r="KZT132" s="4"/>
      <c r="KZU132" s="4"/>
      <c r="KZV132" s="4"/>
      <c r="KZW132" s="4"/>
      <c r="KZX132" s="4"/>
      <c r="KZY132" s="4"/>
      <c r="KZZ132" s="4"/>
      <c r="LAA132" s="4"/>
      <c r="LAB132" s="4"/>
      <c r="LAC132" s="4"/>
      <c r="LAD132" s="4"/>
      <c r="LAE132" s="4"/>
      <c r="LAF132" s="4"/>
      <c r="LAG132" s="4"/>
      <c r="LAH132" s="4"/>
      <c r="LAI132" s="4"/>
      <c r="LAJ132" s="4"/>
      <c r="LAK132" s="4"/>
      <c r="LAL132" s="4"/>
      <c r="LAM132" s="4"/>
      <c r="LAN132" s="4"/>
      <c r="LAO132" s="4"/>
      <c r="LAP132" s="4"/>
      <c r="LAQ132" s="4"/>
      <c r="LAR132" s="4"/>
      <c r="LAS132" s="4"/>
      <c r="LAT132" s="4"/>
      <c r="LAU132" s="4"/>
      <c r="LAV132" s="4"/>
      <c r="LAW132" s="4"/>
      <c r="LAX132" s="4"/>
      <c r="LAY132" s="4"/>
      <c r="LAZ132" s="4"/>
      <c r="LBA132" s="4"/>
      <c r="LBB132" s="4"/>
      <c r="LBC132" s="4"/>
      <c r="LBD132" s="4"/>
      <c r="LBE132" s="4"/>
      <c r="LBF132" s="4"/>
      <c r="LBG132" s="4"/>
      <c r="LBH132" s="4"/>
      <c r="LBI132" s="4"/>
      <c r="LBJ132" s="4"/>
      <c r="LBK132" s="4"/>
      <c r="LBL132" s="4"/>
      <c r="LBM132" s="4"/>
      <c r="LBN132" s="4"/>
      <c r="LBO132" s="4"/>
      <c r="LBP132" s="4"/>
      <c r="LBQ132" s="4"/>
      <c r="LBR132" s="4"/>
      <c r="LBS132" s="4"/>
      <c r="LBT132" s="4"/>
      <c r="LBU132" s="4"/>
      <c r="LBV132" s="4"/>
      <c r="LBW132" s="4"/>
      <c r="LBX132" s="4"/>
      <c r="LBY132" s="4"/>
      <c r="LBZ132" s="4"/>
      <c r="LCA132" s="4"/>
      <c r="LCB132" s="4"/>
      <c r="LCC132" s="4"/>
      <c r="LCD132" s="4"/>
      <c r="LCE132" s="4"/>
      <c r="LCF132" s="4"/>
      <c r="LCG132" s="4"/>
      <c r="LCH132" s="4"/>
      <c r="LCI132" s="4"/>
      <c r="LCJ132" s="4"/>
      <c r="LCK132" s="4"/>
      <c r="LCL132" s="4"/>
      <c r="LCM132" s="4"/>
      <c r="LCN132" s="4"/>
      <c r="LCO132" s="4"/>
      <c r="LCP132" s="4"/>
      <c r="LCQ132" s="4"/>
      <c r="LCR132" s="4"/>
      <c r="LCS132" s="4"/>
      <c r="LCT132" s="4"/>
      <c r="LCU132" s="4"/>
      <c r="LCV132" s="4"/>
      <c r="LCW132" s="4"/>
      <c r="LCX132" s="4"/>
      <c r="LCY132" s="4"/>
      <c r="LCZ132" s="4"/>
      <c r="LDA132" s="4"/>
      <c r="LDB132" s="4"/>
      <c r="LDC132" s="4"/>
      <c r="LDD132" s="4"/>
      <c r="LDE132" s="4"/>
      <c r="LDF132" s="4"/>
      <c r="LDG132" s="4"/>
      <c r="LDH132" s="4"/>
      <c r="LDI132" s="4"/>
      <c r="LDJ132" s="4"/>
      <c r="LDK132" s="4"/>
      <c r="LDL132" s="4"/>
      <c r="LDM132" s="4"/>
      <c r="LDN132" s="4"/>
      <c r="LDO132" s="4"/>
      <c r="LDP132" s="4"/>
      <c r="LDQ132" s="4"/>
      <c r="LDR132" s="4"/>
      <c r="LDS132" s="4"/>
      <c r="LDT132" s="4"/>
      <c r="LDU132" s="4"/>
      <c r="LDV132" s="4"/>
      <c r="LDW132" s="4"/>
      <c r="LDX132" s="4"/>
      <c r="LDY132" s="4"/>
      <c r="LDZ132" s="4"/>
      <c r="LEA132" s="4"/>
      <c r="LEB132" s="4"/>
      <c r="LEC132" s="4"/>
      <c r="LED132" s="4"/>
      <c r="LEE132" s="4"/>
      <c r="LEF132" s="4"/>
      <c r="LEG132" s="4"/>
      <c r="LEH132" s="4"/>
      <c r="LEI132" s="4"/>
      <c r="LEJ132" s="4"/>
      <c r="LEK132" s="4"/>
      <c r="LEL132" s="4"/>
      <c r="LEM132" s="4"/>
      <c r="LEN132" s="4"/>
      <c r="LEO132" s="4"/>
      <c r="LEP132" s="4"/>
      <c r="LEQ132" s="4"/>
      <c r="LER132" s="4"/>
      <c r="LES132" s="4"/>
      <c r="LET132" s="4"/>
      <c r="LEU132" s="4"/>
      <c r="LEV132" s="4"/>
      <c r="LEW132" s="4"/>
      <c r="LEX132" s="4"/>
      <c r="LEY132" s="4"/>
      <c r="LEZ132" s="4"/>
      <c r="LFA132" s="4"/>
      <c r="LFB132" s="4"/>
      <c r="LFC132" s="4"/>
      <c r="LFD132" s="4"/>
      <c r="LFE132" s="4"/>
      <c r="LFF132" s="4"/>
      <c r="LFG132" s="4"/>
      <c r="LFH132" s="4"/>
      <c r="LFI132" s="4"/>
      <c r="LFJ132" s="4"/>
      <c r="LFK132" s="4"/>
      <c r="LFL132" s="4"/>
      <c r="LFM132" s="4"/>
      <c r="LFN132" s="4"/>
      <c r="LFO132" s="4"/>
      <c r="LFP132" s="4"/>
      <c r="LFQ132" s="4"/>
      <c r="LFR132" s="4"/>
      <c r="LFS132" s="4"/>
      <c r="LFT132" s="4"/>
      <c r="LFU132" s="4"/>
      <c r="LFV132" s="4"/>
      <c r="LFW132" s="4"/>
      <c r="LFX132" s="4"/>
      <c r="LFY132" s="4"/>
      <c r="LFZ132" s="4"/>
      <c r="LGA132" s="4"/>
      <c r="LGB132" s="4"/>
      <c r="LGC132" s="4"/>
      <c r="LGD132" s="4"/>
      <c r="LGE132" s="4"/>
      <c r="LGF132" s="4"/>
      <c r="LGG132" s="4"/>
      <c r="LGH132" s="4"/>
      <c r="LGI132" s="4"/>
      <c r="LGJ132" s="4"/>
      <c r="LGK132" s="4"/>
      <c r="LGL132" s="4"/>
      <c r="LGM132" s="4"/>
      <c r="LGN132" s="4"/>
      <c r="LGO132" s="4"/>
      <c r="LGP132" s="4"/>
      <c r="LGQ132" s="4"/>
      <c r="LGR132" s="4"/>
      <c r="LGS132" s="4"/>
      <c r="LGT132" s="4"/>
      <c r="LGU132" s="4"/>
      <c r="LGV132" s="4"/>
      <c r="LGW132" s="4"/>
      <c r="LGX132" s="4"/>
      <c r="LGY132" s="4"/>
      <c r="LGZ132" s="4"/>
      <c r="LHA132" s="4"/>
      <c r="LHB132" s="4"/>
      <c r="LHC132" s="4"/>
      <c r="LHD132" s="4"/>
      <c r="LHE132" s="4"/>
      <c r="LHF132" s="4"/>
      <c r="LHG132" s="4"/>
      <c r="LHH132" s="4"/>
      <c r="LHI132" s="4"/>
      <c r="LHJ132" s="4"/>
      <c r="LHK132" s="4"/>
      <c r="LHL132" s="4"/>
      <c r="LHM132" s="4"/>
      <c r="LHN132" s="4"/>
      <c r="LHO132" s="4"/>
      <c r="LHP132" s="4"/>
      <c r="LHQ132" s="4"/>
      <c r="LHR132" s="4"/>
      <c r="LHS132" s="4"/>
      <c r="LHT132" s="4"/>
      <c r="LHU132" s="4"/>
      <c r="LHV132" s="4"/>
      <c r="LHW132" s="4"/>
      <c r="LHX132" s="4"/>
      <c r="LHY132" s="4"/>
      <c r="LHZ132" s="4"/>
      <c r="LIA132" s="4"/>
      <c r="LIB132" s="4"/>
      <c r="LIC132" s="4"/>
      <c r="LID132" s="4"/>
      <c r="LIE132" s="4"/>
      <c r="LIF132" s="4"/>
      <c r="LIG132" s="4"/>
      <c r="LIH132" s="4"/>
      <c r="LII132" s="4"/>
      <c r="LIJ132" s="4"/>
      <c r="LIK132" s="4"/>
      <c r="LIL132" s="4"/>
      <c r="LIM132" s="4"/>
      <c r="LIN132" s="4"/>
      <c r="LIO132" s="4"/>
      <c r="LIP132" s="4"/>
      <c r="LIQ132" s="4"/>
      <c r="LIR132" s="4"/>
      <c r="LIS132" s="4"/>
      <c r="LIT132" s="4"/>
      <c r="LIU132" s="4"/>
      <c r="LIV132" s="4"/>
      <c r="LIW132" s="4"/>
      <c r="LIX132" s="4"/>
      <c r="LIY132" s="4"/>
      <c r="LIZ132" s="4"/>
      <c r="LJA132" s="4"/>
      <c r="LJB132" s="4"/>
      <c r="LJC132" s="4"/>
      <c r="LJD132" s="4"/>
      <c r="LJE132" s="4"/>
      <c r="LJF132" s="4"/>
      <c r="LJG132" s="4"/>
      <c r="LJH132" s="4"/>
      <c r="LJI132" s="4"/>
      <c r="LJJ132" s="4"/>
      <c r="LJK132" s="4"/>
      <c r="LJL132" s="4"/>
      <c r="LJM132" s="4"/>
      <c r="LJN132" s="4"/>
      <c r="LJO132" s="4"/>
      <c r="LJP132" s="4"/>
      <c r="LJQ132" s="4"/>
      <c r="LJR132" s="4"/>
      <c r="LJS132" s="4"/>
      <c r="LJT132" s="4"/>
      <c r="LJU132" s="4"/>
      <c r="LJV132" s="4"/>
      <c r="LJW132" s="4"/>
      <c r="LJX132" s="4"/>
      <c r="LJY132" s="4"/>
      <c r="LJZ132" s="4"/>
      <c r="LKA132" s="4"/>
      <c r="LKB132" s="4"/>
      <c r="LKC132" s="4"/>
      <c r="LKD132" s="4"/>
      <c r="LKE132" s="4"/>
      <c r="LKF132" s="4"/>
      <c r="LKG132" s="4"/>
      <c r="LKH132" s="4"/>
      <c r="LKI132" s="4"/>
      <c r="LKJ132" s="4"/>
      <c r="LKK132" s="4"/>
      <c r="LKL132" s="4"/>
      <c r="LKM132" s="4"/>
      <c r="LKN132" s="4"/>
      <c r="LKO132" s="4"/>
      <c r="LKP132" s="4"/>
      <c r="LKQ132" s="4"/>
      <c r="LKR132" s="4"/>
      <c r="LKS132" s="4"/>
      <c r="LKT132" s="4"/>
      <c r="LKU132" s="4"/>
      <c r="LKV132" s="4"/>
      <c r="LKW132" s="4"/>
      <c r="LKX132" s="4"/>
      <c r="LKY132" s="4"/>
      <c r="LKZ132" s="4"/>
      <c r="LLA132" s="4"/>
      <c r="LLB132" s="4"/>
      <c r="LLC132" s="4"/>
      <c r="LLD132" s="4"/>
      <c r="LLE132" s="4"/>
      <c r="LLF132" s="4"/>
      <c r="LLG132" s="4"/>
      <c r="LLH132" s="4"/>
      <c r="LLI132" s="4"/>
      <c r="LLJ132" s="4"/>
      <c r="LLK132" s="4"/>
      <c r="LLL132" s="4"/>
      <c r="LLM132" s="4"/>
      <c r="LLN132" s="4"/>
      <c r="LLO132" s="4"/>
      <c r="LLP132" s="4"/>
      <c r="LLQ132" s="4"/>
      <c r="LLR132" s="4"/>
      <c r="LLS132" s="4"/>
      <c r="LLT132" s="4"/>
      <c r="LLU132" s="4"/>
      <c r="LLV132" s="4"/>
      <c r="LLW132" s="4"/>
      <c r="LLX132" s="4"/>
      <c r="LLY132" s="4"/>
      <c r="LLZ132" s="4"/>
      <c r="LMA132" s="4"/>
      <c r="LMB132" s="4"/>
      <c r="LMC132" s="4"/>
      <c r="LMD132" s="4"/>
      <c r="LME132" s="4"/>
      <c r="LMF132" s="4"/>
      <c r="LMG132" s="4"/>
      <c r="LMH132" s="4"/>
      <c r="LMI132" s="4"/>
      <c r="LMJ132" s="4"/>
      <c r="LMK132" s="4"/>
      <c r="LML132" s="4"/>
      <c r="LMM132" s="4"/>
      <c r="LMN132" s="4"/>
      <c r="LMO132" s="4"/>
      <c r="LMP132" s="4"/>
      <c r="LMQ132" s="4"/>
      <c r="LMR132" s="4"/>
      <c r="LMS132" s="4"/>
      <c r="LMT132" s="4"/>
      <c r="LMU132" s="4"/>
      <c r="LMV132" s="4"/>
      <c r="LMW132" s="4"/>
      <c r="LMX132" s="4"/>
      <c r="LMY132" s="4"/>
      <c r="LMZ132" s="4"/>
      <c r="LNA132" s="4"/>
      <c r="LNB132" s="4"/>
      <c r="LNC132" s="4"/>
      <c r="LND132" s="4"/>
      <c r="LNE132" s="4"/>
      <c r="LNF132" s="4"/>
      <c r="LNG132" s="4"/>
      <c r="LNH132" s="4"/>
      <c r="LNI132" s="4"/>
      <c r="LNJ132" s="4"/>
      <c r="LNK132" s="4"/>
      <c r="LNL132" s="4"/>
      <c r="LNM132" s="4"/>
      <c r="LNN132" s="4"/>
      <c r="LNO132" s="4"/>
      <c r="LNP132" s="4"/>
      <c r="LNQ132" s="4"/>
      <c r="LNR132" s="4"/>
      <c r="LNS132" s="4"/>
      <c r="LNT132" s="4"/>
      <c r="LNU132" s="4"/>
      <c r="LNV132" s="4"/>
      <c r="LNW132" s="4"/>
      <c r="LNX132" s="4"/>
      <c r="LNY132" s="4"/>
      <c r="LNZ132" s="4"/>
      <c r="LOA132" s="4"/>
      <c r="LOB132" s="4"/>
      <c r="LOC132" s="4"/>
      <c r="LOD132" s="4"/>
      <c r="LOE132" s="4"/>
      <c r="LOF132" s="4"/>
      <c r="LOG132" s="4"/>
      <c r="LOH132" s="4"/>
      <c r="LOI132" s="4"/>
      <c r="LOJ132" s="4"/>
      <c r="LOK132" s="4"/>
      <c r="LOL132" s="4"/>
      <c r="LOM132" s="4"/>
      <c r="LON132" s="4"/>
      <c r="LOO132" s="4"/>
      <c r="LOP132" s="4"/>
      <c r="LOQ132" s="4"/>
      <c r="LOR132" s="4"/>
      <c r="LOS132" s="4"/>
      <c r="LOT132" s="4"/>
      <c r="LOU132" s="4"/>
      <c r="LOV132" s="4"/>
      <c r="LOW132" s="4"/>
      <c r="LOX132" s="4"/>
      <c r="LOY132" s="4"/>
      <c r="LOZ132" s="4"/>
      <c r="LPA132" s="4"/>
      <c r="LPB132" s="4"/>
      <c r="LPC132" s="4"/>
      <c r="LPD132" s="4"/>
      <c r="LPE132" s="4"/>
      <c r="LPF132" s="4"/>
      <c r="LPG132" s="4"/>
      <c r="LPH132" s="4"/>
      <c r="LPI132" s="4"/>
      <c r="LPJ132" s="4"/>
      <c r="LPK132" s="4"/>
      <c r="LPL132" s="4"/>
      <c r="LPM132" s="4"/>
      <c r="LPN132" s="4"/>
      <c r="LPO132" s="4"/>
      <c r="LPP132" s="4"/>
      <c r="LPQ132" s="4"/>
      <c r="LPR132" s="4"/>
      <c r="LPS132" s="4"/>
      <c r="LPT132" s="4"/>
      <c r="LPU132" s="4"/>
      <c r="LPV132" s="4"/>
      <c r="LPW132" s="4"/>
      <c r="LPX132" s="4"/>
      <c r="LPY132" s="4"/>
      <c r="LPZ132" s="4"/>
      <c r="LQA132" s="4"/>
      <c r="LQB132" s="4"/>
      <c r="LQC132" s="4"/>
      <c r="LQD132" s="4"/>
      <c r="LQE132" s="4"/>
      <c r="LQF132" s="4"/>
      <c r="LQG132" s="4"/>
      <c r="LQH132" s="4"/>
      <c r="LQI132" s="4"/>
      <c r="LQJ132" s="4"/>
      <c r="LQK132" s="4"/>
      <c r="LQL132" s="4"/>
      <c r="LQM132" s="4"/>
      <c r="LQN132" s="4"/>
      <c r="LQO132" s="4"/>
      <c r="LQP132" s="4"/>
      <c r="LQQ132" s="4"/>
      <c r="LQR132" s="4"/>
      <c r="LQS132" s="4"/>
      <c r="LQT132" s="4"/>
      <c r="LQU132" s="4"/>
      <c r="LQV132" s="4"/>
      <c r="LQW132" s="4"/>
      <c r="LQX132" s="4"/>
      <c r="LQY132" s="4"/>
      <c r="LQZ132" s="4"/>
      <c r="LRA132" s="4"/>
      <c r="LRB132" s="4"/>
      <c r="LRC132" s="4"/>
      <c r="LRD132" s="4"/>
      <c r="LRE132" s="4"/>
      <c r="LRF132" s="4"/>
      <c r="LRG132" s="4"/>
      <c r="LRH132" s="4"/>
      <c r="LRI132" s="4"/>
      <c r="LRJ132" s="4"/>
      <c r="LRK132" s="4"/>
      <c r="LRL132" s="4"/>
      <c r="LRM132" s="4"/>
      <c r="LRN132" s="4"/>
      <c r="LRO132" s="4"/>
      <c r="LRP132" s="4"/>
      <c r="LRQ132" s="4"/>
      <c r="LRR132" s="4"/>
      <c r="LRS132" s="4"/>
      <c r="LRT132" s="4"/>
      <c r="LRU132" s="4"/>
      <c r="LRV132" s="4"/>
      <c r="LRW132" s="4"/>
      <c r="LRX132" s="4"/>
      <c r="LRY132" s="4"/>
      <c r="LRZ132" s="4"/>
      <c r="LSA132" s="4"/>
      <c r="LSB132" s="4"/>
      <c r="LSC132" s="4"/>
      <c r="LSD132" s="4"/>
      <c r="LSE132" s="4"/>
      <c r="LSF132" s="4"/>
      <c r="LSG132" s="4"/>
      <c r="LSH132" s="4"/>
      <c r="LSI132" s="4"/>
      <c r="LSJ132" s="4"/>
      <c r="LSK132" s="4"/>
      <c r="LSL132" s="4"/>
      <c r="LSM132" s="4"/>
      <c r="LSN132" s="4"/>
      <c r="LSO132" s="4"/>
      <c r="LSP132" s="4"/>
      <c r="LSQ132" s="4"/>
      <c r="LSR132" s="4"/>
      <c r="LSS132" s="4"/>
      <c r="LST132" s="4"/>
      <c r="LSU132" s="4"/>
      <c r="LSV132" s="4"/>
      <c r="LSW132" s="4"/>
      <c r="LSX132" s="4"/>
      <c r="LSY132" s="4"/>
      <c r="LSZ132" s="4"/>
      <c r="LTA132" s="4"/>
      <c r="LTB132" s="4"/>
      <c r="LTC132" s="4"/>
      <c r="LTD132" s="4"/>
      <c r="LTE132" s="4"/>
      <c r="LTF132" s="4"/>
      <c r="LTG132" s="4"/>
      <c r="LTH132" s="4"/>
      <c r="LTI132" s="4"/>
      <c r="LTJ132" s="4"/>
      <c r="LTK132" s="4"/>
      <c r="LTL132" s="4"/>
      <c r="LTM132" s="4"/>
      <c r="LTN132" s="4"/>
      <c r="LTO132" s="4"/>
      <c r="LTP132" s="4"/>
      <c r="LTQ132" s="4"/>
      <c r="LTR132" s="4"/>
      <c r="LTS132" s="4"/>
      <c r="LTT132" s="4"/>
      <c r="LTU132" s="4"/>
      <c r="LTV132" s="4"/>
      <c r="LTW132" s="4"/>
      <c r="LTX132" s="4"/>
      <c r="LTY132" s="4"/>
      <c r="LTZ132" s="4"/>
      <c r="LUA132" s="4"/>
      <c r="LUB132" s="4"/>
      <c r="LUC132" s="4"/>
      <c r="LUD132" s="4"/>
      <c r="LUE132" s="4"/>
      <c r="LUF132" s="4"/>
      <c r="LUG132" s="4"/>
      <c r="LUH132" s="4"/>
      <c r="LUI132" s="4"/>
      <c r="LUJ132" s="4"/>
      <c r="LUK132" s="4"/>
      <c r="LUL132" s="4"/>
      <c r="LUM132" s="4"/>
      <c r="LUN132" s="4"/>
      <c r="LUO132" s="4"/>
      <c r="LUP132" s="4"/>
      <c r="LUQ132" s="4"/>
      <c r="LUR132" s="4"/>
      <c r="LUS132" s="4"/>
      <c r="LUT132" s="4"/>
      <c r="LUU132" s="4"/>
      <c r="LUV132" s="4"/>
      <c r="LUW132" s="4"/>
      <c r="LUX132" s="4"/>
      <c r="LUY132" s="4"/>
      <c r="LUZ132" s="4"/>
      <c r="LVA132" s="4"/>
      <c r="LVB132" s="4"/>
      <c r="LVC132" s="4"/>
      <c r="LVD132" s="4"/>
      <c r="LVE132" s="4"/>
      <c r="LVF132" s="4"/>
      <c r="LVG132" s="4"/>
      <c r="LVH132" s="4"/>
      <c r="LVI132" s="4"/>
      <c r="LVJ132" s="4"/>
      <c r="LVK132" s="4"/>
      <c r="LVL132" s="4"/>
      <c r="LVM132" s="4"/>
      <c r="LVN132" s="4"/>
      <c r="LVO132" s="4"/>
      <c r="LVP132" s="4"/>
      <c r="LVQ132" s="4"/>
      <c r="LVR132" s="4"/>
      <c r="LVS132" s="4"/>
      <c r="LVT132" s="4"/>
      <c r="LVU132" s="4"/>
      <c r="LVV132" s="4"/>
      <c r="LVW132" s="4"/>
      <c r="LVX132" s="4"/>
      <c r="LVY132" s="4"/>
      <c r="LVZ132" s="4"/>
      <c r="LWA132" s="4"/>
      <c r="LWB132" s="4"/>
      <c r="LWC132" s="4"/>
      <c r="LWD132" s="4"/>
      <c r="LWE132" s="4"/>
      <c r="LWF132" s="4"/>
      <c r="LWG132" s="4"/>
      <c r="LWH132" s="4"/>
      <c r="LWI132" s="4"/>
      <c r="LWJ132" s="4"/>
      <c r="LWK132" s="4"/>
      <c r="LWL132" s="4"/>
      <c r="LWM132" s="4"/>
      <c r="LWN132" s="4"/>
      <c r="LWO132" s="4"/>
      <c r="LWP132" s="4"/>
      <c r="LWQ132" s="4"/>
      <c r="LWR132" s="4"/>
      <c r="LWS132" s="4"/>
      <c r="LWT132" s="4"/>
      <c r="LWU132" s="4"/>
      <c r="LWV132" s="4"/>
      <c r="LWW132" s="4"/>
      <c r="LWX132" s="4"/>
      <c r="LWY132" s="4"/>
      <c r="LWZ132" s="4"/>
      <c r="LXA132" s="4"/>
      <c r="LXB132" s="4"/>
      <c r="LXC132" s="4"/>
      <c r="LXD132" s="4"/>
      <c r="LXE132" s="4"/>
      <c r="LXF132" s="4"/>
      <c r="LXG132" s="4"/>
      <c r="LXH132" s="4"/>
      <c r="LXI132" s="4"/>
      <c r="LXJ132" s="4"/>
      <c r="LXK132" s="4"/>
      <c r="LXL132" s="4"/>
      <c r="LXM132" s="4"/>
      <c r="LXN132" s="4"/>
      <c r="LXO132" s="4"/>
      <c r="LXP132" s="4"/>
      <c r="LXQ132" s="4"/>
      <c r="LXR132" s="4"/>
      <c r="LXS132" s="4"/>
      <c r="LXT132" s="4"/>
      <c r="LXU132" s="4"/>
      <c r="LXV132" s="4"/>
      <c r="LXW132" s="4"/>
      <c r="LXX132" s="4"/>
      <c r="LXY132" s="4"/>
      <c r="LXZ132" s="4"/>
      <c r="LYA132" s="4"/>
      <c r="LYB132" s="4"/>
      <c r="LYC132" s="4"/>
      <c r="LYD132" s="4"/>
      <c r="LYE132" s="4"/>
      <c r="LYF132" s="4"/>
      <c r="LYG132" s="4"/>
      <c r="LYH132" s="4"/>
      <c r="LYI132" s="4"/>
      <c r="LYJ132" s="4"/>
      <c r="LYK132" s="4"/>
      <c r="LYL132" s="4"/>
      <c r="LYM132" s="4"/>
      <c r="LYN132" s="4"/>
      <c r="LYO132" s="4"/>
      <c r="LYP132" s="4"/>
      <c r="LYQ132" s="4"/>
      <c r="LYR132" s="4"/>
      <c r="LYS132" s="4"/>
      <c r="LYT132" s="4"/>
      <c r="LYU132" s="4"/>
      <c r="LYV132" s="4"/>
      <c r="LYW132" s="4"/>
      <c r="LYX132" s="4"/>
      <c r="LYY132" s="4"/>
      <c r="LYZ132" s="4"/>
      <c r="LZA132" s="4"/>
      <c r="LZB132" s="4"/>
      <c r="LZC132" s="4"/>
      <c r="LZD132" s="4"/>
      <c r="LZE132" s="4"/>
      <c r="LZF132" s="4"/>
      <c r="LZG132" s="4"/>
      <c r="LZH132" s="4"/>
      <c r="LZI132" s="4"/>
      <c r="LZJ132" s="4"/>
      <c r="LZK132" s="4"/>
      <c r="LZL132" s="4"/>
      <c r="LZM132" s="4"/>
      <c r="LZN132" s="4"/>
      <c r="LZO132" s="4"/>
      <c r="LZP132" s="4"/>
      <c r="LZQ132" s="4"/>
      <c r="LZR132" s="4"/>
      <c r="LZS132" s="4"/>
      <c r="LZT132" s="4"/>
      <c r="LZU132" s="4"/>
      <c r="LZV132" s="4"/>
      <c r="LZW132" s="4"/>
      <c r="LZX132" s="4"/>
      <c r="LZY132" s="4"/>
      <c r="LZZ132" s="4"/>
      <c r="MAA132" s="4"/>
      <c r="MAB132" s="4"/>
      <c r="MAC132" s="4"/>
      <c r="MAD132" s="4"/>
      <c r="MAE132" s="4"/>
      <c r="MAF132" s="4"/>
      <c r="MAG132" s="4"/>
      <c r="MAH132" s="4"/>
      <c r="MAI132" s="4"/>
      <c r="MAJ132" s="4"/>
      <c r="MAK132" s="4"/>
      <c r="MAL132" s="4"/>
      <c r="MAM132" s="4"/>
      <c r="MAN132" s="4"/>
      <c r="MAO132" s="4"/>
      <c r="MAP132" s="4"/>
      <c r="MAQ132" s="4"/>
      <c r="MAR132" s="4"/>
      <c r="MAS132" s="4"/>
      <c r="MAT132" s="4"/>
      <c r="MAU132" s="4"/>
      <c r="MAV132" s="4"/>
      <c r="MAW132" s="4"/>
      <c r="MAX132" s="4"/>
      <c r="MAY132" s="4"/>
      <c r="MAZ132" s="4"/>
      <c r="MBA132" s="4"/>
      <c r="MBB132" s="4"/>
      <c r="MBC132" s="4"/>
      <c r="MBD132" s="4"/>
      <c r="MBE132" s="4"/>
      <c r="MBF132" s="4"/>
      <c r="MBG132" s="4"/>
      <c r="MBH132" s="4"/>
      <c r="MBI132" s="4"/>
      <c r="MBJ132" s="4"/>
      <c r="MBK132" s="4"/>
      <c r="MBL132" s="4"/>
      <c r="MBM132" s="4"/>
      <c r="MBN132" s="4"/>
      <c r="MBO132" s="4"/>
      <c r="MBP132" s="4"/>
      <c r="MBQ132" s="4"/>
      <c r="MBR132" s="4"/>
      <c r="MBS132" s="4"/>
      <c r="MBT132" s="4"/>
      <c r="MBU132" s="4"/>
      <c r="MBV132" s="4"/>
      <c r="MBW132" s="4"/>
      <c r="MBX132" s="4"/>
      <c r="MBY132" s="4"/>
      <c r="MBZ132" s="4"/>
      <c r="MCA132" s="4"/>
      <c r="MCB132" s="4"/>
      <c r="MCC132" s="4"/>
      <c r="MCD132" s="4"/>
      <c r="MCE132" s="4"/>
      <c r="MCF132" s="4"/>
      <c r="MCG132" s="4"/>
      <c r="MCH132" s="4"/>
      <c r="MCI132" s="4"/>
      <c r="MCJ132" s="4"/>
      <c r="MCK132" s="4"/>
      <c r="MCL132" s="4"/>
      <c r="MCM132" s="4"/>
      <c r="MCN132" s="4"/>
      <c r="MCO132" s="4"/>
      <c r="MCP132" s="4"/>
      <c r="MCQ132" s="4"/>
      <c r="MCR132" s="4"/>
      <c r="MCS132" s="4"/>
      <c r="MCT132" s="4"/>
      <c r="MCU132" s="4"/>
      <c r="MCV132" s="4"/>
      <c r="MCW132" s="4"/>
      <c r="MCX132" s="4"/>
      <c r="MCY132" s="4"/>
      <c r="MCZ132" s="4"/>
      <c r="MDA132" s="4"/>
      <c r="MDB132" s="4"/>
      <c r="MDC132" s="4"/>
      <c r="MDD132" s="4"/>
      <c r="MDE132" s="4"/>
      <c r="MDF132" s="4"/>
      <c r="MDG132" s="4"/>
      <c r="MDH132" s="4"/>
      <c r="MDI132" s="4"/>
      <c r="MDJ132" s="4"/>
      <c r="MDK132" s="4"/>
      <c r="MDL132" s="4"/>
      <c r="MDM132" s="4"/>
      <c r="MDN132" s="4"/>
      <c r="MDO132" s="4"/>
      <c r="MDP132" s="4"/>
      <c r="MDQ132" s="4"/>
      <c r="MDR132" s="4"/>
      <c r="MDS132" s="4"/>
      <c r="MDT132" s="4"/>
      <c r="MDU132" s="4"/>
      <c r="MDV132" s="4"/>
      <c r="MDW132" s="4"/>
      <c r="MDX132" s="4"/>
      <c r="MDY132" s="4"/>
      <c r="MDZ132" s="4"/>
      <c r="MEA132" s="4"/>
      <c r="MEB132" s="4"/>
      <c r="MEC132" s="4"/>
      <c r="MED132" s="4"/>
      <c r="MEE132" s="4"/>
      <c r="MEF132" s="4"/>
      <c r="MEG132" s="4"/>
      <c r="MEH132" s="4"/>
      <c r="MEI132" s="4"/>
      <c r="MEJ132" s="4"/>
      <c r="MEK132" s="4"/>
      <c r="MEL132" s="4"/>
      <c r="MEM132" s="4"/>
      <c r="MEN132" s="4"/>
      <c r="MEO132" s="4"/>
      <c r="MEP132" s="4"/>
      <c r="MEQ132" s="4"/>
      <c r="MER132" s="4"/>
      <c r="MES132" s="4"/>
      <c r="MET132" s="4"/>
      <c r="MEU132" s="4"/>
      <c r="MEV132" s="4"/>
      <c r="MEW132" s="4"/>
      <c r="MEX132" s="4"/>
      <c r="MEY132" s="4"/>
      <c r="MEZ132" s="4"/>
      <c r="MFA132" s="4"/>
      <c r="MFB132" s="4"/>
      <c r="MFC132" s="4"/>
      <c r="MFD132" s="4"/>
      <c r="MFE132" s="4"/>
      <c r="MFF132" s="4"/>
      <c r="MFG132" s="4"/>
      <c r="MFH132" s="4"/>
      <c r="MFI132" s="4"/>
      <c r="MFJ132" s="4"/>
      <c r="MFK132" s="4"/>
      <c r="MFL132" s="4"/>
      <c r="MFM132" s="4"/>
      <c r="MFN132" s="4"/>
      <c r="MFO132" s="4"/>
      <c r="MFP132" s="4"/>
      <c r="MFQ132" s="4"/>
      <c r="MFR132" s="4"/>
      <c r="MFS132" s="4"/>
      <c r="MFT132" s="4"/>
      <c r="MFU132" s="4"/>
      <c r="MFV132" s="4"/>
      <c r="MFW132" s="4"/>
      <c r="MFX132" s="4"/>
      <c r="MFY132" s="4"/>
      <c r="MFZ132" s="4"/>
      <c r="MGA132" s="4"/>
      <c r="MGB132" s="4"/>
      <c r="MGC132" s="4"/>
      <c r="MGD132" s="4"/>
      <c r="MGE132" s="4"/>
      <c r="MGF132" s="4"/>
      <c r="MGG132" s="4"/>
      <c r="MGH132" s="4"/>
      <c r="MGI132" s="4"/>
      <c r="MGJ132" s="4"/>
      <c r="MGK132" s="4"/>
      <c r="MGL132" s="4"/>
      <c r="MGM132" s="4"/>
      <c r="MGN132" s="4"/>
      <c r="MGO132" s="4"/>
      <c r="MGP132" s="4"/>
      <c r="MGQ132" s="4"/>
      <c r="MGR132" s="4"/>
      <c r="MGS132" s="4"/>
      <c r="MGT132" s="4"/>
      <c r="MGU132" s="4"/>
      <c r="MGV132" s="4"/>
      <c r="MGW132" s="4"/>
      <c r="MGX132" s="4"/>
      <c r="MGY132" s="4"/>
      <c r="MGZ132" s="4"/>
      <c r="MHA132" s="4"/>
      <c r="MHB132" s="4"/>
      <c r="MHC132" s="4"/>
      <c r="MHD132" s="4"/>
      <c r="MHE132" s="4"/>
      <c r="MHF132" s="4"/>
      <c r="MHG132" s="4"/>
      <c r="MHH132" s="4"/>
      <c r="MHI132" s="4"/>
      <c r="MHJ132" s="4"/>
      <c r="MHK132" s="4"/>
      <c r="MHL132" s="4"/>
      <c r="MHM132" s="4"/>
      <c r="MHN132" s="4"/>
      <c r="MHO132" s="4"/>
      <c r="MHP132" s="4"/>
      <c r="MHQ132" s="4"/>
      <c r="MHR132" s="4"/>
      <c r="MHS132" s="4"/>
      <c r="MHT132" s="4"/>
      <c r="MHU132" s="4"/>
      <c r="MHV132" s="4"/>
      <c r="MHW132" s="4"/>
      <c r="MHX132" s="4"/>
      <c r="MHY132" s="4"/>
      <c r="MHZ132" s="4"/>
      <c r="MIA132" s="4"/>
      <c r="MIB132" s="4"/>
      <c r="MIC132" s="4"/>
      <c r="MID132" s="4"/>
      <c r="MIE132" s="4"/>
      <c r="MIF132" s="4"/>
      <c r="MIG132" s="4"/>
      <c r="MIH132" s="4"/>
      <c r="MII132" s="4"/>
      <c r="MIJ132" s="4"/>
      <c r="MIK132" s="4"/>
      <c r="MIL132" s="4"/>
      <c r="MIM132" s="4"/>
      <c r="MIN132" s="4"/>
      <c r="MIO132" s="4"/>
      <c r="MIP132" s="4"/>
      <c r="MIQ132" s="4"/>
      <c r="MIR132" s="4"/>
      <c r="MIS132" s="4"/>
      <c r="MIT132" s="4"/>
      <c r="MIU132" s="4"/>
      <c r="MIV132" s="4"/>
      <c r="MIW132" s="4"/>
      <c r="MIX132" s="4"/>
      <c r="MIY132" s="4"/>
      <c r="MIZ132" s="4"/>
      <c r="MJA132" s="4"/>
      <c r="MJB132" s="4"/>
      <c r="MJC132" s="4"/>
      <c r="MJD132" s="4"/>
      <c r="MJE132" s="4"/>
      <c r="MJF132" s="4"/>
      <c r="MJG132" s="4"/>
      <c r="MJH132" s="4"/>
      <c r="MJI132" s="4"/>
      <c r="MJJ132" s="4"/>
      <c r="MJK132" s="4"/>
      <c r="MJL132" s="4"/>
      <c r="MJM132" s="4"/>
      <c r="MJN132" s="4"/>
      <c r="MJO132" s="4"/>
      <c r="MJP132" s="4"/>
      <c r="MJQ132" s="4"/>
      <c r="MJR132" s="4"/>
      <c r="MJS132" s="4"/>
      <c r="MJT132" s="4"/>
      <c r="MJU132" s="4"/>
      <c r="MJV132" s="4"/>
      <c r="MJW132" s="4"/>
      <c r="MJX132" s="4"/>
      <c r="MJY132" s="4"/>
      <c r="MJZ132" s="4"/>
      <c r="MKA132" s="4"/>
      <c r="MKB132" s="4"/>
      <c r="MKC132" s="4"/>
      <c r="MKD132" s="4"/>
      <c r="MKE132" s="4"/>
      <c r="MKF132" s="4"/>
      <c r="MKG132" s="4"/>
      <c r="MKH132" s="4"/>
      <c r="MKI132" s="4"/>
      <c r="MKJ132" s="4"/>
      <c r="MKK132" s="4"/>
      <c r="MKL132" s="4"/>
      <c r="MKM132" s="4"/>
      <c r="MKN132" s="4"/>
      <c r="MKO132" s="4"/>
      <c r="MKP132" s="4"/>
      <c r="MKQ132" s="4"/>
      <c r="MKR132" s="4"/>
      <c r="MKS132" s="4"/>
      <c r="MKT132" s="4"/>
      <c r="MKU132" s="4"/>
      <c r="MKV132" s="4"/>
      <c r="MKW132" s="4"/>
      <c r="MKX132" s="4"/>
      <c r="MKY132" s="4"/>
      <c r="MKZ132" s="4"/>
      <c r="MLA132" s="4"/>
      <c r="MLB132" s="4"/>
      <c r="MLC132" s="4"/>
      <c r="MLD132" s="4"/>
      <c r="MLE132" s="4"/>
      <c r="MLF132" s="4"/>
      <c r="MLG132" s="4"/>
      <c r="MLH132" s="4"/>
      <c r="MLI132" s="4"/>
      <c r="MLJ132" s="4"/>
      <c r="MLK132" s="4"/>
      <c r="MLL132" s="4"/>
      <c r="MLM132" s="4"/>
      <c r="MLN132" s="4"/>
      <c r="MLO132" s="4"/>
      <c r="MLP132" s="4"/>
      <c r="MLQ132" s="4"/>
      <c r="MLR132" s="4"/>
      <c r="MLS132" s="4"/>
      <c r="MLT132" s="4"/>
      <c r="MLU132" s="4"/>
      <c r="MLV132" s="4"/>
      <c r="MLW132" s="4"/>
      <c r="MLX132" s="4"/>
      <c r="MLY132" s="4"/>
      <c r="MLZ132" s="4"/>
      <c r="MMA132" s="4"/>
      <c r="MMB132" s="4"/>
      <c r="MMC132" s="4"/>
      <c r="MMD132" s="4"/>
      <c r="MME132" s="4"/>
      <c r="MMF132" s="4"/>
      <c r="MMG132" s="4"/>
      <c r="MMH132" s="4"/>
      <c r="MMI132" s="4"/>
      <c r="MMJ132" s="4"/>
      <c r="MMK132" s="4"/>
      <c r="MML132" s="4"/>
      <c r="MMM132" s="4"/>
      <c r="MMN132" s="4"/>
      <c r="MMO132" s="4"/>
      <c r="MMP132" s="4"/>
      <c r="MMQ132" s="4"/>
      <c r="MMR132" s="4"/>
      <c r="MMS132" s="4"/>
      <c r="MMT132" s="4"/>
      <c r="MMU132" s="4"/>
      <c r="MMV132" s="4"/>
      <c r="MMW132" s="4"/>
      <c r="MMX132" s="4"/>
      <c r="MMY132" s="4"/>
      <c r="MMZ132" s="4"/>
      <c r="MNA132" s="4"/>
      <c r="MNB132" s="4"/>
      <c r="MNC132" s="4"/>
      <c r="MND132" s="4"/>
      <c r="MNE132" s="4"/>
      <c r="MNF132" s="4"/>
      <c r="MNG132" s="4"/>
      <c r="MNH132" s="4"/>
      <c r="MNI132" s="4"/>
      <c r="MNJ132" s="4"/>
      <c r="MNK132" s="4"/>
      <c r="MNL132" s="4"/>
      <c r="MNM132" s="4"/>
      <c r="MNN132" s="4"/>
      <c r="MNO132" s="4"/>
      <c r="MNP132" s="4"/>
      <c r="MNQ132" s="4"/>
      <c r="MNR132" s="4"/>
      <c r="MNS132" s="4"/>
      <c r="MNT132" s="4"/>
      <c r="MNU132" s="4"/>
      <c r="MNV132" s="4"/>
      <c r="MNW132" s="4"/>
      <c r="MNX132" s="4"/>
      <c r="MNY132" s="4"/>
      <c r="MNZ132" s="4"/>
      <c r="MOA132" s="4"/>
      <c r="MOB132" s="4"/>
      <c r="MOC132" s="4"/>
      <c r="MOD132" s="4"/>
      <c r="MOE132" s="4"/>
      <c r="MOF132" s="4"/>
      <c r="MOG132" s="4"/>
      <c r="MOH132" s="4"/>
      <c r="MOI132" s="4"/>
      <c r="MOJ132" s="4"/>
      <c r="MOK132" s="4"/>
      <c r="MOL132" s="4"/>
      <c r="MOM132" s="4"/>
      <c r="MON132" s="4"/>
      <c r="MOO132" s="4"/>
      <c r="MOP132" s="4"/>
      <c r="MOQ132" s="4"/>
      <c r="MOR132" s="4"/>
      <c r="MOS132" s="4"/>
      <c r="MOT132" s="4"/>
      <c r="MOU132" s="4"/>
      <c r="MOV132" s="4"/>
      <c r="MOW132" s="4"/>
      <c r="MOX132" s="4"/>
      <c r="MOY132" s="4"/>
      <c r="MOZ132" s="4"/>
      <c r="MPA132" s="4"/>
      <c r="MPB132" s="4"/>
      <c r="MPC132" s="4"/>
      <c r="MPD132" s="4"/>
      <c r="MPE132" s="4"/>
      <c r="MPF132" s="4"/>
      <c r="MPG132" s="4"/>
      <c r="MPH132" s="4"/>
      <c r="MPI132" s="4"/>
      <c r="MPJ132" s="4"/>
      <c r="MPK132" s="4"/>
      <c r="MPL132" s="4"/>
      <c r="MPM132" s="4"/>
      <c r="MPN132" s="4"/>
      <c r="MPO132" s="4"/>
      <c r="MPP132" s="4"/>
      <c r="MPQ132" s="4"/>
      <c r="MPR132" s="4"/>
      <c r="MPS132" s="4"/>
      <c r="MPT132" s="4"/>
      <c r="MPU132" s="4"/>
      <c r="MPV132" s="4"/>
      <c r="MPW132" s="4"/>
      <c r="MPX132" s="4"/>
      <c r="MPY132" s="4"/>
      <c r="MPZ132" s="4"/>
      <c r="MQA132" s="4"/>
      <c r="MQB132" s="4"/>
      <c r="MQC132" s="4"/>
      <c r="MQD132" s="4"/>
      <c r="MQE132" s="4"/>
      <c r="MQF132" s="4"/>
      <c r="MQG132" s="4"/>
      <c r="MQH132" s="4"/>
      <c r="MQI132" s="4"/>
      <c r="MQJ132" s="4"/>
      <c r="MQK132" s="4"/>
      <c r="MQL132" s="4"/>
      <c r="MQM132" s="4"/>
      <c r="MQN132" s="4"/>
      <c r="MQO132" s="4"/>
      <c r="MQP132" s="4"/>
      <c r="MQQ132" s="4"/>
      <c r="MQR132" s="4"/>
      <c r="MQS132" s="4"/>
      <c r="MQT132" s="4"/>
      <c r="MQU132" s="4"/>
      <c r="MQV132" s="4"/>
      <c r="MQW132" s="4"/>
      <c r="MQX132" s="4"/>
      <c r="MQY132" s="4"/>
      <c r="MQZ132" s="4"/>
      <c r="MRA132" s="4"/>
      <c r="MRB132" s="4"/>
      <c r="MRC132" s="4"/>
      <c r="MRD132" s="4"/>
      <c r="MRE132" s="4"/>
      <c r="MRF132" s="4"/>
      <c r="MRG132" s="4"/>
      <c r="MRH132" s="4"/>
      <c r="MRI132" s="4"/>
      <c r="MRJ132" s="4"/>
      <c r="MRK132" s="4"/>
      <c r="MRL132" s="4"/>
      <c r="MRM132" s="4"/>
      <c r="MRN132" s="4"/>
      <c r="MRO132" s="4"/>
      <c r="MRP132" s="4"/>
      <c r="MRQ132" s="4"/>
      <c r="MRR132" s="4"/>
      <c r="MRS132" s="4"/>
      <c r="MRT132" s="4"/>
      <c r="MRU132" s="4"/>
      <c r="MRV132" s="4"/>
      <c r="MRW132" s="4"/>
      <c r="MRX132" s="4"/>
      <c r="MRY132" s="4"/>
      <c r="MRZ132" s="4"/>
      <c r="MSA132" s="4"/>
      <c r="MSB132" s="4"/>
      <c r="MSC132" s="4"/>
      <c r="MSD132" s="4"/>
      <c r="MSE132" s="4"/>
      <c r="MSF132" s="4"/>
      <c r="MSG132" s="4"/>
      <c r="MSH132" s="4"/>
      <c r="MSI132" s="4"/>
      <c r="MSJ132" s="4"/>
      <c r="MSK132" s="4"/>
      <c r="MSL132" s="4"/>
      <c r="MSM132" s="4"/>
      <c r="MSN132" s="4"/>
      <c r="MSO132" s="4"/>
      <c r="MSP132" s="4"/>
      <c r="MSQ132" s="4"/>
      <c r="MSR132" s="4"/>
      <c r="MSS132" s="4"/>
      <c r="MST132" s="4"/>
      <c r="MSU132" s="4"/>
      <c r="MSV132" s="4"/>
      <c r="MSW132" s="4"/>
      <c r="MSX132" s="4"/>
      <c r="MSY132" s="4"/>
      <c r="MSZ132" s="4"/>
      <c r="MTA132" s="4"/>
      <c r="MTB132" s="4"/>
      <c r="MTC132" s="4"/>
      <c r="MTD132" s="4"/>
      <c r="MTE132" s="4"/>
      <c r="MTF132" s="4"/>
      <c r="MTG132" s="4"/>
      <c r="MTH132" s="4"/>
      <c r="MTI132" s="4"/>
      <c r="MTJ132" s="4"/>
      <c r="MTK132" s="4"/>
      <c r="MTL132" s="4"/>
      <c r="MTM132" s="4"/>
      <c r="MTN132" s="4"/>
      <c r="MTO132" s="4"/>
      <c r="MTP132" s="4"/>
      <c r="MTQ132" s="4"/>
      <c r="MTR132" s="4"/>
      <c r="MTS132" s="4"/>
      <c r="MTT132" s="4"/>
      <c r="MTU132" s="4"/>
      <c r="MTV132" s="4"/>
      <c r="MTW132" s="4"/>
      <c r="MTX132" s="4"/>
      <c r="MTY132" s="4"/>
      <c r="MTZ132" s="4"/>
      <c r="MUA132" s="4"/>
      <c r="MUB132" s="4"/>
      <c r="MUC132" s="4"/>
      <c r="MUD132" s="4"/>
      <c r="MUE132" s="4"/>
      <c r="MUF132" s="4"/>
      <c r="MUG132" s="4"/>
      <c r="MUH132" s="4"/>
      <c r="MUI132" s="4"/>
      <c r="MUJ132" s="4"/>
      <c r="MUK132" s="4"/>
      <c r="MUL132" s="4"/>
      <c r="MUM132" s="4"/>
      <c r="MUN132" s="4"/>
      <c r="MUO132" s="4"/>
      <c r="MUP132" s="4"/>
      <c r="MUQ132" s="4"/>
      <c r="MUR132" s="4"/>
      <c r="MUS132" s="4"/>
      <c r="MUT132" s="4"/>
      <c r="MUU132" s="4"/>
      <c r="MUV132" s="4"/>
      <c r="MUW132" s="4"/>
      <c r="MUX132" s="4"/>
      <c r="MUY132" s="4"/>
      <c r="MUZ132" s="4"/>
      <c r="MVA132" s="4"/>
      <c r="MVB132" s="4"/>
      <c r="MVC132" s="4"/>
      <c r="MVD132" s="4"/>
      <c r="MVE132" s="4"/>
      <c r="MVF132" s="4"/>
      <c r="MVG132" s="4"/>
      <c r="MVH132" s="4"/>
      <c r="MVI132" s="4"/>
      <c r="MVJ132" s="4"/>
      <c r="MVK132" s="4"/>
      <c r="MVL132" s="4"/>
      <c r="MVM132" s="4"/>
      <c r="MVN132" s="4"/>
      <c r="MVO132" s="4"/>
      <c r="MVP132" s="4"/>
      <c r="MVQ132" s="4"/>
      <c r="MVR132" s="4"/>
      <c r="MVS132" s="4"/>
      <c r="MVT132" s="4"/>
      <c r="MVU132" s="4"/>
      <c r="MVV132" s="4"/>
      <c r="MVW132" s="4"/>
      <c r="MVX132" s="4"/>
      <c r="MVY132" s="4"/>
      <c r="MVZ132" s="4"/>
      <c r="MWA132" s="4"/>
      <c r="MWB132" s="4"/>
      <c r="MWC132" s="4"/>
      <c r="MWD132" s="4"/>
      <c r="MWE132" s="4"/>
      <c r="MWF132" s="4"/>
      <c r="MWG132" s="4"/>
      <c r="MWH132" s="4"/>
      <c r="MWI132" s="4"/>
      <c r="MWJ132" s="4"/>
      <c r="MWK132" s="4"/>
      <c r="MWL132" s="4"/>
      <c r="MWM132" s="4"/>
      <c r="MWN132" s="4"/>
      <c r="MWO132" s="4"/>
      <c r="MWP132" s="4"/>
      <c r="MWQ132" s="4"/>
      <c r="MWR132" s="4"/>
      <c r="MWS132" s="4"/>
      <c r="MWT132" s="4"/>
      <c r="MWU132" s="4"/>
      <c r="MWV132" s="4"/>
      <c r="MWW132" s="4"/>
      <c r="MWX132" s="4"/>
      <c r="MWY132" s="4"/>
      <c r="MWZ132" s="4"/>
      <c r="MXA132" s="4"/>
      <c r="MXB132" s="4"/>
      <c r="MXC132" s="4"/>
      <c r="MXD132" s="4"/>
      <c r="MXE132" s="4"/>
      <c r="MXF132" s="4"/>
      <c r="MXG132" s="4"/>
      <c r="MXH132" s="4"/>
      <c r="MXI132" s="4"/>
      <c r="MXJ132" s="4"/>
      <c r="MXK132" s="4"/>
      <c r="MXL132" s="4"/>
      <c r="MXM132" s="4"/>
      <c r="MXN132" s="4"/>
      <c r="MXO132" s="4"/>
      <c r="MXP132" s="4"/>
      <c r="MXQ132" s="4"/>
      <c r="MXR132" s="4"/>
      <c r="MXS132" s="4"/>
      <c r="MXT132" s="4"/>
      <c r="MXU132" s="4"/>
      <c r="MXV132" s="4"/>
      <c r="MXW132" s="4"/>
      <c r="MXX132" s="4"/>
      <c r="MXY132" s="4"/>
      <c r="MXZ132" s="4"/>
      <c r="MYA132" s="4"/>
      <c r="MYB132" s="4"/>
      <c r="MYC132" s="4"/>
      <c r="MYD132" s="4"/>
      <c r="MYE132" s="4"/>
      <c r="MYF132" s="4"/>
      <c r="MYG132" s="4"/>
      <c r="MYH132" s="4"/>
      <c r="MYI132" s="4"/>
      <c r="MYJ132" s="4"/>
      <c r="MYK132" s="4"/>
      <c r="MYL132" s="4"/>
      <c r="MYM132" s="4"/>
      <c r="MYN132" s="4"/>
      <c r="MYO132" s="4"/>
      <c r="MYP132" s="4"/>
      <c r="MYQ132" s="4"/>
      <c r="MYR132" s="4"/>
      <c r="MYS132" s="4"/>
      <c r="MYT132" s="4"/>
      <c r="MYU132" s="4"/>
      <c r="MYV132" s="4"/>
      <c r="MYW132" s="4"/>
      <c r="MYX132" s="4"/>
      <c r="MYY132" s="4"/>
      <c r="MYZ132" s="4"/>
      <c r="MZA132" s="4"/>
      <c r="MZB132" s="4"/>
      <c r="MZC132" s="4"/>
      <c r="MZD132" s="4"/>
      <c r="MZE132" s="4"/>
      <c r="MZF132" s="4"/>
      <c r="MZG132" s="4"/>
      <c r="MZH132" s="4"/>
      <c r="MZI132" s="4"/>
      <c r="MZJ132" s="4"/>
      <c r="MZK132" s="4"/>
      <c r="MZL132" s="4"/>
      <c r="MZM132" s="4"/>
      <c r="MZN132" s="4"/>
      <c r="MZO132" s="4"/>
      <c r="MZP132" s="4"/>
      <c r="MZQ132" s="4"/>
      <c r="MZR132" s="4"/>
      <c r="MZS132" s="4"/>
      <c r="MZT132" s="4"/>
      <c r="MZU132" s="4"/>
      <c r="MZV132" s="4"/>
      <c r="MZW132" s="4"/>
      <c r="MZX132" s="4"/>
      <c r="MZY132" s="4"/>
      <c r="MZZ132" s="4"/>
      <c r="NAA132" s="4"/>
      <c r="NAB132" s="4"/>
      <c r="NAC132" s="4"/>
      <c r="NAD132" s="4"/>
      <c r="NAE132" s="4"/>
      <c r="NAF132" s="4"/>
      <c r="NAG132" s="4"/>
      <c r="NAH132" s="4"/>
      <c r="NAI132" s="4"/>
      <c r="NAJ132" s="4"/>
      <c r="NAK132" s="4"/>
      <c r="NAL132" s="4"/>
      <c r="NAM132" s="4"/>
      <c r="NAN132" s="4"/>
      <c r="NAO132" s="4"/>
      <c r="NAP132" s="4"/>
      <c r="NAQ132" s="4"/>
      <c r="NAR132" s="4"/>
      <c r="NAS132" s="4"/>
      <c r="NAT132" s="4"/>
      <c r="NAU132" s="4"/>
      <c r="NAV132" s="4"/>
      <c r="NAW132" s="4"/>
      <c r="NAX132" s="4"/>
      <c r="NAY132" s="4"/>
      <c r="NAZ132" s="4"/>
      <c r="NBA132" s="4"/>
      <c r="NBB132" s="4"/>
      <c r="NBC132" s="4"/>
      <c r="NBD132" s="4"/>
      <c r="NBE132" s="4"/>
      <c r="NBF132" s="4"/>
      <c r="NBG132" s="4"/>
      <c r="NBH132" s="4"/>
      <c r="NBI132" s="4"/>
      <c r="NBJ132" s="4"/>
      <c r="NBK132" s="4"/>
      <c r="NBL132" s="4"/>
      <c r="NBM132" s="4"/>
      <c r="NBN132" s="4"/>
      <c r="NBO132" s="4"/>
      <c r="NBP132" s="4"/>
      <c r="NBQ132" s="4"/>
      <c r="NBR132" s="4"/>
      <c r="NBS132" s="4"/>
      <c r="NBT132" s="4"/>
      <c r="NBU132" s="4"/>
      <c r="NBV132" s="4"/>
      <c r="NBW132" s="4"/>
      <c r="NBX132" s="4"/>
      <c r="NBY132" s="4"/>
      <c r="NBZ132" s="4"/>
      <c r="NCA132" s="4"/>
      <c r="NCB132" s="4"/>
      <c r="NCC132" s="4"/>
      <c r="NCD132" s="4"/>
      <c r="NCE132" s="4"/>
      <c r="NCF132" s="4"/>
      <c r="NCG132" s="4"/>
      <c r="NCH132" s="4"/>
      <c r="NCI132" s="4"/>
      <c r="NCJ132" s="4"/>
      <c r="NCK132" s="4"/>
      <c r="NCL132" s="4"/>
      <c r="NCM132" s="4"/>
      <c r="NCN132" s="4"/>
      <c r="NCO132" s="4"/>
      <c r="NCP132" s="4"/>
      <c r="NCQ132" s="4"/>
      <c r="NCR132" s="4"/>
      <c r="NCS132" s="4"/>
      <c r="NCT132" s="4"/>
      <c r="NCU132" s="4"/>
      <c r="NCV132" s="4"/>
      <c r="NCW132" s="4"/>
      <c r="NCX132" s="4"/>
      <c r="NCY132" s="4"/>
      <c r="NCZ132" s="4"/>
      <c r="NDA132" s="4"/>
      <c r="NDB132" s="4"/>
      <c r="NDC132" s="4"/>
      <c r="NDD132" s="4"/>
      <c r="NDE132" s="4"/>
      <c r="NDF132" s="4"/>
      <c r="NDG132" s="4"/>
      <c r="NDH132" s="4"/>
      <c r="NDI132" s="4"/>
      <c r="NDJ132" s="4"/>
      <c r="NDK132" s="4"/>
      <c r="NDL132" s="4"/>
      <c r="NDM132" s="4"/>
      <c r="NDN132" s="4"/>
      <c r="NDO132" s="4"/>
      <c r="NDP132" s="4"/>
      <c r="NDQ132" s="4"/>
      <c r="NDR132" s="4"/>
      <c r="NDS132" s="4"/>
      <c r="NDT132" s="4"/>
      <c r="NDU132" s="4"/>
      <c r="NDV132" s="4"/>
      <c r="NDW132" s="4"/>
      <c r="NDX132" s="4"/>
      <c r="NDY132" s="4"/>
      <c r="NDZ132" s="4"/>
      <c r="NEA132" s="4"/>
      <c r="NEB132" s="4"/>
      <c r="NEC132" s="4"/>
      <c r="NED132" s="4"/>
      <c r="NEE132" s="4"/>
      <c r="NEF132" s="4"/>
      <c r="NEG132" s="4"/>
      <c r="NEH132" s="4"/>
      <c r="NEI132" s="4"/>
      <c r="NEJ132" s="4"/>
      <c r="NEK132" s="4"/>
      <c r="NEL132" s="4"/>
      <c r="NEM132" s="4"/>
      <c r="NEN132" s="4"/>
      <c r="NEO132" s="4"/>
      <c r="NEP132" s="4"/>
      <c r="NEQ132" s="4"/>
      <c r="NER132" s="4"/>
      <c r="NES132" s="4"/>
      <c r="NET132" s="4"/>
      <c r="NEU132" s="4"/>
      <c r="NEV132" s="4"/>
      <c r="NEW132" s="4"/>
      <c r="NEX132" s="4"/>
      <c r="NEY132" s="4"/>
      <c r="NEZ132" s="4"/>
      <c r="NFA132" s="4"/>
      <c r="NFB132" s="4"/>
      <c r="NFC132" s="4"/>
      <c r="NFD132" s="4"/>
      <c r="NFE132" s="4"/>
      <c r="NFF132" s="4"/>
      <c r="NFG132" s="4"/>
      <c r="NFH132" s="4"/>
      <c r="NFI132" s="4"/>
      <c r="NFJ132" s="4"/>
      <c r="NFK132" s="4"/>
      <c r="NFL132" s="4"/>
      <c r="NFM132" s="4"/>
      <c r="NFN132" s="4"/>
      <c r="NFO132" s="4"/>
      <c r="NFP132" s="4"/>
      <c r="NFQ132" s="4"/>
      <c r="NFR132" s="4"/>
      <c r="NFS132" s="4"/>
      <c r="NFT132" s="4"/>
      <c r="NFU132" s="4"/>
      <c r="NFV132" s="4"/>
      <c r="NFW132" s="4"/>
      <c r="NFX132" s="4"/>
      <c r="NFY132" s="4"/>
      <c r="NFZ132" s="4"/>
      <c r="NGA132" s="4"/>
      <c r="NGB132" s="4"/>
      <c r="NGC132" s="4"/>
      <c r="NGD132" s="4"/>
      <c r="NGE132" s="4"/>
      <c r="NGF132" s="4"/>
      <c r="NGG132" s="4"/>
      <c r="NGH132" s="4"/>
      <c r="NGI132" s="4"/>
      <c r="NGJ132" s="4"/>
      <c r="NGK132" s="4"/>
      <c r="NGL132" s="4"/>
      <c r="NGM132" s="4"/>
      <c r="NGN132" s="4"/>
      <c r="NGO132" s="4"/>
      <c r="NGP132" s="4"/>
      <c r="NGQ132" s="4"/>
      <c r="NGR132" s="4"/>
      <c r="NGS132" s="4"/>
      <c r="NGT132" s="4"/>
      <c r="NGU132" s="4"/>
      <c r="NGV132" s="4"/>
      <c r="NGW132" s="4"/>
      <c r="NGX132" s="4"/>
      <c r="NGY132" s="4"/>
      <c r="NGZ132" s="4"/>
      <c r="NHA132" s="4"/>
      <c r="NHB132" s="4"/>
      <c r="NHC132" s="4"/>
      <c r="NHD132" s="4"/>
      <c r="NHE132" s="4"/>
      <c r="NHF132" s="4"/>
      <c r="NHG132" s="4"/>
      <c r="NHH132" s="4"/>
      <c r="NHI132" s="4"/>
      <c r="NHJ132" s="4"/>
      <c r="NHK132" s="4"/>
      <c r="NHL132" s="4"/>
      <c r="NHM132" s="4"/>
      <c r="NHN132" s="4"/>
      <c r="NHO132" s="4"/>
      <c r="NHP132" s="4"/>
      <c r="NHQ132" s="4"/>
      <c r="NHR132" s="4"/>
      <c r="NHS132" s="4"/>
      <c r="NHT132" s="4"/>
      <c r="NHU132" s="4"/>
      <c r="NHV132" s="4"/>
      <c r="NHW132" s="4"/>
      <c r="NHX132" s="4"/>
      <c r="NHY132" s="4"/>
      <c r="NHZ132" s="4"/>
      <c r="NIA132" s="4"/>
      <c r="NIB132" s="4"/>
      <c r="NIC132" s="4"/>
      <c r="NID132" s="4"/>
      <c r="NIE132" s="4"/>
      <c r="NIF132" s="4"/>
      <c r="NIG132" s="4"/>
      <c r="NIH132" s="4"/>
      <c r="NII132" s="4"/>
      <c r="NIJ132" s="4"/>
      <c r="NIK132" s="4"/>
      <c r="NIL132" s="4"/>
      <c r="NIM132" s="4"/>
      <c r="NIN132" s="4"/>
      <c r="NIO132" s="4"/>
      <c r="NIP132" s="4"/>
      <c r="NIQ132" s="4"/>
      <c r="NIR132" s="4"/>
      <c r="NIS132" s="4"/>
      <c r="NIT132" s="4"/>
      <c r="NIU132" s="4"/>
      <c r="NIV132" s="4"/>
      <c r="NIW132" s="4"/>
      <c r="NIX132" s="4"/>
      <c r="NIY132" s="4"/>
      <c r="NIZ132" s="4"/>
      <c r="NJA132" s="4"/>
      <c r="NJB132" s="4"/>
      <c r="NJC132" s="4"/>
      <c r="NJD132" s="4"/>
      <c r="NJE132" s="4"/>
      <c r="NJF132" s="4"/>
      <c r="NJG132" s="4"/>
      <c r="NJH132" s="4"/>
      <c r="NJI132" s="4"/>
      <c r="NJJ132" s="4"/>
      <c r="NJK132" s="4"/>
      <c r="NJL132" s="4"/>
      <c r="NJM132" s="4"/>
      <c r="NJN132" s="4"/>
      <c r="NJO132" s="4"/>
      <c r="NJP132" s="4"/>
      <c r="NJQ132" s="4"/>
      <c r="NJR132" s="4"/>
      <c r="NJS132" s="4"/>
      <c r="NJT132" s="4"/>
      <c r="NJU132" s="4"/>
      <c r="NJV132" s="4"/>
      <c r="NJW132" s="4"/>
      <c r="NJX132" s="4"/>
      <c r="NJY132" s="4"/>
      <c r="NJZ132" s="4"/>
      <c r="NKA132" s="4"/>
      <c r="NKB132" s="4"/>
      <c r="NKC132" s="4"/>
      <c r="NKD132" s="4"/>
      <c r="NKE132" s="4"/>
      <c r="NKF132" s="4"/>
      <c r="NKG132" s="4"/>
      <c r="NKH132" s="4"/>
      <c r="NKI132" s="4"/>
      <c r="NKJ132" s="4"/>
      <c r="NKK132" s="4"/>
      <c r="NKL132" s="4"/>
      <c r="NKM132" s="4"/>
      <c r="NKN132" s="4"/>
      <c r="NKO132" s="4"/>
      <c r="NKP132" s="4"/>
      <c r="NKQ132" s="4"/>
      <c r="NKR132" s="4"/>
      <c r="NKS132" s="4"/>
      <c r="NKT132" s="4"/>
      <c r="NKU132" s="4"/>
      <c r="NKV132" s="4"/>
      <c r="NKW132" s="4"/>
      <c r="NKX132" s="4"/>
      <c r="NKY132" s="4"/>
      <c r="NKZ132" s="4"/>
      <c r="NLA132" s="4"/>
      <c r="NLB132" s="4"/>
      <c r="NLC132" s="4"/>
      <c r="NLD132" s="4"/>
      <c r="NLE132" s="4"/>
      <c r="NLF132" s="4"/>
      <c r="NLG132" s="4"/>
      <c r="NLH132" s="4"/>
      <c r="NLI132" s="4"/>
      <c r="NLJ132" s="4"/>
      <c r="NLK132" s="4"/>
      <c r="NLL132" s="4"/>
      <c r="NLM132" s="4"/>
      <c r="NLN132" s="4"/>
      <c r="NLO132" s="4"/>
      <c r="NLP132" s="4"/>
      <c r="NLQ132" s="4"/>
      <c r="NLR132" s="4"/>
      <c r="NLS132" s="4"/>
      <c r="NLT132" s="4"/>
      <c r="NLU132" s="4"/>
      <c r="NLV132" s="4"/>
      <c r="NLW132" s="4"/>
      <c r="NLX132" s="4"/>
      <c r="NLY132" s="4"/>
      <c r="NLZ132" s="4"/>
      <c r="NMA132" s="4"/>
      <c r="NMB132" s="4"/>
      <c r="NMC132" s="4"/>
      <c r="NMD132" s="4"/>
      <c r="NME132" s="4"/>
      <c r="NMF132" s="4"/>
      <c r="NMG132" s="4"/>
      <c r="NMH132" s="4"/>
      <c r="NMI132" s="4"/>
      <c r="NMJ132" s="4"/>
      <c r="NMK132" s="4"/>
      <c r="NML132" s="4"/>
      <c r="NMM132" s="4"/>
      <c r="NMN132" s="4"/>
      <c r="NMO132" s="4"/>
      <c r="NMP132" s="4"/>
      <c r="NMQ132" s="4"/>
      <c r="NMR132" s="4"/>
      <c r="NMS132" s="4"/>
      <c r="NMT132" s="4"/>
      <c r="NMU132" s="4"/>
      <c r="NMV132" s="4"/>
      <c r="NMW132" s="4"/>
      <c r="NMX132" s="4"/>
      <c r="NMY132" s="4"/>
      <c r="NMZ132" s="4"/>
      <c r="NNA132" s="4"/>
      <c r="NNB132" s="4"/>
      <c r="NNC132" s="4"/>
      <c r="NND132" s="4"/>
      <c r="NNE132" s="4"/>
      <c r="NNF132" s="4"/>
      <c r="NNG132" s="4"/>
      <c r="NNH132" s="4"/>
      <c r="NNI132" s="4"/>
      <c r="NNJ132" s="4"/>
      <c r="NNK132" s="4"/>
      <c r="NNL132" s="4"/>
      <c r="NNM132" s="4"/>
      <c r="NNN132" s="4"/>
      <c r="NNO132" s="4"/>
      <c r="NNP132" s="4"/>
      <c r="NNQ132" s="4"/>
      <c r="NNR132" s="4"/>
      <c r="NNS132" s="4"/>
      <c r="NNT132" s="4"/>
      <c r="NNU132" s="4"/>
      <c r="NNV132" s="4"/>
      <c r="NNW132" s="4"/>
      <c r="NNX132" s="4"/>
      <c r="NNY132" s="4"/>
      <c r="NNZ132" s="4"/>
      <c r="NOA132" s="4"/>
      <c r="NOB132" s="4"/>
      <c r="NOC132" s="4"/>
      <c r="NOD132" s="4"/>
      <c r="NOE132" s="4"/>
      <c r="NOF132" s="4"/>
      <c r="NOG132" s="4"/>
      <c r="NOH132" s="4"/>
      <c r="NOI132" s="4"/>
      <c r="NOJ132" s="4"/>
      <c r="NOK132" s="4"/>
      <c r="NOL132" s="4"/>
      <c r="NOM132" s="4"/>
      <c r="NON132" s="4"/>
      <c r="NOO132" s="4"/>
      <c r="NOP132" s="4"/>
      <c r="NOQ132" s="4"/>
      <c r="NOR132" s="4"/>
      <c r="NOS132" s="4"/>
      <c r="NOT132" s="4"/>
      <c r="NOU132" s="4"/>
      <c r="NOV132" s="4"/>
      <c r="NOW132" s="4"/>
      <c r="NOX132" s="4"/>
      <c r="NOY132" s="4"/>
      <c r="NOZ132" s="4"/>
      <c r="NPA132" s="4"/>
      <c r="NPB132" s="4"/>
      <c r="NPC132" s="4"/>
      <c r="NPD132" s="4"/>
      <c r="NPE132" s="4"/>
      <c r="NPF132" s="4"/>
      <c r="NPG132" s="4"/>
      <c r="NPH132" s="4"/>
      <c r="NPI132" s="4"/>
      <c r="NPJ132" s="4"/>
      <c r="NPK132" s="4"/>
      <c r="NPL132" s="4"/>
      <c r="NPM132" s="4"/>
      <c r="NPN132" s="4"/>
      <c r="NPO132" s="4"/>
      <c r="NPP132" s="4"/>
      <c r="NPQ132" s="4"/>
      <c r="NPR132" s="4"/>
      <c r="NPS132" s="4"/>
      <c r="NPT132" s="4"/>
      <c r="NPU132" s="4"/>
      <c r="NPV132" s="4"/>
      <c r="NPW132" s="4"/>
      <c r="NPX132" s="4"/>
      <c r="NPY132" s="4"/>
      <c r="NPZ132" s="4"/>
      <c r="NQA132" s="4"/>
      <c r="NQB132" s="4"/>
      <c r="NQC132" s="4"/>
      <c r="NQD132" s="4"/>
      <c r="NQE132" s="4"/>
      <c r="NQF132" s="4"/>
      <c r="NQG132" s="4"/>
      <c r="NQH132" s="4"/>
      <c r="NQI132" s="4"/>
      <c r="NQJ132" s="4"/>
      <c r="NQK132" s="4"/>
      <c r="NQL132" s="4"/>
      <c r="NQM132" s="4"/>
      <c r="NQN132" s="4"/>
      <c r="NQO132" s="4"/>
      <c r="NQP132" s="4"/>
      <c r="NQQ132" s="4"/>
      <c r="NQR132" s="4"/>
      <c r="NQS132" s="4"/>
      <c r="NQT132" s="4"/>
      <c r="NQU132" s="4"/>
      <c r="NQV132" s="4"/>
      <c r="NQW132" s="4"/>
      <c r="NQX132" s="4"/>
      <c r="NQY132" s="4"/>
      <c r="NQZ132" s="4"/>
      <c r="NRA132" s="4"/>
      <c r="NRB132" s="4"/>
      <c r="NRC132" s="4"/>
      <c r="NRD132" s="4"/>
      <c r="NRE132" s="4"/>
      <c r="NRF132" s="4"/>
      <c r="NRG132" s="4"/>
      <c r="NRH132" s="4"/>
      <c r="NRI132" s="4"/>
      <c r="NRJ132" s="4"/>
      <c r="NRK132" s="4"/>
      <c r="NRL132" s="4"/>
      <c r="NRM132" s="4"/>
      <c r="NRN132" s="4"/>
      <c r="NRO132" s="4"/>
      <c r="NRP132" s="4"/>
      <c r="NRQ132" s="4"/>
      <c r="NRR132" s="4"/>
      <c r="NRS132" s="4"/>
      <c r="NRT132" s="4"/>
      <c r="NRU132" s="4"/>
      <c r="NRV132" s="4"/>
      <c r="NRW132" s="4"/>
      <c r="NRX132" s="4"/>
      <c r="NRY132" s="4"/>
      <c r="NRZ132" s="4"/>
      <c r="NSA132" s="4"/>
      <c r="NSB132" s="4"/>
      <c r="NSC132" s="4"/>
      <c r="NSD132" s="4"/>
      <c r="NSE132" s="4"/>
      <c r="NSF132" s="4"/>
      <c r="NSG132" s="4"/>
      <c r="NSH132" s="4"/>
      <c r="NSI132" s="4"/>
      <c r="NSJ132" s="4"/>
      <c r="NSK132" s="4"/>
      <c r="NSL132" s="4"/>
      <c r="NSM132" s="4"/>
      <c r="NSN132" s="4"/>
      <c r="NSO132" s="4"/>
      <c r="NSP132" s="4"/>
      <c r="NSQ132" s="4"/>
      <c r="NSR132" s="4"/>
      <c r="NSS132" s="4"/>
      <c r="NST132" s="4"/>
      <c r="NSU132" s="4"/>
      <c r="NSV132" s="4"/>
      <c r="NSW132" s="4"/>
      <c r="NSX132" s="4"/>
      <c r="NSY132" s="4"/>
      <c r="NSZ132" s="4"/>
      <c r="NTA132" s="4"/>
      <c r="NTB132" s="4"/>
      <c r="NTC132" s="4"/>
      <c r="NTD132" s="4"/>
      <c r="NTE132" s="4"/>
      <c r="NTF132" s="4"/>
      <c r="NTG132" s="4"/>
      <c r="NTH132" s="4"/>
      <c r="NTI132" s="4"/>
      <c r="NTJ132" s="4"/>
      <c r="NTK132" s="4"/>
      <c r="NTL132" s="4"/>
      <c r="NTM132" s="4"/>
      <c r="NTN132" s="4"/>
      <c r="NTO132" s="4"/>
      <c r="NTP132" s="4"/>
      <c r="NTQ132" s="4"/>
      <c r="NTR132" s="4"/>
      <c r="NTS132" s="4"/>
      <c r="NTT132" s="4"/>
      <c r="NTU132" s="4"/>
      <c r="NTV132" s="4"/>
      <c r="NTW132" s="4"/>
      <c r="NTX132" s="4"/>
      <c r="NTY132" s="4"/>
      <c r="NTZ132" s="4"/>
      <c r="NUA132" s="4"/>
      <c r="NUB132" s="4"/>
      <c r="NUC132" s="4"/>
      <c r="NUD132" s="4"/>
      <c r="NUE132" s="4"/>
      <c r="NUF132" s="4"/>
      <c r="NUG132" s="4"/>
      <c r="NUH132" s="4"/>
      <c r="NUI132" s="4"/>
      <c r="NUJ132" s="4"/>
      <c r="NUK132" s="4"/>
      <c r="NUL132" s="4"/>
      <c r="NUM132" s="4"/>
      <c r="NUN132" s="4"/>
      <c r="NUO132" s="4"/>
      <c r="NUP132" s="4"/>
      <c r="NUQ132" s="4"/>
      <c r="NUR132" s="4"/>
      <c r="NUS132" s="4"/>
      <c r="NUT132" s="4"/>
      <c r="NUU132" s="4"/>
      <c r="NUV132" s="4"/>
      <c r="NUW132" s="4"/>
      <c r="NUX132" s="4"/>
      <c r="NUY132" s="4"/>
      <c r="NUZ132" s="4"/>
      <c r="NVA132" s="4"/>
      <c r="NVB132" s="4"/>
      <c r="NVC132" s="4"/>
      <c r="NVD132" s="4"/>
      <c r="NVE132" s="4"/>
      <c r="NVF132" s="4"/>
      <c r="NVG132" s="4"/>
      <c r="NVH132" s="4"/>
      <c r="NVI132" s="4"/>
      <c r="NVJ132" s="4"/>
      <c r="NVK132" s="4"/>
      <c r="NVL132" s="4"/>
      <c r="NVM132" s="4"/>
      <c r="NVN132" s="4"/>
      <c r="NVO132" s="4"/>
      <c r="NVP132" s="4"/>
      <c r="NVQ132" s="4"/>
      <c r="NVR132" s="4"/>
      <c r="NVS132" s="4"/>
      <c r="NVT132" s="4"/>
      <c r="NVU132" s="4"/>
      <c r="NVV132" s="4"/>
      <c r="NVW132" s="4"/>
      <c r="NVX132" s="4"/>
      <c r="NVY132" s="4"/>
      <c r="NVZ132" s="4"/>
      <c r="NWA132" s="4"/>
      <c r="NWB132" s="4"/>
      <c r="NWC132" s="4"/>
      <c r="NWD132" s="4"/>
      <c r="NWE132" s="4"/>
      <c r="NWF132" s="4"/>
      <c r="NWG132" s="4"/>
      <c r="NWH132" s="4"/>
      <c r="NWI132" s="4"/>
      <c r="NWJ132" s="4"/>
      <c r="NWK132" s="4"/>
      <c r="NWL132" s="4"/>
      <c r="NWM132" s="4"/>
      <c r="NWN132" s="4"/>
      <c r="NWO132" s="4"/>
      <c r="NWP132" s="4"/>
      <c r="NWQ132" s="4"/>
      <c r="NWR132" s="4"/>
      <c r="NWS132" s="4"/>
      <c r="NWT132" s="4"/>
      <c r="NWU132" s="4"/>
      <c r="NWV132" s="4"/>
      <c r="NWW132" s="4"/>
      <c r="NWX132" s="4"/>
      <c r="NWY132" s="4"/>
      <c r="NWZ132" s="4"/>
      <c r="NXA132" s="4"/>
      <c r="NXB132" s="4"/>
      <c r="NXC132" s="4"/>
      <c r="NXD132" s="4"/>
      <c r="NXE132" s="4"/>
      <c r="NXF132" s="4"/>
      <c r="NXG132" s="4"/>
      <c r="NXH132" s="4"/>
      <c r="NXI132" s="4"/>
      <c r="NXJ132" s="4"/>
      <c r="NXK132" s="4"/>
      <c r="NXL132" s="4"/>
      <c r="NXM132" s="4"/>
      <c r="NXN132" s="4"/>
      <c r="NXO132" s="4"/>
      <c r="NXP132" s="4"/>
      <c r="NXQ132" s="4"/>
      <c r="NXR132" s="4"/>
      <c r="NXS132" s="4"/>
      <c r="NXT132" s="4"/>
      <c r="NXU132" s="4"/>
      <c r="NXV132" s="4"/>
      <c r="NXW132" s="4"/>
      <c r="NXX132" s="4"/>
      <c r="NXY132" s="4"/>
      <c r="NXZ132" s="4"/>
      <c r="NYA132" s="4"/>
      <c r="NYB132" s="4"/>
      <c r="NYC132" s="4"/>
      <c r="NYD132" s="4"/>
      <c r="NYE132" s="4"/>
      <c r="NYF132" s="4"/>
      <c r="NYG132" s="4"/>
      <c r="NYH132" s="4"/>
      <c r="NYI132" s="4"/>
      <c r="NYJ132" s="4"/>
      <c r="NYK132" s="4"/>
      <c r="NYL132" s="4"/>
      <c r="NYM132" s="4"/>
      <c r="NYN132" s="4"/>
      <c r="NYO132" s="4"/>
      <c r="NYP132" s="4"/>
      <c r="NYQ132" s="4"/>
      <c r="NYR132" s="4"/>
      <c r="NYS132" s="4"/>
      <c r="NYT132" s="4"/>
      <c r="NYU132" s="4"/>
      <c r="NYV132" s="4"/>
      <c r="NYW132" s="4"/>
      <c r="NYX132" s="4"/>
      <c r="NYY132" s="4"/>
      <c r="NYZ132" s="4"/>
      <c r="NZA132" s="4"/>
      <c r="NZB132" s="4"/>
      <c r="NZC132" s="4"/>
      <c r="NZD132" s="4"/>
      <c r="NZE132" s="4"/>
      <c r="NZF132" s="4"/>
      <c r="NZG132" s="4"/>
      <c r="NZH132" s="4"/>
      <c r="NZI132" s="4"/>
      <c r="NZJ132" s="4"/>
      <c r="NZK132" s="4"/>
      <c r="NZL132" s="4"/>
      <c r="NZM132" s="4"/>
      <c r="NZN132" s="4"/>
      <c r="NZO132" s="4"/>
      <c r="NZP132" s="4"/>
      <c r="NZQ132" s="4"/>
      <c r="NZR132" s="4"/>
      <c r="NZS132" s="4"/>
      <c r="NZT132" s="4"/>
      <c r="NZU132" s="4"/>
      <c r="NZV132" s="4"/>
      <c r="NZW132" s="4"/>
      <c r="NZX132" s="4"/>
      <c r="NZY132" s="4"/>
      <c r="NZZ132" s="4"/>
      <c r="OAA132" s="4"/>
      <c r="OAB132" s="4"/>
      <c r="OAC132" s="4"/>
      <c r="OAD132" s="4"/>
      <c r="OAE132" s="4"/>
      <c r="OAF132" s="4"/>
      <c r="OAG132" s="4"/>
      <c r="OAH132" s="4"/>
      <c r="OAI132" s="4"/>
      <c r="OAJ132" s="4"/>
      <c r="OAK132" s="4"/>
      <c r="OAL132" s="4"/>
      <c r="OAM132" s="4"/>
      <c r="OAN132" s="4"/>
      <c r="OAO132" s="4"/>
      <c r="OAP132" s="4"/>
      <c r="OAQ132" s="4"/>
      <c r="OAR132" s="4"/>
      <c r="OAS132" s="4"/>
      <c r="OAT132" s="4"/>
      <c r="OAU132" s="4"/>
      <c r="OAV132" s="4"/>
      <c r="OAW132" s="4"/>
      <c r="OAX132" s="4"/>
      <c r="OAY132" s="4"/>
      <c r="OAZ132" s="4"/>
      <c r="OBA132" s="4"/>
      <c r="OBB132" s="4"/>
      <c r="OBC132" s="4"/>
      <c r="OBD132" s="4"/>
      <c r="OBE132" s="4"/>
      <c r="OBF132" s="4"/>
      <c r="OBG132" s="4"/>
      <c r="OBH132" s="4"/>
      <c r="OBI132" s="4"/>
      <c r="OBJ132" s="4"/>
      <c r="OBK132" s="4"/>
      <c r="OBL132" s="4"/>
      <c r="OBM132" s="4"/>
      <c r="OBN132" s="4"/>
      <c r="OBO132" s="4"/>
      <c r="OBP132" s="4"/>
      <c r="OBQ132" s="4"/>
      <c r="OBR132" s="4"/>
      <c r="OBS132" s="4"/>
      <c r="OBT132" s="4"/>
      <c r="OBU132" s="4"/>
      <c r="OBV132" s="4"/>
      <c r="OBW132" s="4"/>
      <c r="OBX132" s="4"/>
      <c r="OBY132" s="4"/>
      <c r="OBZ132" s="4"/>
      <c r="OCA132" s="4"/>
      <c r="OCB132" s="4"/>
      <c r="OCC132" s="4"/>
      <c r="OCD132" s="4"/>
      <c r="OCE132" s="4"/>
      <c r="OCF132" s="4"/>
      <c r="OCG132" s="4"/>
      <c r="OCH132" s="4"/>
      <c r="OCI132" s="4"/>
      <c r="OCJ132" s="4"/>
      <c r="OCK132" s="4"/>
      <c r="OCL132" s="4"/>
      <c r="OCM132" s="4"/>
      <c r="OCN132" s="4"/>
      <c r="OCO132" s="4"/>
      <c r="OCP132" s="4"/>
      <c r="OCQ132" s="4"/>
      <c r="OCR132" s="4"/>
      <c r="OCS132" s="4"/>
      <c r="OCT132" s="4"/>
      <c r="OCU132" s="4"/>
      <c r="OCV132" s="4"/>
      <c r="OCW132" s="4"/>
      <c r="OCX132" s="4"/>
      <c r="OCY132" s="4"/>
      <c r="OCZ132" s="4"/>
      <c r="ODA132" s="4"/>
      <c r="ODB132" s="4"/>
      <c r="ODC132" s="4"/>
      <c r="ODD132" s="4"/>
      <c r="ODE132" s="4"/>
      <c r="ODF132" s="4"/>
      <c r="ODG132" s="4"/>
      <c r="ODH132" s="4"/>
      <c r="ODI132" s="4"/>
      <c r="ODJ132" s="4"/>
      <c r="ODK132" s="4"/>
      <c r="ODL132" s="4"/>
      <c r="ODM132" s="4"/>
      <c r="ODN132" s="4"/>
      <c r="ODO132" s="4"/>
      <c r="ODP132" s="4"/>
      <c r="ODQ132" s="4"/>
      <c r="ODR132" s="4"/>
      <c r="ODS132" s="4"/>
      <c r="ODT132" s="4"/>
      <c r="ODU132" s="4"/>
      <c r="ODV132" s="4"/>
      <c r="ODW132" s="4"/>
      <c r="ODX132" s="4"/>
      <c r="ODY132" s="4"/>
      <c r="ODZ132" s="4"/>
      <c r="OEA132" s="4"/>
      <c r="OEB132" s="4"/>
      <c r="OEC132" s="4"/>
      <c r="OED132" s="4"/>
      <c r="OEE132" s="4"/>
      <c r="OEF132" s="4"/>
      <c r="OEG132" s="4"/>
      <c r="OEH132" s="4"/>
      <c r="OEI132" s="4"/>
      <c r="OEJ132" s="4"/>
      <c r="OEK132" s="4"/>
      <c r="OEL132" s="4"/>
      <c r="OEM132" s="4"/>
      <c r="OEN132" s="4"/>
      <c r="OEO132" s="4"/>
      <c r="OEP132" s="4"/>
      <c r="OEQ132" s="4"/>
      <c r="OER132" s="4"/>
      <c r="OES132" s="4"/>
      <c r="OET132" s="4"/>
      <c r="OEU132" s="4"/>
      <c r="OEV132" s="4"/>
      <c r="OEW132" s="4"/>
      <c r="OEX132" s="4"/>
      <c r="OEY132" s="4"/>
      <c r="OEZ132" s="4"/>
      <c r="OFA132" s="4"/>
      <c r="OFB132" s="4"/>
      <c r="OFC132" s="4"/>
      <c r="OFD132" s="4"/>
      <c r="OFE132" s="4"/>
      <c r="OFF132" s="4"/>
      <c r="OFG132" s="4"/>
      <c r="OFH132" s="4"/>
      <c r="OFI132" s="4"/>
      <c r="OFJ132" s="4"/>
      <c r="OFK132" s="4"/>
      <c r="OFL132" s="4"/>
      <c r="OFM132" s="4"/>
      <c r="OFN132" s="4"/>
      <c r="OFO132" s="4"/>
      <c r="OFP132" s="4"/>
      <c r="OFQ132" s="4"/>
      <c r="OFR132" s="4"/>
      <c r="OFS132" s="4"/>
      <c r="OFT132" s="4"/>
      <c r="OFU132" s="4"/>
      <c r="OFV132" s="4"/>
      <c r="OFW132" s="4"/>
      <c r="OFX132" s="4"/>
      <c r="OFY132" s="4"/>
      <c r="OFZ132" s="4"/>
      <c r="OGA132" s="4"/>
      <c r="OGB132" s="4"/>
      <c r="OGC132" s="4"/>
      <c r="OGD132" s="4"/>
      <c r="OGE132" s="4"/>
      <c r="OGF132" s="4"/>
      <c r="OGG132" s="4"/>
      <c r="OGH132" s="4"/>
      <c r="OGI132" s="4"/>
      <c r="OGJ132" s="4"/>
      <c r="OGK132" s="4"/>
      <c r="OGL132" s="4"/>
      <c r="OGM132" s="4"/>
      <c r="OGN132" s="4"/>
      <c r="OGO132" s="4"/>
      <c r="OGP132" s="4"/>
      <c r="OGQ132" s="4"/>
      <c r="OGR132" s="4"/>
      <c r="OGS132" s="4"/>
      <c r="OGT132" s="4"/>
      <c r="OGU132" s="4"/>
      <c r="OGV132" s="4"/>
      <c r="OGW132" s="4"/>
      <c r="OGX132" s="4"/>
      <c r="OGY132" s="4"/>
      <c r="OGZ132" s="4"/>
      <c r="OHA132" s="4"/>
      <c r="OHB132" s="4"/>
      <c r="OHC132" s="4"/>
      <c r="OHD132" s="4"/>
      <c r="OHE132" s="4"/>
      <c r="OHF132" s="4"/>
      <c r="OHG132" s="4"/>
      <c r="OHH132" s="4"/>
      <c r="OHI132" s="4"/>
      <c r="OHJ132" s="4"/>
      <c r="OHK132" s="4"/>
      <c r="OHL132" s="4"/>
      <c r="OHM132" s="4"/>
      <c r="OHN132" s="4"/>
      <c r="OHO132" s="4"/>
      <c r="OHP132" s="4"/>
      <c r="OHQ132" s="4"/>
      <c r="OHR132" s="4"/>
      <c r="OHS132" s="4"/>
      <c r="OHT132" s="4"/>
      <c r="OHU132" s="4"/>
      <c r="OHV132" s="4"/>
      <c r="OHW132" s="4"/>
      <c r="OHX132" s="4"/>
      <c r="OHY132" s="4"/>
      <c r="OHZ132" s="4"/>
      <c r="OIA132" s="4"/>
      <c r="OIB132" s="4"/>
      <c r="OIC132" s="4"/>
      <c r="OID132" s="4"/>
      <c r="OIE132" s="4"/>
      <c r="OIF132" s="4"/>
      <c r="OIG132" s="4"/>
      <c r="OIH132" s="4"/>
      <c r="OII132" s="4"/>
      <c r="OIJ132" s="4"/>
      <c r="OIK132" s="4"/>
      <c r="OIL132" s="4"/>
      <c r="OIM132" s="4"/>
      <c r="OIN132" s="4"/>
      <c r="OIO132" s="4"/>
      <c r="OIP132" s="4"/>
      <c r="OIQ132" s="4"/>
      <c r="OIR132" s="4"/>
      <c r="OIS132" s="4"/>
      <c r="OIT132" s="4"/>
      <c r="OIU132" s="4"/>
      <c r="OIV132" s="4"/>
      <c r="OIW132" s="4"/>
      <c r="OIX132" s="4"/>
      <c r="OIY132" s="4"/>
      <c r="OIZ132" s="4"/>
      <c r="OJA132" s="4"/>
      <c r="OJB132" s="4"/>
      <c r="OJC132" s="4"/>
      <c r="OJD132" s="4"/>
      <c r="OJE132" s="4"/>
      <c r="OJF132" s="4"/>
      <c r="OJG132" s="4"/>
      <c r="OJH132" s="4"/>
      <c r="OJI132" s="4"/>
      <c r="OJJ132" s="4"/>
      <c r="OJK132" s="4"/>
      <c r="OJL132" s="4"/>
      <c r="OJM132" s="4"/>
      <c r="OJN132" s="4"/>
      <c r="OJO132" s="4"/>
      <c r="OJP132" s="4"/>
      <c r="OJQ132" s="4"/>
      <c r="OJR132" s="4"/>
      <c r="OJS132" s="4"/>
      <c r="OJT132" s="4"/>
      <c r="OJU132" s="4"/>
      <c r="OJV132" s="4"/>
      <c r="OJW132" s="4"/>
      <c r="OJX132" s="4"/>
      <c r="OJY132" s="4"/>
      <c r="OJZ132" s="4"/>
      <c r="OKA132" s="4"/>
      <c r="OKB132" s="4"/>
      <c r="OKC132" s="4"/>
      <c r="OKD132" s="4"/>
      <c r="OKE132" s="4"/>
      <c r="OKF132" s="4"/>
      <c r="OKG132" s="4"/>
      <c r="OKH132" s="4"/>
      <c r="OKI132" s="4"/>
      <c r="OKJ132" s="4"/>
      <c r="OKK132" s="4"/>
      <c r="OKL132" s="4"/>
      <c r="OKM132" s="4"/>
      <c r="OKN132" s="4"/>
      <c r="OKO132" s="4"/>
      <c r="OKP132" s="4"/>
      <c r="OKQ132" s="4"/>
      <c r="OKR132" s="4"/>
      <c r="OKS132" s="4"/>
      <c r="OKT132" s="4"/>
      <c r="OKU132" s="4"/>
      <c r="OKV132" s="4"/>
      <c r="OKW132" s="4"/>
      <c r="OKX132" s="4"/>
      <c r="OKY132" s="4"/>
      <c r="OKZ132" s="4"/>
      <c r="OLA132" s="4"/>
      <c r="OLB132" s="4"/>
      <c r="OLC132" s="4"/>
      <c r="OLD132" s="4"/>
      <c r="OLE132" s="4"/>
      <c r="OLF132" s="4"/>
      <c r="OLG132" s="4"/>
      <c r="OLH132" s="4"/>
      <c r="OLI132" s="4"/>
      <c r="OLJ132" s="4"/>
      <c r="OLK132" s="4"/>
      <c r="OLL132" s="4"/>
      <c r="OLM132" s="4"/>
      <c r="OLN132" s="4"/>
      <c r="OLO132" s="4"/>
      <c r="OLP132" s="4"/>
      <c r="OLQ132" s="4"/>
      <c r="OLR132" s="4"/>
      <c r="OLS132" s="4"/>
      <c r="OLT132" s="4"/>
      <c r="OLU132" s="4"/>
      <c r="OLV132" s="4"/>
      <c r="OLW132" s="4"/>
      <c r="OLX132" s="4"/>
      <c r="OLY132" s="4"/>
      <c r="OLZ132" s="4"/>
      <c r="OMA132" s="4"/>
      <c r="OMB132" s="4"/>
      <c r="OMC132" s="4"/>
      <c r="OMD132" s="4"/>
      <c r="OME132" s="4"/>
      <c r="OMF132" s="4"/>
      <c r="OMG132" s="4"/>
      <c r="OMH132" s="4"/>
      <c r="OMI132" s="4"/>
      <c r="OMJ132" s="4"/>
      <c r="OMK132" s="4"/>
      <c r="OML132" s="4"/>
      <c r="OMM132" s="4"/>
      <c r="OMN132" s="4"/>
      <c r="OMO132" s="4"/>
      <c r="OMP132" s="4"/>
      <c r="OMQ132" s="4"/>
      <c r="OMR132" s="4"/>
      <c r="OMS132" s="4"/>
      <c r="OMT132" s="4"/>
      <c r="OMU132" s="4"/>
      <c r="OMV132" s="4"/>
      <c r="OMW132" s="4"/>
      <c r="OMX132" s="4"/>
      <c r="OMY132" s="4"/>
      <c r="OMZ132" s="4"/>
      <c r="ONA132" s="4"/>
      <c r="ONB132" s="4"/>
      <c r="ONC132" s="4"/>
      <c r="OND132" s="4"/>
      <c r="ONE132" s="4"/>
      <c r="ONF132" s="4"/>
      <c r="ONG132" s="4"/>
      <c r="ONH132" s="4"/>
      <c r="ONI132" s="4"/>
      <c r="ONJ132" s="4"/>
      <c r="ONK132" s="4"/>
      <c r="ONL132" s="4"/>
      <c r="ONM132" s="4"/>
      <c r="ONN132" s="4"/>
      <c r="ONO132" s="4"/>
      <c r="ONP132" s="4"/>
      <c r="ONQ132" s="4"/>
      <c r="ONR132" s="4"/>
      <c r="ONS132" s="4"/>
      <c r="ONT132" s="4"/>
      <c r="ONU132" s="4"/>
      <c r="ONV132" s="4"/>
      <c r="ONW132" s="4"/>
      <c r="ONX132" s="4"/>
      <c r="ONY132" s="4"/>
      <c r="ONZ132" s="4"/>
      <c r="OOA132" s="4"/>
      <c r="OOB132" s="4"/>
      <c r="OOC132" s="4"/>
      <c r="OOD132" s="4"/>
      <c r="OOE132" s="4"/>
      <c r="OOF132" s="4"/>
      <c r="OOG132" s="4"/>
      <c r="OOH132" s="4"/>
      <c r="OOI132" s="4"/>
      <c r="OOJ132" s="4"/>
      <c r="OOK132" s="4"/>
      <c r="OOL132" s="4"/>
      <c r="OOM132" s="4"/>
      <c r="OON132" s="4"/>
      <c r="OOO132" s="4"/>
      <c r="OOP132" s="4"/>
      <c r="OOQ132" s="4"/>
      <c r="OOR132" s="4"/>
      <c r="OOS132" s="4"/>
      <c r="OOT132" s="4"/>
      <c r="OOU132" s="4"/>
      <c r="OOV132" s="4"/>
      <c r="OOW132" s="4"/>
      <c r="OOX132" s="4"/>
      <c r="OOY132" s="4"/>
      <c r="OOZ132" s="4"/>
      <c r="OPA132" s="4"/>
      <c r="OPB132" s="4"/>
      <c r="OPC132" s="4"/>
      <c r="OPD132" s="4"/>
      <c r="OPE132" s="4"/>
      <c r="OPF132" s="4"/>
      <c r="OPG132" s="4"/>
      <c r="OPH132" s="4"/>
      <c r="OPI132" s="4"/>
      <c r="OPJ132" s="4"/>
      <c r="OPK132" s="4"/>
      <c r="OPL132" s="4"/>
      <c r="OPM132" s="4"/>
      <c r="OPN132" s="4"/>
      <c r="OPO132" s="4"/>
      <c r="OPP132" s="4"/>
      <c r="OPQ132" s="4"/>
      <c r="OPR132" s="4"/>
      <c r="OPS132" s="4"/>
      <c r="OPT132" s="4"/>
      <c r="OPU132" s="4"/>
      <c r="OPV132" s="4"/>
      <c r="OPW132" s="4"/>
      <c r="OPX132" s="4"/>
      <c r="OPY132" s="4"/>
      <c r="OPZ132" s="4"/>
      <c r="OQA132" s="4"/>
      <c r="OQB132" s="4"/>
      <c r="OQC132" s="4"/>
      <c r="OQD132" s="4"/>
      <c r="OQE132" s="4"/>
      <c r="OQF132" s="4"/>
      <c r="OQG132" s="4"/>
      <c r="OQH132" s="4"/>
      <c r="OQI132" s="4"/>
      <c r="OQJ132" s="4"/>
      <c r="OQK132" s="4"/>
      <c r="OQL132" s="4"/>
      <c r="OQM132" s="4"/>
      <c r="OQN132" s="4"/>
      <c r="OQO132" s="4"/>
      <c r="OQP132" s="4"/>
      <c r="OQQ132" s="4"/>
      <c r="OQR132" s="4"/>
      <c r="OQS132" s="4"/>
      <c r="OQT132" s="4"/>
      <c r="OQU132" s="4"/>
      <c r="OQV132" s="4"/>
      <c r="OQW132" s="4"/>
      <c r="OQX132" s="4"/>
      <c r="OQY132" s="4"/>
      <c r="OQZ132" s="4"/>
      <c r="ORA132" s="4"/>
      <c r="ORB132" s="4"/>
      <c r="ORC132" s="4"/>
      <c r="ORD132" s="4"/>
      <c r="ORE132" s="4"/>
      <c r="ORF132" s="4"/>
      <c r="ORG132" s="4"/>
      <c r="ORH132" s="4"/>
      <c r="ORI132" s="4"/>
      <c r="ORJ132" s="4"/>
      <c r="ORK132" s="4"/>
      <c r="ORL132" s="4"/>
      <c r="ORM132" s="4"/>
      <c r="ORN132" s="4"/>
      <c r="ORO132" s="4"/>
      <c r="ORP132" s="4"/>
      <c r="ORQ132" s="4"/>
      <c r="ORR132" s="4"/>
      <c r="ORS132" s="4"/>
      <c r="ORT132" s="4"/>
      <c r="ORU132" s="4"/>
      <c r="ORV132" s="4"/>
      <c r="ORW132" s="4"/>
      <c r="ORX132" s="4"/>
      <c r="ORY132" s="4"/>
      <c r="ORZ132" s="4"/>
      <c r="OSA132" s="4"/>
      <c r="OSB132" s="4"/>
      <c r="OSC132" s="4"/>
      <c r="OSD132" s="4"/>
      <c r="OSE132" s="4"/>
      <c r="OSF132" s="4"/>
      <c r="OSG132" s="4"/>
      <c r="OSH132" s="4"/>
      <c r="OSI132" s="4"/>
      <c r="OSJ132" s="4"/>
      <c r="OSK132" s="4"/>
      <c r="OSL132" s="4"/>
      <c r="OSM132" s="4"/>
      <c r="OSN132" s="4"/>
      <c r="OSO132" s="4"/>
      <c r="OSP132" s="4"/>
      <c r="OSQ132" s="4"/>
      <c r="OSR132" s="4"/>
      <c r="OSS132" s="4"/>
      <c r="OST132" s="4"/>
      <c r="OSU132" s="4"/>
      <c r="OSV132" s="4"/>
      <c r="OSW132" s="4"/>
      <c r="OSX132" s="4"/>
      <c r="OSY132" s="4"/>
      <c r="OSZ132" s="4"/>
      <c r="OTA132" s="4"/>
      <c r="OTB132" s="4"/>
      <c r="OTC132" s="4"/>
      <c r="OTD132" s="4"/>
      <c r="OTE132" s="4"/>
      <c r="OTF132" s="4"/>
      <c r="OTG132" s="4"/>
      <c r="OTH132" s="4"/>
      <c r="OTI132" s="4"/>
      <c r="OTJ132" s="4"/>
      <c r="OTK132" s="4"/>
      <c r="OTL132" s="4"/>
      <c r="OTM132" s="4"/>
      <c r="OTN132" s="4"/>
      <c r="OTO132" s="4"/>
      <c r="OTP132" s="4"/>
      <c r="OTQ132" s="4"/>
      <c r="OTR132" s="4"/>
      <c r="OTS132" s="4"/>
      <c r="OTT132" s="4"/>
      <c r="OTU132" s="4"/>
      <c r="OTV132" s="4"/>
      <c r="OTW132" s="4"/>
      <c r="OTX132" s="4"/>
      <c r="OTY132" s="4"/>
      <c r="OTZ132" s="4"/>
      <c r="OUA132" s="4"/>
      <c r="OUB132" s="4"/>
      <c r="OUC132" s="4"/>
      <c r="OUD132" s="4"/>
      <c r="OUE132" s="4"/>
      <c r="OUF132" s="4"/>
      <c r="OUG132" s="4"/>
      <c r="OUH132" s="4"/>
      <c r="OUI132" s="4"/>
      <c r="OUJ132" s="4"/>
      <c r="OUK132" s="4"/>
      <c r="OUL132" s="4"/>
      <c r="OUM132" s="4"/>
      <c r="OUN132" s="4"/>
      <c r="OUO132" s="4"/>
      <c r="OUP132" s="4"/>
      <c r="OUQ132" s="4"/>
      <c r="OUR132" s="4"/>
      <c r="OUS132" s="4"/>
      <c r="OUT132" s="4"/>
      <c r="OUU132" s="4"/>
      <c r="OUV132" s="4"/>
      <c r="OUW132" s="4"/>
      <c r="OUX132" s="4"/>
      <c r="OUY132" s="4"/>
      <c r="OUZ132" s="4"/>
      <c r="OVA132" s="4"/>
      <c r="OVB132" s="4"/>
      <c r="OVC132" s="4"/>
      <c r="OVD132" s="4"/>
      <c r="OVE132" s="4"/>
      <c r="OVF132" s="4"/>
      <c r="OVG132" s="4"/>
      <c r="OVH132" s="4"/>
      <c r="OVI132" s="4"/>
      <c r="OVJ132" s="4"/>
      <c r="OVK132" s="4"/>
      <c r="OVL132" s="4"/>
      <c r="OVM132" s="4"/>
      <c r="OVN132" s="4"/>
      <c r="OVO132" s="4"/>
      <c r="OVP132" s="4"/>
      <c r="OVQ132" s="4"/>
      <c r="OVR132" s="4"/>
      <c r="OVS132" s="4"/>
      <c r="OVT132" s="4"/>
      <c r="OVU132" s="4"/>
      <c r="OVV132" s="4"/>
      <c r="OVW132" s="4"/>
      <c r="OVX132" s="4"/>
      <c r="OVY132" s="4"/>
      <c r="OVZ132" s="4"/>
      <c r="OWA132" s="4"/>
      <c r="OWB132" s="4"/>
      <c r="OWC132" s="4"/>
      <c r="OWD132" s="4"/>
      <c r="OWE132" s="4"/>
      <c r="OWF132" s="4"/>
      <c r="OWG132" s="4"/>
      <c r="OWH132" s="4"/>
      <c r="OWI132" s="4"/>
      <c r="OWJ132" s="4"/>
      <c r="OWK132" s="4"/>
      <c r="OWL132" s="4"/>
      <c r="OWM132" s="4"/>
      <c r="OWN132" s="4"/>
      <c r="OWO132" s="4"/>
      <c r="OWP132" s="4"/>
      <c r="OWQ132" s="4"/>
      <c r="OWR132" s="4"/>
      <c r="OWS132" s="4"/>
      <c r="OWT132" s="4"/>
      <c r="OWU132" s="4"/>
      <c r="OWV132" s="4"/>
      <c r="OWW132" s="4"/>
      <c r="OWX132" s="4"/>
      <c r="OWY132" s="4"/>
      <c r="OWZ132" s="4"/>
      <c r="OXA132" s="4"/>
      <c r="OXB132" s="4"/>
      <c r="OXC132" s="4"/>
      <c r="OXD132" s="4"/>
      <c r="OXE132" s="4"/>
      <c r="OXF132" s="4"/>
      <c r="OXG132" s="4"/>
      <c r="OXH132" s="4"/>
      <c r="OXI132" s="4"/>
      <c r="OXJ132" s="4"/>
      <c r="OXK132" s="4"/>
      <c r="OXL132" s="4"/>
      <c r="OXM132" s="4"/>
      <c r="OXN132" s="4"/>
      <c r="OXO132" s="4"/>
      <c r="OXP132" s="4"/>
      <c r="OXQ132" s="4"/>
      <c r="OXR132" s="4"/>
      <c r="OXS132" s="4"/>
      <c r="OXT132" s="4"/>
      <c r="OXU132" s="4"/>
      <c r="OXV132" s="4"/>
      <c r="OXW132" s="4"/>
      <c r="OXX132" s="4"/>
      <c r="OXY132" s="4"/>
      <c r="OXZ132" s="4"/>
      <c r="OYA132" s="4"/>
      <c r="OYB132" s="4"/>
      <c r="OYC132" s="4"/>
      <c r="OYD132" s="4"/>
      <c r="OYE132" s="4"/>
      <c r="OYF132" s="4"/>
      <c r="OYG132" s="4"/>
      <c r="OYH132" s="4"/>
      <c r="OYI132" s="4"/>
      <c r="OYJ132" s="4"/>
      <c r="OYK132" s="4"/>
      <c r="OYL132" s="4"/>
      <c r="OYM132" s="4"/>
      <c r="OYN132" s="4"/>
      <c r="OYO132" s="4"/>
      <c r="OYP132" s="4"/>
      <c r="OYQ132" s="4"/>
      <c r="OYR132" s="4"/>
      <c r="OYS132" s="4"/>
      <c r="OYT132" s="4"/>
      <c r="OYU132" s="4"/>
      <c r="OYV132" s="4"/>
      <c r="OYW132" s="4"/>
      <c r="OYX132" s="4"/>
      <c r="OYY132" s="4"/>
      <c r="OYZ132" s="4"/>
      <c r="OZA132" s="4"/>
      <c r="OZB132" s="4"/>
      <c r="OZC132" s="4"/>
      <c r="OZD132" s="4"/>
      <c r="OZE132" s="4"/>
      <c r="OZF132" s="4"/>
      <c r="OZG132" s="4"/>
      <c r="OZH132" s="4"/>
      <c r="OZI132" s="4"/>
      <c r="OZJ132" s="4"/>
      <c r="OZK132" s="4"/>
      <c r="OZL132" s="4"/>
      <c r="OZM132" s="4"/>
      <c r="OZN132" s="4"/>
      <c r="OZO132" s="4"/>
      <c r="OZP132" s="4"/>
      <c r="OZQ132" s="4"/>
      <c r="OZR132" s="4"/>
      <c r="OZS132" s="4"/>
      <c r="OZT132" s="4"/>
      <c r="OZU132" s="4"/>
      <c r="OZV132" s="4"/>
      <c r="OZW132" s="4"/>
      <c r="OZX132" s="4"/>
      <c r="OZY132" s="4"/>
      <c r="OZZ132" s="4"/>
      <c r="PAA132" s="4"/>
      <c r="PAB132" s="4"/>
      <c r="PAC132" s="4"/>
      <c r="PAD132" s="4"/>
      <c r="PAE132" s="4"/>
      <c r="PAF132" s="4"/>
      <c r="PAG132" s="4"/>
      <c r="PAH132" s="4"/>
      <c r="PAI132" s="4"/>
      <c r="PAJ132" s="4"/>
      <c r="PAK132" s="4"/>
      <c r="PAL132" s="4"/>
      <c r="PAM132" s="4"/>
      <c r="PAN132" s="4"/>
      <c r="PAO132" s="4"/>
      <c r="PAP132" s="4"/>
      <c r="PAQ132" s="4"/>
      <c r="PAR132" s="4"/>
      <c r="PAS132" s="4"/>
      <c r="PAT132" s="4"/>
      <c r="PAU132" s="4"/>
      <c r="PAV132" s="4"/>
      <c r="PAW132" s="4"/>
      <c r="PAX132" s="4"/>
      <c r="PAY132" s="4"/>
      <c r="PAZ132" s="4"/>
      <c r="PBA132" s="4"/>
      <c r="PBB132" s="4"/>
      <c r="PBC132" s="4"/>
      <c r="PBD132" s="4"/>
      <c r="PBE132" s="4"/>
      <c r="PBF132" s="4"/>
      <c r="PBG132" s="4"/>
      <c r="PBH132" s="4"/>
      <c r="PBI132" s="4"/>
      <c r="PBJ132" s="4"/>
      <c r="PBK132" s="4"/>
      <c r="PBL132" s="4"/>
      <c r="PBM132" s="4"/>
      <c r="PBN132" s="4"/>
      <c r="PBO132" s="4"/>
      <c r="PBP132" s="4"/>
      <c r="PBQ132" s="4"/>
      <c r="PBR132" s="4"/>
      <c r="PBS132" s="4"/>
      <c r="PBT132" s="4"/>
      <c r="PBU132" s="4"/>
      <c r="PBV132" s="4"/>
      <c r="PBW132" s="4"/>
      <c r="PBX132" s="4"/>
      <c r="PBY132" s="4"/>
      <c r="PBZ132" s="4"/>
      <c r="PCA132" s="4"/>
      <c r="PCB132" s="4"/>
      <c r="PCC132" s="4"/>
      <c r="PCD132" s="4"/>
      <c r="PCE132" s="4"/>
      <c r="PCF132" s="4"/>
      <c r="PCG132" s="4"/>
      <c r="PCH132" s="4"/>
      <c r="PCI132" s="4"/>
      <c r="PCJ132" s="4"/>
      <c r="PCK132" s="4"/>
      <c r="PCL132" s="4"/>
      <c r="PCM132" s="4"/>
      <c r="PCN132" s="4"/>
      <c r="PCO132" s="4"/>
      <c r="PCP132" s="4"/>
      <c r="PCQ132" s="4"/>
      <c r="PCR132" s="4"/>
      <c r="PCS132" s="4"/>
      <c r="PCT132" s="4"/>
      <c r="PCU132" s="4"/>
      <c r="PCV132" s="4"/>
      <c r="PCW132" s="4"/>
      <c r="PCX132" s="4"/>
      <c r="PCY132" s="4"/>
      <c r="PCZ132" s="4"/>
      <c r="PDA132" s="4"/>
      <c r="PDB132" s="4"/>
      <c r="PDC132" s="4"/>
      <c r="PDD132" s="4"/>
      <c r="PDE132" s="4"/>
      <c r="PDF132" s="4"/>
      <c r="PDG132" s="4"/>
      <c r="PDH132" s="4"/>
      <c r="PDI132" s="4"/>
      <c r="PDJ132" s="4"/>
      <c r="PDK132" s="4"/>
      <c r="PDL132" s="4"/>
      <c r="PDM132" s="4"/>
      <c r="PDN132" s="4"/>
      <c r="PDO132" s="4"/>
      <c r="PDP132" s="4"/>
      <c r="PDQ132" s="4"/>
      <c r="PDR132" s="4"/>
      <c r="PDS132" s="4"/>
      <c r="PDT132" s="4"/>
      <c r="PDU132" s="4"/>
      <c r="PDV132" s="4"/>
      <c r="PDW132" s="4"/>
      <c r="PDX132" s="4"/>
      <c r="PDY132" s="4"/>
      <c r="PDZ132" s="4"/>
      <c r="PEA132" s="4"/>
      <c r="PEB132" s="4"/>
      <c r="PEC132" s="4"/>
      <c r="PED132" s="4"/>
      <c r="PEE132" s="4"/>
      <c r="PEF132" s="4"/>
      <c r="PEG132" s="4"/>
      <c r="PEH132" s="4"/>
      <c r="PEI132" s="4"/>
      <c r="PEJ132" s="4"/>
      <c r="PEK132" s="4"/>
      <c r="PEL132" s="4"/>
      <c r="PEM132" s="4"/>
      <c r="PEN132" s="4"/>
      <c r="PEO132" s="4"/>
      <c r="PEP132" s="4"/>
      <c r="PEQ132" s="4"/>
      <c r="PER132" s="4"/>
      <c r="PES132" s="4"/>
      <c r="PET132" s="4"/>
      <c r="PEU132" s="4"/>
      <c r="PEV132" s="4"/>
      <c r="PEW132" s="4"/>
      <c r="PEX132" s="4"/>
      <c r="PEY132" s="4"/>
      <c r="PEZ132" s="4"/>
      <c r="PFA132" s="4"/>
      <c r="PFB132" s="4"/>
      <c r="PFC132" s="4"/>
      <c r="PFD132" s="4"/>
      <c r="PFE132" s="4"/>
      <c r="PFF132" s="4"/>
      <c r="PFG132" s="4"/>
      <c r="PFH132" s="4"/>
      <c r="PFI132" s="4"/>
      <c r="PFJ132" s="4"/>
      <c r="PFK132" s="4"/>
      <c r="PFL132" s="4"/>
      <c r="PFM132" s="4"/>
      <c r="PFN132" s="4"/>
      <c r="PFO132" s="4"/>
      <c r="PFP132" s="4"/>
      <c r="PFQ132" s="4"/>
      <c r="PFR132" s="4"/>
      <c r="PFS132" s="4"/>
      <c r="PFT132" s="4"/>
      <c r="PFU132" s="4"/>
      <c r="PFV132" s="4"/>
      <c r="PFW132" s="4"/>
      <c r="PFX132" s="4"/>
      <c r="PFY132" s="4"/>
      <c r="PFZ132" s="4"/>
      <c r="PGA132" s="4"/>
      <c r="PGB132" s="4"/>
      <c r="PGC132" s="4"/>
      <c r="PGD132" s="4"/>
      <c r="PGE132" s="4"/>
      <c r="PGF132" s="4"/>
      <c r="PGG132" s="4"/>
      <c r="PGH132" s="4"/>
      <c r="PGI132" s="4"/>
      <c r="PGJ132" s="4"/>
      <c r="PGK132" s="4"/>
      <c r="PGL132" s="4"/>
      <c r="PGM132" s="4"/>
      <c r="PGN132" s="4"/>
      <c r="PGO132" s="4"/>
      <c r="PGP132" s="4"/>
      <c r="PGQ132" s="4"/>
      <c r="PGR132" s="4"/>
      <c r="PGS132" s="4"/>
      <c r="PGT132" s="4"/>
      <c r="PGU132" s="4"/>
      <c r="PGV132" s="4"/>
      <c r="PGW132" s="4"/>
      <c r="PGX132" s="4"/>
      <c r="PGY132" s="4"/>
      <c r="PGZ132" s="4"/>
      <c r="PHA132" s="4"/>
      <c r="PHB132" s="4"/>
      <c r="PHC132" s="4"/>
      <c r="PHD132" s="4"/>
      <c r="PHE132" s="4"/>
      <c r="PHF132" s="4"/>
      <c r="PHG132" s="4"/>
      <c r="PHH132" s="4"/>
      <c r="PHI132" s="4"/>
      <c r="PHJ132" s="4"/>
      <c r="PHK132" s="4"/>
      <c r="PHL132" s="4"/>
      <c r="PHM132" s="4"/>
      <c r="PHN132" s="4"/>
      <c r="PHO132" s="4"/>
      <c r="PHP132" s="4"/>
      <c r="PHQ132" s="4"/>
      <c r="PHR132" s="4"/>
      <c r="PHS132" s="4"/>
      <c r="PHT132" s="4"/>
      <c r="PHU132" s="4"/>
      <c r="PHV132" s="4"/>
      <c r="PHW132" s="4"/>
      <c r="PHX132" s="4"/>
      <c r="PHY132" s="4"/>
      <c r="PHZ132" s="4"/>
      <c r="PIA132" s="4"/>
      <c r="PIB132" s="4"/>
      <c r="PIC132" s="4"/>
      <c r="PID132" s="4"/>
      <c r="PIE132" s="4"/>
      <c r="PIF132" s="4"/>
      <c r="PIG132" s="4"/>
      <c r="PIH132" s="4"/>
      <c r="PII132" s="4"/>
      <c r="PIJ132" s="4"/>
      <c r="PIK132" s="4"/>
      <c r="PIL132" s="4"/>
      <c r="PIM132" s="4"/>
      <c r="PIN132" s="4"/>
      <c r="PIO132" s="4"/>
      <c r="PIP132" s="4"/>
      <c r="PIQ132" s="4"/>
      <c r="PIR132" s="4"/>
      <c r="PIS132" s="4"/>
      <c r="PIT132" s="4"/>
      <c r="PIU132" s="4"/>
      <c r="PIV132" s="4"/>
      <c r="PIW132" s="4"/>
      <c r="PIX132" s="4"/>
      <c r="PIY132" s="4"/>
      <c r="PIZ132" s="4"/>
      <c r="PJA132" s="4"/>
      <c r="PJB132" s="4"/>
      <c r="PJC132" s="4"/>
      <c r="PJD132" s="4"/>
      <c r="PJE132" s="4"/>
      <c r="PJF132" s="4"/>
      <c r="PJG132" s="4"/>
      <c r="PJH132" s="4"/>
      <c r="PJI132" s="4"/>
      <c r="PJJ132" s="4"/>
      <c r="PJK132" s="4"/>
      <c r="PJL132" s="4"/>
      <c r="PJM132" s="4"/>
      <c r="PJN132" s="4"/>
      <c r="PJO132" s="4"/>
      <c r="PJP132" s="4"/>
      <c r="PJQ132" s="4"/>
      <c r="PJR132" s="4"/>
      <c r="PJS132" s="4"/>
      <c r="PJT132" s="4"/>
      <c r="PJU132" s="4"/>
      <c r="PJV132" s="4"/>
      <c r="PJW132" s="4"/>
      <c r="PJX132" s="4"/>
      <c r="PJY132" s="4"/>
      <c r="PJZ132" s="4"/>
      <c r="PKA132" s="4"/>
      <c r="PKB132" s="4"/>
      <c r="PKC132" s="4"/>
      <c r="PKD132" s="4"/>
      <c r="PKE132" s="4"/>
      <c r="PKF132" s="4"/>
      <c r="PKG132" s="4"/>
      <c r="PKH132" s="4"/>
      <c r="PKI132" s="4"/>
      <c r="PKJ132" s="4"/>
      <c r="PKK132" s="4"/>
      <c r="PKL132" s="4"/>
      <c r="PKM132" s="4"/>
      <c r="PKN132" s="4"/>
      <c r="PKO132" s="4"/>
      <c r="PKP132" s="4"/>
      <c r="PKQ132" s="4"/>
      <c r="PKR132" s="4"/>
      <c r="PKS132" s="4"/>
      <c r="PKT132" s="4"/>
      <c r="PKU132" s="4"/>
      <c r="PKV132" s="4"/>
      <c r="PKW132" s="4"/>
      <c r="PKX132" s="4"/>
      <c r="PKY132" s="4"/>
      <c r="PKZ132" s="4"/>
      <c r="PLA132" s="4"/>
      <c r="PLB132" s="4"/>
      <c r="PLC132" s="4"/>
      <c r="PLD132" s="4"/>
      <c r="PLE132" s="4"/>
      <c r="PLF132" s="4"/>
      <c r="PLG132" s="4"/>
      <c r="PLH132" s="4"/>
      <c r="PLI132" s="4"/>
      <c r="PLJ132" s="4"/>
      <c r="PLK132" s="4"/>
      <c r="PLL132" s="4"/>
      <c r="PLM132" s="4"/>
      <c r="PLN132" s="4"/>
      <c r="PLO132" s="4"/>
      <c r="PLP132" s="4"/>
      <c r="PLQ132" s="4"/>
      <c r="PLR132" s="4"/>
      <c r="PLS132" s="4"/>
      <c r="PLT132" s="4"/>
      <c r="PLU132" s="4"/>
      <c r="PLV132" s="4"/>
      <c r="PLW132" s="4"/>
      <c r="PLX132" s="4"/>
      <c r="PLY132" s="4"/>
      <c r="PLZ132" s="4"/>
      <c r="PMA132" s="4"/>
      <c r="PMB132" s="4"/>
      <c r="PMC132" s="4"/>
      <c r="PMD132" s="4"/>
      <c r="PME132" s="4"/>
      <c r="PMF132" s="4"/>
      <c r="PMG132" s="4"/>
      <c r="PMH132" s="4"/>
      <c r="PMI132" s="4"/>
      <c r="PMJ132" s="4"/>
      <c r="PMK132" s="4"/>
      <c r="PML132" s="4"/>
      <c r="PMM132" s="4"/>
      <c r="PMN132" s="4"/>
      <c r="PMO132" s="4"/>
      <c r="PMP132" s="4"/>
      <c r="PMQ132" s="4"/>
      <c r="PMR132" s="4"/>
      <c r="PMS132" s="4"/>
      <c r="PMT132" s="4"/>
      <c r="PMU132" s="4"/>
      <c r="PMV132" s="4"/>
      <c r="PMW132" s="4"/>
      <c r="PMX132" s="4"/>
      <c r="PMY132" s="4"/>
      <c r="PMZ132" s="4"/>
      <c r="PNA132" s="4"/>
      <c r="PNB132" s="4"/>
      <c r="PNC132" s="4"/>
      <c r="PND132" s="4"/>
      <c r="PNE132" s="4"/>
      <c r="PNF132" s="4"/>
      <c r="PNG132" s="4"/>
      <c r="PNH132" s="4"/>
      <c r="PNI132" s="4"/>
      <c r="PNJ132" s="4"/>
      <c r="PNK132" s="4"/>
      <c r="PNL132" s="4"/>
      <c r="PNM132" s="4"/>
      <c r="PNN132" s="4"/>
      <c r="PNO132" s="4"/>
      <c r="PNP132" s="4"/>
      <c r="PNQ132" s="4"/>
      <c r="PNR132" s="4"/>
      <c r="PNS132" s="4"/>
      <c r="PNT132" s="4"/>
      <c r="PNU132" s="4"/>
      <c r="PNV132" s="4"/>
      <c r="PNW132" s="4"/>
      <c r="PNX132" s="4"/>
      <c r="PNY132" s="4"/>
      <c r="PNZ132" s="4"/>
      <c r="POA132" s="4"/>
      <c r="POB132" s="4"/>
      <c r="POC132" s="4"/>
      <c r="POD132" s="4"/>
      <c r="POE132" s="4"/>
      <c r="POF132" s="4"/>
      <c r="POG132" s="4"/>
      <c r="POH132" s="4"/>
      <c r="POI132" s="4"/>
      <c r="POJ132" s="4"/>
      <c r="POK132" s="4"/>
      <c r="POL132" s="4"/>
      <c r="POM132" s="4"/>
      <c r="PON132" s="4"/>
      <c r="POO132" s="4"/>
      <c r="POP132" s="4"/>
      <c r="POQ132" s="4"/>
      <c r="POR132" s="4"/>
      <c r="POS132" s="4"/>
      <c r="POT132" s="4"/>
      <c r="POU132" s="4"/>
      <c r="POV132" s="4"/>
      <c r="POW132" s="4"/>
      <c r="POX132" s="4"/>
      <c r="POY132" s="4"/>
      <c r="POZ132" s="4"/>
      <c r="PPA132" s="4"/>
      <c r="PPB132" s="4"/>
      <c r="PPC132" s="4"/>
      <c r="PPD132" s="4"/>
      <c r="PPE132" s="4"/>
      <c r="PPF132" s="4"/>
      <c r="PPG132" s="4"/>
      <c r="PPH132" s="4"/>
      <c r="PPI132" s="4"/>
      <c r="PPJ132" s="4"/>
      <c r="PPK132" s="4"/>
      <c r="PPL132" s="4"/>
      <c r="PPM132" s="4"/>
      <c r="PPN132" s="4"/>
      <c r="PPO132" s="4"/>
      <c r="PPP132" s="4"/>
      <c r="PPQ132" s="4"/>
      <c r="PPR132" s="4"/>
      <c r="PPS132" s="4"/>
      <c r="PPT132" s="4"/>
      <c r="PPU132" s="4"/>
      <c r="PPV132" s="4"/>
      <c r="PPW132" s="4"/>
      <c r="PPX132" s="4"/>
      <c r="PPY132" s="4"/>
      <c r="PPZ132" s="4"/>
      <c r="PQA132" s="4"/>
      <c r="PQB132" s="4"/>
      <c r="PQC132" s="4"/>
      <c r="PQD132" s="4"/>
      <c r="PQE132" s="4"/>
      <c r="PQF132" s="4"/>
      <c r="PQG132" s="4"/>
      <c r="PQH132" s="4"/>
      <c r="PQI132" s="4"/>
      <c r="PQJ132" s="4"/>
      <c r="PQK132" s="4"/>
      <c r="PQL132" s="4"/>
      <c r="PQM132" s="4"/>
      <c r="PQN132" s="4"/>
      <c r="PQO132" s="4"/>
      <c r="PQP132" s="4"/>
      <c r="PQQ132" s="4"/>
      <c r="PQR132" s="4"/>
      <c r="PQS132" s="4"/>
      <c r="PQT132" s="4"/>
      <c r="PQU132" s="4"/>
      <c r="PQV132" s="4"/>
      <c r="PQW132" s="4"/>
      <c r="PQX132" s="4"/>
      <c r="PQY132" s="4"/>
      <c r="PQZ132" s="4"/>
      <c r="PRA132" s="4"/>
      <c r="PRB132" s="4"/>
      <c r="PRC132" s="4"/>
      <c r="PRD132" s="4"/>
      <c r="PRE132" s="4"/>
      <c r="PRF132" s="4"/>
      <c r="PRG132" s="4"/>
      <c r="PRH132" s="4"/>
      <c r="PRI132" s="4"/>
      <c r="PRJ132" s="4"/>
      <c r="PRK132" s="4"/>
      <c r="PRL132" s="4"/>
      <c r="PRM132" s="4"/>
      <c r="PRN132" s="4"/>
      <c r="PRO132" s="4"/>
      <c r="PRP132" s="4"/>
      <c r="PRQ132" s="4"/>
      <c r="PRR132" s="4"/>
      <c r="PRS132" s="4"/>
      <c r="PRT132" s="4"/>
      <c r="PRU132" s="4"/>
      <c r="PRV132" s="4"/>
      <c r="PRW132" s="4"/>
      <c r="PRX132" s="4"/>
      <c r="PRY132" s="4"/>
      <c r="PRZ132" s="4"/>
      <c r="PSA132" s="4"/>
      <c r="PSB132" s="4"/>
      <c r="PSC132" s="4"/>
      <c r="PSD132" s="4"/>
      <c r="PSE132" s="4"/>
      <c r="PSF132" s="4"/>
      <c r="PSG132" s="4"/>
      <c r="PSH132" s="4"/>
      <c r="PSI132" s="4"/>
      <c r="PSJ132" s="4"/>
      <c r="PSK132" s="4"/>
      <c r="PSL132" s="4"/>
      <c r="PSM132" s="4"/>
      <c r="PSN132" s="4"/>
      <c r="PSO132" s="4"/>
      <c r="PSP132" s="4"/>
      <c r="PSQ132" s="4"/>
      <c r="PSR132" s="4"/>
      <c r="PSS132" s="4"/>
      <c r="PST132" s="4"/>
      <c r="PSU132" s="4"/>
      <c r="PSV132" s="4"/>
      <c r="PSW132" s="4"/>
      <c r="PSX132" s="4"/>
      <c r="PSY132" s="4"/>
      <c r="PSZ132" s="4"/>
      <c r="PTA132" s="4"/>
      <c r="PTB132" s="4"/>
      <c r="PTC132" s="4"/>
      <c r="PTD132" s="4"/>
      <c r="PTE132" s="4"/>
      <c r="PTF132" s="4"/>
      <c r="PTG132" s="4"/>
      <c r="PTH132" s="4"/>
      <c r="PTI132" s="4"/>
      <c r="PTJ132" s="4"/>
      <c r="PTK132" s="4"/>
      <c r="PTL132" s="4"/>
      <c r="PTM132" s="4"/>
      <c r="PTN132" s="4"/>
      <c r="PTO132" s="4"/>
      <c r="PTP132" s="4"/>
      <c r="PTQ132" s="4"/>
      <c r="PTR132" s="4"/>
      <c r="PTS132" s="4"/>
      <c r="PTT132" s="4"/>
      <c r="PTU132" s="4"/>
      <c r="PTV132" s="4"/>
      <c r="PTW132" s="4"/>
      <c r="PTX132" s="4"/>
      <c r="PTY132" s="4"/>
      <c r="PTZ132" s="4"/>
      <c r="PUA132" s="4"/>
      <c r="PUB132" s="4"/>
      <c r="PUC132" s="4"/>
      <c r="PUD132" s="4"/>
      <c r="PUE132" s="4"/>
      <c r="PUF132" s="4"/>
      <c r="PUG132" s="4"/>
      <c r="PUH132" s="4"/>
      <c r="PUI132" s="4"/>
      <c r="PUJ132" s="4"/>
      <c r="PUK132" s="4"/>
      <c r="PUL132" s="4"/>
      <c r="PUM132" s="4"/>
      <c r="PUN132" s="4"/>
      <c r="PUO132" s="4"/>
      <c r="PUP132" s="4"/>
      <c r="PUQ132" s="4"/>
      <c r="PUR132" s="4"/>
      <c r="PUS132" s="4"/>
      <c r="PUT132" s="4"/>
      <c r="PUU132" s="4"/>
      <c r="PUV132" s="4"/>
      <c r="PUW132" s="4"/>
      <c r="PUX132" s="4"/>
      <c r="PUY132" s="4"/>
      <c r="PUZ132" s="4"/>
      <c r="PVA132" s="4"/>
      <c r="PVB132" s="4"/>
      <c r="PVC132" s="4"/>
      <c r="PVD132" s="4"/>
      <c r="PVE132" s="4"/>
      <c r="PVF132" s="4"/>
      <c r="PVG132" s="4"/>
      <c r="PVH132" s="4"/>
      <c r="PVI132" s="4"/>
      <c r="PVJ132" s="4"/>
      <c r="PVK132" s="4"/>
      <c r="PVL132" s="4"/>
      <c r="PVM132" s="4"/>
      <c r="PVN132" s="4"/>
      <c r="PVO132" s="4"/>
      <c r="PVP132" s="4"/>
      <c r="PVQ132" s="4"/>
      <c r="PVR132" s="4"/>
      <c r="PVS132" s="4"/>
      <c r="PVT132" s="4"/>
      <c r="PVU132" s="4"/>
      <c r="PVV132" s="4"/>
      <c r="PVW132" s="4"/>
      <c r="PVX132" s="4"/>
      <c r="PVY132" s="4"/>
      <c r="PVZ132" s="4"/>
      <c r="PWA132" s="4"/>
      <c r="PWB132" s="4"/>
      <c r="PWC132" s="4"/>
      <c r="PWD132" s="4"/>
      <c r="PWE132" s="4"/>
      <c r="PWF132" s="4"/>
      <c r="PWG132" s="4"/>
      <c r="PWH132" s="4"/>
      <c r="PWI132" s="4"/>
      <c r="PWJ132" s="4"/>
      <c r="PWK132" s="4"/>
      <c r="PWL132" s="4"/>
      <c r="PWM132" s="4"/>
      <c r="PWN132" s="4"/>
      <c r="PWO132" s="4"/>
      <c r="PWP132" s="4"/>
      <c r="PWQ132" s="4"/>
      <c r="PWR132" s="4"/>
      <c r="PWS132" s="4"/>
      <c r="PWT132" s="4"/>
      <c r="PWU132" s="4"/>
      <c r="PWV132" s="4"/>
      <c r="PWW132" s="4"/>
      <c r="PWX132" s="4"/>
      <c r="PWY132" s="4"/>
      <c r="PWZ132" s="4"/>
      <c r="PXA132" s="4"/>
      <c r="PXB132" s="4"/>
      <c r="PXC132" s="4"/>
      <c r="PXD132" s="4"/>
      <c r="PXE132" s="4"/>
      <c r="PXF132" s="4"/>
      <c r="PXG132" s="4"/>
      <c r="PXH132" s="4"/>
      <c r="PXI132" s="4"/>
      <c r="PXJ132" s="4"/>
      <c r="PXK132" s="4"/>
      <c r="PXL132" s="4"/>
      <c r="PXM132" s="4"/>
      <c r="PXN132" s="4"/>
      <c r="PXO132" s="4"/>
      <c r="PXP132" s="4"/>
      <c r="PXQ132" s="4"/>
      <c r="PXR132" s="4"/>
      <c r="PXS132" s="4"/>
      <c r="PXT132" s="4"/>
      <c r="PXU132" s="4"/>
      <c r="PXV132" s="4"/>
      <c r="PXW132" s="4"/>
      <c r="PXX132" s="4"/>
      <c r="PXY132" s="4"/>
      <c r="PXZ132" s="4"/>
      <c r="PYA132" s="4"/>
      <c r="PYB132" s="4"/>
      <c r="PYC132" s="4"/>
      <c r="PYD132" s="4"/>
      <c r="PYE132" s="4"/>
      <c r="PYF132" s="4"/>
      <c r="PYG132" s="4"/>
      <c r="PYH132" s="4"/>
      <c r="PYI132" s="4"/>
      <c r="PYJ132" s="4"/>
      <c r="PYK132" s="4"/>
      <c r="PYL132" s="4"/>
      <c r="PYM132" s="4"/>
      <c r="PYN132" s="4"/>
      <c r="PYO132" s="4"/>
      <c r="PYP132" s="4"/>
      <c r="PYQ132" s="4"/>
      <c r="PYR132" s="4"/>
      <c r="PYS132" s="4"/>
      <c r="PYT132" s="4"/>
      <c r="PYU132" s="4"/>
      <c r="PYV132" s="4"/>
      <c r="PYW132" s="4"/>
      <c r="PYX132" s="4"/>
      <c r="PYY132" s="4"/>
      <c r="PYZ132" s="4"/>
      <c r="PZA132" s="4"/>
      <c r="PZB132" s="4"/>
      <c r="PZC132" s="4"/>
      <c r="PZD132" s="4"/>
      <c r="PZE132" s="4"/>
      <c r="PZF132" s="4"/>
      <c r="PZG132" s="4"/>
      <c r="PZH132" s="4"/>
      <c r="PZI132" s="4"/>
      <c r="PZJ132" s="4"/>
      <c r="PZK132" s="4"/>
      <c r="PZL132" s="4"/>
      <c r="PZM132" s="4"/>
      <c r="PZN132" s="4"/>
      <c r="PZO132" s="4"/>
      <c r="PZP132" s="4"/>
      <c r="PZQ132" s="4"/>
      <c r="PZR132" s="4"/>
      <c r="PZS132" s="4"/>
      <c r="PZT132" s="4"/>
      <c r="PZU132" s="4"/>
      <c r="PZV132" s="4"/>
      <c r="PZW132" s="4"/>
      <c r="PZX132" s="4"/>
      <c r="PZY132" s="4"/>
      <c r="PZZ132" s="4"/>
      <c r="QAA132" s="4"/>
      <c r="QAB132" s="4"/>
      <c r="QAC132" s="4"/>
      <c r="QAD132" s="4"/>
      <c r="QAE132" s="4"/>
      <c r="QAF132" s="4"/>
      <c r="QAG132" s="4"/>
      <c r="QAH132" s="4"/>
      <c r="QAI132" s="4"/>
      <c r="QAJ132" s="4"/>
      <c r="QAK132" s="4"/>
      <c r="QAL132" s="4"/>
      <c r="QAM132" s="4"/>
      <c r="QAN132" s="4"/>
      <c r="QAO132" s="4"/>
      <c r="QAP132" s="4"/>
      <c r="QAQ132" s="4"/>
      <c r="QAR132" s="4"/>
      <c r="QAS132" s="4"/>
      <c r="QAT132" s="4"/>
      <c r="QAU132" s="4"/>
      <c r="QAV132" s="4"/>
      <c r="QAW132" s="4"/>
      <c r="QAX132" s="4"/>
      <c r="QAY132" s="4"/>
      <c r="QAZ132" s="4"/>
      <c r="QBA132" s="4"/>
      <c r="QBB132" s="4"/>
      <c r="QBC132" s="4"/>
      <c r="QBD132" s="4"/>
      <c r="QBE132" s="4"/>
      <c r="QBF132" s="4"/>
      <c r="QBG132" s="4"/>
      <c r="QBH132" s="4"/>
      <c r="QBI132" s="4"/>
      <c r="QBJ132" s="4"/>
      <c r="QBK132" s="4"/>
      <c r="QBL132" s="4"/>
      <c r="QBM132" s="4"/>
      <c r="QBN132" s="4"/>
      <c r="QBO132" s="4"/>
      <c r="QBP132" s="4"/>
      <c r="QBQ132" s="4"/>
      <c r="QBR132" s="4"/>
      <c r="QBS132" s="4"/>
      <c r="QBT132" s="4"/>
      <c r="QBU132" s="4"/>
      <c r="QBV132" s="4"/>
      <c r="QBW132" s="4"/>
      <c r="QBX132" s="4"/>
      <c r="QBY132" s="4"/>
      <c r="QBZ132" s="4"/>
      <c r="QCA132" s="4"/>
      <c r="QCB132" s="4"/>
      <c r="QCC132" s="4"/>
      <c r="QCD132" s="4"/>
      <c r="QCE132" s="4"/>
      <c r="QCF132" s="4"/>
      <c r="QCG132" s="4"/>
      <c r="QCH132" s="4"/>
      <c r="QCI132" s="4"/>
      <c r="QCJ132" s="4"/>
      <c r="QCK132" s="4"/>
      <c r="QCL132" s="4"/>
      <c r="QCM132" s="4"/>
      <c r="QCN132" s="4"/>
      <c r="QCO132" s="4"/>
      <c r="QCP132" s="4"/>
      <c r="QCQ132" s="4"/>
      <c r="QCR132" s="4"/>
      <c r="QCS132" s="4"/>
      <c r="QCT132" s="4"/>
      <c r="QCU132" s="4"/>
      <c r="QCV132" s="4"/>
      <c r="QCW132" s="4"/>
      <c r="QCX132" s="4"/>
      <c r="QCY132" s="4"/>
      <c r="QCZ132" s="4"/>
      <c r="QDA132" s="4"/>
      <c r="QDB132" s="4"/>
      <c r="QDC132" s="4"/>
      <c r="QDD132" s="4"/>
      <c r="QDE132" s="4"/>
      <c r="QDF132" s="4"/>
      <c r="QDG132" s="4"/>
      <c r="QDH132" s="4"/>
      <c r="QDI132" s="4"/>
      <c r="QDJ132" s="4"/>
      <c r="QDK132" s="4"/>
      <c r="QDL132" s="4"/>
      <c r="QDM132" s="4"/>
      <c r="QDN132" s="4"/>
      <c r="QDO132" s="4"/>
      <c r="QDP132" s="4"/>
      <c r="QDQ132" s="4"/>
      <c r="QDR132" s="4"/>
      <c r="QDS132" s="4"/>
      <c r="QDT132" s="4"/>
      <c r="QDU132" s="4"/>
      <c r="QDV132" s="4"/>
      <c r="QDW132" s="4"/>
      <c r="QDX132" s="4"/>
      <c r="QDY132" s="4"/>
      <c r="QDZ132" s="4"/>
      <c r="QEA132" s="4"/>
      <c r="QEB132" s="4"/>
      <c r="QEC132" s="4"/>
      <c r="QED132" s="4"/>
      <c r="QEE132" s="4"/>
      <c r="QEF132" s="4"/>
      <c r="QEG132" s="4"/>
      <c r="QEH132" s="4"/>
      <c r="QEI132" s="4"/>
      <c r="QEJ132" s="4"/>
      <c r="QEK132" s="4"/>
      <c r="QEL132" s="4"/>
      <c r="QEM132" s="4"/>
      <c r="QEN132" s="4"/>
      <c r="QEO132" s="4"/>
      <c r="QEP132" s="4"/>
      <c r="QEQ132" s="4"/>
      <c r="QER132" s="4"/>
      <c r="QES132" s="4"/>
      <c r="QET132" s="4"/>
      <c r="QEU132" s="4"/>
      <c r="QEV132" s="4"/>
      <c r="QEW132" s="4"/>
      <c r="QEX132" s="4"/>
      <c r="QEY132" s="4"/>
      <c r="QEZ132" s="4"/>
      <c r="QFA132" s="4"/>
      <c r="QFB132" s="4"/>
      <c r="QFC132" s="4"/>
      <c r="QFD132" s="4"/>
      <c r="QFE132" s="4"/>
      <c r="QFF132" s="4"/>
      <c r="QFG132" s="4"/>
      <c r="QFH132" s="4"/>
      <c r="QFI132" s="4"/>
      <c r="QFJ132" s="4"/>
      <c r="QFK132" s="4"/>
      <c r="QFL132" s="4"/>
      <c r="QFM132" s="4"/>
      <c r="QFN132" s="4"/>
      <c r="QFO132" s="4"/>
      <c r="QFP132" s="4"/>
      <c r="QFQ132" s="4"/>
      <c r="QFR132" s="4"/>
      <c r="QFS132" s="4"/>
      <c r="QFT132" s="4"/>
      <c r="QFU132" s="4"/>
      <c r="QFV132" s="4"/>
      <c r="QFW132" s="4"/>
      <c r="QFX132" s="4"/>
      <c r="QFY132" s="4"/>
      <c r="QFZ132" s="4"/>
      <c r="QGA132" s="4"/>
      <c r="QGB132" s="4"/>
      <c r="QGC132" s="4"/>
      <c r="QGD132" s="4"/>
      <c r="QGE132" s="4"/>
      <c r="QGF132" s="4"/>
      <c r="QGG132" s="4"/>
      <c r="QGH132" s="4"/>
      <c r="QGI132" s="4"/>
      <c r="QGJ132" s="4"/>
      <c r="QGK132" s="4"/>
      <c r="QGL132" s="4"/>
      <c r="QGM132" s="4"/>
      <c r="QGN132" s="4"/>
      <c r="QGO132" s="4"/>
      <c r="QGP132" s="4"/>
      <c r="QGQ132" s="4"/>
      <c r="QGR132" s="4"/>
      <c r="QGS132" s="4"/>
      <c r="QGT132" s="4"/>
      <c r="QGU132" s="4"/>
      <c r="QGV132" s="4"/>
      <c r="QGW132" s="4"/>
      <c r="QGX132" s="4"/>
      <c r="QGY132" s="4"/>
      <c r="QGZ132" s="4"/>
      <c r="QHA132" s="4"/>
      <c r="QHB132" s="4"/>
      <c r="QHC132" s="4"/>
      <c r="QHD132" s="4"/>
      <c r="QHE132" s="4"/>
      <c r="QHF132" s="4"/>
      <c r="QHG132" s="4"/>
      <c r="QHH132" s="4"/>
      <c r="QHI132" s="4"/>
      <c r="QHJ132" s="4"/>
      <c r="QHK132" s="4"/>
      <c r="QHL132" s="4"/>
      <c r="QHM132" s="4"/>
      <c r="QHN132" s="4"/>
      <c r="QHO132" s="4"/>
      <c r="QHP132" s="4"/>
      <c r="QHQ132" s="4"/>
      <c r="QHR132" s="4"/>
      <c r="QHS132" s="4"/>
      <c r="QHT132" s="4"/>
      <c r="QHU132" s="4"/>
      <c r="QHV132" s="4"/>
      <c r="QHW132" s="4"/>
      <c r="QHX132" s="4"/>
      <c r="QHY132" s="4"/>
      <c r="QHZ132" s="4"/>
      <c r="QIA132" s="4"/>
      <c r="QIB132" s="4"/>
      <c r="QIC132" s="4"/>
      <c r="QID132" s="4"/>
      <c r="QIE132" s="4"/>
      <c r="QIF132" s="4"/>
      <c r="QIG132" s="4"/>
      <c r="QIH132" s="4"/>
      <c r="QII132" s="4"/>
      <c r="QIJ132" s="4"/>
      <c r="QIK132" s="4"/>
      <c r="QIL132" s="4"/>
      <c r="QIM132" s="4"/>
      <c r="QIN132" s="4"/>
      <c r="QIO132" s="4"/>
      <c r="QIP132" s="4"/>
      <c r="QIQ132" s="4"/>
      <c r="QIR132" s="4"/>
      <c r="QIS132" s="4"/>
      <c r="QIT132" s="4"/>
      <c r="QIU132" s="4"/>
      <c r="QIV132" s="4"/>
      <c r="QIW132" s="4"/>
      <c r="QIX132" s="4"/>
      <c r="QIY132" s="4"/>
      <c r="QIZ132" s="4"/>
      <c r="QJA132" s="4"/>
      <c r="QJB132" s="4"/>
      <c r="QJC132" s="4"/>
      <c r="QJD132" s="4"/>
      <c r="QJE132" s="4"/>
      <c r="QJF132" s="4"/>
      <c r="QJG132" s="4"/>
      <c r="QJH132" s="4"/>
      <c r="QJI132" s="4"/>
      <c r="QJJ132" s="4"/>
      <c r="QJK132" s="4"/>
      <c r="QJL132" s="4"/>
      <c r="QJM132" s="4"/>
      <c r="QJN132" s="4"/>
      <c r="QJO132" s="4"/>
      <c r="QJP132" s="4"/>
      <c r="QJQ132" s="4"/>
      <c r="QJR132" s="4"/>
      <c r="QJS132" s="4"/>
      <c r="QJT132" s="4"/>
      <c r="QJU132" s="4"/>
      <c r="QJV132" s="4"/>
      <c r="QJW132" s="4"/>
      <c r="QJX132" s="4"/>
      <c r="QJY132" s="4"/>
      <c r="QJZ132" s="4"/>
      <c r="QKA132" s="4"/>
      <c r="QKB132" s="4"/>
      <c r="QKC132" s="4"/>
      <c r="QKD132" s="4"/>
      <c r="QKE132" s="4"/>
      <c r="QKF132" s="4"/>
      <c r="QKG132" s="4"/>
      <c r="QKH132" s="4"/>
      <c r="QKI132" s="4"/>
      <c r="QKJ132" s="4"/>
      <c r="QKK132" s="4"/>
      <c r="QKL132" s="4"/>
      <c r="QKM132" s="4"/>
      <c r="QKN132" s="4"/>
      <c r="QKO132" s="4"/>
      <c r="QKP132" s="4"/>
      <c r="QKQ132" s="4"/>
      <c r="QKR132" s="4"/>
      <c r="QKS132" s="4"/>
      <c r="QKT132" s="4"/>
      <c r="QKU132" s="4"/>
      <c r="QKV132" s="4"/>
      <c r="QKW132" s="4"/>
      <c r="QKX132" s="4"/>
      <c r="QKY132" s="4"/>
      <c r="QKZ132" s="4"/>
      <c r="QLA132" s="4"/>
      <c r="QLB132" s="4"/>
      <c r="QLC132" s="4"/>
      <c r="QLD132" s="4"/>
      <c r="QLE132" s="4"/>
      <c r="QLF132" s="4"/>
      <c r="QLG132" s="4"/>
      <c r="QLH132" s="4"/>
      <c r="QLI132" s="4"/>
      <c r="QLJ132" s="4"/>
      <c r="QLK132" s="4"/>
      <c r="QLL132" s="4"/>
      <c r="QLM132" s="4"/>
      <c r="QLN132" s="4"/>
      <c r="QLO132" s="4"/>
      <c r="QLP132" s="4"/>
      <c r="QLQ132" s="4"/>
      <c r="QLR132" s="4"/>
      <c r="QLS132" s="4"/>
      <c r="QLT132" s="4"/>
      <c r="QLU132" s="4"/>
      <c r="QLV132" s="4"/>
      <c r="QLW132" s="4"/>
      <c r="QLX132" s="4"/>
      <c r="QLY132" s="4"/>
      <c r="QLZ132" s="4"/>
      <c r="QMA132" s="4"/>
      <c r="QMB132" s="4"/>
      <c r="QMC132" s="4"/>
      <c r="QMD132" s="4"/>
      <c r="QME132" s="4"/>
      <c r="QMF132" s="4"/>
      <c r="QMG132" s="4"/>
      <c r="QMH132" s="4"/>
      <c r="QMI132" s="4"/>
      <c r="QMJ132" s="4"/>
      <c r="QMK132" s="4"/>
      <c r="QML132" s="4"/>
      <c r="QMM132" s="4"/>
      <c r="QMN132" s="4"/>
      <c r="QMO132" s="4"/>
      <c r="QMP132" s="4"/>
      <c r="QMQ132" s="4"/>
      <c r="QMR132" s="4"/>
      <c r="QMS132" s="4"/>
      <c r="QMT132" s="4"/>
      <c r="QMU132" s="4"/>
      <c r="QMV132" s="4"/>
      <c r="QMW132" s="4"/>
      <c r="QMX132" s="4"/>
      <c r="QMY132" s="4"/>
      <c r="QMZ132" s="4"/>
      <c r="QNA132" s="4"/>
      <c r="QNB132" s="4"/>
      <c r="QNC132" s="4"/>
      <c r="QND132" s="4"/>
      <c r="QNE132" s="4"/>
      <c r="QNF132" s="4"/>
      <c r="QNG132" s="4"/>
      <c r="QNH132" s="4"/>
      <c r="QNI132" s="4"/>
      <c r="QNJ132" s="4"/>
      <c r="QNK132" s="4"/>
      <c r="QNL132" s="4"/>
      <c r="QNM132" s="4"/>
      <c r="QNN132" s="4"/>
      <c r="QNO132" s="4"/>
      <c r="QNP132" s="4"/>
      <c r="QNQ132" s="4"/>
      <c r="QNR132" s="4"/>
      <c r="QNS132" s="4"/>
      <c r="QNT132" s="4"/>
      <c r="QNU132" s="4"/>
      <c r="QNV132" s="4"/>
      <c r="QNW132" s="4"/>
      <c r="QNX132" s="4"/>
      <c r="QNY132" s="4"/>
      <c r="QNZ132" s="4"/>
      <c r="QOA132" s="4"/>
      <c r="QOB132" s="4"/>
      <c r="QOC132" s="4"/>
      <c r="QOD132" s="4"/>
      <c r="QOE132" s="4"/>
      <c r="QOF132" s="4"/>
      <c r="QOG132" s="4"/>
      <c r="QOH132" s="4"/>
      <c r="QOI132" s="4"/>
      <c r="QOJ132" s="4"/>
      <c r="QOK132" s="4"/>
      <c r="QOL132" s="4"/>
      <c r="QOM132" s="4"/>
      <c r="QON132" s="4"/>
      <c r="QOO132" s="4"/>
      <c r="QOP132" s="4"/>
      <c r="QOQ132" s="4"/>
      <c r="QOR132" s="4"/>
      <c r="QOS132" s="4"/>
      <c r="QOT132" s="4"/>
      <c r="QOU132" s="4"/>
      <c r="QOV132" s="4"/>
      <c r="QOW132" s="4"/>
      <c r="QOX132" s="4"/>
      <c r="QOY132" s="4"/>
      <c r="QOZ132" s="4"/>
      <c r="QPA132" s="4"/>
      <c r="QPB132" s="4"/>
      <c r="QPC132" s="4"/>
      <c r="QPD132" s="4"/>
      <c r="QPE132" s="4"/>
      <c r="QPF132" s="4"/>
      <c r="QPG132" s="4"/>
      <c r="QPH132" s="4"/>
      <c r="QPI132" s="4"/>
      <c r="QPJ132" s="4"/>
      <c r="QPK132" s="4"/>
      <c r="QPL132" s="4"/>
      <c r="QPM132" s="4"/>
      <c r="QPN132" s="4"/>
      <c r="QPO132" s="4"/>
      <c r="QPP132" s="4"/>
      <c r="QPQ132" s="4"/>
      <c r="QPR132" s="4"/>
      <c r="QPS132" s="4"/>
      <c r="QPT132" s="4"/>
      <c r="QPU132" s="4"/>
      <c r="QPV132" s="4"/>
      <c r="QPW132" s="4"/>
      <c r="QPX132" s="4"/>
      <c r="QPY132" s="4"/>
      <c r="QPZ132" s="4"/>
      <c r="QQA132" s="4"/>
      <c r="QQB132" s="4"/>
      <c r="QQC132" s="4"/>
      <c r="QQD132" s="4"/>
      <c r="QQE132" s="4"/>
      <c r="QQF132" s="4"/>
      <c r="QQG132" s="4"/>
      <c r="QQH132" s="4"/>
      <c r="QQI132" s="4"/>
      <c r="QQJ132" s="4"/>
      <c r="QQK132" s="4"/>
      <c r="QQL132" s="4"/>
      <c r="QQM132" s="4"/>
      <c r="QQN132" s="4"/>
      <c r="QQO132" s="4"/>
      <c r="QQP132" s="4"/>
      <c r="QQQ132" s="4"/>
      <c r="QQR132" s="4"/>
      <c r="QQS132" s="4"/>
      <c r="QQT132" s="4"/>
      <c r="QQU132" s="4"/>
      <c r="QQV132" s="4"/>
      <c r="QQW132" s="4"/>
      <c r="QQX132" s="4"/>
      <c r="QQY132" s="4"/>
      <c r="QQZ132" s="4"/>
      <c r="QRA132" s="4"/>
      <c r="QRB132" s="4"/>
      <c r="QRC132" s="4"/>
      <c r="QRD132" s="4"/>
      <c r="QRE132" s="4"/>
      <c r="QRF132" s="4"/>
      <c r="QRG132" s="4"/>
      <c r="QRH132" s="4"/>
      <c r="QRI132" s="4"/>
      <c r="QRJ132" s="4"/>
      <c r="QRK132" s="4"/>
      <c r="QRL132" s="4"/>
      <c r="QRM132" s="4"/>
      <c r="QRN132" s="4"/>
      <c r="QRO132" s="4"/>
      <c r="QRP132" s="4"/>
      <c r="QRQ132" s="4"/>
      <c r="QRR132" s="4"/>
      <c r="QRS132" s="4"/>
      <c r="QRT132" s="4"/>
      <c r="QRU132" s="4"/>
      <c r="QRV132" s="4"/>
      <c r="QRW132" s="4"/>
      <c r="QRX132" s="4"/>
      <c r="QRY132" s="4"/>
      <c r="QRZ132" s="4"/>
      <c r="QSA132" s="4"/>
      <c r="QSB132" s="4"/>
      <c r="QSC132" s="4"/>
      <c r="QSD132" s="4"/>
      <c r="QSE132" s="4"/>
      <c r="QSF132" s="4"/>
      <c r="QSG132" s="4"/>
      <c r="QSH132" s="4"/>
      <c r="QSI132" s="4"/>
      <c r="QSJ132" s="4"/>
      <c r="QSK132" s="4"/>
      <c r="QSL132" s="4"/>
      <c r="QSM132" s="4"/>
      <c r="QSN132" s="4"/>
      <c r="QSO132" s="4"/>
      <c r="QSP132" s="4"/>
      <c r="QSQ132" s="4"/>
      <c r="QSR132" s="4"/>
      <c r="QSS132" s="4"/>
      <c r="QST132" s="4"/>
      <c r="QSU132" s="4"/>
      <c r="QSV132" s="4"/>
      <c r="QSW132" s="4"/>
      <c r="QSX132" s="4"/>
      <c r="QSY132" s="4"/>
      <c r="QSZ132" s="4"/>
      <c r="QTA132" s="4"/>
      <c r="QTB132" s="4"/>
      <c r="QTC132" s="4"/>
      <c r="QTD132" s="4"/>
      <c r="QTE132" s="4"/>
      <c r="QTF132" s="4"/>
      <c r="QTG132" s="4"/>
      <c r="QTH132" s="4"/>
      <c r="QTI132" s="4"/>
      <c r="QTJ132" s="4"/>
      <c r="QTK132" s="4"/>
      <c r="QTL132" s="4"/>
      <c r="QTM132" s="4"/>
      <c r="QTN132" s="4"/>
      <c r="QTO132" s="4"/>
      <c r="QTP132" s="4"/>
      <c r="QTQ132" s="4"/>
      <c r="QTR132" s="4"/>
      <c r="QTS132" s="4"/>
      <c r="QTT132" s="4"/>
      <c r="QTU132" s="4"/>
      <c r="QTV132" s="4"/>
      <c r="QTW132" s="4"/>
      <c r="QTX132" s="4"/>
      <c r="QTY132" s="4"/>
      <c r="QTZ132" s="4"/>
      <c r="QUA132" s="4"/>
      <c r="QUB132" s="4"/>
      <c r="QUC132" s="4"/>
      <c r="QUD132" s="4"/>
      <c r="QUE132" s="4"/>
      <c r="QUF132" s="4"/>
      <c r="QUG132" s="4"/>
      <c r="QUH132" s="4"/>
      <c r="QUI132" s="4"/>
      <c r="QUJ132" s="4"/>
      <c r="QUK132" s="4"/>
      <c r="QUL132" s="4"/>
      <c r="QUM132" s="4"/>
      <c r="QUN132" s="4"/>
      <c r="QUO132" s="4"/>
      <c r="QUP132" s="4"/>
      <c r="QUQ132" s="4"/>
      <c r="QUR132" s="4"/>
      <c r="QUS132" s="4"/>
      <c r="QUT132" s="4"/>
      <c r="QUU132" s="4"/>
      <c r="QUV132" s="4"/>
      <c r="QUW132" s="4"/>
      <c r="QUX132" s="4"/>
      <c r="QUY132" s="4"/>
      <c r="QUZ132" s="4"/>
      <c r="QVA132" s="4"/>
      <c r="QVB132" s="4"/>
      <c r="QVC132" s="4"/>
      <c r="QVD132" s="4"/>
      <c r="QVE132" s="4"/>
      <c r="QVF132" s="4"/>
      <c r="QVG132" s="4"/>
      <c r="QVH132" s="4"/>
      <c r="QVI132" s="4"/>
      <c r="QVJ132" s="4"/>
      <c r="QVK132" s="4"/>
      <c r="QVL132" s="4"/>
      <c r="QVM132" s="4"/>
      <c r="QVN132" s="4"/>
      <c r="QVO132" s="4"/>
      <c r="QVP132" s="4"/>
      <c r="QVQ132" s="4"/>
      <c r="QVR132" s="4"/>
      <c r="QVS132" s="4"/>
      <c r="QVT132" s="4"/>
      <c r="QVU132" s="4"/>
      <c r="QVV132" s="4"/>
      <c r="QVW132" s="4"/>
      <c r="QVX132" s="4"/>
      <c r="QVY132" s="4"/>
      <c r="QVZ132" s="4"/>
      <c r="QWA132" s="4"/>
      <c r="QWB132" s="4"/>
      <c r="QWC132" s="4"/>
      <c r="QWD132" s="4"/>
      <c r="QWE132" s="4"/>
      <c r="QWF132" s="4"/>
      <c r="QWG132" s="4"/>
      <c r="QWH132" s="4"/>
      <c r="QWI132" s="4"/>
      <c r="QWJ132" s="4"/>
      <c r="QWK132" s="4"/>
      <c r="QWL132" s="4"/>
      <c r="QWM132" s="4"/>
      <c r="QWN132" s="4"/>
      <c r="QWO132" s="4"/>
      <c r="QWP132" s="4"/>
      <c r="QWQ132" s="4"/>
      <c r="QWR132" s="4"/>
      <c r="QWS132" s="4"/>
      <c r="QWT132" s="4"/>
      <c r="QWU132" s="4"/>
      <c r="QWV132" s="4"/>
      <c r="QWW132" s="4"/>
      <c r="QWX132" s="4"/>
      <c r="QWY132" s="4"/>
      <c r="QWZ132" s="4"/>
      <c r="QXA132" s="4"/>
      <c r="QXB132" s="4"/>
      <c r="QXC132" s="4"/>
      <c r="QXD132" s="4"/>
      <c r="QXE132" s="4"/>
      <c r="QXF132" s="4"/>
      <c r="QXG132" s="4"/>
      <c r="QXH132" s="4"/>
      <c r="QXI132" s="4"/>
      <c r="QXJ132" s="4"/>
      <c r="QXK132" s="4"/>
      <c r="QXL132" s="4"/>
      <c r="QXM132" s="4"/>
      <c r="QXN132" s="4"/>
      <c r="QXO132" s="4"/>
      <c r="QXP132" s="4"/>
      <c r="QXQ132" s="4"/>
      <c r="QXR132" s="4"/>
      <c r="QXS132" s="4"/>
      <c r="QXT132" s="4"/>
      <c r="QXU132" s="4"/>
      <c r="QXV132" s="4"/>
      <c r="QXW132" s="4"/>
      <c r="QXX132" s="4"/>
      <c r="QXY132" s="4"/>
      <c r="QXZ132" s="4"/>
      <c r="QYA132" s="4"/>
      <c r="QYB132" s="4"/>
      <c r="QYC132" s="4"/>
      <c r="QYD132" s="4"/>
      <c r="QYE132" s="4"/>
      <c r="QYF132" s="4"/>
      <c r="QYG132" s="4"/>
      <c r="QYH132" s="4"/>
      <c r="QYI132" s="4"/>
      <c r="QYJ132" s="4"/>
      <c r="QYK132" s="4"/>
      <c r="QYL132" s="4"/>
      <c r="QYM132" s="4"/>
      <c r="QYN132" s="4"/>
      <c r="QYO132" s="4"/>
      <c r="QYP132" s="4"/>
      <c r="QYQ132" s="4"/>
      <c r="QYR132" s="4"/>
      <c r="QYS132" s="4"/>
      <c r="QYT132" s="4"/>
      <c r="QYU132" s="4"/>
      <c r="QYV132" s="4"/>
      <c r="QYW132" s="4"/>
      <c r="QYX132" s="4"/>
      <c r="QYY132" s="4"/>
      <c r="QYZ132" s="4"/>
      <c r="QZA132" s="4"/>
      <c r="QZB132" s="4"/>
      <c r="QZC132" s="4"/>
      <c r="QZD132" s="4"/>
      <c r="QZE132" s="4"/>
      <c r="QZF132" s="4"/>
      <c r="QZG132" s="4"/>
      <c r="QZH132" s="4"/>
      <c r="QZI132" s="4"/>
      <c r="QZJ132" s="4"/>
      <c r="QZK132" s="4"/>
      <c r="QZL132" s="4"/>
      <c r="QZM132" s="4"/>
      <c r="QZN132" s="4"/>
      <c r="QZO132" s="4"/>
      <c r="QZP132" s="4"/>
      <c r="QZQ132" s="4"/>
      <c r="QZR132" s="4"/>
      <c r="QZS132" s="4"/>
      <c r="QZT132" s="4"/>
      <c r="QZU132" s="4"/>
      <c r="QZV132" s="4"/>
      <c r="QZW132" s="4"/>
      <c r="QZX132" s="4"/>
      <c r="QZY132" s="4"/>
      <c r="QZZ132" s="4"/>
      <c r="RAA132" s="4"/>
      <c r="RAB132" s="4"/>
      <c r="RAC132" s="4"/>
      <c r="RAD132" s="4"/>
      <c r="RAE132" s="4"/>
      <c r="RAF132" s="4"/>
      <c r="RAG132" s="4"/>
      <c r="RAH132" s="4"/>
      <c r="RAI132" s="4"/>
      <c r="RAJ132" s="4"/>
      <c r="RAK132" s="4"/>
      <c r="RAL132" s="4"/>
      <c r="RAM132" s="4"/>
      <c r="RAN132" s="4"/>
      <c r="RAO132" s="4"/>
      <c r="RAP132" s="4"/>
      <c r="RAQ132" s="4"/>
      <c r="RAR132" s="4"/>
      <c r="RAS132" s="4"/>
      <c r="RAT132" s="4"/>
      <c r="RAU132" s="4"/>
      <c r="RAV132" s="4"/>
      <c r="RAW132" s="4"/>
      <c r="RAX132" s="4"/>
      <c r="RAY132" s="4"/>
      <c r="RAZ132" s="4"/>
      <c r="RBA132" s="4"/>
      <c r="RBB132" s="4"/>
      <c r="RBC132" s="4"/>
      <c r="RBD132" s="4"/>
      <c r="RBE132" s="4"/>
      <c r="RBF132" s="4"/>
      <c r="RBG132" s="4"/>
      <c r="RBH132" s="4"/>
      <c r="RBI132" s="4"/>
      <c r="RBJ132" s="4"/>
      <c r="RBK132" s="4"/>
      <c r="RBL132" s="4"/>
      <c r="RBM132" s="4"/>
      <c r="RBN132" s="4"/>
      <c r="RBO132" s="4"/>
      <c r="RBP132" s="4"/>
      <c r="RBQ132" s="4"/>
      <c r="RBR132" s="4"/>
      <c r="RBS132" s="4"/>
      <c r="RBT132" s="4"/>
      <c r="RBU132" s="4"/>
      <c r="RBV132" s="4"/>
      <c r="RBW132" s="4"/>
      <c r="RBX132" s="4"/>
      <c r="RBY132" s="4"/>
      <c r="RBZ132" s="4"/>
      <c r="RCA132" s="4"/>
      <c r="RCB132" s="4"/>
      <c r="RCC132" s="4"/>
      <c r="RCD132" s="4"/>
      <c r="RCE132" s="4"/>
      <c r="RCF132" s="4"/>
      <c r="RCG132" s="4"/>
      <c r="RCH132" s="4"/>
      <c r="RCI132" s="4"/>
      <c r="RCJ132" s="4"/>
      <c r="RCK132" s="4"/>
      <c r="RCL132" s="4"/>
      <c r="RCM132" s="4"/>
      <c r="RCN132" s="4"/>
      <c r="RCO132" s="4"/>
      <c r="RCP132" s="4"/>
      <c r="RCQ132" s="4"/>
      <c r="RCR132" s="4"/>
      <c r="RCS132" s="4"/>
      <c r="RCT132" s="4"/>
      <c r="RCU132" s="4"/>
      <c r="RCV132" s="4"/>
      <c r="RCW132" s="4"/>
      <c r="RCX132" s="4"/>
      <c r="RCY132" s="4"/>
      <c r="RCZ132" s="4"/>
      <c r="RDA132" s="4"/>
      <c r="RDB132" s="4"/>
      <c r="RDC132" s="4"/>
      <c r="RDD132" s="4"/>
      <c r="RDE132" s="4"/>
      <c r="RDF132" s="4"/>
      <c r="RDG132" s="4"/>
      <c r="RDH132" s="4"/>
      <c r="RDI132" s="4"/>
      <c r="RDJ132" s="4"/>
      <c r="RDK132" s="4"/>
      <c r="RDL132" s="4"/>
      <c r="RDM132" s="4"/>
      <c r="RDN132" s="4"/>
      <c r="RDO132" s="4"/>
      <c r="RDP132" s="4"/>
      <c r="RDQ132" s="4"/>
      <c r="RDR132" s="4"/>
      <c r="RDS132" s="4"/>
      <c r="RDT132" s="4"/>
      <c r="RDU132" s="4"/>
      <c r="RDV132" s="4"/>
      <c r="RDW132" s="4"/>
      <c r="RDX132" s="4"/>
      <c r="RDY132" s="4"/>
      <c r="RDZ132" s="4"/>
      <c r="REA132" s="4"/>
      <c r="REB132" s="4"/>
      <c r="REC132" s="4"/>
      <c r="RED132" s="4"/>
      <c r="REE132" s="4"/>
      <c r="REF132" s="4"/>
      <c r="REG132" s="4"/>
      <c r="REH132" s="4"/>
      <c r="REI132" s="4"/>
      <c r="REJ132" s="4"/>
      <c r="REK132" s="4"/>
      <c r="REL132" s="4"/>
      <c r="REM132" s="4"/>
      <c r="REN132" s="4"/>
      <c r="REO132" s="4"/>
      <c r="REP132" s="4"/>
      <c r="REQ132" s="4"/>
      <c r="RER132" s="4"/>
      <c r="RES132" s="4"/>
      <c r="RET132" s="4"/>
      <c r="REU132" s="4"/>
      <c r="REV132" s="4"/>
      <c r="REW132" s="4"/>
      <c r="REX132" s="4"/>
      <c r="REY132" s="4"/>
      <c r="REZ132" s="4"/>
      <c r="RFA132" s="4"/>
      <c r="RFB132" s="4"/>
      <c r="RFC132" s="4"/>
      <c r="RFD132" s="4"/>
      <c r="RFE132" s="4"/>
      <c r="RFF132" s="4"/>
      <c r="RFG132" s="4"/>
      <c r="RFH132" s="4"/>
      <c r="RFI132" s="4"/>
      <c r="RFJ132" s="4"/>
      <c r="RFK132" s="4"/>
      <c r="RFL132" s="4"/>
      <c r="RFM132" s="4"/>
      <c r="RFN132" s="4"/>
      <c r="RFO132" s="4"/>
      <c r="RFP132" s="4"/>
      <c r="RFQ132" s="4"/>
      <c r="RFR132" s="4"/>
      <c r="RFS132" s="4"/>
      <c r="RFT132" s="4"/>
      <c r="RFU132" s="4"/>
      <c r="RFV132" s="4"/>
      <c r="RFW132" s="4"/>
      <c r="RFX132" s="4"/>
      <c r="RFY132" s="4"/>
      <c r="RFZ132" s="4"/>
      <c r="RGA132" s="4"/>
      <c r="RGB132" s="4"/>
      <c r="RGC132" s="4"/>
      <c r="RGD132" s="4"/>
      <c r="RGE132" s="4"/>
      <c r="RGF132" s="4"/>
      <c r="RGG132" s="4"/>
      <c r="RGH132" s="4"/>
      <c r="RGI132" s="4"/>
      <c r="RGJ132" s="4"/>
      <c r="RGK132" s="4"/>
      <c r="RGL132" s="4"/>
      <c r="RGM132" s="4"/>
      <c r="RGN132" s="4"/>
      <c r="RGO132" s="4"/>
      <c r="RGP132" s="4"/>
      <c r="RGQ132" s="4"/>
      <c r="RGR132" s="4"/>
      <c r="RGS132" s="4"/>
      <c r="RGT132" s="4"/>
      <c r="RGU132" s="4"/>
      <c r="RGV132" s="4"/>
      <c r="RGW132" s="4"/>
      <c r="RGX132" s="4"/>
      <c r="RGY132" s="4"/>
      <c r="RGZ132" s="4"/>
      <c r="RHA132" s="4"/>
      <c r="RHB132" s="4"/>
      <c r="RHC132" s="4"/>
      <c r="RHD132" s="4"/>
      <c r="RHE132" s="4"/>
      <c r="RHF132" s="4"/>
      <c r="RHG132" s="4"/>
      <c r="RHH132" s="4"/>
      <c r="RHI132" s="4"/>
      <c r="RHJ132" s="4"/>
      <c r="RHK132" s="4"/>
      <c r="RHL132" s="4"/>
      <c r="RHM132" s="4"/>
      <c r="RHN132" s="4"/>
      <c r="RHO132" s="4"/>
      <c r="RHP132" s="4"/>
      <c r="RHQ132" s="4"/>
      <c r="RHR132" s="4"/>
      <c r="RHS132" s="4"/>
      <c r="RHT132" s="4"/>
      <c r="RHU132" s="4"/>
      <c r="RHV132" s="4"/>
      <c r="RHW132" s="4"/>
      <c r="RHX132" s="4"/>
      <c r="RHY132" s="4"/>
      <c r="RHZ132" s="4"/>
      <c r="RIA132" s="4"/>
      <c r="RIB132" s="4"/>
      <c r="RIC132" s="4"/>
      <c r="RID132" s="4"/>
      <c r="RIE132" s="4"/>
      <c r="RIF132" s="4"/>
      <c r="RIG132" s="4"/>
      <c r="RIH132" s="4"/>
      <c r="RII132" s="4"/>
      <c r="RIJ132" s="4"/>
      <c r="RIK132" s="4"/>
      <c r="RIL132" s="4"/>
      <c r="RIM132" s="4"/>
      <c r="RIN132" s="4"/>
      <c r="RIO132" s="4"/>
      <c r="RIP132" s="4"/>
      <c r="RIQ132" s="4"/>
      <c r="RIR132" s="4"/>
      <c r="RIS132" s="4"/>
      <c r="RIT132" s="4"/>
      <c r="RIU132" s="4"/>
      <c r="RIV132" s="4"/>
      <c r="RIW132" s="4"/>
      <c r="RIX132" s="4"/>
      <c r="RIY132" s="4"/>
      <c r="RIZ132" s="4"/>
      <c r="RJA132" s="4"/>
      <c r="RJB132" s="4"/>
      <c r="RJC132" s="4"/>
      <c r="RJD132" s="4"/>
      <c r="RJE132" s="4"/>
      <c r="RJF132" s="4"/>
      <c r="RJG132" s="4"/>
      <c r="RJH132" s="4"/>
      <c r="RJI132" s="4"/>
      <c r="RJJ132" s="4"/>
      <c r="RJK132" s="4"/>
      <c r="RJL132" s="4"/>
      <c r="RJM132" s="4"/>
      <c r="RJN132" s="4"/>
      <c r="RJO132" s="4"/>
      <c r="RJP132" s="4"/>
      <c r="RJQ132" s="4"/>
      <c r="RJR132" s="4"/>
      <c r="RJS132" s="4"/>
      <c r="RJT132" s="4"/>
      <c r="RJU132" s="4"/>
      <c r="RJV132" s="4"/>
      <c r="RJW132" s="4"/>
      <c r="RJX132" s="4"/>
      <c r="RJY132" s="4"/>
      <c r="RJZ132" s="4"/>
      <c r="RKA132" s="4"/>
      <c r="RKB132" s="4"/>
      <c r="RKC132" s="4"/>
      <c r="RKD132" s="4"/>
      <c r="RKE132" s="4"/>
      <c r="RKF132" s="4"/>
      <c r="RKG132" s="4"/>
      <c r="RKH132" s="4"/>
      <c r="RKI132" s="4"/>
      <c r="RKJ132" s="4"/>
      <c r="RKK132" s="4"/>
      <c r="RKL132" s="4"/>
      <c r="RKM132" s="4"/>
      <c r="RKN132" s="4"/>
      <c r="RKO132" s="4"/>
      <c r="RKP132" s="4"/>
      <c r="RKQ132" s="4"/>
      <c r="RKR132" s="4"/>
      <c r="RKS132" s="4"/>
      <c r="RKT132" s="4"/>
      <c r="RKU132" s="4"/>
      <c r="RKV132" s="4"/>
      <c r="RKW132" s="4"/>
      <c r="RKX132" s="4"/>
      <c r="RKY132" s="4"/>
      <c r="RKZ132" s="4"/>
      <c r="RLA132" s="4"/>
      <c r="RLB132" s="4"/>
      <c r="RLC132" s="4"/>
      <c r="RLD132" s="4"/>
      <c r="RLE132" s="4"/>
      <c r="RLF132" s="4"/>
      <c r="RLG132" s="4"/>
      <c r="RLH132" s="4"/>
      <c r="RLI132" s="4"/>
      <c r="RLJ132" s="4"/>
      <c r="RLK132" s="4"/>
      <c r="RLL132" s="4"/>
      <c r="RLM132" s="4"/>
      <c r="RLN132" s="4"/>
      <c r="RLO132" s="4"/>
      <c r="RLP132" s="4"/>
      <c r="RLQ132" s="4"/>
      <c r="RLR132" s="4"/>
      <c r="RLS132" s="4"/>
      <c r="RLT132" s="4"/>
      <c r="RLU132" s="4"/>
      <c r="RLV132" s="4"/>
      <c r="RLW132" s="4"/>
      <c r="RLX132" s="4"/>
      <c r="RLY132" s="4"/>
      <c r="RLZ132" s="4"/>
      <c r="RMA132" s="4"/>
      <c r="RMB132" s="4"/>
      <c r="RMC132" s="4"/>
      <c r="RMD132" s="4"/>
      <c r="RME132" s="4"/>
      <c r="RMF132" s="4"/>
      <c r="RMG132" s="4"/>
      <c r="RMH132" s="4"/>
      <c r="RMI132" s="4"/>
      <c r="RMJ132" s="4"/>
      <c r="RMK132" s="4"/>
      <c r="RML132" s="4"/>
      <c r="RMM132" s="4"/>
      <c r="RMN132" s="4"/>
      <c r="RMO132" s="4"/>
      <c r="RMP132" s="4"/>
      <c r="RMQ132" s="4"/>
      <c r="RMR132" s="4"/>
      <c r="RMS132" s="4"/>
      <c r="RMT132" s="4"/>
      <c r="RMU132" s="4"/>
      <c r="RMV132" s="4"/>
      <c r="RMW132" s="4"/>
      <c r="RMX132" s="4"/>
      <c r="RMY132" s="4"/>
      <c r="RMZ132" s="4"/>
      <c r="RNA132" s="4"/>
      <c r="RNB132" s="4"/>
      <c r="RNC132" s="4"/>
      <c r="RND132" s="4"/>
      <c r="RNE132" s="4"/>
      <c r="RNF132" s="4"/>
      <c r="RNG132" s="4"/>
      <c r="RNH132" s="4"/>
      <c r="RNI132" s="4"/>
      <c r="RNJ132" s="4"/>
      <c r="RNK132" s="4"/>
      <c r="RNL132" s="4"/>
      <c r="RNM132" s="4"/>
      <c r="RNN132" s="4"/>
      <c r="RNO132" s="4"/>
      <c r="RNP132" s="4"/>
      <c r="RNQ132" s="4"/>
      <c r="RNR132" s="4"/>
      <c r="RNS132" s="4"/>
      <c r="RNT132" s="4"/>
      <c r="RNU132" s="4"/>
      <c r="RNV132" s="4"/>
      <c r="RNW132" s="4"/>
      <c r="RNX132" s="4"/>
      <c r="RNY132" s="4"/>
      <c r="RNZ132" s="4"/>
      <c r="ROA132" s="4"/>
      <c r="ROB132" s="4"/>
      <c r="ROC132" s="4"/>
      <c r="ROD132" s="4"/>
      <c r="ROE132" s="4"/>
      <c r="ROF132" s="4"/>
      <c r="ROG132" s="4"/>
      <c r="ROH132" s="4"/>
      <c r="ROI132" s="4"/>
      <c r="ROJ132" s="4"/>
      <c r="ROK132" s="4"/>
      <c r="ROL132" s="4"/>
      <c r="ROM132" s="4"/>
      <c r="RON132" s="4"/>
      <c r="ROO132" s="4"/>
      <c r="ROP132" s="4"/>
      <c r="ROQ132" s="4"/>
      <c r="ROR132" s="4"/>
      <c r="ROS132" s="4"/>
      <c r="ROT132" s="4"/>
      <c r="ROU132" s="4"/>
      <c r="ROV132" s="4"/>
      <c r="ROW132" s="4"/>
      <c r="ROX132" s="4"/>
      <c r="ROY132" s="4"/>
      <c r="ROZ132" s="4"/>
      <c r="RPA132" s="4"/>
      <c r="RPB132" s="4"/>
      <c r="RPC132" s="4"/>
      <c r="RPD132" s="4"/>
      <c r="RPE132" s="4"/>
      <c r="RPF132" s="4"/>
      <c r="RPG132" s="4"/>
      <c r="RPH132" s="4"/>
      <c r="RPI132" s="4"/>
      <c r="RPJ132" s="4"/>
      <c r="RPK132" s="4"/>
      <c r="RPL132" s="4"/>
      <c r="RPM132" s="4"/>
      <c r="RPN132" s="4"/>
      <c r="RPO132" s="4"/>
      <c r="RPP132" s="4"/>
      <c r="RPQ132" s="4"/>
      <c r="RPR132" s="4"/>
      <c r="RPS132" s="4"/>
      <c r="RPT132" s="4"/>
      <c r="RPU132" s="4"/>
      <c r="RPV132" s="4"/>
      <c r="RPW132" s="4"/>
      <c r="RPX132" s="4"/>
      <c r="RPY132" s="4"/>
      <c r="RPZ132" s="4"/>
      <c r="RQA132" s="4"/>
      <c r="RQB132" s="4"/>
      <c r="RQC132" s="4"/>
      <c r="RQD132" s="4"/>
      <c r="RQE132" s="4"/>
      <c r="RQF132" s="4"/>
      <c r="RQG132" s="4"/>
      <c r="RQH132" s="4"/>
      <c r="RQI132" s="4"/>
      <c r="RQJ132" s="4"/>
      <c r="RQK132" s="4"/>
      <c r="RQL132" s="4"/>
      <c r="RQM132" s="4"/>
      <c r="RQN132" s="4"/>
      <c r="RQO132" s="4"/>
      <c r="RQP132" s="4"/>
      <c r="RQQ132" s="4"/>
      <c r="RQR132" s="4"/>
      <c r="RQS132" s="4"/>
      <c r="RQT132" s="4"/>
      <c r="RQU132" s="4"/>
      <c r="RQV132" s="4"/>
      <c r="RQW132" s="4"/>
      <c r="RQX132" s="4"/>
      <c r="RQY132" s="4"/>
      <c r="RQZ132" s="4"/>
      <c r="RRA132" s="4"/>
      <c r="RRB132" s="4"/>
      <c r="RRC132" s="4"/>
      <c r="RRD132" s="4"/>
      <c r="RRE132" s="4"/>
      <c r="RRF132" s="4"/>
      <c r="RRG132" s="4"/>
      <c r="RRH132" s="4"/>
      <c r="RRI132" s="4"/>
      <c r="RRJ132" s="4"/>
      <c r="RRK132" s="4"/>
      <c r="RRL132" s="4"/>
      <c r="RRM132" s="4"/>
      <c r="RRN132" s="4"/>
      <c r="RRO132" s="4"/>
      <c r="RRP132" s="4"/>
      <c r="RRQ132" s="4"/>
      <c r="RRR132" s="4"/>
      <c r="RRS132" s="4"/>
      <c r="RRT132" s="4"/>
      <c r="RRU132" s="4"/>
      <c r="RRV132" s="4"/>
      <c r="RRW132" s="4"/>
      <c r="RRX132" s="4"/>
      <c r="RRY132" s="4"/>
      <c r="RRZ132" s="4"/>
      <c r="RSA132" s="4"/>
      <c r="RSB132" s="4"/>
      <c r="RSC132" s="4"/>
      <c r="RSD132" s="4"/>
      <c r="RSE132" s="4"/>
      <c r="RSF132" s="4"/>
      <c r="RSG132" s="4"/>
      <c r="RSH132" s="4"/>
      <c r="RSI132" s="4"/>
      <c r="RSJ132" s="4"/>
      <c r="RSK132" s="4"/>
      <c r="RSL132" s="4"/>
      <c r="RSM132" s="4"/>
      <c r="RSN132" s="4"/>
      <c r="RSO132" s="4"/>
      <c r="RSP132" s="4"/>
      <c r="RSQ132" s="4"/>
      <c r="RSR132" s="4"/>
      <c r="RSS132" s="4"/>
      <c r="RST132" s="4"/>
      <c r="RSU132" s="4"/>
      <c r="RSV132" s="4"/>
      <c r="RSW132" s="4"/>
      <c r="RSX132" s="4"/>
      <c r="RSY132" s="4"/>
      <c r="RSZ132" s="4"/>
      <c r="RTA132" s="4"/>
      <c r="RTB132" s="4"/>
      <c r="RTC132" s="4"/>
      <c r="RTD132" s="4"/>
      <c r="RTE132" s="4"/>
      <c r="RTF132" s="4"/>
      <c r="RTG132" s="4"/>
      <c r="RTH132" s="4"/>
      <c r="RTI132" s="4"/>
      <c r="RTJ132" s="4"/>
      <c r="RTK132" s="4"/>
      <c r="RTL132" s="4"/>
      <c r="RTM132" s="4"/>
      <c r="RTN132" s="4"/>
      <c r="RTO132" s="4"/>
      <c r="RTP132" s="4"/>
      <c r="RTQ132" s="4"/>
      <c r="RTR132" s="4"/>
      <c r="RTS132" s="4"/>
      <c r="RTT132" s="4"/>
      <c r="RTU132" s="4"/>
      <c r="RTV132" s="4"/>
      <c r="RTW132" s="4"/>
      <c r="RTX132" s="4"/>
      <c r="RTY132" s="4"/>
      <c r="RTZ132" s="4"/>
      <c r="RUA132" s="4"/>
      <c r="RUB132" s="4"/>
      <c r="RUC132" s="4"/>
      <c r="RUD132" s="4"/>
      <c r="RUE132" s="4"/>
      <c r="RUF132" s="4"/>
      <c r="RUG132" s="4"/>
      <c r="RUH132" s="4"/>
      <c r="RUI132" s="4"/>
      <c r="RUJ132" s="4"/>
      <c r="RUK132" s="4"/>
      <c r="RUL132" s="4"/>
      <c r="RUM132" s="4"/>
      <c r="RUN132" s="4"/>
      <c r="RUO132" s="4"/>
      <c r="RUP132" s="4"/>
      <c r="RUQ132" s="4"/>
      <c r="RUR132" s="4"/>
      <c r="RUS132" s="4"/>
      <c r="RUT132" s="4"/>
      <c r="RUU132" s="4"/>
      <c r="RUV132" s="4"/>
      <c r="RUW132" s="4"/>
      <c r="RUX132" s="4"/>
      <c r="RUY132" s="4"/>
      <c r="RUZ132" s="4"/>
      <c r="RVA132" s="4"/>
      <c r="RVB132" s="4"/>
      <c r="RVC132" s="4"/>
      <c r="RVD132" s="4"/>
      <c r="RVE132" s="4"/>
      <c r="RVF132" s="4"/>
      <c r="RVG132" s="4"/>
      <c r="RVH132" s="4"/>
      <c r="RVI132" s="4"/>
      <c r="RVJ132" s="4"/>
      <c r="RVK132" s="4"/>
      <c r="RVL132" s="4"/>
      <c r="RVM132" s="4"/>
      <c r="RVN132" s="4"/>
      <c r="RVO132" s="4"/>
      <c r="RVP132" s="4"/>
      <c r="RVQ132" s="4"/>
      <c r="RVR132" s="4"/>
      <c r="RVS132" s="4"/>
      <c r="RVT132" s="4"/>
      <c r="RVU132" s="4"/>
      <c r="RVV132" s="4"/>
      <c r="RVW132" s="4"/>
      <c r="RVX132" s="4"/>
      <c r="RVY132" s="4"/>
      <c r="RVZ132" s="4"/>
      <c r="RWA132" s="4"/>
      <c r="RWB132" s="4"/>
      <c r="RWC132" s="4"/>
      <c r="RWD132" s="4"/>
      <c r="RWE132" s="4"/>
      <c r="RWF132" s="4"/>
      <c r="RWG132" s="4"/>
      <c r="RWH132" s="4"/>
      <c r="RWI132" s="4"/>
      <c r="RWJ132" s="4"/>
      <c r="RWK132" s="4"/>
      <c r="RWL132" s="4"/>
      <c r="RWM132" s="4"/>
      <c r="RWN132" s="4"/>
      <c r="RWO132" s="4"/>
      <c r="RWP132" s="4"/>
      <c r="RWQ132" s="4"/>
      <c r="RWR132" s="4"/>
      <c r="RWS132" s="4"/>
      <c r="RWT132" s="4"/>
      <c r="RWU132" s="4"/>
      <c r="RWV132" s="4"/>
      <c r="RWW132" s="4"/>
      <c r="RWX132" s="4"/>
      <c r="RWY132" s="4"/>
      <c r="RWZ132" s="4"/>
      <c r="RXA132" s="4"/>
      <c r="RXB132" s="4"/>
      <c r="RXC132" s="4"/>
      <c r="RXD132" s="4"/>
      <c r="RXE132" s="4"/>
      <c r="RXF132" s="4"/>
      <c r="RXG132" s="4"/>
      <c r="RXH132" s="4"/>
      <c r="RXI132" s="4"/>
      <c r="RXJ132" s="4"/>
      <c r="RXK132" s="4"/>
      <c r="RXL132" s="4"/>
      <c r="RXM132" s="4"/>
      <c r="RXN132" s="4"/>
      <c r="RXO132" s="4"/>
      <c r="RXP132" s="4"/>
      <c r="RXQ132" s="4"/>
      <c r="RXR132" s="4"/>
      <c r="RXS132" s="4"/>
      <c r="RXT132" s="4"/>
      <c r="RXU132" s="4"/>
      <c r="RXV132" s="4"/>
      <c r="RXW132" s="4"/>
      <c r="RXX132" s="4"/>
      <c r="RXY132" s="4"/>
      <c r="RXZ132" s="4"/>
      <c r="RYA132" s="4"/>
      <c r="RYB132" s="4"/>
      <c r="RYC132" s="4"/>
      <c r="RYD132" s="4"/>
      <c r="RYE132" s="4"/>
      <c r="RYF132" s="4"/>
      <c r="RYG132" s="4"/>
      <c r="RYH132" s="4"/>
      <c r="RYI132" s="4"/>
      <c r="RYJ132" s="4"/>
      <c r="RYK132" s="4"/>
      <c r="RYL132" s="4"/>
      <c r="RYM132" s="4"/>
      <c r="RYN132" s="4"/>
      <c r="RYO132" s="4"/>
      <c r="RYP132" s="4"/>
      <c r="RYQ132" s="4"/>
      <c r="RYR132" s="4"/>
      <c r="RYS132" s="4"/>
      <c r="RYT132" s="4"/>
      <c r="RYU132" s="4"/>
      <c r="RYV132" s="4"/>
      <c r="RYW132" s="4"/>
      <c r="RYX132" s="4"/>
      <c r="RYY132" s="4"/>
      <c r="RYZ132" s="4"/>
      <c r="RZA132" s="4"/>
      <c r="RZB132" s="4"/>
      <c r="RZC132" s="4"/>
      <c r="RZD132" s="4"/>
      <c r="RZE132" s="4"/>
      <c r="RZF132" s="4"/>
      <c r="RZG132" s="4"/>
      <c r="RZH132" s="4"/>
      <c r="RZI132" s="4"/>
      <c r="RZJ132" s="4"/>
      <c r="RZK132" s="4"/>
      <c r="RZL132" s="4"/>
      <c r="RZM132" s="4"/>
      <c r="RZN132" s="4"/>
      <c r="RZO132" s="4"/>
      <c r="RZP132" s="4"/>
      <c r="RZQ132" s="4"/>
      <c r="RZR132" s="4"/>
      <c r="RZS132" s="4"/>
      <c r="RZT132" s="4"/>
      <c r="RZU132" s="4"/>
      <c r="RZV132" s="4"/>
      <c r="RZW132" s="4"/>
      <c r="RZX132" s="4"/>
      <c r="RZY132" s="4"/>
      <c r="RZZ132" s="4"/>
      <c r="SAA132" s="4"/>
      <c r="SAB132" s="4"/>
      <c r="SAC132" s="4"/>
      <c r="SAD132" s="4"/>
      <c r="SAE132" s="4"/>
      <c r="SAF132" s="4"/>
      <c r="SAG132" s="4"/>
      <c r="SAH132" s="4"/>
      <c r="SAI132" s="4"/>
      <c r="SAJ132" s="4"/>
      <c r="SAK132" s="4"/>
      <c r="SAL132" s="4"/>
      <c r="SAM132" s="4"/>
      <c r="SAN132" s="4"/>
      <c r="SAO132" s="4"/>
      <c r="SAP132" s="4"/>
      <c r="SAQ132" s="4"/>
      <c r="SAR132" s="4"/>
      <c r="SAS132" s="4"/>
      <c r="SAT132" s="4"/>
      <c r="SAU132" s="4"/>
      <c r="SAV132" s="4"/>
      <c r="SAW132" s="4"/>
      <c r="SAX132" s="4"/>
      <c r="SAY132" s="4"/>
      <c r="SAZ132" s="4"/>
      <c r="SBA132" s="4"/>
      <c r="SBB132" s="4"/>
      <c r="SBC132" s="4"/>
      <c r="SBD132" s="4"/>
      <c r="SBE132" s="4"/>
      <c r="SBF132" s="4"/>
      <c r="SBG132" s="4"/>
      <c r="SBH132" s="4"/>
      <c r="SBI132" s="4"/>
      <c r="SBJ132" s="4"/>
      <c r="SBK132" s="4"/>
      <c r="SBL132" s="4"/>
      <c r="SBM132" s="4"/>
      <c r="SBN132" s="4"/>
      <c r="SBO132" s="4"/>
      <c r="SBP132" s="4"/>
      <c r="SBQ132" s="4"/>
      <c r="SBR132" s="4"/>
      <c r="SBS132" s="4"/>
      <c r="SBT132" s="4"/>
      <c r="SBU132" s="4"/>
      <c r="SBV132" s="4"/>
      <c r="SBW132" s="4"/>
      <c r="SBX132" s="4"/>
      <c r="SBY132" s="4"/>
      <c r="SBZ132" s="4"/>
      <c r="SCA132" s="4"/>
      <c r="SCB132" s="4"/>
      <c r="SCC132" s="4"/>
      <c r="SCD132" s="4"/>
      <c r="SCE132" s="4"/>
      <c r="SCF132" s="4"/>
      <c r="SCG132" s="4"/>
      <c r="SCH132" s="4"/>
      <c r="SCI132" s="4"/>
      <c r="SCJ132" s="4"/>
      <c r="SCK132" s="4"/>
      <c r="SCL132" s="4"/>
      <c r="SCM132" s="4"/>
      <c r="SCN132" s="4"/>
      <c r="SCO132" s="4"/>
      <c r="SCP132" s="4"/>
      <c r="SCQ132" s="4"/>
      <c r="SCR132" s="4"/>
      <c r="SCS132" s="4"/>
      <c r="SCT132" s="4"/>
      <c r="SCU132" s="4"/>
      <c r="SCV132" s="4"/>
      <c r="SCW132" s="4"/>
      <c r="SCX132" s="4"/>
      <c r="SCY132" s="4"/>
      <c r="SCZ132" s="4"/>
      <c r="SDA132" s="4"/>
      <c r="SDB132" s="4"/>
      <c r="SDC132" s="4"/>
      <c r="SDD132" s="4"/>
      <c r="SDE132" s="4"/>
      <c r="SDF132" s="4"/>
      <c r="SDG132" s="4"/>
      <c r="SDH132" s="4"/>
      <c r="SDI132" s="4"/>
      <c r="SDJ132" s="4"/>
      <c r="SDK132" s="4"/>
      <c r="SDL132" s="4"/>
      <c r="SDM132" s="4"/>
      <c r="SDN132" s="4"/>
      <c r="SDO132" s="4"/>
      <c r="SDP132" s="4"/>
      <c r="SDQ132" s="4"/>
      <c r="SDR132" s="4"/>
      <c r="SDS132" s="4"/>
      <c r="SDT132" s="4"/>
      <c r="SDU132" s="4"/>
      <c r="SDV132" s="4"/>
      <c r="SDW132" s="4"/>
      <c r="SDX132" s="4"/>
      <c r="SDY132" s="4"/>
      <c r="SDZ132" s="4"/>
      <c r="SEA132" s="4"/>
      <c r="SEB132" s="4"/>
      <c r="SEC132" s="4"/>
      <c r="SED132" s="4"/>
      <c r="SEE132" s="4"/>
      <c r="SEF132" s="4"/>
      <c r="SEG132" s="4"/>
      <c r="SEH132" s="4"/>
      <c r="SEI132" s="4"/>
      <c r="SEJ132" s="4"/>
      <c r="SEK132" s="4"/>
      <c r="SEL132" s="4"/>
      <c r="SEM132" s="4"/>
      <c r="SEN132" s="4"/>
      <c r="SEO132" s="4"/>
      <c r="SEP132" s="4"/>
      <c r="SEQ132" s="4"/>
      <c r="SER132" s="4"/>
      <c r="SES132" s="4"/>
      <c r="SET132" s="4"/>
      <c r="SEU132" s="4"/>
      <c r="SEV132" s="4"/>
      <c r="SEW132" s="4"/>
      <c r="SEX132" s="4"/>
      <c r="SEY132" s="4"/>
      <c r="SEZ132" s="4"/>
      <c r="SFA132" s="4"/>
      <c r="SFB132" s="4"/>
      <c r="SFC132" s="4"/>
      <c r="SFD132" s="4"/>
      <c r="SFE132" s="4"/>
      <c r="SFF132" s="4"/>
      <c r="SFG132" s="4"/>
      <c r="SFH132" s="4"/>
      <c r="SFI132" s="4"/>
      <c r="SFJ132" s="4"/>
      <c r="SFK132" s="4"/>
      <c r="SFL132" s="4"/>
      <c r="SFM132" s="4"/>
      <c r="SFN132" s="4"/>
      <c r="SFO132" s="4"/>
      <c r="SFP132" s="4"/>
      <c r="SFQ132" s="4"/>
      <c r="SFR132" s="4"/>
      <c r="SFS132" s="4"/>
      <c r="SFT132" s="4"/>
      <c r="SFU132" s="4"/>
      <c r="SFV132" s="4"/>
      <c r="SFW132" s="4"/>
      <c r="SFX132" s="4"/>
      <c r="SFY132" s="4"/>
      <c r="SFZ132" s="4"/>
      <c r="SGA132" s="4"/>
      <c r="SGB132" s="4"/>
      <c r="SGC132" s="4"/>
      <c r="SGD132" s="4"/>
      <c r="SGE132" s="4"/>
      <c r="SGF132" s="4"/>
      <c r="SGG132" s="4"/>
      <c r="SGH132" s="4"/>
      <c r="SGI132" s="4"/>
      <c r="SGJ132" s="4"/>
      <c r="SGK132" s="4"/>
      <c r="SGL132" s="4"/>
      <c r="SGM132" s="4"/>
      <c r="SGN132" s="4"/>
      <c r="SGO132" s="4"/>
      <c r="SGP132" s="4"/>
      <c r="SGQ132" s="4"/>
      <c r="SGR132" s="4"/>
      <c r="SGS132" s="4"/>
      <c r="SGT132" s="4"/>
      <c r="SGU132" s="4"/>
      <c r="SGV132" s="4"/>
      <c r="SGW132" s="4"/>
      <c r="SGX132" s="4"/>
      <c r="SGY132" s="4"/>
      <c r="SGZ132" s="4"/>
      <c r="SHA132" s="4"/>
      <c r="SHB132" s="4"/>
      <c r="SHC132" s="4"/>
      <c r="SHD132" s="4"/>
      <c r="SHE132" s="4"/>
      <c r="SHF132" s="4"/>
      <c r="SHG132" s="4"/>
      <c r="SHH132" s="4"/>
      <c r="SHI132" s="4"/>
      <c r="SHJ132" s="4"/>
      <c r="SHK132" s="4"/>
      <c r="SHL132" s="4"/>
      <c r="SHM132" s="4"/>
      <c r="SHN132" s="4"/>
      <c r="SHO132" s="4"/>
      <c r="SHP132" s="4"/>
      <c r="SHQ132" s="4"/>
      <c r="SHR132" s="4"/>
      <c r="SHS132" s="4"/>
      <c r="SHT132" s="4"/>
      <c r="SHU132" s="4"/>
      <c r="SHV132" s="4"/>
      <c r="SHW132" s="4"/>
      <c r="SHX132" s="4"/>
      <c r="SHY132" s="4"/>
      <c r="SHZ132" s="4"/>
      <c r="SIA132" s="4"/>
      <c r="SIB132" s="4"/>
      <c r="SIC132" s="4"/>
      <c r="SID132" s="4"/>
      <c r="SIE132" s="4"/>
      <c r="SIF132" s="4"/>
      <c r="SIG132" s="4"/>
      <c r="SIH132" s="4"/>
      <c r="SII132" s="4"/>
      <c r="SIJ132" s="4"/>
      <c r="SIK132" s="4"/>
      <c r="SIL132" s="4"/>
      <c r="SIM132" s="4"/>
      <c r="SIN132" s="4"/>
      <c r="SIO132" s="4"/>
      <c r="SIP132" s="4"/>
      <c r="SIQ132" s="4"/>
      <c r="SIR132" s="4"/>
      <c r="SIS132" s="4"/>
      <c r="SIT132" s="4"/>
      <c r="SIU132" s="4"/>
      <c r="SIV132" s="4"/>
      <c r="SIW132" s="4"/>
      <c r="SIX132" s="4"/>
      <c r="SIY132" s="4"/>
      <c r="SIZ132" s="4"/>
      <c r="SJA132" s="4"/>
      <c r="SJB132" s="4"/>
      <c r="SJC132" s="4"/>
      <c r="SJD132" s="4"/>
      <c r="SJE132" s="4"/>
      <c r="SJF132" s="4"/>
      <c r="SJG132" s="4"/>
      <c r="SJH132" s="4"/>
      <c r="SJI132" s="4"/>
      <c r="SJJ132" s="4"/>
      <c r="SJK132" s="4"/>
      <c r="SJL132" s="4"/>
      <c r="SJM132" s="4"/>
      <c r="SJN132" s="4"/>
      <c r="SJO132" s="4"/>
      <c r="SJP132" s="4"/>
      <c r="SJQ132" s="4"/>
      <c r="SJR132" s="4"/>
      <c r="SJS132" s="4"/>
      <c r="SJT132" s="4"/>
      <c r="SJU132" s="4"/>
      <c r="SJV132" s="4"/>
      <c r="SJW132" s="4"/>
      <c r="SJX132" s="4"/>
      <c r="SJY132" s="4"/>
      <c r="SJZ132" s="4"/>
      <c r="SKA132" s="4"/>
      <c r="SKB132" s="4"/>
      <c r="SKC132" s="4"/>
      <c r="SKD132" s="4"/>
      <c r="SKE132" s="4"/>
      <c r="SKF132" s="4"/>
      <c r="SKG132" s="4"/>
      <c r="SKH132" s="4"/>
      <c r="SKI132" s="4"/>
      <c r="SKJ132" s="4"/>
      <c r="SKK132" s="4"/>
      <c r="SKL132" s="4"/>
      <c r="SKM132" s="4"/>
      <c r="SKN132" s="4"/>
      <c r="SKO132" s="4"/>
      <c r="SKP132" s="4"/>
      <c r="SKQ132" s="4"/>
      <c r="SKR132" s="4"/>
      <c r="SKS132" s="4"/>
      <c r="SKT132" s="4"/>
      <c r="SKU132" s="4"/>
      <c r="SKV132" s="4"/>
      <c r="SKW132" s="4"/>
      <c r="SKX132" s="4"/>
      <c r="SKY132" s="4"/>
      <c r="SKZ132" s="4"/>
      <c r="SLA132" s="4"/>
      <c r="SLB132" s="4"/>
      <c r="SLC132" s="4"/>
      <c r="SLD132" s="4"/>
      <c r="SLE132" s="4"/>
      <c r="SLF132" s="4"/>
      <c r="SLG132" s="4"/>
      <c r="SLH132" s="4"/>
      <c r="SLI132" s="4"/>
      <c r="SLJ132" s="4"/>
      <c r="SLK132" s="4"/>
      <c r="SLL132" s="4"/>
      <c r="SLM132" s="4"/>
      <c r="SLN132" s="4"/>
      <c r="SLO132" s="4"/>
      <c r="SLP132" s="4"/>
      <c r="SLQ132" s="4"/>
      <c r="SLR132" s="4"/>
      <c r="SLS132" s="4"/>
      <c r="SLT132" s="4"/>
      <c r="SLU132" s="4"/>
      <c r="SLV132" s="4"/>
      <c r="SLW132" s="4"/>
      <c r="SLX132" s="4"/>
      <c r="SLY132" s="4"/>
      <c r="SLZ132" s="4"/>
      <c r="SMA132" s="4"/>
      <c r="SMB132" s="4"/>
      <c r="SMC132" s="4"/>
      <c r="SMD132" s="4"/>
      <c r="SME132" s="4"/>
      <c r="SMF132" s="4"/>
      <c r="SMG132" s="4"/>
      <c r="SMH132" s="4"/>
      <c r="SMI132" s="4"/>
      <c r="SMJ132" s="4"/>
      <c r="SMK132" s="4"/>
      <c r="SML132" s="4"/>
      <c r="SMM132" s="4"/>
      <c r="SMN132" s="4"/>
      <c r="SMO132" s="4"/>
      <c r="SMP132" s="4"/>
      <c r="SMQ132" s="4"/>
      <c r="SMR132" s="4"/>
      <c r="SMS132" s="4"/>
      <c r="SMT132" s="4"/>
      <c r="SMU132" s="4"/>
      <c r="SMV132" s="4"/>
      <c r="SMW132" s="4"/>
      <c r="SMX132" s="4"/>
      <c r="SMY132" s="4"/>
      <c r="SMZ132" s="4"/>
      <c r="SNA132" s="4"/>
      <c r="SNB132" s="4"/>
      <c r="SNC132" s="4"/>
      <c r="SND132" s="4"/>
      <c r="SNE132" s="4"/>
      <c r="SNF132" s="4"/>
      <c r="SNG132" s="4"/>
      <c r="SNH132" s="4"/>
      <c r="SNI132" s="4"/>
      <c r="SNJ132" s="4"/>
      <c r="SNK132" s="4"/>
      <c r="SNL132" s="4"/>
      <c r="SNM132" s="4"/>
      <c r="SNN132" s="4"/>
      <c r="SNO132" s="4"/>
      <c r="SNP132" s="4"/>
      <c r="SNQ132" s="4"/>
      <c r="SNR132" s="4"/>
      <c r="SNS132" s="4"/>
      <c r="SNT132" s="4"/>
      <c r="SNU132" s="4"/>
      <c r="SNV132" s="4"/>
      <c r="SNW132" s="4"/>
      <c r="SNX132" s="4"/>
      <c r="SNY132" s="4"/>
      <c r="SNZ132" s="4"/>
      <c r="SOA132" s="4"/>
      <c r="SOB132" s="4"/>
      <c r="SOC132" s="4"/>
      <c r="SOD132" s="4"/>
      <c r="SOE132" s="4"/>
      <c r="SOF132" s="4"/>
      <c r="SOG132" s="4"/>
      <c r="SOH132" s="4"/>
      <c r="SOI132" s="4"/>
      <c r="SOJ132" s="4"/>
      <c r="SOK132" s="4"/>
      <c r="SOL132" s="4"/>
      <c r="SOM132" s="4"/>
      <c r="SON132" s="4"/>
      <c r="SOO132" s="4"/>
      <c r="SOP132" s="4"/>
      <c r="SOQ132" s="4"/>
      <c r="SOR132" s="4"/>
      <c r="SOS132" s="4"/>
      <c r="SOT132" s="4"/>
      <c r="SOU132" s="4"/>
      <c r="SOV132" s="4"/>
      <c r="SOW132" s="4"/>
      <c r="SOX132" s="4"/>
      <c r="SOY132" s="4"/>
      <c r="SOZ132" s="4"/>
      <c r="SPA132" s="4"/>
      <c r="SPB132" s="4"/>
      <c r="SPC132" s="4"/>
      <c r="SPD132" s="4"/>
      <c r="SPE132" s="4"/>
      <c r="SPF132" s="4"/>
      <c r="SPG132" s="4"/>
      <c r="SPH132" s="4"/>
      <c r="SPI132" s="4"/>
      <c r="SPJ132" s="4"/>
      <c r="SPK132" s="4"/>
      <c r="SPL132" s="4"/>
      <c r="SPM132" s="4"/>
      <c r="SPN132" s="4"/>
      <c r="SPO132" s="4"/>
      <c r="SPP132" s="4"/>
      <c r="SPQ132" s="4"/>
      <c r="SPR132" s="4"/>
      <c r="SPS132" s="4"/>
      <c r="SPT132" s="4"/>
      <c r="SPU132" s="4"/>
      <c r="SPV132" s="4"/>
      <c r="SPW132" s="4"/>
      <c r="SPX132" s="4"/>
      <c r="SPY132" s="4"/>
      <c r="SPZ132" s="4"/>
      <c r="SQA132" s="4"/>
      <c r="SQB132" s="4"/>
      <c r="SQC132" s="4"/>
      <c r="SQD132" s="4"/>
      <c r="SQE132" s="4"/>
      <c r="SQF132" s="4"/>
      <c r="SQG132" s="4"/>
      <c r="SQH132" s="4"/>
      <c r="SQI132" s="4"/>
      <c r="SQJ132" s="4"/>
      <c r="SQK132" s="4"/>
      <c r="SQL132" s="4"/>
      <c r="SQM132" s="4"/>
      <c r="SQN132" s="4"/>
      <c r="SQO132" s="4"/>
      <c r="SQP132" s="4"/>
      <c r="SQQ132" s="4"/>
      <c r="SQR132" s="4"/>
      <c r="SQS132" s="4"/>
      <c r="SQT132" s="4"/>
      <c r="SQU132" s="4"/>
      <c r="SQV132" s="4"/>
      <c r="SQW132" s="4"/>
      <c r="SQX132" s="4"/>
      <c r="SQY132" s="4"/>
      <c r="SQZ132" s="4"/>
      <c r="SRA132" s="4"/>
      <c r="SRB132" s="4"/>
      <c r="SRC132" s="4"/>
      <c r="SRD132" s="4"/>
      <c r="SRE132" s="4"/>
      <c r="SRF132" s="4"/>
      <c r="SRG132" s="4"/>
      <c r="SRH132" s="4"/>
      <c r="SRI132" s="4"/>
      <c r="SRJ132" s="4"/>
      <c r="SRK132" s="4"/>
      <c r="SRL132" s="4"/>
      <c r="SRM132" s="4"/>
      <c r="SRN132" s="4"/>
      <c r="SRO132" s="4"/>
      <c r="SRP132" s="4"/>
      <c r="SRQ132" s="4"/>
      <c r="SRR132" s="4"/>
      <c r="SRS132" s="4"/>
      <c r="SRT132" s="4"/>
      <c r="SRU132" s="4"/>
      <c r="SRV132" s="4"/>
      <c r="SRW132" s="4"/>
      <c r="SRX132" s="4"/>
      <c r="SRY132" s="4"/>
      <c r="SRZ132" s="4"/>
      <c r="SSA132" s="4"/>
      <c r="SSB132" s="4"/>
      <c r="SSC132" s="4"/>
      <c r="SSD132" s="4"/>
      <c r="SSE132" s="4"/>
      <c r="SSF132" s="4"/>
      <c r="SSG132" s="4"/>
      <c r="SSH132" s="4"/>
      <c r="SSI132" s="4"/>
      <c r="SSJ132" s="4"/>
      <c r="SSK132" s="4"/>
      <c r="SSL132" s="4"/>
      <c r="SSM132" s="4"/>
      <c r="SSN132" s="4"/>
      <c r="SSO132" s="4"/>
      <c r="SSP132" s="4"/>
      <c r="SSQ132" s="4"/>
      <c r="SSR132" s="4"/>
      <c r="SSS132" s="4"/>
      <c r="SST132" s="4"/>
      <c r="SSU132" s="4"/>
      <c r="SSV132" s="4"/>
      <c r="SSW132" s="4"/>
      <c r="SSX132" s="4"/>
      <c r="SSY132" s="4"/>
      <c r="SSZ132" s="4"/>
      <c r="STA132" s="4"/>
      <c r="STB132" s="4"/>
      <c r="STC132" s="4"/>
      <c r="STD132" s="4"/>
      <c r="STE132" s="4"/>
      <c r="STF132" s="4"/>
      <c r="STG132" s="4"/>
      <c r="STH132" s="4"/>
      <c r="STI132" s="4"/>
      <c r="STJ132" s="4"/>
      <c r="STK132" s="4"/>
      <c r="STL132" s="4"/>
      <c r="STM132" s="4"/>
      <c r="STN132" s="4"/>
      <c r="STO132" s="4"/>
      <c r="STP132" s="4"/>
      <c r="STQ132" s="4"/>
      <c r="STR132" s="4"/>
      <c r="STS132" s="4"/>
      <c r="STT132" s="4"/>
      <c r="STU132" s="4"/>
      <c r="STV132" s="4"/>
      <c r="STW132" s="4"/>
      <c r="STX132" s="4"/>
      <c r="STY132" s="4"/>
      <c r="STZ132" s="4"/>
      <c r="SUA132" s="4"/>
      <c r="SUB132" s="4"/>
      <c r="SUC132" s="4"/>
      <c r="SUD132" s="4"/>
      <c r="SUE132" s="4"/>
      <c r="SUF132" s="4"/>
      <c r="SUG132" s="4"/>
      <c r="SUH132" s="4"/>
      <c r="SUI132" s="4"/>
      <c r="SUJ132" s="4"/>
      <c r="SUK132" s="4"/>
      <c r="SUL132" s="4"/>
      <c r="SUM132" s="4"/>
      <c r="SUN132" s="4"/>
      <c r="SUO132" s="4"/>
      <c r="SUP132" s="4"/>
      <c r="SUQ132" s="4"/>
      <c r="SUR132" s="4"/>
      <c r="SUS132" s="4"/>
      <c r="SUT132" s="4"/>
      <c r="SUU132" s="4"/>
      <c r="SUV132" s="4"/>
      <c r="SUW132" s="4"/>
      <c r="SUX132" s="4"/>
      <c r="SUY132" s="4"/>
      <c r="SUZ132" s="4"/>
      <c r="SVA132" s="4"/>
      <c r="SVB132" s="4"/>
      <c r="SVC132" s="4"/>
      <c r="SVD132" s="4"/>
      <c r="SVE132" s="4"/>
      <c r="SVF132" s="4"/>
      <c r="SVG132" s="4"/>
      <c r="SVH132" s="4"/>
      <c r="SVI132" s="4"/>
      <c r="SVJ132" s="4"/>
      <c r="SVK132" s="4"/>
      <c r="SVL132" s="4"/>
      <c r="SVM132" s="4"/>
      <c r="SVN132" s="4"/>
      <c r="SVO132" s="4"/>
      <c r="SVP132" s="4"/>
      <c r="SVQ132" s="4"/>
      <c r="SVR132" s="4"/>
      <c r="SVS132" s="4"/>
      <c r="SVT132" s="4"/>
      <c r="SVU132" s="4"/>
      <c r="SVV132" s="4"/>
      <c r="SVW132" s="4"/>
      <c r="SVX132" s="4"/>
      <c r="SVY132" s="4"/>
      <c r="SVZ132" s="4"/>
      <c r="SWA132" s="4"/>
      <c r="SWB132" s="4"/>
      <c r="SWC132" s="4"/>
      <c r="SWD132" s="4"/>
      <c r="SWE132" s="4"/>
      <c r="SWF132" s="4"/>
      <c r="SWG132" s="4"/>
      <c r="SWH132" s="4"/>
      <c r="SWI132" s="4"/>
      <c r="SWJ132" s="4"/>
      <c r="SWK132" s="4"/>
      <c r="SWL132" s="4"/>
      <c r="SWM132" s="4"/>
      <c r="SWN132" s="4"/>
      <c r="SWO132" s="4"/>
      <c r="SWP132" s="4"/>
      <c r="SWQ132" s="4"/>
      <c r="SWR132" s="4"/>
      <c r="SWS132" s="4"/>
      <c r="SWT132" s="4"/>
      <c r="SWU132" s="4"/>
      <c r="SWV132" s="4"/>
      <c r="SWW132" s="4"/>
      <c r="SWX132" s="4"/>
      <c r="SWY132" s="4"/>
      <c r="SWZ132" s="4"/>
      <c r="SXA132" s="4"/>
      <c r="SXB132" s="4"/>
      <c r="SXC132" s="4"/>
      <c r="SXD132" s="4"/>
      <c r="SXE132" s="4"/>
      <c r="SXF132" s="4"/>
      <c r="SXG132" s="4"/>
      <c r="SXH132" s="4"/>
      <c r="SXI132" s="4"/>
      <c r="SXJ132" s="4"/>
      <c r="SXK132" s="4"/>
      <c r="SXL132" s="4"/>
      <c r="SXM132" s="4"/>
      <c r="SXN132" s="4"/>
      <c r="SXO132" s="4"/>
      <c r="SXP132" s="4"/>
      <c r="SXQ132" s="4"/>
      <c r="SXR132" s="4"/>
      <c r="SXS132" s="4"/>
      <c r="SXT132" s="4"/>
      <c r="SXU132" s="4"/>
      <c r="SXV132" s="4"/>
      <c r="SXW132" s="4"/>
      <c r="SXX132" s="4"/>
      <c r="SXY132" s="4"/>
      <c r="SXZ132" s="4"/>
      <c r="SYA132" s="4"/>
      <c r="SYB132" s="4"/>
      <c r="SYC132" s="4"/>
      <c r="SYD132" s="4"/>
      <c r="SYE132" s="4"/>
      <c r="SYF132" s="4"/>
      <c r="SYG132" s="4"/>
      <c r="SYH132" s="4"/>
      <c r="SYI132" s="4"/>
      <c r="SYJ132" s="4"/>
      <c r="SYK132" s="4"/>
      <c r="SYL132" s="4"/>
      <c r="SYM132" s="4"/>
      <c r="SYN132" s="4"/>
      <c r="SYO132" s="4"/>
      <c r="SYP132" s="4"/>
      <c r="SYQ132" s="4"/>
      <c r="SYR132" s="4"/>
      <c r="SYS132" s="4"/>
      <c r="SYT132" s="4"/>
      <c r="SYU132" s="4"/>
      <c r="SYV132" s="4"/>
      <c r="SYW132" s="4"/>
      <c r="SYX132" s="4"/>
      <c r="SYY132" s="4"/>
      <c r="SYZ132" s="4"/>
      <c r="SZA132" s="4"/>
      <c r="SZB132" s="4"/>
      <c r="SZC132" s="4"/>
      <c r="SZD132" s="4"/>
      <c r="SZE132" s="4"/>
      <c r="SZF132" s="4"/>
      <c r="SZG132" s="4"/>
      <c r="SZH132" s="4"/>
      <c r="SZI132" s="4"/>
      <c r="SZJ132" s="4"/>
      <c r="SZK132" s="4"/>
      <c r="SZL132" s="4"/>
      <c r="SZM132" s="4"/>
      <c r="SZN132" s="4"/>
      <c r="SZO132" s="4"/>
      <c r="SZP132" s="4"/>
      <c r="SZQ132" s="4"/>
      <c r="SZR132" s="4"/>
      <c r="SZS132" s="4"/>
      <c r="SZT132" s="4"/>
      <c r="SZU132" s="4"/>
      <c r="SZV132" s="4"/>
      <c r="SZW132" s="4"/>
      <c r="SZX132" s="4"/>
      <c r="SZY132" s="4"/>
      <c r="SZZ132" s="4"/>
      <c r="TAA132" s="4"/>
      <c r="TAB132" s="4"/>
      <c r="TAC132" s="4"/>
      <c r="TAD132" s="4"/>
      <c r="TAE132" s="4"/>
      <c r="TAF132" s="4"/>
      <c r="TAG132" s="4"/>
      <c r="TAH132" s="4"/>
      <c r="TAI132" s="4"/>
      <c r="TAJ132" s="4"/>
      <c r="TAK132" s="4"/>
      <c r="TAL132" s="4"/>
      <c r="TAM132" s="4"/>
      <c r="TAN132" s="4"/>
      <c r="TAO132" s="4"/>
      <c r="TAP132" s="4"/>
      <c r="TAQ132" s="4"/>
      <c r="TAR132" s="4"/>
      <c r="TAS132" s="4"/>
      <c r="TAT132" s="4"/>
      <c r="TAU132" s="4"/>
      <c r="TAV132" s="4"/>
      <c r="TAW132" s="4"/>
      <c r="TAX132" s="4"/>
      <c r="TAY132" s="4"/>
      <c r="TAZ132" s="4"/>
      <c r="TBA132" s="4"/>
      <c r="TBB132" s="4"/>
      <c r="TBC132" s="4"/>
      <c r="TBD132" s="4"/>
      <c r="TBE132" s="4"/>
      <c r="TBF132" s="4"/>
      <c r="TBG132" s="4"/>
      <c r="TBH132" s="4"/>
      <c r="TBI132" s="4"/>
      <c r="TBJ132" s="4"/>
      <c r="TBK132" s="4"/>
      <c r="TBL132" s="4"/>
      <c r="TBM132" s="4"/>
      <c r="TBN132" s="4"/>
      <c r="TBO132" s="4"/>
      <c r="TBP132" s="4"/>
      <c r="TBQ132" s="4"/>
      <c r="TBR132" s="4"/>
      <c r="TBS132" s="4"/>
      <c r="TBT132" s="4"/>
      <c r="TBU132" s="4"/>
      <c r="TBV132" s="4"/>
      <c r="TBW132" s="4"/>
      <c r="TBX132" s="4"/>
      <c r="TBY132" s="4"/>
      <c r="TBZ132" s="4"/>
      <c r="TCA132" s="4"/>
      <c r="TCB132" s="4"/>
      <c r="TCC132" s="4"/>
      <c r="TCD132" s="4"/>
      <c r="TCE132" s="4"/>
      <c r="TCF132" s="4"/>
      <c r="TCG132" s="4"/>
      <c r="TCH132" s="4"/>
      <c r="TCI132" s="4"/>
      <c r="TCJ132" s="4"/>
      <c r="TCK132" s="4"/>
      <c r="TCL132" s="4"/>
      <c r="TCM132" s="4"/>
      <c r="TCN132" s="4"/>
      <c r="TCO132" s="4"/>
      <c r="TCP132" s="4"/>
      <c r="TCQ132" s="4"/>
      <c r="TCR132" s="4"/>
      <c r="TCS132" s="4"/>
      <c r="TCT132" s="4"/>
      <c r="TCU132" s="4"/>
      <c r="TCV132" s="4"/>
      <c r="TCW132" s="4"/>
      <c r="TCX132" s="4"/>
      <c r="TCY132" s="4"/>
      <c r="TCZ132" s="4"/>
      <c r="TDA132" s="4"/>
      <c r="TDB132" s="4"/>
      <c r="TDC132" s="4"/>
      <c r="TDD132" s="4"/>
      <c r="TDE132" s="4"/>
      <c r="TDF132" s="4"/>
      <c r="TDG132" s="4"/>
      <c r="TDH132" s="4"/>
      <c r="TDI132" s="4"/>
      <c r="TDJ132" s="4"/>
      <c r="TDK132" s="4"/>
      <c r="TDL132" s="4"/>
      <c r="TDM132" s="4"/>
      <c r="TDN132" s="4"/>
      <c r="TDO132" s="4"/>
      <c r="TDP132" s="4"/>
      <c r="TDQ132" s="4"/>
      <c r="TDR132" s="4"/>
      <c r="TDS132" s="4"/>
      <c r="TDT132" s="4"/>
      <c r="TDU132" s="4"/>
      <c r="TDV132" s="4"/>
      <c r="TDW132" s="4"/>
      <c r="TDX132" s="4"/>
      <c r="TDY132" s="4"/>
      <c r="TDZ132" s="4"/>
      <c r="TEA132" s="4"/>
      <c r="TEB132" s="4"/>
      <c r="TEC132" s="4"/>
      <c r="TED132" s="4"/>
      <c r="TEE132" s="4"/>
      <c r="TEF132" s="4"/>
      <c r="TEG132" s="4"/>
      <c r="TEH132" s="4"/>
      <c r="TEI132" s="4"/>
      <c r="TEJ132" s="4"/>
      <c r="TEK132" s="4"/>
      <c r="TEL132" s="4"/>
      <c r="TEM132" s="4"/>
      <c r="TEN132" s="4"/>
      <c r="TEO132" s="4"/>
      <c r="TEP132" s="4"/>
      <c r="TEQ132" s="4"/>
      <c r="TER132" s="4"/>
      <c r="TES132" s="4"/>
      <c r="TET132" s="4"/>
      <c r="TEU132" s="4"/>
      <c r="TEV132" s="4"/>
      <c r="TEW132" s="4"/>
      <c r="TEX132" s="4"/>
      <c r="TEY132" s="4"/>
      <c r="TEZ132" s="4"/>
      <c r="TFA132" s="4"/>
      <c r="TFB132" s="4"/>
      <c r="TFC132" s="4"/>
      <c r="TFD132" s="4"/>
      <c r="TFE132" s="4"/>
      <c r="TFF132" s="4"/>
      <c r="TFG132" s="4"/>
      <c r="TFH132" s="4"/>
      <c r="TFI132" s="4"/>
      <c r="TFJ132" s="4"/>
      <c r="TFK132" s="4"/>
      <c r="TFL132" s="4"/>
      <c r="TFM132" s="4"/>
      <c r="TFN132" s="4"/>
      <c r="TFO132" s="4"/>
      <c r="TFP132" s="4"/>
      <c r="TFQ132" s="4"/>
      <c r="TFR132" s="4"/>
      <c r="TFS132" s="4"/>
      <c r="TFT132" s="4"/>
      <c r="TFU132" s="4"/>
      <c r="TFV132" s="4"/>
      <c r="TFW132" s="4"/>
      <c r="TFX132" s="4"/>
      <c r="TFY132" s="4"/>
      <c r="TFZ132" s="4"/>
      <c r="TGA132" s="4"/>
      <c r="TGB132" s="4"/>
      <c r="TGC132" s="4"/>
      <c r="TGD132" s="4"/>
      <c r="TGE132" s="4"/>
      <c r="TGF132" s="4"/>
      <c r="TGG132" s="4"/>
      <c r="TGH132" s="4"/>
      <c r="TGI132" s="4"/>
      <c r="TGJ132" s="4"/>
      <c r="TGK132" s="4"/>
      <c r="TGL132" s="4"/>
      <c r="TGM132" s="4"/>
      <c r="TGN132" s="4"/>
      <c r="TGO132" s="4"/>
      <c r="TGP132" s="4"/>
      <c r="TGQ132" s="4"/>
      <c r="TGR132" s="4"/>
      <c r="TGS132" s="4"/>
      <c r="TGT132" s="4"/>
      <c r="TGU132" s="4"/>
      <c r="TGV132" s="4"/>
      <c r="TGW132" s="4"/>
      <c r="TGX132" s="4"/>
      <c r="TGY132" s="4"/>
      <c r="TGZ132" s="4"/>
      <c r="THA132" s="4"/>
      <c r="THB132" s="4"/>
      <c r="THC132" s="4"/>
      <c r="THD132" s="4"/>
      <c r="THE132" s="4"/>
      <c r="THF132" s="4"/>
      <c r="THG132" s="4"/>
      <c r="THH132" s="4"/>
      <c r="THI132" s="4"/>
      <c r="THJ132" s="4"/>
      <c r="THK132" s="4"/>
      <c r="THL132" s="4"/>
      <c r="THM132" s="4"/>
      <c r="THN132" s="4"/>
      <c r="THO132" s="4"/>
      <c r="THP132" s="4"/>
      <c r="THQ132" s="4"/>
      <c r="THR132" s="4"/>
      <c r="THS132" s="4"/>
      <c r="THT132" s="4"/>
      <c r="THU132" s="4"/>
      <c r="THV132" s="4"/>
      <c r="THW132" s="4"/>
      <c r="THX132" s="4"/>
      <c r="THY132" s="4"/>
      <c r="THZ132" s="4"/>
      <c r="TIA132" s="4"/>
      <c r="TIB132" s="4"/>
      <c r="TIC132" s="4"/>
      <c r="TID132" s="4"/>
      <c r="TIE132" s="4"/>
      <c r="TIF132" s="4"/>
      <c r="TIG132" s="4"/>
      <c r="TIH132" s="4"/>
      <c r="TII132" s="4"/>
      <c r="TIJ132" s="4"/>
      <c r="TIK132" s="4"/>
      <c r="TIL132" s="4"/>
      <c r="TIM132" s="4"/>
      <c r="TIN132" s="4"/>
      <c r="TIO132" s="4"/>
      <c r="TIP132" s="4"/>
      <c r="TIQ132" s="4"/>
      <c r="TIR132" s="4"/>
      <c r="TIS132" s="4"/>
      <c r="TIT132" s="4"/>
      <c r="TIU132" s="4"/>
      <c r="TIV132" s="4"/>
      <c r="TIW132" s="4"/>
      <c r="TIX132" s="4"/>
      <c r="TIY132" s="4"/>
      <c r="TIZ132" s="4"/>
      <c r="TJA132" s="4"/>
      <c r="TJB132" s="4"/>
      <c r="TJC132" s="4"/>
      <c r="TJD132" s="4"/>
      <c r="TJE132" s="4"/>
      <c r="TJF132" s="4"/>
      <c r="TJG132" s="4"/>
      <c r="TJH132" s="4"/>
      <c r="TJI132" s="4"/>
      <c r="TJJ132" s="4"/>
      <c r="TJK132" s="4"/>
      <c r="TJL132" s="4"/>
      <c r="TJM132" s="4"/>
      <c r="TJN132" s="4"/>
      <c r="TJO132" s="4"/>
      <c r="TJP132" s="4"/>
      <c r="TJQ132" s="4"/>
      <c r="TJR132" s="4"/>
      <c r="TJS132" s="4"/>
      <c r="TJT132" s="4"/>
      <c r="TJU132" s="4"/>
      <c r="TJV132" s="4"/>
      <c r="TJW132" s="4"/>
      <c r="TJX132" s="4"/>
      <c r="TJY132" s="4"/>
      <c r="TJZ132" s="4"/>
      <c r="TKA132" s="4"/>
      <c r="TKB132" s="4"/>
      <c r="TKC132" s="4"/>
      <c r="TKD132" s="4"/>
      <c r="TKE132" s="4"/>
      <c r="TKF132" s="4"/>
      <c r="TKG132" s="4"/>
      <c r="TKH132" s="4"/>
      <c r="TKI132" s="4"/>
      <c r="TKJ132" s="4"/>
      <c r="TKK132" s="4"/>
      <c r="TKL132" s="4"/>
      <c r="TKM132" s="4"/>
      <c r="TKN132" s="4"/>
      <c r="TKO132" s="4"/>
      <c r="TKP132" s="4"/>
      <c r="TKQ132" s="4"/>
      <c r="TKR132" s="4"/>
      <c r="TKS132" s="4"/>
      <c r="TKT132" s="4"/>
      <c r="TKU132" s="4"/>
      <c r="TKV132" s="4"/>
      <c r="TKW132" s="4"/>
      <c r="TKX132" s="4"/>
      <c r="TKY132" s="4"/>
      <c r="TKZ132" s="4"/>
      <c r="TLA132" s="4"/>
      <c r="TLB132" s="4"/>
      <c r="TLC132" s="4"/>
      <c r="TLD132" s="4"/>
      <c r="TLE132" s="4"/>
      <c r="TLF132" s="4"/>
      <c r="TLG132" s="4"/>
      <c r="TLH132" s="4"/>
      <c r="TLI132" s="4"/>
      <c r="TLJ132" s="4"/>
      <c r="TLK132" s="4"/>
      <c r="TLL132" s="4"/>
      <c r="TLM132" s="4"/>
      <c r="TLN132" s="4"/>
      <c r="TLO132" s="4"/>
      <c r="TLP132" s="4"/>
      <c r="TLQ132" s="4"/>
      <c r="TLR132" s="4"/>
      <c r="TLS132" s="4"/>
      <c r="TLT132" s="4"/>
      <c r="TLU132" s="4"/>
      <c r="TLV132" s="4"/>
      <c r="TLW132" s="4"/>
      <c r="TLX132" s="4"/>
      <c r="TLY132" s="4"/>
      <c r="TLZ132" s="4"/>
      <c r="TMA132" s="4"/>
      <c r="TMB132" s="4"/>
      <c r="TMC132" s="4"/>
      <c r="TMD132" s="4"/>
      <c r="TME132" s="4"/>
      <c r="TMF132" s="4"/>
      <c r="TMG132" s="4"/>
      <c r="TMH132" s="4"/>
      <c r="TMI132" s="4"/>
      <c r="TMJ132" s="4"/>
      <c r="TMK132" s="4"/>
      <c r="TML132" s="4"/>
      <c r="TMM132" s="4"/>
      <c r="TMN132" s="4"/>
      <c r="TMO132" s="4"/>
      <c r="TMP132" s="4"/>
      <c r="TMQ132" s="4"/>
      <c r="TMR132" s="4"/>
      <c r="TMS132" s="4"/>
      <c r="TMT132" s="4"/>
      <c r="TMU132" s="4"/>
      <c r="TMV132" s="4"/>
      <c r="TMW132" s="4"/>
      <c r="TMX132" s="4"/>
      <c r="TMY132" s="4"/>
      <c r="TMZ132" s="4"/>
      <c r="TNA132" s="4"/>
      <c r="TNB132" s="4"/>
      <c r="TNC132" s="4"/>
      <c r="TND132" s="4"/>
      <c r="TNE132" s="4"/>
      <c r="TNF132" s="4"/>
      <c r="TNG132" s="4"/>
      <c r="TNH132" s="4"/>
      <c r="TNI132" s="4"/>
      <c r="TNJ132" s="4"/>
      <c r="TNK132" s="4"/>
      <c r="TNL132" s="4"/>
      <c r="TNM132" s="4"/>
      <c r="TNN132" s="4"/>
      <c r="TNO132" s="4"/>
      <c r="TNP132" s="4"/>
      <c r="TNQ132" s="4"/>
      <c r="TNR132" s="4"/>
      <c r="TNS132" s="4"/>
      <c r="TNT132" s="4"/>
      <c r="TNU132" s="4"/>
      <c r="TNV132" s="4"/>
      <c r="TNW132" s="4"/>
      <c r="TNX132" s="4"/>
      <c r="TNY132" s="4"/>
      <c r="TNZ132" s="4"/>
      <c r="TOA132" s="4"/>
      <c r="TOB132" s="4"/>
      <c r="TOC132" s="4"/>
      <c r="TOD132" s="4"/>
      <c r="TOE132" s="4"/>
      <c r="TOF132" s="4"/>
      <c r="TOG132" s="4"/>
      <c r="TOH132" s="4"/>
      <c r="TOI132" s="4"/>
      <c r="TOJ132" s="4"/>
      <c r="TOK132" s="4"/>
      <c r="TOL132" s="4"/>
      <c r="TOM132" s="4"/>
      <c r="TON132" s="4"/>
      <c r="TOO132" s="4"/>
      <c r="TOP132" s="4"/>
      <c r="TOQ132" s="4"/>
      <c r="TOR132" s="4"/>
      <c r="TOS132" s="4"/>
      <c r="TOT132" s="4"/>
      <c r="TOU132" s="4"/>
      <c r="TOV132" s="4"/>
      <c r="TOW132" s="4"/>
      <c r="TOX132" s="4"/>
      <c r="TOY132" s="4"/>
      <c r="TOZ132" s="4"/>
      <c r="TPA132" s="4"/>
      <c r="TPB132" s="4"/>
      <c r="TPC132" s="4"/>
      <c r="TPD132" s="4"/>
      <c r="TPE132" s="4"/>
      <c r="TPF132" s="4"/>
      <c r="TPG132" s="4"/>
      <c r="TPH132" s="4"/>
      <c r="TPI132" s="4"/>
      <c r="TPJ132" s="4"/>
      <c r="TPK132" s="4"/>
      <c r="TPL132" s="4"/>
      <c r="TPM132" s="4"/>
      <c r="TPN132" s="4"/>
      <c r="TPO132" s="4"/>
      <c r="TPP132" s="4"/>
      <c r="TPQ132" s="4"/>
      <c r="TPR132" s="4"/>
      <c r="TPS132" s="4"/>
      <c r="TPT132" s="4"/>
      <c r="TPU132" s="4"/>
      <c r="TPV132" s="4"/>
      <c r="TPW132" s="4"/>
      <c r="TPX132" s="4"/>
      <c r="TPY132" s="4"/>
      <c r="TPZ132" s="4"/>
      <c r="TQA132" s="4"/>
      <c r="TQB132" s="4"/>
      <c r="TQC132" s="4"/>
      <c r="TQD132" s="4"/>
      <c r="TQE132" s="4"/>
      <c r="TQF132" s="4"/>
      <c r="TQG132" s="4"/>
      <c r="TQH132" s="4"/>
      <c r="TQI132" s="4"/>
      <c r="TQJ132" s="4"/>
      <c r="TQK132" s="4"/>
      <c r="TQL132" s="4"/>
      <c r="TQM132" s="4"/>
      <c r="TQN132" s="4"/>
      <c r="TQO132" s="4"/>
      <c r="TQP132" s="4"/>
      <c r="TQQ132" s="4"/>
      <c r="TQR132" s="4"/>
      <c r="TQS132" s="4"/>
      <c r="TQT132" s="4"/>
      <c r="TQU132" s="4"/>
      <c r="TQV132" s="4"/>
      <c r="TQW132" s="4"/>
      <c r="TQX132" s="4"/>
      <c r="TQY132" s="4"/>
      <c r="TQZ132" s="4"/>
      <c r="TRA132" s="4"/>
      <c r="TRB132" s="4"/>
      <c r="TRC132" s="4"/>
      <c r="TRD132" s="4"/>
      <c r="TRE132" s="4"/>
      <c r="TRF132" s="4"/>
      <c r="TRG132" s="4"/>
      <c r="TRH132" s="4"/>
      <c r="TRI132" s="4"/>
      <c r="TRJ132" s="4"/>
      <c r="TRK132" s="4"/>
      <c r="TRL132" s="4"/>
      <c r="TRM132" s="4"/>
      <c r="TRN132" s="4"/>
      <c r="TRO132" s="4"/>
      <c r="TRP132" s="4"/>
      <c r="TRQ132" s="4"/>
      <c r="TRR132" s="4"/>
      <c r="TRS132" s="4"/>
      <c r="TRT132" s="4"/>
      <c r="TRU132" s="4"/>
      <c r="TRV132" s="4"/>
      <c r="TRW132" s="4"/>
      <c r="TRX132" s="4"/>
      <c r="TRY132" s="4"/>
      <c r="TRZ132" s="4"/>
      <c r="TSA132" s="4"/>
      <c r="TSB132" s="4"/>
      <c r="TSC132" s="4"/>
      <c r="TSD132" s="4"/>
      <c r="TSE132" s="4"/>
      <c r="TSF132" s="4"/>
      <c r="TSG132" s="4"/>
      <c r="TSH132" s="4"/>
      <c r="TSI132" s="4"/>
      <c r="TSJ132" s="4"/>
      <c r="TSK132" s="4"/>
      <c r="TSL132" s="4"/>
      <c r="TSM132" s="4"/>
      <c r="TSN132" s="4"/>
      <c r="TSO132" s="4"/>
      <c r="TSP132" s="4"/>
      <c r="TSQ132" s="4"/>
      <c r="TSR132" s="4"/>
      <c r="TSS132" s="4"/>
      <c r="TST132" s="4"/>
      <c r="TSU132" s="4"/>
      <c r="TSV132" s="4"/>
      <c r="TSW132" s="4"/>
      <c r="TSX132" s="4"/>
      <c r="TSY132" s="4"/>
      <c r="TSZ132" s="4"/>
      <c r="TTA132" s="4"/>
      <c r="TTB132" s="4"/>
      <c r="TTC132" s="4"/>
      <c r="TTD132" s="4"/>
      <c r="TTE132" s="4"/>
      <c r="TTF132" s="4"/>
      <c r="TTG132" s="4"/>
      <c r="TTH132" s="4"/>
      <c r="TTI132" s="4"/>
      <c r="TTJ132" s="4"/>
      <c r="TTK132" s="4"/>
      <c r="TTL132" s="4"/>
      <c r="TTM132" s="4"/>
      <c r="TTN132" s="4"/>
      <c r="TTO132" s="4"/>
      <c r="TTP132" s="4"/>
      <c r="TTQ132" s="4"/>
      <c r="TTR132" s="4"/>
      <c r="TTS132" s="4"/>
      <c r="TTT132" s="4"/>
      <c r="TTU132" s="4"/>
      <c r="TTV132" s="4"/>
      <c r="TTW132" s="4"/>
      <c r="TTX132" s="4"/>
      <c r="TTY132" s="4"/>
      <c r="TTZ132" s="4"/>
      <c r="TUA132" s="4"/>
      <c r="TUB132" s="4"/>
      <c r="TUC132" s="4"/>
      <c r="TUD132" s="4"/>
      <c r="TUE132" s="4"/>
      <c r="TUF132" s="4"/>
      <c r="TUG132" s="4"/>
      <c r="TUH132" s="4"/>
      <c r="TUI132" s="4"/>
      <c r="TUJ132" s="4"/>
      <c r="TUK132" s="4"/>
      <c r="TUL132" s="4"/>
      <c r="TUM132" s="4"/>
      <c r="TUN132" s="4"/>
      <c r="TUO132" s="4"/>
      <c r="TUP132" s="4"/>
      <c r="TUQ132" s="4"/>
      <c r="TUR132" s="4"/>
      <c r="TUS132" s="4"/>
      <c r="TUT132" s="4"/>
      <c r="TUU132" s="4"/>
      <c r="TUV132" s="4"/>
      <c r="TUW132" s="4"/>
      <c r="TUX132" s="4"/>
      <c r="TUY132" s="4"/>
      <c r="TUZ132" s="4"/>
      <c r="TVA132" s="4"/>
      <c r="TVB132" s="4"/>
      <c r="TVC132" s="4"/>
      <c r="TVD132" s="4"/>
      <c r="TVE132" s="4"/>
      <c r="TVF132" s="4"/>
      <c r="TVG132" s="4"/>
      <c r="TVH132" s="4"/>
      <c r="TVI132" s="4"/>
      <c r="TVJ132" s="4"/>
      <c r="TVK132" s="4"/>
      <c r="TVL132" s="4"/>
      <c r="TVM132" s="4"/>
      <c r="TVN132" s="4"/>
      <c r="TVO132" s="4"/>
      <c r="TVP132" s="4"/>
      <c r="TVQ132" s="4"/>
      <c r="TVR132" s="4"/>
      <c r="TVS132" s="4"/>
      <c r="TVT132" s="4"/>
      <c r="TVU132" s="4"/>
      <c r="TVV132" s="4"/>
      <c r="TVW132" s="4"/>
      <c r="TVX132" s="4"/>
      <c r="TVY132" s="4"/>
      <c r="TVZ132" s="4"/>
      <c r="TWA132" s="4"/>
      <c r="TWB132" s="4"/>
      <c r="TWC132" s="4"/>
      <c r="TWD132" s="4"/>
      <c r="TWE132" s="4"/>
      <c r="TWF132" s="4"/>
      <c r="TWG132" s="4"/>
      <c r="TWH132" s="4"/>
      <c r="TWI132" s="4"/>
      <c r="TWJ132" s="4"/>
      <c r="TWK132" s="4"/>
      <c r="TWL132" s="4"/>
      <c r="TWM132" s="4"/>
      <c r="TWN132" s="4"/>
      <c r="TWO132" s="4"/>
      <c r="TWP132" s="4"/>
      <c r="TWQ132" s="4"/>
      <c r="TWR132" s="4"/>
      <c r="TWS132" s="4"/>
      <c r="TWT132" s="4"/>
      <c r="TWU132" s="4"/>
      <c r="TWV132" s="4"/>
      <c r="TWW132" s="4"/>
      <c r="TWX132" s="4"/>
      <c r="TWY132" s="4"/>
      <c r="TWZ132" s="4"/>
      <c r="TXA132" s="4"/>
      <c r="TXB132" s="4"/>
      <c r="TXC132" s="4"/>
      <c r="TXD132" s="4"/>
      <c r="TXE132" s="4"/>
      <c r="TXF132" s="4"/>
      <c r="TXG132" s="4"/>
      <c r="TXH132" s="4"/>
      <c r="TXI132" s="4"/>
      <c r="TXJ132" s="4"/>
      <c r="TXK132" s="4"/>
      <c r="TXL132" s="4"/>
      <c r="TXM132" s="4"/>
      <c r="TXN132" s="4"/>
      <c r="TXO132" s="4"/>
      <c r="TXP132" s="4"/>
      <c r="TXQ132" s="4"/>
      <c r="TXR132" s="4"/>
      <c r="TXS132" s="4"/>
      <c r="TXT132" s="4"/>
      <c r="TXU132" s="4"/>
      <c r="TXV132" s="4"/>
      <c r="TXW132" s="4"/>
      <c r="TXX132" s="4"/>
      <c r="TXY132" s="4"/>
      <c r="TXZ132" s="4"/>
      <c r="TYA132" s="4"/>
      <c r="TYB132" s="4"/>
      <c r="TYC132" s="4"/>
      <c r="TYD132" s="4"/>
      <c r="TYE132" s="4"/>
      <c r="TYF132" s="4"/>
      <c r="TYG132" s="4"/>
      <c r="TYH132" s="4"/>
      <c r="TYI132" s="4"/>
      <c r="TYJ132" s="4"/>
      <c r="TYK132" s="4"/>
      <c r="TYL132" s="4"/>
      <c r="TYM132" s="4"/>
      <c r="TYN132" s="4"/>
      <c r="TYO132" s="4"/>
      <c r="TYP132" s="4"/>
      <c r="TYQ132" s="4"/>
      <c r="TYR132" s="4"/>
      <c r="TYS132" s="4"/>
      <c r="TYT132" s="4"/>
      <c r="TYU132" s="4"/>
      <c r="TYV132" s="4"/>
      <c r="TYW132" s="4"/>
      <c r="TYX132" s="4"/>
      <c r="TYY132" s="4"/>
      <c r="TYZ132" s="4"/>
      <c r="TZA132" s="4"/>
      <c r="TZB132" s="4"/>
      <c r="TZC132" s="4"/>
      <c r="TZD132" s="4"/>
      <c r="TZE132" s="4"/>
      <c r="TZF132" s="4"/>
      <c r="TZG132" s="4"/>
      <c r="TZH132" s="4"/>
      <c r="TZI132" s="4"/>
      <c r="TZJ132" s="4"/>
      <c r="TZK132" s="4"/>
      <c r="TZL132" s="4"/>
      <c r="TZM132" s="4"/>
      <c r="TZN132" s="4"/>
      <c r="TZO132" s="4"/>
      <c r="TZP132" s="4"/>
      <c r="TZQ132" s="4"/>
      <c r="TZR132" s="4"/>
      <c r="TZS132" s="4"/>
      <c r="TZT132" s="4"/>
      <c r="TZU132" s="4"/>
      <c r="TZV132" s="4"/>
      <c r="TZW132" s="4"/>
      <c r="TZX132" s="4"/>
      <c r="TZY132" s="4"/>
      <c r="TZZ132" s="4"/>
      <c r="UAA132" s="4"/>
      <c r="UAB132" s="4"/>
      <c r="UAC132" s="4"/>
      <c r="UAD132" s="4"/>
      <c r="UAE132" s="4"/>
      <c r="UAF132" s="4"/>
      <c r="UAG132" s="4"/>
      <c r="UAH132" s="4"/>
      <c r="UAI132" s="4"/>
      <c r="UAJ132" s="4"/>
      <c r="UAK132" s="4"/>
      <c r="UAL132" s="4"/>
      <c r="UAM132" s="4"/>
      <c r="UAN132" s="4"/>
      <c r="UAO132" s="4"/>
      <c r="UAP132" s="4"/>
      <c r="UAQ132" s="4"/>
      <c r="UAR132" s="4"/>
      <c r="UAS132" s="4"/>
      <c r="UAT132" s="4"/>
      <c r="UAU132" s="4"/>
      <c r="UAV132" s="4"/>
      <c r="UAW132" s="4"/>
      <c r="UAX132" s="4"/>
      <c r="UAY132" s="4"/>
      <c r="UAZ132" s="4"/>
      <c r="UBA132" s="4"/>
      <c r="UBB132" s="4"/>
      <c r="UBC132" s="4"/>
      <c r="UBD132" s="4"/>
      <c r="UBE132" s="4"/>
      <c r="UBF132" s="4"/>
      <c r="UBG132" s="4"/>
      <c r="UBH132" s="4"/>
      <c r="UBI132" s="4"/>
      <c r="UBJ132" s="4"/>
      <c r="UBK132" s="4"/>
      <c r="UBL132" s="4"/>
      <c r="UBM132" s="4"/>
      <c r="UBN132" s="4"/>
      <c r="UBO132" s="4"/>
      <c r="UBP132" s="4"/>
      <c r="UBQ132" s="4"/>
      <c r="UBR132" s="4"/>
      <c r="UBS132" s="4"/>
      <c r="UBT132" s="4"/>
      <c r="UBU132" s="4"/>
      <c r="UBV132" s="4"/>
      <c r="UBW132" s="4"/>
      <c r="UBX132" s="4"/>
      <c r="UBY132" s="4"/>
      <c r="UBZ132" s="4"/>
      <c r="UCA132" s="4"/>
      <c r="UCB132" s="4"/>
      <c r="UCC132" s="4"/>
      <c r="UCD132" s="4"/>
      <c r="UCE132" s="4"/>
      <c r="UCF132" s="4"/>
      <c r="UCG132" s="4"/>
      <c r="UCH132" s="4"/>
      <c r="UCI132" s="4"/>
      <c r="UCJ132" s="4"/>
      <c r="UCK132" s="4"/>
      <c r="UCL132" s="4"/>
      <c r="UCM132" s="4"/>
      <c r="UCN132" s="4"/>
      <c r="UCO132" s="4"/>
      <c r="UCP132" s="4"/>
      <c r="UCQ132" s="4"/>
      <c r="UCR132" s="4"/>
      <c r="UCS132" s="4"/>
      <c r="UCT132" s="4"/>
      <c r="UCU132" s="4"/>
      <c r="UCV132" s="4"/>
      <c r="UCW132" s="4"/>
      <c r="UCX132" s="4"/>
      <c r="UCY132" s="4"/>
      <c r="UCZ132" s="4"/>
      <c r="UDA132" s="4"/>
      <c r="UDB132" s="4"/>
      <c r="UDC132" s="4"/>
      <c r="UDD132" s="4"/>
      <c r="UDE132" s="4"/>
      <c r="UDF132" s="4"/>
      <c r="UDG132" s="4"/>
      <c r="UDH132" s="4"/>
      <c r="UDI132" s="4"/>
      <c r="UDJ132" s="4"/>
      <c r="UDK132" s="4"/>
      <c r="UDL132" s="4"/>
      <c r="UDM132" s="4"/>
      <c r="UDN132" s="4"/>
      <c r="UDO132" s="4"/>
      <c r="UDP132" s="4"/>
      <c r="UDQ132" s="4"/>
      <c r="UDR132" s="4"/>
      <c r="UDS132" s="4"/>
      <c r="UDT132" s="4"/>
      <c r="UDU132" s="4"/>
      <c r="UDV132" s="4"/>
      <c r="UDW132" s="4"/>
      <c r="UDX132" s="4"/>
      <c r="UDY132" s="4"/>
      <c r="UDZ132" s="4"/>
      <c r="UEA132" s="4"/>
      <c r="UEB132" s="4"/>
      <c r="UEC132" s="4"/>
      <c r="UED132" s="4"/>
      <c r="UEE132" s="4"/>
      <c r="UEF132" s="4"/>
      <c r="UEG132" s="4"/>
      <c r="UEH132" s="4"/>
      <c r="UEI132" s="4"/>
      <c r="UEJ132" s="4"/>
      <c r="UEK132" s="4"/>
      <c r="UEL132" s="4"/>
      <c r="UEM132" s="4"/>
      <c r="UEN132" s="4"/>
      <c r="UEO132" s="4"/>
      <c r="UEP132" s="4"/>
      <c r="UEQ132" s="4"/>
      <c r="UER132" s="4"/>
      <c r="UES132" s="4"/>
      <c r="UET132" s="4"/>
      <c r="UEU132" s="4"/>
      <c r="UEV132" s="4"/>
      <c r="UEW132" s="4"/>
      <c r="UEX132" s="4"/>
      <c r="UEY132" s="4"/>
      <c r="UEZ132" s="4"/>
      <c r="UFA132" s="4"/>
      <c r="UFB132" s="4"/>
      <c r="UFC132" s="4"/>
      <c r="UFD132" s="4"/>
      <c r="UFE132" s="4"/>
      <c r="UFF132" s="4"/>
      <c r="UFG132" s="4"/>
      <c r="UFH132" s="4"/>
      <c r="UFI132" s="4"/>
      <c r="UFJ132" s="4"/>
      <c r="UFK132" s="4"/>
      <c r="UFL132" s="4"/>
      <c r="UFM132" s="4"/>
      <c r="UFN132" s="4"/>
      <c r="UFO132" s="4"/>
      <c r="UFP132" s="4"/>
      <c r="UFQ132" s="4"/>
      <c r="UFR132" s="4"/>
      <c r="UFS132" s="4"/>
      <c r="UFT132" s="4"/>
      <c r="UFU132" s="4"/>
      <c r="UFV132" s="4"/>
      <c r="UFW132" s="4"/>
      <c r="UFX132" s="4"/>
      <c r="UFY132" s="4"/>
      <c r="UFZ132" s="4"/>
      <c r="UGA132" s="4"/>
      <c r="UGB132" s="4"/>
      <c r="UGC132" s="4"/>
      <c r="UGD132" s="4"/>
      <c r="UGE132" s="4"/>
      <c r="UGF132" s="4"/>
      <c r="UGG132" s="4"/>
      <c r="UGH132" s="4"/>
      <c r="UGI132" s="4"/>
      <c r="UGJ132" s="4"/>
      <c r="UGK132" s="4"/>
      <c r="UGL132" s="4"/>
      <c r="UGM132" s="4"/>
      <c r="UGN132" s="4"/>
      <c r="UGO132" s="4"/>
      <c r="UGP132" s="4"/>
      <c r="UGQ132" s="4"/>
      <c r="UGR132" s="4"/>
      <c r="UGS132" s="4"/>
      <c r="UGT132" s="4"/>
      <c r="UGU132" s="4"/>
      <c r="UGV132" s="4"/>
      <c r="UGW132" s="4"/>
      <c r="UGX132" s="4"/>
      <c r="UGY132" s="4"/>
      <c r="UGZ132" s="4"/>
      <c r="UHA132" s="4"/>
      <c r="UHB132" s="4"/>
      <c r="UHC132" s="4"/>
      <c r="UHD132" s="4"/>
      <c r="UHE132" s="4"/>
      <c r="UHF132" s="4"/>
      <c r="UHG132" s="4"/>
      <c r="UHH132" s="4"/>
      <c r="UHI132" s="4"/>
      <c r="UHJ132" s="4"/>
      <c r="UHK132" s="4"/>
      <c r="UHL132" s="4"/>
      <c r="UHM132" s="4"/>
      <c r="UHN132" s="4"/>
      <c r="UHO132" s="4"/>
      <c r="UHP132" s="4"/>
      <c r="UHQ132" s="4"/>
      <c r="UHR132" s="4"/>
      <c r="UHS132" s="4"/>
      <c r="UHT132" s="4"/>
      <c r="UHU132" s="4"/>
      <c r="UHV132" s="4"/>
      <c r="UHW132" s="4"/>
      <c r="UHX132" s="4"/>
      <c r="UHY132" s="4"/>
      <c r="UHZ132" s="4"/>
      <c r="UIA132" s="4"/>
      <c r="UIB132" s="4"/>
      <c r="UIC132" s="4"/>
      <c r="UID132" s="4"/>
      <c r="UIE132" s="4"/>
      <c r="UIF132" s="4"/>
      <c r="UIG132" s="4"/>
      <c r="UIH132" s="4"/>
      <c r="UII132" s="4"/>
      <c r="UIJ132" s="4"/>
      <c r="UIK132" s="4"/>
      <c r="UIL132" s="4"/>
      <c r="UIM132" s="4"/>
      <c r="UIN132" s="4"/>
      <c r="UIO132" s="4"/>
      <c r="UIP132" s="4"/>
      <c r="UIQ132" s="4"/>
      <c r="UIR132" s="4"/>
      <c r="UIS132" s="4"/>
      <c r="UIT132" s="4"/>
      <c r="UIU132" s="4"/>
      <c r="UIV132" s="4"/>
      <c r="UIW132" s="4"/>
      <c r="UIX132" s="4"/>
      <c r="UIY132" s="4"/>
      <c r="UIZ132" s="4"/>
      <c r="UJA132" s="4"/>
      <c r="UJB132" s="4"/>
      <c r="UJC132" s="4"/>
      <c r="UJD132" s="4"/>
      <c r="UJE132" s="4"/>
      <c r="UJF132" s="4"/>
      <c r="UJG132" s="4"/>
      <c r="UJH132" s="4"/>
      <c r="UJI132" s="4"/>
      <c r="UJJ132" s="4"/>
      <c r="UJK132" s="4"/>
      <c r="UJL132" s="4"/>
      <c r="UJM132" s="4"/>
      <c r="UJN132" s="4"/>
      <c r="UJO132" s="4"/>
      <c r="UJP132" s="4"/>
      <c r="UJQ132" s="4"/>
      <c r="UJR132" s="4"/>
      <c r="UJS132" s="4"/>
      <c r="UJT132" s="4"/>
      <c r="UJU132" s="4"/>
      <c r="UJV132" s="4"/>
      <c r="UJW132" s="4"/>
      <c r="UJX132" s="4"/>
      <c r="UJY132" s="4"/>
      <c r="UJZ132" s="4"/>
      <c r="UKA132" s="4"/>
      <c r="UKB132" s="4"/>
      <c r="UKC132" s="4"/>
      <c r="UKD132" s="4"/>
      <c r="UKE132" s="4"/>
      <c r="UKF132" s="4"/>
      <c r="UKG132" s="4"/>
      <c r="UKH132" s="4"/>
      <c r="UKI132" s="4"/>
      <c r="UKJ132" s="4"/>
      <c r="UKK132" s="4"/>
      <c r="UKL132" s="4"/>
      <c r="UKM132" s="4"/>
      <c r="UKN132" s="4"/>
      <c r="UKO132" s="4"/>
      <c r="UKP132" s="4"/>
      <c r="UKQ132" s="4"/>
      <c r="UKR132" s="4"/>
      <c r="UKS132" s="4"/>
      <c r="UKT132" s="4"/>
      <c r="UKU132" s="4"/>
      <c r="UKV132" s="4"/>
      <c r="UKW132" s="4"/>
      <c r="UKX132" s="4"/>
      <c r="UKY132" s="4"/>
      <c r="UKZ132" s="4"/>
      <c r="ULA132" s="4"/>
      <c r="ULB132" s="4"/>
      <c r="ULC132" s="4"/>
      <c r="ULD132" s="4"/>
      <c r="ULE132" s="4"/>
      <c r="ULF132" s="4"/>
      <c r="ULG132" s="4"/>
      <c r="ULH132" s="4"/>
      <c r="ULI132" s="4"/>
      <c r="ULJ132" s="4"/>
      <c r="ULK132" s="4"/>
      <c r="ULL132" s="4"/>
      <c r="ULM132" s="4"/>
      <c r="ULN132" s="4"/>
      <c r="ULO132" s="4"/>
      <c r="ULP132" s="4"/>
      <c r="ULQ132" s="4"/>
      <c r="ULR132" s="4"/>
      <c r="ULS132" s="4"/>
      <c r="ULT132" s="4"/>
      <c r="ULU132" s="4"/>
      <c r="ULV132" s="4"/>
      <c r="ULW132" s="4"/>
      <c r="ULX132" s="4"/>
      <c r="ULY132" s="4"/>
      <c r="ULZ132" s="4"/>
      <c r="UMA132" s="4"/>
      <c r="UMB132" s="4"/>
      <c r="UMC132" s="4"/>
      <c r="UMD132" s="4"/>
      <c r="UME132" s="4"/>
      <c r="UMF132" s="4"/>
      <c r="UMG132" s="4"/>
      <c r="UMH132" s="4"/>
      <c r="UMI132" s="4"/>
      <c r="UMJ132" s="4"/>
      <c r="UMK132" s="4"/>
      <c r="UML132" s="4"/>
      <c r="UMM132" s="4"/>
      <c r="UMN132" s="4"/>
      <c r="UMO132" s="4"/>
      <c r="UMP132" s="4"/>
      <c r="UMQ132" s="4"/>
      <c r="UMR132" s="4"/>
      <c r="UMS132" s="4"/>
      <c r="UMT132" s="4"/>
      <c r="UMU132" s="4"/>
      <c r="UMV132" s="4"/>
      <c r="UMW132" s="4"/>
      <c r="UMX132" s="4"/>
      <c r="UMY132" s="4"/>
      <c r="UMZ132" s="4"/>
      <c r="UNA132" s="4"/>
      <c r="UNB132" s="4"/>
      <c r="UNC132" s="4"/>
      <c r="UND132" s="4"/>
      <c r="UNE132" s="4"/>
      <c r="UNF132" s="4"/>
      <c r="UNG132" s="4"/>
      <c r="UNH132" s="4"/>
      <c r="UNI132" s="4"/>
      <c r="UNJ132" s="4"/>
      <c r="UNK132" s="4"/>
      <c r="UNL132" s="4"/>
      <c r="UNM132" s="4"/>
      <c r="UNN132" s="4"/>
      <c r="UNO132" s="4"/>
      <c r="UNP132" s="4"/>
      <c r="UNQ132" s="4"/>
      <c r="UNR132" s="4"/>
      <c r="UNS132" s="4"/>
      <c r="UNT132" s="4"/>
      <c r="UNU132" s="4"/>
      <c r="UNV132" s="4"/>
      <c r="UNW132" s="4"/>
      <c r="UNX132" s="4"/>
      <c r="UNY132" s="4"/>
      <c r="UNZ132" s="4"/>
      <c r="UOA132" s="4"/>
      <c r="UOB132" s="4"/>
      <c r="UOC132" s="4"/>
      <c r="UOD132" s="4"/>
      <c r="UOE132" s="4"/>
      <c r="UOF132" s="4"/>
      <c r="UOG132" s="4"/>
      <c r="UOH132" s="4"/>
      <c r="UOI132" s="4"/>
      <c r="UOJ132" s="4"/>
      <c r="UOK132" s="4"/>
      <c r="UOL132" s="4"/>
      <c r="UOM132" s="4"/>
      <c r="UON132" s="4"/>
      <c r="UOO132" s="4"/>
      <c r="UOP132" s="4"/>
      <c r="UOQ132" s="4"/>
      <c r="UOR132" s="4"/>
      <c r="UOS132" s="4"/>
      <c r="UOT132" s="4"/>
      <c r="UOU132" s="4"/>
      <c r="UOV132" s="4"/>
      <c r="UOW132" s="4"/>
      <c r="UOX132" s="4"/>
      <c r="UOY132" s="4"/>
      <c r="UOZ132" s="4"/>
      <c r="UPA132" s="4"/>
      <c r="UPB132" s="4"/>
      <c r="UPC132" s="4"/>
      <c r="UPD132" s="4"/>
      <c r="UPE132" s="4"/>
      <c r="UPF132" s="4"/>
      <c r="UPG132" s="4"/>
      <c r="UPH132" s="4"/>
      <c r="UPI132" s="4"/>
      <c r="UPJ132" s="4"/>
      <c r="UPK132" s="4"/>
      <c r="UPL132" s="4"/>
      <c r="UPM132" s="4"/>
      <c r="UPN132" s="4"/>
      <c r="UPO132" s="4"/>
      <c r="UPP132" s="4"/>
      <c r="UPQ132" s="4"/>
      <c r="UPR132" s="4"/>
      <c r="UPS132" s="4"/>
      <c r="UPT132" s="4"/>
      <c r="UPU132" s="4"/>
      <c r="UPV132" s="4"/>
      <c r="UPW132" s="4"/>
      <c r="UPX132" s="4"/>
      <c r="UPY132" s="4"/>
      <c r="UPZ132" s="4"/>
      <c r="UQA132" s="4"/>
      <c r="UQB132" s="4"/>
      <c r="UQC132" s="4"/>
      <c r="UQD132" s="4"/>
      <c r="UQE132" s="4"/>
      <c r="UQF132" s="4"/>
      <c r="UQG132" s="4"/>
      <c r="UQH132" s="4"/>
      <c r="UQI132" s="4"/>
      <c r="UQJ132" s="4"/>
      <c r="UQK132" s="4"/>
      <c r="UQL132" s="4"/>
      <c r="UQM132" s="4"/>
      <c r="UQN132" s="4"/>
      <c r="UQO132" s="4"/>
      <c r="UQP132" s="4"/>
      <c r="UQQ132" s="4"/>
      <c r="UQR132" s="4"/>
      <c r="UQS132" s="4"/>
      <c r="UQT132" s="4"/>
      <c r="UQU132" s="4"/>
      <c r="UQV132" s="4"/>
      <c r="UQW132" s="4"/>
      <c r="UQX132" s="4"/>
      <c r="UQY132" s="4"/>
      <c r="UQZ132" s="4"/>
      <c r="URA132" s="4"/>
      <c r="URB132" s="4"/>
      <c r="URC132" s="4"/>
      <c r="URD132" s="4"/>
      <c r="URE132" s="4"/>
      <c r="URF132" s="4"/>
      <c r="URG132" s="4"/>
      <c r="URH132" s="4"/>
      <c r="URI132" s="4"/>
      <c r="URJ132" s="4"/>
      <c r="URK132" s="4"/>
      <c r="URL132" s="4"/>
      <c r="URM132" s="4"/>
      <c r="URN132" s="4"/>
      <c r="URO132" s="4"/>
      <c r="URP132" s="4"/>
      <c r="URQ132" s="4"/>
      <c r="URR132" s="4"/>
      <c r="URS132" s="4"/>
      <c r="URT132" s="4"/>
      <c r="URU132" s="4"/>
      <c r="URV132" s="4"/>
      <c r="URW132" s="4"/>
      <c r="URX132" s="4"/>
      <c r="URY132" s="4"/>
      <c r="URZ132" s="4"/>
      <c r="USA132" s="4"/>
      <c r="USB132" s="4"/>
      <c r="USC132" s="4"/>
      <c r="USD132" s="4"/>
      <c r="USE132" s="4"/>
      <c r="USF132" s="4"/>
      <c r="USG132" s="4"/>
      <c r="USH132" s="4"/>
      <c r="USI132" s="4"/>
      <c r="USJ132" s="4"/>
      <c r="USK132" s="4"/>
      <c r="USL132" s="4"/>
      <c r="USM132" s="4"/>
      <c r="USN132" s="4"/>
      <c r="USO132" s="4"/>
      <c r="USP132" s="4"/>
      <c r="USQ132" s="4"/>
      <c r="USR132" s="4"/>
      <c r="USS132" s="4"/>
      <c r="UST132" s="4"/>
      <c r="USU132" s="4"/>
      <c r="USV132" s="4"/>
      <c r="USW132" s="4"/>
      <c r="USX132" s="4"/>
      <c r="USY132" s="4"/>
      <c r="USZ132" s="4"/>
      <c r="UTA132" s="4"/>
      <c r="UTB132" s="4"/>
      <c r="UTC132" s="4"/>
      <c r="UTD132" s="4"/>
      <c r="UTE132" s="4"/>
      <c r="UTF132" s="4"/>
      <c r="UTG132" s="4"/>
      <c r="UTH132" s="4"/>
      <c r="UTI132" s="4"/>
      <c r="UTJ132" s="4"/>
      <c r="UTK132" s="4"/>
      <c r="UTL132" s="4"/>
      <c r="UTM132" s="4"/>
      <c r="UTN132" s="4"/>
      <c r="UTO132" s="4"/>
      <c r="UTP132" s="4"/>
      <c r="UTQ132" s="4"/>
      <c r="UTR132" s="4"/>
      <c r="UTS132" s="4"/>
      <c r="UTT132" s="4"/>
      <c r="UTU132" s="4"/>
      <c r="UTV132" s="4"/>
      <c r="UTW132" s="4"/>
      <c r="UTX132" s="4"/>
      <c r="UTY132" s="4"/>
      <c r="UTZ132" s="4"/>
      <c r="UUA132" s="4"/>
      <c r="UUB132" s="4"/>
      <c r="UUC132" s="4"/>
      <c r="UUD132" s="4"/>
      <c r="UUE132" s="4"/>
      <c r="UUF132" s="4"/>
      <c r="UUG132" s="4"/>
      <c r="UUH132" s="4"/>
      <c r="UUI132" s="4"/>
      <c r="UUJ132" s="4"/>
      <c r="UUK132" s="4"/>
      <c r="UUL132" s="4"/>
      <c r="UUM132" s="4"/>
      <c r="UUN132" s="4"/>
      <c r="UUO132" s="4"/>
      <c r="UUP132" s="4"/>
      <c r="UUQ132" s="4"/>
      <c r="UUR132" s="4"/>
      <c r="UUS132" s="4"/>
      <c r="UUT132" s="4"/>
      <c r="UUU132" s="4"/>
      <c r="UUV132" s="4"/>
      <c r="UUW132" s="4"/>
      <c r="UUX132" s="4"/>
      <c r="UUY132" s="4"/>
      <c r="UUZ132" s="4"/>
      <c r="UVA132" s="4"/>
      <c r="UVB132" s="4"/>
      <c r="UVC132" s="4"/>
      <c r="UVD132" s="4"/>
      <c r="UVE132" s="4"/>
      <c r="UVF132" s="4"/>
      <c r="UVG132" s="4"/>
      <c r="UVH132" s="4"/>
      <c r="UVI132" s="4"/>
      <c r="UVJ132" s="4"/>
      <c r="UVK132" s="4"/>
      <c r="UVL132" s="4"/>
      <c r="UVM132" s="4"/>
      <c r="UVN132" s="4"/>
      <c r="UVO132" s="4"/>
      <c r="UVP132" s="4"/>
      <c r="UVQ132" s="4"/>
      <c r="UVR132" s="4"/>
      <c r="UVS132" s="4"/>
      <c r="UVT132" s="4"/>
      <c r="UVU132" s="4"/>
      <c r="UVV132" s="4"/>
      <c r="UVW132" s="4"/>
      <c r="UVX132" s="4"/>
      <c r="UVY132" s="4"/>
      <c r="UVZ132" s="4"/>
      <c r="UWA132" s="4"/>
      <c r="UWB132" s="4"/>
      <c r="UWC132" s="4"/>
      <c r="UWD132" s="4"/>
      <c r="UWE132" s="4"/>
      <c r="UWF132" s="4"/>
      <c r="UWG132" s="4"/>
      <c r="UWH132" s="4"/>
      <c r="UWI132" s="4"/>
      <c r="UWJ132" s="4"/>
      <c r="UWK132" s="4"/>
      <c r="UWL132" s="4"/>
      <c r="UWM132" s="4"/>
      <c r="UWN132" s="4"/>
      <c r="UWO132" s="4"/>
      <c r="UWP132" s="4"/>
      <c r="UWQ132" s="4"/>
      <c r="UWR132" s="4"/>
      <c r="UWS132" s="4"/>
      <c r="UWT132" s="4"/>
      <c r="UWU132" s="4"/>
      <c r="UWV132" s="4"/>
      <c r="UWW132" s="4"/>
      <c r="UWX132" s="4"/>
      <c r="UWY132" s="4"/>
      <c r="UWZ132" s="4"/>
      <c r="UXA132" s="4"/>
      <c r="UXB132" s="4"/>
      <c r="UXC132" s="4"/>
      <c r="UXD132" s="4"/>
      <c r="UXE132" s="4"/>
      <c r="UXF132" s="4"/>
      <c r="UXG132" s="4"/>
      <c r="UXH132" s="4"/>
      <c r="UXI132" s="4"/>
      <c r="UXJ132" s="4"/>
      <c r="UXK132" s="4"/>
      <c r="UXL132" s="4"/>
      <c r="UXM132" s="4"/>
      <c r="UXN132" s="4"/>
      <c r="UXO132" s="4"/>
      <c r="UXP132" s="4"/>
      <c r="UXQ132" s="4"/>
      <c r="UXR132" s="4"/>
      <c r="UXS132" s="4"/>
      <c r="UXT132" s="4"/>
      <c r="UXU132" s="4"/>
      <c r="UXV132" s="4"/>
      <c r="UXW132" s="4"/>
      <c r="UXX132" s="4"/>
      <c r="UXY132" s="4"/>
      <c r="UXZ132" s="4"/>
      <c r="UYA132" s="4"/>
      <c r="UYB132" s="4"/>
      <c r="UYC132" s="4"/>
      <c r="UYD132" s="4"/>
      <c r="UYE132" s="4"/>
      <c r="UYF132" s="4"/>
      <c r="UYG132" s="4"/>
      <c r="UYH132" s="4"/>
      <c r="UYI132" s="4"/>
      <c r="UYJ132" s="4"/>
      <c r="UYK132" s="4"/>
      <c r="UYL132" s="4"/>
      <c r="UYM132" s="4"/>
      <c r="UYN132" s="4"/>
      <c r="UYO132" s="4"/>
      <c r="UYP132" s="4"/>
      <c r="UYQ132" s="4"/>
      <c r="UYR132" s="4"/>
      <c r="UYS132" s="4"/>
      <c r="UYT132" s="4"/>
      <c r="UYU132" s="4"/>
      <c r="UYV132" s="4"/>
      <c r="UYW132" s="4"/>
      <c r="UYX132" s="4"/>
      <c r="UYY132" s="4"/>
      <c r="UYZ132" s="4"/>
      <c r="UZA132" s="4"/>
      <c r="UZB132" s="4"/>
      <c r="UZC132" s="4"/>
      <c r="UZD132" s="4"/>
      <c r="UZE132" s="4"/>
      <c r="UZF132" s="4"/>
      <c r="UZG132" s="4"/>
      <c r="UZH132" s="4"/>
      <c r="UZI132" s="4"/>
      <c r="UZJ132" s="4"/>
      <c r="UZK132" s="4"/>
      <c r="UZL132" s="4"/>
      <c r="UZM132" s="4"/>
      <c r="UZN132" s="4"/>
      <c r="UZO132" s="4"/>
      <c r="UZP132" s="4"/>
      <c r="UZQ132" s="4"/>
      <c r="UZR132" s="4"/>
      <c r="UZS132" s="4"/>
      <c r="UZT132" s="4"/>
      <c r="UZU132" s="4"/>
      <c r="UZV132" s="4"/>
      <c r="UZW132" s="4"/>
      <c r="UZX132" s="4"/>
      <c r="UZY132" s="4"/>
      <c r="UZZ132" s="4"/>
      <c r="VAA132" s="4"/>
      <c r="VAB132" s="4"/>
      <c r="VAC132" s="4"/>
      <c r="VAD132" s="4"/>
      <c r="VAE132" s="4"/>
      <c r="VAF132" s="4"/>
      <c r="VAG132" s="4"/>
      <c r="VAH132" s="4"/>
      <c r="VAI132" s="4"/>
      <c r="VAJ132" s="4"/>
      <c r="VAK132" s="4"/>
      <c r="VAL132" s="4"/>
      <c r="VAM132" s="4"/>
      <c r="VAN132" s="4"/>
      <c r="VAO132" s="4"/>
      <c r="VAP132" s="4"/>
      <c r="VAQ132" s="4"/>
      <c r="VAR132" s="4"/>
      <c r="VAS132" s="4"/>
      <c r="VAT132" s="4"/>
      <c r="VAU132" s="4"/>
      <c r="VAV132" s="4"/>
      <c r="VAW132" s="4"/>
      <c r="VAX132" s="4"/>
      <c r="VAY132" s="4"/>
      <c r="VAZ132" s="4"/>
      <c r="VBA132" s="4"/>
      <c r="VBB132" s="4"/>
      <c r="VBC132" s="4"/>
      <c r="VBD132" s="4"/>
      <c r="VBE132" s="4"/>
      <c r="VBF132" s="4"/>
      <c r="VBG132" s="4"/>
      <c r="VBH132" s="4"/>
      <c r="VBI132" s="4"/>
      <c r="VBJ132" s="4"/>
      <c r="VBK132" s="4"/>
      <c r="VBL132" s="4"/>
      <c r="VBM132" s="4"/>
      <c r="VBN132" s="4"/>
      <c r="VBO132" s="4"/>
      <c r="VBP132" s="4"/>
      <c r="VBQ132" s="4"/>
      <c r="VBR132" s="4"/>
      <c r="VBS132" s="4"/>
      <c r="VBT132" s="4"/>
      <c r="VBU132" s="4"/>
      <c r="VBV132" s="4"/>
      <c r="VBW132" s="4"/>
      <c r="VBX132" s="4"/>
      <c r="VBY132" s="4"/>
      <c r="VBZ132" s="4"/>
      <c r="VCA132" s="4"/>
      <c r="VCB132" s="4"/>
      <c r="VCC132" s="4"/>
      <c r="VCD132" s="4"/>
      <c r="VCE132" s="4"/>
      <c r="VCF132" s="4"/>
      <c r="VCG132" s="4"/>
      <c r="VCH132" s="4"/>
      <c r="VCI132" s="4"/>
      <c r="VCJ132" s="4"/>
      <c r="VCK132" s="4"/>
      <c r="VCL132" s="4"/>
      <c r="VCM132" s="4"/>
      <c r="VCN132" s="4"/>
      <c r="VCO132" s="4"/>
      <c r="VCP132" s="4"/>
      <c r="VCQ132" s="4"/>
      <c r="VCR132" s="4"/>
      <c r="VCS132" s="4"/>
      <c r="VCT132" s="4"/>
      <c r="VCU132" s="4"/>
      <c r="VCV132" s="4"/>
      <c r="VCW132" s="4"/>
      <c r="VCX132" s="4"/>
      <c r="VCY132" s="4"/>
      <c r="VCZ132" s="4"/>
      <c r="VDA132" s="4"/>
      <c r="VDB132" s="4"/>
      <c r="VDC132" s="4"/>
      <c r="VDD132" s="4"/>
      <c r="VDE132" s="4"/>
      <c r="VDF132" s="4"/>
      <c r="VDG132" s="4"/>
      <c r="VDH132" s="4"/>
      <c r="VDI132" s="4"/>
      <c r="VDJ132" s="4"/>
      <c r="VDK132" s="4"/>
      <c r="VDL132" s="4"/>
      <c r="VDM132" s="4"/>
      <c r="VDN132" s="4"/>
      <c r="VDO132" s="4"/>
      <c r="VDP132" s="4"/>
      <c r="VDQ132" s="4"/>
      <c r="VDR132" s="4"/>
      <c r="VDS132" s="4"/>
      <c r="VDT132" s="4"/>
      <c r="VDU132" s="4"/>
      <c r="VDV132" s="4"/>
      <c r="VDW132" s="4"/>
      <c r="VDX132" s="4"/>
      <c r="VDY132" s="4"/>
      <c r="VDZ132" s="4"/>
      <c r="VEA132" s="4"/>
      <c r="VEB132" s="4"/>
      <c r="VEC132" s="4"/>
      <c r="VED132" s="4"/>
      <c r="VEE132" s="4"/>
      <c r="VEF132" s="4"/>
      <c r="VEG132" s="4"/>
      <c r="VEH132" s="4"/>
      <c r="VEI132" s="4"/>
      <c r="VEJ132" s="4"/>
      <c r="VEK132" s="4"/>
      <c r="VEL132" s="4"/>
      <c r="VEM132" s="4"/>
      <c r="VEN132" s="4"/>
      <c r="VEO132" s="4"/>
      <c r="VEP132" s="4"/>
      <c r="VEQ132" s="4"/>
      <c r="VER132" s="4"/>
      <c r="VES132" s="4"/>
      <c r="VET132" s="4"/>
      <c r="VEU132" s="4"/>
      <c r="VEV132" s="4"/>
      <c r="VEW132" s="4"/>
      <c r="VEX132" s="4"/>
      <c r="VEY132" s="4"/>
      <c r="VEZ132" s="4"/>
      <c r="VFA132" s="4"/>
      <c r="VFB132" s="4"/>
      <c r="VFC132" s="4"/>
      <c r="VFD132" s="4"/>
      <c r="VFE132" s="4"/>
      <c r="VFF132" s="4"/>
      <c r="VFG132" s="4"/>
      <c r="VFH132" s="4"/>
      <c r="VFI132" s="4"/>
      <c r="VFJ132" s="4"/>
      <c r="VFK132" s="4"/>
      <c r="VFL132" s="4"/>
      <c r="VFM132" s="4"/>
      <c r="VFN132" s="4"/>
      <c r="VFO132" s="4"/>
      <c r="VFP132" s="4"/>
      <c r="VFQ132" s="4"/>
      <c r="VFR132" s="4"/>
      <c r="VFS132" s="4"/>
      <c r="VFT132" s="4"/>
      <c r="VFU132" s="4"/>
      <c r="VFV132" s="4"/>
      <c r="VFW132" s="4"/>
      <c r="VFX132" s="4"/>
      <c r="VFY132" s="4"/>
      <c r="VFZ132" s="4"/>
      <c r="VGA132" s="4"/>
      <c r="VGB132" s="4"/>
      <c r="VGC132" s="4"/>
      <c r="VGD132" s="4"/>
      <c r="VGE132" s="4"/>
      <c r="VGF132" s="4"/>
      <c r="VGG132" s="4"/>
      <c r="VGH132" s="4"/>
      <c r="VGI132" s="4"/>
      <c r="VGJ132" s="4"/>
      <c r="VGK132" s="4"/>
      <c r="VGL132" s="4"/>
      <c r="VGM132" s="4"/>
      <c r="VGN132" s="4"/>
      <c r="VGO132" s="4"/>
      <c r="VGP132" s="4"/>
      <c r="VGQ132" s="4"/>
      <c r="VGR132" s="4"/>
      <c r="VGS132" s="4"/>
      <c r="VGT132" s="4"/>
      <c r="VGU132" s="4"/>
      <c r="VGV132" s="4"/>
      <c r="VGW132" s="4"/>
      <c r="VGX132" s="4"/>
      <c r="VGY132" s="4"/>
      <c r="VGZ132" s="4"/>
      <c r="VHA132" s="4"/>
      <c r="VHB132" s="4"/>
      <c r="VHC132" s="4"/>
      <c r="VHD132" s="4"/>
      <c r="VHE132" s="4"/>
      <c r="VHF132" s="4"/>
      <c r="VHG132" s="4"/>
      <c r="VHH132" s="4"/>
      <c r="VHI132" s="4"/>
      <c r="VHJ132" s="4"/>
      <c r="VHK132" s="4"/>
      <c r="VHL132" s="4"/>
      <c r="VHM132" s="4"/>
      <c r="VHN132" s="4"/>
      <c r="VHO132" s="4"/>
      <c r="VHP132" s="4"/>
      <c r="VHQ132" s="4"/>
      <c r="VHR132" s="4"/>
      <c r="VHS132" s="4"/>
      <c r="VHT132" s="4"/>
      <c r="VHU132" s="4"/>
      <c r="VHV132" s="4"/>
      <c r="VHW132" s="4"/>
      <c r="VHX132" s="4"/>
      <c r="VHY132" s="4"/>
      <c r="VHZ132" s="4"/>
      <c r="VIA132" s="4"/>
      <c r="VIB132" s="4"/>
      <c r="VIC132" s="4"/>
      <c r="VID132" s="4"/>
      <c r="VIE132" s="4"/>
      <c r="VIF132" s="4"/>
      <c r="VIG132" s="4"/>
      <c r="VIH132" s="4"/>
      <c r="VII132" s="4"/>
      <c r="VIJ132" s="4"/>
      <c r="VIK132" s="4"/>
      <c r="VIL132" s="4"/>
      <c r="VIM132" s="4"/>
      <c r="VIN132" s="4"/>
      <c r="VIO132" s="4"/>
      <c r="VIP132" s="4"/>
      <c r="VIQ132" s="4"/>
      <c r="VIR132" s="4"/>
      <c r="VIS132" s="4"/>
      <c r="VIT132" s="4"/>
      <c r="VIU132" s="4"/>
      <c r="VIV132" s="4"/>
      <c r="VIW132" s="4"/>
      <c r="VIX132" s="4"/>
      <c r="VIY132" s="4"/>
      <c r="VIZ132" s="4"/>
      <c r="VJA132" s="4"/>
      <c r="VJB132" s="4"/>
      <c r="VJC132" s="4"/>
      <c r="VJD132" s="4"/>
      <c r="VJE132" s="4"/>
      <c r="VJF132" s="4"/>
      <c r="VJG132" s="4"/>
      <c r="VJH132" s="4"/>
      <c r="VJI132" s="4"/>
      <c r="VJJ132" s="4"/>
      <c r="VJK132" s="4"/>
      <c r="VJL132" s="4"/>
      <c r="VJM132" s="4"/>
      <c r="VJN132" s="4"/>
      <c r="VJO132" s="4"/>
      <c r="VJP132" s="4"/>
      <c r="VJQ132" s="4"/>
      <c r="VJR132" s="4"/>
      <c r="VJS132" s="4"/>
      <c r="VJT132" s="4"/>
      <c r="VJU132" s="4"/>
      <c r="VJV132" s="4"/>
      <c r="VJW132" s="4"/>
      <c r="VJX132" s="4"/>
      <c r="VJY132" s="4"/>
      <c r="VJZ132" s="4"/>
      <c r="VKA132" s="4"/>
      <c r="VKB132" s="4"/>
      <c r="VKC132" s="4"/>
      <c r="VKD132" s="4"/>
      <c r="VKE132" s="4"/>
      <c r="VKF132" s="4"/>
      <c r="VKG132" s="4"/>
      <c r="VKH132" s="4"/>
      <c r="VKI132" s="4"/>
      <c r="VKJ132" s="4"/>
      <c r="VKK132" s="4"/>
      <c r="VKL132" s="4"/>
      <c r="VKM132" s="4"/>
      <c r="VKN132" s="4"/>
      <c r="VKO132" s="4"/>
      <c r="VKP132" s="4"/>
      <c r="VKQ132" s="4"/>
      <c r="VKR132" s="4"/>
      <c r="VKS132" s="4"/>
      <c r="VKT132" s="4"/>
      <c r="VKU132" s="4"/>
      <c r="VKV132" s="4"/>
      <c r="VKW132" s="4"/>
      <c r="VKX132" s="4"/>
      <c r="VKY132" s="4"/>
      <c r="VKZ132" s="4"/>
      <c r="VLA132" s="4"/>
      <c r="VLB132" s="4"/>
      <c r="VLC132" s="4"/>
      <c r="VLD132" s="4"/>
      <c r="VLE132" s="4"/>
      <c r="VLF132" s="4"/>
      <c r="VLG132" s="4"/>
      <c r="VLH132" s="4"/>
      <c r="VLI132" s="4"/>
      <c r="VLJ132" s="4"/>
      <c r="VLK132" s="4"/>
      <c r="VLL132" s="4"/>
      <c r="VLM132" s="4"/>
      <c r="VLN132" s="4"/>
      <c r="VLO132" s="4"/>
      <c r="VLP132" s="4"/>
      <c r="VLQ132" s="4"/>
      <c r="VLR132" s="4"/>
      <c r="VLS132" s="4"/>
      <c r="VLT132" s="4"/>
      <c r="VLU132" s="4"/>
      <c r="VLV132" s="4"/>
      <c r="VLW132" s="4"/>
      <c r="VLX132" s="4"/>
      <c r="VLY132" s="4"/>
      <c r="VLZ132" s="4"/>
      <c r="VMA132" s="4"/>
      <c r="VMB132" s="4"/>
      <c r="VMC132" s="4"/>
      <c r="VMD132" s="4"/>
      <c r="VME132" s="4"/>
      <c r="VMF132" s="4"/>
      <c r="VMG132" s="4"/>
      <c r="VMH132" s="4"/>
      <c r="VMI132" s="4"/>
      <c r="VMJ132" s="4"/>
      <c r="VMK132" s="4"/>
      <c r="VML132" s="4"/>
      <c r="VMM132" s="4"/>
      <c r="VMN132" s="4"/>
      <c r="VMO132" s="4"/>
      <c r="VMP132" s="4"/>
      <c r="VMQ132" s="4"/>
      <c r="VMR132" s="4"/>
      <c r="VMS132" s="4"/>
      <c r="VMT132" s="4"/>
      <c r="VMU132" s="4"/>
      <c r="VMV132" s="4"/>
      <c r="VMW132" s="4"/>
      <c r="VMX132" s="4"/>
      <c r="VMY132" s="4"/>
      <c r="VMZ132" s="4"/>
      <c r="VNA132" s="4"/>
      <c r="VNB132" s="4"/>
      <c r="VNC132" s="4"/>
      <c r="VND132" s="4"/>
      <c r="VNE132" s="4"/>
      <c r="VNF132" s="4"/>
      <c r="VNG132" s="4"/>
      <c r="VNH132" s="4"/>
      <c r="VNI132" s="4"/>
      <c r="VNJ132" s="4"/>
      <c r="VNK132" s="4"/>
      <c r="VNL132" s="4"/>
      <c r="VNM132" s="4"/>
      <c r="VNN132" s="4"/>
      <c r="VNO132" s="4"/>
      <c r="VNP132" s="4"/>
      <c r="VNQ132" s="4"/>
      <c r="VNR132" s="4"/>
      <c r="VNS132" s="4"/>
      <c r="VNT132" s="4"/>
      <c r="VNU132" s="4"/>
      <c r="VNV132" s="4"/>
      <c r="VNW132" s="4"/>
      <c r="VNX132" s="4"/>
      <c r="VNY132" s="4"/>
      <c r="VNZ132" s="4"/>
      <c r="VOA132" s="4"/>
      <c r="VOB132" s="4"/>
      <c r="VOC132" s="4"/>
      <c r="VOD132" s="4"/>
      <c r="VOE132" s="4"/>
      <c r="VOF132" s="4"/>
      <c r="VOG132" s="4"/>
      <c r="VOH132" s="4"/>
      <c r="VOI132" s="4"/>
      <c r="VOJ132" s="4"/>
      <c r="VOK132" s="4"/>
      <c r="VOL132" s="4"/>
      <c r="VOM132" s="4"/>
      <c r="VON132" s="4"/>
      <c r="VOO132" s="4"/>
      <c r="VOP132" s="4"/>
      <c r="VOQ132" s="4"/>
      <c r="VOR132" s="4"/>
      <c r="VOS132" s="4"/>
      <c r="VOT132" s="4"/>
      <c r="VOU132" s="4"/>
      <c r="VOV132" s="4"/>
      <c r="VOW132" s="4"/>
      <c r="VOX132" s="4"/>
      <c r="VOY132" s="4"/>
      <c r="VOZ132" s="4"/>
      <c r="VPA132" s="4"/>
      <c r="VPB132" s="4"/>
      <c r="VPC132" s="4"/>
      <c r="VPD132" s="4"/>
      <c r="VPE132" s="4"/>
      <c r="VPF132" s="4"/>
      <c r="VPG132" s="4"/>
      <c r="VPH132" s="4"/>
      <c r="VPI132" s="4"/>
      <c r="VPJ132" s="4"/>
      <c r="VPK132" s="4"/>
      <c r="VPL132" s="4"/>
      <c r="VPM132" s="4"/>
      <c r="VPN132" s="4"/>
      <c r="VPO132" s="4"/>
      <c r="VPP132" s="4"/>
      <c r="VPQ132" s="4"/>
      <c r="VPR132" s="4"/>
      <c r="VPS132" s="4"/>
      <c r="VPT132" s="4"/>
      <c r="VPU132" s="4"/>
      <c r="VPV132" s="4"/>
      <c r="VPW132" s="4"/>
      <c r="VPX132" s="4"/>
      <c r="VPY132" s="4"/>
      <c r="VPZ132" s="4"/>
      <c r="VQA132" s="4"/>
      <c r="VQB132" s="4"/>
      <c r="VQC132" s="4"/>
      <c r="VQD132" s="4"/>
      <c r="VQE132" s="4"/>
      <c r="VQF132" s="4"/>
      <c r="VQG132" s="4"/>
      <c r="VQH132" s="4"/>
      <c r="VQI132" s="4"/>
      <c r="VQJ132" s="4"/>
      <c r="VQK132" s="4"/>
      <c r="VQL132" s="4"/>
      <c r="VQM132" s="4"/>
      <c r="VQN132" s="4"/>
      <c r="VQO132" s="4"/>
      <c r="VQP132" s="4"/>
      <c r="VQQ132" s="4"/>
      <c r="VQR132" s="4"/>
      <c r="VQS132" s="4"/>
      <c r="VQT132" s="4"/>
      <c r="VQU132" s="4"/>
      <c r="VQV132" s="4"/>
      <c r="VQW132" s="4"/>
      <c r="VQX132" s="4"/>
      <c r="VQY132" s="4"/>
      <c r="VQZ132" s="4"/>
      <c r="VRA132" s="4"/>
      <c r="VRB132" s="4"/>
      <c r="VRC132" s="4"/>
      <c r="VRD132" s="4"/>
      <c r="VRE132" s="4"/>
      <c r="VRF132" s="4"/>
      <c r="VRG132" s="4"/>
      <c r="VRH132" s="4"/>
      <c r="VRI132" s="4"/>
      <c r="VRJ132" s="4"/>
      <c r="VRK132" s="4"/>
      <c r="VRL132" s="4"/>
      <c r="VRM132" s="4"/>
      <c r="VRN132" s="4"/>
      <c r="VRO132" s="4"/>
      <c r="VRP132" s="4"/>
      <c r="VRQ132" s="4"/>
      <c r="VRR132" s="4"/>
      <c r="VRS132" s="4"/>
      <c r="VRT132" s="4"/>
      <c r="VRU132" s="4"/>
      <c r="VRV132" s="4"/>
      <c r="VRW132" s="4"/>
      <c r="VRX132" s="4"/>
      <c r="VRY132" s="4"/>
      <c r="VRZ132" s="4"/>
      <c r="VSA132" s="4"/>
      <c r="VSB132" s="4"/>
      <c r="VSC132" s="4"/>
      <c r="VSD132" s="4"/>
      <c r="VSE132" s="4"/>
      <c r="VSF132" s="4"/>
      <c r="VSG132" s="4"/>
      <c r="VSH132" s="4"/>
      <c r="VSI132" s="4"/>
      <c r="VSJ132" s="4"/>
      <c r="VSK132" s="4"/>
      <c r="VSL132" s="4"/>
      <c r="VSM132" s="4"/>
      <c r="VSN132" s="4"/>
      <c r="VSO132" s="4"/>
      <c r="VSP132" s="4"/>
      <c r="VSQ132" s="4"/>
      <c r="VSR132" s="4"/>
      <c r="VSS132" s="4"/>
      <c r="VST132" s="4"/>
      <c r="VSU132" s="4"/>
      <c r="VSV132" s="4"/>
      <c r="VSW132" s="4"/>
      <c r="VSX132" s="4"/>
      <c r="VSY132" s="4"/>
      <c r="VSZ132" s="4"/>
      <c r="VTA132" s="4"/>
      <c r="VTB132" s="4"/>
      <c r="VTC132" s="4"/>
      <c r="VTD132" s="4"/>
      <c r="VTE132" s="4"/>
      <c r="VTF132" s="4"/>
      <c r="VTG132" s="4"/>
      <c r="VTH132" s="4"/>
      <c r="VTI132" s="4"/>
      <c r="VTJ132" s="4"/>
      <c r="VTK132" s="4"/>
      <c r="VTL132" s="4"/>
      <c r="VTM132" s="4"/>
      <c r="VTN132" s="4"/>
      <c r="VTO132" s="4"/>
      <c r="VTP132" s="4"/>
      <c r="VTQ132" s="4"/>
      <c r="VTR132" s="4"/>
      <c r="VTS132" s="4"/>
      <c r="VTT132" s="4"/>
      <c r="VTU132" s="4"/>
      <c r="VTV132" s="4"/>
      <c r="VTW132" s="4"/>
      <c r="VTX132" s="4"/>
      <c r="VTY132" s="4"/>
      <c r="VTZ132" s="4"/>
      <c r="VUA132" s="4"/>
      <c r="VUB132" s="4"/>
      <c r="VUC132" s="4"/>
      <c r="VUD132" s="4"/>
      <c r="VUE132" s="4"/>
      <c r="VUF132" s="4"/>
      <c r="VUG132" s="4"/>
      <c r="VUH132" s="4"/>
      <c r="VUI132" s="4"/>
      <c r="VUJ132" s="4"/>
      <c r="VUK132" s="4"/>
      <c r="VUL132" s="4"/>
      <c r="VUM132" s="4"/>
      <c r="VUN132" s="4"/>
      <c r="VUO132" s="4"/>
      <c r="VUP132" s="4"/>
      <c r="VUQ132" s="4"/>
      <c r="VUR132" s="4"/>
      <c r="VUS132" s="4"/>
      <c r="VUT132" s="4"/>
      <c r="VUU132" s="4"/>
      <c r="VUV132" s="4"/>
      <c r="VUW132" s="4"/>
      <c r="VUX132" s="4"/>
      <c r="VUY132" s="4"/>
      <c r="VUZ132" s="4"/>
      <c r="VVA132" s="4"/>
      <c r="VVB132" s="4"/>
      <c r="VVC132" s="4"/>
      <c r="VVD132" s="4"/>
      <c r="VVE132" s="4"/>
      <c r="VVF132" s="4"/>
      <c r="VVG132" s="4"/>
      <c r="VVH132" s="4"/>
      <c r="VVI132" s="4"/>
      <c r="VVJ132" s="4"/>
      <c r="VVK132" s="4"/>
      <c r="VVL132" s="4"/>
      <c r="VVM132" s="4"/>
      <c r="VVN132" s="4"/>
      <c r="VVO132" s="4"/>
      <c r="VVP132" s="4"/>
      <c r="VVQ132" s="4"/>
      <c r="VVR132" s="4"/>
      <c r="VVS132" s="4"/>
      <c r="VVT132" s="4"/>
      <c r="VVU132" s="4"/>
      <c r="VVV132" s="4"/>
      <c r="VVW132" s="4"/>
      <c r="VVX132" s="4"/>
      <c r="VVY132" s="4"/>
      <c r="VVZ132" s="4"/>
      <c r="VWA132" s="4"/>
      <c r="VWB132" s="4"/>
      <c r="VWC132" s="4"/>
      <c r="VWD132" s="4"/>
      <c r="VWE132" s="4"/>
      <c r="VWF132" s="4"/>
      <c r="VWG132" s="4"/>
      <c r="VWH132" s="4"/>
      <c r="VWI132" s="4"/>
      <c r="VWJ132" s="4"/>
      <c r="VWK132" s="4"/>
      <c r="VWL132" s="4"/>
      <c r="VWM132" s="4"/>
      <c r="VWN132" s="4"/>
      <c r="VWO132" s="4"/>
      <c r="VWP132" s="4"/>
      <c r="VWQ132" s="4"/>
      <c r="VWR132" s="4"/>
      <c r="VWS132" s="4"/>
      <c r="VWT132" s="4"/>
      <c r="VWU132" s="4"/>
      <c r="VWV132" s="4"/>
      <c r="VWW132" s="4"/>
      <c r="VWX132" s="4"/>
      <c r="VWY132" s="4"/>
      <c r="VWZ132" s="4"/>
      <c r="VXA132" s="4"/>
      <c r="VXB132" s="4"/>
      <c r="VXC132" s="4"/>
      <c r="VXD132" s="4"/>
      <c r="VXE132" s="4"/>
      <c r="VXF132" s="4"/>
      <c r="VXG132" s="4"/>
      <c r="VXH132" s="4"/>
      <c r="VXI132" s="4"/>
      <c r="VXJ132" s="4"/>
      <c r="VXK132" s="4"/>
      <c r="VXL132" s="4"/>
      <c r="VXM132" s="4"/>
      <c r="VXN132" s="4"/>
      <c r="VXO132" s="4"/>
      <c r="VXP132" s="4"/>
      <c r="VXQ132" s="4"/>
      <c r="VXR132" s="4"/>
      <c r="VXS132" s="4"/>
      <c r="VXT132" s="4"/>
      <c r="VXU132" s="4"/>
      <c r="VXV132" s="4"/>
      <c r="VXW132" s="4"/>
      <c r="VXX132" s="4"/>
      <c r="VXY132" s="4"/>
      <c r="VXZ132" s="4"/>
      <c r="VYA132" s="4"/>
      <c r="VYB132" s="4"/>
      <c r="VYC132" s="4"/>
      <c r="VYD132" s="4"/>
      <c r="VYE132" s="4"/>
      <c r="VYF132" s="4"/>
      <c r="VYG132" s="4"/>
      <c r="VYH132" s="4"/>
      <c r="VYI132" s="4"/>
      <c r="VYJ132" s="4"/>
      <c r="VYK132" s="4"/>
      <c r="VYL132" s="4"/>
      <c r="VYM132" s="4"/>
      <c r="VYN132" s="4"/>
      <c r="VYO132" s="4"/>
      <c r="VYP132" s="4"/>
      <c r="VYQ132" s="4"/>
      <c r="VYR132" s="4"/>
      <c r="VYS132" s="4"/>
      <c r="VYT132" s="4"/>
      <c r="VYU132" s="4"/>
      <c r="VYV132" s="4"/>
      <c r="VYW132" s="4"/>
      <c r="VYX132" s="4"/>
      <c r="VYY132" s="4"/>
      <c r="VYZ132" s="4"/>
      <c r="VZA132" s="4"/>
      <c r="VZB132" s="4"/>
      <c r="VZC132" s="4"/>
      <c r="VZD132" s="4"/>
      <c r="VZE132" s="4"/>
      <c r="VZF132" s="4"/>
      <c r="VZG132" s="4"/>
      <c r="VZH132" s="4"/>
      <c r="VZI132" s="4"/>
      <c r="VZJ132" s="4"/>
      <c r="VZK132" s="4"/>
      <c r="VZL132" s="4"/>
      <c r="VZM132" s="4"/>
      <c r="VZN132" s="4"/>
      <c r="VZO132" s="4"/>
      <c r="VZP132" s="4"/>
      <c r="VZQ132" s="4"/>
      <c r="VZR132" s="4"/>
      <c r="VZS132" s="4"/>
      <c r="VZT132" s="4"/>
      <c r="VZU132" s="4"/>
      <c r="VZV132" s="4"/>
      <c r="VZW132" s="4"/>
      <c r="VZX132" s="4"/>
      <c r="VZY132" s="4"/>
      <c r="VZZ132" s="4"/>
      <c r="WAA132" s="4"/>
      <c r="WAB132" s="4"/>
      <c r="WAC132" s="4"/>
      <c r="WAD132" s="4"/>
      <c r="WAE132" s="4"/>
      <c r="WAF132" s="4"/>
      <c r="WAG132" s="4"/>
      <c r="WAH132" s="4"/>
      <c r="WAI132" s="4"/>
      <c r="WAJ132" s="4"/>
      <c r="WAK132" s="4"/>
      <c r="WAL132" s="4"/>
      <c r="WAM132" s="4"/>
      <c r="WAN132" s="4"/>
      <c r="WAO132" s="4"/>
      <c r="WAP132" s="4"/>
      <c r="WAQ132" s="4"/>
      <c r="WAR132" s="4"/>
      <c r="WAS132" s="4"/>
      <c r="WAT132" s="4"/>
      <c r="WAU132" s="4"/>
      <c r="WAV132" s="4"/>
      <c r="WAW132" s="4"/>
      <c r="WAX132" s="4"/>
      <c r="WAY132" s="4"/>
      <c r="WAZ132" s="4"/>
      <c r="WBA132" s="4"/>
      <c r="WBB132" s="4"/>
      <c r="WBC132" s="4"/>
      <c r="WBD132" s="4"/>
      <c r="WBE132" s="4"/>
      <c r="WBF132" s="4"/>
      <c r="WBG132" s="4"/>
      <c r="WBH132" s="4"/>
      <c r="WBI132" s="4"/>
      <c r="WBJ132" s="4"/>
      <c r="WBK132" s="4"/>
      <c r="WBL132" s="4"/>
      <c r="WBM132" s="4"/>
      <c r="WBN132" s="4"/>
      <c r="WBO132" s="4"/>
      <c r="WBP132" s="4"/>
      <c r="WBQ132" s="4"/>
      <c r="WBR132" s="4"/>
      <c r="WBS132" s="4"/>
      <c r="WBT132" s="4"/>
      <c r="WBU132" s="4"/>
      <c r="WBV132" s="4"/>
      <c r="WBW132" s="4"/>
      <c r="WBX132" s="4"/>
      <c r="WBY132" s="4"/>
      <c r="WBZ132" s="4"/>
      <c r="WCA132" s="4"/>
      <c r="WCB132" s="4"/>
      <c r="WCC132" s="4"/>
      <c r="WCD132" s="4"/>
      <c r="WCE132" s="4"/>
      <c r="WCF132" s="4"/>
      <c r="WCG132" s="4"/>
      <c r="WCH132" s="4"/>
      <c r="WCI132" s="4"/>
      <c r="WCJ132" s="4"/>
      <c r="WCK132" s="4"/>
      <c r="WCL132" s="4"/>
      <c r="WCM132" s="4"/>
      <c r="WCN132" s="4"/>
      <c r="WCO132" s="4"/>
      <c r="WCP132" s="4"/>
      <c r="WCQ132" s="4"/>
      <c r="WCR132" s="4"/>
      <c r="WCS132" s="4"/>
      <c r="WCT132" s="4"/>
      <c r="WCU132" s="4"/>
      <c r="WCV132" s="4"/>
      <c r="WCW132" s="4"/>
      <c r="WCX132" s="4"/>
      <c r="WCY132" s="4"/>
      <c r="WCZ132" s="4"/>
      <c r="WDA132" s="4"/>
      <c r="WDB132" s="4"/>
      <c r="WDC132" s="4"/>
      <c r="WDD132" s="4"/>
      <c r="WDE132" s="4"/>
      <c r="WDF132" s="4"/>
      <c r="WDG132" s="4"/>
      <c r="WDH132" s="4"/>
      <c r="WDI132" s="4"/>
      <c r="WDJ132" s="4"/>
      <c r="WDK132" s="4"/>
      <c r="WDL132" s="4"/>
      <c r="WDM132" s="4"/>
      <c r="WDN132" s="4"/>
      <c r="WDO132" s="4"/>
      <c r="WDP132" s="4"/>
      <c r="WDQ132" s="4"/>
      <c r="WDR132" s="4"/>
      <c r="WDS132" s="4"/>
      <c r="WDT132" s="4"/>
      <c r="WDU132" s="4"/>
      <c r="WDV132" s="4"/>
      <c r="WDW132" s="4"/>
      <c r="WDX132" s="4"/>
      <c r="WDY132" s="4"/>
      <c r="WDZ132" s="4"/>
      <c r="WEA132" s="4"/>
      <c r="WEB132" s="4"/>
      <c r="WEC132" s="4"/>
      <c r="WED132" s="4"/>
      <c r="WEE132" s="4"/>
      <c r="WEF132" s="4"/>
      <c r="WEG132" s="4"/>
      <c r="WEH132" s="4"/>
      <c r="WEI132" s="4"/>
      <c r="WEJ132" s="4"/>
      <c r="WEK132" s="4"/>
      <c r="WEL132" s="4"/>
      <c r="WEM132" s="4"/>
      <c r="WEN132" s="4"/>
      <c r="WEO132" s="4"/>
      <c r="WEP132" s="4"/>
      <c r="WEQ132" s="4"/>
      <c r="WER132" s="4"/>
      <c r="WES132" s="4"/>
      <c r="WET132" s="4"/>
      <c r="WEU132" s="4"/>
      <c r="WEV132" s="4"/>
      <c r="WEW132" s="4"/>
      <c r="WEX132" s="4"/>
      <c r="WEY132" s="4"/>
      <c r="WEZ132" s="4"/>
      <c r="WFA132" s="4"/>
      <c r="WFB132" s="4"/>
      <c r="WFC132" s="4"/>
      <c r="WFD132" s="4"/>
      <c r="WFE132" s="4"/>
      <c r="WFF132" s="4"/>
      <c r="WFG132" s="4"/>
      <c r="WFH132" s="4"/>
      <c r="WFI132" s="4"/>
      <c r="WFJ132" s="4"/>
      <c r="WFK132" s="4"/>
      <c r="WFL132" s="4"/>
      <c r="WFM132" s="4"/>
      <c r="WFN132" s="4"/>
      <c r="WFO132" s="4"/>
      <c r="WFP132" s="4"/>
      <c r="WFQ132" s="4"/>
      <c r="WFR132" s="4"/>
      <c r="WFS132" s="4"/>
      <c r="WFT132" s="4"/>
      <c r="WFU132" s="4"/>
      <c r="WFV132" s="4"/>
      <c r="WFW132" s="4"/>
      <c r="WFX132" s="4"/>
      <c r="WFY132" s="4"/>
      <c r="WFZ132" s="4"/>
      <c r="WGA132" s="4"/>
      <c r="WGB132" s="4"/>
      <c r="WGC132" s="4"/>
      <c r="WGD132" s="4"/>
      <c r="WGE132" s="4"/>
      <c r="WGF132" s="4"/>
      <c r="WGG132" s="4"/>
      <c r="WGH132" s="4"/>
      <c r="WGI132" s="4"/>
      <c r="WGJ132" s="4"/>
      <c r="WGK132" s="4"/>
      <c r="WGL132" s="4"/>
      <c r="WGM132" s="4"/>
      <c r="WGN132" s="4"/>
      <c r="WGO132" s="4"/>
      <c r="WGP132" s="4"/>
      <c r="WGQ132" s="4"/>
      <c r="WGR132" s="4"/>
      <c r="WGS132" s="4"/>
      <c r="WGT132" s="4"/>
      <c r="WGU132" s="4"/>
      <c r="WGV132" s="4"/>
      <c r="WGW132" s="4"/>
      <c r="WGX132" s="4"/>
      <c r="WGY132" s="4"/>
      <c r="WGZ132" s="4"/>
      <c r="WHA132" s="4"/>
      <c r="WHB132" s="4"/>
      <c r="WHC132" s="4"/>
      <c r="WHD132" s="4"/>
      <c r="WHE132" s="4"/>
      <c r="WHF132" s="4"/>
      <c r="WHG132" s="4"/>
      <c r="WHH132" s="4"/>
      <c r="WHI132" s="4"/>
      <c r="WHJ132" s="4"/>
      <c r="WHK132" s="4"/>
      <c r="WHL132" s="4"/>
      <c r="WHM132" s="4"/>
      <c r="WHN132" s="4"/>
      <c r="WHO132" s="4"/>
      <c r="WHP132" s="4"/>
      <c r="WHQ132" s="4"/>
      <c r="WHR132" s="4"/>
      <c r="WHS132" s="4"/>
      <c r="WHT132" s="4"/>
      <c r="WHU132" s="4"/>
      <c r="WHV132" s="4"/>
      <c r="WHW132" s="4"/>
      <c r="WHX132" s="4"/>
      <c r="WHY132" s="4"/>
      <c r="WHZ132" s="4"/>
      <c r="WIA132" s="4"/>
      <c r="WIB132" s="4"/>
      <c r="WIC132" s="4"/>
      <c r="WID132" s="4"/>
      <c r="WIE132" s="4"/>
      <c r="WIF132" s="4"/>
      <c r="WIG132" s="4"/>
      <c r="WIH132" s="4"/>
      <c r="WII132" s="4"/>
      <c r="WIJ132" s="4"/>
      <c r="WIK132" s="4"/>
      <c r="WIL132" s="4"/>
      <c r="WIM132" s="4"/>
      <c r="WIN132" s="4"/>
      <c r="WIO132" s="4"/>
      <c r="WIP132" s="4"/>
      <c r="WIQ132" s="4"/>
      <c r="WIR132" s="4"/>
      <c r="WIS132" s="4"/>
      <c r="WIT132" s="4"/>
      <c r="WIU132" s="4"/>
      <c r="WIV132" s="4"/>
      <c r="WIW132" s="4"/>
      <c r="WIX132" s="4"/>
      <c r="WIY132" s="4"/>
      <c r="WIZ132" s="4"/>
      <c r="WJA132" s="4"/>
      <c r="WJB132" s="4"/>
      <c r="WJC132" s="4"/>
      <c r="WJD132" s="4"/>
      <c r="WJE132" s="4"/>
      <c r="WJF132" s="4"/>
      <c r="WJG132" s="4"/>
      <c r="WJH132" s="4"/>
      <c r="WJI132" s="4"/>
      <c r="WJJ132" s="4"/>
      <c r="WJK132" s="4"/>
      <c r="WJL132" s="4"/>
      <c r="WJM132" s="4"/>
      <c r="WJN132" s="4"/>
      <c r="WJO132" s="4"/>
      <c r="WJP132" s="4"/>
      <c r="WJQ132" s="4"/>
      <c r="WJR132" s="4"/>
      <c r="WJS132" s="4"/>
      <c r="WJT132" s="4"/>
      <c r="WJU132" s="4"/>
      <c r="WJV132" s="4"/>
      <c r="WJW132" s="4"/>
      <c r="WJX132" s="4"/>
      <c r="WJY132" s="4"/>
      <c r="WJZ132" s="4"/>
      <c r="WKA132" s="4"/>
      <c r="WKB132" s="4"/>
      <c r="WKC132" s="4"/>
      <c r="WKD132" s="4"/>
      <c r="WKE132" s="4"/>
      <c r="WKF132" s="4"/>
      <c r="WKG132" s="4"/>
      <c r="WKH132" s="4"/>
      <c r="WKI132" s="4"/>
      <c r="WKJ132" s="4"/>
      <c r="WKK132" s="4"/>
      <c r="WKL132" s="4"/>
      <c r="WKM132" s="4"/>
      <c r="WKN132" s="4"/>
      <c r="WKO132" s="4"/>
      <c r="WKP132" s="4"/>
      <c r="WKQ132" s="4"/>
      <c r="WKR132" s="4"/>
      <c r="WKS132" s="4"/>
      <c r="WKT132" s="4"/>
      <c r="WKU132" s="4"/>
      <c r="WKV132" s="4"/>
      <c r="WKW132" s="4"/>
      <c r="WKX132" s="4"/>
      <c r="WKY132" s="4"/>
      <c r="WKZ132" s="4"/>
      <c r="WLA132" s="4"/>
      <c r="WLB132" s="4"/>
      <c r="WLC132" s="4"/>
      <c r="WLD132" s="4"/>
      <c r="WLE132" s="4"/>
      <c r="WLF132" s="4"/>
      <c r="WLG132" s="4"/>
      <c r="WLH132" s="4"/>
      <c r="WLI132" s="4"/>
      <c r="WLJ132" s="4"/>
      <c r="WLK132" s="4"/>
      <c r="WLL132" s="4"/>
      <c r="WLM132" s="4"/>
      <c r="WLN132" s="4"/>
      <c r="WLO132" s="4"/>
      <c r="WLP132" s="4"/>
      <c r="WLQ132" s="4"/>
      <c r="WLR132" s="4"/>
      <c r="WLS132" s="4"/>
      <c r="WLT132" s="4"/>
      <c r="WLU132" s="4"/>
      <c r="WLV132" s="4"/>
      <c r="WLW132" s="4"/>
      <c r="WLX132" s="4"/>
      <c r="WLY132" s="4"/>
      <c r="WLZ132" s="4"/>
      <c r="WMA132" s="4"/>
      <c r="WMB132" s="4"/>
      <c r="WMC132" s="4"/>
      <c r="WMD132" s="4"/>
      <c r="WME132" s="4"/>
      <c r="WMF132" s="4"/>
      <c r="WMG132" s="4"/>
      <c r="WMH132" s="4"/>
      <c r="WMI132" s="4"/>
      <c r="WMJ132" s="4"/>
      <c r="WMK132" s="4"/>
      <c r="WML132" s="4"/>
      <c r="WMM132" s="4"/>
      <c r="WMN132" s="4"/>
      <c r="WMO132" s="4"/>
      <c r="WMP132" s="4"/>
      <c r="WMQ132" s="4"/>
      <c r="WMR132" s="4"/>
      <c r="WMS132" s="4"/>
      <c r="WMT132" s="4"/>
      <c r="WMU132" s="4"/>
      <c r="WMV132" s="4"/>
      <c r="WMW132" s="4"/>
      <c r="WMX132" s="4"/>
      <c r="WMY132" s="4"/>
      <c r="WMZ132" s="4"/>
      <c r="WNA132" s="4"/>
      <c r="WNB132" s="4"/>
      <c r="WNC132" s="4"/>
      <c r="WND132" s="4"/>
      <c r="WNE132" s="4"/>
      <c r="WNF132" s="4"/>
      <c r="WNG132" s="4"/>
      <c r="WNH132" s="4"/>
      <c r="WNI132" s="4"/>
      <c r="WNJ132" s="4"/>
      <c r="WNK132" s="4"/>
      <c r="WNL132" s="4"/>
      <c r="WNM132" s="4"/>
      <c r="WNN132" s="4"/>
      <c r="WNO132" s="4"/>
      <c r="WNP132" s="4"/>
      <c r="WNQ132" s="4"/>
      <c r="WNR132" s="4"/>
      <c r="WNS132" s="4"/>
      <c r="WNT132" s="4"/>
      <c r="WNU132" s="4"/>
      <c r="WNV132" s="4"/>
      <c r="WNW132" s="4"/>
      <c r="WNX132" s="4"/>
      <c r="WNY132" s="4"/>
      <c r="WNZ132" s="4"/>
      <c r="WOA132" s="4"/>
      <c r="WOB132" s="4"/>
      <c r="WOC132" s="4"/>
      <c r="WOD132" s="4"/>
      <c r="WOE132" s="4"/>
      <c r="WOF132" s="4"/>
      <c r="WOG132" s="4"/>
      <c r="WOH132" s="4"/>
      <c r="WOI132" s="4"/>
      <c r="WOJ132" s="4"/>
      <c r="WOK132" s="4"/>
      <c r="WOL132" s="4"/>
      <c r="WOM132" s="4"/>
      <c r="WON132" s="4"/>
      <c r="WOO132" s="4"/>
      <c r="WOP132" s="4"/>
      <c r="WOQ132" s="4"/>
      <c r="WOR132" s="4"/>
      <c r="WOS132" s="4"/>
      <c r="WOT132" s="4"/>
      <c r="WOU132" s="4"/>
      <c r="WOV132" s="4"/>
      <c r="WOW132" s="4"/>
      <c r="WOX132" s="4"/>
      <c r="WOY132" s="4"/>
      <c r="WOZ132" s="4"/>
      <c r="WPA132" s="4"/>
      <c r="WPB132" s="4"/>
      <c r="WPC132" s="4"/>
      <c r="WPD132" s="4"/>
      <c r="WPE132" s="4"/>
      <c r="WPF132" s="4"/>
      <c r="WPG132" s="4"/>
      <c r="WPH132" s="4"/>
      <c r="WPI132" s="4"/>
      <c r="WPJ132" s="4"/>
      <c r="WPK132" s="4"/>
      <c r="WPL132" s="4"/>
      <c r="WPM132" s="4"/>
      <c r="WPN132" s="4"/>
      <c r="WPO132" s="4"/>
      <c r="WPP132" s="4"/>
      <c r="WPQ132" s="4"/>
      <c r="WPR132" s="4"/>
      <c r="WPS132" s="4"/>
      <c r="WPT132" s="4"/>
      <c r="WPU132" s="4"/>
      <c r="WPV132" s="4"/>
      <c r="WPW132" s="4"/>
      <c r="WPX132" s="4"/>
      <c r="WPY132" s="4"/>
      <c r="WPZ132" s="4"/>
      <c r="WQA132" s="4"/>
      <c r="WQB132" s="4"/>
      <c r="WQC132" s="4"/>
      <c r="WQD132" s="4"/>
      <c r="WQE132" s="4"/>
      <c r="WQF132" s="4"/>
      <c r="WQG132" s="4"/>
      <c r="WQH132" s="4"/>
      <c r="WQI132" s="4"/>
      <c r="WQJ132" s="4"/>
      <c r="WQK132" s="4"/>
      <c r="WQL132" s="4"/>
      <c r="WQM132" s="4"/>
      <c r="WQN132" s="4"/>
      <c r="WQO132" s="4"/>
      <c r="WQP132" s="4"/>
      <c r="WQQ132" s="4"/>
      <c r="WQR132" s="4"/>
      <c r="WQS132" s="4"/>
      <c r="WQT132" s="4"/>
      <c r="WQU132" s="4"/>
      <c r="WQV132" s="4"/>
      <c r="WQW132" s="4"/>
      <c r="WQX132" s="4"/>
      <c r="WQY132" s="4"/>
      <c r="WQZ132" s="4"/>
      <c r="WRA132" s="4"/>
      <c r="WRB132" s="4"/>
      <c r="WRC132" s="4"/>
      <c r="WRD132" s="4"/>
      <c r="WRE132" s="4"/>
      <c r="WRF132" s="4"/>
      <c r="WRG132" s="4"/>
      <c r="WRH132" s="4"/>
      <c r="WRI132" s="4"/>
      <c r="WRJ132" s="4"/>
      <c r="WRK132" s="4"/>
      <c r="WRL132" s="4"/>
      <c r="WRM132" s="4"/>
      <c r="WRN132" s="4"/>
      <c r="WRO132" s="4"/>
      <c r="WRP132" s="4"/>
      <c r="WRQ132" s="4"/>
      <c r="WRR132" s="4"/>
      <c r="WRS132" s="4"/>
      <c r="WRT132" s="4"/>
      <c r="WRU132" s="4"/>
      <c r="WRV132" s="4"/>
      <c r="WRW132" s="4"/>
      <c r="WRX132" s="4"/>
      <c r="WRY132" s="4"/>
      <c r="WRZ132" s="4"/>
      <c r="WSA132" s="4"/>
      <c r="WSB132" s="4"/>
      <c r="WSC132" s="4"/>
      <c r="WSD132" s="4"/>
      <c r="WSE132" s="4"/>
      <c r="WSF132" s="4"/>
      <c r="WSG132" s="4"/>
      <c r="WSH132" s="4"/>
      <c r="WSI132" s="4"/>
      <c r="WSJ132" s="4"/>
      <c r="WSK132" s="4"/>
      <c r="WSL132" s="4"/>
      <c r="WSM132" s="4"/>
      <c r="WSN132" s="4"/>
      <c r="WSO132" s="4"/>
      <c r="WSP132" s="4"/>
      <c r="WSQ132" s="4"/>
      <c r="WSR132" s="4"/>
      <c r="WSS132" s="4"/>
      <c r="WST132" s="4"/>
      <c r="WSU132" s="4"/>
      <c r="WSV132" s="4"/>
      <c r="WSW132" s="4"/>
      <c r="WSX132" s="4"/>
      <c r="WSY132" s="4"/>
      <c r="WSZ132" s="4"/>
      <c r="WTA132" s="4"/>
      <c r="WTB132" s="4"/>
      <c r="WTC132" s="4"/>
      <c r="WTD132" s="4"/>
      <c r="WTE132" s="4"/>
      <c r="WTF132" s="4"/>
      <c r="WTG132" s="4"/>
      <c r="WTH132" s="4"/>
      <c r="WTI132" s="4"/>
      <c r="WTJ132" s="4"/>
      <c r="WTK132" s="4"/>
      <c r="WTL132" s="4"/>
      <c r="WTM132" s="4"/>
      <c r="WTN132" s="4"/>
      <c r="WTO132" s="4"/>
      <c r="WTP132" s="4"/>
      <c r="WTQ132" s="4"/>
      <c r="WTR132" s="4"/>
      <c r="WTS132" s="4"/>
      <c r="WTT132" s="4"/>
      <c r="WTU132" s="4"/>
      <c r="WTV132" s="4"/>
      <c r="WTW132" s="4"/>
      <c r="WTX132" s="4"/>
      <c r="WTY132" s="4"/>
      <c r="WTZ132" s="4"/>
      <c r="WUA132" s="4"/>
      <c r="WUB132" s="4"/>
      <c r="WUC132" s="4"/>
      <c r="WUD132" s="4"/>
      <c r="WUE132" s="4"/>
      <c r="WUF132" s="4"/>
      <c r="WUG132" s="4"/>
      <c r="WUH132" s="4"/>
      <c r="WUI132" s="4"/>
      <c r="WUJ132" s="4"/>
      <c r="WUK132" s="4"/>
      <c r="WUL132" s="4"/>
      <c r="WUM132" s="4"/>
      <c r="WUN132" s="4"/>
      <c r="WUO132" s="4"/>
      <c r="WUP132" s="4"/>
      <c r="WUQ132" s="4"/>
      <c r="WUR132" s="4"/>
      <c r="WUS132" s="4"/>
      <c r="WUT132" s="4"/>
      <c r="WUU132" s="4"/>
      <c r="WUV132" s="4"/>
      <c r="WUW132" s="4"/>
      <c r="WUX132" s="4"/>
      <c r="WUY132" s="4"/>
      <c r="WUZ132" s="4"/>
      <c r="WVA132" s="4"/>
      <c r="WVB132" s="4"/>
      <c r="WVC132" s="4"/>
      <c r="WVD132" s="4"/>
      <c r="WVE132" s="4"/>
      <c r="WVF132" s="4"/>
      <c r="WVG132" s="4"/>
      <c r="WVH132" s="4"/>
      <c r="WVI132" s="4"/>
      <c r="WVJ132" s="4"/>
      <c r="WVK132" s="4"/>
      <c r="WVL132" s="4"/>
      <c r="WVM132" s="4"/>
      <c r="WVN132" s="4"/>
      <c r="WVO132" s="4"/>
      <c r="WVP132" s="4"/>
      <c r="WVQ132" s="4"/>
      <c r="WVR132" s="4"/>
      <c r="WVS132" s="4"/>
      <c r="WVT132" s="4"/>
      <c r="WVU132" s="4"/>
      <c r="WVV132" s="4"/>
      <c r="WVW132" s="4"/>
      <c r="WVX132" s="4"/>
      <c r="WVY132" s="4"/>
      <c r="WVZ132" s="4"/>
      <c r="WWA132" s="4"/>
      <c r="WWB132" s="4"/>
      <c r="WWC132" s="4"/>
      <c r="WWD132" s="4"/>
      <c r="WWE132" s="4"/>
      <c r="WWF132" s="4"/>
      <c r="WWG132" s="4"/>
      <c r="WWH132" s="4"/>
      <c r="WWI132" s="4"/>
      <c r="WWJ132" s="4"/>
      <c r="WWK132" s="4"/>
      <c r="WWL132" s="4"/>
      <c r="WWM132" s="4"/>
      <c r="WWN132" s="4"/>
      <c r="WWO132" s="4"/>
      <c r="WWP132" s="4"/>
      <c r="WWQ132" s="4"/>
      <c r="WWR132" s="4"/>
      <c r="WWS132" s="4"/>
      <c r="WWT132" s="4"/>
      <c r="WWU132" s="4"/>
      <c r="WWV132" s="4"/>
      <c r="WWW132" s="4"/>
      <c r="WWX132" s="4"/>
      <c r="WWY132" s="4"/>
      <c r="WWZ132" s="4"/>
      <c r="WXA132" s="4"/>
      <c r="WXB132" s="4"/>
      <c r="WXC132" s="4"/>
      <c r="WXD132" s="4"/>
      <c r="WXE132" s="4"/>
      <c r="WXF132" s="4"/>
      <c r="WXG132" s="4"/>
      <c r="WXH132" s="4"/>
      <c r="WXI132" s="4"/>
      <c r="WXJ132" s="4"/>
      <c r="WXK132" s="4"/>
      <c r="WXL132" s="4"/>
      <c r="WXM132" s="4"/>
      <c r="WXN132" s="4"/>
      <c r="WXO132" s="4"/>
      <c r="WXP132" s="4"/>
      <c r="WXQ132" s="4"/>
      <c r="WXR132" s="4"/>
      <c r="WXS132" s="4"/>
      <c r="WXT132" s="4"/>
      <c r="WXU132" s="4"/>
      <c r="WXV132" s="4"/>
      <c r="WXW132" s="4"/>
      <c r="WXX132" s="4"/>
      <c r="WXY132" s="4"/>
      <c r="WXZ132" s="4"/>
      <c r="WYA132" s="4"/>
      <c r="WYB132" s="4"/>
      <c r="WYC132" s="4"/>
      <c r="WYD132" s="4"/>
      <c r="WYE132" s="4"/>
      <c r="WYF132" s="4"/>
      <c r="WYG132" s="4"/>
      <c r="WYH132" s="4"/>
      <c r="WYI132" s="4"/>
      <c r="WYJ132" s="4"/>
      <c r="WYK132" s="4"/>
      <c r="WYL132" s="4"/>
      <c r="WYM132" s="4"/>
      <c r="WYN132" s="4"/>
      <c r="WYO132" s="4"/>
      <c r="WYP132" s="4"/>
      <c r="WYQ132" s="4"/>
      <c r="WYR132" s="4"/>
      <c r="WYS132" s="4"/>
      <c r="WYT132" s="4"/>
      <c r="WYU132" s="4"/>
      <c r="WYV132" s="4"/>
      <c r="WYW132" s="4"/>
      <c r="WYX132" s="4"/>
      <c r="WYY132" s="4"/>
      <c r="WYZ132" s="4"/>
      <c r="WZA132" s="4"/>
      <c r="WZB132" s="4"/>
      <c r="WZC132" s="4"/>
      <c r="WZD132" s="4"/>
      <c r="WZE132" s="4"/>
      <c r="WZF132" s="4"/>
      <c r="WZG132" s="4"/>
      <c r="WZH132" s="4"/>
      <c r="WZI132" s="4"/>
      <c r="WZJ132" s="4"/>
      <c r="WZK132" s="4"/>
      <c r="WZL132" s="4"/>
      <c r="WZM132" s="4"/>
      <c r="WZN132" s="4"/>
      <c r="WZO132" s="4"/>
      <c r="WZP132" s="4"/>
      <c r="WZQ132" s="4"/>
      <c r="WZR132" s="4"/>
      <c r="WZS132" s="4"/>
      <c r="WZT132" s="4"/>
      <c r="WZU132" s="4"/>
      <c r="WZV132" s="4"/>
      <c r="WZW132" s="4"/>
      <c r="WZX132" s="4"/>
      <c r="WZY132" s="4"/>
      <c r="WZZ132" s="4"/>
      <c r="XAA132" s="4"/>
      <c r="XAB132" s="4"/>
      <c r="XAC132" s="4"/>
      <c r="XAD132" s="4"/>
      <c r="XAE132" s="4"/>
      <c r="XAF132" s="4"/>
      <c r="XAG132" s="4"/>
      <c r="XAH132" s="4"/>
      <c r="XAI132" s="4"/>
      <c r="XAJ132" s="4"/>
      <c r="XAK132" s="4"/>
      <c r="XAL132" s="4"/>
      <c r="XAM132" s="4"/>
      <c r="XAN132" s="4"/>
      <c r="XAO132" s="4"/>
      <c r="XAP132" s="4"/>
      <c r="XAQ132" s="4"/>
      <c r="XAR132" s="4"/>
      <c r="XAS132" s="4"/>
      <c r="XAT132" s="4"/>
      <c r="XAU132" s="4"/>
      <c r="XAV132" s="4"/>
      <c r="XAW132" s="4"/>
      <c r="XAX132" s="4"/>
      <c r="XAY132" s="4"/>
      <c r="XAZ132" s="4"/>
      <c r="XBA132" s="4"/>
      <c r="XBB132" s="4"/>
      <c r="XBC132" s="4"/>
      <c r="XBD132" s="4"/>
      <c r="XBE132" s="4"/>
      <c r="XBF132" s="4"/>
      <c r="XBG132" s="4"/>
      <c r="XBH132" s="4"/>
      <c r="XBI132" s="4"/>
      <c r="XBJ132" s="4"/>
      <c r="XBK132" s="4"/>
      <c r="XBL132" s="4"/>
      <c r="XBM132" s="4"/>
      <c r="XBN132" s="4"/>
      <c r="XBO132" s="4"/>
      <c r="XBP132" s="4"/>
      <c r="XBQ132" s="4"/>
      <c r="XBR132" s="4"/>
      <c r="XBS132" s="4"/>
      <c r="XBT132" s="4"/>
      <c r="XBU132" s="4"/>
      <c r="XBV132" s="4"/>
      <c r="XBW132" s="4"/>
      <c r="XBX132" s="4"/>
      <c r="XBY132" s="4"/>
      <c r="XBZ132" s="4"/>
      <c r="XCA132" s="4"/>
      <c r="XCB132" s="4"/>
      <c r="XCC132" s="4"/>
      <c r="XCD132" s="4"/>
      <c r="XCE132" s="4"/>
      <c r="XCF132" s="4"/>
      <c r="XCG132" s="4"/>
      <c r="XCH132" s="4"/>
      <c r="XCI132" s="4"/>
      <c r="XCJ132" s="4"/>
      <c r="XCK132" s="4"/>
      <c r="XCL132" s="4"/>
      <c r="XCM132" s="4"/>
      <c r="XCN132" s="4"/>
      <c r="XCO132" s="4"/>
      <c r="XCP132" s="4"/>
      <c r="XCQ132" s="4"/>
      <c r="XCR132" s="4"/>
      <c r="XCS132" s="4"/>
      <c r="XCT132" s="4"/>
      <c r="XCU132" s="4"/>
      <c r="XCV132" s="4"/>
      <c r="XCW132" s="4"/>
      <c r="XCX132" s="4"/>
      <c r="XCY132" s="4"/>
      <c r="XCZ132" s="4"/>
      <c r="XDA132" s="4"/>
      <c r="XDB132" s="4"/>
      <c r="XDC132" s="4"/>
      <c r="XDD132" s="4"/>
      <c r="XDE132" s="4"/>
      <c r="XDF132" s="4"/>
      <c r="XDG132" s="4"/>
      <c r="XDH132" s="4"/>
      <c r="XDI132" s="4"/>
      <c r="XDJ132" s="4"/>
      <c r="XDK132" s="4"/>
      <c r="XDL132" s="4"/>
      <c r="XDM132" s="4"/>
      <c r="XDN132" s="4"/>
      <c r="XDO132" s="4"/>
      <c r="XDP132" s="4"/>
      <c r="XDQ132" s="4"/>
      <c r="XDR132" s="4"/>
      <c r="XDS132" s="4"/>
      <c r="XDT132" s="4"/>
      <c r="XDU132" s="4"/>
      <c r="XDV132" s="4"/>
      <c r="XDW132" s="4"/>
      <c r="XDX132" s="4"/>
      <c r="XDY132" s="4"/>
      <c r="XDZ132" s="4"/>
      <c r="XEA132" s="4"/>
      <c r="XEB132" s="4"/>
      <c r="XEC132" s="4"/>
      <c r="XED132" s="4"/>
      <c r="XEE132" s="4"/>
      <c r="XEF132" s="4"/>
      <c r="XEG132" s="4"/>
      <c r="XEH132" s="4"/>
      <c r="XEI132" s="4"/>
      <c r="XEJ132" s="4"/>
      <c r="XEK132" s="4"/>
      <c r="XEL132" s="4"/>
      <c r="XEM132" s="4"/>
      <c r="XEN132" s="4"/>
      <c r="XEO132" s="4"/>
      <c r="XEP132" s="4"/>
      <c r="XEQ132" s="4"/>
      <c r="XER132" s="4"/>
      <c r="XES132" s="4"/>
      <c r="XET132" s="4"/>
      <c r="XEU132" s="4"/>
      <c r="XEV132" s="4"/>
      <c r="XEW132" s="4"/>
      <c r="XEX132" s="4"/>
      <c r="XEY132" s="4"/>
      <c r="XEZ132" s="4"/>
      <c r="XFA132" s="4"/>
      <c r="XFB132" s="4"/>
      <c r="XFC132" s="4"/>
    </row>
    <row r="133" spans="1:16383" ht="17.5" x14ac:dyDescent="0.35">
      <c r="A133" s="309" t="s">
        <v>2403</v>
      </c>
      <c r="B133" s="309"/>
      <c r="C133" s="248"/>
      <c r="D133" s="4"/>
      <c r="E133" s="4"/>
      <c r="F133" s="248"/>
      <c r="G133" s="4"/>
      <c r="H133" s="406"/>
      <c r="I133" s="40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  <c r="UG133" s="4"/>
      <c r="UH133" s="4"/>
      <c r="UI133" s="4"/>
      <c r="UJ133" s="4"/>
      <c r="UK133" s="4"/>
      <c r="UL133" s="4"/>
      <c r="UM133" s="4"/>
      <c r="UN133" s="4"/>
      <c r="UO133" s="4"/>
      <c r="UP133" s="4"/>
      <c r="UQ133" s="4"/>
      <c r="UR133" s="4"/>
      <c r="US133" s="4"/>
      <c r="UT133" s="4"/>
      <c r="UU133" s="4"/>
      <c r="UV133" s="4"/>
      <c r="UW133" s="4"/>
      <c r="UX133" s="4"/>
      <c r="UY133" s="4"/>
      <c r="UZ133" s="4"/>
      <c r="VA133" s="4"/>
      <c r="VB133" s="4"/>
      <c r="VC133" s="4"/>
      <c r="VD133" s="4"/>
      <c r="VE133" s="4"/>
      <c r="VF133" s="4"/>
      <c r="VG133" s="4"/>
      <c r="VH133" s="4"/>
      <c r="VI133" s="4"/>
      <c r="VJ133" s="4"/>
      <c r="VK133" s="4"/>
      <c r="VL133" s="4"/>
      <c r="VM133" s="4"/>
      <c r="VN133" s="4"/>
      <c r="VO133" s="4"/>
      <c r="VP133" s="4"/>
      <c r="VQ133" s="4"/>
      <c r="VR133" s="4"/>
      <c r="VS133" s="4"/>
      <c r="VT133" s="4"/>
      <c r="VU133" s="4"/>
      <c r="VV133" s="4"/>
      <c r="VW133" s="4"/>
      <c r="VX133" s="4"/>
      <c r="VY133" s="4"/>
      <c r="VZ133" s="4"/>
      <c r="WA133" s="4"/>
      <c r="WB133" s="4"/>
      <c r="WC133" s="4"/>
      <c r="WD133" s="4"/>
      <c r="WE133" s="4"/>
      <c r="WF133" s="4"/>
      <c r="WG133" s="4"/>
      <c r="WH133" s="4"/>
      <c r="WI133" s="4"/>
      <c r="WJ133" s="4"/>
      <c r="WK133" s="4"/>
      <c r="WL133" s="4"/>
      <c r="WM133" s="4"/>
      <c r="WN133" s="4"/>
      <c r="WO133" s="4"/>
      <c r="WP133" s="4"/>
      <c r="WQ133" s="4"/>
      <c r="WR133" s="4"/>
      <c r="WS133" s="4"/>
      <c r="WT133" s="4"/>
      <c r="WU133" s="4"/>
      <c r="WV133" s="4"/>
      <c r="WW133" s="4"/>
      <c r="WX133" s="4"/>
      <c r="WY133" s="4"/>
      <c r="WZ133" s="4"/>
      <c r="XA133" s="4"/>
      <c r="XB133" s="4"/>
      <c r="XC133" s="4"/>
      <c r="XD133" s="4"/>
      <c r="XE133" s="4"/>
      <c r="XF133" s="4"/>
      <c r="XG133" s="4"/>
      <c r="XH133" s="4"/>
      <c r="XI133" s="4"/>
      <c r="XJ133" s="4"/>
      <c r="XK133" s="4"/>
      <c r="XL133" s="4"/>
      <c r="XM133" s="4"/>
      <c r="XN133" s="4"/>
      <c r="XO133" s="4"/>
      <c r="XP133" s="4"/>
      <c r="XQ133" s="4"/>
      <c r="XR133" s="4"/>
      <c r="XS133" s="4"/>
      <c r="XT133" s="4"/>
      <c r="XU133" s="4"/>
      <c r="XV133" s="4"/>
      <c r="XW133" s="4"/>
      <c r="XX133" s="4"/>
      <c r="XY133" s="4"/>
      <c r="XZ133" s="4"/>
      <c r="YA133" s="4"/>
      <c r="YB133" s="4"/>
      <c r="YC133" s="4"/>
      <c r="YD133" s="4"/>
      <c r="YE133" s="4"/>
      <c r="YF133" s="4"/>
      <c r="YG133" s="4"/>
      <c r="YH133" s="4"/>
      <c r="YI133" s="4"/>
      <c r="YJ133" s="4"/>
      <c r="YK133" s="4"/>
      <c r="YL133" s="4"/>
      <c r="YM133" s="4"/>
      <c r="YN133" s="4"/>
      <c r="YO133" s="4"/>
      <c r="YP133" s="4"/>
      <c r="YQ133" s="4"/>
      <c r="YR133" s="4"/>
      <c r="YS133" s="4"/>
      <c r="YT133" s="4"/>
      <c r="YU133" s="4"/>
      <c r="YV133" s="4"/>
      <c r="YW133" s="4"/>
      <c r="YX133" s="4"/>
      <c r="YY133" s="4"/>
      <c r="YZ133" s="4"/>
      <c r="ZA133" s="4"/>
      <c r="ZB133" s="4"/>
      <c r="ZC133" s="4"/>
      <c r="ZD133" s="4"/>
      <c r="ZE133" s="4"/>
      <c r="ZF133" s="4"/>
      <c r="ZG133" s="4"/>
      <c r="ZH133" s="4"/>
      <c r="ZI133" s="4"/>
      <c r="ZJ133" s="4"/>
      <c r="ZK133" s="4"/>
      <c r="ZL133" s="4"/>
      <c r="ZM133" s="4"/>
      <c r="ZN133" s="4"/>
      <c r="ZO133" s="4"/>
      <c r="ZP133" s="4"/>
      <c r="ZQ133" s="4"/>
      <c r="ZR133" s="4"/>
      <c r="ZS133" s="4"/>
      <c r="ZT133" s="4"/>
      <c r="ZU133" s="4"/>
      <c r="ZV133" s="4"/>
      <c r="ZW133" s="4"/>
      <c r="ZX133" s="4"/>
      <c r="ZY133" s="4"/>
      <c r="ZZ133" s="4"/>
      <c r="AAA133" s="4"/>
      <c r="AAB133" s="4"/>
      <c r="AAC133" s="4"/>
      <c r="AAD133" s="4"/>
      <c r="AAE133" s="4"/>
      <c r="AAF133" s="4"/>
      <c r="AAG133" s="4"/>
      <c r="AAH133" s="4"/>
      <c r="AAI133" s="4"/>
      <c r="AAJ133" s="4"/>
      <c r="AAK133" s="4"/>
      <c r="AAL133" s="4"/>
      <c r="AAM133" s="4"/>
      <c r="AAN133" s="4"/>
      <c r="AAO133" s="4"/>
      <c r="AAP133" s="4"/>
      <c r="AAQ133" s="4"/>
      <c r="AAR133" s="4"/>
      <c r="AAS133" s="4"/>
      <c r="AAT133" s="4"/>
      <c r="AAU133" s="4"/>
      <c r="AAV133" s="4"/>
      <c r="AAW133" s="4"/>
      <c r="AAX133" s="4"/>
      <c r="AAY133" s="4"/>
      <c r="AAZ133" s="4"/>
      <c r="ABA133" s="4"/>
      <c r="ABB133" s="4"/>
      <c r="ABC133" s="4"/>
      <c r="ABD133" s="4"/>
      <c r="ABE133" s="4"/>
      <c r="ABF133" s="4"/>
      <c r="ABG133" s="4"/>
      <c r="ABH133" s="4"/>
      <c r="ABI133" s="4"/>
      <c r="ABJ133" s="4"/>
      <c r="ABK133" s="4"/>
      <c r="ABL133" s="4"/>
      <c r="ABM133" s="4"/>
      <c r="ABN133" s="4"/>
      <c r="ABO133" s="4"/>
      <c r="ABP133" s="4"/>
      <c r="ABQ133" s="4"/>
      <c r="ABR133" s="4"/>
      <c r="ABS133" s="4"/>
      <c r="ABT133" s="4"/>
      <c r="ABU133" s="4"/>
      <c r="ABV133" s="4"/>
      <c r="ABW133" s="4"/>
      <c r="ABX133" s="4"/>
      <c r="ABY133" s="4"/>
      <c r="ABZ133" s="4"/>
      <c r="ACA133" s="4"/>
      <c r="ACB133" s="4"/>
      <c r="ACC133" s="4"/>
      <c r="ACD133" s="4"/>
      <c r="ACE133" s="4"/>
      <c r="ACF133" s="4"/>
      <c r="ACG133" s="4"/>
      <c r="ACH133" s="4"/>
      <c r="ACI133" s="4"/>
      <c r="ACJ133" s="4"/>
      <c r="ACK133" s="4"/>
      <c r="ACL133" s="4"/>
      <c r="ACM133" s="4"/>
      <c r="ACN133" s="4"/>
      <c r="ACO133" s="4"/>
      <c r="ACP133" s="4"/>
      <c r="ACQ133" s="4"/>
      <c r="ACR133" s="4"/>
      <c r="ACS133" s="4"/>
      <c r="ACT133" s="4"/>
      <c r="ACU133" s="4"/>
      <c r="ACV133" s="4"/>
      <c r="ACW133" s="4"/>
      <c r="ACX133" s="4"/>
      <c r="ACY133" s="4"/>
      <c r="ACZ133" s="4"/>
      <c r="ADA133" s="4"/>
      <c r="ADB133" s="4"/>
      <c r="ADC133" s="4"/>
      <c r="ADD133" s="4"/>
      <c r="ADE133" s="4"/>
      <c r="ADF133" s="4"/>
      <c r="ADG133" s="4"/>
      <c r="ADH133" s="4"/>
      <c r="ADI133" s="4"/>
      <c r="ADJ133" s="4"/>
      <c r="ADK133" s="4"/>
      <c r="ADL133" s="4"/>
      <c r="ADM133" s="4"/>
      <c r="ADN133" s="4"/>
      <c r="ADO133" s="4"/>
      <c r="ADP133" s="4"/>
      <c r="ADQ133" s="4"/>
      <c r="ADR133" s="4"/>
      <c r="ADS133" s="4"/>
      <c r="ADT133" s="4"/>
      <c r="ADU133" s="4"/>
      <c r="ADV133" s="4"/>
      <c r="ADW133" s="4"/>
      <c r="ADX133" s="4"/>
      <c r="ADY133" s="4"/>
      <c r="ADZ133" s="4"/>
      <c r="AEA133" s="4"/>
      <c r="AEB133" s="4"/>
      <c r="AEC133" s="4"/>
      <c r="AED133" s="4"/>
      <c r="AEE133" s="4"/>
      <c r="AEF133" s="4"/>
      <c r="AEG133" s="4"/>
      <c r="AEH133" s="4"/>
      <c r="AEI133" s="4"/>
      <c r="AEJ133" s="4"/>
      <c r="AEK133" s="4"/>
      <c r="AEL133" s="4"/>
      <c r="AEM133" s="4"/>
      <c r="AEN133" s="4"/>
      <c r="AEO133" s="4"/>
      <c r="AEP133" s="4"/>
      <c r="AEQ133" s="4"/>
      <c r="AER133" s="4"/>
      <c r="AES133" s="4"/>
      <c r="AET133" s="4"/>
      <c r="AEU133" s="4"/>
      <c r="AEV133" s="4"/>
      <c r="AEW133" s="4"/>
      <c r="AEX133" s="4"/>
      <c r="AEY133" s="4"/>
      <c r="AEZ133" s="4"/>
      <c r="AFA133" s="4"/>
      <c r="AFB133" s="4"/>
      <c r="AFC133" s="4"/>
      <c r="AFD133" s="4"/>
      <c r="AFE133" s="4"/>
      <c r="AFF133" s="4"/>
      <c r="AFG133" s="4"/>
      <c r="AFH133" s="4"/>
      <c r="AFI133" s="4"/>
      <c r="AFJ133" s="4"/>
      <c r="AFK133" s="4"/>
      <c r="AFL133" s="4"/>
      <c r="AFM133" s="4"/>
      <c r="AFN133" s="4"/>
      <c r="AFO133" s="4"/>
      <c r="AFP133" s="4"/>
      <c r="AFQ133" s="4"/>
      <c r="AFR133" s="4"/>
      <c r="AFS133" s="4"/>
      <c r="AFT133" s="4"/>
      <c r="AFU133" s="4"/>
      <c r="AFV133" s="4"/>
      <c r="AFW133" s="4"/>
      <c r="AFX133" s="4"/>
      <c r="AFY133" s="4"/>
      <c r="AFZ133" s="4"/>
      <c r="AGA133" s="4"/>
      <c r="AGB133" s="4"/>
      <c r="AGC133" s="4"/>
      <c r="AGD133" s="4"/>
      <c r="AGE133" s="4"/>
      <c r="AGF133" s="4"/>
      <c r="AGG133" s="4"/>
      <c r="AGH133" s="4"/>
      <c r="AGI133" s="4"/>
      <c r="AGJ133" s="4"/>
      <c r="AGK133" s="4"/>
      <c r="AGL133" s="4"/>
      <c r="AGM133" s="4"/>
      <c r="AGN133" s="4"/>
      <c r="AGO133" s="4"/>
      <c r="AGP133" s="4"/>
      <c r="AGQ133" s="4"/>
      <c r="AGR133" s="4"/>
      <c r="AGS133" s="4"/>
      <c r="AGT133" s="4"/>
      <c r="AGU133" s="4"/>
      <c r="AGV133" s="4"/>
      <c r="AGW133" s="4"/>
      <c r="AGX133" s="4"/>
      <c r="AGY133" s="4"/>
      <c r="AGZ133" s="4"/>
      <c r="AHA133" s="4"/>
      <c r="AHB133" s="4"/>
      <c r="AHC133" s="4"/>
      <c r="AHD133" s="4"/>
      <c r="AHE133" s="4"/>
      <c r="AHF133" s="4"/>
      <c r="AHG133" s="4"/>
      <c r="AHH133" s="4"/>
      <c r="AHI133" s="4"/>
      <c r="AHJ133" s="4"/>
      <c r="AHK133" s="4"/>
      <c r="AHL133" s="4"/>
      <c r="AHM133" s="4"/>
      <c r="AHN133" s="4"/>
      <c r="AHO133" s="4"/>
      <c r="AHP133" s="4"/>
      <c r="AHQ133" s="4"/>
      <c r="AHR133" s="4"/>
      <c r="AHS133" s="4"/>
      <c r="AHT133" s="4"/>
      <c r="AHU133" s="4"/>
      <c r="AHV133" s="4"/>
      <c r="AHW133" s="4"/>
      <c r="AHX133" s="4"/>
      <c r="AHY133" s="4"/>
      <c r="AHZ133" s="4"/>
      <c r="AIA133" s="4"/>
      <c r="AIB133" s="4"/>
      <c r="AIC133" s="4"/>
      <c r="AID133" s="4"/>
      <c r="AIE133" s="4"/>
      <c r="AIF133" s="4"/>
      <c r="AIG133" s="4"/>
      <c r="AIH133" s="4"/>
      <c r="AII133" s="4"/>
      <c r="AIJ133" s="4"/>
      <c r="AIK133" s="4"/>
      <c r="AIL133" s="4"/>
      <c r="AIM133" s="4"/>
      <c r="AIN133" s="4"/>
      <c r="AIO133" s="4"/>
      <c r="AIP133" s="4"/>
      <c r="AIQ133" s="4"/>
      <c r="AIR133" s="4"/>
      <c r="AIS133" s="4"/>
      <c r="AIT133" s="4"/>
      <c r="AIU133" s="4"/>
      <c r="AIV133" s="4"/>
      <c r="AIW133" s="4"/>
      <c r="AIX133" s="4"/>
      <c r="AIY133" s="4"/>
      <c r="AIZ133" s="4"/>
      <c r="AJA133" s="4"/>
      <c r="AJB133" s="4"/>
      <c r="AJC133" s="4"/>
      <c r="AJD133" s="4"/>
      <c r="AJE133" s="4"/>
      <c r="AJF133" s="4"/>
      <c r="AJG133" s="4"/>
      <c r="AJH133" s="4"/>
      <c r="AJI133" s="4"/>
      <c r="AJJ133" s="4"/>
      <c r="AJK133" s="4"/>
      <c r="AJL133" s="4"/>
      <c r="AJM133" s="4"/>
      <c r="AJN133" s="4"/>
      <c r="AJO133" s="4"/>
      <c r="AJP133" s="4"/>
      <c r="AJQ133" s="4"/>
      <c r="AJR133" s="4"/>
      <c r="AJS133" s="4"/>
      <c r="AJT133" s="4"/>
      <c r="AJU133" s="4"/>
      <c r="AJV133" s="4"/>
      <c r="AJW133" s="4"/>
      <c r="AJX133" s="4"/>
      <c r="AJY133" s="4"/>
      <c r="AJZ133" s="4"/>
      <c r="AKA133" s="4"/>
      <c r="AKB133" s="4"/>
      <c r="AKC133" s="4"/>
      <c r="AKD133" s="4"/>
      <c r="AKE133" s="4"/>
      <c r="AKF133" s="4"/>
      <c r="AKG133" s="4"/>
      <c r="AKH133" s="4"/>
      <c r="AKI133" s="4"/>
      <c r="AKJ133" s="4"/>
      <c r="AKK133" s="4"/>
      <c r="AKL133" s="4"/>
      <c r="AKM133" s="4"/>
      <c r="AKN133" s="4"/>
      <c r="AKO133" s="4"/>
      <c r="AKP133" s="4"/>
      <c r="AKQ133" s="4"/>
      <c r="AKR133" s="4"/>
      <c r="AKS133" s="4"/>
      <c r="AKT133" s="4"/>
      <c r="AKU133" s="4"/>
      <c r="AKV133" s="4"/>
      <c r="AKW133" s="4"/>
      <c r="AKX133" s="4"/>
      <c r="AKY133" s="4"/>
      <c r="AKZ133" s="4"/>
      <c r="ALA133" s="4"/>
      <c r="ALB133" s="4"/>
      <c r="ALC133" s="4"/>
      <c r="ALD133" s="4"/>
      <c r="ALE133" s="4"/>
      <c r="ALF133" s="4"/>
      <c r="ALG133" s="4"/>
      <c r="ALH133" s="4"/>
      <c r="ALI133" s="4"/>
      <c r="ALJ133" s="4"/>
      <c r="ALK133" s="4"/>
      <c r="ALL133" s="4"/>
      <c r="ALM133" s="4"/>
      <c r="ALN133" s="4"/>
      <c r="ALO133" s="4"/>
      <c r="ALP133" s="4"/>
      <c r="ALQ133" s="4"/>
      <c r="ALR133" s="4"/>
      <c r="ALS133" s="4"/>
      <c r="ALT133" s="4"/>
      <c r="ALU133" s="4"/>
      <c r="ALV133" s="4"/>
      <c r="ALW133" s="4"/>
      <c r="ALX133" s="4"/>
      <c r="ALY133" s="4"/>
      <c r="ALZ133" s="4"/>
      <c r="AMA133" s="4"/>
      <c r="AMB133" s="4"/>
      <c r="AMC133" s="4"/>
      <c r="AMD133" s="4"/>
      <c r="AME133" s="4"/>
      <c r="AMF133" s="4"/>
      <c r="AMG133" s="4"/>
      <c r="AMH133" s="4"/>
      <c r="AMI133" s="4"/>
      <c r="AMJ133" s="4"/>
      <c r="AMK133" s="4"/>
      <c r="AML133" s="4"/>
      <c r="AMM133" s="4"/>
      <c r="AMN133" s="4"/>
      <c r="AMO133" s="4"/>
      <c r="AMP133" s="4"/>
      <c r="AMQ133" s="4"/>
      <c r="AMR133" s="4"/>
      <c r="AMS133" s="4"/>
      <c r="AMT133" s="4"/>
      <c r="AMU133" s="4"/>
      <c r="AMV133" s="4"/>
      <c r="AMW133" s="4"/>
      <c r="AMX133" s="4"/>
      <c r="AMY133" s="4"/>
      <c r="AMZ133" s="4"/>
      <c r="ANA133" s="4"/>
      <c r="ANB133" s="4"/>
      <c r="ANC133" s="4"/>
      <c r="AND133" s="4"/>
      <c r="ANE133" s="4"/>
      <c r="ANF133" s="4"/>
      <c r="ANG133" s="4"/>
      <c r="ANH133" s="4"/>
      <c r="ANI133" s="4"/>
      <c r="ANJ133" s="4"/>
      <c r="ANK133" s="4"/>
      <c r="ANL133" s="4"/>
      <c r="ANM133" s="4"/>
      <c r="ANN133" s="4"/>
      <c r="ANO133" s="4"/>
      <c r="ANP133" s="4"/>
      <c r="ANQ133" s="4"/>
      <c r="ANR133" s="4"/>
      <c r="ANS133" s="4"/>
      <c r="ANT133" s="4"/>
      <c r="ANU133" s="4"/>
      <c r="ANV133" s="4"/>
      <c r="ANW133" s="4"/>
      <c r="ANX133" s="4"/>
      <c r="ANY133" s="4"/>
      <c r="ANZ133" s="4"/>
      <c r="AOA133" s="4"/>
      <c r="AOB133" s="4"/>
      <c r="AOC133" s="4"/>
      <c r="AOD133" s="4"/>
      <c r="AOE133" s="4"/>
      <c r="AOF133" s="4"/>
      <c r="AOG133" s="4"/>
      <c r="AOH133" s="4"/>
      <c r="AOI133" s="4"/>
      <c r="AOJ133" s="4"/>
      <c r="AOK133" s="4"/>
      <c r="AOL133" s="4"/>
      <c r="AOM133" s="4"/>
      <c r="AON133" s="4"/>
      <c r="AOO133" s="4"/>
      <c r="AOP133" s="4"/>
      <c r="AOQ133" s="4"/>
      <c r="AOR133" s="4"/>
      <c r="AOS133" s="4"/>
      <c r="AOT133" s="4"/>
      <c r="AOU133" s="4"/>
      <c r="AOV133" s="4"/>
      <c r="AOW133" s="4"/>
      <c r="AOX133" s="4"/>
      <c r="AOY133" s="4"/>
      <c r="AOZ133" s="4"/>
      <c r="APA133" s="4"/>
      <c r="APB133" s="4"/>
      <c r="APC133" s="4"/>
      <c r="APD133" s="4"/>
      <c r="APE133" s="4"/>
      <c r="APF133" s="4"/>
      <c r="APG133" s="4"/>
      <c r="APH133" s="4"/>
      <c r="API133" s="4"/>
      <c r="APJ133" s="4"/>
      <c r="APK133" s="4"/>
      <c r="APL133" s="4"/>
      <c r="APM133" s="4"/>
      <c r="APN133" s="4"/>
      <c r="APO133" s="4"/>
      <c r="APP133" s="4"/>
      <c r="APQ133" s="4"/>
      <c r="APR133" s="4"/>
      <c r="APS133" s="4"/>
      <c r="APT133" s="4"/>
      <c r="APU133" s="4"/>
      <c r="APV133" s="4"/>
      <c r="APW133" s="4"/>
      <c r="APX133" s="4"/>
      <c r="APY133" s="4"/>
      <c r="APZ133" s="4"/>
      <c r="AQA133" s="4"/>
      <c r="AQB133" s="4"/>
      <c r="AQC133" s="4"/>
      <c r="AQD133" s="4"/>
      <c r="AQE133" s="4"/>
      <c r="AQF133" s="4"/>
      <c r="AQG133" s="4"/>
      <c r="AQH133" s="4"/>
      <c r="AQI133" s="4"/>
      <c r="AQJ133" s="4"/>
      <c r="AQK133" s="4"/>
      <c r="AQL133" s="4"/>
      <c r="AQM133" s="4"/>
      <c r="AQN133" s="4"/>
      <c r="AQO133" s="4"/>
      <c r="AQP133" s="4"/>
      <c r="AQQ133" s="4"/>
      <c r="AQR133" s="4"/>
      <c r="AQS133" s="4"/>
      <c r="AQT133" s="4"/>
      <c r="AQU133" s="4"/>
      <c r="AQV133" s="4"/>
      <c r="AQW133" s="4"/>
      <c r="AQX133" s="4"/>
      <c r="AQY133" s="4"/>
      <c r="AQZ133" s="4"/>
      <c r="ARA133" s="4"/>
      <c r="ARB133" s="4"/>
      <c r="ARC133" s="4"/>
      <c r="ARD133" s="4"/>
      <c r="ARE133" s="4"/>
      <c r="ARF133" s="4"/>
      <c r="ARG133" s="4"/>
      <c r="ARH133" s="4"/>
      <c r="ARI133" s="4"/>
      <c r="ARJ133" s="4"/>
      <c r="ARK133" s="4"/>
      <c r="ARL133" s="4"/>
      <c r="ARM133" s="4"/>
      <c r="ARN133" s="4"/>
      <c r="ARO133" s="4"/>
      <c r="ARP133" s="4"/>
      <c r="ARQ133" s="4"/>
      <c r="ARR133" s="4"/>
      <c r="ARS133" s="4"/>
      <c r="ART133" s="4"/>
      <c r="ARU133" s="4"/>
      <c r="ARV133" s="4"/>
      <c r="ARW133" s="4"/>
      <c r="ARX133" s="4"/>
      <c r="ARY133" s="4"/>
      <c r="ARZ133" s="4"/>
      <c r="ASA133" s="4"/>
      <c r="ASB133" s="4"/>
      <c r="ASC133" s="4"/>
      <c r="ASD133" s="4"/>
      <c r="ASE133" s="4"/>
      <c r="ASF133" s="4"/>
      <c r="ASG133" s="4"/>
      <c r="ASH133" s="4"/>
      <c r="ASI133" s="4"/>
      <c r="ASJ133" s="4"/>
      <c r="ASK133" s="4"/>
      <c r="ASL133" s="4"/>
      <c r="ASM133" s="4"/>
      <c r="ASN133" s="4"/>
      <c r="ASO133" s="4"/>
      <c r="ASP133" s="4"/>
      <c r="ASQ133" s="4"/>
      <c r="ASR133" s="4"/>
      <c r="ASS133" s="4"/>
      <c r="AST133" s="4"/>
      <c r="ASU133" s="4"/>
      <c r="ASV133" s="4"/>
      <c r="ASW133" s="4"/>
      <c r="ASX133" s="4"/>
      <c r="ASY133" s="4"/>
      <c r="ASZ133" s="4"/>
      <c r="ATA133" s="4"/>
      <c r="ATB133" s="4"/>
      <c r="ATC133" s="4"/>
      <c r="ATD133" s="4"/>
      <c r="ATE133" s="4"/>
      <c r="ATF133" s="4"/>
      <c r="ATG133" s="4"/>
      <c r="ATH133" s="4"/>
      <c r="ATI133" s="4"/>
      <c r="ATJ133" s="4"/>
      <c r="ATK133" s="4"/>
      <c r="ATL133" s="4"/>
      <c r="ATM133" s="4"/>
      <c r="ATN133" s="4"/>
      <c r="ATO133" s="4"/>
      <c r="ATP133" s="4"/>
      <c r="ATQ133" s="4"/>
      <c r="ATR133" s="4"/>
      <c r="ATS133" s="4"/>
      <c r="ATT133" s="4"/>
      <c r="ATU133" s="4"/>
      <c r="ATV133" s="4"/>
      <c r="ATW133" s="4"/>
      <c r="ATX133" s="4"/>
      <c r="ATY133" s="4"/>
      <c r="ATZ133" s="4"/>
      <c r="AUA133" s="4"/>
      <c r="AUB133" s="4"/>
      <c r="AUC133" s="4"/>
      <c r="AUD133" s="4"/>
      <c r="AUE133" s="4"/>
      <c r="AUF133" s="4"/>
      <c r="AUG133" s="4"/>
      <c r="AUH133" s="4"/>
      <c r="AUI133" s="4"/>
      <c r="AUJ133" s="4"/>
      <c r="AUK133" s="4"/>
      <c r="AUL133" s="4"/>
      <c r="AUM133" s="4"/>
      <c r="AUN133" s="4"/>
      <c r="AUO133" s="4"/>
      <c r="AUP133" s="4"/>
      <c r="AUQ133" s="4"/>
      <c r="AUR133" s="4"/>
      <c r="AUS133" s="4"/>
      <c r="AUT133" s="4"/>
      <c r="AUU133" s="4"/>
      <c r="AUV133" s="4"/>
      <c r="AUW133" s="4"/>
      <c r="AUX133" s="4"/>
      <c r="AUY133" s="4"/>
      <c r="AUZ133" s="4"/>
      <c r="AVA133" s="4"/>
      <c r="AVB133" s="4"/>
      <c r="AVC133" s="4"/>
      <c r="AVD133" s="4"/>
      <c r="AVE133" s="4"/>
      <c r="AVF133" s="4"/>
      <c r="AVG133" s="4"/>
      <c r="AVH133" s="4"/>
      <c r="AVI133" s="4"/>
      <c r="AVJ133" s="4"/>
      <c r="AVK133" s="4"/>
      <c r="AVL133" s="4"/>
      <c r="AVM133" s="4"/>
      <c r="AVN133" s="4"/>
      <c r="AVO133" s="4"/>
      <c r="AVP133" s="4"/>
      <c r="AVQ133" s="4"/>
      <c r="AVR133" s="4"/>
      <c r="AVS133" s="4"/>
      <c r="AVT133" s="4"/>
      <c r="AVU133" s="4"/>
      <c r="AVV133" s="4"/>
      <c r="AVW133" s="4"/>
      <c r="AVX133" s="4"/>
      <c r="AVY133" s="4"/>
      <c r="AVZ133" s="4"/>
      <c r="AWA133" s="4"/>
      <c r="AWB133" s="4"/>
      <c r="AWC133" s="4"/>
      <c r="AWD133" s="4"/>
      <c r="AWE133" s="4"/>
      <c r="AWF133" s="4"/>
      <c r="AWG133" s="4"/>
      <c r="AWH133" s="4"/>
      <c r="AWI133" s="4"/>
      <c r="AWJ133" s="4"/>
      <c r="AWK133" s="4"/>
      <c r="AWL133" s="4"/>
      <c r="AWM133" s="4"/>
      <c r="AWN133" s="4"/>
      <c r="AWO133" s="4"/>
      <c r="AWP133" s="4"/>
      <c r="AWQ133" s="4"/>
      <c r="AWR133" s="4"/>
      <c r="AWS133" s="4"/>
      <c r="AWT133" s="4"/>
      <c r="AWU133" s="4"/>
      <c r="AWV133" s="4"/>
      <c r="AWW133" s="4"/>
      <c r="AWX133" s="4"/>
      <c r="AWY133" s="4"/>
      <c r="AWZ133" s="4"/>
      <c r="AXA133" s="4"/>
      <c r="AXB133" s="4"/>
      <c r="AXC133" s="4"/>
      <c r="AXD133" s="4"/>
      <c r="AXE133" s="4"/>
      <c r="AXF133" s="4"/>
      <c r="AXG133" s="4"/>
      <c r="AXH133" s="4"/>
      <c r="AXI133" s="4"/>
      <c r="AXJ133" s="4"/>
      <c r="AXK133" s="4"/>
      <c r="AXL133" s="4"/>
      <c r="AXM133" s="4"/>
      <c r="AXN133" s="4"/>
      <c r="AXO133" s="4"/>
      <c r="AXP133" s="4"/>
      <c r="AXQ133" s="4"/>
      <c r="AXR133" s="4"/>
      <c r="AXS133" s="4"/>
      <c r="AXT133" s="4"/>
      <c r="AXU133" s="4"/>
      <c r="AXV133" s="4"/>
      <c r="AXW133" s="4"/>
      <c r="AXX133" s="4"/>
      <c r="AXY133" s="4"/>
      <c r="AXZ133" s="4"/>
      <c r="AYA133" s="4"/>
      <c r="AYB133" s="4"/>
      <c r="AYC133" s="4"/>
      <c r="AYD133" s="4"/>
      <c r="AYE133" s="4"/>
      <c r="AYF133" s="4"/>
      <c r="AYG133" s="4"/>
      <c r="AYH133" s="4"/>
      <c r="AYI133" s="4"/>
      <c r="AYJ133" s="4"/>
      <c r="AYK133" s="4"/>
      <c r="AYL133" s="4"/>
      <c r="AYM133" s="4"/>
      <c r="AYN133" s="4"/>
      <c r="AYO133" s="4"/>
      <c r="AYP133" s="4"/>
      <c r="AYQ133" s="4"/>
      <c r="AYR133" s="4"/>
      <c r="AYS133" s="4"/>
      <c r="AYT133" s="4"/>
      <c r="AYU133" s="4"/>
      <c r="AYV133" s="4"/>
      <c r="AYW133" s="4"/>
      <c r="AYX133" s="4"/>
      <c r="AYY133" s="4"/>
      <c r="AYZ133" s="4"/>
      <c r="AZA133" s="4"/>
      <c r="AZB133" s="4"/>
      <c r="AZC133" s="4"/>
      <c r="AZD133" s="4"/>
      <c r="AZE133" s="4"/>
      <c r="AZF133" s="4"/>
      <c r="AZG133" s="4"/>
      <c r="AZH133" s="4"/>
      <c r="AZI133" s="4"/>
      <c r="AZJ133" s="4"/>
      <c r="AZK133" s="4"/>
      <c r="AZL133" s="4"/>
      <c r="AZM133" s="4"/>
      <c r="AZN133" s="4"/>
      <c r="AZO133" s="4"/>
      <c r="AZP133" s="4"/>
      <c r="AZQ133" s="4"/>
      <c r="AZR133" s="4"/>
      <c r="AZS133" s="4"/>
      <c r="AZT133" s="4"/>
      <c r="AZU133" s="4"/>
      <c r="AZV133" s="4"/>
      <c r="AZW133" s="4"/>
      <c r="AZX133" s="4"/>
      <c r="AZY133" s="4"/>
      <c r="AZZ133" s="4"/>
      <c r="BAA133" s="4"/>
      <c r="BAB133" s="4"/>
      <c r="BAC133" s="4"/>
      <c r="BAD133" s="4"/>
      <c r="BAE133" s="4"/>
      <c r="BAF133" s="4"/>
      <c r="BAG133" s="4"/>
      <c r="BAH133" s="4"/>
      <c r="BAI133" s="4"/>
      <c r="BAJ133" s="4"/>
      <c r="BAK133" s="4"/>
      <c r="BAL133" s="4"/>
      <c r="BAM133" s="4"/>
      <c r="BAN133" s="4"/>
      <c r="BAO133" s="4"/>
      <c r="BAP133" s="4"/>
      <c r="BAQ133" s="4"/>
      <c r="BAR133" s="4"/>
      <c r="BAS133" s="4"/>
      <c r="BAT133" s="4"/>
      <c r="BAU133" s="4"/>
      <c r="BAV133" s="4"/>
      <c r="BAW133" s="4"/>
      <c r="BAX133" s="4"/>
      <c r="BAY133" s="4"/>
      <c r="BAZ133" s="4"/>
      <c r="BBA133" s="4"/>
      <c r="BBB133" s="4"/>
      <c r="BBC133" s="4"/>
      <c r="BBD133" s="4"/>
      <c r="BBE133" s="4"/>
      <c r="BBF133" s="4"/>
      <c r="BBG133" s="4"/>
      <c r="BBH133" s="4"/>
      <c r="BBI133" s="4"/>
      <c r="BBJ133" s="4"/>
      <c r="BBK133" s="4"/>
      <c r="BBL133" s="4"/>
      <c r="BBM133" s="4"/>
      <c r="BBN133" s="4"/>
      <c r="BBO133" s="4"/>
      <c r="BBP133" s="4"/>
      <c r="BBQ133" s="4"/>
      <c r="BBR133" s="4"/>
      <c r="BBS133" s="4"/>
      <c r="BBT133" s="4"/>
      <c r="BBU133" s="4"/>
      <c r="BBV133" s="4"/>
      <c r="BBW133" s="4"/>
      <c r="BBX133" s="4"/>
      <c r="BBY133" s="4"/>
      <c r="BBZ133" s="4"/>
      <c r="BCA133" s="4"/>
      <c r="BCB133" s="4"/>
      <c r="BCC133" s="4"/>
      <c r="BCD133" s="4"/>
      <c r="BCE133" s="4"/>
      <c r="BCF133" s="4"/>
      <c r="BCG133" s="4"/>
      <c r="BCH133" s="4"/>
      <c r="BCI133" s="4"/>
      <c r="BCJ133" s="4"/>
      <c r="BCK133" s="4"/>
      <c r="BCL133" s="4"/>
      <c r="BCM133" s="4"/>
      <c r="BCN133" s="4"/>
      <c r="BCO133" s="4"/>
      <c r="BCP133" s="4"/>
      <c r="BCQ133" s="4"/>
      <c r="BCR133" s="4"/>
      <c r="BCS133" s="4"/>
      <c r="BCT133" s="4"/>
      <c r="BCU133" s="4"/>
      <c r="BCV133" s="4"/>
      <c r="BCW133" s="4"/>
      <c r="BCX133" s="4"/>
      <c r="BCY133" s="4"/>
      <c r="BCZ133" s="4"/>
      <c r="BDA133" s="4"/>
      <c r="BDB133" s="4"/>
      <c r="BDC133" s="4"/>
      <c r="BDD133" s="4"/>
      <c r="BDE133" s="4"/>
      <c r="BDF133" s="4"/>
      <c r="BDG133" s="4"/>
      <c r="BDH133" s="4"/>
      <c r="BDI133" s="4"/>
      <c r="BDJ133" s="4"/>
      <c r="BDK133" s="4"/>
      <c r="BDL133" s="4"/>
      <c r="BDM133" s="4"/>
      <c r="BDN133" s="4"/>
      <c r="BDO133" s="4"/>
      <c r="BDP133" s="4"/>
      <c r="BDQ133" s="4"/>
      <c r="BDR133" s="4"/>
      <c r="BDS133" s="4"/>
      <c r="BDT133" s="4"/>
      <c r="BDU133" s="4"/>
      <c r="BDV133" s="4"/>
      <c r="BDW133" s="4"/>
      <c r="BDX133" s="4"/>
      <c r="BDY133" s="4"/>
      <c r="BDZ133" s="4"/>
      <c r="BEA133" s="4"/>
      <c r="BEB133" s="4"/>
      <c r="BEC133" s="4"/>
      <c r="BED133" s="4"/>
      <c r="BEE133" s="4"/>
      <c r="BEF133" s="4"/>
      <c r="BEG133" s="4"/>
      <c r="BEH133" s="4"/>
      <c r="BEI133" s="4"/>
      <c r="BEJ133" s="4"/>
      <c r="BEK133" s="4"/>
      <c r="BEL133" s="4"/>
      <c r="BEM133" s="4"/>
      <c r="BEN133" s="4"/>
      <c r="BEO133" s="4"/>
      <c r="BEP133" s="4"/>
      <c r="BEQ133" s="4"/>
      <c r="BER133" s="4"/>
      <c r="BES133" s="4"/>
      <c r="BET133" s="4"/>
      <c r="BEU133" s="4"/>
      <c r="BEV133" s="4"/>
      <c r="BEW133" s="4"/>
      <c r="BEX133" s="4"/>
      <c r="BEY133" s="4"/>
      <c r="BEZ133" s="4"/>
      <c r="BFA133" s="4"/>
      <c r="BFB133" s="4"/>
      <c r="BFC133" s="4"/>
      <c r="BFD133" s="4"/>
      <c r="BFE133" s="4"/>
      <c r="BFF133" s="4"/>
      <c r="BFG133" s="4"/>
      <c r="BFH133" s="4"/>
      <c r="BFI133" s="4"/>
      <c r="BFJ133" s="4"/>
      <c r="BFK133" s="4"/>
      <c r="BFL133" s="4"/>
      <c r="BFM133" s="4"/>
      <c r="BFN133" s="4"/>
      <c r="BFO133" s="4"/>
      <c r="BFP133" s="4"/>
      <c r="BFQ133" s="4"/>
      <c r="BFR133" s="4"/>
      <c r="BFS133" s="4"/>
      <c r="BFT133" s="4"/>
      <c r="BFU133" s="4"/>
      <c r="BFV133" s="4"/>
      <c r="BFW133" s="4"/>
      <c r="BFX133" s="4"/>
      <c r="BFY133" s="4"/>
      <c r="BFZ133" s="4"/>
      <c r="BGA133" s="4"/>
      <c r="BGB133" s="4"/>
      <c r="BGC133" s="4"/>
      <c r="BGD133" s="4"/>
      <c r="BGE133" s="4"/>
      <c r="BGF133" s="4"/>
      <c r="BGG133" s="4"/>
      <c r="BGH133" s="4"/>
      <c r="BGI133" s="4"/>
      <c r="BGJ133" s="4"/>
      <c r="BGK133" s="4"/>
      <c r="BGL133" s="4"/>
      <c r="BGM133" s="4"/>
      <c r="BGN133" s="4"/>
      <c r="BGO133" s="4"/>
      <c r="BGP133" s="4"/>
      <c r="BGQ133" s="4"/>
      <c r="BGR133" s="4"/>
      <c r="BGS133" s="4"/>
      <c r="BGT133" s="4"/>
      <c r="BGU133" s="4"/>
      <c r="BGV133" s="4"/>
      <c r="BGW133" s="4"/>
      <c r="BGX133" s="4"/>
      <c r="BGY133" s="4"/>
      <c r="BGZ133" s="4"/>
      <c r="BHA133" s="4"/>
      <c r="BHB133" s="4"/>
      <c r="BHC133" s="4"/>
      <c r="BHD133" s="4"/>
      <c r="BHE133" s="4"/>
      <c r="BHF133" s="4"/>
      <c r="BHG133" s="4"/>
      <c r="BHH133" s="4"/>
      <c r="BHI133" s="4"/>
      <c r="BHJ133" s="4"/>
      <c r="BHK133" s="4"/>
      <c r="BHL133" s="4"/>
      <c r="BHM133" s="4"/>
      <c r="BHN133" s="4"/>
      <c r="BHO133" s="4"/>
      <c r="BHP133" s="4"/>
      <c r="BHQ133" s="4"/>
      <c r="BHR133" s="4"/>
      <c r="BHS133" s="4"/>
      <c r="BHT133" s="4"/>
      <c r="BHU133" s="4"/>
      <c r="BHV133" s="4"/>
      <c r="BHW133" s="4"/>
      <c r="BHX133" s="4"/>
      <c r="BHY133" s="4"/>
      <c r="BHZ133" s="4"/>
      <c r="BIA133" s="4"/>
      <c r="BIB133" s="4"/>
      <c r="BIC133" s="4"/>
      <c r="BID133" s="4"/>
      <c r="BIE133" s="4"/>
      <c r="BIF133" s="4"/>
      <c r="BIG133" s="4"/>
      <c r="BIH133" s="4"/>
      <c r="BII133" s="4"/>
      <c r="BIJ133" s="4"/>
      <c r="BIK133" s="4"/>
      <c r="BIL133" s="4"/>
      <c r="BIM133" s="4"/>
      <c r="BIN133" s="4"/>
      <c r="BIO133" s="4"/>
      <c r="BIP133" s="4"/>
      <c r="BIQ133" s="4"/>
      <c r="BIR133" s="4"/>
      <c r="BIS133" s="4"/>
      <c r="BIT133" s="4"/>
      <c r="BIU133" s="4"/>
      <c r="BIV133" s="4"/>
      <c r="BIW133" s="4"/>
      <c r="BIX133" s="4"/>
      <c r="BIY133" s="4"/>
      <c r="BIZ133" s="4"/>
      <c r="BJA133" s="4"/>
      <c r="BJB133" s="4"/>
      <c r="BJC133" s="4"/>
      <c r="BJD133" s="4"/>
      <c r="BJE133" s="4"/>
      <c r="BJF133" s="4"/>
      <c r="BJG133" s="4"/>
      <c r="BJH133" s="4"/>
      <c r="BJI133" s="4"/>
      <c r="BJJ133" s="4"/>
      <c r="BJK133" s="4"/>
      <c r="BJL133" s="4"/>
      <c r="BJM133" s="4"/>
      <c r="BJN133" s="4"/>
      <c r="BJO133" s="4"/>
      <c r="BJP133" s="4"/>
      <c r="BJQ133" s="4"/>
      <c r="BJR133" s="4"/>
      <c r="BJS133" s="4"/>
      <c r="BJT133" s="4"/>
      <c r="BJU133" s="4"/>
      <c r="BJV133" s="4"/>
      <c r="BJW133" s="4"/>
      <c r="BJX133" s="4"/>
      <c r="BJY133" s="4"/>
      <c r="BJZ133" s="4"/>
      <c r="BKA133" s="4"/>
      <c r="BKB133" s="4"/>
      <c r="BKC133" s="4"/>
      <c r="BKD133" s="4"/>
      <c r="BKE133" s="4"/>
      <c r="BKF133" s="4"/>
      <c r="BKG133" s="4"/>
      <c r="BKH133" s="4"/>
      <c r="BKI133" s="4"/>
      <c r="BKJ133" s="4"/>
      <c r="BKK133" s="4"/>
      <c r="BKL133" s="4"/>
      <c r="BKM133" s="4"/>
      <c r="BKN133" s="4"/>
      <c r="BKO133" s="4"/>
      <c r="BKP133" s="4"/>
      <c r="BKQ133" s="4"/>
      <c r="BKR133" s="4"/>
      <c r="BKS133" s="4"/>
      <c r="BKT133" s="4"/>
      <c r="BKU133" s="4"/>
      <c r="BKV133" s="4"/>
      <c r="BKW133" s="4"/>
      <c r="BKX133" s="4"/>
      <c r="BKY133" s="4"/>
      <c r="BKZ133" s="4"/>
      <c r="BLA133" s="4"/>
      <c r="BLB133" s="4"/>
      <c r="BLC133" s="4"/>
      <c r="BLD133" s="4"/>
      <c r="BLE133" s="4"/>
      <c r="BLF133" s="4"/>
      <c r="BLG133" s="4"/>
      <c r="BLH133" s="4"/>
      <c r="BLI133" s="4"/>
      <c r="BLJ133" s="4"/>
      <c r="BLK133" s="4"/>
      <c r="BLL133" s="4"/>
      <c r="BLM133" s="4"/>
      <c r="BLN133" s="4"/>
      <c r="BLO133" s="4"/>
      <c r="BLP133" s="4"/>
      <c r="BLQ133" s="4"/>
      <c r="BLR133" s="4"/>
      <c r="BLS133" s="4"/>
      <c r="BLT133" s="4"/>
      <c r="BLU133" s="4"/>
      <c r="BLV133" s="4"/>
      <c r="BLW133" s="4"/>
      <c r="BLX133" s="4"/>
      <c r="BLY133" s="4"/>
      <c r="BLZ133" s="4"/>
      <c r="BMA133" s="4"/>
      <c r="BMB133" s="4"/>
      <c r="BMC133" s="4"/>
      <c r="BMD133" s="4"/>
      <c r="BME133" s="4"/>
      <c r="BMF133" s="4"/>
      <c r="BMG133" s="4"/>
      <c r="BMH133" s="4"/>
      <c r="BMI133" s="4"/>
      <c r="BMJ133" s="4"/>
      <c r="BMK133" s="4"/>
      <c r="BML133" s="4"/>
      <c r="BMM133" s="4"/>
      <c r="BMN133" s="4"/>
      <c r="BMO133" s="4"/>
      <c r="BMP133" s="4"/>
      <c r="BMQ133" s="4"/>
      <c r="BMR133" s="4"/>
      <c r="BMS133" s="4"/>
      <c r="BMT133" s="4"/>
      <c r="BMU133" s="4"/>
      <c r="BMV133" s="4"/>
      <c r="BMW133" s="4"/>
      <c r="BMX133" s="4"/>
      <c r="BMY133" s="4"/>
      <c r="BMZ133" s="4"/>
      <c r="BNA133" s="4"/>
      <c r="BNB133" s="4"/>
      <c r="BNC133" s="4"/>
      <c r="BND133" s="4"/>
      <c r="BNE133" s="4"/>
      <c r="BNF133" s="4"/>
      <c r="BNG133" s="4"/>
      <c r="BNH133" s="4"/>
      <c r="BNI133" s="4"/>
      <c r="BNJ133" s="4"/>
      <c r="BNK133" s="4"/>
      <c r="BNL133" s="4"/>
      <c r="BNM133" s="4"/>
      <c r="BNN133" s="4"/>
      <c r="BNO133" s="4"/>
      <c r="BNP133" s="4"/>
      <c r="BNQ133" s="4"/>
      <c r="BNR133" s="4"/>
      <c r="BNS133" s="4"/>
      <c r="BNT133" s="4"/>
      <c r="BNU133" s="4"/>
      <c r="BNV133" s="4"/>
      <c r="BNW133" s="4"/>
      <c r="BNX133" s="4"/>
      <c r="BNY133" s="4"/>
      <c r="BNZ133" s="4"/>
      <c r="BOA133" s="4"/>
      <c r="BOB133" s="4"/>
      <c r="BOC133" s="4"/>
      <c r="BOD133" s="4"/>
      <c r="BOE133" s="4"/>
      <c r="BOF133" s="4"/>
      <c r="BOG133" s="4"/>
      <c r="BOH133" s="4"/>
      <c r="BOI133" s="4"/>
      <c r="BOJ133" s="4"/>
      <c r="BOK133" s="4"/>
      <c r="BOL133" s="4"/>
      <c r="BOM133" s="4"/>
      <c r="BON133" s="4"/>
      <c r="BOO133" s="4"/>
      <c r="BOP133" s="4"/>
      <c r="BOQ133" s="4"/>
      <c r="BOR133" s="4"/>
      <c r="BOS133" s="4"/>
      <c r="BOT133" s="4"/>
      <c r="BOU133" s="4"/>
      <c r="BOV133" s="4"/>
      <c r="BOW133" s="4"/>
      <c r="BOX133" s="4"/>
      <c r="BOY133" s="4"/>
      <c r="BOZ133" s="4"/>
      <c r="BPA133" s="4"/>
      <c r="BPB133" s="4"/>
      <c r="BPC133" s="4"/>
      <c r="BPD133" s="4"/>
      <c r="BPE133" s="4"/>
      <c r="BPF133" s="4"/>
      <c r="BPG133" s="4"/>
      <c r="BPH133" s="4"/>
      <c r="BPI133" s="4"/>
      <c r="BPJ133" s="4"/>
      <c r="BPK133" s="4"/>
      <c r="BPL133" s="4"/>
      <c r="BPM133" s="4"/>
      <c r="BPN133" s="4"/>
      <c r="BPO133" s="4"/>
      <c r="BPP133" s="4"/>
      <c r="BPQ133" s="4"/>
      <c r="BPR133" s="4"/>
      <c r="BPS133" s="4"/>
      <c r="BPT133" s="4"/>
      <c r="BPU133" s="4"/>
      <c r="BPV133" s="4"/>
      <c r="BPW133" s="4"/>
      <c r="BPX133" s="4"/>
      <c r="BPY133" s="4"/>
      <c r="BPZ133" s="4"/>
      <c r="BQA133" s="4"/>
      <c r="BQB133" s="4"/>
      <c r="BQC133" s="4"/>
      <c r="BQD133" s="4"/>
      <c r="BQE133" s="4"/>
      <c r="BQF133" s="4"/>
      <c r="BQG133" s="4"/>
      <c r="BQH133" s="4"/>
      <c r="BQI133" s="4"/>
      <c r="BQJ133" s="4"/>
      <c r="BQK133" s="4"/>
      <c r="BQL133" s="4"/>
      <c r="BQM133" s="4"/>
      <c r="BQN133" s="4"/>
      <c r="BQO133" s="4"/>
      <c r="BQP133" s="4"/>
      <c r="BQQ133" s="4"/>
      <c r="BQR133" s="4"/>
      <c r="BQS133" s="4"/>
      <c r="BQT133" s="4"/>
      <c r="BQU133" s="4"/>
      <c r="BQV133" s="4"/>
      <c r="BQW133" s="4"/>
      <c r="BQX133" s="4"/>
      <c r="BQY133" s="4"/>
      <c r="BQZ133" s="4"/>
      <c r="BRA133" s="4"/>
      <c r="BRB133" s="4"/>
      <c r="BRC133" s="4"/>
      <c r="BRD133" s="4"/>
      <c r="BRE133" s="4"/>
      <c r="BRF133" s="4"/>
      <c r="BRG133" s="4"/>
      <c r="BRH133" s="4"/>
      <c r="BRI133" s="4"/>
      <c r="BRJ133" s="4"/>
      <c r="BRK133" s="4"/>
      <c r="BRL133" s="4"/>
      <c r="BRM133" s="4"/>
      <c r="BRN133" s="4"/>
      <c r="BRO133" s="4"/>
      <c r="BRP133" s="4"/>
      <c r="BRQ133" s="4"/>
      <c r="BRR133" s="4"/>
      <c r="BRS133" s="4"/>
      <c r="BRT133" s="4"/>
      <c r="BRU133" s="4"/>
      <c r="BRV133" s="4"/>
      <c r="BRW133" s="4"/>
      <c r="BRX133" s="4"/>
      <c r="BRY133" s="4"/>
      <c r="BRZ133" s="4"/>
      <c r="BSA133" s="4"/>
      <c r="BSB133" s="4"/>
      <c r="BSC133" s="4"/>
      <c r="BSD133" s="4"/>
      <c r="BSE133" s="4"/>
      <c r="BSF133" s="4"/>
      <c r="BSG133" s="4"/>
      <c r="BSH133" s="4"/>
      <c r="BSI133" s="4"/>
      <c r="BSJ133" s="4"/>
      <c r="BSK133" s="4"/>
      <c r="BSL133" s="4"/>
      <c r="BSM133" s="4"/>
      <c r="BSN133" s="4"/>
      <c r="BSO133" s="4"/>
      <c r="BSP133" s="4"/>
      <c r="BSQ133" s="4"/>
      <c r="BSR133" s="4"/>
      <c r="BSS133" s="4"/>
      <c r="BST133" s="4"/>
      <c r="BSU133" s="4"/>
      <c r="BSV133" s="4"/>
      <c r="BSW133" s="4"/>
      <c r="BSX133" s="4"/>
      <c r="BSY133" s="4"/>
      <c r="BSZ133" s="4"/>
      <c r="BTA133" s="4"/>
      <c r="BTB133" s="4"/>
      <c r="BTC133" s="4"/>
      <c r="BTD133" s="4"/>
      <c r="BTE133" s="4"/>
      <c r="BTF133" s="4"/>
      <c r="BTG133" s="4"/>
      <c r="BTH133" s="4"/>
      <c r="BTI133" s="4"/>
      <c r="BTJ133" s="4"/>
      <c r="BTK133" s="4"/>
      <c r="BTL133" s="4"/>
      <c r="BTM133" s="4"/>
      <c r="BTN133" s="4"/>
      <c r="BTO133" s="4"/>
      <c r="BTP133" s="4"/>
      <c r="BTQ133" s="4"/>
      <c r="BTR133" s="4"/>
      <c r="BTS133" s="4"/>
      <c r="BTT133" s="4"/>
      <c r="BTU133" s="4"/>
      <c r="BTV133" s="4"/>
      <c r="BTW133" s="4"/>
      <c r="BTX133" s="4"/>
      <c r="BTY133" s="4"/>
      <c r="BTZ133" s="4"/>
      <c r="BUA133" s="4"/>
      <c r="BUB133" s="4"/>
      <c r="BUC133" s="4"/>
      <c r="BUD133" s="4"/>
      <c r="BUE133" s="4"/>
      <c r="BUF133" s="4"/>
      <c r="BUG133" s="4"/>
      <c r="BUH133" s="4"/>
      <c r="BUI133" s="4"/>
      <c r="BUJ133" s="4"/>
      <c r="BUK133" s="4"/>
      <c r="BUL133" s="4"/>
      <c r="BUM133" s="4"/>
      <c r="BUN133" s="4"/>
      <c r="BUO133" s="4"/>
      <c r="BUP133" s="4"/>
      <c r="BUQ133" s="4"/>
      <c r="BUR133" s="4"/>
      <c r="BUS133" s="4"/>
      <c r="BUT133" s="4"/>
      <c r="BUU133" s="4"/>
      <c r="BUV133" s="4"/>
      <c r="BUW133" s="4"/>
      <c r="BUX133" s="4"/>
      <c r="BUY133" s="4"/>
      <c r="BUZ133" s="4"/>
      <c r="BVA133" s="4"/>
      <c r="BVB133" s="4"/>
      <c r="BVC133" s="4"/>
      <c r="BVD133" s="4"/>
      <c r="BVE133" s="4"/>
      <c r="BVF133" s="4"/>
      <c r="BVG133" s="4"/>
      <c r="BVH133" s="4"/>
      <c r="BVI133" s="4"/>
      <c r="BVJ133" s="4"/>
      <c r="BVK133" s="4"/>
      <c r="BVL133" s="4"/>
      <c r="BVM133" s="4"/>
      <c r="BVN133" s="4"/>
      <c r="BVO133" s="4"/>
      <c r="BVP133" s="4"/>
      <c r="BVQ133" s="4"/>
      <c r="BVR133" s="4"/>
      <c r="BVS133" s="4"/>
      <c r="BVT133" s="4"/>
      <c r="BVU133" s="4"/>
      <c r="BVV133" s="4"/>
      <c r="BVW133" s="4"/>
      <c r="BVX133" s="4"/>
      <c r="BVY133" s="4"/>
      <c r="BVZ133" s="4"/>
      <c r="BWA133" s="4"/>
      <c r="BWB133" s="4"/>
      <c r="BWC133" s="4"/>
      <c r="BWD133" s="4"/>
      <c r="BWE133" s="4"/>
      <c r="BWF133" s="4"/>
      <c r="BWG133" s="4"/>
      <c r="BWH133" s="4"/>
      <c r="BWI133" s="4"/>
      <c r="BWJ133" s="4"/>
      <c r="BWK133" s="4"/>
      <c r="BWL133" s="4"/>
      <c r="BWM133" s="4"/>
      <c r="BWN133" s="4"/>
      <c r="BWO133" s="4"/>
      <c r="BWP133" s="4"/>
      <c r="BWQ133" s="4"/>
      <c r="BWR133" s="4"/>
      <c r="BWS133" s="4"/>
      <c r="BWT133" s="4"/>
      <c r="BWU133" s="4"/>
      <c r="BWV133" s="4"/>
      <c r="BWW133" s="4"/>
      <c r="BWX133" s="4"/>
      <c r="BWY133" s="4"/>
      <c r="BWZ133" s="4"/>
      <c r="BXA133" s="4"/>
      <c r="BXB133" s="4"/>
      <c r="BXC133" s="4"/>
      <c r="BXD133" s="4"/>
      <c r="BXE133" s="4"/>
      <c r="BXF133" s="4"/>
      <c r="BXG133" s="4"/>
      <c r="BXH133" s="4"/>
      <c r="BXI133" s="4"/>
      <c r="BXJ133" s="4"/>
      <c r="BXK133" s="4"/>
      <c r="BXL133" s="4"/>
      <c r="BXM133" s="4"/>
      <c r="BXN133" s="4"/>
      <c r="BXO133" s="4"/>
      <c r="BXP133" s="4"/>
      <c r="BXQ133" s="4"/>
      <c r="BXR133" s="4"/>
      <c r="BXS133" s="4"/>
      <c r="BXT133" s="4"/>
      <c r="BXU133" s="4"/>
      <c r="BXV133" s="4"/>
      <c r="BXW133" s="4"/>
      <c r="BXX133" s="4"/>
      <c r="BXY133" s="4"/>
      <c r="BXZ133" s="4"/>
      <c r="BYA133" s="4"/>
      <c r="BYB133" s="4"/>
      <c r="BYC133" s="4"/>
      <c r="BYD133" s="4"/>
      <c r="BYE133" s="4"/>
      <c r="BYF133" s="4"/>
      <c r="BYG133" s="4"/>
      <c r="BYH133" s="4"/>
      <c r="BYI133" s="4"/>
      <c r="BYJ133" s="4"/>
      <c r="BYK133" s="4"/>
      <c r="BYL133" s="4"/>
      <c r="BYM133" s="4"/>
      <c r="BYN133" s="4"/>
      <c r="BYO133" s="4"/>
      <c r="BYP133" s="4"/>
      <c r="BYQ133" s="4"/>
      <c r="BYR133" s="4"/>
      <c r="BYS133" s="4"/>
      <c r="BYT133" s="4"/>
      <c r="BYU133" s="4"/>
      <c r="BYV133" s="4"/>
      <c r="BYW133" s="4"/>
      <c r="BYX133" s="4"/>
      <c r="BYY133" s="4"/>
      <c r="BYZ133" s="4"/>
      <c r="BZA133" s="4"/>
      <c r="BZB133" s="4"/>
      <c r="BZC133" s="4"/>
      <c r="BZD133" s="4"/>
      <c r="BZE133" s="4"/>
      <c r="BZF133" s="4"/>
      <c r="BZG133" s="4"/>
      <c r="BZH133" s="4"/>
      <c r="BZI133" s="4"/>
      <c r="BZJ133" s="4"/>
      <c r="BZK133" s="4"/>
      <c r="BZL133" s="4"/>
      <c r="BZM133" s="4"/>
      <c r="BZN133" s="4"/>
      <c r="BZO133" s="4"/>
      <c r="BZP133" s="4"/>
      <c r="BZQ133" s="4"/>
      <c r="BZR133" s="4"/>
      <c r="BZS133" s="4"/>
      <c r="BZT133" s="4"/>
      <c r="BZU133" s="4"/>
      <c r="BZV133" s="4"/>
      <c r="BZW133" s="4"/>
      <c r="BZX133" s="4"/>
      <c r="BZY133" s="4"/>
      <c r="BZZ133" s="4"/>
      <c r="CAA133" s="4"/>
      <c r="CAB133" s="4"/>
      <c r="CAC133" s="4"/>
      <c r="CAD133" s="4"/>
      <c r="CAE133" s="4"/>
      <c r="CAF133" s="4"/>
      <c r="CAG133" s="4"/>
      <c r="CAH133" s="4"/>
      <c r="CAI133" s="4"/>
      <c r="CAJ133" s="4"/>
      <c r="CAK133" s="4"/>
      <c r="CAL133" s="4"/>
      <c r="CAM133" s="4"/>
      <c r="CAN133" s="4"/>
      <c r="CAO133" s="4"/>
      <c r="CAP133" s="4"/>
      <c r="CAQ133" s="4"/>
      <c r="CAR133" s="4"/>
      <c r="CAS133" s="4"/>
      <c r="CAT133" s="4"/>
      <c r="CAU133" s="4"/>
      <c r="CAV133" s="4"/>
      <c r="CAW133" s="4"/>
      <c r="CAX133" s="4"/>
      <c r="CAY133" s="4"/>
      <c r="CAZ133" s="4"/>
      <c r="CBA133" s="4"/>
      <c r="CBB133" s="4"/>
      <c r="CBC133" s="4"/>
      <c r="CBD133" s="4"/>
      <c r="CBE133" s="4"/>
      <c r="CBF133" s="4"/>
      <c r="CBG133" s="4"/>
      <c r="CBH133" s="4"/>
      <c r="CBI133" s="4"/>
      <c r="CBJ133" s="4"/>
      <c r="CBK133" s="4"/>
      <c r="CBL133" s="4"/>
      <c r="CBM133" s="4"/>
      <c r="CBN133" s="4"/>
      <c r="CBO133" s="4"/>
      <c r="CBP133" s="4"/>
      <c r="CBQ133" s="4"/>
      <c r="CBR133" s="4"/>
      <c r="CBS133" s="4"/>
      <c r="CBT133" s="4"/>
      <c r="CBU133" s="4"/>
      <c r="CBV133" s="4"/>
      <c r="CBW133" s="4"/>
      <c r="CBX133" s="4"/>
      <c r="CBY133" s="4"/>
      <c r="CBZ133" s="4"/>
      <c r="CCA133" s="4"/>
      <c r="CCB133" s="4"/>
      <c r="CCC133" s="4"/>
      <c r="CCD133" s="4"/>
      <c r="CCE133" s="4"/>
      <c r="CCF133" s="4"/>
      <c r="CCG133" s="4"/>
      <c r="CCH133" s="4"/>
      <c r="CCI133" s="4"/>
      <c r="CCJ133" s="4"/>
      <c r="CCK133" s="4"/>
      <c r="CCL133" s="4"/>
      <c r="CCM133" s="4"/>
      <c r="CCN133" s="4"/>
      <c r="CCO133" s="4"/>
      <c r="CCP133" s="4"/>
      <c r="CCQ133" s="4"/>
      <c r="CCR133" s="4"/>
      <c r="CCS133" s="4"/>
      <c r="CCT133" s="4"/>
      <c r="CCU133" s="4"/>
      <c r="CCV133" s="4"/>
      <c r="CCW133" s="4"/>
      <c r="CCX133" s="4"/>
      <c r="CCY133" s="4"/>
      <c r="CCZ133" s="4"/>
      <c r="CDA133" s="4"/>
      <c r="CDB133" s="4"/>
      <c r="CDC133" s="4"/>
      <c r="CDD133" s="4"/>
      <c r="CDE133" s="4"/>
      <c r="CDF133" s="4"/>
      <c r="CDG133" s="4"/>
      <c r="CDH133" s="4"/>
      <c r="CDI133" s="4"/>
      <c r="CDJ133" s="4"/>
      <c r="CDK133" s="4"/>
      <c r="CDL133" s="4"/>
      <c r="CDM133" s="4"/>
      <c r="CDN133" s="4"/>
      <c r="CDO133" s="4"/>
      <c r="CDP133" s="4"/>
      <c r="CDQ133" s="4"/>
      <c r="CDR133" s="4"/>
      <c r="CDS133" s="4"/>
      <c r="CDT133" s="4"/>
      <c r="CDU133" s="4"/>
      <c r="CDV133" s="4"/>
      <c r="CDW133" s="4"/>
      <c r="CDX133" s="4"/>
      <c r="CDY133" s="4"/>
      <c r="CDZ133" s="4"/>
      <c r="CEA133" s="4"/>
      <c r="CEB133" s="4"/>
      <c r="CEC133" s="4"/>
      <c r="CED133" s="4"/>
      <c r="CEE133" s="4"/>
      <c r="CEF133" s="4"/>
      <c r="CEG133" s="4"/>
      <c r="CEH133" s="4"/>
      <c r="CEI133" s="4"/>
      <c r="CEJ133" s="4"/>
      <c r="CEK133" s="4"/>
      <c r="CEL133" s="4"/>
      <c r="CEM133" s="4"/>
      <c r="CEN133" s="4"/>
      <c r="CEO133" s="4"/>
      <c r="CEP133" s="4"/>
      <c r="CEQ133" s="4"/>
      <c r="CER133" s="4"/>
      <c r="CES133" s="4"/>
      <c r="CET133" s="4"/>
      <c r="CEU133" s="4"/>
      <c r="CEV133" s="4"/>
      <c r="CEW133" s="4"/>
      <c r="CEX133" s="4"/>
      <c r="CEY133" s="4"/>
      <c r="CEZ133" s="4"/>
      <c r="CFA133" s="4"/>
      <c r="CFB133" s="4"/>
      <c r="CFC133" s="4"/>
      <c r="CFD133" s="4"/>
      <c r="CFE133" s="4"/>
      <c r="CFF133" s="4"/>
      <c r="CFG133" s="4"/>
      <c r="CFH133" s="4"/>
      <c r="CFI133" s="4"/>
      <c r="CFJ133" s="4"/>
      <c r="CFK133" s="4"/>
      <c r="CFL133" s="4"/>
      <c r="CFM133" s="4"/>
      <c r="CFN133" s="4"/>
      <c r="CFO133" s="4"/>
      <c r="CFP133" s="4"/>
      <c r="CFQ133" s="4"/>
      <c r="CFR133" s="4"/>
      <c r="CFS133" s="4"/>
      <c r="CFT133" s="4"/>
      <c r="CFU133" s="4"/>
      <c r="CFV133" s="4"/>
      <c r="CFW133" s="4"/>
      <c r="CFX133" s="4"/>
      <c r="CFY133" s="4"/>
      <c r="CFZ133" s="4"/>
      <c r="CGA133" s="4"/>
      <c r="CGB133" s="4"/>
      <c r="CGC133" s="4"/>
      <c r="CGD133" s="4"/>
      <c r="CGE133" s="4"/>
      <c r="CGF133" s="4"/>
      <c r="CGG133" s="4"/>
      <c r="CGH133" s="4"/>
      <c r="CGI133" s="4"/>
      <c r="CGJ133" s="4"/>
      <c r="CGK133" s="4"/>
      <c r="CGL133" s="4"/>
      <c r="CGM133" s="4"/>
      <c r="CGN133" s="4"/>
      <c r="CGO133" s="4"/>
      <c r="CGP133" s="4"/>
      <c r="CGQ133" s="4"/>
      <c r="CGR133" s="4"/>
      <c r="CGS133" s="4"/>
      <c r="CGT133" s="4"/>
      <c r="CGU133" s="4"/>
      <c r="CGV133" s="4"/>
      <c r="CGW133" s="4"/>
      <c r="CGX133" s="4"/>
      <c r="CGY133" s="4"/>
      <c r="CGZ133" s="4"/>
      <c r="CHA133" s="4"/>
      <c r="CHB133" s="4"/>
      <c r="CHC133" s="4"/>
      <c r="CHD133" s="4"/>
      <c r="CHE133" s="4"/>
      <c r="CHF133" s="4"/>
      <c r="CHG133" s="4"/>
      <c r="CHH133" s="4"/>
      <c r="CHI133" s="4"/>
      <c r="CHJ133" s="4"/>
      <c r="CHK133" s="4"/>
      <c r="CHL133" s="4"/>
      <c r="CHM133" s="4"/>
      <c r="CHN133" s="4"/>
      <c r="CHO133" s="4"/>
      <c r="CHP133" s="4"/>
      <c r="CHQ133" s="4"/>
      <c r="CHR133" s="4"/>
      <c r="CHS133" s="4"/>
      <c r="CHT133" s="4"/>
      <c r="CHU133" s="4"/>
      <c r="CHV133" s="4"/>
      <c r="CHW133" s="4"/>
      <c r="CHX133" s="4"/>
      <c r="CHY133" s="4"/>
      <c r="CHZ133" s="4"/>
      <c r="CIA133" s="4"/>
      <c r="CIB133" s="4"/>
      <c r="CIC133" s="4"/>
      <c r="CID133" s="4"/>
      <c r="CIE133" s="4"/>
      <c r="CIF133" s="4"/>
      <c r="CIG133" s="4"/>
      <c r="CIH133" s="4"/>
      <c r="CII133" s="4"/>
      <c r="CIJ133" s="4"/>
      <c r="CIK133" s="4"/>
      <c r="CIL133" s="4"/>
      <c r="CIM133" s="4"/>
      <c r="CIN133" s="4"/>
      <c r="CIO133" s="4"/>
      <c r="CIP133" s="4"/>
      <c r="CIQ133" s="4"/>
      <c r="CIR133" s="4"/>
      <c r="CIS133" s="4"/>
      <c r="CIT133" s="4"/>
      <c r="CIU133" s="4"/>
      <c r="CIV133" s="4"/>
      <c r="CIW133" s="4"/>
      <c r="CIX133" s="4"/>
      <c r="CIY133" s="4"/>
      <c r="CIZ133" s="4"/>
      <c r="CJA133" s="4"/>
      <c r="CJB133" s="4"/>
      <c r="CJC133" s="4"/>
      <c r="CJD133" s="4"/>
      <c r="CJE133" s="4"/>
      <c r="CJF133" s="4"/>
      <c r="CJG133" s="4"/>
      <c r="CJH133" s="4"/>
      <c r="CJI133" s="4"/>
      <c r="CJJ133" s="4"/>
      <c r="CJK133" s="4"/>
      <c r="CJL133" s="4"/>
      <c r="CJM133" s="4"/>
      <c r="CJN133" s="4"/>
      <c r="CJO133" s="4"/>
      <c r="CJP133" s="4"/>
      <c r="CJQ133" s="4"/>
      <c r="CJR133" s="4"/>
      <c r="CJS133" s="4"/>
      <c r="CJT133" s="4"/>
      <c r="CJU133" s="4"/>
      <c r="CJV133" s="4"/>
      <c r="CJW133" s="4"/>
      <c r="CJX133" s="4"/>
      <c r="CJY133" s="4"/>
      <c r="CJZ133" s="4"/>
      <c r="CKA133" s="4"/>
      <c r="CKB133" s="4"/>
      <c r="CKC133" s="4"/>
      <c r="CKD133" s="4"/>
      <c r="CKE133" s="4"/>
      <c r="CKF133" s="4"/>
      <c r="CKG133" s="4"/>
      <c r="CKH133" s="4"/>
      <c r="CKI133" s="4"/>
      <c r="CKJ133" s="4"/>
      <c r="CKK133" s="4"/>
      <c r="CKL133" s="4"/>
      <c r="CKM133" s="4"/>
      <c r="CKN133" s="4"/>
      <c r="CKO133" s="4"/>
      <c r="CKP133" s="4"/>
      <c r="CKQ133" s="4"/>
      <c r="CKR133" s="4"/>
      <c r="CKS133" s="4"/>
      <c r="CKT133" s="4"/>
      <c r="CKU133" s="4"/>
      <c r="CKV133" s="4"/>
      <c r="CKW133" s="4"/>
      <c r="CKX133" s="4"/>
      <c r="CKY133" s="4"/>
      <c r="CKZ133" s="4"/>
      <c r="CLA133" s="4"/>
      <c r="CLB133" s="4"/>
      <c r="CLC133" s="4"/>
      <c r="CLD133" s="4"/>
      <c r="CLE133" s="4"/>
      <c r="CLF133" s="4"/>
      <c r="CLG133" s="4"/>
      <c r="CLH133" s="4"/>
      <c r="CLI133" s="4"/>
      <c r="CLJ133" s="4"/>
      <c r="CLK133" s="4"/>
      <c r="CLL133" s="4"/>
      <c r="CLM133" s="4"/>
      <c r="CLN133" s="4"/>
      <c r="CLO133" s="4"/>
      <c r="CLP133" s="4"/>
      <c r="CLQ133" s="4"/>
      <c r="CLR133" s="4"/>
      <c r="CLS133" s="4"/>
      <c r="CLT133" s="4"/>
      <c r="CLU133" s="4"/>
      <c r="CLV133" s="4"/>
      <c r="CLW133" s="4"/>
      <c r="CLX133" s="4"/>
      <c r="CLY133" s="4"/>
      <c r="CLZ133" s="4"/>
      <c r="CMA133" s="4"/>
      <c r="CMB133" s="4"/>
      <c r="CMC133" s="4"/>
      <c r="CMD133" s="4"/>
      <c r="CME133" s="4"/>
      <c r="CMF133" s="4"/>
      <c r="CMG133" s="4"/>
      <c r="CMH133" s="4"/>
      <c r="CMI133" s="4"/>
      <c r="CMJ133" s="4"/>
      <c r="CMK133" s="4"/>
      <c r="CML133" s="4"/>
      <c r="CMM133" s="4"/>
      <c r="CMN133" s="4"/>
      <c r="CMO133" s="4"/>
      <c r="CMP133" s="4"/>
      <c r="CMQ133" s="4"/>
      <c r="CMR133" s="4"/>
      <c r="CMS133" s="4"/>
      <c r="CMT133" s="4"/>
      <c r="CMU133" s="4"/>
      <c r="CMV133" s="4"/>
      <c r="CMW133" s="4"/>
      <c r="CMX133" s="4"/>
      <c r="CMY133" s="4"/>
      <c r="CMZ133" s="4"/>
      <c r="CNA133" s="4"/>
      <c r="CNB133" s="4"/>
      <c r="CNC133" s="4"/>
      <c r="CND133" s="4"/>
      <c r="CNE133" s="4"/>
      <c r="CNF133" s="4"/>
      <c r="CNG133" s="4"/>
      <c r="CNH133" s="4"/>
      <c r="CNI133" s="4"/>
      <c r="CNJ133" s="4"/>
      <c r="CNK133" s="4"/>
      <c r="CNL133" s="4"/>
      <c r="CNM133" s="4"/>
      <c r="CNN133" s="4"/>
      <c r="CNO133" s="4"/>
      <c r="CNP133" s="4"/>
      <c r="CNQ133" s="4"/>
      <c r="CNR133" s="4"/>
      <c r="CNS133" s="4"/>
      <c r="CNT133" s="4"/>
      <c r="CNU133" s="4"/>
      <c r="CNV133" s="4"/>
      <c r="CNW133" s="4"/>
      <c r="CNX133" s="4"/>
      <c r="CNY133" s="4"/>
      <c r="CNZ133" s="4"/>
      <c r="COA133" s="4"/>
      <c r="COB133" s="4"/>
      <c r="COC133" s="4"/>
      <c r="COD133" s="4"/>
      <c r="COE133" s="4"/>
      <c r="COF133" s="4"/>
      <c r="COG133" s="4"/>
      <c r="COH133" s="4"/>
      <c r="COI133" s="4"/>
      <c r="COJ133" s="4"/>
      <c r="COK133" s="4"/>
      <c r="COL133" s="4"/>
      <c r="COM133" s="4"/>
      <c r="CON133" s="4"/>
      <c r="COO133" s="4"/>
      <c r="COP133" s="4"/>
      <c r="COQ133" s="4"/>
      <c r="COR133" s="4"/>
      <c r="COS133" s="4"/>
      <c r="COT133" s="4"/>
      <c r="COU133" s="4"/>
      <c r="COV133" s="4"/>
      <c r="COW133" s="4"/>
      <c r="COX133" s="4"/>
      <c r="COY133" s="4"/>
      <c r="COZ133" s="4"/>
      <c r="CPA133" s="4"/>
      <c r="CPB133" s="4"/>
      <c r="CPC133" s="4"/>
      <c r="CPD133" s="4"/>
      <c r="CPE133" s="4"/>
      <c r="CPF133" s="4"/>
      <c r="CPG133" s="4"/>
      <c r="CPH133" s="4"/>
      <c r="CPI133" s="4"/>
      <c r="CPJ133" s="4"/>
      <c r="CPK133" s="4"/>
      <c r="CPL133" s="4"/>
      <c r="CPM133" s="4"/>
      <c r="CPN133" s="4"/>
      <c r="CPO133" s="4"/>
      <c r="CPP133" s="4"/>
      <c r="CPQ133" s="4"/>
      <c r="CPR133" s="4"/>
      <c r="CPS133" s="4"/>
      <c r="CPT133" s="4"/>
      <c r="CPU133" s="4"/>
      <c r="CPV133" s="4"/>
      <c r="CPW133" s="4"/>
      <c r="CPX133" s="4"/>
      <c r="CPY133" s="4"/>
      <c r="CPZ133" s="4"/>
      <c r="CQA133" s="4"/>
      <c r="CQB133" s="4"/>
      <c r="CQC133" s="4"/>
      <c r="CQD133" s="4"/>
      <c r="CQE133" s="4"/>
      <c r="CQF133" s="4"/>
      <c r="CQG133" s="4"/>
      <c r="CQH133" s="4"/>
      <c r="CQI133" s="4"/>
      <c r="CQJ133" s="4"/>
      <c r="CQK133" s="4"/>
      <c r="CQL133" s="4"/>
      <c r="CQM133" s="4"/>
      <c r="CQN133" s="4"/>
      <c r="CQO133" s="4"/>
      <c r="CQP133" s="4"/>
      <c r="CQQ133" s="4"/>
      <c r="CQR133" s="4"/>
      <c r="CQS133" s="4"/>
      <c r="CQT133" s="4"/>
      <c r="CQU133" s="4"/>
      <c r="CQV133" s="4"/>
      <c r="CQW133" s="4"/>
      <c r="CQX133" s="4"/>
      <c r="CQY133" s="4"/>
      <c r="CQZ133" s="4"/>
      <c r="CRA133" s="4"/>
      <c r="CRB133" s="4"/>
      <c r="CRC133" s="4"/>
      <c r="CRD133" s="4"/>
      <c r="CRE133" s="4"/>
      <c r="CRF133" s="4"/>
      <c r="CRG133" s="4"/>
      <c r="CRH133" s="4"/>
      <c r="CRI133" s="4"/>
      <c r="CRJ133" s="4"/>
      <c r="CRK133" s="4"/>
      <c r="CRL133" s="4"/>
      <c r="CRM133" s="4"/>
      <c r="CRN133" s="4"/>
      <c r="CRO133" s="4"/>
      <c r="CRP133" s="4"/>
      <c r="CRQ133" s="4"/>
      <c r="CRR133" s="4"/>
      <c r="CRS133" s="4"/>
      <c r="CRT133" s="4"/>
      <c r="CRU133" s="4"/>
      <c r="CRV133" s="4"/>
      <c r="CRW133" s="4"/>
      <c r="CRX133" s="4"/>
      <c r="CRY133" s="4"/>
      <c r="CRZ133" s="4"/>
      <c r="CSA133" s="4"/>
      <c r="CSB133" s="4"/>
      <c r="CSC133" s="4"/>
      <c r="CSD133" s="4"/>
      <c r="CSE133" s="4"/>
      <c r="CSF133" s="4"/>
      <c r="CSG133" s="4"/>
      <c r="CSH133" s="4"/>
      <c r="CSI133" s="4"/>
      <c r="CSJ133" s="4"/>
      <c r="CSK133" s="4"/>
      <c r="CSL133" s="4"/>
      <c r="CSM133" s="4"/>
      <c r="CSN133" s="4"/>
      <c r="CSO133" s="4"/>
      <c r="CSP133" s="4"/>
      <c r="CSQ133" s="4"/>
      <c r="CSR133" s="4"/>
      <c r="CSS133" s="4"/>
      <c r="CST133" s="4"/>
      <c r="CSU133" s="4"/>
      <c r="CSV133" s="4"/>
      <c r="CSW133" s="4"/>
      <c r="CSX133" s="4"/>
      <c r="CSY133" s="4"/>
      <c r="CSZ133" s="4"/>
      <c r="CTA133" s="4"/>
      <c r="CTB133" s="4"/>
      <c r="CTC133" s="4"/>
      <c r="CTD133" s="4"/>
      <c r="CTE133" s="4"/>
      <c r="CTF133" s="4"/>
      <c r="CTG133" s="4"/>
      <c r="CTH133" s="4"/>
      <c r="CTI133" s="4"/>
      <c r="CTJ133" s="4"/>
      <c r="CTK133" s="4"/>
      <c r="CTL133" s="4"/>
      <c r="CTM133" s="4"/>
      <c r="CTN133" s="4"/>
      <c r="CTO133" s="4"/>
      <c r="CTP133" s="4"/>
      <c r="CTQ133" s="4"/>
      <c r="CTR133" s="4"/>
      <c r="CTS133" s="4"/>
      <c r="CTT133" s="4"/>
      <c r="CTU133" s="4"/>
      <c r="CTV133" s="4"/>
      <c r="CTW133" s="4"/>
      <c r="CTX133" s="4"/>
      <c r="CTY133" s="4"/>
      <c r="CTZ133" s="4"/>
      <c r="CUA133" s="4"/>
      <c r="CUB133" s="4"/>
      <c r="CUC133" s="4"/>
      <c r="CUD133" s="4"/>
      <c r="CUE133" s="4"/>
      <c r="CUF133" s="4"/>
      <c r="CUG133" s="4"/>
      <c r="CUH133" s="4"/>
      <c r="CUI133" s="4"/>
      <c r="CUJ133" s="4"/>
      <c r="CUK133" s="4"/>
      <c r="CUL133" s="4"/>
      <c r="CUM133" s="4"/>
      <c r="CUN133" s="4"/>
      <c r="CUO133" s="4"/>
      <c r="CUP133" s="4"/>
      <c r="CUQ133" s="4"/>
      <c r="CUR133" s="4"/>
      <c r="CUS133" s="4"/>
      <c r="CUT133" s="4"/>
      <c r="CUU133" s="4"/>
      <c r="CUV133" s="4"/>
      <c r="CUW133" s="4"/>
      <c r="CUX133" s="4"/>
      <c r="CUY133" s="4"/>
      <c r="CUZ133" s="4"/>
      <c r="CVA133" s="4"/>
      <c r="CVB133" s="4"/>
      <c r="CVC133" s="4"/>
      <c r="CVD133" s="4"/>
      <c r="CVE133" s="4"/>
      <c r="CVF133" s="4"/>
      <c r="CVG133" s="4"/>
      <c r="CVH133" s="4"/>
      <c r="CVI133" s="4"/>
      <c r="CVJ133" s="4"/>
      <c r="CVK133" s="4"/>
      <c r="CVL133" s="4"/>
      <c r="CVM133" s="4"/>
      <c r="CVN133" s="4"/>
      <c r="CVO133" s="4"/>
      <c r="CVP133" s="4"/>
      <c r="CVQ133" s="4"/>
      <c r="CVR133" s="4"/>
      <c r="CVS133" s="4"/>
      <c r="CVT133" s="4"/>
      <c r="CVU133" s="4"/>
      <c r="CVV133" s="4"/>
      <c r="CVW133" s="4"/>
      <c r="CVX133" s="4"/>
      <c r="CVY133" s="4"/>
      <c r="CVZ133" s="4"/>
      <c r="CWA133" s="4"/>
      <c r="CWB133" s="4"/>
      <c r="CWC133" s="4"/>
      <c r="CWD133" s="4"/>
      <c r="CWE133" s="4"/>
      <c r="CWF133" s="4"/>
      <c r="CWG133" s="4"/>
      <c r="CWH133" s="4"/>
      <c r="CWI133" s="4"/>
      <c r="CWJ133" s="4"/>
      <c r="CWK133" s="4"/>
      <c r="CWL133" s="4"/>
      <c r="CWM133" s="4"/>
      <c r="CWN133" s="4"/>
      <c r="CWO133" s="4"/>
      <c r="CWP133" s="4"/>
      <c r="CWQ133" s="4"/>
      <c r="CWR133" s="4"/>
      <c r="CWS133" s="4"/>
      <c r="CWT133" s="4"/>
      <c r="CWU133" s="4"/>
      <c r="CWV133" s="4"/>
      <c r="CWW133" s="4"/>
      <c r="CWX133" s="4"/>
      <c r="CWY133" s="4"/>
      <c r="CWZ133" s="4"/>
      <c r="CXA133" s="4"/>
      <c r="CXB133" s="4"/>
      <c r="CXC133" s="4"/>
      <c r="CXD133" s="4"/>
      <c r="CXE133" s="4"/>
      <c r="CXF133" s="4"/>
      <c r="CXG133" s="4"/>
      <c r="CXH133" s="4"/>
      <c r="CXI133" s="4"/>
      <c r="CXJ133" s="4"/>
      <c r="CXK133" s="4"/>
      <c r="CXL133" s="4"/>
      <c r="CXM133" s="4"/>
      <c r="CXN133" s="4"/>
      <c r="CXO133" s="4"/>
      <c r="CXP133" s="4"/>
      <c r="CXQ133" s="4"/>
      <c r="CXR133" s="4"/>
      <c r="CXS133" s="4"/>
      <c r="CXT133" s="4"/>
      <c r="CXU133" s="4"/>
      <c r="CXV133" s="4"/>
      <c r="CXW133" s="4"/>
      <c r="CXX133" s="4"/>
      <c r="CXY133" s="4"/>
      <c r="CXZ133" s="4"/>
      <c r="CYA133" s="4"/>
      <c r="CYB133" s="4"/>
      <c r="CYC133" s="4"/>
      <c r="CYD133" s="4"/>
      <c r="CYE133" s="4"/>
      <c r="CYF133" s="4"/>
      <c r="CYG133" s="4"/>
      <c r="CYH133" s="4"/>
      <c r="CYI133" s="4"/>
      <c r="CYJ133" s="4"/>
      <c r="CYK133" s="4"/>
      <c r="CYL133" s="4"/>
      <c r="CYM133" s="4"/>
      <c r="CYN133" s="4"/>
      <c r="CYO133" s="4"/>
      <c r="CYP133" s="4"/>
      <c r="CYQ133" s="4"/>
      <c r="CYR133" s="4"/>
      <c r="CYS133" s="4"/>
      <c r="CYT133" s="4"/>
      <c r="CYU133" s="4"/>
      <c r="CYV133" s="4"/>
      <c r="CYW133" s="4"/>
      <c r="CYX133" s="4"/>
      <c r="CYY133" s="4"/>
      <c r="CYZ133" s="4"/>
      <c r="CZA133" s="4"/>
      <c r="CZB133" s="4"/>
      <c r="CZC133" s="4"/>
      <c r="CZD133" s="4"/>
      <c r="CZE133" s="4"/>
      <c r="CZF133" s="4"/>
      <c r="CZG133" s="4"/>
      <c r="CZH133" s="4"/>
      <c r="CZI133" s="4"/>
      <c r="CZJ133" s="4"/>
      <c r="CZK133" s="4"/>
      <c r="CZL133" s="4"/>
      <c r="CZM133" s="4"/>
      <c r="CZN133" s="4"/>
      <c r="CZO133" s="4"/>
      <c r="CZP133" s="4"/>
      <c r="CZQ133" s="4"/>
      <c r="CZR133" s="4"/>
      <c r="CZS133" s="4"/>
      <c r="CZT133" s="4"/>
      <c r="CZU133" s="4"/>
      <c r="CZV133" s="4"/>
      <c r="CZW133" s="4"/>
      <c r="CZX133" s="4"/>
      <c r="CZY133" s="4"/>
      <c r="CZZ133" s="4"/>
      <c r="DAA133" s="4"/>
      <c r="DAB133" s="4"/>
      <c r="DAC133" s="4"/>
      <c r="DAD133" s="4"/>
      <c r="DAE133" s="4"/>
      <c r="DAF133" s="4"/>
      <c r="DAG133" s="4"/>
      <c r="DAH133" s="4"/>
      <c r="DAI133" s="4"/>
      <c r="DAJ133" s="4"/>
      <c r="DAK133" s="4"/>
      <c r="DAL133" s="4"/>
      <c r="DAM133" s="4"/>
      <c r="DAN133" s="4"/>
      <c r="DAO133" s="4"/>
      <c r="DAP133" s="4"/>
      <c r="DAQ133" s="4"/>
      <c r="DAR133" s="4"/>
      <c r="DAS133" s="4"/>
      <c r="DAT133" s="4"/>
      <c r="DAU133" s="4"/>
      <c r="DAV133" s="4"/>
      <c r="DAW133" s="4"/>
      <c r="DAX133" s="4"/>
      <c r="DAY133" s="4"/>
      <c r="DAZ133" s="4"/>
      <c r="DBA133" s="4"/>
      <c r="DBB133" s="4"/>
      <c r="DBC133" s="4"/>
      <c r="DBD133" s="4"/>
      <c r="DBE133" s="4"/>
      <c r="DBF133" s="4"/>
      <c r="DBG133" s="4"/>
      <c r="DBH133" s="4"/>
      <c r="DBI133" s="4"/>
      <c r="DBJ133" s="4"/>
      <c r="DBK133" s="4"/>
      <c r="DBL133" s="4"/>
      <c r="DBM133" s="4"/>
      <c r="DBN133" s="4"/>
      <c r="DBO133" s="4"/>
      <c r="DBP133" s="4"/>
      <c r="DBQ133" s="4"/>
      <c r="DBR133" s="4"/>
      <c r="DBS133" s="4"/>
      <c r="DBT133" s="4"/>
      <c r="DBU133" s="4"/>
      <c r="DBV133" s="4"/>
      <c r="DBW133" s="4"/>
      <c r="DBX133" s="4"/>
      <c r="DBY133" s="4"/>
      <c r="DBZ133" s="4"/>
      <c r="DCA133" s="4"/>
      <c r="DCB133" s="4"/>
      <c r="DCC133" s="4"/>
      <c r="DCD133" s="4"/>
      <c r="DCE133" s="4"/>
      <c r="DCF133" s="4"/>
      <c r="DCG133" s="4"/>
      <c r="DCH133" s="4"/>
      <c r="DCI133" s="4"/>
      <c r="DCJ133" s="4"/>
      <c r="DCK133" s="4"/>
      <c r="DCL133" s="4"/>
      <c r="DCM133" s="4"/>
      <c r="DCN133" s="4"/>
      <c r="DCO133" s="4"/>
      <c r="DCP133" s="4"/>
      <c r="DCQ133" s="4"/>
      <c r="DCR133" s="4"/>
      <c r="DCS133" s="4"/>
      <c r="DCT133" s="4"/>
      <c r="DCU133" s="4"/>
      <c r="DCV133" s="4"/>
      <c r="DCW133" s="4"/>
      <c r="DCX133" s="4"/>
      <c r="DCY133" s="4"/>
      <c r="DCZ133" s="4"/>
      <c r="DDA133" s="4"/>
      <c r="DDB133" s="4"/>
      <c r="DDC133" s="4"/>
      <c r="DDD133" s="4"/>
      <c r="DDE133" s="4"/>
      <c r="DDF133" s="4"/>
      <c r="DDG133" s="4"/>
      <c r="DDH133" s="4"/>
      <c r="DDI133" s="4"/>
      <c r="DDJ133" s="4"/>
      <c r="DDK133" s="4"/>
      <c r="DDL133" s="4"/>
      <c r="DDM133" s="4"/>
      <c r="DDN133" s="4"/>
      <c r="DDO133" s="4"/>
      <c r="DDP133" s="4"/>
      <c r="DDQ133" s="4"/>
      <c r="DDR133" s="4"/>
      <c r="DDS133" s="4"/>
      <c r="DDT133" s="4"/>
      <c r="DDU133" s="4"/>
      <c r="DDV133" s="4"/>
      <c r="DDW133" s="4"/>
      <c r="DDX133" s="4"/>
      <c r="DDY133" s="4"/>
      <c r="DDZ133" s="4"/>
      <c r="DEA133" s="4"/>
      <c r="DEB133" s="4"/>
      <c r="DEC133" s="4"/>
      <c r="DED133" s="4"/>
      <c r="DEE133" s="4"/>
      <c r="DEF133" s="4"/>
      <c r="DEG133" s="4"/>
      <c r="DEH133" s="4"/>
      <c r="DEI133" s="4"/>
      <c r="DEJ133" s="4"/>
      <c r="DEK133" s="4"/>
      <c r="DEL133" s="4"/>
      <c r="DEM133" s="4"/>
      <c r="DEN133" s="4"/>
      <c r="DEO133" s="4"/>
      <c r="DEP133" s="4"/>
      <c r="DEQ133" s="4"/>
      <c r="DER133" s="4"/>
      <c r="DES133" s="4"/>
      <c r="DET133" s="4"/>
      <c r="DEU133" s="4"/>
      <c r="DEV133" s="4"/>
      <c r="DEW133" s="4"/>
      <c r="DEX133" s="4"/>
      <c r="DEY133" s="4"/>
      <c r="DEZ133" s="4"/>
      <c r="DFA133" s="4"/>
      <c r="DFB133" s="4"/>
      <c r="DFC133" s="4"/>
      <c r="DFD133" s="4"/>
      <c r="DFE133" s="4"/>
      <c r="DFF133" s="4"/>
      <c r="DFG133" s="4"/>
      <c r="DFH133" s="4"/>
      <c r="DFI133" s="4"/>
      <c r="DFJ133" s="4"/>
      <c r="DFK133" s="4"/>
      <c r="DFL133" s="4"/>
      <c r="DFM133" s="4"/>
      <c r="DFN133" s="4"/>
      <c r="DFO133" s="4"/>
      <c r="DFP133" s="4"/>
      <c r="DFQ133" s="4"/>
      <c r="DFR133" s="4"/>
      <c r="DFS133" s="4"/>
      <c r="DFT133" s="4"/>
      <c r="DFU133" s="4"/>
      <c r="DFV133" s="4"/>
      <c r="DFW133" s="4"/>
      <c r="DFX133" s="4"/>
      <c r="DFY133" s="4"/>
      <c r="DFZ133" s="4"/>
      <c r="DGA133" s="4"/>
      <c r="DGB133" s="4"/>
      <c r="DGC133" s="4"/>
      <c r="DGD133" s="4"/>
      <c r="DGE133" s="4"/>
      <c r="DGF133" s="4"/>
      <c r="DGG133" s="4"/>
      <c r="DGH133" s="4"/>
      <c r="DGI133" s="4"/>
      <c r="DGJ133" s="4"/>
      <c r="DGK133" s="4"/>
      <c r="DGL133" s="4"/>
      <c r="DGM133" s="4"/>
      <c r="DGN133" s="4"/>
      <c r="DGO133" s="4"/>
      <c r="DGP133" s="4"/>
      <c r="DGQ133" s="4"/>
      <c r="DGR133" s="4"/>
      <c r="DGS133" s="4"/>
      <c r="DGT133" s="4"/>
      <c r="DGU133" s="4"/>
      <c r="DGV133" s="4"/>
      <c r="DGW133" s="4"/>
      <c r="DGX133" s="4"/>
      <c r="DGY133" s="4"/>
      <c r="DGZ133" s="4"/>
      <c r="DHA133" s="4"/>
      <c r="DHB133" s="4"/>
      <c r="DHC133" s="4"/>
      <c r="DHD133" s="4"/>
      <c r="DHE133" s="4"/>
      <c r="DHF133" s="4"/>
      <c r="DHG133" s="4"/>
      <c r="DHH133" s="4"/>
      <c r="DHI133" s="4"/>
      <c r="DHJ133" s="4"/>
      <c r="DHK133" s="4"/>
      <c r="DHL133" s="4"/>
      <c r="DHM133" s="4"/>
      <c r="DHN133" s="4"/>
      <c r="DHO133" s="4"/>
      <c r="DHP133" s="4"/>
      <c r="DHQ133" s="4"/>
      <c r="DHR133" s="4"/>
      <c r="DHS133" s="4"/>
      <c r="DHT133" s="4"/>
      <c r="DHU133" s="4"/>
      <c r="DHV133" s="4"/>
      <c r="DHW133" s="4"/>
      <c r="DHX133" s="4"/>
      <c r="DHY133" s="4"/>
      <c r="DHZ133" s="4"/>
      <c r="DIA133" s="4"/>
      <c r="DIB133" s="4"/>
      <c r="DIC133" s="4"/>
      <c r="DID133" s="4"/>
      <c r="DIE133" s="4"/>
      <c r="DIF133" s="4"/>
      <c r="DIG133" s="4"/>
      <c r="DIH133" s="4"/>
      <c r="DII133" s="4"/>
      <c r="DIJ133" s="4"/>
      <c r="DIK133" s="4"/>
      <c r="DIL133" s="4"/>
      <c r="DIM133" s="4"/>
      <c r="DIN133" s="4"/>
      <c r="DIO133" s="4"/>
      <c r="DIP133" s="4"/>
      <c r="DIQ133" s="4"/>
      <c r="DIR133" s="4"/>
      <c r="DIS133" s="4"/>
      <c r="DIT133" s="4"/>
      <c r="DIU133" s="4"/>
      <c r="DIV133" s="4"/>
      <c r="DIW133" s="4"/>
      <c r="DIX133" s="4"/>
      <c r="DIY133" s="4"/>
      <c r="DIZ133" s="4"/>
      <c r="DJA133" s="4"/>
      <c r="DJB133" s="4"/>
      <c r="DJC133" s="4"/>
      <c r="DJD133" s="4"/>
      <c r="DJE133" s="4"/>
      <c r="DJF133" s="4"/>
      <c r="DJG133" s="4"/>
      <c r="DJH133" s="4"/>
      <c r="DJI133" s="4"/>
      <c r="DJJ133" s="4"/>
      <c r="DJK133" s="4"/>
      <c r="DJL133" s="4"/>
      <c r="DJM133" s="4"/>
      <c r="DJN133" s="4"/>
      <c r="DJO133" s="4"/>
      <c r="DJP133" s="4"/>
      <c r="DJQ133" s="4"/>
      <c r="DJR133" s="4"/>
      <c r="DJS133" s="4"/>
      <c r="DJT133" s="4"/>
      <c r="DJU133" s="4"/>
      <c r="DJV133" s="4"/>
      <c r="DJW133" s="4"/>
      <c r="DJX133" s="4"/>
      <c r="DJY133" s="4"/>
      <c r="DJZ133" s="4"/>
      <c r="DKA133" s="4"/>
      <c r="DKB133" s="4"/>
      <c r="DKC133" s="4"/>
      <c r="DKD133" s="4"/>
      <c r="DKE133" s="4"/>
      <c r="DKF133" s="4"/>
      <c r="DKG133" s="4"/>
      <c r="DKH133" s="4"/>
      <c r="DKI133" s="4"/>
      <c r="DKJ133" s="4"/>
      <c r="DKK133" s="4"/>
      <c r="DKL133" s="4"/>
      <c r="DKM133" s="4"/>
      <c r="DKN133" s="4"/>
      <c r="DKO133" s="4"/>
      <c r="DKP133" s="4"/>
      <c r="DKQ133" s="4"/>
      <c r="DKR133" s="4"/>
      <c r="DKS133" s="4"/>
      <c r="DKT133" s="4"/>
      <c r="DKU133" s="4"/>
      <c r="DKV133" s="4"/>
      <c r="DKW133" s="4"/>
      <c r="DKX133" s="4"/>
      <c r="DKY133" s="4"/>
      <c r="DKZ133" s="4"/>
      <c r="DLA133" s="4"/>
      <c r="DLB133" s="4"/>
      <c r="DLC133" s="4"/>
      <c r="DLD133" s="4"/>
      <c r="DLE133" s="4"/>
      <c r="DLF133" s="4"/>
      <c r="DLG133" s="4"/>
      <c r="DLH133" s="4"/>
      <c r="DLI133" s="4"/>
      <c r="DLJ133" s="4"/>
      <c r="DLK133" s="4"/>
      <c r="DLL133" s="4"/>
      <c r="DLM133" s="4"/>
      <c r="DLN133" s="4"/>
      <c r="DLO133" s="4"/>
      <c r="DLP133" s="4"/>
      <c r="DLQ133" s="4"/>
      <c r="DLR133" s="4"/>
      <c r="DLS133" s="4"/>
      <c r="DLT133" s="4"/>
      <c r="DLU133" s="4"/>
      <c r="DLV133" s="4"/>
      <c r="DLW133" s="4"/>
      <c r="DLX133" s="4"/>
      <c r="DLY133" s="4"/>
      <c r="DLZ133" s="4"/>
      <c r="DMA133" s="4"/>
      <c r="DMB133" s="4"/>
      <c r="DMC133" s="4"/>
      <c r="DMD133" s="4"/>
      <c r="DME133" s="4"/>
      <c r="DMF133" s="4"/>
      <c r="DMG133" s="4"/>
      <c r="DMH133" s="4"/>
      <c r="DMI133" s="4"/>
      <c r="DMJ133" s="4"/>
      <c r="DMK133" s="4"/>
      <c r="DML133" s="4"/>
      <c r="DMM133" s="4"/>
      <c r="DMN133" s="4"/>
      <c r="DMO133" s="4"/>
      <c r="DMP133" s="4"/>
      <c r="DMQ133" s="4"/>
      <c r="DMR133" s="4"/>
      <c r="DMS133" s="4"/>
      <c r="DMT133" s="4"/>
      <c r="DMU133" s="4"/>
      <c r="DMV133" s="4"/>
      <c r="DMW133" s="4"/>
      <c r="DMX133" s="4"/>
      <c r="DMY133" s="4"/>
      <c r="DMZ133" s="4"/>
      <c r="DNA133" s="4"/>
      <c r="DNB133" s="4"/>
      <c r="DNC133" s="4"/>
      <c r="DND133" s="4"/>
      <c r="DNE133" s="4"/>
      <c r="DNF133" s="4"/>
      <c r="DNG133" s="4"/>
      <c r="DNH133" s="4"/>
      <c r="DNI133" s="4"/>
      <c r="DNJ133" s="4"/>
      <c r="DNK133" s="4"/>
      <c r="DNL133" s="4"/>
      <c r="DNM133" s="4"/>
      <c r="DNN133" s="4"/>
      <c r="DNO133" s="4"/>
      <c r="DNP133" s="4"/>
      <c r="DNQ133" s="4"/>
      <c r="DNR133" s="4"/>
      <c r="DNS133" s="4"/>
      <c r="DNT133" s="4"/>
      <c r="DNU133" s="4"/>
      <c r="DNV133" s="4"/>
      <c r="DNW133" s="4"/>
      <c r="DNX133" s="4"/>
      <c r="DNY133" s="4"/>
      <c r="DNZ133" s="4"/>
      <c r="DOA133" s="4"/>
      <c r="DOB133" s="4"/>
      <c r="DOC133" s="4"/>
      <c r="DOD133" s="4"/>
      <c r="DOE133" s="4"/>
      <c r="DOF133" s="4"/>
      <c r="DOG133" s="4"/>
      <c r="DOH133" s="4"/>
      <c r="DOI133" s="4"/>
      <c r="DOJ133" s="4"/>
      <c r="DOK133" s="4"/>
      <c r="DOL133" s="4"/>
      <c r="DOM133" s="4"/>
      <c r="DON133" s="4"/>
      <c r="DOO133" s="4"/>
      <c r="DOP133" s="4"/>
      <c r="DOQ133" s="4"/>
      <c r="DOR133" s="4"/>
      <c r="DOS133" s="4"/>
      <c r="DOT133" s="4"/>
      <c r="DOU133" s="4"/>
      <c r="DOV133" s="4"/>
      <c r="DOW133" s="4"/>
      <c r="DOX133" s="4"/>
      <c r="DOY133" s="4"/>
      <c r="DOZ133" s="4"/>
      <c r="DPA133" s="4"/>
      <c r="DPB133" s="4"/>
      <c r="DPC133" s="4"/>
      <c r="DPD133" s="4"/>
      <c r="DPE133" s="4"/>
      <c r="DPF133" s="4"/>
      <c r="DPG133" s="4"/>
      <c r="DPH133" s="4"/>
      <c r="DPI133" s="4"/>
      <c r="DPJ133" s="4"/>
      <c r="DPK133" s="4"/>
      <c r="DPL133" s="4"/>
      <c r="DPM133" s="4"/>
      <c r="DPN133" s="4"/>
      <c r="DPO133" s="4"/>
      <c r="DPP133" s="4"/>
      <c r="DPQ133" s="4"/>
      <c r="DPR133" s="4"/>
      <c r="DPS133" s="4"/>
      <c r="DPT133" s="4"/>
      <c r="DPU133" s="4"/>
      <c r="DPV133" s="4"/>
      <c r="DPW133" s="4"/>
      <c r="DPX133" s="4"/>
      <c r="DPY133" s="4"/>
      <c r="DPZ133" s="4"/>
      <c r="DQA133" s="4"/>
      <c r="DQB133" s="4"/>
      <c r="DQC133" s="4"/>
      <c r="DQD133" s="4"/>
      <c r="DQE133" s="4"/>
      <c r="DQF133" s="4"/>
      <c r="DQG133" s="4"/>
      <c r="DQH133" s="4"/>
      <c r="DQI133" s="4"/>
      <c r="DQJ133" s="4"/>
      <c r="DQK133" s="4"/>
      <c r="DQL133" s="4"/>
      <c r="DQM133" s="4"/>
      <c r="DQN133" s="4"/>
      <c r="DQO133" s="4"/>
      <c r="DQP133" s="4"/>
      <c r="DQQ133" s="4"/>
      <c r="DQR133" s="4"/>
      <c r="DQS133" s="4"/>
      <c r="DQT133" s="4"/>
      <c r="DQU133" s="4"/>
      <c r="DQV133" s="4"/>
      <c r="DQW133" s="4"/>
      <c r="DQX133" s="4"/>
      <c r="DQY133" s="4"/>
      <c r="DQZ133" s="4"/>
      <c r="DRA133" s="4"/>
      <c r="DRB133" s="4"/>
      <c r="DRC133" s="4"/>
      <c r="DRD133" s="4"/>
      <c r="DRE133" s="4"/>
      <c r="DRF133" s="4"/>
      <c r="DRG133" s="4"/>
      <c r="DRH133" s="4"/>
      <c r="DRI133" s="4"/>
      <c r="DRJ133" s="4"/>
      <c r="DRK133" s="4"/>
      <c r="DRL133" s="4"/>
      <c r="DRM133" s="4"/>
      <c r="DRN133" s="4"/>
      <c r="DRO133" s="4"/>
      <c r="DRP133" s="4"/>
      <c r="DRQ133" s="4"/>
      <c r="DRR133" s="4"/>
      <c r="DRS133" s="4"/>
      <c r="DRT133" s="4"/>
      <c r="DRU133" s="4"/>
      <c r="DRV133" s="4"/>
      <c r="DRW133" s="4"/>
      <c r="DRX133" s="4"/>
      <c r="DRY133" s="4"/>
      <c r="DRZ133" s="4"/>
      <c r="DSA133" s="4"/>
      <c r="DSB133" s="4"/>
      <c r="DSC133" s="4"/>
      <c r="DSD133" s="4"/>
      <c r="DSE133" s="4"/>
      <c r="DSF133" s="4"/>
      <c r="DSG133" s="4"/>
      <c r="DSH133" s="4"/>
      <c r="DSI133" s="4"/>
      <c r="DSJ133" s="4"/>
      <c r="DSK133" s="4"/>
      <c r="DSL133" s="4"/>
      <c r="DSM133" s="4"/>
      <c r="DSN133" s="4"/>
      <c r="DSO133" s="4"/>
      <c r="DSP133" s="4"/>
      <c r="DSQ133" s="4"/>
      <c r="DSR133" s="4"/>
      <c r="DSS133" s="4"/>
      <c r="DST133" s="4"/>
      <c r="DSU133" s="4"/>
      <c r="DSV133" s="4"/>
      <c r="DSW133" s="4"/>
      <c r="DSX133" s="4"/>
      <c r="DSY133" s="4"/>
      <c r="DSZ133" s="4"/>
      <c r="DTA133" s="4"/>
      <c r="DTB133" s="4"/>
      <c r="DTC133" s="4"/>
      <c r="DTD133" s="4"/>
      <c r="DTE133" s="4"/>
      <c r="DTF133" s="4"/>
      <c r="DTG133" s="4"/>
      <c r="DTH133" s="4"/>
      <c r="DTI133" s="4"/>
      <c r="DTJ133" s="4"/>
      <c r="DTK133" s="4"/>
      <c r="DTL133" s="4"/>
      <c r="DTM133" s="4"/>
      <c r="DTN133" s="4"/>
      <c r="DTO133" s="4"/>
      <c r="DTP133" s="4"/>
      <c r="DTQ133" s="4"/>
      <c r="DTR133" s="4"/>
      <c r="DTS133" s="4"/>
      <c r="DTT133" s="4"/>
      <c r="DTU133" s="4"/>
      <c r="DTV133" s="4"/>
      <c r="DTW133" s="4"/>
      <c r="DTX133" s="4"/>
      <c r="DTY133" s="4"/>
      <c r="DTZ133" s="4"/>
      <c r="DUA133" s="4"/>
      <c r="DUB133" s="4"/>
      <c r="DUC133" s="4"/>
      <c r="DUD133" s="4"/>
      <c r="DUE133" s="4"/>
      <c r="DUF133" s="4"/>
      <c r="DUG133" s="4"/>
      <c r="DUH133" s="4"/>
      <c r="DUI133" s="4"/>
      <c r="DUJ133" s="4"/>
      <c r="DUK133" s="4"/>
      <c r="DUL133" s="4"/>
      <c r="DUM133" s="4"/>
      <c r="DUN133" s="4"/>
      <c r="DUO133" s="4"/>
      <c r="DUP133" s="4"/>
      <c r="DUQ133" s="4"/>
      <c r="DUR133" s="4"/>
      <c r="DUS133" s="4"/>
      <c r="DUT133" s="4"/>
      <c r="DUU133" s="4"/>
      <c r="DUV133" s="4"/>
      <c r="DUW133" s="4"/>
      <c r="DUX133" s="4"/>
      <c r="DUY133" s="4"/>
      <c r="DUZ133" s="4"/>
      <c r="DVA133" s="4"/>
      <c r="DVB133" s="4"/>
      <c r="DVC133" s="4"/>
      <c r="DVD133" s="4"/>
      <c r="DVE133" s="4"/>
      <c r="DVF133" s="4"/>
      <c r="DVG133" s="4"/>
      <c r="DVH133" s="4"/>
      <c r="DVI133" s="4"/>
      <c r="DVJ133" s="4"/>
      <c r="DVK133" s="4"/>
      <c r="DVL133" s="4"/>
      <c r="DVM133" s="4"/>
      <c r="DVN133" s="4"/>
      <c r="DVO133" s="4"/>
      <c r="DVP133" s="4"/>
      <c r="DVQ133" s="4"/>
      <c r="DVR133" s="4"/>
      <c r="DVS133" s="4"/>
      <c r="DVT133" s="4"/>
      <c r="DVU133" s="4"/>
      <c r="DVV133" s="4"/>
      <c r="DVW133" s="4"/>
      <c r="DVX133" s="4"/>
      <c r="DVY133" s="4"/>
      <c r="DVZ133" s="4"/>
      <c r="DWA133" s="4"/>
      <c r="DWB133" s="4"/>
      <c r="DWC133" s="4"/>
      <c r="DWD133" s="4"/>
      <c r="DWE133" s="4"/>
      <c r="DWF133" s="4"/>
      <c r="DWG133" s="4"/>
      <c r="DWH133" s="4"/>
      <c r="DWI133" s="4"/>
      <c r="DWJ133" s="4"/>
      <c r="DWK133" s="4"/>
      <c r="DWL133" s="4"/>
      <c r="DWM133" s="4"/>
      <c r="DWN133" s="4"/>
      <c r="DWO133" s="4"/>
      <c r="DWP133" s="4"/>
      <c r="DWQ133" s="4"/>
      <c r="DWR133" s="4"/>
      <c r="DWS133" s="4"/>
      <c r="DWT133" s="4"/>
      <c r="DWU133" s="4"/>
      <c r="DWV133" s="4"/>
      <c r="DWW133" s="4"/>
      <c r="DWX133" s="4"/>
      <c r="DWY133" s="4"/>
      <c r="DWZ133" s="4"/>
      <c r="DXA133" s="4"/>
      <c r="DXB133" s="4"/>
      <c r="DXC133" s="4"/>
      <c r="DXD133" s="4"/>
      <c r="DXE133" s="4"/>
      <c r="DXF133" s="4"/>
      <c r="DXG133" s="4"/>
      <c r="DXH133" s="4"/>
      <c r="DXI133" s="4"/>
      <c r="DXJ133" s="4"/>
      <c r="DXK133" s="4"/>
      <c r="DXL133" s="4"/>
      <c r="DXM133" s="4"/>
      <c r="DXN133" s="4"/>
      <c r="DXO133" s="4"/>
      <c r="DXP133" s="4"/>
      <c r="DXQ133" s="4"/>
      <c r="DXR133" s="4"/>
      <c r="DXS133" s="4"/>
      <c r="DXT133" s="4"/>
      <c r="DXU133" s="4"/>
      <c r="DXV133" s="4"/>
      <c r="DXW133" s="4"/>
      <c r="DXX133" s="4"/>
      <c r="DXY133" s="4"/>
      <c r="DXZ133" s="4"/>
      <c r="DYA133" s="4"/>
      <c r="DYB133" s="4"/>
      <c r="DYC133" s="4"/>
      <c r="DYD133" s="4"/>
      <c r="DYE133" s="4"/>
      <c r="DYF133" s="4"/>
      <c r="DYG133" s="4"/>
      <c r="DYH133" s="4"/>
      <c r="DYI133" s="4"/>
      <c r="DYJ133" s="4"/>
      <c r="DYK133" s="4"/>
      <c r="DYL133" s="4"/>
      <c r="DYM133" s="4"/>
      <c r="DYN133" s="4"/>
      <c r="DYO133" s="4"/>
      <c r="DYP133" s="4"/>
      <c r="DYQ133" s="4"/>
      <c r="DYR133" s="4"/>
      <c r="DYS133" s="4"/>
      <c r="DYT133" s="4"/>
      <c r="DYU133" s="4"/>
      <c r="DYV133" s="4"/>
      <c r="DYW133" s="4"/>
      <c r="DYX133" s="4"/>
      <c r="DYY133" s="4"/>
      <c r="DYZ133" s="4"/>
      <c r="DZA133" s="4"/>
      <c r="DZB133" s="4"/>
      <c r="DZC133" s="4"/>
      <c r="DZD133" s="4"/>
      <c r="DZE133" s="4"/>
      <c r="DZF133" s="4"/>
      <c r="DZG133" s="4"/>
      <c r="DZH133" s="4"/>
      <c r="DZI133" s="4"/>
      <c r="DZJ133" s="4"/>
      <c r="DZK133" s="4"/>
      <c r="DZL133" s="4"/>
      <c r="DZM133" s="4"/>
      <c r="DZN133" s="4"/>
      <c r="DZO133" s="4"/>
      <c r="DZP133" s="4"/>
      <c r="DZQ133" s="4"/>
      <c r="DZR133" s="4"/>
      <c r="DZS133" s="4"/>
      <c r="DZT133" s="4"/>
      <c r="DZU133" s="4"/>
      <c r="DZV133" s="4"/>
      <c r="DZW133" s="4"/>
      <c r="DZX133" s="4"/>
      <c r="DZY133" s="4"/>
      <c r="DZZ133" s="4"/>
      <c r="EAA133" s="4"/>
      <c r="EAB133" s="4"/>
      <c r="EAC133" s="4"/>
      <c r="EAD133" s="4"/>
      <c r="EAE133" s="4"/>
      <c r="EAF133" s="4"/>
      <c r="EAG133" s="4"/>
      <c r="EAH133" s="4"/>
      <c r="EAI133" s="4"/>
      <c r="EAJ133" s="4"/>
      <c r="EAK133" s="4"/>
      <c r="EAL133" s="4"/>
      <c r="EAM133" s="4"/>
      <c r="EAN133" s="4"/>
      <c r="EAO133" s="4"/>
      <c r="EAP133" s="4"/>
      <c r="EAQ133" s="4"/>
      <c r="EAR133" s="4"/>
      <c r="EAS133" s="4"/>
      <c r="EAT133" s="4"/>
      <c r="EAU133" s="4"/>
      <c r="EAV133" s="4"/>
      <c r="EAW133" s="4"/>
      <c r="EAX133" s="4"/>
      <c r="EAY133" s="4"/>
      <c r="EAZ133" s="4"/>
      <c r="EBA133" s="4"/>
      <c r="EBB133" s="4"/>
      <c r="EBC133" s="4"/>
      <c r="EBD133" s="4"/>
      <c r="EBE133" s="4"/>
      <c r="EBF133" s="4"/>
      <c r="EBG133" s="4"/>
      <c r="EBH133" s="4"/>
      <c r="EBI133" s="4"/>
      <c r="EBJ133" s="4"/>
      <c r="EBK133" s="4"/>
      <c r="EBL133" s="4"/>
      <c r="EBM133" s="4"/>
      <c r="EBN133" s="4"/>
      <c r="EBO133" s="4"/>
      <c r="EBP133" s="4"/>
      <c r="EBQ133" s="4"/>
      <c r="EBR133" s="4"/>
      <c r="EBS133" s="4"/>
      <c r="EBT133" s="4"/>
      <c r="EBU133" s="4"/>
      <c r="EBV133" s="4"/>
      <c r="EBW133" s="4"/>
      <c r="EBX133" s="4"/>
      <c r="EBY133" s="4"/>
      <c r="EBZ133" s="4"/>
      <c r="ECA133" s="4"/>
      <c r="ECB133" s="4"/>
      <c r="ECC133" s="4"/>
      <c r="ECD133" s="4"/>
      <c r="ECE133" s="4"/>
      <c r="ECF133" s="4"/>
      <c r="ECG133" s="4"/>
      <c r="ECH133" s="4"/>
      <c r="ECI133" s="4"/>
      <c r="ECJ133" s="4"/>
      <c r="ECK133" s="4"/>
      <c r="ECL133" s="4"/>
      <c r="ECM133" s="4"/>
      <c r="ECN133" s="4"/>
      <c r="ECO133" s="4"/>
      <c r="ECP133" s="4"/>
      <c r="ECQ133" s="4"/>
      <c r="ECR133" s="4"/>
      <c r="ECS133" s="4"/>
      <c r="ECT133" s="4"/>
      <c r="ECU133" s="4"/>
      <c r="ECV133" s="4"/>
      <c r="ECW133" s="4"/>
      <c r="ECX133" s="4"/>
      <c r="ECY133" s="4"/>
      <c r="ECZ133" s="4"/>
      <c r="EDA133" s="4"/>
      <c r="EDB133" s="4"/>
      <c r="EDC133" s="4"/>
      <c r="EDD133" s="4"/>
      <c r="EDE133" s="4"/>
      <c r="EDF133" s="4"/>
      <c r="EDG133" s="4"/>
      <c r="EDH133" s="4"/>
      <c r="EDI133" s="4"/>
      <c r="EDJ133" s="4"/>
      <c r="EDK133" s="4"/>
      <c r="EDL133" s="4"/>
      <c r="EDM133" s="4"/>
      <c r="EDN133" s="4"/>
      <c r="EDO133" s="4"/>
      <c r="EDP133" s="4"/>
      <c r="EDQ133" s="4"/>
      <c r="EDR133" s="4"/>
      <c r="EDS133" s="4"/>
      <c r="EDT133" s="4"/>
      <c r="EDU133" s="4"/>
      <c r="EDV133" s="4"/>
      <c r="EDW133" s="4"/>
      <c r="EDX133" s="4"/>
      <c r="EDY133" s="4"/>
      <c r="EDZ133" s="4"/>
      <c r="EEA133" s="4"/>
      <c r="EEB133" s="4"/>
      <c r="EEC133" s="4"/>
      <c r="EED133" s="4"/>
      <c r="EEE133" s="4"/>
      <c r="EEF133" s="4"/>
      <c r="EEG133" s="4"/>
      <c r="EEH133" s="4"/>
      <c r="EEI133" s="4"/>
      <c r="EEJ133" s="4"/>
      <c r="EEK133" s="4"/>
      <c r="EEL133" s="4"/>
      <c r="EEM133" s="4"/>
      <c r="EEN133" s="4"/>
      <c r="EEO133" s="4"/>
      <c r="EEP133" s="4"/>
      <c r="EEQ133" s="4"/>
      <c r="EER133" s="4"/>
      <c r="EES133" s="4"/>
      <c r="EET133" s="4"/>
      <c r="EEU133" s="4"/>
      <c r="EEV133" s="4"/>
      <c r="EEW133" s="4"/>
      <c r="EEX133" s="4"/>
      <c r="EEY133" s="4"/>
      <c r="EEZ133" s="4"/>
      <c r="EFA133" s="4"/>
      <c r="EFB133" s="4"/>
      <c r="EFC133" s="4"/>
      <c r="EFD133" s="4"/>
      <c r="EFE133" s="4"/>
      <c r="EFF133" s="4"/>
      <c r="EFG133" s="4"/>
      <c r="EFH133" s="4"/>
      <c r="EFI133" s="4"/>
      <c r="EFJ133" s="4"/>
      <c r="EFK133" s="4"/>
      <c r="EFL133" s="4"/>
      <c r="EFM133" s="4"/>
      <c r="EFN133" s="4"/>
      <c r="EFO133" s="4"/>
      <c r="EFP133" s="4"/>
      <c r="EFQ133" s="4"/>
      <c r="EFR133" s="4"/>
      <c r="EFS133" s="4"/>
      <c r="EFT133" s="4"/>
      <c r="EFU133" s="4"/>
      <c r="EFV133" s="4"/>
      <c r="EFW133" s="4"/>
      <c r="EFX133" s="4"/>
      <c r="EFY133" s="4"/>
      <c r="EFZ133" s="4"/>
      <c r="EGA133" s="4"/>
      <c r="EGB133" s="4"/>
      <c r="EGC133" s="4"/>
      <c r="EGD133" s="4"/>
      <c r="EGE133" s="4"/>
      <c r="EGF133" s="4"/>
      <c r="EGG133" s="4"/>
      <c r="EGH133" s="4"/>
      <c r="EGI133" s="4"/>
      <c r="EGJ133" s="4"/>
      <c r="EGK133" s="4"/>
      <c r="EGL133" s="4"/>
      <c r="EGM133" s="4"/>
      <c r="EGN133" s="4"/>
      <c r="EGO133" s="4"/>
      <c r="EGP133" s="4"/>
      <c r="EGQ133" s="4"/>
      <c r="EGR133" s="4"/>
      <c r="EGS133" s="4"/>
      <c r="EGT133" s="4"/>
      <c r="EGU133" s="4"/>
      <c r="EGV133" s="4"/>
      <c r="EGW133" s="4"/>
      <c r="EGX133" s="4"/>
      <c r="EGY133" s="4"/>
      <c r="EGZ133" s="4"/>
      <c r="EHA133" s="4"/>
      <c r="EHB133" s="4"/>
      <c r="EHC133" s="4"/>
      <c r="EHD133" s="4"/>
      <c r="EHE133" s="4"/>
      <c r="EHF133" s="4"/>
      <c r="EHG133" s="4"/>
      <c r="EHH133" s="4"/>
      <c r="EHI133" s="4"/>
      <c r="EHJ133" s="4"/>
      <c r="EHK133" s="4"/>
      <c r="EHL133" s="4"/>
      <c r="EHM133" s="4"/>
      <c r="EHN133" s="4"/>
      <c r="EHO133" s="4"/>
      <c r="EHP133" s="4"/>
      <c r="EHQ133" s="4"/>
      <c r="EHR133" s="4"/>
      <c r="EHS133" s="4"/>
      <c r="EHT133" s="4"/>
      <c r="EHU133" s="4"/>
      <c r="EHV133" s="4"/>
      <c r="EHW133" s="4"/>
      <c r="EHX133" s="4"/>
      <c r="EHY133" s="4"/>
      <c r="EHZ133" s="4"/>
      <c r="EIA133" s="4"/>
      <c r="EIB133" s="4"/>
      <c r="EIC133" s="4"/>
      <c r="EID133" s="4"/>
      <c r="EIE133" s="4"/>
      <c r="EIF133" s="4"/>
      <c r="EIG133" s="4"/>
      <c r="EIH133" s="4"/>
      <c r="EII133" s="4"/>
      <c r="EIJ133" s="4"/>
      <c r="EIK133" s="4"/>
      <c r="EIL133" s="4"/>
      <c r="EIM133" s="4"/>
      <c r="EIN133" s="4"/>
      <c r="EIO133" s="4"/>
      <c r="EIP133" s="4"/>
      <c r="EIQ133" s="4"/>
      <c r="EIR133" s="4"/>
      <c r="EIS133" s="4"/>
      <c r="EIT133" s="4"/>
      <c r="EIU133" s="4"/>
      <c r="EIV133" s="4"/>
      <c r="EIW133" s="4"/>
      <c r="EIX133" s="4"/>
      <c r="EIY133" s="4"/>
      <c r="EIZ133" s="4"/>
      <c r="EJA133" s="4"/>
      <c r="EJB133" s="4"/>
      <c r="EJC133" s="4"/>
      <c r="EJD133" s="4"/>
      <c r="EJE133" s="4"/>
      <c r="EJF133" s="4"/>
      <c r="EJG133" s="4"/>
      <c r="EJH133" s="4"/>
      <c r="EJI133" s="4"/>
      <c r="EJJ133" s="4"/>
      <c r="EJK133" s="4"/>
      <c r="EJL133" s="4"/>
      <c r="EJM133" s="4"/>
      <c r="EJN133" s="4"/>
      <c r="EJO133" s="4"/>
      <c r="EJP133" s="4"/>
      <c r="EJQ133" s="4"/>
      <c r="EJR133" s="4"/>
      <c r="EJS133" s="4"/>
      <c r="EJT133" s="4"/>
      <c r="EJU133" s="4"/>
      <c r="EJV133" s="4"/>
      <c r="EJW133" s="4"/>
      <c r="EJX133" s="4"/>
      <c r="EJY133" s="4"/>
      <c r="EJZ133" s="4"/>
      <c r="EKA133" s="4"/>
      <c r="EKB133" s="4"/>
      <c r="EKC133" s="4"/>
      <c r="EKD133" s="4"/>
      <c r="EKE133" s="4"/>
      <c r="EKF133" s="4"/>
      <c r="EKG133" s="4"/>
      <c r="EKH133" s="4"/>
      <c r="EKI133" s="4"/>
      <c r="EKJ133" s="4"/>
      <c r="EKK133" s="4"/>
      <c r="EKL133" s="4"/>
      <c r="EKM133" s="4"/>
      <c r="EKN133" s="4"/>
      <c r="EKO133" s="4"/>
      <c r="EKP133" s="4"/>
      <c r="EKQ133" s="4"/>
      <c r="EKR133" s="4"/>
      <c r="EKS133" s="4"/>
      <c r="EKT133" s="4"/>
      <c r="EKU133" s="4"/>
      <c r="EKV133" s="4"/>
      <c r="EKW133" s="4"/>
      <c r="EKX133" s="4"/>
      <c r="EKY133" s="4"/>
      <c r="EKZ133" s="4"/>
      <c r="ELA133" s="4"/>
      <c r="ELB133" s="4"/>
      <c r="ELC133" s="4"/>
      <c r="ELD133" s="4"/>
      <c r="ELE133" s="4"/>
      <c r="ELF133" s="4"/>
      <c r="ELG133" s="4"/>
      <c r="ELH133" s="4"/>
      <c r="ELI133" s="4"/>
      <c r="ELJ133" s="4"/>
      <c r="ELK133" s="4"/>
      <c r="ELL133" s="4"/>
      <c r="ELM133" s="4"/>
      <c r="ELN133" s="4"/>
      <c r="ELO133" s="4"/>
      <c r="ELP133" s="4"/>
      <c r="ELQ133" s="4"/>
      <c r="ELR133" s="4"/>
      <c r="ELS133" s="4"/>
      <c r="ELT133" s="4"/>
      <c r="ELU133" s="4"/>
      <c r="ELV133" s="4"/>
      <c r="ELW133" s="4"/>
      <c r="ELX133" s="4"/>
      <c r="ELY133" s="4"/>
      <c r="ELZ133" s="4"/>
      <c r="EMA133" s="4"/>
      <c r="EMB133" s="4"/>
      <c r="EMC133" s="4"/>
      <c r="EMD133" s="4"/>
      <c r="EME133" s="4"/>
      <c r="EMF133" s="4"/>
      <c r="EMG133" s="4"/>
      <c r="EMH133" s="4"/>
      <c r="EMI133" s="4"/>
      <c r="EMJ133" s="4"/>
      <c r="EMK133" s="4"/>
      <c r="EML133" s="4"/>
      <c r="EMM133" s="4"/>
      <c r="EMN133" s="4"/>
      <c r="EMO133" s="4"/>
      <c r="EMP133" s="4"/>
      <c r="EMQ133" s="4"/>
      <c r="EMR133" s="4"/>
      <c r="EMS133" s="4"/>
      <c r="EMT133" s="4"/>
      <c r="EMU133" s="4"/>
      <c r="EMV133" s="4"/>
      <c r="EMW133" s="4"/>
      <c r="EMX133" s="4"/>
      <c r="EMY133" s="4"/>
      <c r="EMZ133" s="4"/>
      <c r="ENA133" s="4"/>
      <c r="ENB133" s="4"/>
      <c r="ENC133" s="4"/>
      <c r="END133" s="4"/>
      <c r="ENE133" s="4"/>
      <c r="ENF133" s="4"/>
      <c r="ENG133" s="4"/>
      <c r="ENH133" s="4"/>
      <c r="ENI133" s="4"/>
      <c r="ENJ133" s="4"/>
      <c r="ENK133" s="4"/>
      <c r="ENL133" s="4"/>
      <c r="ENM133" s="4"/>
      <c r="ENN133" s="4"/>
      <c r="ENO133" s="4"/>
      <c r="ENP133" s="4"/>
      <c r="ENQ133" s="4"/>
      <c r="ENR133" s="4"/>
      <c r="ENS133" s="4"/>
      <c r="ENT133" s="4"/>
      <c r="ENU133" s="4"/>
      <c r="ENV133" s="4"/>
      <c r="ENW133" s="4"/>
      <c r="ENX133" s="4"/>
      <c r="ENY133" s="4"/>
      <c r="ENZ133" s="4"/>
      <c r="EOA133" s="4"/>
      <c r="EOB133" s="4"/>
      <c r="EOC133" s="4"/>
      <c r="EOD133" s="4"/>
      <c r="EOE133" s="4"/>
      <c r="EOF133" s="4"/>
      <c r="EOG133" s="4"/>
      <c r="EOH133" s="4"/>
      <c r="EOI133" s="4"/>
      <c r="EOJ133" s="4"/>
      <c r="EOK133" s="4"/>
      <c r="EOL133" s="4"/>
      <c r="EOM133" s="4"/>
      <c r="EON133" s="4"/>
      <c r="EOO133" s="4"/>
      <c r="EOP133" s="4"/>
      <c r="EOQ133" s="4"/>
      <c r="EOR133" s="4"/>
      <c r="EOS133" s="4"/>
      <c r="EOT133" s="4"/>
      <c r="EOU133" s="4"/>
      <c r="EOV133" s="4"/>
      <c r="EOW133" s="4"/>
      <c r="EOX133" s="4"/>
      <c r="EOY133" s="4"/>
      <c r="EOZ133" s="4"/>
      <c r="EPA133" s="4"/>
      <c r="EPB133" s="4"/>
      <c r="EPC133" s="4"/>
      <c r="EPD133" s="4"/>
      <c r="EPE133" s="4"/>
      <c r="EPF133" s="4"/>
      <c r="EPG133" s="4"/>
      <c r="EPH133" s="4"/>
      <c r="EPI133" s="4"/>
      <c r="EPJ133" s="4"/>
      <c r="EPK133" s="4"/>
      <c r="EPL133" s="4"/>
      <c r="EPM133" s="4"/>
      <c r="EPN133" s="4"/>
      <c r="EPO133" s="4"/>
      <c r="EPP133" s="4"/>
      <c r="EPQ133" s="4"/>
      <c r="EPR133" s="4"/>
      <c r="EPS133" s="4"/>
      <c r="EPT133" s="4"/>
      <c r="EPU133" s="4"/>
      <c r="EPV133" s="4"/>
      <c r="EPW133" s="4"/>
      <c r="EPX133" s="4"/>
      <c r="EPY133" s="4"/>
      <c r="EPZ133" s="4"/>
      <c r="EQA133" s="4"/>
      <c r="EQB133" s="4"/>
      <c r="EQC133" s="4"/>
      <c r="EQD133" s="4"/>
      <c r="EQE133" s="4"/>
      <c r="EQF133" s="4"/>
      <c r="EQG133" s="4"/>
      <c r="EQH133" s="4"/>
      <c r="EQI133" s="4"/>
      <c r="EQJ133" s="4"/>
      <c r="EQK133" s="4"/>
      <c r="EQL133" s="4"/>
      <c r="EQM133" s="4"/>
      <c r="EQN133" s="4"/>
      <c r="EQO133" s="4"/>
      <c r="EQP133" s="4"/>
      <c r="EQQ133" s="4"/>
      <c r="EQR133" s="4"/>
      <c r="EQS133" s="4"/>
      <c r="EQT133" s="4"/>
      <c r="EQU133" s="4"/>
      <c r="EQV133" s="4"/>
      <c r="EQW133" s="4"/>
      <c r="EQX133" s="4"/>
      <c r="EQY133" s="4"/>
      <c r="EQZ133" s="4"/>
      <c r="ERA133" s="4"/>
      <c r="ERB133" s="4"/>
      <c r="ERC133" s="4"/>
      <c r="ERD133" s="4"/>
      <c r="ERE133" s="4"/>
      <c r="ERF133" s="4"/>
      <c r="ERG133" s="4"/>
      <c r="ERH133" s="4"/>
      <c r="ERI133" s="4"/>
      <c r="ERJ133" s="4"/>
      <c r="ERK133" s="4"/>
      <c r="ERL133" s="4"/>
      <c r="ERM133" s="4"/>
      <c r="ERN133" s="4"/>
      <c r="ERO133" s="4"/>
      <c r="ERP133" s="4"/>
      <c r="ERQ133" s="4"/>
      <c r="ERR133" s="4"/>
      <c r="ERS133" s="4"/>
      <c r="ERT133" s="4"/>
      <c r="ERU133" s="4"/>
      <c r="ERV133" s="4"/>
      <c r="ERW133" s="4"/>
      <c r="ERX133" s="4"/>
      <c r="ERY133" s="4"/>
      <c r="ERZ133" s="4"/>
      <c r="ESA133" s="4"/>
      <c r="ESB133" s="4"/>
      <c r="ESC133" s="4"/>
      <c r="ESD133" s="4"/>
      <c r="ESE133" s="4"/>
      <c r="ESF133" s="4"/>
      <c r="ESG133" s="4"/>
      <c r="ESH133" s="4"/>
      <c r="ESI133" s="4"/>
      <c r="ESJ133" s="4"/>
      <c r="ESK133" s="4"/>
      <c r="ESL133" s="4"/>
      <c r="ESM133" s="4"/>
      <c r="ESN133" s="4"/>
      <c r="ESO133" s="4"/>
      <c r="ESP133" s="4"/>
      <c r="ESQ133" s="4"/>
      <c r="ESR133" s="4"/>
      <c r="ESS133" s="4"/>
      <c r="EST133" s="4"/>
      <c r="ESU133" s="4"/>
      <c r="ESV133" s="4"/>
      <c r="ESW133" s="4"/>
      <c r="ESX133" s="4"/>
      <c r="ESY133" s="4"/>
      <c r="ESZ133" s="4"/>
      <c r="ETA133" s="4"/>
      <c r="ETB133" s="4"/>
      <c r="ETC133" s="4"/>
      <c r="ETD133" s="4"/>
      <c r="ETE133" s="4"/>
      <c r="ETF133" s="4"/>
      <c r="ETG133" s="4"/>
      <c r="ETH133" s="4"/>
      <c r="ETI133" s="4"/>
      <c r="ETJ133" s="4"/>
      <c r="ETK133" s="4"/>
      <c r="ETL133" s="4"/>
      <c r="ETM133" s="4"/>
      <c r="ETN133" s="4"/>
      <c r="ETO133" s="4"/>
      <c r="ETP133" s="4"/>
      <c r="ETQ133" s="4"/>
      <c r="ETR133" s="4"/>
      <c r="ETS133" s="4"/>
      <c r="ETT133" s="4"/>
      <c r="ETU133" s="4"/>
      <c r="ETV133" s="4"/>
      <c r="ETW133" s="4"/>
      <c r="ETX133" s="4"/>
      <c r="ETY133" s="4"/>
      <c r="ETZ133" s="4"/>
      <c r="EUA133" s="4"/>
      <c r="EUB133" s="4"/>
      <c r="EUC133" s="4"/>
      <c r="EUD133" s="4"/>
      <c r="EUE133" s="4"/>
      <c r="EUF133" s="4"/>
      <c r="EUG133" s="4"/>
      <c r="EUH133" s="4"/>
      <c r="EUI133" s="4"/>
      <c r="EUJ133" s="4"/>
      <c r="EUK133" s="4"/>
      <c r="EUL133" s="4"/>
      <c r="EUM133" s="4"/>
      <c r="EUN133" s="4"/>
      <c r="EUO133" s="4"/>
      <c r="EUP133" s="4"/>
      <c r="EUQ133" s="4"/>
      <c r="EUR133" s="4"/>
      <c r="EUS133" s="4"/>
      <c r="EUT133" s="4"/>
      <c r="EUU133" s="4"/>
      <c r="EUV133" s="4"/>
      <c r="EUW133" s="4"/>
      <c r="EUX133" s="4"/>
      <c r="EUY133" s="4"/>
      <c r="EUZ133" s="4"/>
      <c r="EVA133" s="4"/>
      <c r="EVB133" s="4"/>
      <c r="EVC133" s="4"/>
      <c r="EVD133" s="4"/>
      <c r="EVE133" s="4"/>
      <c r="EVF133" s="4"/>
      <c r="EVG133" s="4"/>
      <c r="EVH133" s="4"/>
      <c r="EVI133" s="4"/>
      <c r="EVJ133" s="4"/>
      <c r="EVK133" s="4"/>
      <c r="EVL133" s="4"/>
      <c r="EVM133" s="4"/>
      <c r="EVN133" s="4"/>
      <c r="EVO133" s="4"/>
      <c r="EVP133" s="4"/>
      <c r="EVQ133" s="4"/>
      <c r="EVR133" s="4"/>
      <c r="EVS133" s="4"/>
      <c r="EVT133" s="4"/>
      <c r="EVU133" s="4"/>
      <c r="EVV133" s="4"/>
      <c r="EVW133" s="4"/>
      <c r="EVX133" s="4"/>
      <c r="EVY133" s="4"/>
      <c r="EVZ133" s="4"/>
      <c r="EWA133" s="4"/>
      <c r="EWB133" s="4"/>
      <c r="EWC133" s="4"/>
      <c r="EWD133" s="4"/>
      <c r="EWE133" s="4"/>
      <c r="EWF133" s="4"/>
      <c r="EWG133" s="4"/>
      <c r="EWH133" s="4"/>
      <c r="EWI133" s="4"/>
      <c r="EWJ133" s="4"/>
      <c r="EWK133" s="4"/>
      <c r="EWL133" s="4"/>
      <c r="EWM133" s="4"/>
      <c r="EWN133" s="4"/>
      <c r="EWO133" s="4"/>
      <c r="EWP133" s="4"/>
      <c r="EWQ133" s="4"/>
      <c r="EWR133" s="4"/>
      <c r="EWS133" s="4"/>
      <c r="EWT133" s="4"/>
      <c r="EWU133" s="4"/>
      <c r="EWV133" s="4"/>
      <c r="EWW133" s="4"/>
      <c r="EWX133" s="4"/>
      <c r="EWY133" s="4"/>
      <c r="EWZ133" s="4"/>
      <c r="EXA133" s="4"/>
      <c r="EXB133" s="4"/>
      <c r="EXC133" s="4"/>
      <c r="EXD133" s="4"/>
      <c r="EXE133" s="4"/>
      <c r="EXF133" s="4"/>
      <c r="EXG133" s="4"/>
      <c r="EXH133" s="4"/>
      <c r="EXI133" s="4"/>
      <c r="EXJ133" s="4"/>
      <c r="EXK133" s="4"/>
      <c r="EXL133" s="4"/>
      <c r="EXM133" s="4"/>
      <c r="EXN133" s="4"/>
      <c r="EXO133" s="4"/>
      <c r="EXP133" s="4"/>
      <c r="EXQ133" s="4"/>
      <c r="EXR133" s="4"/>
      <c r="EXS133" s="4"/>
      <c r="EXT133" s="4"/>
      <c r="EXU133" s="4"/>
      <c r="EXV133" s="4"/>
      <c r="EXW133" s="4"/>
      <c r="EXX133" s="4"/>
      <c r="EXY133" s="4"/>
      <c r="EXZ133" s="4"/>
      <c r="EYA133" s="4"/>
      <c r="EYB133" s="4"/>
      <c r="EYC133" s="4"/>
      <c r="EYD133" s="4"/>
      <c r="EYE133" s="4"/>
      <c r="EYF133" s="4"/>
      <c r="EYG133" s="4"/>
      <c r="EYH133" s="4"/>
      <c r="EYI133" s="4"/>
      <c r="EYJ133" s="4"/>
      <c r="EYK133" s="4"/>
      <c r="EYL133" s="4"/>
      <c r="EYM133" s="4"/>
      <c r="EYN133" s="4"/>
      <c r="EYO133" s="4"/>
      <c r="EYP133" s="4"/>
      <c r="EYQ133" s="4"/>
      <c r="EYR133" s="4"/>
      <c r="EYS133" s="4"/>
      <c r="EYT133" s="4"/>
      <c r="EYU133" s="4"/>
      <c r="EYV133" s="4"/>
      <c r="EYW133" s="4"/>
      <c r="EYX133" s="4"/>
      <c r="EYY133" s="4"/>
      <c r="EYZ133" s="4"/>
      <c r="EZA133" s="4"/>
      <c r="EZB133" s="4"/>
      <c r="EZC133" s="4"/>
      <c r="EZD133" s="4"/>
      <c r="EZE133" s="4"/>
      <c r="EZF133" s="4"/>
      <c r="EZG133" s="4"/>
      <c r="EZH133" s="4"/>
      <c r="EZI133" s="4"/>
      <c r="EZJ133" s="4"/>
      <c r="EZK133" s="4"/>
      <c r="EZL133" s="4"/>
      <c r="EZM133" s="4"/>
      <c r="EZN133" s="4"/>
      <c r="EZO133" s="4"/>
      <c r="EZP133" s="4"/>
      <c r="EZQ133" s="4"/>
      <c r="EZR133" s="4"/>
      <c r="EZS133" s="4"/>
      <c r="EZT133" s="4"/>
      <c r="EZU133" s="4"/>
      <c r="EZV133" s="4"/>
      <c r="EZW133" s="4"/>
      <c r="EZX133" s="4"/>
      <c r="EZY133" s="4"/>
      <c r="EZZ133" s="4"/>
      <c r="FAA133" s="4"/>
      <c r="FAB133" s="4"/>
      <c r="FAC133" s="4"/>
      <c r="FAD133" s="4"/>
      <c r="FAE133" s="4"/>
      <c r="FAF133" s="4"/>
      <c r="FAG133" s="4"/>
      <c r="FAH133" s="4"/>
      <c r="FAI133" s="4"/>
      <c r="FAJ133" s="4"/>
      <c r="FAK133" s="4"/>
      <c r="FAL133" s="4"/>
      <c r="FAM133" s="4"/>
      <c r="FAN133" s="4"/>
      <c r="FAO133" s="4"/>
      <c r="FAP133" s="4"/>
      <c r="FAQ133" s="4"/>
      <c r="FAR133" s="4"/>
      <c r="FAS133" s="4"/>
      <c r="FAT133" s="4"/>
      <c r="FAU133" s="4"/>
      <c r="FAV133" s="4"/>
      <c r="FAW133" s="4"/>
      <c r="FAX133" s="4"/>
      <c r="FAY133" s="4"/>
      <c r="FAZ133" s="4"/>
      <c r="FBA133" s="4"/>
      <c r="FBB133" s="4"/>
      <c r="FBC133" s="4"/>
      <c r="FBD133" s="4"/>
      <c r="FBE133" s="4"/>
      <c r="FBF133" s="4"/>
      <c r="FBG133" s="4"/>
      <c r="FBH133" s="4"/>
      <c r="FBI133" s="4"/>
      <c r="FBJ133" s="4"/>
      <c r="FBK133" s="4"/>
      <c r="FBL133" s="4"/>
      <c r="FBM133" s="4"/>
      <c r="FBN133" s="4"/>
      <c r="FBO133" s="4"/>
      <c r="FBP133" s="4"/>
      <c r="FBQ133" s="4"/>
      <c r="FBR133" s="4"/>
      <c r="FBS133" s="4"/>
      <c r="FBT133" s="4"/>
      <c r="FBU133" s="4"/>
      <c r="FBV133" s="4"/>
      <c r="FBW133" s="4"/>
      <c r="FBX133" s="4"/>
      <c r="FBY133" s="4"/>
      <c r="FBZ133" s="4"/>
      <c r="FCA133" s="4"/>
      <c r="FCB133" s="4"/>
      <c r="FCC133" s="4"/>
      <c r="FCD133" s="4"/>
      <c r="FCE133" s="4"/>
      <c r="FCF133" s="4"/>
      <c r="FCG133" s="4"/>
      <c r="FCH133" s="4"/>
      <c r="FCI133" s="4"/>
      <c r="FCJ133" s="4"/>
      <c r="FCK133" s="4"/>
      <c r="FCL133" s="4"/>
      <c r="FCM133" s="4"/>
      <c r="FCN133" s="4"/>
      <c r="FCO133" s="4"/>
      <c r="FCP133" s="4"/>
      <c r="FCQ133" s="4"/>
      <c r="FCR133" s="4"/>
      <c r="FCS133" s="4"/>
      <c r="FCT133" s="4"/>
      <c r="FCU133" s="4"/>
      <c r="FCV133" s="4"/>
      <c r="FCW133" s="4"/>
      <c r="FCX133" s="4"/>
      <c r="FCY133" s="4"/>
      <c r="FCZ133" s="4"/>
      <c r="FDA133" s="4"/>
      <c r="FDB133" s="4"/>
      <c r="FDC133" s="4"/>
      <c r="FDD133" s="4"/>
      <c r="FDE133" s="4"/>
      <c r="FDF133" s="4"/>
      <c r="FDG133" s="4"/>
      <c r="FDH133" s="4"/>
      <c r="FDI133" s="4"/>
      <c r="FDJ133" s="4"/>
      <c r="FDK133" s="4"/>
      <c r="FDL133" s="4"/>
      <c r="FDM133" s="4"/>
      <c r="FDN133" s="4"/>
      <c r="FDO133" s="4"/>
      <c r="FDP133" s="4"/>
      <c r="FDQ133" s="4"/>
      <c r="FDR133" s="4"/>
      <c r="FDS133" s="4"/>
      <c r="FDT133" s="4"/>
      <c r="FDU133" s="4"/>
      <c r="FDV133" s="4"/>
      <c r="FDW133" s="4"/>
      <c r="FDX133" s="4"/>
      <c r="FDY133" s="4"/>
      <c r="FDZ133" s="4"/>
      <c r="FEA133" s="4"/>
      <c r="FEB133" s="4"/>
      <c r="FEC133" s="4"/>
      <c r="FED133" s="4"/>
      <c r="FEE133" s="4"/>
      <c r="FEF133" s="4"/>
      <c r="FEG133" s="4"/>
      <c r="FEH133" s="4"/>
      <c r="FEI133" s="4"/>
      <c r="FEJ133" s="4"/>
      <c r="FEK133" s="4"/>
      <c r="FEL133" s="4"/>
      <c r="FEM133" s="4"/>
      <c r="FEN133" s="4"/>
      <c r="FEO133" s="4"/>
      <c r="FEP133" s="4"/>
      <c r="FEQ133" s="4"/>
      <c r="FER133" s="4"/>
      <c r="FES133" s="4"/>
      <c r="FET133" s="4"/>
      <c r="FEU133" s="4"/>
      <c r="FEV133" s="4"/>
      <c r="FEW133" s="4"/>
      <c r="FEX133" s="4"/>
      <c r="FEY133" s="4"/>
      <c r="FEZ133" s="4"/>
      <c r="FFA133" s="4"/>
      <c r="FFB133" s="4"/>
      <c r="FFC133" s="4"/>
      <c r="FFD133" s="4"/>
      <c r="FFE133" s="4"/>
      <c r="FFF133" s="4"/>
      <c r="FFG133" s="4"/>
      <c r="FFH133" s="4"/>
      <c r="FFI133" s="4"/>
      <c r="FFJ133" s="4"/>
      <c r="FFK133" s="4"/>
      <c r="FFL133" s="4"/>
      <c r="FFM133" s="4"/>
      <c r="FFN133" s="4"/>
      <c r="FFO133" s="4"/>
      <c r="FFP133" s="4"/>
      <c r="FFQ133" s="4"/>
      <c r="FFR133" s="4"/>
      <c r="FFS133" s="4"/>
      <c r="FFT133" s="4"/>
      <c r="FFU133" s="4"/>
      <c r="FFV133" s="4"/>
      <c r="FFW133" s="4"/>
      <c r="FFX133" s="4"/>
      <c r="FFY133" s="4"/>
      <c r="FFZ133" s="4"/>
      <c r="FGA133" s="4"/>
      <c r="FGB133" s="4"/>
      <c r="FGC133" s="4"/>
      <c r="FGD133" s="4"/>
      <c r="FGE133" s="4"/>
      <c r="FGF133" s="4"/>
      <c r="FGG133" s="4"/>
      <c r="FGH133" s="4"/>
      <c r="FGI133" s="4"/>
      <c r="FGJ133" s="4"/>
      <c r="FGK133" s="4"/>
      <c r="FGL133" s="4"/>
      <c r="FGM133" s="4"/>
      <c r="FGN133" s="4"/>
      <c r="FGO133" s="4"/>
      <c r="FGP133" s="4"/>
      <c r="FGQ133" s="4"/>
      <c r="FGR133" s="4"/>
      <c r="FGS133" s="4"/>
      <c r="FGT133" s="4"/>
      <c r="FGU133" s="4"/>
      <c r="FGV133" s="4"/>
      <c r="FGW133" s="4"/>
      <c r="FGX133" s="4"/>
      <c r="FGY133" s="4"/>
      <c r="FGZ133" s="4"/>
      <c r="FHA133" s="4"/>
      <c r="FHB133" s="4"/>
      <c r="FHC133" s="4"/>
      <c r="FHD133" s="4"/>
      <c r="FHE133" s="4"/>
      <c r="FHF133" s="4"/>
      <c r="FHG133" s="4"/>
      <c r="FHH133" s="4"/>
      <c r="FHI133" s="4"/>
      <c r="FHJ133" s="4"/>
      <c r="FHK133" s="4"/>
      <c r="FHL133" s="4"/>
      <c r="FHM133" s="4"/>
      <c r="FHN133" s="4"/>
      <c r="FHO133" s="4"/>
      <c r="FHP133" s="4"/>
      <c r="FHQ133" s="4"/>
      <c r="FHR133" s="4"/>
      <c r="FHS133" s="4"/>
      <c r="FHT133" s="4"/>
      <c r="FHU133" s="4"/>
      <c r="FHV133" s="4"/>
      <c r="FHW133" s="4"/>
      <c r="FHX133" s="4"/>
      <c r="FHY133" s="4"/>
      <c r="FHZ133" s="4"/>
      <c r="FIA133" s="4"/>
      <c r="FIB133" s="4"/>
      <c r="FIC133" s="4"/>
      <c r="FID133" s="4"/>
      <c r="FIE133" s="4"/>
      <c r="FIF133" s="4"/>
      <c r="FIG133" s="4"/>
      <c r="FIH133" s="4"/>
      <c r="FII133" s="4"/>
      <c r="FIJ133" s="4"/>
      <c r="FIK133" s="4"/>
      <c r="FIL133" s="4"/>
      <c r="FIM133" s="4"/>
      <c r="FIN133" s="4"/>
      <c r="FIO133" s="4"/>
      <c r="FIP133" s="4"/>
      <c r="FIQ133" s="4"/>
      <c r="FIR133" s="4"/>
      <c r="FIS133" s="4"/>
      <c r="FIT133" s="4"/>
      <c r="FIU133" s="4"/>
      <c r="FIV133" s="4"/>
      <c r="FIW133" s="4"/>
      <c r="FIX133" s="4"/>
      <c r="FIY133" s="4"/>
      <c r="FIZ133" s="4"/>
      <c r="FJA133" s="4"/>
      <c r="FJB133" s="4"/>
      <c r="FJC133" s="4"/>
      <c r="FJD133" s="4"/>
      <c r="FJE133" s="4"/>
      <c r="FJF133" s="4"/>
      <c r="FJG133" s="4"/>
      <c r="FJH133" s="4"/>
      <c r="FJI133" s="4"/>
      <c r="FJJ133" s="4"/>
      <c r="FJK133" s="4"/>
      <c r="FJL133" s="4"/>
      <c r="FJM133" s="4"/>
      <c r="FJN133" s="4"/>
      <c r="FJO133" s="4"/>
      <c r="FJP133" s="4"/>
      <c r="FJQ133" s="4"/>
      <c r="FJR133" s="4"/>
      <c r="FJS133" s="4"/>
      <c r="FJT133" s="4"/>
      <c r="FJU133" s="4"/>
      <c r="FJV133" s="4"/>
      <c r="FJW133" s="4"/>
      <c r="FJX133" s="4"/>
      <c r="FJY133" s="4"/>
      <c r="FJZ133" s="4"/>
      <c r="FKA133" s="4"/>
      <c r="FKB133" s="4"/>
      <c r="FKC133" s="4"/>
      <c r="FKD133" s="4"/>
      <c r="FKE133" s="4"/>
      <c r="FKF133" s="4"/>
      <c r="FKG133" s="4"/>
      <c r="FKH133" s="4"/>
      <c r="FKI133" s="4"/>
      <c r="FKJ133" s="4"/>
      <c r="FKK133" s="4"/>
      <c r="FKL133" s="4"/>
      <c r="FKM133" s="4"/>
      <c r="FKN133" s="4"/>
      <c r="FKO133" s="4"/>
      <c r="FKP133" s="4"/>
      <c r="FKQ133" s="4"/>
      <c r="FKR133" s="4"/>
      <c r="FKS133" s="4"/>
      <c r="FKT133" s="4"/>
      <c r="FKU133" s="4"/>
      <c r="FKV133" s="4"/>
      <c r="FKW133" s="4"/>
      <c r="FKX133" s="4"/>
      <c r="FKY133" s="4"/>
      <c r="FKZ133" s="4"/>
      <c r="FLA133" s="4"/>
      <c r="FLB133" s="4"/>
      <c r="FLC133" s="4"/>
      <c r="FLD133" s="4"/>
      <c r="FLE133" s="4"/>
      <c r="FLF133" s="4"/>
      <c r="FLG133" s="4"/>
      <c r="FLH133" s="4"/>
      <c r="FLI133" s="4"/>
      <c r="FLJ133" s="4"/>
      <c r="FLK133" s="4"/>
      <c r="FLL133" s="4"/>
      <c r="FLM133" s="4"/>
      <c r="FLN133" s="4"/>
      <c r="FLO133" s="4"/>
      <c r="FLP133" s="4"/>
      <c r="FLQ133" s="4"/>
      <c r="FLR133" s="4"/>
      <c r="FLS133" s="4"/>
      <c r="FLT133" s="4"/>
      <c r="FLU133" s="4"/>
      <c r="FLV133" s="4"/>
      <c r="FLW133" s="4"/>
      <c r="FLX133" s="4"/>
      <c r="FLY133" s="4"/>
      <c r="FLZ133" s="4"/>
      <c r="FMA133" s="4"/>
      <c r="FMB133" s="4"/>
      <c r="FMC133" s="4"/>
      <c r="FMD133" s="4"/>
      <c r="FME133" s="4"/>
      <c r="FMF133" s="4"/>
      <c r="FMG133" s="4"/>
      <c r="FMH133" s="4"/>
      <c r="FMI133" s="4"/>
      <c r="FMJ133" s="4"/>
      <c r="FMK133" s="4"/>
      <c r="FML133" s="4"/>
      <c r="FMM133" s="4"/>
      <c r="FMN133" s="4"/>
      <c r="FMO133" s="4"/>
      <c r="FMP133" s="4"/>
      <c r="FMQ133" s="4"/>
      <c r="FMR133" s="4"/>
      <c r="FMS133" s="4"/>
      <c r="FMT133" s="4"/>
      <c r="FMU133" s="4"/>
      <c r="FMV133" s="4"/>
      <c r="FMW133" s="4"/>
      <c r="FMX133" s="4"/>
      <c r="FMY133" s="4"/>
      <c r="FMZ133" s="4"/>
      <c r="FNA133" s="4"/>
      <c r="FNB133" s="4"/>
      <c r="FNC133" s="4"/>
      <c r="FND133" s="4"/>
      <c r="FNE133" s="4"/>
      <c r="FNF133" s="4"/>
      <c r="FNG133" s="4"/>
      <c r="FNH133" s="4"/>
      <c r="FNI133" s="4"/>
      <c r="FNJ133" s="4"/>
      <c r="FNK133" s="4"/>
      <c r="FNL133" s="4"/>
      <c r="FNM133" s="4"/>
      <c r="FNN133" s="4"/>
      <c r="FNO133" s="4"/>
      <c r="FNP133" s="4"/>
      <c r="FNQ133" s="4"/>
      <c r="FNR133" s="4"/>
      <c r="FNS133" s="4"/>
      <c r="FNT133" s="4"/>
      <c r="FNU133" s="4"/>
      <c r="FNV133" s="4"/>
      <c r="FNW133" s="4"/>
      <c r="FNX133" s="4"/>
      <c r="FNY133" s="4"/>
      <c r="FNZ133" s="4"/>
      <c r="FOA133" s="4"/>
      <c r="FOB133" s="4"/>
      <c r="FOC133" s="4"/>
      <c r="FOD133" s="4"/>
      <c r="FOE133" s="4"/>
      <c r="FOF133" s="4"/>
      <c r="FOG133" s="4"/>
      <c r="FOH133" s="4"/>
      <c r="FOI133" s="4"/>
      <c r="FOJ133" s="4"/>
      <c r="FOK133" s="4"/>
      <c r="FOL133" s="4"/>
      <c r="FOM133" s="4"/>
      <c r="FON133" s="4"/>
      <c r="FOO133" s="4"/>
      <c r="FOP133" s="4"/>
      <c r="FOQ133" s="4"/>
      <c r="FOR133" s="4"/>
      <c r="FOS133" s="4"/>
      <c r="FOT133" s="4"/>
      <c r="FOU133" s="4"/>
      <c r="FOV133" s="4"/>
      <c r="FOW133" s="4"/>
      <c r="FOX133" s="4"/>
      <c r="FOY133" s="4"/>
      <c r="FOZ133" s="4"/>
      <c r="FPA133" s="4"/>
      <c r="FPB133" s="4"/>
      <c r="FPC133" s="4"/>
      <c r="FPD133" s="4"/>
      <c r="FPE133" s="4"/>
      <c r="FPF133" s="4"/>
      <c r="FPG133" s="4"/>
      <c r="FPH133" s="4"/>
      <c r="FPI133" s="4"/>
      <c r="FPJ133" s="4"/>
      <c r="FPK133" s="4"/>
      <c r="FPL133" s="4"/>
      <c r="FPM133" s="4"/>
      <c r="FPN133" s="4"/>
      <c r="FPO133" s="4"/>
      <c r="FPP133" s="4"/>
      <c r="FPQ133" s="4"/>
      <c r="FPR133" s="4"/>
      <c r="FPS133" s="4"/>
      <c r="FPT133" s="4"/>
      <c r="FPU133" s="4"/>
      <c r="FPV133" s="4"/>
      <c r="FPW133" s="4"/>
      <c r="FPX133" s="4"/>
      <c r="FPY133" s="4"/>
      <c r="FPZ133" s="4"/>
      <c r="FQA133" s="4"/>
      <c r="FQB133" s="4"/>
      <c r="FQC133" s="4"/>
      <c r="FQD133" s="4"/>
      <c r="FQE133" s="4"/>
      <c r="FQF133" s="4"/>
      <c r="FQG133" s="4"/>
      <c r="FQH133" s="4"/>
      <c r="FQI133" s="4"/>
      <c r="FQJ133" s="4"/>
      <c r="FQK133" s="4"/>
      <c r="FQL133" s="4"/>
      <c r="FQM133" s="4"/>
      <c r="FQN133" s="4"/>
      <c r="FQO133" s="4"/>
      <c r="FQP133" s="4"/>
      <c r="FQQ133" s="4"/>
      <c r="FQR133" s="4"/>
      <c r="FQS133" s="4"/>
      <c r="FQT133" s="4"/>
      <c r="FQU133" s="4"/>
      <c r="FQV133" s="4"/>
      <c r="FQW133" s="4"/>
      <c r="FQX133" s="4"/>
      <c r="FQY133" s="4"/>
      <c r="FQZ133" s="4"/>
      <c r="FRA133" s="4"/>
      <c r="FRB133" s="4"/>
      <c r="FRC133" s="4"/>
      <c r="FRD133" s="4"/>
      <c r="FRE133" s="4"/>
      <c r="FRF133" s="4"/>
      <c r="FRG133" s="4"/>
      <c r="FRH133" s="4"/>
      <c r="FRI133" s="4"/>
      <c r="FRJ133" s="4"/>
      <c r="FRK133" s="4"/>
      <c r="FRL133" s="4"/>
      <c r="FRM133" s="4"/>
      <c r="FRN133" s="4"/>
      <c r="FRO133" s="4"/>
      <c r="FRP133" s="4"/>
      <c r="FRQ133" s="4"/>
      <c r="FRR133" s="4"/>
      <c r="FRS133" s="4"/>
      <c r="FRT133" s="4"/>
      <c r="FRU133" s="4"/>
      <c r="FRV133" s="4"/>
      <c r="FRW133" s="4"/>
      <c r="FRX133" s="4"/>
      <c r="FRY133" s="4"/>
      <c r="FRZ133" s="4"/>
      <c r="FSA133" s="4"/>
      <c r="FSB133" s="4"/>
      <c r="FSC133" s="4"/>
      <c r="FSD133" s="4"/>
      <c r="FSE133" s="4"/>
      <c r="FSF133" s="4"/>
      <c r="FSG133" s="4"/>
      <c r="FSH133" s="4"/>
      <c r="FSI133" s="4"/>
      <c r="FSJ133" s="4"/>
      <c r="FSK133" s="4"/>
      <c r="FSL133" s="4"/>
      <c r="FSM133" s="4"/>
      <c r="FSN133" s="4"/>
      <c r="FSO133" s="4"/>
      <c r="FSP133" s="4"/>
      <c r="FSQ133" s="4"/>
      <c r="FSR133" s="4"/>
      <c r="FSS133" s="4"/>
      <c r="FST133" s="4"/>
      <c r="FSU133" s="4"/>
      <c r="FSV133" s="4"/>
      <c r="FSW133" s="4"/>
      <c r="FSX133" s="4"/>
      <c r="FSY133" s="4"/>
      <c r="FSZ133" s="4"/>
      <c r="FTA133" s="4"/>
      <c r="FTB133" s="4"/>
      <c r="FTC133" s="4"/>
      <c r="FTD133" s="4"/>
      <c r="FTE133" s="4"/>
      <c r="FTF133" s="4"/>
      <c r="FTG133" s="4"/>
      <c r="FTH133" s="4"/>
      <c r="FTI133" s="4"/>
      <c r="FTJ133" s="4"/>
      <c r="FTK133" s="4"/>
      <c r="FTL133" s="4"/>
      <c r="FTM133" s="4"/>
      <c r="FTN133" s="4"/>
      <c r="FTO133" s="4"/>
      <c r="FTP133" s="4"/>
      <c r="FTQ133" s="4"/>
      <c r="FTR133" s="4"/>
      <c r="FTS133" s="4"/>
      <c r="FTT133" s="4"/>
      <c r="FTU133" s="4"/>
      <c r="FTV133" s="4"/>
      <c r="FTW133" s="4"/>
      <c r="FTX133" s="4"/>
      <c r="FTY133" s="4"/>
      <c r="FTZ133" s="4"/>
      <c r="FUA133" s="4"/>
      <c r="FUB133" s="4"/>
      <c r="FUC133" s="4"/>
      <c r="FUD133" s="4"/>
      <c r="FUE133" s="4"/>
      <c r="FUF133" s="4"/>
      <c r="FUG133" s="4"/>
      <c r="FUH133" s="4"/>
      <c r="FUI133" s="4"/>
      <c r="FUJ133" s="4"/>
      <c r="FUK133" s="4"/>
      <c r="FUL133" s="4"/>
      <c r="FUM133" s="4"/>
      <c r="FUN133" s="4"/>
      <c r="FUO133" s="4"/>
      <c r="FUP133" s="4"/>
      <c r="FUQ133" s="4"/>
      <c r="FUR133" s="4"/>
      <c r="FUS133" s="4"/>
      <c r="FUT133" s="4"/>
      <c r="FUU133" s="4"/>
      <c r="FUV133" s="4"/>
      <c r="FUW133" s="4"/>
      <c r="FUX133" s="4"/>
      <c r="FUY133" s="4"/>
      <c r="FUZ133" s="4"/>
      <c r="FVA133" s="4"/>
      <c r="FVB133" s="4"/>
      <c r="FVC133" s="4"/>
      <c r="FVD133" s="4"/>
      <c r="FVE133" s="4"/>
      <c r="FVF133" s="4"/>
      <c r="FVG133" s="4"/>
      <c r="FVH133" s="4"/>
      <c r="FVI133" s="4"/>
      <c r="FVJ133" s="4"/>
      <c r="FVK133" s="4"/>
      <c r="FVL133" s="4"/>
      <c r="FVM133" s="4"/>
      <c r="FVN133" s="4"/>
      <c r="FVO133" s="4"/>
      <c r="FVP133" s="4"/>
      <c r="FVQ133" s="4"/>
      <c r="FVR133" s="4"/>
      <c r="FVS133" s="4"/>
      <c r="FVT133" s="4"/>
      <c r="FVU133" s="4"/>
      <c r="FVV133" s="4"/>
      <c r="FVW133" s="4"/>
      <c r="FVX133" s="4"/>
      <c r="FVY133" s="4"/>
      <c r="FVZ133" s="4"/>
      <c r="FWA133" s="4"/>
      <c r="FWB133" s="4"/>
      <c r="FWC133" s="4"/>
      <c r="FWD133" s="4"/>
      <c r="FWE133" s="4"/>
      <c r="FWF133" s="4"/>
      <c r="FWG133" s="4"/>
      <c r="FWH133" s="4"/>
      <c r="FWI133" s="4"/>
      <c r="FWJ133" s="4"/>
      <c r="FWK133" s="4"/>
      <c r="FWL133" s="4"/>
      <c r="FWM133" s="4"/>
      <c r="FWN133" s="4"/>
      <c r="FWO133" s="4"/>
      <c r="FWP133" s="4"/>
      <c r="FWQ133" s="4"/>
      <c r="FWR133" s="4"/>
      <c r="FWS133" s="4"/>
      <c r="FWT133" s="4"/>
      <c r="FWU133" s="4"/>
      <c r="FWV133" s="4"/>
      <c r="FWW133" s="4"/>
      <c r="FWX133" s="4"/>
      <c r="FWY133" s="4"/>
      <c r="FWZ133" s="4"/>
      <c r="FXA133" s="4"/>
      <c r="FXB133" s="4"/>
      <c r="FXC133" s="4"/>
      <c r="FXD133" s="4"/>
      <c r="FXE133" s="4"/>
      <c r="FXF133" s="4"/>
      <c r="FXG133" s="4"/>
      <c r="FXH133" s="4"/>
      <c r="FXI133" s="4"/>
      <c r="FXJ133" s="4"/>
      <c r="FXK133" s="4"/>
      <c r="FXL133" s="4"/>
      <c r="FXM133" s="4"/>
      <c r="FXN133" s="4"/>
      <c r="FXO133" s="4"/>
      <c r="FXP133" s="4"/>
      <c r="FXQ133" s="4"/>
      <c r="FXR133" s="4"/>
      <c r="FXS133" s="4"/>
      <c r="FXT133" s="4"/>
      <c r="FXU133" s="4"/>
      <c r="FXV133" s="4"/>
      <c r="FXW133" s="4"/>
      <c r="FXX133" s="4"/>
      <c r="FXY133" s="4"/>
      <c r="FXZ133" s="4"/>
      <c r="FYA133" s="4"/>
      <c r="FYB133" s="4"/>
      <c r="FYC133" s="4"/>
      <c r="FYD133" s="4"/>
      <c r="FYE133" s="4"/>
      <c r="FYF133" s="4"/>
      <c r="FYG133" s="4"/>
      <c r="FYH133" s="4"/>
      <c r="FYI133" s="4"/>
      <c r="FYJ133" s="4"/>
      <c r="FYK133" s="4"/>
      <c r="FYL133" s="4"/>
      <c r="FYM133" s="4"/>
      <c r="FYN133" s="4"/>
      <c r="FYO133" s="4"/>
      <c r="FYP133" s="4"/>
      <c r="FYQ133" s="4"/>
      <c r="FYR133" s="4"/>
      <c r="FYS133" s="4"/>
      <c r="FYT133" s="4"/>
      <c r="FYU133" s="4"/>
      <c r="FYV133" s="4"/>
      <c r="FYW133" s="4"/>
      <c r="FYX133" s="4"/>
      <c r="FYY133" s="4"/>
      <c r="FYZ133" s="4"/>
      <c r="FZA133" s="4"/>
      <c r="FZB133" s="4"/>
      <c r="FZC133" s="4"/>
      <c r="FZD133" s="4"/>
      <c r="FZE133" s="4"/>
      <c r="FZF133" s="4"/>
      <c r="FZG133" s="4"/>
      <c r="FZH133" s="4"/>
      <c r="FZI133" s="4"/>
      <c r="FZJ133" s="4"/>
      <c r="FZK133" s="4"/>
      <c r="FZL133" s="4"/>
      <c r="FZM133" s="4"/>
      <c r="FZN133" s="4"/>
      <c r="FZO133" s="4"/>
      <c r="FZP133" s="4"/>
      <c r="FZQ133" s="4"/>
      <c r="FZR133" s="4"/>
      <c r="FZS133" s="4"/>
      <c r="FZT133" s="4"/>
      <c r="FZU133" s="4"/>
      <c r="FZV133" s="4"/>
      <c r="FZW133" s="4"/>
      <c r="FZX133" s="4"/>
      <c r="FZY133" s="4"/>
      <c r="FZZ133" s="4"/>
      <c r="GAA133" s="4"/>
      <c r="GAB133" s="4"/>
      <c r="GAC133" s="4"/>
      <c r="GAD133" s="4"/>
      <c r="GAE133" s="4"/>
      <c r="GAF133" s="4"/>
      <c r="GAG133" s="4"/>
      <c r="GAH133" s="4"/>
      <c r="GAI133" s="4"/>
      <c r="GAJ133" s="4"/>
      <c r="GAK133" s="4"/>
      <c r="GAL133" s="4"/>
      <c r="GAM133" s="4"/>
      <c r="GAN133" s="4"/>
      <c r="GAO133" s="4"/>
      <c r="GAP133" s="4"/>
      <c r="GAQ133" s="4"/>
      <c r="GAR133" s="4"/>
      <c r="GAS133" s="4"/>
      <c r="GAT133" s="4"/>
      <c r="GAU133" s="4"/>
      <c r="GAV133" s="4"/>
      <c r="GAW133" s="4"/>
      <c r="GAX133" s="4"/>
      <c r="GAY133" s="4"/>
      <c r="GAZ133" s="4"/>
      <c r="GBA133" s="4"/>
      <c r="GBB133" s="4"/>
      <c r="GBC133" s="4"/>
      <c r="GBD133" s="4"/>
      <c r="GBE133" s="4"/>
      <c r="GBF133" s="4"/>
      <c r="GBG133" s="4"/>
      <c r="GBH133" s="4"/>
      <c r="GBI133" s="4"/>
      <c r="GBJ133" s="4"/>
      <c r="GBK133" s="4"/>
      <c r="GBL133" s="4"/>
      <c r="GBM133" s="4"/>
      <c r="GBN133" s="4"/>
      <c r="GBO133" s="4"/>
      <c r="GBP133" s="4"/>
      <c r="GBQ133" s="4"/>
      <c r="GBR133" s="4"/>
      <c r="GBS133" s="4"/>
      <c r="GBT133" s="4"/>
      <c r="GBU133" s="4"/>
      <c r="GBV133" s="4"/>
      <c r="GBW133" s="4"/>
      <c r="GBX133" s="4"/>
      <c r="GBY133" s="4"/>
      <c r="GBZ133" s="4"/>
      <c r="GCA133" s="4"/>
      <c r="GCB133" s="4"/>
      <c r="GCC133" s="4"/>
      <c r="GCD133" s="4"/>
      <c r="GCE133" s="4"/>
      <c r="GCF133" s="4"/>
      <c r="GCG133" s="4"/>
      <c r="GCH133" s="4"/>
      <c r="GCI133" s="4"/>
      <c r="GCJ133" s="4"/>
      <c r="GCK133" s="4"/>
      <c r="GCL133" s="4"/>
      <c r="GCM133" s="4"/>
      <c r="GCN133" s="4"/>
      <c r="GCO133" s="4"/>
      <c r="GCP133" s="4"/>
      <c r="GCQ133" s="4"/>
      <c r="GCR133" s="4"/>
      <c r="GCS133" s="4"/>
      <c r="GCT133" s="4"/>
      <c r="GCU133" s="4"/>
      <c r="GCV133" s="4"/>
      <c r="GCW133" s="4"/>
      <c r="GCX133" s="4"/>
      <c r="GCY133" s="4"/>
      <c r="GCZ133" s="4"/>
      <c r="GDA133" s="4"/>
      <c r="GDB133" s="4"/>
      <c r="GDC133" s="4"/>
      <c r="GDD133" s="4"/>
      <c r="GDE133" s="4"/>
      <c r="GDF133" s="4"/>
      <c r="GDG133" s="4"/>
      <c r="GDH133" s="4"/>
      <c r="GDI133" s="4"/>
      <c r="GDJ133" s="4"/>
      <c r="GDK133" s="4"/>
      <c r="GDL133" s="4"/>
      <c r="GDM133" s="4"/>
      <c r="GDN133" s="4"/>
      <c r="GDO133" s="4"/>
      <c r="GDP133" s="4"/>
      <c r="GDQ133" s="4"/>
      <c r="GDR133" s="4"/>
      <c r="GDS133" s="4"/>
      <c r="GDT133" s="4"/>
      <c r="GDU133" s="4"/>
      <c r="GDV133" s="4"/>
      <c r="GDW133" s="4"/>
      <c r="GDX133" s="4"/>
      <c r="GDY133" s="4"/>
      <c r="GDZ133" s="4"/>
      <c r="GEA133" s="4"/>
      <c r="GEB133" s="4"/>
      <c r="GEC133" s="4"/>
      <c r="GED133" s="4"/>
      <c r="GEE133" s="4"/>
      <c r="GEF133" s="4"/>
      <c r="GEG133" s="4"/>
      <c r="GEH133" s="4"/>
      <c r="GEI133" s="4"/>
      <c r="GEJ133" s="4"/>
      <c r="GEK133" s="4"/>
      <c r="GEL133" s="4"/>
      <c r="GEM133" s="4"/>
      <c r="GEN133" s="4"/>
      <c r="GEO133" s="4"/>
      <c r="GEP133" s="4"/>
      <c r="GEQ133" s="4"/>
      <c r="GER133" s="4"/>
      <c r="GES133" s="4"/>
      <c r="GET133" s="4"/>
      <c r="GEU133" s="4"/>
      <c r="GEV133" s="4"/>
      <c r="GEW133" s="4"/>
      <c r="GEX133" s="4"/>
      <c r="GEY133" s="4"/>
      <c r="GEZ133" s="4"/>
      <c r="GFA133" s="4"/>
      <c r="GFB133" s="4"/>
      <c r="GFC133" s="4"/>
      <c r="GFD133" s="4"/>
      <c r="GFE133" s="4"/>
      <c r="GFF133" s="4"/>
      <c r="GFG133" s="4"/>
      <c r="GFH133" s="4"/>
      <c r="GFI133" s="4"/>
      <c r="GFJ133" s="4"/>
      <c r="GFK133" s="4"/>
      <c r="GFL133" s="4"/>
      <c r="GFM133" s="4"/>
      <c r="GFN133" s="4"/>
      <c r="GFO133" s="4"/>
      <c r="GFP133" s="4"/>
      <c r="GFQ133" s="4"/>
      <c r="GFR133" s="4"/>
      <c r="GFS133" s="4"/>
      <c r="GFT133" s="4"/>
      <c r="GFU133" s="4"/>
      <c r="GFV133" s="4"/>
      <c r="GFW133" s="4"/>
      <c r="GFX133" s="4"/>
      <c r="GFY133" s="4"/>
      <c r="GFZ133" s="4"/>
      <c r="GGA133" s="4"/>
      <c r="GGB133" s="4"/>
      <c r="GGC133" s="4"/>
      <c r="GGD133" s="4"/>
      <c r="GGE133" s="4"/>
      <c r="GGF133" s="4"/>
      <c r="GGG133" s="4"/>
      <c r="GGH133" s="4"/>
      <c r="GGI133" s="4"/>
      <c r="GGJ133" s="4"/>
      <c r="GGK133" s="4"/>
      <c r="GGL133" s="4"/>
      <c r="GGM133" s="4"/>
      <c r="GGN133" s="4"/>
      <c r="GGO133" s="4"/>
      <c r="GGP133" s="4"/>
      <c r="GGQ133" s="4"/>
      <c r="GGR133" s="4"/>
      <c r="GGS133" s="4"/>
      <c r="GGT133" s="4"/>
      <c r="GGU133" s="4"/>
      <c r="GGV133" s="4"/>
      <c r="GGW133" s="4"/>
      <c r="GGX133" s="4"/>
      <c r="GGY133" s="4"/>
      <c r="GGZ133" s="4"/>
      <c r="GHA133" s="4"/>
      <c r="GHB133" s="4"/>
      <c r="GHC133" s="4"/>
      <c r="GHD133" s="4"/>
      <c r="GHE133" s="4"/>
      <c r="GHF133" s="4"/>
      <c r="GHG133" s="4"/>
      <c r="GHH133" s="4"/>
      <c r="GHI133" s="4"/>
      <c r="GHJ133" s="4"/>
      <c r="GHK133" s="4"/>
      <c r="GHL133" s="4"/>
      <c r="GHM133" s="4"/>
      <c r="GHN133" s="4"/>
      <c r="GHO133" s="4"/>
      <c r="GHP133" s="4"/>
      <c r="GHQ133" s="4"/>
      <c r="GHR133" s="4"/>
      <c r="GHS133" s="4"/>
      <c r="GHT133" s="4"/>
      <c r="GHU133" s="4"/>
      <c r="GHV133" s="4"/>
      <c r="GHW133" s="4"/>
      <c r="GHX133" s="4"/>
      <c r="GHY133" s="4"/>
      <c r="GHZ133" s="4"/>
      <c r="GIA133" s="4"/>
      <c r="GIB133" s="4"/>
      <c r="GIC133" s="4"/>
      <c r="GID133" s="4"/>
      <c r="GIE133" s="4"/>
      <c r="GIF133" s="4"/>
      <c r="GIG133" s="4"/>
      <c r="GIH133" s="4"/>
      <c r="GII133" s="4"/>
      <c r="GIJ133" s="4"/>
      <c r="GIK133" s="4"/>
      <c r="GIL133" s="4"/>
      <c r="GIM133" s="4"/>
      <c r="GIN133" s="4"/>
      <c r="GIO133" s="4"/>
      <c r="GIP133" s="4"/>
      <c r="GIQ133" s="4"/>
      <c r="GIR133" s="4"/>
      <c r="GIS133" s="4"/>
      <c r="GIT133" s="4"/>
      <c r="GIU133" s="4"/>
      <c r="GIV133" s="4"/>
      <c r="GIW133" s="4"/>
      <c r="GIX133" s="4"/>
      <c r="GIY133" s="4"/>
      <c r="GIZ133" s="4"/>
      <c r="GJA133" s="4"/>
      <c r="GJB133" s="4"/>
      <c r="GJC133" s="4"/>
      <c r="GJD133" s="4"/>
      <c r="GJE133" s="4"/>
      <c r="GJF133" s="4"/>
      <c r="GJG133" s="4"/>
      <c r="GJH133" s="4"/>
      <c r="GJI133" s="4"/>
      <c r="GJJ133" s="4"/>
      <c r="GJK133" s="4"/>
      <c r="GJL133" s="4"/>
      <c r="GJM133" s="4"/>
      <c r="GJN133" s="4"/>
      <c r="GJO133" s="4"/>
      <c r="GJP133" s="4"/>
      <c r="GJQ133" s="4"/>
      <c r="GJR133" s="4"/>
      <c r="GJS133" s="4"/>
      <c r="GJT133" s="4"/>
      <c r="GJU133" s="4"/>
      <c r="GJV133" s="4"/>
      <c r="GJW133" s="4"/>
      <c r="GJX133" s="4"/>
      <c r="GJY133" s="4"/>
      <c r="GJZ133" s="4"/>
      <c r="GKA133" s="4"/>
      <c r="GKB133" s="4"/>
      <c r="GKC133" s="4"/>
      <c r="GKD133" s="4"/>
      <c r="GKE133" s="4"/>
      <c r="GKF133" s="4"/>
      <c r="GKG133" s="4"/>
      <c r="GKH133" s="4"/>
      <c r="GKI133" s="4"/>
      <c r="GKJ133" s="4"/>
      <c r="GKK133" s="4"/>
      <c r="GKL133" s="4"/>
      <c r="GKM133" s="4"/>
      <c r="GKN133" s="4"/>
      <c r="GKO133" s="4"/>
      <c r="GKP133" s="4"/>
      <c r="GKQ133" s="4"/>
      <c r="GKR133" s="4"/>
      <c r="GKS133" s="4"/>
      <c r="GKT133" s="4"/>
      <c r="GKU133" s="4"/>
      <c r="GKV133" s="4"/>
      <c r="GKW133" s="4"/>
      <c r="GKX133" s="4"/>
      <c r="GKY133" s="4"/>
      <c r="GKZ133" s="4"/>
      <c r="GLA133" s="4"/>
      <c r="GLB133" s="4"/>
      <c r="GLC133" s="4"/>
      <c r="GLD133" s="4"/>
      <c r="GLE133" s="4"/>
      <c r="GLF133" s="4"/>
      <c r="GLG133" s="4"/>
      <c r="GLH133" s="4"/>
      <c r="GLI133" s="4"/>
      <c r="GLJ133" s="4"/>
      <c r="GLK133" s="4"/>
      <c r="GLL133" s="4"/>
      <c r="GLM133" s="4"/>
      <c r="GLN133" s="4"/>
      <c r="GLO133" s="4"/>
      <c r="GLP133" s="4"/>
      <c r="GLQ133" s="4"/>
      <c r="GLR133" s="4"/>
      <c r="GLS133" s="4"/>
      <c r="GLT133" s="4"/>
      <c r="GLU133" s="4"/>
      <c r="GLV133" s="4"/>
      <c r="GLW133" s="4"/>
      <c r="GLX133" s="4"/>
      <c r="GLY133" s="4"/>
      <c r="GLZ133" s="4"/>
      <c r="GMA133" s="4"/>
      <c r="GMB133" s="4"/>
      <c r="GMC133" s="4"/>
      <c r="GMD133" s="4"/>
      <c r="GME133" s="4"/>
      <c r="GMF133" s="4"/>
      <c r="GMG133" s="4"/>
      <c r="GMH133" s="4"/>
      <c r="GMI133" s="4"/>
      <c r="GMJ133" s="4"/>
      <c r="GMK133" s="4"/>
      <c r="GML133" s="4"/>
      <c r="GMM133" s="4"/>
      <c r="GMN133" s="4"/>
      <c r="GMO133" s="4"/>
      <c r="GMP133" s="4"/>
      <c r="GMQ133" s="4"/>
      <c r="GMR133" s="4"/>
      <c r="GMS133" s="4"/>
      <c r="GMT133" s="4"/>
      <c r="GMU133" s="4"/>
      <c r="GMV133" s="4"/>
      <c r="GMW133" s="4"/>
      <c r="GMX133" s="4"/>
      <c r="GMY133" s="4"/>
      <c r="GMZ133" s="4"/>
      <c r="GNA133" s="4"/>
      <c r="GNB133" s="4"/>
      <c r="GNC133" s="4"/>
      <c r="GND133" s="4"/>
      <c r="GNE133" s="4"/>
      <c r="GNF133" s="4"/>
      <c r="GNG133" s="4"/>
      <c r="GNH133" s="4"/>
      <c r="GNI133" s="4"/>
      <c r="GNJ133" s="4"/>
      <c r="GNK133" s="4"/>
      <c r="GNL133" s="4"/>
      <c r="GNM133" s="4"/>
      <c r="GNN133" s="4"/>
      <c r="GNO133" s="4"/>
      <c r="GNP133" s="4"/>
      <c r="GNQ133" s="4"/>
      <c r="GNR133" s="4"/>
      <c r="GNS133" s="4"/>
      <c r="GNT133" s="4"/>
      <c r="GNU133" s="4"/>
      <c r="GNV133" s="4"/>
      <c r="GNW133" s="4"/>
      <c r="GNX133" s="4"/>
      <c r="GNY133" s="4"/>
      <c r="GNZ133" s="4"/>
      <c r="GOA133" s="4"/>
      <c r="GOB133" s="4"/>
      <c r="GOC133" s="4"/>
      <c r="GOD133" s="4"/>
      <c r="GOE133" s="4"/>
      <c r="GOF133" s="4"/>
      <c r="GOG133" s="4"/>
      <c r="GOH133" s="4"/>
      <c r="GOI133" s="4"/>
      <c r="GOJ133" s="4"/>
      <c r="GOK133" s="4"/>
      <c r="GOL133" s="4"/>
      <c r="GOM133" s="4"/>
      <c r="GON133" s="4"/>
      <c r="GOO133" s="4"/>
      <c r="GOP133" s="4"/>
      <c r="GOQ133" s="4"/>
      <c r="GOR133" s="4"/>
      <c r="GOS133" s="4"/>
      <c r="GOT133" s="4"/>
      <c r="GOU133" s="4"/>
      <c r="GOV133" s="4"/>
      <c r="GOW133" s="4"/>
      <c r="GOX133" s="4"/>
      <c r="GOY133" s="4"/>
      <c r="GOZ133" s="4"/>
      <c r="GPA133" s="4"/>
      <c r="GPB133" s="4"/>
      <c r="GPC133" s="4"/>
      <c r="GPD133" s="4"/>
      <c r="GPE133" s="4"/>
      <c r="GPF133" s="4"/>
      <c r="GPG133" s="4"/>
      <c r="GPH133" s="4"/>
      <c r="GPI133" s="4"/>
      <c r="GPJ133" s="4"/>
      <c r="GPK133" s="4"/>
      <c r="GPL133" s="4"/>
      <c r="GPM133" s="4"/>
      <c r="GPN133" s="4"/>
      <c r="GPO133" s="4"/>
      <c r="GPP133" s="4"/>
      <c r="GPQ133" s="4"/>
      <c r="GPR133" s="4"/>
      <c r="GPS133" s="4"/>
      <c r="GPT133" s="4"/>
      <c r="GPU133" s="4"/>
      <c r="GPV133" s="4"/>
      <c r="GPW133" s="4"/>
      <c r="GPX133" s="4"/>
      <c r="GPY133" s="4"/>
      <c r="GPZ133" s="4"/>
      <c r="GQA133" s="4"/>
      <c r="GQB133" s="4"/>
      <c r="GQC133" s="4"/>
      <c r="GQD133" s="4"/>
      <c r="GQE133" s="4"/>
      <c r="GQF133" s="4"/>
      <c r="GQG133" s="4"/>
      <c r="GQH133" s="4"/>
      <c r="GQI133" s="4"/>
      <c r="GQJ133" s="4"/>
      <c r="GQK133" s="4"/>
      <c r="GQL133" s="4"/>
      <c r="GQM133" s="4"/>
      <c r="GQN133" s="4"/>
      <c r="GQO133" s="4"/>
      <c r="GQP133" s="4"/>
      <c r="GQQ133" s="4"/>
      <c r="GQR133" s="4"/>
      <c r="GQS133" s="4"/>
      <c r="GQT133" s="4"/>
      <c r="GQU133" s="4"/>
      <c r="GQV133" s="4"/>
      <c r="GQW133" s="4"/>
      <c r="GQX133" s="4"/>
      <c r="GQY133" s="4"/>
      <c r="GQZ133" s="4"/>
      <c r="GRA133" s="4"/>
      <c r="GRB133" s="4"/>
      <c r="GRC133" s="4"/>
      <c r="GRD133" s="4"/>
      <c r="GRE133" s="4"/>
      <c r="GRF133" s="4"/>
      <c r="GRG133" s="4"/>
      <c r="GRH133" s="4"/>
      <c r="GRI133" s="4"/>
      <c r="GRJ133" s="4"/>
      <c r="GRK133" s="4"/>
      <c r="GRL133" s="4"/>
      <c r="GRM133" s="4"/>
      <c r="GRN133" s="4"/>
      <c r="GRO133" s="4"/>
      <c r="GRP133" s="4"/>
      <c r="GRQ133" s="4"/>
      <c r="GRR133" s="4"/>
      <c r="GRS133" s="4"/>
      <c r="GRT133" s="4"/>
      <c r="GRU133" s="4"/>
      <c r="GRV133" s="4"/>
      <c r="GRW133" s="4"/>
      <c r="GRX133" s="4"/>
      <c r="GRY133" s="4"/>
      <c r="GRZ133" s="4"/>
      <c r="GSA133" s="4"/>
      <c r="GSB133" s="4"/>
      <c r="GSC133" s="4"/>
      <c r="GSD133" s="4"/>
      <c r="GSE133" s="4"/>
      <c r="GSF133" s="4"/>
      <c r="GSG133" s="4"/>
      <c r="GSH133" s="4"/>
      <c r="GSI133" s="4"/>
      <c r="GSJ133" s="4"/>
      <c r="GSK133" s="4"/>
      <c r="GSL133" s="4"/>
      <c r="GSM133" s="4"/>
      <c r="GSN133" s="4"/>
      <c r="GSO133" s="4"/>
      <c r="GSP133" s="4"/>
      <c r="GSQ133" s="4"/>
      <c r="GSR133" s="4"/>
      <c r="GSS133" s="4"/>
      <c r="GST133" s="4"/>
      <c r="GSU133" s="4"/>
      <c r="GSV133" s="4"/>
      <c r="GSW133" s="4"/>
      <c r="GSX133" s="4"/>
      <c r="GSY133" s="4"/>
      <c r="GSZ133" s="4"/>
      <c r="GTA133" s="4"/>
      <c r="GTB133" s="4"/>
      <c r="GTC133" s="4"/>
      <c r="GTD133" s="4"/>
      <c r="GTE133" s="4"/>
      <c r="GTF133" s="4"/>
      <c r="GTG133" s="4"/>
      <c r="GTH133" s="4"/>
      <c r="GTI133" s="4"/>
      <c r="GTJ133" s="4"/>
      <c r="GTK133" s="4"/>
      <c r="GTL133" s="4"/>
      <c r="GTM133" s="4"/>
      <c r="GTN133" s="4"/>
      <c r="GTO133" s="4"/>
      <c r="GTP133" s="4"/>
      <c r="GTQ133" s="4"/>
      <c r="GTR133" s="4"/>
      <c r="GTS133" s="4"/>
      <c r="GTT133" s="4"/>
      <c r="GTU133" s="4"/>
      <c r="GTV133" s="4"/>
      <c r="GTW133" s="4"/>
      <c r="GTX133" s="4"/>
      <c r="GTY133" s="4"/>
      <c r="GTZ133" s="4"/>
      <c r="GUA133" s="4"/>
      <c r="GUB133" s="4"/>
      <c r="GUC133" s="4"/>
      <c r="GUD133" s="4"/>
      <c r="GUE133" s="4"/>
      <c r="GUF133" s="4"/>
      <c r="GUG133" s="4"/>
      <c r="GUH133" s="4"/>
      <c r="GUI133" s="4"/>
      <c r="GUJ133" s="4"/>
      <c r="GUK133" s="4"/>
      <c r="GUL133" s="4"/>
      <c r="GUM133" s="4"/>
      <c r="GUN133" s="4"/>
      <c r="GUO133" s="4"/>
      <c r="GUP133" s="4"/>
      <c r="GUQ133" s="4"/>
      <c r="GUR133" s="4"/>
      <c r="GUS133" s="4"/>
      <c r="GUT133" s="4"/>
      <c r="GUU133" s="4"/>
      <c r="GUV133" s="4"/>
      <c r="GUW133" s="4"/>
      <c r="GUX133" s="4"/>
      <c r="GUY133" s="4"/>
      <c r="GUZ133" s="4"/>
      <c r="GVA133" s="4"/>
      <c r="GVB133" s="4"/>
      <c r="GVC133" s="4"/>
      <c r="GVD133" s="4"/>
      <c r="GVE133" s="4"/>
      <c r="GVF133" s="4"/>
      <c r="GVG133" s="4"/>
      <c r="GVH133" s="4"/>
      <c r="GVI133" s="4"/>
      <c r="GVJ133" s="4"/>
      <c r="GVK133" s="4"/>
      <c r="GVL133" s="4"/>
      <c r="GVM133" s="4"/>
      <c r="GVN133" s="4"/>
      <c r="GVO133" s="4"/>
      <c r="GVP133" s="4"/>
      <c r="GVQ133" s="4"/>
      <c r="GVR133" s="4"/>
      <c r="GVS133" s="4"/>
      <c r="GVT133" s="4"/>
      <c r="GVU133" s="4"/>
      <c r="GVV133" s="4"/>
      <c r="GVW133" s="4"/>
      <c r="GVX133" s="4"/>
      <c r="GVY133" s="4"/>
      <c r="GVZ133" s="4"/>
      <c r="GWA133" s="4"/>
      <c r="GWB133" s="4"/>
      <c r="GWC133" s="4"/>
      <c r="GWD133" s="4"/>
      <c r="GWE133" s="4"/>
      <c r="GWF133" s="4"/>
      <c r="GWG133" s="4"/>
      <c r="GWH133" s="4"/>
      <c r="GWI133" s="4"/>
      <c r="GWJ133" s="4"/>
      <c r="GWK133" s="4"/>
      <c r="GWL133" s="4"/>
      <c r="GWM133" s="4"/>
      <c r="GWN133" s="4"/>
      <c r="GWO133" s="4"/>
      <c r="GWP133" s="4"/>
      <c r="GWQ133" s="4"/>
      <c r="GWR133" s="4"/>
      <c r="GWS133" s="4"/>
      <c r="GWT133" s="4"/>
      <c r="GWU133" s="4"/>
      <c r="GWV133" s="4"/>
      <c r="GWW133" s="4"/>
      <c r="GWX133" s="4"/>
      <c r="GWY133" s="4"/>
      <c r="GWZ133" s="4"/>
      <c r="GXA133" s="4"/>
      <c r="GXB133" s="4"/>
      <c r="GXC133" s="4"/>
      <c r="GXD133" s="4"/>
      <c r="GXE133" s="4"/>
      <c r="GXF133" s="4"/>
      <c r="GXG133" s="4"/>
      <c r="GXH133" s="4"/>
      <c r="GXI133" s="4"/>
      <c r="GXJ133" s="4"/>
      <c r="GXK133" s="4"/>
      <c r="GXL133" s="4"/>
      <c r="GXM133" s="4"/>
      <c r="GXN133" s="4"/>
      <c r="GXO133" s="4"/>
      <c r="GXP133" s="4"/>
      <c r="GXQ133" s="4"/>
      <c r="GXR133" s="4"/>
      <c r="GXS133" s="4"/>
      <c r="GXT133" s="4"/>
      <c r="GXU133" s="4"/>
      <c r="GXV133" s="4"/>
      <c r="GXW133" s="4"/>
      <c r="GXX133" s="4"/>
      <c r="GXY133" s="4"/>
      <c r="GXZ133" s="4"/>
      <c r="GYA133" s="4"/>
      <c r="GYB133" s="4"/>
      <c r="GYC133" s="4"/>
      <c r="GYD133" s="4"/>
      <c r="GYE133" s="4"/>
      <c r="GYF133" s="4"/>
      <c r="GYG133" s="4"/>
      <c r="GYH133" s="4"/>
      <c r="GYI133" s="4"/>
      <c r="GYJ133" s="4"/>
      <c r="GYK133" s="4"/>
      <c r="GYL133" s="4"/>
      <c r="GYM133" s="4"/>
      <c r="GYN133" s="4"/>
      <c r="GYO133" s="4"/>
      <c r="GYP133" s="4"/>
      <c r="GYQ133" s="4"/>
      <c r="GYR133" s="4"/>
      <c r="GYS133" s="4"/>
      <c r="GYT133" s="4"/>
      <c r="GYU133" s="4"/>
      <c r="GYV133" s="4"/>
      <c r="GYW133" s="4"/>
      <c r="GYX133" s="4"/>
      <c r="GYY133" s="4"/>
      <c r="GYZ133" s="4"/>
      <c r="GZA133" s="4"/>
      <c r="GZB133" s="4"/>
      <c r="GZC133" s="4"/>
      <c r="GZD133" s="4"/>
      <c r="GZE133" s="4"/>
      <c r="GZF133" s="4"/>
      <c r="GZG133" s="4"/>
      <c r="GZH133" s="4"/>
      <c r="GZI133" s="4"/>
      <c r="GZJ133" s="4"/>
      <c r="GZK133" s="4"/>
      <c r="GZL133" s="4"/>
      <c r="GZM133" s="4"/>
      <c r="GZN133" s="4"/>
      <c r="GZO133" s="4"/>
      <c r="GZP133" s="4"/>
      <c r="GZQ133" s="4"/>
      <c r="GZR133" s="4"/>
      <c r="GZS133" s="4"/>
      <c r="GZT133" s="4"/>
      <c r="GZU133" s="4"/>
      <c r="GZV133" s="4"/>
      <c r="GZW133" s="4"/>
      <c r="GZX133" s="4"/>
      <c r="GZY133" s="4"/>
      <c r="GZZ133" s="4"/>
      <c r="HAA133" s="4"/>
      <c r="HAB133" s="4"/>
      <c r="HAC133" s="4"/>
      <c r="HAD133" s="4"/>
      <c r="HAE133" s="4"/>
      <c r="HAF133" s="4"/>
      <c r="HAG133" s="4"/>
      <c r="HAH133" s="4"/>
      <c r="HAI133" s="4"/>
      <c r="HAJ133" s="4"/>
      <c r="HAK133" s="4"/>
      <c r="HAL133" s="4"/>
      <c r="HAM133" s="4"/>
      <c r="HAN133" s="4"/>
      <c r="HAO133" s="4"/>
      <c r="HAP133" s="4"/>
      <c r="HAQ133" s="4"/>
      <c r="HAR133" s="4"/>
      <c r="HAS133" s="4"/>
      <c r="HAT133" s="4"/>
      <c r="HAU133" s="4"/>
      <c r="HAV133" s="4"/>
      <c r="HAW133" s="4"/>
      <c r="HAX133" s="4"/>
      <c r="HAY133" s="4"/>
      <c r="HAZ133" s="4"/>
      <c r="HBA133" s="4"/>
      <c r="HBB133" s="4"/>
      <c r="HBC133" s="4"/>
      <c r="HBD133" s="4"/>
      <c r="HBE133" s="4"/>
      <c r="HBF133" s="4"/>
      <c r="HBG133" s="4"/>
      <c r="HBH133" s="4"/>
      <c r="HBI133" s="4"/>
      <c r="HBJ133" s="4"/>
      <c r="HBK133" s="4"/>
      <c r="HBL133" s="4"/>
      <c r="HBM133" s="4"/>
      <c r="HBN133" s="4"/>
      <c r="HBO133" s="4"/>
      <c r="HBP133" s="4"/>
      <c r="HBQ133" s="4"/>
      <c r="HBR133" s="4"/>
      <c r="HBS133" s="4"/>
      <c r="HBT133" s="4"/>
      <c r="HBU133" s="4"/>
      <c r="HBV133" s="4"/>
      <c r="HBW133" s="4"/>
      <c r="HBX133" s="4"/>
      <c r="HBY133" s="4"/>
      <c r="HBZ133" s="4"/>
      <c r="HCA133" s="4"/>
      <c r="HCB133" s="4"/>
      <c r="HCC133" s="4"/>
      <c r="HCD133" s="4"/>
      <c r="HCE133" s="4"/>
      <c r="HCF133" s="4"/>
      <c r="HCG133" s="4"/>
      <c r="HCH133" s="4"/>
      <c r="HCI133" s="4"/>
      <c r="HCJ133" s="4"/>
      <c r="HCK133" s="4"/>
      <c r="HCL133" s="4"/>
      <c r="HCM133" s="4"/>
      <c r="HCN133" s="4"/>
      <c r="HCO133" s="4"/>
      <c r="HCP133" s="4"/>
      <c r="HCQ133" s="4"/>
      <c r="HCR133" s="4"/>
      <c r="HCS133" s="4"/>
      <c r="HCT133" s="4"/>
      <c r="HCU133" s="4"/>
      <c r="HCV133" s="4"/>
      <c r="HCW133" s="4"/>
      <c r="HCX133" s="4"/>
      <c r="HCY133" s="4"/>
      <c r="HCZ133" s="4"/>
      <c r="HDA133" s="4"/>
      <c r="HDB133" s="4"/>
      <c r="HDC133" s="4"/>
      <c r="HDD133" s="4"/>
      <c r="HDE133" s="4"/>
      <c r="HDF133" s="4"/>
      <c r="HDG133" s="4"/>
      <c r="HDH133" s="4"/>
      <c r="HDI133" s="4"/>
      <c r="HDJ133" s="4"/>
      <c r="HDK133" s="4"/>
      <c r="HDL133" s="4"/>
      <c r="HDM133" s="4"/>
      <c r="HDN133" s="4"/>
      <c r="HDO133" s="4"/>
      <c r="HDP133" s="4"/>
      <c r="HDQ133" s="4"/>
      <c r="HDR133" s="4"/>
      <c r="HDS133" s="4"/>
      <c r="HDT133" s="4"/>
      <c r="HDU133" s="4"/>
      <c r="HDV133" s="4"/>
      <c r="HDW133" s="4"/>
      <c r="HDX133" s="4"/>
      <c r="HDY133" s="4"/>
      <c r="HDZ133" s="4"/>
      <c r="HEA133" s="4"/>
      <c r="HEB133" s="4"/>
      <c r="HEC133" s="4"/>
      <c r="HED133" s="4"/>
      <c r="HEE133" s="4"/>
      <c r="HEF133" s="4"/>
      <c r="HEG133" s="4"/>
      <c r="HEH133" s="4"/>
      <c r="HEI133" s="4"/>
      <c r="HEJ133" s="4"/>
      <c r="HEK133" s="4"/>
      <c r="HEL133" s="4"/>
      <c r="HEM133" s="4"/>
      <c r="HEN133" s="4"/>
      <c r="HEO133" s="4"/>
      <c r="HEP133" s="4"/>
      <c r="HEQ133" s="4"/>
      <c r="HER133" s="4"/>
      <c r="HES133" s="4"/>
      <c r="HET133" s="4"/>
      <c r="HEU133" s="4"/>
      <c r="HEV133" s="4"/>
      <c r="HEW133" s="4"/>
      <c r="HEX133" s="4"/>
      <c r="HEY133" s="4"/>
      <c r="HEZ133" s="4"/>
      <c r="HFA133" s="4"/>
      <c r="HFB133" s="4"/>
      <c r="HFC133" s="4"/>
      <c r="HFD133" s="4"/>
      <c r="HFE133" s="4"/>
      <c r="HFF133" s="4"/>
      <c r="HFG133" s="4"/>
      <c r="HFH133" s="4"/>
      <c r="HFI133" s="4"/>
      <c r="HFJ133" s="4"/>
      <c r="HFK133" s="4"/>
      <c r="HFL133" s="4"/>
      <c r="HFM133" s="4"/>
      <c r="HFN133" s="4"/>
      <c r="HFO133" s="4"/>
      <c r="HFP133" s="4"/>
      <c r="HFQ133" s="4"/>
      <c r="HFR133" s="4"/>
      <c r="HFS133" s="4"/>
      <c r="HFT133" s="4"/>
      <c r="HFU133" s="4"/>
      <c r="HFV133" s="4"/>
      <c r="HFW133" s="4"/>
      <c r="HFX133" s="4"/>
      <c r="HFY133" s="4"/>
      <c r="HFZ133" s="4"/>
      <c r="HGA133" s="4"/>
      <c r="HGB133" s="4"/>
      <c r="HGC133" s="4"/>
      <c r="HGD133" s="4"/>
      <c r="HGE133" s="4"/>
      <c r="HGF133" s="4"/>
      <c r="HGG133" s="4"/>
      <c r="HGH133" s="4"/>
      <c r="HGI133" s="4"/>
      <c r="HGJ133" s="4"/>
      <c r="HGK133" s="4"/>
      <c r="HGL133" s="4"/>
      <c r="HGM133" s="4"/>
      <c r="HGN133" s="4"/>
      <c r="HGO133" s="4"/>
      <c r="HGP133" s="4"/>
      <c r="HGQ133" s="4"/>
      <c r="HGR133" s="4"/>
      <c r="HGS133" s="4"/>
      <c r="HGT133" s="4"/>
      <c r="HGU133" s="4"/>
      <c r="HGV133" s="4"/>
      <c r="HGW133" s="4"/>
      <c r="HGX133" s="4"/>
      <c r="HGY133" s="4"/>
      <c r="HGZ133" s="4"/>
      <c r="HHA133" s="4"/>
      <c r="HHB133" s="4"/>
      <c r="HHC133" s="4"/>
      <c r="HHD133" s="4"/>
      <c r="HHE133" s="4"/>
      <c r="HHF133" s="4"/>
      <c r="HHG133" s="4"/>
      <c r="HHH133" s="4"/>
      <c r="HHI133" s="4"/>
      <c r="HHJ133" s="4"/>
      <c r="HHK133" s="4"/>
      <c r="HHL133" s="4"/>
      <c r="HHM133" s="4"/>
      <c r="HHN133" s="4"/>
      <c r="HHO133" s="4"/>
      <c r="HHP133" s="4"/>
      <c r="HHQ133" s="4"/>
      <c r="HHR133" s="4"/>
      <c r="HHS133" s="4"/>
      <c r="HHT133" s="4"/>
      <c r="HHU133" s="4"/>
      <c r="HHV133" s="4"/>
      <c r="HHW133" s="4"/>
      <c r="HHX133" s="4"/>
      <c r="HHY133" s="4"/>
      <c r="HHZ133" s="4"/>
      <c r="HIA133" s="4"/>
      <c r="HIB133" s="4"/>
      <c r="HIC133" s="4"/>
      <c r="HID133" s="4"/>
      <c r="HIE133" s="4"/>
      <c r="HIF133" s="4"/>
      <c r="HIG133" s="4"/>
      <c r="HIH133" s="4"/>
      <c r="HII133" s="4"/>
      <c r="HIJ133" s="4"/>
      <c r="HIK133" s="4"/>
      <c r="HIL133" s="4"/>
      <c r="HIM133" s="4"/>
      <c r="HIN133" s="4"/>
      <c r="HIO133" s="4"/>
      <c r="HIP133" s="4"/>
      <c r="HIQ133" s="4"/>
      <c r="HIR133" s="4"/>
      <c r="HIS133" s="4"/>
      <c r="HIT133" s="4"/>
      <c r="HIU133" s="4"/>
      <c r="HIV133" s="4"/>
      <c r="HIW133" s="4"/>
      <c r="HIX133" s="4"/>
      <c r="HIY133" s="4"/>
      <c r="HIZ133" s="4"/>
      <c r="HJA133" s="4"/>
      <c r="HJB133" s="4"/>
      <c r="HJC133" s="4"/>
      <c r="HJD133" s="4"/>
      <c r="HJE133" s="4"/>
      <c r="HJF133" s="4"/>
      <c r="HJG133" s="4"/>
      <c r="HJH133" s="4"/>
      <c r="HJI133" s="4"/>
      <c r="HJJ133" s="4"/>
      <c r="HJK133" s="4"/>
      <c r="HJL133" s="4"/>
      <c r="HJM133" s="4"/>
      <c r="HJN133" s="4"/>
      <c r="HJO133" s="4"/>
      <c r="HJP133" s="4"/>
      <c r="HJQ133" s="4"/>
      <c r="HJR133" s="4"/>
      <c r="HJS133" s="4"/>
      <c r="HJT133" s="4"/>
      <c r="HJU133" s="4"/>
      <c r="HJV133" s="4"/>
      <c r="HJW133" s="4"/>
      <c r="HJX133" s="4"/>
      <c r="HJY133" s="4"/>
      <c r="HJZ133" s="4"/>
      <c r="HKA133" s="4"/>
      <c r="HKB133" s="4"/>
      <c r="HKC133" s="4"/>
      <c r="HKD133" s="4"/>
      <c r="HKE133" s="4"/>
      <c r="HKF133" s="4"/>
      <c r="HKG133" s="4"/>
      <c r="HKH133" s="4"/>
      <c r="HKI133" s="4"/>
      <c r="HKJ133" s="4"/>
      <c r="HKK133" s="4"/>
      <c r="HKL133" s="4"/>
      <c r="HKM133" s="4"/>
      <c r="HKN133" s="4"/>
      <c r="HKO133" s="4"/>
      <c r="HKP133" s="4"/>
      <c r="HKQ133" s="4"/>
      <c r="HKR133" s="4"/>
      <c r="HKS133" s="4"/>
      <c r="HKT133" s="4"/>
      <c r="HKU133" s="4"/>
      <c r="HKV133" s="4"/>
      <c r="HKW133" s="4"/>
      <c r="HKX133" s="4"/>
      <c r="HKY133" s="4"/>
      <c r="HKZ133" s="4"/>
      <c r="HLA133" s="4"/>
      <c r="HLB133" s="4"/>
      <c r="HLC133" s="4"/>
      <c r="HLD133" s="4"/>
      <c r="HLE133" s="4"/>
      <c r="HLF133" s="4"/>
      <c r="HLG133" s="4"/>
      <c r="HLH133" s="4"/>
      <c r="HLI133" s="4"/>
      <c r="HLJ133" s="4"/>
      <c r="HLK133" s="4"/>
      <c r="HLL133" s="4"/>
      <c r="HLM133" s="4"/>
      <c r="HLN133" s="4"/>
      <c r="HLO133" s="4"/>
      <c r="HLP133" s="4"/>
      <c r="HLQ133" s="4"/>
      <c r="HLR133" s="4"/>
      <c r="HLS133" s="4"/>
      <c r="HLT133" s="4"/>
      <c r="HLU133" s="4"/>
      <c r="HLV133" s="4"/>
      <c r="HLW133" s="4"/>
      <c r="HLX133" s="4"/>
      <c r="HLY133" s="4"/>
      <c r="HLZ133" s="4"/>
      <c r="HMA133" s="4"/>
      <c r="HMB133" s="4"/>
      <c r="HMC133" s="4"/>
      <c r="HMD133" s="4"/>
      <c r="HME133" s="4"/>
      <c r="HMF133" s="4"/>
      <c r="HMG133" s="4"/>
      <c r="HMH133" s="4"/>
      <c r="HMI133" s="4"/>
      <c r="HMJ133" s="4"/>
      <c r="HMK133" s="4"/>
      <c r="HML133" s="4"/>
      <c r="HMM133" s="4"/>
      <c r="HMN133" s="4"/>
      <c r="HMO133" s="4"/>
      <c r="HMP133" s="4"/>
      <c r="HMQ133" s="4"/>
      <c r="HMR133" s="4"/>
      <c r="HMS133" s="4"/>
      <c r="HMT133" s="4"/>
      <c r="HMU133" s="4"/>
      <c r="HMV133" s="4"/>
      <c r="HMW133" s="4"/>
      <c r="HMX133" s="4"/>
      <c r="HMY133" s="4"/>
      <c r="HMZ133" s="4"/>
      <c r="HNA133" s="4"/>
      <c r="HNB133" s="4"/>
      <c r="HNC133" s="4"/>
      <c r="HND133" s="4"/>
      <c r="HNE133" s="4"/>
      <c r="HNF133" s="4"/>
      <c r="HNG133" s="4"/>
      <c r="HNH133" s="4"/>
      <c r="HNI133" s="4"/>
      <c r="HNJ133" s="4"/>
      <c r="HNK133" s="4"/>
      <c r="HNL133" s="4"/>
      <c r="HNM133" s="4"/>
      <c r="HNN133" s="4"/>
      <c r="HNO133" s="4"/>
      <c r="HNP133" s="4"/>
      <c r="HNQ133" s="4"/>
      <c r="HNR133" s="4"/>
      <c r="HNS133" s="4"/>
      <c r="HNT133" s="4"/>
      <c r="HNU133" s="4"/>
      <c r="HNV133" s="4"/>
      <c r="HNW133" s="4"/>
      <c r="HNX133" s="4"/>
      <c r="HNY133" s="4"/>
      <c r="HNZ133" s="4"/>
      <c r="HOA133" s="4"/>
      <c r="HOB133" s="4"/>
      <c r="HOC133" s="4"/>
      <c r="HOD133" s="4"/>
      <c r="HOE133" s="4"/>
      <c r="HOF133" s="4"/>
      <c r="HOG133" s="4"/>
      <c r="HOH133" s="4"/>
      <c r="HOI133" s="4"/>
      <c r="HOJ133" s="4"/>
      <c r="HOK133" s="4"/>
      <c r="HOL133" s="4"/>
      <c r="HOM133" s="4"/>
      <c r="HON133" s="4"/>
      <c r="HOO133" s="4"/>
      <c r="HOP133" s="4"/>
      <c r="HOQ133" s="4"/>
      <c r="HOR133" s="4"/>
      <c r="HOS133" s="4"/>
      <c r="HOT133" s="4"/>
      <c r="HOU133" s="4"/>
      <c r="HOV133" s="4"/>
      <c r="HOW133" s="4"/>
      <c r="HOX133" s="4"/>
      <c r="HOY133" s="4"/>
      <c r="HOZ133" s="4"/>
      <c r="HPA133" s="4"/>
      <c r="HPB133" s="4"/>
      <c r="HPC133" s="4"/>
      <c r="HPD133" s="4"/>
      <c r="HPE133" s="4"/>
      <c r="HPF133" s="4"/>
      <c r="HPG133" s="4"/>
      <c r="HPH133" s="4"/>
      <c r="HPI133" s="4"/>
      <c r="HPJ133" s="4"/>
      <c r="HPK133" s="4"/>
      <c r="HPL133" s="4"/>
      <c r="HPM133" s="4"/>
      <c r="HPN133" s="4"/>
      <c r="HPO133" s="4"/>
      <c r="HPP133" s="4"/>
      <c r="HPQ133" s="4"/>
      <c r="HPR133" s="4"/>
      <c r="HPS133" s="4"/>
      <c r="HPT133" s="4"/>
      <c r="HPU133" s="4"/>
      <c r="HPV133" s="4"/>
      <c r="HPW133" s="4"/>
      <c r="HPX133" s="4"/>
      <c r="HPY133" s="4"/>
      <c r="HPZ133" s="4"/>
      <c r="HQA133" s="4"/>
      <c r="HQB133" s="4"/>
      <c r="HQC133" s="4"/>
      <c r="HQD133" s="4"/>
      <c r="HQE133" s="4"/>
      <c r="HQF133" s="4"/>
      <c r="HQG133" s="4"/>
      <c r="HQH133" s="4"/>
      <c r="HQI133" s="4"/>
      <c r="HQJ133" s="4"/>
      <c r="HQK133" s="4"/>
      <c r="HQL133" s="4"/>
      <c r="HQM133" s="4"/>
      <c r="HQN133" s="4"/>
      <c r="HQO133" s="4"/>
      <c r="HQP133" s="4"/>
      <c r="HQQ133" s="4"/>
      <c r="HQR133" s="4"/>
      <c r="HQS133" s="4"/>
      <c r="HQT133" s="4"/>
      <c r="HQU133" s="4"/>
      <c r="HQV133" s="4"/>
      <c r="HQW133" s="4"/>
      <c r="HQX133" s="4"/>
      <c r="HQY133" s="4"/>
      <c r="HQZ133" s="4"/>
      <c r="HRA133" s="4"/>
      <c r="HRB133" s="4"/>
      <c r="HRC133" s="4"/>
      <c r="HRD133" s="4"/>
      <c r="HRE133" s="4"/>
      <c r="HRF133" s="4"/>
      <c r="HRG133" s="4"/>
      <c r="HRH133" s="4"/>
      <c r="HRI133" s="4"/>
      <c r="HRJ133" s="4"/>
      <c r="HRK133" s="4"/>
      <c r="HRL133" s="4"/>
      <c r="HRM133" s="4"/>
      <c r="HRN133" s="4"/>
      <c r="HRO133" s="4"/>
      <c r="HRP133" s="4"/>
      <c r="HRQ133" s="4"/>
      <c r="HRR133" s="4"/>
      <c r="HRS133" s="4"/>
      <c r="HRT133" s="4"/>
      <c r="HRU133" s="4"/>
      <c r="HRV133" s="4"/>
      <c r="HRW133" s="4"/>
      <c r="HRX133" s="4"/>
      <c r="HRY133" s="4"/>
      <c r="HRZ133" s="4"/>
      <c r="HSA133" s="4"/>
      <c r="HSB133" s="4"/>
      <c r="HSC133" s="4"/>
      <c r="HSD133" s="4"/>
      <c r="HSE133" s="4"/>
      <c r="HSF133" s="4"/>
      <c r="HSG133" s="4"/>
      <c r="HSH133" s="4"/>
      <c r="HSI133" s="4"/>
      <c r="HSJ133" s="4"/>
      <c r="HSK133" s="4"/>
      <c r="HSL133" s="4"/>
      <c r="HSM133" s="4"/>
      <c r="HSN133" s="4"/>
      <c r="HSO133" s="4"/>
      <c r="HSP133" s="4"/>
      <c r="HSQ133" s="4"/>
      <c r="HSR133" s="4"/>
      <c r="HSS133" s="4"/>
      <c r="HST133" s="4"/>
      <c r="HSU133" s="4"/>
      <c r="HSV133" s="4"/>
      <c r="HSW133" s="4"/>
      <c r="HSX133" s="4"/>
      <c r="HSY133" s="4"/>
      <c r="HSZ133" s="4"/>
      <c r="HTA133" s="4"/>
      <c r="HTB133" s="4"/>
      <c r="HTC133" s="4"/>
      <c r="HTD133" s="4"/>
      <c r="HTE133" s="4"/>
      <c r="HTF133" s="4"/>
      <c r="HTG133" s="4"/>
      <c r="HTH133" s="4"/>
      <c r="HTI133" s="4"/>
      <c r="HTJ133" s="4"/>
      <c r="HTK133" s="4"/>
      <c r="HTL133" s="4"/>
      <c r="HTM133" s="4"/>
      <c r="HTN133" s="4"/>
      <c r="HTO133" s="4"/>
      <c r="HTP133" s="4"/>
      <c r="HTQ133" s="4"/>
      <c r="HTR133" s="4"/>
      <c r="HTS133" s="4"/>
      <c r="HTT133" s="4"/>
      <c r="HTU133" s="4"/>
      <c r="HTV133" s="4"/>
      <c r="HTW133" s="4"/>
      <c r="HTX133" s="4"/>
      <c r="HTY133" s="4"/>
      <c r="HTZ133" s="4"/>
      <c r="HUA133" s="4"/>
      <c r="HUB133" s="4"/>
      <c r="HUC133" s="4"/>
      <c r="HUD133" s="4"/>
      <c r="HUE133" s="4"/>
      <c r="HUF133" s="4"/>
      <c r="HUG133" s="4"/>
      <c r="HUH133" s="4"/>
      <c r="HUI133" s="4"/>
      <c r="HUJ133" s="4"/>
      <c r="HUK133" s="4"/>
      <c r="HUL133" s="4"/>
      <c r="HUM133" s="4"/>
      <c r="HUN133" s="4"/>
      <c r="HUO133" s="4"/>
      <c r="HUP133" s="4"/>
      <c r="HUQ133" s="4"/>
      <c r="HUR133" s="4"/>
      <c r="HUS133" s="4"/>
      <c r="HUT133" s="4"/>
      <c r="HUU133" s="4"/>
      <c r="HUV133" s="4"/>
      <c r="HUW133" s="4"/>
      <c r="HUX133" s="4"/>
      <c r="HUY133" s="4"/>
      <c r="HUZ133" s="4"/>
      <c r="HVA133" s="4"/>
      <c r="HVB133" s="4"/>
      <c r="HVC133" s="4"/>
      <c r="HVD133" s="4"/>
      <c r="HVE133" s="4"/>
      <c r="HVF133" s="4"/>
      <c r="HVG133" s="4"/>
      <c r="HVH133" s="4"/>
      <c r="HVI133" s="4"/>
      <c r="HVJ133" s="4"/>
      <c r="HVK133" s="4"/>
      <c r="HVL133" s="4"/>
      <c r="HVM133" s="4"/>
      <c r="HVN133" s="4"/>
      <c r="HVO133" s="4"/>
      <c r="HVP133" s="4"/>
      <c r="HVQ133" s="4"/>
      <c r="HVR133" s="4"/>
      <c r="HVS133" s="4"/>
      <c r="HVT133" s="4"/>
      <c r="HVU133" s="4"/>
      <c r="HVV133" s="4"/>
      <c r="HVW133" s="4"/>
      <c r="HVX133" s="4"/>
      <c r="HVY133" s="4"/>
      <c r="HVZ133" s="4"/>
      <c r="HWA133" s="4"/>
      <c r="HWB133" s="4"/>
      <c r="HWC133" s="4"/>
      <c r="HWD133" s="4"/>
      <c r="HWE133" s="4"/>
      <c r="HWF133" s="4"/>
      <c r="HWG133" s="4"/>
      <c r="HWH133" s="4"/>
      <c r="HWI133" s="4"/>
      <c r="HWJ133" s="4"/>
      <c r="HWK133" s="4"/>
      <c r="HWL133" s="4"/>
      <c r="HWM133" s="4"/>
      <c r="HWN133" s="4"/>
      <c r="HWO133" s="4"/>
      <c r="HWP133" s="4"/>
      <c r="HWQ133" s="4"/>
      <c r="HWR133" s="4"/>
      <c r="HWS133" s="4"/>
      <c r="HWT133" s="4"/>
      <c r="HWU133" s="4"/>
      <c r="HWV133" s="4"/>
      <c r="HWW133" s="4"/>
      <c r="HWX133" s="4"/>
      <c r="HWY133" s="4"/>
      <c r="HWZ133" s="4"/>
      <c r="HXA133" s="4"/>
      <c r="HXB133" s="4"/>
      <c r="HXC133" s="4"/>
      <c r="HXD133" s="4"/>
      <c r="HXE133" s="4"/>
      <c r="HXF133" s="4"/>
      <c r="HXG133" s="4"/>
      <c r="HXH133" s="4"/>
      <c r="HXI133" s="4"/>
      <c r="HXJ133" s="4"/>
      <c r="HXK133" s="4"/>
      <c r="HXL133" s="4"/>
      <c r="HXM133" s="4"/>
      <c r="HXN133" s="4"/>
      <c r="HXO133" s="4"/>
      <c r="HXP133" s="4"/>
      <c r="HXQ133" s="4"/>
      <c r="HXR133" s="4"/>
      <c r="HXS133" s="4"/>
      <c r="HXT133" s="4"/>
      <c r="HXU133" s="4"/>
      <c r="HXV133" s="4"/>
      <c r="HXW133" s="4"/>
      <c r="HXX133" s="4"/>
      <c r="HXY133" s="4"/>
      <c r="HXZ133" s="4"/>
      <c r="HYA133" s="4"/>
      <c r="HYB133" s="4"/>
      <c r="HYC133" s="4"/>
      <c r="HYD133" s="4"/>
      <c r="HYE133" s="4"/>
      <c r="HYF133" s="4"/>
      <c r="HYG133" s="4"/>
      <c r="HYH133" s="4"/>
      <c r="HYI133" s="4"/>
      <c r="HYJ133" s="4"/>
      <c r="HYK133" s="4"/>
      <c r="HYL133" s="4"/>
      <c r="HYM133" s="4"/>
      <c r="HYN133" s="4"/>
      <c r="HYO133" s="4"/>
      <c r="HYP133" s="4"/>
      <c r="HYQ133" s="4"/>
      <c r="HYR133" s="4"/>
      <c r="HYS133" s="4"/>
      <c r="HYT133" s="4"/>
      <c r="HYU133" s="4"/>
      <c r="HYV133" s="4"/>
      <c r="HYW133" s="4"/>
      <c r="HYX133" s="4"/>
      <c r="HYY133" s="4"/>
      <c r="HYZ133" s="4"/>
      <c r="HZA133" s="4"/>
      <c r="HZB133" s="4"/>
      <c r="HZC133" s="4"/>
      <c r="HZD133" s="4"/>
      <c r="HZE133" s="4"/>
      <c r="HZF133" s="4"/>
      <c r="HZG133" s="4"/>
      <c r="HZH133" s="4"/>
      <c r="HZI133" s="4"/>
      <c r="HZJ133" s="4"/>
      <c r="HZK133" s="4"/>
      <c r="HZL133" s="4"/>
      <c r="HZM133" s="4"/>
      <c r="HZN133" s="4"/>
      <c r="HZO133" s="4"/>
      <c r="HZP133" s="4"/>
      <c r="HZQ133" s="4"/>
      <c r="HZR133" s="4"/>
      <c r="HZS133" s="4"/>
      <c r="HZT133" s="4"/>
      <c r="HZU133" s="4"/>
      <c r="HZV133" s="4"/>
      <c r="HZW133" s="4"/>
      <c r="HZX133" s="4"/>
      <c r="HZY133" s="4"/>
      <c r="HZZ133" s="4"/>
      <c r="IAA133" s="4"/>
      <c r="IAB133" s="4"/>
      <c r="IAC133" s="4"/>
      <c r="IAD133" s="4"/>
      <c r="IAE133" s="4"/>
      <c r="IAF133" s="4"/>
      <c r="IAG133" s="4"/>
      <c r="IAH133" s="4"/>
      <c r="IAI133" s="4"/>
      <c r="IAJ133" s="4"/>
      <c r="IAK133" s="4"/>
      <c r="IAL133" s="4"/>
      <c r="IAM133" s="4"/>
      <c r="IAN133" s="4"/>
      <c r="IAO133" s="4"/>
      <c r="IAP133" s="4"/>
      <c r="IAQ133" s="4"/>
      <c r="IAR133" s="4"/>
      <c r="IAS133" s="4"/>
      <c r="IAT133" s="4"/>
      <c r="IAU133" s="4"/>
      <c r="IAV133" s="4"/>
      <c r="IAW133" s="4"/>
      <c r="IAX133" s="4"/>
      <c r="IAY133" s="4"/>
      <c r="IAZ133" s="4"/>
      <c r="IBA133" s="4"/>
      <c r="IBB133" s="4"/>
      <c r="IBC133" s="4"/>
      <c r="IBD133" s="4"/>
      <c r="IBE133" s="4"/>
      <c r="IBF133" s="4"/>
      <c r="IBG133" s="4"/>
      <c r="IBH133" s="4"/>
      <c r="IBI133" s="4"/>
      <c r="IBJ133" s="4"/>
      <c r="IBK133" s="4"/>
      <c r="IBL133" s="4"/>
      <c r="IBM133" s="4"/>
      <c r="IBN133" s="4"/>
      <c r="IBO133" s="4"/>
      <c r="IBP133" s="4"/>
      <c r="IBQ133" s="4"/>
      <c r="IBR133" s="4"/>
      <c r="IBS133" s="4"/>
      <c r="IBT133" s="4"/>
      <c r="IBU133" s="4"/>
      <c r="IBV133" s="4"/>
      <c r="IBW133" s="4"/>
      <c r="IBX133" s="4"/>
      <c r="IBY133" s="4"/>
      <c r="IBZ133" s="4"/>
      <c r="ICA133" s="4"/>
      <c r="ICB133" s="4"/>
      <c r="ICC133" s="4"/>
      <c r="ICD133" s="4"/>
      <c r="ICE133" s="4"/>
      <c r="ICF133" s="4"/>
      <c r="ICG133" s="4"/>
      <c r="ICH133" s="4"/>
      <c r="ICI133" s="4"/>
      <c r="ICJ133" s="4"/>
      <c r="ICK133" s="4"/>
      <c r="ICL133" s="4"/>
      <c r="ICM133" s="4"/>
      <c r="ICN133" s="4"/>
      <c r="ICO133" s="4"/>
      <c r="ICP133" s="4"/>
      <c r="ICQ133" s="4"/>
      <c r="ICR133" s="4"/>
      <c r="ICS133" s="4"/>
      <c r="ICT133" s="4"/>
      <c r="ICU133" s="4"/>
      <c r="ICV133" s="4"/>
      <c r="ICW133" s="4"/>
      <c r="ICX133" s="4"/>
      <c r="ICY133" s="4"/>
      <c r="ICZ133" s="4"/>
      <c r="IDA133" s="4"/>
      <c r="IDB133" s="4"/>
      <c r="IDC133" s="4"/>
      <c r="IDD133" s="4"/>
      <c r="IDE133" s="4"/>
      <c r="IDF133" s="4"/>
      <c r="IDG133" s="4"/>
      <c r="IDH133" s="4"/>
      <c r="IDI133" s="4"/>
      <c r="IDJ133" s="4"/>
      <c r="IDK133" s="4"/>
      <c r="IDL133" s="4"/>
      <c r="IDM133" s="4"/>
      <c r="IDN133" s="4"/>
      <c r="IDO133" s="4"/>
      <c r="IDP133" s="4"/>
      <c r="IDQ133" s="4"/>
      <c r="IDR133" s="4"/>
      <c r="IDS133" s="4"/>
      <c r="IDT133" s="4"/>
      <c r="IDU133" s="4"/>
      <c r="IDV133" s="4"/>
      <c r="IDW133" s="4"/>
      <c r="IDX133" s="4"/>
      <c r="IDY133" s="4"/>
      <c r="IDZ133" s="4"/>
      <c r="IEA133" s="4"/>
      <c r="IEB133" s="4"/>
      <c r="IEC133" s="4"/>
      <c r="IED133" s="4"/>
      <c r="IEE133" s="4"/>
      <c r="IEF133" s="4"/>
      <c r="IEG133" s="4"/>
      <c r="IEH133" s="4"/>
      <c r="IEI133" s="4"/>
      <c r="IEJ133" s="4"/>
      <c r="IEK133" s="4"/>
      <c r="IEL133" s="4"/>
      <c r="IEM133" s="4"/>
      <c r="IEN133" s="4"/>
      <c r="IEO133" s="4"/>
      <c r="IEP133" s="4"/>
      <c r="IEQ133" s="4"/>
      <c r="IER133" s="4"/>
      <c r="IES133" s="4"/>
      <c r="IET133" s="4"/>
      <c r="IEU133" s="4"/>
      <c r="IEV133" s="4"/>
      <c r="IEW133" s="4"/>
      <c r="IEX133" s="4"/>
      <c r="IEY133" s="4"/>
      <c r="IEZ133" s="4"/>
      <c r="IFA133" s="4"/>
      <c r="IFB133" s="4"/>
      <c r="IFC133" s="4"/>
      <c r="IFD133" s="4"/>
      <c r="IFE133" s="4"/>
      <c r="IFF133" s="4"/>
      <c r="IFG133" s="4"/>
      <c r="IFH133" s="4"/>
      <c r="IFI133" s="4"/>
      <c r="IFJ133" s="4"/>
      <c r="IFK133" s="4"/>
      <c r="IFL133" s="4"/>
      <c r="IFM133" s="4"/>
      <c r="IFN133" s="4"/>
      <c r="IFO133" s="4"/>
      <c r="IFP133" s="4"/>
      <c r="IFQ133" s="4"/>
      <c r="IFR133" s="4"/>
      <c r="IFS133" s="4"/>
      <c r="IFT133" s="4"/>
      <c r="IFU133" s="4"/>
      <c r="IFV133" s="4"/>
      <c r="IFW133" s="4"/>
      <c r="IFX133" s="4"/>
      <c r="IFY133" s="4"/>
      <c r="IFZ133" s="4"/>
      <c r="IGA133" s="4"/>
      <c r="IGB133" s="4"/>
      <c r="IGC133" s="4"/>
      <c r="IGD133" s="4"/>
      <c r="IGE133" s="4"/>
      <c r="IGF133" s="4"/>
      <c r="IGG133" s="4"/>
      <c r="IGH133" s="4"/>
      <c r="IGI133" s="4"/>
      <c r="IGJ133" s="4"/>
      <c r="IGK133" s="4"/>
      <c r="IGL133" s="4"/>
      <c r="IGM133" s="4"/>
      <c r="IGN133" s="4"/>
      <c r="IGO133" s="4"/>
      <c r="IGP133" s="4"/>
      <c r="IGQ133" s="4"/>
      <c r="IGR133" s="4"/>
      <c r="IGS133" s="4"/>
      <c r="IGT133" s="4"/>
      <c r="IGU133" s="4"/>
      <c r="IGV133" s="4"/>
      <c r="IGW133" s="4"/>
      <c r="IGX133" s="4"/>
      <c r="IGY133" s="4"/>
      <c r="IGZ133" s="4"/>
      <c r="IHA133" s="4"/>
      <c r="IHB133" s="4"/>
      <c r="IHC133" s="4"/>
      <c r="IHD133" s="4"/>
      <c r="IHE133" s="4"/>
      <c r="IHF133" s="4"/>
      <c r="IHG133" s="4"/>
      <c r="IHH133" s="4"/>
      <c r="IHI133" s="4"/>
      <c r="IHJ133" s="4"/>
      <c r="IHK133" s="4"/>
      <c r="IHL133" s="4"/>
      <c r="IHM133" s="4"/>
      <c r="IHN133" s="4"/>
      <c r="IHO133" s="4"/>
      <c r="IHP133" s="4"/>
      <c r="IHQ133" s="4"/>
      <c r="IHR133" s="4"/>
      <c r="IHS133" s="4"/>
      <c r="IHT133" s="4"/>
      <c r="IHU133" s="4"/>
      <c r="IHV133" s="4"/>
      <c r="IHW133" s="4"/>
      <c r="IHX133" s="4"/>
      <c r="IHY133" s="4"/>
      <c r="IHZ133" s="4"/>
      <c r="IIA133" s="4"/>
      <c r="IIB133" s="4"/>
      <c r="IIC133" s="4"/>
      <c r="IID133" s="4"/>
      <c r="IIE133" s="4"/>
      <c r="IIF133" s="4"/>
      <c r="IIG133" s="4"/>
      <c r="IIH133" s="4"/>
      <c r="III133" s="4"/>
      <c r="IIJ133" s="4"/>
      <c r="IIK133" s="4"/>
      <c r="IIL133" s="4"/>
      <c r="IIM133" s="4"/>
      <c r="IIN133" s="4"/>
      <c r="IIO133" s="4"/>
      <c r="IIP133" s="4"/>
      <c r="IIQ133" s="4"/>
      <c r="IIR133" s="4"/>
      <c r="IIS133" s="4"/>
      <c r="IIT133" s="4"/>
      <c r="IIU133" s="4"/>
      <c r="IIV133" s="4"/>
      <c r="IIW133" s="4"/>
      <c r="IIX133" s="4"/>
      <c r="IIY133" s="4"/>
      <c r="IIZ133" s="4"/>
      <c r="IJA133" s="4"/>
      <c r="IJB133" s="4"/>
      <c r="IJC133" s="4"/>
      <c r="IJD133" s="4"/>
      <c r="IJE133" s="4"/>
      <c r="IJF133" s="4"/>
      <c r="IJG133" s="4"/>
      <c r="IJH133" s="4"/>
      <c r="IJI133" s="4"/>
      <c r="IJJ133" s="4"/>
      <c r="IJK133" s="4"/>
      <c r="IJL133" s="4"/>
      <c r="IJM133" s="4"/>
      <c r="IJN133" s="4"/>
      <c r="IJO133" s="4"/>
      <c r="IJP133" s="4"/>
      <c r="IJQ133" s="4"/>
      <c r="IJR133" s="4"/>
      <c r="IJS133" s="4"/>
      <c r="IJT133" s="4"/>
      <c r="IJU133" s="4"/>
      <c r="IJV133" s="4"/>
      <c r="IJW133" s="4"/>
      <c r="IJX133" s="4"/>
      <c r="IJY133" s="4"/>
      <c r="IJZ133" s="4"/>
      <c r="IKA133" s="4"/>
      <c r="IKB133" s="4"/>
      <c r="IKC133" s="4"/>
      <c r="IKD133" s="4"/>
      <c r="IKE133" s="4"/>
      <c r="IKF133" s="4"/>
      <c r="IKG133" s="4"/>
      <c r="IKH133" s="4"/>
      <c r="IKI133" s="4"/>
      <c r="IKJ133" s="4"/>
      <c r="IKK133" s="4"/>
      <c r="IKL133" s="4"/>
      <c r="IKM133" s="4"/>
      <c r="IKN133" s="4"/>
      <c r="IKO133" s="4"/>
      <c r="IKP133" s="4"/>
      <c r="IKQ133" s="4"/>
      <c r="IKR133" s="4"/>
      <c r="IKS133" s="4"/>
      <c r="IKT133" s="4"/>
      <c r="IKU133" s="4"/>
      <c r="IKV133" s="4"/>
      <c r="IKW133" s="4"/>
      <c r="IKX133" s="4"/>
      <c r="IKY133" s="4"/>
      <c r="IKZ133" s="4"/>
      <c r="ILA133" s="4"/>
      <c r="ILB133" s="4"/>
      <c r="ILC133" s="4"/>
      <c r="ILD133" s="4"/>
      <c r="ILE133" s="4"/>
      <c r="ILF133" s="4"/>
      <c r="ILG133" s="4"/>
      <c r="ILH133" s="4"/>
      <c r="ILI133" s="4"/>
      <c r="ILJ133" s="4"/>
      <c r="ILK133" s="4"/>
      <c r="ILL133" s="4"/>
      <c r="ILM133" s="4"/>
      <c r="ILN133" s="4"/>
      <c r="ILO133" s="4"/>
      <c r="ILP133" s="4"/>
      <c r="ILQ133" s="4"/>
      <c r="ILR133" s="4"/>
      <c r="ILS133" s="4"/>
      <c r="ILT133" s="4"/>
      <c r="ILU133" s="4"/>
      <c r="ILV133" s="4"/>
      <c r="ILW133" s="4"/>
      <c r="ILX133" s="4"/>
      <c r="ILY133" s="4"/>
      <c r="ILZ133" s="4"/>
      <c r="IMA133" s="4"/>
      <c r="IMB133" s="4"/>
      <c r="IMC133" s="4"/>
      <c r="IMD133" s="4"/>
      <c r="IME133" s="4"/>
      <c r="IMF133" s="4"/>
      <c r="IMG133" s="4"/>
      <c r="IMH133" s="4"/>
      <c r="IMI133" s="4"/>
      <c r="IMJ133" s="4"/>
      <c r="IMK133" s="4"/>
      <c r="IML133" s="4"/>
      <c r="IMM133" s="4"/>
      <c r="IMN133" s="4"/>
      <c r="IMO133" s="4"/>
      <c r="IMP133" s="4"/>
      <c r="IMQ133" s="4"/>
      <c r="IMR133" s="4"/>
      <c r="IMS133" s="4"/>
      <c r="IMT133" s="4"/>
      <c r="IMU133" s="4"/>
      <c r="IMV133" s="4"/>
      <c r="IMW133" s="4"/>
      <c r="IMX133" s="4"/>
      <c r="IMY133" s="4"/>
      <c r="IMZ133" s="4"/>
      <c r="INA133" s="4"/>
      <c r="INB133" s="4"/>
      <c r="INC133" s="4"/>
      <c r="IND133" s="4"/>
      <c r="INE133" s="4"/>
      <c r="INF133" s="4"/>
      <c r="ING133" s="4"/>
      <c r="INH133" s="4"/>
      <c r="INI133" s="4"/>
      <c r="INJ133" s="4"/>
      <c r="INK133" s="4"/>
      <c r="INL133" s="4"/>
      <c r="INM133" s="4"/>
      <c r="INN133" s="4"/>
      <c r="INO133" s="4"/>
      <c r="INP133" s="4"/>
      <c r="INQ133" s="4"/>
      <c r="INR133" s="4"/>
      <c r="INS133" s="4"/>
      <c r="INT133" s="4"/>
      <c r="INU133" s="4"/>
      <c r="INV133" s="4"/>
      <c r="INW133" s="4"/>
      <c r="INX133" s="4"/>
      <c r="INY133" s="4"/>
      <c r="INZ133" s="4"/>
      <c r="IOA133" s="4"/>
      <c r="IOB133" s="4"/>
      <c r="IOC133" s="4"/>
      <c r="IOD133" s="4"/>
      <c r="IOE133" s="4"/>
      <c r="IOF133" s="4"/>
      <c r="IOG133" s="4"/>
      <c r="IOH133" s="4"/>
      <c r="IOI133" s="4"/>
      <c r="IOJ133" s="4"/>
      <c r="IOK133" s="4"/>
      <c r="IOL133" s="4"/>
      <c r="IOM133" s="4"/>
      <c r="ION133" s="4"/>
      <c r="IOO133" s="4"/>
      <c r="IOP133" s="4"/>
      <c r="IOQ133" s="4"/>
      <c r="IOR133" s="4"/>
      <c r="IOS133" s="4"/>
      <c r="IOT133" s="4"/>
      <c r="IOU133" s="4"/>
      <c r="IOV133" s="4"/>
      <c r="IOW133" s="4"/>
      <c r="IOX133" s="4"/>
      <c r="IOY133" s="4"/>
      <c r="IOZ133" s="4"/>
      <c r="IPA133" s="4"/>
      <c r="IPB133" s="4"/>
      <c r="IPC133" s="4"/>
      <c r="IPD133" s="4"/>
      <c r="IPE133" s="4"/>
      <c r="IPF133" s="4"/>
      <c r="IPG133" s="4"/>
      <c r="IPH133" s="4"/>
      <c r="IPI133" s="4"/>
      <c r="IPJ133" s="4"/>
      <c r="IPK133" s="4"/>
      <c r="IPL133" s="4"/>
      <c r="IPM133" s="4"/>
      <c r="IPN133" s="4"/>
      <c r="IPO133" s="4"/>
      <c r="IPP133" s="4"/>
      <c r="IPQ133" s="4"/>
      <c r="IPR133" s="4"/>
      <c r="IPS133" s="4"/>
      <c r="IPT133" s="4"/>
      <c r="IPU133" s="4"/>
      <c r="IPV133" s="4"/>
      <c r="IPW133" s="4"/>
      <c r="IPX133" s="4"/>
      <c r="IPY133" s="4"/>
      <c r="IPZ133" s="4"/>
      <c r="IQA133" s="4"/>
      <c r="IQB133" s="4"/>
      <c r="IQC133" s="4"/>
      <c r="IQD133" s="4"/>
      <c r="IQE133" s="4"/>
      <c r="IQF133" s="4"/>
      <c r="IQG133" s="4"/>
      <c r="IQH133" s="4"/>
      <c r="IQI133" s="4"/>
      <c r="IQJ133" s="4"/>
      <c r="IQK133" s="4"/>
      <c r="IQL133" s="4"/>
      <c r="IQM133" s="4"/>
      <c r="IQN133" s="4"/>
      <c r="IQO133" s="4"/>
      <c r="IQP133" s="4"/>
      <c r="IQQ133" s="4"/>
      <c r="IQR133" s="4"/>
      <c r="IQS133" s="4"/>
      <c r="IQT133" s="4"/>
      <c r="IQU133" s="4"/>
      <c r="IQV133" s="4"/>
      <c r="IQW133" s="4"/>
      <c r="IQX133" s="4"/>
      <c r="IQY133" s="4"/>
      <c r="IQZ133" s="4"/>
      <c r="IRA133" s="4"/>
      <c r="IRB133" s="4"/>
      <c r="IRC133" s="4"/>
      <c r="IRD133" s="4"/>
      <c r="IRE133" s="4"/>
      <c r="IRF133" s="4"/>
      <c r="IRG133" s="4"/>
      <c r="IRH133" s="4"/>
      <c r="IRI133" s="4"/>
      <c r="IRJ133" s="4"/>
      <c r="IRK133" s="4"/>
      <c r="IRL133" s="4"/>
      <c r="IRM133" s="4"/>
      <c r="IRN133" s="4"/>
      <c r="IRO133" s="4"/>
      <c r="IRP133" s="4"/>
      <c r="IRQ133" s="4"/>
      <c r="IRR133" s="4"/>
      <c r="IRS133" s="4"/>
      <c r="IRT133" s="4"/>
      <c r="IRU133" s="4"/>
      <c r="IRV133" s="4"/>
      <c r="IRW133" s="4"/>
      <c r="IRX133" s="4"/>
      <c r="IRY133" s="4"/>
      <c r="IRZ133" s="4"/>
      <c r="ISA133" s="4"/>
      <c r="ISB133" s="4"/>
      <c r="ISC133" s="4"/>
      <c r="ISD133" s="4"/>
      <c r="ISE133" s="4"/>
      <c r="ISF133" s="4"/>
      <c r="ISG133" s="4"/>
      <c r="ISH133" s="4"/>
      <c r="ISI133" s="4"/>
      <c r="ISJ133" s="4"/>
      <c r="ISK133" s="4"/>
      <c r="ISL133" s="4"/>
      <c r="ISM133" s="4"/>
      <c r="ISN133" s="4"/>
      <c r="ISO133" s="4"/>
      <c r="ISP133" s="4"/>
      <c r="ISQ133" s="4"/>
      <c r="ISR133" s="4"/>
      <c r="ISS133" s="4"/>
      <c r="IST133" s="4"/>
      <c r="ISU133" s="4"/>
      <c r="ISV133" s="4"/>
      <c r="ISW133" s="4"/>
      <c r="ISX133" s="4"/>
      <c r="ISY133" s="4"/>
      <c r="ISZ133" s="4"/>
      <c r="ITA133" s="4"/>
      <c r="ITB133" s="4"/>
      <c r="ITC133" s="4"/>
      <c r="ITD133" s="4"/>
      <c r="ITE133" s="4"/>
      <c r="ITF133" s="4"/>
      <c r="ITG133" s="4"/>
      <c r="ITH133" s="4"/>
      <c r="ITI133" s="4"/>
      <c r="ITJ133" s="4"/>
      <c r="ITK133" s="4"/>
      <c r="ITL133" s="4"/>
      <c r="ITM133" s="4"/>
      <c r="ITN133" s="4"/>
      <c r="ITO133" s="4"/>
      <c r="ITP133" s="4"/>
      <c r="ITQ133" s="4"/>
      <c r="ITR133" s="4"/>
      <c r="ITS133" s="4"/>
      <c r="ITT133" s="4"/>
      <c r="ITU133" s="4"/>
      <c r="ITV133" s="4"/>
      <c r="ITW133" s="4"/>
      <c r="ITX133" s="4"/>
      <c r="ITY133" s="4"/>
      <c r="ITZ133" s="4"/>
      <c r="IUA133" s="4"/>
      <c r="IUB133" s="4"/>
      <c r="IUC133" s="4"/>
      <c r="IUD133" s="4"/>
      <c r="IUE133" s="4"/>
      <c r="IUF133" s="4"/>
      <c r="IUG133" s="4"/>
      <c r="IUH133" s="4"/>
      <c r="IUI133" s="4"/>
      <c r="IUJ133" s="4"/>
      <c r="IUK133" s="4"/>
      <c r="IUL133" s="4"/>
      <c r="IUM133" s="4"/>
      <c r="IUN133" s="4"/>
      <c r="IUO133" s="4"/>
      <c r="IUP133" s="4"/>
      <c r="IUQ133" s="4"/>
      <c r="IUR133" s="4"/>
      <c r="IUS133" s="4"/>
      <c r="IUT133" s="4"/>
      <c r="IUU133" s="4"/>
      <c r="IUV133" s="4"/>
      <c r="IUW133" s="4"/>
      <c r="IUX133" s="4"/>
      <c r="IUY133" s="4"/>
      <c r="IUZ133" s="4"/>
      <c r="IVA133" s="4"/>
      <c r="IVB133" s="4"/>
      <c r="IVC133" s="4"/>
      <c r="IVD133" s="4"/>
      <c r="IVE133" s="4"/>
      <c r="IVF133" s="4"/>
      <c r="IVG133" s="4"/>
      <c r="IVH133" s="4"/>
      <c r="IVI133" s="4"/>
      <c r="IVJ133" s="4"/>
      <c r="IVK133" s="4"/>
      <c r="IVL133" s="4"/>
      <c r="IVM133" s="4"/>
      <c r="IVN133" s="4"/>
      <c r="IVO133" s="4"/>
      <c r="IVP133" s="4"/>
      <c r="IVQ133" s="4"/>
      <c r="IVR133" s="4"/>
      <c r="IVS133" s="4"/>
      <c r="IVT133" s="4"/>
      <c r="IVU133" s="4"/>
      <c r="IVV133" s="4"/>
      <c r="IVW133" s="4"/>
      <c r="IVX133" s="4"/>
      <c r="IVY133" s="4"/>
      <c r="IVZ133" s="4"/>
      <c r="IWA133" s="4"/>
      <c r="IWB133" s="4"/>
      <c r="IWC133" s="4"/>
      <c r="IWD133" s="4"/>
      <c r="IWE133" s="4"/>
      <c r="IWF133" s="4"/>
      <c r="IWG133" s="4"/>
      <c r="IWH133" s="4"/>
      <c r="IWI133" s="4"/>
      <c r="IWJ133" s="4"/>
      <c r="IWK133" s="4"/>
      <c r="IWL133" s="4"/>
      <c r="IWM133" s="4"/>
      <c r="IWN133" s="4"/>
      <c r="IWO133" s="4"/>
      <c r="IWP133" s="4"/>
      <c r="IWQ133" s="4"/>
      <c r="IWR133" s="4"/>
      <c r="IWS133" s="4"/>
      <c r="IWT133" s="4"/>
      <c r="IWU133" s="4"/>
      <c r="IWV133" s="4"/>
      <c r="IWW133" s="4"/>
      <c r="IWX133" s="4"/>
      <c r="IWY133" s="4"/>
      <c r="IWZ133" s="4"/>
      <c r="IXA133" s="4"/>
      <c r="IXB133" s="4"/>
      <c r="IXC133" s="4"/>
      <c r="IXD133" s="4"/>
      <c r="IXE133" s="4"/>
      <c r="IXF133" s="4"/>
      <c r="IXG133" s="4"/>
      <c r="IXH133" s="4"/>
      <c r="IXI133" s="4"/>
      <c r="IXJ133" s="4"/>
      <c r="IXK133" s="4"/>
      <c r="IXL133" s="4"/>
      <c r="IXM133" s="4"/>
      <c r="IXN133" s="4"/>
      <c r="IXO133" s="4"/>
      <c r="IXP133" s="4"/>
      <c r="IXQ133" s="4"/>
      <c r="IXR133" s="4"/>
      <c r="IXS133" s="4"/>
      <c r="IXT133" s="4"/>
      <c r="IXU133" s="4"/>
      <c r="IXV133" s="4"/>
      <c r="IXW133" s="4"/>
      <c r="IXX133" s="4"/>
      <c r="IXY133" s="4"/>
      <c r="IXZ133" s="4"/>
      <c r="IYA133" s="4"/>
      <c r="IYB133" s="4"/>
      <c r="IYC133" s="4"/>
      <c r="IYD133" s="4"/>
      <c r="IYE133" s="4"/>
      <c r="IYF133" s="4"/>
      <c r="IYG133" s="4"/>
      <c r="IYH133" s="4"/>
      <c r="IYI133" s="4"/>
      <c r="IYJ133" s="4"/>
      <c r="IYK133" s="4"/>
      <c r="IYL133" s="4"/>
      <c r="IYM133" s="4"/>
      <c r="IYN133" s="4"/>
      <c r="IYO133" s="4"/>
      <c r="IYP133" s="4"/>
      <c r="IYQ133" s="4"/>
      <c r="IYR133" s="4"/>
      <c r="IYS133" s="4"/>
      <c r="IYT133" s="4"/>
      <c r="IYU133" s="4"/>
      <c r="IYV133" s="4"/>
      <c r="IYW133" s="4"/>
      <c r="IYX133" s="4"/>
      <c r="IYY133" s="4"/>
      <c r="IYZ133" s="4"/>
      <c r="IZA133" s="4"/>
      <c r="IZB133" s="4"/>
      <c r="IZC133" s="4"/>
      <c r="IZD133" s="4"/>
      <c r="IZE133" s="4"/>
      <c r="IZF133" s="4"/>
      <c r="IZG133" s="4"/>
      <c r="IZH133" s="4"/>
      <c r="IZI133" s="4"/>
      <c r="IZJ133" s="4"/>
      <c r="IZK133" s="4"/>
      <c r="IZL133" s="4"/>
      <c r="IZM133" s="4"/>
      <c r="IZN133" s="4"/>
      <c r="IZO133" s="4"/>
      <c r="IZP133" s="4"/>
      <c r="IZQ133" s="4"/>
      <c r="IZR133" s="4"/>
      <c r="IZS133" s="4"/>
      <c r="IZT133" s="4"/>
      <c r="IZU133" s="4"/>
      <c r="IZV133" s="4"/>
      <c r="IZW133" s="4"/>
      <c r="IZX133" s="4"/>
      <c r="IZY133" s="4"/>
      <c r="IZZ133" s="4"/>
      <c r="JAA133" s="4"/>
      <c r="JAB133" s="4"/>
      <c r="JAC133" s="4"/>
      <c r="JAD133" s="4"/>
      <c r="JAE133" s="4"/>
      <c r="JAF133" s="4"/>
      <c r="JAG133" s="4"/>
      <c r="JAH133" s="4"/>
      <c r="JAI133" s="4"/>
      <c r="JAJ133" s="4"/>
      <c r="JAK133" s="4"/>
      <c r="JAL133" s="4"/>
      <c r="JAM133" s="4"/>
      <c r="JAN133" s="4"/>
      <c r="JAO133" s="4"/>
      <c r="JAP133" s="4"/>
      <c r="JAQ133" s="4"/>
      <c r="JAR133" s="4"/>
      <c r="JAS133" s="4"/>
      <c r="JAT133" s="4"/>
      <c r="JAU133" s="4"/>
      <c r="JAV133" s="4"/>
      <c r="JAW133" s="4"/>
      <c r="JAX133" s="4"/>
      <c r="JAY133" s="4"/>
      <c r="JAZ133" s="4"/>
      <c r="JBA133" s="4"/>
      <c r="JBB133" s="4"/>
      <c r="JBC133" s="4"/>
      <c r="JBD133" s="4"/>
      <c r="JBE133" s="4"/>
      <c r="JBF133" s="4"/>
      <c r="JBG133" s="4"/>
      <c r="JBH133" s="4"/>
      <c r="JBI133" s="4"/>
      <c r="JBJ133" s="4"/>
      <c r="JBK133" s="4"/>
      <c r="JBL133" s="4"/>
      <c r="JBM133" s="4"/>
      <c r="JBN133" s="4"/>
      <c r="JBO133" s="4"/>
      <c r="JBP133" s="4"/>
      <c r="JBQ133" s="4"/>
      <c r="JBR133" s="4"/>
      <c r="JBS133" s="4"/>
      <c r="JBT133" s="4"/>
      <c r="JBU133" s="4"/>
      <c r="JBV133" s="4"/>
      <c r="JBW133" s="4"/>
      <c r="JBX133" s="4"/>
      <c r="JBY133" s="4"/>
      <c r="JBZ133" s="4"/>
      <c r="JCA133" s="4"/>
      <c r="JCB133" s="4"/>
      <c r="JCC133" s="4"/>
      <c r="JCD133" s="4"/>
      <c r="JCE133" s="4"/>
      <c r="JCF133" s="4"/>
      <c r="JCG133" s="4"/>
      <c r="JCH133" s="4"/>
      <c r="JCI133" s="4"/>
      <c r="JCJ133" s="4"/>
      <c r="JCK133" s="4"/>
      <c r="JCL133" s="4"/>
      <c r="JCM133" s="4"/>
      <c r="JCN133" s="4"/>
      <c r="JCO133" s="4"/>
      <c r="JCP133" s="4"/>
      <c r="JCQ133" s="4"/>
      <c r="JCR133" s="4"/>
      <c r="JCS133" s="4"/>
      <c r="JCT133" s="4"/>
      <c r="JCU133" s="4"/>
      <c r="JCV133" s="4"/>
      <c r="JCW133" s="4"/>
      <c r="JCX133" s="4"/>
      <c r="JCY133" s="4"/>
      <c r="JCZ133" s="4"/>
      <c r="JDA133" s="4"/>
      <c r="JDB133" s="4"/>
      <c r="JDC133" s="4"/>
      <c r="JDD133" s="4"/>
      <c r="JDE133" s="4"/>
      <c r="JDF133" s="4"/>
      <c r="JDG133" s="4"/>
      <c r="JDH133" s="4"/>
      <c r="JDI133" s="4"/>
      <c r="JDJ133" s="4"/>
      <c r="JDK133" s="4"/>
      <c r="JDL133" s="4"/>
      <c r="JDM133" s="4"/>
      <c r="JDN133" s="4"/>
      <c r="JDO133" s="4"/>
      <c r="JDP133" s="4"/>
      <c r="JDQ133" s="4"/>
      <c r="JDR133" s="4"/>
      <c r="JDS133" s="4"/>
      <c r="JDT133" s="4"/>
      <c r="JDU133" s="4"/>
      <c r="JDV133" s="4"/>
      <c r="JDW133" s="4"/>
      <c r="JDX133" s="4"/>
      <c r="JDY133" s="4"/>
      <c r="JDZ133" s="4"/>
      <c r="JEA133" s="4"/>
      <c r="JEB133" s="4"/>
      <c r="JEC133" s="4"/>
      <c r="JED133" s="4"/>
      <c r="JEE133" s="4"/>
      <c r="JEF133" s="4"/>
      <c r="JEG133" s="4"/>
      <c r="JEH133" s="4"/>
      <c r="JEI133" s="4"/>
      <c r="JEJ133" s="4"/>
      <c r="JEK133" s="4"/>
      <c r="JEL133" s="4"/>
      <c r="JEM133" s="4"/>
      <c r="JEN133" s="4"/>
      <c r="JEO133" s="4"/>
      <c r="JEP133" s="4"/>
      <c r="JEQ133" s="4"/>
      <c r="JER133" s="4"/>
      <c r="JES133" s="4"/>
      <c r="JET133" s="4"/>
      <c r="JEU133" s="4"/>
      <c r="JEV133" s="4"/>
      <c r="JEW133" s="4"/>
      <c r="JEX133" s="4"/>
      <c r="JEY133" s="4"/>
      <c r="JEZ133" s="4"/>
      <c r="JFA133" s="4"/>
      <c r="JFB133" s="4"/>
      <c r="JFC133" s="4"/>
      <c r="JFD133" s="4"/>
      <c r="JFE133" s="4"/>
      <c r="JFF133" s="4"/>
      <c r="JFG133" s="4"/>
      <c r="JFH133" s="4"/>
      <c r="JFI133" s="4"/>
      <c r="JFJ133" s="4"/>
      <c r="JFK133" s="4"/>
      <c r="JFL133" s="4"/>
      <c r="JFM133" s="4"/>
      <c r="JFN133" s="4"/>
      <c r="JFO133" s="4"/>
      <c r="JFP133" s="4"/>
      <c r="JFQ133" s="4"/>
      <c r="JFR133" s="4"/>
      <c r="JFS133" s="4"/>
      <c r="JFT133" s="4"/>
      <c r="JFU133" s="4"/>
      <c r="JFV133" s="4"/>
      <c r="JFW133" s="4"/>
      <c r="JFX133" s="4"/>
      <c r="JFY133" s="4"/>
      <c r="JFZ133" s="4"/>
      <c r="JGA133" s="4"/>
      <c r="JGB133" s="4"/>
      <c r="JGC133" s="4"/>
      <c r="JGD133" s="4"/>
      <c r="JGE133" s="4"/>
      <c r="JGF133" s="4"/>
      <c r="JGG133" s="4"/>
      <c r="JGH133" s="4"/>
      <c r="JGI133" s="4"/>
      <c r="JGJ133" s="4"/>
      <c r="JGK133" s="4"/>
      <c r="JGL133" s="4"/>
      <c r="JGM133" s="4"/>
      <c r="JGN133" s="4"/>
      <c r="JGO133" s="4"/>
      <c r="JGP133" s="4"/>
      <c r="JGQ133" s="4"/>
      <c r="JGR133" s="4"/>
      <c r="JGS133" s="4"/>
      <c r="JGT133" s="4"/>
      <c r="JGU133" s="4"/>
      <c r="JGV133" s="4"/>
      <c r="JGW133" s="4"/>
      <c r="JGX133" s="4"/>
      <c r="JGY133" s="4"/>
      <c r="JGZ133" s="4"/>
      <c r="JHA133" s="4"/>
      <c r="JHB133" s="4"/>
      <c r="JHC133" s="4"/>
      <c r="JHD133" s="4"/>
      <c r="JHE133" s="4"/>
      <c r="JHF133" s="4"/>
      <c r="JHG133" s="4"/>
      <c r="JHH133" s="4"/>
      <c r="JHI133" s="4"/>
      <c r="JHJ133" s="4"/>
      <c r="JHK133" s="4"/>
      <c r="JHL133" s="4"/>
      <c r="JHM133" s="4"/>
      <c r="JHN133" s="4"/>
      <c r="JHO133" s="4"/>
      <c r="JHP133" s="4"/>
      <c r="JHQ133" s="4"/>
      <c r="JHR133" s="4"/>
      <c r="JHS133" s="4"/>
      <c r="JHT133" s="4"/>
      <c r="JHU133" s="4"/>
      <c r="JHV133" s="4"/>
      <c r="JHW133" s="4"/>
      <c r="JHX133" s="4"/>
      <c r="JHY133" s="4"/>
      <c r="JHZ133" s="4"/>
      <c r="JIA133" s="4"/>
      <c r="JIB133" s="4"/>
      <c r="JIC133" s="4"/>
      <c r="JID133" s="4"/>
      <c r="JIE133" s="4"/>
      <c r="JIF133" s="4"/>
      <c r="JIG133" s="4"/>
      <c r="JIH133" s="4"/>
      <c r="JII133" s="4"/>
      <c r="JIJ133" s="4"/>
      <c r="JIK133" s="4"/>
      <c r="JIL133" s="4"/>
      <c r="JIM133" s="4"/>
      <c r="JIN133" s="4"/>
      <c r="JIO133" s="4"/>
      <c r="JIP133" s="4"/>
      <c r="JIQ133" s="4"/>
      <c r="JIR133" s="4"/>
      <c r="JIS133" s="4"/>
      <c r="JIT133" s="4"/>
      <c r="JIU133" s="4"/>
      <c r="JIV133" s="4"/>
      <c r="JIW133" s="4"/>
      <c r="JIX133" s="4"/>
      <c r="JIY133" s="4"/>
      <c r="JIZ133" s="4"/>
      <c r="JJA133" s="4"/>
      <c r="JJB133" s="4"/>
      <c r="JJC133" s="4"/>
      <c r="JJD133" s="4"/>
      <c r="JJE133" s="4"/>
      <c r="JJF133" s="4"/>
      <c r="JJG133" s="4"/>
      <c r="JJH133" s="4"/>
      <c r="JJI133" s="4"/>
      <c r="JJJ133" s="4"/>
      <c r="JJK133" s="4"/>
      <c r="JJL133" s="4"/>
      <c r="JJM133" s="4"/>
      <c r="JJN133" s="4"/>
      <c r="JJO133" s="4"/>
      <c r="JJP133" s="4"/>
      <c r="JJQ133" s="4"/>
      <c r="JJR133" s="4"/>
      <c r="JJS133" s="4"/>
      <c r="JJT133" s="4"/>
      <c r="JJU133" s="4"/>
      <c r="JJV133" s="4"/>
      <c r="JJW133" s="4"/>
      <c r="JJX133" s="4"/>
      <c r="JJY133" s="4"/>
      <c r="JJZ133" s="4"/>
      <c r="JKA133" s="4"/>
      <c r="JKB133" s="4"/>
      <c r="JKC133" s="4"/>
      <c r="JKD133" s="4"/>
      <c r="JKE133" s="4"/>
      <c r="JKF133" s="4"/>
      <c r="JKG133" s="4"/>
      <c r="JKH133" s="4"/>
      <c r="JKI133" s="4"/>
      <c r="JKJ133" s="4"/>
      <c r="JKK133" s="4"/>
      <c r="JKL133" s="4"/>
      <c r="JKM133" s="4"/>
      <c r="JKN133" s="4"/>
      <c r="JKO133" s="4"/>
      <c r="JKP133" s="4"/>
      <c r="JKQ133" s="4"/>
      <c r="JKR133" s="4"/>
      <c r="JKS133" s="4"/>
      <c r="JKT133" s="4"/>
      <c r="JKU133" s="4"/>
      <c r="JKV133" s="4"/>
      <c r="JKW133" s="4"/>
      <c r="JKX133" s="4"/>
      <c r="JKY133" s="4"/>
      <c r="JKZ133" s="4"/>
      <c r="JLA133" s="4"/>
      <c r="JLB133" s="4"/>
      <c r="JLC133" s="4"/>
      <c r="JLD133" s="4"/>
      <c r="JLE133" s="4"/>
      <c r="JLF133" s="4"/>
      <c r="JLG133" s="4"/>
      <c r="JLH133" s="4"/>
      <c r="JLI133" s="4"/>
      <c r="JLJ133" s="4"/>
      <c r="JLK133" s="4"/>
      <c r="JLL133" s="4"/>
      <c r="JLM133" s="4"/>
      <c r="JLN133" s="4"/>
      <c r="JLO133" s="4"/>
      <c r="JLP133" s="4"/>
      <c r="JLQ133" s="4"/>
      <c r="JLR133" s="4"/>
      <c r="JLS133" s="4"/>
      <c r="JLT133" s="4"/>
      <c r="JLU133" s="4"/>
      <c r="JLV133" s="4"/>
      <c r="JLW133" s="4"/>
      <c r="JLX133" s="4"/>
      <c r="JLY133" s="4"/>
      <c r="JLZ133" s="4"/>
      <c r="JMA133" s="4"/>
      <c r="JMB133" s="4"/>
      <c r="JMC133" s="4"/>
      <c r="JMD133" s="4"/>
      <c r="JME133" s="4"/>
      <c r="JMF133" s="4"/>
      <c r="JMG133" s="4"/>
      <c r="JMH133" s="4"/>
      <c r="JMI133" s="4"/>
      <c r="JMJ133" s="4"/>
      <c r="JMK133" s="4"/>
      <c r="JML133" s="4"/>
      <c r="JMM133" s="4"/>
      <c r="JMN133" s="4"/>
      <c r="JMO133" s="4"/>
      <c r="JMP133" s="4"/>
      <c r="JMQ133" s="4"/>
      <c r="JMR133" s="4"/>
      <c r="JMS133" s="4"/>
      <c r="JMT133" s="4"/>
      <c r="JMU133" s="4"/>
      <c r="JMV133" s="4"/>
      <c r="JMW133" s="4"/>
      <c r="JMX133" s="4"/>
      <c r="JMY133" s="4"/>
      <c r="JMZ133" s="4"/>
      <c r="JNA133" s="4"/>
      <c r="JNB133" s="4"/>
      <c r="JNC133" s="4"/>
      <c r="JND133" s="4"/>
      <c r="JNE133" s="4"/>
      <c r="JNF133" s="4"/>
      <c r="JNG133" s="4"/>
      <c r="JNH133" s="4"/>
      <c r="JNI133" s="4"/>
      <c r="JNJ133" s="4"/>
      <c r="JNK133" s="4"/>
      <c r="JNL133" s="4"/>
      <c r="JNM133" s="4"/>
      <c r="JNN133" s="4"/>
      <c r="JNO133" s="4"/>
      <c r="JNP133" s="4"/>
      <c r="JNQ133" s="4"/>
      <c r="JNR133" s="4"/>
      <c r="JNS133" s="4"/>
      <c r="JNT133" s="4"/>
      <c r="JNU133" s="4"/>
      <c r="JNV133" s="4"/>
      <c r="JNW133" s="4"/>
      <c r="JNX133" s="4"/>
      <c r="JNY133" s="4"/>
      <c r="JNZ133" s="4"/>
      <c r="JOA133" s="4"/>
      <c r="JOB133" s="4"/>
      <c r="JOC133" s="4"/>
      <c r="JOD133" s="4"/>
      <c r="JOE133" s="4"/>
      <c r="JOF133" s="4"/>
      <c r="JOG133" s="4"/>
      <c r="JOH133" s="4"/>
      <c r="JOI133" s="4"/>
      <c r="JOJ133" s="4"/>
      <c r="JOK133" s="4"/>
      <c r="JOL133" s="4"/>
      <c r="JOM133" s="4"/>
      <c r="JON133" s="4"/>
      <c r="JOO133" s="4"/>
      <c r="JOP133" s="4"/>
      <c r="JOQ133" s="4"/>
      <c r="JOR133" s="4"/>
      <c r="JOS133" s="4"/>
      <c r="JOT133" s="4"/>
      <c r="JOU133" s="4"/>
      <c r="JOV133" s="4"/>
      <c r="JOW133" s="4"/>
      <c r="JOX133" s="4"/>
      <c r="JOY133" s="4"/>
      <c r="JOZ133" s="4"/>
      <c r="JPA133" s="4"/>
      <c r="JPB133" s="4"/>
      <c r="JPC133" s="4"/>
      <c r="JPD133" s="4"/>
      <c r="JPE133" s="4"/>
      <c r="JPF133" s="4"/>
      <c r="JPG133" s="4"/>
      <c r="JPH133" s="4"/>
      <c r="JPI133" s="4"/>
      <c r="JPJ133" s="4"/>
      <c r="JPK133" s="4"/>
      <c r="JPL133" s="4"/>
      <c r="JPM133" s="4"/>
      <c r="JPN133" s="4"/>
      <c r="JPO133" s="4"/>
      <c r="JPP133" s="4"/>
      <c r="JPQ133" s="4"/>
      <c r="JPR133" s="4"/>
      <c r="JPS133" s="4"/>
      <c r="JPT133" s="4"/>
      <c r="JPU133" s="4"/>
      <c r="JPV133" s="4"/>
      <c r="JPW133" s="4"/>
      <c r="JPX133" s="4"/>
      <c r="JPY133" s="4"/>
      <c r="JPZ133" s="4"/>
      <c r="JQA133" s="4"/>
      <c r="JQB133" s="4"/>
      <c r="JQC133" s="4"/>
      <c r="JQD133" s="4"/>
      <c r="JQE133" s="4"/>
      <c r="JQF133" s="4"/>
      <c r="JQG133" s="4"/>
      <c r="JQH133" s="4"/>
      <c r="JQI133" s="4"/>
      <c r="JQJ133" s="4"/>
      <c r="JQK133" s="4"/>
      <c r="JQL133" s="4"/>
      <c r="JQM133" s="4"/>
      <c r="JQN133" s="4"/>
      <c r="JQO133" s="4"/>
      <c r="JQP133" s="4"/>
      <c r="JQQ133" s="4"/>
      <c r="JQR133" s="4"/>
      <c r="JQS133" s="4"/>
      <c r="JQT133" s="4"/>
      <c r="JQU133" s="4"/>
      <c r="JQV133" s="4"/>
      <c r="JQW133" s="4"/>
      <c r="JQX133" s="4"/>
      <c r="JQY133" s="4"/>
      <c r="JQZ133" s="4"/>
      <c r="JRA133" s="4"/>
      <c r="JRB133" s="4"/>
      <c r="JRC133" s="4"/>
      <c r="JRD133" s="4"/>
      <c r="JRE133" s="4"/>
      <c r="JRF133" s="4"/>
      <c r="JRG133" s="4"/>
      <c r="JRH133" s="4"/>
      <c r="JRI133" s="4"/>
      <c r="JRJ133" s="4"/>
      <c r="JRK133" s="4"/>
      <c r="JRL133" s="4"/>
      <c r="JRM133" s="4"/>
      <c r="JRN133" s="4"/>
      <c r="JRO133" s="4"/>
      <c r="JRP133" s="4"/>
      <c r="JRQ133" s="4"/>
      <c r="JRR133" s="4"/>
      <c r="JRS133" s="4"/>
      <c r="JRT133" s="4"/>
      <c r="JRU133" s="4"/>
      <c r="JRV133" s="4"/>
      <c r="JRW133" s="4"/>
      <c r="JRX133" s="4"/>
      <c r="JRY133" s="4"/>
      <c r="JRZ133" s="4"/>
      <c r="JSA133" s="4"/>
      <c r="JSB133" s="4"/>
      <c r="JSC133" s="4"/>
      <c r="JSD133" s="4"/>
      <c r="JSE133" s="4"/>
      <c r="JSF133" s="4"/>
      <c r="JSG133" s="4"/>
      <c r="JSH133" s="4"/>
      <c r="JSI133" s="4"/>
      <c r="JSJ133" s="4"/>
      <c r="JSK133" s="4"/>
      <c r="JSL133" s="4"/>
      <c r="JSM133" s="4"/>
      <c r="JSN133" s="4"/>
      <c r="JSO133" s="4"/>
      <c r="JSP133" s="4"/>
      <c r="JSQ133" s="4"/>
      <c r="JSR133" s="4"/>
      <c r="JSS133" s="4"/>
      <c r="JST133" s="4"/>
      <c r="JSU133" s="4"/>
      <c r="JSV133" s="4"/>
      <c r="JSW133" s="4"/>
      <c r="JSX133" s="4"/>
      <c r="JSY133" s="4"/>
      <c r="JSZ133" s="4"/>
      <c r="JTA133" s="4"/>
      <c r="JTB133" s="4"/>
      <c r="JTC133" s="4"/>
      <c r="JTD133" s="4"/>
      <c r="JTE133" s="4"/>
      <c r="JTF133" s="4"/>
      <c r="JTG133" s="4"/>
      <c r="JTH133" s="4"/>
      <c r="JTI133" s="4"/>
      <c r="JTJ133" s="4"/>
      <c r="JTK133" s="4"/>
      <c r="JTL133" s="4"/>
      <c r="JTM133" s="4"/>
      <c r="JTN133" s="4"/>
      <c r="JTO133" s="4"/>
      <c r="JTP133" s="4"/>
      <c r="JTQ133" s="4"/>
      <c r="JTR133" s="4"/>
      <c r="JTS133" s="4"/>
      <c r="JTT133" s="4"/>
      <c r="JTU133" s="4"/>
      <c r="JTV133" s="4"/>
      <c r="JTW133" s="4"/>
      <c r="JTX133" s="4"/>
      <c r="JTY133" s="4"/>
      <c r="JTZ133" s="4"/>
      <c r="JUA133" s="4"/>
      <c r="JUB133" s="4"/>
      <c r="JUC133" s="4"/>
      <c r="JUD133" s="4"/>
      <c r="JUE133" s="4"/>
      <c r="JUF133" s="4"/>
      <c r="JUG133" s="4"/>
      <c r="JUH133" s="4"/>
      <c r="JUI133" s="4"/>
      <c r="JUJ133" s="4"/>
      <c r="JUK133" s="4"/>
      <c r="JUL133" s="4"/>
      <c r="JUM133" s="4"/>
      <c r="JUN133" s="4"/>
      <c r="JUO133" s="4"/>
      <c r="JUP133" s="4"/>
      <c r="JUQ133" s="4"/>
      <c r="JUR133" s="4"/>
      <c r="JUS133" s="4"/>
      <c r="JUT133" s="4"/>
      <c r="JUU133" s="4"/>
      <c r="JUV133" s="4"/>
      <c r="JUW133" s="4"/>
      <c r="JUX133" s="4"/>
      <c r="JUY133" s="4"/>
      <c r="JUZ133" s="4"/>
      <c r="JVA133" s="4"/>
      <c r="JVB133" s="4"/>
      <c r="JVC133" s="4"/>
      <c r="JVD133" s="4"/>
      <c r="JVE133" s="4"/>
      <c r="JVF133" s="4"/>
      <c r="JVG133" s="4"/>
      <c r="JVH133" s="4"/>
      <c r="JVI133" s="4"/>
      <c r="JVJ133" s="4"/>
      <c r="JVK133" s="4"/>
      <c r="JVL133" s="4"/>
      <c r="JVM133" s="4"/>
      <c r="JVN133" s="4"/>
      <c r="JVO133" s="4"/>
      <c r="JVP133" s="4"/>
      <c r="JVQ133" s="4"/>
      <c r="JVR133" s="4"/>
      <c r="JVS133" s="4"/>
      <c r="JVT133" s="4"/>
      <c r="JVU133" s="4"/>
      <c r="JVV133" s="4"/>
      <c r="JVW133" s="4"/>
      <c r="JVX133" s="4"/>
      <c r="JVY133" s="4"/>
      <c r="JVZ133" s="4"/>
      <c r="JWA133" s="4"/>
      <c r="JWB133" s="4"/>
      <c r="JWC133" s="4"/>
      <c r="JWD133" s="4"/>
      <c r="JWE133" s="4"/>
      <c r="JWF133" s="4"/>
      <c r="JWG133" s="4"/>
      <c r="JWH133" s="4"/>
      <c r="JWI133" s="4"/>
      <c r="JWJ133" s="4"/>
      <c r="JWK133" s="4"/>
      <c r="JWL133" s="4"/>
      <c r="JWM133" s="4"/>
      <c r="JWN133" s="4"/>
      <c r="JWO133" s="4"/>
      <c r="JWP133" s="4"/>
      <c r="JWQ133" s="4"/>
      <c r="JWR133" s="4"/>
      <c r="JWS133" s="4"/>
      <c r="JWT133" s="4"/>
      <c r="JWU133" s="4"/>
      <c r="JWV133" s="4"/>
      <c r="JWW133" s="4"/>
      <c r="JWX133" s="4"/>
      <c r="JWY133" s="4"/>
      <c r="JWZ133" s="4"/>
      <c r="JXA133" s="4"/>
      <c r="JXB133" s="4"/>
      <c r="JXC133" s="4"/>
      <c r="JXD133" s="4"/>
      <c r="JXE133" s="4"/>
      <c r="JXF133" s="4"/>
      <c r="JXG133" s="4"/>
      <c r="JXH133" s="4"/>
      <c r="JXI133" s="4"/>
      <c r="JXJ133" s="4"/>
      <c r="JXK133" s="4"/>
      <c r="JXL133" s="4"/>
      <c r="JXM133" s="4"/>
      <c r="JXN133" s="4"/>
      <c r="JXO133" s="4"/>
      <c r="JXP133" s="4"/>
      <c r="JXQ133" s="4"/>
      <c r="JXR133" s="4"/>
      <c r="JXS133" s="4"/>
      <c r="JXT133" s="4"/>
      <c r="JXU133" s="4"/>
      <c r="JXV133" s="4"/>
      <c r="JXW133" s="4"/>
      <c r="JXX133" s="4"/>
      <c r="JXY133" s="4"/>
      <c r="JXZ133" s="4"/>
      <c r="JYA133" s="4"/>
      <c r="JYB133" s="4"/>
      <c r="JYC133" s="4"/>
      <c r="JYD133" s="4"/>
      <c r="JYE133" s="4"/>
      <c r="JYF133" s="4"/>
      <c r="JYG133" s="4"/>
      <c r="JYH133" s="4"/>
      <c r="JYI133" s="4"/>
      <c r="JYJ133" s="4"/>
      <c r="JYK133" s="4"/>
      <c r="JYL133" s="4"/>
      <c r="JYM133" s="4"/>
      <c r="JYN133" s="4"/>
      <c r="JYO133" s="4"/>
      <c r="JYP133" s="4"/>
      <c r="JYQ133" s="4"/>
      <c r="JYR133" s="4"/>
      <c r="JYS133" s="4"/>
      <c r="JYT133" s="4"/>
      <c r="JYU133" s="4"/>
      <c r="JYV133" s="4"/>
      <c r="JYW133" s="4"/>
      <c r="JYX133" s="4"/>
      <c r="JYY133" s="4"/>
      <c r="JYZ133" s="4"/>
      <c r="JZA133" s="4"/>
      <c r="JZB133" s="4"/>
      <c r="JZC133" s="4"/>
      <c r="JZD133" s="4"/>
      <c r="JZE133" s="4"/>
      <c r="JZF133" s="4"/>
      <c r="JZG133" s="4"/>
      <c r="JZH133" s="4"/>
      <c r="JZI133" s="4"/>
      <c r="JZJ133" s="4"/>
      <c r="JZK133" s="4"/>
      <c r="JZL133" s="4"/>
      <c r="JZM133" s="4"/>
      <c r="JZN133" s="4"/>
      <c r="JZO133" s="4"/>
      <c r="JZP133" s="4"/>
      <c r="JZQ133" s="4"/>
      <c r="JZR133" s="4"/>
      <c r="JZS133" s="4"/>
      <c r="JZT133" s="4"/>
      <c r="JZU133" s="4"/>
      <c r="JZV133" s="4"/>
      <c r="JZW133" s="4"/>
      <c r="JZX133" s="4"/>
      <c r="JZY133" s="4"/>
      <c r="JZZ133" s="4"/>
      <c r="KAA133" s="4"/>
      <c r="KAB133" s="4"/>
      <c r="KAC133" s="4"/>
      <c r="KAD133" s="4"/>
      <c r="KAE133" s="4"/>
      <c r="KAF133" s="4"/>
      <c r="KAG133" s="4"/>
      <c r="KAH133" s="4"/>
      <c r="KAI133" s="4"/>
      <c r="KAJ133" s="4"/>
      <c r="KAK133" s="4"/>
      <c r="KAL133" s="4"/>
      <c r="KAM133" s="4"/>
      <c r="KAN133" s="4"/>
      <c r="KAO133" s="4"/>
      <c r="KAP133" s="4"/>
      <c r="KAQ133" s="4"/>
      <c r="KAR133" s="4"/>
      <c r="KAS133" s="4"/>
      <c r="KAT133" s="4"/>
      <c r="KAU133" s="4"/>
      <c r="KAV133" s="4"/>
      <c r="KAW133" s="4"/>
      <c r="KAX133" s="4"/>
      <c r="KAY133" s="4"/>
      <c r="KAZ133" s="4"/>
      <c r="KBA133" s="4"/>
      <c r="KBB133" s="4"/>
      <c r="KBC133" s="4"/>
      <c r="KBD133" s="4"/>
      <c r="KBE133" s="4"/>
      <c r="KBF133" s="4"/>
      <c r="KBG133" s="4"/>
      <c r="KBH133" s="4"/>
      <c r="KBI133" s="4"/>
      <c r="KBJ133" s="4"/>
      <c r="KBK133" s="4"/>
      <c r="KBL133" s="4"/>
      <c r="KBM133" s="4"/>
      <c r="KBN133" s="4"/>
      <c r="KBO133" s="4"/>
      <c r="KBP133" s="4"/>
      <c r="KBQ133" s="4"/>
      <c r="KBR133" s="4"/>
      <c r="KBS133" s="4"/>
      <c r="KBT133" s="4"/>
      <c r="KBU133" s="4"/>
      <c r="KBV133" s="4"/>
      <c r="KBW133" s="4"/>
      <c r="KBX133" s="4"/>
      <c r="KBY133" s="4"/>
      <c r="KBZ133" s="4"/>
      <c r="KCA133" s="4"/>
      <c r="KCB133" s="4"/>
      <c r="KCC133" s="4"/>
      <c r="KCD133" s="4"/>
      <c r="KCE133" s="4"/>
      <c r="KCF133" s="4"/>
      <c r="KCG133" s="4"/>
      <c r="KCH133" s="4"/>
      <c r="KCI133" s="4"/>
      <c r="KCJ133" s="4"/>
      <c r="KCK133" s="4"/>
      <c r="KCL133" s="4"/>
      <c r="KCM133" s="4"/>
      <c r="KCN133" s="4"/>
      <c r="KCO133" s="4"/>
      <c r="KCP133" s="4"/>
      <c r="KCQ133" s="4"/>
      <c r="KCR133" s="4"/>
      <c r="KCS133" s="4"/>
      <c r="KCT133" s="4"/>
      <c r="KCU133" s="4"/>
      <c r="KCV133" s="4"/>
      <c r="KCW133" s="4"/>
      <c r="KCX133" s="4"/>
      <c r="KCY133" s="4"/>
      <c r="KCZ133" s="4"/>
      <c r="KDA133" s="4"/>
      <c r="KDB133" s="4"/>
      <c r="KDC133" s="4"/>
      <c r="KDD133" s="4"/>
      <c r="KDE133" s="4"/>
      <c r="KDF133" s="4"/>
      <c r="KDG133" s="4"/>
      <c r="KDH133" s="4"/>
      <c r="KDI133" s="4"/>
      <c r="KDJ133" s="4"/>
      <c r="KDK133" s="4"/>
      <c r="KDL133" s="4"/>
      <c r="KDM133" s="4"/>
      <c r="KDN133" s="4"/>
      <c r="KDO133" s="4"/>
      <c r="KDP133" s="4"/>
      <c r="KDQ133" s="4"/>
      <c r="KDR133" s="4"/>
      <c r="KDS133" s="4"/>
      <c r="KDT133" s="4"/>
      <c r="KDU133" s="4"/>
      <c r="KDV133" s="4"/>
      <c r="KDW133" s="4"/>
      <c r="KDX133" s="4"/>
      <c r="KDY133" s="4"/>
      <c r="KDZ133" s="4"/>
      <c r="KEA133" s="4"/>
      <c r="KEB133" s="4"/>
      <c r="KEC133" s="4"/>
      <c r="KED133" s="4"/>
      <c r="KEE133" s="4"/>
      <c r="KEF133" s="4"/>
      <c r="KEG133" s="4"/>
      <c r="KEH133" s="4"/>
      <c r="KEI133" s="4"/>
      <c r="KEJ133" s="4"/>
      <c r="KEK133" s="4"/>
      <c r="KEL133" s="4"/>
      <c r="KEM133" s="4"/>
      <c r="KEN133" s="4"/>
      <c r="KEO133" s="4"/>
      <c r="KEP133" s="4"/>
      <c r="KEQ133" s="4"/>
      <c r="KER133" s="4"/>
      <c r="KES133" s="4"/>
      <c r="KET133" s="4"/>
      <c r="KEU133" s="4"/>
      <c r="KEV133" s="4"/>
      <c r="KEW133" s="4"/>
      <c r="KEX133" s="4"/>
      <c r="KEY133" s="4"/>
      <c r="KEZ133" s="4"/>
      <c r="KFA133" s="4"/>
      <c r="KFB133" s="4"/>
      <c r="KFC133" s="4"/>
      <c r="KFD133" s="4"/>
      <c r="KFE133" s="4"/>
      <c r="KFF133" s="4"/>
      <c r="KFG133" s="4"/>
      <c r="KFH133" s="4"/>
      <c r="KFI133" s="4"/>
      <c r="KFJ133" s="4"/>
      <c r="KFK133" s="4"/>
      <c r="KFL133" s="4"/>
      <c r="KFM133" s="4"/>
      <c r="KFN133" s="4"/>
      <c r="KFO133" s="4"/>
      <c r="KFP133" s="4"/>
      <c r="KFQ133" s="4"/>
      <c r="KFR133" s="4"/>
      <c r="KFS133" s="4"/>
      <c r="KFT133" s="4"/>
      <c r="KFU133" s="4"/>
      <c r="KFV133" s="4"/>
      <c r="KFW133" s="4"/>
      <c r="KFX133" s="4"/>
      <c r="KFY133" s="4"/>
      <c r="KFZ133" s="4"/>
      <c r="KGA133" s="4"/>
      <c r="KGB133" s="4"/>
      <c r="KGC133" s="4"/>
      <c r="KGD133" s="4"/>
      <c r="KGE133" s="4"/>
      <c r="KGF133" s="4"/>
      <c r="KGG133" s="4"/>
      <c r="KGH133" s="4"/>
      <c r="KGI133" s="4"/>
      <c r="KGJ133" s="4"/>
      <c r="KGK133" s="4"/>
      <c r="KGL133" s="4"/>
      <c r="KGM133" s="4"/>
      <c r="KGN133" s="4"/>
      <c r="KGO133" s="4"/>
      <c r="KGP133" s="4"/>
      <c r="KGQ133" s="4"/>
      <c r="KGR133" s="4"/>
      <c r="KGS133" s="4"/>
      <c r="KGT133" s="4"/>
      <c r="KGU133" s="4"/>
      <c r="KGV133" s="4"/>
      <c r="KGW133" s="4"/>
      <c r="KGX133" s="4"/>
      <c r="KGY133" s="4"/>
      <c r="KGZ133" s="4"/>
      <c r="KHA133" s="4"/>
      <c r="KHB133" s="4"/>
      <c r="KHC133" s="4"/>
      <c r="KHD133" s="4"/>
      <c r="KHE133" s="4"/>
      <c r="KHF133" s="4"/>
      <c r="KHG133" s="4"/>
      <c r="KHH133" s="4"/>
      <c r="KHI133" s="4"/>
      <c r="KHJ133" s="4"/>
      <c r="KHK133" s="4"/>
      <c r="KHL133" s="4"/>
      <c r="KHM133" s="4"/>
      <c r="KHN133" s="4"/>
      <c r="KHO133" s="4"/>
      <c r="KHP133" s="4"/>
      <c r="KHQ133" s="4"/>
      <c r="KHR133" s="4"/>
      <c r="KHS133" s="4"/>
      <c r="KHT133" s="4"/>
      <c r="KHU133" s="4"/>
      <c r="KHV133" s="4"/>
      <c r="KHW133" s="4"/>
      <c r="KHX133" s="4"/>
      <c r="KHY133" s="4"/>
      <c r="KHZ133" s="4"/>
      <c r="KIA133" s="4"/>
      <c r="KIB133" s="4"/>
      <c r="KIC133" s="4"/>
      <c r="KID133" s="4"/>
      <c r="KIE133" s="4"/>
      <c r="KIF133" s="4"/>
      <c r="KIG133" s="4"/>
      <c r="KIH133" s="4"/>
      <c r="KII133" s="4"/>
      <c r="KIJ133" s="4"/>
      <c r="KIK133" s="4"/>
      <c r="KIL133" s="4"/>
      <c r="KIM133" s="4"/>
      <c r="KIN133" s="4"/>
      <c r="KIO133" s="4"/>
      <c r="KIP133" s="4"/>
      <c r="KIQ133" s="4"/>
      <c r="KIR133" s="4"/>
      <c r="KIS133" s="4"/>
      <c r="KIT133" s="4"/>
      <c r="KIU133" s="4"/>
      <c r="KIV133" s="4"/>
      <c r="KIW133" s="4"/>
      <c r="KIX133" s="4"/>
      <c r="KIY133" s="4"/>
      <c r="KIZ133" s="4"/>
      <c r="KJA133" s="4"/>
      <c r="KJB133" s="4"/>
      <c r="KJC133" s="4"/>
      <c r="KJD133" s="4"/>
      <c r="KJE133" s="4"/>
      <c r="KJF133" s="4"/>
      <c r="KJG133" s="4"/>
      <c r="KJH133" s="4"/>
      <c r="KJI133" s="4"/>
      <c r="KJJ133" s="4"/>
      <c r="KJK133" s="4"/>
      <c r="KJL133" s="4"/>
      <c r="KJM133" s="4"/>
      <c r="KJN133" s="4"/>
      <c r="KJO133" s="4"/>
      <c r="KJP133" s="4"/>
      <c r="KJQ133" s="4"/>
      <c r="KJR133" s="4"/>
      <c r="KJS133" s="4"/>
      <c r="KJT133" s="4"/>
      <c r="KJU133" s="4"/>
      <c r="KJV133" s="4"/>
      <c r="KJW133" s="4"/>
      <c r="KJX133" s="4"/>
      <c r="KJY133" s="4"/>
      <c r="KJZ133" s="4"/>
      <c r="KKA133" s="4"/>
      <c r="KKB133" s="4"/>
      <c r="KKC133" s="4"/>
      <c r="KKD133" s="4"/>
      <c r="KKE133" s="4"/>
      <c r="KKF133" s="4"/>
      <c r="KKG133" s="4"/>
      <c r="KKH133" s="4"/>
      <c r="KKI133" s="4"/>
      <c r="KKJ133" s="4"/>
      <c r="KKK133" s="4"/>
      <c r="KKL133" s="4"/>
      <c r="KKM133" s="4"/>
      <c r="KKN133" s="4"/>
      <c r="KKO133" s="4"/>
      <c r="KKP133" s="4"/>
      <c r="KKQ133" s="4"/>
      <c r="KKR133" s="4"/>
      <c r="KKS133" s="4"/>
      <c r="KKT133" s="4"/>
      <c r="KKU133" s="4"/>
      <c r="KKV133" s="4"/>
      <c r="KKW133" s="4"/>
      <c r="KKX133" s="4"/>
      <c r="KKY133" s="4"/>
      <c r="KKZ133" s="4"/>
      <c r="KLA133" s="4"/>
      <c r="KLB133" s="4"/>
      <c r="KLC133" s="4"/>
      <c r="KLD133" s="4"/>
      <c r="KLE133" s="4"/>
      <c r="KLF133" s="4"/>
      <c r="KLG133" s="4"/>
      <c r="KLH133" s="4"/>
      <c r="KLI133" s="4"/>
      <c r="KLJ133" s="4"/>
      <c r="KLK133" s="4"/>
      <c r="KLL133" s="4"/>
      <c r="KLM133" s="4"/>
      <c r="KLN133" s="4"/>
      <c r="KLO133" s="4"/>
      <c r="KLP133" s="4"/>
      <c r="KLQ133" s="4"/>
      <c r="KLR133" s="4"/>
      <c r="KLS133" s="4"/>
      <c r="KLT133" s="4"/>
      <c r="KLU133" s="4"/>
      <c r="KLV133" s="4"/>
      <c r="KLW133" s="4"/>
      <c r="KLX133" s="4"/>
      <c r="KLY133" s="4"/>
      <c r="KLZ133" s="4"/>
      <c r="KMA133" s="4"/>
      <c r="KMB133" s="4"/>
      <c r="KMC133" s="4"/>
      <c r="KMD133" s="4"/>
      <c r="KME133" s="4"/>
      <c r="KMF133" s="4"/>
      <c r="KMG133" s="4"/>
      <c r="KMH133" s="4"/>
      <c r="KMI133" s="4"/>
      <c r="KMJ133" s="4"/>
      <c r="KMK133" s="4"/>
      <c r="KML133" s="4"/>
      <c r="KMM133" s="4"/>
      <c r="KMN133" s="4"/>
      <c r="KMO133" s="4"/>
      <c r="KMP133" s="4"/>
      <c r="KMQ133" s="4"/>
      <c r="KMR133" s="4"/>
      <c r="KMS133" s="4"/>
      <c r="KMT133" s="4"/>
      <c r="KMU133" s="4"/>
      <c r="KMV133" s="4"/>
      <c r="KMW133" s="4"/>
      <c r="KMX133" s="4"/>
      <c r="KMY133" s="4"/>
      <c r="KMZ133" s="4"/>
      <c r="KNA133" s="4"/>
      <c r="KNB133" s="4"/>
      <c r="KNC133" s="4"/>
      <c r="KND133" s="4"/>
      <c r="KNE133" s="4"/>
      <c r="KNF133" s="4"/>
      <c r="KNG133" s="4"/>
      <c r="KNH133" s="4"/>
      <c r="KNI133" s="4"/>
      <c r="KNJ133" s="4"/>
      <c r="KNK133" s="4"/>
      <c r="KNL133" s="4"/>
      <c r="KNM133" s="4"/>
      <c r="KNN133" s="4"/>
      <c r="KNO133" s="4"/>
      <c r="KNP133" s="4"/>
      <c r="KNQ133" s="4"/>
      <c r="KNR133" s="4"/>
      <c r="KNS133" s="4"/>
      <c r="KNT133" s="4"/>
      <c r="KNU133" s="4"/>
      <c r="KNV133" s="4"/>
      <c r="KNW133" s="4"/>
      <c r="KNX133" s="4"/>
      <c r="KNY133" s="4"/>
      <c r="KNZ133" s="4"/>
      <c r="KOA133" s="4"/>
      <c r="KOB133" s="4"/>
      <c r="KOC133" s="4"/>
      <c r="KOD133" s="4"/>
      <c r="KOE133" s="4"/>
      <c r="KOF133" s="4"/>
      <c r="KOG133" s="4"/>
      <c r="KOH133" s="4"/>
      <c r="KOI133" s="4"/>
      <c r="KOJ133" s="4"/>
      <c r="KOK133" s="4"/>
      <c r="KOL133" s="4"/>
      <c r="KOM133" s="4"/>
      <c r="KON133" s="4"/>
      <c r="KOO133" s="4"/>
      <c r="KOP133" s="4"/>
      <c r="KOQ133" s="4"/>
      <c r="KOR133" s="4"/>
      <c r="KOS133" s="4"/>
      <c r="KOT133" s="4"/>
      <c r="KOU133" s="4"/>
      <c r="KOV133" s="4"/>
      <c r="KOW133" s="4"/>
      <c r="KOX133" s="4"/>
      <c r="KOY133" s="4"/>
      <c r="KOZ133" s="4"/>
      <c r="KPA133" s="4"/>
      <c r="KPB133" s="4"/>
      <c r="KPC133" s="4"/>
      <c r="KPD133" s="4"/>
      <c r="KPE133" s="4"/>
      <c r="KPF133" s="4"/>
      <c r="KPG133" s="4"/>
      <c r="KPH133" s="4"/>
      <c r="KPI133" s="4"/>
      <c r="KPJ133" s="4"/>
      <c r="KPK133" s="4"/>
      <c r="KPL133" s="4"/>
      <c r="KPM133" s="4"/>
      <c r="KPN133" s="4"/>
      <c r="KPO133" s="4"/>
      <c r="KPP133" s="4"/>
      <c r="KPQ133" s="4"/>
      <c r="KPR133" s="4"/>
      <c r="KPS133" s="4"/>
      <c r="KPT133" s="4"/>
      <c r="KPU133" s="4"/>
      <c r="KPV133" s="4"/>
      <c r="KPW133" s="4"/>
      <c r="KPX133" s="4"/>
      <c r="KPY133" s="4"/>
      <c r="KPZ133" s="4"/>
      <c r="KQA133" s="4"/>
      <c r="KQB133" s="4"/>
      <c r="KQC133" s="4"/>
      <c r="KQD133" s="4"/>
      <c r="KQE133" s="4"/>
      <c r="KQF133" s="4"/>
      <c r="KQG133" s="4"/>
      <c r="KQH133" s="4"/>
      <c r="KQI133" s="4"/>
      <c r="KQJ133" s="4"/>
      <c r="KQK133" s="4"/>
      <c r="KQL133" s="4"/>
      <c r="KQM133" s="4"/>
      <c r="KQN133" s="4"/>
      <c r="KQO133" s="4"/>
      <c r="KQP133" s="4"/>
      <c r="KQQ133" s="4"/>
      <c r="KQR133" s="4"/>
      <c r="KQS133" s="4"/>
      <c r="KQT133" s="4"/>
      <c r="KQU133" s="4"/>
      <c r="KQV133" s="4"/>
      <c r="KQW133" s="4"/>
      <c r="KQX133" s="4"/>
      <c r="KQY133" s="4"/>
      <c r="KQZ133" s="4"/>
      <c r="KRA133" s="4"/>
      <c r="KRB133" s="4"/>
      <c r="KRC133" s="4"/>
      <c r="KRD133" s="4"/>
      <c r="KRE133" s="4"/>
      <c r="KRF133" s="4"/>
      <c r="KRG133" s="4"/>
      <c r="KRH133" s="4"/>
      <c r="KRI133" s="4"/>
      <c r="KRJ133" s="4"/>
      <c r="KRK133" s="4"/>
      <c r="KRL133" s="4"/>
      <c r="KRM133" s="4"/>
      <c r="KRN133" s="4"/>
      <c r="KRO133" s="4"/>
      <c r="KRP133" s="4"/>
      <c r="KRQ133" s="4"/>
      <c r="KRR133" s="4"/>
      <c r="KRS133" s="4"/>
      <c r="KRT133" s="4"/>
      <c r="KRU133" s="4"/>
      <c r="KRV133" s="4"/>
      <c r="KRW133" s="4"/>
      <c r="KRX133" s="4"/>
      <c r="KRY133" s="4"/>
      <c r="KRZ133" s="4"/>
      <c r="KSA133" s="4"/>
      <c r="KSB133" s="4"/>
      <c r="KSC133" s="4"/>
      <c r="KSD133" s="4"/>
      <c r="KSE133" s="4"/>
      <c r="KSF133" s="4"/>
      <c r="KSG133" s="4"/>
      <c r="KSH133" s="4"/>
      <c r="KSI133" s="4"/>
      <c r="KSJ133" s="4"/>
      <c r="KSK133" s="4"/>
      <c r="KSL133" s="4"/>
      <c r="KSM133" s="4"/>
      <c r="KSN133" s="4"/>
      <c r="KSO133" s="4"/>
      <c r="KSP133" s="4"/>
      <c r="KSQ133" s="4"/>
      <c r="KSR133" s="4"/>
      <c r="KSS133" s="4"/>
      <c r="KST133" s="4"/>
      <c r="KSU133" s="4"/>
      <c r="KSV133" s="4"/>
      <c r="KSW133" s="4"/>
      <c r="KSX133" s="4"/>
      <c r="KSY133" s="4"/>
      <c r="KSZ133" s="4"/>
      <c r="KTA133" s="4"/>
      <c r="KTB133" s="4"/>
      <c r="KTC133" s="4"/>
      <c r="KTD133" s="4"/>
      <c r="KTE133" s="4"/>
      <c r="KTF133" s="4"/>
      <c r="KTG133" s="4"/>
      <c r="KTH133" s="4"/>
      <c r="KTI133" s="4"/>
      <c r="KTJ133" s="4"/>
      <c r="KTK133" s="4"/>
      <c r="KTL133" s="4"/>
      <c r="KTM133" s="4"/>
      <c r="KTN133" s="4"/>
      <c r="KTO133" s="4"/>
      <c r="KTP133" s="4"/>
      <c r="KTQ133" s="4"/>
      <c r="KTR133" s="4"/>
      <c r="KTS133" s="4"/>
      <c r="KTT133" s="4"/>
      <c r="KTU133" s="4"/>
      <c r="KTV133" s="4"/>
      <c r="KTW133" s="4"/>
      <c r="KTX133" s="4"/>
      <c r="KTY133" s="4"/>
      <c r="KTZ133" s="4"/>
      <c r="KUA133" s="4"/>
      <c r="KUB133" s="4"/>
      <c r="KUC133" s="4"/>
      <c r="KUD133" s="4"/>
      <c r="KUE133" s="4"/>
      <c r="KUF133" s="4"/>
      <c r="KUG133" s="4"/>
      <c r="KUH133" s="4"/>
      <c r="KUI133" s="4"/>
      <c r="KUJ133" s="4"/>
      <c r="KUK133" s="4"/>
      <c r="KUL133" s="4"/>
      <c r="KUM133" s="4"/>
      <c r="KUN133" s="4"/>
      <c r="KUO133" s="4"/>
      <c r="KUP133" s="4"/>
      <c r="KUQ133" s="4"/>
      <c r="KUR133" s="4"/>
      <c r="KUS133" s="4"/>
      <c r="KUT133" s="4"/>
      <c r="KUU133" s="4"/>
      <c r="KUV133" s="4"/>
      <c r="KUW133" s="4"/>
      <c r="KUX133" s="4"/>
      <c r="KUY133" s="4"/>
      <c r="KUZ133" s="4"/>
      <c r="KVA133" s="4"/>
      <c r="KVB133" s="4"/>
      <c r="KVC133" s="4"/>
      <c r="KVD133" s="4"/>
      <c r="KVE133" s="4"/>
      <c r="KVF133" s="4"/>
      <c r="KVG133" s="4"/>
      <c r="KVH133" s="4"/>
      <c r="KVI133" s="4"/>
      <c r="KVJ133" s="4"/>
      <c r="KVK133" s="4"/>
      <c r="KVL133" s="4"/>
      <c r="KVM133" s="4"/>
      <c r="KVN133" s="4"/>
      <c r="KVO133" s="4"/>
      <c r="KVP133" s="4"/>
      <c r="KVQ133" s="4"/>
      <c r="KVR133" s="4"/>
      <c r="KVS133" s="4"/>
      <c r="KVT133" s="4"/>
      <c r="KVU133" s="4"/>
      <c r="KVV133" s="4"/>
      <c r="KVW133" s="4"/>
      <c r="KVX133" s="4"/>
      <c r="KVY133" s="4"/>
      <c r="KVZ133" s="4"/>
      <c r="KWA133" s="4"/>
      <c r="KWB133" s="4"/>
      <c r="KWC133" s="4"/>
      <c r="KWD133" s="4"/>
      <c r="KWE133" s="4"/>
      <c r="KWF133" s="4"/>
      <c r="KWG133" s="4"/>
      <c r="KWH133" s="4"/>
      <c r="KWI133" s="4"/>
      <c r="KWJ133" s="4"/>
      <c r="KWK133" s="4"/>
      <c r="KWL133" s="4"/>
      <c r="KWM133" s="4"/>
      <c r="KWN133" s="4"/>
      <c r="KWO133" s="4"/>
      <c r="KWP133" s="4"/>
      <c r="KWQ133" s="4"/>
      <c r="KWR133" s="4"/>
      <c r="KWS133" s="4"/>
      <c r="KWT133" s="4"/>
      <c r="KWU133" s="4"/>
      <c r="KWV133" s="4"/>
      <c r="KWW133" s="4"/>
      <c r="KWX133" s="4"/>
      <c r="KWY133" s="4"/>
      <c r="KWZ133" s="4"/>
      <c r="KXA133" s="4"/>
      <c r="KXB133" s="4"/>
      <c r="KXC133" s="4"/>
      <c r="KXD133" s="4"/>
      <c r="KXE133" s="4"/>
      <c r="KXF133" s="4"/>
      <c r="KXG133" s="4"/>
      <c r="KXH133" s="4"/>
      <c r="KXI133" s="4"/>
      <c r="KXJ133" s="4"/>
      <c r="KXK133" s="4"/>
      <c r="KXL133" s="4"/>
      <c r="KXM133" s="4"/>
      <c r="KXN133" s="4"/>
      <c r="KXO133" s="4"/>
      <c r="KXP133" s="4"/>
      <c r="KXQ133" s="4"/>
      <c r="KXR133" s="4"/>
      <c r="KXS133" s="4"/>
      <c r="KXT133" s="4"/>
      <c r="KXU133" s="4"/>
      <c r="KXV133" s="4"/>
      <c r="KXW133" s="4"/>
      <c r="KXX133" s="4"/>
      <c r="KXY133" s="4"/>
      <c r="KXZ133" s="4"/>
      <c r="KYA133" s="4"/>
      <c r="KYB133" s="4"/>
      <c r="KYC133" s="4"/>
      <c r="KYD133" s="4"/>
      <c r="KYE133" s="4"/>
      <c r="KYF133" s="4"/>
      <c r="KYG133" s="4"/>
      <c r="KYH133" s="4"/>
      <c r="KYI133" s="4"/>
      <c r="KYJ133" s="4"/>
      <c r="KYK133" s="4"/>
      <c r="KYL133" s="4"/>
      <c r="KYM133" s="4"/>
      <c r="KYN133" s="4"/>
      <c r="KYO133" s="4"/>
      <c r="KYP133" s="4"/>
      <c r="KYQ133" s="4"/>
      <c r="KYR133" s="4"/>
      <c r="KYS133" s="4"/>
      <c r="KYT133" s="4"/>
      <c r="KYU133" s="4"/>
      <c r="KYV133" s="4"/>
      <c r="KYW133" s="4"/>
      <c r="KYX133" s="4"/>
      <c r="KYY133" s="4"/>
      <c r="KYZ133" s="4"/>
      <c r="KZA133" s="4"/>
      <c r="KZB133" s="4"/>
      <c r="KZC133" s="4"/>
      <c r="KZD133" s="4"/>
      <c r="KZE133" s="4"/>
      <c r="KZF133" s="4"/>
      <c r="KZG133" s="4"/>
      <c r="KZH133" s="4"/>
      <c r="KZI133" s="4"/>
      <c r="KZJ133" s="4"/>
      <c r="KZK133" s="4"/>
      <c r="KZL133" s="4"/>
      <c r="KZM133" s="4"/>
      <c r="KZN133" s="4"/>
      <c r="KZO133" s="4"/>
      <c r="KZP133" s="4"/>
      <c r="KZQ133" s="4"/>
      <c r="KZR133" s="4"/>
      <c r="KZS133" s="4"/>
      <c r="KZT133" s="4"/>
      <c r="KZU133" s="4"/>
      <c r="KZV133" s="4"/>
      <c r="KZW133" s="4"/>
      <c r="KZX133" s="4"/>
      <c r="KZY133" s="4"/>
      <c r="KZZ133" s="4"/>
      <c r="LAA133" s="4"/>
      <c r="LAB133" s="4"/>
      <c r="LAC133" s="4"/>
      <c r="LAD133" s="4"/>
      <c r="LAE133" s="4"/>
      <c r="LAF133" s="4"/>
      <c r="LAG133" s="4"/>
      <c r="LAH133" s="4"/>
      <c r="LAI133" s="4"/>
      <c r="LAJ133" s="4"/>
      <c r="LAK133" s="4"/>
      <c r="LAL133" s="4"/>
      <c r="LAM133" s="4"/>
      <c r="LAN133" s="4"/>
      <c r="LAO133" s="4"/>
      <c r="LAP133" s="4"/>
      <c r="LAQ133" s="4"/>
      <c r="LAR133" s="4"/>
      <c r="LAS133" s="4"/>
      <c r="LAT133" s="4"/>
      <c r="LAU133" s="4"/>
      <c r="LAV133" s="4"/>
      <c r="LAW133" s="4"/>
      <c r="LAX133" s="4"/>
      <c r="LAY133" s="4"/>
      <c r="LAZ133" s="4"/>
      <c r="LBA133" s="4"/>
      <c r="LBB133" s="4"/>
      <c r="LBC133" s="4"/>
      <c r="LBD133" s="4"/>
      <c r="LBE133" s="4"/>
      <c r="LBF133" s="4"/>
      <c r="LBG133" s="4"/>
      <c r="LBH133" s="4"/>
      <c r="LBI133" s="4"/>
      <c r="LBJ133" s="4"/>
      <c r="LBK133" s="4"/>
      <c r="LBL133" s="4"/>
      <c r="LBM133" s="4"/>
      <c r="LBN133" s="4"/>
      <c r="LBO133" s="4"/>
      <c r="LBP133" s="4"/>
      <c r="LBQ133" s="4"/>
      <c r="LBR133" s="4"/>
      <c r="LBS133" s="4"/>
      <c r="LBT133" s="4"/>
      <c r="LBU133" s="4"/>
      <c r="LBV133" s="4"/>
      <c r="LBW133" s="4"/>
      <c r="LBX133" s="4"/>
      <c r="LBY133" s="4"/>
      <c r="LBZ133" s="4"/>
      <c r="LCA133" s="4"/>
      <c r="LCB133" s="4"/>
      <c r="LCC133" s="4"/>
      <c r="LCD133" s="4"/>
      <c r="LCE133" s="4"/>
      <c r="LCF133" s="4"/>
      <c r="LCG133" s="4"/>
      <c r="LCH133" s="4"/>
      <c r="LCI133" s="4"/>
      <c r="LCJ133" s="4"/>
      <c r="LCK133" s="4"/>
      <c r="LCL133" s="4"/>
      <c r="LCM133" s="4"/>
      <c r="LCN133" s="4"/>
      <c r="LCO133" s="4"/>
      <c r="LCP133" s="4"/>
      <c r="LCQ133" s="4"/>
      <c r="LCR133" s="4"/>
      <c r="LCS133" s="4"/>
      <c r="LCT133" s="4"/>
      <c r="LCU133" s="4"/>
      <c r="LCV133" s="4"/>
      <c r="LCW133" s="4"/>
      <c r="LCX133" s="4"/>
      <c r="LCY133" s="4"/>
      <c r="LCZ133" s="4"/>
      <c r="LDA133" s="4"/>
      <c r="LDB133" s="4"/>
      <c r="LDC133" s="4"/>
      <c r="LDD133" s="4"/>
      <c r="LDE133" s="4"/>
      <c r="LDF133" s="4"/>
      <c r="LDG133" s="4"/>
      <c r="LDH133" s="4"/>
      <c r="LDI133" s="4"/>
      <c r="LDJ133" s="4"/>
      <c r="LDK133" s="4"/>
      <c r="LDL133" s="4"/>
      <c r="LDM133" s="4"/>
      <c r="LDN133" s="4"/>
      <c r="LDO133" s="4"/>
      <c r="LDP133" s="4"/>
      <c r="LDQ133" s="4"/>
      <c r="LDR133" s="4"/>
      <c r="LDS133" s="4"/>
      <c r="LDT133" s="4"/>
      <c r="LDU133" s="4"/>
      <c r="LDV133" s="4"/>
      <c r="LDW133" s="4"/>
      <c r="LDX133" s="4"/>
      <c r="LDY133" s="4"/>
      <c r="LDZ133" s="4"/>
      <c r="LEA133" s="4"/>
      <c r="LEB133" s="4"/>
      <c r="LEC133" s="4"/>
      <c r="LED133" s="4"/>
      <c r="LEE133" s="4"/>
      <c r="LEF133" s="4"/>
      <c r="LEG133" s="4"/>
      <c r="LEH133" s="4"/>
      <c r="LEI133" s="4"/>
      <c r="LEJ133" s="4"/>
      <c r="LEK133" s="4"/>
      <c r="LEL133" s="4"/>
      <c r="LEM133" s="4"/>
      <c r="LEN133" s="4"/>
      <c r="LEO133" s="4"/>
      <c r="LEP133" s="4"/>
      <c r="LEQ133" s="4"/>
      <c r="LER133" s="4"/>
      <c r="LES133" s="4"/>
      <c r="LET133" s="4"/>
      <c r="LEU133" s="4"/>
      <c r="LEV133" s="4"/>
      <c r="LEW133" s="4"/>
      <c r="LEX133" s="4"/>
      <c r="LEY133" s="4"/>
      <c r="LEZ133" s="4"/>
      <c r="LFA133" s="4"/>
      <c r="LFB133" s="4"/>
      <c r="LFC133" s="4"/>
      <c r="LFD133" s="4"/>
      <c r="LFE133" s="4"/>
      <c r="LFF133" s="4"/>
      <c r="LFG133" s="4"/>
      <c r="LFH133" s="4"/>
      <c r="LFI133" s="4"/>
      <c r="LFJ133" s="4"/>
      <c r="LFK133" s="4"/>
      <c r="LFL133" s="4"/>
      <c r="LFM133" s="4"/>
      <c r="LFN133" s="4"/>
      <c r="LFO133" s="4"/>
      <c r="LFP133" s="4"/>
      <c r="LFQ133" s="4"/>
      <c r="LFR133" s="4"/>
      <c r="LFS133" s="4"/>
      <c r="LFT133" s="4"/>
      <c r="LFU133" s="4"/>
      <c r="LFV133" s="4"/>
      <c r="LFW133" s="4"/>
      <c r="LFX133" s="4"/>
      <c r="LFY133" s="4"/>
      <c r="LFZ133" s="4"/>
      <c r="LGA133" s="4"/>
      <c r="LGB133" s="4"/>
      <c r="LGC133" s="4"/>
      <c r="LGD133" s="4"/>
      <c r="LGE133" s="4"/>
      <c r="LGF133" s="4"/>
      <c r="LGG133" s="4"/>
      <c r="LGH133" s="4"/>
      <c r="LGI133" s="4"/>
      <c r="LGJ133" s="4"/>
      <c r="LGK133" s="4"/>
      <c r="LGL133" s="4"/>
      <c r="LGM133" s="4"/>
      <c r="LGN133" s="4"/>
      <c r="LGO133" s="4"/>
      <c r="LGP133" s="4"/>
      <c r="LGQ133" s="4"/>
      <c r="LGR133" s="4"/>
      <c r="LGS133" s="4"/>
      <c r="LGT133" s="4"/>
      <c r="LGU133" s="4"/>
      <c r="LGV133" s="4"/>
      <c r="LGW133" s="4"/>
      <c r="LGX133" s="4"/>
      <c r="LGY133" s="4"/>
      <c r="LGZ133" s="4"/>
      <c r="LHA133" s="4"/>
      <c r="LHB133" s="4"/>
      <c r="LHC133" s="4"/>
      <c r="LHD133" s="4"/>
      <c r="LHE133" s="4"/>
      <c r="LHF133" s="4"/>
      <c r="LHG133" s="4"/>
      <c r="LHH133" s="4"/>
      <c r="LHI133" s="4"/>
      <c r="LHJ133" s="4"/>
      <c r="LHK133" s="4"/>
      <c r="LHL133" s="4"/>
      <c r="LHM133" s="4"/>
      <c r="LHN133" s="4"/>
      <c r="LHO133" s="4"/>
      <c r="LHP133" s="4"/>
      <c r="LHQ133" s="4"/>
      <c r="LHR133" s="4"/>
      <c r="LHS133" s="4"/>
      <c r="LHT133" s="4"/>
      <c r="LHU133" s="4"/>
      <c r="LHV133" s="4"/>
      <c r="LHW133" s="4"/>
      <c r="LHX133" s="4"/>
      <c r="LHY133" s="4"/>
      <c r="LHZ133" s="4"/>
      <c r="LIA133" s="4"/>
      <c r="LIB133" s="4"/>
      <c r="LIC133" s="4"/>
      <c r="LID133" s="4"/>
      <c r="LIE133" s="4"/>
      <c r="LIF133" s="4"/>
      <c r="LIG133" s="4"/>
      <c r="LIH133" s="4"/>
      <c r="LII133" s="4"/>
      <c r="LIJ133" s="4"/>
      <c r="LIK133" s="4"/>
      <c r="LIL133" s="4"/>
      <c r="LIM133" s="4"/>
      <c r="LIN133" s="4"/>
      <c r="LIO133" s="4"/>
      <c r="LIP133" s="4"/>
      <c r="LIQ133" s="4"/>
      <c r="LIR133" s="4"/>
      <c r="LIS133" s="4"/>
      <c r="LIT133" s="4"/>
      <c r="LIU133" s="4"/>
      <c r="LIV133" s="4"/>
      <c r="LIW133" s="4"/>
      <c r="LIX133" s="4"/>
      <c r="LIY133" s="4"/>
      <c r="LIZ133" s="4"/>
      <c r="LJA133" s="4"/>
      <c r="LJB133" s="4"/>
      <c r="LJC133" s="4"/>
      <c r="LJD133" s="4"/>
      <c r="LJE133" s="4"/>
      <c r="LJF133" s="4"/>
      <c r="LJG133" s="4"/>
      <c r="LJH133" s="4"/>
      <c r="LJI133" s="4"/>
      <c r="LJJ133" s="4"/>
      <c r="LJK133" s="4"/>
      <c r="LJL133" s="4"/>
      <c r="LJM133" s="4"/>
      <c r="LJN133" s="4"/>
      <c r="LJO133" s="4"/>
      <c r="LJP133" s="4"/>
      <c r="LJQ133" s="4"/>
      <c r="LJR133" s="4"/>
      <c r="LJS133" s="4"/>
      <c r="LJT133" s="4"/>
      <c r="LJU133" s="4"/>
      <c r="LJV133" s="4"/>
      <c r="LJW133" s="4"/>
      <c r="LJX133" s="4"/>
      <c r="LJY133" s="4"/>
      <c r="LJZ133" s="4"/>
      <c r="LKA133" s="4"/>
      <c r="LKB133" s="4"/>
      <c r="LKC133" s="4"/>
      <c r="LKD133" s="4"/>
      <c r="LKE133" s="4"/>
      <c r="LKF133" s="4"/>
      <c r="LKG133" s="4"/>
      <c r="LKH133" s="4"/>
      <c r="LKI133" s="4"/>
      <c r="LKJ133" s="4"/>
      <c r="LKK133" s="4"/>
      <c r="LKL133" s="4"/>
      <c r="LKM133" s="4"/>
      <c r="LKN133" s="4"/>
      <c r="LKO133" s="4"/>
      <c r="LKP133" s="4"/>
      <c r="LKQ133" s="4"/>
      <c r="LKR133" s="4"/>
      <c r="LKS133" s="4"/>
      <c r="LKT133" s="4"/>
      <c r="LKU133" s="4"/>
      <c r="LKV133" s="4"/>
      <c r="LKW133" s="4"/>
      <c r="LKX133" s="4"/>
      <c r="LKY133" s="4"/>
      <c r="LKZ133" s="4"/>
      <c r="LLA133" s="4"/>
      <c r="LLB133" s="4"/>
      <c r="LLC133" s="4"/>
      <c r="LLD133" s="4"/>
      <c r="LLE133" s="4"/>
      <c r="LLF133" s="4"/>
      <c r="LLG133" s="4"/>
      <c r="LLH133" s="4"/>
      <c r="LLI133" s="4"/>
      <c r="LLJ133" s="4"/>
      <c r="LLK133" s="4"/>
      <c r="LLL133" s="4"/>
      <c r="LLM133" s="4"/>
      <c r="LLN133" s="4"/>
      <c r="LLO133" s="4"/>
      <c r="LLP133" s="4"/>
      <c r="LLQ133" s="4"/>
      <c r="LLR133" s="4"/>
      <c r="LLS133" s="4"/>
      <c r="LLT133" s="4"/>
      <c r="LLU133" s="4"/>
      <c r="LLV133" s="4"/>
      <c r="LLW133" s="4"/>
      <c r="LLX133" s="4"/>
      <c r="LLY133" s="4"/>
      <c r="LLZ133" s="4"/>
      <c r="LMA133" s="4"/>
      <c r="LMB133" s="4"/>
      <c r="LMC133" s="4"/>
      <c r="LMD133" s="4"/>
      <c r="LME133" s="4"/>
      <c r="LMF133" s="4"/>
      <c r="LMG133" s="4"/>
      <c r="LMH133" s="4"/>
      <c r="LMI133" s="4"/>
      <c r="LMJ133" s="4"/>
      <c r="LMK133" s="4"/>
      <c r="LML133" s="4"/>
      <c r="LMM133" s="4"/>
      <c r="LMN133" s="4"/>
      <c r="LMO133" s="4"/>
      <c r="LMP133" s="4"/>
      <c r="LMQ133" s="4"/>
      <c r="LMR133" s="4"/>
      <c r="LMS133" s="4"/>
      <c r="LMT133" s="4"/>
      <c r="LMU133" s="4"/>
      <c r="LMV133" s="4"/>
      <c r="LMW133" s="4"/>
      <c r="LMX133" s="4"/>
      <c r="LMY133" s="4"/>
      <c r="LMZ133" s="4"/>
      <c r="LNA133" s="4"/>
      <c r="LNB133" s="4"/>
      <c r="LNC133" s="4"/>
      <c r="LND133" s="4"/>
      <c r="LNE133" s="4"/>
      <c r="LNF133" s="4"/>
      <c r="LNG133" s="4"/>
      <c r="LNH133" s="4"/>
      <c r="LNI133" s="4"/>
      <c r="LNJ133" s="4"/>
      <c r="LNK133" s="4"/>
      <c r="LNL133" s="4"/>
      <c r="LNM133" s="4"/>
      <c r="LNN133" s="4"/>
      <c r="LNO133" s="4"/>
      <c r="LNP133" s="4"/>
      <c r="LNQ133" s="4"/>
      <c r="LNR133" s="4"/>
      <c r="LNS133" s="4"/>
      <c r="LNT133" s="4"/>
      <c r="LNU133" s="4"/>
      <c r="LNV133" s="4"/>
      <c r="LNW133" s="4"/>
      <c r="LNX133" s="4"/>
      <c r="LNY133" s="4"/>
      <c r="LNZ133" s="4"/>
      <c r="LOA133" s="4"/>
      <c r="LOB133" s="4"/>
      <c r="LOC133" s="4"/>
      <c r="LOD133" s="4"/>
      <c r="LOE133" s="4"/>
      <c r="LOF133" s="4"/>
      <c r="LOG133" s="4"/>
      <c r="LOH133" s="4"/>
      <c r="LOI133" s="4"/>
      <c r="LOJ133" s="4"/>
      <c r="LOK133" s="4"/>
      <c r="LOL133" s="4"/>
      <c r="LOM133" s="4"/>
      <c r="LON133" s="4"/>
      <c r="LOO133" s="4"/>
      <c r="LOP133" s="4"/>
      <c r="LOQ133" s="4"/>
      <c r="LOR133" s="4"/>
      <c r="LOS133" s="4"/>
      <c r="LOT133" s="4"/>
      <c r="LOU133" s="4"/>
      <c r="LOV133" s="4"/>
      <c r="LOW133" s="4"/>
      <c r="LOX133" s="4"/>
      <c r="LOY133" s="4"/>
      <c r="LOZ133" s="4"/>
      <c r="LPA133" s="4"/>
      <c r="LPB133" s="4"/>
      <c r="LPC133" s="4"/>
      <c r="LPD133" s="4"/>
      <c r="LPE133" s="4"/>
      <c r="LPF133" s="4"/>
      <c r="LPG133" s="4"/>
      <c r="LPH133" s="4"/>
      <c r="LPI133" s="4"/>
      <c r="LPJ133" s="4"/>
      <c r="LPK133" s="4"/>
      <c r="LPL133" s="4"/>
      <c r="LPM133" s="4"/>
      <c r="LPN133" s="4"/>
      <c r="LPO133" s="4"/>
      <c r="LPP133" s="4"/>
      <c r="LPQ133" s="4"/>
      <c r="LPR133" s="4"/>
      <c r="LPS133" s="4"/>
      <c r="LPT133" s="4"/>
      <c r="LPU133" s="4"/>
      <c r="LPV133" s="4"/>
      <c r="LPW133" s="4"/>
      <c r="LPX133" s="4"/>
      <c r="LPY133" s="4"/>
      <c r="LPZ133" s="4"/>
      <c r="LQA133" s="4"/>
      <c r="LQB133" s="4"/>
      <c r="LQC133" s="4"/>
      <c r="LQD133" s="4"/>
      <c r="LQE133" s="4"/>
      <c r="LQF133" s="4"/>
      <c r="LQG133" s="4"/>
      <c r="LQH133" s="4"/>
      <c r="LQI133" s="4"/>
      <c r="LQJ133" s="4"/>
      <c r="LQK133" s="4"/>
      <c r="LQL133" s="4"/>
      <c r="LQM133" s="4"/>
      <c r="LQN133" s="4"/>
      <c r="LQO133" s="4"/>
      <c r="LQP133" s="4"/>
      <c r="LQQ133" s="4"/>
      <c r="LQR133" s="4"/>
      <c r="LQS133" s="4"/>
      <c r="LQT133" s="4"/>
      <c r="LQU133" s="4"/>
      <c r="LQV133" s="4"/>
      <c r="LQW133" s="4"/>
      <c r="LQX133" s="4"/>
      <c r="LQY133" s="4"/>
      <c r="LQZ133" s="4"/>
      <c r="LRA133" s="4"/>
      <c r="LRB133" s="4"/>
      <c r="LRC133" s="4"/>
      <c r="LRD133" s="4"/>
      <c r="LRE133" s="4"/>
      <c r="LRF133" s="4"/>
      <c r="LRG133" s="4"/>
      <c r="LRH133" s="4"/>
      <c r="LRI133" s="4"/>
      <c r="LRJ133" s="4"/>
      <c r="LRK133" s="4"/>
      <c r="LRL133" s="4"/>
      <c r="LRM133" s="4"/>
      <c r="LRN133" s="4"/>
      <c r="LRO133" s="4"/>
      <c r="LRP133" s="4"/>
      <c r="LRQ133" s="4"/>
      <c r="LRR133" s="4"/>
      <c r="LRS133" s="4"/>
      <c r="LRT133" s="4"/>
      <c r="LRU133" s="4"/>
      <c r="LRV133" s="4"/>
      <c r="LRW133" s="4"/>
      <c r="LRX133" s="4"/>
      <c r="LRY133" s="4"/>
      <c r="LRZ133" s="4"/>
      <c r="LSA133" s="4"/>
      <c r="LSB133" s="4"/>
      <c r="LSC133" s="4"/>
      <c r="LSD133" s="4"/>
      <c r="LSE133" s="4"/>
      <c r="LSF133" s="4"/>
      <c r="LSG133" s="4"/>
      <c r="LSH133" s="4"/>
      <c r="LSI133" s="4"/>
      <c r="LSJ133" s="4"/>
      <c r="LSK133" s="4"/>
      <c r="LSL133" s="4"/>
      <c r="LSM133" s="4"/>
      <c r="LSN133" s="4"/>
      <c r="LSO133" s="4"/>
      <c r="LSP133" s="4"/>
      <c r="LSQ133" s="4"/>
      <c r="LSR133" s="4"/>
      <c r="LSS133" s="4"/>
      <c r="LST133" s="4"/>
      <c r="LSU133" s="4"/>
      <c r="LSV133" s="4"/>
      <c r="LSW133" s="4"/>
      <c r="LSX133" s="4"/>
      <c r="LSY133" s="4"/>
      <c r="LSZ133" s="4"/>
      <c r="LTA133" s="4"/>
      <c r="LTB133" s="4"/>
      <c r="LTC133" s="4"/>
      <c r="LTD133" s="4"/>
      <c r="LTE133" s="4"/>
      <c r="LTF133" s="4"/>
      <c r="LTG133" s="4"/>
      <c r="LTH133" s="4"/>
      <c r="LTI133" s="4"/>
      <c r="LTJ133" s="4"/>
      <c r="LTK133" s="4"/>
      <c r="LTL133" s="4"/>
      <c r="LTM133" s="4"/>
      <c r="LTN133" s="4"/>
      <c r="LTO133" s="4"/>
      <c r="LTP133" s="4"/>
      <c r="LTQ133" s="4"/>
      <c r="LTR133" s="4"/>
      <c r="LTS133" s="4"/>
      <c r="LTT133" s="4"/>
      <c r="LTU133" s="4"/>
      <c r="LTV133" s="4"/>
      <c r="LTW133" s="4"/>
      <c r="LTX133" s="4"/>
      <c r="LTY133" s="4"/>
      <c r="LTZ133" s="4"/>
      <c r="LUA133" s="4"/>
      <c r="LUB133" s="4"/>
      <c r="LUC133" s="4"/>
      <c r="LUD133" s="4"/>
      <c r="LUE133" s="4"/>
      <c r="LUF133" s="4"/>
      <c r="LUG133" s="4"/>
      <c r="LUH133" s="4"/>
      <c r="LUI133" s="4"/>
      <c r="LUJ133" s="4"/>
      <c r="LUK133" s="4"/>
      <c r="LUL133" s="4"/>
      <c r="LUM133" s="4"/>
      <c r="LUN133" s="4"/>
      <c r="LUO133" s="4"/>
      <c r="LUP133" s="4"/>
      <c r="LUQ133" s="4"/>
      <c r="LUR133" s="4"/>
      <c r="LUS133" s="4"/>
      <c r="LUT133" s="4"/>
      <c r="LUU133" s="4"/>
      <c r="LUV133" s="4"/>
      <c r="LUW133" s="4"/>
      <c r="LUX133" s="4"/>
      <c r="LUY133" s="4"/>
      <c r="LUZ133" s="4"/>
      <c r="LVA133" s="4"/>
      <c r="LVB133" s="4"/>
      <c r="LVC133" s="4"/>
      <c r="LVD133" s="4"/>
      <c r="LVE133" s="4"/>
      <c r="LVF133" s="4"/>
      <c r="LVG133" s="4"/>
      <c r="LVH133" s="4"/>
      <c r="LVI133" s="4"/>
      <c r="LVJ133" s="4"/>
      <c r="LVK133" s="4"/>
      <c r="LVL133" s="4"/>
      <c r="LVM133" s="4"/>
      <c r="LVN133" s="4"/>
      <c r="LVO133" s="4"/>
      <c r="LVP133" s="4"/>
      <c r="LVQ133" s="4"/>
      <c r="LVR133" s="4"/>
      <c r="LVS133" s="4"/>
      <c r="LVT133" s="4"/>
      <c r="LVU133" s="4"/>
      <c r="LVV133" s="4"/>
      <c r="LVW133" s="4"/>
      <c r="LVX133" s="4"/>
      <c r="LVY133" s="4"/>
      <c r="LVZ133" s="4"/>
      <c r="LWA133" s="4"/>
      <c r="LWB133" s="4"/>
      <c r="LWC133" s="4"/>
      <c r="LWD133" s="4"/>
      <c r="LWE133" s="4"/>
      <c r="LWF133" s="4"/>
      <c r="LWG133" s="4"/>
      <c r="LWH133" s="4"/>
      <c r="LWI133" s="4"/>
      <c r="LWJ133" s="4"/>
      <c r="LWK133" s="4"/>
      <c r="LWL133" s="4"/>
      <c r="LWM133" s="4"/>
      <c r="LWN133" s="4"/>
      <c r="LWO133" s="4"/>
      <c r="LWP133" s="4"/>
      <c r="LWQ133" s="4"/>
      <c r="LWR133" s="4"/>
      <c r="LWS133" s="4"/>
      <c r="LWT133" s="4"/>
      <c r="LWU133" s="4"/>
      <c r="LWV133" s="4"/>
      <c r="LWW133" s="4"/>
      <c r="LWX133" s="4"/>
      <c r="LWY133" s="4"/>
      <c r="LWZ133" s="4"/>
      <c r="LXA133" s="4"/>
      <c r="LXB133" s="4"/>
      <c r="LXC133" s="4"/>
      <c r="LXD133" s="4"/>
      <c r="LXE133" s="4"/>
      <c r="LXF133" s="4"/>
      <c r="LXG133" s="4"/>
      <c r="LXH133" s="4"/>
      <c r="LXI133" s="4"/>
      <c r="LXJ133" s="4"/>
      <c r="LXK133" s="4"/>
      <c r="LXL133" s="4"/>
      <c r="LXM133" s="4"/>
      <c r="LXN133" s="4"/>
      <c r="LXO133" s="4"/>
      <c r="LXP133" s="4"/>
      <c r="LXQ133" s="4"/>
      <c r="LXR133" s="4"/>
      <c r="LXS133" s="4"/>
      <c r="LXT133" s="4"/>
      <c r="LXU133" s="4"/>
      <c r="LXV133" s="4"/>
      <c r="LXW133" s="4"/>
      <c r="LXX133" s="4"/>
      <c r="LXY133" s="4"/>
      <c r="LXZ133" s="4"/>
      <c r="LYA133" s="4"/>
      <c r="LYB133" s="4"/>
      <c r="LYC133" s="4"/>
      <c r="LYD133" s="4"/>
      <c r="LYE133" s="4"/>
      <c r="LYF133" s="4"/>
      <c r="LYG133" s="4"/>
      <c r="LYH133" s="4"/>
      <c r="LYI133" s="4"/>
      <c r="LYJ133" s="4"/>
      <c r="LYK133" s="4"/>
      <c r="LYL133" s="4"/>
      <c r="LYM133" s="4"/>
      <c r="LYN133" s="4"/>
      <c r="LYO133" s="4"/>
      <c r="LYP133" s="4"/>
      <c r="LYQ133" s="4"/>
      <c r="LYR133" s="4"/>
      <c r="LYS133" s="4"/>
      <c r="LYT133" s="4"/>
      <c r="LYU133" s="4"/>
      <c r="LYV133" s="4"/>
      <c r="LYW133" s="4"/>
      <c r="LYX133" s="4"/>
      <c r="LYY133" s="4"/>
      <c r="LYZ133" s="4"/>
      <c r="LZA133" s="4"/>
      <c r="LZB133" s="4"/>
      <c r="LZC133" s="4"/>
      <c r="LZD133" s="4"/>
      <c r="LZE133" s="4"/>
      <c r="LZF133" s="4"/>
      <c r="LZG133" s="4"/>
      <c r="LZH133" s="4"/>
      <c r="LZI133" s="4"/>
      <c r="LZJ133" s="4"/>
      <c r="LZK133" s="4"/>
      <c r="LZL133" s="4"/>
      <c r="LZM133" s="4"/>
      <c r="LZN133" s="4"/>
      <c r="LZO133" s="4"/>
      <c r="LZP133" s="4"/>
      <c r="LZQ133" s="4"/>
      <c r="LZR133" s="4"/>
      <c r="LZS133" s="4"/>
      <c r="LZT133" s="4"/>
      <c r="LZU133" s="4"/>
      <c r="LZV133" s="4"/>
      <c r="LZW133" s="4"/>
      <c r="LZX133" s="4"/>
      <c r="LZY133" s="4"/>
      <c r="LZZ133" s="4"/>
      <c r="MAA133" s="4"/>
      <c r="MAB133" s="4"/>
      <c r="MAC133" s="4"/>
      <c r="MAD133" s="4"/>
      <c r="MAE133" s="4"/>
      <c r="MAF133" s="4"/>
      <c r="MAG133" s="4"/>
      <c r="MAH133" s="4"/>
      <c r="MAI133" s="4"/>
      <c r="MAJ133" s="4"/>
      <c r="MAK133" s="4"/>
      <c r="MAL133" s="4"/>
      <c r="MAM133" s="4"/>
      <c r="MAN133" s="4"/>
      <c r="MAO133" s="4"/>
      <c r="MAP133" s="4"/>
      <c r="MAQ133" s="4"/>
      <c r="MAR133" s="4"/>
      <c r="MAS133" s="4"/>
      <c r="MAT133" s="4"/>
      <c r="MAU133" s="4"/>
      <c r="MAV133" s="4"/>
      <c r="MAW133" s="4"/>
      <c r="MAX133" s="4"/>
      <c r="MAY133" s="4"/>
      <c r="MAZ133" s="4"/>
      <c r="MBA133" s="4"/>
      <c r="MBB133" s="4"/>
      <c r="MBC133" s="4"/>
      <c r="MBD133" s="4"/>
      <c r="MBE133" s="4"/>
      <c r="MBF133" s="4"/>
      <c r="MBG133" s="4"/>
      <c r="MBH133" s="4"/>
      <c r="MBI133" s="4"/>
      <c r="MBJ133" s="4"/>
      <c r="MBK133" s="4"/>
      <c r="MBL133" s="4"/>
      <c r="MBM133" s="4"/>
      <c r="MBN133" s="4"/>
      <c r="MBO133" s="4"/>
      <c r="MBP133" s="4"/>
      <c r="MBQ133" s="4"/>
      <c r="MBR133" s="4"/>
      <c r="MBS133" s="4"/>
      <c r="MBT133" s="4"/>
      <c r="MBU133" s="4"/>
      <c r="MBV133" s="4"/>
      <c r="MBW133" s="4"/>
      <c r="MBX133" s="4"/>
      <c r="MBY133" s="4"/>
      <c r="MBZ133" s="4"/>
      <c r="MCA133" s="4"/>
      <c r="MCB133" s="4"/>
      <c r="MCC133" s="4"/>
      <c r="MCD133" s="4"/>
      <c r="MCE133" s="4"/>
      <c r="MCF133" s="4"/>
      <c r="MCG133" s="4"/>
      <c r="MCH133" s="4"/>
      <c r="MCI133" s="4"/>
      <c r="MCJ133" s="4"/>
      <c r="MCK133" s="4"/>
      <c r="MCL133" s="4"/>
      <c r="MCM133" s="4"/>
      <c r="MCN133" s="4"/>
      <c r="MCO133" s="4"/>
      <c r="MCP133" s="4"/>
      <c r="MCQ133" s="4"/>
      <c r="MCR133" s="4"/>
      <c r="MCS133" s="4"/>
      <c r="MCT133" s="4"/>
      <c r="MCU133" s="4"/>
      <c r="MCV133" s="4"/>
      <c r="MCW133" s="4"/>
      <c r="MCX133" s="4"/>
      <c r="MCY133" s="4"/>
      <c r="MCZ133" s="4"/>
      <c r="MDA133" s="4"/>
      <c r="MDB133" s="4"/>
      <c r="MDC133" s="4"/>
      <c r="MDD133" s="4"/>
      <c r="MDE133" s="4"/>
      <c r="MDF133" s="4"/>
      <c r="MDG133" s="4"/>
      <c r="MDH133" s="4"/>
      <c r="MDI133" s="4"/>
      <c r="MDJ133" s="4"/>
      <c r="MDK133" s="4"/>
      <c r="MDL133" s="4"/>
      <c r="MDM133" s="4"/>
      <c r="MDN133" s="4"/>
      <c r="MDO133" s="4"/>
      <c r="MDP133" s="4"/>
      <c r="MDQ133" s="4"/>
      <c r="MDR133" s="4"/>
      <c r="MDS133" s="4"/>
      <c r="MDT133" s="4"/>
      <c r="MDU133" s="4"/>
      <c r="MDV133" s="4"/>
      <c r="MDW133" s="4"/>
      <c r="MDX133" s="4"/>
      <c r="MDY133" s="4"/>
      <c r="MDZ133" s="4"/>
      <c r="MEA133" s="4"/>
      <c r="MEB133" s="4"/>
      <c r="MEC133" s="4"/>
      <c r="MED133" s="4"/>
      <c r="MEE133" s="4"/>
      <c r="MEF133" s="4"/>
      <c r="MEG133" s="4"/>
      <c r="MEH133" s="4"/>
      <c r="MEI133" s="4"/>
      <c r="MEJ133" s="4"/>
      <c r="MEK133" s="4"/>
      <c r="MEL133" s="4"/>
      <c r="MEM133" s="4"/>
      <c r="MEN133" s="4"/>
      <c r="MEO133" s="4"/>
      <c r="MEP133" s="4"/>
      <c r="MEQ133" s="4"/>
      <c r="MER133" s="4"/>
      <c r="MES133" s="4"/>
      <c r="MET133" s="4"/>
      <c r="MEU133" s="4"/>
      <c r="MEV133" s="4"/>
      <c r="MEW133" s="4"/>
      <c r="MEX133" s="4"/>
      <c r="MEY133" s="4"/>
      <c r="MEZ133" s="4"/>
      <c r="MFA133" s="4"/>
      <c r="MFB133" s="4"/>
      <c r="MFC133" s="4"/>
      <c r="MFD133" s="4"/>
      <c r="MFE133" s="4"/>
      <c r="MFF133" s="4"/>
      <c r="MFG133" s="4"/>
      <c r="MFH133" s="4"/>
      <c r="MFI133" s="4"/>
      <c r="MFJ133" s="4"/>
      <c r="MFK133" s="4"/>
      <c r="MFL133" s="4"/>
      <c r="MFM133" s="4"/>
      <c r="MFN133" s="4"/>
      <c r="MFO133" s="4"/>
      <c r="MFP133" s="4"/>
      <c r="MFQ133" s="4"/>
      <c r="MFR133" s="4"/>
      <c r="MFS133" s="4"/>
      <c r="MFT133" s="4"/>
      <c r="MFU133" s="4"/>
      <c r="MFV133" s="4"/>
      <c r="MFW133" s="4"/>
      <c r="MFX133" s="4"/>
      <c r="MFY133" s="4"/>
      <c r="MFZ133" s="4"/>
      <c r="MGA133" s="4"/>
      <c r="MGB133" s="4"/>
      <c r="MGC133" s="4"/>
      <c r="MGD133" s="4"/>
      <c r="MGE133" s="4"/>
      <c r="MGF133" s="4"/>
      <c r="MGG133" s="4"/>
      <c r="MGH133" s="4"/>
      <c r="MGI133" s="4"/>
      <c r="MGJ133" s="4"/>
      <c r="MGK133" s="4"/>
      <c r="MGL133" s="4"/>
      <c r="MGM133" s="4"/>
      <c r="MGN133" s="4"/>
      <c r="MGO133" s="4"/>
      <c r="MGP133" s="4"/>
      <c r="MGQ133" s="4"/>
      <c r="MGR133" s="4"/>
      <c r="MGS133" s="4"/>
      <c r="MGT133" s="4"/>
      <c r="MGU133" s="4"/>
      <c r="MGV133" s="4"/>
      <c r="MGW133" s="4"/>
      <c r="MGX133" s="4"/>
      <c r="MGY133" s="4"/>
      <c r="MGZ133" s="4"/>
      <c r="MHA133" s="4"/>
      <c r="MHB133" s="4"/>
      <c r="MHC133" s="4"/>
      <c r="MHD133" s="4"/>
      <c r="MHE133" s="4"/>
      <c r="MHF133" s="4"/>
      <c r="MHG133" s="4"/>
      <c r="MHH133" s="4"/>
      <c r="MHI133" s="4"/>
      <c r="MHJ133" s="4"/>
      <c r="MHK133" s="4"/>
      <c r="MHL133" s="4"/>
      <c r="MHM133" s="4"/>
      <c r="MHN133" s="4"/>
      <c r="MHO133" s="4"/>
      <c r="MHP133" s="4"/>
      <c r="MHQ133" s="4"/>
      <c r="MHR133" s="4"/>
      <c r="MHS133" s="4"/>
      <c r="MHT133" s="4"/>
      <c r="MHU133" s="4"/>
      <c r="MHV133" s="4"/>
      <c r="MHW133" s="4"/>
      <c r="MHX133" s="4"/>
      <c r="MHY133" s="4"/>
      <c r="MHZ133" s="4"/>
      <c r="MIA133" s="4"/>
      <c r="MIB133" s="4"/>
      <c r="MIC133" s="4"/>
      <c r="MID133" s="4"/>
      <c r="MIE133" s="4"/>
      <c r="MIF133" s="4"/>
      <c r="MIG133" s="4"/>
      <c r="MIH133" s="4"/>
      <c r="MII133" s="4"/>
      <c r="MIJ133" s="4"/>
      <c r="MIK133" s="4"/>
      <c r="MIL133" s="4"/>
      <c r="MIM133" s="4"/>
      <c r="MIN133" s="4"/>
      <c r="MIO133" s="4"/>
      <c r="MIP133" s="4"/>
      <c r="MIQ133" s="4"/>
      <c r="MIR133" s="4"/>
      <c r="MIS133" s="4"/>
      <c r="MIT133" s="4"/>
      <c r="MIU133" s="4"/>
      <c r="MIV133" s="4"/>
      <c r="MIW133" s="4"/>
      <c r="MIX133" s="4"/>
      <c r="MIY133" s="4"/>
      <c r="MIZ133" s="4"/>
      <c r="MJA133" s="4"/>
      <c r="MJB133" s="4"/>
      <c r="MJC133" s="4"/>
      <c r="MJD133" s="4"/>
      <c r="MJE133" s="4"/>
      <c r="MJF133" s="4"/>
      <c r="MJG133" s="4"/>
      <c r="MJH133" s="4"/>
      <c r="MJI133" s="4"/>
      <c r="MJJ133" s="4"/>
      <c r="MJK133" s="4"/>
      <c r="MJL133" s="4"/>
      <c r="MJM133" s="4"/>
      <c r="MJN133" s="4"/>
      <c r="MJO133" s="4"/>
      <c r="MJP133" s="4"/>
      <c r="MJQ133" s="4"/>
      <c r="MJR133" s="4"/>
      <c r="MJS133" s="4"/>
      <c r="MJT133" s="4"/>
      <c r="MJU133" s="4"/>
      <c r="MJV133" s="4"/>
      <c r="MJW133" s="4"/>
      <c r="MJX133" s="4"/>
      <c r="MJY133" s="4"/>
      <c r="MJZ133" s="4"/>
      <c r="MKA133" s="4"/>
      <c r="MKB133" s="4"/>
      <c r="MKC133" s="4"/>
      <c r="MKD133" s="4"/>
      <c r="MKE133" s="4"/>
      <c r="MKF133" s="4"/>
      <c r="MKG133" s="4"/>
      <c r="MKH133" s="4"/>
      <c r="MKI133" s="4"/>
      <c r="MKJ133" s="4"/>
      <c r="MKK133" s="4"/>
      <c r="MKL133" s="4"/>
      <c r="MKM133" s="4"/>
      <c r="MKN133" s="4"/>
      <c r="MKO133" s="4"/>
      <c r="MKP133" s="4"/>
      <c r="MKQ133" s="4"/>
      <c r="MKR133" s="4"/>
      <c r="MKS133" s="4"/>
      <c r="MKT133" s="4"/>
      <c r="MKU133" s="4"/>
      <c r="MKV133" s="4"/>
      <c r="MKW133" s="4"/>
      <c r="MKX133" s="4"/>
      <c r="MKY133" s="4"/>
      <c r="MKZ133" s="4"/>
      <c r="MLA133" s="4"/>
      <c r="MLB133" s="4"/>
      <c r="MLC133" s="4"/>
      <c r="MLD133" s="4"/>
      <c r="MLE133" s="4"/>
      <c r="MLF133" s="4"/>
      <c r="MLG133" s="4"/>
      <c r="MLH133" s="4"/>
      <c r="MLI133" s="4"/>
      <c r="MLJ133" s="4"/>
      <c r="MLK133" s="4"/>
      <c r="MLL133" s="4"/>
      <c r="MLM133" s="4"/>
      <c r="MLN133" s="4"/>
      <c r="MLO133" s="4"/>
      <c r="MLP133" s="4"/>
      <c r="MLQ133" s="4"/>
      <c r="MLR133" s="4"/>
      <c r="MLS133" s="4"/>
      <c r="MLT133" s="4"/>
      <c r="MLU133" s="4"/>
      <c r="MLV133" s="4"/>
      <c r="MLW133" s="4"/>
      <c r="MLX133" s="4"/>
      <c r="MLY133" s="4"/>
      <c r="MLZ133" s="4"/>
      <c r="MMA133" s="4"/>
      <c r="MMB133" s="4"/>
      <c r="MMC133" s="4"/>
      <c r="MMD133" s="4"/>
      <c r="MME133" s="4"/>
      <c r="MMF133" s="4"/>
      <c r="MMG133" s="4"/>
      <c r="MMH133" s="4"/>
      <c r="MMI133" s="4"/>
      <c r="MMJ133" s="4"/>
      <c r="MMK133" s="4"/>
      <c r="MML133" s="4"/>
      <c r="MMM133" s="4"/>
      <c r="MMN133" s="4"/>
      <c r="MMO133" s="4"/>
      <c r="MMP133" s="4"/>
      <c r="MMQ133" s="4"/>
      <c r="MMR133" s="4"/>
      <c r="MMS133" s="4"/>
      <c r="MMT133" s="4"/>
      <c r="MMU133" s="4"/>
      <c r="MMV133" s="4"/>
      <c r="MMW133" s="4"/>
      <c r="MMX133" s="4"/>
      <c r="MMY133" s="4"/>
      <c r="MMZ133" s="4"/>
      <c r="MNA133" s="4"/>
      <c r="MNB133" s="4"/>
      <c r="MNC133" s="4"/>
      <c r="MND133" s="4"/>
      <c r="MNE133" s="4"/>
      <c r="MNF133" s="4"/>
      <c r="MNG133" s="4"/>
      <c r="MNH133" s="4"/>
      <c r="MNI133" s="4"/>
      <c r="MNJ133" s="4"/>
      <c r="MNK133" s="4"/>
      <c r="MNL133" s="4"/>
      <c r="MNM133" s="4"/>
      <c r="MNN133" s="4"/>
      <c r="MNO133" s="4"/>
      <c r="MNP133" s="4"/>
      <c r="MNQ133" s="4"/>
      <c r="MNR133" s="4"/>
      <c r="MNS133" s="4"/>
      <c r="MNT133" s="4"/>
      <c r="MNU133" s="4"/>
      <c r="MNV133" s="4"/>
      <c r="MNW133" s="4"/>
      <c r="MNX133" s="4"/>
      <c r="MNY133" s="4"/>
      <c r="MNZ133" s="4"/>
      <c r="MOA133" s="4"/>
      <c r="MOB133" s="4"/>
      <c r="MOC133" s="4"/>
      <c r="MOD133" s="4"/>
      <c r="MOE133" s="4"/>
      <c r="MOF133" s="4"/>
      <c r="MOG133" s="4"/>
      <c r="MOH133" s="4"/>
      <c r="MOI133" s="4"/>
      <c r="MOJ133" s="4"/>
      <c r="MOK133" s="4"/>
      <c r="MOL133" s="4"/>
      <c r="MOM133" s="4"/>
      <c r="MON133" s="4"/>
      <c r="MOO133" s="4"/>
      <c r="MOP133" s="4"/>
      <c r="MOQ133" s="4"/>
      <c r="MOR133" s="4"/>
      <c r="MOS133" s="4"/>
      <c r="MOT133" s="4"/>
      <c r="MOU133" s="4"/>
      <c r="MOV133" s="4"/>
      <c r="MOW133" s="4"/>
      <c r="MOX133" s="4"/>
      <c r="MOY133" s="4"/>
      <c r="MOZ133" s="4"/>
      <c r="MPA133" s="4"/>
      <c r="MPB133" s="4"/>
      <c r="MPC133" s="4"/>
      <c r="MPD133" s="4"/>
      <c r="MPE133" s="4"/>
      <c r="MPF133" s="4"/>
      <c r="MPG133" s="4"/>
      <c r="MPH133" s="4"/>
      <c r="MPI133" s="4"/>
      <c r="MPJ133" s="4"/>
      <c r="MPK133" s="4"/>
      <c r="MPL133" s="4"/>
      <c r="MPM133" s="4"/>
      <c r="MPN133" s="4"/>
      <c r="MPO133" s="4"/>
      <c r="MPP133" s="4"/>
      <c r="MPQ133" s="4"/>
      <c r="MPR133" s="4"/>
      <c r="MPS133" s="4"/>
      <c r="MPT133" s="4"/>
      <c r="MPU133" s="4"/>
      <c r="MPV133" s="4"/>
      <c r="MPW133" s="4"/>
      <c r="MPX133" s="4"/>
      <c r="MPY133" s="4"/>
      <c r="MPZ133" s="4"/>
      <c r="MQA133" s="4"/>
      <c r="MQB133" s="4"/>
      <c r="MQC133" s="4"/>
      <c r="MQD133" s="4"/>
      <c r="MQE133" s="4"/>
      <c r="MQF133" s="4"/>
      <c r="MQG133" s="4"/>
      <c r="MQH133" s="4"/>
      <c r="MQI133" s="4"/>
      <c r="MQJ133" s="4"/>
      <c r="MQK133" s="4"/>
      <c r="MQL133" s="4"/>
      <c r="MQM133" s="4"/>
      <c r="MQN133" s="4"/>
      <c r="MQO133" s="4"/>
      <c r="MQP133" s="4"/>
      <c r="MQQ133" s="4"/>
      <c r="MQR133" s="4"/>
      <c r="MQS133" s="4"/>
      <c r="MQT133" s="4"/>
      <c r="MQU133" s="4"/>
      <c r="MQV133" s="4"/>
      <c r="MQW133" s="4"/>
      <c r="MQX133" s="4"/>
      <c r="MQY133" s="4"/>
      <c r="MQZ133" s="4"/>
      <c r="MRA133" s="4"/>
      <c r="MRB133" s="4"/>
      <c r="MRC133" s="4"/>
      <c r="MRD133" s="4"/>
      <c r="MRE133" s="4"/>
      <c r="MRF133" s="4"/>
      <c r="MRG133" s="4"/>
      <c r="MRH133" s="4"/>
      <c r="MRI133" s="4"/>
      <c r="MRJ133" s="4"/>
      <c r="MRK133" s="4"/>
      <c r="MRL133" s="4"/>
      <c r="MRM133" s="4"/>
      <c r="MRN133" s="4"/>
      <c r="MRO133" s="4"/>
      <c r="MRP133" s="4"/>
      <c r="MRQ133" s="4"/>
      <c r="MRR133" s="4"/>
      <c r="MRS133" s="4"/>
      <c r="MRT133" s="4"/>
      <c r="MRU133" s="4"/>
      <c r="MRV133" s="4"/>
      <c r="MRW133" s="4"/>
      <c r="MRX133" s="4"/>
      <c r="MRY133" s="4"/>
      <c r="MRZ133" s="4"/>
      <c r="MSA133" s="4"/>
      <c r="MSB133" s="4"/>
      <c r="MSC133" s="4"/>
      <c r="MSD133" s="4"/>
      <c r="MSE133" s="4"/>
      <c r="MSF133" s="4"/>
      <c r="MSG133" s="4"/>
      <c r="MSH133" s="4"/>
      <c r="MSI133" s="4"/>
      <c r="MSJ133" s="4"/>
      <c r="MSK133" s="4"/>
      <c r="MSL133" s="4"/>
      <c r="MSM133" s="4"/>
      <c r="MSN133" s="4"/>
      <c r="MSO133" s="4"/>
      <c r="MSP133" s="4"/>
      <c r="MSQ133" s="4"/>
      <c r="MSR133" s="4"/>
      <c r="MSS133" s="4"/>
      <c r="MST133" s="4"/>
      <c r="MSU133" s="4"/>
      <c r="MSV133" s="4"/>
      <c r="MSW133" s="4"/>
      <c r="MSX133" s="4"/>
      <c r="MSY133" s="4"/>
      <c r="MSZ133" s="4"/>
      <c r="MTA133" s="4"/>
      <c r="MTB133" s="4"/>
      <c r="MTC133" s="4"/>
      <c r="MTD133" s="4"/>
      <c r="MTE133" s="4"/>
      <c r="MTF133" s="4"/>
      <c r="MTG133" s="4"/>
      <c r="MTH133" s="4"/>
      <c r="MTI133" s="4"/>
      <c r="MTJ133" s="4"/>
      <c r="MTK133" s="4"/>
      <c r="MTL133" s="4"/>
      <c r="MTM133" s="4"/>
      <c r="MTN133" s="4"/>
      <c r="MTO133" s="4"/>
      <c r="MTP133" s="4"/>
      <c r="MTQ133" s="4"/>
      <c r="MTR133" s="4"/>
      <c r="MTS133" s="4"/>
      <c r="MTT133" s="4"/>
      <c r="MTU133" s="4"/>
      <c r="MTV133" s="4"/>
      <c r="MTW133" s="4"/>
      <c r="MTX133" s="4"/>
      <c r="MTY133" s="4"/>
      <c r="MTZ133" s="4"/>
      <c r="MUA133" s="4"/>
      <c r="MUB133" s="4"/>
      <c r="MUC133" s="4"/>
      <c r="MUD133" s="4"/>
      <c r="MUE133" s="4"/>
      <c r="MUF133" s="4"/>
      <c r="MUG133" s="4"/>
      <c r="MUH133" s="4"/>
      <c r="MUI133" s="4"/>
      <c r="MUJ133" s="4"/>
      <c r="MUK133" s="4"/>
      <c r="MUL133" s="4"/>
      <c r="MUM133" s="4"/>
      <c r="MUN133" s="4"/>
      <c r="MUO133" s="4"/>
      <c r="MUP133" s="4"/>
      <c r="MUQ133" s="4"/>
      <c r="MUR133" s="4"/>
      <c r="MUS133" s="4"/>
      <c r="MUT133" s="4"/>
      <c r="MUU133" s="4"/>
      <c r="MUV133" s="4"/>
      <c r="MUW133" s="4"/>
      <c r="MUX133" s="4"/>
      <c r="MUY133" s="4"/>
      <c r="MUZ133" s="4"/>
      <c r="MVA133" s="4"/>
      <c r="MVB133" s="4"/>
      <c r="MVC133" s="4"/>
      <c r="MVD133" s="4"/>
      <c r="MVE133" s="4"/>
      <c r="MVF133" s="4"/>
      <c r="MVG133" s="4"/>
      <c r="MVH133" s="4"/>
      <c r="MVI133" s="4"/>
      <c r="MVJ133" s="4"/>
      <c r="MVK133" s="4"/>
      <c r="MVL133" s="4"/>
      <c r="MVM133" s="4"/>
      <c r="MVN133" s="4"/>
      <c r="MVO133" s="4"/>
      <c r="MVP133" s="4"/>
      <c r="MVQ133" s="4"/>
      <c r="MVR133" s="4"/>
      <c r="MVS133" s="4"/>
      <c r="MVT133" s="4"/>
      <c r="MVU133" s="4"/>
      <c r="MVV133" s="4"/>
      <c r="MVW133" s="4"/>
      <c r="MVX133" s="4"/>
      <c r="MVY133" s="4"/>
      <c r="MVZ133" s="4"/>
      <c r="MWA133" s="4"/>
      <c r="MWB133" s="4"/>
      <c r="MWC133" s="4"/>
      <c r="MWD133" s="4"/>
      <c r="MWE133" s="4"/>
      <c r="MWF133" s="4"/>
      <c r="MWG133" s="4"/>
      <c r="MWH133" s="4"/>
      <c r="MWI133" s="4"/>
      <c r="MWJ133" s="4"/>
      <c r="MWK133" s="4"/>
      <c r="MWL133" s="4"/>
      <c r="MWM133" s="4"/>
      <c r="MWN133" s="4"/>
      <c r="MWO133" s="4"/>
      <c r="MWP133" s="4"/>
      <c r="MWQ133" s="4"/>
      <c r="MWR133" s="4"/>
      <c r="MWS133" s="4"/>
      <c r="MWT133" s="4"/>
      <c r="MWU133" s="4"/>
      <c r="MWV133" s="4"/>
      <c r="MWW133" s="4"/>
      <c r="MWX133" s="4"/>
      <c r="MWY133" s="4"/>
      <c r="MWZ133" s="4"/>
      <c r="MXA133" s="4"/>
      <c r="MXB133" s="4"/>
      <c r="MXC133" s="4"/>
      <c r="MXD133" s="4"/>
      <c r="MXE133" s="4"/>
      <c r="MXF133" s="4"/>
      <c r="MXG133" s="4"/>
      <c r="MXH133" s="4"/>
      <c r="MXI133" s="4"/>
      <c r="MXJ133" s="4"/>
      <c r="MXK133" s="4"/>
      <c r="MXL133" s="4"/>
      <c r="MXM133" s="4"/>
      <c r="MXN133" s="4"/>
      <c r="MXO133" s="4"/>
      <c r="MXP133" s="4"/>
      <c r="MXQ133" s="4"/>
      <c r="MXR133" s="4"/>
      <c r="MXS133" s="4"/>
      <c r="MXT133" s="4"/>
      <c r="MXU133" s="4"/>
      <c r="MXV133" s="4"/>
      <c r="MXW133" s="4"/>
      <c r="MXX133" s="4"/>
      <c r="MXY133" s="4"/>
      <c r="MXZ133" s="4"/>
      <c r="MYA133" s="4"/>
      <c r="MYB133" s="4"/>
      <c r="MYC133" s="4"/>
      <c r="MYD133" s="4"/>
      <c r="MYE133" s="4"/>
      <c r="MYF133" s="4"/>
      <c r="MYG133" s="4"/>
      <c r="MYH133" s="4"/>
      <c r="MYI133" s="4"/>
      <c r="MYJ133" s="4"/>
      <c r="MYK133" s="4"/>
      <c r="MYL133" s="4"/>
      <c r="MYM133" s="4"/>
      <c r="MYN133" s="4"/>
      <c r="MYO133" s="4"/>
      <c r="MYP133" s="4"/>
      <c r="MYQ133" s="4"/>
      <c r="MYR133" s="4"/>
      <c r="MYS133" s="4"/>
      <c r="MYT133" s="4"/>
      <c r="MYU133" s="4"/>
      <c r="MYV133" s="4"/>
      <c r="MYW133" s="4"/>
      <c r="MYX133" s="4"/>
      <c r="MYY133" s="4"/>
      <c r="MYZ133" s="4"/>
      <c r="MZA133" s="4"/>
      <c r="MZB133" s="4"/>
      <c r="MZC133" s="4"/>
      <c r="MZD133" s="4"/>
      <c r="MZE133" s="4"/>
      <c r="MZF133" s="4"/>
      <c r="MZG133" s="4"/>
      <c r="MZH133" s="4"/>
      <c r="MZI133" s="4"/>
      <c r="MZJ133" s="4"/>
      <c r="MZK133" s="4"/>
      <c r="MZL133" s="4"/>
      <c r="MZM133" s="4"/>
      <c r="MZN133" s="4"/>
      <c r="MZO133" s="4"/>
      <c r="MZP133" s="4"/>
      <c r="MZQ133" s="4"/>
      <c r="MZR133" s="4"/>
      <c r="MZS133" s="4"/>
      <c r="MZT133" s="4"/>
      <c r="MZU133" s="4"/>
      <c r="MZV133" s="4"/>
      <c r="MZW133" s="4"/>
      <c r="MZX133" s="4"/>
      <c r="MZY133" s="4"/>
      <c r="MZZ133" s="4"/>
      <c r="NAA133" s="4"/>
      <c r="NAB133" s="4"/>
      <c r="NAC133" s="4"/>
      <c r="NAD133" s="4"/>
      <c r="NAE133" s="4"/>
      <c r="NAF133" s="4"/>
      <c r="NAG133" s="4"/>
      <c r="NAH133" s="4"/>
      <c r="NAI133" s="4"/>
      <c r="NAJ133" s="4"/>
      <c r="NAK133" s="4"/>
      <c r="NAL133" s="4"/>
      <c r="NAM133" s="4"/>
      <c r="NAN133" s="4"/>
      <c r="NAO133" s="4"/>
      <c r="NAP133" s="4"/>
      <c r="NAQ133" s="4"/>
      <c r="NAR133" s="4"/>
      <c r="NAS133" s="4"/>
      <c r="NAT133" s="4"/>
      <c r="NAU133" s="4"/>
      <c r="NAV133" s="4"/>
      <c r="NAW133" s="4"/>
      <c r="NAX133" s="4"/>
      <c r="NAY133" s="4"/>
      <c r="NAZ133" s="4"/>
      <c r="NBA133" s="4"/>
      <c r="NBB133" s="4"/>
      <c r="NBC133" s="4"/>
      <c r="NBD133" s="4"/>
      <c r="NBE133" s="4"/>
      <c r="NBF133" s="4"/>
      <c r="NBG133" s="4"/>
      <c r="NBH133" s="4"/>
      <c r="NBI133" s="4"/>
      <c r="NBJ133" s="4"/>
      <c r="NBK133" s="4"/>
      <c r="NBL133" s="4"/>
      <c r="NBM133" s="4"/>
      <c r="NBN133" s="4"/>
      <c r="NBO133" s="4"/>
      <c r="NBP133" s="4"/>
      <c r="NBQ133" s="4"/>
      <c r="NBR133" s="4"/>
      <c r="NBS133" s="4"/>
      <c r="NBT133" s="4"/>
      <c r="NBU133" s="4"/>
      <c r="NBV133" s="4"/>
      <c r="NBW133" s="4"/>
      <c r="NBX133" s="4"/>
      <c r="NBY133" s="4"/>
      <c r="NBZ133" s="4"/>
      <c r="NCA133" s="4"/>
      <c r="NCB133" s="4"/>
      <c r="NCC133" s="4"/>
      <c r="NCD133" s="4"/>
      <c r="NCE133" s="4"/>
      <c r="NCF133" s="4"/>
      <c r="NCG133" s="4"/>
      <c r="NCH133" s="4"/>
      <c r="NCI133" s="4"/>
      <c r="NCJ133" s="4"/>
      <c r="NCK133" s="4"/>
      <c r="NCL133" s="4"/>
      <c r="NCM133" s="4"/>
      <c r="NCN133" s="4"/>
      <c r="NCO133" s="4"/>
      <c r="NCP133" s="4"/>
      <c r="NCQ133" s="4"/>
      <c r="NCR133" s="4"/>
      <c r="NCS133" s="4"/>
      <c r="NCT133" s="4"/>
      <c r="NCU133" s="4"/>
      <c r="NCV133" s="4"/>
      <c r="NCW133" s="4"/>
      <c r="NCX133" s="4"/>
      <c r="NCY133" s="4"/>
      <c r="NCZ133" s="4"/>
      <c r="NDA133" s="4"/>
      <c r="NDB133" s="4"/>
      <c r="NDC133" s="4"/>
      <c r="NDD133" s="4"/>
      <c r="NDE133" s="4"/>
      <c r="NDF133" s="4"/>
      <c r="NDG133" s="4"/>
      <c r="NDH133" s="4"/>
      <c r="NDI133" s="4"/>
      <c r="NDJ133" s="4"/>
      <c r="NDK133" s="4"/>
      <c r="NDL133" s="4"/>
      <c r="NDM133" s="4"/>
      <c r="NDN133" s="4"/>
      <c r="NDO133" s="4"/>
      <c r="NDP133" s="4"/>
      <c r="NDQ133" s="4"/>
      <c r="NDR133" s="4"/>
      <c r="NDS133" s="4"/>
      <c r="NDT133" s="4"/>
      <c r="NDU133" s="4"/>
      <c r="NDV133" s="4"/>
      <c r="NDW133" s="4"/>
      <c r="NDX133" s="4"/>
      <c r="NDY133" s="4"/>
      <c r="NDZ133" s="4"/>
      <c r="NEA133" s="4"/>
      <c r="NEB133" s="4"/>
      <c r="NEC133" s="4"/>
      <c r="NED133" s="4"/>
      <c r="NEE133" s="4"/>
      <c r="NEF133" s="4"/>
      <c r="NEG133" s="4"/>
      <c r="NEH133" s="4"/>
      <c r="NEI133" s="4"/>
      <c r="NEJ133" s="4"/>
      <c r="NEK133" s="4"/>
      <c r="NEL133" s="4"/>
      <c r="NEM133" s="4"/>
      <c r="NEN133" s="4"/>
      <c r="NEO133" s="4"/>
      <c r="NEP133" s="4"/>
      <c r="NEQ133" s="4"/>
      <c r="NER133" s="4"/>
      <c r="NES133" s="4"/>
      <c r="NET133" s="4"/>
      <c r="NEU133" s="4"/>
      <c r="NEV133" s="4"/>
      <c r="NEW133" s="4"/>
      <c r="NEX133" s="4"/>
      <c r="NEY133" s="4"/>
      <c r="NEZ133" s="4"/>
      <c r="NFA133" s="4"/>
      <c r="NFB133" s="4"/>
      <c r="NFC133" s="4"/>
      <c r="NFD133" s="4"/>
      <c r="NFE133" s="4"/>
      <c r="NFF133" s="4"/>
      <c r="NFG133" s="4"/>
      <c r="NFH133" s="4"/>
      <c r="NFI133" s="4"/>
      <c r="NFJ133" s="4"/>
      <c r="NFK133" s="4"/>
      <c r="NFL133" s="4"/>
      <c r="NFM133" s="4"/>
      <c r="NFN133" s="4"/>
      <c r="NFO133" s="4"/>
      <c r="NFP133" s="4"/>
      <c r="NFQ133" s="4"/>
      <c r="NFR133" s="4"/>
      <c r="NFS133" s="4"/>
      <c r="NFT133" s="4"/>
      <c r="NFU133" s="4"/>
      <c r="NFV133" s="4"/>
      <c r="NFW133" s="4"/>
      <c r="NFX133" s="4"/>
      <c r="NFY133" s="4"/>
      <c r="NFZ133" s="4"/>
      <c r="NGA133" s="4"/>
      <c r="NGB133" s="4"/>
      <c r="NGC133" s="4"/>
      <c r="NGD133" s="4"/>
      <c r="NGE133" s="4"/>
      <c r="NGF133" s="4"/>
      <c r="NGG133" s="4"/>
      <c r="NGH133" s="4"/>
      <c r="NGI133" s="4"/>
      <c r="NGJ133" s="4"/>
      <c r="NGK133" s="4"/>
      <c r="NGL133" s="4"/>
      <c r="NGM133" s="4"/>
      <c r="NGN133" s="4"/>
      <c r="NGO133" s="4"/>
      <c r="NGP133" s="4"/>
      <c r="NGQ133" s="4"/>
      <c r="NGR133" s="4"/>
      <c r="NGS133" s="4"/>
      <c r="NGT133" s="4"/>
      <c r="NGU133" s="4"/>
      <c r="NGV133" s="4"/>
      <c r="NGW133" s="4"/>
      <c r="NGX133" s="4"/>
      <c r="NGY133" s="4"/>
      <c r="NGZ133" s="4"/>
      <c r="NHA133" s="4"/>
      <c r="NHB133" s="4"/>
      <c r="NHC133" s="4"/>
      <c r="NHD133" s="4"/>
      <c r="NHE133" s="4"/>
      <c r="NHF133" s="4"/>
      <c r="NHG133" s="4"/>
      <c r="NHH133" s="4"/>
      <c r="NHI133" s="4"/>
      <c r="NHJ133" s="4"/>
      <c r="NHK133" s="4"/>
      <c r="NHL133" s="4"/>
      <c r="NHM133" s="4"/>
      <c r="NHN133" s="4"/>
      <c r="NHO133" s="4"/>
      <c r="NHP133" s="4"/>
      <c r="NHQ133" s="4"/>
      <c r="NHR133" s="4"/>
      <c r="NHS133" s="4"/>
      <c r="NHT133" s="4"/>
      <c r="NHU133" s="4"/>
      <c r="NHV133" s="4"/>
      <c r="NHW133" s="4"/>
      <c r="NHX133" s="4"/>
      <c r="NHY133" s="4"/>
      <c r="NHZ133" s="4"/>
      <c r="NIA133" s="4"/>
      <c r="NIB133" s="4"/>
      <c r="NIC133" s="4"/>
      <c r="NID133" s="4"/>
      <c r="NIE133" s="4"/>
      <c r="NIF133" s="4"/>
      <c r="NIG133" s="4"/>
      <c r="NIH133" s="4"/>
      <c r="NII133" s="4"/>
      <c r="NIJ133" s="4"/>
      <c r="NIK133" s="4"/>
      <c r="NIL133" s="4"/>
      <c r="NIM133" s="4"/>
      <c r="NIN133" s="4"/>
      <c r="NIO133" s="4"/>
      <c r="NIP133" s="4"/>
      <c r="NIQ133" s="4"/>
      <c r="NIR133" s="4"/>
      <c r="NIS133" s="4"/>
      <c r="NIT133" s="4"/>
      <c r="NIU133" s="4"/>
      <c r="NIV133" s="4"/>
      <c r="NIW133" s="4"/>
      <c r="NIX133" s="4"/>
      <c r="NIY133" s="4"/>
      <c r="NIZ133" s="4"/>
      <c r="NJA133" s="4"/>
      <c r="NJB133" s="4"/>
      <c r="NJC133" s="4"/>
      <c r="NJD133" s="4"/>
      <c r="NJE133" s="4"/>
      <c r="NJF133" s="4"/>
      <c r="NJG133" s="4"/>
      <c r="NJH133" s="4"/>
      <c r="NJI133" s="4"/>
      <c r="NJJ133" s="4"/>
      <c r="NJK133" s="4"/>
      <c r="NJL133" s="4"/>
      <c r="NJM133" s="4"/>
      <c r="NJN133" s="4"/>
      <c r="NJO133" s="4"/>
      <c r="NJP133" s="4"/>
      <c r="NJQ133" s="4"/>
      <c r="NJR133" s="4"/>
      <c r="NJS133" s="4"/>
      <c r="NJT133" s="4"/>
      <c r="NJU133" s="4"/>
      <c r="NJV133" s="4"/>
      <c r="NJW133" s="4"/>
      <c r="NJX133" s="4"/>
      <c r="NJY133" s="4"/>
      <c r="NJZ133" s="4"/>
      <c r="NKA133" s="4"/>
      <c r="NKB133" s="4"/>
      <c r="NKC133" s="4"/>
      <c r="NKD133" s="4"/>
      <c r="NKE133" s="4"/>
      <c r="NKF133" s="4"/>
      <c r="NKG133" s="4"/>
      <c r="NKH133" s="4"/>
      <c r="NKI133" s="4"/>
      <c r="NKJ133" s="4"/>
      <c r="NKK133" s="4"/>
      <c r="NKL133" s="4"/>
      <c r="NKM133" s="4"/>
      <c r="NKN133" s="4"/>
      <c r="NKO133" s="4"/>
      <c r="NKP133" s="4"/>
      <c r="NKQ133" s="4"/>
      <c r="NKR133" s="4"/>
      <c r="NKS133" s="4"/>
      <c r="NKT133" s="4"/>
      <c r="NKU133" s="4"/>
      <c r="NKV133" s="4"/>
      <c r="NKW133" s="4"/>
      <c r="NKX133" s="4"/>
      <c r="NKY133" s="4"/>
      <c r="NKZ133" s="4"/>
      <c r="NLA133" s="4"/>
      <c r="NLB133" s="4"/>
      <c r="NLC133" s="4"/>
      <c r="NLD133" s="4"/>
      <c r="NLE133" s="4"/>
      <c r="NLF133" s="4"/>
      <c r="NLG133" s="4"/>
      <c r="NLH133" s="4"/>
      <c r="NLI133" s="4"/>
      <c r="NLJ133" s="4"/>
      <c r="NLK133" s="4"/>
      <c r="NLL133" s="4"/>
      <c r="NLM133" s="4"/>
      <c r="NLN133" s="4"/>
      <c r="NLO133" s="4"/>
      <c r="NLP133" s="4"/>
      <c r="NLQ133" s="4"/>
      <c r="NLR133" s="4"/>
      <c r="NLS133" s="4"/>
      <c r="NLT133" s="4"/>
      <c r="NLU133" s="4"/>
      <c r="NLV133" s="4"/>
      <c r="NLW133" s="4"/>
      <c r="NLX133" s="4"/>
      <c r="NLY133" s="4"/>
      <c r="NLZ133" s="4"/>
      <c r="NMA133" s="4"/>
      <c r="NMB133" s="4"/>
      <c r="NMC133" s="4"/>
      <c r="NMD133" s="4"/>
      <c r="NME133" s="4"/>
      <c r="NMF133" s="4"/>
      <c r="NMG133" s="4"/>
      <c r="NMH133" s="4"/>
      <c r="NMI133" s="4"/>
      <c r="NMJ133" s="4"/>
      <c r="NMK133" s="4"/>
      <c r="NML133" s="4"/>
      <c r="NMM133" s="4"/>
      <c r="NMN133" s="4"/>
      <c r="NMO133" s="4"/>
      <c r="NMP133" s="4"/>
      <c r="NMQ133" s="4"/>
      <c r="NMR133" s="4"/>
      <c r="NMS133" s="4"/>
      <c r="NMT133" s="4"/>
      <c r="NMU133" s="4"/>
      <c r="NMV133" s="4"/>
      <c r="NMW133" s="4"/>
      <c r="NMX133" s="4"/>
      <c r="NMY133" s="4"/>
      <c r="NMZ133" s="4"/>
      <c r="NNA133" s="4"/>
      <c r="NNB133" s="4"/>
      <c r="NNC133" s="4"/>
      <c r="NND133" s="4"/>
      <c r="NNE133" s="4"/>
      <c r="NNF133" s="4"/>
      <c r="NNG133" s="4"/>
      <c r="NNH133" s="4"/>
      <c r="NNI133" s="4"/>
      <c r="NNJ133" s="4"/>
      <c r="NNK133" s="4"/>
      <c r="NNL133" s="4"/>
      <c r="NNM133" s="4"/>
      <c r="NNN133" s="4"/>
      <c r="NNO133" s="4"/>
      <c r="NNP133" s="4"/>
      <c r="NNQ133" s="4"/>
      <c r="NNR133" s="4"/>
      <c r="NNS133" s="4"/>
      <c r="NNT133" s="4"/>
      <c r="NNU133" s="4"/>
      <c r="NNV133" s="4"/>
      <c r="NNW133" s="4"/>
      <c r="NNX133" s="4"/>
      <c r="NNY133" s="4"/>
      <c r="NNZ133" s="4"/>
      <c r="NOA133" s="4"/>
      <c r="NOB133" s="4"/>
      <c r="NOC133" s="4"/>
      <c r="NOD133" s="4"/>
      <c r="NOE133" s="4"/>
      <c r="NOF133" s="4"/>
      <c r="NOG133" s="4"/>
      <c r="NOH133" s="4"/>
      <c r="NOI133" s="4"/>
      <c r="NOJ133" s="4"/>
      <c r="NOK133" s="4"/>
      <c r="NOL133" s="4"/>
      <c r="NOM133" s="4"/>
      <c r="NON133" s="4"/>
      <c r="NOO133" s="4"/>
      <c r="NOP133" s="4"/>
      <c r="NOQ133" s="4"/>
      <c r="NOR133" s="4"/>
      <c r="NOS133" s="4"/>
      <c r="NOT133" s="4"/>
      <c r="NOU133" s="4"/>
      <c r="NOV133" s="4"/>
      <c r="NOW133" s="4"/>
      <c r="NOX133" s="4"/>
      <c r="NOY133" s="4"/>
      <c r="NOZ133" s="4"/>
      <c r="NPA133" s="4"/>
      <c r="NPB133" s="4"/>
      <c r="NPC133" s="4"/>
      <c r="NPD133" s="4"/>
      <c r="NPE133" s="4"/>
      <c r="NPF133" s="4"/>
      <c r="NPG133" s="4"/>
      <c r="NPH133" s="4"/>
      <c r="NPI133" s="4"/>
      <c r="NPJ133" s="4"/>
      <c r="NPK133" s="4"/>
      <c r="NPL133" s="4"/>
      <c r="NPM133" s="4"/>
      <c r="NPN133" s="4"/>
      <c r="NPO133" s="4"/>
      <c r="NPP133" s="4"/>
      <c r="NPQ133" s="4"/>
      <c r="NPR133" s="4"/>
      <c r="NPS133" s="4"/>
      <c r="NPT133" s="4"/>
      <c r="NPU133" s="4"/>
      <c r="NPV133" s="4"/>
      <c r="NPW133" s="4"/>
      <c r="NPX133" s="4"/>
      <c r="NPY133" s="4"/>
      <c r="NPZ133" s="4"/>
      <c r="NQA133" s="4"/>
      <c r="NQB133" s="4"/>
      <c r="NQC133" s="4"/>
      <c r="NQD133" s="4"/>
      <c r="NQE133" s="4"/>
      <c r="NQF133" s="4"/>
      <c r="NQG133" s="4"/>
      <c r="NQH133" s="4"/>
      <c r="NQI133" s="4"/>
      <c r="NQJ133" s="4"/>
      <c r="NQK133" s="4"/>
      <c r="NQL133" s="4"/>
      <c r="NQM133" s="4"/>
      <c r="NQN133" s="4"/>
      <c r="NQO133" s="4"/>
      <c r="NQP133" s="4"/>
      <c r="NQQ133" s="4"/>
      <c r="NQR133" s="4"/>
      <c r="NQS133" s="4"/>
      <c r="NQT133" s="4"/>
      <c r="NQU133" s="4"/>
      <c r="NQV133" s="4"/>
      <c r="NQW133" s="4"/>
      <c r="NQX133" s="4"/>
      <c r="NQY133" s="4"/>
      <c r="NQZ133" s="4"/>
      <c r="NRA133" s="4"/>
      <c r="NRB133" s="4"/>
      <c r="NRC133" s="4"/>
      <c r="NRD133" s="4"/>
      <c r="NRE133" s="4"/>
      <c r="NRF133" s="4"/>
      <c r="NRG133" s="4"/>
      <c r="NRH133" s="4"/>
      <c r="NRI133" s="4"/>
      <c r="NRJ133" s="4"/>
      <c r="NRK133" s="4"/>
      <c r="NRL133" s="4"/>
      <c r="NRM133" s="4"/>
      <c r="NRN133" s="4"/>
      <c r="NRO133" s="4"/>
      <c r="NRP133" s="4"/>
      <c r="NRQ133" s="4"/>
      <c r="NRR133" s="4"/>
      <c r="NRS133" s="4"/>
      <c r="NRT133" s="4"/>
      <c r="NRU133" s="4"/>
      <c r="NRV133" s="4"/>
      <c r="NRW133" s="4"/>
      <c r="NRX133" s="4"/>
      <c r="NRY133" s="4"/>
      <c r="NRZ133" s="4"/>
      <c r="NSA133" s="4"/>
      <c r="NSB133" s="4"/>
      <c r="NSC133" s="4"/>
      <c r="NSD133" s="4"/>
      <c r="NSE133" s="4"/>
      <c r="NSF133" s="4"/>
      <c r="NSG133" s="4"/>
      <c r="NSH133" s="4"/>
      <c r="NSI133" s="4"/>
      <c r="NSJ133" s="4"/>
      <c r="NSK133" s="4"/>
      <c r="NSL133" s="4"/>
      <c r="NSM133" s="4"/>
      <c r="NSN133" s="4"/>
      <c r="NSO133" s="4"/>
      <c r="NSP133" s="4"/>
      <c r="NSQ133" s="4"/>
      <c r="NSR133" s="4"/>
      <c r="NSS133" s="4"/>
      <c r="NST133" s="4"/>
      <c r="NSU133" s="4"/>
      <c r="NSV133" s="4"/>
      <c r="NSW133" s="4"/>
      <c r="NSX133" s="4"/>
      <c r="NSY133" s="4"/>
      <c r="NSZ133" s="4"/>
      <c r="NTA133" s="4"/>
      <c r="NTB133" s="4"/>
      <c r="NTC133" s="4"/>
      <c r="NTD133" s="4"/>
      <c r="NTE133" s="4"/>
      <c r="NTF133" s="4"/>
      <c r="NTG133" s="4"/>
      <c r="NTH133" s="4"/>
      <c r="NTI133" s="4"/>
      <c r="NTJ133" s="4"/>
      <c r="NTK133" s="4"/>
      <c r="NTL133" s="4"/>
      <c r="NTM133" s="4"/>
      <c r="NTN133" s="4"/>
      <c r="NTO133" s="4"/>
      <c r="NTP133" s="4"/>
      <c r="NTQ133" s="4"/>
      <c r="NTR133" s="4"/>
      <c r="NTS133" s="4"/>
      <c r="NTT133" s="4"/>
      <c r="NTU133" s="4"/>
      <c r="NTV133" s="4"/>
      <c r="NTW133" s="4"/>
      <c r="NTX133" s="4"/>
      <c r="NTY133" s="4"/>
      <c r="NTZ133" s="4"/>
      <c r="NUA133" s="4"/>
      <c r="NUB133" s="4"/>
      <c r="NUC133" s="4"/>
      <c r="NUD133" s="4"/>
      <c r="NUE133" s="4"/>
      <c r="NUF133" s="4"/>
      <c r="NUG133" s="4"/>
      <c r="NUH133" s="4"/>
      <c r="NUI133" s="4"/>
      <c r="NUJ133" s="4"/>
      <c r="NUK133" s="4"/>
      <c r="NUL133" s="4"/>
      <c r="NUM133" s="4"/>
      <c r="NUN133" s="4"/>
      <c r="NUO133" s="4"/>
      <c r="NUP133" s="4"/>
      <c r="NUQ133" s="4"/>
      <c r="NUR133" s="4"/>
      <c r="NUS133" s="4"/>
      <c r="NUT133" s="4"/>
      <c r="NUU133" s="4"/>
      <c r="NUV133" s="4"/>
      <c r="NUW133" s="4"/>
      <c r="NUX133" s="4"/>
      <c r="NUY133" s="4"/>
      <c r="NUZ133" s="4"/>
      <c r="NVA133" s="4"/>
      <c r="NVB133" s="4"/>
      <c r="NVC133" s="4"/>
      <c r="NVD133" s="4"/>
      <c r="NVE133" s="4"/>
      <c r="NVF133" s="4"/>
      <c r="NVG133" s="4"/>
      <c r="NVH133" s="4"/>
      <c r="NVI133" s="4"/>
      <c r="NVJ133" s="4"/>
      <c r="NVK133" s="4"/>
      <c r="NVL133" s="4"/>
      <c r="NVM133" s="4"/>
      <c r="NVN133" s="4"/>
      <c r="NVO133" s="4"/>
      <c r="NVP133" s="4"/>
      <c r="NVQ133" s="4"/>
      <c r="NVR133" s="4"/>
      <c r="NVS133" s="4"/>
      <c r="NVT133" s="4"/>
      <c r="NVU133" s="4"/>
      <c r="NVV133" s="4"/>
      <c r="NVW133" s="4"/>
      <c r="NVX133" s="4"/>
      <c r="NVY133" s="4"/>
      <c r="NVZ133" s="4"/>
      <c r="NWA133" s="4"/>
      <c r="NWB133" s="4"/>
      <c r="NWC133" s="4"/>
      <c r="NWD133" s="4"/>
      <c r="NWE133" s="4"/>
      <c r="NWF133" s="4"/>
      <c r="NWG133" s="4"/>
      <c r="NWH133" s="4"/>
      <c r="NWI133" s="4"/>
      <c r="NWJ133" s="4"/>
      <c r="NWK133" s="4"/>
      <c r="NWL133" s="4"/>
      <c r="NWM133" s="4"/>
      <c r="NWN133" s="4"/>
      <c r="NWO133" s="4"/>
      <c r="NWP133" s="4"/>
      <c r="NWQ133" s="4"/>
      <c r="NWR133" s="4"/>
      <c r="NWS133" s="4"/>
      <c r="NWT133" s="4"/>
      <c r="NWU133" s="4"/>
      <c r="NWV133" s="4"/>
      <c r="NWW133" s="4"/>
      <c r="NWX133" s="4"/>
      <c r="NWY133" s="4"/>
      <c r="NWZ133" s="4"/>
      <c r="NXA133" s="4"/>
      <c r="NXB133" s="4"/>
      <c r="NXC133" s="4"/>
      <c r="NXD133" s="4"/>
      <c r="NXE133" s="4"/>
      <c r="NXF133" s="4"/>
      <c r="NXG133" s="4"/>
      <c r="NXH133" s="4"/>
      <c r="NXI133" s="4"/>
      <c r="NXJ133" s="4"/>
      <c r="NXK133" s="4"/>
      <c r="NXL133" s="4"/>
      <c r="NXM133" s="4"/>
      <c r="NXN133" s="4"/>
      <c r="NXO133" s="4"/>
      <c r="NXP133" s="4"/>
      <c r="NXQ133" s="4"/>
      <c r="NXR133" s="4"/>
      <c r="NXS133" s="4"/>
      <c r="NXT133" s="4"/>
      <c r="NXU133" s="4"/>
      <c r="NXV133" s="4"/>
      <c r="NXW133" s="4"/>
      <c r="NXX133" s="4"/>
      <c r="NXY133" s="4"/>
      <c r="NXZ133" s="4"/>
      <c r="NYA133" s="4"/>
      <c r="NYB133" s="4"/>
      <c r="NYC133" s="4"/>
      <c r="NYD133" s="4"/>
      <c r="NYE133" s="4"/>
      <c r="NYF133" s="4"/>
      <c r="NYG133" s="4"/>
      <c r="NYH133" s="4"/>
      <c r="NYI133" s="4"/>
      <c r="NYJ133" s="4"/>
      <c r="NYK133" s="4"/>
      <c r="NYL133" s="4"/>
      <c r="NYM133" s="4"/>
      <c r="NYN133" s="4"/>
      <c r="NYO133" s="4"/>
      <c r="NYP133" s="4"/>
      <c r="NYQ133" s="4"/>
      <c r="NYR133" s="4"/>
      <c r="NYS133" s="4"/>
      <c r="NYT133" s="4"/>
      <c r="NYU133" s="4"/>
      <c r="NYV133" s="4"/>
      <c r="NYW133" s="4"/>
      <c r="NYX133" s="4"/>
      <c r="NYY133" s="4"/>
      <c r="NYZ133" s="4"/>
      <c r="NZA133" s="4"/>
      <c r="NZB133" s="4"/>
      <c r="NZC133" s="4"/>
      <c r="NZD133" s="4"/>
      <c r="NZE133" s="4"/>
      <c r="NZF133" s="4"/>
      <c r="NZG133" s="4"/>
      <c r="NZH133" s="4"/>
      <c r="NZI133" s="4"/>
      <c r="NZJ133" s="4"/>
      <c r="NZK133" s="4"/>
      <c r="NZL133" s="4"/>
      <c r="NZM133" s="4"/>
      <c r="NZN133" s="4"/>
      <c r="NZO133" s="4"/>
      <c r="NZP133" s="4"/>
      <c r="NZQ133" s="4"/>
      <c r="NZR133" s="4"/>
      <c r="NZS133" s="4"/>
      <c r="NZT133" s="4"/>
      <c r="NZU133" s="4"/>
      <c r="NZV133" s="4"/>
      <c r="NZW133" s="4"/>
      <c r="NZX133" s="4"/>
      <c r="NZY133" s="4"/>
      <c r="NZZ133" s="4"/>
      <c r="OAA133" s="4"/>
      <c r="OAB133" s="4"/>
      <c r="OAC133" s="4"/>
      <c r="OAD133" s="4"/>
      <c r="OAE133" s="4"/>
      <c r="OAF133" s="4"/>
      <c r="OAG133" s="4"/>
      <c r="OAH133" s="4"/>
      <c r="OAI133" s="4"/>
      <c r="OAJ133" s="4"/>
      <c r="OAK133" s="4"/>
      <c r="OAL133" s="4"/>
      <c r="OAM133" s="4"/>
      <c r="OAN133" s="4"/>
      <c r="OAO133" s="4"/>
      <c r="OAP133" s="4"/>
      <c r="OAQ133" s="4"/>
      <c r="OAR133" s="4"/>
      <c r="OAS133" s="4"/>
      <c r="OAT133" s="4"/>
      <c r="OAU133" s="4"/>
      <c r="OAV133" s="4"/>
      <c r="OAW133" s="4"/>
      <c r="OAX133" s="4"/>
      <c r="OAY133" s="4"/>
      <c r="OAZ133" s="4"/>
      <c r="OBA133" s="4"/>
      <c r="OBB133" s="4"/>
      <c r="OBC133" s="4"/>
      <c r="OBD133" s="4"/>
      <c r="OBE133" s="4"/>
      <c r="OBF133" s="4"/>
      <c r="OBG133" s="4"/>
      <c r="OBH133" s="4"/>
      <c r="OBI133" s="4"/>
      <c r="OBJ133" s="4"/>
      <c r="OBK133" s="4"/>
      <c r="OBL133" s="4"/>
      <c r="OBM133" s="4"/>
      <c r="OBN133" s="4"/>
      <c r="OBO133" s="4"/>
      <c r="OBP133" s="4"/>
      <c r="OBQ133" s="4"/>
      <c r="OBR133" s="4"/>
      <c r="OBS133" s="4"/>
      <c r="OBT133" s="4"/>
      <c r="OBU133" s="4"/>
      <c r="OBV133" s="4"/>
      <c r="OBW133" s="4"/>
      <c r="OBX133" s="4"/>
      <c r="OBY133" s="4"/>
      <c r="OBZ133" s="4"/>
      <c r="OCA133" s="4"/>
      <c r="OCB133" s="4"/>
      <c r="OCC133" s="4"/>
      <c r="OCD133" s="4"/>
      <c r="OCE133" s="4"/>
      <c r="OCF133" s="4"/>
      <c r="OCG133" s="4"/>
      <c r="OCH133" s="4"/>
      <c r="OCI133" s="4"/>
      <c r="OCJ133" s="4"/>
      <c r="OCK133" s="4"/>
      <c r="OCL133" s="4"/>
      <c r="OCM133" s="4"/>
      <c r="OCN133" s="4"/>
      <c r="OCO133" s="4"/>
      <c r="OCP133" s="4"/>
      <c r="OCQ133" s="4"/>
      <c r="OCR133" s="4"/>
      <c r="OCS133" s="4"/>
      <c r="OCT133" s="4"/>
      <c r="OCU133" s="4"/>
      <c r="OCV133" s="4"/>
      <c r="OCW133" s="4"/>
      <c r="OCX133" s="4"/>
      <c r="OCY133" s="4"/>
      <c r="OCZ133" s="4"/>
      <c r="ODA133" s="4"/>
      <c r="ODB133" s="4"/>
      <c r="ODC133" s="4"/>
      <c r="ODD133" s="4"/>
      <c r="ODE133" s="4"/>
      <c r="ODF133" s="4"/>
      <c r="ODG133" s="4"/>
      <c r="ODH133" s="4"/>
      <c r="ODI133" s="4"/>
      <c r="ODJ133" s="4"/>
      <c r="ODK133" s="4"/>
      <c r="ODL133" s="4"/>
      <c r="ODM133" s="4"/>
      <c r="ODN133" s="4"/>
      <c r="ODO133" s="4"/>
      <c r="ODP133" s="4"/>
      <c r="ODQ133" s="4"/>
      <c r="ODR133" s="4"/>
      <c r="ODS133" s="4"/>
      <c r="ODT133" s="4"/>
      <c r="ODU133" s="4"/>
      <c r="ODV133" s="4"/>
      <c r="ODW133" s="4"/>
      <c r="ODX133" s="4"/>
      <c r="ODY133" s="4"/>
      <c r="ODZ133" s="4"/>
      <c r="OEA133" s="4"/>
      <c r="OEB133" s="4"/>
      <c r="OEC133" s="4"/>
      <c r="OED133" s="4"/>
      <c r="OEE133" s="4"/>
      <c r="OEF133" s="4"/>
      <c r="OEG133" s="4"/>
      <c r="OEH133" s="4"/>
      <c r="OEI133" s="4"/>
      <c r="OEJ133" s="4"/>
      <c r="OEK133" s="4"/>
      <c r="OEL133" s="4"/>
      <c r="OEM133" s="4"/>
      <c r="OEN133" s="4"/>
      <c r="OEO133" s="4"/>
      <c r="OEP133" s="4"/>
      <c r="OEQ133" s="4"/>
      <c r="OER133" s="4"/>
      <c r="OES133" s="4"/>
      <c r="OET133" s="4"/>
      <c r="OEU133" s="4"/>
      <c r="OEV133" s="4"/>
      <c r="OEW133" s="4"/>
      <c r="OEX133" s="4"/>
      <c r="OEY133" s="4"/>
      <c r="OEZ133" s="4"/>
      <c r="OFA133" s="4"/>
      <c r="OFB133" s="4"/>
      <c r="OFC133" s="4"/>
      <c r="OFD133" s="4"/>
      <c r="OFE133" s="4"/>
      <c r="OFF133" s="4"/>
      <c r="OFG133" s="4"/>
      <c r="OFH133" s="4"/>
      <c r="OFI133" s="4"/>
      <c r="OFJ133" s="4"/>
      <c r="OFK133" s="4"/>
      <c r="OFL133" s="4"/>
      <c r="OFM133" s="4"/>
      <c r="OFN133" s="4"/>
      <c r="OFO133" s="4"/>
      <c r="OFP133" s="4"/>
      <c r="OFQ133" s="4"/>
      <c r="OFR133" s="4"/>
      <c r="OFS133" s="4"/>
      <c r="OFT133" s="4"/>
      <c r="OFU133" s="4"/>
      <c r="OFV133" s="4"/>
      <c r="OFW133" s="4"/>
      <c r="OFX133" s="4"/>
      <c r="OFY133" s="4"/>
      <c r="OFZ133" s="4"/>
      <c r="OGA133" s="4"/>
      <c r="OGB133" s="4"/>
      <c r="OGC133" s="4"/>
      <c r="OGD133" s="4"/>
      <c r="OGE133" s="4"/>
      <c r="OGF133" s="4"/>
      <c r="OGG133" s="4"/>
      <c r="OGH133" s="4"/>
      <c r="OGI133" s="4"/>
      <c r="OGJ133" s="4"/>
      <c r="OGK133" s="4"/>
      <c r="OGL133" s="4"/>
      <c r="OGM133" s="4"/>
      <c r="OGN133" s="4"/>
      <c r="OGO133" s="4"/>
      <c r="OGP133" s="4"/>
      <c r="OGQ133" s="4"/>
      <c r="OGR133" s="4"/>
      <c r="OGS133" s="4"/>
      <c r="OGT133" s="4"/>
      <c r="OGU133" s="4"/>
      <c r="OGV133" s="4"/>
      <c r="OGW133" s="4"/>
      <c r="OGX133" s="4"/>
      <c r="OGY133" s="4"/>
      <c r="OGZ133" s="4"/>
      <c r="OHA133" s="4"/>
      <c r="OHB133" s="4"/>
      <c r="OHC133" s="4"/>
      <c r="OHD133" s="4"/>
      <c r="OHE133" s="4"/>
      <c r="OHF133" s="4"/>
      <c r="OHG133" s="4"/>
      <c r="OHH133" s="4"/>
      <c r="OHI133" s="4"/>
      <c r="OHJ133" s="4"/>
      <c r="OHK133" s="4"/>
      <c r="OHL133" s="4"/>
      <c r="OHM133" s="4"/>
      <c r="OHN133" s="4"/>
      <c r="OHO133" s="4"/>
      <c r="OHP133" s="4"/>
      <c r="OHQ133" s="4"/>
      <c r="OHR133" s="4"/>
      <c r="OHS133" s="4"/>
      <c r="OHT133" s="4"/>
      <c r="OHU133" s="4"/>
      <c r="OHV133" s="4"/>
      <c r="OHW133" s="4"/>
      <c r="OHX133" s="4"/>
      <c r="OHY133" s="4"/>
      <c r="OHZ133" s="4"/>
      <c r="OIA133" s="4"/>
      <c r="OIB133" s="4"/>
      <c r="OIC133" s="4"/>
      <c r="OID133" s="4"/>
      <c r="OIE133" s="4"/>
      <c r="OIF133" s="4"/>
      <c r="OIG133" s="4"/>
      <c r="OIH133" s="4"/>
      <c r="OII133" s="4"/>
      <c r="OIJ133" s="4"/>
      <c r="OIK133" s="4"/>
      <c r="OIL133" s="4"/>
      <c r="OIM133" s="4"/>
      <c r="OIN133" s="4"/>
      <c r="OIO133" s="4"/>
      <c r="OIP133" s="4"/>
      <c r="OIQ133" s="4"/>
      <c r="OIR133" s="4"/>
      <c r="OIS133" s="4"/>
      <c r="OIT133" s="4"/>
      <c r="OIU133" s="4"/>
      <c r="OIV133" s="4"/>
      <c r="OIW133" s="4"/>
      <c r="OIX133" s="4"/>
      <c r="OIY133" s="4"/>
      <c r="OIZ133" s="4"/>
      <c r="OJA133" s="4"/>
      <c r="OJB133" s="4"/>
      <c r="OJC133" s="4"/>
      <c r="OJD133" s="4"/>
      <c r="OJE133" s="4"/>
      <c r="OJF133" s="4"/>
      <c r="OJG133" s="4"/>
      <c r="OJH133" s="4"/>
      <c r="OJI133" s="4"/>
      <c r="OJJ133" s="4"/>
      <c r="OJK133" s="4"/>
      <c r="OJL133" s="4"/>
      <c r="OJM133" s="4"/>
      <c r="OJN133" s="4"/>
      <c r="OJO133" s="4"/>
      <c r="OJP133" s="4"/>
      <c r="OJQ133" s="4"/>
      <c r="OJR133" s="4"/>
      <c r="OJS133" s="4"/>
      <c r="OJT133" s="4"/>
      <c r="OJU133" s="4"/>
      <c r="OJV133" s="4"/>
      <c r="OJW133" s="4"/>
      <c r="OJX133" s="4"/>
      <c r="OJY133" s="4"/>
      <c r="OJZ133" s="4"/>
      <c r="OKA133" s="4"/>
      <c r="OKB133" s="4"/>
      <c r="OKC133" s="4"/>
      <c r="OKD133" s="4"/>
      <c r="OKE133" s="4"/>
      <c r="OKF133" s="4"/>
      <c r="OKG133" s="4"/>
      <c r="OKH133" s="4"/>
      <c r="OKI133" s="4"/>
      <c r="OKJ133" s="4"/>
      <c r="OKK133" s="4"/>
      <c r="OKL133" s="4"/>
      <c r="OKM133" s="4"/>
      <c r="OKN133" s="4"/>
      <c r="OKO133" s="4"/>
      <c r="OKP133" s="4"/>
      <c r="OKQ133" s="4"/>
      <c r="OKR133" s="4"/>
      <c r="OKS133" s="4"/>
      <c r="OKT133" s="4"/>
      <c r="OKU133" s="4"/>
      <c r="OKV133" s="4"/>
      <c r="OKW133" s="4"/>
      <c r="OKX133" s="4"/>
      <c r="OKY133" s="4"/>
      <c r="OKZ133" s="4"/>
      <c r="OLA133" s="4"/>
      <c r="OLB133" s="4"/>
      <c r="OLC133" s="4"/>
      <c r="OLD133" s="4"/>
      <c r="OLE133" s="4"/>
      <c r="OLF133" s="4"/>
      <c r="OLG133" s="4"/>
      <c r="OLH133" s="4"/>
      <c r="OLI133" s="4"/>
      <c r="OLJ133" s="4"/>
      <c r="OLK133" s="4"/>
      <c r="OLL133" s="4"/>
      <c r="OLM133" s="4"/>
      <c r="OLN133" s="4"/>
      <c r="OLO133" s="4"/>
      <c r="OLP133" s="4"/>
      <c r="OLQ133" s="4"/>
      <c r="OLR133" s="4"/>
      <c r="OLS133" s="4"/>
      <c r="OLT133" s="4"/>
      <c r="OLU133" s="4"/>
      <c r="OLV133" s="4"/>
      <c r="OLW133" s="4"/>
      <c r="OLX133" s="4"/>
      <c r="OLY133" s="4"/>
      <c r="OLZ133" s="4"/>
      <c r="OMA133" s="4"/>
      <c r="OMB133" s="4"/>
      <c r="OMC133" s="4"/>
      <c r="OMD133" s="4"/>
      <c r="OME133" s="4"/>
      <c r="OMF133" s="4"/>
      <c r="OMG133" s="4"/>
      <c r="OMH133" s="4"/>
      <c r="OMI133" s="4"/>
      <c r="OMJ133" s="4"/>
      <c r="OMK133" s="4"/>
      <c r="OML133" s="4"/>
      <c r="OMM133" s="4"/>
      <c r="OMN133" s="4"/>
      <c r="OMO133" s="4"/>
      <c r="OMP133" s="4"/>
      <c r="OMQ133" s="4"/>
      <c r="OMR133" s="4"/>
      <c r="OMS133" s="4"/>
      <c r="OMT133" s="4"/>
      <c r="OMU133" s="4"/>
      <c r="OMV133" s="4"/>
      <c r="OMW133" s="4"/>
      <c r="OMX133" s="4"/>
      <c r="OMY133" s="4"/>
      <c r="OMZ133" s="4"/>
      <c r="ONA133" s="4"/>
      <c r="ONB133" s="4"/>
      <c r="ONC133" s="4"/>
      <c r="OND133" s="4"/>
      <c r="ONE133" s="4"/>
      <c r="ONF133" s="4"/>
      <c r="ONG133" s="4"/>
      <c r="ONH133" s="4"/>
      <c r="ONI133" s="4"/>
      <c r="ONJ133" s="4"/>
      <c r="ONK133" s="4"/>
      <c r="ONL133" s="4"/>
      <c r="ONM133" s="4"/>
      <c r="ONN133" s="4"/>
      <c r="ONO133" s="4"/>
      <c r="ONP133" s="4"/>
      <c r="ONQ133" s="4"/>
      <c r="ONR133" s="4"/>
      <c r="ONS133" s="4"/>
      <c r="ONT133" s="4"/>
      <c r="ONU133" s="4"/>
      <c r="ONV133" s="4"/>
      <c r="ONW133" s="4"/>
      <c r="ONX133" s="4"/>
      <c r="ONY133" s="4"/>
      <c r="ONZ133" s="4"/>
      <c r="OOA133" s="4"/>
      <c r="OOB133" s="4"/>
      <c r="OOC133" s="4"/>
      <c r="OOD133" s="4"/>
      <c r="OOE133" s="4"/>
      <c r="OOF133" s="4"/>
      <c r="OOG133" s="4"/>
      <c r="OOH133" s="4"/>
      <c r="OOI133" s="4"/>
      <c r="OOJ133" s="4"/>
      <c r="OOK133" s="4"/>
      <c r="OOL133" s="4"/>
      <c r="OOM133" s="4"/>
      <c r="OON133" s="4"/>
      <c r="OOO133" s="4"/>
      <c r="OOP133" s="4"/>
      <c r="OOQ133" s="4"/>
      <c r="OOR133" s="4"/>
      <c r="OOS133" s="4"/>
      <c r="OOT133" s="4"/>
      <c r="OOU133" s="4"/>
      <c r="OOV133" s="4"/>
      <c r="OOW133" s="4"/>
      <c r="OOX133" s="4"/>
      <c r="OOY133" s="4"/>
      <c r="OOZ133" s="4"/>
      <c r="OPA133" s="4"/>
      <c r="OPB133" s="4"/>
      <c r="OPC133" s="4"/>
      <c r="OPD133" s="4"/>
      <c r="OPE133" s="4"/>
      <c r="OPF133" s="4"/>
      <c r="OPG133" s="4"/>
      <c r="OPH133" s="4"/>
      <c r="OPI133" s="4"/>
      <c r="OPJ133" s="4"/>
      <c r="OPK133" s="4"/>
      <c r="OPL133" s="4"/>
      <c r="OPM133" s="4"/>
      <c r="OPN133" s="4"/>
      <c r="OPO133" s="4"/>
      <c r="OPP133" s="4"/>
      <c r="OPQ133" s="4"/>
      <c r="OPR133" s="4"/>
      <c r="OPS133" s="4"/>
      <c r="OPT133" s="4"/>
      <c r="OPU133" s="4"/>
      <c r="OPV133" s="4"/>
      <c r="OPW133" s="4"/>
      <c r="OPX133" s="4"/>
      <c r="OPY133" s="4"/>
      <c r="OPZ133" s="4"/>
      <c r="OQA133" s="4"/>
      <c r="OQB133" s="4"/>
      <c r="OQC133" s="4"/>
      <c r="OQD133" s="4"/>
      <c r="OQE133" s="4"/>
      <c r="OQF133" s="4"/>
      <c r="OQG133" s="4"/>
      <c r="OQH133" s="4"/>
      <c r="OQI133" s="4"/>
      <c r="OQJ133" s="4"/>
      <c r="OQK133" s="4"/>
      <c r="OQL133" s="4"/>
      <c r="OQM133" s="4"/>
      <c r="OQN133" s="4"/>
      <c r="OQO133" s="4"/>
      <c r="OQP133" s="4"/>
      <c r="OQQ133" s="4"/>
      <c r="OQR133" s="4"/>
      <c r="OQS133" s="4"/>
      <c r="OQT133" s="4"/>
      <c r="OQU133" s="4"/>
      <c r="OQV133" s="4"/>
      <c r="OQW133" s="4"/>
      <c r="OQX133" s="4"/>
      <c r="OQY133" s="4"/>
      <c r="OQZ133" s="4"/>
      <c r="ORA133" s="4"/>
      <c r="ORB133" s="4"/>
      <c r="ORC133" s="4"/>
      <c r="ORD133" s="4"/>
      <c r="ORE133" s="4"/>
      <c r="ORF133" s="4"/>
      <c r="ORG133" s="4"/>
      <c r="ORH133" s="4"/>
      <c r="ORI133" s="4"/>
      <c r="ORJ133" s="4"/>
      <c r="ORK133" s="4"/>
      <c r="ORL133" s="4"/>
      <c r="ORM133" s="4"/>
      <c r="ORN133" s="4"/>
      <c r="ORO133" s="4"/>
      <c r="ORP133" s="4"/>
      <c r="ORQ133" s="4"/>
      <c r="ORR133" s="4"/>
      <c r="ORS133" s="4"/>
      <c r="ORT133" s="4"/>
      <c r="ORU133" s="4"/>
      <c r="ORV133" s="4"/>
      <c r="ORW133" s="4"/>
      <c r="ORX133" s="4"/>
      <c r="ORY133" s="4"/>
      <c r="ORZ133" s="4"/>
      <c r="OSA133" s="4"/>
      <c r="OSB133" s="4"/>
      <c r="OSC133" s="4"/>
      <c r="OSD133" s="4"/>
      <c r="OSE133" s="4"/>
      <c r="OSF133" s="4"/>
      <c r="OSG133" s="4"/>
      <c r="OSH133" s="4"/>
      <c r="OSI133" s="4"/>
      <c r="OSJ133" s="4"/>
      <c r="OSK133" s="4"/>
      <c r="OSL133" s="4"/>
      <c r="OSM133" s="4"/>
      <c r="OSN133" s="4"/>
      <c r="OSO133" s="4"/>
      <c r="OSP133" s="4"/>
      <c r="OSQ133" s="4"/>
      <c r="OSR133" s="4"/>
      <c r="OSS133" s="4"/>
      <c r="OST133" s="4"/>
      <c r="OSU133" s="4"/>
      <c r="OSV133" s="4"/>
      <c r="OSW133" s="4"/>
      <c r="OSX133" s="4"/>
      <c r="OSY133" s="4"/>
      <c r="OSZ133" s="4"/>
      <c r="OTA133" s="4"/>
      <c r="OTB133" s="4"/>
      <c r="OTC133" s="4"/>
      <c r="OTD133" s="4"/>
      <c r="OTE133" s="4"/>
      <c r="OTF133" s="4"/>
      <c r="OTG133" s="4"/>
      <c r="OTH133" s="4"/>
      <c r="OTI133" s="4"/>
      <c r="OTJ133" s="4"/>
      <c r="OTK133" s="4"/>
      <c r="OTL133" s="4"/>
      <c r="OTM133" s="4"/>
      <c r="OTN133" s="4"/>
      <c r="OTO133" s="4"/>
      <c r="OTP133" s="4"/>
      <c r="OTQ133" s="4"/>
      <c r="OTR133" s="4"/>
      <c r="OTS133" s="4"/>
      <c r="OTT133" s="4"/>
      <c r="OTU133" s="4"/>
      <c r="OTV133" s="4"/>
      <c r="OTW133" s="4"/>
      <c r="OTX133" s="4"/>
      <c r="OTY133" s="4"/>
      <c r="OTZ133" s="4"/>
      <c r="OUA133" s="4"/>
      <c r="OUB133" s="4"/>
      <c r="OUC133" s="4"/>
      <c r="OUD133" s="4"/>
      <c r="OUE133" s="4"/>
      <c r="OUF133" s="4"/>
      <c r="OUG133" s="4"/>
      <c r="OUH133" s="4"/>
      <c r="OUI133" s="4"/>
      <c r="OUJ133" s="4"/>
      <c r="OUK133" s="4"/>
      <c r="OUL133" s="4"/>
      <c r="OUM133" s="4"/>
      <c r="OUN133" s="4"/>
      <c r="OUO133" s="4"/>
      <c r="OUP133" s="4"/>
      <c r="OUQ133" s="4"/>
      <c r="OUR133" s="4"/>
      <c r="OUS133" s="4"/>
      <c r="OUT133" s="4"/>
      <c r="OUU133" s="4"/>
      <c r="OUV133" s="4"/>
      <c r="OUW133" s="4"/>
      <c r="OUX133" s="4"/>
      <c r="OUY133" s="4"/>
      <c r="OUZ133" s="4"/>
      <c r="OVA133" s="4"/>
      <c r="OVB133" s="4"/>
      <c r="OVC133" s="4"/>
      <c r="OVD133" s="4"/>
      <c r="OVE133" s="4"/>
      <c r="OVF133" s="4"/>
      <c r="OVG133" s="4"/>
      <c r="OVH133" s="4"/>
      <c r="OVI133" s="4"/>
      <c r="OVJ133" s="4"/>
      <c r="OVK133" s="4"/>
      <c r="OVL133" s="4"/>
      <c r="OVM133" s="4"/>
      <c r="OVN133" s="4"/>
      <c r="OVO133" s="4"/>
      <c r="OVP133" s="4"/>
      <c r="OVQ133" s="4"/>
      <c r="OVR133" s="4"/>
      <c r="OVS133" s="4"/>
      <c r="OVT133" s="4"/>
      <c r="OVU133" s="4"/>
      <c r="OVV133" s="4"/>
      <c r="OVW133" s="4"/>
      <c r="OVX133" s="4"/>
      <c r="OVY133" s="4"/>
      <c r="OVZ133" s="4"/>
      <c r="OWA133" s="4"/>
      <c r="OWB133" s="4"/>
      <c r="OWC133" s="4"/>
      <c r="OWD133" s="4"/>
      <c r="OWE133" s="4"/>
      <c r="OWF133" s="4"/>
      <c r="OWG133" s="4"/>
      <c r="OWH133" s="4"/>
      <c r="OWI133" s="4"/>
      <c r="OWJ133" s="4"/>
      <c r="OWK133" s="4"/>
      <c r="OWL133" s="4"/>
      <c r="OWM133" s="4"/>
      <c r="OWN133" s="4"/>
      <c r="OWO133" s="4"/>
      <c r="OWP133" s="4"/>
      <c r="OWQ133" s="4"/>
      <c r="OWR133" s="4"/>
      <c r="OWS133" s="4"/>
      <c r="OWT133" s="4"/>
      <c r="OWU133" s="4"/>
      <c r="OWV133" s="4"/>
      <c r="OWW133" s="4"/>
      <c r="OWX133" s="4"/>
      <c r="OWY133" s="4"/>
      <c r="OWZ133" s="4"/>
      <c r="OXA133" s="4"/>
      <c r="OXB133" s="4"/>
      <c r="OXC133" s="4"/>
      <c r="OXD133" s="4"/>
      <c r="OXE133" s="4"/>
      <c r="OXF133" s="4"/>
      <c r="OXG133" s="4"/>
      <c r="OXH133" s="4"/>
      <c r="OXI133" s="4"/>
      <c r="OXJ133" s="4"/>
      <c r="OXK133" s="4"/>
      <c r="OXL133" s="4"/>
      <c r="OXM133" s="4"/>
      <c r="OXN133" s="4"/>
      <c r="OXO133" s="4"/>
      <c r="OXP133" s="4"/>
      <c r="OXQ133" s="4"/>
      <c r="OXR133" s="4"/>
      <c r="OXS133" s="4"/>
      <c r="OXT133" s="4"/>
      <c r="OXU133" s="4"/>
      <c r="OXV133" s="4"/>
      <c r="OXW133" s="4"/>
      <c r="OXX133" s="4"/>
      <c r="OXY133" s="4"/>
      <c r="OXZ133" s="4"/>
      <c r="OYA133" s="4"/>
      <c r="OYB133" s="4"/>
      <c r="OYC133" s="4"/>
      <c r="OYD133" s="4"/>
      <c r="OYE133" s="4"/>
      <c r="OYF133" s="4"/>
      <c r="OYG133" s="4"/>
      <c r="OYH133" s="4"/>
      <c r="OYI133" s="4"/>
      <c r="OYJ133" s="4"/>
      <c r="OYK133" s="4"/>
      <c r="OYL133" s="4"/>
      <c r="OYM133" s="4"/>
      <c r="OYN133" s="4"/>
      <c r="OYO133" s="4"/>
      <c r="OYP133" s="4"/>
      <c r="OYQ133" s="4"/>
      <c r="OYR133" s="4"/>
      <c r="OYS133" s="4"/>
      <c r="OYT133" s="4"/>
      <c r="OYU133" s="4"/>
      <c r="OYV133" s="4"/>
      <c r="OYW133" s="4"/>
      <c r="OYX133" s="4"/>
      <c r="OYY133" s="4"/>
      <c r="OYZ133" s="4"/>
      <c r="OZA133" s="4"/>
      <c r="OZB133" s="4"/>
      <c r="OZC133" s="4"/>
      <c r="OZD133" s="4"/>
      <c r="OZE133" s="4"/>
      <c r="OZF133" s="4"/>
      <c r="OZG133" s="4"/>
      <c r="OZH133" s="4"/>
      <c r="OZI133" s="4"/>
      <c r="OZJ133" s="4"/>
      <c r="OZK133" s="4"/>
      <c r="OZL133" s="4"/>
      <c r="OZM133" s="4"/>
      <c r="OZN133" s="4"/>
      <c r="OZO133" s="4"/>
      <c r="OZP133" s="4"/>
      <c r="OZQ133" s="4"/>
      <c r="OZR133" s="4"/>
      <c r="OZS133" s="4"/>
      <c r="OZT133" s="4"/>
      <c r="OZU133" s="4"/>
      <c r="OZV133" s="4"/>
      <c r="OZW133" s="4"/>
      <c r="OZX133" s="4"/>
      <c r="OZY133" s="4"/>
      <c r="OZZ133" s="4"/>
      <c r="PAA133" s="4"/>
      <c r="PAB133" s="4"/>
      <c r="PAC133" s="4"/>
      <c r="PAD133" s="4"/>
      <c r="PAE133" s="4"/>
      <c r="PAF133" s="4"/>
      <c r="PAG133" s="4"/>
      <c r="PAH133" s="4"/>
      <c r="PAI133" s="4"/>
      <c r="PAJ133" s="4"/>
      <c r="PAK133" s="4"/>
      <c r="PAL133" s="4"/>
      <c r="PAM133" s="4"/>
      <c r="PAN133" s="4"/>
      <c r="PAO133" s="4"/>
      <c r="PAP133" s="4"/>
      <c r="PAQ133" s="4"/>
      <c r="PAR133" s="4"/>
      <c r="PAS133" s="4"/>
      <c r="PAT133" s="4"/>
      <c r="PAU133" s="4"/>
      <c r="PAV133" s="4"/>
      <c r="PAW133" s="4"/>
      <c r="PAX133" s="4"/>
      <c r="PAY133" s="4"/>
      <c r="PAZ133" s="4"/>
      <c r="PBA133" s="4"/>
      <c r="PBB133" s="4"/>
      <c r="PBC133" s="4"/>
      <c r="PBD133" s="4"/>
      <c r="PBE133" s="4"/>
      <c r="PBF133" s="4"/>
      <c r="PBG133" s="4"/>
      <c r="PBH133" s="4"/>
      <c r="PBI133" s="4"/>
      <c r="PBJ133" s="4"/>
      <c r="PBK133" s="4"/>
      <c r="PBL133" s="4"/>
      <c r="PBM133" s="4"/>
      <c r="PBN133" s="4"/>
      <c r="PBO133" s="4"/>
      <c r="PBP133" s="4"/>
      <c r="PBQ133" s="4"/>
      <c r="PBR133" s="4"/>
      <c r="PBS133" s="4"/>
      <c r="PBT133" s="4"/>
      <c r="PBU133" s="4"/>
      <c r="PBV133" s="4"/>
      <c r="PBW133" s="4"/>
      <c r="PBX133" s="4"/>
      <c r="PBY133" s="4"/>
      <c r="PBZ133" s="4"/>
      <c r="PCA133" s="4"/>
      <c r="PCB133" s="4"/>
      <c r="PCC133" s="4"/>
      <c r="PCD133" s="4"/>
      <c r="PCE133" s="4"/>
      <c r="PCF133" s="4"/>
      <c r="PCG133" s="4"/>
      <c r="PCH133" s="4"/>
      <c r="PCI133" s="4"/>
      <c r="PCJ133" s="4"/>
      <c r="PCK133" s="4"/>
      <c r="PCL133" s="4"/>
      <c r="PCM133" s="4"/>
      <c r="PCN133" s="4"/>
      <c r="PCO133" s="4"/>
      <c r="PCP133" s="4"/>
      <c r="PCQ133" s="4"/>
      <c r="PCR133" s="4"/>
      <c r="PCS133" s="4"/>
      <c r="PCT133" s="4"/>
      <c r="PCU133" s="4"/>
      <c r="PCV133" s="4"/>
      <c r="PCW133" s="4"/>
      <c r="PCX133" s="4"/>
      <c r="PCY133" s="4"/>
      <c r="PCZ133" s="4"/>
      <c r="PDA133" s="4"/>
      <c r="PDB133" s="4"/>
      <c r="PDC133" s="4"/>
      <c r="PDD133" s="4"/>
      <c r="PDE133" s="4"/>
      <c r="PDF133" s="4"/>
      <c r="PDG133" s="4"/>
      <c r="PDH133" s="4"/>
      <c r="PDI133" s="4"/>
      <c r="PDJ133" s="4"/>
      <c r="PDK133" s="4"/>
      <c r="PDL133" s="4"/>
      <c r="PDM133" s="4"/>
      <c r="PDN133" s="4"/>
      <c r="PDO133" s="4"/>
      <c r="PDP133" s="4"/>
      <c r="PDQ133" s="4"/>
      <c r="PDR133" s="4"/>
      <c r="PDS133" s="4"/>
      <c r="PDT133" s="4"/>
      <c r="PDU133" s="4"/>
      <c r="PDV133" s="4"/>
      <c r="PDW133" s="4"/>
      <c r="PDX133" s="4"/>
      <c r="PDY133" s="4"/>
      <c r="PDZ133" s="4"/>
      <c r="PEA133" s="4"/>
      <c r="PEB133" s="4"/>
      <c r="PEC133" s="4"/>
      <c r="PED133" s="4"/>
      <c r="PEE133" s="4"/>
      <c r="PEF133" s="4"/>
      <c r="PEG133" s="4"/>
      <c r="PEH133" s="4"/>
      <c r="PEI133" s="4"/>
      <c r="PEJ133" s="4"/>
      <c r="PEK133" s="4"/>
      <c r="PEL133" s="4"/>
      <c r="PEM133" s="4"/>
      <c r="PEN133" s="4"/>
      <c r="PEO133" s="4"/>
      <c r="PEP133" s="4"/>
      <c r="PEQ133" s="4"/>
      <c r="PER133" s="4"/>
      <c r="PES133" s="4"/>
      <c r="PET133" s="4"/>
      <c r="PEU133" s="4"/>
      <c r="PEV133" s="4"/>
      <c r="PEW133" s="4"/>
      <c r="PEX133" s="4"/>
      <c r="PEY133" s="4"/>
      <c r="PEZ133" s="4"/>
      <c r="PFA133" s="4"/>
      <c r="PFB133" s="4"/>
      <c r="PFC133" s="4"/>
      <c r="PFD133" s="4"/>
      <c r="PFE133" s="4"/>
      <c r="PFF133" s="4"/>
      <c r="PFG133" s="4"/>
      <c r="PFH133" s="4"/>
      <c r="PFI133" s="4"/>
      <c r="PFJ133" s="4"/>
      <c r="PFK133" s="4"/>
      <c r="PFL133" s="4"/>
      <c r="PFM133" s="4"/>
      <c r="PFN133" s="4"/>
      <c r="PFO133" s="4"/>
      <c r="PFP133" s="4"/>
      <c r="PFQ133" s="4"/>
      <c r="PFR133" s="4"/>
      <c r="PFS133" s="4"/>
      <c r="PFT133" s="4"/>
      <c r="PFU133" s="4"/>
      <c r="PFV133" s="4"/>
      <c r="PFW133" s="4"/>
      <c r="PFX133" s="4"/>
      <c r="PFY133" s="4"/>
      <c r="PFZ133" s="4"/>
      <c r="PGA133" s="4"/>
      <c r="PGB133" s="4"/>
      <c r="PGC133" s="4"/>
      <c r="PGD133" s="4"/>
      <c r="PGE133" s="4"/>
      <c r="PGF133" s="4"/>
      <c r="PGG133" s="4"/>
      <c r="PGH133" s="4"/>
      <c r="PGI133" s="4"/>
      <c r="PGJ133" s="4"/>
      <c r="PGK133" s="4"/>
      <c r="PGL133" s="4"/>
      <c r="PGM133" s="4"/>
      <c r="PGN133" s="4"/>
      <c r="PGO133" s="4"/>
      <c r="PGP133" s="4"/>
      <c r="PGQ133" s="4"/>
      <c r="PGR133" s="4"/>
      <c r="PGS133" s="4"/>
      <c r="PGT133" s="4"/>
      <c r="PGU133" s="4"/>
      <c r="PGV133" s="4"/>
      <c r="PGW133" s="4"/>
      <c r="PGX133" s="4"/>
      <c r="PGY133" s="4"/>
      <c r="PGZ133" s="4"/>
      <c r="PHA133" s="4"/>
      <c r="PHB133" s="4"/>
      <c r="PHC133" s="4"/>
      <c r="PHD133" s="4"/>
      <c r="PHE133" s="4"/>
      <c r="PHF133" s="4"/>
      <c r="PHG133" s="4"/>
      <c r="PHH133" s="4"/>
      <c r="PHI133" s="4"/>
      <c r="PHJ133" s="4"/>
      <c r="PHK133" s="4"/>
      <c r="PHL133" s="4"/>
      <c r="PHM133" s="4"/>
      <c r="PHN133" s="4"/>
      <c r="PHO133" s="4"/>
      <c r="PHP133" s="4"/>
      <c r="PHQ133" s="4"/>
      <c r="PHR133" s="4"/>
      <c r="PHS133" s="4"/>
      <c r="PHT133" s="4"/>
      <c r="PHU133" s="4"/>
      <c r="PHV133" s="4"/>
      <c r="PHW133" s="4"/>
      <c r="PHX133" s="4"/>
      <c r="PHY133" s="4"/>
      <c r="PHZ133" s="4"/>
      <c r="PIA133" s="4"/>
      <c r="PIB133" s="4"/>
      <c r="PIC133" s="4"/>
      <c r="PID133" s="4"/>
      <c r="PIE133" s="4"/>
      <c r="PIF133" s="4"/>
      <c r="PIG133" s="4"/>
      <c r="PIH133" s="4"/>
      <c r="PII133" s="4"/>
      <c r="PIJ133" s="4"/>
      <c r="PIK133" s="4"/>
      <c r="PIL133" s="4"/>
      <c r="PIM133" s="4"/>
      <c r="PIN133" s="4"/>
      <c r="PIO133" s="4"/>
      <c r="PIP133" s="4"/>
      <c r="PIQ133" s="4"/>
      <c r="PIR133" s="4"/>
      <c r="PIS133" s="4"/>
      <c r="PIT133" s="4"/>
      <c r="PIU133" s="4"/>
      <c r="PIV133" s="4"/>
      <c r="PIW133" s="4"/>
      <c r="PIX133" s="4"/>
      <c r="PIY133" s="4"/>
      <c r="PIZ133" s="4"/>
      <c r="PJA133" s="4"/>
      <c r="PJB133" s="4"/>
      <c r="PJC133" s="4"/>
      <c r="PJD133" s="4"/>
      <c r="PJE133" s="4"/>
      <c r="PJF133" s="4"/>
      <c r="PJG133" s="4"/>
      <c r="PJH133" s="4"/>
      <c r="PJI133" s="4"/>
      <c r="PJJ133" s="4"/>
      <c r="PJK133" s="4"/>
      <c r="PJL133" s="4"/>
      <c r="PJM133" s="4"/>
      <c r="PJN133" s="4"/>
      <c r="PJO133" s="4"/>
      <c r="PJP133" s="4"/>
      <c r="PJQ133" s="4"/>
      <c r="PJR133" s="4"/>
      <c r="PJS133" s="4"/>
      <c r="PJT133" s="4"/>
      <c r="PJU133" s="4"/>
      <c r="PJV133" s="4"/>
      <c r="PJW133" s="4"/>
      <c r="PJX133" s="4"/>
      <c r="PJY133" s="4"/>
      <c r="PJZ133" s="4"/>
      <c r="PKA133" s="4"/>
      <c r="PKB133" s="4"/>
      <c r="PKC133" s="4"/>
      <c r="PKD133" s="4"/>
      <c r="PKE133" s="4"/>
      <c r="PKF133" s="4"/>
      <c r="PKG133" s="4"/>
      <c r="PKH133" s="4"/>
      <c r="PKI133" s="4"/>
      <c r="PKJ133" s="4"/>
      <c r="PKK133" s="4"/>
      <c r="PKL133" s="4"/>
      <c r="PKM133" s="4"/>
      <c r="PKN133" s="4"/>
      <c r="PKO133" s="4"/>
      <c r="PKP133" s="4"/>
      <c r="PKQ133" s="4"/>
      <c r="PKR133" s="4"/>
      <c r="PKS133" s="4"/>
      <c r="PKT133" s="4"/>
      <c r="PKU133" s="4"/>
      <c r="PKV133" s="4"/>
      <c r="PKW133" s="4"/>
      <c r="PKX133" s="4"/>
      <c r="PKY133" s="4"/>
      <c r="PKZ133" s="4"/>
      <c r="PLA133" s="4"/>
      <c r="PLB133" s="4"/>
      <c r="PLC133" s="4"/>
      <c r="PLD133" s="4"/>
      <c r="PLE133" s="4"/>
      <c r="PLF133" s="4"/>
      <c r="PLG133" s="4"/>
      <c r="PLH133" s="4"/>
      <c r="PLI133" s="4"/>
      <c r="PLJ133" s="4"/>
      <c r="PLK133" s="4"/>
      <c r="PLL133" s="4"/>
      <c r="PLM133" s="4"/>
      <c r="PLN133" s="4"/>
      <c r="PLO133" s="4"/>
      <c r="PLP133" s="4"/>
      <c r="PLQ133" s="4"/>
      <c r="PLR133" s="4"/>
      <c r="PLS133" s="4"/>
      <c r="PLT133" s="4"/>
      <c r="PLU133" s="4"/>
      <c r="PLV133" s="4"/>
      <c r="PLW133" s="4"/>
      <c r="PLX133" s="4"/>
      <c r="PLY133" s="4"/>
      <c r="PLZ133" s="4"/>
      <c r="PMA133" s="4"/>
      <c r="PMB133" s="4"/>
      <c r="PMC133" s="4"/>
      <c r="PMD133" s="4"/>
      <c r="PME133" s="4"/>
      <c r="PMF133" s="4"/>
      <c r="PMG133" s="4"/>
      <c r="PMH133" s="4"/>
      <c r="PMI133" s="4"/>
      <c r="PMJ133" s="4"/>
      <c r="PMK133" s="4"/>
      <c r="PML133" s="4"/>
      <c r="PMM133" s="4"/>
      <c r="PMN133" s="4"/>
      <c r="PMO133" s="4"/>
      <c r="PMP133" s="4"/>
      <c r="PMQ133" s="4"/>
      <c r="PMR133" s="4"/>
      <c r="PMS133" s="4"/>
      <c r="PMT133" s="4"/>
      <c r="PMU133" s="4"/>
      <c r="PMV133" s="4"/>
      <c r="PMW133" s="4"/>
      <c r="PMX133" s="4"/>
      <c r="PMY133" s="4"/>
      <c r="PMZ133" s="4"/>
      <c r="PNA133" s="4"/>
      <c r="PNB133" s="4"/>
      <c r="PNC133" s="4"/>
      <c r="PND133" s="4"/>
      <c r="PNE133" s="4"/>
      <c r="PNF133" s="4"/>
      <c r="PNG133" s="4"/>
      <c r="PNH133" s="4"/>
      <c r="PNI133" s="4"/>
      <c r="PNJ133" s="4"/>
      <c r="PNK133" s="4"/>
      <c r="PNL133" s="4"/>
      <c r="PNM133" s="4"/>
      <c r="PNN133" s="4"/>
      <c r="PNO133" s="4"/>
      <c r="PNP133" s="4"/>
      <c r="PNQ133" s="4"/>
      <c r="PNR133" s="4"/>
      <c r="PNS133" s="4"/>
      <c r="PNT133" s="4"/>
      <c r="PNU133" s="4"/>
      <c r="PNV133" s="4"/>
      <c r="PNW133" s="4"/>
      <c r="PNX133" s="4"/>
      <c r="PNY133" s="4"/>
      <c r="PNZ133" s="4"/>
      <c r="POA133" s="4"/>
      <c r="POB133" s="4"/>
      <c r="POC133" s="4"/>
      <c r="POD133" s="4"/>
      <c r="POE133" s="4"/>
      <c r="POF133" s="4"/>
      <c r="POG133" s="4"/>
      <c r="POH133" s="4"/>
      <c r="POI133" s="4"/>
      <c r="POJ133" s="4"/>
      <c r="POK133" s="4"/>
      <c r="POL133" s="4"/>
      <c r="POM133" s="4"/>
      <c r="PON133" s="4"/>
      <c r="POO133" s="4"/>
      <c r="POP133" s="4"/>
      <c r="POQ133" s="4"/>
      <c r="POR133" s="4"/>
      <c r="POS133" s="4"/>
      <c r="POT133" s="4"/>
      <c r="POU133" s="4"/>
      <c r="POV133" s="4"/>
      <c r="POW133" s="4"/>
      <c r="POX133" s="4"/>
      <c r="POY133" s="4"/>
      <c r="POZ133" s="4"/>
      <c r="PPA133" s="4"/>
      <c r="PPB133" s="4"/>
      <c r="PPC133" s="4"/>
      <c r="PPD133" s="4"/>
      <c r="PPE133" s="4"/>
      <c r="PPF133" s="4"/>
      <c r="PPG133" s="4"/>
      <c r="PPH133" s="4"/>
      <c r="PPI133" s="4"/>
      <c r="PPJ133" s="4"/>
      <c r="PPK133" s="4"/>
      <c r="PPL133" s="4"/>
      <c r="PPM133" s="4"/>
      <c r="PPN133" s="4"/>
      <c r="PPO133" s="4"/>
      <c r="PPP133" s="4"/>
      <c r="PPQ133" s="4"/>
      <c r="PPR133" s="4"/>
      <c r="PPS133" s="4"/>
      <c r="PPT133" s="4"/>
      <c r="PPU133" s="4"/>
      <c r="PPV133" s="4"/>
      <c r="PPW133" s="4"/>
      <c r="PPX133" s="4"/>
      <c r="PPY133" s="4"/>
      <c r="PPZ133" s="4"/>
      <c r="PQA133" s="4"/>
      <c r="PQB133" s="4"/>
      <c r="PQC133" s="4"/>
      <c r="PQD133" s="4"/>
      <c r="PQE133" s="4"/>
      <c r="PQF133" s="4"/>
      <c r="PQG133" s="4"/>
      <c r="PQH133" s="4"/>
      <c r="PQI133" s="4"/>
      <c r="PQJ133" s="4"/>
      <c r="PQK133" s="4"/>
      <c r="PQL133" s="4"/>
      <c r="PQM133" s="4"/>
      <c r="PQN133" s="4"/>
      <c r="PQO133" s="4"/>
      <c r="PQP133" s="4"/>
      <c r="PQQ133" s="4"/>
      <c r="PQR133" s="4"/>
      <c r="PQS133" s="4"/>
      <c r="PQT133" s="4"/>
      <c r="PQU133" s="4"/>
      <c r="PQV133" s="4"/>
      <c r="PQW133" s="4"/>
      <c r="PQX133" s="4"/>
      <c r="PQY133" s="4"/>
      <c r="PQZ133" s="4"/>
      <c r="PRA133" s="4"/>
      <c r="PRB133" s="4"/>
      <c r="PRC133" s="4"/>
      <c r="PRD133" s="4"/>
      <c r="PRE133" s="4"/>
      <c r="PRF133" s="4"/>
      <c r="PRG133" s="4"/>
      <c r="PRH133" s="4"/>
      <c r="PRI133" s="4"/>
      <c r="PRJ133" s="4"/>
      <c r="PRK133" s="4"/>
      <c r="PRL133" s="4"/>
      <c r="PRM133" s="4"/>
      <c r="PRN133" s="4"/>
      <c r="PRO133" s="4"/>
      <c r="PRP133" s="4"/>
      <c r="PRQ133" s="4"/>
      <c r="PRR133" s="4"/>
      <c r="PRS133" s="4"/>
      <c r="PRT133" s="4"/>
      <c r="PRU133" s="4"/>
      <c r="PRV133" s="4"/>
      <c r="PRW133" s="4"/>
      <c r="PRX133" s="4"/>
      <c r="PRY133" s="4"/>
      <c r="PRZ133" s="4"/>
      <c r="PSA133" s="4"/>
      <c r="PSB133" s="4"/>
      <c r="PSC133" s="4"/>
      <c r="PSD133" s="4"/>
      <c r="PSE133" s="4"/>
      <c r="PSF133" s="4"/>
      <c r="PSG133" s="4"/>
      <c r="PSH133" s="4"/>
      <c r="PSI133" s="4"/>
      <c r="PSJ133" s="4"/>
      <c r="PSK133" s="4"/>
      <c r="PSL133" s="4"/>
      <c r="PSM133" s="4"/>
      <c r="PSN133" s="4"/>
      <c r="PSO133" s="4"/>
      <c r="PSP133" s="4"/>
      <c r="PSQ133" s="4"/>
      <c r="PSR133" s="4"/>
      <c r="PSS133" s="4"/>
      <c r="PST133" s="4"/>
      <c r="PSU133" s="4"/>
      <c r="PSV133" s="4"/>
      <c r="PSW133" s="4"/>
      <c r="PSX133" s="4"/>
      <c r="PSY133" s="4"/>
      <c r="PSZ133" s="4"/>
      <c r="PTA133" s="4"/>
      <c r="PTB133" s="4"/>
      <c r="PTC133" s="4"/>
      <c r="PTD133" s="4"/>
      <c r="PTE133" s="4"/>
      <c r="PTF133" s="4"/>
      <c r="PTG133" s="4"/>
      <c r="PTH133" s="4"/>
      <c r="PTI133" s="4"/>
      <c r="PTJ133" s="4"/>
      <c r="PTK133" s="4"/>
      <c r="PTL133" s="4"/>
      <c r="PTM133" s="4"/>
      <c r="PTN133" s="4"/>
      <c r="PTO133" s="4"/>
      <c r="PTP133" s="4"/>
      <c r="PTQ133" s="4"/>
      <c r="PTR133" s="4"/>
      <c r="PTS133" s="4"/>
      <c r="PTT133" s="4"/>
      <c r="PTU133" s="4"/>
      <c r="PTV133" s="4"/>
      <c r="PTW133" s="4"/>
      <c r="PTX133" s="4"/>
      <c r="PTY133" s="4"/>
      <c r="PTZ133" s="4"/>
      <c r="PUA133" s="4"/>
      <c r="PUB133" s="4"/>
      <c r="PUC133" s="4"/>
      <c r="PUD133" s="4"/>
      <c r="PUE133" s="4"/>
      <c r="PUF133" s="4"/>
      <c r="PUG133" s="4"/>
      <c r="PUH133" s="4"/>
      <c r="PUI133" s="4"/>
      <c r="PUJ133" s="4"/>
      <c r="PUK133" s="4"/>
      <c r="PUL133" s="4"/>
      <c r="PUM133" s="4"/>
      <c r="PUN133" s="4"/>
      <c r="PUO133" s="4"/>
      <c r="PUP133" s="4"/>
      <c r="PUQ133" s="4"/>
      <c r="PUR133" s="4"/>
      <c r="PUS133" s="4"/>
      <c r="PUT133" s="4"/>
      <c r="PUU133" s="4"/>
      <c r="PUV133" s="4"/>
      <c r="PUW133" s="4"/>
      <c r="PUX133" s="4"/>
      <c r="PUY133" s="4"/>
      <c r="PUZ133" s="4"/>
      <c r="PVA133" s="4"/>
      <c r="PVB133" s="4"/>
      <c r="PVC133" s="4"/>
      <c r="PVD133" s="4"/>
      <c r="PVE133" s="4"/>
      <c r="PVF133" s="4"/>
      <c r="PVG133" s="4"/>
      <c r="PVH133" s="4"/>
      <c r="PVI133" s="4"/>
      <c r="PVJ133" s="4"/>
      <c r="PVK133" s="4"/>
      <c r="PVL133" s="4"/>
      <c r="PVM133" s="4"/>
      <c r="PVN133" s="4"/>
      <c r="PVO133" s="4"/>
      <c r="PVP133" s="4"/>
      <c r="PVQ133" s="4"/>
      <c r="PVR133" s="4"/>
      <c r="PVS133" s="4"/>
      <c r="PVT133" s="4"/>
      <c r="PVU133" s="4"/>
      <c r="PVV133" s="4"/>
      <c r="PVW133" s="4"/>
      <c r="PVX133" s="4"/>
      <c r="PVY133" s="4"/>
      <c r="PVZ133" s="4"/>
      <c r="PWA133" s="4"/>
      <c r="PWB133" s="4"/>
      <c r="PWC133" s="4"/>
      <c r="PWD133" s="4"/>
      <c r="PWE133" s="4"/>
      <c r="PWF133" s="4"/>
      <c r="PWG133" s="4"/>
      <c r="PWH133" s="4"/>
      <c r="PWI133" s="4"/>
      <c r="PWJ133" s="4"/>
      <c r="PWK133" s="4"/>
      <c r="PWL133" s="4"/>
      <c r="PWM133" s="4"/>
      <c r="PWN133" s="4"/>
      <c r="PWO133" s="4"/>
      <c r="PWP133" s="4"/>
      <c r="PWQ133" s="4"/>
      <c r="PWR133" s="4"/>
      <c r="PWS133" s="4"/>
      <c r="PWT133" s="4"/>
      <c r="PWU133" s="4"/>
      <c r="PWV133" s="4"/>
      <c r="PWW133" s="4"/>
      <c r="PWX133" s="4"/>
      <c r="PWY133" s="4"/>
      <c r="PWZ133" s="4"/>
      <c r="PXA133" s="4"/>
      <c r="PXB133" s="4"/>
      <c r="PXC133" s="4"/>
      <c r="PXD133" s="4"/>
      <c r="PXE133" s="4"/>
      <c r="PXF133" s="4"/>
      <c r="PXG133" s="4"/>
      <c r="PXH133" s="4"/>
      <c r="PXI133" s="4"/>
      <c r="PXJ133" s="4"/>
      <c r="PXK133" s="4"/>
      <c r="PXL133" s="4"/>
      <c r="PXM133" s="4"/>
      <c r="PXN133" s="4"/>
      <c r="PXO133" s="4"/>
      <c r="PXP133" s="4"/>
      <c r="PXQ133" s="4"/>
      <c r="PXR133" s="4"/>
      <c r="PXS133" s="4"/>
      <c r="PXT133" s="4"/>
      <c r="PXU133" s="4"/>
      <c r="PXV133" s="4"/>
      <c r="PXW133" s="4"/>
      <c r="PXX133" s="4"/>
      <c r="PXY133" s="4"/>
      <c r="PXZ133" s="4"/>
      <c r="PYA133" s="4"/>
      <c r="PYB133" s="4"/>
      <c r="PYC133" s="4"/>
      <c r="PYD133" s="4"/>
      <c r="PYE133" s="4"/>
      <c r="PYF133" s="4"/>
      <c r="PYG133" s="4"/>
      <c r="PYH133" s="4"/>
      <c r="PYI133" s="4"/>
      <c r="PYJ133" s="4"/>
      <c r="PYK133" s="4"/>
      <c r="PYL133" s="4"/>
      <c r="PYM133" s="4"/>
      <c r="PYN133" s="4"/>
      <c r="PYO133" s="4"/>
      <c r="PYP133" s="4"/>
      <c r="PYQ133" s="4"/>
      <c r="PYR133" s="4"/>
      <c r="PYS133" s="4"/>
      <c r="PYT133" s="4"/>
      <c r="PYU133" s="4"/>
      <c r="PYV133" s="4"/>
      <c r="PYW133" s="4"/>
      <c r="PYX133" s="4"/>
      <c r="PYY133" s="4"/>
      <c r="PYZ133" s="4"/>
      <c r="PZA133" s="4"/>
      <c r="PZB133" s="4"/>
      <c r="PZC133" s="4"/>
      <c r="PZD133" s="4"/>
      <c r="PZE133" s="4"/>
      <c r="PZF133" s="4"/>
      <c r="PZG133" s="4"/>
      <c r="PZH133" s="4"/>
      <c r="PZI133" s="4"/>
      <c r="PZJ133" s="4"/>
      <c r="PZK133" s="4"/>
      <c r="PZL133" s="4"/>
      <c r="PZM133" s="4"/>
      <c r="PZN133" s="4"/>
      <c r="PZO133" s="4"/>
      <c r="PZP133" s="4"/>
      <c r="PZQ133" s="4"/>
      <c r="PZR133" s="4"/>
      <c r="PZS133" s="4"/>
      <c r="PZT133" s="4"/>
      <c r="PZU133" s="4"/>
      <c r="PZV133" s="4"/>
      <c r="PZW133" s="4"/>
      <c r="PZX133" s="4"/>
      <c r="PZY133" s="4"/>
      <c r="PZZ133" s="4"/>
      <c r="QAA133" s="4"/>
      <c r="QAB133" s="4"/>
      <c r="QAC133" s="4"/>
      <c r="QAD133" s="4"/>
      <c r="QAE133" s="4"/>
      <c r="QAF133" s="4"/>
      <c r="QAG133" s="4"/>
      <c r="QAH133" s="4"/>
      <c r="QAI133" s="4"/>
      <c r="QAJ133" s="4"/>
      <c r="QAK133" s="4"/>
      <c r="QAL133" s="4"/>
      <c r="QAM133" s="4"/>
      <c r="QAN133" s="4"/>
      <c r="QAO133" s="4"/>
      <c r="QAP133" s="4"/>
      <c r="QAQ133" s="4"/>
      <c r="QAR133" s="4"/>
      <c r="QAS133" s="4"/>
      <c r="QAT133" s="4"/>
      <c r="QAU133" s="4"/>
      <c r="QAV133" s="4"/>
      <c r="QAW133" s="4"/>
      <c r="QAX133" s="4"/>
      <c r="QAY133" s="4"/>
      <c r="QAZ133" s="4"/>
      <c r="QBA133" s="4"/>
      <c r="QBB133" s="4"/>
      <c r="QBC133" s="4"/>
      <c r="QBD133" s="4"/>
      <c r="QBE133" s="4"/>
      <c r="QBF133" s="4"/>
      <c r="QBG133" s="4"/>
      <c r="QBH133" s="4"/>
      <c r="QBI133" s="4"/>
      <c r="QBJ133" s="4"/>
      <c r="QBK133" s="4"/>
      <c r="QBL133" s="4"/>
      <c r="QBM133" s="4"/>
      <c r="QBN133" s="4"/>
      <c r="QBO133" s="4"/>
      <c r="QBP133" s="4"/>
      <c r="QBQ133" s="4"/>
      <c r="QBR133" s="4"/>
      <c r="QBS133" s="4"/>
      <c r="QBT133" s="4"/>
      <c r="QBU133" s="4"/>
      <c r="QBV133" s="4"/>
      <c r="QBW133" s="4"/>
      <c r="QBX133" s="4"/>
      <c r="QBY133" s="4"/>
      <c r="QBZ133" s="4"/>
      <c r="QCA133" s="4"/>
      <c r="QCB133" s="4"/>
      <c r="QCC133" s="4"/>
      <c r="QCD133" s="4"/>
      <c r="QCE133" s="4"/>
      <c r="QCF133" s="4"/>
      <c r="QCG133" s="4"/>
      <c r="QCH133" s="4"/>
      <c r="QCI133" s="4"/>
      <c r="QCJ133" s="4"/>
      <c r="QCK133" s="4"/>
      <c r="QCL133" s="4"/>
      <c r="QCM133" s="4"/>
      <c r="QCN133" s="4"/>
      <c r="QCO133" s="4"/>
      <c r="QCP133" s="4"/>
      <c r="QCQ133" s="4"/>
      <c r="QCR133" s="4"/>
      <c r="QCS133" s="4"/>
      <c r="QCT133" s="4"/>
      <c r="QCU133" s="4"/>
      <c r="QCV133" s="4"/>
      <c r="QCW133" s="4"/>
      <c r="QCX133" s="4"/>
      <c r="QCY133" s="4"/>
      <c r="QCZ133" s="4"/>
      <c r="QDA133" s="4"/>
      <c r="QDB133" s="4"/>
      <c r="QDC133" s="4"/>
      <c r="QDD133" s="4"/>
      <c r="QDE133" s="4"/>
      <c r="QDF133" s="4"/>
      <c r="QDG133" s="4"/>
      <c r="QDH133" s="4"/>
      <c r="QDI133" s="4"/>
      <c r="QDJ133" s="4"/>
      <c r="QDK133" s="4"/>
      <c r="QDL133" s="4"/>
      <c r="QDM133" s="4"/>
      <c r="QDN133" s="4"/>
      <c r="QDO133" s="4"/>
      <c r="QDP133" s="4"/>
      <c r="QDQ133" s="4"/>
      <c r="QDR133" s="4"/>
      <c r="QDS133" s="4"/>
      <c r="QDT133" s="4"/>
      <c r="QDU133" s="4"/>
      <c r="QDV133" s="4"/>
      <c r="QDW133" s="4"/>
      <c r="QDX133" s="4"/>
      <c r="QDY133" s="4"/>
      <c r="QDZ133" s="4"/>
      <c r="QEA133" s="4"/>
      <c r="QEB133" s="4"/>
      <c r="QEC133" s="4"/>
      <c r="QED133" s="4"/>
      <c r="QEE133" s="4"/>
      <c r="QEF133" s="4"/>
      <c r="QEG133" s="4"/>
      <c r="QEH133" s="4"/>
      <c r="QEI133" s="4"/>
      <c r="QEJ133" s="4"/>
      <c r="QEK133" s="4"/>
      <c r="QEL133" s="4"/>
      <c r="QEM133" s="4"/>
      <c r="QEN133" s="4"/>
      <c r="QEO133" s="4"/>
      <c r="QEP133" s="4"/>
      <c r="QEQ133" s="4"/>
      <c r="QER133" s="4"/>
      <c r="QES133" s="4"/>
      <c r="QET133" s="4"/>
      <c r="QEU133" s="4"/>
      <c r="QEV133" s="4"/>
      <c r="QEW133" s="4"/>
      <c r="QEX133" s="4"/>
      <c r="QEY133" s="4"/>
      <c r="QEZ133" s="4"/>
      <c r="QFA133" s="4"/>
      <c r="QFB133" s="4"/>
      <c r="QFC133" s="4"/>
      <c r="QFD133" s="4"/>
      <c r="QFE133" s="4"/>
      <c r="QFF133" s="4"/>
      <c r="QFG133" s="4"/>
      <c r="QFH133" s="4"/>
      <c r="QFI133" s="4"/>
      <c r="QFJ133" s="4"/>
      <c r="QFK133" s="4"/>
      <c r="QFL133" s="4"/>
      <c r="QFM133" s="4"/>
      <c r="QFN133" s="4"/>
      <c r="QFO133" s="4"/>
      <c r="QFP133" s="4"/>
      <c r="QFQ133" s="4"/>
      <c r="QFR133" s="4"/>
      <c r="QFS133" s="4"/>
      <c r="QFT133" s="4"/>
      <c r="QFU133" s="4"/>
      <c r="QFV133" s="4"/>
      <c r="QFW133" s="4"/>
      <c r="QFX133" s="4"/>
      <c r="QFY133" s="4"/>
      <c r="QFZ133" s="4"/>
      <c r="QGA133" s="4"/>
      <c r="QGB133" s="4"/>
      <c r="QGC133" s="4"/>
      <c r="QGD133" s="4"/>
      <c r="QGE133" s="4"/>
      <c r="QGF133" s="4"/>
      <c r="QGG133" s="4"/>
      <c r="QGH133" s="4"/>
      <c r="QGI133" s="4"/>
      <c r="QGJ133" s="4"/>
      <c r="QGK133" s="4"/>
      <c r="QGL133" s="4"/>
      <c r="QGM133" s="4"/>
      <c r="QGN133" s="4"/>
      <c r="QGO133" s="4"/>
      <c r="QGP133" s="4"/>
      <c r="QGQ133" s="4"/>
      <c r="QGR133" s="4"/>
      <c r="QGS133" s="4"/>
      <c r="QGT133" s="4"/>
      <c r="QGU133" s="4"/>
      <c r="QGV133" s="4"/>
      <c r="QGW133" s="4"/>
      <c r="QGX133" s="4"/>
      <c r="QGY133" s="4"/>
      <c r="QGZ133" s="4"/>
      <c r="QHA133" s="4"/>
      <c r="QHB133" s="4"/>
      <c r="QHC133" s="4"/>
      <c r="QHD133" s="4"/>
      <c r="QHE133" s="4"/>
      <c r="QHF133" s="4"/>
      <c r="QHG133" s="4"/>
      <c r="QHH133" s="4"/>
      <c r="QHI133" s="4"/>
      <c r="QHJ133" s="4"/>
      <c r="QHK133" s="4"/>
      <c r="QHL133" s="4"/>
      <c r="QHM133" s="4"/>
      <c r="QHN133" s="4"/>
      <c r="QHO133" s="4"/>
      <c r="QHP133" s="4"/>
      <c r="QHQ133" s="4"/>
      <c r="QHR133" s="4"/>
      <c r="QHS133" s="4"/>
      <c r="QHT133" s="4"/>
      <c r="QHU133" s="4"/>
      <c r="QHV133" s="4"/>
      <c r="QHW133" s="4"/>
      <c r="QHX133" s="4"/>
      <c r="QHY133" s="4"/>
      <c r="QHZ133" s="4"/>
      <c r="QIA133" s="4"/>
      <c r="QIB133" s="4"/>
      <c r="QIC133" s="4"/>
      <c r="QID133" s="4"/>
      <c r="QIE133" s="4"/>
      <c r="QIF133" s="4"/>
      <c r="QIG133" s="4"/>
      <c r="QIH133" s="4"/>
      <c r="QII133" s="4"/>
      <c r="QIJ133" s="4"/>
      <c r="QIK133" s="4"/>
      <c r="QIL133" s="4"/>
      <c r="QIM133" s="4"/>
      <c r="QIN133" s="4"/>
      <c r="QIO133" s="4"/>
      <c r="QIP133" s="4"/>
      <c r="QIQ133" s="4"/>
      <c r="QIR133" s="4"/>
      <c r="QIS133" s="4"/>
      <c r="QIT133" s="4"/>
      <c r="QIU133" s="4"/>
      <c r="QIV133" s="4"/>
      <c r="QIW133" s="4"/>
      <c r="QIX133" s="4"/>
      <c r="QIY133" s="4"/>
      <c r="QIZ133" s="4"/>
      <c r="QJA133" s="4"/>
      <c r="QJB133" s="4"/>
      <c r="QJC133" s="4"/>
      <c r="QJD133" s="4"/>
      <c r="QJE133" s="4"/>
      <c r="QJF133" s="4"/>
      <c r="QJG133" s="4"/>
      <c r="QJH133" s="4"/>
      <c r="QJI133" s="4"/>
      <c r="QJJ133" s="4"/>
      <c r="QJK133" s="4"/>
      <c r="QJL133" s="4"/>
      <c r="QJM133" s="4"/>
      <c r="QJN133" s="4"/>
      <c r="QJO133" s="4"/>
      <c r="QJP133" s="4"/>
      <c r="QJQ133" s="4"/>
      <c r="QJR133" s="4"/>
      <c r="QJS133" s="4"/>
      <c r="QJT133" s="4"/>
      <c r="QJU133" s="4"/>
      <c r="QJV133" s="4"/>
      <c r="QJW133" s="4"/>
      <c r="QJX133" s="4"/>
      <c r="QJY133" s="4"/>
      <c r="QJZ133" s="4"/>
      <c r="QKA133" s="4"/>
      <c r="QKB133" s="4"/>
      <c r="QKC133" s="4"/>
      <c r="QKD133" s="4"/>
      <c r="QKE133" s="4"/>
      <c r="QKF133" s="4"/>
      <c r="QKG133" s="4"/>
      <c r="QKH133" s="4"/>
      <c r="QKI133" s="4"/>
      <c r="QKJ133" s="4"/>
      <c r="QKK133" s="4"/>
      <c r="QKL133" s="4"/>
      <c r="QKM133" s="4"/>
      <c r="QKN133" s="4"/>
      <c r="QKO133" s="4"/>
      <c r="QKP133" s="4"/>
      <c r="QKQ133" s="4"/>
      <c r="QKR133" s="4"/>
      <c r="QKS133" s="4"/>
      <c r="QKT133" s="4"/>
      <c r="QKU133" s="4"/>
      <c r="QKV133" s="4"/>
      <c r="QKW133" s="4"/>
      <c r="QKX133" s="4"/>
      <c r="QKY133" s="4"/>
      <c r="QKZ133" s="4"/>
      <c r="QLA133" s="4"/>
      <c r="QLB133" s="4"/>
      <c r="QLC133" s="4"/>
      <c r="QLD133" s="4"/>
      <c r="QLE133" s="4"/>
      <c r="QLF133" s="4"/>
      <c r="QLG133" s="4"/>
      <c r="QLH133" s="4"/>
      <c r="QLI133" s="4"/>
      <c r="QLJ133" s="4"/>
      <c r="QLK133" s="4"/>
      <c r="QLL133" s="4"/>
      <c r="QLM133" s="4"/>
      <c r="QLN133" s="4"/>
      <c r="QLO133" s="4"/>
      <c r="QLP133" s="4"/>
      <c r="QLQ133" s="4"/>
      <c r="QLR133" s="4"/>
      <c r="QLS133" s="4"/>
      <c r="QLT133" s="4"/>
      <c r="QLU133" s="4"/>
      <c r="QLV133" s="4"/>
      <c r="QLW133" s="4"/>
      <c r="QLX133" s="4"/>
      <c r="QLY133" s="4"/>
      <c r="QLZ133" s="4"/>
      <c r="QMA133" s="4"/>
      <c r="QMB133" s="4"/>
      <c r="QMC133" s="4"/>
      <c r="QMD133" s="4"/>
      <c r="QME133" s="4"/>
      <c r="QMF133" s="4"/>
      <c r="QMG133" s="4"/>
      <c r="QMH133" s="4"/>
      <c r="QMI133" s="4"/>
      <c r="QMJ133" s="4"/>
      <c r="QMK133" s="4"/>
      <c r="QML133" s="4"/>
      <c r="QMM133" s="4"/>
      <c r="QMN133" s="4"/>
      <c r="QMO133" s="4"/>
      <c r="QMP133" s="4"/>
      <c r="QMQ133" s="4"/>
      <c r="QMR133" s="4"/>
      <c r="QMS133" s="4"/>
      <c r="QMT133" s="4"/>
      <c r="QMU133" s="4"/>
      <c r="QMV133" s="4"/>
      <c r="QMW133" s="4"/>
      <c r="QMX133" s="4"/>
      <c r="QMY133" s="4"/>
      <c r="QMZ133" s="4"/>
      <c r="QNA133" s="4"/>
      <c r="QNB133" s="4"/>
      <c r="QNC133" s="4"/>
      <c r="QND133" s="4"/>
      <c r="QNE133" s="4"/>
      <c r="QNF133" s="4"/>
      <c r="QNG133" s="4"/>
      <c r="QNH133" s="4"/>
      <c r="QNI133" s="4"/>
      <c r="QNJ133" s="4"/>
      <c r="QNK133" s="4"/>
      <c r="QNL133" s="4"/>
      <c r="QNM133" s="4"/>
      <c r="QNN133" s="4"/>
      <c r="QNO133" s="4"/>
      <c r="QNP133" s="4"/>
      <c r="QNQ133" s="4"/>
      <c r="QNR133" s="4"/>
      <c r="QNS133" s="4"/>
      <c r="QNT133" s="4"/>
      <c r="QNU133" s="4"/>
      <c r="QNV133" s="4"/>
      <c r="QNW133" s="4"/>
      <c r="QNX133" s="4"/>
      <c r="QNY133" s="4"/>
      <c r="QNZ133" s="4"/>
      <c r="QOA133" s="4"/>
      <c r="QOB133" s="4"/>
      <c r="QOC133" s="4"/>
      <c r="QOD133" s="4"/>
      <c r="QOE133" s="4"/>
      <c r="QOF133" s="4"/>
      <c r="QOG133" s="4"/>
      <c r="QOH133" s="4"/>
      <c r="QOI133" s="4"/>
      <c r="QOJ133" s="4"/>
      <c r="QOK133" s="4"/>
      <c r="QOL133" s="4"/>
      <c r="QOM133" s="4"/>
      <c r="QON133" s="4"/>
      <c r="QOO133" s="4"/>
      <c r="QOP133" s="4"/>
      <c r="QOQ133" s="4"/>
      <c r="QOR133" s="4"/>
      <c r="QOS133" s="4"/>
      <c r="QOT133" s="4"/>
      <c r="QOU133" s="4"/>
      <c r="QOV133" s="4"/>
      <c r="QOW133" s="4"/>
      <c r="QOX133" s="4"/>
      <c r="QOY133" s="4"/>
      <c r="QOZ133" s="4"/>
      <c r="QPA133" s="4"/>
      <c r="QPB133" s="4"/>
      <c r="QPC133" s="4"/>
      <c r="QPD133" s="4"/>
      <c r="QPE133" s="4"/>
      <c r="QPF133" s="4"/>
      <c r="QPG133" s="4"/>
      <c r="QPH133" s="4"/>
      <c r="QPI133" s="4"/>
      <c r="QPJ133" s="4"/>
      <c r="QPK133" s="4"/>
      <c r="QPL133" s="4"/>
      <c r="QPM133" s="4"/>
      <c r="QPN133" s="4"/>
      <c r="QPO133" s="4"/>
      <c r="QPP133" s="4"/>
      <c r="QPQ133" s="4"/>
      <c r="QPR133" s="4"/>
      <c r="QPS133" s="4"/>
      <c r="QPT133" s="4"/>
      <c r="QPU133" s="4"/>
      <c r="QPV133" s="4"/>
      <c r="QPW133" s="4"/>
      <c r="QPX133" s="4"/>
      <c r="QPY133" s="4"/>
      <c r="QPZ133" s="4"/>
      <c r="QQA133" s="4"/>
      <c r="QQB133" s="4"/>
      <c r="QQC133" s="4"/>
      <c r="QQD133" s="4"/>
      <c r="QQE133" s="4"/>
      <c r="QQF133" s="4"/>
      <c r="QQG133" s="4"/>
      <c r="QQH133" s="4"/>
      <c r="QQI133" s="4"/>
      <c r="QQJ133" s="4"/>
      <c r="QQK133" s="4"/>
      <c r="QQL133" s="4"/>
      <c r="QQM133" s="4"/>
      <c r="QQN133" s="4"/>
      <c r="QQO133" s="4"/>
      <c r="QQP133" s="4"/>
      <c r="QQQ133" s="4"/>
      <c r="QQR133" s="4"/>
      <c r="QQS133" s="4"/>
      <c r="QQT133" s="4"/>
      <c r="QQU133" s="4"/>
      <c r="QQV133" s="4"/>
      <c r="QQW133" s="4"/>
      <c r="QQX133" s="4"/>
      <c r="QQY133" s="4"/>
      <c r="QQZ133" s="4"/>
      <c r="QRA133" s="4"/>
      <c r="QRB133" s="4"/>
      <c r="QRC133" s="4"/>
      <c r="QRD133" s="4"/>
      <c r="QRE133" s="4"/>
      <c r="QRF133" s="4"/>
      <c r="QRG133" s="4"/>
      <c r="QRH133" s="4"/>
      <c r="QRI133" s="4"/>
      <c r="QRJ133" s="4"/>
      <c r="QRK133" s="4"/>
      <c r="QRL133" s="4"/>
      <c r="QRM133" s="4"/>
      <c r="QRN133" s="4"/>
      <c r="QRO133" s="4"/>
      <c r="QRP133" s="4"/>
      <c r="QRQ133" s="4"/>
      <c r="QRR133" s="4"/>
      <c r="QRS133" s="4"/>
      <c r="QRT133" s="4"/>
      <c r="QRU133" s="4"/>
      <c r="QRV133" s="4"/>
      <c r="QRW133" s="4"/>
      <c r="QRX133" s="4"/>
      <c r="QRY133" s="4"/>
      <c r="QRZ133" s="4"/>
      <c r="QSA133" s="4"/>
      <c r="QSB133" s="4"/>
      <c r="QSC133" s="4"/>
      <c r="QSD133" s="4"/>
      <c r="QSE133" s="4"/>
      <c r="QSF133" s="4"/>
      <c r="QSG133" s="4"/>
      <c r="QSH133" s="4"/>
      <c r="QSI133" s="4"/>
      <c r="QSJ133" s="4"/>
      <c r="QSK133" s="4"/>
      <c r="QSL133" s="4"/>
      <c r="QSM133" s="4"/>
      <c r="QSN133" s="4"/>
      <c r="QSO133" s="4"/>
      <c r="QSP133" s="4"/>
      <c r="QSQ133" s="4"/>
      <c r="QSR133" s="4"/>
      <c r="QSS133" s="4"/>
      <c r="QST133" s="4"/>
      <c r="QSU133" s="4"/>
      <c r="QSV133" s="4"/>
      <c r="QSW133" s="4"/>
      <c r="QSX133" s="4"/>
      <c r="QSY133" s="4"/>
      <c r="QSZ133" s="4"/>
      <c r="QTA133" s="4"/>
      <c r="QTB133" s="4"/>
      <c r="QTC133" s="4"/>
      <c r="QTD133" s="4"/>
      <c r="QTE133" s="4"/>
      <c r="QTF133" s="4"/>
      <c r="QTG133" s="4"/>
      <c r="QTH133" s="4"/>
      <c r="QTI133" s="4"/>
      <c r="QTJ133" s="4"/>
      <c r="QTK133" s="4"/>
      <c r="QTL133" s="4"/>
      <c r="QTM133" s="4"/>
      <c r="QTN133" s="4"/>
      <c r="QTO133" s="4"/>
      <c r="QTP133" s="4"/>
      <c r="QTQ133" s="4"/>
      <c r="QTR133" s="4"/>
      <c r="QTS133" s="4"/>
      <c r="QTT133" s="4"/>
      <c r="QTU133" s="4"/>
      <c r="QTV133" s="4"/>
      <c r="QTW133" s="4"/>
      <c r="QTX133" s="4"/>
      <c r="QTY133" s="4"/>
      <c r="QTZ133" s="4"/>
      <c r="QUA133" s="4"/>
      <c r="QUB133" s="4"/>
      <c r="QUC133" s="4"/>
      <c r="QUD133" s="4"/>
      <c r="QUE133" s="4"/>
      <c r="QUF133" s="4"/>
      <c r="QUG133" s="4"/>
      <c r="QUH133" s="4"/>
      <c r="QUI133" s="4"/>
      <c r="QUJ133" s="4"/>
      <c r="QUK133" s="4"/>
      <c r="QUL133" s="4"/>
      <c r="QUM133" s="4"/>
      <c r="QUN133" s="4"/>
      <c r="QUO133" s="4"/>
      <c r="QUP133" s="4"/>
      <c r="QUQ133" s="4"/>
      <c r="QUR133" s="4"/>
      <c r="QUS133" s="4"/>
      <c r="QUT133" s="4"/>
      <c r="QUU133" s="4"/>
      <c r="QUV133" s="4"/>
      <c r="QUW133" s="4"/>
      <c r="QUX133" s="4"/>
      <c r="QUY133" s="4"/>
      <c r="QUZ133" s="4"/>
      <c r="QVA133" s="4"/>
      <c r="QVB133" s="4"/>
      <c r="QVC133" s="4"/>
      <c r="QVD133" s="4"/>
      <c r="QVE133" s="4"/>
      <c r="QVF133" s="4"/>
      <c r="QVG133" s="4"/>
      <c r="QVH133" s="4"/>
      <c r="QVI133" s="4"/>
      <c r="QVJ133" s="4"/>
      <c r="QVK133" s="4"/>
      <c r="QVL133" s="4"/>
      <c r="QVM133" s="4"/>
      <c r="QVN133" s="4"/>
      <c r="QVO133" s="4"/>
      <c r="QVP133" s="4"/>
      <c r="QVQ133" s="4"/>
      <c r="QVR133" s="4"/>
      <c r="QVS133" s="4"/>
      <c r="QVT133" s="4"/>
      <c r="QVU133" s="4"/>
      <c r="QVV133" s="4"/>
      <c r="QVW133" s="4"/>
      <c r="QVX133" s="4"/>
      <c r="QVY133" s="4"/>
      <c r="QVZ133" s="4"/>
      <c r="QWA133" s="4"/>
      <c r="QWB133" s="4"/>
      <c r="QWC133" s="4"/>
      <c r="QWD133" s="4"/>
      <c r="QWE133" s="4"/>
      <c r="QWF133" s="4"/>
      <c r="QWG133" s="4"/>
      <c r="QWH133" s="4"/>
      <c r="QWI133" s="4"/>
      <c r="QWJ133" s="4"/>
      <c r="QWK133" s="4"/>
      <c r="QWL133" s="4"/>
      <c r="QWM133" s="4"/>
      <c r="QWN133" s="4"/>
      <c r="QWO133" s="4"/>
      <c r="QWP133" s="4"/>
      <c r="QWQ133" s="4"/>
      <c r="QWR133" s="4"/>
      <c r="QWS133" s="4"/>
      <c r="QWT133" s="4"/>
      <c r="QWU133" s="4"/>
      <c r="QWV133" s="4"/>
      <c r="QWW133" s="4"/>
      <c r="QWX133" s="4"/>
      <c r="QWY133" s="4"/>
      <c r="QWZ133" s="4"/>
      <c r="QXA133" s="4"/>
      <c r="QXB133" s="4"/>
      <c r="QXC133" s="4"/>
      <c r="QXD133" s="4"/>
      <c r="QXE133" s="4"/>
      <c r="QXF133" s="4"/>
      <c r="QXG133" s="4"/>
      <c r="QXH133" s="4"/>
      <c r="QXI133" s="4"/>
      <c r="QXJ133" s="4"/>
      <c r="QXK133" s="4"/>
      <c r="QXL133" s="4"/>
      <c r="QXM133" s="4"/>
      <c r="QXN133" s="4"/>
      <c r="QXO133" s="4"/>
      <c r="QXP133" s="4"/>
      <c r="QXQ133" s="4"/>
      <c r="QXR133" s="4"/>
      <c r="QXS133" s="4"/>
      <c r="QXT133" s="4"/>
      <c r="QXU133" s="4"/>
      <c r="QXV133" s="4"/>
      <c r="QXW133" s="4"/>
      <c r="QXX133" s="4"/>
      <c r="QXY133" s="4"/>
      <c r="QXZ133" s="4"/>
      <c r="QYA133" s="4"/>
      <c r="QYB133" s="4"/>
      <c r="QYC133" s="4"/>
      <c r="QYD133" s="4"/>
      <c r="QYE133" s="4"/>
      <c r="QYF133" s="4"/>
      <c r="QYG133" s="4"/>
      <c r="QYH133" s="4"/>
      <c r="QYI133" s="4"/>
      <c r="QYJ133" s="4"/>
      <c r="QYK133" s="4"/>
      <c r="QYL133" s="4"/>
      <c r="QYM133" s="4"/>
      <c r="QYN133" s="4"/>
      <c r="QYO133" s="4"/>
      <c r="QYP133" s="4"/>
      <c r="QYQ133" s="4"/>
      <c r="QYR133" s="4"/>
      <c r="QYS133" s="4"/>
      <c r="QYT133" s="4"/>
      <c r="QYU133" s="4"/>
      <c r="QYV133" s="4"/>
      <c r="QYW133" s="4"/>
      <c r="QYX133" s="4"/>
      <c r="QYY133" s="4"/>
      <c r="QYZ133" s="4"/>
      <c r="QZA133" s="4"/>
      <c r="QZB133" s="4"/>
      <c r="QZC133" s="4"/>
      <c r="QZD133" s="4"/>
      <c r="QZE133" s="4"/>
      <c r="QZF133" s="4"/>
      <c r="QZG133" s="4"/>
      <c r="QZH133" s="4"/>
      <c r="QZI133" s="4"/>
      <c r="QZJ133" s="4"/>
      <c r="QZK133" s="4"/>
      <c r="QZL133" s="4"/>
      <c r="QZM133" s="4"/>
      <c r="QZN133" s="4"/>
      <c r="QZO133" s="4"/>
      <c r="QZP133" s="4"/>
      <c r="QZQ133" s="4"/>
      <c r="QZR133" s="4"/>
      <c r="QZS133" s="4"/>
      <c r="QZT133" s="4"/>
      <c r="QZU133" s="4"/>
      <c r="QZV133" s="4"/>
      <c r="QZW133" s="4"/>
      <c r="QZX133" s="4"/>
      <c r="QZY133" s="4"/>
      <c r="QZZ133" s="4"/>
      <c r="RAA133" s="4"/>
      <c r="RAB133" s="4"/>
      <c r="RAC133" s="4"/>
      <c r="RAD133" s="4"/>
      <c r="RAE133" s="4"/>
      <c r="RAF133" s="4"/>
      <c r="RAG133" s="4"/>
      <c r="RAH133" s="4"/>
      <c r="RAI133" s="4"/>
      <c r="RAJ133" s="4"/>
      <c r="RAK133" s="4"/>
      <c r="RAL133" s="4"/>
      <c r="RAM133" s="4"/>
      <c r="RAN133" s="4"/>
      <c r="RAO133" s="4"/>
      <c r="RAP133" s="4"/>
      <c r="RAQ133" s="4"/>
      <c r="RAR133" s="4"/>
      <c r="RAS133" s="4"/>
      <c r="RAT133" s="4"/>
      <c r="RAU133" s="4"/>
      <c r="RAV133" s="4"/>
      <c r="RAW133" s="4"/>
      <c r="RAX133" s="4"/>
      <c r="RAY133" s="4"/>
      <c r="RAZ133" s="4"/>
      <c r="RBA133" s="4"/>
      <c r="RBB133" s="4"/>
      <c r="RBC133" s="4"/>
      <c r="RBD133" s="4"/>
      <c r="RBE133" s="4"/>
      <c r="RBF133" s="4"/>
      <c r="RBG133" s="4"/>
      <c r="RBH133" s="4"/>
      <c r="RBI133" s="4"/>
      <c r="RBJ133" s="4"/>
      <c r="RBK133" s="4"/>
      <c r="RBL133" s="4"/>
      <c r="RBM133" s="4"/>
      <c r="RBN133" s="4"/>
      <c r="RBO133" s="4"/>
      <c r="RBP133" s="4"/>
      <c r="RBQ133" s="4"/>
      <c r="RBR133" s="4"/>
      <c r="RBS133" s="4"/>
      <c r="RBT133" s="4"/>
      <c r="RBU133" s="4"/>
      <c r="RBV133" s="4"/>
      <c r="RBW133" s="4"/>
      <c r="RBX133" s="4"/>
      <c r="RBY133" s="4"/>
      <c r="RBZ133" s="4"/>
      <c r="RCA133" s="4"/>
      <c r="RCB133" s="4"/>
      <c r="RCC133" s="4"/>
      <c r="RCD133" s="4"/>
      <c r="RCE133" s="4"/>
      <c r="RCF133" s="4"/>
      <c r="RCG133" s="4"/>
      <c r="RCH133" s="4"/>
      <c r="RCI133" s="4"/>
      <c r="RCJ133" s="4"/>
      <c r="RCK133" s="4"/>
      <c r="RCL133" s="4"/>
      <c r="RCM133" s="4"/>
      <c r="RCN133" s="4"/>
      <c r="RCO133" s="4"/>
      <c r="RCP133" s="4"/>
      <c r="RCQ133" s="4"/>
      <c r="RCR133" s="4"/>
      <c r="RCS133" s="4"/>
      <c r="RCT133" s="4"/>
      <c r="RCU133" s="4"/>
      <c r="RCV133" s="4"/>
      <c r="RCW133" s="4"/>
      <c r="RCX133" s="4"/>
      <c r="RCY133" s="4"/>
      <c r="RCZ133" s="4"/>
      <c r="RDA133" s="4"/>
      <c r="RDB133" s="4"/>
      <c r="RDC133" s="4"/>
      <c r="RDD133" s="4"/>
      <c r="RDE133" s="4"/>
      <c r="RDF133" s="4"/>
      <c r="RDG133" s="4"/>
      <c r="RDH133" s="4"/>
      <c r="RDI133" s="4"/>
      <c r="RDJ133" s="4"/>
      <c r="RDK133" s="4"/>
      <c r="RDL133" s="4"/>
      <c r="RDM133" s="4"/>
      <c r="RDN133" s="4"/>
      <c r="RDO133" s="4"/>
      <c r="RDP133" s="4"/>
      <c r="RDQ133" s="4"/>
      <c r="RDR133" s="4"/>
      <c r="RDS133" s="4"/>
      <c r="RDT133" s="4"/>
      <c r="RDU133" s="4"/>
      <c r="RDV133" s="4"/>
      <c r="RDW133" s="4"/>
      <c r="RDX133" s="4"/>
      <c r="RDY133" s="4"/>
      <c r="RDZ133" s="4"/>
      <c r="REA133" s="4"/>
      <c r="REB133" s="4"/>
      <c r="REC133" s="4"/>
      <c r="RED133" s="4"/>
      <c r="REE133" s="4"/>
      <c r="REF133" s="4"/>
      <c r="REG133" s="4"/>
      <c r="REH133" s="4"/>
      <c r="REI133" s="4"/>
      <c r="REJ133" s="4"/>
      <c r="REK133" s="4"/>
      <c r="REL133" s="4"/>
      <c r="REM133" s="4"/>
      <c r="REN133" s="4"/>
      <c r="REO133" s="4"/>
      <c r="REP133" s="4"/>
      <c r="REQ133" s="4"/>
      <c r="RER133" s="4"/>
      <c r="RES133" s="4"/>
      <c r="RET133" s="4"/>
      <c r="REU133" s="4"/>
      <c r="REV133" s="4"/>
      <c r="REW133" s="4"/>
      <c r="REX133" s="4"/>
      <c r="REY133" s="4"/>
      <c r="REZ133" s="4"/>
      <c r="RFA133" s="4"/>
      <c r="RFB133" s="4"/>
      <c r="RFC133" s="4"/>
      <c r="RFD133" s="4"/>
      <c r="RFE133" s="4"/>
      <c r="RFF133" s="4"/>
      <c r="RFG133" s="4"/>
      <c r="RFH133" s="4"/>
      <c r="RFI133" s="4"/>
      <c r="RFJ133" s="4"/>
      <c r="RFK133" s="4"/>
      <c r="RFL133" s="4"/>
      <c r="RFM133" s="4"/>
      <c r="RFN133" s="4"/>
      <c r="RFO133" s="4"/>
      <c r="RFP133" s="4"/>
      <c r="RFQ133" s="4"/>
      <c r="RFR133" s="4"/>
      <c r="RFS133" s="4"/>
      <c r="RFT133" s="4"/>
      <c r="RFU133" s="4"/>
      <c r="RFV133" s="4"/>
      <c r="RFW133" s="4"/>
      <c r="RFX133" s="4"/>
      <c r="RFY133" s="4"/>
      <c r="RFZ133" s="4"/>
      <c r="RGA133" s="4"/>
      <c r="RGB133" s="4"/>
      <c r="RGC133" s="4"/>
      <c r="RGD133" s="4"/>
      <c r="RGE133" s="4"/>
      <c r="RGF133" s="4"/>
      <c r="RGG133" s="4"/>
      <c r="RGH133" s="4"/>
      <c r="RGI133" s="4"/>
      <c r="RGJ133" s="4"/>
      <c r="RGK133" s="4"/>
      <c r="RGL133" s="4"/>
      <c r="RGM133" s="4"/>
      <c r="RGN133" s="4"/>
      <c r="RGO133" s="4"/>
      <c r="RGP133" s="4"/>
      <c r="RGQ133" s="4"/>
      <c r="RGR133" s="4"/>
      <c r="RGS133" s="4"/>
      <c r="RGT133" s="4"/>
      <c r="RGU133" s="4"/>
      <c r="RGV133" s="4"/>
      <c r="RGW133" s="4"/>
      <c r="RGX133" s="4"/>
      <c r="RGY133" s="4"/>
      <c r="RGZ133" s="4"/>
      <c r="RHA133" s="4"/>
      <c r="RHB133" s="4"/>
      <c r="RHC133" s="4"/>
      <c r="RHD133" s="4"/>
      <c r="RHE133" s="4"/>
      <c r="RHF133" s="4"/>
      <c r="RHG133" s="4"/>
      <c r="RHH133" s="4"/>
      <c r="RHI133" s="4"/>
      <c r="RHJ133" s="4"/>
      <c r="RHK133" s="4"/>
      <c r="RHL133" s="4"/>
      <c r="RHM133" s="4"/>
      <c r="RHN133" s="4"/>
      <c r="RHO133" s="4"/>
      <c r="RHP133" s="4"/>
      <c r="RHQ133" s="4"/>
      <c r="RHR133" s="4"/>
      <c r="RHS133" s="4"/>
      <c r="RHT133" s="4"/>
      <c r="RHU133" s="4"/>
      <c r="RHV133" s="4"/>
      <c r="RHW133" s="4"/>
      <c r="RHX133" s="4"/>
      <c r="RHY133" s="4"/>
      <c r="RHZ133" s="4"/>
      <c r="RIA133" s="4"/>
      <c r="RIB133" s="4"/>
      <c r="RIC133" s="4"/>
      <c r="RID133" s="4"/>
      <c r="RIE133" s="4"/>
      <c r="RIF133" s="4"/>
      <c r="RIG133" s="4"/>
      <c r="RIH133" s="4"/>
      <c r="RII133" s="4"/>
      <c r="RIJ133" s="4"/>
      <c r="RIK133" s="4"/>
      <c r="RIL133" s="4"/>
      <c r="RIM133" s="4"/>
      <c r="RIN133" s="4"/>
      <c r="RIO133" s="4"/>
      <c r="RIP133" s="4"/>
      <c r="RIQ133" s="4"/>
      <c r="RIR133" s="4"/>
      <c r="RIS133" s="4"/>
      <c r="RIT133" s="4"/>
      <c r="RIU133" s="4"/>
      <c r="RIV133" s="4"/>
      <c r="RIW133" s="4"/>
      <c r="RIX133" s="4"/>
      <c r="RIY133" s="4"/>
      <c r="RIZ133" s="4"/>
      <c r="RJA133" s="4"/>
      <c r="RJB133" s="4"/>
      <c r="RJC133" s="4"/>
      <c r="RJD133" s="4"/>
      <c r="RJE133" s="4"/>
      <c r="RJF133" s="4"/>
      <c r="RJG133" s="4"/>
      <c r="RJH133" s="4"/>
      <c r="RJI133" s="4"/>
      <c r="RJJ133" s="4"/>
      <c r="RJK133" s="4"/>
      <c r="RJL133" s="4"/>
      <c r="RJM133" s="4"/>
      <c r="RJN133" s="4"/>
      <c r="RJO133" s="4"/>
      <c r="RJP133" s="4"/>
      <c r="RJQ133" s="4"/>
      <c r="RJR133" s="4"/>
      <c r="RJS133" s="4"/>
      <c r="RJT133" s="4"/>
      <c r="RJU133" s="4"/>
      <c r="RJV133" s="4"/>
      <c r="RJW133" s="4"/>
      <c r="RJX133" s="4"/>
      <c r="RJY133" s="4"/>
      <c r="RJZ133" s="4"/>
      <c r="RKA133" s="4"/>
      <c r="RKB133" s="4"/>
      <c r="RKC133" s="4"/>
      <c r="RKD133" s="4"/>
      <c r="RKE133" s="4"/>
      <c r="RKF133" s="4"/>
      <c r="RKG133" s="4"/>
      <c r="RKH133" s="4"/>
      <c r="RKI133" s="4"/>
      <c r="RKJ133" s="4"/>
      <c r="RKK133" s="4"/>
      <c r="RKL133" s="4"/>
      <c r="RKM133" s="4"/>
      <c r="RKN133" s="4"/>
      <c r="RKO133" s="4"/>
      <c r="RKP133" s="4"/>
      <c r="RKQ133" s="4"/>
      <c r="RKR133" s="4"/>
      <c r="RKS133" s="4"/>
      <c r="RKT133" s="4"/>
      <c r="RKU133" s="4"/>
      <c r="RKV133" s="4"/>
      <c r="RKW133" s="4"/>
      <c r="RKX133" s="4"/>
      <c r="RKY133" s="4"/>
      <c r="RKZ133" s="4"/>
      <c r="RLA133" s="4"/>
      <c r="RLB133" s="4"/>
      <c r="RLC133" s="4"/>
      <c r="RLD133" s="4"/>
      <c r="RLE133" s="4"/>
      <c r="RLF133" s="4"/>
      <c r="RLG133" s="4"/>
      <c r="RLH133" s="4"/>
      <c r="RLI133" s="4"/>
      <c r="RLJ133" s="4"/>
      <c r="RLK133" s="4"/>
      <c r="RLL133" s="4"/>
      <c r="RLM133" s="4"/>
      <c r="RLN133" s="4"/>
      <c r="RLO133" s="4"/>
      <c r="RLP133" s="4"/>
      <c r="RLQ133" s="4"/>
      <c r="RLR133" s="4"/>
      <c r="RLS133" s="4"/>
      <c r="RLT133" s="4"/>
      <c r="RLU133" s="4"/>
      <c r="RLV133" s="4"/>
      <c r="RLW133" s="4"/>
      <c r="RLX133" s="4"/>
      <c r="RLY133" s="4"/>
      <c r="RLZ133" s="4"/>
      <c r="RMA133" s="4"/>
      <c r="RMB133" s="4"/>
      <c r="RMC133" s="4"/>
      <c r="RMD133" s="4"/>
      <c r="RME133" s="4"/>
      <c r="RMF133" s="4"/>
      <c r="RMG133" s="4"/>
      <c r="RMH133" s="4"/>
      <c r="RMI133" s="4"/>
      <c r="RMJ133" s="4"/>
      <c r="RMK133" s="4"/>
      <c r="RML133" s="4"/>
      <c r="RMM133" s="4"/>
      <c r="RMN133" s="4"/>
      <c r="RMO133" s="4"/>
      <c r="RMP133" s="4"/>
      <c r="RMQ133" s="4"/>
      <c r="RMR133" s="4"/>
      <c r="RMS133" s="4"/>
      <c r="RMT133" s="4"/>
      <c r="RMU133" s="4"/>
      <c r="RMV133" s="4"/>
      <c r="RMW133" s="4"/>
      <c r="RMX133" s="4"/>
      <c r="RMY133" s="4"/>
      <c r="RMZ133" s="4"/>
      <c r="RNA133" s="4"/>
      <c r="RNB133" s="4"/>
      <c r="RNC133" s="4"/>
      <c r="RND133" s="4"/>
      <c r="RNE133" s="4"/>
      <c r="RNF133" s="4"/>
      <c r="RNG133" s="4"/>
      <c r="RNH133" s="4"/>
      <c r="RNI133" s="4"/>
      <c r="RNJ133" s="4"/>
      <c r="RNK133" s="4"/>
      <c r="RNL133" s="4"/>
      <c r="RNM133" s="4"/>
      <c r="RNN133" s="4"/>
      <c r="RNO133" s="4"/>
      <c r="RNP133" s="4"/>
      <c r="RNQ133" s="4"/>
      <c r="RNR133" s="4"/>
      <c r="RNS133" s="4"/>
      <c r="RNT133" s="4"/>
      <c r="RNU133" s="4"/>
      <c r="RNV133" s="4"/>
      <c r="RNW133" s="4"/>
      <c r="RNX133" s="4"/>
      <c r="RNY133" s="4"/>
      <c r="RNZ133" s="4"/>
      <c r="ROA133" s="4"/>
      <c r="ROB133" s="4"/>
      <c r="ROC133" s="4"/>
      <c r="ROD133" s="4"/>
      <c r="ROE133" s="4"/>
      <c r="ROF133" s="4"/>
      <c r="ROG133" s="4"/>
      <c r="ROH133" s="4"/>
      <c r="ROI133" s="4"/>
      <c r="ROJ133" s="4"/>
      <c r="ROK133" s="4"/>
      <c r="ROL133" s="4"/>
      <c r="ROM133" s="4"/>
      <c r="RON133" s="4"/>
      <c r="ROO133" s="4"/>
      <c r="ROP133" s="4"/>
      <c r="ROQ133" s="4"/>
      <c r="ROR133" s="4"/>
      <c r="ROS133" s="4"/>
      <c r="ROT133" s="4"/>
      <c r="ROU133" s="4"/>
      <c r="ROV133" s="4"/>
      <c r="ROW133" s="4"/>
      <c r="ROX133" s="4"/>
      <c r="ROY133" s="4"/>
      <c r="ROZ133" s="4"/>
      <c r="RPA133" s="4"/>
      <c r="RPB133" s="4"/>
      <c r="RPC133" s="4"/>
      <c r="RPD133" s="4"/>
      <c r="RPE133" s="4"/>
      <c r="RPF133" s="4"/>
      <c r="RPG133" s="4"/>
      <c r="RPH133" s="4"/>
      <c r="RPI133" s="4"/>
      <c r="RPJ133" s="4"/>
      <c r="RPK133" s="4"/>
      <c r="RPL133" s="4"/>
      <c r="RPM133" s="4"/>
      <c r="RPN133" s="4"/>
      <c r="RPO133" s="4"/>
      <c r="RPP133" s="4"/>
      <c r="RPQ133" s="4"/>
      <c r="RPR133" s="4"/>
      <c r="RPS133" s="4"/>
      <c r="RPT133" s="4"/>
      <c r="RPU133" s="4"/>
      <c r="RPV133" s="4"/>
      <c r="RPW133" s="4"/>
      <c r="RPX133" s="4"/>
      <c r="RPY133" s="4"/>
      <c r="RPZ133" s="4"/>
      <c r="RQA133" s="4"/>
      <c r="RQB133" s="4"/>
      <c r="RQC133" s="4"/>
      <c r="RQD133" s="4"/>
      <c r="RQE133" s="4"/>
      <c r="RQF133" s="4"/>
      <c r="RQG133" s="4"/>
      <c r="RQH133" s="4"/>
      <c r="RQI133" s="4"/>
      <c r="RQJ133" s="4"/>
      <c r="RQK133" s="4"/>
      <c r="RQL133" s="4"/>
      <c r="RQM133" s="4"/>
      <c r="RQN133" s="4"/>
      <c r="RQO133" s="4"/>
      <c r="RQP133" s="4"/>
      <c r="RQQ133" s="4"/>
      <c r="RQR133" s="4"/>
      <c r="RQS133" s="4"/>
      <c r="RQT133" s="4"/>
      <c r="RQU133" s="4"/>
      <c r="RQV133" s="4"/>
      <c r="RQW133" s="4"/>
      <c r="RQX133" s="4"/>
      <c r="RQY133" s="4"/>
      <c r="RQZ133" s="4"/>
      <c r="RRA133" s="4"/>
      <c r="RRB133" s="4"/>
      <c r="RRC133" s="4"/>
      <c r="RRD133" s="4"/>
      <c r="RRE133" s="4"/>
      <c r="RRF133" s="4"/>
      <c r="RRG133" s="4"/>
      <c r="RRH133" s="4"/>
      <c r="RRI133" s="4"/>
      <c r="RRJ133" s="4"/>
      <c r="RRK133" s="4"/>
      <c r="RRL133" s="4"/>
      <c r="RRM133" s="4"/>
      <c r="RRN133" s="4"/>
      <c r="RRO133" s="4"/>
      <c r="RRP133" s="4"/>
      <c r="RRQ133" s="4"/>
      <c r="RRR133" s="4"/>
      <c r="RRS133" s="4"/>
      <c r="RRT133" s="4"/>
      <c r="RRU133" s="4"/>
      <c r="RRV133" s="4"/>
      <c r="RRW133" s="4"/>
      <c r="RRX133" s="4"/>
      <c r="RRY133" s="4"/>
      <c r="RRZ133" s="4"/>
      <c r="RSA133" s="4"/>
      <c r="RSB133" s="4"/>
      <c r="RSC133" s="4"/>
      <c r="RSD133" s="4"/>
      <c r="RSE133" s="4"/>
      <c r="RSF133" s="4"/>
      <c r="RSG133" s="4"/>
      <c r="RSH133" s="4"/>
      <c r="RSI133" s="4"/>
      <c r="RSJ133" s="4"/>
      <c r="RSK133" s="4"/>
      <c r="RSL133" s="4"/>
      <c r="RSM133" s="4"/>
      <c r="RSN133" s="4"/>
      <c r="RSO133" s="4"/>
      <c r="RSP133" s="4"/>
      <c r="RSQ133" s="4"/>
      <c r="RSR133" s="4"/>
      <c r="RSS133" s="4"/>
      <c r="RST133" s="4"/>
      <c r="RSU133" s="4"/>
      <c r="RSV133" s="4"/>
      <c r="RSW133" s="4"/>
      <c r="RSX133" s="4"/>
      <c r="RSY133" s="4"/>
      <c r="RSZ133" s="4"/>
      <c r="RTA133" s="4"/>
      <c r="RTB133" s="4"/>
      <c r="RTC133" s="4"/>
      <c r="RTD133" s="4"/>
      <c r="RTE133" s="4"/>
      <c r="RTF133" s="4"/>
      <c r="RTG133" s="4"/>
      <c r="RTH133" s="4"/>
      <c r="RTI133" s="4"/>
      <c r="RTJ133" s="4"/>
      <c r="RTK133" s="4"/>
      <c r="RTL133" s="4"/>
      <c r="RTM133" s="4"/>
      <c r="RTN133" s="4"/>
      <c r="RTO133" s="4"/>
      <c r="RTP133" s="4"/>
      <c r="RTQ133" s="4"/>
      <c r="RTR133" s="4"/>
      <c r="RTS133" s="4"/>
      <c r="RTT133" s="4"/>
      <c r="RTU133" s="4"/>
      <c r="RTV133" s="4"/>
      <c r="RTW133" s="4"/>
      <c r="RTX133" s="4"/>
      <c r="RTY133" s="4"/>
      <c r="RTZ133" s="4"/>
      <c r="RUA133" s="4"/>
      <c r="RUB133" s="4"/>
      <c r="RUC133" s="4"/>
      <c r="RUD133" s="4"/>
      <c r="RUE133" s="4"/>
      <c r="RUF133" s="4"/>
      <c r="RUG133" s="4"/>
      <c r="RUH133" s="4"/>
      <c r="RUI133" s="4"/>
      <c r="RUJ133" s="4"/>
      <c r="RUK133" s="4"/>
      <c r="RUL133" s="4"/>
      <c r="RUM133" s="4"/>
      <c r="RUN133" s="4"/>
      <c r="RUO133" s="4"/>
      <c r="RUP133" s="4"/>
      <c r="RUQ133" s="4"/>
      <c r="RUR133" s="4"/>
      <c r="RUS133" s="4"/>
      <c r="RUT133" s="4"/>
      <c r="RUU133" s="4"/>
      <c r="RUV133" s="4"/>
      <c r="RUW133" s="4"/>
      <c r="RUX133" s="4"/>
      <c r="RUY133" s="4"/>
      <c r="RUZ133" s="4"/>
      <c r="RVA133" s="4"/>
      <c r="RVB133" s="4"/>
      <c r="RVC133" s="4"/>
      <c r="RVD133" s="4"/>
      <c r="RVE133" s="4"/>
      <c r="RVF133" s="4"/>
      <c r="RVG133" s="4"/>
      <c r="RVH133" s="4"/>
      <c r="RVI133" s="4"/>
      <c r="RVJ133" s="4"/>
      <c r="RVK133" s="4"/>
      <c r="RVL133" s="4"/>
      <c r="RVM133" s="4"/>
      <c r="RVN133" s="4"/>
      <c r="RVO133" s="4"/>
      <c r="RVP133" s="4"/>
      <c r="RVQ133" s="4"/>
      <c r="RVR133" s="4"/>
      <c r="RVS133" s="4"/>
      <c r="RVT133" s="4"/>
      <c r="RVU133" s="4"/>
      <c r="RVV133" s="4"/>
      <c r="RVW133" s="4"/>
      <c r="RVX133" s="4"/>
      <c r="RVY133" s="4"/>
      <c r="RVZ133" s="4"/>
      <c r="RWA133" s="4"/>
      <c r="RWB133" s="4"/>
      <c r="RWC133" s="4"/>
      <c r="RWD133" s="4"/>
      <c r="RWE133" s="4"/>
      <c r="RWF133" s="4"/>
      <c r="RWG133" s="4"/>
      <c r="RWH133" s="4"/>
      <c r="RWI133" s="4"/>
      <c r="RWJ133" s="4"/>
      <c r="RWK133" s="4"/>
      <c r="RWL133" s="4"/>
      <c r="RWM133" s="4"/>
      <c r="RWN133" s="4"/>
      <c r="RWO133" s="4"/>
      <c r="RWP133" s="4"/>
      <c r="RWQ133" s="4"/>
      <c r="RWR133" s="4"/>
      <c r="RWS133" s="4"/>
      <c r="RWT133" s="4"/>
      <c r="RWU133" s="4"/>
      <c r="RWV133" s="4"/>
      <c r="RWW133" s="4"/>
      <c r="RWX133" s="4"/>
      <c r="RWY133" s="4"/>
      <c r="RWZ133" s="4"/>
      <c r="RXA133" s="4"/>
      <c r="RXB133" s="4"/>
      <c r="RXC133" s="4"/>
      <c r="RXD133" s="4"/>
      <c r="RXE133" s="4"/>
      <c r="RXF133" s="4"/>
      <c r="RXG133" s="4"/>
      <c r="RXH133" s="4"/>
      <c r="RXI133" s="4"/>
      <c r="RXJ133" s="4"/>
      <c r="RXK133" s="4"/>
      <c r="RXL133" s="4"/>
      <c r="RXM133" s="4"/>
      <c r="RXN133" s="4"/>
      <c r="RXO133" s="4"/>
      <c r="RXP133" s="4"/>
      <c r="RXQ133" s="4"/>
      <c r="RXR133" s="4"/>
      <c r="RXS133" s="4"/>
      <c r="RXT133" s="4"/>
      <c r="RXU133" s="4"/>
      <c r="RXV133" s="4"/>
      <c r="RXW133" s="4"/>
      <c r="RXX133" s="4"/>
      <c r="RXY133" s="4"/>
      <c r="RXZ133" s="4"/>
      <c r="RYA133" s="4"/>
      <c r="RYB133" s="4"/>
      <c r="RYC133" s="4"/>
      <c r="RYD133" s="4"/>
      <c r="RYE133" s="4"/>
      <c r="RYF133" s="4"/>
      <c r="RYG133" s="4"/>
      <c r="RYH133" s="4"/>
      <c r="RYI133" s="4"/>
      <c r="RYJ133" s="4"/>
      <c r="RYK133" s="4"/>
      <c r="RYL133" s="4"/>
      <c r="RYM133" s="4"/>
      <c r="RYN133" s="4"/>
      <c r="RYO133" s="4"/>
      <c r="RYP133" s="4"/>
      <c r="RYQ133" s="4"/>
      <c r="RYR133" s="4"/>
      <c r="RYS133" s="4"/>
      <c r="RYT133" s="4"/>
      <c r="RYU133" s="4"/>
      <c r="RYV133" s="4"/>
      <c r="RYW133" s="4"/>
      <c r="RYX133" s="4"/>
      <c r="RYY133" s="4"/>
      <c r="RYZ133" s="4"/>
      <c r="RZA133" s="4"/>
      <c r="RZB133" s="4"/>
      <c r="RZC133" s="4"/>
      <c r="RZD133" s="4"/>
      <c r="RZE133" s="4"/>
      <c r="RZF133" s="4"/>
      <c r="RZG133" s="4"/>
      <c r="RZH133" s="4"/>
      <c r="RZI133" s="4"/>
      <c r="RZJ133" s="4"/>
      <c r="RZK133" s="4"/>
      <c r="RZL133" s="4"/>
      <c r="RZM133" s="4"/>
      <c r="RZN133" s="4"/>
      <c r="RZO133" s="4"/>
      <c r="RZP133" s="4"/>
      <c r="RZQ133" s="4"/>
      <c r="RZR133" s="4"/>
      <c r="RZS133" s="4"/>
      <c r="RZT133" s="4"/>
      <c r="RZU133" s="4"/>
      <c r="RZV133" s="4"/>
      <c r="RZW133" s="4"/>
      <c r="RZX133" s="4"/>
      <c r="RZY133" s="4"/>
      <c r="RZZ133" s="4"/>
      <c r="SAA133" s="4"/>
      <c r="SAB133" s="4"/>
      <c r="SAC133" s="4"/>
      <c r="SAD133" s="4"/>
      <c r="SAE133" s="4"/>
      <c r="SAF133" s="4"/>
      <c r="SAG133" s="4"/>
      <c r="SAH133" s="4"/>
      <c r="SAI133" s="4"/>
      <c r="SAJ133" s="4"/>
      <c r="SAK133" s="4"/>
      <c r="SAL133" s="4"/>
      <c r="SAM133" s="4"/>
      <c r="SAN133" s="4"/>
      <c r="SAO133" s="4"/>
      <c r="SAP133" s="4"/>
      <c r="SAQ133" s="4"/>
      <c r="SAR133" s="4"/>
      <c r="SAS133" s="4"/>
      <c r="SAT133" s="4"/>
      <c r="SAU133" s="4"/>
      <c r="SAV133" s="4"/>
      <c r="SAW133" s="4"/>
      <c r="SAX133" s="4"/>
      <c r="SAY133" s="4"/>
      <c r="SAZ133" s="4"/>
      <c r="SBA133" s="4"/>
      <c r="SBB133" s="4"/>
      <c r="SBC133" s="4"/>
      <c r="SBD133" s="4"/>
      <c r="SBE133" s="4"/>
      <c r="SBF133" s="4"/>
      <c r="SBG133" s="4"/>
      <c r="SBH133" s="4"/>
      <c r="SBI133" s="4"/>
      <c r="SBJ133" s="4"/>
      <c r="SBK133" s="4"/>
      <c r="SBL133" s="4"/>
      <c r="SBM133" s="4"/>
      <c r="SBN133" s="4"/>
      <c r="SBO133" s="4"/>
      <c r="SBP133" s="4"/>
      <c r="SBQ133" s="4"/>
      <c r="SBR133" s="4"/>
      <c r="SBS133" s="4"/>
      <c r="SBT133" s="4"/>
      <c r="SBU133" s="4"/>
      <c r="SBV133" s="4"/>
      <c r="SBW133" s="4"/>
      <c r="SBX133" s="4"/>
      <c r="SBY133" s="4"/>
      <c r="SBZ133" s="4"/>
      <c r="SCA133" s="4"/>
      <c r="SCB133" s="4"/>
      <c r="SCC133" s="4"/>
      <c r="SCD133" s="4"/>
      <c r="SCE133" s="4"/>
      <c r="SCF133" s="4"/>
      <c r="SCG133" s="4"/>
      <c r="SCH133" s="4"/>
      <c r="SCI133" s="4"/>
      <c r="SCJ133" s="4"/>
      <c r="SCK133" s="4"/>
      <c r="SCL133" s="4"/>
      <c r="SCM133" s="4"/>
      <c r="SCN133" s="4"/>
      <c r="SCO133" s="4"/>
      <c r="SCP133" s="4"/>
      <c r="SCQ133" s="4"/>
      <c r="SCR133" s="4"/>
      <c r="SCS133" s="4"/>
      <c r="SCT133" s="4"/>
      <c r="SCU133" s="4"/>
      <c r="SCV133" s="4"/>
      <c r="SCW133" s="4"/>
      <c r="SCX133" s="4"/>
      <c r="SCY133" s="4"/>
      <c r="SCZ133" s="4"/>
      <c r="SDA133" s="4"/>
      <c r="SDB133" s="4"/>
      <c r="SDC133" s="4"/>
      <c r="SDD133" s="4"/>
      <c r="SDE133" s="4"/>
      <c r="SDF133" s="4"/>
      <c r="SDG133" s="4"/>
      <c r="SDH133" s="4"/>
      <c r="SDI133" s="4"/>
      <c r="SDJ133" s="4"/>
      <c r="SDK133" s="4"/>
      <c r="SDL133" s="4"/>
      <c r="SDM133" s="4"/>
      <c r="SDN133" s="4"/>
      <c r="SDO133" s="4"/>
      <c r="SDP133" s="4"/>
      <c r="SDQ133" s="4"/>
      <c r="SDR133" s="4"/>
      <c r="SDS133" s="4"/>
      <c r="SDT133" s="4"/>
      <c r="SDU133" s="4"/>
      <c r="SDV133" s="4"/>
      <c r="SDW133" s="4"/>
      <c r="SDX133" s="4"/>
      <c r="SDY133" s="4"/>
      <c r="SDZ133" s="4"/>
      <c r="SEA133" s="4"/>
      <c r="SEB133" s="4"/>
      <c r="SEC133" s="4"/>
      <c r="SED133" s="4"/>
      <c r="SEE133" s="4"/>
      <c r="SEF133" s="4"/>
      <c r="SEG133" s="4"/>
      <c r="SEH133" s="4"/>
      <c r="SEI133" s="4"/>
      <c r="SEJ133" s="4"/>
      <c r="SEK133" s="4"/>
      <c r="SEL133" s="4"/>
      <c r="SEM133" s="4"/>
      <c r="SEN133" s="4"/>
      <c r="SEO133" s="4"/>
      <c r="SEP133" s="4"/>
      <c r="SEQ133" s="4"/>
      <c r="SER133" s="4"/>
      <c r="SES133" s="4"/>
      <c r="SET133" s="4"/>
      <c r="SEU133" s="4"/>
      <c r="SEV133" s="4"/>
      <c r="SEW133" s="4"/>
      <c r="SEX133" s="4"/>
      <c r="SEY133" s="4"/>
      <c r="SEZ133" s="4"/>
      <c r="SFA133" s="4"/>
      <c r="SFB133" s="4"/>
      <c r="SFC133" s="4"/>
      <c r="SFD133" s="4"/>
      <c r="SFE133" s="4"/>
      <c r="SFF133" s="4"/>
      <c r="SFG133" s="4"/>
      <c r="SFH133" s="4"/>
      <c r="SFI133" s="4"/>
      <c r="SFJ133" s="4"/>
      <c r="SFK133" s="4"/>
      <c r="SFL133" s="4"/>
      <c r="SFM133" s="4"/>
      <c r="SFN133" s="4"/>
      <c r="SFO133" s="4"/>
      <c r="SFP133" s="4"/>
      <c r="SFQ133" s="4"/>
      <c r="SFR133" s="4"/>
      <c r="SFS133" s="4"/>
      <c r="SFT133" s="4"/>
      <c r="SFU133" s="4"/>
      <c r="SFV133" s="4"/>
      <c r="SFW133" s="4"/>
      <c r="SFX133" s="4"/>
      <c r="SFY133" s="4"/>
      <c r="SFZ133" s="4"/>
      <c r="SGA133" s="4"/>
      <c r="SGB133" s="4"/>
      <c r="SGC133" s="4"/>
      <c r="SGD133" s="4"/>
      <c r="SGE133" s="4"/>
      <c r="SGF133" s="4"/>
      <c r="SGG133" s="4"/>
      <c r="SGH133" s="4"/>
      <c r="SGI133" s="4"/>
      <c r="SGJ133" s="4"/>
      <c r="SGK133" s="4"/>
      <c r="SGL133" s="4"/>
      <c r="SGM133" s="4"/>
      <c r="SGN133" s="4"/>
      <c r="SGO133" s="4"/>
      <c r="SGP133" s="4"/>
      <c r="SGQ133" s="4"/>
      <c r="SGR133" s="4"/>
      <c r="SGS133" s="4"/>
      <c r="SGT133" s="4"/>
      <c r="SGU133" s="4"/>
      <c r="SGV133" s="4"/>
      <c r="SGW133" s="4"/>
      <c r="SGX133" s="4"/>
      <c r="SGY133" s="4"/>
      <c r="SGZ133" s="4"/>
      <c r="SHA133" s="4"/>
      <c r="SHB133" s="4"/>
      <c r="SHC133" s="4"/>
      <c r="SHD133" s="4"/>
      <c r="SHE133" s="4"/>
      <c r="SHF133" s="4"/>
      <c r="SHG133" s="4"/>
      <c r="SHH133" s="4"/>
      <c r="SHI133" s="4"/>
      <c r="SHJ133" s="4"/>
      <c r="SHK133" s="4"/>
      <c r="SHL133" s="4"/>
      <c r="SHM133" s="4"/>
      <c r="SHN133" s="4"/>
      <c r="SHO133" s="4"/>
      <c r="SHP133" s="4"/>
      <c r="SHQ133" s="4"/>
      <c r="SHR133" s="4"/>
      <c r="SHS133" s="4"/>
      <c r="SHT133" s="4"/>
      <c r="SHU133" s="4"/>
      <c r="SHV133" s="4"/>
      <c r="SHW133" s="4"/>
      <c r="SHX133" s="4"/>
      <c r="SHY133" s="4"/>
      <c r="SHZ133" s="4"/>
      <c r="SIA133" s="4"/>
      <c r="SIB133" s="4"/>
      <c r="SIC133" s="4"/>
      <c r="SID133" s="4"/>
      <c r="SIE133" s="4"/>
      <c r="SIF133" s="4"/>
      <c r="SIG133" s="4"/>
      <c r="SIH133" s="4"/>
      <c r="SII133" s="4"/>
      <c r="SIJ133" s="4"/>
      <c r="SIK133" s="4"/>
      <c r="SIL133" s="4"/>
      <c r="SIM133" s="4"/>
      <c r="SIN133" s="4"/>
      <c r="SIO133" s="4"/>
      <c r="SIP133" s="4"/>
      <c r="SIQ133" s="4"/>
      <c r="SIR133" s="4"/>
      <c r="SIS133" s="4"/>
      <c r="SIT133" s="4"/>
      <c r="SIU133" s="4"/>
      <c r="SIV133" s="4"/>
      <c r="SIW133" s="4"/>
      <c r="SIX133" s="4"/>
      <c r="SIY133" s="4"/>
      <c r="SIZ133" s="4"/>
      <c r="SJA133" s="4"/>
      <c r="SJB133" s="4"/>
      <c r="SJC133" s="4"/>
      <c r="SJD133" s="4"/>
      <c r="SJE133" s="4"/>
      <c r="SJF133" s="4"/>
      <c r="SJG133" s="4"/>
      <c r="SJH133" s="4"/>
      <c r="SJI133" s="4"/>
      <c r="SJJ133" s="4"/>
      <c r="SJK133" s="4"/>
      <c r="SJL133" s="4"/>
      <c r="SJM133" s="4"/>
      <c r="SJN133" s="4"/>
      <c r="SJO133" s="4"/>
      <c r="SJP133" s="4"/>
      <c r="SJQ133" s="4"/>
      <c r="SJR133" s="4"/>
      <c r="SJS133" s="4"/>
      <c r="SJT133" s="4"/>
      <c r="SJU133" s="4"/>
      <c r="SJV133" s="4"/>
      <c r="SJW133" s="4"/>
      <c r="SJX133" s="4"/>
      <c r="SJY133" s="4"/>
      <c r="SJZ133" s="4"/>
      <c r="SKA133" s="4"/>
      <c r="SKB133" s="4"/>
      <c r="SKC133" s="4"/>
      <c r="SKD133" s="4"/>
      <c r="SKE133" s="4"/>
      <c r="SKF133" s="4"/>
      <c r="SKG133" s="4"/>
      <c r="SKH133" s="4"/>
      <c r="SKI133" s="4"/>
      <c r="SKJ133" s="4"/>
      <c r="SKK133" s="4"/>
      <c r="SKL133" s="4"/>
      <c r="SKM133" s="4"/>
      <c r="SKN133" s="4"/>
      <c r="SKO133" s="4"/>
      <c r="SKP133" s="4"/>
      <c r="SKQ133" s="4"/>
      <c r="SKR133" s="4"/>
      <c r="SKS133" s="4"/>
      <c r="SKT133" s="4"/>
      <c r="SKU133" s="4"/>
      <c r="SKV133" s="4"/>
      <c r="SKW133" s="4"/>
      <c r="SKX133" s="4"/>
      <c r="SKY133" s="4"/>
      <c r="SKZ133" s="4"/>
      <c r="SLA133" s="4"/>
      <c r="SLB133" s="4"/>
      <c r="SLC133" s="4"/>
      <c r="SLD133" s="4"/>
      <c r="SLE133" s="4"/>
      <c r="SLF133" s="4"/>
      <c r="SLG133" s="4"/>
      <c r="SLH133" s="4"/>
      <c r="SLI133" s="4"/>
      <c r="SLJ133" s="4"/>
      <c r="SLK133" s="4"/>
      <c r="SLL133" s="4"/>
      <c r="SLM133" s="4"/>
      <c r="SLN133" s="4"/>
      <c r="SLO133" s="4"/>
      <c r="SLP133" s="4"/>
      <c r="SLQ133" s="4"/>
      <c r="SLR133" s="4"/>
      <c r="SLS133" s="4"/>
      <c r="SLT133" s="4"/>
      <c r="SLU133" s="4"/>
      <c r="SLV133" s="4"/>
      <c r="SLW133" s="4"/>
      <c r="SLX133" s="4"/>
      <c r="SLY133" s="4"/>
      <c r="SLZ133" s="4"/>
      <c r="SMA133" s="4"/>
      <c r="SMB133" s="4"/>
      <c r="SMC133" s="4"/>
      <c r="SMD133" s="4"/>
      <c r="SME133" s="4"/>
      <c r="SMF133" s="4"/>
      <c r="SMG133" s="4"/>
      <c r="SMH133" s="4"/>
      <c r="SMI133" s="4"/>
      <c r="SMJ133" s="4"/>
      <c r="SMK133" s="4"/>
      <c r="SML133" s="4"/>
      <c r="SMM133" s="4"/>
      <c r="SMN133" s="4"/>
      <c r="SMO133" s="4"/>
      <c r="SMP133" s="4"/>
      <c r="SMQ133" s="4"/>
      <c r="SMR133" s="4"/>
      <c r="SMS133" s="4"/>
      <c r="SMT133" s="4"/>
      <c r="SMU133" s="4"/>
      <c r="SMV133" s="4"/>
      <c r="SMW133" s="4"/>
      <c r="SMX133" s="4"/>
      <c r="SMY133" s="4"/>
      <c r="SMZ133" s="4"/>
      <c r="SNA133" s="4"/>
      <c r="SNB133" s="4"/>
      <c r="SNC133" s="4"/>
      <c r="SND133" s="4"/>
      <c r="SNE133" s="4"/>
      <c r="SNF133" s="4"/>
      <c r="SNG133" s="4"/>
      <c r="SNH133" s="4"/>
      <c r="SNI133" s="4"/>
      <c r="SNJ133" s="4"/>
      <c r="SNK133" s="4"/>
      <c r="SNL133" s="4"/>
      <c r="SNM133" s="4"/>
      <c r="SNN133" s="4"/>
      <c r="SNO133" s="4"/>
      <c r="SNP133" s="4"/>
      <c r="SNQ133" s="4"/>
      <c r="SNR133" s="4"/>
      <c r="SNS133" s="4"/>
      <c r="SNT133" s="4"/>
      <c r="SNU133" s="4"/>
      <c r="SNV133" s="4"/>
      <c r="SNW133" s="4"/>
      <c r="SNX133" s="4"/>
      <c r="SNY133" s="4"/>
      <c r="SNZ133" s="4"/>
      <c r="SOA133" s="4"/>
      <c r="SOB133" s="4"/>
      <c r="SOC133" s="4"/>
      <c r="SOD133" s="4"/>
      <c r="SOE133" s="4"/>
      <c r="SOF133" s="4"/>
      <c r="SOG133" s="4"/>
      <c r="SOH133" s="4"/>
      <c r="SOI133" s="4"/>
      <c r="SOJ133" s="4"/>
      <c r="SOK133" s="4"/>
      <c r="SOL133" s="4"/>
      <c r="SOM133" s="4"/>
      <c r="SON133" s="4"/>
      <c r="SOO133" s="4"/>
      <c r="SOP133" s="4"/>
      <c r="SOQ133" s="4"/>
      <c r="SOR133" s="4"/>
      <c r="SOS133" s="4"/>
      <c r="SOT133" s="4"/>
      <c r="SOU133" s="4"/>
      <c r="SOV133" s="4"/>
      <c r="SOW133" s="4"/>
      <c r="SOX133" s="4"/>
      <c r="SOY133" s="4"/>
      <c r="SOZ133" s="4"/>
      <c r="SPA133" s="4"/>
      <c r="SPB133" s="4"/>
      <c r="SPC133" s="4"/>
      <c r="SPD133" s="4"/>
      <c r="SPE133" s="4"/>
      <c r="SPF133" s="4"/>
      <c r="SPG133" s="4"/>
      <c r="SPH133" s="4"/>
      <c r="SPI133" s="4"/>
      <c r="SPJ133" s="4"/>
      <c r="SPK133" s="4"/>
      <c r="SPL133" s="4"/>
      <c r="SPM133" s="4"/>
      <c r="SPN133" s="4"/>
      <c r="SPO133" s="4"/>
      <c r="SPP133" s="4"/>
      <c r="SPQ133" s="4"/>
      <c r="SPR133" s="4"/>
      <c r="SPS133" s="4"/>
      <c r="SPT133" s="4"/>
      <c r="SPU133" s="4"/>
      <c r="SPV133" s="4"/>
      <c r="SPW133" s="4"/>
      <c r="SPX133" s="4"/>
      <c r="SPY133" s="4"/>
      <c r="SPZ133" s="4"/>
      <c r="SQA133" s="4"/>
      <c r="SQB133" s="4"/>
      <c r="SQC133" s="4"/>
      <c r="SQD133" s="4"/>
      <c r="SQE133" s="4"/>
      <c r="SQF133" s="4"/>
      <c r="SQG133" s="4"/>
      <c r="SQH133" s="4"/>
      <c r="SQI133" s="4"/>
      <c r="SQJ133" s="4"/>
      <c r="SQK133" s="4"/>
      <c r="SQL133" s="4"/>
      <c r="SQM133" s="4"/>
      <c r="SQN133" s="4"/>
      <c r="SQO133" s="4"/>
      <c r="SQP133" s="4"/>
      <c r="SQQ133" s="4"/>
      <c r="SQR133" s="4"/>
      <c r="SQS133" s="4"/>
      <c r="SQT133" s="4"/>
      <c r="SQU133" s="4"/>
      <c r="SQV133" s="4"/>
      <c r="SQW133" s="4"/>
      <c r="SQX133" s="4"/>
      <c r="SQY133" s="4"/>
      <c r="SQZ133" s="4"/>
      <c r="SRA133" s="4"/>
      <c r="SRB133" s="4"/>
      <c r="SRC133" s="4"/>
      <c r="SRD133" s="4"/>
      <c r="SRE133" s="4"/>
      <c r="SRF133" s="4"/>
      <c r="SRG133" s="4"/>
      <c r="SRH133" s="4"/>
      <c r="SRI133" s="4"/>
      <c r="SRJ133" s="4"/>
      <c r="SRK133" s="4"/>
      <c r="SRL133" s="4"/>
      <c r="SRM133" s="4"/>
      <c r="SRN133" s="4"/>
      <c r="SRO133" s="4"/>
      <c r="SRP133" s="4"/>
      <c r="SRQ133" s="4"/>
      <c r="SRR133" s="4"/>
      <c r="SRS133" s="4"/>
      <c r="SRT133" s="4"/>
      <c r="SRU133" s="4"/>
      <c r="SRV133" s="4"/>
      <c r="SRW133" s="4"/>
      <c r="SRX133" s="4"/>
      <c r="SRY133" s="4"/>
      <c r="SRZ133" s="4"/>
      <c r="SSA133" s="4"/>
      <c r="SSB133" s="4"/>
      <c r="SSC133" s="4"/>
      <c r="SSD133" s="4"/>
      <c r="SSE133" s="4"/>
      <c r="SSF133" s="4"/>
      <c r="SSG133" s="4"/>
      <c r="SSH133" s="4"/>
      <c r="SSI133" s="4"/>
      <c r="SSJ133" s="4"/>
      <c r="SSK133" s="4"/>
      <c r="SSL133" s="4"/>
      <c r="SSM133" s="4"/>
      <c r="SSN133" s="4"/>
      <c r="SSO133" s="4"/>
      <c r="SSP133" s="4"/>
      <c r="SSQ133" s="4"/>
      <c r="SSR133" s="4"/>
      <c r="SSS133" s="4"/>
      <c r="SST133" s="4"/>
      <c r="SSU133" s="4"/>
      <c r="SSV133" s="4"/>
      <c r="SSW133" s="4"/>
      <c r="SSX133" s="4"/>
      <c r="SSY133" s="4"/>
      <c r="SSZ133" s="4"/>
      <c r="STA133" s="4"/>
      <c r="STB133" s="4"/>
      <c r="STC133" s="4"/>
      <c r="STD133" s="4"/>
      <c r="STE133" s="4"/>
      <c r="STF133" s="4"/>
      <c r="STG133" s="4"/>
      <c r="STH133" s="4"/>
      <c r="STI133" s="4"/>
      <c r="STJ133" s="4"/>
      <c r="STK133" s="4"/>
      <c r="STL133" s="4"/>
      <c r="STM133" s="4"/>
      <c r="STN133" s="4"/>
      <c r="STO133" s="4"/>
      <c r="STP133" s="4"/>
      <c r="STQ133" s="4"/>
      <c r="STR133" s="4"/>
      <c r="STS133" s="4"/>
      <c r="STT133" s="4"/>
      <c r="STU133" s="4"/>
      <c r="STV133" s="4"/>
      <c r="STW133" s="4"/>
      <c r="STX133" s="4"/>
      <c r="STY133" s="4"/>
      <c r="STZ133" s="4"/>
      <c r="SUA133" s="4"/>
      <c r="SUB133" s="4"/>
      <c r="SUC133" s="4"/>
      <c r="SUD133" s="4"/>
      <c r="SUE133" s="4"/>
      <c r="SUF133" s="4"/>
      <c r="SUG133" s="4"/>
      <c r="SUH133" s="4"/>
      <c r="SUI133" s="4"/>
      <c r="SUJ133" s="4"/>
      <c r="SUK133" s="4"/>
      <c r="SUL133" s="4"/>
      <c r="SUM133" s="4"/>
      <c r="SUN133" s="4"/>
      <c r="SUO133" s="4"/>
      <c r="SUP133" s="4"/>
      <c r="SUQ133" s="4"/>
      <c r="SUR133" s="4"/>
      <c r="SUS133" s="4"/>
      <c r="SUT133" s="4"/>
      <c r="SUU133" s="4"/>
      <c r="SUV133" s="4"/>
      <c r="SUW133" s="4"/>
      <c r="SUX133" s="4"/>
      <c r="SUY133" s="4"/>
      <c r="SUZ133" s="4"/>
      <c r="SVA133" s="4"/>
      <c r="SVB133" s="4"/>
      <c r="SVC133" s="4"/>
      <c r="SVD133" s="4"/>
      <c r="SVE133" s="4"/>
      <c r="SVF133" s="4"/>
      <c r="SVG133" s="4"/>
      <c r="SVH133" s="4"/>
      <c r="SVI133" s="4"/>
      <c r="SVJ133" s="4"/>
      <c r="SVK133" s="4"/>
      <c r="SVL133" s="4"/>
      <c r="SVM133" s="4"/>
      <c r="SVN133" s="4"/>
      <c r="SVO133" s="4"/>
      <c r="SVP133" s="4"/>
      <c r="SVQ133" s="4"/>
      <c r="SVR133" s="4"/>
      <c r="SVS133" s="4"/>
      <c r="SVT133" s="4"/>
      <c r="SVU133" s="4"/>
      <c r="SVV133" s="4"/>
      <c r="SVW133" s="4"/>
      <c r="SVX133" s="4"/>
      <c r="SVY133" s="4"/>
      <c r="SVZ133" s="4"/>
      <c r="SWA133" s="4"/>
      <c r="SWB133" s="4"/>
      <c r="SWC133" s="4"/>
      <c r="SWD133" s="4"/>
      <c r="SWE133" s="4"/>
      <c r="SWF133" s="4"/>
      <c r="SWG133" s="4"/>
      <c r="SWH133" s="4"/>
      <c r="SWI133" s="4"/>
      <c r="SWJ133" s="4"/>
      <c r="SWK133" s="4"/>
      <c r="SWL133" s="4"/>
      <c r="SWM133" s="4"/>
      <c r="SWN133" s="4"/>
      <c r="SWO133" s="4"/>
      <c r="SWP133" s="4"/>
      <c r="SWQ133" s="4"/>
      <c r="SWR133" s="4"/>
      <c r="SWS133" s="4"/>
      <c r="SWT133" s="4"/>
      <c r="SWU133" s="4"/>
      <c r="SWV133" s="4"/>
      <c r="SWW133" s="4"/>
      <c r="SWX133" s="4"/>
      <c r="SWY133" s="4"/>
      <c r="SWZ133" s="4"/>
      <c r="SXA133" s="4"/>
      <c r="SXB133" s="4"/>
      <c r="SXC133" s="4"/>
      <c r="SXD133" s="4"/>
      <c r="SXE133" s="4"/>
      <c r="SXF133" s="4"/>
      <c r="SXG133" s="4"/>
      <c r="SXH133" s="4"/>
      <c r="SXI133" s="4"/>
      <c r="SXJ133" s="4"/>
      <c r="SXK133" s="4"/>
      <c r="SXL133" s="4"/>
      <c r="SXM133" s="4"/>
      <c r="SXN133" s="4"/>
      <c r="SXO133" s="4"/>
      <c r="SXP133" s="4"/>
      <c r="SXQ133" s="4"/>
      <c r="SXR133" s="4"/>
      <c r="SXS133" s="4"/>
      <c r="SXT133" s="4"/>
      <c r="SXU133" s="4"/>
      <c r="SXV133" s="4"/>
      <c r="SXW133" s="4"/>
      <c r="SXX133" s="4"/>
      <c r="SXY133" s="4"/>
      <c r="SXZ133" s="4"/>
      <c r="SYA133" s="4"/>
      <c r="SYB133" s="4"/>
      <c r="SYC133" s="4"/>
      <c r="SYD133" s="4"/>
      <c r="SYE133" s="4"/>
      <c r="SYF133" s="4"/>
      <c r="SYG133" s="4"/>
      <c r="SYH133" s="4"/>
      <c r="SYI133" s="4"/>
      <c r="SYJ133" s="4"/>
      <c r="SYK133" s="4"/>
      <c r="SYL133" s="4"/>
      <c r="SYM133" s="4"/>
      <c r="SYN133" s="4"/>
      <c r="SYO133" s="4"/>
      <c r="SYP133" s="4"/>
      <c r="SYQ133" s="4"/>
      <c r="SYR133" s="4"/>
      <c r="SYS133" s="4"/>
      <c r="SYT133" s="4"/>
      <c r="SYU133" s="4"/>
      <c r="SYV133" s="4"/>
      <c r="SYW133" s="4"/>
      <c r="SYX133" s="4"/>
      <c r="SYY133" s="4"/>
      <c r="SYZ133" s="4"/>
      <c r="SZA133" s="4"/>
      <c r="SZB133" s="4"/>
      <c r="SZC133" s="4"/>
      <c r="SZD133" s="4"/>
      <c r="SZE133" s="4"/>
      <c r="SZF133" s="4"/>
      <c r="SZG133" s="4"/>
      <c r="SZH133" s="4"/>
      <c r="SZI133" s="4"/>
      <c r="SZJ133" s="4"/>
      <c r="SZK133" s="4"/>
      <c r="SZL133" s="4"/>
      <c r="SZM133" s="4"/>
      <c r="SZN133" s="4"/>
      <c r="SZO133" s="4"/>
      <c r="SZP133" s="4"/>
      <c r="SZQ133" s="4"/>
      <c r="SZR133" s="4"/>
      <c r="SZS133" s="4"/>
      <c r="SZT133" s="4"/>
      <c r="SZU133" s="4"/>
      <c r="SZV133" s="4"/>
      <c r="SZW133" s="4"/>
      <c r="SZX133" s="4"/>
      <c r="SZY133" s="4"/>
      <c r="SZZ133" s="4"/>
      <c r="TAA133" s="4"/>
      <c r="TAB133" s="4"/>
      <c r="TAC133" s="4"/>
      <c r="TAD133" s="4"/>
      <c r="TAE133" s="4"/>
      <c r="TAF133" s="4"/>
      <c r="TAG133" s="4"/>
      <c r="TAH133" s="4"/>
      <c r="TAI133" s="4"/>
      <c r="TAJ133" s="4"/>
      <c r="TAK133" s="4"/>
      <c r="TAL133" s="4"/>
      <c r="TAM133" s="4"/>
      <c r="TAN133" s="4"/>
      <c r="TAO133" s="4"/>
      <c r="TAP133" s="4"/>
      <c r="TAQ133" s="4"/>
      <c r="TAR133" s="4"/>
      <c r="TAS133" s="4"/>
      <c r="TAT133" s="4"/>
      <c r="TAU133" s="4"/>
      <c r="TAV133" s="4"/>
      <c r="TAW133" s="4"/>
      <c r="TAX133" s="4"/>
      <c r="TAY133" s="4"/>
      <c r="TAZ133" s="4"/>
      <c r="TBA133" s="4"/>
      <c r="TBB133" s="4"/>
      <c r="TBC133" s="4"/>
      <c r="TBD133" s="4"/>
      <c r="TBE133" s="4"/>
      <c r="TBF133" s="4"/>
      <c r="TBG133" s="4"/>
      <c r="TBH133" s="4"/>
      <c r="TBI133" s="4"/>
      <c r="TBJ133" s="4"/>
      <c r="TBK133" s="4"/>
      <c r="TBL133" s="4"/>
      <c r="TBM133" s="4"/>
      <c r="TBN133" s="4"/>
      <c r="TBO133" s="4"/>
      <c r="TBP133" s="4"/>
      <c r="TBQ133" s="4"/>
      <c r="TBR133" s="4"/>
      <c r="TBS133" s="4"/>
      <c r="TBT133" s="4"/>
      <c r="TBU133" s="4"/>
      <c r="TBV133" s="4"/>
      <c r="TBW133" s="4"/>
      <c r="TBX133" s="4"/>
      <c r="TBY133" s="4"/>
      <c r="TBZ133" s="4"/>
      <c r="TCA133" s="4"/>
      <c r="TCB133" s="4"/>
      <c r="TCC133" s="4"/>
      <c r="TCD133" s="4"/>
      <c r="TCE133" s="4"/>
      <c r="TCF133" s="4"/>
      <c r="TCG133" s="4"/>
      <c r="TCH133" s="4"/>
      <c r="TCI133" s="4"/>
      <c r="TCJ133" s="4"/>
      <c r="TCK133" s="4"/>
      <c r="TCL133" s="4"/>
      <c r="TCM133" s="4"/>
      <c r="TCN133" s="4"/>
      <c r="TCO133" s="4"/>
      <c r="TCP133" s="4"/>
      <c r="TCQ133" s="4"/>
      <c r="TCR133" s="4"/>
      <c r="TCS133" s="4"/>
      <c r="TCT133" s="4"/>
      <c r="TCU133" s="4"/>
      <c r="TCV133" s="4"/>
      <c r="TCW133" s="4"/>
      <c r="TCX133" s="4"/>
      <c r="TCY133" s="4"/>
      <c r="TCZ133" s="4"/>
      <c r="TDA133" s="4"/>
      <c r="TDB133" s="4"/>
      <c r="TDC133" s="4"/>
      <c r="TDD133" s="4"/>
      <c r="TDE133" s="4"/>
      <c r="TDF133" s="4"/>
      <c r="TDG133" s="4"/>
      <c r="TDH133" s="4"/>
      <c r="TDI133" s="4"/>
      <c r="TDJ133" s="4"/>
      <c r="TDK133" s="4"/>
      <c r="TDL133" s="4"/>
      <c r="TDM133" s="4"/>
      <c r="TDN133" s="4"/>
      <c r="TDO133" s="4"/>
      <c r="TDP133" s="4"/>
      <c r="TDQ133" s="4"/>
      <c r="TDR133" s="4"/>
      <c r="TDS133" s="4"/>
      <c r="TDT133" s="4"/>
      <c r="TDU133" s="4"/>
      <c r="TDV133" s="4"/>
      <c r="TDW133" s="4"/>
      <c r="TDX133" s="4"/>
      <c r="TDY133" s="4"/>
      <c r="TDZ133" s="4"/>
      <c r="TEA133" s="4"/>
      <c r="TEB133" s="4"/>
      <c r="TEC133" s="4"/>
      <c r="TED133" s="4"/>
      <c r="TEE133" s="4"/>
      <c r="TEF133" s="4"/>
      <c r="TEG133" s="4"/>
      <c r="TEH133" s="4"/>
      <c r="TEI133" s="4"/>
      <c r="TEJ133" s="4"/>
      <c r="TEK133" s="4"/>
      <c r="TEL133" s="4"/>
      <c r="TEM133" s="4"/>
      <c r="TEN133" s="4"/>
      <c r="TEO133" s="4"/>
      <c r="TEP133" s="4"/>
      <c r="TEQ133" s="4"/>
      <c r="TER133" s="4"/>
      <c r="TES133" s="4"/>
      <c r="TET133" s="4"/>
      <c r="TEU133" s="4"/>
      <c r="TEV133" s="4"/>
      <c r="TEW133" s="4"/>
      <c r="TEX133" s="4"/>
      <c r="TEY133" s="4"/>
      <c r="TEZ133" s="4"/>
      <c r="TFA133" s="4"/>
      <c r="TFB133" s="4"/>
      <c r="TFC133" s="4"/>
      <c r="TFD133" s="4"/>
      <c r="TFE133" s="4"/>
      <c r="TFF133" s="4"/>
      <c r="TFG133" s="4"/>
      <c r="TFH133" s="4"/>
      <c r="TFI133" s="4"/>
      <c r="TFJ133" s="4"/>
      <c r="TFK133" s="4"/>
      <c r="TFL133" s="4"/>
      <c r="TFM133" s="4"/>
      <c r="TFN133" s="4"/>
      <c r="TFO133" s="4"/>
      <c r="TFP133" s="4"/>
      <c r="TFQ133" s="4"/>
      <c r="TFR133" s="4"/>
      <c r="TFS133" s="4"/>
      <c r="TFT133" s="4"/>
      <c r="TFU133" s="4"/>
      <c r="TFV133" s="4"/>
      <c r="TFW133" s="4"/>
      <c r="TFX133" s="4"/>
      <c r="TFY133" s="4"/>
      <c r="TFZ133" s="4"/>
      <c r="TGA133" s="4"/>
      <c r="TGB133" s="4"/>
      <c r="TGC133" s="4"/>
      <c r="TGD133" s="4"/>
      <c r="TGE133" s="4"/>
      <c r="TGF133" s="4"/>
      <c r="TGG133" s="4"/>
      <c r="TGH133" s="4"/>
      <c r="TGI133" s="4"/>
      <c r="TGJ133" s="4"/>
      <c r="TGK133" s="4"/>
      <c r="TGL133" s="4"/>
      <c r="TGM133" s="4"/>
      <c r="TGN133" s="4"/>
      <c r="TGO133" s="4"/>
      <c r="TGP133" s="4"/>
      <c r="TGQ133" s="4"/>
      <c r="TGR133" s="4"/>
      <c r="TGS133" s="4"/>
      <c r="TGT133" s="4"/>
      <c r="TGU133" s="4"/>
      <c r="TGV133" s="4"/>
      <c r="TGW133" s="4"/>
      <c r="TGX133" s="4"/>
      <c r="TGY133" s="4"/>
      <c r="TGZ133" s="4"/>
      <c r="THA133" s="4"/>
      <c r="THB133" s="4"/>
      <c r="THC133" s="4"/>
      <c r="THD133" s="4"/>
      <c r="THE133" s="4"/>
      <c r="THF133" s="4"/>
      <c r="THG133" s="4"/>
      <c r="THH133" s="4"/>
      <c r="THI133" s="4"/>
      <c r="THJ133" s="4"/>
      <c r="THK133" s="4"/>
      <c r="THL133" s="4"/>
      <c r="THM133" s="4"/>
      <c r="THN133" s="4"/>
      <c r="THO133" s="4"/>
      <c r="THP133" s="4"/>
      <c r="THQ133" s="4"/>
      <c r="THR133" s="4"/>
      <c r="THS133" s="4"/>
      <c r="THT133" s="4"/>
      <c r="THU133" s="4"/>
      <c r="THV133" s="4"/>
      <c r="THW133" s="4"/>
      <c r="THX133" s="4"/>
      <c r="THY133" s="4"/>
      <c r="THZ133" s="4"/>
      <c r="TIA133" s="4"/>
      <c r="TIB133" s="4"/>
      <c r="TIC133" s="4"/>
      <c r="TID133" s="4"/>
      <c r="TIE133" s="4"/>
      <c r="TIF133" s="4"/>
      <c r="TIG133" s="4"/>
      <c r="TIH133" s="4"/>
      <c r="TII133" s="4"/>
      <c r="TIJ133" s="4"/>
      <c r="TIK133" s="4"/>
      <c r="TIL133" s="4"/>
      <c r="TIM133" s="4"/>
      <c r="TIN133" s="4"/>
      <c r="TIO133" s="4"/>
      <c r="TIP133" s="4"/>
      <c r="TIQ133" s="4"/>
      <c r="TIR133" s="4"/>
      <c r="TIS133" s="4"/>
      <c r="TIT133" s="4"/>
      <c r="TIU133" s="4"/>
      <c r="TIV133" s="4"/>
      <c r="TIW133" s="4"/>
      <c r="TIX133" s="4"/>
      <c r="TIY133" s="4"/>
      <c r="TIZ133" s="4"/>
      <c r="TJA133" s="4"/>
      <c r="TJB133" s="4"/>
      <c r="TJC133" s="4"/>
      <c r="TJD133" s="4"/>
      <c r="TJE133" s="4"/>
      <c r="TJF133" s="4"/>
      <c r="TJG133" s="4"/>
      <c r="TJH133" s="4"/>
      <c r="TJI133" s="4"/>
      <c r="TJJ133" s="4"/>
      <c r="TJK133" s="4"/>
      <c r="TJL133" s="4"/>
      <c r="TJM133" s="4"/>
      <c r="TJN133" s="4"/>
      <c r="TJO133" s="4"/>
      <c r="TJP133" s="4"/>
      <c r="TJQ133" s="4"/>
      <c r="TJR133" s="4"/>
      <c r="TJS133" s="4"/>
      <c r="TJT133" s="4"/>
      <c r="TJU133" s="4"/>
      <c r="TJV133" s="4"/>
      <c r="TJW133" s="4"/>
      <c r="TJX133" s="4"/>
      <c r="TJY133" s="4"/>
      <c r="TJZ133" s="4"/>
      <c r="TKA133" s="4"/>
      <c r="TKB133" s="4"/>
      <c r="TKC133" s="4"/>
      <c r="TKD133" s="4"/>
      <c r="TKE133" s="4"/>
      <c r="TKF133" s="4"/>
      <c r="TKG133" s="4"/>
      <c r="TKH133" s="4"/>
      <c r="TKI133" s="4"/>
      <c r="TKJ133" s="4"/>
      <c r="TKK133" s="4"/>
      <c r="TKL133" s="4"/>
      <c r="TKM133" s="4"/>
      <c r="TKN133" s="4"/>
      <c r="TKO133" s="4"/>
      <c r="TKP133" s="4"/>
      <c r="TKQ133" s="4"/>
      <c r="TKR133" s="4"/>
      <c r="TKS133" s="4"/>
      <c r="TKT133" s="4"/>
      <c r="TKU133" s="4"/>
      <c r="TKV133" s="4"/>
      <c r="TKW133" s="4"/>
      <c r="TKX133" s="4"/>
      <c r="TKY133" s="4"/>
      <c r="TKZ133" s="4"/>
      <c r="TLA133" s="4"/>
      <c r="TLB133" s="4"/>
      <c r="TLC133" s="4"/>
      <c r="TLD133" s="4"/>
      <c r="TLE133" s="4"/>
      <c r="TLF133" s="4"/>
      <c r="TLG133" s="4"/>
      <c r="TLH133" s="4"/>
      <c r="TLI133" s="4"/>
      <c r="TLJ133" s="4"/>
      <c r="TLK133" s="4"/>
      <c r="TLL133" s="4"/>
      <c r="TLM133" s="4"/>
      <c r="TLN133" s="4"/>
      <c r="TLO133" s="4"/>
      <c r="TLP133" s="4"/>
      <c r="TLQ133" s="4"/>
      <c r="TLR133" s="4"/>
      <c r="TLS133" s="4"/>
      <c r="TLT133" s="4"/>
      <c r="TLU133" s="4"/>
      <c r="TLV133" s="4"/>
      <c r="TLW133" s="4"/>
      <c r="TLX133" s="4"/>
      <c r="TLY133" s="4"/>
      <c r="TLZ133" s="4"/>
      <c r="TMA133" s="4"/>
      <c r="TMB133" s="4"/>
      <c r="TMC133" s="4"/>
      <c r="TMD133" s="4"/>
      <c r="TME133" s="4"/>
      <c r="TMF133" s="4"/>
      <c r="TMG133" s="4"/>
      <c r="TMH133" s="4"/>
      <c r="TMI133" s="4"/>
      <c r="TMJ133" s="4"/>
      <c r="TMK133" s="4"/>
      <c r="TML133" s="4"/>
      <c r="TMM133" s="4"/>
      <c r="TMN133" s="4"/>
      <c r="TMO133" s="4"/>
      <c r="TMP133" s="4"/>
      <c r="TMQ133" s="4"/>
      <c r="TMR133" s="4"/>
      <c r="TMS133" s="4"/>
      <c r="TMT133" s="4"/>
      <c r="TMU133" s="4"/>
      <c r="TMV133" s="4"/>
      <c r="TMW133" s="4"/>
      <c r="TMX133" s="4"/>
      <c r="TMY133" s="4"/>
      <c r="TMZ133" s="4"/>
      <c r="TNA133" s="4"/>
      <c r="TNB133" s="4"/>
      <c r="TNC133" s="4"/>
      <c r="TND133" s="4"/>
      <c r="TNE133" s="4"/>
      <c r="TNF133" s="4"/>
      <c r="TNG133" s="4"/>
      <c r="TNH133" s="4"/>
      <c r="TNI133" s="4"/>
      <c r="TNJ133" s="4"/>
      <c r="TNK133" s="4"/>
      <c r="TNL133" s="4"/>
      <c r="TNM133" s="4"/>
      <c r="TNN133" s="4"/>
      <c r="TNO133" s="4"/>
      <c r="TNP133" s="4"/>
      <c r="TNQ133" s="4"/>
      <c r="TNR133" s="4"/>
      <c r="TNS133" s="4"/>
      <c r="TNT133" s="4"/>
      <c r="TNU133" s="4"/>
      <c r="TNV133" s="4"/>
      <c r="TNW133" s="4"/>
      <c r="TNX133" s="4"/>
      <c r="TNY133" s="4"/>
      <c r="TNZ133" s="4"/>
      <c r="TOA133" s="4"/>
      <c r="TOB133" s="4"/>
      <c r="TOC133" s="4"/>
      <c r="TOD133" s="4"/>
      <c r="TOE133" s="4"/>
      <c r="TOF133" s="4"/>
      <c r="TOG133" s="4"/>
      <c r="TOH133" s="4"/>
      <c r="TOI133" s="4"/>
      <c r="TOJ133" s="4"/>
      <c r="TOK133" s="4"/>
      <c r="TOL133" s="4"/>
      <c r="TOM133" s="4"/>
      <c r="TON133" s="4"/>
      <c r="TOO133" s="4"/>
      <c r="TOP133" s="4"/>
      <c r="TOQ133" s="4"/>
      <c r="TOR133" s="4"/>
      <c r="TOS133" s="4"/>
      <c r="TOT133" s="4"/>
      <c r="TOU133" s="4"/>
      <c r="TOV133" s="4"/>
      <c r="TOW133" s="4"/>
      <c r="TOX133" s="4"/>
      <c r="TOY133" s="4"/>
      <c r="TOZ133" s="4"/>
      <c r="TPA133" s="4"/>
      <c r="TPB133" s="4"/>
      <c r="TPC133" s="4"/>
      <c r="TPD133" s="4"/>
      <c r="TPE133" s="4"/>
      <c r="TPF133" s="4"/>
      <c r="TPG133" s="4"/>
      <c r="TPH133" s="4"/>
      <c r="TPI133" s="4"/>
      <c r="TPJ133" s="4"/>
      <c r="TPK133" s="4"/>
      <c r="TPL133" s="4"/>
      <c r="TPM133" s="4"/>
      <c r="TPN133" s="4"/>
      <c r="TPO133" s="4"/>
      <c r="TPP133" s="4"/>
      <c r="TPQ133" s="4"/>
      <c r="TPR133" s="4"/>
      <c r="TPS133" s="4"/>
      <c r="TPT133" s="4"/>
      <c r="TPU133" s="4"/>
      <c r="TPV133" s="4"/>
      <c r="TPW133" s="4"/>
      <c r="TPX133" s="4"/>
      <c r="TPY133" s="4"/>
      <c r="TPZ133" s="4"/>
      <c r="TQA133" s="4"/>
      <c r="TQB133" s="4"/>
      <c r="TQC133" s="4"/>
      <c r="TQD133" s="4"/>
      <c r="TQE133" s="4"/>
      <c r="TQF133" s="4"/>
      <c r="TQG133" s="4"/>
      <c r="TQH133" s="4"/>
      <c r="TQI133" s="4"/>
      <c r="TQJ133" s="4"/>
      <c r="TQK133" s="4"/>
      <c r="TQL133" s="4"/>
      <c r="TQM133" s="4"/>
      <c r="TQN133" s="4"/>
      <c r="TQO133" s="4"/>
      <c r="TQP133" s="4"/>
      <c r="TQQ133" s="4"/>
      <c r="TQR133" s="4"/>
      <c r="TQS133" s="4"/>
      <c r="TQT133" s="4"/>
      <c r="TQU133" s="4"/>
      <c r="TQV133" s="4"/>
      <c r="TQW133" s="4"/>
      <c r="TQX133" s="4"/>
      <c r="TQY133" s="4"/>
      <c r="TQZ133" s="4"/>
      <c r="TRA133" s="4"/>
      <c r="TRB133" s="4"/>
      <c r="TRC133" s="4"/>
      <c r="TRD133" s="4"/>
      <c r="TRE133" s="4"/>
      <c r="TRF133" s="4"/>
      <c r="TRG133" s="4"/>
      <c r="TRH133" s="4"/>
      <c r="TRI133" s="4"/>
      <c r="TRJ133" s="4"/>
      <c r="TRK133" s="4"/>
      <c r="TRL133" s="4"/>
      <c r="TRM133" s="4"/>
      <c r="TRN133" s="4"/>
      <c r="TRO133" s="4"/>
      <c r="TRP133" s="4"/>
      <c r="TRQ133" s="4"/>
      <c r="TRR133" s="4"/>
      <c r="TRS133" s="4"/>
      <c r="TRT133" s="4"/>
      <c r="TRU133" s="4"/>
      <c r="TRV133" s="4"/>
      <c r="TRW133" s="4"/>
      <c r="TRX133" s="4"/>
      <c r="TRY133" s="4"/>
      <c r="TRZ133" s="4"/>
      <c r="TSA133" s="4"/>
      <c r="TSB133" s="4"/>
      <c r="TSC133" s="4"/>
      <c r="TSD133" s="4"/>
      <c r="TSE133" s="4"/>
      <c r="TSF133" s="4"/>
      <c r="TSG133" s="4"/>
      <c r="TSH133" s="4"/>
      <c r="TSI133" s="4"/>
      <c r="TSJ133" s="4"/>
      <c r="TSK133" s="4"/>
      <c r="TSL133" s="4"/>
      <c r="TSM133" s="4"/>
      <c r="TSN133" s="4"/>
      <c r="TSO133" s="4"/>
      <c r="TSP133" s="4"/>
      <c r="TSQ133" s="4"/>
      <c r="TSR133" s="4"/>
      <c r="TSS133" s="4"/>
      <c r="TST133" s="4"/>
      <c r="TSU133" s="4"/>
      <c r="TSV133" s="4"/>
      <c r="TSW133" s="4"/>
      <c r="TSX133" s="4"/>
      <c r="TSY133" s="4"/>
      <c r="TSZ133" s="4"/>
      <c r="TTA133" s="4"/>
      <c r="TTB133" s="4"/>
      <c r="TTC133" s="4"/>
      <c r="TTD133" s="4"/>
      <c r="TTE133" s="4"/>
      <c r="TTF133" s="4"/>
      <c r="TTG133" s="4"/>
      <c r="TTH133" s="4"/>
      <c r="TTI133" s="4"/>
      <c r="TTJ133" s="4"/>
      <c r="TTK133" s="4"/>
      <c r="TTL133" s="4"/>
      <c r="TTM133" s="4"/>
      <c r="TTN133" s="4"/>
      <c r="TTO133" s="4"/>
      <c r="TTP133" s="4"/>
      <c r="TTQ133" s="4"/>
      <c r="TTR133" s="4"/>
      <c r="TTS133" s="4"/>
      <c r="TTT133" s="4"/>
      <c r="TTU133" s="4"/>
      <c r="TTV133" s="4"/>
      <c r="TTW133" s="4"/>
      <c r="TTX133" s="4"/>
      <c r="TTY133" s="4"/>
      <c r="TTZ133" s="4"/>
      <c r="TUA133" s="4"/>
      <c r="TUB133" s="4"/>
      <c r="TUC133" s="4"/>
      <c r="TUD133" s="4"/>
      <c r="TUE133" s="4"/>
      <c r="TUF133" s="4"/>
      <c r="TUG133" s="4"/>
      <c r="TUH133" s="4"/>
      <c r="TUI133" s="4"/>
      <c r="TUJ133" s="4"/>
      <c r="TUK133" s="4"/>
      <c r="TUL133" s="4"/>
      <c r="TUM133" s="4"/>
      <c r="TUN133" s="4"/>
      <c r="TUO133" s="4"/>
      <c r="TUP133" s="4"/>
      <c r="TUQ133" s="4"/>
      <c r="TUR133" s="4"/>
      <c r="TUS133" s="4"/>
      <c r="TUT133" s="4"/>
      <c r="TUU133" s="4"/>
      <c r="TUV133" s="4"/>
      <c r="TUW133" s="4"/>
      <c r="TUX133" s="4"/>
      <c r="TUY133" s="4"/>
      <c r="TUZ133" s="4"/>
      <c r="TVA133" s="4"/>
      <c r="TVB133" s="4"/>
      <c r="TVC133" s="4"/>
      <c r="TVD133" s="4"/>
      <c r="TVE133" s="4"/>
      <c r="TVF133" s="4"/>
      <c r="TVG133" s="4"/>
      <c r="TVH133" s="4"/>
      <c r="TVI133" s="4"/>
      <c r="TVJ133" s="4"/>
      <c r="TVK133" s="4"/>
      <c r="TVL133" s="4"/>
      <c r="TVM133" s="4"/>
      <c r="TVN133" s="4"/>
      <c r="TVO133" s="4"/>
      <c r="TVP133" s="4"/>
      <c r="TVQ133" s="4"/>
      <c r="TVR133" s="4"/>
      <c r="TVS133" s="4"/>
      <c r="TVT133" s="4"/>
      <c r="TVU133" s="4"/>
      <c r="TVV133" s="4"/>
      <c r="TVW133" s="4"/>
      <c r="TVX133" s="4"/>
      <c r="TVY133" s="4"/>
      <c r="TVZ133" s="4"/>
      <c r="TWA133" s="4"/>
      <c r="TWB133" s="4"/>
      <c r="TWC133" s="4"/>
      <c r="TWD133" s="4"/>
      <c r="TWE133" s="4"/>
      <c r="TWF133" s="4"/>
      <c r="TWG133" s="4"/>
      <c r="TWH133" s="4"/>
      <c r="TWI133" s="4"/>
      <c r="TWJ133" s="4"/>
      <c r="TWK133" s="4"/>
      <c r="TWL133" s="4"/>
      <c r="TWM133" s="4"/>
      <c r="TWN133" s="4"/>
      <c r="TWO133" s="4"/>
      <c r="TWP133" s="4"/>
      <c r="TWQ133" s="4"/>
      <c r="TWR133" s="4"/>
      <c r="TWS133" s="4"/>
      <c r="TWT133" s="4"/>
      <c r="TWU133" s="4"/>
      <c r="TWV133" s="4"/>
      <c r="TWW133" s="4"/>
      <c r="TWX133" s="4"/>
      <c r="TWY133" s="4"/>
      <c r="TWZ133" s="4"/>
      <c r="TXA133" s="4"/>
      <c r="TXB133" s="4"/>
      <c r="TXC133" s="4"/>
      <c r="TXD133" s="4"/>
      <c r="TXE133" s="4"/>
      <c r="TXF133" s="4"/>
      <c r="TXG133" s="4"/>
      <c r="TXH133" s="4"/>
      <c r="TXI133" s="4"/>
      <c r="TXJ133" s="4"/>
      <c r="TXK133" s="4"/>
      <c r="TXL133" s="4"/>
      <c r="TXM133" s="4"/>
      <c r="TXN133" s="4"/>
      <c r="TXO133" s="4"/>
      <c r="TXP133" s="4"/>
      <c r="TXQ133" s="4"/>
      <c r="TXR133" s="4"/>
      <c r="TXS133" s="4"/>
      <c r="TXT133" s="4"/>
      <c r="TXU133" s="4"/>
      <c r="TXV133" s="4"/>
      <c r="TXW133" s="4"/>
      <c r="TXX133" s="4"/>
      <c r="TXY133" s="4"/>
      <c r="TXZ133" s="4"/>
      <c r="TYA133" s="4"/>
      <c r="TYB133" s="4"/>
      <c r="TYC133" s="4"/>
      <c r="TYD133" s="4"/>
      <c r="TYE133" s="4"/>
      <c r="TYF133" s="4"/>
      <c r="TYG133" s="4"/>
      <c r="TYH133" s="4"/>
      <c r="TYI133" s="4"/>
      <c r="TYJ133" s="4"/>
      <c r="TYK133" s="4"/>
      <c r="TYL133" s="4"/>
      <c r="TYM133" s="4"/>
      <c r="TYN133" s="4"/>
      <c r="TYO133" s="4"/>
      <c r="TYP133" s="4"/>
      <c r="TYQ133" s="4"/>
      <c r="TYR133" s="4"/>
      <c r="TYS133" s="4"/>
      <c r="TYT133" s="4"/>
      <c r="TYU133" s="4"/>
      <c r="TYV133" s="4"/>
      <c r="TYW133" s="4"/>
      <c r="TYX133" s="4"/>
      <c r="TYY133" s="4"/>
      <c r="TYZ133" s="4"/>
      <c r="TZA133" s="4"/>
      <c r="TZB133" s="4"/>
      <c r="TZC133" s="4"/>
      <c r="TZD133" s="4"/>
      <c r="TZE133" s="4"/>
      <c r="TZF133" s="4"/>
      <c r="TZG133" s="4"/>
      <c r="TZH133" s="4"/>
      <c r="TZI133" s="4"/>
      <c r="TZJ133" s="4"/>
      <c r="TZK133" s="4"/>
      <c r="TZL133" s="4"/>
      <c r="TZM133" s="4"/>
      <c r="TZN133" s="4"/>
      <c r="TZO133" s="4"/>
      <c r="TZP133" s="4"/>
      <c r="TZQ133" s="4"/>
      <c r="TZR133" s="4"/>
      <c r="TZS133" s="4"/>
      <c r="TZT133" s="4"/>
      <c r="TZU133" s="4"/>
      <c r="TZV133" s="4"/>
      <c r="TZW133" s="4"/>
      <c r="TZX133" s="4"/>
      <c r="TZY133" s="4"/>
      <c r="TZZ133" s="4"/>
      <c r="UAA133" s="4"/>
      <c r="UAB133" s="4"/>
      <c r="UAC133" s="4"/>
      <c r="UAD133" s="4"/>
      <c r="UAE133" s="4"/>
      <c r="UAF133" s="4"/>
      <c r="UAG133" s="4"/>
      <c r="UAH133" s="4"/>
      <c r="UAI133" s="4"/>
      <c r="UAJ133" s="4"/>
      <c r="UAK133" s="4"/>
      <c r="UAL133" s="4"/>
      <c r="UAM133" s="4"/>
      <c r="UAN133" s="4"/>
      <c r="UAO133" s="4"/>
      <c r="UAP133" s="4"/>
      <c r="UAQ133" s="4"/>
      <c r="UAR133" s="4"/>
      <c r="UAS133" s="4"/>
      <c r="UAT133" s="4"/>
      <c r="UAU133" s="4"/>
      <c r="UAV133" s="4"/>
      <c r="UAW133" s="4"/>
      <c r="UAX133" s="4"/>
      <c r="UAY133" s="4"/>
      <c r="UAZ133" s="4"/>
      <c r="UBA133" s="4"/>
      <c r="UBB133" s="4"/>
      <c r="UBC133" s="4"/>
      <c r="UBD133" s="4"/>
      <c r="UBE133" s="4"/>
      <c r="UBF133" s="4"/>
      <c r="UBG133" s="4"/>
      <c r="UBH133" s="4"/>
      <c r="UBI133" s="4"/>
      <c r="UBJ133" s="4"/>
      <c r="UBK133" s="4"/>
      <c r="UBL133" s="4"/>
      <c r="UBM133" s="4"/>
      <c r="UBN133" s="4"/>
      <c r="UBO133" s="4"/>
      <c r="UBP133" s="4"/>
      <c r="UBQ133" s="4"/>
      <c r="UBR133" s="4"/>
      <c r="UBS133" s="4"/>
      <c r="UBT133" s="4"/>
      <c r="UBU133" s="4"/>
      <c r="UBV133" s="4"/>
      <c r="UBW133" s="4"/>
      <c r="UBX133" s="4"/>
      <c r="UBY133" s="4"/>
      <c r="UBZ133" s="4"/>
      <c r="UCA133" s="4"/>
      <c r="UCB133" s="4"/>
      <c r="UCC133" s="4"/>
      <c r="UCD133" s="4"/>
      <c r="UCE133" s="4"/>
      <c r="UCF133" s="4"/>
      <c r="UCG133" s="4"/>
      <c r="UCH133" s="4"/>
      <c r="UCI133" s="4"/>
      <c r="UCJ133" s="4"/>
      <c r="UCK133" s="4"/>
      <c r="UCL133" s="4"/>
      <c r="UCM133" s="4"/>
      <c r="UCN133" s="4"/>
      <c r="UCO133" s="4"/>
      <c r="UCP133" s="4"/>
      <c r="UCQ133" s="4"/>
      <c r="UCR133" s="4"/>
      <c r="UCS133" s="4"/>
      <c r="UCT133" s="4"/>
      <c r="UCU133" s="4"/>
      <c r="UCV133" s="4"/>
      <c r="UCW133" s="4"/>
      <c r="UCX133" s="4"/>
      <c r="UCY133" s="4"/>
      <c r="UCZ133" s="4"/>
      <c r="UDA133" s="4"/>
      <c r="UDB133" s="4"/>
      <c r="UDC133" s="4"/>
      <c r="UDD133" s="4"/>
      <c r="UDE133" s="4"/>
      <c r="UDF133" s="4"/>
      <c r="UDG133" s="4"/>
      <c r="UDH133" s="4"/>
      <c r="UDI133" s="4"/>
      <c r="UDJ133" s="4"/>
      <c r="UDK133" s="4"/>
      <c r="UDL133" s="4"/>
      <c r="UDM133" s="4"/>
      <c r="UDN133" s="4"/>
      <c r="UDO133" s="4"/>
      <c r="UDP133" s="4"/>
      <c r="UDQ133" s="4"/>
      <c r="UDR133" s="4"/>
      <c r="UDS133" s="4"/>
      <c r="UDT133" s="4"/>
      <c r="UDU133" s="4"/>
      <c r="UDV133" s="4"/>
      <c r="UDW133" s="4"/>
      <c r="UDX133" s="4"/>
      <c r="UDY133" s="4"/>
      <c r="UDZ133" s="4"/>
      <c r="UEA133" s="4"/>
      <c r="UEB133" s="4"/>
      <c r="UEC133" s="4"/>
      <c r="UED133" s="4"/>
      <c r="UEE133" s="4"/>
      <c r="UEF133" s="4"/>
      <c r="UEG133" s="4"/>
      <c r="UEH133" s="4"/>
      <c r="UEI133" s="4"/>
      <c r="UEJ133" s="4"/>
      <c r="UEK133" s="4"/>
      <c r="UEL133" s="4"/>
      <c r="UEM133" s="4"/>
      <c r="UEN133" s="4"/>
      <c r="UEO133" s="4"/>
      <c r="UEP133" s="4"/>
      <c r="UEQ133" s="4"/>
      <c r="UER133" s="4"/>
      <c r="UES133" s="4"/>
      <c r="UET133" s="4"/>
      <c r="UEU133" s="4"/>
      <c r="UEV133" s="4"/>
      <c r="UEW133" s="4"/>
      <c r="UEX133" s="4"/>
      <c r="UEY133" s="4"/>
      <c r="UEZ133" s="4"/>
      <c r="UFA133" s="4"/>
      <c r="UFB133" s="4"/>
      <c r="UFC133" s="4"/>
      <c r="UFD133" s="4"/>
      <c r="UFE133" s="4"/>
      <c r="UFF133" s="4"/>
      <c r="UFG133" s="4"/>
      <c r="UFH133" s="4"/>
      <c r="UFI133" s="4"/>
      <c r="UFJ133" s="4"/>
      <c r="UFK133" s="4"/>
      <c r="UFL133" s="4"/>
      <c r="UFM133" s="4"/>
      <c r="UFN133" s="4"/>
      <c r="UFO133" s="4"/>
      <c r="UFP133" s="4"/>
      <c r="UFQ133" s="4"/>
      <c r="UFR133" s="4"/>
      <c r="UFS133" s="4"/>
      <c r="UFT133" s="4"/>
      <c r="UFU133" s="4"/>
      <c r="UFV133" s="4"/>
      <c r="UFW133" s="4"/>
      <c r="UFX133" s="4"/>
      <c r="UFY133" s="4"/>
      <c r="UFZ133" s="4"/>
      <c r="UGA133" s="4"/>
      <c r="UGB133" s="4"/>
      <c r="UGC133" s="4"/>
      <c r="UGD133" s="4"/>
      <c r="UGE133" s="4"/>
      <c r="UGF133" s="4"/>
      <c r="UGG133" s="4"/>
      <c r="UGH133" s="4"/>
      <c r="UGI133" s="4"/>
      <c r="UGJ133" s="4"/>
      <c r="UGK133" s="4"/>
      <c r="UGL133" s="4"/>
      <c r="UGM133" s="4"/>
      <c r="UGN133" s="4"/>
      <c r="UGO133" s="4"/>
      <c r="UGP133" s="4"/>
      <c r="UGQ133" s="4"/>
      <c r="UGR133" s="4"/>
      <c r="UGS133" s="4"/>
      <c r="UGT133" s="4"/>
      <c r="UGU133" s="4"/>
      <c r="UGV133" s="4"/>
      <c r="UGW133" s="4"/>
      <c r="UGX133" s="4"/>
      <c r="UGY133" s="4"/>
      <c r="UGZ133" s="4"/>
      <c r="UHA133" s="4"/>
      <c r="UHB133" s="4"/>
      <c r="UHC133" s="4"/>
      <c r="UHD133" s="4"/>
      <c r="UHE133" s="4"/>
      <c r="UHF133" s="4"/>
      <c r="UHG133" s="4"/>
      <c r="UHH133" s="4"/>
      <c r="UHI133" s="4"/>
      <c r="UHJ133" s="4"/>
      <c r="UHK133" s="4"/>
      <c r="UHL133" s="4"/>
      <c r="UHM133" s="4"/>
      <c r="UHN133" s="4"/>
      <c r="UHO133" s="4"/>
      <c r="UHP133" s="4"/>
      <c r="UHQ133" s="4"/>
      <c r="UHR133" s="4"/>
      <c r="UHS133" s="4"/>
      <c r="UHT133" s="4"/>
      <c r="UHU133" s="4"/>
      <c r="UHV133" s="4"/>
      <c r="UHW133" s="4"/>
      <c r="UHX133" s="4"/>
      <c r="UHY133" s="4"/>
      <c r="UHZ133" s="4"/>
      <c r="UIA133" s="4"/>
      <c r="UIB133" s="4"/>
      <c r="UIC133" s="4"/>
      <c r="UID133" s="4"/>
      <c r="UIE133" s="4"/>
      <c r="UIF133" s="4"/>
      <c r="UIG133" s="4"/>
      <c r="UIH133" s="4"/>
      <c r="UII133" s="4"/>
      <c r="UIJ133" s="4"/>
      <c r="UIK133" s="4"/>
      <c r="UIL133" s="4"/>
      <c r="UIM133" s="4"/>
      <c r="UIN133" s="4"/>
      <c r="UIO133" s="4"/>
      <c r="UIP133" s="4"/>
      <c r="UIQ133" s="4"/>
      <c r="UIR133" s="4"/>
      <c r="UIS133" s="4"/>
      <c r="UIT133" s="4"/>
      <c r="UIU133" s="4"/>
      <c r="UIV133" s="4"/>
      <c r="UIW133" s="4"/>
      <c r="UIX133" s="4"/>
      <c r="UIY133" s="4"/>
      <c r="UIZ133" s="4"/>
      <c r="UJA133" s="4"/>
      <c r="UJB133" s="4"/>
      <c r="UJC133" s="4"/>
      <c r="UJD133" s="4"/>
      <c r="UJE133" s="4"/>
      <c r="UJF133" s="4"/>
      <c r="UJG133" s="4"/>
      <c r="UJH133" s="4"/>
      <c r="UJI133" s="4"/>
      <c r="UJJ133" s="4"/>
      <c r="UJK133" s="4"/>
      <c r="UJL133" s="4"/>
      <c r="UJM133" s="4"/>
      <c r="UJN133" s="4"/>
      <c r="UJO133" s="4"/>
      <c r="UJP133" s="4"/>
      <c r="UJQ133" s="4"/>
      <c r="UJR133" s="4"/>
      <c r="UJS133" s="4"/>
      <c r="UJT133" s="4"/>
      <c r="UJU133" s="4"/>
      <c r="UJV133" s="4"/>
      <c r="UJW133" s="4"/>
      <c r="UJX133" s="4"/>
      <c r="UJY133" s="4"/>
      <c r="UJZ133" s="4"/>
      <c r="UKA133" s="4"/>
      <c r="UKB133" s="4"/>
      <c r="UKC133" s="4"/>
      <c r="UKD133" s="4"/>
      <c r="UKE133" s="4"/>
      <c r="UKF133" s="4"/>
      <c r="UKG133" s="4"/>
      <c r="UKH133" s="4"/>
      <c r="UKI133" s="4"/>
      <c r="UKJ133" s="4"/>
      <c r="UKK133" s="4"/>
      <c r="UKL133" s="4"/>
      <c r="UKM133" s="4"/>
      <c r="UKN133" s="4"/>
      <c r="UKO133" s="4"/>
      <c r="UKP133" s="4"/>
      <c r="UKQ133" s="4"/>
      <c r="UKR133" s="4"/>
      <c r="UKS133" s="4"/>
      <c r="UKT133" s="4"/>
      <c r="UKU133" s="4"/>
      <c r="UKV133" s="4"/>
      <c r="UKW133" s="4"/>
      <c r="UKX133" s="4"/>
      <c r="UKY133" s="4"/>
      <c r="UKZ133" s="4"/>
      <c r="ULA133" s="4"/>
      <c r="ULB133" s="4"/>
      <c r="ULC133" s="4"/>
      <c r="ULD133" s="4"/>
      <c r="ULE133" s="4"/>
      <c r="ULF133" s="4"/>
      <c r="ULG133" s="4"/>
      <c r="ULH133" s="4"/>
      <c r="ULI133" s="4"/>
      <c r="ULJ133" s="4"/>
      <c r="ULK133" s="4"/>
      <c r="ULL133" s="4"/>
      <c r="ULM133" s="4"/>
      <c r="ULN133" s="4"/>
      <c r="ULO133" s="4"/>
      <c r="ULP133" s="4"/>
      <c r="ULQ133" s="4"/>
      <c r="ULR133" s="4"/>
      <c r="ULS133" s="4"/>
      <c r="ULT133" s="4"/>
      <c r="ULU133" s="4"/>
      <c r="ULV133" s="4"/>
      <c r="ULW133" s="4"/>
      <c r="ULX133" s="4"/>
      <c r="ULY133" s="4"/>
      <c r="ULZ133" s="4"/>
      <c r="UMA133" s="4"/>
      <c r="UMB133" s="4"/>
      <c r="UMC133" s="4"/>
      <c r="UMD133" s="4"/>
      <c r="UME133" s="4"/>
      <c r="UMF133" s="4"/>
      <c r="UMG133" s="4"/>
      <c r="UMH133" s="4"/>
      <c r="UMI133" s="4"/>
      <c r="UMJ133" s="4"/>
      <c r="UMK133" s="4"/>
      <c r="UML133" s="4"/>
      <c r="UMM133" s="4"/>
      <c r="UMN133" s="4"/>
      <c r="UMO133" s="4"/>
      <c r="UMP133" s="4"/>
      <c r="UMQ133" s="4"/>
      <c r="UMR133" s="4"/>
      <c r="UMS133" s="4"/>
      <c r="UMT133" s="4"/>
      <c r="UMU133" s="4"/>
      <c r="UMV133" s="4"/>
      <c r="UMW133" s="4"/>
      <c r="UMX133" s="4"/>
      <c r="UMY133" s="4"/>
      <c r="UMZ133" s="4"/>
      <c r="UNA133" s="4"/>
      <c r="UNB133" s="4"/>
      <c r="UNC133" s="4"/>
      <c r="UND133" s="4"/>
      <c r="UNE133" s="4"/>
      <c r="UNF133" s="4"/>
      <c r="UNG133" s="4"/>
      <c r="UNH133" s="4"/>
      <c r="UNI133" s="4"/>
      <c r="UNJ133" s="4"/>
      <c r="UNK133" s="4"/>
      <c r="UNL133" s="4"/>
      <c r="UNM133" s="4"/>
      <c r="UNN133" s="4"/>
      <c r="UNO133" s="4"/>
      <c r="UNP133" s="4"/>
      <c r="UNQ133" s="4"/>
      <c r="UNR133" s="4"/>
      <c r="UNS133" s="4"/>
      <c r="UNT133" s="4"/>
      <c r="UNU133" s="4"/>
      <c r="UNV133" s="4"/>
      <c r="UNW133" s="4"/>
      <c r="UNX133" s="4"/>
      <c r="UNY133" s="4"/>
      <c r="UNZ133" s="4"/>
      <c r="UOA133" s="4"/>
      <c r="UOB133" s="4"/>
      <c r="UOC133" s="4"/>
      <c r="UOD133" s="4"/>
      <c r="UOE133" s="4"/>
      <c r="UOF133" s="4"/>
      <c r="UOG133" s="4"/>
      <c r="UOH133" s="4"/>
      <c r="UOI133" s="4"/>
      <c r="UOJ133" s="4"/>
      <c r="UOK133" s="4"/>
      <c r="UOL133" s="4"/>
      <c r="UOM133" s="4"/>
      <c r="UON133" s="4"/>
      <c r="UOO133" s="4"/>
      <c r="UOP133" s="4"/>
      <c r="UOQ133" s="4"/>
      <c r="UOR133" s="4"/>
      <c r="UOS133" s="4"/>
      <c r="UOT133" s="4"/>
      <c r="UOU133" s="4"/>
      <c r="UOV133" s="4"/>
      <c r="UOW133" s="4"/>
      <c r="UOX133" s="4"/>
      <c r="UOY133" s="4"/>
      <c r="UOZ133" s="4"/>
      <c r="UPA133" s="4"/>
      <c r="UPB133" s="4"/>
      <c r="UPC133" s="4"/>
      <c r="UPD133" s="4"/>
      <c r="UPE133" s="4"/>
      <c r="UPF133" s="4"/>
      <c r="UPG133" s="4"/>
      <c r="UPH133" s="4"/>
      <c r="UPI133" s="4"/>
      <c r="UPJ133" s="4"/>
      <c r="UPK133" s="4"/>
      <c r="UPL133" s="4"/>
      <c r="UPM133" s="4"/>
      <c r="UPN133" s="4"/>
      <c r="UPO133" s="4"/>
      <c r="UPP133" s="4"/>
      <c r="UPQ133" s="4"/>
      <c r="UPR133" s="4"/>
      <c r="UPS133" s="4"/>
      <c r="UPT133" s="4"/>
      <c r="UPU133" s="4"/>
      <c r="UPV133" s="4"/>
      <c r="UPW133" s="4"/>
      <c r="UPX133" s="4"/>
      <c r="UPY133" s="4"/>
      <c r="UPZ133" s="4"/>
      <c r="UQA133" s="4"/>
      <c r="UQB133" s="4"/>
      <c r="UQC133" s="4"/>
      <c r="UQD133" s="4"/>
      <c r="UQE133" s="4"/>
      <c r="UQF133" s="4"/>
      <c r="UQG133" s="4"/>
      <c r="UQH133" s="4"/>
      <c r="UQI133" s="4"/>
      <c r="UQJ133" s="4"/>
      <c r="UQK133" s="4"/>
      <c r="UQL133" s="4"/>
      <c r="UQM133" s="4"/>
      <c r="UQN133" s="4"/>
      <c r="UQO133" s="4"/>
      <c r="UQP133" s="4"/>
      <c r="UQQ133" s="4"/>
      <c r="UQR133" s="4"/>
      <c r="UQS133" s="4"/>
      <c r="UQT133" s="4"/>
      <c r="UQU133" s="4"/>
      <c r="UQV133" s="4"/>
      <c r="UQW133" s="4"/>
      <c r="UQX133" s="4"/>
      <c r="UQY133" s="4"/>
      <c r="UQZ133" s="4"/>
      <c r="URA133" s="4"/>
      <c r="URB133" s="4"/>
      <c r="URC133" s="4"/>
      <c r="URD133" s="4"/>
      <c r="URE133" s="4"/>
      <c r="URF133" s="4"/>
      <c r="URG133" s="4"/>
      <c r="URH133" s="4"/>
      <c r="URI133" s="4"/>
      <c r="URJ133" s="4"/>
      <c r="URK133" s="4"/>
      <c r="URL133" s="4"/>
      <c r="URM133" s="4"/>
      <c r="URN133" s="4"/>
      <c r="URO133" s="4"/>
      <c r="URP133" s="4"/>
      <c r="URQ133" s="4"/>
      <c r="URR133" s="4"/>
      <c r="URS133" s="4"/>
      <c r="URT133" s="4"/>
      <c r="URU133" s="4"/>
      <c r="URV133" s="4"/>
      <c r="URW133" s="4"/>
      <c r="URX133" s="4"/>
      <c r="URY133" s="4"/>
      <c r="URZ133" s="4"/>
      <c r="USA133" s="4"/>
      <c r="USB133" s="4"/>
      <c r="USC133" s="4"/>
      <c r="USD133" s="4"/>
      <c r="USE133" s="4"/>
      <c r="USF133" s="4"/>
      <c r="USG133" s="4"/>
      <c r="USH133" s="4"/>
      <c r="USI133" s="4"/>
      <c r="USJ133" s="4"/>
      <c r="USK133" s="4"/>
      <c r="USL133" s="4"/>
      <c r="USM133" s="4"/>
      <c r="USN133" s="4"/>
      <c r="USO133" s="4"/>
      <c r="USP133" s="4"/>
      <c r="USQ133" s="4"/>
      <c r="USR133" s="4"/>
      <c r="USS133" s="4"/>
      <c r="UST133" s="4"/>
      <c r="USU133" s="4"/>
      <c r="USV133" s="4"/>
      <c r="USW133" s="4"/>
      <c r="USX133" s="4"/>
      <c r="USY133" s="4"/>
      <c r="USZ133" s="4"/>
      <c r="UTA133" s="4"/>
      <c r="UTB133" s="4"/>
      <c r="UTC133" s="4"/>
      <c r="UTD133" s="4"/>
      <c r="UTE133" s="4"/>
      <c r="UTF133" s="4"/>
      <c r="UTG133" s="4"/>
      <c r="UTH133" s="4"/>
      <c r="UTI133" s="4"/>
      <c r="UTJ133" s="4"/>
      <c r="UTK133" s="4"/>
      <c r="UTL133" s="4"/>
      <c r="UTM133" s="4"/>
      <c r="UTN133" s="4"/>
      <c r="UTO133" s="4"/>
      <c r="UTP133" s="4"/>
      <c r="UTQ133" s="4"/>
      <c r="UTR133" s="4"/>
      <c r="UTS133" s="4"/>
      <c r="UTT133" s="4"/>
      <c r="UTU133" s="4"/>
      <c r="UTV133" s="4"/>
      <c r="UTW133" s="4"/>
      <c r="UTX133" s="4"/>
      <c r="UTY133" s="4"/>
      <c r="UTZ133" s="4"/>
      <c r="UUA133" s="4"/>
      <c r="UUB133" s="4"/>
      <c r="UUC133" s="4"/>
      <c r="UUD133" s="4"/>
      <c r="UUE133" s="4"/>
      <c r="UUF133" s="4"/>
      <c r="UUG133" s="4"/>
      <c r="UUH133" s="4"/>
      <c r="UUI133" s="4"/>
      <c r="UUJ133" s="4"/>
      <c r="UUK133" s="4"/>
      <c r="UUL133" s="4"/>
      <c r="UUM133" s="4"/>
      <c r="UUN133" s="4"/>
      <c r="UUO133" s="4"/>
      <c r="UUP133" s="4"/>
      <c r="UUQ133" s="4"/>
      <c r="UUR133" s="4"/>
      <c r="UUS133" s="4"/>
      <c r="UUT133" s="4"/>
      <c r="UUU133" s="4"/>
      <c r="UUV133" s="4"/>
      <c r="UUW133" s="4"/>
      <c r="UUX133" s="4"/>
      <c r="UUY133" s="4"/>
      <c r="UUZ133" s="4"/>
      <c r="UVA133" s="4"/>
      <c r="UVB133" s="4"/>
      <c r="UVC133" s="4"/>
      <c r="UVD133" s="4"/>
      <c r="UVE133" s="4"/>
      <c r="UVF133" s="4"/>
      <c r="UVG133" s="4"/>
      <c r="UVH133" s="4"/>
      <c r="UVI133" s="4"/>
      <c r="UVJ133" s="4"/>
      <c r="UVK133" s="4"/>
      <c r="UVL133" s="4"/>
      <c r="UVM133" s="4"/>
      <c r="UVN133" s="4"/>
      <c r="UVO133" s="4"/>
      <c r="UVP133" s="4"/>
      <c r="UVQ133" s="4"/>
      <c r="UVR133" s="4"/>
      <c r="UVS133" s="4"/>
      <c r="UVT133" s="4"/>
      <c r="UVU133" s="4"/>
      <c r="UVV133" s="4"/>
      <c r="UVW133" s="4"/>
      <c r="UVX133" s="4"/>
      <c r="UVY133" s="4"/>
      <c r="UVZ133" s="4"/>
      <c r="UWA133" s="4"/>
      <c r="UWB133" s="4"/>
      <c r="UWC133" s="4"/>
      <c r="UWD133" s="4"/>
      <c r="UWE133" s="4"/>
      <c r="UWF133" s="4"/>
      <c r="UWG133" s="4"/>
      <c r="UWH133" s="4"/>
      <c r="UWI133" s="4"/>
      <c r="UWJ133" s="4"/>
      <c r="UWK133" s="4"/>
      <c r="UWL133" s="4"/>
      <c r="UWM133" s="4"/>
      <c r="UWN133" s="4"/>
      <c r="UWO133" s="4"/>
      <c r="UWP133" s="4"/>
      <c r="UWQ133" s="4"/>
      <c r="UWR133" s="4"/>
      <c r="UWS133" s="4"/>
      <c r="UWT133" s="4"/>
      <c r="UWU133" s="4"/>
      <c r="UWV133" s="4"/>
      <c r="UWW133" s="4"/>
      <c r="UWX133" s="4"/>
      <c r="UWY133" s="4"/>
      <c r="UWZ133" s="4"/>
      <c r="UXA133" s="4"/>
      <c r="UXB133" s="4"/>
      <c r="UXC133" s="4"/>
      <c r="UXD133" s="4"/>
      <c r="UXE133" s="4"/>
      <c r="UXF133" s="4"/>
      <c r="UXG133" s="4"/>
      <c r="UXH133" s="4"/>
      <c r="UXI133" s="4"/>
      <c r="UXJ133" s="4"/>
      <c r="UXK133" s="4"/>
      <c r="UXL133" s="4"/>
      <c r="UXM133" s="4"/>
      <c r="UXN133" s="4"/>
      <c r="UXO133" s="4"/>
      <c r="UXP133" s="4"/>
      <c r="UXQ133" s="4"/>
      <c r="UXR133" s="4"/>
      <c r="UXS133" s="4"/>
      <c r="UXT133" s="4"/>
      <c r="UXU133" s="4"/>
      <c r="UXV133" s="4"/>
      <c r="UXW133" s="4"/>
      <c r="UXX133" s="4"/>
      <c r="UXY133" s="4"/>
      <c r="UXZ133" s="4"/>
      <c r="UYA133" s="4"/>
      <c r="UYB133" s="4"/>
      <c r="UYC133" s="4"/>
      <c r="UYD133" s="4"/>
      <c r="UYE133" s="4"/>
      <c r="UYF133" s="4"/>
      <c r="UYG133" s="4"/>
      <c r="UYH133" s="4"/>
      <c r="UYI133" s="4"/>
      <c r="UYJ133" s="4"/>
      <c r="UYK133" s="4"/>
      <c r="UYL133" s="4"/>
      <c r="UYM133" s="4"/>
      <c r="UYN133" s="4"/>
      <c r="UYO133" s="4"/>
      <c r="UYP133" s="4"/>
      <c r="UYQ133" s="4"/>
      <c r="UYR133" s="4"/>
      <c r="UYS133" s="4"/>
      <c r="UYT133" s="4"/>
      <c r="UYU133" s="4"/>
      <c r="UYV133" s="4"/>
      <c r="UYW133" s="4"/>
      <c r="UYX133" s="4"/>
      <c r="UYY133" s="4"/>
      <c r="UYZ133" s="4"/>
      <c r="UZA133" s="4"/>
      <c r="UZB133" s="4"/>
      <c r="UZC133" s="4"/>
      <c r="UZD133" s="4"/>
      <c r="UZE133" s="4"/>
      <c r="UZF133" s="4"/>
      <c r="UZG133" s="4"/>
      <c r="UZH133" s="4"/>
      <c r="UZI133" s="4"/>
      <c r="UZJ133" s="4"/>
      <c r="UZK133" s="4"/>
      <c r="UZL133" s="4"/>
      <c r="UZM133" s="4"/>
      <c r="UZN133" s="4"/>
      <c r="UZO133" s="4"/>
      <c r="UZP133" s="4"/>
      <c r="UZQ133" s="4"/>
      <c r="UZR133" s="4"/>
      <c r="UZS133" s="4"/>
      <c r="UZT133" s="4"/>
      <c r="UZU133" s="4"/>
      <c r="UZV133" s="4"/>
      <c r="UZW133" s="4"/>
      <c r="UZX133" s="4"/>
      <c r="UZY133" s="4"/>
      <c r="UZZ133" s="4"/>
      <c r="VAA133" s="4"/>
      <c r="VAB133" s="4"/>
      <c r="VAC133" s="4"/>
      <c r="VAD133" s="4"/>
      <c r="VAE133" s="4"/>
      <c r="VAF133" s="4"/>
      <c r="VAG133" s="4"/>
      <c r="VAH133" s="4"/>
      <c r="VAI133" s="4"/>
      <c r="VAJ133" s="4"/>
      <c r="VAK133" s="4"/>
      <c r="VAL133" s="4"/>
      <c r="VAM133" s="4"/>
      <c r="VAN133" s="4"/>
      <c r="VAO133" s="4"/>
      <c r="VAP133" s="4"/>
      <c r="VAQ133" s="4"/>
      <c r="VAR133" s="4"/>
      <c r="VAS133" s="4"/>
      <c r="VAT133" s="4"/>
      <c r="VAU133" s="4"/>
      <c r="VAV133" s="4"/>
      <c r="VAW133" s="4"/>
      <c r="VAX133" s="4"/>
      <c r="VAY133" s="4"/>
      <c r="VAZ133" s="4"/>
      <c r="VBA133" s="4"/>
      <c r="VBB133" s="4"/>
      <c r="VBC133" s="4"/>
      <c r="VBD133" s="4"/>
      <c r="VBE133" s="4"/>
      <c r="VBF133" s="4"/>
      <c r="VBG133" s="4"/>
      <c r="VBH133" s="4"/>
      <c r="VBI133" s="4"/>
      <c r="VBJ133" s="4"/>
      <c r="VBK133" s="4"/>
      <c r="VBL133" s="4"/>
      <c r="VBM133" s="4"/>
      <c r="VBN133" s="4"/>
      <c r="VBO133" s="4"/>
      <c r="VBP133" s="4"/>
      <c r="VBQ133" s="4"/>
      <c r="VBR133" s="4"/>
      <c r="VBS133" s="4"/>
      <c r="VBT133" s="4"/>
      <c r="VBU133" s="4"/>
      <c r="VBV133" s="4"/>
      <c r="VBW133" s="4"/>
      <c r="VBX133" s="4"/>
      <c r="VBY133" s="4"/>
      <c r="VBZ133" s="4"/>
      <c r="VCA133" s="4"/>
      <c r="VCB133" s="4"/>
      <c r="VCC133" s="4"/>
      <c r="VCD133" s="4"/>
      <c r="VCE133" s="4"/>
      <c r="VCF133" s="4"/>
      <c r="VCG133" s="4"/>
      <c r="VCH133" s="4"/>
      <c r="VCI133" s="4"/>
      <c r="VCJ133" s="4"/>
      <c r="VCK133" s="4"/>
      <c r="VCL133" s="4"/>
      <c r="VCM133" s="4"/>
      <c r="VCN133" s="4"/>
      <c r="VCO133" s="4"/>
      <c r="VCP133" s="4"/>
      <c r="VCQ133" s="4"/>
      <c r="VCR133" s="4"/>
      <c r="VCS133" s="4"/>
      <c r="VCT133" s="4"/>
      <c r="VCU133" s="4"/>
      <c r="VCV133" s="4"/>
      <c r="VCW133" s="4"/>
      <c r="VCX133" s="4"/>
      <c r="VCY133" s="4"/>
      <c r="VCZ133" s="4"/>
      <c r="VDA133" s="4"/>
      <c r="VDB133" s="4"/>
      <c r="VDC133" s="4"/>
      <c r="VDD133" s="4"/>
      <c r="VDE133" s="4"/>
      <c r="VDF133" s="4"/>
      <c r="VDG133" s="4"/>
      <c r="VDH133" s="4"/>
      <c r="VDI133" s="4"/>
      <c r="VDJ133" s="4"/>
      <c r="VDK133" s="4"/>
      <c r="VDL133" s="4"/>
      <c r="VDM133" s="4"/>
      <c r="VDN133" s="4"/>
      <c r="VDO133" s="4"/>
      <c r="VDP133" s="4"/>
      <c r="VDQ133" s="4"/>
      <c r="VDR133" s="4"/>
      <c r="VDS133" s="4"/>
      <c r="VDT133" s="4"/>
      <c r="VDU133" s="4"/>
      <c r="VDV133" s="4"/>
      <c r="VDW133" s="4"/>
      <c r="VDX133" s="4"/>
      <c r="VDY133" s="4"/>
      <c r="VDZ133" s="4"/>
      <c r="VEA133" s="4"/>
      <c r="VEB133" s="4"/>
      <c r="VEC133" s="4"/>
      <c r="VED133" s="4"/>
      <c r="VEE133" s="4"/>
      <c r="VEF133" s="4"/>
      <c r="VEG133" s="4"/>
      <c r="VEH133" s="4"/>
      <c r="VEI133" s="4"/>
      <c r="VEJ133" s="4"/>
      <c r="VEK133" s="4"/>
      <c r="VEL133" s="4"/>
      <c r="VEM133" s="4"/>
      <c r="VEN133" s="4"/>
      <c r="VEO133" s="4"/>
      <c r="VEP133" s="4"/>
      <c r="VEQ133" s="4"/>
      <c r="VER133" s="4"/>
      <c r="VES133" s="4"/>
      <c r="VET133" s="4"/>
      <c r="VEU133" s="4"/>
      <c r="VEV133" s="4"/>
      <c r="VEW133" s="4"/>
      <c r="VEX133" s="4"/>
      <c r="VEY133" s="4"/>
      <c r="VEZ133" s="4"/>
      <c r="VFA133" s="4"/>
      <c r="VFB133" s="4"/>
      <c r="VFC133" s="4"/>
      <c r="VFD133" s="4"/>
      <c r="VFE133" s="4"/>
      <c r="VFF133" s="4"/>
      <c r="VFG133" s="4"/>
      <c r="VFH133" s="4"/>
      <c r="VFI133" s="4"/>
      <c r="VFJ133" s="4"/>
      <c r="VFK133" s="4"/>
      <c r="VFL133" s="4"/>
      <c r="VFM133" s="4"/>
      <c r="VFN133" s="4"/>
      <c r="VFO133" s="4"/>
      <c r="VFP133" s="4"/>
      <c r="VFQ133" s="4"/>
      <c r="VFR133" s="4"/>
      <c r="VFS133" s="4"/>
      <c r="VFT133" s="4"/>
      <c r="VFU133" s="4"/>
      <c r="VFV133" s="4"/>
      <c r="VFW133" s="4"/>
      <c r="VFX133" s="4"/>
      <c r="VFY133" s="4"/>
      <c r="VFZ133" s="4"/>
      <c r="VGA133" s="4"/>
      <c r="VGB133" s="4"/>
      <c r="VGC133" s="4"/>
      <c r="VGD133" s="4"/>
      <c r="VGE133" s="4"/>
      <c r="VGF133" s="4"/>
      <c r="VGG133" s="4"/>
      <c r="VGH133" s="4"/>
      <c r="VGI133" s="4"/>
      <c r="VGJ133" s="4"/>
      <c r="VGK133" s="4"/>
      <c r="VGL133" s="4"/>
      <c r="VGM133" s="4"/>
      <c r="VGN133" s="4"/>
      <c r="VGO133" s="4"/>
      <c r="VGP133" s="4"/>
      <c r="VGQ133" s="4"/>
      <c r="VGR133" s="4"/>
      <c r="VGS133" s="4"/>
      <c r="VGT133" s="4"/>
      <c r="VGU133" s="4"/>
      <c r="VGV133" s="4"/>
      <c r="VGW133" s="4"/>
      <c r="VGX133" s="4"/>
      <c r="VGY133" s="4"/>
      <c r="VGZ133" s="4"/>
      <c r="VHA133" s="4"/>
      <c r="VHB133" s="4"/>
      <c r="VHC133" s="4"/>
      <c r="VHD133" s="4"/>
      <c r="VHE133" s="4"/>
      <c r="VHF133" s="4"/>
      <c r="VHG133" s="4"/>
      <c r="VHH133" s="4"/>
      <c r="VHI133" s="4"/>
      <c r="VHJ133" s="4"/>
      <c r="VHK133" s="4"/>
      <c r="VHL133" s="4"/>
      <c r="VHM133" s="4"/>
      <c r="VHN133" s="4"/>
      <c r="VHO133" s="4"/>
      <c r="VHP133" s="4"/>
      <c r="VHQ133" s="4"/>
      <c r="VHR133" s="4"/>
      <c r="VHS133" s="4"/>
      <c r="VHT133" s="4"/>
      <c r="VHU133" s="4"/>
      <c r="VHV133" s="4"/>
      <c r="VHW133" s="4"/>
      <c r="VHX133" s="4"/>
      <c r="VHY133" s="4"/>
      <c r="VHZ133" s="4"/>
      <c r="VIA133" s="4"/>
      <c r="VIB133" s="4"/>
      <c r="VIC133" s="4"/>
      <c r="VID133" s="4"/>
      <c r="VIE133" s="4"/>
      <c r="VIF133" s="4"/>
      <c r="VIG133" s="4"/>
      <c r="VIH133" s="4"/>
      <c r="VII133" s="4"/>
      <c r="VIJ133" s="4"/>
      <c r="VIK133" s="4"/>
      <c r="VIL133" s="4"/>
      <c r="VIM133" s="4"/>
      <c r="VIN133" s="4"/>
      <c r="VIO133" s="4"/>
      <c r="VIP133" s="4"/>
      <c r="VIQ133" s="4"/>
      <c r="VIR133" s="4"/>
      <c r="VIS133" s="4"/>
      <c r="VIT133" s="4"/>
      <c r="VIU133" s="4"/>
      <c r="VIV133" s="4"/>
      <c r="VIW133" s="4"/>
      <c r="VIX133" s="4"/>
      <c r="VIY133" s="4"/>
      <c r="VIZ133" s="4"/>
      <c r="VJA133" s="4"/>
      <c r="VJB133" s="4"/>
      <c r="VJC133" s="4"/>
      <c r="VJD133" s="4"/>
      <c r="VJE133" s="4"/>
      <c r="VJF133" s="4"/>
      <c r="VJG133" s="4"/>
      <c r="VJH133" s="4"/>
      <c r="VJI133" s="4"/>
      <c r="VJJ133" s="4"/>
      <c r="VJK133" s="4"/>
      <c r="VJL133" s="4"/>
      <c r="VJM133" s="4"/>
      <c r="VJN133" s="4"/>
      <c r="VJO133" s="4"/>
      <c r="VJP133" s="4"/>
      <c r="VJQ133" s="4"/>
      <c r="VJR133" s="4"/>
      <c r="VJS133" s="4"/>
      <c r="VJT133" s="4"/>
      <c r="VJU133" s="4"/>
      <c r="VJV133" s="4"/>
      <c r="VJW133" s="4"/>
      <c r="VJX133" s="4"/>
      <c r="VJY133" s="4"/>
      <c r="VJZ133" s="4"/>
      <c r="VKA133" s="4"/>
      <c r="VKB133" s="4"/>
      <c r="VKC133" s="4"/>
      <c r="VKD133" s="4"/>
      <c r="VKE133" s="4"/>
      <c r="VKF133" s="4"/>
      <c r="VKG133" s="4"/>
      <c r="VKH133" s="4"/>
      <c r="VKI133" s="4"/>
      <c r="VKJ133" s="4"/>
      <c r="VKK133" s="4"/>
      <c r="VKL133" s="4"/>
      <c r="VKM133" s="4"/>
      <c r="VKN133" s="4"/>
      <c r="VKO133" s="4"/>
      <c r="VKP133" s="4"/>
      <c r="VKQ133" s="4"/>
      <c r="VKR133" s="4"/>
      <c r="VKS133" s="4"/>
      <c r="VKT133" s="4"/>
      <c r="VKU133" s="4"/>
      <c r="VKV133" s="4"/>
      <c r="VKW133" s="4"/>
      <c r="VKX133" s="4"/>
      <c r="VKY133" s="4"/>
      <c r="VKZ133" s="4"/>
      <c r="VLA133" s="4"/>
      <c r="VLB133" s="4"/>
      <c r="VLC133" s="4"/>
      <c r="VLD133" s="4"/>
      <c r="VLE133" s="4"/>
      <c r="VLF133" s="4"/>
      <c r="VLG133" s="4"/>
      <c r="VLH133" s="4"/>
      <c r="VLI133" s="4"/>
      <c r="VLJ133" s="4"/>
      <c r="VLK133" s="4"/>
      <c r="VLL133" s="4"/>
      <c r="VLM133" s="4"/>
      <c r="VLN133" s="4"/>
      <c r="VLO133" s="4"/>
      <c r="VLP133" s="4"/>
      <c r="VLQ133" s="4"/>
      <c r="VLR133" s="4"/>
      <c r="VLS133" s="4"/>
      <c r="VLT133" s="4"/>
      <c r="VLU133" s="4"/>
      <c r="VLV133" s="4"/>
      <c r="VLW133" s="4"/>
      <c r="VLX133" s="4"/>
      <c r="VLY133" s="4"/>
      <c r="VLZ133" s="4"/>
      <c r="VMA133" s="4"/>
      <c r="VMB133" s="4"/>
      <c r="VMC133" s="4"/>
      <c r="VMD133" s="4"/>
      <c r="VME133" s="4"/>
      <c r="VMF133" s="4"/>
      <c r="VMG133" s="4"/>
      <c r="VMH133" s="4"/>
      <c r="VMI133" s="4"/>
      <c r="VMJ133" s="4"/>
      <c r="VMK133" s="4"/>
      <c r="VML133" s="4"/>
      <c r="VMM133" s="4"/>
      <c r="VMN133" s="4"/>
      <c r="VMO133" s="4"/>
      <c r="VMP133" s="4"/>
      <c r="VMQ133" s="4"/>
      <c r="VMR133" s="4"/>
      <c r="VMS133" s="4"/>
      <c r="VMT133" s="4"/>
      <c r="VMU133" s="4"/>
      <c r="VMV133" s="4"/>
      <c r="VMW133" s="4"/>
      <c r="VMX133" s="4"/>
      <c r="VMY133" s="4"/>
      <c r="VMZ133" s="4"/>
      <c r="VNA133" s="4"/>
      <c r="VNB133" s="4"/>
      <c r="VNC133" s="4"/>
      <c r="VND133" s="4"/>
      <c r="VNE133" s="4"/>
      <c r="VNF133" s="4"/>
      <c r="VNG133" s="4"/>
      <c r="VNH133" s="4"/>
      <c r="VNI133" s="4"/>
      <c r="VNJ133" s="4"/>
      <c r="VNK133" s="4"/>
      <c r="VNL133" s="4"/>
      <c r="VNM133" s="4"/>
      <c r="VNN133" s="4"/>
      <c r="VNO133" s="4"/>
      <c r="VNP133" s="4"/>
      <c r="VNQ133" s="4"/>
      <c r="VNR133" s="4"/>
      <c r="VNS133" s="4"/>
      <c r="VNT133" s="4"/>
      <c r="VNU133" s="4"/>
      <c r="VNV133" s="4"/>
      <c r="VNW133" s="4"/>
      <c r="VNX133" s="4"/>
      <c r="VNY133" s="4"/>
      <c r="VNZ133" s="4"/>
      <c r="VOA133" s="4"/>
      <c r="VOB133" s="4"/>
      <c r="VOC133" s="4"/>
      <c r="VOD133" s="4"/>
      <c r="VOE133" s="4"/>
      <c r="VOF133" s="4"/>
      <c r="VOG133" s="4"/>
      <c r="VOH133" s="4"/>
      <c r="VOI133" s="4"/>
      <c r="VOJ133" s="4"/>
      <c r="VOK133" s="4"/>
      <c r="VOL133" s="4"/>
      <c r="VOM133" s="4"/>
      <c r="VON133" s="4"/>
      <c r="VOO133" s="4"/>
      <c r="VOP133" s="4"/>
      <c r="VOQ133" s="4"/>
      <c r="VOR133" s="4"/>
      <c r="VOS133" s="4"/>
      <c r="VOT133" s="4"/>
      <c r="VOU133" s="4"/>
      <c r="VOV133" s="4"/>
      <c r="VOW133" s="4"/>
      <c r="VOX133" s="4"/>
      <c r="VOY133" s="4"/>
      <c r="VOZ133" s="4"/>
      <c r="VPA133" s="4"/>
      <c r="VPB133" s="4"/>
      <c r="VPC133" s="4"/>
      <c r="VPD133" s="4"/>
      <c r="VPE133" s="4"/>
      <c r="VPF133" s="4"/>
      <c r="VPG133" s="4"/>
      <c r="VPH133" s="4"/>
      <c r="VPI133" s="4"/>
      <c r="VPJ133" s="4"/>
      <c r="VPK133" s="4"/>
      <c r="VPL133" s="4"/>
      <c r="VPM133" s="4"/>
      <c r="VPN133" s="4"/>
      <c r="VPO133" s="4"/>
      <c r="VPP133" s="4"/>
      <c r="VPQ133" s="4"/>
      <c r="VPR133" s="4"/>
      <c r="VPS133" s="4"/>
      <c r="VPT133" s="4"/>
      <c r="VPU133" s="4"/>
      <c r="VPV133" s="4"/>
      <c r="VPW133" s="4"/>
      <c r="VPX133" s="4"/>
      <c r="VPY133" s="4"/>
      <c r="VPZ133" s="4"/>
      <c r="VQA133" s="4"/>
      <c r="VQB133" s="4"/>
      <c r="VQC133" s="4"/>
      <c r="VQD133" s="4"/>
      <c r="VQE133" s="4"/>
      <c r="VQF133" s="4"/>
      <c r="VQG133" s="4"/>
      <c r="VQH133" s="4"/>
      <c r="VQI133" s="4"/>
      <c r="VQJ133" s="4"/>
      <c r="VQK133" s="4"/>
      <c r="VQL133" s="4"/>
      <c r="VQM133" s="4"/>
      <c r="VQN133" s="4"/>
      <c r="VQO133" s="4"/>
      <c r="VQP133" s="4"/>
      <c r="VQQ133" s="4"/>
      <c r="VQR133" s="4"/>
      <c r="VQS133" s="4"/>
      <c r="VQT133" s="4"/>
      <c r="VQU133" s="4"/>
      <c r="VQV133" s="4"/>
      <c r="VQW133" s="4"/>
      <c r="VQX133" s="4"/>
      <c r="VQY133" s="4"/>
      <c r="VQZ133" s="4"/>
      <c r="VRA133" s="4"/>
      <c r="VRB133" s="4"/>
      <c r="VRC133" s="4"/>
      <c r="VRD133" s="4"/>
      <c r="VRE133" s="4"/>
      <c r="VRF133" s="4"/>
      <c r="VRG133" s="4"/>
      <c r="VRH133" s="4"/>
      <c r="VRI133" s="4"/>
      <c r="VRJ133" s="4"/>
      <c r="VRK133" s="4"/>
      <c r="VRL133" s="4"/>
      <c r="VRM133" s="4"/>
      <c r="VRN133" s="4"/>
      <c r="VRO133" s="4"/>
      <c r="VRP133" s="4"/>
      <c r="VRQ133" s="4"/>
      <c r="VRR133" s="4"/>
      <c r="VRS133" s="4"/>
      <c r="VRT133" s="4"/>
      <c r="VRU133" s="4"/>
      <c r="VRV133" s="4"/>
      <c r="VRW133" s="4"/>
      <c r="VRX133" s="4"/>
      <c r="VRY133" s="4"/>
      <c r="VRZ133" s="4"/>
      <c r="VSA133" s="4"/>
      <c r="VSB133" s="4"/>
      <c r="VSC133" s="4"/>
      <c r="VSD133" s="4"/>
      <c r="VSE133" s="4"/>
      <c r="VSF133" s="4"/>
      <c r="VSG133" s="4"/>
      <c r="VSH133" s="4"/>
      <c r="VSI133" s="4"/>
      <c r="VSJ133" s="4"/>
      <c r="VSK133" s="4"/>
      <c r="VSL133" s="4"/>
      <c r="VSM133" s="4"/>
      <c r="VSN133" s="4"/>
      <c r="VSO133" s="4"/>
      <c r="VSP133" s="4"/>
      <c r="VSQ133" s="4"/>
      <c r="VSR133" s="4"/>
      <c r="VSS133" s="4"/>
      <c r="VST133" s="4"/>
      <c r="VSU133" s="4"/>
      <c r="VSV133" s="4"/>
      <c r="VSW133" s="4"/>
      <c r="VSX133" s="4"/>
      <c r="VSY133" s="4"/>
      <c r="VSZ133" s="4"/>
      <c r="VTA133" s="4"/>
      <c r="VTB133" s="4"/>
      <c r="VTC133" s="4"/>
      <c r="VTD133" s="4"/>
      <c r="VTE133" s="4"/>
      <c r="VTF133" s="4"/>
      <c r="VTG133" s="4"/>
      <c r="VTH133" s="4"/>
      <c r="VTI133" s="4"/>
      <c r="VTJ133" s="4"/>
      <c r="VTK133" s="4"/>
      <c r="VTL133" s="4"/>
      <c r="VTM133" s="4"/>
      <c r="VTN133" s="4"/>
      <c r="VTO133" s="4"/>
      <c r="VTP133" s="4"/>
      <c r="VTQ133" s="4"/>
      <c r="VTR133" s="4"/>
      <c r="VTS133" s="4"/>
      <c r="VTT133" s="4"/>
      <c r="VTU133" s="4"/>
      <c r="VTV133" s="4"/>
      <c r="VTW133" s="4"/>
      <c r="VTX133" s="4"/>
      <c r="VTY133" s="4"/>
      <c r="VTZ133" s="4"/>
      <c r="VUA133" s="4"/>
      <c r="VUB133" s="4"/>
      <c r="VUC133" s="4"/>
      <c r="VUD133" s="4"/>
      <c r="VUE133" s="4"/>
      <c r="VUF133" s="4"/>
      <c r="VUG133" s="4"/>
      <c r="VUH133" s="4"/>
      <c r="VUI133" s="4"/>
      <c r="VUJ133" s="4"/>
      <c r="VUK133" s="4"/>
      <c r="VUL133" s="4"/>
      <c r="VUM133" s="4"/>
      <c r="VUN133" s="4"/>
      <c r="VUO133" s="4"/>
      <c r="VUP133" s="4"/>
      <c r="VUQ133" s="4"/>
      <c r="VUR133" s="4"/>
      <c r="VUS133" s="4"/>
      <c r="VUT133" s="4"/>
      <c r="VUU133" s="4"/>
      <c r="VUV133" s="4"/>
      <c r="VUW133" s="4"/>
      <c r="VUX133" s="4"/>
      <c r="VUY133" s="4"/>
      <c r="VUZ133" s="4"/>
      <c r="VVA133" s="4"/>
      <c r="VVB133" s="4"/>
      <c r="VVC133" s="4"/>
      <c r="VVD133" s="4"/>
      <c r="VVE133" s="4"/>
      <c r="VVF133" s="4"/>
      <c r="VVG133" s="4"/>
      <c r="VVH133" s="4"/>
      <c r="VVI133" s="4"/>
      <c r="VVJ133" s="4"/>
      <c r="VVK133" s="4"/>
      <c r="VVL133" s="4"/>
      <c r="VVM133" s="4"/>
      <c r="VVN133" s="4"/>
      <c r="VVO133" s="4"/>
      <c r="VVP133" s="4"/>
      <c r="VVQ133" s="4"/>
      <c r="VVR133" s="4"/>
      <c r="VVS133" s="4"/>
      <c r="VVT133" s="4"/>
      <c r="VVU133" s="4"/>
      <c r="VVV133" s="4"/>
      <c r="VVW133" s="4"/>
      <c r="VVX133" s="4"/>
      <c r="VVY133" s="4"/>
      <c r="VVZ133" s="4"/>
      <c r="VWA133" s="4"/>
      <c r="VWB133" s="4"/>
      <c r="VWC133" s="4"/>
      <c r="VWD133" s="4"/>
      <c r="VWE133" s="4"/>
      <c r="VWF133" s="4"/>
      <c r="VWG133" s="4"/>
      <c r="VWH133" s="4"/>
      <c r="VWI133" s="4"/>
      <c r="VWJ133" s="4"/>
      <c r="VWK133" s="4"/>
      <c r="VWL133" s="4"/>
      <c r="VWM133" s="4"/>
      <c r="VWN133" s="4"/>
      <c r="VWO133" s="4"/>
      <c r="VWP133" s="4"/>
      <c r="VWQ133" s="4"/>
      <c r="VWR133" s="4"/>
      <c r="VWS133" s="4"/>
      <c r="VWT133" s="4"/>
      <c r="VWU133" s="4"/>
      <c r="VWV133" s="4"/>
      <c r="VWW133" s="4"/>
      <c r="VWX133" s="4"/>
      <c r="VWY133" s="4"/>
      <c r="VWZ133" s="4"/>
      <c r="VXA133" s="4"/>
      <c r="VXB133" s="4"/>
      <c r="VXC133" s="4"/>
      <c r="VXD133" s="4"/>
      <c r="VXE133" s="4"/>
      <c r="VXF133" s="4"/>
      <c r="VXG133" s="4"/>
      <c r="VXH133" s="4"/>
      <c r="VXI133" s="4"/>
      <c r="VXJ133" s="4"/>
      <c r="VXK133" s="4"/>
      <c r="VXL133" s="4"/>
      <c r="VXM133" s="4"/>
      <c r="VXN133" s="4"/>
      <c r="VXO133" s="4"/>
      <c r="VXP133" s="4"/>
      <c r="VXQ133" s="4"/>
      <c r="VXR133" s="4"/>
      <c r="VXS133" s="4"/>
      <c r="VXT133" s="4"/>
      <c r="VXU133" s="4"/>
      <c r="VXV133" s="4"/>
      <c r="VXW133" s="4"/>
      <c r="VXX133" s="4"/>
      <c r="VXY133" s="4"/>
      <c r="VXZ133" s="4"/>
      <c r="VYA133" s="4"/>
      <c r="VYB133" s="4"/>
      <c r="VYC133" s="4"/>
      <c r="VYD133" s="4"/>
      <c r="VYE133" s="4"/>
      <c r="VYF133" s="4"/>
      <c r="VYG133" s="4"/>
      <c r="VYH133" s="4"/>
      <c r="VYI133" s="4"/>
      <c r="VYJ133" s="4"/>
      <c r="VYK133" s="4"/>
      <c r="VYL133" s="4"/>
      <c r="VYM133" s="4"/>
      <c r="VYN133" s="4"/>
      <c r="VYO133" s="4"/>
      <c r="VYP133" s="4"/>
      <c r="VYQ133" s="4"/>
      <c r="VYR133" s="4"/>
      <c r="VYS133" s="4"/>
      <c r="VYT133" s="4"/>
      <c r="VYU133" s="4"/>
      <c r="VYV133" s="4"/>
      <c r="VYW133" s="4"/>
      <c r="VYX133" s="4"/>
      <c r="VYY133" s="4"/>
      <c r="VYZ133" s="4"/>
      <c r="VZA133" s="4"/>
      <c r="VZB133" s="4"/>
      <c r="VZC133" s="4"/>
      <c r="VZD133" s="4"/>
      <c r="VZE133" s="4"/>
      <c r="VZF133" s="4"/>
      <c r="VZG133" s="4"/>
      <c r="VZH133" s="4"/>
      <c r="VZI133" s="4"/>
      <c r="VZJ133" s="4"/>
      <c r="VZK133" s="4"/>
      <c r="VZL133" s="4"/>
      <c r="VZM133" s="4"/>
      <c r="VZN133" s="4"/>
      <c r="VZO133" s="4"/>
      <c r="VZP133" s="4"/>
      <c r="VZQ133" s="4"/>
      <c r="VZR133" s="4"/>
      <c r="VZS133" s="4"/>
      <c r="VZT133" s="4"/>
      <c r="VZU133" s="4"/>
      <c r="VZV133" s="4"/>
      <c r="VZW133" s="4"/>
      <c r="VZX133" s="4"/>
      <c r="VZY133" s="4"/>
      <c r="VZZ133" s="4"/>
      <c r="WAA133" s="4"/>
      <c r="WAB133" s="4"/>
      <c r="WAC133" s="4"/>
      <c r="WAD133" s="4"/>
      <c r="WAE133" s="4"/>
      <c r="WAF133" s="4"/>
      <c r="WAG133" s="4"/>
      <c r="WAH133" s="4"/>
      <c r="WAI133" s="4"/>
      <c r="WAJ133" s="4"/>
      <c r="WAK133" s="4"/>
      <c r="WAL133" s="4"/>
      <c r="WAM133" s="4"/>
      <c r="WAN133" s="4"/>
      <c r="WAO133" s="4"/>
      <c r="WAP133" s="4"/>
      <c r="WAQ133" s="4"/>
      <c r="WAR133" s="4"/>
      <c r="WAS133" s="4"/>
      <c r="WAT133" s="4"/>
      <c r="WAU133" s="4"/>
      <c r="WAV133" s="4"/>
      <c r="WAW133" s="4"/>
      <c r="WAX133" s="4"/>
      <c r="WAY133" s="4"/>
      <c r="WAZ133" s="4"/>
      <c r="WBA133" s="4"/>
      <c r="WBB133" s="4"/>
      <c r="WBC133" s="4"/>
      <c r="WBD133" s="4"/>
      <c r="WBE133" s="4"/>
      <c r="WBF133" s="4"/>
      <c r="WBG133" s="4"/>
      <c r="WBH133" s="4"/>
      <c r="WBI133" s="4"/>
      <c r="WBJ133" s="4"/>
      <c r="WBK133" s="4"/>
      <c r="WBL133" s="4"/>
      <c r="WBM133" s="4"/>
      <c r="WBN133" s="4"/>
      <c r="WBO133" s="4"/>
      <c r="WBP133" s="4"/>
      <c r="WBQ133" s="4"/>
      <c r="WBR133" s="4"/>
      <c r="WBS133" s="4"/>
      <c r="WBT133" s="4"/>
      <c r="WBU133" s="4"/>
      <c r="WBV133" s="4"/>
      <c r="WBW133" s="4"/>
      <c r="WBX133" s="4"/>
      <c r="WBY133" s="4"/>
      <c r="WBZ133" s="4"/>
      <c r="WCA133" s="4"/>
      <c r="WCB133" s="4"/>
      <c r="WCC133" s="4"/>
      <c r="WCD133" s="4"/>
      <c r="WCE133" s="4"/>
      <c r="WCF133" s="4"/>
      <c r="WCG133" s="4"/>
      <c r="WCH133" s="4"/>
      <c r="WCI133" s="4"/>
      <c r="WCJ133" s="4"/>
      <c r="WCK133" s="4"/>
      <c r="WCL133" s="4"/>
      <c r="WCM133" s="4"/>
      <c r="WCN133" s="4"/>
      <c r="WCO133" s="4"/>
      <c r="WCP133" s="4"/>
      <c r="WCQ133" s="4"/>
      <c r="WCR133" s="4"/>
      <c r="WCS133" s="4"/>
      <c r="WCT133" s="4"/>
      <c r="WCU133" s="4"/>
      <c r="WCV133" s="4"/>
      <c r="WCW133" s="4"/>
      <c r="WCX133" s="4"/>
      <c r="WCY133" s="4"/>
      <c r="WCZ133" s="4"/>
      <c r="WDA133" s="4"/>
      <c r="WDB133" s="4"/>
      <c r="WDC133" s="4"/>
      <c r="WDD133" s="4"/>
      <c r="WDE133" s="4"/>
      <c r="WDF133" s="4"/>
      <c r="WDG133" s="4"/>
      <c r="WDH133" s="4"/>
      <c r="WDI133" s="4"/>
      <c r="WDJ133" s="4"/>
      <c r="WDK133" s="4"/>
      <c r="WDL133" s="4"/>
      <c r="WDM133" s="4"/>
      <c r="WDN133" s="4"/>
      <c r="WDO133" s="4"/>
      <c r="WDP133" s="4"/>
      <c r="WDQ133" s="4"/>
      <c r="WDR133" s="4"/>
      <c r="WDS133" s="4"/>
      <c r="WDT133" s="4"/>
      <c r="WDU133" s="4"/>
      <c r="WDV133" s="4"/>
      <c r="WDW133" s="4"/>
      <c r="WDX133" s="4"/>
      <c r="WDY133" s="4"/>
      <c r="WDZ133" s="4"/>
      <c r="WEA133" s="4"/>
      <c r="WEB133" s="4"/>
      <c r="WEC133" s="4"/>
      <c r="WED133" s="4"/>
      <c r="WEE133" s="4"/>
      <c r="WEF133" s="4"/>
      <c r="WEG133" s="4"/>
      <c r="WEH133" s="4"/>
      <c r="WEI133" s="4"/>
      <c r="WEJ133" s="4"/>
      <c r="WEK133" s="4"/>
      <c r="WEL133" s="4"/>
      <c r="WEM133" s="4"/>
      <c r="WEN133" s="4"/>
      <c r="WEO133" s="4"/>
      <c r="WEP133" s="4"/>
      <c r="WEQ133" s="4"/>
      <c r="WER133" s="4"/>
      <c r="WES133" s="4"/>
      <c r="WET133" s="4"/>
      <c r="WEU133" s="4"/>
      <c r="WEV133" s="4"/>
      <c r="WEW133" s="4"/>
      <c r="WEX133" s="4"/>
      <c r="WEY133" s="4"/>
      <c r="WEZ133" s="4"/>
      <c r="WFA133" s="4"/>
      <c r="WFB133" s="4"/>
      <c r="WFC133" s="4"/>
      <c r="WFD133" s="4"/>
      <c r="WFE133" s="4"/>
      <c r="WFF133" s="4"/>
      <c r="WFG133" s="4"/>
      <c r="WFH133" s="4"/>
      <c r="WFI133" s="4"/>
      <c r="WFJ133" s="4"/>
      <c r="WFK133" s="4"/>
      <c r="WFL133" s="4"/>
      <c r="WFM133" s="4"/>
      <c r="WFN133" s="4"/>
      <c r="WFO133" s="4"/>
      <c r="WFP133" s="4"/>
      <c r="WFQ133" s="4"/>
      <c r="WFR133" s="4"/>
      <c r="WFS133" s="4"/>
      <c r="WFT133" s="4"/>
      <c r="WFU133" s="4"/>
      <c r="WFV133" s="4"/>
      <c r="WFW133" s="4"/>
      <c r="WFX133" s="4"/>
      <c r="WFY133" s="4"/>
      <c r="WFZ133" s="4"/>
      <c r="WGA133" s="4"/>
      <c r="WGB133" s="4"/>
      <c r="WGC133" s="4"/>
      <c r="WGD133" s="4"/>
      <c r="WGE133" s="4"/>
      <c r="WGF133" s="4"/>
      <c r="WGG133" s="4"/>
      <c r="WGH133" s="4"/>
      <c r="WGI133" s="4"/>
      <c r="WGJ133" s="4"/>
      <c r="WGK133" s="4"/>
      <c r="WGL133" s="4"/>
      <c r="WGM133" s="4"/>
      <c r="WGN133" s="4"/>
      <c r="WGO133" s="4"/>
      <c r="WGP133" s="4"/>
      <c r="WGQ133" s="4"/>
      <c r="WGR133" s="4"/>
      <c r="WGS133" s="4"/>
      <c r="WGT133" s="4"/>
      <c r="WGU133" s="4"/>
      <c r="WGV133" s="4"/>
      <c r="WGW133" s="4"/>
      <c r="WGX133" s="4"/>
      <c r="WGY133" s="4"/>
      <c r="WGZ133" s="4"/>
      <c r="WHA133" s="4"/>
      <c r="WHB133" s="4"/>
      <c r="WHC133" s="4"/>
      <c r="WHD133" s="4"/>
      <c r="WHE133" s="4"/>
      <c r="WHF133" s="4"/>
      <c r="WHG133" s="4"/>
      <c r="WHH133" s="4"/>
      <c r="WHI133" s="4"/>
      <c r="WHJ133" s="4"/>
      <c r="WHK133" s="4"/>
      <c r="WHL133" s="4"/>
      <c r="WHM133" s="4"/>
      <c r="WHN133" s="4"/>
      <c r="WHO133" s="4"/>
      <c r="WHP133" s="4"/>
      <c r="WHQ133" s="4"/>
      <c r="WHR133" s="4"/>
      <c r="WHS133" s="4"/>
      <c r="WHT133" s="4"/>
      <c r="WHU133" s="4"/>
      <c r="WHV133" s="4"/>
      <c r="WHW133" s="4"/>
      <c r="WHX133" s="4"/>
      <c r="WHY133" s="4"/>
      <c r="WHZ133" s="4"/>
      <c r="WIA133" s="4"/>
      <c r="WIB133" s="4"/>
      <c r="WIC133" s="4"/>
      <c r="WID133" s="4"/>
      <c r="WIE133" s="4"/>
      <c r="WIF133" s="4"/>
      <c r="WIG133" s="4"/>
      <c r="WIH133" s="4"/>
      <c r="WII133" s="4"/>
      <c r="WIJ133" s="4"/>
      <c r="WIK133" s="4"/>
      <c r="WIL133" s="4"/>
      <c r="WIM133" s="4"/>
      <c r="WIN133" s="4"/>
      <c r="WIO133" s="4"/>
      <c r="WIP133" s="4"/>
      <c r="WIQ133" s="4"/>
      <c r="WIR133" s="4"/>
      <c r="WIS133" s="4"/>
      <c r="WIT133" s="4"/>
      <c r="WIU133" s="4"/>
      <c r="WIV133" s="4"/>
      <c r="WIW133" s="4"/>
      <c r="WIX133" s="4"/>
      <c r="WIY133" s="4"/>
      <c r="WIZ133" s="4"/>
      <c r="WJA133" s="4"/>
      <c r="WJB133" s="4"/>
      <c r="WJC133" s="4"/>
      <c r="WJD133" s="4"/>
      <c r="WJE133" s="4"/>
      <c r="WJF133" s="4"/>
      <c r="WJG133" s="4"/>
      <c r="WJH133" s="4"/>
      <c r="WJI133" s="4"/>
      <c r="WJJ133" s="4"/>
      <c r="WJK133" s="4"/>
      <c r="WJL133" s="4"/>
      <c r="WJM133" s="4"/>
      <c r="WJN133" s="4"/>
      <c r="WJO133" s="4"/>
      <c r="WJP133" s="4"/>
      <c r="WJQ133" s="4"/>
      <c r="WJR133" s="4"/>
      <c r="WJS133" s="4"/>
      <c r="WJT133" s="4"/>
      <c r="WJU133" s="4"/>
      <c r="WJV133" s="4"/>
      <c r="WJW133" s="4"/>
      <c r="WJX133" s="4"/>
      <c r="WJY133" s="4"/>
      <c r="WJZ133" s="4"/>
      <c r="WKA133" s="4"/>
      <c r="WKB133" s="4"/>
      <c r="WKC133" s="4"/>
      <c r="WKD133" s="4"/>
      <c r="WKE133" s="4"/>
      <c r="WKF133" s="4"/>
      <c r="WKG133" s="4"/>
      <c r="WKH133" s="4"/>
      <c r="WKI133" s="4"/>
      <c r="WKJ133" s="4"/>
      <c r="WKK133" s="4"/>
      <c r="WKL133" s="4"/>
      <c r="WKM133" s="4"/>
      <c r="WKN133" s="4"/>
      <c r="WKO133" s="4"/>
      <c r="WKP133" s="4"/>
      <c r="WKQ133" s="4"/>
      <c r="WKR133" s="4"/>
      <c r="WKS133" s="4"/>
      <c r="WKT133" s="4"/>
      <c r="WKU133" s="4"/>
      <c r="WKV133" s="4"/>
      <c r="WKW133" s="4"/>
      <c r="WKX133" s="4"/>
      <c r="WKY133" s="4"/>
      <c r="WKZ133" s="4"/>
      <c r="WLA133" s="4"/>
      <c r="WLB133" s="4"/>
      <c r="WLC133" s="4"/>
      <c r="WLD133" s="4"/>
      <c r="WLE133" s="4"/>
      <c r="WLF133" s="4"/>
      <c r="WLG133" s="4"/>
      <c r="WLH133" s="4"/>
      <c r="WLI133" s="4"/>
      <c r="WLJ133" s="4"/>
      <c r="WLK133" s="4"/>
      <c r="WLL133" s="4"/>
      <c r="WLM133" s="4"/>
      <c r="WLN133" s="4"/>
      <c r="WLO133" s="4"/>
      <c r="WLP133" s="4"/>
      <c r="WLQ133" s="4"/>
      <c r="WLR133" s="4"/>
      <c r="WLS133" s="4"/>
      <c r="WLT133" s="4"/>
      <c r="WLU133" s="4"/>
      <c r="WLV133" s="4"/>
      <c r="WLW133" s="4"/>
      <c r="WLX133" s="4"/>
      <c r="WLY133" s="4"/>
      <c r="WLZ133" s="4"/>
      <c r="WMA133" s="4"/>
      <c r="WMB133" s="4"/>
      <c r="WMC133" s="4"/>
      <c r="WMD133" s="4"/>
      <c r="WME133" s="4"/>
      <c r="WMF133" s="4"/>
      <c r="WMG133" s="4"/>
      <c r="WMH133" s="4"/>
      <c r="WMI133" s="4"/>
      <c r="WMJ133" s="4"/>
      <c r="WMK133" s="4"/>
      <c r="WML133" s="4"/>
      <c r="WMM133" s="4"/>
      <c r="WMN133" s="4"/>
      <c r="WMO133" s="4"/>
      <c r="WMP133" s="4"/>
      <c r="WMQ133" s="4"/>
      <c r="WMR133" s="4"/>
      <c r="WMS133" s="4"/>
      <c r="WMT133" s="4"/>
      <c r="WMU133" s="4"/>
      <c r="WMV133" s="4"/>
      <c r="WMW133" s="4"/>
      <c r="WMX133" s="4"/>
      <c r="WMY133" s="4"/>
      <c r="WMZ133" s="4"/>
      <c r="WNA133" s="4"/>
      <c r="WNB133" s="4"/>
      <c r="WNC133" s="4"/>
      <c r="WND133" s="4"/>
      <c r="WNE133" s="4"/>
      <c r="WNF133" s="4"/>
      <c r="WNG133" s="4"/>
      <c r="WNH133" s="4"/>
      <c r="WNI133" s="4"/>
      <c r="WNJ133" s="4"/>
      <c r="WNK133" s="4"/>
      <c r="WNL133" s="4"/>
      <c r="WNM133" s="4"/>
      <c r="WNN133" s="4"/>
      <c r="WNO133" s="4"/>
      <c r="WNP133" s="4"/>
      <c r="WNQ133" s="4"/>
      <c r="WNR133" s="4"/>
      <c r="WNS133" s="4"/>
      <c r="WNT133" s="4"/>
      <c r="WNU133" s="4"/>
      <c r="WNV133" s="4"/>
      <c r="WNW133" s="4"/>
      <c r="WNX133" s="4"/>
      <c r="WNY133" s="4"/>
      <c r="WNZ133" s="4"/>
      <c r="WOA133" s="4"/>
      <c r="WOB133" s="4"/>
      <c r="WOC133" s="4"/>
      <c r="WOD133" s="4"/>
      <c r="WOE133" s="4"/>
      <c r="WOF133" s="4"/>
      <c r="WOG133" s="4"/>
      <c r="WOH133" s="4"/>
      <c r="WOI133" s="4"/>
      <c r="WOJ133" s="4"/>
      <c r="WOK133" s="4"/>
      <c r="WOL133" s="4"/>
      <c r="WOM133" s="4"/>
      <c r="WON133" s="4"/>
      <c r="WOO133" s="4"/>
      <c r="WOP133" s="4"/>
      <c r="WOQ133" s="4"/>
      <c r="WOR133" s="4"/>
      <c r="WOS133" s="4"/>
      <c r="WOT133" s="4"/>
      <c r="WOU133" s="4"/>
      <c r="WOV133" s="4"/>
      <c r="WOW133" s="4"/>
      <c r="WOX133" s="4"/>
      <c r="WOY133" s="4"/>
      <c r="WOZ133" s="4"/>
      <c r="WPA133" s="4"/>
      <c r="WPB133" s="4"/>
      <c r="WPC133" s="4"/>
      <c r="WPD133" s="4"/>
      <c r="WPE133" s="4"/>
      <c r="WPF133" s="4"/>
      <c r="WPG133" s="4"/>
      <c r="WPH133" s="4"/>
      <c r="WPI133" s="4"/>
      <c r="WPJ133" s="4"/>
      <c r="WPK133" s="4"/>
      <c r="WPL133" s="4"/>
      <c r="WPM133" s="4"/>
      <c r="WPN133" s="4"/>
      <c r="WPO133" s="4"/>
      <c r="WPP133" s="4"/>
      <c r="WPQ133" s="4"/>
      <c r="WPR133" s="4"/>
      <c r="WPS133" s="4"/>
      <c r="WPT133" s="4"/>
      <c r="WPU133" s="4"/>
      <c r="WPV133" s="4"/>
      <c r="WPW133" s="4"/>
      <c r="WPX133" s="4"/>
      <c r="WPY133" s="4"/>
      <c r="WPZ133" s="4"/>
      <c r="WQA133" s="4"/>
      <c r="WQB133" s="4"/>
      <c r="WQC133" s="4"/>
      <c r="WQD133" s="4"/>
      <c r="WQE133" s="4"/>
      <c r="WQF133" s="4"/>
      <c r="WQG133" s="4"/>
      <c r="WQH133" s="4"/>
      <c r="WQI133" s="4"/>
      <c r="WQJ133" s="4"/>
      <c r="WQK133" s="4"/>
      <c r="WQL133" s="4"/>
      <c r="WQM133" s="4"/>
      <c r="WQN133" s="4"/>
      <c r="WQO133" s="4"/>
      <c r="WQP133" s="4"/>
      <c r="WQQ133" s="4"/>
      <c r="WQR133" s="4"/>
      <c r="WQS133" s="4"/>
      <c r="WQT133" s="4"/>
      <c r="WQU133" s="4"/>
      <c r="WQV133" s="4"/>
      <c r="WQW133" s="4"/>
      <c r="WQX133" s="4"/>
      <c r="WQY133" s="4"/>
      <c r="WQZ133" s="4"/>
      <c r="WRA133" s="4"/>
      <c r="WRB133" s="4"/>
      <c r="WRC133" s="4"/>
      <c r="WRD133" s="4"/>
      <c r="WRE133" s="4"/>
      <c r="WRF133" s="4"/>
      <c r="WRG133" s="4"/>
      <c r="WRH133" s="4"/>
      <c r="WRI133" s="4"/>
      <c r="WRJ133" s="4"/>
      <c r="WRK133" s="4"/>
      <c r="WRL133" s="4"/>
      <c r="WRM133" s="4"/>
      <c r="WRN133" s="4"/>
      <c r="WRO133" s="4"/>
      <c r="WRP133" s="4"/>
      <c r="WRQ133" s="4"/>
      <c r="WRR133" s="4"/>
      <c r="WRS133" s="4"/>
      <c r="WRT133" s="4"/>
      <c r="WRU133" s="4"/>
      <c r="WRV133" s="4"/>
      <c r="WRW133" s="4"/>
      <c r="WRX133" s="4"/>
      <c r="WRY133" s="4"/>
      <c r="WRZ133" s="4"/>
      <c r="WSA133" s="4"/>
      <c r="WSB133" s="4"/>
      <c r="WSC133" s="4"/>
      <c r="WSD133" s="4"/>
      <c r="WSE133" s="4"/>
      <c r="WSF133" s="4"/>
      <c r="WSG133" s="4"/>
      <c r="WSH133" s="4"/>
      <c r="WSI133" s="4"/>
      <c r="WSJ133" s="4"/>
      <c r="WSK133" s="4"/>
      <c r="WSL133" s="4"/>
      <c r="WSM133" s="4"/>
      <c r="WSN133" s="4"/>
      <c r="WSO133" s="4"/>
      <c r="WSP133" s="4"/>
      <c r="WSQ133" s="4"/>
      <c r="WSR133" s="4"/>
      <c r="WSS133" s="4"/>
      <c r="WST133" s="4"/>
      <c r="WSU133" s="4"/>
      <c r="WSV133" s="4"/>
      <c r="WSW133" s="4"/>
      <c r="WSX133" s="4"/>
      <c r="WSY133" s="4"/>
      <c r="WSZ133" s="4"/>
      <c r="WTA133" s="4"/>
      <c r="WTB133" s="4"/>
      <c r="WTC133" s="4"/>
      <c r="WTD133" s="4"/>
      <c r="WTE133" s="4"/>
      <c r="WTF133" s="4"/>
      <c r="WTG133" s="4"/>
      <c r="WTH133" s="4"/>
      <c r="WTI133" s="4"/>
      <c r="WTJ133" s="4"/>
      <c r="WTK133" s="4"/>
      <c r="WTL133" s="4"/>
      <c r="WTM133" s="4"/>
      <c r="WTN133" s="4"/>
      <c r="WTO133" s="4"/>
      <c r="WTP133" s="4"/>
      <c r="WTQ133" s="4"/>
      <c r="WTR133" s="4"/>
      <c r="WTS133" s="4"/>
      <c r="WTT133" s="4"/>
      <c r="WTU133" s="4"/>
      <c r="WTV133" s="4"/>
      <c r="WTW133" s="4"/>
      <c r="WTX133" s="4"/>
      <c r="WTY133" s="4"/>
      <c r="WTZ133" s="4"/>
      <c r="WUA133" s="4"/>
      <c r="WUB133" s="4"/>
      <c r="WUC133" s="4"/>
      <c r="WUD133" s="4"/>
      <c r="WUE133" s="4"/>
      <c r="WUF133" s="4"/>
      <c r="WUG133" s="4"/>
      <c r="WUH133" s="4"/>
      <c r="WUI133" s="4"/>
      <c r="WUJ133" s="4"/>
      <c r="WUK133" s="4"/>
      <c r="WUL133" s="4"/>
      <c r="WUM133" s="4"/>
      <c r="WUN133" s="4"/>
      <c r="WUO133" s="4"/>
      <c r="WUP133" s="4"/>
      <c r="WUQ133" s="4"/>
      <c r="WUR133" s="4"/>
      <c r="WUS133" s="4"/>
      <c r="WUT133" s="4"/>
      <c r="WUU133" s="4"/>
      <c r="WUV133" s="4"/>
      <c r="WUW133" s="4"/>
      <c r="WUX133" s="4"/>
      <c r="WUY133" s="4"/>
      <c r="WUZ133" s="4"/>
      <c r="WVA133" s="4"/>
      <c r="WVB133" s="4"/>
      <c r="WVC133" s="4"/>
      <c r="WVD133" s="4"/>
      <c r="WVE133" s="4"/>
      <c r="WVF133" s="4"/>
      <c r="WVG133" s="4"/>
      <c r="WVH133" s="4"/>
      <c r="WVI133" s="4"/>
      <c r="WVJ133" s="4"/>
      <c r="WVK133" s="4"/>
      <c r="WVL133" s="4"/>
      <c r="WVM133" s="4"/>
      <c r="WVN133" s="4"/>
      <c r="WVO133" s="4"/>
      <c r="WVP133" s="4"/>
      <c r="WVQ133" s="4"/>
      <c r="WVR133" s="4"/>
      <c r="WVS133" s="4"/>
      <c r="WVT133" s="4"/>
      <c r="WVU133" s="4"/>
      <c r="WVV133" s="4"/>
      <c r="WVW133" s="4"/>
      <c r="WVX133" s="4"/>
      <c r="WVY133" s="4"/>
      <c r="WVZ133" s="4"/>
      <c r="WWA133" s="4"/>
      <c r="WWB133" s="4"/>
      <c r="WWC133" s="4"/>
      <c r="WWD133" s="4"/>
      <c r="WWE133" s="4"/>
      <c r="WWF133" s="4"/>
      <c r="WWG133" s="4"/>
      <c r="WWH133" s="4"/>
      <c r="WWI133" s="4"/>
      <c r="WWJ133" s="4"/>
      <c r="WWK133" s="4"/>
      <c r="WWL133" s="4"/>
      <c r="WWM133" s="4"/>
      <c r="WWN133" s="4"/>
      <c r="WWO133" s="4"/>
      <c r="WWP133" s="4"/>
      <c r="WWQ133" s="4"/>
      <c r="WWR133" s="4"/>
      <c r="WWS133" s="4"/>
      <c r="WWT133" s="4"/>
      <c r="WWU133" s="4"/>
      <c r="WWV133" s="4"/>
      <c r="WWW133" s="4"/>
      <c r="WWX133" s="4"/>
      <c r="WWY133" s="4"/>
      <c r="WWZ133" s="4"/>
      <c r="WXA133" s="4"/>
      <c r="WXB133" s="4"/>
      <c r="WXC133" s="4"/>
      <c r="WXD133" s="4"/>
      <c r="WXE133" s="4"/>
      <c r="WXF133" s="4"/>
      <c r="WXG133" s="4"/>
      <c r="WXH133" s="4"/>
      <c r="WXI133" s="4"/>
      <c r="WXJ133" s="4"/>
      <c r="WXK133" s="4"/>
      <c r="WXL133" s="4"/>
      <c r="WXM133" s="4"/>
      <c r="WXN133" s="4"/>
      <c r="WXO133" s="4"/>
      <c r="WXP133" s="4"/>
      <c r="WXQ133" s="4"/>
      <c r="WXR133" s="4"/>
      <c r="WXS133" s="4"/>
      <c r="WXT133" s="4"/>
      <c r="WXU133" s="4"/>
      <c r="WXV133" s="4"/>
      <c r="WXW133" s="4"/>
      <c r="WXX133" s="4"/>
      <c r="WXY133" s="4"/>
      <c r="WXZ133" s="4"/>
      <c r="WYA133" s="4"/>
      <c r="WYB133" s="4"/>
      <c r="WYC133" s="4"/>
      <c r="WYD133" s="4"/>
      <c r="WYE133" s="4"/>
      <c r="WYF133" s="4"/>
      <c r="WYG133" s="4"/>
      <c r="WYH133" s="4"/>
      <c r="WYI133" s="4"/>
      <c r="WYJ133" s="4"/>
      <c r="WYK133" s="4"/>
      <c r="WYL133" s="4"/>
      <c r="WYM133" s="4"/>
      <c r="WYN133" s="4"/>
      <c r="WYO133" s="4"/>
      <c r="WYP133" s="4"/>
      <c r="WYQ133" s="4"/>
      <c r="WYR133" s="4"/>
      <c r="WYS133" s="4"/>
      <c r="WYT133" s="4"/>
      <c r="WYU133" s="4"/>
      <c r="WYV133" s="4"/>
      <c r="WYW133" s="4"/>
      <c r="WYX133" s="4"/>
      <c r="WYY133" s="4"/>
      <c r="WYZ133" s="4"/>
      <c r="WZA133" s="4"/>
      <c r="WZB133" s="4"/>
      <c r="WZC133" s="4"/>
      <c r="WZD133" s="4"/>
      <c r="WZE133" s="4"/>
      <c r="WZF133" s="4"/>
      <c r="WZG133" s="4"/>
      <c r="WZH133" s="4"/>
      <c r="WZI133" s="4"/>
      <c r="WZJ133" s="4"/>
      <c r="WZK133" s="4"/>
      <c r="WZL133" s="4"/>
      <c r="WZM133" s="4"/>
      <c r="WZN133" s="4"/>
      <c r="WZO133" s="4"/>
      <c r="WZP133" s="4"/>
      <c r="WZQ133" s="4"/>
      <c r="WZR133" s="4"/>
      <c r="WZS133" s="4"/>
      <c r="WZT133" s="4"/>
      <c r="WZU133" s="4"/>
      <c r="WZV133" s="4"/>
      <c r="WZW133" s="4"/>
      <c r="WZX133" s="4"/>
      <c r="WZY133" s="4"/>
      <c r="WZZ133" s="4"/>
      <c r="XAA133" s="4"/>
      <c r="XAB133" s="4"/>
      <c r="XAC133" s="4"/>
      <c r="XAD133" s="4"/>
      <c r="XAE133" s="4"/>
      <c r="XAF133" s="4"/>
      <c r="XAG133" s="4"/>
      <c r="XAH133" s="4"/>
      <c r="XAI133" s="4"/>
      <c r="XAJ133" s="4"/>
      <c r="XAK133" s="4"/>
      <c r="XAL133" s="4"/>
      <c r="XAM133" s="4"/>
      <c r="XAN133" s="4"/>
      <c r="XAO133" s="4"/>
      <c r="XAP133" s="4"/>
      <c r="XAQ133" s="4"/>
      <c r="XAR133" s="4"/>
      <c r="XAS133" s="4"/>
      <c r="XAT133" s="4"/>
      <c r="XAU133" s="4"/>
      <c r="XAV133" s="4"/>
      <c r="XAW133" s="4"/>
      <c r="XAX133" s="4"/>
      <c r="XAY133" s="4"/>
      <c r="XAZ133" s="4"/>
      <c r="XBA133" s="4"/>
      <c r="XBB133" s="4"/>
      <c r="XBC133" s="4"/>
      <c r="XBD133" s="4"/>
      <c r="XBE133" s="4"/>
      <c r="XBF133" s="4"/>
      <c r="XBG133" s="4"/>
      <c r="XBH133" s="4"/>
      <c r="XBI133" s="4"/>
      <c r="XBJ133" s="4"/>
      <c r="XBK133" s="4"/>
      <c r="XBL133" s="4"/>
      <c r="XBM133" s="4"/>
      <c r="XBN133" s="4"/>
      <c r="XBO133" s="4"/>
      <c r="XBP133" s="4"/>
      <c r="XBQ133" s="4"/>
      <c r="XBR133" s="4"/>
      <c r="XBS133" s="4"/>
      <c r="XBT133" s="4"/>
      <c r="XBU133" s="4"/>
      <c r="XBV133" s="4"/>
      <c r="XBW133" s="4"/>
      <c r="XBX133" s="4"/>
      <c r="XBY133" s="4"/>
      <c r="XBZ133" s="4"/>
      <c r="XCA133" s="4"/>
      <c r="XCB133" s="4"/>
      <c r="XCC133" s="4"/>
      <c r="XCD133" s="4"/>
      <c r="XCE133" s="4"/>
      <c r="XCF133" s="4"/>
      <c r="XCG133" s="4"/>
      <c r="XCH133" s="4"/>
      <c r="XCI133" s="4"/>
      <c r="XCJ133" s="4"/>
      <c r="XCK133" s="4"/>
      <c r="XCL133" s="4"/>
      <c r="XCM133" s="4"/>
      <c r="XCN133" s="4"/>
      <c r="XCO133" s="4"/>
      <c r="XCP133" s="4"/>
      <c r="XCQ133" s="4"/>
      <c r="XCR133" s="4"/>
      <c r="XCS133" s="4"/>
      <c r="XCT133" s="4"/>
      <c r="XCU133" s="4"/>
      <c r="XCV133" s="4"/>
      <c r="XCW133" s="4"/>
      <c r="XCX133" s="4"/>
      <c r="XCY133" s="4"/>
      <c r="XCZ133" s="4"/>
      <c r="XDA133" s="4"/>
      <c r="XDB133" s="4"/>
      <c r="XDC133" s="4"/>
      <c r="XDD133" s="4"/>
      <c r="XDE133" s="4"/>
      <c r="XDF133" s="4"/>
      <c r="XDG133" s="4"/>
      <c r="XDH133" s="4"/>
      <c r="XDI133" s="4"/>
      <c r="XDJ133" s="4"/>
      <c r="XDK133" s="4"/>
      <c r="XDL133" s="4"/>
      <c r="XDM133" s="4"/>
      <c r="XDN133" s="4"/>
      <c r="XDO133" s="4"/>
      <c r="XDP133" s="4"/>
      <c r="XDQ133" s="4"/>
      <c r="XDR133" s="4"/>
      <c r="XDS133" s="4"/>
      <c r="XDT133" s="4"/>
      <c r="XDU133" s="4"/>
      <c r="XDV133" s="4"/>
      <c r="XDW133" s="4"/>
      <c r="XDX133" s="4"/>
      <c r="XDY133" s="4"/>
      <c r="XDZ133" s="4"/>
      <c r="XEA133" s="4"/>
      <c r="XEB133" s="4"/>
      <c r="XEC133" s="4"/>
      <c r="XED133" s="4"/>
      <c r="XEE133" s="4"/>
      <c r="XEF133" s="4"/>
      <c r="XEG133" s="4"/>
      <c r="XEH133" s="4"/>
      <c r="XEI133" s="4"/>
      <c r="XEJ133" s="4"/>
      <c r="XEK133" s="4"/>
      <c r="XEL133" s="4"/>
      <c r="XEM133" s="4"/>
      <c r="XEN133" s="4"/>
      <c r="XEO133" s="4"/>
      <c r="XEP133" s="4"/>
      <c r="XEQ133" s="4"/>
      <c r="XER133" s="4"/>
      <c r="XES133" s="4"/>
      <c r="XET133" s="4"/>
      <c r="XEU133" s="4"/>
      <c r="XEV133" s="4"/>
      <c r="XEW133" s="4"/>
      <c r="XEX133" s="4"/>
      <c r="XEY133" s="4"/>
      <c r="XEZ133" s="4"/>
      <c r="XFA133" s="4"/>
      <c r="XFB133" s="4"/>
      <c r="XFC133" s="4"/>
    </row>
    <row r="134" spans="1:16383" ht="17.5" x14ac:dyDescent="0.35">
      <c r="A134" s="367" t="s">
        <v>2656</v>
      </c>
      <c r="B134" s="24"/>
    </row>
    <row r="135" spans="1:16383" ht="17.5" x14ac:dyDescent="0.35">
      <c r="A135" s="334" t="s">
        <v>2701</v>
      </c>
      <c r="B135" s="456">
        <f>+I129</f>
        <v>0</v>
      </c>
    </row>
  </sheetData>
  <printOptions gridLines="1"/>
  <pageMargins left="0.5" right="0.5" top="0.5" bottom="0.5" header="0.3" footer="0.3"/>
  <pageSetup scale="65" orientation="landscape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I36"/>
  <sheetViews>
    <sheetView workbookViewId="0">
      <pane ySplit="1" topLeftCell="A2" activePane="bottomLeft" state="frozen"/>
      <selection activeCell="C26" sqref="C26"/>
      <selection pane="bottomLeft" activeCell="A29" sqref="A29:XFD37"/>
    </sheetView>
  </sheetViews>
  <sheetFormatPr defaultColWidth="9.08984375" defaultRowHeight="15.5" x14ac:dyDescent="0.35"/>
  <cols>
    <col min="1" max="1" width="57.54296875" style="58" bestFit="1" customWidth="1"/>
    <col min="2" max="2" width="18.6328125" style="112" bestFit="1" customWidth="1"/>
    <col min="3" max="3" width="21.1796875" style="112" customWidth="1"/>
    <col min="4" max="4" width="21.81640625" style="59" customWidth="1"/>
    <col min="5" max="5" width="14.36328125" style="58" customWidth="1"/>
    <col min="6" max="6" width="16.453125" style="58" customWidth="1"/>
    <col min="7" max="7" width="12.6328125" style="58" customWidth="1"/>
    <col min="8" max="8" width="13.08984375" style="442" customWidth="1"/>
    <col min="9" max="9" width="18.6328125" style="442" customWidth="1"/>
    <col min="10" max="16384" width="9.08984375" style="58"/>
  </cols>
  <sheetData>
    <row r="1" spans="1:9" x14ac:dyDescent="0.35">
      <c r="A1" s="212" t="s">
        <v>0</v>
      </c>
      <c r="B1" s="261" t="s">
        <v>1</v>
      </c>
      <c r="C1" s="610" t="s">
        <v>2700</v>
      </c>
      <c r="D1" s="261" t="s">
        <v>1598</v>
      </c>
      <c r="E1" s="261" t="s">
        <v>1599</v>
      </c>
      <c r="F1" s="610" t="s">
        <v>2699</v>
      </c>
      <c r="G1" s="211" t="s">
        <v>364</v>
      </c>
      <c r="H1" s="611" t="s">
        <v>2695</v>
      </c>
      <c r="I1" s="612" t="s">
        <v>2696</v>
      </c>
    </row>
    <row r="2" spans="1:9" x14ac:dyDescent="0.35">
      <c r="A2" s="633" t="s">
        <v>893</v>
      </c>
      <c r="B2" s="15" t="s">
        <v>149</v>
      </c>
      <c r="C2" s="315"/>
      <c r="D2" s="62"/>
      <c r="E2" s="62" t="s">
        <v>1604</v>
      </c>
      <c r="F2" s="466"/>
      <c r="G2" s="125">
        <v>1</v>
      </c>
      <c r="H2" s="425"/>
      <c r="I2" s="634">
        <f t="shared" ref="I2:I28" si="0">+G2*H2</f>
        <v>0</v>
      </c>
    </row>
    <row r="3" spans="1:9" x14ac:dyDescent="0.35">
      <c r="A3" s="633" t="s">
        <v>895</v>
      </c>
      <c r="B3" s="15" t="s">
        <v>357</v>
      </c>
      <c r="C3" s="315"/>
      <c r="D3" s="62"/>
      <c r="E3" s="62" t="s">
        <v>1604</v>
      </c>
      <c r="F3" s="466"/>
      <c r="G3" s="125">
        <v>2</v>
      </c>
      <c r="H3" s="425"/>
      <c r="I3" s="634">
        <f t="shared" si="0"/>
        <v>0</v>
      </c>
    </row>
    <row r="4" spans="1:9" x14ac:dyDescent="0.35">
      <c r="A4" s="633" t="s">
        <v>1020</v>
      </c>
      <c r="B4" s="15" t="s">
        <v>271</v>
      </c>
      <c r="C4" s="315"/>
      <c r="D4" s="62"/>
      <c r="E4" s="62" t="s">
        <v>1604</v>
      </c>
      <c r="F4" s="466"/>
      <c r="G4" s="125">
        <v>1</v>
      </c>
      <c r="H4" s="425"/>
      <c r="I4" s="634">
        <f t="shared" si="0"/>
        <v>0</v>
      </c>
    </row>
    <row r="5" spans="1:9" x14ac:dyDescent="0.35">
      <c r="A5" s="633" t="s">
        <v>1022</v>
      </c>
      <c r="B5" s="15" t="s">
        <v>269</v>
      </c>
      <c r="C5" s="315"/>
      <c r="D5" s="62"/>
      <c r="E5" s="62" t="s">
        <v>1604</v>
      </c>
      <c r="F5" s="466"/>
      <c r="G5" s="125">
        <v>1</v>
      </c>
      <c r="H5" s="425"/>
      <c r="I5" s="634">
        <f t="shared" si="0"/>
        <v>0</v>
      </c>
    </row>
    <row r="6" spans="1:9" x14ac:dyDescent="0.35">
      <c r="A6" s="633" t="s">
        <v>15</v>
      </c>
      <c r="B6" s="15" t="s">
        <v>424</v>
      </c>
      <c r="C6" s="315"/>
      <c r="D6" s="62"/>
      <c r="E6" s="62" t="s">
        <v>1604</v>
      </c>
      <c r="F6" s="466"/>
      <c r="G6" s="125">
        <v>2</v>
      </c>
      <c r="H6" s="425"/>
      <c r="I6" s="634">
        <f t="shared" si="0"/>
        <v>0</v>
      </c>
    </row>
    <row r="7" spans="1:9" x14ac:dyDescent="0.35">
      <c r="A7" s="633" t="s">
        <v>1019</v>
      </c>
      <c r="B7" s="15" t="s">
        <v>90</v>
      </c>
      <c r="C7" s="315"/>
      <c r="D7" s="62"/>
      <c r="E7" s="62" t="s">
        <v>1604</v>
      </c>
      <c r="F7" s="466"/>
      <c r="G7" s="125">
        <v>2</v>
      </c>
      <c r="H7" s="425"/>
      <c r="I7" s="634">
        <f t="shared" si="0"/>
        <v>0</v>
      </c>
    </row>
    <row r="8" spans="1:9" x14ac:dyDescent="0.35">
      <c r="A8" s="633" t="s">
        <v>1710</v>
      </c>
      <c r="B8" s="15" t="s">
        <v>1566</v>
      </c>
      <c r="C8" s="315"/>
      <c r="D8" s="62"/>
      <c r="E8" s="62" t="s">
        <v>1604</v>
      </c>
      <c r="F8" s="466"/>
      <c r="G8" s="125">
        <v>1</v>
      </c>
      <c r="H8" s="425"/>
      <c r="I8" s="634">
        <f t="shared" si="0"/>
        <v>0</v>
      </c>
    </row>
    <row r="9" spans="1:9" x14ac:dyDescent="0.35">
      <c r="A9" s="633" t="s">
        <v>35</v>
      </c>
      <c r="B9" s="15" t="s">
        <v>1567</v>
      </c>
      <c r="C9" s="315"/>
      <c r="D9" s="62"/>
      <c r="E9" s="62" t="s">
        <v>1604</v>
      </c>
      <c r="F9" s="466"/>
      <c r="G9" s="125">
        <v>1</v>
      </c>
      <c r="H9" s="425"/>
      <c r="I9" s="634">
        <f t="shared" si="0"/>
        <v>0</v>
      </c>
    </row>
    <row r="10" spans="1:9" x14ac:dyDescent="0.35">
      <c r="A10" s="633" t="s">
        <v>33</v>
      </c>
      <c r="B10" s="15" t="s">
        <v>1565</v>
      </c>
      <c r="C10" s="315"/>
      <c r="D10" s="62"/>
      <c r="E10" s="62" t="s">
        <v>1604</v>
      </c>
      <c r="F10" s="466"/>
      <c r="G10" s="125">
        <v>1</v>
      </c>
      <c r="H10" s="425"/>
      <c r="I10" s="634">
        <f t="shared" si="0"/>
        <v>0</v>
      </c>
    </row>
    <row r="11" spans="1:9" x14ac:dyDescent="0.35">
      <c r="A11" s="633" t="s">
        <v>834</v>
      </c>
      <c r="B11" s="15" t="s">
        <v>1568</v>
      </c>
      <c r="C11" s="315"/>
      <c r="D11" s="62"/>
      <c r="E11" s="62" t="s">
        <v>1604</v>
      </c>
      <c r="F11" s="466"/>
      <c r="G11" s="125">
        <v>1</v>
      </c>
      <c r="H11" s="425"/>
      <c r="I11" s="634">
        <f t="shared" si="0"/>
        <v>0</v>
      </c>
    </row>
    <row r="12" spans="1:9" x14ac:dyDescent="0.35">
      <c r="A12" s="633" t="s">
        <v>2681</v>
      </c>
      <c r="B12" s="15" t="s">
        <v>2238</v>
      </c>
      <c r="C12" s="315"/>
      <c r="D12" s="62"/>
      <c r="E12" s="62" t="s">
        <v>1604</v>
      </c>
      <c r="F12" s="466"/>
      <c r="G12" s="125">
        <v>1</v>
      </c>
      <c r="H12" s="425"/>
      <c r="I12" s="634">
        <f t="shared" si="0"/>
        <v>0</v>
      </c>
    </row>
    <row r="13" spans="1:9" x14ac:dyDescent="0.35">
      <c r="A13" s="633" t="s">
        <v>2680</v>
      </c>
      <c r="B13" s="252" t="s">
        <v>2240</v>
      </c>
      <c r="C13" s="315"/>
      <c r="D13" s="253"/>
      <c r="E13" s="253" t="s">
        <v>1604</v>
      </c>
      <c r="F13" s="466"/>
      <c r="G13" s="222">
        <v>1</v>
      </c>
      <c r="H13" s="425"/>
      <c r="I13" s="634">
        <f t="shared" si="0"/>
        <v>0</v>
      </c>
    </row>
    <row r="14" spans="1:9" x14ac:dyDescent="0.35">
      <c r="A14" s="633" t="s">
        <v>2679</v>
      </c>
      <c r="B14" s="252" t="s">
        <v>2241</v>
      </c>
      <c r="C14" s="315"/>
      <c r="D14" s="253"/>
      <c r="E14" s="253" t="s">
        <v>1604</v>
      </c>
      <c r="F14" s="466"/>
      <c r="G14" s="222">
        <v>1</v>
      </c>
      <c r="H14" s="425"/>
      <c r="I14" s="634">
        <f t="shared" si="0"/>
        <v>0</v>
      </c>
    </row>
    <row r="15" spans="1:9" x14ac:dyDescent="0.35">
      <c r="A15" s="633" t="s">
        <v>1708</v>
      </c>
      <c r="B15" s="15" t="s">
        <v>1709</v>
      </c>
      <c r="C15" s="315"/>
      <c r="D15" s="62"/>
      <c r="E15" s="62" t="s">
        <v>1604</v>
      </c>
      <c r="F15" s="466"/>
      <c r="G15" s="125">
        <v>1</v>
      </c>
      <c r="H15" s="425"/>
      <c r="I15" s="634">
        <f t="shared" si="0"/>
        <v>0</v>
      </c>
    </row>
    <row r="16" spans="1:9" x14ac:dyDescent="0.35">
      <c r="A16" s="633" t="s">
        <v>2586</v>
      </c>
      <c r="B16" s="252" t="s">
        <v>1713</v>
      </c>
      <c r="C16" s="315"/>
      <c r="D16" s="62"/>
      <c r="E16" s="62" t="s">
        <v>1604</v>
      </c>
      <c r="F16" s="466"/>
      <c r="G16" s="125">
        <v>1</v>
      </c>
      <c r="H16" s="425"/>
      <c r="I16" s="634">
        <f t="shared" si="0"/>
        <v>0</v>
      </c>
    </row>
    <row r="17" spans="1:9" x14ac:dyDescent="0.35">
      <c r="A17" s="633" t="s">
        <v>2038</v>
      </c>
      <c r="B17" s="15" t="s">
        <v>1714</v>
      </c>
      <c r="C17" s="315"/>
      <c r="D17" s="62"/>
      <c r="E17" s="62" t="s">
        <v>1604</v>
      </c>
      <c r="F17" s="466"/>
      <c r="G17" s="125">
        <v>1</v>
      </c>
      <c r="H17" s="425"/>
      <c r="I17" s="634">
        <f t="shared" si="0"/>
        <v>0</v>
      </c>
    </row>
    <row r="18" spans="1:9" x14ac:dyDescent="0.35">
      <c r="A18" s="633" t="s">
        <v>2587</v>
      </c>
      <c r="B18" s="15" t="s">
        <v>1711</v>
      </c>
      <c r="C18" s="315"/>
      <c r="D18" s="62"/>
      <c r="E18" s="62" t="s">
        <v>1604</v>
      </c>
      <c r="F18" s="466"/>
      <c r="G18" s="125">
        <v>1</v>
      </c>
      <c r="H18" s="425"/>
      <c r="I18" s="634">
        <f t="shared" si="0"/>
        <v>0</v>
      </c>
    </row>
    <row r="19" spans="1:9" x14ac:dyDescent="0.35">
      <c r="A19" s="633" t="s">
        <v>2039</v>
      </c>
      <c r="B19" s="15" t="s">
        <v>1715</v>
      </c>
      <c r="C19" s="315"/>
      <c r="D19" s="62"/>
      <c r="E19" s="62" t="s">
        <v>1604</v>
      </c>
      <c r="F19" s="466"/>
      <c r="G19" s="125">
        <v>1</v>
      </c>
      <c r="H19" s="425"/>
      <c r="I19" s="634">
        <f t="shared" si="0"/>
        <v>0</v>
      </c>
    </row>
    <row r="20" spans="1:9" x14ac:dyDescent="0.35">
      <c r="A20" s="633" t="s">
        <v>2590</v>
      </c>
      <c r="B20" s="15" t="s">
        <v>1712</v>
      </c>
      <c r="C20" s="315"/>
      <c r="D20" s="62"/>
      <c r="E20" s="62" t="s">
        <v>1604</v>
      </c>
      <c r="F20" s="466"/>
      <c r="G20" s="125">
        <v>1</v>
      </c>
      <c r="H20" s="425"/>
      <c r="I20" s="634">
        <f t="shared" si="0"/>
        <v>0</v>
      </c>
    </row>
    <row r="21" spans="1:9" x14ac:dyDescent="0.35">
      <c r="A21" s="633" t="s">
        <v>1348</v>
      </c>
      <c r="B21" s="15" t="s">
        <v>518</v>
      </c>
      <c r="C21" s="315"/>
      <c r="D21" s="62"/>
      <c r="E21" s="62" t="s">
        <v>1604</v>
      </c>
      <c r="F21" s="466"/>
      <c r="G21" s="125">
        <v>2</v>
      </c>
      <c r="H21" s="425"/>
      <c r="I21" s="634">
        <f t="shared" si="0"/>
        <v>0</v>
      </c>
    </row>
    <row r="22" spans="1:9" x14ac:dyDescent="0.35">
      <c r="A22" s="633" t="s">
        <v>1338</v>
      </c>
      <c r="B22" s="15" t="s">
        <v>461</v>
      </c>
      <c r="C22" s="315"/>
      <c r="D22" s="62"/>
      <c r="E22" s="62" t="s">
        <v>1604</v>
      </c>
      <c r="F22" s="466"/>
      <c r="G22" s="125">
        <v>1</v>
      </c>
      <c r="H22" s="425"/>
      <c r="I22" s="634">
        <f t="shared" si="0"/>
        <v>0</v>
      </c>
    </row>
    <row r="23" spans="1:9" x14ac:dyDescent="0.35">
      <c r="A23" s="633" t="s">
        <v>1036</v>
      </c>
      <c r="B23" s="15" t="s">
        <v>423</v>
      </c>
      <c r="C23" s="315"/>
      <c r="D23" s="62"/>
      <c r="E23" s="62" t="s">
        <v>1604</v>
      </c>
      <c r="F23" s="466"/>
      <c r="G23" s="125">
        <v>2</v>
      </c>
      <c r="H23" s="425"/>
      <c r="I23" s="634">
        <f t="shared" si="0"/>
        <v>0</v>
      </c>
    </row>
    <row r="24" spans="1:9" x14ac:dyDescent="0.35">
      <c r="A24" s="633" t="s">
        <v>1233</v>
      </c>
      <c r="B24" s="15" t="s">
        <v>629</v>
      </c>
      <c r="C24" s="315"/>
      <c r="D24" s="62"/>
      <c r="E24" s="62" t="s">
        <v>1604</v>
      </c>
      <c r="F24" s="466"/>
      <c r="G24" s="125">
        <v>1</v>
      </c>
      <c r="H24" s="425"/>
      <c r="I24" s="634">
        <f t="shared" si="0"/>
        <v>0</v>
      </c>
    </row>
    <row r="25" spans="1:9" x14ac:dyDescent="0.35">
      <c r="A25" s="633" t="s">
        <v>1771</v>
      </c>
      <c r="B25" s="15" t="s">
        <v>2224</v>
      </c>
      <c r="C25" s="315"/>
      <c r="D25" s="62"/>
      <c r="E25" s="62" t="s">
        <v>1604</v>
      </c>
      <c r="F25" s="466"/>
      <c r="G25" s="125">
        <v>1</v>
      </c>
      <c r="H25" s="425"/>
      <c r="I25" s="634">
        <f t="shared" si="0"/>
        <v>0</v>
      </c>
    </row>
    <row r="26" spans="1:9" x14ac:dyDescent="0.35">
      <c r="A26" s="633" t="s">
        <v>1048</v>
      </c>
      <c r="B26" s="15" t="s">
        <v>250</v>
      </c>
      <c r="C26" s="315"/>
      <c r="D26" s="62"/>
      <c r="E26" s="62" t="s">
        <v>1604</v>
      </c>
      <c r="F26" s="466"/>
      <c r="G26" s="125">
        <v>2</v>
      </c>
      <c r="H26" s="425"/>
      <c r="I26" s="634">
        <f t="shared" si="0"/>
        <v>0</v>
      </c>
    </row>
    <row r="27" spans="1:9" x14ac:dyDescent="0.35">
      <c r="A27" s="633" t="s">
        <v>8</v>
      </c>
      <c r="B27" s="15" t="s">
        <v>211</v>
      </c>
      <c r="C27" s="315"/>
      <c r="D27" s="62"/>
      <c r="E27" s="62" t="s">
        <v>1604</v>
      </c>
      <c r="F27" s="466"/>
      <c r="G27" s="125">
        <v>1</v>
      </c>
      <c r="H27" s="425"/>
      <c r="I27" s="634">
        <f t="shared" si="0"/>
        <v>0</v>
      </c>
    </row>
    <row r="28" spans="1:9" x14ac:dyDescent="0.35">
      <c r="A28" s="633" t="s">
        <v>19</v>
      </c>
      <c r="B28" s="252" t="s">
        <v>242</v>
      </c>
      <c r="C28" s="315"/>
      <c r="D28" s="253"/>
      <c r="E28" s="253" t="s">
        <v>1604</v>
      </c>
      <c r="F28" s="466"/>
      <c r="G28" s="222">
        <v>1</v>
      </c>
      <c r="H28" s="425"/>
      <c r="I28" s="634">
        <f t="shared" si="0"/>
        <v>0</v>
      </c>
    </row>
    <row r="29" spans="1:9" x14ac:dyDescent="0.35">
      <c r="I29" s="442">
        <f>SUM(I2:I28)</f>
        <v>0</v>
      </c>
    </row>
    <row r="33" spans="1:9" s="4" customFormat="1" ht="17.5" x14ac:dyDescent="0.35">
      <c r="A33" s="309" t="s">
        <v>1515</v>
      </c>
      <c r="B33" s="312"/>
      <c r="C33" s="249"/>
      <c r="F33" s="248"/>
      <c r="H33" s="406"/>
      <c r="I33" s="406"/>
    </row>
    <row r="34" spans="1:9" s="4" customFormat="1" ht="17.5" x14ac:dyDescent="0.35">
      <c r="A34" s="309" t="s">
        <v>2438</v>
      </c>
      <c r="B34" s="312"/>
      <c r="C34" s="249"/>
      <c r="F34" s="248"/>
      <c r="H34" s="442"/>
      <c r="I34" s="406"/>
    </row>
    <row r="35" spans="1:9" ht="17.5" x14ac:dyDescent="0.35">
      <c r="A35" s="367" t="s">
        <v>2655</v>
      </c>
      <c r="B35" s="381"/>
    </row>
    <row r="36" spans="1:9" ht="17.5" x14ac:dyDescent="0.35">
      <c r="A36" s="334" t="s">
        <v>2701</v>
      </c>
      <c r="B36" s="456">
        <f>+I29</f>
        <v>0</v>
      </c>
    </row>
  </sheetData>
  <sortState xmlns:xlrd2="http://schemas.microsoft.com/office/spreadsheetml/2017/richdata2" ref="A2:H28">
    <sortCondition ref="B2:B28"/>
  </sortState>
  <pageMargins left="0.5" right="0.5" top="0.5" bottom="0.5" header="0.3" footer="0.3"/>
  <pageSetup scale="35" fitToHeight="0" orientation="portrait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25"/>
  <sheetViews>
    <sheetView workbookViewId="0">
      <pane ySplit="1" topLeftCell="A2" activePane="bottomLeft" state="frozen"/>
      <selection activeCell="C26" sqref="C26"/>
      <selection pane="bottomLeft" activeCell="A4" sqref="A2:XFD4"/>
    </sheetView>
  </sheetViews>
  <sheetFormatPr defaultColWidth="9.08984375" defaultRowHeight="15.5" x14ac:dyDescent="0.35"/>
  <cols>
    <col min="1" max="1" width="54.6328125" style="58" bestFit="1" customWidth="1"/>
    <col min="2" max="2" width="16.08984375" style="59" customWidth="1"/>
    <col min="3" max="3" width="21.1796875" style="59" customWidth="1"/>
    <col min="4" max="4" width="21.81640625" style="59" customWidth="1"/>
    <col min="5" max="5" width="14.36328125" style="59" customWidth="1"/>
    <col min="6" max="6" width="16.453125" style="59" customWidth="1"/>
    <col min="7" max="7" width="11.90625" style="59" customWidth="1"/>
    <col min="8" max="8" width="13.08984375" style="533" customWidth="1"/>
    <col min="9" max="9" width="18.6328125" style="534" customWidth="1"/>
    <col min="10" max="10" width="16.90625" style="60" bestFit="1" customWidth="1"/>
    <col min="11" max="16384" width="9.08984375" style="60"/>
  </cols>
  <sheetData>
    <row r="1" spans="1:9" x14ac:dyDescent="0.35">
      <c r="A1" s="260" t="s">
        <v>0</v>
      </c>
      <c r="B1" s="261" t="s">
        <v>1</v>
      </c>
      <c r="C1" s="610" t="s">
        <v>2700</v>
      </c>
      <c r="D1" s="261" t="s">
        <v>1598</v>
      </c>
      <c r="E1" s="261" t="s">
        <v>1599</v>
      </c>
      <c r="F1" s="610" t="s">
        <v>2699</v>
      </c>
      <c r="G1" s="262" t="s">
        <v>364</v>
      </c>
      <c r="H1" s="611" t="s">
        <v>2695</v>
      </c>
      <c r="I1" s="612" t="s">
        <v>2696</v>
      </c>
    </row>
    <row r="2" spans="1:9" x14ac:dyDescent="0.35">
      <c r="A2" s="258" t="s">
        <v>1386</v>
      </c>
      <c r="B2" s="83" t="s">
        <v>1638</v>
      </c>
      <c r="C2" s="315"/>
      <c r="D2" s="83"/>
      <c r="E2" s="83" t="s">
        <v>1604</v>
      </c>
      <c r="F2" s="531"/>
      <c r="G2" s="26">
        <v>1</v>
      </c>
      <c r="H2" s="532"/>
      <c r="I2" s="634">
        <f t="shared" ref="I2:I18" si="0">+G2*H2</f>
        <v>0</v>
      </c>
    </row>
    <row r="3" spans="1:9" x14ac:dyDescent="0.35">
      <c r="A3" s="258" t="s">
        <v>1774</v>
      </c>
      <c r="B3" s="83" t="s">
        <v>1705</v>
      </c>
      <c r="C3" s="315"/>
      <c r="D3" s="83"/>
      <c r="E3" s="83" t="s">
        <v>1604</v>
      </c>
      <c r="F3" s="531"/>
      <c r="G3" s="26">
        <v>1</v>
      </c>
      <c r="H3" s="532"/>
      <c r="I3" s="634">
        <f t="shared" si="0"/>
        <v>0</v>
      </c>
    </row>
    <row r="4" spans="1:9" x14ac:dyDescent="0.35">
      <c r="A4" s="258" t="s">
        <v>1411</v>
      </c>
      <c r="B4" s="83" t="s">
        <v>49</v>
      </c>
      <c r="C4" s="315"/>
      <c r="D4" s="83"/>
      <c r="E4" s="83" t="s">
        <v>1604</v>
      </c>
      <c r="F4" s="531"/>
      <c r="G4" s="26">
        <v>1</v>
      </c>
      <c r="H4" s="532"/>
      <c r="I4" s="634">
        <f t="shared" si="0"/>
        <v>0</v>
      </c>
    </row>
    <row r="5" spans="1:9" x14ac:dyDescent="0.35">
      <c r="A5" s="258" t="s">
        <v>1117</v>
      </c>
      <c r="B5" s="83" t="s">
        <v>466</v>
      </c>
      <c r="C5" s="315"/>
      <c r="D5" s="83"/>
      <c r="E5" s="83" t="s">
        <v>1604</v>
      </c>
      <c r="F5" s="531"/>
      <c r="G5" s="26">
        <v>1</v>
      </c>
      <c r="H5" s="532"/>
      <c r="I5" s="634">
        <f t="shared" si="0"/>
        <v>0</v>
      </c>
    </row>
    <row r="6" spans="1:9" x14ac:dyDescent="0.35">
      <c r="A6" s="258" t="s">
        <v>15</v>
      </c>
      <c r="B6" s="83" t="s">
        <v>424</v>
      </c>
      <c r="C6" s="315"/>
      <c r="D6" s="83"/>
      <c r="E6" s="83" t="s">
        <v>1604</v>
      </c>
      <c r="F6" s="531"/>
      <c r="G6" s="26">
        <v>1</v>
      </c>
      <c r="H6" s="532"/>
      <c r="I6" s="634">
        <f t="shared" si="0"/>
        <v>0</v>
      </c>
    </row>
    <row r="7" spans="1:9" x14ac:dyDescent="0.35">
      <c r="A7" s="258" t="s">
        <v>1019</v>
      </c>
      <c r="B7" s="83" t="s">
        <v>90</v>
      </c>
      <c r="C7" s="315"/>
      <c r="D7" s="83"/>
      <c r="E7" s="83" t="s">
        <v>1604</v>
      </c>
      <c r="F7" s="531"/>
      <c r="G7" s="26">
        <v>1</v>
      </c>
      <c r="H7" s="532"/>
      <c r="I7" s="634">
        <f t="shared" si="0"/>
        <v>0</v>
      </c>
    </row>
    <row r="8" spans="1:9" x14ac:dyDescent="0.35">
      <c r="A8" s="258" t="s">
        <v>1123</v>
      </c>
      <c r="B8" s="83" t="s">
        <v>540</v>
      </c>
      <c r="C8" s="315"/>
      <c r="D8" s="83"/>
      <c r="E8" s="83" t="s">
        <v>1604</v>
      </c>
      <c r="F8" s="531"/>
      <c r="G8" s="26">
        <v>1</v>
      </c>
      <c r="H8" s="532"/>
      <c r="I8" s="634">
        <f t="shared" si="0"/>
        <v>0</v>
      </c>
    </row>
    <row r="9" spans="1:9" x14ac:dyDescent="0.35">
      <c r="A9" s="258" t="s">
        <v>1124</v>
      </c>
      <c r="B9" s="83" t="s">
        <v>708</v>
      </c>
      <c r="C9" s="315"/>
      <c r="D9" s="83"/>
      <c r="E9" s="83" t="s">
        <v>1604</v>
      </c>
      <c r="F9" s="531"/>
      <c r="G9" s="26">
        <v>1</v>
      </c>
      <c r="H9" s="532"/>
      <c r="I9" s="634">
        <f t="shared" si="0"/>
        <v>0</v>
      </c>
    </row>
    <row r="10" spans="1:9" x14ac:dyDescent="0.35">
      <c r="A10" s="258" t="s">
        <v>1127</v>
      </c>
      <c r="B10" s="83" t="s">
        <v>539</v>
      </c>
      <c r="C10" s="315"/>
      <c r="D10" s="83"/>
      <c r="E10" s="83" t="s">
        <v>1604</v>
      </c>
      <c r="F10" s="531"/>
      <c r="G10" s="26">
        <v>1</v>
      </c>
      <c r="H10" s="532"/>
      <c r="I10" s="634">
        <f t="shared" si="0"/>
        <v>0</v>
      </c>
    </row>
    <row r="11" spans="1:9" x14ac:dyDescent="0.35">
      <c r="A11" s="258" t="s">
        <v>904</v>
      </c>
      <c r="B11" s="83" t="s">
        <v>538</v>
      </c>
      <c r="C11" s="315"/>
      <c r="D11" s="83"/>
      <c r="E11" s="83" t="s">
        <v>1604</v>
      </c>
      <c r="F11" s="531"/>
      <c r="G11" s="26">
        <v>1</v>
      </c>
      <c r="H11" s="532"/>
      <c r="I11" s="634">
        <f t="shared" si="0"/>
        <v>0</v>
      </c>
    </row>
    <row r="12" spans="1:9" x14ac:dyDescent="0.35">
      <c r="A12" s="258" t="s">
        <v>1181</v>
      </c>
      <c r="B12" s="83" t="s">
        <v>735</v>
      </c>
      <c r="C12" s="315"/>
      <c r="D12" s="83"/>
      <c r="E12" s="83" t="s">
        <v>1604</v>
      </c>
      <c r="F12" s="531"/>
      <c r="G12" s="26">
        <v>1</v>
      </c>
      <c r="H12" s="532"/>
      <c r="I12" s="634">
        <f t="shared" si="0"/>
        <v>0</v>
      </c>
    </row>
    <row r="13" spans="1:9" x14ac:dyDescent="0.35">
      <c r="A13" s="258" t="s">
        <v>11</v>
      </c>
      <c r="B13" s="83" t="s">
        <v>233</v>
      </c>
      <c r="C13" s="315"/>
      <c r="D13" s="83"/>
      <c r="E13" s="83" t="s">
        <v>1604</v>
      </c>
      <c r="F13" s="531"/>
      <c r="G13" s="26">
        <v>1</v>
      </c>
      <c r="H13" s="532"/>
      <c r="I13" s="634">
        <f t="shared" si="0"/>
        <v>0</v>
      </c>
    </row>
    <row r="14" spans="1:9" x14ac:dyDescent="0.35">
      <c r="A14" s="258" t="s">
        <v>159</v>
      </c>
      <c r="B14" s="83" t="s">
        <v>427</v>
      </c>
      <c r="C14" s="315"/>
      <c r="D14" s="83"/>
      <c r="E14" s="83" t="s">
        <v>1604</v>
      </c>
      <c r="F14" s="531"/>
      <c r="G14" s="26">
        <v>1</v>
      </c>
      <c r="H14" s="532"/>
      <c r="I14" s="634">
        <f t="shared" si="0"/>
        <v>0</v>
      </c>
    </row>
    <row r="15" spans="1:9" x14ac:dyDescent="0.35">
      <c r="A15" s="258" t="s">
        <v>885</v>
      </c>
      <c r="B15" s="83" t="s">
        <v>229</v>
      </c>
      <c r="C15" s="315"/>
      <c r="D15" s="83"/>
      <c r="E15" s="83" t="s">
        <v>1604</v>
      </c>
      <c r="F15" s="531"/>
      <c r="G15" s="26">
        <v>1</v>
      </c>
      <c r="H15" s="532"/>
      <c r="I15" s="634">
        <f t="shared" si="0"/>
        <v>0</v>
      </c>
    </row>
    <row r="16" spans="1:9" x14ac:dyDescent="0.35">
      <c r="A16" s="258" t="s">
        <v>992</v>
      </c>
      <c r="B16" s="83" t="s">
        <v>584</v>
      </c>
      <c r="C16" s="315"/>
      <c r="D16" s="83"/>
      <c r="E16" s="83" t="s">
        <v>1604</v>
      </c>
      <c r="F16" s="531"/>
      <c r="G16" s="26">
        <v>1</v>
      </c>
      <c r="H16" s="532"/>
      <c r="I16" s="634">
        <f t="shared" si="0"/>
        <v>0</v>
      </c>
    </row>
    <row r="17" spans="1:9" x14ac:dyDescent="0.35">
      <c r="A17" s="258" t="s">
        <v>1042</v>
      </c>
      <c r="B17" s="83" t="s">
        <v>429</v>
      </c>
      <c r="C17" s="315"/>
      <c r="D17" s="83"/>
      <c r="E17" s="83" t="s">
        <v>1604</v>
      </c>
      <c r="F17" s="531"/>
      <c r="G17" s="26">
        <v>1</v>
      </c>
      <c r="H17" s="532"/>
      <c r="I17" s="634">
        <f t="shared" si="0"/>
        <v>0</v>
      </c>
    </row>
    <row r="18" spans="1:9" x14ac:dyDescent="0.35">
      <c r="A18" s="550" t="s">
        <v>984</v>
      </c>
      <c r="B18" s="636" t="s">
        <v>1669</v>
      </c>
      <c r="C18" s="547"/>
      <c r="D18" s="636"/>
      <c r="E18" s="636" t="s">
        <v>1604</v>
      </c>
      <c r="F18" s="637"/>
      <c r="G18" s="227">
        <v>1</v>
      </c>
      <c r="H18" s="638"/>
      <c r="I18" s="635">
        <f t="shared" si="0"/>
        <v>0</v>
      </c>
    </row>
    <row r="19" spans="1:9" x14ac:dyDescent="0.35">
      <c r="I19" s="534">
        <f>SUM(I2:I18)</f>
        <v>0</v>
      </c>
    </row>
    <row r="22" spans="1:9" s="4" customFormat="1" ht="17.5" x14ac:dyDescent="0.35">
      <c r="A22" s="309" t="s">
        <v>1519</v>
      </c>
      <c r="B22" s="312"/>
      <c r="C22" s="249"/>
      <c r="D22" s="3"/>
      <c r="E22" s="3"/>
      <c r="F22" s="249"/>
      <c r="G22" s="3"/>
      <c r="H22" s="432"/>
      <c r="I22" s="406"/>
    </row>
    <row r="23" spans="1:9" s="4" customFormat="1" ht="17.5" x14ac:dyDescent="0.35">
      <c r="A23" s="309" t="s">
        <v>2434</v>
      </c>
      <c r="B23" s="312"/>
      <c r="C23" s="249"/>
      <c r="D23" s="3"/>
      <c r="E23" s="3"/>
      <c r="F23" s="249"/>
      <c r="G23" s="3"/>
      <c r="H23" s="432"/>
      <c r="I23" s="406"/>
    </row>
    <row r="24" spans="1:9" ht="17.5" x14ac:dyDescent="0.35">
      <c r="A24" s="367" t="s">
        <v>2654</v>
      </c>
      <c r="B24" s="254"/>
    </row>
    <row r="25" spans="1:9" ht="17.5" x14ac:dyDescent="0.35">
      <c r="A25" s="334" t="s">
        <v>2701</v>
      </c>
      <c r="B25" s="456">
        <f>+I19</f>
        <v>0</v>
      </c>
    </row>
  </sheetData>
  <sortState xmlns:xlrd2="http://schemas.microsoft.com/office/spreadsheetml/2017/richdata2" ref="A2:H18">
    <sortCondition ref="B2:B18"/>
  </sortState>
  <pageMargins left="0.5" right="0.5" top="0.5" bottom="0.5" header="0.3" footer="0.3"/>
  <pageSetup scale="75" orientation="landscape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66"/>
  <sheetViews>
    <sheetView zoomScale="115" zoomScaleNormal="115" workbookViewId="0">
      <pane ySplit="1" topLeftCell="A22" activePane="bottomLeft" state="frozen"/>
      <selection activeCell="C26" sqref="C26"/>
      <selection pane="bottomLeft" activeCell="A54" sqref="A52:XFD54"/>
    </sheetView>
  </sheetViews>
  <sheetFormatPr defaultColWidth="9.08984375" defaultRowHeight="15.5" x14ac:dyDescent="0.35"/>
  <cols>
    <col min="1" max="1" width="63.90625" style="106" bestFit="1" customWidth="1"/>
    <col min="2" max="2" width="16.453125" style="76" bestFit="1" customWidth="1"/>
    <col min="3" max="3" width="21.1796875" style="76" customWidth="1"/>
    <col min="4" max="4" width="21.81640625" style="76" customWidth="1"/>
    <col min="5" max="5" width="14.36328125" style="76" customWidth="1"/>
    <col min="6" max="6" width="16.453125" style="76" customWidth="1"/>
    <col min="7" max="7" width="11.90625" style="106" customWidth="1"/>
    <col min="8" max="8" width="13.08984375" style="386" customWidth="1"/>
    <col min="9" max="9" width="18.6328125" style="386" customWidth="1"/>
    <col min="10" max="10" width="17" style="106" bestFit="1" customWidth="1"/>
    <col min="11" max="16384" width="9.08984375" style="106"/>
  </cols>
  <sheetData>
    <row r="1" spans="1:9" x14ac:dyDescent="0.35">
      <c r="A1" s="615" t="s">
        <v>0</v>
      </c>
      <c r="B1" s="261" t="s">
        <v>1</v>
      </c>
      <c r="C1" s="610" t="s">
        <v>2700</v>
      </c>
      <c r="D1" s="261" t="s">
        <v>1598</v>
      </c>
      <c r="E1" s="261" t="s">
        <v>1599</v>
      </c>
      <c r="F1" s="610" t="s">
        <v>2699</v>
      </c>
      <c r="G1" s="616" t="s">
        <v>364</v>
      </c>
      <c r="H1" s="611" t="s">
        <v>2695</v>
      </c>
      <c r="I1" s="612" t="s">
        <v>2696</v>
      </c>
    </row>
    <row r="2" spans="1:9" x14ac:dyDescent="0.35">
      <c r="A2" s="234" t="s">
        <v>1595</v>
      </c>
      <c r="B2" s="115" t="s">
        <v>2604</v>
      </c>
      <c r="C2" s="315"/>
      <c r="D2" s="115"/>
      <c r="E2" s="115">
        <v>55719</v>
      </c>
      <c r="F2" s="465"/>
      <c r="G2" s="55">
        <v>1</v>
      </c>
      <c r="H2" s="535"/>
      <c r="I2" s="642">
        <f t="shared" ref="I2:I33" si="0">+G2*H2</f>
        <v>0</v>
      </c>
    </row>
    <row r="3" spans="1:9" x14ac:dyDescent="0.35">
      <c r="A3" s="639" t="s">
        <v>17</v>
      </c>
      <c r="B3" s="115" t="s">
        <v>2473</v>
      </c>
      <c r="C3" s="315"/>
      <c r="D3" s="115"/>
      <c r="E3" s="115">
        <v>55719</v>
      </c>
      <c r="F3" s="465"/>
      <c r="G3" s="65">
        <v>1</v>
      </c>
      <c r="H3" s="535"/>
      <c r="I3" s="642">
        <f t="shared" si="0"/>
        <v>0</v>
      </c>
    </row>
    <row r="4" spans="1:9" x14ac:dyDescent="0.35">
      <c r="A4" s="259" t="s">
        <v>988</v>
      </c>
      <c r="B4" s="115" t="s">
        <v>2235</v>
      </c>
      <c r="C4" s="315"/>
      <c r="D4" s="115"/>
      <c r="E4" s="115">
        <v>55719</v>
      </c>
      <c r="F4" s="465"/>
      <c r="G4" s="65">
        <v>1</v>
      </c>
      <c r="H4" s="535"/>
      <c r="I4" s="642">
        <f t="shared" si="0"/>
        <v>0</v>
      </c>
    </row>
    <row r="5" spans="1:9" x14ac:dyDescent="0.35">
      <c r="A5" s="259" t="s">
        <v>16</v>
      </c>
      <c r="B5" s="115" t="s">
        <v>360</v>
      </c>
      <c r="C5" s="315"/>
      <c r="D5" s="115"/>
      <c r="E5" s="115">
        <v>55719</v>
      </c>
      <c r="F5" s="465"/>
      <c r="G5" s="65">
        <v>1</v>
      </c>
      <c r="H5" s="535"/>
      <c r="I5" s="642">
        <f t="shared" si="0"/>
        <v>0</v>
      </c>
    </row>
    <row r="6" spans="1:9" x14ac:dyDescent="0.35">
      <c r="A6" s="259" t="s">
        <v>1023</v>
      </c>
      <c r="B6" s="115" t="s">
        <v>76</v>
      </c>
      <c r="C6" s="315"/>
      <c r="D6" s="115"/>
      <c r="E6" s="115">
        <v>55719</v>
      </c>
      <c r="F6" s="465"/>
      <c r="G6" s="65">
        <v>1</v>
      </c>
      <c r="H6" s="535"/>
      <c r="I6" s="642">
        <f t="shared" si="0"/>
        <v>0</v>
      </c>
    </row>
    <row r="7" spans="1:9" x14ac:dyDescent="0.35">
      <c r="A7" s="640" t="s">
        <v>46</v>
      </c>
      <c r="B7" s="115" t="s">
        <v>207</v>
      </c>
      <c r="C7" s="315"/>
      <c r="D7" s="115"/>
      <c r="E7" s="115">
        <v>55719</v>
      </c>
      <c r="F7" s="465"/>
      <c r="G7" s="65">
        <v>1</v>
      </c>
      <c r="H7" s="535"/>
      <c r="I7" s="642">
        <f t="shared" si="0"/>
        <v>0</v>
      </c>
    </row>
    <row r="8" spans="1:9" x14ac:dyDescent="0.35">
      <c r="A8" s="259" t="s">
        <v>1019</v>
      </c>
      <c r="B8" s="115" t="s">
        <v>90</v>
      </c>
      <c r="C8" s="315"/>
      <c r="D8" s="115"/>
      <c r="E8" s="115">
        <v>55719</v>
      </c>
      <c r="F8" s="465"/>
      <c r="G8" s="65">
        <v>1</v>
      </c>
      <c r="H8" s="535"/>
      <c r="I8" s="642">
        <f t="shared" si="0"/>
        <v>0</v>
      </c>
    </row>
    <row r="9" spans="1:9" x14ac:dyDescent="0.35">
      <c r="A9" s="259" t="s">
        <v>975</v>
      </c>
      <c r="B9" s="115" t="s">
        <v>356</v>
      </c>
      <c r="C9" s="315"/>
      <c r="D9" s="115"/>
      <c r="E9" s="115">
        <v>55719</v>
      </c>
      <c r="F9" s="465"/>
      <c r="G9" s="65">
        <v>1</v>
      </c>
      <c r="H9" s="536"/>
      <c r="I9" s="642">
        <f t="shared" si="0"/>
        <v>0</v>
      </c>
    </row>
    <row r="10" spans="1:9" x14ac:dyDescent="0.35">
      <c r="A10" s="259" t="s">
        <v>880</v>
      </c>
      <c r="B10" s="115" t="s">
        <v>366</v>
      </c>
      <c r="C10" s="315"/>
      <c r="D10" s="115"/>
      <c r="E10" s="115">
        <v>55719</v>
      </c>
      <c r="F10" s="465"/>
      <c r="G10" s="65">
        <v>1</v>
      </c>
      <c r="H10" s="536"/>
      <c r="I10" s="642">
        <f t="shared" si="0"/>
        <v>0</v>
      </c>
    </row>
    <row r="11" spans="1:9" x14ac:dyDescent="0.35">
      <c r="A11" s="639" t="s">
        <v>872</v>
      </c>
      <c r="B11" s="115" t="s">
        <v>367</v>
      </c>
      <c r="C11" s="315"/>
      <c r="D11" s="115"/>
      <c r="E11" s="115">
        <v>55719</v>
      </c>
      <c r="F11" s="465"/>
      <c r="G11" s="65">
        <v>1</v>
      </c>
      <c r="H11" s="535"/>
      <c r="I11" s="642">
        <f t="shared" si="0"/>
        <v>0</v>
      </c>
    </row>
    <row r="12" spans="1:9" x14ac:dyDescent="0.35">
      <c r="A12" s="259" t="s">
        <v>871</v>
      </c>
      <c r="B12" s="115" t="s">
        <v>95</v>
      </c>
      <c r="C12" s="315"/>
      <c r="D12" s="115"/>
      <c r="E12" s="115">
        <v>55719</v>
      </c>
      <c r="F12" s="465"/>
      <c r="G12" s="65">
        <v>1</v>
      </c>
      <c r="H12" s="535"/>
      <c r="I12" s="642">
        <f t="shared" si="0"/>
        <v>0</v>
      </c>
    </row>
    <row r="13" spans="1:9" x14ac:dyDescent="0.35">
      <c r="A13" s="641" t="s">
        <v>183</v>
      </c>
      <c r="B13" s="115" t="s">
        <v>184</v>
      </c>
      <c r="C13" s="315"/>
      <c r="D13" s="115"/>
      <c r="E13" s="115">
        <v>55719</v>
      </c>
      <c r="F13" s="465"/>
      <c r="G13" s="65">
        <v>1</v>
      </c>
      <c r="H13" s="535"/>
      <c r="I13" s="642">
        <f t="shared" si="0"/>
        <v>0</v>
      </c>
    </row>
    <row r="14" spans="1:9" x14ac:dyDescent="0.35">
      <c r="A14" s="259" t="s">
        <v>11</v>
      </c>
      <c r="B14" s="115" t="s">
        <v>233</v>
      </c>
      <c r="C14" s="315"/>
      <c r="D14" s="115"/>
      <c r="E14" s="115">
        <v>55719</v>
      </c>
      <c r="F14" s="465"/>
      <c r="G14" s="65">
        <v>1</v>
      </c>
      <c r="H14" s="535"/>
      <c r="I14" s="642">
        <f t="shared" si="0"/>
        <v>0</v>
      </c>
    </row>
    <row r="15" spans="1:9" x14ac:dyDescent="0.35">
      <c r="A15" s="259" t="s">
        <v>12</v>
      </c>
      <c r="B15" s="115" t="s">
        <v>150</v>
      </c>
      <c r="C15" s="315"/>
      <c r="D15" s="115"/>
      <c r="E15" s="115">
        <v>55719</v>
      </c>
      <c r="F15" s="465"/>
      <c r="G15" s="65">
        <v>1</v>
      </c>
      <c r="H15" s="535"/>
      <c r="I15" s="642">
        <f t="shared" si="0"/>
        <v>0</v>
      </c>
    </row>
    <row r="16" spans="1:9" x14ac:dyDescent="0.35">
      <c r="A16" s="259" t="s">
        <v>2597</v>
      </c>
      <c r="B16" s="115" t="s">
        <v>428</v>
      </c>
      <c r="C16" s="315"/>
      <c r="D16" s="115"/>
      <c r="E16" s="115">
        <v>55719</v>
      </c>
      <c r="F16" s="465"/>
      <c r="G16" s="65">
        <v>1</v>
      </c>
      <c r="H16" s="535"/>
      <c r="I16" s="642">
        <f t="shared" si="0"/>
        <v>0</v>
      </c>
    </row>
    <row r="17" spans="1:9" x14ac:dyDescent="0.35">
      <c r="A17" s="639" t="s">
        <v>2484</v>
      </c>
      <c r="B17" s="115" t="s">
        <v>2223</v>
      </c>
      <c r="C17" s="315"/>
      <c r="D17" s="115"/>
      <c r="E17" s="115">
        <v>55719</v>
      </c>
      <c r="F17" s="465"/>
      <c r="G17" s="65">
        <v>1</v>
      </c>
      <c r="H17" s="535"/>
      <c r="I17" s="642">
        <f t="shared" si="0"/>
        <v>0</v>
      </c>
    </row>
    <row r="18" spans="1:9" x14ac:dyDescent="0.35">
      <c r="A18" s="259" t="s">
        <v>1760</v>
      </c>
      <c r="B18" s="115" t="s">
        <v>311</v>
      </c>
      <c r="C18" s="315"/>
      <c r="D18" s="115"/>
      <c r="E18" s="115">
        <v>55719</v>
      </c>
      <c r="F18" s="465"/>
      <c r="G18" s="65">
        <v>1</v>
      </c>
      <c r="H18" s="535"/>
      <c r="I18" s="642">
        <f t="shared" si="0"/>
        <v>0</v>
      </c>
    </row>
    <row r="19" spans="1:9" x14ac:dyDescent="0.35">
      <c r="A19" s="259" t="s">
        <v>1011</v>
      </c>
      <c r="B19" s="115" t="s">
        <v>282</v>
      </c>
      <c r="C19" s="315"/>
      <c r="D19" s="115"/>
      <c r="E19" s="115">
        <v>55719</v>
      </c>
      <c r="F19" s="465"/>
      <c r="G19" s="65">
        <v>1</v>
      </c>
      <c r="H19" s="535"/>
      <c r="I19" s="642">
        <f t="shared" si="0"/>
        <v>0</v>
      </c>
    </row>
    <row r="20" spans="1:9" x14ac:dyDescent="0.35">
      <c r="A20" s="259" t="s">
        <v>1013</v>
      </c>
      <c r="B20" s="115" t="s">
        <v>283</v>
      </c>
      <c r="C20" s="315"/>
      <c r="D20" s="115"/>
      <c r="E20" s="115">
        <v>55719</v>
      </c>
      <c r="F20" s="465"/>
      <c r="G20" s="65">
        <v>1</v>
      </c>
      <c r="H20" s="535"/>
      <c r="I20" s="642">
        <f t="shared" si="0"/>
        <v>0</v>
      </c>
    </row>
    <row r="21" spans="1:9" x14ac:dyDescent="0.35">
      <c r="A21" s="259" t="s">
        <v>1007</v>
      </c>
      <c r="B21" s="115" t="s">
        <v>313</v>
      </c>
      <c r="C21" s="315"/>
      <c r="D21" s="115"/>
      <c r="E21" s="115">
        <v>55719</v>
      </c>
      <c r="F21" s="465"/>
      <c r="G21" s="65">
        <v>1</v>
      </c>
      <c r="H21" s="535"/>
      <c r="I21" s="642">
        <f t="shared" si="0"/>
        <v>0</v>
      </c>
    </row>
    <row r="22" spans="1:9" x14ac:dyDescent="0.35">
      <c r="A22" s="259" t="s">
        <v>1014</v>
      </c>
      <c r="B22" s="115" t="s">
        <v>314</v>
      </c>
      <c r="C22" s="315"/>
      <c r="D22" s="115"/>
      <c r="E22" s="115">
        <v>55719</v>
      </c>
      <c r="F22" s="465"/>
      <c r="G22" s="65">
        <v>1</v>
      </c>
      <c r="H22" s="535"/>
      <c r="I22" s="642">
        <f t="shared" si="0"/>
        <v>0</v>
      </c>
    </row>
    <row r="23" spans="1:9" x14ac:dyDescent="0.35">
      <c r="A23" s="259" t="s">
        <v>1008</v>
      </c>
      <c r="B23" s="115" t="s">
        <v>173</v>
      </c>
      <c r="C23" s="315"/>
      <c r="D23" s="115"/>
      <c r="E23" s="115">
        <v>55719</v>
      </c>
      <c r="F23" s="465"/>
      <c r="G23" s="65">
        <v>2</v>
      </c>
      <c r="H23" s="535"/>
      <c r="I23" s="642">
        <f t="shared" si="0"/>
        <v>0</v>
      </c>
    </row>
    <row r="24" spans="1:9" x14ac:dyDescent="0.35">
      <c r="A24" s="259" t="s">
        <v>899</v>
      </c>
      <c r="B24" s="115" t="s">
        <v>281</v>
      </c>
      <c r="C24" s="315"/>
      <c r="D24" s="115"/>
      <c r="E24" s="115">
        <v>55719</v>
      </c>
      <c r="F24" s="465"/>
      <c r="G24" s="65">
        <v>1</v>
      </c>
      <c r="H24" s="535"/>
      <c r="I24" s="642">
        <f t="shared" si="0"/>
        <v>0</v>
      </c>
    </row>
    <row r="25" spans="1:9" x14ac:dyDescent="0.35">
      <c r="A25" s="259" t="s">
        <v>1762</v>
      </c>
      <c r="B25" s="115" t="s">
        <v>113</v>
      </c>
      <c r="C25" s="315"/>
      <c r="D25" s="115"/>
      <c r="E25" s="115">
        <v>55719</v>
      </c>
      <c r="F25" s="465"/>
      <c r="G25" s="65">
        <v>1</v>
      </c>
      <c r="H25" s="535"/>
      <c r="I25" s="642">
        <f t="shared" si="0"/>
        <v>0</v>
      </c>
    </row>
    <row r="26" spans="1:9" x14ac:dyDescent="0.35">
      <c r="A26" s="259" t="s">
        <v>1139</v>
      </c>
      <c r="B26" s="115" t="s">
        <v>316</v>
      </c>
      <c r="C26" s="315"/>
      <c r="D26" s="115"/>
      <c r="E26" s="115">
        <v>55719</v>
      </c>
      <c r="F26" s="465"/>
      <c r="G26" s="65">
        <v>1</v>
      </c>
      <c r="H26" s="535"/>
      <c r="I26" s="642">
        <f t="shared" si="0"/>
        <v>0</v>
      </c>
    </row>
    <row r="27" spans="1:9" x14ac:dyDescent="0.35">
      <c r="A27" s="259" t="s">
        <v>2344</v>
      </c>
      <c r="B27" s="115" t="s">
        <v>279</v>
      </c>
      <c r="C27" s="315"/>
      <c r="D27" s="115"/>
      <c r="E27" s="115">
        <v>55719</v>
      </c>
      <c r="F27" s="465"/>
      <c r="G27" s="65">
        <v>1</v>
      </c>
      <c r="H27" s="535"/>
      <c r="I27" s="642">
        <f t="shared" si="0"/>
        <v>0</v>
      </c>
    </row>
    <row r="28" spans="1:9" x14ac:dyDescent="0.35">
      <c r="A28" s="259" t="s">
        <v>915</v>
      </c>
      <c r="B28" s="115" t="s">
        <v>448</v>
      </c>
      <c r="C28" s="315"/>
      <c r="D28" s="115"/>
      <c r="E28" s="115">
        <v>55719</v>
      </c>
      <c r="F28" s="465"/>
      <c r="G28" s="65">
        <v>1</v>
      </c>
      <c r="H28" s="536"/>
      <c r="I28" s="642">
        <f t="shared" si="0"/>
        <v>0</v>
      </c>
    </row>
    <row r="29" spans="1:9" x14ac:dyDescent="0.35">
      <c r="A29" s="259" t="s">
        <v>885</v>
      </c>
      <c r="B29" s="115" t="s">
        <v>229</v>
      </c>
      <c r="C29" s="315"/>
      <c r="D29" s="115"/>
      <c r="E29" s="115">
        <v>55719</v>
      </c>
      <c r="F29" s="465"/>
      <c r="G29" s="65">
        <v>1</v>
      </c>
      <c r="H29" s="535"/>
      <c r="I29" s="642">
        <f t="shared" si="0"/>
        <v>0</v>
      </c>
    </row>
    <row r="30" spans="1:9" x14ac:dyDescent="0.35">
      <c r="A30" s="259" t="s">
        <v>1099</v>
      </c>
      <c r="B30" s="115" t="s">
        <v>426</v>
      </c>
      <c r="C30" s="315"/>
      <c r="D30" s="115"/>
      <c r="E30" s="115">
        <v>55719</v>
      </c>
      <c r="F30" s="465"/>
      <c r="G30" s="65">
        <v>1</v>
      </c>
      <c r="H30" s="535"/>
      <c r="I30" s="642">
        <f t="shared" si="0"/>
        <v>0</v>
      </c>
    </row>
    <row r="31" spans="1:9" x14ac:dyDescent="0.35">
      <c r="A31" s="259" t="s">
        <v>1076</v>
      </c>
      <c r="B31" s="115" t="s">
        <v>77</v>
      </c>
      <c r="C31" s="315"/>
      <c r="D31" s="115"/>
      <c r="E31" s="115">
        <v>55719</v>
      </c>
      <c r="F31" s="465"/>
      <c r="G31" s="65">
        <v>1</v>
      </c>
      <c r="H31" s="535"/>
      <c r="I31" s="642">
        <f t="shared" si="0"/>
        <v>0</v>
      </c>
    </row>
    <row r="32" spans="1:9" x14ac:dyDescent="0.35">
      <c r="A32" s="639" t="s">
        <v>1597</v>
      </c>
      <c r="B32" s="115" t="s">
        <v>2446</v>
      </c>
      <c r="C32" s="315"/>
      <c r="D32" s="115"/>
      <c r="E32" s="115">
        <v>55719</v>
      </c>
      <c r="F32" s="465"/>
      <c r="G32" s="65">
        <v>1</v>
      </c>
      <c r="H32" s="535"/>
      <c r="I32" s="642">
        <f t="shared" si="0"/>
        <v>0</v>
      </c>
    </row>
    <row r="33" spans="1:9" x14ac:dyDescent="0.35">
      <c r="A33" s="639" t="s">
        <v>1169</v>
      </c>
      <c r="B33" s="115" t="s">
        <v>1611</v>
      </c>
      <c r="C33" s="315"/>
      <c r="D33" s="115"/>
      <c r="E33" s="115">
        <v>55719</v>
      </c>
      <c r="F33" s="465"/>
      <c r="G33" s="65">
        <v>1</v>
      </c>
      <c r="H33" s="535"/>
      <c r="I33" s="642">
        <f t="shared" si="0"/>
        <v>0</v>
      </c>
    </row>
    <row r="34" spans="1:9" x14ac:dyDescent="0.35">
      <c r="A34" s="259" t="s">
        <v>930</v>
      </c>
      <c r="B34" s="115" t="s">
        <v>88</v>
      </c>
      <c r="C34" s="315"/>
      <c r="D34" s="115"/>
      <c r="E34" s="115">
        <v>55719</v>
      </c>
      <c r="F34" s="465"/>
      <c r="G34" s="65">
        <v>2</v>
      </c>
      <c r="H34" s="535"/>
      <c r="I34" s="642">
        <f t="shared" ref="I34:I51" si="1">+G34*H34</f>
        <v>0</v>
      </c>
    </row>
    <row r="35" spans="1:9" x14ac:dyDescent="0.35">
      <c r="A35" s="259" t="s">
        <v>4</v>
      </c>
      <c r="B35" s="115" t="s">
        <v>86</v>
      </c>
      <c r="C35" s="315"/>
      <c r="D35" s="115"/>
      <c r="E35" s="115">
        <v>55719</v>
      </c>
      <c r="F35" s="465"/>
      <c r="G35" s="65">
        <v>1</v>
      </c>
      <c r="H35" s="535"/>
      <c r="I35" s="642">
        <f t="shared" si="1"/>
        <v>0</v>
      </c>
    </row>
    <row r="36" spans="1:9" x14ac:dyDescent="0.35">
      <c r="A36" s="259" t="s">
        <v>933</v>
      </c>
      <c r="B36" s="115" t="s">
        <v>433</v>
      </c>
      <c r="C36" s="315"/>
      <c r="D36" s="115"/>
      <c r="E36" s="115">
        <v>55719</v>
      </c>
      <c r="F36" s="465"/>
      <c r="G36" s="65">
        <v>1</v>
      </c>
      <c r="H36" s="536"/>
      <c r="I36" s="642">
        <f t="shared" si="1"/>
        <v>0</v>
      </c>
    </row>
    <row r="37" spans="1:9" x14ac:dyDescent="0.35">
      <c r="A37" s="259" t="s">
        <v>1162</v>
      </c>
      <c r="B37" s="115" t="s">
        <v>84</v>
      </c>
      <c r="C37" s="315"/>
      <c r="D37" s="115"/>
      <c r="E37" s="115">
        <v>55719</v>
      </c>
      <c r="F37" s="465"/>
      <c r="G37" s="65">
        <v>1</v>
      </c>
      <c r="H37" s="535"/>
      <c r="I37" s="642">
        <f t="shared" si="1"/>
        <v>0</v>
      </c>
    </row>
    <row r="38" spans="1:9" x14ac:dyDescent="0.35">
      <c r="A38" s="259" t="s">
        <v>1163</v>
      </c>
      <c r="B38" s="115" t="s">
        <v>83</v>
      </c>
      <c r="C38" s="315"/>
      <c r="D38" s="115"/>
      <c r="E38" s="115">
        <v>55719</v>
      </c>
      <c r="F38" s="465"/>
      <c r="G38" s="65">
        <v>1</v>
      </c>
      <c r="H38" s="535"/>
      <c r="I38" s="642">
        <f t="shared" si="1"/>
        <v>0</v>
      </c>
    </row>
    <row r="39" spans="1:9" x14ac:dyDescent="0.35">
      <c r="A39" s="259" t="s">
        <v>1112</v>
      </c>
      <c r="B39" s="115" t="s">
        <v>790</v>
      </c>
      <c r="C39" s="315"/>
      <c r="D39" s="115"/>
      <c r="E39" s="115">
        <v>55719</v>
      </c>
      <c r="F39" s="465"/>
      <c r="G39" s="65">
        <v>1</v>
      </c>
      <c r="H39" s="535"/>
      <c r="I39" s="642">
        <f t="shared" si="1"/>
        <v>0</v>
      </c>
    </row>
    <row r="40" spans="1:9" x14ac:dyDescent="0.35">
      <c r="A40" s="259" t="s">
        <v>1061</v>
      </c>
      <c r="B40" s="115" t="s">
        <v>73</v>
      </c>
      <c r="C40" s="315"/>
      <c r="D40" s="115"/>
      <c r="E40" s="115">
        <v>55719</v>
      </c>
      <c r="F40" s="465"/>
      <c r="G40" s="65">
        <v>1</v>
      </c>
      <c r="H40" s="537"/>
      <c r="I40" s="642">
        <f t="shared" si="1"/>
        <v>0</v>
      </c>
    </row>
    <row r="41" spans="1:9" x14ac:dyDescent="0.35">
      <c r="A41" s="259" t="s">
        <v>1060</v>
      </c>
      <c r="B41" s="115" t="s">
        <v>74</v>
      </c>
      <c r="C41" s="315"/>
      <c r="D41" s="115"/>
      <c r="E41" s="115">
        <v>55719</v>
      </c>
      <c r="F41" s="465"/>
      <c r="G41" s="65">
        <v>1</v>
      </c>
      <c r="H41" s="535"/>
      <c r="I41" s="642">
        <f t="shared" si="1"/>
        <v>0</v>
      </c>
    </row>
    <row r="42" spans="1:9" x14ac:dyDescent="0.35">
      <c r="A42" s="259" t="s">
        <v>1062</v>
      </c>
      <c r="B42" s="115" t="s">
        <v>261</v>
      </c>
      <c r="C42" s="315"/>
      <c r="D42" s="115"/>
      <c r="E42" s="115">
        <v>55719</v>
      </c>
      <c r="F42" s="465"/>
      <c r="G42" s="65">
        <v>1</v>
      </c>
      <c r="H42" s="535"/>
      <c r="I42" s="642">
        <f t="shared" si="1"/>
        <v>0</v>
      </c>
    </row>
    <row r="43" spans="1:9" x14ac:dyDescent="0.35">
      <c r="A43" s="259" t="s">
        <v>1168</v>
      </c>
      <c r="B43" s="115" t="s">
        <v>75</v>
      </c>
      <c r="C43" s="315"/>
      <c r="D43" s="115"/>
      <c r="E43" s="115">
        <v>55719</v>
      </c>
      <c r="F43" s="465"/>
      <c r="G43" s="65">
        <v>2</v>
      </c>
      <c r="H43" s="535"/>
      <c r="I43" s="642">
        <f t="shared" si="1"/>
        <v>0</v>
      </c>
    </row>
    <row r="44" spans="1:9" x14ac:dyDescent="0.35">
      <c r="A44" s="259" t="s">
        <v>1057</v>
      </c>
      <c r="B44" s="115" t="s">
        <v>72</v>
      </c>
      <c r="C44" s="315"/>
      <c r="D44" s="115"/>
      <c r="E44" s="115">
        <v>55719</v>
      </c>
      <c r="F44" s="465"/>
      <c r="G44" s="65">
        <v>1</v>
      </c>
      <c r="H44" s="535"/>
      <c r="I44" s="642">
        <f t="shared" si="1"/>
        <v>0</v>
      </c>
    </row>
    <row r="45" spans="1:9" x14ac:dyDescent="0.35">
      <c r="A45" s="259" t="s">
        <v>36</v>
      </c>
      <c r="B45" s="115" t="s">
        <v>37</v>
      </c>
      <c r="C45" s="315"/>
      <c r="D45" s="115"/>
      <c r="E45" s="115">
        <v>55719</v>
      </c>
      <c r="F45" s="465"/>
      <c r="G45" s="65">
        <v>1</v>
      </c>
      <c r="H45" s="535"/>
      <c r="I45" s="642">
        <f t="shared" si="1"/>
        <v>0</v>
      </c>
    </row>
    <row r="46" spans="1:9" x14ac:dyDescent="0.35">
      <c r="A46" s="259" t="s">
        <v>10</v>
      </c>
      <c r="B46" s="115" t="s">
        <v>418</v>
      </c>
      <c r="C46" s="315"/>
      <c r="D46" s="115"/>
      <c r="E46" s="115">
        <v>55719</v>
      </c>
      <c r="F46" s="465"/>
      <c r="G46" s="65">
        <v>1</v>
      </c>
      <c r="H46" s="535"/>
      <c r="I46" s="642">
        <f t="shared" si="1"/>
        <v>0</v>
      </c>
    </row>
    <row r="47" spans="1:9" x14ac:dyDescent="0.35">
      <c r="A47" s="259" t="s">
        <v>97</v>
      </c>
      <c r="B47" s="115" t="s">
        <v>457</v>
      </c>
      <c r="C47" s="315"/>
      <c r="D47" s="115"/>
      <c r="E47" s="115">
        <v>55719</v>
      </c>
      <c r="F47" s="465"/>
      <c r="G47" s="65">
        <v>1</v>
      </c>
      <c r="H47" s="535"/>
      <c r="I47" s="642">
        <f t="shared" si="1"/>
        <v>0</v>
      </c>
    </row>
    <row r="48" spans="1:9" x14ac:dyDescent="0.35">
      <c r="A48" s="259" t="s">
        <v>2360</v>
      </c>
      <c r="B48" s="115" t="s">
        <v>358</v>
      </c>
      <c r="C48" s="315"/>
      <c r="D48" s="115"/>
      <c r="E48" s="115">
        <v>55719</v>
      </c>
      <c r="F48" s="465"/>
      <c r="G48" s="65">
        <v>2</v>
      </c>
      <c r="H48" s="535"/>
      <c r="I48" s="642">
        <f t="shared" si="1"/>
        <v>0</v>
      </c>
    </row>
    <row r="49" spans="1:9" x14ac:dyDescent="0.35">
      <c r="A49" s="259" t="s">
        <v>2361</v>
      </c>
      <c r="B49" s="115" t="s">
        <v>196</v>
      </c>
      <c r="C49" s="315"/>
      <c r="D49" s="115"/>
      <c r="E49" s="115">
        <v>55719</v>
      </c>
      <c r="F49" s="465"/>
      <c r="G49" s="65">
        <v>2</v>
      </c>
      <c r="H49" s="535"/>
      <c r="I49" s="642">
        <f t="shared" si="1"/>
        <v>0</v>
      </c>
    </row>
    <row r="50" spans="1:9" x14ac:dyDescent="0.35">
      <c r="A50" s="259" t="s">
        <v>19</v>
      </c>
      <c r="B50" s="115" t="s">
        <v>98</v>
      </c>
      <c r="C50" s="315"/>
      <c r="D50" s="115"/>
      <c r="E50" s="115">
        <v>55719</v>
      </c>
      <c r="F50" s="465"/>
      <c r="G50" s="65">
        <v>1</v>
      </c>
      <c r="H50" s="535"/>
      <c r="I50" s="642">
        <f t="shared" si="1"/>
        <v>0</v>
      </c>
    </row>
    <row r="51" spans="1:9" x14ac:dyDescent="0.35">
      <c r="A51" s="259" t="s">
        <v>19</v>
      </c>
      <c r="B51" s="115" t="s">
        <v>242</v>
      </c>
      <c r="C51" s="315"/>
      <c r="D51" s="115"/>
      <c r="E51" s="115">
        <v>55719</v>
      </c>
      <c r="F51" s="465"/>
      <c r="G51" s="65">
        <v>1</v>
      </c>
      <c r="H51" s="535"/>
      <c r="I51" s="642">
        <f t="shared" si="1"/>
        <v>0</v>
      </c>
    </row>
    <row r="52" spans="1:9" x14ac:dyDescent="0.35">
      <c r="H52" s="415"/>
      <c r="I52" s="462">
        <f>SUM(I2:I51)</f>
        <v>0</v>
      </c>
    </row>
    <row r="53" spans="1:9" x14ac:dyDescent="0.35">
      <c r="H53" s="415"/>
      <c r="I53" s="462"/>
    </row>
    <row r="54" spans="1:9" s="4" customFormat="1" ht="17.5" x14ac:dyDescent="0.35">
      <c r="A54" s="309" t="s">
        <v>1534</v>
      </c>
      <c r="B54" s="312"/>
      <c r="C54" s="249"/>
      <c r="D54" s="3"/>
      <c r="E54" s="3"/>
      <c r="F54" s="249"/>
      <c r="G54" s="3"/>
      <c r="H54" s="396"/>
      <c r="I54" s="462"/>
    </row>
    <row r="55" spans="1:9" s="4" customFormat="1" ht="17.5" x14ac:dyDescent="0.35">
      <c r="A55" s="309" t="s">
        <v>2433</v>
      </c>
      <c r="B55" s="312"/>
      <c r="C55" s="249"/>
      <c r="D55" s="3"/>
      <c r="E55" s="3"/>
      <c r="F55" s="249"/>
      <c r="G55" s="3"/>
      <c r="H55" s="396"/>
      <c r="I55" s="462"/>
    </row>
    <row r="56" spans="1:9" ht="17.5" x14ac:dyDescent="0.35">
      <c r="A56" s="367" t="s">
        <v>2653</v>
      </c>
      <c r="B56" s="201"/>
      <c r="H56" s="415"/>
      <c r="I56" s="462"/>
    </row>
    <row r="57" spans="1:9" ht="17.5" x14ac:dyDescent="0.35">
      <c r="A57" s="334" t="s">
        <v>2701</v>
      </c>
      <c r="B57" s="456">
        <f>+I52</f>
        <v>0</v>
      </c>
      <c r="H57" s="415"/>
      <c r="I57" s="462"/>
    </row>
    <row r="58" spans="1:9" x14ac:dyDescent="0.35">
      <c r="I58" s="462"/>
    </row>
    <row r="59" spans="1:9" x14ac:dyDescent="0.35">
      <c r="I59" s="462"/>
    </row>
    <row r="60" spans="1:9" x14ac:dyDescent="0.35">
      <c r="I60" s="462"/>
    </row>
    <row r="61" spans="1:9" x14ac:dyDescent="0.35">
      <c r="I61" s="462"/>
    </row>
    <row r="62" spans="1:9" x14ac:dyDescent="0.35">
      <c r="I62" s="462"/>
    </row>
    <row r="63" spans="1:9" x14ac:dyDescent="0.35">
      <c r="I63" s="462"/>
    </row>
    <row r="64" spans="1:9" x14ac:dyDescent="0.35">
      <c r="I64" s="462"/>
    </row>
    <row r="65" spans="9:9" x14ac:dyDescent="0.35">
      <c r="I65" s="462"/>
    </row>
    <row r="66" spans="9:9" x14ac:dyDescent="0.35">
      <c r="I66" s="46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6"/>
  <sheetViews>
    <sheetView workbookViewId="0">
      <pane ySplit="1" topLeftCell="A2" activePane="bottomLeft" state="frozen"/>
      <selection activeCell="C26" sqref="C26"/>
      <selection pane="bottomLeft" activeCell="A4" sqref="A3:XFD4"/>
    </sheetView>
  </sheetViews>
  <sheetFormatPr defaultColWidth="9.08984375" defaultRowHeight="15.5" x14ac:dyDescent="0.35"/>
  <cols>
    <col min="1" max="1" width="70.6328125" style="141" bestFit="1" customWidth="1"/>
    <col min="2" max="2" width="16.08984375" style="143" customWidth="1"/>
    <col min="3" max="3" width="21.1796875" style="143" customWidth="1"/>
    <col min="4" max="4" width="21.81640625" style="143" customWidth="1"/>
    <col min="5" max="5" width="14.36328125" style="143" customWidth="1"/>
    <col min="6" max="6" width="16.453125" style="143" customWidth="1"/>
    <col min="7" max="7" width="11.90625" style="144" customWidth="1"/>
    <col min="8" max="8" width="13.08984375" style="503" customWidth="1"/>
    <col min="9" max="9" width="18.6328125" style="503" customWidth="1"/>
    <col min="10" max="16384" width="9.08984375" style="141"/>
  </cols>
  <sheetData>
    <row r="1" spans="1:9" x14ac:dyDescent="0.35">
      <c r="A1" s="643" t="s">
        <v>0</v>
      </c>
      <c r="B1" s="110" t="s">
        <v>1</v>
      </c>
      <c r="C1" s="281" t="s">
        <v>2700</v>
      </c>
      <c r="D1" s="110" t="s">
        <v>1598</v>
      </c>
      <c r="E1" s="110" t="s">
        <v>1599</v>
      </c>
      <c r="F1" s="281" t="s">
        <v>2699</v>
      </c>
      <c r="G1" s="57" t="s">
        <v>364</v>
      </c>
      <c r="H1" s="393" t="s">
        <v>2695</v>
      </c>
      <c r="I1" s="404" t="s">
        <v>2696</v>
      </c>
    </row>
    <row r="2" spans="1:9" x14ac:dyDescent="0.35">
      <c r="A2" s="645" t="s">
        <v>1378</v>
      </c>
      <c r="B2" s="115" t="s">
        <v>1625</v>
      </c>
      <c r="C2" s="315"/>
      <c r="D2" s="115"/>
      <c r="E2" s="115">
        <v>55719</v>
      </c>
      <c r="F2" s="465"/>
      <c r="G2" s="221">
        <v>1</v>
      </c>
      <c r="H2" s="454"/>
      <c r="I2" s="424">
        <f t="shared" ref="I2:I19" si="0">+G2*H2</f>
        <v>0</v>
      </c>
    </row>
    <row r="3" spans="1:9" x14ac:dyDescent="0.35">
      <c r="A3" s="644" t="s">
        <v>1092</v>
      </c>
      <c r="B3" s="115" t="s">
        <v>148</v>
      </c>
      <c r="C3" s="315"/>
      <c r="D3" s="115"/>
      <c r="E3" s="115" t="s">
        <v>1604</v>
      </c>
      <c r="F3" s="465"/>
      <c r="G3" s="19">
        <v>1</v>
      </c>
      <c r="H3" s="454"/>
      <c r="I3" s="424">
        <f t="shared" si="0"/>
        <v>0</v>
      </c>
    </row>
    <row r="4" spans="1:9" x14ac:dyDescent="0.35">
      <c r="A4" s="645" t="s">
        <v>408</v>
      </c>
      <c r="B4" s="115" t="s">
        <v>1562</v>
      </c>
      <c r="C4" s="315"/>
      <c r="D4" s="115"/>
      <c r="E4" s="115" t="s">
        <v>1604</v>
      </c>
      <c r="F4" s="465"/>
      <c r="G4" s="221">
        <v>1</v>
      </c>
      <c r="H4" s="454"/>
      <c r="I4" s="424">
        <f t="shared" si="0"/>
        <v>0</v>
      </c>
    </row>
    <row r="5" spans="1:9" x14ac:dyDescent="0.35">
      <c r="A5" s="644" t="s">
        <v>893</v>
      </c>
      <c r="B5" s="115" t="s">
        <v>149</v>
      </c>
      <c r="C5" s="315"/>
      <c r="D5" s="115"/>
      <c r="E5" s="115" t="s">
        <v>1604</v>
      </c>
      <c r="F5" s="465"/>
      <c r="G5" s="19">
        <v>1</v>
      </c>
      <c r="H5" s="454"/>
      <c r="I5" s="424">
        <f t="shared" si="0"/>
        <v>0</v>
      </c>
    </row>
    <row r="6" spans="1:9" x14ac:dyDescent="0.35">
      <c r="A6" s="644" t="s">
        <v>1131</v>
      </c>
      <c r="B6" s="115" t="s">
        <v>151</v>
      </c>
      <c r="C6" s="315"/>
      <c r="D6" s="115"/>
      <c r="E6" s="115" t="s">
        <v>1604</v>
      </c>
      <c r="F6" s="465"/>
      <c r="G6" s="19">
        <v>1</v>
      </c>
      <c r="H6" s="454"/>
      <c r="I6" s="424">
        <f t="shared" si="0"/>
        <v>0</v>
      </c>
    </row>
    <row r="7" spans="1:9" x14ac:dyDescent="0.35">
      <c r="A7" s="644" t="s">
        <v>1019</v>
      </c>
      <c r="B7" s="115" t="s">
        <v>152</v>
      </c>
      <c r="C7" s="315"/>
      <c r="D7" s="115"/>
      <c r="E7" s="115" t="s">
        <v>1604</v>
      </c>
      <c r="F7" s="465"/>
      <c r="G7" s="254">
        <v>1</v>
      </c>
      <c r="H7" s="454"/>
      <c r="I7" s="424">
        <f t="shared" si="0"/>
        <v>0</v>
      </c>
    </row>
    <row r="8" spans="1:9" x14ac:dyDescent="0.35">
      <c r="A8" s="644" t="s">
        <v>12</v>
      </c>
      <c r="B8" s="207" t="s">
        <v>150</v>
      </c>
      <c r="C8" s="315"/>
      <c r="D8" s="115"/>
      <c r="E8" s="207" t="s">
        <v>1604</v>
      </c>
      <c r="F8" s="465"/>
      <c r="G8" s="254">
        <v>1</v>
      </c>
      <c r="H8" s="454"/>
      <c r="I8" s="424">
        <f t="shared" si="0"/>
        <v>0</v>
      </c>
    </row>
    <row r="9" spans="1:9" x14ac:dyDescent="0.35">
      <c r="A9" s="645" t="s">
        <v>409</v>
      </c>
      <c r="B9" s="115" t="s">
        <v>410</v>
      </c>
      <c r="C9" s="315"/>
      <c r="D9" s="115"/>
      <c r="E9" s="115" t="s">
        <v>1604</v>
      </c>
      <c r="F9" s="465"/>
      <c r="G9" s="221">
        <v>1</v>
      </c>
      <c r="H9" s="454"/>
      <c r="I9" s="424">
        <f t="shared" si="0"/>
        <v>0</v>
      </c>
    </row>
    <row r="10" spans="1:9" x14ac:dyDescent="0.35">
      <c r="A10" s="644" t="s">
        <v>146</v>
      </c>
      <c r="B10" s="115" t="s">
        <v>278</v>
      </c>
      <c r="C10" s="315"/>
      <c r="D10" s="115"/>
      <c r="E10" s="115" t="s">
        <v>1604</v>
      </c>
      <c r="F10" s="465"/>
      <c r="G10" s="254">
        <v>1</v>
      </c>
      <c r="H10" s="454"/>
      <c r="I10" s="424">
        <f t="shared" si="0"/>
        <v>0</v>
      </c>
    </row>
    <row r="11" spans="1:9" x14ac:dyDescent="0.35">
      <c r="A11" s="545" t="s">
        <v>1143</v>
      </c>
      <c r="B11" s="115" t="s">
        <v>147</v>
      </c>
      <c r="C11" s="315"/>
      <c r="D11" s="115"/>
      <c r="E11" s="115" t="s">
        <v>1604</v>
      </c>
      <c r="F11" s="465"/>
      <c r="G11" s="252">
        <v>1</v>
      </c>
      <c r="H11" s="454"/>
      <c r="I11" s="424">
        <f t="shared" si="0"/>
        <v>0</v>
      </c>
    </row>
    <row r="12" spans="1:9" x14ac:dyDescent="0.35">
      <c r="A12" s="645" t="s">
        <v>1236</v>
      </c>
      <c r="B12" s="115" t="s">
        <v>549</v>
      </c>
      <c r="C12" s="315"/>
      <c r="D12" s="115"/>
      <c r="E12" s="115" t="s">
        <v>1604</v>
      </c>
      <c r="F12" s="465"/>
      <c r="G12" s="102">
        <v>1</v>
      </c>
      <c r="H12" s="454"/>
      <c r="I12" s="424">
        <f t="shared" si="0"/>
        <v>0</v>
      </c>
    </row>
    <row r="13" spans="1:9" x14ac:dyDescent="0.35">
      <c r="A13" s="644" t="s">
        <v>362</v>
      </c>
      <c r="B13" s="115" t="s">
        <v>363</v>
      </c>
      <c r="C13" s="315"/>
      <c r="D13" s="115"/>
      <c r="E13" s="115" t="s">
        <v>1604</v>
      </c>
      <c r="F13" s="465"/>
      <c r="G13" s="221">
        <v>1</v>
      </c>
      <c r="H13" s="454"/>
      <c r="I13" s="424">
        <f t="shared" si="0"/>
        <v>0</v>
      </c>
    </row>
    <row r="14" spans="1:9" x14ac:dyDescent="0.35">
      <c r="A14" s="644" t="s">
        <v>1360</v>
      </c>
      <c r="B14" s="115" t="s">
        <v>145</v>
      </c>
      <c r="C14" s="315"/>
      <c r="D14" s="115"/>
      <c r="E14" s="115" t="s">
        <v>1604</v>
      </c>
      <c r="F14" s="465"/>
      <c r="G14" s="254">
        <v>1</v>
      </c>
      <c r="H14" s="454"/>
      <c r="I14" s="424">
        <f t="shared" si="0"/>
        <v>0</v>
      </c>
    </row>
    <row r="15" spans="1:9" x14ac:dyDescent="0.35">
      <c r="A15" s="259" t="s">
        <v>930</v>
      </c>
      <c r="B15" s="115" t="s">
        <v>88</v>
      </c>
      <c r="C15" s="315"/>
      <c r="D15" s="115"/>
      <c r="E15" s="115" t="s">
        <v>1604</v>
      </c>
      <c r="F15" s="465"/>
      <c r="G15" s="102">
        <v>1</v>
      </c>
      <c r="H15" s="454"/>
      <c r="I15" s="424">
        <f t="shared" si="0"/>
        <v>0</v>
      </c>
    </row>
    <row r="16" spans="1:9" x14ac:dyDescent="0.35">
      <c r="A16" s="645" t="s">
        <v>4</v>
      </c>
      <c r="B16" s="115" t="s">
        <v>86</v>
      </c>
      <c r="C16" s="315"/>
      <c r="D16" s="115"/>
      <c r="E16" s="115" t="s">
        <v>1604</v>
      </c>
      <c r="F16" s="465"/>
      <c r="G16" s="102">
        <v>1</v>
      </c>
      <c r="H16" s="454"/>
      <c r="I16" s="424">
        <f t="shared" si="0"/>
        <v>0</v>
      </c>
    </row>
    <row r="17" spans="1:9" x14ac:dyDescent="0.35">
      <c r="A17" s="223" t="s">
        <v>1060</v>
      </c>
      <c r="B17" s="115" t="s">
        <v>74</v>
      </c>
      <c r="C17" s="315"/>
      <c r="D17" s="115"/>
      <c r="E17" s="115" t="s">
        <v>1604</v>
      </c>
      <c r="F17" s="465"/>
      <c r="G17" s="65">
        <v>1</v>
      </c>
      <c r="H17" s="454"/>
      <c r="I17" s="424">
        <f t="shared" si="0"/>
        <v>0</v>
      </c>
    </row>
    <row r="18" spans="1:9" x14ac:dyDescent="0.35">
      <c r="A18" s="644" t="s">
        <v>1281</v>
      </c>
      <c r="B18" s="115" t="s">
        <v>153</v>
      </c>
      <c r="C18" s="315"/>
      <c r="D18" s="115"/>
      <c r="E18" s="115" t="s">
        <v>1604</v>
      </c>
      <c r="F18" s="465"/>
      <c r="G18" s="19">
        <v>1</v>
      </c>
      <c r="H18" s="454"/>
      <c r="I18" s="424">
        <f t="shared" si="0"/>
        <v>0</v>
      </c>
    </row>
    <row r="19" spans="1:9" x14ac:dyDescent="0.35">
      <c r="A19" s="646" t="s">
        <v>19</v>
      </c>
      <c r="B19" s="226" t="s">
        <v>242</v>
      </c>
      <c r="C19" s="547"/>
      <c r="D19" s="226"/>
      <c r="E19" s="226" t="s">
        <v>1604</v>
      </c>
      <c r="F19" s="629"/>
      <c r="G19" s="570">
        <v>1</v>
      </c>
      <c r="H19" s="647"/>
      <c r="I19" s="630">
        <f t="shared" si="0"/>
        <v>0</v>
      </c>
    </row>
    <row r="20" spans="1:9" x14ac:dyDescent="0.35">
      <c r="I20" s="503">
        <f>SUM(I2:I19)</f>
        <v>0</v>
      </c>
    </row>
    <row r="23" spans="1:9" s="4" customFormat="1" ht="17.5" x14ac:dyDescent="0.35">
      <c r="A23" s="309" t="s">
        <v>1753</v>
      </c>
      <c r="B23" s="312"/>
      <c r="C23" s="249"/>
      <c r="D23" s="3"/>
      <c r="E23" s="3"/>
      <c r="F23" s="249"/>
      <c r="G23" s="3"/>
      <c r="H23" s="396"/>
      <c r="I23" s="406"/>
    </row>
    <row r="24" spans="1:9" s="4" customFormat="1" ht="17.5" x14ac:dyDescent="0.35">
      <c r="A24" s="309" t="s">
        <v>2432</v>
      </c>
      <c r="B24" s="312"/>
      <c r="C24" s="249"/>
      <c r="D24" s="3"/>
      <c r="E24" s="3"/>
      <c r="F24" s="249"/>
      <c r="G24" s="3"/>
      <c r="H24" s="396"/>
      <c r="I24" s="406"/>
    </row>
    <row r="25" spans="1:9" ht="17.5" x14ac:dyDescent="0.35">
      <c r="A25" s="367" t="s">
        <v>2652</v>
      </c>
      <c r="B25" s="142"/>
    </row>
    <row r="26" spans="1:9" ht="17.5" x14ac:dyDescent="0.35">
      <c r="A26" s="334" t="s">
        <v>2701</v>
      </c>
      <c r="B26" s="456">
        <f>+I20</f>
        <v>0</v>
      </c>
    </row>
  </sheetData>
  <pageMargins left="0.7" right="0.7" top="0.75" bottom="0.75" header="0.3" footer="0.3"/>
  <pageSetup scale="80" orientation="landscape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H9"/>
  <sheetViews>
    <sheetView workbookViewId="0">
      <pane ySplit="1" topLeftCell="A2" activePane="bottomLeft" state="frozen"/>
      <selection activeCell="C8" sqref="C8"/>
      <selection pane="bottomLeft" activeCell="A5" sqref="A5:XFD6"/>
    </sheetView>
  </sheetViews>
  <sheetFormatPr defaultColWidth="9.08984375" defaultRowHeight="18.5" x14ac:dyDescent="0.45"/>
  <cols>
    <col min="1" max="1" width="63.90625" style="46" bestFit="1" customWidth="1"/>
    <col min="2" max="2" width="16.08984375" style="77" customWidth="1"/>
    <col min="3" max="3" width="21.1796875" style="130" customWidth="1"/>
    <col min="4" max="4" width="21.81640625" style="130" customWidth="1"/>
    <col min="5" max="5" width="14.36328125" style="130" customWidth="1"/>
    <col min="6" max="6" width="11.90625" style="46" customWidth="1"/>
    <col min="7" max="7" width="13.08984375" style="46" customWidth="1"/>
    <col min="8" max="8" width="18.6328125" style="46" customWidth="1"/>
    <col min="9" max="16384" width="9.08984375" style="46"/>
  </cols>
  <sheetData>
    <row r="1" spans="1:8" x14ac:dyDescent="0.45">
      <c r="A1" s="544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89" t="s">
        <v>364</v>
      </c>
      <c r="G1" s="326" t="s">
        <v>2695</v>
      </c>
      <c r="H1" s="305" t="s">
        <v>2696</v>
      </c>
    </row>
    <row r="2" spans="1:8" x14ac:dyDescent="0.45">
      <c r="A2" s="290" t="s">
        <v>16</v>
      </c>
      <c r="B2" s="62" t="s">
        <v>360</v>
      </c>
      <c r="C2" s="315"/>
      <c r="D2" s="62"/>
      <c r="E2" s="62">
        <v>55719</v>
      </c>
      <c r="F2" s="10">
        <v>1</v>
      </c>
      <c r="G2" s="318"/>
      <c r="H2" s="366"/>
    </row>
    <row r="3" spans="1:8" x14ac:dyDescent="0.45">
      <c r="A3" s="223" t="s">
        <v>1099</v>
      </c>
      <c r="B3" s="62" t="s">
        <v>426</v>
      </c>
      <c r="C3" s="315"/>
      <c r="D3" s="253"/>
      <c r="E3" s="62">
        <v>55719</v>
      </c>
      <c r="F3" s="35">
        <v>1</v>
      </c>
      <c r="G3" s="318"/>
      <c r="H3" s="366"/>
    </row>
    <row r="4" spans="1:8" x14ac:dyDescent="0.45">
      <c r="A4" s="223" t="s">
        <v>13</v>
      </c>
      <c r="B4" s="62" t="s">
        <v>420</v>
      </c>
      <c r="C4" s="315"/>
      <c r="D4" s="62"/>
      <c r="E4" s="62">
        <v>55719</v>
      </c>
      <c r="F4" s="35">
        <v>1</v>
      </c>
      <c r="G4" s="318"/>
      <c r="H4" s="366"/>
    </row>
    <row r="6" spans="1:8" s="4" customFormat="1" ht="17.5" x14ac:dyDescent="0.35">
      <c r="A6" s="309" t="s">
        <v>1776</v>
      </c>
      <c r="B6" s="309"/>
      <c r="C6" s="248"/>
      <c r="D6" s="3"/>
      <c r="E6" s="3"/>
      <c r="F6" s="3"/>
      <c r="G6" s="37"/>
    </row>
    <row r="7" spans="1:8" s="4" customFormat="1" ht="17.5" x14ac:dyDescent="0.35">
      <c r="A7" s="309" t="s">
        <v>2430</v>
      </c>
      <c r="B7" s="312"/>
      <c r="C7" s="249"/>
      <c r="D7" s="3"/>
      <c r="E7" s="3"/>
      <c r="F7" s="3"/>
      <c r="G7" s="37"/>
    </row>
    <row r="8" spans="1:8" x14ac:dyDescent="0.45">
      <c r="A8" s="367" t="s">
        <v>2651</v>
      </c>
      <c r="B8" s="380"/>
    </row>
    <row r="9" spans="1:8" x14ac:dyDescent="0.45">
      <c r="A9" s="319" t="s">
        <v>2694</v>
      </c>
      <c r="B9" s="307"/>
    </row>
  </sheetData>
  <sortState xmlns:xlrd2="http://schemas.microsoft.com/office/spreadsheetml/2017/richdata2" ref="A2:H4">
    <sortCondition ref="B2:B4"/>
  </sortState>
  <pageMargins left="0.7" right="0.7" top="0.75" bottom="0.75" header="0.3" footer="0.3"/>
  <pageSetup scale="88" fitToHeight="0" orientation="landscape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9"/>
  <sheetViews>
    <sheetView workbookViewId="0">
      <pane ySplit="1" topLeftCell="A2" activePane="bottomLeft" state="frozen"/>
      <selection activeCell="C26" sqref="C26"/>
      <selection pane="bottomLeft" activeCell="A2" sqref="A2:XFD2"/>
    </sheetView>
  </sheetViews>
  <sheetFormatPr defaultColWidth="9.08984375" defaultRowHeight="15.5" x14ac:dyDescent="0.35"/>
  <cols>
    <col min="1" max="1" width="64.6328125" style="1" bestFit="1" customWidth="1"/>
    <col min="2" max="2" width="15.90625" style="213" bestFit="1" customWidth="1"/>
    <col min="3" max="3" width="20.36328125" style="213" bestFit="1" customWidth="1"/>
    <col min="4" max="4" width="20.08984375" style="1" bestFit="1" customWidth="1"/>
    <col min="5" max="5" width="12.453125" style="1" bestFit="1" customWidth="1"/>
    <col min="6" max="6" width="10" style="2" bestFit="1" customWidth="1"/>
    <col min="7" max="7" width="11.36328125" style="1" bestFit="1" customWidth="1"/>
    <col min="8" max="8" width="16.90625" style="1" bestFit="1" customWidth="1"/>
    <col min="9" max="16384" width="9.08984375" style="1"/>
  </cols>
  <sheetData>
    <row r="1" spans="1:8" x14ac:dyDescent="0.35">
      <c r="A1" s="13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13" t="s">
        <v>364</v>
      </c>
      <c r="G1" s="326" t="s">
        <v>2695</v>
      </c>
      <c r="H1" s="305" t="s">
        <v>2696</v>
      </c>
    </row>
    <row r="2" spans="1:8" x14ac:dyDescent="0.35">
      <c r="A2" s="8" t="s">
        <v>16</v>
      </c>
      <c r="B2" s="207" t="s">
        <v>360</v>
      </c>
      <c r="C2" s="315"/>
      <c r="D2" s="115"/>
      <c r="E2" s="115" t="s">
        <v>1604</v>
      </c>
      <c r="F2" s="10">
        <v>1</v>
      </c>
      <c r="G2" s="327"/>
      <c r="H2" s="333"/>
    </row>
    <row r="3" spans="1:8" x14ac:dyDescent="0.35">
      <c r="A3" s="8" t="s">
        <v>1099</v>
      </c>
      <c r="B3" s="207" t="s">
        <v>426</v>
      </c>
      <c r="C3" s="315"/>
      <c r="D3" s="115"/>
      <c r="E3" s="115" t="s">
        <v>1604</v>
      </c>
      <c r="F3" s="10">
        <v>1</v>
      </c>
      <c r="G3" s="327"/>
      <c r="H3" s="333"/>
    </row>
    <row r="4" spans="1:8" ht="27" customHeight="1" x14ac:dyDescent="0.35">
      <c r="A4" s="25" t="s">
        <v>981</v>
      </c>
      <c r="B4" s="207" t="s">
        <v>1681</v>
      </c>
      <c r="C4" s="315"/>
      <c r="D4" s="115"/>
      <c r="E4" s="115" t="s">
        <v>1604</v>
      </c>
      <c r="F4" s="26">
        <v>1</v>
      </c>
      <c r="G4" s="337"/>
      <c r="H4" s="333"/>
    </row>
    <row r="5" spans="1:8" x14ac:dyDescent="0.35">
      <c r="A5" s="131"/>
      <c r="B5" s="131"/>
      <c r="C5" s="131"/>
      <c r="D5" s="131"/>
      <c r="E5" s="131"/>
      <c r="F5" s="131"/>
      <c r="G5" s="131"/>
    </row>
    <row r="6" spans="1:8" s="4" customFormat="1" ht="17.5" x14ac:dyDescent="0.35">
      <c r="A6" s="309" t="s">
        <v>1780</v>
      </c>
      <c r="B6" s="336"/>
      <c r="C6" s="213"/>
      <c r="D6" s="1"/>
      <c r="E6" s="3"/>
    </row>
    <row r="7" spans="1:8" s="4" customFormat="1" ht="30" x14ac:dyDescent="0.6">
      <c r="A7" s="309" t="s">
        <v>2428</v>
      </c>
      <c r="B7" s="312"/>
      <c r="C7" s="249"/>
      <c r="D7" s="136"/>
      <c r="E7" s="3"/>
    </row>
    <row r="8" spans="1:8" ht="17.5" x14ac:dyDescent="0.35">
      <c r="A8" s="367" t="s">
        <v>2650</v>
      </c>
      <c r="B8" s="336"/>
    </row>
    <row r="9" spans="1:8" ht="17.5" x14ac:dyDescent="0.35">
      <c r="A9" s="319" t="s">
        <v>2694</v>
      </c>
      <c r="B9" s="307"/>
    </row>
  </sheetData>
  <pageMargins left="0.5" right="0.5" top="0.5" bottom="0.5" header="0.3" footer="0.3"/>
  <pageSetup scale="80" orientation="landscape" r:id="rId1"/>
  <headerFooter>
    <oddFooter xml:space="preserve">&amp;C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"/>
  <sheetViews>
    <sheetView workbookViewId="0">
      <pane ySplit="1" topLeftCell="A2" activePane="bottomLeft" state="frozen"/>
      <selection activeCell="C26" sqref="C26"/>
      <selection pane="bottomLeft" activeCell="A4" sqref="A4:XFD5"/>
    </sheetView>
  </sheetViews>
  <sheetFormatPr defaultColWidth="9.08984375" defaultRowHeight="12.5" x14ac:dyDescent="0.25"/>
  <cols>
    <col min="1" max="1" width="63.90625" style="32" bestFit="1" customWidth="1"/>
    <col min="2" max="2" width="16.08984375" style="34" customWidth="1"/>
    <col min="3" max="3" width="21.1796875" style="34" customWidth="1"/>
    <col min="4" max="4" width="21.81640625" style="34" customWidth="1"/>
    <col min="5" max="5" width="14.36328125" style="34" customWidth="1"/>
    <col min="6" max="6" width="11.90625" style="34" customWidth="1"/>
    <col min="7" max="7" width="13.08984375" style="33" customWidth="1"/>
    <col min="8" max="8" width="18.6328125" style="33" customWidth="1"/>
    <col min="9" max="16384" width="9.08984375" style="33"/>
  </cols>
  <sheetData>
    <row r="1" spans="1:8" ht="24.9" customHeight="1" x14ac:dyDescent="0.35">
      <c r="A1" s="13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13" t="s">
        <v>364</v>
      </c>
      <c r="G1" s="326" t="s">
        <v>2695</v>
      </c>
      <c r="H1" s="305" t="s">
        <v>2696</v>
      </c>
    </row>
    <row r="2" spans="1:8" ht="18" customHeight="1" x14ac:dyDescent="0.35">
      <c r="A2" s="8" t="s">
        <v>16</v>
      </c>
      <c r="B2" s="207" t="s">
        <v>360</v>
      </c>
      <c r="C2" s="315"/>
      <c r="D2" s="115"/>
      <c r="E2" s="115" t="s">
        <v>1604</v>
      </c>
      <c r="F2" s="351">
        <v>1</v>
      </c>
      <c r="G2" s="327"/>
      <c r="H2" s="345"/>
    </row>
    <row r="3" spans="1:8" ht="15.5" x14ac:dyDescent="0.35">
      <c r="A3" s="8" t="s">
        <v>1099</v>
      </c>
      <c r="B3" s="207" t="s">
        <v>426</v>
      </c>
      <c r="C3" s="315"/>
      <c r="D3" s="207"/>
      <c r="E3" s="207" t="s">
        <v>1604</v>
      </c>
      <c r="F3" s="351">
        <v>1</v>
      </c>
      <c r="G3" s="327"/>
      <c r="H3" s="345"/>
    </row>
    <row r="4" spans="1:8" ht="15.5" x14ac:dyDescent="0.25">
      <c r="A4" s="174"/>
      <c r="B4" s="231"/>
      <c r="C4" s="231"/>
      <c r="D4" s="177"/>
      <c r="E4" s="177"/>
      <c r="F4" s="134"/>
      <c r="G4" s="178"/>
    </row>
    <row r="5" spans="1:8" x14ac:dyDescent="0.25">
      <c r="F5" s="34">
        <f>SUM(F2:F3)</f>
        <v>2</v>
      </c>
    </row>
    <row r="7" spans="1:8" s="4" customFormat="1" ht="17.5" x14ac:dyDescent="0.35">
      <c r="A7" s="309" t="s">
        <v>1783</v>
      </c>
      <c r="B7" s="312"/>
      <c r="C7" s="249"/>
      <c r="D7" s="3"/>
      <c r="E7" s="3"/>
      <c r="F7" s="3"/>
      <c r="G7" s="37"/>
    </row>
    <row r="8" spans="1:8" s="4" customFormat="1" ht="17.5" x14ac:dyDescent="0.35">
      <c r="A8" s="309" t="s">
        <v>2427</v>
      </c>
      <c r="B8" s="312"/>
      <c r="C8" s="249"/>
      <c r="D8" s="3"/>
      <c r="E8" s="3"/>
      <c r="F8" s="3"/>
      <c r="G8" s="37"/>
    </row>
    <row r="9" spans="1:8" ht="17.5" x14ac:dyDescent="0.35">
      <c r="A9" s="367" t="s">
        <v>2649</v>
      </c>
      <c r="B9" s="346"/>
    </row>
    <row r="10" spans="1:8" ht="17.5" x14ac:dyDescent="0.35">
      <c r="A10" s="319" t="s">
        <v>2694</v>
      </c>
      <c r="B10" s="307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H259"/>
  <sheetViews>
    <sheetView workbookViewId="0">
      <pane ySplit="1" topLeftCell="A222" activePane="bottomLeft" state="frozen"/>
      <selection activeCell="C26" sqref="C26"/>
      <selection pane="bottomLeft" activeCell="A272" sqref="A254:XFD272"/>
    </sheetView>
  </sheetViews>
  <sheetFormatPr defaultColWidth="8.90625" defaultRowHeight="15.5" x14ac:dyDescent="0.35"/>
  <cols>
    <col min="1" max="1" width="68.36328125" style="152" bestFit="1" customWidth="1"/>
    <col min="2" max="2" width="17.36328125" style="144" bestFit="1" customWidth="1"/>
    <col min="3" max="3" width="21.1796875" style="144" customWidth="1"/>
    <col min="4" max="4" width="21.81640625" style="144" customWidth="1"/>
    <col min="5" max="5" width="14.36328125" style="144" customWidth="1"/>
    <col min="6" max="6" width="11.90625" style="144" customWidth="1"/>
    <col min="7" max="7" width="13.08984375" style="152" customWidth="1"/>
    <col min="8" max="8" width="18.6328125" style="303" customWidth="1"/>
    <col min="9" max="9" width="18.6328125" style="303" bestFit="1" customWidth="1"/>
    <col min="10" max="16384" width="8.90625" style="303"/>
  </cols>
  <sheetData>
    <row r="1" spans="1:8" x14ac:dyDescent="0.35">
      <c r="A1" s="103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103" t="s">
        <v>364</v>
      </c>
      <c r="G1" s="326" t="s">
        <v>2695</v>
      </c>
      <c r="H1" s="305" t="s">
        <v>2696</v>
      </c>
    </row>
    <row r="2" spans="1:8" x14ac:dyDescent="0.35">
      <c r="A2" s="302" t="s">
        <v>2381</v>
      </c>
      <c r="B2" s="265" t="s">
        <v>646</v>
      </c>
      <c r="C2" s="315"/>
      <c r="D2" s="265"/>
      <c r="E2" s="265">
        <v>55719</v>
      </c>
      <c r="F2" s="369">
        <v>1</v>
      </c>
      <c r="G2" s="324"/>
      <c r="H2" s="377"/>
    </row>
    <row r="3" spans="1:8" x14ac:dyDescent="0.35">
      <c r="A3" s="302" t="s">
        <v>990</v>
      </c>
      <c r="B3" s="265" t="s">
        <v>1677</v>
      </c>
      <c r="C3" s="315"/>
      <c r="D3" s="265"/>
      <c r="E3" s="265">
        <v>55719</v>
      </c>
      <c r="F3" s="369">
        <v>1</v>
      </c>
      <c r="G3" s="324"/>
      <c r="H3" s="377"/>
    </row>
    <row r="4" spans="1:8" x14ac:dyDescent="0.35">
      <c r="A4" s="302" t="s">
        <v>17</v>
      </c>
      <c r="B4" s="265" t="s">
        <v>2473</v>
      </c>
      <c r="C4" s="315"/>
      <c r="D4" s="265"/>
      <c r="E4" s="265">
        <v>55719</v>
      </c>
      <c r="F4" s="369">
        <v>1</v>
      </c>
      <c r="G4" s="324"/>
      <c r="H4" s="377"/>
    </row>
    <row r="5" spans="1:8" x14ac:dyDescent="0.35">
      <c r="A5" s="302" t="s">
        <v>408</v>
      </c>
      <c r="B5" s="265" t="s">
        <v>1562</v>
      </c>
      <c r="C5" s="315"/>
      <c r="D5" s="265"/>
      <c r="E5" s="265">
        <v>55719</v>
      </c>
      <c r="F5" s="369">
        <v>1</v>
      </c>
      <c r="G5" s="324"/>
      <c r="H5" s="377"/>
    </row>
    <row r="6" spans="1:8" x14ac:dyDescent="0.35">
      <c r="A6" s="302" t="s">
        <v>988</v>
      </c>
      <c r="B6" s="265" t="s">
        <v>2235</v>
      </c>
      <c r="C6" s="315"/>
      <c r="D6" s="265"/>
      <c r="E6" s="265">
        <v>55719</v>
      </c>
      <c r="F6" s="369">
        <v>1</v>
      </c>
      <c r="G6" s="324"/>
      <c r="H6" s="377"/>
    </row>
    <row r="7" spans="1:8" x14ac:dyDescent="0.35">
      <c r="A7" s="302" t="s">
        <v>1037</v>
      </c>
      <c r="B7" s="265" t="s">
        <v>1613</v>
      </c>
      <c r="C7" s="315"/>
      <c r="D7" s="265"/>
      <c r="E7" s="265">
        <v>55719</v>
      </c>
      <c r="F7" s="369">
        <v>1</v>
      </c>
      <c r="G7" s="324"/>
      <c r="H7" s="377"/>
    </row>
    <row r="8" spans="1:8" x14ac:dyDescent="0.35">
      <c r="A8" s="302" t="s">
        <v>989</v>
      </c>
      <c r="B8" s="265" t="s">
        <v>2237</v>
      </c>
      <c r="C8" s="315"/>
      <c r="D8" s="265"/>
      <c r="E8" s="265">
        <v>55719</v>
      </c>
      <c r="F8" s="369">
        <v>1</v>
      </c>
      <c r="G8" s="324"/>
      <c r="H8" s="377"/>
    </row>
    <row r="9" spans="1:8" x14ac:dyDescent="0.35">
      <c r="A9" s="302" t="s">
        <v>338</v>
      </c>
      <c r="B9" s="265" t="s">
        <v>784</v>
      </c>
      <c r="C9" s="315"/>
      <c r="D9" s="265"/>
      <c r="E9" s="265">
        <v>55719</v>
      </c>
      <c r="F9" s="369">
        <v>1</v>
      </c>
      <c r="G9" s="324"/>
      <c r="H9" s="377"/>
    </row>
    <row r="10" spans="1:8" ht="14.25" customHeight="1" x14ac:dyDescent="0.35">
      <c r="A10" s="302" t="s">
        <v>2447</v>
      </c>
      <c r="B10" s="265" t="s">
        <v>2448</v>
      </c>
      <c r="C10" s="315"/>
      <c r="D10" s="265"/>
      <c r="E10" s="265">
        <v>55719</v>
      </c>
      <c r="F10" s="369">
        <v>1</v>
      </c>
      <c r="G10" s="324"/>
      <c r="H10" s="377"/>
    </row>
    <row r="11" spans="1:8" ht="14.25" customHeight="1" x14ac:dyDescent="0.35">
      <c r="A11" s="302" t="s">
        <v>968</v>
      </c>
      <c r="B11" s="265" t="s">
        <v>176</v>
      </c>
      <c r="C11" s="315"/>
      <c r="D11" s="265"/>
      <c r="E11" s="265">
        <v>55719</v>
      </c>
      <c r="F11" s="369">
        <v>1</v>
      </c>
      <c r="G11" s="324"/>
      <c r="H11" s="377"/>
    </row>
    <row r="12" spans="1:8" ht="14.25" customHeight="1" x14ac:dyDescent="0.35">
      <c r="A12" s="302" t="s">
        <v>973</v>
      </c>
      <c r="B12" s="265" t="s">
        <v>288</v>
      </c>
      <c r="C12" s="315"/>
      <c r="D12" s="265"/>
      <c r="E12" s="265">
        <v>55719</v>
      </c>
      <c r="F12" s="369">
        <v>1</v>
      </c>
      <c r="G12" s="324"/>
      <c r="H12" s="377"/>
    </row>
    <row r="13" spans="1:8" ht="14.25" customHeight="1" x14ac:dyDescent="0.35">
      <c r="A13" s="302" t="s">
        <v>971</v>
      </c>
      <c r="B13" s="265" t="s">
        <v>287</v>
      </c>
      <c r="C13" s="315"/>
      <c r="D13" s="265"/>
      <c r="E13" s="265">
        <v>55719</v>
      </c>
      <c r="F13" s="369">
        <v>1</v>
      </c>
      <c r="G13" s="324"/>
      <c r="H13" s="377"/>
    </row>
    <row r="14" spans="1:8" ht="14.25" customHeight="1" x14ac:dyDescent="0.35">
      <c r="A14" s="302" t="s">
        <v>976</v>
      </c>
      <c r="B14" s="265" t="s">
        <v>290</v>
      </c>
      <c r="C14" s="315"/>
      <c r="D14" s="265"/>
      <c r="E14" s="265">
        <v>55719</v>
      </c>
      <c r="F14" s="369">
        <v>1</v>
      </c>
      <c r="G14" s="324"/>
      <c r="H14" s="377"/>
    </row>
    <row r="15" spans="1:8" ht="14.25" customHeight="1" x14ac:dyDescent="0.35">
      <c r="A15" s="302" t="s">
        <v>964</v>
      </c>
      <c r="B15" s="265" t="s">
        <v>289</v>
      </c>
      <c r="C15" s="315"/>
      <c r="D15" s="265"/>
      <c r="E15" s="265">
        <v>55719</v>
      </c>
      <c r="F15" s="369">
        <v>1</v>
      </c>
      <c r="G15" s="324"/>
      <c r="H15" s="377"/>
    </row>
    <row r="16" spans="1:8" ht="14.25" customHeight="1" x14ac:dyDescent="0.35">
      <c r="A16" s="302" t="s">
        <v>965</v>
      </c>
      <c r="B16" s="265" t="s">
        <v>383</v>
      </c>
      <c r="C16" s="315"/>
      <c r="D16" s="265"/>
      <c r="E16" s="265">
        <v>55719</v>
      </c>
      <c r="F16" s="369">
        <v>1</v>
      </c>
      <c r="G16" s="324"/>
      <c r="H16" s="377"/>
    </row>
    <row r="17" spans="1:8" ht="14.25" customHeight="1" x14ac:dyDescent="0.35">
      <c r="A17" s="302" t="s">
        <v>963</v>
      </c>
      <c r="B17" s="265" t="s">
        <v>286</v>
      </c>
      <c r="C17" s="315"/>
      <c r="D17" s="265"/>
      <c r="E17" s="265">
        <v>55719</v>
      </c>
      <c r="F17" s="369">
        <v>1</v>
      </c>
      <c r="G17" s="324"/>
      <c r="H17" s="377"/>
    </row>
    <row r="18" spans="1:8" x14ac:dyDescent="0.35">
      <c r="A18" s="302" t="s">
        <v>966</v>
      </c>
      <c r="B18" s="265" t="s">
        <v>291</v>
      </c>
      <c r="C18" s="315"/>
      <c r="D18" s="265"/>
      <c r="E18" s="265">
        <v>55719</v>
      </c>
      <c r="F18" s="369">
        <v>1</v>
      </c>
      <c r="G18" s="324"/>
      <c r="H18" s="377"/>
    </row>
    <row r="19" spans="1:8" x14ac:dyDescent="0.35">
      <c r="A19" s="302" t="s">
        <v>16</v>
      </c>
      <c r="B19" s="265" t="s">
        <v>360</v>
      </c>
      <c r="C19" s="315"/>
      <c r="D19" s="265"/>
      <c r="E19" s="265">
        <v>55719</v>
      </c>
      <c r="F19" s="369">
        <v>2</v>
      </c>
      <c r="G19" s="324"/>
      <c r="H19" s="377"/>
    </row>
    <row r="20" spans="1:8" x14ac:dyDescent="0.35">
      <c r="A20" s="302" t="s">
        <v>1393</v>
      </c>
      <c r="B20" s="265" t="s">
        <v>458</v>
      </c>
      <c r="C20" s="315"/>
      <c r="D20" s="265"/>
      <c r="E20" s="265">
        <v>55719</v>
      </c>
      <c r="F20" s="369">
        <v>1</v>
      </c>
      <c r="G20" s="324"/>
      <c r="H20" s="377"/>
    </row>
    <row r="21" spans="1:8" x14ac:dyDescent="0.35">
      <c r="A21" s="302" t="s">
        <v>986</v>
      </c>
      <c r="B21" s="265" t="s">
        <v>460</v>
      </c>
      <c r="C21" s="315"/>
      <c r="D21" s="265"/>
      <c r="E21" s="265">
        <v>55719</v>
      </c>
      <c r="F21" s="369">
        <v>1</v>
      </c>
      <c r="G21" s="324"/>
      <c r="H21" s="377"/>
    </row>
    <row r="22" spans="1:8" x14ac:dyDescent="0.35">
      <c r="A22" s="302" t="s">
        <v>982</v>
      </c>
      <c r="B22" s="265" t="s">
        <v>213</v>
      </c>
      <c r="C22" s="315"/>
      <c r="D22" s="265"/>
      <c r="E22" s="265">
        <v>55719</v>
      </c>
      <c r="F22" s="369">
        <v>1</v>
      </c>
      <c r="G22" s="324"/>
      <c r="H22" s="377"/>
    </row>
    <row r="23" spans="1:8" x14ac:dyDescent="0.35">
      <c r="A23" s="302" t="s">
        <v>2582</v>
      </c>
      <c r="B23" s="265" t="s">
        <v>1621</v>
      </c>
      <c r="C23" s="315"/>
      <c r="D23" s="265"/>
      <c r="E23" s="265">
        <v>55719</v>
      </c>
      <c r="F23" s="369">
        <v>1</v>
      </c>
      <c r="G23" s="324"/>
      <c r="H23" s="377"/>
    </row>
    <row r="24" spans="1:8" ht="14.25" customHeight="1" x14ac:dyDescent="0.35">
      <c r="A24" s="302" t="s">
        <v>892</v>
      </c>
      <c r="B24" s="265" t="s">
        <v>440</v>
      </c>
      <c r="C24" s="315"/>
      <c r="D24" s="265"/>
      <c r="E24" s="265">
        <v>55719</v>
      </c>
      <c r="F24" s="369">
        <v>1</v>
      </c>
      <c r="G24" s="324"/>
      <c r="H24" s="377"/>
    </row>
    <row r="25" spans="1:8" x14ac:dyDescent="0.35">
      <c r="A25" s="302" t="s">
        <v>894</v>
      </c>
      <c r="B25" s="265" t="s">
        <v>441</v>
      </c>
      <c r="C25" s="315"/>
      <c r="D25" s="265"/>
      <c r="E25" s="265">
        <v>55719</v>
      </c>
      <c r="F25" s="369">
        <v>1</v>
      </c>
      <c r="G25" s="324"/>
      <c r="H25" s="377"/>
    </row>
    <row r="26" spans="1:8" ht="15" customHeight="1" x14ac:dyDescent="0.35">
      <c r="A26" s="302" t="s">
        <v>893</v>
      </c>
      <c r="B26" s="265" t="s">
        <v>149</v>
      </c>
      <c r="C26" s="315"/>
      <c r="D26" s="265"/>
      <c r="E26" s="265">
        <v>55719</v>
      </c>
      <c r="F26" s="369">
        <v>1</v>
      </c>
      <c r="G26" s="324"/>
      <c r="H26" s="377"/>
    </row>
    <row r="27" spans="1:8" ht="15" customHeight="1" x14ac:dyDescent="0.35">
      <c r="A27" s="302" t="s">
        <v>884</v>
      </c>
      <c r="B27" s="265" t="s">
        <v>198</v>
      </c>
      <c r="C27" s="315"/>
      <c r="D27" s="265"/>
      <c r="E27" s="265">
        <v>55719</v>
      </c>
      <c r="F27" s="369">
        <v>1</v>
      </c>
      <c r="G27" s="324"/>
      <c r="H27" s="377"/>
    </row>
    <row r="28" spans="1:8" x14ac:dyDescent="0.35">
      <c r="A28" s="302" t="s">
        <v>895</v>
      </c>
      <c r="B28" s="265" t="s">
        <v>357</v>
      </c>
      <c r="C28" s="315"/>
      <c r="D28" s="265"/>
      <c r="E28" s="265">
        <v>55719</v>
      </c>
      <c r="F28" s="369">
        <v>1</v>
      </c>
      <c r="G28" s="324"/>
      <c r="H28" s="377"/>
    </row>
    <row r="29" spans="1:8" x14ac:dyDescent="0.35">
      <c r="A29" s="302" t="s">
        <v>1020</v>
      </c>
      <c r="B29" s="265" t="s">
        <v>271</v>
      </c>
      <c r="C29" s="315"/>
      <c r="D29" s="265"/>
      <c r="E29" s="265">
        <v>55719</v>
      </c>
      <c r="F29" s="369">
        <v>1</v>
      </c>
      <c r="G29" s="324"/>
      <c r="H29" s="377"/>
    </row>
    <row r="30" spans="1:8" x14ac:dyDescent="0.35">
      <c r="A30" s="302" t="s">
        <v>1022</v>
      </c>
      <c r="B30" s="265" t="s">
        <v>269</v>
      </c>
      <c r="C30" s="315"/>
      <c r="D30" s="265"/>
      <c r="E30" s="265">
        <v>55719</v>
      </c>
      <c r="F30" s="369">
        <v>1</v>
      </c>
      <c r="G30" s="324"/>
      <c r="H30" s="377"/>
    </row>
    <row r="31" spans="1:8" x14ac:dyDescent="0.35">
      <c r="A31" s="302" t="s">
        <v>1024</v>
      </c>
      <c r="B31" s="265" t="s">
        <v>76</v>
      </c>
      <c r="C31" s="315"/>
      <c r="D31" s="265"/>
      <c r="E31" s="265">
        <v>55719</v>
      </c>
      <c r="F31" s="369">
        <v>1</v>
      </c>
      <c r="G31" s="324"/>
      <c r="H31" s="377"/>
    </row>
    <row r="32" spans="1:8" x14ac:dyDescent="0.35">
      <c r="A32" s="302" t="s">
        <v>896</v>
      </c>
      <c r="B32" s="265" t="s">
        <v>272</v>
      </c>
      <c r="C32" s="315"/>
      <c r="D32" s="265"/>
      <c r="E32" s="265">
        <v>55719</v>
      </c>
      <c r="F32" s="369">
        <v>1</v>
      </c>
      <c r="G32" s="324"/>
      <c r="H32" s="377"/>
    </row>
    <row r="33" spans="1:8" x14ac:dyDescent="0.35">
      <c r="A33" s="302" t="s">
        <v>2583</v>
      </c>
      <c r="B33" s="265" t="s">
        <v>78</v>
      </c>
      <c r="C33" s="315"/>
      <c r="D33" s="265"/>
      <c r="E33" s="265">
        <v>55719</v>
      </c>
      <c r="F33" s="369">
        <v>1</v>
      </c>
      <c r="G33" s="324"/>
      <c r="H33" s="377"/>
    </row>
    <row r="34" spans="1:8" x14ac:dyDescent="0.35">
      <c r="A34" s="302" t="s">
        <v>1025</v>
      </c>
      <c r="B34" s="265" t="s">
        <v>212</v>
      </c>
      <c r="C34" s="315"/>
      <c r="D34" s="265"/>
      <c r="E34" s="265">
        <v>55719</v>
      </c>
      <c r="F34" s="369">
        <v>1</v>
      </c>
      <c r="G34" s="324"/>
      <c r="H34" s="377"/>
    </row>
    <row r="35" spans="1:8" x14ac:dyDescent="0.35">
      <c r="A35" s="302" t="s">
        <v>897</v>
      </c>
      <c r="B35" s="265" t="s">
        <v>267</v>
      </c>
      <c r="C35" s="315"/>
      <c r="D35" s="265"/>
      <c r="E35" s="265">
        <v>55719</v>
      </c>
      <c r="F35" s="369">
        <v>1</v>
      </c>
      <c r="G35" s="324"/>
      <c r="H35" s="377"/>
    </row>
    <row r="36" spans="1:8" x14ac:dyDescent="0.35">
      <c r="A36" s="302" t="s">
        <v>1002</v>
      </c>
      <c r="B36" s="265" t="s">
        <v>264</v>
      </c>
      <c r="C36" s="315"/>
      <c r="D36" s="265"/>
      <c r="E36" s="265">
        <v>55719</v>
      </c>
      <c r="F36" s="369">
        <v>1</v>
      </c>
      <c r="G36" s="324"/>
      <c r="H36" s="377"/>
    </row>
    <row r="37" spans="1:8" x14ac:dyDescent="0.35">
      <c r="A37" s="302" t="s">
        <v>2584</v>
      </c>
      <c r="B37" s="265" t="s">
        <v>263</v>
      </c>
      <c r="C37" s="315"/>
      <c r="D37" s="265"/>
      <c r="E37" s="265">
        <v>55719</v>
      </c>
      <c r="F37" s="369">
        <v>1</v>
      </c>
      <c r="G37" s="324"/>
      <c r="H37" s="377"/>
    </row>
    <row r="38" spans="1:8" x14ac:dyDescent="0.35">
      <c r="A38" s="302" t="s">
        <v>46</v>
      </c>
      <c r="B38" s="265" t="s">
        <v>207</v>
      </c>
      <c r="C38" s="315"/>
      <c r="D38" s="265"/>
      <c r="E38" s="265">
        <v>55719</v>
      </c>
      <c r="F38" s="369">
        <v>2</v>
      </c>
      <c r="G38" s="324"/>
      <c r="H38" s="377"/>
    </row>
    <row r="39" spans="1:8" x14ac:dyDescent="0.35">
      <c r="A39" s="302" t="s">
        <v>1019</v>
      </c>
      <c r="B39" s="265" t="s">
        <v>90</v>
      </c>
      <c r="C39" s="315"/>
      <c r="D39" s="265"/>
      <c r="E39" s="265">
        <v>55719</v>
      </c>
      <c r="F39" s="369">
        <v>2</v>
      </c>
      <c r="G39" s="324"/>
      <c r="H39" s="377"/>
    </row>
    <row r="40" spans="1:8" x14ac:dyDescent="0.35">
      <c r="A40" s="302" t="s">
        <v>1085</v>
      </c>
      <c r="B40" s="265" t="s">
        <v>468</v>
      </c>
      <c r="C40" s="315"/>
      <c r="D40" s="265"/>
      <c r="E40" s="265">
        <v>55719</v>
      </c>
      <c r="F40" s="369">
        <v>2</v>
      </c>
      <c r="G40" s="324"/>
      <c r="H40" s="377"/>
    </row>
    <row r="41" spans="1:8" x14ac:dyDescent="0.35">
      <c r="A41" s="302" t="s">
        <v>883</v>
      </c>
      <c r="B41" s="265" t="s">
        <v>235</v>
      </c>
      <c r="C41" s="315"/>
      <c r="D41" s="265"/>
      <c r="E41" s="265">
        <v>55719</v>
      </c>
      <c r="F41" s="369">
        <v>1</v>
      </c>
      <c r="G41" s="324"/>
      <c r="H41" s="377"/>
    </row>
    <row r="42" spans="1:8" x14ac:dyDescent="0.35">
      <c r="A42" s="302" t="s">
        <v>980</v>
      </c>
      <c r="B42" s="265" t="s">
        <v>236</v>
      </c>
      <c r="C42" s="315"/>
      <c r="D42" s="265"/>
      <c r="E42" s="265">
        <v>55719</v>
      </c>
      <c r="F42" s="369">
        <v>1</v>
      </c>
      <c r="G42" s="324"/>
      <c r="H42" s="377"/>
    </row>
    <row r="43" spans="1:8" x14ac:dyDescent="0.35">
      <c r="A43" s="302" t="s">
        <v>970</v>
      </c>
      <c r="B43" s="265" t="s">
        <v>230</v>
      </c>
      <c r="C43" s="315"/>
      <c r="D43" s="265"/>
      <c r="E43" s="265">
        <v>55719</v>
      </c>
      <c r="F43" s="369">
        <v>1</v>
      </c>
      <c r="G43" s="324"/>
      <c r="H43" s="377"/>
    </row>
    <row r="44" spans="1:8" x14ac:dyDescent="0.35">
      <c r="A44" s="302" t="s">
        <v>874</v>
      </c>
      <c r="B44" s="265" t="s">
        <v>206</v>
      </c>
      <c r="C44" s="315"/>
      <c r="D44" s="265"/>
      <c r="E44" s="265">
        <v>55719</v>
      </c>
      <c r="F44" s="369">
        <v>1</v>
      </c>
      <c r="G44" s="324"/>
      <c r="H44" s="377"/>
    </row>
    <row r="45" spans="1:8" x14ac:dyDescent="0.35">
      <c r="A45" s="302" t="s">
        <v>875</v>
      </c>
      <c r="B45" s="265" t="s">
        <v>231</v>
      </c>
      <c r="C45" s="315"/>
      <c r="D45" s="265"/>
      <c r="E45" s="265">
        <v>55719</v>
      </c>
      <c r="F45" s="369">
        <v>1</v>
      </c>
      <c r="G45" s="324"/>
      <c r="H45" s="377"/>
    </row>
    <row r="46" spans="1:8" x14ac:dyDescent="0.35">
      <c r="A46" s="302" t="s">
        <v>873</v>
      </c>
      <c r="B46" s="265" t="s">
        <v>217</v>
      </c>
      <c r="C46" s="315"/>
      <c r="D46" s="265"/>
      <c r="E46" s="265">
        <v>55719</v>
      </c>
      <c r="F46" s="369">
        <v>1</v>
      </c>
      <c r="G46" s="324"/>
      <c r="H46" s="377"/>
    </row>
    <row r="47" spans="1:8" x14ac:dyDescent="0.35">
      <c r="A47" s="302" t="s">
        <v>877</v>
      </c>
      <c r="B47" s="265" t="s">
        <v>365</v>
      </c>
      <c r="C47" s="315"/>
      <c r="D47" s="265"/>
      <c r="E47" s="265">
        <v>55719</v>
      </c>
      <c r="F47" s="369">
        <v>1</v>
      </c>
      <c r="G47" s="324"/>
      <c r="H47" s="377"/>
    </row>
    <row r="48" spans="1:8" x14ac:dyDescent="0.35">
      <c r="A48" s="302" t="s">
        <v>975</v>
      </c>
      <c r="B48" s="265" t="s">
        <v>356</v>
      </c>
      <c r="C48" s="315"/>
      <c r="D48" s="265"/>
      <c r="E48" s="265">
        <v>55719</v>
      </c>
      <c r="F48" s="369">
        <v>1</v>
      </c>
      <c r="G48" s="324"/>
      <c r="H48" s="377"/>
    </row>
    <row r="49" spans="1:8" x14ac:dyDescent="0.35">
      <c r="A49" s="302" t="s">
        <v>967</v>
      </c>
      <c r="B49" s="265" t="s">
        <v>44</v>
      </c>
      <c r="C49" s="315"/>
      <c r="D49" s="265"/>
      <c r="E49" s="265">
        <v>55719</v>
      </c>
      <c r="F49" s="369">
        <v>1</v>
      </c>
      <c r="G49" s="324"/>
      <c r="H49" s="377"/>
    </row>
    <row r="50" spans="1:8" x14ac:dyDescent="0.35">
      <c r="A50" s="302" t="s">
        <v>880</v>
      </c>
      <c r="B50" s="265" t="s">
        <v>366</v>
      </c>
      <c r="C50" s="315"/>
      <c r="D50" s="265"/>
      <c r="E50" s="265">
        <v>55719</v>
      </c>
      <c r="F50" s="369">
        <v>1</v>
      </c>
      <c r="G50" s="324"/>
      <c r="H50" s="377"/>
    </row>
    <row r="51" spans="1:8" x14ac:dyDescent="0.35">
      <c r="A51" s="302" t="s">
        <v>878</v>
      </c>
      <c r="B51" s="265" t="s">
        <v>94</v>
      </c>
      <c r="C51" s="315"/>
      <c r="D51" s="265"/>
      <c r="E51" s="265">
        <v>55719</v>
      </c>
      <c r="F51" s="369">
        <v>1</v>
      </c>
      <c r="G51" s="324"/>
      <c r="H51" s="377"/>
    </row>
    <row r="52" spans="1:8" x14ac:dyDescent="0.35">
      <c r="A52" s="302" t="s">
        <v>872</v>
      </c>
      <c r="B52" s="265" t="s">
        <v>367</v>
      </c>
      <c r="C52" s="315"/>
      <c r="D52" s="265"/>
      <c r="E52" s="265">
        <v>55719</v>
      </c>
      <c r="F52" s="369">
        <v>1</v>
      </c>
      <c r="G52" s="324"/>
      <c r="H52" s="377"/>
    </row>
    <row r="53" spans="1:8" x14ac:dyDescent="0.35">
      <c r="A53" s="302" t="s">
        <v>876</v>
      </c>
      <c r="B53" s="265" t="s">
        <v>368</v>
      </c>
      <c r="C53" s="315"/>
      <c r="D53" s="265"/>
      <c r="E53" s="265">
        <v>55719</v>
      </c>
      <c r="F53" s="369">
        <v>1</v>
      </c>
      <c r="G53" s="324"/>
      <c r="H53" s="377"/>
    </row>
    <row r="54" spans="1:8" x14ac:dyDescent="0.35">
      <c r="A54" s="302" t="s">
        <v>972</v>
      </c>
      <c r="B54" s="265" t="s">
        <v>175</v>
      </c>
      <c r="C54" s="315"/>
      <c r="D54" s="265"/>
      <c r="E54" s="265">
        <v>55719</v>
      </c>
      <c r="F54" s="369">
        <v>1</v>
      </c>
      <c r="G54" s="324"/>
      <c r="H54" s="377"/>
    </row>
    <row r="55" spans="1:8" x14ac:dyDescent="0.35">
      <c r="A55" s="302" t="s">
        <v>879</v>
      </c>
      <c r="B55" s="265" t="s">
        <v>369</v>
      </c>
      <c r="C55" s="315"/>
      <c r="D55" s="265"/>
      <c r="E55" s="265">
        <v>55719</v>
      </c>
      <c r="F55" s="369">
        <v>1</v>
      </c>
      <c r="G55" s="324"/>
      <c r="H55" s="377"/>
    </row>
    <row r="56" spans="1:8" x14ac:dyDescent="0.35">
      <c r="A56" s="302" t="s">
        <v>871</v>
      </c>
      <c r="B56" s="265" t="s">
        <v>95</v>
      </c>
      <c r="C56" s="315"/>
      <c r="D56" s="265"/>
      <c r="E56" s="265">
        <v>55719</v>
      </c>
      <c r="F56" s="369">
        <v>1</v>
      </c>
      <c r="G56" s="324"/>
      <c r="H56" s="377"/>
    </row>
    <row r="57" spans="1:8" x14ac:dyDescent="0.35">
      <c r="A57" s="302" t="s">
        <v>34</v>
      </c>
      <c r="B57" s="265" t="s">
        <v>1566</v>
      </c>
      <c r="C57" s="315"/>
      <c r="D57" s="265"/>
      <c r="E57" s="265">
        <v>55719</v>
      </c>
      <c r="F57" s="369">
        <v>1</v>
      </c>
      <c r="G57" s="324"/>
      <c r="H57" s="377"/>
    </row>
    <row r="58" spans="1:8" x14ac:dyDescent="0.35">
      <c r="A58" s="302" t="s">
        <v>35</v>
      </c>
      <c r="B58" s="265" t="s">
        <v>1567</v>
      </c>
      <c r="C58" s="315"/>
      <c r="D58" s="265"/>
      <c r="E58" s="265">
        <v>55719</v>
      </c>
      <c r="F58" s="369">
        <v>1</v>
      </c>
      <c r="G58" s="324"/>
      <c r="H58" s="377"/>
    </row>
    <row r="59" spans="1:8" x14ac:dyDescent="0.35">
      <c r="A59" s="302" t="s">
        <v>33</v>
      </c>
      <c r="B59" s="265" t="s">
        <v>1565</v>
      </c>
      <c r="C59" s="315"/>
      <c r="D59" s="265"/>
      <c r="E59" s="265">
        <v>55719</v>
      </c>
      <c r="F59" s="369">
        <v>1</v>
      </c>
      <c r="G59" s="324"/>
      <c r="H59" s="377"/>
    </row>
    <row r="60" spans="1:8" x14ac:dyDescent="0.35">
      <c r="A60" s="302" t="s">
        <v>834</v>
      </c>
      <c r="B60" s="265" t="s">
        <v>1568</v>
      </c>
      <c r="C60" s="315"/>
      <c r="D60" s="265"/>
      <c r="E60" s="265">
        <v>55719</v>
      </c>
      <c r="F60" s="369">
        <v>1</v>
      </c>
      <c r="G60" s="324"/>
      <c r="H60" s="377"/>
    </row>
    <row r="61" spans="1:8" x14ac:dyDescent="0.35">
      <c r="A61" s="302" t="s">
        <v>1069</v>
      </c>
      <c r="B61" s="265" t="s">
        <v>1569</v>
      </c>
      <c r="C61" s="315"/>
      <c r="D61" s="265"/>
      <c r="E61" s="265">
        <v>55719</v>
      </c>
      <c r="F61" s="369">
        <v>1</v>
      </c>
      <c r="G61" s="324"/>
      <c r="H61" s="377"/>
    </row>
    <row r="62" spans="1:8" x14ac:dyDescent="0.35">
      <c r="A62" s="302" t="s">
        <v>888</v>
      </c>
      <c r="B62" s="265" t="s">
        <v>2</v>
      </c>
      <c r="C62" s="315"/>
      <c r="D62" s="265"/>
      <c r="E62" s="265">
        <v>55719</v>
      </c>
      <c r="F62" s="369">
        <v>2</v>
      </c>
      <c r="G62" s="324"/>
      <c r="H62" s="377"/>
    </row>
    <row r="63" spans="1:8" x14ac:dyDescent="0.35">
      <c r="A63" s="302" t="s">
        <v>974</v>
      </c>
      <c r="B63" s="265" t="s">
        <v>590</v>
      </c>
      <c r="C63" s="315"/>
      <c r="D63" s="265"/>
      <c r="E63" s="265">
        <v>55719</v>
      </c>
      <c r="F63" s="369">
        <v>1</v>
      </c>
      <c r="G63" s="324"/>
      <c r="H63" s="377"/>
    </row>
    <row r="64" spans="1:8" x14ac:dyDescent="0.35">
      <c r="A64" s="302" t="s">
        <v>977</v>
      </c>
      <c r="B64" s="265" t="s">
        <v>505</v>
      </c>
      <c r="C64" s="315"/>
      <c r="D64" s="265"/>
      <c r="E64" s="265">
        <v>55719</v>
      </c>
      <c r="F64" s="369">
        <v>1</v>
      </c>
      <c r="G64" s="324"/>
      <c r="H64" s="377"/>
    </row>
    <row r="65" spans="1:8" x14ac:dyDescent="0.35">
      <c r="A65" s="302" t="s">
        <v>969</v>
      </c>
      <c r="B65" s="265" t="s">
        <v>503</v>
      </c>
      <c r="C65" s="315"/>
      <c r="D65" s="265"/>
      <c r="E65" s="265">
        <v>55719</v>
      </c>
      <c r="F65" s="369">
        <v>1</v>
      </c>
      <c r="G65" s="324"/>
      <c r="H65" s="377"/>
    </row>
    <row r="66" spans="1:8" x14ac:dyDescent="0.35">
      <c r="A66" s="302" t="s">
        <v>1033</v>
      </c>
      <c r="B66" s="265" t="s">
        <v>504</v>
      </c>
      <c r="C66" s="315"/>
      <c r="D66" s="265"/>
      <c r="E66" s="265">
        <v>55719</v>
      </c>
      <c r="F66" s="369">
        <v>1</v>
      </c>
      <c r="G66" s="324"/>
      <c r="H66" s="377"/>
    </row>
    <row r="67" spans="1:8" x14ac:dyDescent="0.35">
      <c r="A67" s="302" t="s">
        <v>1032</v>
      </c>
      <c r="B67" s="265" t="s">
        <v>502</v>
      </c>
      <c r="C67" s="315"/>
      <c r="D67" s="265"/>
      <c r="E67" s="265">
        <v>55719</v>
      </c>
      <c r="F67" s="369">
        <v>1</v>
      </c>
      <c r="G67" s="324"/>
      <c r="H67" s="377"/>
    </row>
    <row r="68" spans="1:8" x14ac:dyDescent="0.35">
      <c r="A68" s="302" t="s">
        <v>889</v>
      </c>
      <c r="B68" s="265" t="s">
        <v>227</v>
      </c>
      <c r="C68" s="315"/>
      <c r="D68" s="265"/>
      <c r="E68" s="265">
        <v>55719</v>
      </c>
      <c r="F68" s="369">
        <v>1</v>
      </c>
      <c r="G68" s="324"/>
      <c r="H68" s="377"/>
    </row>
    <row r="69" spans="1:8" x14ac:dyDescent="0.35">
      <c r="A69" s="302" t="s">
        <v>890</v>
      </c>
      <c r="B69" s="265" t="s">
        <v>228</v>
      </c>
      <c r="C69" s="315"/>
      <c r="D69" s="265"/>
      <c r="E69" s="265">
        <v>55719</v>
      </c>
      <c r="F69" s="369">
        <v>1</v>
      </c>
      <c r="G69" s="324"/>
      <c r="H69" s="377"/>
    </row>
    <row r="70" spans="1:8" x14ac:dyDescent="0.35">
      <c r="A70" s="302" t="s">
        <v>929</v>
      </c>
      <c r="B70" s="265" t="s">
        <v>20</v>
      </c>
      <c r="C70" s="315"/>
      <c r="D70" s="265"/>
      <c r="E70" s="265">
        <v>55719</v>
      </c>
      <c r="F70" s="369">
        <v>1</v>
      </c>
      <c r="G70" s="324"/>
      <c r="H70" s="377"/>
    </row>
    <row r="71" spans="1:8" x14ac:dyDescent="0.35">
      <c r="A71" s="302" t="s">
        <v>1004</v>
      </c>
      <c r="B71" s="265" t="s">
        <v>595</v>
      </c>
      <c r="C71" s="315"/>
      <c r="D71" s="265"/>
      <c r="E71" s="265">
        <v>55719</v>
      </c>
      <c r="F71" s="369">
        <v>1</v>
      </c>
      <c r="G71" s="324"/>
      <c r="H71" s="377"/>
    </row>
    <row r="72" spans="1:8" x14ac:dyDescent="0.35">
      <c r="A72" s="302" t="s">
        <v>38</v>
      </c>
      <c r="B72" s="265" t="s">
        <v>200</v>
      </c>
      <c r="C72" s="315"/>
      <c r="D72" s="265"/>
      <c r="E72" s="265">
        <v>55719</v>
      </c>
      <c r="F72" s="369">
        <v>1</v>
      </c>
      <c r="G72" s="324"/>
      <c r="H72" s="377"/>
    </row>
    <row r="73" spans="1:8" x14ac:dyDescent="0.35">
      <c r="A73" s="302" t="s">
        <v>882</v>
      </c>
      <c r="B73" s="265" t="s">
        <v>419</v>
      </c>
      <c r="C73" s="315"/>
      <c r="D73" s="265"/>
      <c r="E73" s="265">
        <v>55719</v>
      </c>
      <c r="F73" s="369">
        <v>1</v>
      </c>
      <c r="G73" s="324"/>
      <c r="H73" s="377"/>
    </row>
    <row r="74" spans="1:8" x14ac:dyDescent="0.35">
      <c r="A74" s="302" t="s">
        <v>6</v>
      </c>
      <c r="B74" s="265" t="s">
        <v>87</v>
      </c>
      <c r="C74" s="315"/>
      <c r="D74" s="265"/>
      <c r="E74" s="265">
        <v>55719</v>
      </c>
      <c r="F74" s="369">
        <v>2</v>
      </c>
      <c r="G74" s="324"/>
      <c r="H74" s="377"/>
    </row>
    <row r="75" spans="1:8" x14ac:dyDescent="0.35">
      <c r="A75" s="302" t="s">
        <v>1086</v>
      </c>
      <c r="B75" s="265" t="s">
        <v>767</v>
      </c>
      <c r="C75" s="315"/>
      <c r="D75" s="265"/>
      <c r="E75" s="265">
        <v>55719</v>
      </c>
      <c r="F75" s="369">
        <v>1</v>
      </c>
      <c r="G75" s="324"/>
      <c r="H75" s="377"/>
    </row>
    <row r="76" spans="1:8" x14ac:dyDescent="0.35">
      <c r="A76" s="302" t="s">
        <v>1087</v>
      </c>
      <c r="B76" s="265" t="s">
        <v>769</v>
      </c>
      <c r="C76" s="315"/>
      <c r="D76" s="265"/>
      <c r="E76" s="265">
        <v>55719</v>
      </c>
      <c r="F76" s="369">
        <v>1</v>
      </c>
      <c r="G76" s="324"/>
      <c r="H76" s="377"/>
    </row>
    <row r="77" spans="1:8" x14ac:dyDescent="0.35">
      <c r="A77" s="302" t="s">
        <v>174</v>
      </c>
      <c r="B77" s="265" t="s">
        <v>215</v>
      </c>
      <c r="C77" s="315"/>
      <c r="D77" s="265"/>
      <c r="E77" s="265">
        <v>55719</v>
      </c>
      <c r="F77" s="369">
        <v>1</v>
      </c>
      <c r="G77" s="324"/>
      <c r="H77" s="377"/>
    </row>
    <row r="78" spans="1:8" x14ac:dyDescent="0.35">
      <c r="A78" s="302" t="s">
        <v>293</v>
      </c>
      <c r="B78" s="265" t="s">
        <v>42</v>
      </c>
      <c r="C78" s="315"/>
      <c r="D78" s="265"/>
      <c r="E78" s="265">
        <v>55719</v>
      </c>
      <c r="F78" s="369">
        <v>2</v>
      </c>
      <c r="G78" s="324"/>
      <c r="H78" s="377"/>
    </row>
    <row r="79" spans="1:8" x14ac:dyDescent="0.35">
      <c r="A79" s="302" t="s">
        <v>43</v>
      </c>
      <c r="B79" s="265" t="s">
        <v>765</v>
      </c>
      <c r="C79" s="315"/>
      <c r="D79" s="265"/>
      <c r="E79" s="265">
        <v>55719</v>
      </c>
      <c r="F79" s="369">
        <v>1</v>
      </c>
      <c r="G79" s="324"/>
      <c r="H79" s="377"/>
    </row>
    <row r="80" spans="1:8" x14ac:dyDescent="0.35">
      <c r="A80" s="302" t="s">
        <v>1084</v>
      </c>
      <c r="B80" s="265" t="s">
        <v>546</v>
      </c>
      <c r="C80" s="315"/>
      <c r="D80" s="265"/>
      <c r="E80" s="265">
        <v>55719</v>
      </c>
      <c r="F80" s="369">
        <v>2</v>
      </c>
      <c r="G80" s="324"/>
      <c r="H80" s="377"/>
    </row>
    <row r="81" spans="1:8" x14ac:dyDescent="0.35">
      <c r="A81" s="302" t="s">
        <v>1034</v>
      </c>
      <c r="B81" s="265" t="s">
        <v>792</v>
      </c>
      <c r="C81" s="315"/>
      <c r="D81" s="265"/>
      <c r="E81" s="265">
        <v>55719</v>
      </c>
      <c r="F81" s="369">
        <v>1</v>
      </c>
      <c r="G81" s="324"/>
      <c r="H81" s="377"/>
    </row>
    <row r="82" spans="1:8" x14ac:dyDescent="0.35">
      <c r="A82" s="302" t="s">
        <v>3</v>
      </c>
      <c r="B82" s="265" t="s">
        <v>414</v>
      </c>
      <c r="C82" s="315"/>
      <c r="D82" s="265"/>
      <c r="E82" s="265">
        <v>55719</v>
      </c>
      <c r="F82" s="369">
        <v>1</v>
      </c>
      <c r="G82" s="324"/>
      <c r="H82" s="377"/>
    </row>
    <row r="83" spans="1:8" x14ac:dyDescent="0.35">
      <c r="A83" s="302" t="s">
        <v>909</v>
      </c>
      <c r="B83" s="265" t="s">
        <v>108</v>
      </c>
      <c r="C83" s="315"/>
      <c r="D83" s="265"/>
      <c r="E83" s="265">
        <v>55719</v>
      </c>
      <c r="F83" s="369">
        <v>1</v>
      </c>
      <c r="G83" s="324"/>
      <c r="H83" s="377"/>
    </row>
    <row r="84" spans="1:8" x14ac:dyDescent="0.35">
      <c r="A84" s="302" t="s">
        <v>739</v>
      </c>
      <c r="B84" s="265" t="s">
        <v>454</v>
      </c>
      <c r="C84" s="315"/>
      <c r="D84" s="265"/>
      <c r="E84" s="265">
        <v>55719</v>
      </c>
      <c r="F84" s="369">
        <v>1</v>
      </c>
      <c r="G84" s="324"/>
      <c r="H84" s="377"/>
    </row>
    <row r="85" spans="1:8" x14ac:dyDescent="0.35">
      <c r="A85" s="302" t="s">
        <v>31</v>
      </c>
      <c r="B85" s="265" t="s">
        <v>21</v>
      </c>
      <c r="C85" s="315"/>
      <c r="D85" s="265"/>
      <c r="E85" s="265">
        <v>55719</v>
      </c>
      <c r="F85" s="369">
        <v>1</v>
      </c>
      <c r="G85" s="324"/>
      <c r="H85" s="377"/>
    </row>
    <row r="86" spans="1:8" ht="15.75" customHeight="1" x14ac:dyDescent="0.35">
      <c r="A86" s="302" t="s">
        <v>32</v>
      </c>
      <c r="B86" s="265" t="s">
        <v>594</v>
      </c>
      <c r="C86" s="315"/>
      <c r="D86" s="265"/>
      <c r="E86" s="265">
        <v>55719</v>
      </c>
      <c r="F86" s="369">
        <v>1</v>
      </c>
      <c r="G86" s="324"/>
      <c r="H86" s="377"/>
    </row>
    <row r="87" spans="1:8" x14ac:dyDescent="0.35">
      <c r="A87" s="302" t="s">
        <v>52</v>
      </c>
      <c r="B87" s="265" t="s">
        <v>2445</v>
      </c>
      <c r="C87" s="315"/>
      <c r="D87" s="265"/>
      <c r="E87" s="265">
        <v>55719</v>
      </c>
      <c r="F87" s="369">
        <v>1</v>
      </c>
      <c r="G87" s="324"/>
      <c r="H87" s="377"/>
    </row>
    <row r="88" spans="1:8" x14ac:dyDescent="0.35">
      <c r="A88" s="302" t="s">
        <v>2594</v>
      </c>
      <c r="B88" s="265" t="s">
        <v>757</v>
      </c>
      <c r="C88" s="315"/>
      <c r="D88" s="265"/>
      <c r="E88" s="265">
        <v>55719</v>
      </c>
      <c r="F88" s="369">
        <v>1</v>
      </c>
      <c r="G88" s="324"/>
      <c r="H88" s="377"/>
    </row>
    <row r="89" spans="1:8" x14ac:dyDescent="0.35">
      <c r="A89" s="302" t="s">
        <v>981</v>
      </c>
      <c r="B89" s="265" t="s">
        <v>1681</v>
      </c>
      <c r="C89" s="315"/>
      <c r="D89" s="265"/>
      <c r="E89" s="265">
        <v>55719</v>
      </c>
      <c r="F89" s="369">
        <v>1</v>
      </c>
      <c r="G89" s="324"/>
      <c r="H89" s="377"/>
    </row>
    <row r="90" spans="1:8" x14ac:dyDescent="0.35">
      <c r="A90" s="302" t="s">
        <v>1082</v>
      </c>
      <c r="B90" s="265" t="s">
        <v>274</v>
      </c>
      <c r="C90" s="315"/>
      <c r="D90" s="265"/>
      <c r="E90" s="265">
        <v>55719</v>
      </c>
      <c r="F90" s="369">
        <v>1</v>
      </c>
      <c r="G90" s="324"/>
      <c r="H90" s="377"/>
    </row>
    <row r="91" spans="1:8" x14ac:dyDescent="0.35">
      <c r="A91" s="302" t="s">
        <v>1081</v>
      </c>
      <c r="B91" s="265" t="s">
        <v>276</v>
      </c>
      <c r="C91" s="315"/>
      <c r="D91" s="265"/>
      <c r="E91" s="265">
        <v>55719</v>
      </c>
      <c r="F91" s="369">
        <v>1</v>
      </c>
      <c r="G91" s="324"/>
      <c r="H91" s="377"/>
    </row>
    <row r="92" spans="1:8" x14ac:dyDescent="0.35">
      <c r="A92" s="302" t="s">
        <v>1760</v>
      </c>
      <c r="B92" s="265" t="s">
        <v>311</v>
      </c>
      <c r="C92" s="315"/>
      <c r="D92" s="265"/>
      <c r="E92" s="265">
        <v>55719</v>
      </c>
      <c r="F92" s="369">
        <v>1</v>
      </c>
      <c r="G92" s="324"/>
      <c r="H92" s="377"/>
    </row>
    <row r="93" spans="1:8" x14ac:dyDescent="0.35">
      <c r="A93" s="302" t="s">
        <v>1017</v>
      </c>
      <c r="B93" s="265" t="s">
        <v>275</v>
      </c>
      <c r="C93" s="315"/>
      <c r="D93" s="265"/>
      <c r="E93" s="265">
        <v>55719</v>
      </c>
      <c r="F93" s="369">
        <v>1</v>
      </c>
      <c r="G93" s="324"/>
      <c r="H93" s="377"/>
    </row>
    <row r="94" spans="1:8" x14ac:dyDescent="0.35">
      <c r="A94" s="302" t="s">
        <v>1011</v>
      </c>
      <c r="B94" s="265" t="s">
        <v>282</v>
      </c>
      <c r="C94" s="315"/>
      <c r="D94" s="265"/>
      <c r="E94" s="265">
        <v>55719</v>
      </c>
      <c r="F94" s="369">
        <v>1</v>
      </c>
      <c r="G94" s="324"/>
      <c r="H94" s="377"/>
    </row>
    <row r="95" spans="1:8" x14ac:dyDescent="0.35">
      <c r="A95" s="302" t="s">
        <v>1018</v>
      </c>
      <c r="B95" s="265" t="s">
        <v>493</v>
      </c>
      <c r="C95" s="315"/>
      <c r="D95" s="265"/>
      <c r="E95" s="265">
        <v>55719</v>
      </c>
      <c r="F95" s="369">
        <v>1</v>
      </c>
      <c r="G95" s="324"/>
      <c r="H95" s="377"/>
    </row>
    <row r="96" spans="1:8" x14ac:dyDescent="0.35">
      <c r="A96" s="302" t="s">
        <v>1013</v>
      </c>
      <c r="B96" s="265" t="s">
        <v>283</v>
      </c>
      <c r="C96" s="315"/>
      <c r="D96" s="265"/>
      <c r="E96" s="265">
        <v>55719</v>
      </c>
      <c r="F96" s="369">
        <v>1</v>
      </c>
      <c r="G96" s="324"/>
      <c r="H96" s="377"/>
    </row>
    <row r="97" spans="1:8" x14ac:dyDescent="0.35">
      <c r="A97" s="302" t="s">
        <v>2588</v>
      </c>
      <c r="B97" s="265" t="s">
        <v>273</v>
      </c>
      <c r="C97" s="315"/>
      <c r="D97" s="265"/>
      <c r="E97" s="265">
        <v>55719</v>
      </c>
      <c r="F97" s="369">
        <v>1</v>
      </c>
      <c r="G97" s="324"/>
      <c r="H97" s="377"/>
    </row>
    <row r="98" spans="1:8" x14ac:dyDescent="0.35">
      <c r="A98" s="302" t="s">
        <v>1007</v>
      </c>
      <c r="B98" s="265" t="s">
        <v>313</v>
      </c>
      <c r="C98" s="315"/>
      <c r="D98" s="265"/>
      <c r="E98" s="265">
        <v>55719</v>
      </c>
      <c r="F98" s="369">
        <v>1</v>
      </c>
      <c r="G98" s="324"/>
      <c r="H98" s="377"/>
    </row>
    <row r="99" spans="1:8" x14ac:dyDescent="0.35">
      <c r="A99" s="302" t="s">
        <v>2589</v>
      </c>
      <c r="B99" s="265" t="s">
        <v>599</v>
      </c>
      <c r="C99" s="315"/>
      <c r="D99" s="265"/>
      <c r="E99" s="265">
        <v>55719</v>
      </c>
      <c r="F99" s="369">
        <v>1</v>
      </c>
      <c r="G99" s="324"/>
      <c r="H99" s="377"/>
    </row>
    <row r="100" spans="1:8" x14ac:dyDescent="0.35">
      <c r="A100" s="302" t="s">
        <v>1014</v>
      </c>
      <c r="B100" s="265" t="s">
        <v>314</v>
      </c>
      <c r="C100" s="315"/>
      <c r="D100" s="265"/>
      <c r="E100" s="265">
        <v>55719</v>
      </c>
      <c r="F100" s="369">
        <v>1</v>
      </c>
      <c r="G100" s="324"/>
      <c r="H100" s="377"/>
    </row>
    <row r="101" spans="1:8" x14ac:dyDescent="0.35">
      <c r="A101" s="302" t="s">
        <v>1083</v>
      </c>
      <c r="B101" s="265" t="s">
        <v>491</v>
      </c>
      <c r="C101" s="315"/>
      <c r="D101" s="265"/>
      <c r="E101" s="265">
        <v>55719</v>
      </c>
      <c r="F101" s="369">
        <v>1</v>
      </c>
      <c r="G101" s="324"/>
      <c r="H101" s="377"/>
    </row>
    <row r="102" spans="1:8" x14ac:dyDescent="0.35">
      <c r="A102" s="302" t="s">
        <v>1012</v>
      </c>
      <c r="B102" s="265" t="s">
        <v>285</v>
      </c>
      <c r="C102" s="315"/>
      <c r="D102" s="265"/>
      <c r="E102" s="265">
        <v>55719</v>
      </c>
      <c r="F102" s="369">
        <v>1</v>
      </c>
      <c r="G102" s="324"/>
      <c r="H102" s="377"/>
    </row>
    <row r="103" spans="1:8" x14ac:dyDescent="0.35">
      <c r="A103" s="302" t="s">
        <v>1008</v>
      </c>
      <c r="B103" s="265" t="s">
        <v>173</v>
      </c>
      <c r="C103" s="315"/>
      <c r="D103" s="265"/>
      <c r="E103" s="265">
        <v>55719</v>
      </c>
      <c r="F103" s="369">
        <v>1</v>
      </c>
      <c r="G103" s="324"/>
      <c r="H103" s="377"/>
    </row>
    <row r="104" spans="1:8" x14ac:dyDescent="0.35">
      <c r="A104" s="302" t="s">
        <v>899</v>
      </c>
      <c r="B104" s="265" t="s">
        <v>281</v>
      </c>
      <c r="C104" s="315"/>
      <c r="D104" s="265"/>
      <c r="E104" s="265">
        <v>55719</v>
      </c>
      <c r="F104" s="369">
        <v>1</v>
      </c>
      <c r="G104" s="324"/>
      <c r="H104" s="377"/>
    </row>
    <row r="105" spans="1:8" x14ac:dyDescent="0.35">
      <c r="A105" s="302" t="s">
        <v>1759</v>
      </c>
      <c r="B105" s="265" t="s">
        <v>280</v>
      </c>
      <c r="C105" s="315"/>
      <c r="D105" s="265"/>
      <c r="E105" s="265">
        <v>55719</v>
      </c>
      <c r="F105" s="369">
        <v>1</v>
      </c>
      <c r="G105" s="324"/>
      <c r="H105" s="377"/>
    </row>
    <row r="106" spans="1:8" x14ac:dyDescent="0.35">
      <c r="A106" s="302" t="s">
        <v>2334</v>
      </c>
      <c r="B106" s="265" t="s">
        <v>284</v>
      </c>
      <c r="C106" s="315"/>
      <c r="D106" s="265"/>
      <c r="E106" s="265">
        <v>55719</v>
      </c>
      <c r="F106" s="369">
        <v>1</v>
      </c>
      <c r="G106" s="324"/>
      <c r="H106" s="377"/>
    </row>
    <row r="107" spans="1:8" x14ac:dyDescent="0.35">
      <c r="A107" s="302" t="s">
        <v>1010</v>
      </c>
      <c r="B107" s="265" t="s">
        <v>114</v>
      </c>
      <c r="C107" s="315"/>
      <c r="D107" s="265"/>
      <c r="E107" s="265">
        <v>55719</v>
      </c>
      <c r="F107" s="369">
        <v>1</v>
      </c>
      <c r="G107" s="324"/>
      <c r="H107" s="377"/>
    </row>
    <row r="108" spans="1:8" x14ac:dyDescent="0.35">
      <c r="A108" s="302" t="s">
        <v>1762</v>
      </c>
      <c r="B108" s="265" t="s">
        <v>113</v>
      </c>
      <c r="C108" s="315"/>
      <c r="D108" s="265"/>
      <c r="E108" s="265">
        <v>55719</v>
      </c>
      <c r="F108" s="369">
        <v>1</v>
      </c>
      <c r="G108" s="324"/>
      <c r="H108" s="377"/>
    </row>
    <row r="109" spans="1:8" x14ac:dyDescent="0.35">
      <c r="A109" s="302" t="s">
        <v>898</v>
      </c>
      <c r="B109" s="265" t="s">
        <v>277</v>
      </c>
      <c r="C109" s="315"/>
      <c r="D109" s="265"/>
      <c r="E109" s="265">
        <v>55719</v>
      </c>
      <c r="F109" s="369">
        <v>1</v>
      </c>
      <c r="G109" s="324"/>
      <c r="H109" s="377"/>
    </row>
    <row r="110" spans="1:8" x14ac:dyDescent="0.35">
      <c r="A110" s="302" t="s">
        <v>146</v>
      </c>
      <c r="B110" s="265" t="s">
        <v>278</v>
      </c>
      <c r="C110" s="315"/>
      <c r="D110" s="265"/>
      <c r="E110" s="265">
        <v>55719</v>
      </c>
      <c r="F110" s="369">
        <v>1</v>
      </c>
      <c r="G110" s="324"/>
      <c r="H110" s="377"/>
    </row>
    <row r="111" spans="1:8" x14ac:dyDescent="0.35">
      <c r="A111" s="302" t="s">
        <v>1009</v>
      </c>
      <c r="B111" s="265" t="s">
        <v>320</v>
      </c>
      <c r="C111" s="315"/>
      <c r="D111" s="265"/>
      <c r="E111" s="265">
        <v>55719</v>
      </c>
      <c r="F111" s="369">
        <v>1</v>
      </c>
      <c r="G111" s="324"/>
      <c r="H111" s="377"/>
    </row>
    <row r="112" spans="1:8" x14ac:dyDescent="0.35">
      <c r="A112" s="302" t="s">
        <v>2344</v>
      </c>
      <c r="B112" s="265" t="s">
        <v>279</v>
      </c>
      <c r="C112" s="315"/>
      <c r="D112" s="265"/>
      <c r="E112" s="265">
        <v>55719</v>
      </c>
      <c r="F112" s="369">
        <v>1</v>
      </c>
      <c r="G112" s="324"/>
      <c r="H112" s="377"/>
    </row>
    <row r="113" spans="1:8" x14ac:dyDescent="0.35">
      <c r="A113" s="302" t="s">
        <v>731</v>
      </c>
      <c r="B113" s="265" t="s">
        <v>492</v>
      </c>
      <c r="C113" s="315"/>
      <c r="D113" s="265"/>
      <c r="E113" s="265">
        <v>55719</v>
      </c>
      <c r="F113" s="369">
        <v>1</v>
      </c>
      <c r="G113" s="324"/>
      <c r="H113" s="377"/>
    </row>
    <row r="114" spans="1:8" x14ac:dyDescent="0.35">
      <c r="A114" s="302" t="s">
        <v>1030</v>
      </c>
      <c r="B114" s="265" t="s">
        <v>306</v>
      </c>
      <c r="C114" s="315"/>
      <c r="D114" s="265"/>
      <c r="E114" s="265">
        <v>55719</v>
      </c>
      <c r="F114" s="369">
        <v>1</v>
      </c>
      <c r="G114" s="324"/>
      <c r="H114" s="377"/>
    </row>
    <row r="115" spans="1:8" x14ac:dyDescent="0.35">
      <c r="A115" s="302" t="s">
        <v>1016</v>
      </c>
      <c r="B115" s="265" t="s">
        <v>310</v>
      </c>
      <c r="C115" s="315"/>
      <c r="D115" s="265"/>
      <c r="E115" s="265">
        <v>55719</v>
      </c>
      <c r="F115" s="369">
        <v>1</v>
      </c>
      <c r="G115" s="324"/>
      <c r="H115" s="377"/>
    </row>
    <row r="116" spans="1:8" x14ac:dyDescent="0.35">
      <c r="A116" s="302" t="s">
        <v>1015</v>
      </c>
      <c r="B116" s="265" t="s">
        <v>296</v>
      </c>
      <c r="C116" s="315"/>
      <c r="D116" s="265"/>
      <c r="E116" s="265">
        <v>55719</v>
      </c>
      <c r="F116" s="369">
        <v>2</v>
      </c>
      <c r="G116" s="324"/>
      <c r="H116" s="377"/>
    </row>
    <row r="117" spans="1:8" x14ac:dyDescent="0.35">
      <c r="A117" s="302" t="s">
        <v>900</v>
      </c>
      <c r="B117" s="265" t="s">
        <v>301</v>
      </c>
      <c r="C117" s="315"/>
      <c r="D117" s="265"/>
      <c r="E117" s="265">
        <v>55719</v>
      </c>
      <c r="F117" s="369">
        <v>2</v>
      </c>
      <c r="G117" s="324"/>
      <c r="H117" s="377"/>
    </row>
    <row r="118" spans="1:8" x14ac:dyDescent="0.35">
      <c r="A118" s="302" t="s">
        <v>922</v>
      </c>
      <c r="B118" s="265" t="s">
        <v>302</v>
      </c>
      <c r="C118" s="315"/>
      <c r="D118" s="265"/>
      <c r="E118" s="265">
        <v>55719</v>
      </c>
      <c r="F118" s="369">
        <v>2</v>
      </c>
      <c r="G118" s="324"/>
      <c r="H118" s="377"/>
    </row>
    <row r="119" spans="1:8" x14ac:dyDescent="0.35">
      <c r="A119" s="302" t="s">
        <v>1039</v>
      </c>
      <c r="B119" s="265" t="s">
        <v>753</v>
      </c>
      <c r="C119" s="315"/>
      <c r="D119" s="265"/>
      <c r="E119" s="265">
        <v>55719</v>
      </c>
      <c r="F119" s="369">
        <v>1</v>
      </c>
      <c r="G119" s="324"/>
      <c r="H119" s="377"/>
    </row>
    <row r="120" spans="1:8" x14ac:dyDescent="0.35">
      <c r="A120" s="302" t="s">
        <v>1038</v>
      </c>
      <c r="B120" s="265" t="s">
        <v>18</v>
      </c>
      <c r="C120" s="315"/>
      <c r="D120" s="265"/>
      <c r="E120" s="265">
        <v>55719</v>
      </c>
      <c r="F120" s="369">
        <v>1</v>
      </c>
      <c r="G120" s="324"/>
      <c r="H120" s="377"/>
    </row>
    <row r="121" spans="1:8" x14ac:dyDescent="0.35">
      <c r="A121" s="302" t="s">
        <v>886</v>
      </c>
      <c r="B121" s="265" t="s">
        <v>647</v>
      </c>
      <c r="C121" s="315"/>
      <c r="D121" s="265"/>
      <c r="E121" s="265">
        <v>55719</v>
      </c>
      <c r="F121" s="369">
        <v>1</v>
      </c>
      <c r="G121" s="324"/>
      <c r="H121" s="377"/>
    </row>
    <row r="122" spans="1:8" x14ac:dyDescent="0.35">
      <c r="A122" s="302" t="s">
        <v>1383</v>
      </c>
      <c r="B122" s="265" t="s">
        <v>243</v>
      </c>
      <c r="C122" s="315"/>
      <c r="D122" s="265"/>
      <c r="E122" s="265">
        <v>55719</v>
      </c>
      <c r="F122" s="369">
        <v>1</v>
      </c>
      <c r="G122" s="324"/>
      <c r="H122" s="377"/>
    </row>
    <row r="123" spans="1:8" x14ac:dyDescent="0.35">
      <c r="A123" s="302" t="s">
        <v>885</v>
      </c>
      <c r="B123" s="265" t="s">
        <v>229</v>
      </c>
      <c r="C123" s="315"/>
      <c r="D123" s="265"/>
      <c r="E123" s="265">
        <v>55719</v>
      </c>
      <c r="F123" s="369">
        <v>1</v>
      </c>
      <c r="G123" s="324"/>
      <c r="H123" s="377"/>
    </row>
    <row r="124" spans="1:8" x14ac:dyDescent="0.35">
      <c r="A124" s="302" t="s">
        <v>2549</v>
      </c>
      <c r="B124" s="265" t="s">
        <v>112</v>
      </c>
      <c r="C124" s="315"/>
      <c r="D124" s="265"/>
      <c r="E124" s="265">
        <v>55719</v>
      </c>
      <c r="F124" s="369">
        <v>1</v>
      </c>
      <c r="G124" s="324"/>
      <c r="H124" s="377"/>
    </row>
    <row r="125" spans="1:8" x14ac:dyDescent="0.35">
      <c r="A125" s="302" t="s">
        <v>2548</v>
      </c>
      <c r="B125" s="265" t="s">
        <v>208</v>
      </c>
      <c r="C125" s="315"/>
      <c r="D125" s="265"/>
      <c r="E125" s="265">
        <v>55719</v>
      </c>
      <c r="F125" s="369">
        <v>1</v>
      </c>
      <c r="G125" s="324"/>
      <c r="H125" s="377"/>
    </row>
    <row r="126" spans="1:8" x14ac:dyDescent="0.35">
      <c r="A126" s="302" t="s">
        <v>2546</v>
      </c>
      <c r="B126" s="265" t="s">
        <v>209</v>
      </c>
      <c r="C126" s="315"/>
      <c r="D126" s="265"/>
      <c r="E126" s="265">
        <v>55719</v>
      </c>
      <c r="F126" s="369">
        <v>1</v>
      </c>
      <c r="G126" s="324"/>
      <c r="H126" s="377"/>
    </row>
    <row r="127" spans="1:8" x14ac:dyDescent="0.35">
      <c r="A127" s="302" t="s">
        <v>2547</v>
      </c>
      <c r="B127" s="265" t="s">
        <v>210</v>
      </c>
      <c r="C127" s="315"/>
      <c r="D127" s="265"/>
      <c r="E127" s="265">
        <v>55719</v>
      </c>
      <c r="F127" s="369">
        <v>1</v>
      </c>
      <c r="G127" s="324"/>
      <c r="H127" s="377"/>
    </row>
    <row r="128" spans="1:8" x14ac:dyDescent="0.35">
      <c r="A128" s="302" t="s">
        <v>2544</v>
      </c>
      <c r="B128" s="265" t="s">
        <v>40</v>
      </c>
      <c r="C128" s="315"/>
      <c r="D128" s="265"/>
      <c r="E128" s="265">
        <v>55719</v>
      </c>
      <c r="F128" s="369">
        <v>1</v>
      </c>
      <c r="G128" s="324"/>
      <c r="H128" s="377"/>
    </row>
    <row r="129" spans="1:8" x14ac:dyDescent="0.35">
      <c r="A129" s="302" t="s">
        <v>2543</v>
      </c>
      <c r="B129" s="265" t="s">
        <v>39</v>
      </c>
      <c r="C129" s="315"/>
      <c r="D129" s="265"/>
      <c r="E129" s="265">
        <v>55719</v>
      </c>
      <c r="F129" s="369">
        <v>1</v>
      </c>
      <c r="G129" s="324"/>
      <c r="H129" s="377"/>
    </row>
    <row r="130" spans="1:8" x14ac:dyDescent="0.35">
      <c r="A130" s="302" t="s">
        <v>2545</v>
      </c>
      <c r="B130" s="265" t="s">
        <v>41</v>
      </c>
      <c r="C130" s="315"/>
      <c r="D130" s="265"/>
      <c r="E130" s="265">
        <v>55719</v>
      </c>
      <c r="F130" s="369">
        <v>1</v>
      </c>
      <c r="G130" s="324"/>
      <c r="H130" s="377"/>
    </row>
    <row r="131" spans="1:8" x14ac:dyDescent="0.35">
      <c r="A131" s="302" t="s">
        <v>2542</v>
      </c>
      <c r="B131" s="265" t="s">
        <v>292</v>
      </c>
      <c r="C131" s="315"/>
      <c r="D131" s="265"/>
      <c r="E131" s="265">
        <v>55719</v>
      </c>
      <c r="F131" s="369">
        <v>1</v>
      </c>
      <c r="G131" s="324"/>
      <c r="H131" s="377"/>
    </row>
    <row r="132" spans="1:8" x14ac:dyDescent="0.35">
      <c r="A132" s="302" t="s">
        <v>102</v>
      </c>
      <c r="B132" s="265" t="s">
        <v>500</v>
      </c>
      <c r="C132" s="315"/>
      <c r="D132" s="265"/>
      <c r="E132" s="265">
        <v>55719</v>
      </c>
      <c r="F132" s="369">
        <v>1</v>
      </c>
      <c r="G132" s="324"/>
      <c r="H132" s="377"/>
    </row>
    <row r="133" spans="1:8" x14ac:dyDescent="0.35">
      <c r="A133" s="302" t="s">
        <v>1036</v>
      </c>
      <c r="B133" s="265" t="s">
        <v>423</v>
      </c>
      <c r="C133" s="315"/>
      <c r="D133" s="265"/>
      <c r="E133" s="265">
        <v>55719</v>
      </c>
      <c r="F133" s="369">
        <v>1</v>
      </c>
      <c r="G133" s="324"/>
      <c r="H133" s="377"/>
    </row>
    <row r="134" spans="1:8" x14ac:dyDescent="0.35">
      <c r="A134" s="302" t="s">
        <v>869</v>
      </c>
      <c r="B134" s="265" t="s">
        <v>353</v>
      </c>
      <c r="C134" s="315"/>
      <c r="D134" s="265"/>
      <c r="E134" s="265">
        <v>55719</v>
      </c>
      <c r="F134" s="369">
        <v>1</v>
      </c>
      <c r="G134" s="324"/>
      <c r="H134" s="377"/>
    </row>
    <row r="135" spans="1:8" x14ac:dyDescent="0.35">
      <c r="A135" s="302" t="s">
        <v>957</v>
      </c>
      <c r="B135" s="265" t="s">
        <v>103</v>
      </c>
      <c r="C135" s="315"/>
      <c r="D135" s="265"/>
      <c r="E135" s="265">
        <v>55719</v>
      </c>
      <c r="F135" s="369">
        <v>1</v>
      </c>
      <c r="G135" s="324"/>
      <c r="H135" s="377"/>
    </row>
    <row r="136" spans="1:8" x14ac:dyDescent="0.35">
      <c r="A136" s="302" t="s">
        <v>958</v>
      </c>
      <c r="B136" s="265" t="s">
        <v>352</v>
      </c>
      <c r="C136" s="315"/>
      <c r="D136" s="265"/>
      <c r="E136" s="265">
        <v>55719</v>
      </c>
      <c r="F136" s="369">
        <v>1</v>
      </c>
      <c r="G136" s="324"/>
      <c r="H136" s="377"/>
    </row>
    <row r="137" spans="1:8" x14ac:dyDescent="0.35">
      <c r="A137" s="302" t="s">
        <v>959</v>
      </c>
      <c r="B137" s="265" t="s">
        <v>529</v>
      </c>
      <c r="C137" s="315"/>
      <c r="D137" s="265"/>
      <c r="E137" s="265">
        <v>55719</v>
      </c>
      <c r="F137" s="369">
        <v>1</v>
      </c>
      <c r="G137" s="324"/>
      <c r="H137" s="377"/>
    </row>
    <row r="138" spans="1:8" x14ac:dyDescent="0.35">
      <c r="A138" s="302" t="s">
        <v>960</v>
      </c>
      <c r="B138" s="265" t="s">
        <v>354</v>
      </c>
      <c r="C138" s="315"/>
      <c r="D138" s="265"/>
      <c r="E138" s="265">
        <v>55719</v>
      </c>
      <c r="F138" s="369">
        <v>1</v>
      </c>
      <c r="G138" s="324"/>
      <c r="H138" s="377"/>
    </row>
    <row r="139" spans="1:8" x14ac:dyDescent="0.35">
      <c r="A139" s="302" t="s">
        <v>962</v>
      </c>
      <c r="B139" s="265" t="s">
        <v>589</v>
      </c>
      <c r="C139" s="315"/>
      <c r="D139" s="265"/>
      <c r="E139" s="265">
        <v>55719</v>
      </c>
      <c r="F139" s="369">
        <v>1</v>
      </c>
      <c r="G139" s="324"/>
      <c r="H139" s="377"/>
    </row>
    <row r="140" spans="1:8" x14ac:dyDescent="0.35">
      <c r="A140" s="302" t="s">
        <v>961</v>
      </c>
      <c r="B140" s="265" t="s">
        <v>588</v>
      </c>
      <c r="C140" s="315"/>
      <c r="D140" s="265"/>
      <c r="E140" s="265">
        <v>55719</v>
      </c>
      <c r="F140" s="369">
        <v>1</v>
      </c>
      <c r="G140" s="324"/>
      <c r="H140" s="377"/>
    </row>
    <row r="141" spans="1:8" x14ac:dyDescent="0.35">
      <c r="A141" s="302" t="s">
        <v>1382</v>
      </c>
      <c r="B141" s="265" t="s">
        <v>592</v>
      </c>
      <c r="C141" s="315"/>
      <c r="D141" s="265"/>
      <c r="E141" s="265">
        <v>55719</v>
      </c>
      <c r="F141" s="369">
        <v>1</v>
      </c>
      <c r="G141" s="324"/>
      <c r="H141" s="377"/>
    </row>
    <row r="142" spans="1:8" x14ac:dyDescent="0.35">
      <c r="A142" s="302" t="s">
        <v>953</v>
      </c>
      <c r="B142" s="265" t="s">
        <v>238</v>
      </c>
      <c r="C142" s="315"/>
      <c r="D142" s="265"/>
      <c r="E142" s="265">
        <v>55719</v>
      </c>
      <c r="F142" s="369">
        <v>1</v>
      </c>
      <c r="G142" s="324"/>
      <c r="H142" s="377"/>
    </row>
    <row r="143" spans="1:8" x14ac:dyDescent="0.35">
      <c r="A143" s="302" t="s">
        <v>954</v>
      </c>
      <c r="B143" s="265" t="s">
        <v>239</v>
      </c>
      <c r="C143" s="315"/>
      <c r="D143" s="265"/>
      <c r="E143" s="265">
        <v>55719</v>
      </c>
      <c r="F143" s="369">
        <v>2</v>
      </c>
      <c r="G143" s="324"/>
      <c r="H143" s="377"/>
    </row>
    <row r="144" spans="1:8" x14ac:dyDescent="0.35">
      <c r="A144" s="302" t="s">
        <v>1031</v>
      </c>
      <c r="B144" s="265" t="s">
        <v>240</v>
      </c>
      <c r="C144" s="315"/>
      <c r="D144" s="265"/>
      <c r="E144" s="265">
        <v>55719</v>
      </c>
      <c r="F144" s="369">
        <v>1</v>
      </c>
      <c r="G144" s="324"/>
      <c r="H144" s="377"/>
    </row>
    <row r="145" spans="1:8" x14ac:dyDescent="0.35">
      <c r="A145" s="302" t="s">
        <v>1583</v>
      </c>
      <c r="B145" s="265" t="s">
        <v>223</v>
      </c>
      <c r="C145" s="315"/>
      <c r="D145" s="265"/>
      <c r="E145" s="265">
        <v>55719</v>
      </c>
      <c r="F145" s="369">
        <v>1</v>
      </c>
      <c r="G145" s="324"/>
      <c r="H145" s="377"/>
    </row>
    <row r="146" spans="1:8" x14ac:dyDescent="0.35">
      <c r="A146" s="302" t="s">
        <v>1584</v>
      </c>
      <c r="B146" s="265" t="s">
        <v>221</v>
      </c>
      <c r="C146" s="315"/>
      <c r="D146" s="265"/>
      <c r="E146" s="265">
        <v>55719</v>
      </c>
      <c r="F146" s="369">
        <v>1</v>
      </c>
      <c r="G146" s="324"/>
      <c r="H146" s="377"/>
    </row>
    <row r="147" spans="1:8" x14ac:dyDescent="0.35">
      <c r="A147" s="302" t="s">
        <v>1585</v>
      </c>
      <c r="B147" s="265" t="s">
        <v>225</v>
      </c>
      <c r="C147" s="315"/>
      <c r="D147" s="265"/>
      <c r="E147" s="265">
        <v>55719</v>
      </c>
      <c r="F147" s="369">
        <v>1</v>
      </c>
      <c r="G147" s="324"/>
      <c r="H147" s="377"/>
    </row>
    <row r="148" spans="1:8" x14ac:dyDescent="0.35">
      <c r="A148" s="302" t="s">
        <v>1586</v>
      </c>
      <c r="B148" s="265" t="s">
        <v>219</v>
      </c>
      <c r="C148" s="315"/>
      <c r="D148" s="265"/>
      <c r="E148" s="265">
        <v>55719</v>
      </c>
      <c r="F148" s="369">
        <v>1</v>
      </c>
      <c r="G148" s="324"/>
      <c r="H148" s="377"/>
    </row>
    <row r="149" spans="1:8" x14ac:dyDescent="0.35">
      <c r="A149" s="302" t="s">
        <v>1587</v>
      </c>
      <c r="B149" s="265" t="s">
        <v>226</v>
      </c>
      <c r="C149" s="315"/>
      <c r="D149" s="265"/>
      <c r="E149" s="265">
        <v>55719</v>
      </c>
      <c r="F149" s="369">
        <v>1</v>
      </c>
      <c r="G149" s="324"/>
      <c r="H149" s="377"/>
    </row>
    <row r="150" spans="1:8" x14ac:dyDescent="0.35">
      <c r="A150" s="302" t="s">
        <v>1588</v>
      </c>
      <c r="B150" s="265" t="s">
        <v>222</v>
      </c>
      <c r="C150" s="315"/>
      <c r="D150" s="265"/>
      <c r="E150" s="265">
        <v>55719</v>
      </c>
      <c r="F150" s="369">
        <v>1</v>
      </c>
      <c r="G150" s="324"/>
      <c r="H150" s="377"/>
    </row>
    <row r="151" spans="1:8" x14ac:dyDescent="0.35">
      <c r="A151" s="302" t="s">
        <v>1589</v>
      </c>
      <c r="B151" s="265" t="s">
        <v>220</v>
      </c>
      <c r="C151" s="315"/>
      <c r="D151" s="265"/>
      <c r="E151" s="265">
        <v>55719</v>
      </c>
      <c r="F151" s="369">
        <v>1</v>
      </c>
      <c r="G151" s="324"/>
      <c r="H151" s="377"/>
    </row>
    <row r="152" spans="1:8" x14ac:dyDescent="0.35">
      <c r="A152" s="302" t="s">
        <v>1590</v>
      </c>
      <c r="B152" s="265" t="s">
        <v>224</v>
      </c>
      <c r="C152" s="315"/>
      <c r="D152" s="265"/>
      <c r="E152" s="265">
        <v>55719</v>
      </c>
      <c r="F152" s="369">
        <v>1</v>
      </c>
      <c r="G152" s="324"/>
      <c r="H152" s="377"/>
    </row>
    <row r="153" spans="1:8" x14ac:dyDescent="0.35">
      <c r="A153" s="302" t="s">
        <v>1591</v>
      </c>
      <c r="B153" s="265" t="s">
        <v>218</v>
      </c>
      <c r="C153" s="315"/>
      <c r="D153" s="265"/>
      <c r="E153" s="265">
        <v>55719</v>
      </c>
      <c r="F153" s="369">
        <v>1</v>
      </c>
      <c r="G153" s="324"/>
      <c r="H153" s="377"/>
    </row>
    <row r="154" spans="1:8" x14ac:dyDescent="0.35">
      <c r="A154" s="302" t="s">
        <v>27</v>
      </c>
      <c r="B154" s="265" t="s">
        <v>199</v>
      </c>
      <c r="C154" s="315"/>
      <c r="D154" s="265"/>
      <c r="E154" s="265">
        <v>55719</v>
      </c>
      <c r="F154" s="369">
        <v>1</v>
      </c>
      <c r="G154" s="324"/>
      <c r="H154" s="377"/>
    </row>
    <row r="155" spans="1:8" x14ac:dyDescent="0.35">
      <c r="A155" s="302" t="s">
        <v>25</v>
      </c>
      <c r="B155" s="265" t="s">
        <v>436</v>
      </c>
      <c r="C155" s="315"/>
      <c r="D155" s="265"/>
      <c r="E155" s="265">
        <v>55719</v>
      </c>
      <c r="F155" s="369">
        <v>1</v>
      </c>
      <c r="G155" s="324"/>
      <c r="H155" s="377"/>
    </row>
    <row r="156" spans="1:8" x14ac:dyDescent="0.35">
      <c r="A156" s="302" t="s">
        <v>22</v>
      </c>
      <c r="B156" s="265" t="s">
        <v>245</v>
      </c>
      <c r="C156" s="315"/>
      <c r="D156" s="265"/>
      <c r="E156" s="265">
        <v>55719</v>
      </c>
      <c r="F156" s="369">
        <v>1</v>
      </c>
      <c r="G156" s="324"/>
      <c r="H156" s="377"/>
    </row>
    <row r="157" spans="1:8" x14ac:dyDescent="0.35">
      <c r="A157" s="302" t="s">
        <v>24</v>
      </c>
      <c r="B157" s="265" t="s">
        <v>255</v>
      </c>
      <c r="C157" s="315"/>
      <c r="D157" s="265"/>
      <c r="E157" s="265">
        <v>55719</v>
      </c>
      <c r="F157" s="369">
        <v>1</v>
      </c>
      <c r="G157" s="324"/>
      <c r="H157" s="377"/>
    </row>
    <row r="158" spans="1:8" x14ac:dyDescent="0.35">
      <c r="A158" s="302" t="s">
        <v>1049</v>
      </c>
      <c r="B158" s="265" t="s">
        <v>110</v>
      </c>
      <c r="C158" s="315"/>
      <c r="D158" s="265"/>
      <c r="E158" s="265">
        <v>55719</v>
      </c>
      <c r="F158" s="369">
        <v>1</v>
      </c>
      <c r="G158" s="324"/>
      <c r="H158" s="377"/>
    </row>
    <row r="159" spans="1:8" x14ac:dyDescent="0.35">
      <c r="A159" s="302" t="s">
        <v>26</v>
      </c>
      <c r="B159" s="265" t="s">
        <v>257</v>
      </c>
      <c r="C159" s="315"/>
      <c r="D159" s="265"/>
      <c r="E159" s="265">
        <v>55719</v>
      </c>
      <c r="F159" s="369">
        <v>1</v>
      </c>
      <c r="G159" s="324"/>
      <c r="H159" s="377"/>
    </row>
    <row r="160" spans="1:8" x14ac:dyDescent="0.35">
      <c r="A160" s="302" t="s">
        <v>23</v>
      </c>
      <c r="B160" s="265" t="s">
        <v>252</v>
      </c>
      <c r="C160" s="315"/>
      <c r="D160" s="265"/>
      <c r="E160" s="265">
        <v>55719</v>
      </c>
      <c r="F160" s="369">
        <v>1</v>
      </c>
      <c r="G160" s="324"/>
      <c r="H160" s="377"/>
    </row>
    <row r="161" spans="1:8" x14ac:dyDescent="0.35">
      <c r="A161" s="302" t="s">
        <v>1075</v>
      </c>
      <c r="B161" s="265" t="s">
        <v>411</v>
      </c>
      <c r="C161" s="315"/>
      <c r="D161" s="265"/>
      <c r="E161" s="265">
        <v>55719</v>
      </c>
      <c r="F161" s="369">
        <v>1</v>
      </c>
      <c r="G161" s="324"/>
      <c r="H161" s="377"/>
    </row>
    <row r="162" spans="1:8" x14ac:dyDescent="0.35">
      <c r="A162" s="302" t="s">
        <v>1077</v>
      </c>
      <c r="B162" s="265" t="s">
        <v>266</v>
      </c>
      <c r="C162" s="315"/>
      <c r="D162" s="265"/>
      <c r="E162" s="265">
        <v>55719</v>
      </c>
      <c r="F162" s="369">
        <v>1</v>
      </c>
      <c r="G162" s="324"/>
      <c r="H162" s="377"/>
    </row>
    <row r="163" spans="1:8" x14ac:dyDescent="0.35">
      <c r="A163" s="302" t="s">
        <v>1070</v>
      </c>
      <c r="B163" s="265" t="s">
        <v>582</v>
      </c>
      <c r="C163" s="315"/>
      <c r="D163" s="265"/>
      <c r="E163" s="265">
        <v>55719</v>
      </c>
      <c r="F163" s="369">
        <v>1</v>
      </c>
      <c r="G163" s="324"/>
      <c r="H163" s="377"/>
    </row>
    <row r="164" spans="1:8" x14ac:dyDescent="0.35">
      <c r="A164" s="302" t="s">
        <v>1078</v>
      </c>
      <c r="B164" s="265" t="s">
        <v>270</v>
      </c>
      <c r="C164" s="315"/>
      <c r="D164" s="265"/>
      <c r="E164" s="265">
        <v>55719</v>
      </c>
      <c r="F164" s="369">
        <v>1</v>
      </c>
      <c r="G164" s="324"/>
      <c r="H164" s="377"/>
    </row>
    <row r="165" spans="1:8" x14ac:dyDescent="0.35">
      <c r="A165" s="302" t="s">
        <v>1076</v>
      </c>
      <c r="B165" s="265" t="s">
        <v>77</v>
      </c>
      <c r="C165" s="315"/>
      <c r="D165" s="265"/>
      <c r="E165" s="265">
        <v>55719</v>
      </c>
      <c r="F165" s="369">
        <v>1</v>
      </c>
      <c r="G165" s="324"/>
      <c r="H165" s="377"/>
    </row>
    <row r="166" spans="1:8" x14ac:dyDescent="0.35">
      <c r="A166" s="302" t="s">
        <v>1072</v>
      </c>
      <c r="B166" s="265" t="s">
        <v>395</v>
      </c>
      <c r="C166" s="315"/>
      <c r="D166" s="265"/>
      <c r="E166" s="265">
        <v>55719</v>
      </c>
      <c r="F166" s="369">
        <v>1</v>
      </c>
      <c r="G166" s="324"/>
      <c r="H166" s="377"/>
    </row>
    <row r="167" spans="1:8" x14ac:dyDescent="0.35">
      <c r="A167" s="302" t="s">
        <v>1003</v>
      </c>
      <c r="B167" s="265" t="s">
        <v>265</v>
      </c>
      <c r="C167" s="315"/>
      <c r="D167" s="265"/>
      <c r="E167" s="265">
        <v>55719</v>
      </c>
      <c r="F167" s="369">
        <v>1</v>
      </c>
      <c r="G167" s="324"/>
      <c r="H167" s="377"/>
    </row>
    <row r="168" spans="1:8" x14ac:dyDescent="0.35">
      <c r="A168" s="302" t="s">
        <v>1073</v>
      </c>
      <c r="B168" s="265" t="s">
        <v>396</v>
      </c>
      <c r="C168" s="315"/>
      <c r="D168" s="265"/>
      <c r="E168" s="265">
        <v>55719</v>
      </c>
      <c r="F168" s="369">
        <v>1</v>
      </c>
      <c r="G168" s="324"/>
      <c r="H168" s="377"/>
    </row>
    <row r="169" spans="1:8" x14ac:dyDescent="0.35">
      <c r="A169" s="302" t="s">
        <v>1001</v>
      </c>
      <c r="B169" s="265" t="s">
        <v>268</v>
      </c>
      <c r="C169" s="315"/>
      <c r="D169" s="265"/>
      <c r="E169" s="265">
        <v>55719</v>
      </c>
      <c r="F169" s="369">
        <v>1</v>
      </c>
      <c r="G169" s="324"/>
      <c r="H169" s="377"/>
    </row>
    <row r="170" spans="1:8" x14ac:dyDescent="0.35">
      <c r="A170" s="302" t="s">
        <v>1074</v>
      </c>
      <c r="B170" s="265" t="s">
        <v>397</v>
      </c>
      <c r="C170" s="315"/>
      <c r="D170" s="265"/>
      <c r="E170" s="265">
        <v>55719</v>
      </c>
      <c r="F170" s="369">
        <v>1</v>
      </c>
      <c r="G170" s="324"/>
      <c r="H170" s="377"/>
    </row>
    <row r="171" spans="1:8" x14ac:dyDescent="0.35">
      <c r="A171" s="302" t="s">
        <v>1071</v>
      </c>
      <c r="B171" s="265" t="s">
        <v>394</v>
      </c>
      <c r="C171" s="315"/>
      <c r="D171" s="265"/>
      <c r="E171" s="265">
        <v>55719</v>
      </c>
      <c r="F171" s="369">
        <v>1</v>
      </c>
      <c r="G171" s="324"/>
      <c r="H171" s="377"/>
    </row>
    <row r="172" spans="1:8" x14ac:dyDescent="0.35">
      <c r="A172" s="302" t="s">
        <v>887</v>
      </c>
      <c r="B172" s="265" t="s">
        <v>405</v>
      </c>
      <c r="C172" s="315"/>
      <c r="D172" s="265"/>
      <c r="E172" s="265">
        <v>55719</v>
      </c>
      <c r="F172" s="369">
        <v>1</v>
      </c>
      <c r="G172" s="324"/>
      <c r="H172" s="377"/>
    </row>
    <row r="173" spans="1:8" x14ac:dyDescent="0.35">
      <c r="A173" s="302" t="s">
        <v>992</v>
      </c>
      <c r="B173" s="265" t="s">
        <v>527</v>
      </c>
      <c r="C173" s="315"/>
      <c r="D173" s="265"/>
      <c r="E173" s="265">
        <v>55719</v>
      </c>
      <c r="F173" s="369">
        <v>1</v>
      </c>
      <c r="G173" s="324"/>
      <c r="H173" s="377"/>
    </row>
    <row r="174" spans="1:8" x14ac:dyDescent="0.35">
      <c r="A174" s="302" t="s">
        <v>983</v>
      </c>
      <c r="B174" s="265" t="s">
        <v>337</v>
      </c>
      <c r="C174" s="315"/>
      <c r="D174" s="265"/>
      <c r="E174" s="265">
        <v>55719</v>
      </c>
      <c r="F174" s="369">
        <v>1</v>
      </c>
      <c r="G174" s="324"/>
      <c r="H174" s="377"/>
    </row>
    <row r="175" spans="1:8" x14ac:dyDescent="0.35">
      <c r="A175" s="302" t="s">
        <v>1243</v>
      </c>
      <c r="B175" s="265" t="s">
        <v>407</v>
      </c>
      <c r="C175" s="315"/>
      <c r="D175" s="265"/>
      <c r="E175" s="265">
        <v>55719</v>
      </c>
      <c r="F175" s="369">
        <v>1</v>
      </c>
      <c r="G175" s="324"/>
      <c r="H175" s="377"/>
    </row>
    <row r="176" spans="1:8" x14ac:dyDescent="0.35">
      <c r="A176" s="302" t="s">
        <v>1244</v>
      </c>
      <c r="B176" s="265" t="s">
        <v>773</v>
      </c>
      <c r="C176" s="315"/>
      <c r="D176" s="265"/>
      <c r="E176" s="265">
        <v>55719</v>
      </c>
      <c r="F176" s="369">
        <v>1</v>
      </c>
      <c r="G176" s="324"/>
      <c r="H176" s="377"/>
    </row>
    <row r="177" spans="1:8" x14ac:dyDescent="0.35">
      <c r="A177" s="302" t="s">
        <v>1067</v>
      </c>
      <c r="B177" s="265" t="s">
        <v>260</v>
      </c>
      <c r="C177" s="315"/>
      <c r="D177" s="265"/>
      <c r="E177" s="265">
        <v>55719</v>
      </c>
      <c r="F177" s="369">
        <v>1</v>
      </c>
      <c r="G177" s="324"/>
      <c r="H177" s="377"/>
    </row>
    <row r="178" spans="1:8" x14ac:dyDescent="0.35">
      <c r="A178" s="302" t="s">
        <v>999</v>
      </c>
      <c r="B178" s="265" t="s">
        <v>393</v>
      </c>
      <c r="C178" s="315"/>
      <c r="D178" s="265"/>
      <c r="E178" s="265">
        <v>55719</v>
      </c>
      <c r="F178" s="369">
        <v>1</v>
      </c>
      <c r="G178" s="324"/>
      <c r="H178" s="377"/>
    </row>
    <row r="179" spans="1:8" x14ac:dyDescent="0.35">
      <c r="A179" s="302" t="s">
        <v>1000</v>
      </c>
      <c r="B179" s="265" t="s">
        <v>295</v>
      </c>
      <c r="C179" s="315"/>
      <c r="D179" s="265"/>
      <c r="E179" s="265">
        <v>55719</v>
      </c>
      <c r="F179" s="369">
        <v>1</v>
      </c>
      <c r="G179" s="324"/>
      <c r="H179" s="377"/>
    </row>
    <row r="180" spans="1:8" x14ac:dyDescent="0.35">
      <c r="A180" s="302" t="s">
        <v>1066</v>
      </c>
      <c r="B180" s="265" t="s">
        <v>70</v>
      </c>
      <c r="C180" s="315"/>
      <c r="D180" s="265"/>
      <c r="E180" s="265">
        <v>55719</v>
      </c>
      <c r="F180" s="369">
        <v>1</v>
      </c>
      <c r="G180" s="324"/>
      <c r="H180" s="377"/>
    </row>
    <row r="181" spans="1:8" x14ac:dyDescent="0.35">
      <c r="A181" s="302" t="s">
        <v>1068</v>
      </c>
      <c r="B181" s="265" t="s">
        <v>262</v>
      </c>
      <c r="C181" s="315"/>
      <c r="D181" s="265"/>
      <c r="E181" s="265">
        <v>55719</v>
      </c>
      <c r="F181" s="369">
        <v>1</v>
      </c>
      <c r="G181" s="324"/>
      <c r="H181" s="377"/>
    </row>
    <row r="182" spans="1:8" x14ac:dyDescent="0.35">
      <c r="A182" s="302" t="s">
        <v>1065</v>
      </c>
      <c r="B182" s="265" t="s">
        <v>259</v>
      </c>
      <c r="C182" s="315"/>
      <c r="D182" s="265"/>
      <c r="E182" s="265">
        <v>55719</v>
      </c>
      <c r="F182" s="369">
        <v>1</v>
      </c>
      <c r="G182" s="324"/>
      <c r="H182" s="377"/>
    </row>
    <row r="183" spans="1:8" x14ac:dyDescent="0.35">
      <c r="A183" s="302" t="s">
        <v>1045</v>
      </c>
      <c r="B183" s="265" t="s">
        <v>246</v>
      </c>
      <c r="C183" s="315"/>
      <c r="D183" s="265"/>
      <c r="E183" s="265">
        <v>55719</v>
      </c>
      <c r="F183" s="369">
        <v>1</v>
      </c>
      <c r="G183" s="324"/>
      <c r="H183" s="377"/>
    </row>
    <row r="184" spans="1:8" x14ac:dyDescent="0.35">
      <c r="A184" s="302" t="s">
        <v>1054</v>
      </c>
      <c r="B184" s="265" t="s">
        <v>258</v>
      </c>
      <c r="C184" s="315"/>
      <c r="D184" s="265"/>
      <c r="E184" s="265">
        <v>55719</v>
      </c>
      <c r="F184" s="369">
        <v>1</v>
      </c>
      <c r="G184" s="324"/>
      <c r="H184" s="377"/>
    </row>
    <row r="185" spans="1:8" x14ac:dyDescent="0.35">
      <c r="A185" s="302" t="s">
        <v>1052</v>
      </c>
      <c r="B185" s="265" t="s">
        <v>256</v>
      </c>
      <c r="C185" s="315"/>
      <c r="D185" s="265"/>
      <c r="E185" s="265">
        <v>55719</v>
      </c>
      <c r="F185" s="369">
        <v>1</v>
      </c>
      <c r="G185" s="324"/>
      <c r="H185" s="377"/>
    </row>
    <row r="186" spans="1:8" x14ac:dyDescent="0.35">
      <c r="A186" s="302" t="s">
        <v>1047</v>
      </c>
      <c r="B186" s="265" t="s">
        <v>248</v>
      </c>
      <c r="C186" s="315"/>
      <c r="D186" s="265"/>
      <c r="E186" s="265">
        <v>55719</v>
      </c>
      <c r="F186" s="369">
        <v>1</v>
      </c>
      <c r="G186" s="324"/>
      <c r="H186" s="377"/>
    </row>
    <row r="187" spans="1:8" x14ac:dyDescent="0.35">
      <c r="A187" s="302" t="s">
        <v>1051</v>
      </c>
      <c r="B187" s="265" t="s">
        <v>254</v>
      </c>
      <c r="C187" s="315"/>
      <c r="D187" s="265"/>
      <c r="E187" s="265">
        <v>55719</v>
      </c>
      <c r="F187" s="369">
        <v>1</v>
      </c>
      <c r="G187" s="324"/>
      <c r="H187" s="377"/>
    </row>
    <row r="188" spans="1:8" x14ac:dyDescent="0.35">
      <c r="A188" s="302" t="s">
        <v>1048</v>
      </c>
      <c r="B188" s="265" t="s">
        <v>250</v>
      </c>
      <c r="C188" s="315"/>
      <c r="D188" s="265"/>
      <c r="E188" s="265">
        <v>55719</v>
      </c>
      <c r="F188" s="369">
        <v>1</v>
      </c>
      <c r="G188" s="324"/>
      <c r="H188" s="377"/>
    </row>
    <row r="189" spans="1:8" x14ac:dyDescent="0.35">
      <c r="A189" s="302" t="s">
        <v>1053</v>
      </c>
      <c r="B189" s="265" t="s">
        <v>437</v>
      </c>
      <c r="C189" s="315"/>
      <c r="D189" s="265"/>
      <c r="E189" s="265">
        <v>55719</v>
      </c>
      <c r="F189" s="369">
        <v>1</v>
      </c>
      <c r="G189" s="324"/>
      <c r="H189" s="377"/>
    </row>
    <row r="190" spans="1:8" x14ac:dyDescent="0.35">
      <c r="A190" s="302" t="s">
        <v>1050</v>
      </c>
      <c r="B190" s="265" t="s">
        <v>471</v>
      </c>
      <c r="C190" s="315"/>
      <c r="D190" s="265"/>
      <c r="E190" s="265">
        <v>55719</v>
      </c>
      <c r="F190" s="369">
        <v>1</v>
      </c>
      <c r="G190" s="324"/>
      <c r="H190" s="377"/>
    </row>
    <row r="191" spans="1:8" x14ac:dyDescent="0.35">
      <c r="A191" s="302" t="s">
        <v>79</v>
      </c>
      <c r="B191" s="265" t="s">
        <v>247</v>
      </c>
      <c r="C191" s="315"/>
      <c r="D191" s="265"/>
      <c r="E191" s="265">
        <v>55719</v>
      </c>
      <c r="F191" s="369">
        <v>1</v>
      </c>
      <c r="G191" s="324"/>
      <c r="H191" s="377"/>
    </row>
    <row r="192" spans="1:8" x14ac:dyDescent="0.35">
      <c r="A192" s="302" t="s">
        <v>1046</v>
      </c>
      <c r="B192" s="265" t="s">
        <v>203</v>
      </c>
      <c r="C192" s="315"/>
      <c r="D192" s="265"/>
      <c r="E192" s="265">
        <v>55719</v>
      </c>
      <c r="F192" s="369">
        <v>1</v>
      </c>
      <c r="G192" s="324"/>
      <c r="H192" s="377"/>
    </row>
    <row r="193" spans="1:8" x14ac:dyDescent="0.35">
      <c r="A193" s="302" t="s">
        <v>993</v>
      </c>
      <c r="B193" s="265" t="s">
        <v>249</v>
      </c>
      <c r="C193" s="315"/>
      <c r="D193" s="265"/>
      <c r="E193" s="265">
        <v>55719</v>
      </c>
      <c r="F193" s="369">
        <v>1</v>
      </c>
      <c r="G193" s="324"/>
      <c r="H193" s="377"/>
    </row>
    <row r="194" spans="1:8" x14ac:dyDescent="0.35">
      <c r="A194" s="302" t="s">
        <v>994</v>
      </c>
      <c r="B194" s="265" t="s">
        <v>389</v>
      </c>
      <c r="C194" s="315"/>
      <c r="D194" s="265"/>
      <c r="E194" s="265">
        <v>55719</v>
      </c>
      <c r="F194" s="369">
        <v>1</v>
      </c>
      <c r="G194" s="324"/>
      <c r="H194" s="377"/>
    </row>
    <row r="195" spans="1:8" x14ac:dyDescent="0.35">
      <c r="A195" s="302" t="s">
        <v>81</v>
      </c>
      <c r="B195" s="265" t="s">
        <v>109</v>
      </c>
      <c r="C195" s="315"/>
      <c r="D195" s="265"/>
      <c r="E195" s="265">
        <v>55719</v>
      </c>
      <c r="F195" s="369">
        <v>1</v>
      </c>
      <c r="G195" s="324"/>
      <c r="H195" s="377"/>
    </row>
    <row r="196" spans="1:8" x14ac:dyDescent="0.35">
      <c r="A196" s="302" t="s">
        <v>996</v>
      </c>
      <c r="B196" s="265" t="s">
        <v>253</v>
      </c>
      <c r="C196" s="315"/>
      <c r="D196" s="265"/>
      <c r="E196" s="265">
        <v>55719</v>
      </c>
      <c r="F196" s="369">
        <v>1</v>
      </c>
      <c r="G196" s="324"/>
      <c r="H196" s="377"/>
    </row>
    <row r="197" spans="1:8" x14ac:dyDescent="0.35">
      <c r="A197" s="302" t="s">
        <v>995</v>
      </c>
      <c r="B197" s="265" t="s">
        <v>251</v>
      </c>
      <c r="C197" s="315"/>
      <c r="D197" s="265"/>
      <c r="E197" s="265">
        <v>55719</v>
      </c>
      <c r="F197" s="369">
        <v>1</v>
      </c>
      <c r="G197" s="324"/>
      <c r="H197" s="377"/>
    </row>
    <row r="198" spans="1:8" x14ac:dyDescent="0.35">
      <c r="A198" s="302" t="s">
        <v>8</v>
      </c>
      <c r="B198" s="265" t="s">
        <v>211</v>
      </c>
      <c r="C198" s="315"/>
      <c r="D198" s="265"/>
      <c r="E198" s="265">
        <v>55719</v>
      </c>
      <c r="F198" s="369">
        <v>1</v>
      </c>
      <c r="G198" s="324"/>
      <c r="H198" s="377"/>
    </row>
    <row r="199" spans="1:8" x14ac:dyDescent="0.35">
      <c r="A199" s="302" t="s">
        <v>978</v>
      </c>
      <c r="B199" s="265" t="s">
        <v>234</v>
      </c>
      <c r="C199" s="315"/>
      <c r="D199" s="265"/>
      <c r="E199" s="265">
        <v>55719</v>
      </c>
      <c r="F199" s="369">
        <v>1</v>
      </c>
      <c r="G199" s="324"/>
      <c r="H199" s="377"/>
    </row>
    <row r="200" spans="1:8" x14ac:dyDescent="0.35">
      <c r="A200" s="302" t="s">
        <v>9</v>
      </c>
      <c r="B200" s="265" t="s">
        <v>329</v>
      </c>
      <c r="C200" s="315"/>
      <c r="D200" s="265"/>
      <c r="E200" s="265">
        <v>55719</v>
      </c>
      <c r="F200" s="369">
        <v>1</v>
      </c>
      <c r="G200" s="324"/>
      <c r="H200" s="377"/>
    </row>
    <row r="201" spans="1:8" x14ac:dyDescent="0.35">
      <c r="A201" s="302" t="s">
        <v>29</v>
      </c>
      <c r="B201" s="265" t="s">
        <v>1564</v>
      </c>
      <c r="C201" s="315"/>
      <c r="D201" s="265"/>
      <c r="E201" s="265">
        <v>55719</v>
      </c>
      <c r="F201" s="369">
        <v>2</v>
      </c>
      <c r="G201" s="324"/>
      <c r="H201" s="377"/>
    </row>
    <row r="202" spans="1:8" x14ac:dyDescent="0.35">
      <c r="A202" s="302" t="s">
        <v>28</v>
      </c>
      <c r="B202" s="265" t="s">
        <v>2242</v>
      </c>
      <c r="C202" s="315"/>
      <c r="D202" s="265"/>
      <c r="E202" s="265">
        <v>55719</v>
      </c>
      <c r="F202" s="369">
        <v>1</v>
      </c>
      <c r="G202" s="324"/>
      <c r="H202" s="377"/>
    </row>
    <row r="203" spans="1:8" x14ac:dyDescent="0.35">
      <c r="A203" s="302" t="s">
        <v>833</v>
      </c>
      <c r="B203" s="265" t="s">
        <v>244</v>
      </c>
      <c r="C203" s="315"/>
      <c r="D203" s="265"/>
      <c r="E203" s="265">
        <v>55719</v>
      </c>
      <c r="F203" s="369">
        <v>1</v>
      </c>
      <c r="G203" s="324"/>
      <c r="H203" s="377"/>
    </row>
    <row r="204" spans="1:8" x14ac:dyDescent="0.35">
      <c r="A204" s="302" t="s">
        <v>1064</v>
      </c>
      <c r="B204" s="265" t="s">
        <v>1576</v>
      </c>
      <c r="C204" s="315"/>
      <c r="D204" s="265"/>
      <c r="E204" s="265">
        <v>55719</v>
      </c>
      <c r="F204" s="369">
        <v>1</v>
      </c>
      <c r="G204" s="324"/>
      <c r="H204" s="377"/>
    </row>
    <row r="205" spans="1:8" x14ac:dyDescent="0.35">
      <c r="A205" s="302" t="s">
        <v>1058</v>
      </c>
      <c r="B205" s="265" t="s">
        <v>1563</v>
      </c>
      <c r="C205" s="315"/>
      <c r="D205" s="265"/>
      <c r="E205" s="265">
        <v>55719</v>
      </c>
      <c r="F205" s="369">
        <v>1</v>
      </c>
      <c r="G205" s="324"/>
      <c r="H205" s="377"/>
    </row>
    <row r="206" spans="1:8" x14ac:dyDescent="0.35">
      <c r="A206" s="302" t="s">
        <v>998</v>
      </c>
      <c r="B206" s="265" t="s">
        <v>596</v>
      </c>
      <c r="C206" s="315"/>
      <c r="D206" s="265"/>
      <c r="E206" s="265">
        <v>55719</v>
      </c>
      <c r="F206" s="369">
        <v>1</v>
      </c>
      <c r="G206" s="324"/>
      <c r="H206" s="377"/>
    </row>
    <row r="207" spans="1:8" x14ac:dyDescent="0.35">
      <c r="A207" s="302" t="s">
        <v>294</v>
      </c>
      <c r="B207" s="265" t="s">
        <v>593</v>
      </c>
      <c r="C207" s="315"/>
      <c r="D207" s="265"/>
      <c r="E207" s="265">
        <v>55719</v>
      </c>
      <c r="F207" s="369">
        <v>1</v>
      </c>
      <c r="G207" s="324"/>
      <c r="H207" s="377"/>
    </row>
    <row r="208" spans="1:8" x14ac:dyDescent="0.35">
      <c r="A208" s="302" t="s">
        <v>1055</v>
      </c>
      <c r="B208" s="265" t="s">
        <v>531</v>
      </c>
      <c r="C208" s="315"/>
      <c r="D208" s="265"/>
      <c r="E208" s="265">
        <v>55719</v>
      </c>
      <c r="F208" s="369">
        <v>1</v>
      </c>
      <c r="G208" s="324"/>
      <c r="H208" s="377"/>
    </row>
    <row r="209" spans="1:8" x14ac:dyDescent="0.35">
      <c r="A209" s="302" t="s">
        <v>891</v>
      </c>
      <c r="B209" s="265" t="s">
        <v>30</v>
      </c>
      <c r="C209" s="315"/>
      <c r="D209" s="265"/>
      <c r="E209" s="265">
        <v>55719</v>
      </c>
      <c r="F209" s="369">
        <v>1</v>
      </c>
      <c r="G209" s="324"/>
      <c r="H209" s="377"/>
    </row>
    <row r="210" spans="1:8" x14ac:dyDescent="0.35">
      <c r="A210" s="302" t="s">
        <v>1061</v>
      </c>
      <c r="B210" s="265" t="s">
        <v>73</v>
      </c>
      <c r="C210" s="315"/>
      <c r="D210" s="265"/>
      <c r="E210" s="265">
        <v>55719</v>
      </c>
      <c r="F210" s="369">
        <v>1</v>
      </c>
      <c r="G210" s="324"/>
      <c r="H210" s="377"/>
    </row>
    <row r="211" spans="1:8" x14ac:dyDescent="0.35">
      <c r="A211" s="302" t="s">
        <v>1060</v>
      </c>
      <c r="B211" s="265" t="s">
        <v>74</v>
      </c>
      <c r="C211" s="315"/>
      <c r="D211" s="265"/>
      <c r="E211" s="265">
        <v>55719</v>
      </c>
      <c r="F211" s="369">
        <v>1</v>
      </c>
      <c r="G211" s="324"/>
      <c r="H211" s="377"/>
    </row>
    <row r="212" spans="1:8" x14ac:dyDescent="0.35">
      <c r="A212" s="302" t="s">
        <v>1062</v>
      </c>
      <c r="B212" s="265" t="s">
        <v>261</v>
      </c>
      <c r="C212" s="315"/>
      <c r="D212" s="265"/>
      <c r="E212" s="265">
        <v>55719</v>
      </c>
      <c r="F212" s="369">
        <v>1</v>
      </c>
      <c r="G212" s="324"/>
      <c r="H212" s="377"/>
    </row>
    <row r="213" spans="1:8" x14ac:dyDescent="0.35">
      <c r="A213" s="302" t="s">
        <v>997</v>
      </c>
      <c r="B213" s="265" t="s">
        <v>388</v>
      </c>
      <c r="C213" s="315"/>
      <c r="D213" s="265"/>
      <c r="E213" s="265">
        <v>55719</v>
      </c>
      <c r="F213" s="369">
        <v>1</v>
      </c>
      <c r="G213" s="324"/>
      <c r="H213" s="377"/>
    </row>
    <row r="214" spans="1:8" x14ac:dyDescent="0.35">
      <c r="A214" s="302" t="s">
        <v>1059</v>
      </c>
      <c r="B214" s="265" t="s">
        <v>69</v>
      </c>
      <c r="C214" s="315"/>
      <c r="D214" s="265"/>
      <c r="E214" s="265">
        <v>55719</v>
      </c>
      <c r="F214" s="369">
        <v>1</v>
      </c>
      <c r="G214" s="324"/>
      <c r="H214" s="377"/>
    </row>
    <row r="215" spans="1:8" x14ac:dyDescent="0.35">
      <c r="A215" s="302" t="s">
        <v>1063</v>
      </c>
      <c r="B215" s="265" t="s">
        <v>71</v>
      </c>
      <c r="C215" s="315"/>
      <c r="D215" s="265"/>
      <c r="E215" s="265">
        <v>55719</v>
      </c>
      <c r="F215" s="369">
        <v>1</v>
      </c>
      <c r="G215" s="324"/>
      <c r="H215" s="377"/>
    </row>
    <row r="216" spans="1:8" x14ac:dyDescent="0.35">
      <c r="A216" s="302" t="s">
        <v>1057</v>
      </c>
      <c r="B216" s="265" t="s">
        <v>72</v>
      </c>
      <c r="C216" s="315"/>
      <c r="D216" s="265"/>
      <c r="E216" s="265">
        <v>55719</v>
      </c>
      <c r="F216" s="369">
        <v>1</v>
      </c>
      <c r="G216" s="324"/>
      <c r="H216" s="377"/>
    </row>
    <row r="217" spans="1:8" x14ac:dyDescent="0.35">
      <c r="A217" s="302" t="s">
        <v>1056</v>
      </c>
      <c r="B217" s="265" t="s">
        <v>586</v>
      </c>
      <c r="C217" s="315"/>
      <c r="D217" s="265"/>
      <c r="E217" s="265">
        <v>55719</v>
      </c>
      <c r="F217" s="369">
        <v>1</v>
      </c>
      <c r="G217" s="324"/>
      <c r="H217" s="377"/>
    </row>
    <row r="218" spans="1:8" x14ac:dyDescent="0.35">
      <c r="A218" s="302" t="s">
        <v>870</v>
      </c>
      <c r="B218" s="265" t="s">
        <v>416</v>
      </c>
      <c r="C218" s="315"/>
      <c r="D218" s="265"/>
      <c r="E218" s="265">
        <v>55719</v>
      </c>
      <c r="F218" s="369">
        <v>1</v>
      </c>
      <c r="G218" s="324"/>
      <c r="H218" s="377"/>
    </row>
    <row r="219" spans="1:8" x14ac:dyDescent="0.35">
      <c r="A219" s="302" t="s">
        <v>14</v>
      </c>
      <c r="B219" s="265" t="s">
        <v>334</v>
      </c>
      <c r="C219" s="315"/>
      <c r="D219" s="265"/>
      <c r="E219" s="265">
        <v>55719</v>
      </c>
      <c r="F219" s="369">
        <v>1</v>
      </c>
      <c r="G219" s="324"/>
      <c r="H219" s="377"/>
    </row>
    <row r="220" spans="1:8" x14ac:dyDescent="0.35">
      <c r="A220" s="302" t="s">
        <v>347</v>
      </c>
      <c r="B220" s="265" t="s">
        <v>349</v>
      </c>
      <c r="C220" s="315"/>
      <c r="D220" s="265"/>
      <c r="E220" s="265">
        <v>55719</v>
      </c>
      <c r="F220" s="369">
        <v>1</v>
      </c>
      <c r="G220" s="324"/>
      <c r="H220" s="377"/>
    </row>
    <row r="221" spans="1:8" x14ac:dyDescent="0.35">
      <c r="A221" s="302" t="s">
        <v>348</v>
      </c>
      <c r="B221" s="265" t="s">
        <v>351</v>
      </c>
      <c r="C221" s="315"/>
      <c r="D221" s="265"/>
      <c r="E221" s="265">
        <v>55719</v>
      </c>
      <c r="F221" s="369">
        <v>1</v>
      </c>
      <c r="G221" s="324"/>
      <c r="H221" s="377"/>
    </row>
    <row r="222" spans="1:8" x14ac:dyDescent="0.35">
      <c r="A222" s="302" t="s">
        <v>36</v>
      </c>
      <c r="B222" s="265" t="s">
        <v>37</v>
      </c>
      <c r="C222" s="315"/>
      <c r="D222" s="265"/>
      <c r="E222" s="265">
        <v>55719</v>
      </c>
      <c r="F222" s="369">
        <v>1</v>
      </c>
      <c r="G222" s="324"/>
      <c r="H222" s="377"/>
    </row>
    <row r="223" spans="1:8" x14ac:dyDescent="0.35">
      <c r="A223" s="302" t="s">
        <v>1079</v>
      </c>
      <c r="B223" s="265" t="s">
        <v>510</v>
      </c>
      <c r="C223" s="315"/>
      <c r="D223" s="265"/>
      <c r="E223" s="265">
        <v>55719</v>
      </c>
      <c r="F223" s="369">
        <v>1</v>
      </c>
      <c r="G223" s="324"/>
      <c r="H223" s="377"/>
    </row>
    <row r="224" spans="1:8" x14ac:dyDescent="0.35">
      <c r="A224" s="302" t="s">
        <v>105</v>
      </c>
      <c r="B224" s="265" t="s">
        <v>106</v>
      </c>
      <c r="C224" s="315"/>
      <c r="D224" s="265"/>
      <c r="E224" s="265">
        <v>55719</v>
      </c>
      <c r="F224" s="369">
        <v>1</v>
      </c>
      <c r="G224" s="324"/>
      <c r="H224" s="377"/>
    </row>
    <row r="225" spans="1:8" x14ac:dyDescent="0.35">
      <c r="A225" s="302" t="s">
        <v>881</v>
      </c>
      <c r="B225" s="265" t="s">
        <v>417</v>
      </c>
      <c r="C225" s="315"/>
      <c r="D225" s="265"/>
      <c r="E225" s="265">
        <v>55719</v>
      </c>
      <c r="F225" s="369">
        <v>1</v>
      </c>
      <c r="G225" s="324"/>
      <c r="H225" s="377"/>
    </row>
    <row r="226" spans="1:8" x14ac:dyDescent="0.35">
      <c r="A226" s="302" t="s">
        <v>10</v>
      </c>
      <c r="B226" s="265" t="s">
        <v>418</v>
      </c>
      <c r="C226" s="315"/>
      <c r="D226" s="265"/>
      <c r="E226" s="265">
        <v>55719</v>
      </c>
      <c r="F226" s="369">
        <v>1</v>
      </c>
      <c r="G226" s="324"/>
      <c r="H226" s="377"/>
    </row>
    <row r="227" spans="1:8" x14ac:dyDescent="0.35">
      <c r="A227" s="302" t="s">
        <v>979</v>
      </c>
      <c r="B227" s="265" t="s">
        <v>232</v>
      </c>
      <c r="C227" s="315"/>
      <c r="D227" s="265"/>
      <c r="E227" s="265">
        <v>55719</v>
      </c>
      <c r="F227" s="369">
        <v>1</v>
      </c>
      <c r="G227" s="324"/>
      <c r="H227" s="377"/>
    </row>
    <row r="228" spans="1:8" x14ac:dyDescent="0.35">
      <c r="A228" s="302" t="s">
        <v>987</v>
      </c>
      <c r="B228" s="265" t="s">
        <v>237</v>
      </c>
      <c r="C228" s="315"/>
      <c r="D228" s="265"/>
      <c r="E228" s="265">
        <v>55719</v>
      </c>
      <c r="F228" s="369">
        <v>1</v>
      </c>
      <c r="G228" s="324"/>
      <c r="H228" s="377"/>
    </row>
    <row r="229" spans="1:8" x14ac:dyDescent="0.35">
      <c r="A229" s="302" t="s">
        <v>116</v>
      </c>
      <c r="B229" s="265" t="s">
        <v>117</v>
      </c>
      <c r="C229" s="315"/>
      <c r="D229" s="265"/>
      <c r="E229" s="265">
        <v>55719</v>
      </c>
      <c r="F229" s="369">
        <v>1</v>
      </c>
      <c r="G229" s="324"/>
      <c r="H229" s="377"/>
    </row>
    <row r="230" spans="1:8" x14ac:dyDescent="0.35">
      <c r="A230" s="302" t="s">
        <v>119</v>
      </c>
      <c r="B230" s="265" t="s">
        <v>514</v>
      </c>
      <c r="C230" s="315"/>
      <c r="D230" s="265"/>
      <c r="E230" s="265">
        <v>55719</v>
      </c>
      <c r="F230" s="369">
        <v>1</v>
      </c>
      <c r="G230" s="324"/>
      <c r="H230" s="377"/>
    </row>
    <row r="231" spans="1:8" x14ac:dyDescent="0.35">
      <c r="A231" s="302" t="s">
        <v>115</v>
      </c>
      <c r="B231" s="265" t="s">
        <v>511</v>
      </c>
      <c r="C231" s="315"/>
      <c r="D231" s="265"/>
      <c r="E231" s="265">
        <v>55719</v>
      </c>
      <c r="F231" s="369">
        <v>1</v>
      </c>
      <c r="G231" s="324"/>
      <c r="H231" s="377"/>
    </row>
    <row r="232" spans="1:8" x14ac:dyDescent="0.35">
      <c r="A232" s="302" t="s">
        <v>192</v>
      </c>
      <c r="B232" s="265" t="s">
        <v>513</v>
      </c>
      <c r="C232" s="315"/>
      <c r="D232" s="265"/>
      <c r="E232" s="265">
        <v>55719</v>
      </c>
      <c r="F232" s="369">
        <v>1</v>
      </c>
      <c r="G232" s="324"/>
      <c r="H232" s="377"/>
    </row>
    <row r="233" spans="1:8" x14ac:dyDescent="0.35">
      <c r="A233" s="302" t="s">
        <v>118</v>
      </c>
      <c r="B233" s="265" t="s">
        <v>512</v>
      </c>
      <c r="C233" s="315"/>
      <c r="D233" s="265"/>
      <c r="E233" s="265">
        <v>55719</v>
      </c>
      <c r="F233" s="369">
        <v>1</v>
      </c>
      <c r="G233" s="324"/>
      <c r="H233" s="377"/>
    </row>
    <row r="234" spans="1:8" x14ac:dyDescent="0.35">
      <c r="A234" s="302" t="s">
        <v>297</v>
      </c>
      <c r="B234" s="265" t="s">
        <v>191</v>
      </c>
      <c r="C234" s="315"/>
      <c r="D234" s="265"/>
      <c r="E234" s="265">
        <v>55719</v>
      </c>
      <c r="F234" s="369">
        <v>1</v>
      </c>
      <c r="G234" s="324"/>
      <c r="H234" s="377"/>
    </row>
    <row r="235" spans="1:8" x14ac:dyDescent="0.35">
      <c r="A235" s="302" t="s">
        <v>1041</v>
      </c>
      <c r="B235" s="265" t="s">
        <v>241</v>
      </c>
      <c r="C235" s="315"/>
      <c r="D235" s="265"/>
      <c r="E235" s="265">
        <v>55719</v>
      </c>
      <c r="F235" s="369">
        <v>1</v>
      </c>
      <c r="G235" s="324"/>
      <c r="H235" s="377"/>
    </row>
    <row r="236" spans="1:8" x14ac:dyDescent="0.35">
      <c r="A236" s="302" t="s">
        <v>1029</v>
      </c>
      <c r="B236" s="265" t="s">
        <v>845</v>
      </c>
      <c r="C236" s="315"/>
      <c r="D236" s="265"/>
      <c r="E236" s="265">
        <v>55719</v>
      </c>
      <c r="F236" s="369">
        <v>1</v>
      </c>
      <c r="G236" s="324"/>
      <c r="H236" s="377"/>
    </row>
    <row r="237" spans="1:8" x14ac:dyDescent="0.35">
      <c r="A237" s="302" t="s">
        <v>1080</v>
      </c>
      <c r="B237" s="265" t="s">
        <v>598</v>
      </c>
      <c r="C237" s="315"/>
      <c r="D237" s="265"/>
      <c r="E237" s="265">
        <v>55719</v>
      </c>
      <c r="F237" s="369">
        <v>1</v>
      </c>
      <c r="G237" s="324"/>
      <c r="H237" s="377"/>
    </row>
    <row r="238" spans="1:8" x14ac:dyDescent="0.35">
      <c r="A238" s="302" t="s">
        <v>1005</v>
      </c>
      <c r="B238" s="265" t="s">
        <v>597</v>
      </c>
      <c r="C238" s="315"/>
      <c r="D238" s="265"/>
      <c r="E238" s="265">
        <v>55719</v>
      </c>
      <c r="F238" s="369">
        <v>1</v>
      </c>
      <c r="G238" s="324"/>
      <c r="H238" s="377"/>
    </row>
    <row r="239" spans="1:8" x14ac:dyDescent="0.35">
      <c r="A239" s="302" t="s">
        <v>1006</v>
      </c>
      <c r="B239" s="265" t="s">
        <v>111</v>
      </c>
      <c r="C239" s="315"/>
      <c r="D239" s="265"/>
      <c r="E239" s="265">
        <v>55719</v>
      </c>
      <c r="F239" s="369">
        <v>1</v>
      </c>
      <c r="G239" s="324"/>
      <c r="H239" s="377"/>
    </row>
    <row r="240" spans="1:8" x14ac:dyDescent="0.35">
      <c r="A240" s="302" t="s">
        <v>19</v>
      </c>
      <c r="B240" s="265" t="s">
        <v>242</v>
      </c>
      <c r="C240" s="315"/>
      <c r="D240" s="265"/>
      <c r="E240" s="265">
        <v>55719</v>
      </c>
      <c r="F240" s="369">
        <v>2</v>
      </c>
      <c r="G240" s="324"/>
      <c r="H240" s="377"/>
    </row>
    <row r="241" spans="1:8" x14ac:dyDescent="0.35">
      <c r="A241" s="302" t="s">
        <v>13</v>
      </c>
      <c r="B241" s="265" t="s">
        <v>420</v>
      </c>
      <c r="C241" s="315"/>
      <c r="D241" s="265"/>
      <c r="E241" s="265">
        <v>55719</v>
      </c>
      <c r="F241" s="369">
        <v>1</v>
      </c>
      <c r="G241" s="324"/>
      <c r="H241" s="377"/>
    </row>
    <row r="242" spans="1:8" x14ac:dyDescent="0.35">
      <c r="A242" s="302" t="s">
        <v>5</v>
      </c>
      <c r="B242" s="265" t="s">
        <v>415</v>
      </c>
      <c r="C242" s="538"/>
      <c r="D242" s="265"/>
      <c r="E242" s="265">
        <v>55719</v>
      </c>
      <c r="F242" s="369">
        <v>1</v>
      </c>
      <c r="G242" s="324"/>
      <c r="H242" s="377"/>
    </row>
    <row r="243" spans="1:8" x14ac:dyDescent="0.35">
      <c r="A243" s="302" t="s">
        <v>181</v>
      </c>
      <c r="B243" s="265" t="s">
        <v>182</v>
      </c>
      <c r="C243" s="315"/>
      <c r="D243" s="265"/>
      <c r="E243" s="265">
        <v>55719</v>
      </c>
      <c r="F243" s="369">
        <v>1</v>
      </c>
      <c r="G243" s="324"/>
      <c r="H243" s="377"/>
    </row>
    <row r="244" spans="1:8" x14ac:dyDescent="0.35">
      <c r="A244" s="302" t="s">
        <v>11</v>
      </c>
      <c r="B244" s="265" t="s">
        <v>233</v>
      </c>
      <c r="C244" s="315"/>
      <c r="D244" s="265"/>
      <c r="E244" s="265">
        <v>55719</v>
      </c>
      <c r="F244" s="369">
        <v>1</v>
      </c>
      <c r="G244" s="324"/>
      <c r="H244" s="377"/>
    </row>
    <row r="245" spans="1:8" x14ac:dyDescent="0.35">
      <c r="A245" s="302" t="s">
        <v>12</v>
      </c>
      <c r="B245" s="265" t="s">
        <v>150</v>
      </c>
      <c r="C245" s="315"/>
      <c r="D245" s="265"/>
      <c r="E245" s="265">
        <v>55719</v>
      </c>
      <c r="F245" s="369">
        <v>1</v>
      </c>
      <c r="G245" s="324"/>
      <c r="H245" s="377"/>
    </row>
    <row r="246" spans="1:8" x14ac:dyDescent="0.35">
      <c r="A246" s="302" t="s">
        <v>2595</v>
      </c>
      <c r="B246" s="265" t="s">
        <v>758</v>
      </c>
      <c r="C246" s="315"/>
      <c r="D246" s="265"/>
      <c r="E246" s="265">
        <v>55719</v>
      </c>
      <c r="F246" s="369">
        <v>1</v>
      </c>
      <c r="G246" s="324"/>
      <c r="H246" s="377"/>
    </row>
    <row r="247" spans="1:8" x14ac:dyDescent="0.35">
      <c r="A247" s="302" t="s">
        <v>1413</v>
      </c>
      <c r="B247" s="265" t="s">
        <v>587</v>
      </c>
      <c r="C247" s="315"/>
      <c r="D247" s="265"/>
      <c r="E247" s="265">
        <v>55719</v>
      </c>
      <c r="F247" s="369">
        <v>1</v>
      </c>
      <c r="G247" s="324"/>
      <c r="H247" s="377"/>
    </row>
    <row r="248" spans="1:8" x14ac:dyDescent="0.35">
      <c r="A248" s="302" t="s">
        <v>991</v>
      </c>
      <c r="B248" s="265" t="s">
        <v>509</v>
      </c>
      <c r="C248" s="315"/>
      <c r="D248" s="265"/>
      <c r="E248" s="265">
        <v>55719</v>
      </c>
      <c r="F248" s="369">
        <v>1</v>
      </c>
      <c r="G248" s="324"/>
      <c r="H248" s="377"/>
    </row>
    <row r="249" spans="1:8" x14ac:dyDescent="0.35">
      <c r="A249" s="302" t="s">
        <v>362</v>
      </c>
      <c r="B249" s="265" t="s">
        <v>363</v>
      </c>
      <c r="C249" s="315"/>
      <c r="D249" s="265"/>
      <c r="E249" s="265">
        <v>55719</v>
      </c>
      <c r="F249" s="369">
        <v>1</v>
      </c>
      <c r="G249" s="324"/>
      <c r="H249" s="377"/>
    </row>
    <row r="250" spans="1:8" x14ac:dyDescent="0.35">
      <c r="A250" s="302" t="s">
        <v>1042</v>
      </c>
      <c r="B250" s="265" t="s">
        <v>429</v>
      </c>
      <c r="C250" s="315"/>
      <c r="D250" s="265"/>
      <c r="E250" s="265">
        <v>55719</v>
      </c>
      <c r="F250" s="369">
        <v>1</v>
      </c>
      <c r="G250" s="324"/>
      <c r="H250" s="377"/>
    </row>
    <row r="251" spans="1:8" x14ac:dyDescent="0.35">
      <c r="A251" s="302" t="s">
        <v>930</v>
      </c>
      <c r="B251" s="265" t="s">
        <v>783</v>
      </c>
      <c r="C251" s="315"/>
      <c r="D251" s="265"/>
      <c r="E251" s="265">
        <v>55719</v>
      </c>
      <c r="F251" s="369">
        <v>2</v>
      </c>
      <c r="G251" s="324"/>
      <c r="H251" s="377"/>
    </row>
    <row r="252" spans="1:8" x14ac:dyDescent="0.35">
      <c r="A252" s="302" t="s">
        <v>4</v>
      </c>
      <c r="B252" s="265" t="s">
        <v>86</v>
      </c>
      <c r="C252" s="315"/>
      <c r="D252" s="265"/>
      <c r="E252" s="265">
        <v>55719</v>
      </c>
      <c r="F252" s="369">
        <v>1</v>
      </c>
      <c r="G252" s="324"/>
      <c r="H252" s="377"/>
    </row>
    <row r="253" spans="1:8" x14ac:dyDescent="0.35">
      <c r="A253" s="302" t="s">
        <v>718</v>
      </c>
      <c r="B253" s="265" t="s">
        <v>1618</v>
      </c>
      <c r="C253" s="315"/>
      <c r="D253" s="265"/>
      <c r="E253" s="265">
        <v>55719</v>
      </c>
      <c r="F253" s="369">
        <v>1</v>
      </c>
      <c r="G253" s="324"/>
      <c r="H253" s="377"/>
    </row>
    <row r="255" spans="1:8" x14ac:dyDescent="0.35">
      <c r="B255" s="75"/>
      <c r="C255" s="75"/>
      <c r="D255" s="75"/>
      <c r="E255" s="75"/>
    </row>
    <row r="256" spans="1:8" s="188" customFormat="1" ht="17.5" x14ac:dyDescent="0.35">
      <c r="A256" s="378" t="s">
        <v>1527</v>
      </c>
      <c r="B256" s="312"/>
      <c r="C256" s="249"/>
      <c r="D256" s="249"/>
      <c r="E256" s="249"/>
      <c r="F256" s="249"/>
      <c r="G256" s="250"/>
    </row>
    <row r="257" spans="1:7" s="188" customFormat="1" ht="17.5" x14ac:dyDescent="0.35">
      <c r="A257" s="378" t="s">
        <v>2425</v>
      </c>
      <c r="B257" s="312"/>
      <c r="C257" s="249"/>
      <c r="G257" s="250"/>
    </row>
    <row r="258" spans="1:7" ht="17.5" x14ac:dyDescent="0.35">
      <c r="A258" s="379" t="s">
        <v>2648</v>
      </c>
      <c r="B258" s="221"/>
    </row>
    <row r="259" spans="1:7" ht="17.5" x14ac:dyDescent="0.35">
      <c r="A259" s="319" t="s">
        <v>2694</v>
      </c>
      <c r="B259" s="307"/>
    </row>
  </sheetData>
  <pageMargins left="0.7" right="0.7" top="0.75" bottom="0.75" header="0.3" footer="0.3"/>
  <pageSetup scale="81" fitToHeight="0" orientation="landscape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7"/>
  <sheetViews>
    <sheetView workbookViewId="0">
      <pane ySplit="1" topLeftCell="A2" activePane="bottomLeft" state="frozen"/>
      <selection activeCell="C26" sqref="C26"/>
      <selection pane="bottomLeft" activeCell="D27" sqref="D27"/>
    </sheetView>
  </sheetViews>
  <sheetFormatPr defaultColWidth="9.08984375" defaultRowHeight="15.5" x14ac:dyDescent="0.35"/>
  <cols>
    <col min="1" max="1" width="61.6328125" style="7" bestFit="1" customWidth="1"/>
    <col min="2" max="2" width="14.36328125" style="299" bestFit="1" customWidth="1"/>
    <col min="3" max="3" width="20.36328125" style="299" bestFit="1" customWidth="1"/>
    <col min="4" max="4" width="20.08984375" style="63" bestFit="1" customWidth="1"/>
    <col min="5" max="5" width="12.453125" style="63" bestFit="1" customWidth="1"/>
    <col min="6" max="6" width="10" style="63" bestFit="1" customWidth="1"/>
    <col min="7" max="7" width="11.36328125" style="63" bestFit="1" customWidth="1"/>
    <col min="8" max="8" width="16.90625" style="7" bestFit="1" customWidth="1"/>
    <col min="9" max="16384" width="9.08984375" style="7"/>
  </cols>
  <sheetData>
    <row r="1" spans="1:8" x14ac:dyDescent="0.35">
      <c r="A1" s="84" t="s">
        <v>0</v>
      </c>
      <c r="B1" s="82" t="s">
        <v>1</v>
      </c>
      <c r="C1" s="281" t="s">
        <v>2700</v>
      </c>
      <c r="D1" s="21" t="s">
        <v>1598</v>
      </c>
      <c r="E1" s="21" t="s">
        <v>1599</v>
      </c>
      <c r="F1" s="84" t="s">
        <v>364</v>
      </c>
      <c r="G1" s="326" t="s">
        <v>2695</v>
      </c>
      <c r="H1" s="305" t="s">
        <v>2696</v>
      </c>
    </row>
    <row r="2" spans="1:8" x14ac:dyDescent="0.35">
      <c r="A2" s="42" t="s">
        <v>16</v>
      </c>
      <c r="B2" s="40" t="s">
        <v>360</v>
      </c>
      <c r="C2" s="315"/>
      <c r="D2" s="40"/>
      <c r="E2" s="40" t="s">
        <v>1604</v>
      </c>
      <c r="F2" s="18">
        <v>1</v>
      </c>
      <c r="G2" s="375"/>
      <c r="H2" s="376"/>
    </row>
    <row r="4" spans="1:8" s="4" customFormat="1" ht="17.5" x14ac:dyDescent="0.35">
      <c r="A4" s="309" t="s">
        <v>1526</v>
      </c>
      <c r="B4" s="312"/>
      <c r="C4" s="249"/>
      <c r="D4" s="3"/>
      <c r="E4" s="3"/>
      <c r="F4" s="3"/>
      <c r="G4" s="3"/>
    </row>
    <row r="5" spans="1:8" s="4" customFormat="1" ht="17.5" x14ac:dyDescent="0.35">
      <c r="A5" s="309" t="s">
        <v>2424</v>
      </c>
      <c r="B5" s="312"/>
      <c r="C5" s="249"/>
      <c r="D5" s="3"/>
      <c r="E5" s="3"/>
      <c r="F5" s="3"/>
      <c r="G5" s="3"/>
    </row>
    <row r="6" spans="1:8" ht="17.5" x14ac:dyDescent="0.35">
      <c r="A6" s="367" t="s">
        <v>2667</v>
      </c>
      <c r="B6" s="40"/>
    </row>
    <row r="7" spans="1:8" ht="17.5" x14ac:dyDescent="0.35">
      <c r="A7" s="319" t="s">
        <v>2694</v>
      </c>
      <c r="B7" s="307"/>
    </row>
  </sheetData>
  <pageMargins left="0.7" right="0.7" top="0.75" bottom="0.75" header="0.3" footer="0.3"/>
  <pageSetup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79"/>
  <sheetViews>
    <sheetView workbookViewId="0">
      <pane ySplit="1" topLeftCell="A2" activePane="bottomLeft" state="frozen"/>
      <selection activeCell="C26" sqref="C26"/>
      <selection pane="bottomLeft" activeCell="C83" sqref="C83"/>
    </sheetView>
  </sheetViews>
  <sheetFormatPr defaultColWidth="19" defaultRowHeight="15.5" x14ac:dyDescent="0.35"/>
  <cols>
    <col min="1" max="1" width="63.90625" style="106" bestFit="1" customWidth="1"/>
    <col min="2" max="2" width="16.453125" style="76" bestFit="1" customWidth="1"/>
    <col min="3" max="3" width="21.1796875" style="76" customWidth="1"/>
    <col min="4" max="4" width="21.81640625" style="76" customWidth="1"/>
    <col min="5" max="5" width="14.36328125" style="76" customWidth="1"/>
    <col min="6" max="6" width="11.90625" style="106" customWidth="1"/>
    <col min="7" max="7" width="13.08984375" style="106" customWidth="1"/>
    <col min="8" max="8" width="18.6328125" style="106" customWidth="1"/>
    <col min="9" max="16384" width="19" style="106"/>
  </cols>
  <sheetData>
    <row r="1" spans="1:8" x14ac:dyDescent="0.35">
      <c r="A1" s="120" t="s">
        <v>0</v>
      </c>
      <c r="B1" s="121" t="s">
        <v>1</v>
      </c>
      <c r="C1" s="281" t="s">
        <v>2700</v>
      </c>
      <c r="D1" s="21" t="s">
        <v>1598</v>
      </c>
      <c r="E1" s="21" t="s">
        <v>1599</v>
      </c>
      <c r="F1" s="122" t="s">
        <v>364</v>
      </c>
      <c r="G1" s="326" t="s">
        <v>2695</v>
      </c>
      <c r="H1" s="305" t="s">
        <v>2696</v>
      </c>
    </row>
    <row r="2" spans="1:8" x14ac:dyDescent="0.35">
      <c r="A2" s="209" t="s">
        <v>1595</v>
      </c>
      <c r="B2" s="45" t="s">
        <v>2604</v>
      </c>
      <c r="C2" s="315"/>
      <c r="D2" s="45"/>
      <c r="E2" s="45">
        <v>55719</v>
      </c>
      <c r="F2" s="29">
        <v>1</v>
      </c>
      <c r="G2" s="373"/>
      <c r="H2" s="318"/>
    </row>
    <row r="3" spans="1:8" x14ac:dyDescent="0.35">
      <c r="A3" s="61" t="s">
        <v>1385</v>
      </c>
      <c r="B3" s="45" t="s">
        <v>1581</v>
      </c>
      <c r="C3" s="315"/>
      <c r="D3" s="45"/>
      <c r="E3" s="45">
        <v>55719</v>
      </c>
      <c r="F3" s="29">
        <v>1</v>
      </c>
      <c r="G3" s="374"/>
      <c r="H3" s="318"/>
    </row>
    <row r="4" spans="1:8" x14ac:dyDescent="0.35">
      <c r="A4" s="61" t="s">
        <v>17</v>
      </c>
      <c r="B4" s="45" t="s">
        <v>2473</v>
      </c>
      <c r="C4" s="315"/>
      <c r="D4" s="45"/>
      <c r="E4" s="45">
        <v>55719</v>
      </c>
      <c r="F4" s="29">
        <v>1</v>
      </c>
      <c r="G4" s="374"/>
      <c r="H4" s="318"/>
    </row>
    <row r="5" spans="1:8" x14ac:dyDescent="0.35">
      <c r="A5" s="61" t="s">
        <v>988</v>
      </c>
      <c r="B5" s="45" t="s">
        <v>2235</v>
      </c>
      <c r="C5" s="315"/>
      <c r="D5" s="45"/>
      <c r="E5" s="45">
        <v>55719</v>
      </c>
      <c r="F5" s="29">
        <v>1</v>
      </c>
      <c r="G5" s="374"/>
      <c r="H5" s="318"/>
    </row>
    <row r="6" spans="1:8" x14ac:dyDescent="0.35">
      <c r="A6" s="61" t="s">
        <v>16</v>
      </c>
      <c r="B6" s="45" t="s">
        <v>360</v>
      </c>
      <c r="C6" s="315"/>
      <c r="D6" s="45"/>
      <c r="E6" s="45">
        <v>55719</v>
      </c>
      <c r="F6" s="29">
        <v>1</v>
      </c>
      <c r="G6" s="374"/>
      <c r="H6" s="318"/>
    </row>
    <row r="7" spans="1:8" x14ac:dyDescent="0.35">
      <c r="A7" s="61" t="s">
        <v>171</v>
      </c>
      <c r="B7" s="45" t="s">
        <v>565</v>
      </c>
      <c r="C7" s="315"/>
      <c r="D7" s="45"/>
      <c r="E7" s="45">
        <v>55719</v>
      </c>
      <c r="F7" s="29">
        <v>1</v>
      </c>
      <c r="G7" s="374"/>
      <c r="H7" s="318"/>
    </row>
    <row r="8" spans="1:8" x14ac:dyDescent="0.35">
      <c r="A8" s="61" t="s">
        <v>1395</v>
      </c>
      <c r="B8" s="45" t="s">
        <v>819</v>
      </c>
      <c r="C8" s="315"/>
      <c r="D8" s="45"/>
      <c r="E8" s="45">
        <v>55719</v>
      </c>
      <c r="F8" s="29">
        <v>1</v>
      </c>
      <c r="G8" s="374"/>
      <c r="H8" s="318"/>
    </row>
    <row r="9" spans="1:8" x14ac:dyDescent="0.35">
      <c r="A9" s="61" t="s">
        <v>1397</v>
      </c>
      <c r="B9" s="45" t="s">
        <v>602</v>
      </c>
      <c r="C9" s="315"/>
      <c r="D9" s="45"/>
      <c r="E9" s="45">
        <v>55719</v>
      </c>
      <c r="F9" s="29">
        <v>1</v>
      </c>
      <c r="G9" s="374"/>
      <c r="H9" s="318"/>
    </row>
    <row r="10" spans="1:8" x14ac:dyDescent="0.35">
      <c r="A10" s="61" t="s">
        <v>1211</v>
      </c>
      <c r="B10" s="45" t="s">
        <v>339</v>
      </c>
      <c r="C10" s="315"/>
      <c r="D10" s="45"/>
      <c r="E10" s="45">
        <v>55719</v>
      </c>
      <c r="F10" s="29">
        <v>1</v>
      </c>
      <c r="G10" s="374"/>
      <c r="H10" s="318"/>
    </row>
    <row r="11" spans="1:8" x14ac:dyDescent="0.35">
      <c r="A11" s="61" t="s">
        <v>884</v>
      </c>
      <c r="B11" s="45" t="s">
        <v>198</v>
      </c>
      <c r="C11" s="315"/>
      <c r="D11" s="45"/>
      <c r="E11" s="45">
        <v>55719</v>
      </c>
      <c r="F11" s="29">
        <v>1</v>
      </c>
      <c r="G11" s="374"/>
      <c r="H11" s="318"/>
    </row>
    <row r="12" spans="1:8" x14ac:dyDescent="0.35">
      <c r="A12" s="61" t="s">
        <v>1020</v>
      </c>
      <c r="B12" s="45" t="s">
        <v>271</v>
      </c>
      <c r="C12" s="315"/>
      <c r="D12" s="45"/>
      <c r="E12" s="45">
        <v>55719</v>
      </c>
      <c r="F12" s="29">
        <v>1</v>
      </c>
      <c r="G12" s="374"/>
      <c r="H12" s="318"/>
    </row>
    <row r="13" spans="1:8" x14ac:dyDescent="0.35">
      <c r="A13" s="61" t="s">
        <v>896</v>
      </c>
      <c r="B13" s="45" t="s">
        <v>272</v>
      </c>
      <c r="C13" s="315"/>
      <c r="D13" s="45"/>
      <c r="E13" s="45">
        <v>55719</v>
      </c>
      <c r="F13" s="29">
        <v>1</v>
      </c>
      <c r="G13" s="374"/>
      <c r="H13" s="318"/>
    </row>
    <row r="14" spans="1:8" x14ac:dyDescent="0.35">
      <c r="A14" s="132" t="s">
        <v>15</v>
      </c>
      <c r="B14" s="45" t="s">
        <v>424</v>
      </c>
      <c r="C14" s="315"/>
      <c r="D14" s="45"/>
      <c r="E14" s="45">
        <v>55719</v>
      </c>
      <c r="F14" s="29">
        <v>4</v>
      </c>
      <c r="G14" s="374"/>
      <c r="H14" s="318"/>
    </row>
    <row r="15" spans="1:8" x14ac:dyDescent="0.35">
      <c r="A15" s="61" t="s">
        <v>33</v>
      </c>
      <c r="B15" s="45" t="s">
        <v>1565</v>
      </c>
      <c r="C15" s="315"/>
      <c r="D15" s="45"/>
      <c r="E15" s="45">
        <v>55719</v>
      </c>
      <c r="F15" s="29">
        <v>1</v>
      </c>
      <c r="G15" s="374"/>
      <c r="H15" s="318"/>
    </row>
    <row r="16" spans="1:8" x14ac:dyDescent="0.35">
      <c r="A16" s="61" t="s">
        <v>1019</v>
      </c>
      <c r="B16" s="45" t="s">
        <v>818</v>
      </c>
      <c r="C16" s="315"/>
      <c r="D16" s="45"/>
      <c r="E16" s="45">
        <v>55719</v>
      </c>
      <c r="F16" s="29">
        <v>1</v>
      </c>
      <c r="G16" s="374"/>
      <c r="H16" s="318"/>
    </row>
    <row r="17" spans="1:8" x14ac:dyDescent="0.35">
      <c r="A17" s="61" t="s">
        <v>936</v>
      </c>
      <c r="B17" s="45" t="s">
        <v>185</v>
      </c>
      <c r="C17" s="315"/>
      <c r="D17" s="45"/>
      <c r="E17" s="45">
        <v>55719</v>
      </c>
      <c r="F17" s="29">
        <v>2</v>
      </c>
      <c r="G17" s="374"/>
      <c r="H17" s="318"/>
    </row>
    <row r="18" spans="1:8" x14ac:dyDescent="0.35">
      <c r="A18" s="61" t="s">
        <v>1188</v>
      </c>
      <c r="B18" s="45" t="s">
        <v>814</v>
      </c>
      <c r="C18" s="315"/>
      <c r="D18" s="45"/>
      <c r="E18" s="45">
        <v>55719</v>
      </c>
      <c r="F18" s="29">
        <v>2</v>
      </c>
      <c r="G18" s="374"/>
      <c r="H18" s="318"/>
    </row>
    <row r="19" spans="1:8" x14ac:dyDescent="0.35">
      <c r="A19" s="132" t="s">
        <v>882</v>
      </c>
      <c r="B19" s="45" t="s">
        <v>419</v>
      </c>
      <c r="C19" s="315"/>
      <c r="D19" s="45"/>
      <c r="E19" s="45">
        <v>55719</v>
      </c>
      <c r="F19" s="29">
        <v>1</v>
      </c>
      <c r="G19" s="374"/>
      <c r="H19" s="318"/>
    </row>
    <row r="20" spans="1:8" x14ac:dyDescent="0.35">
      <c r="A20" s="61" t="s">
        <v>181</v>
      </c>
      <c r="B20" s="45" t="s">
        <v>182</v>
      </c>
      <c r="C20" s="315"/>
      <c r="D20" s="45"/>
      <c r="E20" s="45">
        <v>55719</v>
      </c>
      <c r="F20" s="29">
        <v>1</v>
      </c>
      <c r="G20" s="374"/>
      <c r="H20" s="318"/>
    </row>
    <row r="21" spans="1:8" x14ac:dyDescent="0.35">
      <c r="A21" s="61" t="s">
        <v>11</v>
      </c>
      <c r="B21" s="45" t="s">
        <v>233</v>
      </c>
      <c r="C21" s="315"/>
      <c r="D21" s="45"/>
      <c r="E21" s="45">
        <v>55719</v>
      </c>
      <c r="F21" s="29">
        <v>1</v>
      </c>
      <c r="G21" s="374"/>
      <c r="H21" s="314"/>
    </row>
    <row r="22" spans="1:8" x14ac:dyDescent="0.35">
      <c r="A22" s="61" t="s">
        <v>12</v>
      </c>
      <c r="B22" s="45" t="s">
        <v>150</v>
      </c>
      <c r="C22" s="315"/>
      <c r="D22" s="45"/>
      <c r="E22" s="45">
        <v>55719</v>
      </c>
      <c r="F22" s="29">
        <v>1</v>
      </c>
      <c r="G22" s="374"/>
      <c r="H22" s="314"/>
    </row>
    <row r="23" spans="1:8" x14ac:dyDescent="0.35">
      <c r="A23" s="61" t="s">
        <v>107</v>
      </c>
      <c r="B23" s="45" t="s">
        <v>507</v>
      </c>
      <c r="C23" s="315"/>
      <c r="D23" s="45"/>
      <c r="E23" s="45">
        <v>55719</v>
      </c>
      <c r="F23" s="29">
        <v>1</v>
      </c>
      <c r="G23" s="374"/>
      <c r="H23" s="314"/>
    </row>
    <row r="24" spans="1:8" x14ac:dyDescent="0.35">
      <c r="A24" s="61" t="s">
        <v>174</v>
      </c>
      <c r="B24" s="45" t="s">
        <v>215</v>
      </c>
      <c r="C24" s="315"/>
      <c r="D24" s="45"/>
      <c r="E24" s="45">
        <v>55719</v>
      </c>
      <c r="F24" s="29">
        <v>1</v>
      </c>
      <c r="G24" s="374"/>
      <c r="H24" s="314"/>
    </row>
    <row r="25" spans="1:8" x14ac:dyDescent="0.35">
      <c r="A25" s="61" t="s">
        <v>1084</v>
      </c>
      <c r="B25" s="45" t="s">
        <v>546</v>
      </c>
      <c r="C25" s="315"/>
      <c r="D25" s="45"/>
      <c r="E25" s="45">
        <v>55719</v>
      </c>
      <c r="F25" s="29">
        <v>1</v>
      </c>
      <c r="G25" s="374"/>
      <c r="H25" s="314"/>
    </row>
    <row r="26" spans="1:8" s="16" customFormat="1" x14ac:dyDescent="0.35">
      <c r="A26" s="61" t="s">
        <v>1034</v>
      </c>
      <c r="B26" s="45" t="s">
        <v>792</v>
      </c>
      <c r="C26" s="315"/>
      <c r="D26" s="45"/>
      <c r="E26" s="45">
        <v>55719</v>
      </c>
      <c r="F26" s="29">
        <v>1</v>
      </c>
      <c r="G26" s="374"/>
      <c r="H26" s="318"/>
    </row>
    <row r="27" spans="1:8" s="16" customFormat="1" x14ac:dyDescent="0.35">
      <c r="A27" s="61" t="s">
        <v>1210</v>
      </c>
      <c r="B27" s="45" t="s">
        <v>820</v>
      </c>
      <c r="C27" s="315"/>
      <c r="D27" s="45"/>
      <c r="E27" s="45">
        <v>55719</v>
      </c>
      <c r="F27" s="29">
        <v>1</v>
      </c>
      <c r="G27" s="374"/>
      <c r="H27" s="318"/>
    </row>
    <row r="28" spans="1:8" s="16" customFormat="1" x14ac:dyDescent="0.35">
      <c r="A28" s="61" t="s">
        <v>1288</v>
      </c>
      <c r="B28" s="45" t="s">
        <v>1614</v>
      </c>
      <c r="C28" s="315"/>
      <c r="D28" s="124"/>
      <c r="E28" s="124">
        <v>55719</v>
      </c>
      <c r="F28" s="29">
        <v>1</v>
      </c>
      <c r="G28" s="374"/>
      <c r="H28" s="318"/>
    </row>
    <row r="29" spans="1:8" s="16" customFormat="1" x14ac:dyDescent="0.35">
      <c r="A29" s="12" t="s">
        <v>2327</v>
      </c>
      <c r="B29" s="253" t="s">
        <v>2325</v>
      </c>
      <c r="C29" s="315"/>
      <c r="D29" s="45"/>
      <c r="E29" s="45">
        <v>55719</v>
      </c>
      <c r="F29" s="29">
        <v>1</v>
      </c>
      <c r="G29" s="374"/>
      <c r="H29" s="318"/>
    </row>
    <row r="30" spans="1:8" s="16" customFormat="1" x14ac:dyDescent="0.35">
      <c r="A30" s="61" t="s">
        <v>718</v>
      </c>
      <c r="B30" s="45" t="s">
        <v>1618</v>
      </c>
      <c r="C30" s="315"/>
      <c r="D30" s="45"/>
      <c r="E30" s="45">
        <v>55719</v>
      </c>
      <c r="F30" s="29">
        <v>2</v>
      </c>
      <c r="G30" s="374"/>
      <c r="H30" s="318"/>
    </row>
    <row r="31" spans="1:8" x14ac:dyDescent="0.35">
      <c r="A31" s="61" t="s">
        <v>159</v>
      </c>
      <c r="B31" s="45" t="s">
        <v>427</v>
      </c>
      <c r="C31" s="315"/>
      <c r="D31" s="45"/>
      <c r="E31" s="45">
        <v>55719</v>
      </c>
      <c r="F31" s="29">
        <v>1</v>
      </c>
      <c r="G31" s="374"/>
      <c r="H31" s="318"/>
    </row>
    <row r="32" spans="1:8" x14ac:dyDescent="0.35">
      <c r="A32" s="61" t="s">
        <v>1214</v>
      </c>
      <c r="B32" s="45" t="s">
        <v>573</v>
      </c>
      <c r="C32" s="315"/>
      <c r="D32" s="45"/>
      <c r="E32" s="45">
        <v>55719</v>
      </c>
      <c r="F32" s="29">
        <v>1</v>
      </c>
      <c r="G32" s="374"/>
      <c r="H32" s="318"/>
    </row>
    <row r="33" spans="1:8" x14ac:dyDescent="0.35">
      <c r="A33" s="61" t="s">
        <v>53</v>
      </c>
      <c r="B33" s="45" t="s">
        <v>472</v>
      </c>
      <c r="C33" s="315"/>
      <c r="D33" s="45"/>
      <c r="E33" s="45">
        <v>55719</v>
      </c>
      <c r="F33" s="29">
        <v>1</v>
      </c>
      <c r="G33" s="374"/>
      <c r="H33" s="318"/>
    </row>
    <row r="34" spans="1:8" x14ac:dyDescent="0.35">
      <c r="A34" s="61" t="s">
        <v>1289</v>
      </c>
      <c r="B34" s="45" t="s">
        <v>574</v>
      </c>
      <c r="C34" s="315"/>
      <c r="D34" s="45"/>
      <c r="E34" s="45">
        <v>55719</v>
      </c>
      <c r="F34" s="29">
        <v>1</v>
      </c>
      <c r="G34" s="374"/>
      <c r="H34" s="318"/>
    </row>
    <row r="35" spans="1:8" x14ac:dyDescent="0.35">
      <c r="A35" s="61" t="s">
        <v>1760</v>
      </c>
      <c r="B35" s="45" t="s">
        <v>311</v>
      </c>
      <c r="C35" s="315"/>
      <c r="D35" s="45"/>
      <c r="E35" s="45">
        <v>55719</v>
      </c>
      <c r="F35" s="29">
        <v>1</v>
      </c>
      <c r="G35" s="374"/>
      <c r="H35" s="318"/>
    </row>
    <row r="36" spans="1:8" x14ac:dyDescent="0.35">
      <c r="A36" s="61" t="s">
        <v>1007</v>
      </c>
      <c r="B36" s="45" t="s">
        <v>313</v>
      </c>
      <c r="C36" s="315"/>
      <c r="D36" s="45"/>
      <c r="E36" s="45">
        <v>55719</v>
      </c>
      <c r="F36" s="29">
        <v>1</v>
      </c>
      <c r="G36" s="374"/>
      <c r="H36" s="318"/>
    </row>
    <row r="37" spans="1:8" x14ac:dyDescent="0.35">
      <c r="A37" s="61" t="s">
        <v>1008</v>
      </c>
      <c r="B37" s="45" t="s">
        <v>173</v>
      </c>
      <c r="C37" s="315"/>
      <c r="D37" s="45"/>
      <c r="E37" s="45">
        <v>55719</v>
      </c>
      <c r="F37" s="29">
        <v>1</v>
      </c>
      <c r="G37" s="374"/>
      <c r="H37" s="318"/>
    </row>
    <row r="38" spans="1:8" x14ac:dyDescent="0.35">
      <c r="A38" s="61" t="s">
        <v>899</v>
      </c>
      <c r="B38" s="45" t="s">
        <v>281</v>
      </c>
      <c r="C38" s="315"/>
      <c r="D38" s="45"/>
      <c r="E38" s="45">
        <v>55719</v>
      </c>
      <c r="F38" s="29">
        <v>1</v>
      </c>
      <c r="G38" s="374"/>
      <c r="H38" s="318"/>
    </row>
    <row r="39" spans="1:8" x14ac:dyDescent="0.35">
      <c r="A39" s="61" t="s">
        <v>1759</v>
      </c>
      <c r="B39" s="45" t="s">
        <v>280</v>
      </c>
      <c r="C39" s="315"/>
      <c r="D39" s="45"/>
      <c r="E39" s="45">
        <v>55719</v>
      </c>
      <c r="F39" s="29">
        <v>1</v>
      </c>
      <c r="G39" s="374"/>
      <c r="H39" s="318"/>
    </row>
    <row r="40" spans="1:8" x14ac:dyDescent="0.35">
      <c r="A40" s="61" t="s">
        <v>2334</v>
      </c>
      <c r="B40" s="45" t="s">
        <v>284</v>
      </c>
      <c r="C40" s="315"/>
      <c r="D40" s="45"/>
      <c r="E40" s="45">
        <v>55719</v>
      </c>
      <c r="F40" s="29">
        <v>1</v>
      </c>
      <c r="G40" s="374"/>
      <c r="H40" s="318"/>
    </row>
    <row r="41" spans="1:8" x14ac:dyDescent="0.35">
      <c r="A41" s="61" t="s">
        <v>1762</v>
      </c>
      <c r="B41" s="45" t="s">
        <v>113</v>
      </c>
      <c r="C41" s="315"/>
      <c r="D41" s="45"/>
      <c r="E41" s="45">
        <v>55719</v>
      </c>
      <c r="F41" s="29">
        <v>1</v>
      </c>
      <c r="G41" s="374"/>
      <c r="H41" s="318"/>
    </row>
    <row r="42" spans="1:8" x14ac:dyDescent="0.35">
      <c r="A42" s="61" t="s">
        <v>146</v>
      </c>
      <c r="B42" s="45" t="s">
        <v>278</v>
      </c>
      <c r="C42" s="315"/>
      <c r="D42" s="45"/>
      <c r="E42" s="45">
        <v>55719</v>
      </c>
      <c r="F42" s="29">
        <v>1</v>
      </c>
      <c r="G42" s="374"/>
      <c r="H42" s="318"/>
    </row>
    <row r="43" spans="1:8" x14ac:dyDescent="0.35">
      <c r="A43" s="61" t="s">
        <v>2344</v>
      </c>
      <c r="B43" s="45" t="s">
        <v>279</v>
      </c>
      <c r="C43" s="315"/>
      <c r="D43" s="45"/>
      <c r="E43" s="45">
        <v>55719</v>
      </c>
      <c r="F43" s="29">
        <v>1</v>
      </c>
      <c r="G43" s="374"/>
      <c r="H43" s="318"/>
    </row>
    <row r="44" spans="1:8" x14ac:dyDescent="0.35">
      <c r="A44" s="61" t="s">
        <v>900</v>
      </c>
      <c r="B44" s="45" t="s">
        <v>301</v>
      </c>
      <c r="C44" s="315"/>
      <c r="D44" s="45"/>
      <c r="E44" s="45">
        <v>55719</v>
      </c>
      <c r="F44" s="29">
        <v>1</v>
      </c>
      <c r="G44" s="374"/>
      <c r="H44" s="318"/>
    </row>
    <row r="45" spans="1:8" x14ac:dyDescent="0.35">
      <c r="A45" s="44" t="s">
        <v>2342</v>
      </c>
      <c r="B45" s="253" t="s">
        <v>2343</v>
      </c>
      <c r="C45" s="315"/>
      <c r="D45" s="253"/>
      <c r="E45" s="253">
        <v>55719</v>
      </c>
      <c r="F45" s="201">
        <v>1</v>
      </c>
      <c r="G45" s="317"/>
      <c r="H45" s="318"/>
    </row>
    <row r="46" spans="1:8" x14ac:dyDescent="0.35">
      <c r="A46" s="61" t="s">
        <v>885</v>
      </c>
      <c r="B46" s="45" t="s">
        <v>229</v>
      </c>
      <c r="C46" s="315"/>
      <c r="D46" s="45"/>
      <c r="E46" s="45">
        <v>55719</v>
      </c>
      <c r="F46" s="29">
        <v>1</v>
      </c>
      <c r="G46" s="374"/>
      <c r="H46" s="318"/>
    </row>
    <row r="47" spans="1:8" x14ac:dyDescent="0.35">
      <c r="A47" s="61" t="s">
        <v>1443</v>
      </c>
      <c r="B47" s="45" t="s">
        <v>474</v>
      </c>
      <c r="C47" s="315"/>
      <c r="D47" s="45"/>
      <c r="E47" s="45">
        <v>55719</v>
      </c>
      <c r="F47" s="29">
        <v>1</v>
      </c>
      <c r="G47" s="374"/>
      <c r="H47" s="318"/>
    </row>
    <row r="48" spans="1:8" x14ac:dyDescent="0.35">
      <c r="A48" s="61" t="s">
        <v>1228</v>
      </c>
      <c r="B48" s="45" t="s">
        <v>331</v>
      </c>
      <c r="C48" s="315"/>
      <c r="D48" s="45"/>
      <c r="E48" s="45">
        <v>55719</v>
      </c>
      <c r="F48" s="29">
        <v>1</v>
      </c>
      <c r="G48" s="374"/>
      <c r="H48" s="318"/>
    </row>
    <row r="49" spans="1:8" x14ac:dyDescent="0.35">
      <c r="A49" s="61" t="s">
        <v>23</v>
      </c>
      <c r="B49" s="45" t="s">
        <v>252</v>
      </c>
      <c r="C49" s="315"/>
      <c r="D49" s="45"/>
      <c r="E49" s="45">
        <v>55719</v>
      </c>
      <c r="F49" s="29">
        <v>1</v>
      </c>
      <c r="G49" s="374"/>
      <c r="H49" s="318"/>
    </row>
    <row r="50" spans="1:8" x14ac:dyDescent="0.35">
      <c r="A50" s="61" t="s">
        <v>1099</v>
      </c>
      <c r="B50" s="45" t="s">
        <v>426</v>
      </c>
      <c r="C50" s="315"/>
      <c r="D50" s="45"/>
      <c r="E50" s="45">
        <v>55719</v>
      </c>
      <c r="F50" s="29">
        <v>1</v>
      </c>
      <c r="G50" s="374"/>
      <c r="H50" s="318"/>
    </row>
    <row r="51" spans="1:8" x14ac:dyDescent="0.35">
      <c r="A51" s="61" t="s">
        <v>1042</v>
      </c>
      <c r="B51" s="45" t="s">
        <v>344</v>
      </c>
      <c r="C51" s="315"/>
      <c r="D51" s="45"/>
      <c r="E51" s="45">
        <v>55719</v>
      </c>
      <c r="F51" s="29">
        <v>1</v>
      </c>
      <c r="G51" s="374"/>
      <c r="H51" s="318"/>
    </row>
    <row r="52" spans="1:8" x14ac:dyDescent="0.35">
      <c r="A52" s="61" t="s">
        <v>362</v>
      </c>
      <c r="B52" s="45" t="s">
        <v>363</v>
      </c>
      <c r="C52" s="315"/>
      <c r="D52" s="45"/>
      <c r="E52" s="45">
        <v>55719</v>
      </c>
      <c r="F52" s="29">
        <v>1</v>
      </c>
      <c r="G52" s="374"/>
      <c r="H52" s="318"/>
    </row>
    <row r="53" spans="1:8" x14ac:dyDescent="0.35">
      <c r="A53" s="61" t="s">
        <v>1366</v>
      </c>
      <c r="B53" s="45" t="s">
        <v>673</v>
      </c>
      <c r="C53" s="315"/>
      <c r="D53" s="45"/>
      <c r="E53" s="45">
        <v>55719</v>
      </c>
      <c r="F53" s="29">
        <v>1</v>
      </c>
      <c r="G53" s="374"/>
      <c r="H53" s="318"/>
    </row>
    <row r="54" spans="1:8" x14ac:dyDescent="0.35">
      <c r="A54" s="61" t="s">
        <v>1109</v>
      </c>
      <c r="B54" s="45" t="s">
        <v>340</v>
      </c>
      <c r="C54" s="315"/>
      <c r="D54" s="45"/>
      <c r="E54" s="45">
        <v>55719</v>
      </c>
      <c r="F54" s="29">
        <v>1</v>
      </c>
      <c r="G54" s="374"/>
      <c r="H54" s="318"/>
    </row>
    <row r="55" spans="1:8" x14ac:dyDescent="0.35">
      <c r="A55" s="61" t="s">
        <v>1110</v>
      </c>
      <c r="B55" s="45" t="s">
        <v>422</v>
      </c>
      <c r="C55" s="315"/>
      <c r="D55" s="45"/>
      <c r="E55" s="45">
        <v>55719</v>
      </c>
      <c r="F55" s="29">
        <v>1</v>
      </c>
      <c r="G55" s="374"/>
      <c r="H55" s="318"/>
    </row>
    <row r="56" spans="1:8" x14ac:dyDescent="0.35">
      <c r="A56" s="61" t="s">
        <v>8</v>
      </c>
      <c r="B56" s="45" t="s">
        <v>211</v>
      </c>
      <c r="C56" s="315"/>
      <c r="D56" s="45"/>
      <c r="E56" s="45">
        <v>55719</v>
      </c>
      <c r="F56" s="29">
        <v>1</v>
      </c>
      <c r="G56" s="374"/>
      <c r="H56" s="318"/>
    </row>
    <row r="57" spans="1:8" x14ac:dyDescent="0.35">
      <c r="A57" s="61" t="s">
        <v>9</v>
      </c>
      <c r="B57" s="45" t="s">
        <v>329</v>
      </c>
      <c r="C57" s="315"/>
      <c r="D57" s="45"/>
      <c r="E57" s="45">
        <v>55719</v>
      </c>
      <c r="F57" s="29">
        <v>1</v>
      </c>
      <c r="G57" s="374"/>
      <c r="H57" s="318"/>
    </row>
    <row r="58" spans="1:8" x14ac:dyDescent="0.35">
      <c r="A58" s="61" t="s">
        <v>169</v>
      </c>
      <c r="B58" s="45" t="s">
        <v>1607</v>
      </c>
      <c r="C58" s="315"/>
      <c r="D58" s="45"/>
      <c r="E58" s="45">
        <v>55719</v>
      </c>
      <c r="F58" s="29">
        <v>1</v>
      </c>
      <c r="G58" s="374"/>
      <c r="H58" s="318"/>
    </row>
    <row r="59" spans="1:8" x14ac:dyDescent="0.35">
      <c r="A59" s="61" t="s">
        <v>2484</v>
      </c>
      <c r="B59" s="45" t="s">
        <v>2223</v>
      </c>
      <c r="C59" s="315"/>
      <c r="D59" s="45"/>
      <c r="E59" s="45">
        <v>55719</v>
      </c>
      <c r="F59" s="29">
        <v>1</v>
      </c>
      <c r="G59" s="374"/>
      <c r="H59" s="318"/>
    </row>
    <row r="60" spans="1:8" x14ac:dyDescent="0.35">
      <c r="A60" s="61" t="s">
        <v>29</v>
      </c>
      <c r="B60" s="45" t="s">
        <v>1564</v>
      </c>
      <c r="C60" s="315"/>
      <c r="D60" s="45"/>
      <c r="E60" s="45">
        <v>55719</v>
      </c>
      <c r="F60" s="29">
        <v>1</v>
      </c>
      <c r="G60" s="374"/>
      <c r="H60" s="318"/>
    </row>
    <row r="61" spans="1:8" x14ac:dyDescent="0.35">
      <c r="A61" s="61" t="s">
        <v>28</v>
      </c>
      <c r="B61" s="45" t="s">
        <v>2242</v>
      </c>
      <c r="C61" s="315"/>
      <c r="D61" s="45"/>
      <c r="E61" s="45">
        <v>55719</v>
      </c>
      <c r="F61" s="29">
        <v>1</v>
      </c>
      <c r="G61" s="374"/>
      <c r="H61" s="318"/>
    </row>
    <row r="62" spans="1:8" x14ac:dyDescent="0.35">
      <c r="A62" s="61" t="s">
        <v>1058</v>
      </c>
      <c r="B62" s="45" t="s">
        <v>1563</v>
      </c>
      <c r="C62" s="315"/>
      <c r="D62" s="45"/>
      <c r="E62" s="45">
        <v>55719</v>
      </c>
      <c r="F62" s="29">
        <v>1</v>
      </c>
      <c r="G62" s="374"/>
      <c r="H62" s="318"/>
    </row>
    <row r="63" spans="1:8" x14ac:dyDescent="0.35">
      <c r="A63" s="61" t="s">
        <v>294</v>
      </c>
      <c r="B63" s="45" t="s">
        <v>593</v>
      </c>
      <c r="C63" s="315"/>
      <c r="D63" s="45"/>
      <c r="E63" s="45">
        <v>55719</v>
      </c>
      <c r="F63" s="29">
        <v>1</v>
      </c>
      <c r="G63" s="374"/>
      <c r="H63" s="318"/>
    </row>
    <row r="64" spans="1:8" x14ac:dyDescent="0.35">
      <c r="A64" s="61" t="s">
        <v>1055</v>
      </c>
      <c r="B64" s="45" t="s">
        <v>531</v>
      </c>
      <c r="C64" s="315"/>
      <c r="D64" s="45"/>
      <c r="E64" s="45">
        <v>55719</v>
      </c>
      <c r="F64" s="29">
        <v>1</v>
      </c>
      <c r="G64" s="374"/>
      <c r="H64" s="318"/>
    </row>
    <row r="65" spans="1:8" x14ac:dyDescent="0.35">
      <c r="A65" s="61" t="s">
        <v>1153</v>
      </c>
      <c r="B65" s="45" t="s">
        <v>815</v>
      </c>
      <c r="C65" s="315"/>
      <c r="D65" s="45"/>
      <c r="E65" s="45">
        <v>55719</v>
      </c>
      <c r="F65" s="29">
        <v>1</v>
      </c>
      <c r="G65" s="374"/>
      <c r="H65" s="318"/>
    </row>
    <row r="66" spans="1:8" x14ac:dyDescent="0.35">
      <c r="A66" s="61" t="s">
        <v>1154</v>
      </c>
      <c r="B66" s="45" t="s">
        <v>816</v>
      </c>
      <c r="C66" s="315"/>
      <c r="D66" s="45"/>
      <c r="E66" s="45">
        <v>55719</v>
      </c>
      <c r="F66" s="29">
        <v>1</v>
      </c>
      <c r="G66" s="374"/>
      <c r="H66" s="318"/>
    </row>
    <row r="67" spans="1:8" x14ac:dyDescent="0.35">
      <c r="A67" s="61" t="s">
        <v>931</v>
      </c>
      <c r="B67" s="45" t="s">
        <v>66</v>
      </c>
      <c r="C67" s="315"/>
      <c r="D67" s="45"/>
      <c r="E67" s="45">
        <v>55719</v>
      </c>
      <c r="F67" s="29">
        <v>1</v>
      </c>
      <c r="G67" s="374"/>
      <c r="H67" s="318"/>
    </row>
    <row r="68" spans="1:8" x14ac:dyDescent="0.35">
      <c r="A68" s="61" t="s">
        <v>14</v>
      </c>
      <c r="B68" s="45" t="s">
        <v>334</v>
      </c>
      <c r="C68" s="315"/>
      <c r="D68" s="45"/>
      <c r="E68" s="45">
        <v>55719</v>
      </c>
      <c r="F68" s="29">
        <v>1</v>
      </c>
      <c r="G68" s="374"/>
      <c r="H68" s="318"/>
    </row>
    <row r="69" spans="1:8" x14ac:dyDescent="0.35">
      <c r="A69" s="61" t="s">
        <v>881</v>
      </c>
      <c r="B69" s="45" t="s">
        <v>417</v>
      </c>
      <c r="C69" s="315"/>
      <c r="D69" s="45"/>
      <c r="E69" s="45">
        <v>55719</v>
      </c>
      <c r="F69" s="29">
        <v>1</v>
      </c>
      <c r="G69" s="374"/>
      <c r="H69" s="318"/>
    </row>
    <row r="70" spans="1:8" x14ac:dyDescent="0.35">
      <c r="A70" s="61" t="s">
        <v>10</v>
      </c>
      <c r="B70" s="45" t="s">
        <v>418</v>
      </c>
      <c r="C70" s="315"/>
      <c r="D70" s="45"/>
      <c r="E70" s="45">
        <v>55719</v>
      </c>
      <c r="F70" s="29">
        <v>1</v>
      </c>
      <c r="G70" s="374"/>
      <c r="H70" s="318"/>
    </row>
    <row r="71" spans="1:8" x14ac:dyDescent="0.35">
      <c r="A71" s="61" t="s">
        <v>930</v>
      </c>
      <c r="B71" s="45" t="s">
        <v>817</v>
      </c>
      <c r="C71" s="315"/>
      <c r="D71" s="45"/>
      <c r="E71" s="45">
        <v>55719</v>
      </c>
      <c r="F71" s="29">
        <v>1</v>
      </c>
      <c r="G71" s="374"/>
      <c r="H71" s="318"/>
    </row>
    <row r="72" spans="1:8" x14ac:dyDescent="0.35">
      <c r="A72" s="61" t="s">
        <v>1264</v>
      </c>
      <c r="B72" s="45" t="s">
        <v>813</v>
      </c>
      <c r="C72" s="315"/>
      <c r="D72" s="45"/>
      <c r="E72" s="45">
        <v>55719</v>
      </c>
      <c r="F72" s="29">
        <v>2</v>
      </c>
      <c r="G72" s="374"/>
      <c r="H72" s="318"/>
    </row>
    <row r="73" spans="1:8" x14ac:dyDescent="0.35">
      <c r="A73" s="61" t="s">
        <v>19</v>
      </c>
      <c r="B73" s="45" t="s">
        <v>242</v>
      </c>
      <c r="C73" s="315"/>
      <c r="D73" s="45"/>
      <c r="E73" s="45">
        <v>55719</v>
      </c>
      <c r="F73" s="29">
        <v>2</v>
      </c>
      <c r="G73" s="374"/>
      <c r="H73" s="318"/>
    </row>
    <row r="74" spans="1:8" x14ac:dyDescent="0.35">
      <c r="A74" s="61" t="s">
        <v>13</v>
      </c>
      <c r="B74" s="45" t="s">
        <v>420</v>
      </c>
      <c r="C74" s="315"/>
      <c r="D74" s="45"/>
      <c r="E74" s="45">
        <v>55719</v>
      </c>
      <c r="F74" s="29">
        <v>1</v>
      </c>
      <c r="G74" s="374"/>
      <c r="H74" s="318"/>
    </row>
    <row r="75" spans="1:8" x14ac:dyDescent="0.35">
      <c r="G75" s="100"/>
    </row>
    <row r="76" spans="1:8" s="4" customFormat="1" ht="17.5" x14ac:dyDescent="0.35">
      <c r="A76" s="309" t="s">
        <v>1535</v>
      </c>
      <c r="B76" s="312"/>
      <c r="C76" s="249"/>
      <c r="D76" s="249"/>
      <c r="E76" s="3"/>
      <c r="F76" s="3"/>
      <c r="G76" s="37"/>
    </row>
    <row r="77" spans="1:8" s="4" customFormat="1" ht="17.5" x14ac:dyDescent="0.35">
      <c r="A77" s="309" t="s">
        <v>2423</v>
      </c>
      <c r="B77" s="312"/>
      <c r="C77" s="249"/>
      <c r="D77" s="249"/>
      <c r="E77" s="3"/>
      <c r="F77" s="3"/>
      <c r="G77" s="37"/>
    </row>
    <row r="78" spans="1:8" ht="17.5" x14ac:dyDescent="0.35">
      <c r="A78" s="367" t="s">
        <v>2647</v>
      </c>
      <c r="B78" s="201"/>
      <c r="G78" s="100"/>
    </row>
    <row r="79" spans="1:8" ht="17.5" x14ac:dyDescent="0.35">
      <c r="A79" s="319" t="s">
        <v>2694</v>
      </c>
      <c r="B79" s="307"/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23"/>
  <sheetViews>
    <sheetView workbookViewId="0">
      <pane ySplit="1" topLeftCell="A2" activePane="bottomLeft" state="frozen"/>
      <selection activeCell="C26" sqref="C26"/>
      <selection pane="bottomLeft" activeCell="A19" sqref="A19:XFD47"/>
    </sheetView>
  </sheetViews>
  <sheetFormatPr defaultColWidth="9.08984375" defaultRowHeight="15.5" x14ac:dyDescent="0.35"/>
  <cols>
    <col min="1" max="1" width="56.6328125" style="106" bestFit="1" customWidth="1"/>
    <col min="2" max="2" width="16.453125" style="76" bestFit="1" customWidth="1"/>
    <col min="3" max="3" width="21.1796875" style="76" customWidth="1"/>
    <col min="4" max="4" width="21.81640625" style="76" customWidth="1"/>
    <col min="5" max="5" width="14.36328125" style="76" customWidth="1"/>
    <col min="6" max="6" width="11.90625" style="76" customWidth="1"/>
    <col min="7" max="7" width="13.08984375" style="106" customWidth="1"/>
    <col min="8" max="8" width="18.6328125" style="106" customWidth="1"/>
    <col min="9" max="16384" width="9.08984375" style="106"/>
  </cols>
  <sheetData>
    <row r="1" spans="1:8" x14ac:dyDescent="0.35">
      <c r="A1" s="648" t="s">
        <v>0</v>
      </c>
      <c r="B1" s="85" t="s">
        <v>1</v>
      </c>
      <c r="C1" s="281" t="s">
        <v>2700</v>
      </c>
      <c r="D1" s="21" t="s">
        <v>1598</v>
      </c>
      <c r="E1" s="21" t="s">
        <v>1599</v>
      </c>
      <c r="F1" s="85" t="s">
        <v>364</v>
      </c>
      <c r="G1" s="326" t="s">
        <v>2695</v>
      </c>
      <c r="H1" s="305" t="s">
        <v>2696</v>
      </c>
    </row>
    <row r="2" spans="1:8" x14ac:dyDescent="0.35">
      <c r="A2" s="234" t="s">
        <v>1595</v>
      </c>
      <c r="B2" s="253" t="s">
        <v>2604</v>
      </c>
      <c r="C2" s="315"/>
      <c r="D2" s="62"/>
      <c r="E2" s="62">
        <v>55719</v>
      </c>
      <c r="F2" s="31">
        <v>1</v>
      </c>
      <c r="G2" s="318"/>
      <c r="H2" s="318"/>
    </row>
    <row r="3" spans="1:8" x14ac:dyDescent="0.35">
      <c r="A3" s="234" t="s">
        <v>16</v>
      </c>
      <c r="B3" s="253" t="s">
        <v>360</v>
      </c>
      <c r="C3" s="315"/>
      <c r="D3" s="62"/>
      <c r="E3" s="62">
        <v>55719</v>
      </c>
      <c r="F3" s="31">
        <v>1</v>
      </c>
      <c r="G3" s="318"/>
      <c r="H3" s="318"/>
    </row>
    <row r="4" spans="1:8" x14ac:dyDescent="0.35">
      <c r="A4" s="234" t="s">
        <v>15</v>
      </c>
      <c r="B4" s="253" t="s">
        <v>424</v>
      </c>
      <c r="C4" s="315"/>
      <c r="D4" s="62"/>
      <c r="E4" s="62">
        <v>55719</v>
      </c>
      <c r="F4" s="31">
        <v>1</v>
      </c>
      <c r="G4" s="318"/>
      <c r="H4" s="318"/>
    </row>
    <row r="5" spans="1:8" x14ac:dyDescent="0.35">
      <c r="A5" s="234" t="s">
        <v>980</v>
      </c>
      <c r="B5" s="253" t="s">
        <v>236</v>
      </c>
      <c r="C5" s="315"/>
      <c r="D5" s="62"/>
      <c r="E5" s="62">
        <v>55719</v>
      </c>
      <c r="F5" s="31">
        <v>1</v>
      </c>
      <c r="G5" s="318"/>
      <c r="H5" s="318"/>
    </row>
    <row r="6" spans="1:8" x14ac:dyDescent="0.35">
      <c r="A6" s="234" t="s">
        <v>1170</v>
      </c>
      <c r="B6" s="253" t="s">
        <v>671</v>
      </c>
      <c r="C6" s="315"/>
      <c r="D6" s="62"/>
      <c r="E6" s="62">
        <v>55719</v>
      </c>
      <c r="F6" s="31">
        <v>1</v>
      </c>
      <c r="G6" s="318"/>
      <c r="H6" s="318"/>
    </row>
    <row r="7" spans="1:8" x14ac:dyDescent="0.35">
      <c r="A7" s="234" t="s">
        <v>936</v>
      </c>
      <c r="B7" s="253" t="s">
        <v>185</v>
      </c>
      <c r="C7" s="315"/>
      <c r="D7" s="62"/>
      <c r="E7" s="62">
        <v>55719</v>
      </c>
      <c r="F7" s="31">
        <v>2</v>
      </c>
      <c r="G7" s="318"/>
      <c r="H7" s="318"/>
    </row>
    <row r="8" spans="1:8" x14ac:dyDescent="0.35">
      <c r="A8" s="234" t="s">
        <v>889</v>
      </c>
      <c r="B8" s="253" t="s">
        <v>227</v>
      </c>
      <c r="C8" s="315"/>
      <c r="D8" s="62"/>
      <c r="E8" s="62">
        <v>55719</v>
      </c>
      <c r="F8" s="31">
        <v>2</v>
      </c>
      <c r="G8" s="318"/>
      <c r="H8" s="318"/>
    </row>
    <row r="9" spans="1:8" x14ac:dyDescent="0.35">
      <c r="A9" s="234" t="s">
        <v>890</v>
      </c>
      <c r="B9" s="253" t="s">
        <v>228</v>
      </c>
      <c r="C9" s="315"/>
      <c r="D9" s="62"/>
      <c r="E9" s="62">
        <v>55719</v>
      </c>
      <c r="F9" s="31">
        <v>2</v>
      </c>
      <c r="G9" s="318"/>
      <c r="H9" s="318"/>
    </row>
    <row r="10" spans="1:8" x14ac:dyDescent="0.35">
      <c r="A10" s="234" t="s">
        <v>6</v>
      </c>
      <c r="B10" s="253" t="s">
        <v>87</v>
      </c>
      <c r="C10" s="315"/>
      <c r="D10" s="62"/>
      <c r="E10" s="62">
        <v>55719</v>
      </c>
      <c r="F10" s="31">
        <v>1</v>
      </c>
      <c r="G10" s="318"/>
      <c r="H10" s="318"/>
    </row>
    <row r="11" spans="1:8" x14ac:dyDescent="0.35">
      <c r="A11" s="234" t="s">
        <v>141</v>
      </c>
      <c r="B11" s="253" t="s">
        <v>668</v>
      </c>
      <c r="C11" s="315"/>
      <c r="D11" s="62"/>
      <c r="E11" s="62">
        <v>55719</v>
      </c>
      <c r="F11" s="31">
        <v>2</v>
      </c>
      <c r="G11" s="318"/>
      <c r="H11" s="318"/>
    </row>
    <row r="12" spans="1:8" x14ac:dyDescent="0.35">
      <c r="A12" s="234" t="s">
        <v>168</v>
      </c>
      <c r="B12" s="253" t="s">
        <v>536</v>
      </c>
      <c r="C12" s="315"/>
      <c r="D12" s="62"/>
      <c r="E12" s="62">
        <v>55719</v>
      </c>
      <c r="F12" s="31">
        <v>1</v>
      </c>
      <c r="G12" s="318"/>
      <c r="H12" s="318"/>
    </row>
    <row r="13" spans="1:8" x14ac:dyDescent="0.35">
      <c r="A13" s="236" t="s">
        <v>2597</v>
      </c>
      <c r="B13" s="253" t="s">
        <v>428</v>
      </c>
      <c r="C13" s="315"/>
      <c r="D13" s="62"/>
      <c r="E13" s="62">
        <v>55719</v>
      </c>
      <c r="F13" s="31">
        <v>1</v>
      </c>
      <c r="G13" s="318"/>
      <c r="H13" s="318"/>
    </row>
    <row r="14" spans="1:8" x14ac:dyDescent="0.35">
      <c r="A14" s="236" t="s">
        <v>2599</v>
      </c>
      <c r="B14" s="253" t="s">
        <v>555</v>
      </c>
      <c r="C14" s="315"/>
      <c r="D14" s="62"/>
      <c r="E14" s="62">
        <v>55719</v>
      </c>
      <c r="F14" s="31">
        <v>1</v>
      </c>
      <c r="G14" s="318"/>
      <c r="H14" s="318"/>
    </row>
    <row r="15" spans="1:8" x14ac:dyDescent="0.35">
      <c r="A15" s="236" t="s">
        <v>2594</v>
      </c>
      <c r="B15" s="253" t="s">
        <v>757</v>
      </c>
      <c r="C15" s="315"/>
      <c r="D15" s="62"/>
      <c r="E15" s="62">
        <v>55719</v>
      </c>
      <c r="F15" s="31">
        <v>1</v>
      </c>
      <c r="G15" s="318"/>
      <c r="H15" s="318"/>
    </row>
    <row r="16" spans="1:8" x14ac:dyDescent="0.35">
      <c r="A16" s="234" t="s">
        <v>930</v>
      </c>
      <c r="B16" s="253" t="s">
        <v>88</v>
      </c>
      <c r="C16" s="315"/>
      <c r="D16" s="62"/>
      <c r="E16" s="62">
        <v>55719</v>
      </c>
      <c r="F16" s="31">
        <v>1</v>
      </c>
      <c r="G16" s="318"/>
      <c r="H16" s="318"/>
    </row>
    <row r="17" spans="1:8" x14ac:dyDescent="0.35">
      <c r="A17" s="234" t="s">
        <v>2484</v>
      </c>
      <c r="B17" s="253" t="s">
        <v>2223</v>
      </c>
      <c r="C17" s="315"/>
      <c r="D17" s="62"/>
      <c r="E17" s="62">
        <v>55719</v>
      </c>
      <c r="F17" s="31">
        <v>2</v>
      </c>
      <c r="G17" s="318"/>
      <c r="H17" s="318"/>
    </row>
    <row r="18" spans="1:8" x14ac:dyDescent="0.35">
      <c r="A18" s="234" t="s">
        <v>19</v>
      </c>
      <c r="B18" s="253" t="s">
        <v>242</v>
      </c>
      <c r="C18" s="315"/>
      <c r="D18" s="62"/>
      <c r="E18" s="62">
        <v>55719</v>
      </c>
      <c r="F18" s="31">
        <v>1</v>
      </c>
      <c r="G18" s="318"/>
      <c r="H18" s="318"/>
    </row>
    <row r="20" spans="1:8" s="4" customFormat="1" ht="17.5" x14ac:dyDescent="0.35">
      <c r="A20" s="309" t="s">
        <v>1517</v>
      </c>
      <c r="B20" s="312"/>
      <c r="C20" s="249"/>
      <c r="D20" s="3"/>
      <c r="E20" s="3"/>
      <c r="F20" s="3"/>
      <c r="G20" s="37"/>
    </row>
    <row r="21" spans="1:8" s="4" customFormat="1" ht="17.5" x14ac:dyDescent="0.35">
      <c r="A21" s="309" t="s">
        <v>2422</v>
      </c>
      <c r="B21" s="312"/>
      <c r="C21" s="249"/>
      <c r="D21" s="3"/>
      <c r="E21" s="3"/>
      <c r="F21" s="3"/>
      <c r="G21" s="37"/>
    </row>
    <row r="22" spans="1:8" ht="17.5" x14ac:dyDescent="0.35">
      <c r="A22" s="367" t="s">
        <v>2646</v>
      </c>
      <c r="B22" s="201"/>
    </row>
    <row r="23" spans="1:8" ht="28.5" customHeight="1" x14ac:dyDescent="0.35">
      <c r="A23" s="319" t="s">
        <v>2694</v>
      </c>
      <c r="B23" s="307"/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53"/>
  <sheetViews>
    <sheetView workbookViewId="0">
      <pane ySplit="1" topLeftCell="A2" activePane="bottomLeft" state="frozen"/>
      <selection activeCell="C26" sqref="C26"/>
      <selection pane="bottomLeft" activeCell="A33" sqref="A33:XFD33"/>
    </sheetView>
  </sheetViews>
  <sheetFormatPr defaultColWidth="9.08984375" defaultRowHeight="12.5" x14ac:dyDescent="0.25"/>
  <cols>
    <col min="1" max="1" width="63.90625" style="164" bestFit="1" customWidth="1"/>
    <col min="2" max="2" width="16.08984375" style="148" customWidth="1"/>
    <col min="3" max="3" width="21" style="148" customWidth="1"/>
    <col min="4" max="4" width="21.1796875" style="148" customWidth="1"/>
    <col min="5" max="5" width="21.81640625" style="148" customWidth="1"/>
    <col min="6" max="6" width="14.36328125" style="148" customWidth="1"/>
    <col min="7" max="7" width="11.90625" style="165" customWidth="1"/>
    <col min="8" max="8" width="13.08984375" style="164" customWidth="1"/>
    <col min="9" max="9" width="18.6328125" style="164" customWidth="1"/>
    <col min="10" max="16384" width="9.08984375" style="164"/>
  </cols>
  <sheetData>
    <row r="1" spans="1:9" ht="15.5" x14ac:dyDescent="0.35">
      <c r="A1" s="627" t="s">
        <v>0</v>
      </c>
      <c r="B1" s="21" t="s">
        <v>1</v>
      </c>
      <c r="C1" s="284" t="s">
        <v>2608</v>
      </c>
      <c r="D1" s="281" t="s">
        <v>2700</v>
      </c>
      <c r="E1" s="21" t="s">
        <v>1598</v>
      </c>
      <c r="F1" s="21" t="s">
        <v>1599</v>
      </c>
      <c r="G1" s="103" t="s">
        <v>364</v>
      </c>
      <c r="H1" s="326" t="s">
        <v>2695</v>
      </c>
      <c r="I1" s="305" t="s">
        <v>2696</v>
      </c>
    </row>
    <row r="2" spans="1:9" ht="15.5" x14ac:dyDescent="0.35">
      <c r="A2" s="223" t="s">
        <v>408</v>
      </c>
      <c r="B2" s="102" t="s">
        <v>1562</v>
      </c>
      <c r="C2" s="266" t="s">
        <v>2236</v>
      </c>
      <c r="D2" s="315"/>
      <c r="E2" s="102"/>
      <c r="F2" s="102" t="s">
        <v>1604</v>
      </c>
      <c r="G2" s="102">
        <v>1</v>
      </c>
      <c r="H2" s="361"/>
      <c r="I2" s="343"/>
    </row>
    <row r="3" spans="1:9" ht="15.5" x14ac:dyDescent="0.35">
      <c r="A3" s="223" t="s">
        <v>989</v>
      </c>
      <c r="B3" s="102" t="s">
        <v>2237</v>
      </c>
      <c r="C3" s="266" t="s">
        <v>2237</v>
      </c>
      <c r="D3" s="315"/>
      <c r="E3" s="102"/>
      <c r="F3" s="102" t="s">
        <v>1604</v>
      </c>
      <c r="G3" s="102">
        <v>1</v>
      </c>
      <c r="H3" s="361"/>
      <c r="I3" s="343"/>
    </row>
    <row r="4" spans="1:9" ht="15.5" x14ac:dyDescent="0.35">
      <c r="A4" s="223" t="s">
        <v>156</v>
      </c>
      <c r="B4" s="102" t="s">
        <v>559</v>
      </c>
      <c r="C4" s="266" t="s">
        <v>559</v>
      </c>
      <c r="D4" s="315"/>
      <c r="E4" s="102"/>
      <c r="F4" s="102" t="s">
        <v>1604</v>
      </c>
      <c r="G4" s="102">
        <v>1</v>
      </c>
      <c r="H4" s="361"/>
      <c r="I4" s="343"/>
    </row>
    <row r="5" spans="1:9" ht="15.5" x14ac:dyDescent="0.35">
      <c r="A5" s="223" t="s">
        <v>16</v>
      </c>
      <c r="B5" s="102" t="s">
        <v>360</v>
      </c>
      <c r="C5" s="266" t="s">
        <v>360</v>
      </c>
      <c r="D5" s="315"/>
      <c r="E5" s="102"/>
      <c r="F5" s="102" t="s">
        <v>1604</v>
      </c>
      <c r="G5" s="102">
        <v>1</v>
      </c>
      <c r="H5" s="361"/>
      <c r="I5" s="343"/>
    </row>
    <row r="6" spans="1:9" ht="15.5" x14ac:dyDescent="0.35">
      <c r="A6" s="223" t="s">
        <v>1211</v>
      </c>
      <c r="B6" s="102" t="s">
        <v>339</v>
      </c>
      <c r="C6" s="266" t="s">
        <v>339</v>
      </c>
      <c r="D6" s="315"/>
      <c r="E6" s="102"/>
      <c r="F6" s="102" t="s">
        <v>1604</v>
      </c>
      <c r="G6" s="102">
        <v>1</v>
      </c>
      <c r="H6" s="361"/>
      <c r="I6" s="343"/>
    </row>
    <row r="7" spans="1:9" ht="15.5" x14ac:dyDescent="0.35">
      <c r="A7" s="223" t="s">
        <v>157</v>
      </c>
      <c r="B7" s="102" t="s">
        <v>560</v>
      </c>
      <c r="C7" s="266" t="s">
        <v>560</v>
      </c>
      <c r="D7" s="315"/>
      <c r="E7" s="102"/>
      <c r="F7" s="102" t="s">
        <v>1604</v>
      </c>
      <c r="G7" s="102">
        <v>1</v>
      </c>
      <c r="H7" s="361"/>
      <c r="I7" s="343"/>
    </row>
    <row r="8" spans="1:9" ht="15.5" x14ac:dyDescent="0.35">
      <c r="A8" s="223" t="s">
        <v>563</v>
      </c>
      <c r="B8" s="102" t="s">
        <v>561</v>
      </c>
      <c r="C8" s="266" t="s">
        <v>561</v>
      </c>
      <c r="D8" s="315"/>
      <c r="E8" s="102"/>
      <c r="F8" s="102" t="s">
        <v>1604</v>
      </c>
      <c r="G8" s="102">
        <v>1</v>
      </c>
      <c r="H8" s="361"/>
      <c r="I8" s="343"/>
    </row>
    <row r="9" spans="1:9" ht="15.5" x14ac:dyDescent="0.35">
      <c r="A9" s="223" t="s">
        <v>564</v>
      </c>
      <c r="B9" s="102" t="s">
        <v>562</v>
      </c>
      <c r="C9" s="266" t="s">
        <v>562</v>
      </c>
      <c r="D9" s="315"/>
      <c r="E9" s="102"/>
      <c r="F9" s="102" t="s">
        <v>1604</v>
      </c>
      <c r="G9" s="102">
        <v>1</v>
      </c>
      <c r="H9" s="361"/>
      <c r="I9" s="343"/>
    </row>
    <row r="10" spans="1:9" ht="15.5" x14ac:dyDescent="0.35">
      <c r="A10" s="223" t="s">
        <v>15</v>
      </c>
      <c r="B10" s="102" t="s">
        <v>424</v>
      </c>
      <c r="C10" s="266" t="s">
        <v>424</v>
      </c>
      <c r="D10" s="315"/>
      <c r="E10" s="102"/>
      <c r="F10" s="102" t="s">
        <v>1604</v>
      </c>
      <c r="G10" s="102">
        <v>1</v>
      </c>
      <c r="H10" s="361"/>
      <c r="I10" s="343"/>
    </row>
    <row r="11" spans="1:9" ht="15.5" x14ac:dyDescent="0.35">
      <c r="A11" s="223" t="s">
        <v>1019</v>
      </c>
      <c r="B11" s="102" t="s">
        <v>90</v>
      </c>
      <c r="C11" s="266" t="s">
        <v>90</v>
      </c>
      <c r="D11" s="315"/>
      <c r="E11" s="102"/>
      <c r="F11" s="102" t="s">
        <v>1604</v>
      </c>
      <c r="G11" s="102">
        <v>1</v>
      </c>
      <c r="H11" s="361"/>
      <c r="I11" s="343"/>
    </row>
    <row r="12" spans="1:9" ht="15.5" x14ac:dyDescent="0.35">
      <c r="A12" s="223" t="s">
        <v>935</v>
      </c>
      <c r="B12" s="102" t="s">
        <v>359</v>
      </c>
      <c r="C12" s="266" t="s">
        <v>359</v>
      </c>
      <c r="D12" s="315"/>
      <c r="E12" s="102"/>
      <c r="F12" s="102" t="s">
        <v>1604</v>
      </c>
      <c r="G12" s="102">
        <v>2</v>
      </c>
      <c r="H12" s="361"/>
      <c r="I12" s="343"/>
    </row>
    <row r="13" spans="1:9" ht="15.5" x14ac:dyDescent="0.35">
      <c r="A13" s="223" t="s">
        <v>936</v>
      </c>
      <c r="B13" s="102" t="s">
        <v>185</v>
      </c>
      <c r="C13" s="266" t="s">
        <v>185</v>
      </c>
      <c r="D13" s="315"/>
      <c r="E13" s="102"/>
      <c r="F13" s="102" t="s">
        <v>1604</v>
      </c>
      <c r="G13" s="102">
        <v>1</v>
      </c>
      <c r="H13" s="539"/>
      <c r="I13" s="343"/>
    </row>
    <row r="14" spans="1:9" ht="15.5" x14ac:dyDescent="0.35">
      <c r="A14" s="223" t="s">
        <v>889</v>
      </c>
      <c r="B14" s="102" t="s">
        <v>227</v>
      </c>
      <c r="C14" s="266" t="s">
        <v>227</v>
      </c>
      <c r="D14" s="315"/>
      <c r="E14" s="102"/>
      <c r="F14" s="102" t="s">
        <v>1604</v>
      </c>
      <c r="G14" s="102">
        <v>1</v>
      </c>
      <c r="H14" s="361"/>
      <c r="I14" s="343"/>
    </row>
    <row r="15" spans="1:9" ht="15.5" x14ac:dyDescent="0.35">
      <c r="A15" s="223" t="s">
        <v>6</v>
      </c>
      <c r="B15" s="102" t="s">
        <v>87</v>
      </c>
      <c r="C15" s="266" t="s">
        <v>87</v>
      </c>
      <c r="D15" s="315"/>
      <c r="E15" s="102"/>
      <c r="F15" s="102" t="s">
        <v>1604</v>
      </c>
      <c r="G15" s="102">
        <v>1</v>
      </c>
      <c r="H15" s="361"/>
      <c r="I15" s="343"/>
    </row>
    <row r="16" spans="1:9" ht="15.5" x14ac:dyDescent="0.35">
      <c r="A16" s="223" t="s">
        <v>1084</v>
      </c>
      <c r="B16" s="102" t="s">
        <v>546</v>
      </c>
      <c r="C16" s="266" t="s">
        <v>546</v>
      </c>
      <c r="D16" s="315"/>
      <c r="E16" s="102"/>
      <c r="F16" s="102" t="s">
        <v>1604</v>
      </c>
      <c r="G16" s="102">
        <v>1</v>
      </c>
      <c r="H16" s="361"/>
      <c r="I16" s="343"/>
    </row>
    <row r="17" spans="1:9" ht="15.5" x14ac:dyDescent="0.35">
      <c r="A17" s="223" t="s">
        <v>159</v>
      </c>
      <c r="B17" s="102" t="s">
        <v>427</v>
      </c>
      <c r="C17" s="266" t="s">
        <v>427</v>
      </c>
      <c r="D17" s="315"/>
      <c r="E17" s="102"/>
      <c r="F17" s="102" t="s">
        <v>1604</v>
      </c>
      <c r="G17" s="102">
        <v>1</v>
      </c>
      <c r="H17" s="361"/>
      <c r="I17" s="343"/>
    </row>
    <row r="18" spans="1:9" ht="15.5" x14ac:dyDescent="0.35">
      <c r="A18" s="223" t="s">
        <v>2597</v>
      </c>
      <c r="B18" s="102" t="s">
        <v>428</v>
      </c>
      <c r="C18" s="266" t="s">
        <v>428</v>
      </c>
      <c r="D18" s="315"/>
      <c r="E18" s="102"/>
      <c r="F18" s="102" t="s">
        <v>1604</v>
      </c>
      <c r="G18" s="102">
        <v>1</v>
      </c>
      <c r="H18" s="361"/>
      <c r="I18" s="343"/>
    </row>
    <row r="19" spans="1:9" ht="15.5" x14ac:dyDescent="0.35">
      <c r="A19" s="223" t="s">
        <v>2594</v>
      </c>
      <c r="B19" s="102" t="s">
        <v>757</v>
      </c>
      <c r="C19" s="266" t="s">
        <v>757</v>
      </c>
      <c r="D19" s="315"/>
      <c r="E19" s="102"/>
      <c r="F19" s="102" t="s">
        <v>1604</v>
      </c>
      <c r="G19" s="102">
        <v>1</v>
      </c>
      <c r="H19" s="361"/>
      <c r="I19" s="343"/>
    </row>
    <row r="20" spans="1:9" ht="15.5" x14ac:dyDescent="0.35">
      <c r="A20" s="223" t="s">
        <v>1314</v>
      </c>
      <c r="B20" s="102" t="s">
        <v>1633</v>
      </c>
      <c r="C20" s="266" t="s">
        <v>1633</v>
      </c>
      <c r="D20" s="315"/>
      <c r="E20" s="102"/>
      <c r="F20" s="102" t="s">
        <v>1604</v>
      </c>
      <c r="G20" s="102">
        <v>1</v>
      </c>
      <c r="H20" s="361"/>
      <c r="I20" s="343"/>
    </row>
    <row r="21" spans="1:9" ht="15.5" x14ac:dyDescent="0.35">
      <c r="A21" s="223" t="s">
        <v>1348</v>
      </c>
      <c r="B21" s="102" t="s">
        <v>518</v>
      </c>
      <c r="C21" s="266" t="s">
        <v>518</v>
      </c>
      <c r="D21" s="315"/>
      <c r="E21" s="102"/>
      <c r="F21" s="102" t="s">
        <v>1604</v>
      </c>
      <c r="G21" s="102">
        <v>1</v>
      </c>
      <c r="H21" s="361"/>
      <c r="I21" s="343"/>
    </row>
    <row r="22" spans="1:9" ht="15.5" x14ac:dyDescent="0.35">
      <c r="A22" s="223" t="s">
        <v>1351</v>
      </c>
      <c r="B22" s="102" t="s">
        <v>519</v>
      </c>
      <c r="C22" s="266" t="s">
        <v>519</v>
      </c>
      <c r="D22" s="315"/>
      <c r="E22" s="102"/>
      <c r="F22" s="102" t="s">
        <v>1604</v>
      </c>
      <c r="G22" s="102">
        <v>1</v>
      </c>
      <c r="H22" s="361"/>
      <c r="I22" s="343"/>
    </row>
    <row r="23" spans="1:9" ht="15.5" x14ac:dyDescent="0.35">
      <c r="A23" s="223" t="s">
        <v>1352</v>
      </c>
      <c r="B23" s="102" t="s">
        <v>517</v>
      </c>
      <c r="C23" s="266" t="s">
        <v>517</v>
      </c>
      <c r="D23" s="315"/>
      <c r="E23" s="102"/>
      <c r="F23" s="102" t="s">
        <v>1604</v>
      </c>
      <c r="G23" s="102">
        <v>1</v>
      </c>
      <c r="H23" s="361"/>
      <c r="I23" s="343"/>
    </row>
    <row r="24" spans="1:9" ht="15.5" x14ac:dyDescent="0.35">
      <c r="A24" s="223" t="s">
        <v>1353</v>
      </c>
      <c r="B24" s="102" t="s">
        <v>530</v>
      </c>
      <c r="C24" s="266" t="s">
        <v>530</v>
      </c>
      <c r="D24" s="315"/>
      <c r="E24" s="102"/>
      <c r="F24" s="102" t="s">
        <v>1604</v>
      </c>
      <c r="G24" s="102">
        <v>1</v>
      </c>
      <c r="H24" s="361"/>
      <c r="I24" s="343"/>
    </row>
    <row r="25" spans="1:9" ht="15.5" x14ac:dyDescent="0.35">
      <c r="A25" s="223" t="s">
        <v>1355</v>
      </c>
      <c r="B25" s="102" t="s">
        <v>516</v>
      </c>
      <c r="C25" s="266" t="s">
        <v>516</v>
      </c>
      <c r="D25" s="315"/>
      <c r="E25" s="102"/>
      <c r="F25" s="102" t="s">
        <v>1604</v>
      </c>
      <c r="G25" s="102">
        <v>1</v>
      </c>
      <c r="H25" s="361"/>
      <c r="I25" s="343"/>
    </row>
    <row r="26" spans="1:9" ht="15.5" x14ac:dyDescent="0.35">
      <c r="A26" s="223" t="s">
        <v>1341</v>
      </c>
      <c r="B26" s="102" t="s">
        <v>462</v>
      </c>
      <c r="C26" s="266" t="s">
        <v>462</v>
      </c>
      <c r="D26" s="315"/>
      <c r="E26" s="102"/>
      <c r="F26" s="102" t="s">
        <v>1604</v>
      </c>
      <c r="G26" s="102">
        <v>1</v>
      </c>
      <c r="H26" s="361"/>
      <c r="I26" s="343"/>
    </row>
    <row r="27" spans="1:9" ht="15.5" x14ac:dyDescent="0.35">
      <c r="A27" s="223" t="s">
        <v>1345</v>
      </c>
      <c r="B27" s="102" t="s">
        <v>522</v>
      </c>
      <c r="C27" s="266" t="s">
        <v>522</v>
      </c>
      <c r="D27" s="315"/>
      <c r="E27" s="102"/>
      <c r="F27" s="102" t="s">
        <v>1604</v>
      </c>
      <c r="G27" s="102">
        <v>1</v>
      </c>
      <c r="H27" s="361"/>
      <c r="I27" s="343"/>
    </row>
    <row r="28" spans="1:9" ht="15.5" x14ac:dyDescent="0.35">
      <c r="A28" s="223" t="s">
        <v>1099</v>
      </c>
      <c r="B28" s="102" t="s">
        <v>426</v>
      </c>
      <c r="C28" s="266" t="s">
        <v>426</v>
      </c>
      <c r="D28" s="315"/>
      <c r="E28" s="102"/>
      <c r="F28" s="102" t="s">
        <v>1604</v>
      </c>
      <c r="G28" s="102">
        <v>1</v>
      </c>
      <c r="H28" s="361"/>
      <c r="I28" s="343"/>
    </row>
    <row r="29" spans="1:9" ht="15.5" x14ac:dyDescent="0.35">
      <c r="A29" s="223" t="s">
        <v>169</v>
      </c>
      <c r="B29" s="102" t="s">
        <v>1607</v>
      </c>
      <c r="C29" s="266" t="s">
        <v>1607</v>
      </c>
      <c r="D29" s="315"/>
      <c r="E29" s="102"/>
      <c r="F29" s="102" t="s">
        <v>1604</v>
      </c>
      <c r="G29" s="102">
        <v>2</v>
      </c>
      <c r="H29" s="361"/>
      <c r="I29" s="343"/>
    </row>
    <row r="30" spans="1:9" ht="15.5" x14ac:dyDescent="0.35">
      <c r="A30" s="223" t="s">
        <v>2361</v>
      </c>
      <c r="B30" s="102" t="s">
        <v>196</v>
      </c>
      <c r="C30" s="266" t="s">
        <v>196</v>
      </c>
      <c r="D30" s="315"/>
      <c r="E30" s="102"/>
      <c r="F30" s="102" t="s">
        <v>1604</v>
      </c>
      <c r="G30" s="102">
        <v>2</v>
      </c>
      <c r="H30" s="361"/>
      <c r="I30" s="343"/>
    </row>
    <row r="31" spans="1:9" ht="15.5" x14ac:dyDescent="0.35">
      <c r="A31" s="223" t="s">
        <v>19</v>
      </c>
      <c r="B31" s="102" t="s">
        <v>242</v>
      </c>
      <c r="C31" s="266" t="s">
        <v>2607</v>
      </c>
      <c r="D31" s="315"/>
      <c r="E31" s="102"/>
      <c r="F31" s="102" t="s">
        <v>1604</v>
      </c>
      <c r="G31" s="102">
        <v>2</v>
      </c>
      <c r="H31" s="361"/>
      <c r="I31" s="343"/>
    </row>
    <row r="32" spans="1:9" ht="15.5" x14ac:dyDescent="0.35">
      <c r="A32" s="223" t="s">
        <v>13</v>
      </c>
      <c r="B32" s="221" t="s">
        <v>420</v>
      </c>
      <c r="C32" s="266" t="s">
        <v>420</v>
      </c>
      <c r="D32" s="315"/>
      <c r="E32" s="221"/>
      <c r="F32" s="221" t="s">
        <v>1604</v>
      </c>
      <c r="G32" s="221">
        <v>1</v>
      </c>
      <c r="H32" s="361"/>
      <c r="I32" s="343"/>
    </row>
    <row r="33" spans="1:9" ht="15.5" x14ac:dyDescent="0.35">
      <c r="A33" s="223" t="s">
        <v>38</v>
      </c>
      <c r="B33" s="102" t="s">
        <v>200</v>
      </c>
      <c r="C33" s="266" t="s">
        <v>200</v>
      </c>
      <c r="D33" s="315"/>
      <c r="E33" s="102"/>
      <c r="F33" s="102">
        <v>55719</v>
      </c>
      <c r="G33" s="102">
        <v>1</v>
      </c>
      <c r="H33" s="361"/>
      <c r="I33" s="343"/>
    </row>
    <row r="34" spans="1:9" ht="15.5" x14ac:dyDescent="0.35">
      <c r="A34" s="223" t="s">
        <v>97</v>
      </c>
      <c r="B34" s="102" t="s">
        <v>325</v>
      </c>
      <c r="C34" s="266" t="s">
        <v>325</v>
      </c>
      <c r="D34" s="315"/>
      <c r="E34" s="102"/>
      <c r="F34" s="102">
        <v>55719</v>
      </c>
      <c r="G34" s="102">
        <v>1</v>
      </c>
      <c r="H34" s="361"/>
      <c r="I34" s="343"/>
    </row>
    <row r="35" spans="1:9" ht="15.5" x14ac:dyDescent="0.35">
      <c r="A35" s="223" t="s">
        <v>177</v>
      </c>
      <c r="B35" s="102" t="s">
        <v>601</v>
      </c>
      <c r="C35" s="266" t="s">
        <v>601</v>
      </c>
      <c r="D35" s="315"/>
      <c r="E35" s="102"/>
      <c r="F35" s="102">
        <v>55719</v>
      </c>
      <c r="G35" s="102">
        <v>1</v>
      </c>
      <c r="H35" s="361"/>
      <c r="I35" s="343"/>
    </row>
    <row r="36" spans="1:9" ht="15.5" x14ac:dyDescent="0.35">
      <c r="A36" s="223" t="s">
        <v>1011</v>
      </c>
      <c r="B36" s="102" t="s">
        <v>282</v>
      </c>
      <c r="C36" s="266" t="s">
        <v>282</v>
      </c>
      <c r="D36" s="315"/>
      <c r="E36" s="102"/>
      <c r="F36" s="102">
        <v>55719</v>
      </c>
      <c r="G36" s="102">
        <v>1</v>
      </c>
      <c r="H36" s="361"/>
      <c r="I36" s="343"/>
    </row>
    <row r="37" spans="1:9" ht="15.5" x14ac:dyDescent="0.35">
      <c r="A37" s="223" t="s">
        <v>1010</v>
      </c>
      <c r="B37" s="102" t="s">
        <v>114</v>
      </c>
      <c r="C37" s="266" t="s">
        <v>114</v>
      </c>
      <c r="D37" s="315"/>
      <c r="E37" s="102"/>
      <c r="F37" s="102">
        <v>55719</v>
      </c>
      <c r="G37" s="102">
        <v>1</v>
      </c>
      <c r="H37" s="361"/>
      <c r="I37" s="343"/>
    </row>
    <row r="38" spans="1:9" ht="15.5" x14ac:dyDescent="0.35">
      <c r="A38" s="223" t="s">
        <v>915</v>
      </c>
      <c r="B38" s="102" t="s">
        <v>448</v>
      </c>
      <c r="C38" s="266" t="s">
        <v>2606</v>
      </c>
      <c r="D38" s="315"/>
      <c r="E38" s="102"/>
      <c r="F38" s="102">
        <v>55719</v>
      </c>
      <c r="G38" s="102">
        <v>1</v>
      </c>
      <c r="H38" s="361"/>
      <c r="I38" s="343"/>
    </row>
    <row r="39" spans="1:9" ht="15.5" x14ac:dyDescent="0.35">
      <c r="A39" s="223" t="s">
        <v>916</v>
      </c>
      <c r="B39" s="102" t="s">
        <v>451</v>
      </c>
      <c r="C39" s="266" t="s">
        <v>2692</v>
      </c>
      <c r="D39" s="315"/>
      <c r="E39" s="102"/>
      <c r="F39" s="102">
        <v>55719</v>
      </c>
      <c r="G39" s="102">
        <v>1</v>
      </c>
      <c r="H39" s="361"/>
      <c r="I39" s="343"/>
    </row>
    <row r="40" spans="1:9" ht="15.5" x14ac:dyDescent="0.35">
      <c r="A40" s="223" t="s">
        <v>1695</v>
      </c>
      <c r="B40" s="102" t="s">
        <v>1696</v>
      </c>
      <c r="C40" s="266" t="s">
        <v>1696</v>
      </c>
      <c r="D40" s="315"/>
      <c r="E40" s="102"/>
      <c r="F40" s="102">
        <v>55719</v>
      </c>
      <c r="G40" s="102">
        <v>1</v>
      </c>
      <c r="H40" s="361"/>
      <c r="I40" s="343"/>
    </row>
    <row r="41" spans="1:9" ht="15.5" x14ac:dyDescent="0.35">
      <c r="A41" s="223" t="s">
        <v>4</v>
      </c>
      <c r="B41" s="102" t="s">
        <v>86</v>
      </c>
      <c r="C41" s="266" t="s">
        <v>86</v>
      </c>
      <c r="D41" s="315"/>
      <c r="E41" s="102"/>
      <c r="F41" s="102">
        <v>55719</v>
      </c>
      <c r="G41" s="102">
        <v>1</v>
      </c>
      <c r="H41" s="361"/>
      <c r="I41" s="343"/>
    </row>
    <row r="42" spans="1:9" ht="15.5" x14ac:dyDescent="0.35">
      <c r="A42" s="223" t="s">
        <v>1061</v>
      </c>
      <c r="B42" s="102" t="s">
        <v>73</v>
      </c>
      <c r="C42" s="266" t="s">
        <v>73</v>
      </c>
      <c r="D42" s="315"/>
      <c r="E42" s="102"/>
      <c r="F42" s="102">
        <v>55719</v>
      </c>
      <c r="G42" s="102">
        <v>1</v>
      </c>
      <c r="H42" s="361"/>
      <c r="I42" s="343"/>
    </row>
    <row r="43" spans="1:9" ht="15.5" x14ac:dyDescent="0.35">
      <c r="A43" s="223" t="s">
        <v>1060</v>
      </c>
      <c r="B43" s="102" t="s">
        <v>74</v>
      </c>
      <c r="C43" s="266" t="s">
        <v>74</v>
      </c>
      <c r="D43" s="315"/>
      <c r="E43" s="102"/>
      <c r="F43" s="102">
        <v>55719</v>
      </c>
      <c r="G43" s="102">
        <v>1</v>
      </c>
      <c r="H43" s="361"/>
      <c r="I43" s="343"/>
    </row>
    <row r="44" spans="1:9" ht="15.5" x14ac:dyDescent="0.35">
      <c r="A44" s="223" t="s">
        <v>1057</v>
      </c>
      <c r="B44" s="102" t="s">
        <v>72</v>
      </c>
      <c r="C44" s="266" t="s">
        <v>72</v>
      </c>
      <c r="D44" s="315"/>
      <c r="E44" s="102"/>
      <c r="F44" s="102">
        <v>55719</v>
      </c>
      <c r="G44" s="102">
        <v>1</v>
      </c>
      <c r="H44" s="361"/>
      <c r="I44" s="343"/>
    </row>
    <row r="45" spans="1:9" ht="15.5" x14ac:dyDescent="0.35">
      <c r="A45" s="223" t="s">
        <v>14</v>
      </c>
      <c r="B45" s="102" t="s">
        <v>334</v>
      </c>
      <c r="C45" s="266" t="s">
        <v>334</v>
      </c>
      <c r="D45" s="315"/>
      <c r="E45" s="102"/>
      <c r="F45" s="102">
        <v>55719</v>
      </c>
      <c r="G45" s="102">
        <v>2</v>
      </c>
      <c r="H45" s="361"/>
      <c r="I45" s="343"/>
    </row>
    <row r="46" spans="1:9" ht="15.5" x14ac:dyDescent="0.35">
      <c r="A46" s="293" t="s">
        <v>36</v>
      </c>
      <c r="B46" s="570" t="s">
        <v>37</v>
      </c>
      <c r="C46" s="649" t="s">
        <v>37</v>
      </c>
      <c r="D46" s="547"/>
      <c r="E46" s="570"/>
      <c r="F46" s="570">
        <v>55719</v>
      </c>
      <c r="G46" s="570">
        <v>1</v>
      </c>
      <c r="H46" s="539"/>
      <c r="I46" s="650"/>
    </row>
    <row r="50" spans="1:8" s="4" customFormat="1" ht="17.5" x14ac:dyDescent="0.35">
      <c r="A50" s="309" t="s">
        <v>1790</v>
      </c>
      <c r="B50" s="312"/>
      <c r="C50" s="249"/>
      <c r="D50" s="249"/>
      <c r="E50" s="3"/>
      <c r="F50" s="3"/>
      <c r="G50" s="3"/>
      <c r="H50" s="37"/>
    </row>
    <row r="51" spans="1:8" s="4" customFormat="1" ht="17.5" x14ac:dyDescent="0.35">
      <c r="A51" s="309" t="s">
        <v>2421</v>
      </c>
      <c r="B51" s="312"/>
      <c r="C51" s="249"/>
      <c r="D51" s="249"/>
      <c r="E51" s="3"/>
      <c r="F51" s="3"/>
      <c r="G51" s="3"/>
      <c r="H51" s="37"/>
    </row>
    <row r="52" spans="1:8" ht="17.5" x14ac:dyDescent="0.35">
      <c r="A52" s="367" t="s">
        <v>2645</v>
      </c>
      <c r="B52" s="362"/>
    </row>
    <row r="53" spans="1:8" ht="17.5" x14ac:dyDescent="0.35">
      <c r="A53" s="319" t="s">
        <v>2694</v>
      </c>
      <c r="B53" s="307"/>
    </row>
  </sheetData>
  <pageMargins left="0.7" right="0.7" top="0.75" bottom="0.75" header="0.3" footer="0.3"/>
  <pageSetup scale="70" orientation="landscape"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10"/>
  <sheetViews>
    <sheetView workbookViewId="0">
      <pane ySplit="1" topLeftCell="A2" activePane="bottomLeft" state="frozen"/>
      <selection activeCell="C26" sqref="C26"/>
      <selection pane="bottomLeft" activeCell="C27" sqref="C27"/>
    </sheetView>
  </sheetViews>
  <sheetFormatPr defaultColWidth="9.08984375" defaultRowHeight="15.5" x14ac:dyDescent="0.35"/>
  <cols>
    <col min="1" max="1" width="56.54296875" style="72" bestFit="1" customWidth="1"/>
    <col min="2" max="2" width="20.08984375" style="95" bestFit="1" customWidth="1"/>
    <col min="3" max="3" width="21.90625" style="194" bestFit="1" customWidth="1"/>
    <col min="4" max="4" width="25.453125" style="95" bestFit="1" customWidth="1"/>
    <col min="5" max="5" width="18.08984375" style="95" bestFit="1" customWidth="1"/>
    <col min="6" max="6" width="12.6328125" style="72" bestFit="1" customWidth="1"/>
    <col min="7" max="7" width="15.453125" style="72" bestFit="1" customWidth="1"/>
    <col min="8" max="16384" width="9.08984375" style="72"/>
  </cols>
  <sheetData>
    <row r="1" spans="1:8" x14ac:dyDescent="0.35">
      <c r="A1" s="196" t="s">
        <v>0</v>
      </c>
      <c r="B1" s="196" t="s">
        <v>1</v>
      </c>
      <c r="C1" s="281" t="s">
        <v>2700</v>
      </c>
      <c r="D1" s="195" t="s">
        <v>1598</v>
      </c>
      <c r="E1" s="195" t="s">
        <v>1599</v>
      </c>
      <c r="F1" s="197" t="s">
        <v>364</v>
      </c>
      <c r="G1" s="326" t="s">
        <v>2695</v>
      </c>
      <c r="H1" s="306" t="s">
        <v>2696</v>
      </c>
    </row>
    <row r="2" spans="1:8" x14ac:dyDescent="0.35">
      <c r="A2" s="71" t="s">
        <v>1330</v>
      </c>
      <c r="B2" s="62" t="s">
        <v>1678</v>
      </c>
      <c r="C2" s="466"/>
      <c r="D2" s="62" t="s">
        <v>1640</v>
      </c>
      <c r="E2" s="62" t="s">
        <v>1604</v>
      </c>
      <c r="F2" s="64">
        <v>1</v>
      </c>
      <c r="G2" s="370"/>
      <c r="H2" s="372"/>
    </row>
    <row r="3" spans="1:8" x14ac:dyDescent="0.35">
      <c r="A3" s="71" t="s">
        <v>1331</v>
      </c>
      <c r="B3" s="62" t="s">
        <v>608</v>
      </c>
      <c r="C3" s="466"/>
      <c r="D3" s="62" t="s">
        <v>1641</v>
      </c>
      <c r="E3" s="62" t="s">
        <v>1604</v>
      </c>
      <c r="F3" s="64">
        <v>1</v>
      </c>
      <c r="G3" s="370"/>
      <c r="H3" s="372"/>
    </row>
    <row r="4" spans="1:8" x14ac:dyDescent="0.35">
      <c r="A4" s="71" t="s">
        <v>171</v>
      </c>
      <c r="B4" s="62" t="s">
        <v>565</v>
      </c>
      <c r="C4" s="466"/>
      <c r="D4" s="62"/>
      <c r="E4" s="62" t="s">
        <v>1604</v>
      </c>
      <c r="F4" s="64">
        <v>1</v>
      </c>
      <c r="G4" s="370"/>
      <c r="H4" s="372"/>
    </row>
    <row r="5" spans="1:8" s="193" customFormat="1" x14ac:dyDescent="0.35">
      <c r="B5" s="194"/>
      <c r="C5" s="194"/>
      <c r="D5" s="194"/>
      <c r="E5" s="194"/>
    </row>
    <row r="7" spans="1:8" s="4" customFormat="1" ht="17.5" x14ac:dyDescent="0.35">
      <c r="A7" s="309" t="s">
        <v>1532</v>
      </c>
      <c r="B7" s="312"/>
      <c r="C7" s="249"/>
      <c r="D7" s="3"/>
      <c r="E7" s="3"/>
      <c r="F7" s="3"/>
      <c r="G7" s="37"/>
    </row>
    <row r="8" spans="1:8" s="4" customFormat="1" ht="17.5" x14ac:dyDescent="0.35">
      <c r="A8" s="309" t="s">
        <v>2419</v>
      </c>
      <c r="B8" s="312"/>
      <c r="C8" s="249"/>
      <c r="D8" s="3"/>
      <c r="E8" s="3"/>
      <c r="F8" s="3"/>
      <c r="G8" s="37"/>
    </row>
    <row r="9" spans="1:8" ht="17.5" x14ac:dyDescent="0.35">
      <c r="A9" s="367" t="s">
        <v>2639</v>
      </c>
      <c r="B9" s="64"/>
    </row>
    <row r="10" spans="1:8" ht="17.5" x14ac:dyDescent="0.35">
      <c r="A10" s="319" t="s">
        <v>2694</v>
      </c>
      <c r="B10" s="307"/>
    </row>
  </sheetData>
  <sortState xmlns:xlrd2="http://schemas.microsoft.com/office/spreadsheetml/2017/richdata2" ref="A3:J4">
    <sortCondition ref="B3:B4"/>
  </sortState>
  <pageMargins left="0.7" right="0.7" top="0.75" bottom="0.75" header="0.3" footer="0.3"/>
  <pageSetup scale="85" orientation="landscape"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26"/>
  <sheetViews>
    <sheetView workbookViewId="0">
      <selection activeCell="A4" sqref="A4:XFD4"/>
    </sheetView>
  </sheetViews>
  <sheetFormatPr defaultColWidth="9.08984375" defaultRowHeight="15.5" x14ac:dyDescent="0.35"/>
  <cols>
    <col min="1" max="1" width="46.6328125" style="116" bestFit="1" customWidth="1"/>
    <col min="2" max="2" width="16.453125" style="116" bestFit="1" customWidth="1"/>
    <col min="3" max="3" width="20.36328125" style="193" bestFit="1" customWidth="1"/>
    <col min="4" max="4" width="12.453125" style="193" bestFit="1" customWidth="1"/>
    <col min="5" max="5" width="10" style="194" bestFit="1" customWidth="1"/>
    <col min="6" max="6" width="11.36328125" style="116" bestFit="1" customWidth="1"/>
    <col min="7" max="7" width="16.90625" style="116" bestFit="1" customWidth="1"/>
    <col min="8" max="8" width="14.08984375" style="116" customWidth="1"/>
    <col min="9" max="16384" width="9.08984375" style="116"/>
  </cols>
  <sheetData>
    <row r="1" spans="1:10" x14ac:dyDescent="0.35">
      <c r="A1" s="27" t="s">
        <v>0</v>
      </c>
      <c r="B1" s="69" t="s">
        <v>1</v>
      </c>
      <c r="C1" s="281" t="s">
        <v>2700</v>
      </c>
      <c r="D1" s="281" t="s">
        <v>1599</v>
      </c>
      <c r="E1" s="300" t="s">
        <v>364</v>
      </c>
      <c r="F1" s="326" t="s">
        <v>2695</v>
      </c>
      <c r="G1" s="305" t="s">
        <v>2696</v>
      </c>
    </row>
    <row r="2" spans="1:10" x14ac:dyDescent="0.35">
      <c r="A2" s="70" t="s">
        <v>412</v>
      </c>
      <c r="B2" s="68" t="s">
        <v>2221</v>
      </c>
      <c r="C2" s="315"/>
      <c r="D2" s="64">
        <v>55719</v>
      </c>
      <c r="E2" s="64">
        <v>1</v>
      </c>
      <c r="F2" s="370"/>
      <c r="G2" s="370"/>
    </row>
    <row r="3" spans="1:10" x14ac:dyDescent="0.35">
      <c r="A3" s="70" t="s">
        <v>1796</v>
      </c>
      <c r="B3" s="68" t="s">
        <v>607</v>
      </c>
      <c r="C3" s="315"/>
      <c r="D3" s="64">
        <v>55719</v>
      </c>
      <c r="E3" s="64">
        <v>1</v>
      </c>
      <c r="F3" s="315"/>
      <c r="G3" s="370"/>
    </row>
    <row r="4" spans="1:10" x14ac:dyDescent="0.35">
      <c r="A4" s="70" t="s">
        <v>1370</v>
      </c>
      <c r="B4" s="68" t="s">
        <v>1553</v>
      </c>
      <c r="C4" s="315"/>
      <c r="D4" s="64">
        <v>55719</v>
      </c>
      <c r="E4" s="64">
        <v>1</v>
      </c>
      <c r="F4" s="371"/>
      <c r="G4" s="370"/>
    </row>
    <row r="5" spans="1:10" x14ac:dyDescent="0.35">
      <c r="A5" s="70" t="s">
        <v>1372</v>
      </c>
      <c r="B5" s="68" t="s">
        <v>1551</v>
      </c>
      <c r="C5" s="315"/>
      <c r="D5" s="64">
        <v>55719</v>
      </c>
      <c r="E5" s="64">
        <v>1</v>
      </c>
      <c r="F5" s="371"/>
      <c r="G5" s="370"/>
    </row>
    <row r="6" spans="1:10" x14ac:dyDescent="0.35">
      <c r="A6" s="70" t="s">
        <v>1369</v>
      </c>
      <c r="B6" s="68" t="s">
        <v>1552</v>
      </c>
      <c r="C6" s="315"/>
      <c r="D6" s="64">
        <v>55719</v>
      </c>
      <c r="E6" s="64">
        <v>1</v>
      </c>
      <c r="F6" s="371"/>
      <c r="G6" s="370"/>
    </row>
    <row r="7" spans="1:10" x14ac:dyDescent="0.35">
      <c r="A7" s="70" t="s">
        <v>1371</v>
      </c>
      <c r="B7" s="68" t="s">
        <v>1550</v>
      </c>
      <c r="C7" s="315"/>
      <c r="D7" s="64">
        <v>55719</v>
      </c>
      <c r="E7" s="64">
        <v>1</v>
      </c>
      <c r="F7" s="371"/>
      <c r="G7" s="370"/>
    </row>
    <row r="8" spans="1:10" x14ac:dyDescent="0.35">
      <c r="A8" s="70" t="s">
        <v>1374</v>
      </c>
      <c r="B8" s="68" t="s">
        <v>1558</v>
      </c>
      <c r="C8" s="315"/>
      <c r="D8" s="64">
        <v>55719</v>
      </c>
      <c r="E8" s="64">
        <v>1</v>
      </c>
      <c r="F8" s="371"/>
      <c r="G8" s="370"/>
    </row>
    <row r="9" spans="1:10" x14ac:dyDescent="0.35">
      <c r="A9" s="70" t="s">
        <v>1556</v>
      </c>
      <c r="B9" s="68" t="s">
        <v>1557</v>
      </c>
      <c r="C9" s="315"/>
      <c r="D9" s="64">
        <v>55719</v>
      </c>
      <c r="E9" s="64">
        <v>1</v>
      </c>
      <c r="F9" s="371"/>
      <c r="G9" s="370"/>
    </row>
    <row r="10" spans="1:10" x14ac:dyDescent="0.35">
      <c r="A10" s="70" t="s">
        <v>1376</v>
      </c>
      <c r="B10" s="68" t="s">
        <v>1555</v>
      </c>
      <c r="C10" s="315"/>
      <c r="D10" s="64">
        <v>55719</v>
      </c>
      <c r="E10" s="64">
        <v>1</v>
      </c>
      <c r="F10" s="371"/>
      <c r="G10" s="370"/>
    </row>
    <row r="11" spans="1:10" x14ac:dyDescent="0.35">
      <c r="A11" s="70" t="s">
        <v>1375</v>
      </c>
      <c r="B11" s="68" t="s">
        <v>1554</v>
      </c>
      <c r="C11" s="315"/>
      <c r="D11" s="64">
        <v>55719</v>
      </c>
      <c r="E11" s="64">
        <v>1</v>
      </c>
      <c r="F11" s="371"/>
      <c r="G11" s="370"/>
    </row>
    <row r="12" spans="1:10" x14ac:dyDescent="0.35">
      <c r="A12" s="70" t="s">
        <v>1560</v>
      </c>
      <c r="B12" s="68" t="s">
        <v>1561</v>
      </c>
      <c r="C12" s="315"/>
      <c r="D12" s="64">
        <v>55719</v>
      </c>
      <c r="E12" s="64">
        <v>1</v>
      </c>
      <c r="F12" s="371"/>
      <c r="G12" s="370"/>
    </row>
    <row r="13" spans="1:10" x14ac:dyDescent="0.35">
      <c r="A13" s="70" t="s">
        <v>1373</v>
      </c>
      <c r="B13" s="68" t="s">
        <v>1559</v>
      </c>
      <c r="C13" s="315"/>
      <c r="D13" s="64">
        <v>55719</v>
      </c>
      <c r="E13" s="64">
        <v>1</v>
      </c>
      <c r="F13" s="371"/>
      <c r="G13" s="370"/>
    </row>
    <row r="14" spans="1:10" x14ac:dyDescent="0.35">
      <c r="A14" s="70" t="s">
        <v>1548</v>
      </c>
      <c r="B14" s="68" t="s">
        <v>1549</v>
      </c>
      <c r="C14" s="315"/>
      <c r="D14" s="64">
        <v>55719</v>
      </c>
      <c r="E14" s="64">
        <v>1</v>
      </c>
      <c r="F14" s="371"/>
      <c r="G14" s="370"/>
    </row>
    <row r="15" spans="1:10" x14ac:dyDescent="0.35">
      <c r="A15" s="70" t="s">
        <v>1546</v>
      </c>
      <c r="B15" s="68" t="s">
        <v>1547</v>
      </c>
      <c r="C15" s="315"/>
      <c r="D15" s="64">
        <v>55719</v>
      </c>
      <c r="E15" s="64">
        <v>1</v>
      </c>
      <c r="F15" s="371"/>
      <c r="G15" s="370"/>
    </row>
    <row r="16" spans="1:10" x14ac:dyDescent="0.35">
      <c r="A16" s="70" t="s">
        <v>1537</v>
      </c>
      <c r="B16" s="68" t="s">
        <v>1538</v>
      </c>
      <c r="C16" s="315"/>
      <c r="D16" s="64">
        <v>55719</v>
      </c>
      <c r="E16" s="64">
        <v>1</v>
      </c>
      <c r="F16" s="371"/>
      <c r="G16" s="370"/>
      <c r="H16" s="113"/>
      <c r="I16" s="113"/>
      <c r="J16" s="113"/>
    </row>
    <row r="17" spans="1:9" x14ac:dyDescent="0.35">
      <c r="A17" s="70" t="s">
        <v>1539</v>
      </c>
      <c r="B17" s="68" t="s">
        <v>1540</v>
      </c>
      <c r="C17" s="315"/>
      <c r="D17" s="64">
        <v>55719</v>
      </c>
      <c r="E17" s="64">
        <v>1</v>
      </c>
      <c r="F17" s="371"/>
      <c r="G17" s="370"/>
      <c r="H17" s="117"/>
      <c r="I17" s="118"/>
    </row>
    <row r="18" spans="1:9" x14ac:dyDescent="0.35">
      <c r="A18" s="70" t="s">
        <v>1541</v>
      </c>
      <c r="B18" s="68" t="s">
        <v>1542</v>
      </c>
      <c r="C18" s="315"/>
      <c r="D18" s="64">
        <v>55719</v>
      </c>
      <c r="E18" s="64">
        <v>1</v>
      </c>
      <c r="F18" s="371"/>
      <c r="G18" s="370"/>
      <c r="H18" s="117"/>
      <c r="I18" s="118"/>
    </row>
    <row r="19" spans="1:9" x14ac:dyDescent="0.35">
      <c r="A19" s="70" t="s">
        <v>1539</v>
      </c>
      <c r="B19" s="68" t="s">
        <v>1543</v>
      </c>
      <c r="C19" s="315"/>
      <c r="D19" s="64">
        <v>55719</v>
      </c>
      <c r="E19" s="64">
        <v>1</v>
      </c>
      <c r="F19" s="371"/>
      <c r="G19" s="370"/>
      <c r="H19" s="117"/>
      <c r="I19" s="118"/>
    </row>
    <row r="20" spans="1:9" x14ac:dyDescent="0.35">
      <c r="A20" s="70" t="s">
        <v>1544</v>
      </c>
      <c r="B20" s="68" t="s">
        <v>1545</v>
      </c>
      <c r="C20" s="315"/>
      <c r="D20" s="64">
        <v>55719</v>
      </c>
      <c r="E20" s="64">
        <v>1</v>
      </c>
      <c r="F20" s="371"/>
      <c r="G20" s="370"/>
    </row>
    <row r="23" spans="1:9" s="4" customFormat="1" ht="17.5" x14ac:dyDescent="0.35">
      <c r="A23" s="309" t="s">
        <v>1531</v>
      </c>
      <c r="B23" s="312"/>
      <c r="C23" s="249"/>
      <c r="D23" s="249"/>
      <c r="E23" s="249"/>
      <c r="F23" s="37"/>
    </row>
    <row r="24" spans="1:9" s="4" customFormat="1" ht="17.5" x14ac:dyDescent="0.35">
      <c r="A24" s="309" t="s">
        <v>2418</v>
      </c>
      <c r="B24" s="309"/>
      <c r="C24" s="248"/>
      <c r="D24" s="248"/>
      <c r="E24" s="249"/>
    </row>
    <row r="25" spans="1:9" ht="17.5" x14ac:dyDescent="0.35">
      <c r="A25" s="367" t="s">
        <v>2638</v>
      </c>
      <c r="B25" s="70"/>
    </row>
    <row r="26" spans="1:9" ht="17.5" x14ac:dyDescent="0.35">
      <c r="A26" s="319" t="s">
        <v>2694</v>
      </c>
      <c r="B26" s="307"/>
    </row>
  </sheetData>
  <pageMargins left="0.7" right="0.7" top="0.75" bottom="0.75" header="0.3" footer="0.3"/>
  <pageSetup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H28"/>
  <sheetViews>
    <sheetView zoomScale="85" zoomScaleNormal="85" workbookViewId="0">
      <pane ySplit="1" topLeftCell="A2" activePane="bottomLeft" state="frozen"/>
      <selection activeCell="C26" sqref="C26"/>
      <selection pane="bottomLeft" activeCell="A23" sqref="A23:XFD70"/>
    </sheetView>
  </sheetViews>
  <sheetFormatPr defaultColWidth="9.08984375" defaultRowHeight="18" customHeight="1" x14ac:dyDescent="0.35"/>
  <cols>
    <col min="1" max="1" width="56.453125" style="146" bestFit="1" customWidth="1"/>
    <col min="2" max="2" width="18.36328125" style="143" bestFit="1" customWidth="1"/>
    <col min="3" max="3" width="21.08984375" style="143" bestFit="1" customWidth="1"/>
    <col min="4" max="4" width="21.36328125" style="143" customWidth="1"/>
    <col min="5" max="5" width="17.6328125" style="143" bestFit="1" customWidth="1"/>
    <col min="6" max="6" width="11.6328125" style="146" customWidth="1"/>
    <col min="7" max="7" width="12.90625" style="146" customWidth="1"/>
    <col min="8" max="8" width="18.36328125" style="146" customWidth="1"/>
    <col min="9" max="16384" width="9.08984375" style="146"/>
  </cols>
  <sheetData>
    <row r="1" spans="1:8" ht="18" customHeight="1" x14ac:dyDescent="0.35">
      <c r="A1" s="627" t="s">
        <v>0</v>
      </c>
      <c r="B1" s="110" t="s">
        <v>1</v>
      </c>
      <c r="C1" s="281" t="s">
        <v>2700</v>
      </c>
      <c r="D1" s="110" t="s">
        <v>1598</v>
      </c>
      <c r="E1" s="110" t="s">
        <v>1599</v>
      </c>
      <c r="F1" s="140" t="s">
        <v>364</v>
      </c>
      <c r="G1" s="326" t="s">
        <v>2695</v>
      </c>
      <c r="H1" s="305" t="s">
        <v>2696</v>
      </c>
    </row>
    <row r="2" spans="1:8" ht="18" customHeight="1" x14ac:dyDescent="0.35">
      <c r="A2" s="554" t="s">
        <v>2443</v>
      </c>
      <c r="B2" s="253" t="s">
        <v>2439</v>
      </c>
      <c r="C2" s="315"/>
      <c r="D2" s="253"/>
      <c r="E2" s="253">
        <v>55719</v>
      </c>
      <c r="F2" s="201">
        <v>1</v>
      </c>
      <c r="G2" s="317"/>
      <c r="H2" s="325"/>
    </row>
    <row r="3" spans="1:8" ht="18" customHeight="1" x14ac:dyDescent="0.35">
      <c r="A3" s="223" t="s">
        <v>16</v>
      </c>
      <c r="B3" s="252" t="s">
        <v>360</v>
      </c>
      <c r="C3" s="315"/>
      <c r="D3" s="207"/>
      <c r="E3" s="207">
        <v>55719</v>
      </c>
      <c r="F3" s="221">
        <v>1</v>
      </c>
      <c r="G3" s="325"/>
      <c r="H3" s="325"/>
    </row>
    <row r="4" spans="1:8" ht="18" customHeight="1" x14ac:dyDescent="0.35">
      <c r="A4" s="223" t="s">
        <v>1416</v>
      </c>
      <c r="B4" s="252" t="s">
        <v>672</v>
      </c>
      <c r="C4" s="315"/>
      <c r="D4" s="207"/>
      <c r="E4" s="207">
        <v>55719</v>
      </c>
      <c r="F4" s="204">
        <v>1</v>
      </c>
      <c r="G4" s="325"/>
      <c r="H4" s="318"/>
    </row>
    <row r="5" spans="1:8" ht="18" customHeight="1" x14ac:dyDescent="0.35">
      <c r="A5" s="223" t="s">
        <v>1422</v>
      </c>
      <c r="B5" s="252" t="s">
        <v>155</v>
      </c>
      <c r="C5" s="315"/>
      <c r="D5" s="207"/>
      <c r="E5" s="207">
        <v>55719</v>
      </c>
      <c r="F5" s="221">
        <v>1</v>
      </c>
      <c r="G5" s="325"/>
      <c r="H5" s="325"/>
    </row>
    <row r="6" spans="1:8" ht="18" customHeight="1" x14ac:dyDescent="0.35">
      <c r="A6" s="223" t="s">
        <v>15</v>
      </c>
      <c r="B6" s="252" t="s">
        <v>424</v>
      </c>
      <c r="C6" s="315"/>
      <c r="D6" s="207"/>
      <c r="E6" s="207">
        <v>55719</v>
      </c>
      <c r="F6" s="221">
        <v>2</v>
      </c>
      <c r="G6" s="325"/>
      <c r="H6" s="325"/>
    </row>
    <row r="7" spans="1:8" s="106" customFormat="1" ht="15.5" x14ac:dyDescent="0.35">
      <c r="A7" s="223" t="s">
        <v>1019</v>
      </c>
      <c r="B7" s="252" t="s">
        <v>90</v>
      </c>
      <c r="C7" s="315"/>
      <c r="D7" s="207"/>
      <c r="E7" s="207">
        <v>55719</v>
      </c>
      <c r="F7" s="221">
        <v>1</v>
      </c>
      <c r="G7" s="325"/>
      <c r="H7" s="325"/>
    </row>
    <row r="8" spans="1:8" ht="18" customHeight="1" x14ac:dyDescent="0.35">
      <c r="A8" s="223" t="s">
        <v>6</v>
      </c>
      <c r="B8" s="252" t="s">
        <v>87</v>
      </c>
      <c r="C8" s="315"/>
      <c r="D8" s="207"/>
      <c r="E8" s="207">
        <v>55719</v>
      </c>
      <c r="F8" s="221">
        <v>1</v>
      </c>
      <c r="G8" s="325"/>
      <c r="H8" s="318"/>
    </row>
    <row r="9" spans="1:8" ht="18" customHeight="1" x14ac:dyDescent="0.35">
      <c r="A9" s="223" t="s">
        <v>1084</v>
      </c>
      <c r="B9" s="252" t="s">
        <v>546</v>
      </c>
      <c r="C9" s="315"/>
      <c r="D9" s="207"/>
      <c r="E9" s="207">
        <v>55719</v>
      </c>
      <c r="F9" s="221">
        <v>2</v>
      </c>
      <c r="G9" s="325"/>
      <c r="H9" s="325"/>
    </row>
    <row r="10" spans="1:8" ht="18" customHeight="1" x14ac:dyDescent="0.35">
      <c r="A10" s="223" t="s">
        <v>141</v>
      </c>
      <c r="B10" s="252" t="s">
        <v>668</v>
      </c>
      <c r="C10" s="315"/>
      <c r="D10" s="207"/>
      <c r="E10" s="207">
        <v>55719</v>
      </c>
      <c r="F10" s="221">
        <v>2</v>
      </c>
      <c r="G10" s="325"/>
      <c r="H10" s="318"/>
    </row>
    <row r="11" spans="1:8" ht="18" customHeight="1" x14ac:dyDescent="0.35">
      <c r="A11" s="223" t="s">
        <v>1221</v>
      </c>
      <c r="B11" s="252" t="s">
        <v>534</v>
      </c>
      <c r="C11" s="315"/>
      <c r="D11" s="207"/>
      <c r="E11" s="207">
        <v>55719</v>
      </c>
      <c r="F11" s="221">
        <v>1</v>
      </c>
      <c r="G11" s="325"/>
      <c r="H11" s="318"/>
    </row>
    <row r="12" spans="1:8" ht="18" customHeight="1" x14ac:dyDescent="0.35">
      <c r="A12" s="223" t="s">
        <v>168</v>
      </c>
      <c r="B12" s="252" t="s">
        <v>536</v>
      </c>
      <c r="C12" s="315"/>
      <c r="D12" s="207"/>
      <c r="E12" s="207">
        <v>55719</v>
      </c>
      <c r="F12" s="221">
        <v>1</v>
      </c>
      <c r="G12" s="325"/>
      <c r="H12" s="318"/>
    </row>
    <row r="13" spans="1:8" s="106" customFormat="1" ht="15.5" x14ac:dyDescent="0.35">
      <c r="A13" s="223" t="s">
        <v>2597</v>
      </c>
      <c r="B13" s="252" t="s">
        <v>428</v>
      </c>
      <c r="C13" s="315"/>
      <c r="D13" s="207"/>
      <c r="E13" s="207">
        <v>55719</v>
      </c>
      <c r="F13" s="221">
        <v>1</v>
      </c>
      <c r="G13" s="325"/>
      <c r="H13" s="318"/>
    </row>
    <row r="14" spans="1:8" ht="18" customHeight="1" x14ac:dyDescent="0.35">
      <c r="A14" s="223" t="s">
        <v>2594</v>
      </c>
      <c r="B14" s="252" t="s">
        <v>757</v>
      </c>
      <c r="C14" s="315"/>
      <c r="D14" s="207"/>
      <c r="E14" s="207">
        <v>55719</v>
      </c>
      <c r="F14" s="221">
        <v>1</v>
      </c>
      <c r="G14" s="325"/>
      <c r="H14" s="318"/>
    </row>
    <row r="15" spans="1:8" s="106" customFormat="1" ht="15.5" x14ac:dyDescent="0.35">
      <c r="A15" s="223" t="s">
        <v>2342</v>
      </c>
      <c r="B15" s="252" t="s">
        <v>2343</v>
      </c>
      <c r="C15" s="315"/>
      <c r="D15" s="207"/>
      <c r="E15" s="207">
        <v>55719</v>
      </c>
      <c r="F15" s="221">
        <v>2</v>
      </c>
      <c r="G15" s="325"/>
      <c r="H15" s="325"/>
    </row>
    <row r="16" spans="1:8" s="106" customFormat="1" ht="15.5" x14ac:dyDescent="0.35">
      <c r="A16" s="223" t="s">
        <v>2476</v>
      </c>
      <c r="B16" s="252" t="s">
        <v>1755</v>
      </c>
      <c r="C16" s="315"/>
      <c r="D16" s="207"/>
      <c r="E16" s="207">
        <v>55719</v>
      </c>
      <c r="F16" s="221">
        <v>2</v>
      </c>
      <c r="G16" s="325"/>
      <c r="H16" s="325"/>
    </row>
    <row r="17" spans="1:8" s="106" customFormat="1" ht="15.5" x14ac:dyDescent="0.35">
      <c r="A17" s="223" t="s">
        <v>2477</v>
      </c>
      <c r="B17" s="252" t="s">
        <v>744</v>
      </c>
      <c r="C17" s="315"/>
      <c r="D17" s="207"/>
      <c r="E17" s="207">
        <v>55719</v>
      </c>
      <c r="F17" s="221">
        <v>2</v>
      </c>
      <c r="G17" s="325"/>
      <c r="H17" s="325"/>
    </row>
    <row r="18" spans="1:8" s="106" customFormat="1" ht="15.5" x14ac:dyDescent="0.35">
      <c r="A18" s="223" t="s">
        <v>1359</v>
      </c>
      <c r="B18" s="252" t="s">
        <v>615</v>
      </c>
      <c r="C18" s="315"/>
      <c r="D18" s="207"/>
      <c r="E18" s="207">
        <v>55719</v>
      </c>
      <c r="F18" s="221">
        <v>1</v>
      </c>
      <c r="G18" s="325"/>
      <c r="H18" s="325"/>
    </row>
    <row r="19" spans="1:8" s="106" customFormat="1" ht="15.5" x14ac:dyDescent="0.35">
      <c r="A19" s="223" t="s">
        <v>984</v>
      </c>
      <c r="B19" s="252" t="s">
        <v>1669</v>
      </c>
      <c r="C19" s="315"/>
      <c r="D19" s="207"/>
      <c r="E19" s="207">
        <v>55719</v>
      </c>
      <c r="F19" s="221">
        <v>6</v>
      </c>
      <c r="G19" s="325"/>
      <c r="H19" s="325"/>
    </row>
    <row r="20" spans="1:8" s="106" customFormat="1" ht="15.5" x14ac:dyDescent="0.35">
      <c r="A20" s="223" t="s">
        <v>1407</v>
      </c>
      <c r="B20" s="252" t="s">
        <v>662</v>
      </c>
      <c r="C20" s="315"/>
      <c r="D20" s="207"/>
      <c r="E20" s="207">
        <v>55719</v>
      </c>
      <c r="F20" s="221">
        <v>1</v>
      </c>
      <c r="G20" s="325"/>
      <c r="H20" s="325"/>
    </row>
    <row r="21" spans="1:8" s="106" customFormat="1" ht="15.5" x14ac:dyDescent="0.35">
      <c r="A21" s="223" t="s">
        <v>19</v>
      </c>
      <c r="B21" s="252" t="s">
        <v>242</v>
      </c>
      <c r="C21" s="315"/>
      <c r="D21" s="207"/>
      <c r="E21" s="207">
        <v>55719</v>
      </c>
      <c r="F21" s="221">
        <v>2</v>
      </c>
      <c r="G21" s="325"/>
      <c r="H21" s="325"/>
    </row>
    <row r="22" spans="1:8" s="106" customFormat="1" ht="15.5" x14ac:dyDescent="0.35">
      <c r="A22" s="223" t="s">
        <v>362</v>
      </c>
      <c r="B22" s="252" t="s">
        <v>363</v>
      </c>
      <c r="C22" s="315"/>
      <c r="D22" s="207"/>
      <c r="E22" s="207">
        <v>55719</v>
      </c>
      <c r="F22" s="221">
        <v>1</v>
      </c>
      <c r="G22" s="325"/>
      <c r="H22" s="325"/>
    </row>
    <row r="25" spans="1:8" s="4" customFormat="1" ht="17.5" x14ac:dyDescent="0.35">
      <c r="A25" s="309" t="s">
        <v>1518</v>
      </c>
      <c r="B25" s="312"/>
      <c r="C25" s="249"/>
      <c r="D25" s="249"/>
      <c r="E25" s="3"/>
      <c r="F25" s="3"/>
      <c r="G25" s="37"/>
    </row>
    <row r="26" spans="1:8" s="4" customFormat="1" ht="17.5" x14ac:dyDescent="0.35">
      <c r="A26" s="309" t="s">
        <v>2417</v>
      </c>
      <c r="B26" s="312"/>
      <c r="C26" s="249"/>
      <c r="D26" s="249"/>
      <c r="E26" s="3"/>
      <c r="F26" s="3"/>
    </row>
    <row r="27" spans="1:8" ht="18" customHeight="1" x14ac:dyDescent="0.35">
      <c r="A27" s="367" t="s">
        <v>2644</v>
      </c>
      <c r="B27" s="142"/>
    </row>
    <row r="28" spans="1:8" ht="18" customHeight="1" x14ac:dyDescent="0.35">
      <c r="A28" s="319" t="s">
        <v>2694</v>
      </c>
      <c r="B28" s="307"/>
    </row>
  </sheetData>
  <pageMargins left="0.7" right="0.7" top="0.75" bottom="0.75" header="0.3" footer="0.3"/>
  <pageSetup scale="45" fitToHeight="0" orientation="landscape"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11"/>
  <sheetViews>
    <sheetView workbookViewId="0">
      <selection activeCell="F35" sqref="F35"/>
    </sheetView>
  </sheetViews>
  <sheetFormatPr defaultColWidth="9.08984375" defaultRowHeight="15.5" x14ac:dyDescent="0.35"/>
  <cols>
    <col min="1" max="1" width="56.453125" style="163" bestFit="1" customWidth="1"/>
    <col min="2" max="2" width="14.36328125" style="151" bestFit="1" customWidth="1"/>
    <col min="3" max="3" width="20.36328125" style="143" bestFit="1" customWidth="1"/>
    <col min="4" max="4" width="20.08984375" style="151" bestFit="1" customWidth="1"/>
    <col min="5" max="5" width="12.453125" style="151" bestFit="1" customWidth="1"/>
    <col min="6" max="6" width="10" style="147" bestFit="1" customWidth="1"/>
    <col min="7" max="7" width="11.36328125" style="146" bestFit="1" customWidth="1"/>
    <col min="8" max="8" width="16.90625" style="146" bestFit="1" customWidth="1"/>
    <col min="9" max="16384" width="9.08984375" style="146"/>
  </cols>
  <sheetData>
    <row r="1" spans="1:8" x14ac:dyDescent="0.35">
      <c r="A1" s="157" t="s">
        <v>0</v>
      </c>
      <c r="B1" s="158" t="s">
        <v>1</v>
      </c>
      <c r="C1" s="281" t="s">
        <v>2700</v>
      </c>
      <c r="D1" s="21" t="s">
        <v>1598</v>
      </c>
      <c r="E1" s="21" t="s">
        <v>1599</v>
      </c>
      <c r="F1" s="103" t="s">
        <v>364</v>
      </c>
      <c r="G1" s="326" t="s">
        <v>2695</v>
      </c>
      <c r="H1" s="305" t="s">
        <v>2696</v>
      </c>
    </row>
    <row r="2" spans="1:8" x14ac:dyDescent="0.35">
      <c r="A2" s="101" t="s">
        <v>16</v>
      </c>
      <c r="B2" s="62" t="s">
        <v>360</v>
      </c>
      <c r="C2" s="315"/>
      <c r="D2" s="62"/>
      <c r="E2" s="62" t="s">
        <v>1604</v>
      </c>
      <c r="F2" s="369">
        <v>1</v>
      </c>
      <c r="G2" s="325"/>
      <c r="H2" s="325"/>
    </row>
    <row r="3" spans="1:8" x14ac:dyDescent="0.35">
      <c r="A3" s="101" t="s">
        <v>1221</v>
      </c>
      <c r="B3" s="62" t="s">
        <v>534</v>
      </c>
      <c r="C3" s="315"/>
      <c r="D3" s="62"/>
      <c r="E3" s="62" t="s">
        <v>1604</v>
      </c>
      <c r="F3" s="369">
        <v>1</v>
      </c>
      <c r="G3" s="325"/>
      <c r="H3" s="325"/>
    </row>
    <row r="4" spans="1:8" x14ac:dyDescent="0.35">
      <c r="A4" s="101" t="s">
        <v>2597</v>
      </c>
      <c r="B4" s="62" t="s">
        <v>428</v>
      </c>
      <c r="C4" s="315"/>
      <c r="D4" s="62"/>
      <c r="E4" s="62" t="s">
        <v>1604</v>
      </c>
      <c r="F4" s="369">
        <v>1</v>
      </c>
      <c r="G4" s="325"/>
      <c r="H4" s="325"/>
    </row>
    <row r="5" spans="1:8" x14ac:dyDescent="0.35">
      <c r="A5" s="101" t="s">
        <v>2594</v>
      </c>
      <c r="B5" s="62" t="s">
        <v>757</v>
      </c>
      <c r="C5" s="315"/>
      <c r="D5" s="62"/>
      <c r="E5" s="62" t="s">
        <v>1604</v>
      </c>
      <c r="F5" s="369">
        <v>1</v>
      </c>
      <c r="G5" s="325"/>
      <c r="H5" s="325"/>
    </row>
    <row r="6" spans="1:8" x14ac:dyDescent="0.35">
      <c r="A6" s="159"/>
      <c r="B6" s="160"/>
      <c r="C6" s="264"/>
      <c r="D6" s="160"/>
      <c r="E6" s="160"/>
      <c r="F6" s="161"/>
      <c r="G6" s="162"/>
    </row>
    <row r="8" spans="1:8" s="4" customFormat="1" ht="17.5" x14ac:dyDescent="0.35">
      <c r="A8" s="309" t="s">
        <v>1752</v>
      </c>
      <c r="B8" s="312"/>
      <c r="C8" s="249"/>
      <c r="D8" s="3"/>
      <c r="E8" s="3"/>
      <c r="F8" s="3"/>
      <c r="G8" s="37"/>
    </row>
    <row r="9" spans="1:8" s="4" customFormat="1" ht="17.5" x14ac:dyDescent="0.35">
      <c r="A9" s="309" t="s">
        <v>2392</v>
      </c>
      <c r="B9" s="312"/>
      <c r="C9" s="249"/>
      <c r="D9" s="3"/>
      <c r="E9" s="3"/>
      <c r="F9" s="3"/>
      <c r="G9" s="37"/>
    </row>
    <row r="10" spans="1:8" ht="17.5" x14ac:dyDescent="0.35">
      <c r="A10" s="367" t="s">
        <v>2637</v>
      </c>
      <c r="B10" s="150"/>
    </row>
    <row r="11" spans="1:8" ht="17.5" x14ac:dyDescent="0.35">
      <c r="A11" s="319" t="s">
        <v>2694</v>
      </c>
      <c r="B11" s="307"/>
    </row>
  </sheetData>
  <sortState xmlns:xlrd2="http://schemas.microsoft.com/office/spreadsheetml/2017/richdata2" ref="A2:H9">
    <sortCondition ref="B2:B9"/>
  </sortState>
  <pageMargins left="0.7" right="0.7" top="0.75" bottom="0.75" header="0.3" footer="0.3"/>
  <pageSetup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4"/>
  <sheetViews>
    <sheetView workbookViewId="0">
      <pane ySplit="1" topLeftCell="A2" activePane="bottomLeft" state="frozen"/>
      <selection activeCell="C26" sqref="C26"/>
      <selection pane="bottomLeft" activeCell="H29" sqref="H29"/>
    </sheetView>
  </sheetViews>
  <sheetFormatPr defaultColWidth="9.08984375" defaultRowHeight="15.5" x14ac:dyDescent="0.35"/>
  <cols>
    <col min="1" max="1" width="70.6328125" style="141" bestFit="1" customWidth="1"/>
    <col min="2" max="2" width="16.08984375" style="143" customWidth="1"/>
    <col min="3" max="3" width="21.1796875" style="143" customWidth="1"/>
    <col min="4" max="4" width="21.81640625" style="143" customWidth="1"/>
    <col min="5" max="5" width="14.36328125" style="143" customWidth="1"/>
    <col min="6" max="6" width="11.90625" style="144" customWidth="1"/>
    <col min="7" max="7" width="13.08984375" style="141" customWidth="1"/>
    <col min="8" max="8" width="18.6328125" style="141" customWidth="1"/>
    <col min="9" max="16384" width="9.08984375" style="141"/>
  </cols>
  <sheetData>
    <row r="1" spans="1:8" x14ac:dyDescent="0.35">
      <c r="A1" s="643" t="s">
        <v>0</v>
      </c>
      <c r="B1" s="110" t="s">
        <v>1</v>
      </c>
      <c r="C1" s="281" t="s">
        <v>2700</v>
      </c>
      <c r="D1" s="110" t="s">
        <v>1598</v>
      </c>
      <c r="E1" s="110" t="s">
        <v>1599</v>
      </c>
      <c r="F1" s="57" t="s">
        <v>364</v>
      </c>
      <c r="G1" s="326" t="s">
        <v>2695</v>
      </c>
      <c r="H1" s="305" t="s">
        <v>2696</v>
      </c>
    </row>
    <row r="2" spans="1:8" x14ac:dyDescent="0.35">
      <c r="A2" s="644" t="s">
        <v>1092</v>
      </c>
      <c r="B2" s="207" t="s">
        <v>148</v>
      </c>
      <c r="C2" s="315"/>
      <c r="D2" s="115"/>
      <c r="E2" s="115" t="s">
        <v>1604</v>
      </c>
      <c r="F2" s="254">
        <v>1</v>
      </c>
      <c r="G2" s="325"/>
      <c r="H2" s="325"/>
    </row>
    <row r="3" spans="1:8" x14ac:dyDescent="0.35">
      <c r="A3" s="645" t="s">
        <v>408</v>
      </c>
      <c r="B3" s="207" t="s">
        <v>1562</v>
      </c>
      <c r="C3" s="315"/>
      <c r="D3" s="115"/>
      <c r="E3" s="115" t="s">
        <v>1604</v>
      </c>
      <c r="F3" s="221">
        <v>1</v>
      </c>
      <c r="G3" s="325"/>
      <c r="H3" s="325"/>
    </row>
    <row r="4" spans="1:8" x14ac:dyDescent="0.35">
      <c r="A4" s="644" t="s">
        <v>893</v>
      </c>
      <c r="B4" s="115" t="s">
        <v>149</v>
      </c>
      <c r="C4" s="315"/>
      <c r="D4" s="115"/>
      <c r="E4" s="115" t="s">
        <v>1604</v>
      </c>
      <c r="F4" s="19">
        <v>1</v>
      </c>
      <c r="G4" s="325"/>
      <c r="H4" s="325"/>
    </row>
    <row r="5" spans="1:8" x14ac:dyDescent="0.35">
      <c r="A5" s="652" t="s">
        <v>874</v>
      </c>
      <c r="B5" s="175" t="s">
        <v>206</v>
      </c>
      <c r="C5" s="315"/>
      <c r="D5" s="115"/>
      <c r="E5" s="115" t="s">
        <v>1604</v>
      </c>
      <c r="F5" s="254">
        <v>1</v>
      </c>
      <c r="G5" s="325"/>
      <c r="H5" s="325"/>
    </row>
    <row r="6" spans="1:8" x14ac:dyDescent="0.35">
      <c r="A6" s="644" t="s">
        <v>1019</v>
      </c>
      <c r="B6" s="207" t="s">
        <v>152</v>
      </c>
      <c r="C6" s="315"/>
      <c r="D6" s="115"/>
      <c r="E6" s="115" t="s">
        <v>1604</v>
      </c>
      <c r="F6" s="19">
        <v>1</v>
      </c>
      <c r="G6" s="325"/>
      <c r="H6" s="325"/>
    </row>
    <row r="7" spans="1:8" x14ac:dyDescent="0.35">
      <c r="A7" s="644" t="s">
        <v>12</v>
      </c>
      <c r="B7" s="207" t="s">
        <v>150</v>
      </c>
      <c r="C7" s="315"/>
      <c r="D7" s="115"/>
      <c r="E7" s="115" t="s">
        <v>1604</v>
      </c>
      <c r="F7" s="254">
        <v>1</v>
      </c>
      <c r="G7" s="325"/>
      <c r="H7" s="325"/>
    </row>
    <row r="8" spans="1:8" x14ac:dyDescent="0.35">
      <c r="A8" s="622" t="s">
        <v>5</v>
      </c>
      <c r="B8" s="30" t="s">
        <v>333</v>
      </c>
      <c r="C8" s="315"/>
      <c r="D8" s="115"/>
      <c r="E8" s="115" t="s">
        <v>1604</v>
      </c>
      <c r="F8" s="19">
        <v>1</v>
      </c>
      <c r="G8" s="325"/>
      <c r="H8" s="325"/>
    </row>
    <row r="9" spans="1:8" x14ac:dyDescent="0.35">
      <c r="A9" s="624" t="s">
        <v>1292</v>
      </c>
      <c r="B9" s="30" t="s">
        <v>754</v>
      </c>
      <c r="C9" s="315"/>
      <c r="D9" s="115"/>
      <c r="E9" s="115" t="s">
        <v>1604</v>
      </c>
      <c r="F9" s="254">
        <v>1</v>
      </c>
      <c r="G9" s="325"/>
      <c r="H9" s="325"/>
    </row>
    <row r="10" spans="1:8" x14ac:dyDescent="0.35">
      <c r="A10" s="644" t="s">
        <v>146</v>
      </c>
      <c r="B10" s="207" t="s">
        <v>278</v>
      </c>
      <c r="C10" s="315"/>
      <c r="D10" s="115"/>
      <c r="E10" s="115" t="s">
        <v>1604</v>
      </c>
      <c r="F10" s="19">
        <v>1</v>
      </c>
      <c r="G10" s="325"/>
      <c r="H10" s="325"/>
    </row>
    <row r="11" spans="1:8" x14ac:dyDescent="0.35">
      <c r="A11" s="545" t="s">
        <v>1143</v>
      </c>
      <c r="B11" s="115" t="s">
        <v>147</v>
      </c>
      <c r="C11" s="315"/>
      <c r="D11" s="115"/>
      <c r="E11" s="115" t="s">
        <v>1604</v>
      </c>
      <c r="F11" s="252">
        <v>1</v>
      </c>
      <c r="G11" s="325"/>
      <c r="H11" s="325"/>
    </row>
    <row r="12" spans="1:8" x14ac:dyDescent="0.35">
      <c r="A12" s="644" t="s">
        <v>1360</v>
      </c>
      <c r="B12" s="115" t="s">
        <v>145</v>
      </c>
      <c r="C12" s="315"/>
      <c r="D12" s="115"/>
      <c r="E12" s="115" t="s">
        <v>1604</v>
      </c>
      <c r="F12" s="19">
        <v>1</v>
      </c>
      <c r="G12" s="325"/>
      <c r="H12" s="325"/>
    </row>
    <row r="13" spans="1:8" x14ac:dyDescent="0.35">
      <c r="A13" s="624" t="s">
        <v>81</v>
      </c>
      <c r="B13" s="30" t="s">
        <v>109</v>
      </c>
      <c r="C13" s="315"/>
      <c r="D13" s="115"/>
      <c r="E13" s="115" t="s">
        <v>1604</v>
      </c>
      <c r="F13" s="19">
        <v>1</v>
      </c>
      <c r="G13" s="325"/>
      <c r="H13" s="325"/>
    </row>
    <row r="14" spans="1:8" x14ac:dyDescent="0.35">
      <c r="A14" s="259" t="s">
        <v>930</v>
      </c>
      <c r="B14" s="115" t="s">
        <v>88</v>
      </c>
      <c r="C14" s="315"/>
      <c r="D14" s="115"/>
      <c r="E14" s="115" t="s">
        <v>1604</v>
      </c>
      <c r="F14" s="221">
        <v>1</v>
      </c>
      <c r="G14" s="325"/>
      <c r="H14" s="325"/>
    </row>
    <row r="15" spans="1:8" x14ac:dyDescent="0.35">
      <c r="A15" s="645" t="s">
        <v>4</v>
      </c>
      <c r="B15" s="115" t="s">
        <v>86</v>
      </c>
      <c r="C15" s="315"/>
      <c r="D15" s="115"/>
      <c r="E15" s="115" t="s">
        <v>1604</v>
      </c>
      <c r="F15" s="102">
        <v>1</v>
      </c>
      <c r="G15" s="325"/>
      <c r="H15" s="325"/>
    </row>
    <row r="16" spans="1:8" x14ac:dyDescent="0.35">
      <c r="A16" s="223" t="s">
        <v>1060</v>
      </c>
      <c r="B16" s="207" t="s">
        <v>74</v>
      </c>
      <c r="C16" s="315"/>
      <c r="D16" s="115"/>
      <c r="E16" s="115" t="s">
        <v>1604</v>
      </c>
      <c r="F16" s="65">
        <v>1</v>
      </c>
      <c r="G16" s="325"/>
      <c r="H16" s="325"/>
    </row>
    <row r="17" spans="1:8" x14ac:dyDescent="0.35">
      <c r="A17" s="652" t="s">
        <v>97</v>
      </c>
      <c r="B17" s="176" t="s">
        <v>457</v>
      </c>
      <c r="C17" s="315"/>
      <c r="D17" s="115"/>
      <c r="E17" s="115" t="s">
        <v>1604</v>
      </c>
      <c r="F17" s="19">
        <v>1</v>
      </c>
      <c r="G17" s="325"/>
      <c r="H17" s="325"/>
    </row>
    <row r="18" spans="1:8" x14ac:dyDescent="0.35">
      <c r="A18" s="646" t="s">
        <v>19</v>
      </c>
      <c r="B18" s="226" t="s">
        <v>242</v>
      </c>
      <c r="C18" s="547"/>
      <c r="D18" s="226"/>
      <c r="E18" s="226" t="s">
        <v>1604</v>
      </c>
      <c r="F18" s="570">
        <v>1</v>
      </c>
      <c r="G18" s="651"/>
      <c r="H18" s="651"/>
    </row>
    <row r="21" spans="1:8" s="4" customFormat="1" ht="17.5" x14ac:dyDescent="0.35">
      <c r="A21" s="309" t="s">
        <v>1754</v>
      </c>
      <c r="B21" s="312"/>
      <c r="C21" s="249"/>
      <c r="D21" s="3"/>
      <c r="E21" s="3"/>
      <c r="F21" s="3"/>
      <c r="G21" s="37"/>
    </row>
    <row r="22" spans="1:8" s="4" customFormat="1" ht="17.5" x14ac:dyDescent="0.35">
      <c r="A22" s="309" t="s">
        <v>2431</v>
      </c>
      <c r="B22" s="312"/>
      <c r="C22" s="249"/>
      <c r="D22" s="3"/>
      <c r="E22" s="3"/>
      <c r="F22" s="3"/>
      <c r="G22" s="37"/>
    </row>
    <row r="23" spans="1:8" ht="17.5" x14ac:dyDescent="0.35">
      <c r="A23" s="367" t="s">
        <v>2636</v>
      </c>
      <c r="B23" s="368"/>
    </row>
    <row r="24" spans="1:8" ht="17.5" x14ac:dyDescent="0.35">
      <c r="A24" s="319" t="s">
        <v>2694</v>
      </c>
      <c r="B24" s="307"/>
    </row>
  </sheetData>
  <sortState xmlns:xlrd2="http://schemas.microsoft.com/office/spreadsheetml/2017/richdata2" ref="A2:H19">
    <sortCondition ref="B2:B19"/>
  </sortState>
  <pageMargins left="0.7" right="0.7" top="0.75" bottom="0.75" header="0.3" footer="0.3"/>
  <pageSetup scale="80" orientation="landscape"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H10"/>
  <sheetViews>
    <sheetView workbookViewId="0">
      <pane ySplit="1" topLeftCell="A2" activePane="bottomLeft" state="frozen"/>
      <selection activeCell="C26" sqref="C26"/>
      <selection pane="bottomLeft" activeCell="A4" sqref="A4:XFD4"/>
    </sheetView>
  </sheetViews>
  <sheetFormatPr defaultColWidth="9.08984375" defaultRowHeight="18.5" x14ac:dyDescent="0.45"/>
  <cols>
    <col min="1" max="1" width="63.90625" style="46" bestFit="1" customWidth="1"/>
    <col min="2" max="2" width="15.90625" style="130" bestFit="1" customWidth="1"/>
    <col min="3" max="3" width="20.36328125" style="130" bestFit="1" customWidth="1"/>
    <col min="4" max="4" width="20.08984375" style="130" bestFit="1" customWidth="1"/>
    <col min="5" max="5" width="12.453125" style="130" bestFit="1" customWidth="1"/>
    <col min="6" max="6" width="10" style="46" bestFit="1" customWidth="1"/>
    <col min="7" max="7" width="11.36328125" style="46" bestFit="1" customWidth="1"/>
    <col min="8" max="8" width="16.90625" style="46" bestFit="1" customWidth="1"/>
    <col min="9" max="16384" width="9.08984375" style="46"/>
  </cols>
  <sheetData>
    <row r="1" spans="1:8" x14ac:dyDescent="0.45">
      <c r="A1" s="13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89" t="s">
        <v>364</v>
      </c>
      <c r="G1" s="326" t="s">
        <v>2695</v>
      </c>
      <c r="H1" s="305" t="s">
        <v>2696</v>
      </c>
    </row>
    <row r="2" spans="1:8" x14ac:dyDescent="0.45">
      <c r="A2" s="8" t="s">
        <v>16</v>
      </c>
      <c r="B2" s="253" t="s">
        <v>360</v>
      </c>
      <c r="C2" s="315"/>
      <c r="D2" s="62"/>
      <c r="E2" s="62" t="s">
        <v>1604</v>
      </c>
      <c r="F2" s="351">
        <v>1</v>
      </c>
      <c r="G2" s="318"/>
      <c r="H2" s="366"/>
    </row>
    <row r="3" spans="1:8" x14ac:dyDescent="0.45">
      <c r="A3" s="135" t="s">
        <v>1099</v>
      </c>
      <c r="B3" s="253" t="s">
        <v>426</v>
      </c>
      <c r="C3" s="315"/>
      <c r="D3" s="62"/>
      <c r="E3" s="62" t="s">
        <v>1604</v>
      </c>
      <c r="F3" s="363">
        <v>1</v>
      </c>
      <c r="G3" s="318"/>
      <c r="H3" s="366"/>
    </row>
    <row r="4" spans="1:8" x14ac:dyDescent="0.45">
      <c r="A4" s="273" t="s">
        <v>13</v>
      </c>
      <c r="B4" s="272" t="s">
        <v>420</v>
      </c>
      <c r="C4" s="315"/>
      <c r="D4" s="272"/>
      <c r="E4" s="272" t="s">
        <v>1604</v>
      </c>
      <c r="F4" s="364">
        <v>1</v>
      </c>
      <c r="G4" s="318"/>
      <c r="H4" s="366"/>
    </row>
    <row r="7" spans="1:8" x14ac:dyDescent="0.45">
      <c r="A7" s="309" t="s">
        <v>1777</v>
      </c>
      <c r="B7" s="309"/>
      <c r="C7" s="248"/>
      <c r="D7" s="3"/>
      <c r="E7" s="3"/>
      <c r="F7" s="3"/>
    </row>
    <row r="8" spans="1:8" x14ac:dyDescent="0.45">
      <c r="A8" s="309" t="s">
        <v>2429</v>
      </c>
      <c r="B8" s="312"/>
      <c r="C8" s="249"/>
      <c r="D8" s="3"/>
      <c r="E8" s="3"/>
      <c r="F8" s="3"/>
    </row>
    <row r="9" spans="1:8" x14ac:dyDescent="0.45">
      <c r="A9" s="310" t="s">
        <v>2643</v>
      </c>
      <c r="B9" s="365"/>
    </row>
    <row r="10" spans="1:8" x14ac:dyDescent="0.45">
      <c r="A10" s="319" t="s">
        <v>2694</v>
      </c>
      <c r="B10" s="307"/>
    </row>
  </sheetData>
  <pageMargins left="0.7" right="0.7" top="0.75" bottom="0.75" header="0.3" footer="0.3"/>
  <pageSetup scale="88" fitToHeight="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92D050"/>
  </sheetPr>
  <dimension ref="A1:H46"/>
  <sheetViews>
    <sheetView workbookViewId="0">
      <pane ySplit="1" topLeftCell="A10" activePane="bottomLeft" state="frozen"/>
      <selection activeCell="C26" sqref="C26"/>
      <selection pane="bottomLeft" activeCell="A40" sqref="A40"/>
    </sheetView>
  </sheetViews>
  <sheetFormatPr defaultColWidth="9.08984375" defaultRowHeight="12.5" x14ac:dyDescent="0.25"/>
  <cols>
    <col min="1" max="1" width="63.90625" style="164" bestFit="1" customWidth="1"/>
    <col min="2" max="2" width="16.08984375" style="148" customWidth="1"/>
    <col min="3" max="3" width="21.1796875" style="148" customWidth="1"/>
    <col min="4" max="4" width="21.81640625" style="148" customWidth="1"/>
    <col min="5" max="5" width="14.36328125" style="148" customWidth="1"/>
    <col min="6" max="6" width="11.90625" style="165" customWidth="1"/>
    <col min="7" max="7" width="13.08984375" style="164" customWidth="1"/>
    <col min="8" max="8" width="18.6328125" style="164" customWidth="1"/>
    <col min="9" max="16384" width="9.08984375" style="164"/>
  </cols>
  <sheetData>
    <row r="1" spans="1:8" ht="15.5" x14ac:dyDescent="0.35">
      <c r="A1" s="627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103" t="s">
        <v>364</v>
      </c>
      <c r="G1" s="326" t="s">
        <v>2695</v>
      </c>
      <c r="H1" s="305" t="s">
        <v>2696</v>
      </c>
    </row>
    <row r="2" spans="1:8" ht="15.5" x14ac:dyDescent="0.35">
      <c r="A2" s="223" t="s">
        <v>1091</v>
      </c>
      <c r="B2" s="102" t="s">
        <v>1610</v>
      </c>
      <c r="C2" s="315"/>
      <c r="D2" s="102"/>
      <c r="E2" s="102">
        <v>55719</v>
      </c>
      <c r="F2" s="102">
        <v>1</v>
      </c>
      <c r="G2" s="361"/>
      <c r="H2" s="343"/>
    </row>
    <row r="3" spans="1:8" ht="15.5" x14ac:dyDescent="0.35">
      <c r="A3" s="223" t="s">
        <v>408</v>
      </c>
      <c r="B3" s="102" t="s">
        <v>1562</v>
      </c>
      <c r="C3" s="315"/>
      <c r="D3" s="102"/>
      <c r="E3" s="102">
        <v>55719</v>
      </c>
      <c r="F3" s="102">
        <v>1</v>
      </c>
      <c r="G3" s="361"/>
      <c r="H3" s="343"/>
    </row>
    <row r="4" spans="1:8" ht="15.5" x14ac:dyDescent="0.35">
      <c r="A4" s="223" t="s">
        <v>989</v>
      </c>
      <c r="B4" s="102" t="s">
        <v>2237</v>
      </c>
      <c r="C4" s="315"/>
      <c r="D4" s="102"/>
      <c r="E4" s="102">
        <v>55719</v>
      </c>
      <c r="F4" s="102">
        <v>1</v>
      </c>
      <c r="G4" s="361"/>
      <c r="H4" s="540"/>
    </row>
    <row r="5" spans="1:8" ht="15.5" x14ac:dyDescent="0.35">
      <c r="A5" s="223" t="s">
        <v>156</v>
      </c>
      <c r="B5" s="102" t="s">
        <v>559</v>
      </c>
      <c r="C5" s="315"/>
      <c r="D5" s="102"/>
      <c r="E5" s="102">
        <v>55719</v>
      </c>
      <c r="F5" s="102">
        <v>1</v>
      </c>
      <c r="G5" s="361"/>
      <c r="H5" s="343"/>
    </row>
    <row r="6" spans="1:8" ht="15.5" x14ac:dyDescent="0.35">
      <c r="A6" s="223" t="s">
        <v>16</v>
      </c>
      <c r="B6" s="102" t="s">
        <v>360</v>
      </c>
      <c r="C6" s="315"/>
      <c r="D6" s="102"/>
      <c r="E6" s="102">
        <v>55719</v>
      </c>
      <c r="F6" s="102">
        <v>1</v>
      </c>
      <c r="G6" s="361"/>
      <c r="H6" s="540"/>
    </row>
    <row r="7" spans="1:8" ht="15.5" x14ac:dyDescent="0.35">
      <c r="A7" s="223" t="s">
        <v>1211</v>
      </c>
      <c r="B7" s="102" t="s">
        <v>339</v>
      </c>
      <c r="C7" s="315"/>
      <c r="D7" s="102"/>
      <c r="E7" s="102">
        <v>55719</v>
      </c>
      <c r="F7" s="102">
        <v>1</v>
      </c>
      <c r="G7" s="361"/>
      <c r="H7" s="540"/>
    </row>
    <row r="8" spans="1:8" ht="15.5" x14ac:dyDescent="0.35">
      <c r="A8" s="223" t="s">
        <v>15</v>
      </c>
      <c r="B8" s="102" t="s">
        <v>424</v>
      </c>
      <c r="C8" s="315"/>
      <c r="D8" s="102"/>
      <c r="E8" s="102">
        <v>55719</v>
      </c>
      <c r="F8" s="102">
        <v>2</v>
      </c>
      <c r="G8" s="361"/>
      <c r="H8" s="540"/>
    </row>
    <row r="9" spans="1:8" ht="15.5" x14ac:dyDescent="0.35">
      <c r="A9" s="223" t="s">
        <v>1019</v>
      </c>
      <c r="B9" s="102" t="s">
        <v>90</v>
      </c>
      <c r="C9" s="315"/>
      <c r="D9" s="102"/>
      <c r="E9" s="102">
        <v>55719</v>
      </c>
      <c r="F9" s="102">
        <v>1</v>
      </c>
      <c r="G9" s="361"/>
      <c r="H9" s="343"/>
    </row>
    <row r="10" spans="1:8" ht="15.5" x14ac:dyDescent="0.35">
      <c r="A10" s="223" t="s">
        <v>38</v>
      </c>
      <c r="B10" s="102" t="s">
        <v>200</v>
      </c>
      <c r="C10" s="315"/>
      <c r="D10" s="102"/>
      <c r="E10" s="102">
        <v>55719</v>
      </c>
      <c r="F10" s="102">
        <v>1</v>
      </c>
      <c r="G10" s="361"/>
      <c r="H10" s="343"/>
    </row>
    <row r="11" spans="1:8" ht="15.5" x14ac:dyDescent="0.35">
      <c r="A11" s="223" t="s">
        <v>181</v>
      </c>
      <c r="B11" s="102" t="s">
        <v>182</v>
      </c>
      <c r="C11" s="315"/>
      <c r="D11" s="102"/>
      <c r="E11" s="102">
        <v>55719</v>
      </c>
      <c r="F11" s="102">
        <v>1</v>
      </c>
      <c r="G11" s="361"/>
      <c r="H11" s="540"/>
    </row>
    <row r="12" spans="1:8" ht="15.5" x14ac:dyDescent="0.35">
      <c r="A12" s="223" t="s">
        <v>6</v>
      </c>
      <c r="B12" s="102" t="s">
        <v>87</v>
      </c>
      <c r="C12" s="315"/>
      <c r="D12" s="102"/>
      <c r="E12" s="102">
        <v>55719</v>
      </c>
      <c r="F12" s="102">
        <v>2</v>
      </c>
      <c r="G12" s="361"/>
      <c r="H12" s="540"/>
    </row>
    <row r="13" spans="1:8" ht="15.5" x14ac:dyDescent="0.35">
      <c r="A13" s="223" t="s">
        <v>1084</v>
      </c>
      <c r="B13" s="102" t="s">
        <v>546</v>
      </c>
      <c r="C13" s="315"/>
      <c r="D13" s="102"/>
      <c r="E13" s="102">
        <v>55719</v>
      </c>
      <c r="F13" s="102">
        <v>1</v>
      </c>
      <c r="G13" s="361"/>
      <c r="H13" s="343"/>
    </row>
    <row r="14" spans="1:8" ht="15.5" x14ac:dyDescent="0.35">
      <c r="A14" s="223" t="s">
        <v>97</v>
      </c>
      <c r="B14" s="102" t="s">
        <v>325</v>
      </c>
      <c r="C14" s="315"/>
      <c r="D14" s="102"/>
      <c r="E14" s="102">
        <v>55719</v>
      </c>
      <c r="F14" s="102">
        <v>1</v>
      </c>
      <c r="G14" s="361"/>
      <c r="H14" s="343"/>
    </row>
    <row r="15" spans="1:8" ht="15.5" x14ac:dyDescent="0.35">
      <c r="A15" s="223" t="s">
        <v>177</v>
      </c>
      <c r="B15" s="102" t="s">
        <v>601</v>
      </c>
      <c r="C15" s="315"/>
      <c r="D15" s="102"/>
      <c r="E15" s="102">
        <v>55719</v>
      </c>
      <c r="F15" s="102">
        <v>1</v>
      </c>
      <c r="G15" s="361"/>
      <c r="H15" s="343"/>
    </row>
    <row r="16" spans="1:8" ht="15.5" x14ac:dyDescent="0.35">
      <c r="A16" s="223" t="s">
        <v>159</v>
      </c>
      <c r="B16" s="102" t="s">
        <v>427</v>
      </c>
      <c r="C16" s="315"/>
      <c r="D16" s="102"/>
      <c r="E16" s="102">
        <v>55719</v>
      </c>
      <c r="F16" s="102">
        <v>1</v>
      </c>
      <c r="G16" s="361"/>
      <c r="H16" s="343"/>
    </row>
    <row r="17" spans="1:8" ht="15.5" x14ac:dyDescent="0.35">
      <c r="A17" s="223" t="s">
        <v>2597</v>
      </c>
      <c r="B17" s="102" t="s">
        <v>428</v>
      </c>
      <c r="C17" s="315"/>
      <c r="D17" s="102"/>
      <c r="E17" s="102">
        <v>55719</v>
      </c>
      <c r="F17" s="102">
        <v>1</v>
      </c>
      <c r="G17" s="361"/>
      <c r="H17" s="343"/>
    </row>
    <row r="18" spans="1:8" ht="15.5" x14ac:dyDescent="0.35">
      <c r="A18" s="223" t="s">
        <v>2594</v>
      </c>
      <c r="B18" s="102" t="s">
        <v>757</v>
      </c>
      <c r="C18" s="315"/>
      <c r="D18" s="102"/>
      <c r="E18" s="102">
        <v>55719</v>
      </c>
      <c r="F18" s="102">
        <v>1</v>
      </c>
      <c r="G18" s="361"/>
      <c r="H18" s="343"/>
    </row>
    <row r="19" spans="1:8" ht="15.5" x14ac:dyDescent="0.35">
      <c r="A19" s="223" t="s">
        <v>1011</v>
      </c>
      <c r="B19" s="102" t="s">
        <v>282</v>
      </c>
      <c r="C19" s="315"/>
      <c r="D19" s="102"/>
      <c r="E19" s="102">
        <v>55719</v>
      </c>
      <c r="F19" s="102">
        <v>1</v>
      </c>
      <c r="G19" s="361"/>
      <c r="H19" s="343"/>
    </row>
    <row r="20" spans="1:8" ht="15.5" x14ac:dyDescent="0.35">
      <c r="A20" s="223" t="s">
        <v>1010</v>
      </c>
      <c r="B20" s="102" t="s">
        <v>114</v>
      </c>
      <c r="C20" s="315"/>
      <c r="D20" s="102"/>
      <c r="E20" s="102">
        <v>55719</v>
      </c>
      <c r="F20" s="102">
        <v>1</v>
      </c>
      <c r="G20" s="361"/>
      <c r="H20" s="343"/>
    </row>
    <row r="21" spans="1:8" ht="15.5" x14ac:dyDescent="0.35">
      <c r="A21" s="223" t="s">
        <v>915</v>
      </c>
      <c r="B21" s="102" t="s">
        <v>448</v>
      </c>
      <c r="C21" s="315"/>
      <c r="D21" s="102"/>
      <c r="E21" s="102">
        <v>55719</v>
      </c>
      <c r="F21" s="102">
        <v>1</v>
      </c>
      <c r="G21" s="361"/>
      <c r="H21" s="343"/>
    </row>
    <row r="22" spans="1:8" ht="15.5" x14ac:dyDescent="0.35">
      <c r="A22" s="223" t="s">
        <v>916</v>
      </c>
      <c r="B22" s="102" t="s">
        <v>451</v>
      </c>
      <c r="C22" s="315"/>
      <c r="D22" s="102"/>
      <c r="E22" s="102">
        <v>55719</v>
      </c>
      <c r="F22" s="102">
        <v>1</v>
      </c>
      <c r="G22" s="361"/>
      <c r="H22" s="343"/>
    </row>
    <row r="23" spans="1:8" ht="15.5" x14ac:dyDescent="0.35">
      <c r="A23" s="223" t="s">
        <v>1314</v>
      </c>
      <c r="B23" s="102" t="s">
        <v>1633</v>
      </c>
      <c r="C23" s="315"/>
      <c r="D23" s="102"/>
      <c r="E23" s="102">
        <v>55719</v>
      </c>
      <c r="F23" s="102">
        <v>1</v>
      </c>
      <c r="G23" s="361"/>
      <c r="H23" s="343"/>
    </row>
    <row r="24" spans="1:8" ht="15.5" x14ac:dyDescent="0.35">
      <c r="A24" s="223" t="s">
        <v>1348</v>
      </c>
      <c r="B24" s="102" t="s">
        <v>518</v>
      </c>
      <c r="C24" s="315"/>
      <c r="D24" s="102"/>
      <c r="E24" s="102">
        <v>55719</v>
      </c>
      <c r="F24" s="102">
        <v>1</v>
      </c>
      <c r="G24" s="361"/>
      <c r="H24" s="343"/>
    </row>
    <row r="25" spans="1:8" ht="15.5" x14ac:dyDescent="0.35">
      <c r="A25" s="223" t="s">
        <v>1351</v>
      </c>
      <c r="B25" s="102" t="s">
        <v>519</v>
      </c>
      <c r="C25" s="315"/>
      <c r="D25" s="102"/>
      <c r="E25" s="102">
        <v>55719</v>
      </c>
      <c r="F25" s="102">
        <v>1</v>
      </c>
      <c r="G25" s="361"/>
      <c r="H25" s="343"/>
    </row>
    <row r="26" spans="1:8" ht="15.5" x14ac:dyDescent="0.35">
      <c r="A26" s="223" t="s">
        <v>1352</v>
      </c>
      <c r="B26" s="102" t="s">
        <v>517</v>
      </c>
      <c r="C26" s="315"/>
      <c r="D26" s="102"/>
      <c r="E26" s="102">
        <v>55719</v>
      </c>
      <c r="F26" s="102">
        <v>1</v>
      </c>
      <c r="G26" s="361"/>
      <c r="H26" s="343"/>
    </row>
    <row r="27" spans="1:8" ht="15.5" x14ac:dyDescent="0.35">
      <c r="A27" s="223" t="s">
        <v>1353</v>
      </c>
      <c r="B27" s="102" t="s">
        <v>530</v>
      </c>
      <c r="C27" s="315"/>
      <c r="D27" s="102"/>
      <c r="E27" s="102">
        <v>55719</v>
      </c>
      <c r="F27" s="102">
        <v>1</v>
      </c>
      <c r="G27" s="361"/>
      <c r="H27" s="343"/>
    </row>
    <row r="28" spans="1:8" ht="15.5" x14ac:dyDescent="0.35">
      <c r="A28" s="223" t="s">
        <v>1355</v>
      </c>
      <c r="B28" s="102" t="s">
        <v>516</v>
      </c>
      <c r="C28" s="315"/>
      <c r="D28" s="102"/>
      <c r="E28" s="102">
        <v>55719</v>
      </c>
      <c r="F28" s="102">
        <v>1</v>
      </c>
      <c r="G28" s="361"/>
      <c r="H28" s="540"/>
    </row>
    <row r="29" spans="1:8" ht="15.5" x14ac:dyDescent="0.35">
      <c r="A29" s="223" t="s">
        <v>1341</v>
      </c>
      <c r="B29" s="102" t="s">
        <v>462</v>
      </c>
      <c r="C29" s="315"/>
      <c r="D29" s="102"/>
      <c r="E29" s="102">
        <v>55719</v>
      </c>
      <c r="F29" s="102">
        <v>1</v>
      </c>
      <c r="G29" s="361"/>
      <c r="H29" s="540"/>
    </row>
    <row r="30" spans="1:8" ht="15.5" x14ac:dyDescent="0.35">
      <c r="A30" s="223" t="s">
        <v>1345</v>
      </c>
      <c r="B30" s="102" t="s">
        <v>522</v>
      </c>
      <c r="C30" s="315"/>
      <c r="D30" s="102"/>
      <c r="E30" s="102">
        <v>55719</v>
      </c>
      <c r="F30" s="102">
        <v>1</v>
      </c>
      <c r="G30" s="361"/>
      <c r="H30" s="540"/>
    </row>
    <row r="31" spans="1:8" ht="15.5" x14ac:dyDescent="0.35">
      <c r="A31" s="223" t="s">
        <v>2549</v>
      </c>
      <c r="B31" s="102" t="s">
        <v>112</v>
      </c>
      <c r="C31" s="315"/>
      <c r="D31" s="102"/>
      <c r="E31" s="102">
        <v>55719</v>
      </c>
      <c r="F31" s="102">
        <v>1</v>
      </c>
      <c r="G31" s="361"/>
      <c r="H31" s="540"/>
    </row>
    <row r="32" spans="1:8" ht="15.5" x14ac:dyDescent="0.35">
      <c r="A32" s="223" t="s">
        <v>1446</v>
      </c>
      <c r="B32" s="102" t="s">
        <v>482</v>
      </c>
      <c r="C32" s="315"/>
      <c r="D32" s="102"/>
      <c r="E32" s="102">
        <v>55719</v>
      </c>
      <c r="F32" s="102">
        <v>1</v>
      </c>
      <c r="G32" s="361"/>
      <c r="H32" s="343"/>
    </row>
    <row r="33" spans="1:8" ht="15.5" x14ac:dyDescent="0.35">
      <c r="A33" s="223" t="s">
        <v>2476</v>
      </c>
      <c r="B33" s="102" t="s">
        <v>1755</v>
      </c>
      <c r="C33" s="315"/>
      <c r="D33" s="102"/>
      <c r="E33" s="102">
        <v>55719</v>
      </c>
      <c r="F33" s="102">
        <v>2</v>
      </c>
      <c r="G33" s="361"/>
      <c r="H33" s="343"/>
    </row>
    <row r="34" spans="1:8" ht="15.5" x14ac:dyDescent="0.35">
      <c r="A34" s="223" t="s">
        <v>1099</v>
      </c>
      <c r="B34" s="102" t="s">
        <v>426</v>
      </c>
      <c r="C34" s="315"/>
      <c r="D34" s="102"/>
      <c r="E34" s="102">
        <v>55719</v>
      </c>
      <c r="F34" s="102">
        <v>1</v>
      </c>
      <c r="G34" s="361"/>
      <c r="H34" s="343"/>
    </row>
    <row r="35" spans="1:8" ht="15.5" x14ac:dyDescent="0.35">
      <c r="A35" s="223" t="s">
        <v>1061</v>
      </c>
      <c r="B35" s="102" t="s">
        <v>73</v>
      </c>
      <c r="C35" s="315"/>
      <c r="D35" s="102"/>
      <c r="E35" s="102">
        <v>55719</v>
      </c>
      <c r="F35" s="102">
        <v>1</v>
      </c>
      <c r="G35" s="361"/>
      <c r="H35" s="343"/>
    </row>
    <row r="36" spans="1:8" ht="15.5" x14ac:dyDescent="0.35">
      <c r="A36" s="223" t="s">
        <v>1060</v>
      </c>
      <c r="B36" s="102" t="s">
        <v>74</v>
      </c>
      <c r="C36" s="315"/>
      <c r="D36" s="102"/>
      <c r="E36" s="102">
        <v>55719</v>
      </c>
      <c r="F36" s="102">
        <v>1</v>
      </c>
      <c r="G36" s="361"/>
      <c r="H36" s="343"/>
    </row>
    <row r="37" spans="1:8" ht="15.5" x14ac:dyDescent="0.35">
      <c r="A37" s="223" t="s">
        <v>1057</v>
      </c>
      <c r="B37" s="102" t="s">
        <v>72</v>
      </c>
      <c r="C37" s="315"/>
      <c r="D37" s="102"/>
      <c r="E37" s="102">
        <v>55719</v>
      </c>
      <c r="F37" s="102">
        <v>1</v>
      </c>
      <c r="G37" s="361"/>
      <c r="H37" s="343"/>
    </row>
    <row r="38" spans="1:8" ht="15.5" x14ac:dyDescent="0.35">
      <c r="A38" s="223" t="s">
        <v>36</v>
      </c>
      <c r="B38" s="102" t="s">
        <v>37</v>
      </c>
      <c r="C38" s="315"/>
      <c r="D38" s="102"/>
      <c r="E38" s="102">
        <v>55719</v>
      </c>
      <c r="F38" s="102">
        <v>1</v>
      </c>
      <c r="G38" s="361"/>
      <c r="H38" s="343"/>
    </row>
    <row r="39" spans="1:8" ht="15.5" x14ac:dyDescent="0.35">
      <c r="A39" s="223" t="s">
        <v>19</v>
      </c>
      <c r="B39" s="102" t="s">
        <v>242</v>
      </c>
      <c r="C39" s="315"/>
      <c r="D39" s="102"/>
      <c r="E39" s="102">
        <v>55719</v>
      </c>
      <c r="F39" s="102">
        <v>2</v>
      </c>
      <c r="G39" s="361"/>
      <c r="H39" s="343"/>
    </row>
    <row r="40" spans="1:8" ht="15.5" x14ac:dyDescent="0.35">
      <c r="A40" s="223" t="s">
        <v>13</v>
      </c>
      <c r="B40" s="221" t="s">
        <v>420</v>
      </c>
      <c r="C40" s="315"/>
      <c r="D40" s="221"/>
      <c r="E40" s="221">
        <v>55719</v>
      </c>
      <c r="F40" s="221">
        <v>1</v>
      </c>
      <c r="G40" s="361"/>
      <c r="H40" s="343"/>
    </row>
    <row r="41" spans="1:8" x14ac:dyDescent="0.25">
      <c r="F41" s="164"/>
    </row>
    <row r="43" spans="1:8" s="4" customFormat="1" ht="17.5" x14ac:dyDescent="0.35">
      <c r="A43" s="309" t="s">
        <v>1791</v>
      </c>
      <c r="B43" s="312"/>
      <c r="C43" s="249"/>
      <c r="D43" s="3"/>
      <c r="E43" s="3"/>
      <c r="F43" s="3"/>
      <c r="G43" s="37"/>
    </row>
    <row r="44" spans="1:8" s="4" customFormat="1" ht="17.5" x14ac:dyDescent="0.35">
      <c r="A44" s="309" t="s">
        <v>2420</v>
      </c>
      <c r="B44" s="360"/>
      <c r="C44" s="164"/>
      <c r="D44" s="164"/>
      <c r="E44" s="3"/>
      <c r="F44" s="3"/>
      <c r="G44" s="164"/>
      <c r="H44" s="164"/>
    </row>
    <row r="45" spans="1:8" ht="17.5" x14ac:dyDescent="0.35">
      <c r="A45" s="310" t="s">
        <v>2635</v>
      </c>
      <c r="B45" s="362"/>
    </row>
    <row r="46" spans="1:8" ht="17.5" x14ac:dyDescent="0.35">
      <c r="A46" s="319" t="s">
        <v>2694</v>
      </c>
      <c r="B46" s="307"/>
    </row>
  </sheetData>
  <sortState xmlns:xlrd2="http://schemas.microsoft.com/office/spreadsheetml/2017/richdata2" ref="A2:H40">
    <sortCondition ref="B2:B40"/>
  </sortState>
  <pageMargins left="0.7" right="0.7" top="0.75" bottom="0.75" header="0.3" footer="0.3"/>
  <pageSetup scale="70" orientation="landscape"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15"/>
  <sheetViews>
    <sheetView workbookViewId="0">
      <pane ySplit="1" topLeftCell="A2" activePane="bottomLeft" state="frozen"/>
      <selection activeCell="C26" sqref="C26"/>
      <selection pane="bottomLeft" activeCell="B14" sqref="B14"/>
    </sheetView>
  </sheetViews>
  <sheetFormatPr defaultColWidth="9.08984375" defaultRowHeight="17.5" x14ac:dyDescent="0.35"/>
  <cols>
    <col min="1" max="1" width="63.54296875" style="4" bestFit="1" customWidth="1"/>
    <col min="2" max="2" width="14.36328125" style="3" bestFit="1" customWidth="1"/>
    <col min="3" max="3" width="20.36328125" style="249" bestFit="1" customWidth="1"/>
    <col min="4" max="4" width="20.08984375" style="250" bestFit="1" customWidth="1"/>
    <col min="5" max="5" width="12.453125" style="4" bestFit="1" customWidth="1"/>
    <col min="6" max="6" width="10" style="4" bestFit="1" customWidth="1"/>
    <col min="7" max="7" width="11.36328125" style="4" bestFit="1" customWidth="1"/>
    <col min="8" max="8" width="16.90625" style="4" bestFit="1" customWidth="1"/>
    <col min="9" max="16384" width="9.08984375" style="4"/>
  </cols>
  <sheetData>
    <row r="1" spans="1:8" x14ac:dyDescent="0.35">
      <c r="A1" s="50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50" t="s">
        <v>364</v>
      </c>
      <c r="G1" s="326" t="s">
        <v>2695</v>
      </c>
      <c r="H1" s="305" t="s">
        <v>2696</v>
      </c>
    </row>
    <row r="2" spans="1:8" x14ac:dyDescent="0.35">
      <c r="A2" s="49" t="s">
        <v>16</v>
      </c>
      <c r="B2" s="102" t="s">
        <v>360</v>
      </c>
      <c r="C2" s="315"/>
      <c r="D2" s="221"/>
      <c r="E2" s="102">
        <v>55719</v>
      </c>
      <c r="F2" s="125">
        <v>1</v>
      </c>
      <c r="G2" s="356"/>
      <c r="H2" s="358"/>
    </row>
    <row r="3" spans="1:8" x14ac:dyDescent="0.35">
      <c r="A3" s="216" t="s">
        <v>2595</v>
      </c>
      <c r="B3" s="102" t="s">
        <v>508</v>
      </c>
      <c r="C3" s="315"/>
      <c r="D3" s="221"/>
      <c r="E3" s="102">
        <v>55719</v>
      </c>
      <c r="F3" s="125">
        <v>1</v>
      </c>
      <c r="G3" s="356"/>
      <c r="H3" s="358"/>
    </row>
    <row r="4" spans="1:8" x14ac:dyDescent="0.35">
      <c r="A4" s="49" t="s">
        <v>1743</v>
      </c>
      <c r="B4" s="102" t="s">
        <v>1742</v>
      </c>
      <c r="C4" s="315"/>
      <c r="D4" s="221"/>
      <c r="E4" s="102">
        <v>55719</v>
      </c>
      <c r="F4" s="125">
        <v>1</v>
      </c>
      <c r="G4" s="356"/>
      <c r="H4" s="358"/>
    </row>
    <row r="5" spans="1:8" x14ac:dyDescent="0.35">
      <c r="A5" s="49" t="s">
        <v>1287</v>
      </c>
      <c r="B5" s="102" t="s">
        <v>134</v>
      </c>
      <c r="C5" s="315"/>
      <c r="D5" s="221"/>
      <c r="E5" s="102">
        <v>55719</v>
      </c>
      <c r="F5" s="125">
        <v>1</v>
      </c>
      <c r="G5" s="356"/>
      <c r="H5" s="358"/>
    </row>
    <row r="6" spans="1:8" x14ac:dyDescent="0.35">
      <c r="A6" s="49" t="s">
        <v>1081</v>
      </c>
      <c r="B6" s="102" t="s">
        <v>276</v>
      </c>
      <c r="C6" s="315"/>
      <c r="D6" s="221"/>
      <c r="E6" s="102">
        <v>55719</v>
      </c>
      <c r="F6" s="125">
        <v>1</v>
      </c>
      <c r="G6" s="356"/>
      <c r="H6" s="358"/>
    </row>
    <row r="7" spans="1:8" x14ac:dyDescent="0.35">
      <c r="A7" s="49" t="s">
        <v>2589</v>
      </c>
      <c r="B7" s="102" t="s">
        <v>599</v>
      </c>
      <c r="C7" s="315"/>
      <c r="D7" s="221"/>
      <c r="E7" s="102">
        <v>55719</v>
      </c>
      <c r="F7" s="125">
        <v>1</v>
      </c>
      <c r="G7" s="356"/>
      <c r="H7" s="358"/>
    </row>
    <row r="8" spans="1:8" x14ac:dyDescent="0.35">
      <c r="A8" s="49" t="s">
        <v>1741</v>
      </c>
      <c r="B8" s="102" t="s">
        <v>1740</v>
      </c>
      <c r="C8" s="315"/>
      <c r="D8" s="221"/>
      <c r="E8" s="102">
        <v>55719</v>
      </c>
      <c r="F8" s="125">
        <v>1</v>
      </c>
      <c r="G8" s="356"/>
      <c r="H8" s="358"/>
    </row>
    <row r="9" spans="1:8" s="3" customFormat="1" x14ac:dyDescent="0.35">
      <c r="A9" s="49" t="s">
        <v>1683</v>
      </c>
      <c r="B9" s="102" t="s">
        <v>2355</v>
      </c>
      <c r="C9" s="315"/>
      <c r="D9" s="221"/>
      <c r="E9" s="102">
        <v>55719</v>
      </c>
      <c r="F9" s="125">
        <v>1</v>
      </c>
      <c r="G9" s="356"/>
      <c r="H9" s="359"/>
    </row>
    <row r="10" spans="1:8" s="3" customFormat="1" x14ac:dyDescent="0.35">
      <c r="A10" s="49" t="s">
        <v>1040</v>
      </c>
      <c r="B10" s="102" t="s">
        <v>463</v>
      </c>
      <c r="C10" s="315"/>
      <c r="D10" s="221"/>
      <c r="E10" s="102">
        <v>55719</v>
      </c>
      <c r="F10" s="125">
        <v>1</v>
      </c>
      <c r="G10" s="356"/>
      <c r="H10" s="359"/>
    </row>
    <row r="12" spans="1:8" x14ac:dyDescent="0.35">
      <c r="A12" s="309" t="s">
        <v>1744</v>
      </c>
      <c r="B12" s="312"/>
    </row>
    <row r="13" spans="1:8" x14ac:dyDescent="0.35">
      <c r="A13" s="309" t="s">
        <v>2377</v>
      </c>
      <c r="B13" s="312"/>
    </row>
    <row r="14" spans="1:8" x14ac:dyDescent="0.35">
      <c r="A14" s="310" t="s">
        <v>2634</v>
      </c>
      <c r="B14" s="312"/>
    </row>
    <row r="15" spans="1:8" x14ac:dyDescent="0.35">
      <c r="A15" s="319" t="s">
        <v>2694</v>
      </c>
      <c r="B15" s="307"/>
    </row>
  </sheetData>
  <sortState xmlns:xlrd2="http://schemas.microsoft.com/office/spreadsheetml/2017/richdata2" ref="A3:H12">
    <sortCondition ref="B3:B12"/>
  </sortState>
  <printOptions gridLines="1"/>
  <pageMargins left="0.5" right="0.5" top="0.5" bottom="0.5" header="0.3" footer="0.3"/>
  <pageSetup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17"/>
  <sheetViews>
    <sheetView workbookViewId="0">
      <selection activeCell="A13" sqref="A13:XFD14"/>
    </sheetView>
  </sheetViews>
  <sheetFormatPr defaultColWidth="9.08984375" defaultRowHeight="17.5" x14ac:dyDescent="0.35"/>
  <cols>
    <col min="1" max="1" width="63.6328125" style="4" bestFit="1" customWidth="1"/>
    <col min="2" max="2" width="14.36328125" style="3" bestFit="1" customWidth="1"/>
    <col min="3" max="3" width="20.36328125" style="249" bestFit="1" customWidth="1"/>
    <col min="4" max="4" width="20.08984375" style="37" bestFit="1" customWidth="1"/>
    <col min="5" max="5" width="12.453125" style="4" bestFit="1" customWidth="1"/>
    <col min="6" max="6" width="10" style="4" bestFit="1" customWidth="1"/>
    <col min="7" max="7" width="11.36328125" style="4" bestFit="1" customWidth="1"/>
    <col min="8" max="8" width="16.90625" style="4" bestFit="1" customWidth="1"/>
    <col min="9" max="16384" width="9.08984375" style="4"/>
  </cols>
  <sheetData>
    <row r="1" spans="1:8" x14ac:dyDescent="0.35">
      <c r="A1" s="211" t="s">
        <v>0</v>
      </c>
      <c r="B1" s="261" t="s">
        <v>1</v>
      </c>
      <c r="C1" s="281" t="s">
        <v>2700</v>
      </c>
      <c r="D1" s="261" t="s">
        <v>1598</v>
      </c>
      <c r="E1" s="261" t="s">
        <v>1599</v>
      </c>
      <c r="F1" s="211" t="s">
        <v>364</v>
      </c>
      <c r="G1" s="326" t="s">
        <v>2695</v>
      </c>
      <c r="H1" s="305" t="s">
        <v>2696</v>
      </c>
    </row>
    <row r="2" spans="1:8" x14ac:dyDescent="0.35">
      <c r="A2" s="49" t="s">
        <v>16</v>
      </c>
      <c r="B2" s="102" t="s">
        <v>360</v>
      </c>
      <c r="C2" s="361"/>
      <c r="D2" s="102"/>
      <c r="E2" s="102">
        <v>55719</v>
      </c>
      <c r="F2" s="125">
        <v>1</v>
      </c>
      <c r="G2" s="356"/>
      <c r="H2" s="357"/>
    </row>
    <row r="3" spans="1:8" x14ac:dyDescent="0.35">
      <c r="A3" s="173" t="s">
        <v>15</v>
      </c>
      <c r="B3" s="175" t="s">
        <v>424</v>
      </c>
      <c r="C3" s="541"/>
      <c r="D3" s="102"/>
      <c r="E3" s="102">
        <v>55719</v>
      </c>
      <c r="F3" s="125">
        <v>1</v>
      </c>
      <c r="G3" s="356"/>
      <c r="H3" s="357"/>
    </row>
    <row r="4" spans="1:8" x14ac:dyDescent="0.35">
      <c r="A4" s="216" t="s">
        <v>2595</v>
      </c>
      <c r="B4" s="102" t="s">
        <v>508</v>
      </c>
      <c r="C4" s="361"/>
      <c r="D4" s="102"/>
      <c r="E4" s="102">
        <v>55719</v>
      </c>
      <c r="F4" s="125">
        <v>1</v>
      </c>
      <c r="G4" s="356"/>
      <c r="H4" s="357"/>
    </row>
    <row r="5" spans="1:8" x14ac:dyDescent="0.35">
      <c r="A5" s="49" t="s">
        <v>1743</v>
      </c>
      <c r="B5" s="102" t="s">
        <v>1742</v>
      </c>
      <c r="C5" s="361"/>
      <c r="D5" s="102"/>
      <c r="E5" s="102">
        <v>55719</v>
      </c>
      <c r="F5" s="125">
        <v>1</v>
      </c>
      <c r="G5" s="356"/>
      <c r="H5" s="357"/>
    </row>
    <row r="6" spans="1:8" x14ac:dyDescent="0.35">
      <c r="A6" s="49" t="s">
        <v>1287</v>
      </c>
      <c r="B6" s="102" t="s">
        <v>134</v>
      </c>
      <c r="C6" s="361"/>
      <c r="D6" s="102"/>
      <c r="E6" s="102">
        <v>55719</v>
      </c>
      <c r="F6" s="125">
        <v>1</v>
      </c>
      <c r="G6" s="356"/>
      <c r="H6" s="357"/>
    </row>
    <row r="7" spans="1:8" x14ac:dyDescent="0.35">
      <c r="A7" s="49" t="s">
        <v>1081</v>
      </c>
      <c r="B7" s="102" t="s">
        <v>276</v>
      </c>
      <c r="C7" s="361"/>
      <c r="D7" s="102"/>
      <c r="E7" s="102">
        <v>55719</v>
      </c>
      <c r="F7" s="125">
        <v>1</v>
      </c>
      <c r="G7" s="356"/>
      <c r="H7" s="357"/>
    </row>
    <row r="8" spans="1:8" x14ac:dyDescent="0.35">
      <c r="A8" s="49" t="s">
        <v>2589</v>
      </c>
      <c r="B8" s="102" t="s">
        <v>599</v>
      </c>
      <c r="C8" s="361"/>
      <c r="D8" s="102"/>
      <c r="E8" s="102">
        <v>55719</v>
      </c>
      <c r="F8" s="125">
        <v>1</v>
      </c>
      <c r="G8" s="356"/>
      <c r="H8" s="357"/>
    </row>
    <row r="9" spans="1:8" x14ac:dyDescent="0.35">
      <c r="A9" s="49" t="s">
        <v>1741</v>
      </c>
      <c r="B9" s="102" t="s">
        <v>1740</v>
      </c>
      <c r="C9" s="361"/>
      <c r="D9" s="102"/>
      <c r="E9" s="102">
        <v>55719</v>
      </c>
      <c r="F9" s="125">
        <v>1</v>
      </c>
      <c r="G9" s="356"/>
      <c r="H9" s="357"/>
    </row>
    <row r="10" spans="1:8" x14ac:dyDescent="0.35">
      <c r="A10" s="49" t="s">
        <v>1747</v>
      </c>
      <c r="B10" s="102" t="s">
        <v>2355</v>
      </c>
      <c r="C10" s="361"/>
      <c r="D10" s="102"/>
      <c r="E10" s="102">
        <v>55719</v>
      </c>
      <c r="F10" s="125">
        <v>1</v>
      </c>
      <c r="G10" s="356"/>
      <c r="H10" s="357"/>
    </row>
    <row r="11" spans="1:8" x14ac:dyDescent="0.35">
      <c r="A11" s="49" t="s">
        <v>984</v>
      </c>
      <c r="B11" s="102" t="s">
        <v>1669</v>
      </c>
      <c r="C11" s="361"/>
      <c r="D11" s="102"/>
      <c r="E11" s="102">
        <v>55719</v>
      </c>
      <c r="F11" s="125">
        <v>2</v>
      </c>
      <c r="G11" s="356"/>
      <c r="H11" s="357"/>
    </row>
    <row r="12" spans="1:8" x14ac:dyDescent="0.35">
      <c r="A12" s="49" t="s">
        <v>1040</v>
      </c>
      <c r="B12" s="102" t="s">
        <v>463</v>
      </c>
      <c r="C12" s="361"/>
      <c r="D12" s="102"/>
      <c r="E12" s="102">
        <v>55719</v>
      </c>
      <c r="F12" s="125">
        <v>1</v>
      </c>
      <c r="G12" s="356"/>
      <c r="H12" s="357"/>
    </row>
    <row r="14" spans="1:8" x14ac:dyDescent="0.35">
      <c r="A14" s="309" t="s">
        <v>1748</v>
      </c>
      <c r="B14" s="312"/>
    </row>
    <row r="15" spans="1:8" x14ac:dyDescent="0.35">
      <c r="A15" s="309" t="s">
        <v>2378</v>
      </c>
      <c r="B15" s="312"/>
    </row>
    <row r="16" spans="1:8" x14ac:dyDescent="0.35">
      <c r="A16" s="310" t="s">
        <v>2632</v>
      </c>
      <c r="B16" s="312"/>
    </row>
    <row r="17" spans="1:2" x14ac:dyDescent="0.35">
      <c r="A17" s="319" t="s">
        <v>2694</v>
      </c>
      <c r="B17" s="307"/>
    </row>
  </sheetData>
  <sortState xmlns:xlrd2="http://schemas.microsoft.com/office/spreadsheetml/2017/richdata2" ref="A5:H16">
    <sortCondition ref="B5:B16"/>
  </sortState>
  <printOptions gridLines="1"/>
  <pageMargins left="0.5" right="0.5" top="0.5" bottom="0.5" header="0.3" footer="0.3"/>
  <pageSetup scale="70" orientation="landscape"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36"/>
  <sheetViews>
    <sheetView workbookViewId="0">
      <pane ySplit="1" topLeftCell="A2" activePane="bottomLeft" state="frozen"/>
      <selection activeCell="C26" sqref="C26"/>
      <selection pane="bottomLeft" activeCell="G38" sqref="G38"/>
    </sheetView>
  </sheetViews>
  <sheetFormatPr defaultColWidth="92.08984375" defaultRowHeight="15.5" x14ac:dyDescent="0.35"/>
  <cols>
    <col min="1" max="1" width="63.36328125" style="141" bestFit="1" customWidth="1"/>
    <col min="2" max="2" width="16.08984375" style="144" customWidth="1"/>
    <col min="3" max="3" width="21.1796875" style="144" customWidth="1"/>
    <col min="4" max="4" width="21.81640625" style="144" customWidth="1"/>
    <col min="5" max="5" width="14.36328125" style="144" customWidth="1"/>
    <col min="6" max="6" width="11.90625" style="144" customWidth="1"/>
    <col min="7" max="7" width="13.08984375" style="152" customWidth="1"/>
    <col min="8" max="8" width="18.6328125" style="141" customWidth="1"/>
    <col min="9" max="16384" width="92.08984375" style="141"/>
  </cols>
  <sheetData>
    <row r="1" spans="1:8" x14ac:dyDescent="0.35">
      <c r="A1" s="567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3" t="s">
        <v>364</v>
      </c>
      <c r="G1" s="326" t="s">
        <v>2695</v>
      </c>
      <c r="H1" s="305" t="s">
        <v>2696</v>
      </c>
    </row>
    <row r="2" spans="1:8" x14ac:dyDescent="0.35">
      <c r="A2" s="223" t="s">
        <v>97</v>
      </c>
      <c r="B2" s="102" t="s">
        <v>457</v>
      </c>
      <c r="C2" s="315"/>
      <c r="D2" s="73"/>
      <c r="E2" s="73">
        <v>55719</v>
      </c>
      <c r="F2" s="43">
        <v>1</v>
      </c>
      <c r="G2" s="331"/>
      <c r="H2" s="325"/>
    </row>
    <row r="3" spans="1:8" x14ac:dyDescent="0.35">
      <c r="A3" s="223" t="s">
        <v>883</v>
      </c>
      <c r="B3" s="102" t="s">
        <v>235</v>
      </c>
      <c r="C3" s="315"/>
      <c r="D3" s="73"/>
      <c r="E3" s="73">
        <v>55719</v>
      </c>
      <c r="F3" s="43">
        <v>1</v>
      </c>
      <c r="G3" s="331"/>
      <c r="H3" s="325"/>
    </row>
    <row r="4" spans="1:8" x14ac:dyDescent="0.35">
      <c r="A4" s="223" t="s">
        <v>990</v>
      </c>
      <c r="B4" s="102" t="s">
        <v>1677</v>
      </c>
      <c r="C4" s="315"/>
      <c r="D4" s="73"/>
      <c r="E4" s="73">
        <v>55719</v>
      </c>
      <c r="F4" s="43">
        <v>1</v>
      </c>
      <c r="G4" s="331"/>
      <c r="H4" s="325"/>
    </row>
    <row r="5" spans="1:8" x14ac:dyDescent="0.35">
      <c r="A5" s="223" t="s">
        <v>1308</v>
      </c>
      <c r="B5" s="102" t="s">
        <v>1675</v>
      </c>
      <c r="C5" s="315"/>
      <c r="D5" s="73"/>
      <c r="E5" s="73">
        <v>55719</v>
      </c>
      <c r="F5" s="43">
        <v>1</v>
      </c>
      <c r="G5" s="331"/>
      <c r="H5" s="325"/>
    </row>
    <row r="6" spans="1:8" x14ac:dyDescent="0.35">
      <c r="A6" s="223" t="s">
        <v>1055</v>
      </c>
      <c r="B6" s="102" t="s">
        <v>531</v>
      </c>
      <c r="C6" s="315"/>
      <c r="D6" s="73"/>
      <c r="E6" s="73">
        <v>55719</v>
      </c>
      <c r="F6" s="43">
        <v>1</v>
      </c>
      <c r="G6" s="331"/>
      <c r="H6" s="325"/>
    </row>
    <row r="7" spans="1:8" x14ac:dyDescent="0.35">
      <c r="A7" s="223" t="s">
        <v>1153</v>
      </c>
      <c r="B7" s="102" t="s">
        <v>815</v>
      </c>
      <c r="C7" s="315"/>
      <c r="D7" s="73"/>
      <c r="E7" s="73">
        <v>55719</v>
      </c>
      <c r="F7" s="43">
        <v>1</v>
      </c>
      <c r="G7" s="331"/>
      <c r="H7" s="325"/>
    </row>
    <row r="8" spans="1:8" x14ac:dyDescent="0.35">
      <c r="A8" s="223" t="s">
        <v>174</v>
      </c>
      <c r="B8" s="102" t="s">
        <v>215</v>
      </c>
      <c r="C8" s="315"/>
      <c r="D8" s="73"/>
      <c r="E8" s="73">
        <v>55719</v>
      </c>
      <c r="F8" s="43">
        <v>1</v>
      </c>
      <c r="G8" s="331" t="s">
        <v>1749</v>
      </c>
      <c r="H8" s="325"/>
    </row>
    <row r="9" spans="1:8" x14ac:dyDescent="0.35">
      <c r="A9" s="223" t="s">
        <v>3</v>
      </c>
      <c r="B9" s="102" t="s">
        <v>414</v>
      </c>
      <c r="C9" s="315"/>
      <c r="D9" s="73"/>
      <c r="E9" s="73">
        <v>55719</v>
      </c>
      <c r="F9" s="43">
        <v>1</v>
      </c>
      <c r="G9" s="331" t="s">
        <v>1749</v>
      </c>
      <c r="H9" s="325"/>
    </row>
    <row r="10" spans="1:8" x14ac:dyDescent="0.35">
      <c r="A10" s="223" t="s">
        <v>4</v>
      </c>
      <c r="B10" s="102" t="s">
        <v>86</v>
      </c>
      <c r="C10" s="315"/>
      <c r="D10" s="73"/>
      <c r="E10" s="73">
        <v>55719</v>
      </c>
      <c r="F10" s="43">
        <v>1</v>
      </c>
      <c r="G10" s="331"/>
      <c r="H10" s="325"/>
    </row>
    <row r="11" spans="1:8" x14ac:dyDescent="0.35">
      <c r="A11" s="223" t="s">
        <v>1200</v>
      </c>
      <c r="B11" s="102" t="s">
        <v>59</v>
      </c>
      <c r="C11" s="315"/>
      <c r="D11" s="73"/>
      <c r="E11" s="73">
        <v>55719</v>
      </c>
      <c r="F11" s="43">
        <v>1</v>
      </c>
      <c r="G11" s="331"/>
      <c r="H11" s="325"/>
    </row>
    <row r="12" spans="1:8" x14ac:dyDescent="0.35">
      <c r="A12" s="223" t="s">
        <v>43</v>
      </c>
      <c r="B12" s="102" t="s">
        <v>765</v>
      </c>
      <c r="C12" s="315"/>
      <c r="D12" s="73"/>
      <c r="E12" s="73">
        <v>55719</v>
      </c>
      <c r="F12" s="43">
        <v>1</v>
      </c>
      <c r="G12" s="331" t="s">
        <v>1749</v>
      </c>
      <c r="H12" s="325"/>
    </row>
    <row r="13" spans="1:8" x14ac:dyDescent="0.35">
      <c r="A13" s="223" t="s">
        <v>880</v>
      </c>
      <c r="B13" s="102" t="s">
        <v>366</v>
      </c>
      <c r="C13" s="315"/>
      <c r="D13" s="73"/>
      <c r="E13" s="73">
        <v>55719</v>
      </c>
      <c r="F13" s="43">
        <v>2</v>
      </c>
      <c r="G13" s="331"/>
      <c r="H13" s="325"/>
    </row>
    <row r="14" spans="1:8" x14ac:dyDescent="0.35">
      <c r="A14" s="223" t="s">
        <v>10</v>
      </c>
      <c r="B14" s="102" t="s">
        <v>418</v>
      </c>
      <c r="C14" s="315"/>
      <c r="D14" s="73"/>
      <c r="E14" s="73">
        <v>55719</v>
      </c>
      <c r="F14" s="43">
        <v>1</v>
      </c>
      <c r="G14" s="331"/>
      <c r="H14" s="325"/>
    </row>
    <row r="15" spans="1:8" x14ac:dyDescent="0.35">
      <c r="A15" s="223" t="s">
        <v>981</v>
      </c>
      <c r="B15" s="102" t="s">
        <v>1681</v>
      </c>
      <c r="C15" s="315"/>
      <c r="D15" s="73"/>
      <c r="E15" s="73">
        <v>55719</v>
      </c>
      <c r="F15" s="43">
        <v>1</v>
      </c>
      <c r="G15" s="331"/>
      <c r="H15" s="325"/>
    </row>
    <row r="16" spans="1:8" x14ac:dyDescent="0.35">
      <c r="A16" s="223" t="s">
        <v>1110</v>
      </c>
      <c r="B16" s="102" t="s">
        <v>422</v>
      </c>
      <c r="C16" s="315"/>
      <c r="D16" s="73"/>
      <c r="E16" s="73">
        <v>55719</v>
      </c>
      <c r="F16" s="43">
        <v>1</v>
      </c>
      <c r="G16" s="331"/>
      <c r="H16" s="325"/>
    </row>
    <row r="17" spans="1:8" x14ac:dyDescent="0.35">
      <c r="A17" s="223" t="s">
        <v>14</v>
      </c>
      <c r="B17" s="102" t="s">
        <v>334</v>
      </c>
      <c r="C17" s="315"/>
      <c r="D17" s="73"/>
      <c r="E17" s="73">
        <v>55719</v>
      </c>
      <c r="F17" s="43">
        <v>1</v>
      </c>
      <c r="G17" s="331"/>
      <c r="H17" s="325"/>
    </row>
    <row r="18" spans="1:8" x14ac:dyDescent="0.35">
      <c r="A18" s="223" t="s">
        <v>101</v>
      </c>
      <c r="B18" s="102" t="s">
        <v>1670</v>
      </c>
      <c r="C18" s="315"/>
      <c r="D18" s="73"/>
      <c r="E18" s="73">
        <v>55719</v>
      </c>
      <c r="F18" s="43">
        <v>1</v>
      </c>
      <c r="G18" s="331"/>
      <c r="H18" s="325"/>
    </row>
    <row r="19" spans="1:8" x14ac:dyDescent="0.35">
      <c r="A19" s="223" t="s">
        <v>986</v>
      </c>
      <c r="B19" s="102" t="s">
        <v>460</v>
      </c>
      <c r="C19" s="315"/>
      <c r="D19" s="73"/>
      <c r="E19" s="73">
        <v>55719</v>
      </c>
      <c r="F19" s="43">
        <v>1</v>
      </c>
      <c r="G19" s="331"/>
      <c r="H19" s="325"/>
    </row>
    <row r="20" spans="1:8" x14ac:dyDescent="0.35">
      <c r="A20" s="223" t="s">
        <v>408</v>
      </c>
      <c r="B20" s="102" t="s">
        <v>1562</v>
      </c>
      <c r="C20" s="315"/>
      <c r="D20" s="73"/>
      <c r="E20" s="73">
        <v>55719</v>
      </c>
      <c r="F20" s="43">
        <v>1</v>
      </c>
      <c r="G20" s="331"/>
      <c r="H20" s="325"/>
    </row>
    <row r="21" spans="1:8" x14ac:dyDescent="0.35">
      <c r="A21" s="223" t="s">
        <v>933</v>
      </c>
      <c r="B21" s="102" t="s">
        <v>433</v>
      </c>
      <c r="C21" s="315"/>
      <c r="D21" s="73"/>
      <c r="E21" s="73">
        <v>55719</v>
      </c>
      <c r="F21" s="43">
        <v>1</v>
      </c>
      <c r="G21" s="331"/>
      <c r="H21" s="325"/>
    </row>
    <row r="22" spans="1:8" x14ac:dyDescent="0.35">
      <c r="A22" s="223" t="s">
        <v>1163</v>
      </c>
      <c r="B22" s="102" t="s">
        <v>83</v>
      </c>
      <c r="C22" s="315"/>
      <c r="D22" s="73"/>
      <c r="E22" s="73">
        <v>55719</v>
      </c>
      <c r="F22" s="43">
        <v>1</v>
      </c>
      <c r="G22" s="331"/>
      <c r="H22" s="325"/>
    </row>
    <row r="23" spans="1:8" x14ac:dyDescent="0.35">
      <c r="A23" s="223" t="s">
        <v>743</v>
      </c>
      <c r="B23" s="102" t="s">
        <v>750</v>
      </c>
      <c r="C23" s="315"/>
      <c r="D23" s="73"/>
      <c r="E23" s="73">
        <v>55719</v>
      </c>
      <c r="F23" s="43">
        <v>1</v>
      </c>
      <c r="G23" s="331"/>
      <c r="H23" s="325"/>
    </row>
    <row r="24" spans="1:8" x14ac:dyDescent="0.35">
      <c r="A24" s="223" t="s">
        <v>214</v>
      </c>
      <c r="B24" s="102" t="s">
        <v>197</v>
      </c>
      <c r="C24" s="315"/>
      <c r="D24" s="73"/>
      <c r="E24" s="73">
        <v>55719</v>
      </c>
      <c r="F24" s="43">
        <v>1</v>
      </c>
      <c r="G24" s="331"/>
      <c r="H24" s="325"/>
    </row>
    <row r="25" spans="1:8" x14ac:dyDescent="0.35">
      <c r="A25" s="223" t="s">
        <v>1288</v>
      </c>
      <c r="B25" s="102" t="s">
        <v>1614</v>
      </c>
      <c r="C25" s="315"/>
      <c r="D25" s="73"/>
      <c r="E25" s="73">
        <v>55719</v>
      </c>
      <c r="F25" s="43">
        <v>1</v>
      </c>
      <c r="G25" s="331"/>
      <c r="H25" s="325"/>
    </row>
    <row r="26" spans="1:8" x14ac:dyDescent="0.35">
      <c r="A26" s="223" t="s">
        <v>135</v>
      </c>
      <c r="B26" s="102" t="s">
        <v>523</v>
      </c>
      <c r="C26" s="315"/>
      <c r="D26" s="73"/>
      <c r="E26" s="73">
        <v>55719</v>
      </c>
      <c r="F26" s="43">
        <v>1</v>
      </c>
      <c r="G26" s="331"/>
      <c r="H26" s="325"/>
    </row>
    <row r="27" spans="1:8" x14ac:dyDescent="0.35">
      <c r="A27" s="223" t="s">
        <v>1007</v>
      </c>
      <c r="B27" s="102" t="s">
        <v>313</v>
      </c>
      <c r="C27" s="315"/>
      <c r="D27" s="73"/>
      <c r="E27" s="73">
        <v>55719</v>
      </c>
      <c r="F27" s="43">
        <v>1</v>
      </c>
      <c r="G27" s="331"/>
      <c r="H27" s="325"/>
    </row>
    <row r="28" spans="1:8" x14ac:dyDescent="0.35">
      <c r="A28" s="223" t="s">
        <v>899</v>
      </c>
      <c r="B28" s="102" t="s">
        <v>281</v>
      </c>
      <c r="C28" s="315"/>
      <c r="D28" s="73"/>
      <c r="E28" s="73">
        <v>55719</v>
      </c>
      <c r="F28" s="43">
        <v>1</v>
      </c>
      <c r="G28" s="331"/>
      <c r="H28" s="325"/>
    </row>
    <row r="29" spans="1:8" x14ac:dyDescent="0.35">
      <c r="A29" s="223" t="s">
        <v>1760</v>
      </c>
      <c r="B29" s="102" t="s">
        <v>311</v>
      </c>
      <c r="C29" s="315"/>
      <c r="D29" s="73"/>
      <c r="E29" s="73">
        <v>55719</v>
      </c>
      <c r="F29" s="43">
        <v>1</v>
      </c>
      <c r="G29" s="331"/>
      <c r="H29" s="325"/>
    </row>
    <row r="30" spans="1:8" x14ac:dyDescent="0.35">
      <c r="A30" s="223" t="s">
        <v>1014</v>
      </c>
      <c r="B30" s="102" t="s">
        <v>314</v>
      </c>
      <c r="C30" s="315"/>
      <c r="D30" s="73"/>
      <c r="E30" s="73">
        <v>55719</v>
      </c>
      <c r="F30" s="43">
        <v>2</v>
      </c>
      <c r="G30" s="331"/>
      <c r="H30" s="325"/>
    </row>
    <row r="33" spans="1:7" s="4" customFormat="1" ht="17.5" x14ac:dyDescent="0.35">
      <c r="A33" s="309" t="s">
        <v>2043</v>
      </c>
      <c r="B33" s="312"/>
      <c r="C33" s="249"/>
      <c r="D33" s="3"/>
      <c r="E33" s="3"/>
      <c r="F33" s="3"/>
      <c r="G33" s="37"/>
    </row>
    <row r="34" spans="1:7" s="4" customFormat="1" ht="17.5" x14ac:dyDescent="0.35">
      <c r="A34" s="309" t="s">
        <v>2394</v>
      </c>
      <c r="B34" s="312"/>
      <c r="C34" s="249"/>
      <c r="D34" s="3"/>
      <c r="E34" s="3"/>
      <c r="F34" s="3"/>
      <c r="G34" s="37"/>
    </row>
    <row r="35" spans="1:7" ht="17.5" x14ac:dyDescent="0.35">
      <c r="A35" s="310" t="s">
        <v>2633</v>
      </c>
      <c r="B35" s="221"/>
    </row>
    <row r="36" spans="1:7" ht="17.5" x14ac:dyDescent="0.35">
      <c r="A36" s="319" t="s">
        <v>2694</v>
      </c>
      <c r="B36" s="307"/>
    </row>
  </sheetData>
  <sortState xmlns:xlrd2="http://schemas.microsoft.com/office/spreadsheetml/2017/richdata2" ref="A2:H31">
    <sortCondition ref="A2:A31"/>
  </sortState>
  <pageMargins left="0.7" right="0.7" top="0.75" bottom="0.75" header="0.3" footer="0.3"/>
  <pageSetup scale="70" orientation="landscape"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110"/>
  <sheetViews>
    <sheetView workbookViewId="0">
      <pane ySplit="1" topLeftCell="A87" activePane="bottomLeft" state="frozen"/>
      <selection activeCell="C26" sqref="C26"/>
      <selection pane="bottomLeft" activeCell="A104" sqref="A104:XFD114"/>
    </sheetView>
  </sheetViews>
  <sheetFormatPr defaultColWidth="9.08984375" defaultRowHeight="15.5" x14ac:dyDescent="0.35"/>
  <cols>
    <col min="1" max="1" width="68.54296875" style="104" bestFit="1" customWidth="1"/>
    <col min="2" max="2" width="20" style="54" bestFit="1" customWidth="1"/>
    <col min="3" max="3" width="20.36328125" style="54" bestFit="1" customWidth="1"/>
    <col min="4" max="4" width="20.08984375" style="54" bestFit="1" customWidth="1"/>
    <col min="5" max="5" width="12.453125" style="54" bestFit="1" customWidth="1"/>
    <col min="6" max="6" width="10" style="54" bestFit="1" customWidth="1"/>
    <col min="7" max="7" width="11.36328125" style="105" bestFit="1" customWidth="1"/>
    <col min="8" max="8" width="16.90625" style="104" bestFit="1" customWidth="1"/>
    <col min="9" max="9" width="17" style="104" bestFit="1" customWidth="1"/>
    <col min="10" max="10" width="3" style="104" bestFit="1" customWidth="1"/>
    <col min="11" max="16384" width="9.08984375" style="104"/>
  </cols>
  <sheetData>
    <row r="1" spans="1:8" x14ac:dyDescent="0.35">
      <c r="A1" s="237" t="s">
        <v>0</v>
      </c>
      <c r="B1" s="232" t="s">
        <v>1</v>
      </c>
      <c r="C1" s="281" t="s">
        <v>2700</v>
      </c>
      <c r="D1" s="232" t="s">
        <v>1598</v>
      </c>
      <c r="E1" s="232" t="s">
        <v>1599</v>
      </c>
      <c r="F1" s="191" t="s">
        <v>364</v>
      </c>
      <c r="G1" s="326" t="s">
        <v>2695</v>
      </c>
      <c r="H1" s="655" t="s">
        <v>2696</v>
      </c>
    </row>
    <row r="2" spans="1:8" x14ac:dyDescent="0.35">
      <c r="A2" s="294" t="s">
        <v>2630</v>
      </c>
      <c r="B2" s="295" t="s">
        <v>2604</v>
      </c>
      <c r="C2" s="466"/>
      <c r="D2" s="295"/>
      <c r="E2" s="295">
        <v>55719</v>
      </c>
      <c r="F2" s="350">
        <v>1</v>
      </c>
      <c r="G2" s="353"/>
      <c r="H2" s="653"/>
    </row>
    <row r="3" spans="1:8" ht="15" customHeight="1" x14ac:dyDescent="0.35">
      <c r="A3" s="234" t="s">
        <v>1102</v>
      </c>
      <c r="B3" s="62" t="s">
        <v>1573</v>
      </c>
      <c r="C3" s="466"/>
      <c r="D3" s="62"/>
      <c r="E3" s="62">
        <v>55719</v>
      </c>
      <c r="F3" s="351">
        <v>1</v>
      </c>
      <c r="G3" s="354"/>
      <c r="H3" s="653"/>
    </row>
    <row r="4" spans="1:8" s="184" customFormat="1" x14ac:dyDescent="0.35">
      <c r="A4" s="235" t="s">
        <v>2540</v>
      </c>
      <c r="B4" s="62" t="s">
        <v>2456</v>
      </c>
      <c r="C4" s="466"/>
      <c r="D4" s="62"/>
      <c r="E4" s="62">
        <v>55719</v>
      </c>
      <c r="F4" s="352">
        <v>1</v>
      </c>
      <c r="G4" s="338"/>
      <c r="H4" s="653"/>
    </row>
    <row r="5" spans="1:8" s="184" customFormat="1" x14ac:dyDescent="0.35">
      <c r="A5" s="235" t="s">
        <v>2069</v>
      </c>
      <c r="B5" s="62" t="s">
        <v>1911</v>
      </c>
      <c r="C5" s="466"/>
      <c r="D5" s="62"/>
      <c r="E5" s="62">
        <v>55719</v>
      </c>
      <c r="F5" s="352">
        <v>1</v>
      </c>
      <c r="G5" s="338"/>
      <c r="H5" s="653"/>
    </row>
    <row r="6" spans="1:8" s="184" customFormat="1" x14ac:dyDescent="0.35">
      <c r="A6" s="234" t="s">
        <v>1672</v>
      </c>
      <c r="B6" s="62" t="s">
        <v>1671</v>
      </c>
      <c r="C6" s="466"/>
      <c r="D6" s="62"/>
      <c r="E6" s="62">
        <v>55719</v>
      </c>
      <c r="F6" s="351">
        <v>1</v>
      </c>
      <c r="G6" s="354"/>
      <c r="H6" s="653"/>
    </row>
    <row r="7" spans="1:8" x14ac:dyDescent="0.35">
      <c r="A7" s="234" t="s">
        <v>2359</v>
      </c>
      <c r="B7" s="62" t="s">
        <v>2358</v>
      </c>
      <c r="C7" s="466"/>
      <c r="D7" s="62"/>
      <c r="E7" s="62">
        <v>55719</v>
      </c>
      <c r="F7" s="351">
        <v>1</v>
      </c>
      <c r="G7" s="354"/>
      <c r="H7" s="653"/>
    </row>
    <row r="8" spans="1:8" x14ac:dyDescent="0.35">
      <c r="A8" s="234" t="s">
        <v>1698</v>
      </c>
      <c r="B8" s="62" t="s">
        <v>1699</v>
      </c>
      <c r="C8" s="466"/>
      <c r="D8" s="62"/>
      <c r="E8" s="62">
        <v>55719</v>
      </c>
      <c r="F8" s="351">
        <v>1</v>
      </c>
      <c r="G8" s="354" t="s">
        <v>1749</v>
      </c>
      <c r="H8" s="653"/>
    </row>
    <row r="9" spans="1:8" s="106" customFormat="1" x14ac:dyDescent="0.35">
      <c r="A9" s="234" t="s">
        <v>408</v>
      </c>
      <c r="B9" s="253" t="s">
        <v>1562</v>
      </c>
      <c r="C9" s="466"/>
      <c r="D9" s="253"/>
      <c r="E9" s="253">
        <v>55719</v>
      </c>
      <c r="F9" s="351">
        <v>1</v>
      </c>
      <c r="G9" s="354"/>
      <c r="H9" s="654"/>
    </row>
    <row r="10" spans="1:8" s="106" customFormat="1" x14ac:dyDescent="0.35">
      <c r="A10" s="234" t="s">
        <v>1643</v>
      </c>
      <c r="B10" s="62" t="s">
        <v>1642</v>
      </c>
      <c r="C10" s="466"/>
      <c r="D10" s="62"/>
      <c r="E10" s="62">
        <v>55719</v>
      </c>
      <c r="F10" s="351">
        <v>1</v>
      </c>
      <c r="G10" s="354"/>
      <c r="H10" s="654"/>
    </row>
    <row r="11" spans="1:8" s="106" customFormat="1" x14ac:dyDescent="0.35">
      <c r="A11" s="234" t="s">
        <v>16</v>
      </c>
      <c r="B11" s="62" t="s">
        <v>360</v>
      </c>
      <c r="C11" s="466"/>
      <c r="D11" s="62"/>
      <c r="E11" s="62">
        <v>55719</v>
      </c>
      <c r="F11" s="351">
        <v>1</v>
      </c>
      <c r="G11" s="354"/>
      <c r="H11" s="654"/>
    </row>
    <row r="12" spans="1:8" s="106" customFormat="1" x14ac:dyDescent="0.35">
      <c r="A12" s="234" t="s">
        <v>171</v>
      </c>
      <c r="B12" s="62" t="s">
        <v>565</v>
      </c>
      <c r="C12" s="466"/>
      <c r="D12" s="62"/>
      <c r="E12" s="62">
        <v>55719</v>
      </c>
      <c r="F12" s="351">
        <v>1</v>
      </c>
      <c r="G12" s="354"/>
      <c r="H12" s="653"/>
    </row>
    <row r="13" spans="1:8" s="106" customFormat="1" x14ac:dyDescent="0.35">
      <c r="A13" s="234" t="s">
        <v>1700</v>
      </c>
      <c r="B13" s="62" t="s">
        <v>1701</v>
      </c>
      <c r="C13" s="466"/>
      <c r="D13" s="62"/>
      <c r="E13" s="62">
        <v>55719</v>
      </c>
      <c r="F13" s="351">
        <v>1</v>
      </c>
      <c r="G13" s="354"/>
      <c r="H13" s="653"/>
    </row>
    <row r="14" spans="1:8" s="106" customFormat="1" x14ac:dyDescent="0.35">
      <c r="A14" s="234" t="s">
        <v>2584</v>
      </c>
      <c r="B14" s="62" t="s">
        <v>263</v>
      </c>
      <c r="C14" s="466"/>
      <c r="D14" s="62"/>
      <c r="E14" s="62">
        <v>55719</v>
      </c>
      <c r="F14" s="351">
        <v>1</v>
      </c>
      <c r="G14" s="354"/>
      <c r="H14" s="654"/>
    </row>
    <row r="15" spans="1:8" ht="15" customHeight="1" x14ac:dyDescent="0.35">
      <c r="A15" s="234" t="s">
        <v>15</v>
      </c>
      <c r="B15" s="62" t="s">
        <v>424</v>
      </c>
      <c r="C15" s="466"/>
      <c r="D15" s="62"/>
      <c r="E15" s="62">
        <v>55719</v>
      </c>
      <c r="F15" s="351">
        <v>1</v>
      </c>
      <c r="G15" s="354"/>
      <c r="H15" s="654"/>
    </row>
    <row r="16" spans="1:8" ht="15" customHeight="1" x14ac:dyDescent="0.35">
      <c r="A16" s="234" t="s">
        <v>1019</v>
      </c>
      <c r="B16" s="62" t="s">
        <v>90</v>
      </c>
      <c r="C16" s="466"/>
      <c r="D16" s="62"/>
      <c r="E16" s="62">
        <v>55719</v>
      </c>
      <c r="F16" s="351">
        <v>1</v>
      </c>
      <c r="G16" s="354"/>
      <c r="H16" s="654"/>
    </row>
    <row r="17" spans="1:10" ht="15" customHeight="1" x14ac:dyDescent="0.35">
      <c r="A17" s="234" t="s">
        <v>904</v>
      </c>
      <c r="B17" s="253" t="s">
        <v>538</v>
      </c>
      <c r="C17" s="466"/>
      <c r="D17" s="253"/>
      <c r="E17" s="253">
        <v>55719</v>
      </c>
      <c r="F17" s="351">
        <v>1</v>
      </c>
      <c r="G17" s="354"/>
      <c r="H17" s="654"/>
    </row>
    <row r="18" spans="1:10" ht="15" customHeight="1" x14ac:dyDescent="0.35">
      <c r="A18" s="234" t="s">
        <v>878</v>
      </c>
      <c r="B18" s="62" t="s">
        <v>94</v>
      </c>
      <c r="C18" s="466"/>
      <c r="D18" s="62"/>
      <c r="E18" s="62">
        <v>55719</v>
      </c>
      <c r="F18" s="351">
        <v>1</v>
      </c>
      <c r="G18" s="354"/>
      <c r="H18" s="654"/>
    </row>
    <row r="19" spans="1:10" ht="15" customHeight="1" x14ac:dyDescent="0.35">
      <c r="A19" s="234" t="s">
        <v>1101</v>
      </c>
      <c r="B19" s="62" t="s">
        <v>1570</v>
      </c>
      <c r="C19" s="466"/>
      <c r="D19" s="62"/>
      <c r="E19" s="62">
        <v>55719</v>
      </c>
      <c r="F19" s="351">
        <v>1</v>
      </c>
      <c r="G19" s="354"/>
      <c r="H19" s="654"/>
    </row>
    <row r="20" spans="1:10" ht="15" customHeight="1" x14ac:dyDescent="0.35">
      <c r="A20" s="234" t="s">
        <v>1103</v>
      </c>
      <c r="B20" s="62" t="s">
        <v>1571</v>
      </c>
      <c r="C20" s="466"/>
      <c r="D20" s="62"/>
      <c r="E20" s="62">
        <v>55719</v>
      </c>
      <c r="F20" s="351">
        <v>1</v>
      </c>
      <c r="G20" s="354"/>
      <c r="H20" s="653"/>
    </row>
    <row r="21" spans="1:10" ht="15" customHeight="1" x14ac:dyDescent="0.35">
      <c r="A21" s="234" t="s">
        <v>1104</v>
      </c>
      <c r="B21" s="62" t="s">
        <v>1572</v>
      </c>
      <c r="C21" s="466"/>
      <c r="D21" s="62"/>
      <c r="E21" s="62">
        <v>55719</v>
      </c>
      <c r="F21" s="351">
        <v>1</v>
      </c>
      <c r="G21" s="354"/>
      <c r="H21" s="653"/>
    </row>
    <row r="22" spans="1:10" ht="15" customHeight="1" x14ac:dyDescent="0.35">
      <c r="A22" s="234" t="s">
        <v>34</v>
      </c>
      <c r="B22" s="62" t="s">
        <v>1566</v>
      </c>
      <c r="C22" s="466"/>
      <c r="D22" s="62"/>
      <c r="E22" s="62">
        <v>55719</v>
      </c>
      <c r="F22" s="351">
        <v>1</v>
      </c>
      <c r="G22" s="354"/>
      <c r="H22" s="653"/>
      <c r="J22" s="104" t="s">
        <v>1474</v>
      </c>
    </row>
    <row r="23" spans="1:10" x14ac:dyDescent="0.35">
      <c r="A23" s="234" t="s">
        <v>35</v>
      </c>
      <c r="B23" s="62" t="s">
        <v>1567</v>
      </c>
      <c r="C23" s="466"/>
      <c r="D23" s="62"/>
      <c r="E23" s="62">
        <v>55719</v>
      </c>
      <c r="F23" s="351">
        <v>1</v>
      </c>
      <c r="G23" s="354"/>
      <c r="H23" s="653"/>
      <c r="J23" s="104" t="s">
        <v>1749</v>
      </c>
    </row>
    <row r="24" spans="1:10" ht="15" customHeight="1" x14ac:dyDescent="0.35">
      <c r="A24" s="234" t="s">
        <v>33</v>
      </c>
      <c r="B24" s="62" t="s">
        <v>1565</v>
      </c>
      <c r="C24" s="466"/>
      <c r="D24" s="62"/>
      <c r="E24" s="62">
        <v>55719</v>
      </c>
      <c r="F24" s="351">
        <v>1</v>
      </c>
      <c r="G24" s="354"/>
      <c r="H24" s="653"/>
    </row>
    <row r="25" spans="1:10" x14ac:dyDescent="0.35">
      <c r="A25" s="234" t="s">
        <v>834</v>
      </c>
      <c r="B25" s="62" t="s">
        <v>1568</v>
      </c>
      <c r="C25" s="466"/>
      <c r="D25" s="62"/>
      <c r="E25" s="62">
        <v>55719</v>
      </c>
      <c r="F25" s="351">
        <v>1</v>
      </c>
      <c r="G25" s="354"/>
      <c r="H25" s="653" t="s">
        <v>1749</v>
      </c>
    </row>
    <row r="26" spans="1:10" ht="15" customHeight="1" x14ac:dyDescent="0.35">
      <c r="A26" s="234" t="s">
        <v>1069</v>
      </c>
      <c r="B26" s="62" t="s">
        <v>1569</v>
      </c>
      <c r="C26" s="466"/>
      <c r="D26" s="62"/>
      <c r="E26" s="62">
        <v>55719</v>
      </c>
      <c r="F26" s="351">
        <v>1</v>
      </c>
      <c r="G26" s="354"/>
      <c r="H26" s="653"/>
    </row>
    <row r="27" spans="1:10" ht="15" customHeight="1" x14ac:dyDescent="0.35">
      <c r="A27" s="234" t="s">
        <v>38</v>
      </c>
      <c r="B27" s="62" t="s">
        <v>200</v>
      </c>
      <c r="C27" s="466"/>
      <c r="D27" s="62"/>
      <c r="E27" s="62">
        <v>55719</v>
      </c>
      <c r="F27" s="351">
        <v>1</v>
      </c>
      <c r="G27" s="354"/>
      <c r="H27" s="653"/>
    </row>
    <row r="28" spans="1:10" x14ac:dyDescent="0.35">
      <c r="A28" s="234" t="s">
        <v>6</v>
      </c>
      <c r="B28" s="253" t="s">
        <v>87</v>
      </c>
      <c r="C28" s="466"/>
      <c r="D28" s="253"/>
      <c r="E28" s="253">
        <v>55719</v>
      </c>
      <c r="F28" s="351">
        <v>1</v>
      </c>
      <c r="G28" s="354"/>
      <c r="H28" s="653"/>
    </row>
    <row r="29" spans="1:10" x14ac:dyDescent="0.35">
      <c r="A29" s="234" t="s">
        <v>1193</v>
      </c>
      <c r="B29" s="62" t="s">
        <v>941</v>
      </c>
      <c r="C29" s="466"/>
      <c r="D29" s="62"/>
      <c r="E29" s="62">
        <v>55719</v>
      </c>
      <c r="F29" s="351">
        <v>1</v>
      </c>
      <c r="G29" s="354"/>
      <c r="H29" s="653"/>
    </row>
    <row r="30" spans="1:10" x14ac:dyDescent="0.35">
      <c r="A30" s="234" t="s">
        <v>1200</v>
      </c>
      <c r="B30" s="62" t="s">
        <v>59</v>
      </c>
      <c r="C30" s="466"/>
      <c r="D30" s="62"/>
      <c r="E30" s="62">
        <v>55719</v>
      </c>
      <c r="F30" s="351">
        <v>1</v>
      </c>
      <c r="G30" s="355"/>
      <c r="H30" s="653"/>
    </row>
    <row r="31" spans="1:10" ht="15" customHeight="1" x14ac:dyDescent="0.35">
      <c r="A31" s="234" t="s">
        <v>159</v>
      </c>
      <c r="B31" s="253" t="s">
        <v>427</v>
      </c>
      <c r="C31" s="466"/>
      <c r="D31" s="253"/>
      <c r="E31" s="253">
        <v>55719</v>
      </c>
      <c r="F31" s="351">
        <v>1</v>
      </c>
      <c r="G31" s="355"/>
      <c r="H31" s="653"/>
    </row>
    <row r="32" spans="1:10" x14ac:dyDescent="0.35">
      <c r="A32" s="236" t="s">
        <v>2595</v>
      </c>
      <c r="B32" s="253" t="s">
        <v>508</v>
      </c>
      <c r="C32" s="466"/>
      <c r="D32" s="253"/>
      <c r="E32" s="253">
        <v>55719</v>
      </c>
      <c r="F32" s="351">
        <v>1</v>
      </c>
      <c r="G32" s="355"/>
      <c r="H32" s="653"/>
    </row>
    <row r="33" spans="1:8" x14ac:dyDescent="0.35">
      <c r="A33" s="236" t="s">
        <v>2594</v>
      </c>
      <c r="B33" s="253" t="s">
        <v>757</v>
      </c>
      <c r="C33" s="466"/>
      <c r="D33" s="253"/>
      <c r="E33" s="253">
        <v>55719</v>
      </c>
      <c r="F33" s="351">
        <v>1</v>
      </c>
      <c r="G33" s="355"/>
      <c r="H33" s="653"/>
    </row>
    <row r="34" spans="1:8" x14ac:dyDescent="0.35">
      <c r="A34" s="234" t="s">
        <v>1760</v>
      </c>
      <c r="B34" s="253" t="s">
        <v>311</v>
      </c>
      <c r="C34" s="466"/>
      <c r="D34" s="253"/>
      <c r="E34" s="253">
        <v>55719</v>
      </c>
      <c r="F34" s="351">
        <v>1</v>
      </c>
      <c r="G34" s="354"/>
      <c r="H34" s="653"/>
    </row>
    <row r="35" spans="1:8" x14ac:dyDescent="0.35">
      <c r="A35" s="234" t="s">
        <v>1013</v>
      </c>
      <c r="B35" s="253" t="s">
        <v>283</v>
      </c>
      <c r="C35" s="466"/>
      <c r="D35" s="253"/>
      <c r="E35" s="253">
        <v>55719</v>
      </c>
      <c r="F35" s="351">
        <v>1</v>
      </c>
      <c r="G35" s="354"/>
      <c r="H35" s="653"/>
    </row>
    <row r="36" spans="1:8" x14ac:dyDescent="0.35">
      <c r="A36" s="234" t="s">
        <v>1007</v>
      </c>
      <c r="B36" s="253" t="s">
        <v>313</v>
      </c>
      <c r="C36" s="466"/>
      <c r="D36" s="253"/>
      <c r="E36" s="253">
        <v>55719</v>
      </c>
      <c r="F36" s="351">
        <v>1</v>
      </c>
      <c r="G36" s="354"/>
      <c r="H36" s="653"/>
    </row>
    <row r="37" spans="1:8" ht="15" customHeight="1" x14ac:dyDescent="0.35">
      <c r="A37" s="234" t="s">
        <v>1014</v>
      </c>
      <c r="B37" s="253" t="s">
        <v>314</v>
      </c>
      <c r="C37" s="466"/>
      <c r="D37" s="253"/>
      <c r="E37" s="253">
        <v>55719</v>
      </c>
      <c r="F37" s="351">
        <v>1</v>
      </c>
      <c r="G37" s="354"/>
      <c r="H37" s="653"/>
    </row>
    <row r="38" spans="1:8" x14ac:dyDescent="0.35">
      <c r="A38" s="234" t="s">
        <v>1083</v>
      </c>
      <c r="B38" s="253" t="s">
        <v>491</v>
      </c>
      <c r="C38" s="466"/>
      <c r="D38" s="253"/>
      <c r="E38" s="253">
        <v>55719</v>
      </c>
      <c r="F38" s="351">
        <v>1</v>
      </c>
      <c r="G38" s="354"/>
      <c r="H38" s="653"/>
    </row>
    <row r="39" spans="1:8" x14ac:dyDescent="0.35">
      <c r="A39" s="234" t="s">
        <v>1012</v>
      </c>
      <c r="B39" s="62" t="s">
        <v>285</v>
      </c>
      <c r="C39" s="466"/>
      <c r="D39" s="62"/>
      <c r="E39" s="62">
        <v>55719</v>
      </c>
      <c r="F39" s="351">
        <v>1</v>
      </c>
      <c r="G39" s="354"/>
      <c r="H39" s="653"/>
    </row>
    <row r="40" spans="1:8" x14ac:dyDescent="0.35">
      <c r="A40" s="234" t="s">
        <v>1008</v>
      </c>
      <c r="B40" s="62" t="s">
        <v>173</v>
      </c>
      <c r="C40" s="466"/>
      <c r="D40" s="62"/>
      <c r="E40" s="62">
        <v>55719</v>
      </c>
      <c r="F40" s="351">
        <v>1</v>
      </c>
      <c r="G40" s="354"/>
      <c r="H40" s="653"/>
    </row>
    <row r="41" spans="1:8" x14ac:dyDescent="0.35">
      <c r="A41" s="234" t="s">
        <v>899</v>
      </c>
      <c r="B41" s="62" t="s">
        <v>281</v>
      </c>
      <c r="C41" s="466"/>
      <c r="D41" s="62"/>
      <c r="E41" s="62">
        <v>55719</v>
      </c>
      <c r="F41" s="351">
        <v>1</v>
      </c>
      <c r="G41" s="354"/>
      <c r="H41" s="653"/>
    </row>
    <row r="42" spans="1:8" x14ac:dyDescent="0.35">
      <c r="A42" s="234" t="s">
        <v>1759</v>
      </c>
      <c r="B42" s="62" t="s">
        <v>280</v>
      </c>
      <c r="C42" s="466"/>
      <c r="D42" s="62"/>
      <c r="E42" s="62">
        <v>55719</v>
      </c>
      <c r="F42" s="351">
        <v>1</v>
      </c>
      <c r="G42" s="354"/>
      <c r="H42" s="653"/>
    </row>
    <row r="43" spans="1:8" x14ac:dyDescent="0.35">
      <c r="A43" s="234" t="s">
        <v>2344</v>
      </c>
      <c r="B43" s="62" t="s">
        <v>279</v>
      </c>
      <c r="C43" s="466"/>
      <c r="D43" s="62"/>
      <c r="E43" s="62">
        <v>55719</v>
      </c>
      <c r="F43" s="351">
        <v>1</v>
      </c>
      <c r="G43" s="354"/>
      <c r="H43" s="653"/>
    </row>
    <row r="44" spans="1:8" x14ac:dyDescent="0.35">
      <c r="A44" s="234" t="s">
        <v>731</v>
      </c>
      <c r="B44" s="62" t="s">
        <v>492</v>
      </c>
      <c r="C44" s="466"/>
      <c r="D44" s="62"/>
      <c r="E44" s="62">
        <v>55719</v>
      </c>
      <c r="F44" s="351">
        <v>1</v>
      </c>
      <c r="G44" s="354"/>
      <c r="H44" s="653"/>
    </row>
    <row r="45" spans="1:8" x14ac:dyDescent="0.35">
      <c r="A45" s="234" t="s">
        <v>1016</v>
      </c>
      <c r="B45" s="62" t="s">
        <v>310</v>
      </c>
      <c r="C45" s="466"/>
      <c r="D45" s="62"/>
      <c r="E45" s="62">
        <v>55719</v>
      </c>
      <c r="F45" s="351">
        <v>1</v>
      </c>
      <c r="G45" s="354"/>
      <c r="H45" s="653"/>
    </row>
    <row r="46" spans="1:8" x14ac:dyDescent="0.35">
      <c r="A46" s="234" t="s">
        <v>900</v>
      </c>
      <c r="B46" s="62" t="s">
        <v>301</v>
      </c>
      <c r="C46" s="466"/>
      <c r="D46" s="62"/>
      <c r="E46" s="62">
        <v>55719</v>
      </c>
      <c r="F46" s="351">
        <v>1</v>
      </c>
      <c r="G46" s="354"/>
      <c r="H46" s="653"/>
    </row>
    <row r="47" spans="1:8" x14ac:dyDescent="0.35">
      <c r="A47" s="234" t="s">
        <v>1702</v>
      </c>
      <c r="B47" s="62" t="s">
        <v>302</v>
      </c>
      <c r="C47" s="466"/>
      <c r="D47" s="62"/>
      <c r="E47" s="62">
        <v>55719</v>
      </c>
      <c r="F47" s="351">
        <v>1</v>
      </c>
      <c r="G47" s="354" t="s">
        <v>1749</v>
      </c>
      <c r="H47" s="653"/>
    </row>
    <row r="48" spans="1:8" x14ac:dyDescent="0.35">
      <c r="A48" s="234" t="s">
        <v>885</v>
      </c>
      <c r="B48" s="62" t="s">
        <v>229</v>
      </c>
      <c r="C48" s="466"/>
      <c r="D48" s="62"/>
      <c r="E48" s="62">
        <v>55719</v>
      </c>
      <c r="F48" s="351">
        <v>1</v>
      </c>
      <c r="G48" s="354"/>
      <c r="H48" s="653"/>
    </row>
    <row r="49" spans="1:8" x14ac:dyDescent="0.35">
      <c r="A49" s="234" t="s">
        <v>2548</v>
      </c>
      <c r="B49" s="62" t="s">
        <v>208</v>
      </c>
      <c r="C49" s="466"/>
      <c r="D49" s="62"/>
      <c r="E49" s="62">
        <v>55719</v>
      </c>
      <c r="F49" s="351">
        <v>1</v>
      </c>
      <c r="G49" s="354"/>
      <c r="H49" s="653"/>
    </row>
    <row r="50" spans="1:8" x14ac:dyDescent="0.35">
      <c r="A50" s="234" t="s">
        <v>2547</v>
      </c>
      <c r="B50" s="62" t="s">
        <v>210</v>
      </c>
      <c r="C50" s="466"/>
      <c r="D50" s="62"/>
      <c r="E50" s="62">
        <v>55719</v>
      </c>
      <c r="F50" s="351">
        <v>1</v>
      </c>
      <c r="G50" s="354"/>
      <c r="H50" s="653"/>
    </row>
    <row r="51" spans="1:8" ht="15" customHeight="1" x14ac:dyDescent="0.35">
      <c r="A51" s="234" t="s">
        <v>924</v>
      </c>
      <c r="B51" s="62" t="s">
        <v>435</v>
      </c>
      <c r="C51" s="466"/>
      <c r="D51" s="62"/>
      <c r="E51" s="62">
        <v>55719</v>
      </c>
      <c r="F51" s="351">
        <v>1</v>
      </c>
      <c r="G51" s="354"/>
      <c r="H51" s="653"/>
    </row>
    <row r="52" spans="1:8" ht="15" customHeight="1" x14ac:dyDescent="0.35">
      <c r="A52" s="234" t="s">
        <v>2476</v>
      </c>
      <c r="B52" s="62" t="s">
        <v>1755</v>
      </c>
      <c r="C52" s="466"/>
      <c r="D52" s="62"/>
      <c r="E52" s="62">
        <v>55719</v>
      </c>
      <c r="F52" s="351">
        <v>2</v>
      </c>
      <c r="G52" s="354"/>
      <c r="H52" s="653"/>
    </row>
    <row r="53" spans="1:8" x14ac:dyDescent="0.35">
      <c r="A53" s="234" t="s">
        <v>1099</v>
      </c>
      <c r="B53" s="62" t="s">
        <v>426</v>
      </c>
      <c r="C53" s="466"/>
      <c r="D53" s="62"/>
      <c r="E53" s="62">
        <v>55719</v>
      </c>
      <c r="F53" s="351">
        <v>1</v>
      </c>
      <c r="G53" s="354"/>
      <c r="H53" s="653"/>
    </row>
    <row r="54" spans="1:8" x14ac:dyDescent="0.35">
      <c r="A54" s="234" t="s">
        <v>1078</v>
      </c>
      <c r="B54" s="62" t="s">
        <v>270</v>
      </c>
      <c r="C54" s="466"/>
      <c r="D54" s="62"/>
      <c r="E54" s="62">
        <v>55719</v>
      </c>
      <c r="F54" s="351">
        <v>1</v>
      </c>
      <c r="G54" s="354"/>
      <c r="H54" s="653"/>
    </row>
    <row r="55" spans="1:8" x14ac:dyDescent="0.35">
      <c r="A55" s="234" t="s">
        <v>1003</v>
      </c>
      <c r="B55" s="62" t="s">
        <v>265</v>
      </c>
      <c r="C55" s="466"/>
      <c r="D55" s="62"/>
      <c r="E55" s="62">
        <v>55719</v>
      </c>
      <c r="F55" s="351">
        <v>1</v>
      </c>
      <c r="G55" s="354"/>
      <c r="H55" s="653"/>
    </row>
    <row r="56" spans="1:8" ht="15" customHeight="1" x14ac:dyDescent="0.35">
      <c r="A56" s="234" t="s">
        <v>64</v>
      </c>
      <c r="B56" s="62" t="s">
        <v>483</v>
      </c>
      <c r="C56" s="466"/>
      <c r="D56" s="62"/>
      <c r="E56" s="62">
        <v>55719</v>
      </c>
      <c r="F56" s="351">
        <v>1</v>
      </c>
      <c r="G56" s="354"/>
      <c r="H56" s="653"/>
    </row>
    <row r="57" spans="1:8" x14ac:dyDescent="0.35">
      <c r="A57" s="234" t="s">
        <v>1109</v>
      </c>
      <c r="B57" s="62" t="s">
        <v>430</v>
      </c>
      <c r="C57" s="466"/>
      <c r="D57" s="62"/>
      <c r="E57" s="62">
        <v>55719</v>
      </c>
      <c r="F57" s="351">
        <v>1</v>
      </c>
      <c r="G57" s="354"/>
      <c r="H57" s="653"/>
    </row>
    <row r="58" spans="1:8" ht="15" customHeight="1" x14ac:dyDescent="0.35">
      <c r="A58" s="234" t="s">
        <v>362</v>
      </c>
      <c r="B58" s="62" t="s">
        <v>431</v>
      </c>
      <c r="C58" s="466"/>
      <c r="D58" s="62"/>
      <c r="E58" s="62">
        <v>55719</v>
      </c>
      <c r="F58" s="351">
        <v>1</v>
      </c>
      <c r="G58" s="354"/>
      <c r="H58" s="653"/>
    </row>
    <row r="59" spans="1:8" ht="15" customHeight="1" x14ac:dyDescent="0.35">
      <c r="A59" s="234" t="s">
        <v>1245</v>
      </c>
      <c r="B59" s="62" t="s">
        <v>481</v>
      </c>
      <c r="C59" s="466"/>
      <c r="D59" s="62"/>
      <c r="E59" s="62">
        <v>55719</v>
      </c>
      <c r="F59" s="351">
        <v>1</v>
      </c>
      <c r="G59" s="354"/>
      <c r="H59" s="653"/>
    </row>
    <row r="60" spans="1:8" ht="15" customHeight="1" x14ac:dyDescent="0.35">
      <c r="A60" s="234" t="s">
        <v>101</v>
      </c>
      <c r="B60" s="62" t="s">
        <v>1670</v>
      </c>
      <c r="C60" s="466"/>
      <c r="D60" s="62"/>
      <c r="E60" s="62">
        <v>55719</v>
      </c>
      <c r="F60" s="351">
        <v>3</v>
      </c>
      <c r="G60" s="354"/>
      <c r="H60" s="653"/>
    </row>
    <row r="61" spans="1:8" ht="15" customHeight="1" x14ac:dyDescent="0.35">
      <c r="A61" s="234" t="s">
        <v>984</v>
      </c>
      <c r="B61" s="62" t="s">
        <v>1669</v>
      </c>
      <c r="C61" s="466"/>
      <c r="D61" s="62"/>
      <c r="E61" s="62">
        <v>55719</v>
      </c>
      <c r="F61" s="351">
        <v>4</v>
      </c>
      <c r="G61" s="354"/>
      <c r="H61" s="653"/>
    </row>
    <row r="62" spans="1:8" ht="15" customHeight="1" x14ac:dyDescent="0.35">
      <c r="A62" s="234" t="s">
        <v>1054</v>
      </c>
      <c r="B62" s="62" t="s">
        <v>258</v>
      </c>
      <c r="C62" s="466"/>
      <c r="D62" s="62"/>
      <c r="E62" s="62">
        <v>55719</v>
      </c>
      <c r="F62" s="351">
        <v>1</v>
      </c>
      <c r="G62" s="354" t="s">
        <v>1749</v>
      </c>
      <c r="H62" s="653"/>
    </row>
    <row r="63" spans="1:8" ht="15" customHeight="1" x14ac:dyDescent="0.35">
      <c r="A63" s="234" t="s">
        <v>995</v>
      </c>
      <c r="B63" s="62" t="s">
        <v>251</v>
      </c>
      <c r="C63" s="466"/>
      <c r="D63" s="62"/>
      <c r="E63" s="62">
        <v>55719</v>
      </c>
      <c r="F63" s="351">
        <v>1</v>
      </c>
      <c r="G63" s="354"/>
      <c r="H63" s="653"/>
    </row>
    <row r="64" spans="1:8" ht="15" customHeight="1" x14ac:dyDescent="0.35">
      <c r="A64" s="234" t="s">
        <v>930</v>
      </c>
      <c r="B64" s="62" t="s">
        <v>88</v>
      </c>
      <c r="C64" s="466"/>
      <c r="D64" s="62"/>
      <c r="E64" s="62">
        <v>55719</v>
      </c>
      <c r="F64" s="351">
        <v>2</v>
      </c>
      <c r="G64" s="354"/>
      <c r="H64" s="653"/>
    </row>
    <row r="65" spans="1:8" ht="15" customHeight="1" x14ac:dyDescent="0.35">
      <c r="A65" s="234" t="s">
        <v>29</v>
      </c>
      <c r="B65" s="62" t="s">
        <v>1564</v>
      </c>
      <c r="C65" s="466"/>
      <c r="D65" s="62"/>
      <c r="E65" s="62">
        <v>55719</v>
      </c>
      <c r="F65" s="351">
        <v>1</v>
      </c>
      <c r="G65" s="354"/>
      <c r="H65" s="653"/>
    </row>
    <row r="66" spans="1:8" x14ac:dyDescent="0.35">
      <c r="A66" s="234" t="s">
        <v>28</v>
      </c>
      <c r="B66" s="62" t="s">
        <v>2242</v>
      </c>
      <c r="C66" s="466"/>
      <c r="D66" s="62"/>
      <c r="E66" s="62">
        <v>55719</v>
      </c>
      <c r="F66" s="351">
        <v>1</v>
      </c>
      <c r="G66" s="354"/>
      <c r="H66" s="653"/>
    </row>
    <row r="67" spans="1:8" ht="15" customHeight="1" x14ac:dyDescent="0.35">
      <c r="A67" s="234" t="s">
        <v>2243</v>
      </c>
      <c r="B67" s="62" t="s">
        <v>479</v>
      </c>
      <c r="C67" s="466"/>
      <c r="D67" s="62"/>
      <c r="E67" s="62">
        <v>55719</v>
      </c>
      <c r="F67" s="351">
        <v>1</v>
      </c>
      <c r="G67" s="354"/>
      <c r="H67" s="653"/>
    </row>
    <row r="68" spans="1:8" ht="15" customHeight="1" x14ac:dyDescent="0.35">
      <c r="A68" s="234" t="s">
        <v>1156</v>
      </c>
      <c r="B68" s="62" t="s">
        <v>61</v>
      </c>
      <c r="C68" s="466"/>
      <c r="D68" s="62"/>
      <c r="E68" s="62">
        <v>55719</v>
      </c>
      <c r="F68" s="351">
        <v>1</v>
      </c>
      <c r="G68" s="354"/>
      <c r="H68" s="653"/>
    </row>
    <row r="69" spans="1:8" x14ac:dyDescent="0.35">
      <c r="A69" s="234" t="s">
        <v>1158</v>
      </c>
      <c r="B69" s="62" t="s">
        <v>487</v>
      </c>
      <c r="C69" s="466"/>
      <c r="D69" s="62"/>
      <c r="E69" s="62">
        <v>55719</v>
      </c>
      <c r="F69" s="351">
        <v>1</v>
      </c>
      <c r="G69" s="354"/>
      <c r="H69" s="653"/>
    </row>
    <row r="70" spans="1:8" ht="15" customHeight="1" x14ac:dyDescent="0.35">
      <c r="A70" s="234" t="s">
        <v>1159</v>
      </c>
      <c r="B70" s="62" t="s">
        <v>484</v>
      </c>
      <c r="C70" s="466"/>
      <c r="D70" s="62"/>
      <c r="E70" s="62">
        <v>55719</v>
      </c>
      <c r="F70" s="351">
        <v>1</v>
      </c>
      <c r="G70" s="354"/>
      <c r="H70" s="653"/>
    </row>
    <row r="71" spans="1:8" ht="15" customHeight="1" x14ac:dyDescent="0.35">
      <c r="A71" s="234" t="s">
        <v>931</v>
      </c>
      <c r="B71" s="62" t="s">
        <v>66</v>
      </c>
      <c r="C71" s="466"/>
      <c r="D71" s="62"/>
      <c r="E71" s="62">
        <v>55719</v>
      </c>
      <c r="F71" s="351">
        <v>1</v>
      </c>
      <c r="G71" s="354"/>
      <c r="H71" s="653"/>
    </row>
    <row r="72" spans="1:8" x14ac:dyDescent="0.35">
      <c r="A72" s="234" t="s">
        <v>932</v>
      </c>
      <c r="B72" s="62" t="s">
        <v>432</v>
      </c>
      <c r="C72" s="466"/>
      <c r="D72" s="62"/>
      <c r="E72" s="62">
        <v>55719</v>
      </c>
      <c r="F72" s="351">
        <v>1</v>
      </c>
      <c r="G72" s="354"/>
      <c r="H72" s="653"/>
    </row>
    <row r="73" spans="1:8" x14ac:dyDescent="0.35">
      <c r="A73" s="234" t="s">
        <v>1160</v>
      </c>
      <c r="B73" s="62" t="s">
        <v>467</v>
      </c>
      <c r="C73" s="466"/>
      <c r="D73" s="62"/>
      <c r="E73" s="62">
        <v>55719</v>
      </c>
      <c r="F73" s="351">
        <v>1</v>
      </c>
      <c r="G73" s="354"/>
      <c r="H73" s="653"/>
    </row>
    <row r="74" spans="1:8" x14ac:dyDescent="0.35">
      <c r="A74" s="234" t="s">
        <v>1608</v>
      </c>
      <c r="B74" s="62" t="s">
        <v>1609</v>
      </c>
      <c r="C74" s="466"/>
      <c r="D74" s="62"/>
      <c r="E74" s="62">
        <v>55719</v>
      </c>
      <c r="F74" s="351">
        <v>1</v>
      </c>
      <c r="G74" s="354"/>
      <c r="H74" s="653"/>
    </row>
    <row r="75" spans="1:8" ht="15" customHeight="1" x14ac:dyDescent="0.35">
      <c r="A75" s="234" t="s">
        <v>933</v>
      </c>
      <c r="B75" s="62" t="s">
        <v>433</v>
      </c>
      <c r="C75" s="466"/>
      <c r="D75" s="62"/>
      <c r="E75" s="62">
        <v>55719</v>
      </c>
      <c r="F75" s="351">
        <v>1</v>
      </c>
      <c r="G75" s="354" t="s">
        <v>1749</v>
      </c>
      <c r="H75" s="653"/>
    </row>
    <row r="76" spans="1:8" x14ac:dyDescent="0.35">
      <c r="A76" s="234" t="s">
        <v>1162</v>
      </c>
      <c r="B76" s="62" t="s">
        <v>84</v>
      </c>
      <c r="C76" s="466"/>
      <c r="D76" s="62"/>
      <c r="E76" s="62">
        <v>55719</v>
      </c>
      <c r="F76" s="351">
        <v>1</v>
      </c>
      <c r="G76" s="354"/>
      <c r="H76" s="653"/>
    </row>
    <row r="77" spans="1:8" x14ac:dyDescent="0.35">
      <c r="A77" s="234" t="s">
        <v>934</v>
      </c>
      <c r="B77" s="62" t="s">
        <v>434</v>
      </c>
      <c r="C77" s="466"/>
      <c r="D77" s="62"/>
      <c r="E77" s="62">
        <v>55719</v>
      </c>
      <c r="F77" s="351">
        <v>1</v>
      </c>
      <c r="G77" s="354"/>
      <c r="H77" s="653"/>
    </row>
    <row r="78" spans="1:8" x14ac:dyDescent="0.35">
      <c r="A78" s="234" t="s">
        <v>1112</v>
      </c>
      <c r="B78" s="62" t="s">
        <v>790</v>
      </c>
      <c r="C78" s="466"/>
      <c r="D78" s="62"/>
      <c r="E78" s="62">
        <v>55719</v>
      </c>
      <c r="F78" s="351">
        <v>1</v>
      </c>
      <c r="G78" s="354" t="s">
        <v>1749</v>
      </c>
      <c r="H78" s="653"/>
    </row>
    <row r="79" spans="1:8" x14ac:dyDescent="0.35">
      <c r="A79" s="234" t="s">
        <v>1061</v>
      </c>
      <c r="B79" s="62" t="s">
        <v>73</v>
      </c>
      <c r="C79" s="466"/>
      <c r="D79" s="62"/>
      <c r="E79" s="62">
        <v>55719</v>
      </c>
      <c r="F79" s="351">
        <v>2</v>
      </c>
      <c r="G79" s="354"/>
      <c r="H79" s="653"/>
    </row>
    <row r="80" spans="1:8" ht="15" customHeight="1" x14ac:dyDescent="0.35">
      <c r="A80" s="234" t="s">
        <v>1060</v>
      </c>
      <c r="B80" s="62" t="s">
        <v>74</v>
      </c>
      <c r="C80" s="466"/>
      <c r="D80" s="62"/>
      <c r="E80" s="62">
        <v>55719</v>
      </c>
      <c r="F80" s="351">
        <v>1</v>
      </c>
      <c r="G80" s="354"/>
      <c r="H80" s="653"/>
    </row>
    <row r="81" spans="1:8" x14ac:dyDescent="0.35">
      <c r="A81" s="234" t="s">
        <v>1062</v>
      </c>
      <c r="B81" s="62" t="s">
        <v>261</v>
      </c>
      <c r="C81" s="466"/>
      <c r="D81" s="62"/>
      <c r="E81" s="62">
        <v>55719</v>
      </c>
      <c r="F81" s="351">
        <v>1</v>
      </c>
      <c r="G81" s="354"/>
      <c r="H81" s="653"/>
    </row>
    <row r="82" spans="1:8" x14ac:dyDescent="0.35">
      <c r="A82" s="234" t="s">
        <v>1168</v>
      </c>
      <c r="B82" s="62" t="s">
        <v>75</v>
      </c>
      <c r="C82" s="466"/>
      <c r="D82" s="62"/>
      <c r="E82" s="62">
        <v>55719</v>
      </c>
      <c r="F82" s="351">
        <v>1</v>
      </c>
      <c r="G82" s="354"/>
      <c r="H82" s="653"/>
    </row>
    <row r="83" spans="1:8" ht="15" customHeight="1" x14ac:dyDescent="0.35">
      <c r="A83" s="234" t="s">
        <v>1063</v>
      </c>
      <c r="B83" s="62" t="s">
        <v>71</v>
      </c>
      <c r="C83" s="466"/>
      <c r="D83" s="62"/>
      <c r="E83" s="62">
        <v>55719</v>
      </c>
      <c r="F83" s="351">
        <v>1</v>
      </c>
      <c r="G83" s="354"/>
      <c r="H83" s="653"/>
    </row>
    <row r="84" spans="1:8" x14ac:dyDescent="0.35">
      <c r="A84" s="234" t="s">
        <v>1057</v>
      </c>
      <c r="B84" s="62" t="s">
        <v>72</v>
      </c>
      <c r="C84" s="466"/>
      <c r="D84" s="62"/>
      <c r="E84" s="62">
        <v>55719</v>
      </c>
      <c r="F84" s="351">
        <v>1</v>
      </c>
      <c r="G84" s="354"/>
      <c r="H84" s="653"/>
    </row>
    <row r="85" spans="1:8" x14ac:dyDescent="0.35">
      <c r="A85" s="234" t="s">
        <v>743</v>
      </c>
      <c r="B85" s="62" t="s">
        <v>750</v>
      </c>
      <c r="C85" s="466"/>
      <c r="D85" s="62"/>
      <c r="E85" s="62">
        <v>55719</v>
      </c>
      <c r="F85" s="351">
        <v>1</v>
      </c>
      <c r="G85" s="354"/>
      <c r="H85" s="653"/>
    </row>
    <row r="86" spans="1:8" ht="15" customHeight="1" x14ac:dyDescent="0.35">
      <c r="A86" s="234" t="s">
        <v>214</v>
      </c>
      <c r="B86" s="62" t="s">
        <v>197</v>
      </c>
      <c r="C86" s="466"/>
      <c r="D86" s="62"/>
      <c r="E86" s="62">
        <v>55719</v>
      </c>
      <c r="F86" s="351">
        <v>1</v>
      </c>
      <c r="G86" s="354"/>
      <c r="H86" s="653"/>
    </row>
    <row r="87" spans="1:8" x14ac:dyDescent="0.35">
      <c r="A87" s="234" t="s">
        <v>14</v>
      </c>
      <c r="B87" s="62" t="s">
        <v>334</v>
      </c>
      <c r="C87" s="466"/>
      <c r="D87" s="62"/>
      <c r="E87" s="62">
        <v>55719</v>
      </c>
      <c r="F87" s="351">
        <v>1</v>
      </c>
      <c r="G87" s="354"/>
      <c r="H87" s="653"/>
    </row>
    <row r="88" spans="1:8" ht="15.75" customHeight="1" x14ac:dyDescent="0.35">
      <c r="A88" s="234" t="s">
        <v>36</v>
      </c>
      <c r="B88" s="62" t="s">
        <v>37</v>
      </c>
      <c r="C88" s="466"/>
      <c r="D88" s="62"/>
      <c r="E88" s="62">
        <v>55719</v>
      </c>
      <c r="F88" s="351">
        <v>1</v>
      </c>
      <c r="G88" s="354"/>
      <c r="H88" s="653"/>
    </row>
    <row r="89" spans="1:8" ht="15.75" customHeight="1" x14ac:dyDescent="0.35">
      <c r="A89" s="234" t="s">
        <v>881</v>
      </c>
      <c r="B89" s="62" t="s">
        <v>417</v>
      </c>
      <c r="C89" s="466"/>
      <c r="D89" s="62"/>
      <c r="E89" s="62">
        <v>55719</v>
      </c>
      <c r="F89" s="351">
        <v>1</v>
      </c>
      <c r="G89" s="354"/>
      <c r="H89" s="653"/>
    </row>
    <row r="90" spans="1:8" ht="15.75" customHeight="1" x14ac:dyDescent="0.35">
      <c r="A90" s="234" t="s">
        <v>10</v>
      </c>
      <c r="B90" s="62" t="s">
        <v>418</v>
      </c>
      <c r="C90" s="466"/>
      <c r="D90" s="62"/>
      <c r="E90" s="62">
        <v>55719</v>
      </c>
      <c r="F90" s="351">
        <v>1</v>
      </c>
      <c r="G90" s="354"/>
      <c r="H90" s="653"/>
    </row>
    <row r="91" spans="1:8" ht="15.75" customHeight="1" x14ac:dyDescent="0.35">
      <c r="A91" s="234" t="s">
        <v>1265</v>
      </c>
      <c r="B91" s="62" t="s">
        <v>751</v>
      </c>
      <c r="C91" s="466"/>
      <c r="D91" s="62"/>
      <c r="E91" s="62">
        <v>55719</v>
      </c>
      <c r="F91" s="351">
        <v>1</v>
      </c>
      <c r="G91" s="354"/>
      <c r="H91" s="653"/>
    </row>
    <row r="92" spans="1:8" ht="15.75" customHeight="1" x14ac:dyDescent="0.35">
      <c r="A92" s="234" t="s">
        <v>1268</v>
      </c>
      <c r="B92" s="62" t="s">
        <v>836</v>
      </c>
      <c r="C92" s="466"/>
      <c r="D92" s="62"/>
      <c r="E92" s="62">
        <v>55719</v>
      </c>
      <c r="F92" s="351">
        <v>1</v>
      </c>
      <c r="G92" s="354"/>
      <c r="H92" s="653"/>
    </row>
    <row r="93" spans="1:8" ht="15.75" customHeight="1" x14ac:dyDescent="0.35">
      <c r="A93" s="234" t="s">
        <v>19</v>
      </c>
      <c r="B93" s="62" t="s">
        <v>242</v>
      </c>
      <c r="C93" s="466"/>
      <c r="D93" s="62"/>
      <c r="E93" s="62">
        <v>55719</v>
      </c>
      <c r="F93" s="351">
        <v>1</v>
      </c>
      <c r="G93" s="354"/>
      <c r="H93" s="653"/>
    </row>
    <row r="94" spans="1:8" ht="15.75" customHeight="1" x14ac:dyDescent="0.35">
      <c r="A94" s="234" t="s">
        <v>13</v>
      </c>
      <c r="B94" s="62" t="s">
        <v>420</v>
      </c>
      <c r="C94" s="466"/>
      <c r="D94" s="62"/>
      <c r="E94" s="62">
        <v>55719</v>
      </c>
      <c r="F94" s="351">
        <v>1</v>
      </c>
      <c r="G94" s="354"/>
      <c r="H94" s="653"/>
    </row>
    <row r="95" spans="1:8" ht="15.75" customHeight="1" x14ac:dyDescent="0.35">
      <c r="A95" s="234" t="s">
        <v>5</v>
      </c>
      <c r="B95" s="62" t="s">
        <v>415</v>
      </c>
      <c r="C95" s="466"/>
      <c r="D95" s="62"/>
      <c r="E95" s="62">
        <v>55719</v>
      </c>
      <c r="F95" s="351">
        <v>1</v>
      </c>
      <c r="G95" s="354"/>
      <c r="H95" s="653"/>
    </row>
    <row r="96" spans="1:8" ht="15.75" customHeight="1" x14ac:dyDescent="0.35">
      <c r="A96" s="234" t="s">
        <v>181</v>
      </c>
      <c r="B96" s="62" t="s">
        <v>182</v>
      </c>
      <c r="C96" s="466"/>
      <c r="D96" s="62"/>
      <c r="E96" s="62">
        <v>55719</v>
      </c>
      <c r="F96" s="351">
        <v>1</v>
      </c>
      <c r="G96" s="354"/>
      <c r="H96" s="653"/>
    </row>
    <row r="97" spans="1:8" ht="15.75" customHeight="1" x14ac:dyDescent="0.35">
      <c r="A97" s="234" t="s">
        <v>11</v>
      </c>
      <c r="B97" s="62" t="s">
        <v>233</v>
      </c>
      <c r="C97" s="466"/>
      <c r="D97" s="62"/>
      <c r="E97" s="62">
        <v>55719</v>
      </c>
      <c r="F97" s="351">
        <v>1</v>
      </c>
      <c r="G97" s="354"/>
      <c r="H97" s="653"/>
    </row>
    <row r="98" spans="1:8" ht="15.75" customHeight="1" x14ac:dyDescent="0.35">
      <c r="A98" s="234" t="s">
        <v>12</v>
      </c>
      <c r="B98" s="62" t="s">
        <v>150</v>
      </c>
      <c r="C98" s="466"/>
      <c r="D98" s="62"/>
      <c r="E98" s="62">
        <v>55719</v>
      </c>
      <c r="F98" s="351">
        <v>1</v>
      </c>
      <c r="G98" s="354"/>
      <c r="H98" s="653"/>
    </row>
    <row r="99" spans="1:8" ht="15.75" customHeight="1" x14ac:dyDescent="0.35">
      <c r="A99" s="234" t="s">
        <v>1100</v>
      </c>
      <c r="B99" s="62" t="s">
        <v>810</v>
      </c>
      <c r="C99" s="466"/>
      <c r="D99" s="62"/>
      <c r="E99" s="62">
        <v>55719</v>
      </c>
      <c r="F99" s="351">
        <v>1</v>
      </c>
      <c r="G99" s="354"/>
      <c r="H99" s="653"/>
    </row>
    <row r="100" spans="1:8" ht="15.75" customHeight="1" x14ac:dyDescent="0.35">
      <c r="A100" s="234" t="s">
        <v>887</v>
      </c>
      <c r="B100" s="253" t="s">
        <v>802</v>
      </c>
      <c r="C100" s="466"/>
      <c r="D100" s="253"/>
      <c r="E100" s="253">
        <v>55719</v>
      </c>
      <c r="F100" s="351">
        <v>1</v>
      </c>
      <c r="G100" s="355"/>
      <c r="H100" s="653"/>
    </row>
    <row r="101" spans="1:8" x14ac:dyDescent="0.35">
      <c r="A101" s="234" t="s">
        <v>1042</v>
      </c>
      <c r="B101" s="62" t="s">
        <v>429</v>
      </c>
      <c r="C101" s="466"/>
      <c r="D101" s="62"/>
      <c r="E101" s="62">
        <v>55719</v>
      </c>
      <c r="F101" s="351">
        <v>1</v>
      </c>
      <c r="G101" s="354"/>
      <c r="H101" s="653"/>
    </row>
    <row r="102" spans="1:8" x14ac:dyDescent="0.35">
      <c r="A102" s="234" t="s">
        <v>4</v>
      </c>
      <c r="B102" s="253" t="s">
        <v>86</v>
      </c>
      <c r="C102" s="466"/>
      <c r="D102" s="253"/>
      <c r="E102" s="253">
        <v>55719</v>
      </c>
      <c r="F102" s="351">
        <v>1</v>
      </c>
      <c r="G102" s="354"/>
      <c r="H102" s="653"/>
    </row>
    <row r="103" spans="1:8" x14ac:dyDescent="0.35">
      <c r="A103" s="234" t="s">
        <v>97</v>
      </c>
      <c r="B103" s="253" t="s">
        <v>457</v>
      </c>
      <c r="C103" s="466"/>
      <c r="D103" s="253"/>
      <c r="E103" s="253">
        <v>55719</v>
      </c>
      <c r="F103" s="351">
        <v>1</v>
      </c>
      <c r="G103" s="354"/>
      <c r="H103" s="653"/>
    </row>
    <row r="104" spans="1:8" x14ac:dyDescent="0.35">
      <c r="F104" s="245">
        <f>SUM(F2:F103)</f>
        <v>110</v>
      </c>
    </row>
    <row r="106" spans="1:8" x14ac:dyDescent="0.35">
      <c r="A106" s="104" t="s">
        <v>1749</v>
      </c>
    </row>
    <row r="107" spans="1:8" s="4" customFormat="1" ht="17.5" x14ac:dyDescent="0.35">
      <c r="A107" s="309" t="s">
        <v>1758</v>
      </c>
      <c r="B107" s="312"/>
      <c r="C107" s="249"/>
      <c r="D107" s="3"/>
      <c r="E107" s="3"/>
      <c r="F107" s="3"/>
      <c r="G107" s="37"/>
    </row>
    <row r="108" spans="1:8" s="4" customFormat="1" ht="17.5" x14ac:dyDescent="0.35">
      <c r="A108" s="309" t="s">
        <v>2398</v>
      </c>
      <c r="B108" s="312"/>
      <c r="C108" s="249"/>
      <c r="D108" s="3"/>
      <c r="E108" s="3"/>
      <c r="F108" s="3"/>
      <c r="G108" s="37"/>
    </row>
    <row r="109" spans="1:8" ht="17.5" x14ac:dyDescent="0.35">
      <c r="A109" s="310" t="s">
        <v>2631</v>
      </c>
      <c r="B109" s="328"/>
      <c r="C109" s="104"/>
      <c r="D109" s="54" t="s">
        <v>1474</v>
      </c>
    </row>
    <row r="110" spans="1:8" ht="17.5" x14ac:dyDescent="0.35">
      <c r="A110" s="319" t="s">
        <v>2694</v>
      </c>
      <c r="B110" s="307"/>
      <c r="C110" s="104"/>
      <c r="D110" s="54" t="s">
        <v>1749</v>
      </c>
    </row>
  </sheetData>
  <sortState xmlns:xlrd2="http://schemas.microsoft.com/office/spreadsheetml/2017/richdata2" ref="A3:H103">
    <sortCondition ref="B5:B103"/>
  </sortState>
  <printOptions gridLines="1"/>
  <pageMargins left="0.5" right="0.5" top="0.5" bottom="0.5" header="0.3" footer="0.3"/>
  <pageSetup scale="60" orientation="landscape" r:id="rId1"/>
  <headerFooter>
    <oddFooter xml:space="preserve">&amp;C </oddFooter>
  </headerFooter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11"/>
  <sheetViews>
    <sheetView workbookViewId="0">
      <pane ySplit="1" topLeftCell="A2" activePane="bottomLeft" state="frozen"/>
      <selection activeCell="C26" sqref="C26"/>
      <selection pane="bottomLeft" activeCell="A4" sqref="A4:XFD4"/>
    </sheetView>
  </sheetViews>
  <sheetFormatPr defaultColWidth="9.08984375" defaultRowHeight="15.5" x14ac:dyDescent="0.35"/>
  <cols>
    <col min="1" max="1" width="63.90625" style="104" bestFit="1" customWidth="1"/>
    <col min="2" max="2" width="15.90625" style="54" bestFit="1" customWidth="1"/>
    <col min="3" max="3" width="20.36328125" style="54" bestFit="1" customWidth="1"/>
    <col min="4" max="4" width="20.08984375" style="54" bestFit="1" customWidth="1"/>
    <col min="5" max="5" width="12.453125" style="54" bestFit="1" customWidth="1"/>
    <col min="6" max="6" width="10" style="54" bestFit="1" customWidth="1"/>
    <col min="7" max="7" width="11.36328125" style="105" bestFit="1" customWidth="1"/>
    <col min="8" max="8" width="16.90625" style="104" bestFit="1" customWidth="1"/>
    <col min="9" max="9" width="17" style="104" bestFit="1" customWidth="1"/>
    <col min="10" max="16384" width="9.08984375" style="104"/>
  </cols>
  <sheetData>
    <row r="1" spans="1:8" x14ac:dyDescent="0.35">
      <c r="A1" s="13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50" t="s">
        <v>364</v>
      </c>
      <c r="G1" s="326" t="s">
        <v>2695</v>
      </c>
      <c r="H1" s="305" t="s">
        <v>2696</v>
      </c>
    </row>
    <row r="2" spans="1:8" x14ac:dyDescent="0.35">
      <c r="A2" s="101" t="s">
        <v>16</v>
      </c>
      <c r="B2" s="253" t="s">
        <v>360</v>
      </c>
      <c r="C2" s="315"/>
      <c r="D2" s="253"/>
      <c r="E2" s="253" t="s">
        <v>1604</v>
      </c>
      <c r="F2" s="221">
        <v>1</v>
      </c>
      <c r="G2" s="325"/>
      <c r="H2" s="329"/>
    </row>
    <row r="3" spans="1:8" x14ac:dyDescent="0.35">
      <c r="A3" s="101" t="s">
        <v>1099</v>
      </c>
      <c r="B3" s="253" t="s">
        <v>426</v>
      </c>
      <c r="C3" s="315"/>
      <c r="D3" s="253"/>
      <c r="E3" s="253" t="s">
        <v>1604</v>
      </c>
      <c r="F3" s="221">
        <v>1</v>
      </c>
      <c r="G3" s="325"/>
      <c r="H3" s="329"/>
    </row>
    <row r="6" spans="1:8" s="248" customFormat="1" ht="17.5" x14ac:dyDescent="0.35">
      <c r="A6" s="309" t="s">
        <v>2399</v>
      </c>
      <c r="B6" s="312"/>
      <c r="C6" s="249"/>
      <c r="D6" s="249"/>
      <c r="E6" s="249"/>
      <c r="F6" s="249"/>
      <c r="G6" s="250"/>
    </row>
    <row r="7" spans="1:8" s="248" customFormat="1" ht="17.5" x14ac:dyDescent="0.35">
      <c r="A7" s="309" t="s">
        <v>2400</v>
      </c>
      <c r="B7" s="312"/>
      <c r="C7" s="249"/>
      <c r="D7" s="249"/>
      <c r="E7" s="249"/>
      <c r="F7" s="249"/>
      <c r="G7" s="250"/>
    </row>
    <row r="8" spans="1:8" ht="17.5" x14ac:dyDescent="0.35">
      <c r="A8" s="334" t="s">
        <v>2629</v>
      </c>
      <c r="B8" s="6"/>
    </row>
    <row r="9" spans="1:8" ht="17.5" x14ac:dyDescent="0.35">
      <c r="A9" s="319" t="s">
        <v>2694</v>
      </c>
      <c r="B9" s="307"/>
    </row>
    <row r="11" spans="1:8" ht="17.5" x14ac:dyDescent="0.35">
      <c r="B11" s="249"/>
      <c r="C11" s="249"/>
    </row>
  </sheetData>
  <sortState xmlns:xlrd2="http://schemas.microsoft.com/office/spreadsheetml/2017/richdata2" ref="A2:H3">
    <sortCondition ref="B2:B3"/>
  </sortState>
  <printOptions gridLines="1"/>
  <pageMargins left="0.5" right="0.5" top="0.5" bottom="0.5" header="0.3" footer="0.3"/>
  <pageSetup scale="60" orientation="landscape" r:id="rId1"/>
  <headerFooter>
    <oddFooter xml:space="preserve">&amp;C 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82"/>
  <sheetViews>
    <sheetView workbookViewId="0">
      <pane ySplit="1" topLeftCell="A47" activePane="bottomLeft" state="frozen"/>
      <selection activeCell="C26" sqref="C26"/>
      <selection pane="bottomLeft" activeCell="D80" sqref="D80"/>
    </sheetView>
  </sheetViews>
  <sheetFormatPr defaultColWidth="9.08984375" defaultRowHeight="15.5" x14ac:dyDescent="0.35"/>
  <cols>
    <col min="1" max="1" width="69.36328125" style="104" bestFit="1" customWidth="1"/>
    <col min="2" max="2" width="16.08984375" style="54" customWidth="1"/>
    <col min="3" max="3" width="21.1796875" style="54" customWidth="1"/>
    <col min="4" max="4" width="21.81640625" style="54" customWidth="1"/>
    <col min="5" max="5" width="14.36328125" style="54" customWidth="1"/>
    <col min="6" max="6" width="11.90625" style="54" customWidth="1"/>
    <col min="7" max="7" width="13.08984375" style="105" customWidth="1"/>
    <col min="8" max="8" width="18.6328125" style="104" customWidth="1"/>
    <col min="9" max="9" width="17" style="104" bestFit="1" customWidth="1"/>
    <col min="10" max="16384" width="9.08984375" style="104"/>
  </cols>
  <sheetData>
    <row r="1" spans="1:8" x14ac:dyDescent="0.35">
      <c r="A1" s="567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23" t="s">
        <v>364</v>
      </c>
      <c r="G1" s="326" t="s">
        <v>2695</v>
      </c>
      <c r="H1" s="305" t="s">
        <v>2696</v>
      </c>
    </row>
    <row r="2" spans="1:8" ht="15" customHeight="1" x14ac:dyDescent="0.35">
      <c r="A2" s="235" t="s">
        <v>2069</v>
      </c>
      <c r="B2" s="253" t="s">
        <v>1911</v>
      </c>
      <c r="C2" s="315"/>
      <c r="D2" s="62"/>
      <c r="E2" s="62">
        <v>55719</v>
      </c>
      <c r="F2" s="29">
        <v>1</v>
      </c>
      <c r="G2" s="338"/>
      <c r="H2" s="318"/>
    </row>
    <row r="3" spans="1:8" x14ac:dyDescent="0.35">
      <c r="A3" s="235" t="s">
        <v>2540</v>
      </c>
      <c r="B3" s="253" t="s">
        <v>2456</v>
      </c>
      <c r="C3" s="315"/>
      <c r="D3" s="62"/>
      <c r="E3" s="62">
        <v>55719</v>
      </c>
      <c r="F3" s="29">
        <v>1</v>
      </c>
      <c r="G3" s="338"/>
      <c r="H3" s="318"/>
    </row>
    <row r="4" spans="1:8" ht="15" customHeight="1" x14ac:dyDescent="0.35">
      <c r="A4" s="223" t="s">
        <v>2331</v>
      </c>
      <c r="B4" s="15" t="s">
        <v>2578</v>
      </c>
      <c r="C4" s="315"/>
      <c r="D4" s="62"/>
      <c r="E4" s="62">
        <v>55719</v>
      </c>
      <c r="F4" s="125">
        <v>1</v>
      </c>
      <c r="G4" s="347"/>
      <c r="H4" s="329"/>
    </row>
    <row r="5" spans="1:8" s="184" customFormat="1" x14ac:dyDescent="0.35">
      <c r="A5" s="223" t="s">
        <v>1008</v>
      </c>
      <c r="B5" s="252" t="s">
        <v>173</v>
      </c>
      <c r="C5" s="315"/>
      <c r="D5" s="62"/>
      <c r="E5" s="62">
        <v>55719</v>
      </c>
      <c r="F5" s="222">
        <v>1</v>
      </c>
      <c r="G5" s="347"/>
      <c r="H5" s="329"/>
    </row>
    <row r="6" spans="1:8" s="184" customFormat="1" x14ac:dyDescent="0.35">
      <c r="A6" s="223" t="s">
        <v>899</v>
      </c>
      <c r="B6" s="252" t="s">
        <v>281</v>
      </c>
      <c r="C6" s="315"/>
      <c r="D6" s="62"/>
      <c r="E6" s="62">
        <v>55719</v>
      </c>
      <c r="F6" s="222">
        <v>1</v>
      </c>
      <c r="G6" s="347"/>
      <c r="H6" s="329"/>
    </row>
    <row r="7" spans="1:8" ht="15" customHeight="1" x14ac:dyDescent="0.35">
      <c r="A7" s="223" t="s">
        <v>2334</v>
      </c>
      <c r="B7" s="15" t="s">
        <v>284</v>
      </c>
      <c r="C7" s="315"/>
      <c r="D7" s="62"/>
      <c r="E7" s="62">
        <v>55719</v>
      </c>
      <c r="F7" s="125">
        <v>1</v>
      </c>
      <c r="G7" s="347"/>
      <c r="H7" s="329"/>
    </row>
    <row r="8" spans="1:8" ht="15" customHeight="1" x14ac:dyDescent="0.35">
      <c r="A8" s="223" t="s">
        <v>2344</v>
      </c>
      <c r="B8" s="15" t="s">
        <v>279</v>
      </c>
      <c r="C8" s="315"/>
      <c r="D8" s="62"/>
      <c r="E8" s="62">
        <v>55719</v>
      </c>
      <c r="F8" s="125">
        <v>1</v>
      </c>
      <c r="G8" s="347"/>
      <c r="H8" s="329"/>
    </row>
    <row r="9" spans="1:8" x14ac:dyDescent="0.35">
      <c r="A9" s="223" t="s">
        <v>914</v>
      </c>
      <c r="B9" s="15" t="s">
        <v>444</v>
      </c>
      <c r="C9" s="315"/>
      <c r="D9" s="62"/>
      <c r="E9" s="62">
        <v>55719</v>
      </c>
      <c r="F9" s="125">
        <v>1</v>
      </c>
      <c r="G9" s="347"/>
      <c r="H9" s="329"/>
    </row>
    <row r="10" spans="1:8" ht="15" customHeight="1" x14ac:dyDescent="0.35">
      <c r="A10" s="223" t="s">
        <v>731</v>
      </c>
      <c r="B10" s="15" t="s">
        <v>492</v>
      </c>
      <c r="C10" s="315"/>
      <c r="D10" s="62"/>
      <c r="E10" s="62">
        <v>55719</v>
      </c>
      <c r="F10" s="125">
        <v>1</v>
      </c>
      <c r="G10" s="347"/>
      <c r="H10" s="329"/>
    </row>
    <row r="11" spans="1:8" ht="15" customHeight="1" x14ac:dyDescent="0.35">
      <c r="A11" s="223" t="s">
        <v>1383</v>
      </c>
      <c r="B11" s="15" t="s">
        <v>243</v>
      </c>
      <c r="C11" s="315"/>
      <c r="D11" s="62"/>
      <c r="E11" s="62">
        <v>55719</v>
      </c>
      <c r="F11" s="125">
        <v>1</v>
      </c>
      <c r="G11" s="347"/>
      <c r="H11" s="329"/>
    </row>
    <row r="12" spans="1:8" ht="15" customHeight="1" x14ac:dyDescent="0.35">
      <c r="A12" s="223" t="s">
        <v>1431</v>
      </c>
      <c r="B12" s="15" t="s">
        <v>719</v>
      </c>
      <c r="C12" s="315"/>
      <c r="D12" s="62"/>
      <c r="E12" s="62">
        <v>55719</v>
      </c>
      <c r="F12" s="125">
        <v>1</v>
      </c>
      <c r="G12" s="347"/>
      <c r="H12" s="329"/>
    </row>
    <row r="13" spans="1:8" x14ac:dyDescent="0.35">
      <c r="A13" s="223" t="s">
        <v>885</v>
      </c>
      <c r="B13" s="15" t="s">
        <v>229</v>
      </c>
      <c r="C13" s="315"/>
      <c r="D13" s="62"/>
      <c r="E13" s="62">
        <v>55719</v>
      </c>
      <c r="F13" s="125">
        <v>1</v>
      </c>
      <c r="G13" s="347"/>
      <c r="H13" s="329"/>
    </row>
    <row r="14" spans="1:8" ht="15" customHeight="1" x14ac:dyDescent="0.35">
      <c r="A14" s="223" t="s">
        <v>2548</v>
      </c>
      <c r="B14" s="15" t="s">
        <v>208</v>
      </c>
      <c r="C14" s="315"/>
      <c r="D14" s="62"/>
      <c r="E14" s="62">
        <v>55719</v>
      </c>
      <c r="F14" s="125">
        <v>1</v>
      </c>
      <c r="G14" s="347"/>
      <c r="H14" s="329"/>
    </row>
    <row r="15" spans="1:8" x14ac:dyDescent="0.35">
      <c r="A15" s="223" t="s">
        <v>2546</v>
      </c>
      <c r="B15" s="15" t="s">
        <v>209</v>
      </c>
      <c r="C15" s="315"/>
      <c r="D15" s="62"/>
      <c r="E15" s="62">
        <v>55719</v>
      </c>
      <c r="F15" s="125">
        <v>1</v>
      </c>
      <c r="G15" s="347"/>
      <c r="H15" s="329"/>
    </row>
    <row r="16" spans="1:8" x14ac:dyDescent="0.35">
      <c r="A16" s="223" t="s">
        <v>1433</v>
      </c>
      <c r="B16" s="15" t="s">
        <v>323</v>
      </c>
      <c r="C16" s="315"/>
      <c r="D16" s="62"/>
      <c r="E16" s="62">
        <v>55719</v>
      </c>
      <c r="F16" s="125">
        <v>1</v>
      </c>
      <c r="G16" s="347"/>
      <c r="H16" s="329"/>
    </row>
    <row r="17" spans="1:8" x14ac:dyDescent="0.35">
      <c r="A17" s="223" t="s">
        <v>2547</v>
      </c>
      <c r="B17" s="15" t="s">
        <v>210</v>
      </c>
      <c r="C17" s="315"/>
      <c r="D17" s="62"/>
      <c r="E17" s="62">
        <v>55719</v>
      </c>
      <c r="F17" s="125">
        <v>1</v>
      </c>
      <c r="G17" s="347"/>
      <c r="H17" s="329"/>
    </row>
    <row r="18" spans="1:8" x14ac:dyDescent="0.35">
      <c r="A18" s="223" t="s">
        <v>1036</v>
      </c>
      <c r="B18" s="15" t="s">
        <v>423</v>
      </c>
      <c r="C18" s="315"/>
      <c r="D18" s="62"/>
      <c r="E18" s="62">
        <v>55719</v>
      </c>
      <c r="F18" s="125">
        <v>1</v>
      </c>
      <c r="G18" s="347"/>
      <c r="H18" s="329"/>
    </row>
    <row r="19" spans="1:8" x14ac:dyDescent="0.35">
      <c r="A19" s="223" t="s">
        <v>1099</v>
      </c>
      <c r="B19" s="15" t="s">
        <v>426</v>
      </c>
      <c r="C19" s="315"/>
      <c r="D19" s="62"/>
      <c r="E19" s="62">
        <v>55719</v>
      </c>
      <c r="F19" s="125">
        <v>1</v>
      </c>
      <c r="G19" s="347"/>
      <c r="H19" s="329"/>
    </row>
    <row r="20" spans="1:8" x14ac:dyDescent="0.35">
      <c r="A20" s="223" t="s">
        <v>1078</v>
      </c>
      <c r="B20" s="15" t="s">
        <v>270</v>
      </c>
      <c r="C20" s="315"/>
      <c r="D20" s="62"/>
      <c r="E20" s="62">
        <v>55719</v>
      </c>
      <c r="F20" s="125">
        <v>1</v>
      </c>
      <c r="G20" s="347"/>
      <c r="H20" s="329"/>
    </row>
    <row r="21" spans="1:8" ht="15" customHeight="1" x14ac:dyDescent="0.35">
      <c r="A21" s="223" t="s">
        <v>1003</v>
      </c>
      <c r="B21" s="15" t="s">
        <v>265</v>
      </c>
      <c r="C21" s="315"/>
      <c r="D21" s="62"/>
      <c r="E21" s="62">
        <v>55719</v>
      </c>
      <c r="F21" s="125">
        <v>1</v>
      </c>
      <c r="G21" s="347"/>
      <c r="H21" s="329"/>
    </row>
    <row r="22" spans="1:8" x14ac:dyDescent="0.35">
      <c r="A22" s="223" t="s">
        <v>1447</v>
      </c>
      <c r="B22" s="15" t="s">
        <v>201</v>
      </c>
      <c r="C22" s="315"/>
      <c r="D22" s="62"/>
      <c r="E22" s="62">
        <v>55719</v>
      </c>
      <c r="F22" s="125">
        <v>1</v>
      </c>
      <c r="G22" s="347"/>
      <c r="H22" s="329"/>
    </row>
    <row r="23" spans="1:8" x14ac:dyDescent="0.35">
      <c r="A23" s="223" t="s">
        <v>64</v>
      </c>
      <c r="B23" s="15" t="s">
        <v>483</v>
      </c>
      <c r="C23" s="315"/>
      <c r="D23" s="62"/>
      <c r="E23" s="62">
        <v>55719</v>
      </c>
      <c r="F23" s="125">
        <v>1</v>
      </c>
      <c r="G23" s="347"/>
      <c r="H23" s="329"/>
    </row>
    <row r="24" spans="1:8" x14ac:dyDescent="0.35">
      <c r="A24" s="223" t="s">
        <v>1042</v>
      </c>
      <c r="B24" s="15" t="s">
        <v>429</v>
      </c>
      <c r="C24" s="315"/>
      <c r="D24" s="62"/>
      <c r="E24" s="62">
        <v>55719</v>
      </c>
      <c r="F24" s="125">
        <v>1</v>
      </c>
      <c r="G24" s="347"/>
      <c r="H24" s="329"/>
    </row>
    <row r="25" spans="1:8" x14ac:dyDescent="0.35">
      <c r="A25" s="223" t="s">
        <v>1109</v>
      </c>
      <c r="B25" s="15" t="s">
        <v>430</v>
      </c>
      <c r="C25" s="315"/>
      <c r="D25" s="62"/>
      <c r="E25" s="62">
        <v>55719</v>
      </c>
      <c r="F25" s="125">
        <v>1</v>
      </c>
      <c r="G25" s="347"/>
      <c r="H25" s="329"/>
    </row>
    <row r="26" spans="1:8" x14ac:dyDescent="0.35">
      <c r="A26" s="223" t="s">
        <v>1068</v>
      </c>
      <c r="B26" s="15" t="s">
        <v>262</v>
      </c>
      <c r="C26" s="315"/>
      <c r="D26" s="62"/>
      <c r="E26" s="62">
        <v>55719</v>
      </c>
      <c r="F26" s="125">
        <v>1</v>
      </c>
      <c r="G26" s="347"/>
      <c r="H26" s="329"/>
    </row>
    <row r="27" spans="1:8" x14ac:dyDescent="0.35">
      <c r="A27" s="223" t="s">
        <v>1046</v>
      </c>
      <c r="B27" s="252" t="s">
        <v>203</v>
      </c>
      <c r="C27" s="315"/>
      <c r="D27" s="62"/>
      <c r="E27" s="62">
        <v>55719</v>
      </c>
      <c r="F27" s="125">
        <v>1</v>
      </c>
      <c r="G27" s="347"/>
      <c r="H27" s="329"/>
    </row>
    <row r="28" spans="1:8" x14ac:dyDescent="0.35">
      <c r="A28" s="223" t="s">
        <v>763</v>
      </c>
      <c r="B28" s="15" t="s">
        <v>764</v>
      </c>
      <c r="C28" s="315"/>
      <c r="D28" s="62"/>
      <c r="E28" s="62">
        <v>55719</v>
      </c>
      <c r="F28" s="125">
        <v>1</v>
      </c>
      <c r="G28" s="347"/>
      <c r="H28" s="329"/>
    </row>
    <row r="29" spans="1:8" x14ac:dyDescent="0.35">
      <c r="A29" s="223" t="s">
        <v>9</v>
      </c>
      <c r="B29" s="15" t="s">
        <v>329</v>
      </c>
      <c r="C29" s="315"/>
      <c r="D29" s="62"/>
      <c r="E29" s="62">
        <v>55719</v>
      </c>
      <c r="F29" s="125">
        <v>1</v>
      </c>
      <c r="G29" s="347"/>
      <c r="H29" s="329"/>
    </row>
    <row r="30" spans="1:8" x14ac:dyDescent="0.35">
      <c r="A30" s="223" t="s">
        <v>930</v>
      </c>
      <c r="B30" s="15" t="s">
        <v>88</v>
      </c>
      <c r="C30" s="315"/>
      <c r="D30" s="62"/>
      <c r="E30" s="62">
        <v>55719</v>
      </c>
      <c r="F30" s="125">
        <v>1</v>
      </c>
      <c r="G30" s="347"/>
      <c r="H30" s="329"/>
    </row>
    <row r="31" spans="1:8" x14ac:dyDescent="0.35">
      <c r="A31" s="223" t="s">
        <v>4</v>
      </c>
      <c r="B31" s="15" t="s">
        <v>86</v>
      </c>
      <c r="C31" s="315"/>
      <c r="D31" s="62"/>
      <c r="E31" s="62">
        <v>55719</v>
      </c>
      <c r="F31" s="125">
        <v>1</v>
      </c>
      <c r="G31" s="347"/>
      <c r="H31" s="329"/>
    </row>
    <row r="32" spans="1:8" ht="15" customHeight="1" x14ac:dyDescent="0.35">
      <c r="A32" s="223" t="s">
        <v>1158</v>
      </c>
      <c r="B32" s="15" t="s">
        <v>487</v>
      </c>
      <c r="C32" s="315"/>
      <c r="D32" s="62"/>
      <c r="E32" s="62">
        <v>55719</v>
      </c>
      <c r="F32" s="125">
        <v>1</v>
      </c>
      <c r="G32" s="347"/>
      <c r="H32" s="329"/>
    </row>
    <row r="33" spans="1:8" ht="15" customHeight="1" x14ac:dyDescent="0.35">
      <c r="A33" s="223" t="s">
        <v>1159</v>
      </c>
      <c r="B33" s="15" t="s">
        <v>484</v>
      </c>
      <c r="C33" s="315"/>
      <c r="D33" s="62"/>
      <c r="E33" s="62">
        <v>55719</v>
      </c>
      <c r="F33" s="125">
        <v>1</v>
      </c>
      <c r="G33" s="347"/>
      <c r="H33" s="329"/>
    </row>
    <row r="34" spans="1:8" x14ac:dyDescent="0.35">
      <c r="A34" s="223" t="s">
        <v>931</v>
      </c>
      <c r="B34" s="15" t="s">
        <v>66</v>
      </c>
      <c r="C34" s="315"/>
      <c r="D34" s="62"/>
      <c r="E34" s="62">
        <v>55719</v>
      </c>
      <c r="F34" s="125">
        <v>1</v>
      </c>
      <c r="G34" s="347"/>
      <c r="H34" s="329"/>
    </row>
    <row r="35" spans="1:8" x14ac:dyDescent="0.35">
      <c r="A35" s="223" t="s">
        <v>932</v>
      </c>
      <c r="B35" s="15" t="s">
        <v>432</v>
      </c>
      <c r="C35" s="315"/>
      <c r="D35" s="62"/>
      <c r="E35" s="62">
        <v>55719</v>
      </c>
      <c r="F35" s="125">
        <v>1</v>
      </c>
      <c r="G35" s="347"/>
      <c r="H35" s="329"/>
    </row>
    <row r="36" spans="1:8" x14ac:dyDescent="0.35">
      <c r="A36" s="223" t="s">
        <v>1160</v>
      </c>
      <c r="B36" s="15" t="s">
        <v>467</v>
      </c>
      <c r="C36" s="315"/>
      <c r="D36" s="62"/>
      <c r="E36" s="62">
        <v>55719</v>
      </c>
      <c r="F36" s="125">
        <v>1</v>
      </c>
      <c r="G36" s="347"/>
      <c r="H36" s="329"/>
    </row>
    <row r="37" spans="1:8" x14ac:dyDescent="0.35">
      <c r="A37" s="223" t="s">
        <v>1608</v>
      </c>
      <c r="B37" s="15" t="s">
        <v>1609</v>
      </c>
      <c r="C37" s="315"/>
      <c r="D37" s="62"/>
      <c r="E37" s="62">
        <v>55719</v>
      </c>
      <c r="F37" s="125">
        <v>1</v>
      </c>
      <c r="G37" s="347"/>
      <c r="H37" s="329"/>
    </row>
    <row r="38" spans="1:8" x14ac:dyDescent="0.35">
      <c r="A38" s="223" t="s">
        <v>1164</v>
      </c>
      <c r="B38" s="15" t="s">
        <v>486</v>
      </c>
      <c r="C38" s="315"/>
      <c r="D38" s="62"/>
      <c r="E38" s="62">
        <v>55719</v>
      </c>
      <c r="F38" s="125">
        <v>1</v>
      </c>
      <c r="G38" s="347"/>
      <c r="H38" s="329"/>
    </row>
    <row r="39" spans="1:8" x14ac:dyDescent="0.35">
      <c r="A39" s="223" t="s">
        <v>1165</v>
      </c>
      <c r="B39" s="15" t="s">
        <v>478</v>
      </c>
      <c r="C39" s="315"/>
      <c r="D39" s="62"/>
      <c r="E39" s="62">
        <v>55719</v>
      </c>
      <c r="F39" s="125">
        <v>1</v>
      </c>
      <c r="G39" s="347"/>
      <c r="H39" s="329"/>
    </row>
    <row r="40" spans="1:8" x14ac:dyDescent="0.35">
      <c r="A40" s="223" t="s">
        <v>1166</v>
      </c>
      <c r="B40" s="15" t="s">
        <v>485</v>
      </c>
      <c r="C40" s="315"/>
      <c r="D40" s="62"/>
      <c r="E40" s="62">
        <v>55719</v>
      </c>
      <c r="F40" s="125">
        <v>1</v>
      </c>
      <c r="G40" s="347"/>
      <c r="H40" s="329"/>
    </row>
    <row r="41" spans="1:8" ht="15" customHeight="1" x14ac:dyDescent="0.35">
      <c r="A41" s="223" t="s">
        <v>1061</v>
      </c>
      <c r="B41" s="15" t="s">
        <v>73</v>
      </c>
      <c r="C41" s="315"/>
      <c r="D41" s="62"/>
      <c r="E41" s="62">
        <v>55719</v>
      </c>
      <c r="F41" s="125">
        <v>2</v>
      </c>
      <c r="G41" s="347"/>
      <c r="H41" s="329"/>
    </row>
    <row r="42" spans="1:8" x14ac:dyDescent="0.35">
      <c r="A42" s="223" t="s">
        <v>1060</v>
      </c>
      <c r="B42" s="15" t="s">
        <v>74</v>
      </c>
      <c r="C42" s="315"/>
      <c r="D42" s="62"/>
      <c r="E42" s="62">
        <v>55719</v>
      </c>
      <c r="F42" s="125">
        <v>1</v>
      </c>
      <c r="G42" s="347"/>
      <c r="H42" s="329"/>
    </row>
    <row r="43" spans="1:8" x14ac:dyDescent="0.35">
      <c r="A43" s="223" t="s">
        <v>1062</v>
      </c>
      <c r="B43" s="15" t="s">
        <v>261</v>
      </c>
      <c r="C43" s="315"/>
      <c r="D43" s="62"/>
      <c r="E43" s="62">
        <v>55719</v>
      </c>
      <c r="F43" s="125">
        <v>1</v>
      </c>
      <c r="G43" s="347"/>
      <c r="H43" s="329"/>
    </row>
    <row r="44" spans="1:8" x14ac:dyDescent="0.35">
      <c r="A44" s="223" t="s">
        <v>1168</v>
      </c>
      <c r="B44" s="15" t="s">
        <v>75</v>
      </c>
      <c r="C44" s="315"/>
      <c r="D44" s="62"/>
      <c r="E44" s="62">
        <v>55719</v>
      </c>
      <c r="F44" s="125">
        <v>1</v>
      </c>
      <c r="G44" s="347"/>
      <c r="H44" s="329"/>
    </row>
    <row r="45" spans="1:8" x14ac:dyDescent="0.35">
      <c r="A45" s="223" t="s">
        <v>1057</v>
      </c>
      <c r="B45" s="15" t="s">
        <v>72</v>
      </c>
      <c r="C45" s="315"/>
      <c r="D45" s="62"/>
      <c r="E45" s="62">
        <v>55719</v>
      </c>
      <c r="F45" s="125">
        <v>1</v>
      </c>
      <c r="G45" s="347"/>
      <c r="H45" s="329"/>
    </row>
    <row r="46" spans="1:8" x14ac:dyDescent="0.35">
      <c r="A46" s="223" t="s">
        <v>14</v>
      </c>
      <c r="B46" s="15" t="s">
        <v>334</v>
      </c>
      <c r="C46" s="315"/>
      <c r="D46" s="62"/>
      <c r="E46" s="62">
        <v>55719</v>
      </c>
      <c r="F46" s="125">
        <v>1</v>
      </c>
      <c r="G46" s="347"/>
      <c r="H46" s="329"/>
    </row>
    <row r="47" spans="1:8" x14ac:dyDescent="0.35">
      <c r="A47" s="223" t="s">
        <v>36</v>
      </c>
      <c r="B47" s="15" t="s">
        <v>37</v>
      </c>
      <c r="C47" s="315"/>
      <c r="D47" s="62"/>
      <c r="E47" s="62">
        <v>55719</v>
      </c>
      <c r="F47" s="125">
        <v>1</v>
      </c>
      <c r="G47" s="347"/>
      <c r="H47" s="329"/>
    </row>
    <row r="48" spans="1:8" ht="15" customHeight="1" x14ac:dyDescent="0.35">
      <c r="A48" s="223" t="s">
        <v>881</v>
      </c>
      <c r="B48" s="15" t="s">
        <v>417</v>
      </c>
      <c r="C48" s="315"/>
      <c r="D48" s="62"/>
      <c r="E48" s="62">
        <v>55719</v>
      </c>
      <c r="F48" s="125">
        <v>1</v>
      </c>
      <c r="G48" s="347"/>
      <c r="H48" s="329"/>
    </row>
    <row r="49" spans="1:8" x14ac:dyDescent="0.35">
      <c r="A49" s="223" t="s">
        <v>97</v>
      </c>
      <c r="B49" s="15" t="s">
        <v>457</v>
      </c>
      <c r="C49" s="315"/>
      <c r="D49" s="62"/>
      <c r="E49" s="62">
        <v>55719</v>
      </c>
      <c r="F49" s="125">
        <v>1</v>
      </c>
      <c r="G49" s="347"/>
      <c r="H49" s="329"/>
    </row>
    <row r="50" spans="1:8" x14ac:dyDescent="0.35">
      <c r="A50" s="223" t="s">
        <v>19</v>
      </c>
      <c r="B50" s="252" t="s">
        <v>242</v>
      </c>
      <c r="C50" s="315"/>
      <c r="D50" s="253"/>
      <c r="E50" s="253">
        <v>55719</v>
      </c>
      <c r="F50" s="222">
        <v>1</v>
      </c>
      <c r="G50" s="347"/>
      <c r="H50" s="329"/>
    </row>
    <row r="51" spans="1:8" x14ac:dyDescent="0.35">
      <c r="A51" s="223" t="s">
        <v>1698</v>
      </c>
      <c r="B51" s="15" t="s">
        <v>1699</v>
      </c>
      <c r="C51" s="315"/>
      <c r="D51" s="62"/>
      <c r="E51" s="62">
        <v>55719</v>
      </c>
      <c r="F51" s="125">
        <v>1</v>
      </c>
      <c r="G51" s="347" t="s">
        <v>1749</v>
      </c>
      <c r="H51" s="329"/>
    </row>
    <row r="52" spans="1:8" ht="15" customHeight="1" x14ac:dyDescent="0.35">
      <c r="A52" s="223" t="s">
        <v>1090</v>
      </c>
      <c r="B52" s="15" t="s">
        <v>2222</v>
      </c>
      <c r="C52" s="315"/>
      <c r="D52" s="62"/>
      <c r="E52" s="62">
        <v>55719</v>
      </c>
      <c r="F52" s="125">
        <v>1</v>
      </c>
      <c r="G52" s="347"/>
      <c r="H52" s="329"/>
    </row>
    <row r="53" spans="1:8" x14ac:dyDescent="0.35">
      <c r="A53" s="223" t="s">
        <v>408</v>
      </c>
      <c r="B53" s="15" t="s">
        <v>1562</v>
      </c>
      <c r="C53" s="315"/>
      <c r="D53" s="62"/>
      <c r="E53" s="62">
        <v>55719</v>
      </c>
      <c r="F53" s="125">
        <v>1</v>
      </c>
      <c r="G53" s="347"/>
      <c r="H53" s="329"/>
    </row>
    <row r="54" spans="1:8" x14ac:dyDescent="0.35">
      <c r="A54" s="223" t="s">
        <v>16</v>
      </c>
      <c r="B54" s="15" t="s">
        <v>360</v>
      </c>
      <c r="C54" s="315"/>
      <c r="D54" s="62"/>
      <c r="E54" s="62">
        <v>55719</v>
      </c>
      <c r="F54" s="125">
        <v>1</v>
      </c>
      <c r="G54" s="347"/>
      <c r="H54" s="329"/>
    </row>
    <row r="55" spans="1:8" x14ac:dyDescent="0.35">
      <c r="A55" s="223" t="s">
        <v>171</v>
      </c>
      <c r="B55" s="15" t="s">
        <v>565</v>
      </c>
      <c r="C55" s="315"/>
      <c r="D55" s="62"/>
      <c r="E55" s="62">
        <v>55719</v>
      </c>
      <c r="F55" s="125">
        <v>1</v>
      </c>
      <c r="G55" s="347"/>
      <c r="H55" s="329"/>
    </row>
    <row r="56" spans="1:8" ht="15" customHeight="1" x14ac:dyDescent="0.35">
      <c r="A56" s="223" t="s">
        <v>1700</v>
      </c>
      <c r="B56" s="15" t="s">
        <v>1701</v>
      </c>
      <c r="C56" s="315"/>
      <c r="D56" s="62"/>
      <c r="E56" s="62">
        <v>55719</v>
      </c>
      <c r="F56" s="125">
        <v>1</v>
      </c>
      <c r="G56" s="347"/>
      <c r="H56" s="329"/>
    </row>
    <row r="57" spans="1:8" ht="15" customHeight="1" x14ac:dyDescent="0.35">
      <c r="A57" s="223" t="s">
        <v>15</v>
      </c>
      <c r="B57" s="15" t="s">
        <v>424</v>
      </c>
      <c r="C57" s="315"/>
      <c r="D57" s="62"/>
      <c r="E57" s="62">
        <v>55719</v>
      </c>
      <c r="F57" s="125">
        <v>1</v>
      </c>
      <c r="G57" s="347"/>
      <c r="H57" s="329"/>
    </row>
    <row r="58" spans="1:8" ht="15" customHeight="1" x14ac:dyDescent="0.35">
      <c r="A58" s="223" t="s">
        <v>1019</v>
      </c>
      <c r="B58" s="15" t="s">
        <v>90</v>
      </c>
      <c r="C58" s="315"/>
      <c r="D58" s="62"/>
      <c r="E58" s="62">
        <v>55719</v>
      </c>
      <c r="F58" s="125">
        <v>1</v>
      </c>
      <c r="G58" s="347"/>
      <c r="H58" s="329"/>
    </row>
    <row r="59" spans="1:8" ht="15" customHeight="1" x14ac:dyDescent="0.35">
      <c r="A59" s="223" t="s">
        <v>1126</v>
      </c>
      <c r="B59" s="15" t="s">
        <v>837</v>
      </c>
      <c r="C59" s="315"/>
      <c r="D59" s="62"/>
      <c r="E59" s="62">
        <v>55719</v>
      </c>
      <c r="F59" s="125">
        <v>1</v>
      </c>
      <c r="G59" s="347"/>
      <c r="H59" s="329"/>
    </row>
    <row r="60" spans="1:8" x14ac:dyDescent="0.35">
      <c r="A60" s="223" t="s">
        <v>903</v>
      </c>
      <c r="B60" s="15" t="s">
        <v>1798</v>
      </c>
      <c r="C60" s="315"/>
      <c r="D60" s="62"/>
      <c r="E60" s="62">
        <v>55719</v>
      </c>
      <c r="F60" s="125">
        <v>1</v>
      </c>
      <c r="G60" s="347"/>
      <c r="H60" s="329"/>
    </row>
    <row r="61" spans="1:8" x14ac:dyDescent="0.35">
      <c r="A61" s="223" t="s">
        <v>1127</v>
      </c>
      <c r="B61" s="15" t="s">
        <v>1799</v>
      </c>
      <c r="C61" s="315"/>
      <c r="D61" s="62"/>
      <c r="E61" s="62">
        <v>55719</v>
      </c>
      <c r="F61" s="125">
        <v>1</v>
      </c>
      <c r="G61" s="347"/>
      <c r="H61" s="329"/>
    </row>
    <row r="62" spans="1:8" x14ac:dyDescent="0.35">
      <c r="A62" s="223" t="s">
        <v>904</v>
      </c>
      <c r="B62" s="15" t="s">
        <v>538</v>
      </c>
      <c r="C62" s="315"/>
      <c r="D62" s="62"/>
      <c r="E62" s="62">
        <v>55719</v>
      </c>
      <c r="F62" s="125">
        <v>1</v>
      </c>
      <c r="G62" s="347"/>
      <c r="H62" s="329"/>
    </row>
    <row r="63" spans="1:8" x14ac:dyDescent="0.35">
      <c r="A63" s="223" t="s">
        <v>38</v>
      </c>
      <c r="B63" s="15" t="s">
        <v>200</v>
      </c>
      <c r="C63" s="315"/>
      <c r="D63" s="62"/>
      <c r="E63" s="62">
        <v>55719</v>
      </c>
      <c r="F63" s="125">
        <v>1</v>
      </c>
      <c r="G63" s="347"/>
      <c r="H63" s="329"/>
    </row>
    <row r="64" spans="1:8" x14ac:dyDescent="0.35">
      <c r="A64" s="223" t="s">
        <v>11</v>
      </c>
      <c r="B64" s="15" t="s">
        <v>233</v>
      </c>
      <c r="C64" s="315"/>
      <c r="D64" s="62"/>
      <c r="E64" s="62">
        <v>55719</v>
      </c>
      <c r="F64" s="125">
        <v>1</v>
      </c>
      <c r="G64" s="347"/>
      <c r="H64" s="329"/>
    </row>
    <row r="65" spans="1:8" x14ac:dyDescent="0.35">
      <c r="A65" s="223" t="s">
        <v>12</v>
      </c>
      <c r="B65" s="15" t="s">
        <v>150</v>
      </c>
      <c r="C65" s="315"/>
      <c r="D65" s="62"/>
      <c r="E65" s="62">
        <v>55719</v>
      </c>
      <c r="F65" s="125">
        <v>1</v>
      </c>
      <c r="G65" s="347"/>
      <c r="H65" s="329"/>
    </row>
    <row r="66" spans="1:8" x14ac:dyDescent="0.35">
      <c r="A66" s="223" t="s">
        <v>6</v>
      </c>
      <c r="B66" s="15" t="s">
        <v>87</v>
      </c>
      <c r="C66" s="315"/>
      <c r="D66" s="62"/>
      <c r="E66" s="62">
        <v>55719</v>
      </c>
      <c r="F66" s="125">
        <v>1</v>
      </c>
      <c r="G66" s="347"/>
      <c r="H66" s="329"/>
    </row>
    <row r="67" spans="1:8" ht="15.75" customHeight="1" x14ac:dyDescent="0.35">
      <c r="A67" s="223" t="s">
        <v>1193</v>
      </c>
      <c r="B67" s="15" t="s">
        <v>941</v>
      </c>
      <c r="C67" s="315"/>
      <c r="D67" s="62"/>
      <c r="E67" s="62">
        <v>55719</v>
      </c>
      <c r="F67" s="125">
        <v>1</v>
      </c>
      <c r="G67" s="347"/>
      <c r="H67" s="329"/>
    </row>
    <row r="68" spans="1:8" ht="15.75" customHeight="1" x14ac:dyDescent="0.35">
      <c r="A68" s="223" t="s">
        <v>1200</v>
      </c>
      <c r="B68" s="15" t="s">
        <v>59</v>
      </c>
      <c r="C68" s="315"/>
      <c r="D68" s="62"/>
      <c r="E68" s="62">
        <v>55719</v>
      </c>
      <c r="F68" s="125">
        <v>1</v>
      </c>
      <c r="G68" s="347"/>
      <c r="H68" s="329"/>
    </row>
    <row r="69" spans="1:8" ht="15.75" customHeight="1" x14ac:dyDescent="0.35">
      <c r="A69" s="223" t="s">
        <v>159</v>
      </c>
      <c r="B69" s="15" t="s">
        <v>427</v>
      </c>
      <c r="C69" s="315"/>
      <c r="D69" s="62"/>
      <c r="E69" s="62">
        <v>55719</v>
      </c>
      <c r="F69" s="125">
        <v>1</v>
      </c>
      <c r="G69" s="347"/>
      <c r="H69" s="329"/>
    </row>
    <row r="70" spans="1:8" ht="15.75" customHeight="1" x14ac:dyDescent="0.35">
      <c r="A70" s="223" t="s">
        <v>1294</v>
      </c>
      <c r="B70" s="253" t="s">
        <v>2461</v>
      </c>
      <c r="C70" s="315"/>
      <c r="D70" s="62"/>
      <c r="E70" s="62">
        <v>55719</v>
      </c>
      <c r="F70" s="125">
        <v>1</v>
      </c>
      <c r="G70" s="347"/>
      <c r="H70" s="329"/>
    </row>
    <row r="71" spans="1:8" ht="15.75" customHeight="1" x14ac:dyDescent="0.35">
      <c r="A71" s="223" t="s">
        <v>1760</v>
      </c>
      <c r="B71" s="15" t="s">
        <v>311</v>
      </c>
      <c r="C71" s="315"/>
      <c r="D71" s="62"/>
      <c r="E71" s="62">
        <v>55719</v>
      </c>
      <c r="F71" s="125">
        <v>1</v>
      </c>
      <c r="G71" s="347"/>
      <c r="H71" s="329"/>
    </row>
    <row r="72" spans="1:8" ht="15.75" customHeight="1" x14ac:dyDescent="0.35">
      <c r="A72" s="223" t="s">
        <v>1018</v>
      </c>
      <c r="B72" s="15" t="s">
        <v>493</v>
      </c>
      <c r="C72" s="315"/>
      <c r="D72" s="62"/>
      <c r="E72" s="62">
        <v>55719</v>
      </c>
      <c r="F72" s="125">
        <v>1</v>
      </c>
      <c r="G72" s="347"/>
      <c r="H72" s="329"/>
    </row>
    <row r="73" spans="1:8" ht="15.75" customHeight="1" x14ac:dyDescent="0.35">
      <c r="A73" s="223" t="s">
        <v>1007</v>
      </c>
      <c r="B73" s="15" t="s">
        <v>313</v>
      </c>
      <c r="C73" s="315"/>
      <c r="D73" s="62"/>
      <c r="E73" s="62">
        <v>55719</v>
      </c>
      <c r="F73" s="125">
        <v>1</v>
      </c>
      <c r="G73" s="347"/>
      <c r="H73" s="329"/>
    </row>
    <row r="74" spans="1:8" ht="15.75" customHeight="1" x14ac:dyDescent="0.35">
      <c r="A74" s="223" t="s">
        <v>1800</v>
      </c>
      <c r="B74" s="15" t="s">
        <v>599</v>
      </c>
      <c r="C74" s="315"/>
      <c r="D74" s="62"/>
      <c r="E74" s="62">
        <v>55719</v>
      </c>
      <c r="F74" s="125">
        <v>1</v>
      </c>
      <c r="G74" s="347"/>
      <c r="H74" s="329"/>
    </row>
    <row r="75" spans="1:8" ht="15.75" customHeight="1" x14ac:dyDescent="0.35">
      <c r="A75" s="223" t="s">
        <v>1083</v>
      </c>
      <c r="B75" s="15" t="s">
        <v>491</v>
      </c>
      <c r="C75" s="315"/>
      <c r="D75" s="62"/>
      <c r="E75" s="62">
        <v>55719</v>
      </c>
      <c r="F75" s="125">
        <v>1</v>
      </c>
      <c r="G75" s="347"/>
      <c r="H75" s="329"/>
    </row>
    <row r="79" spans="1:8" s="4" customFormat="1" ht="17.5" x14ac:dyDescent="0.35">
      <c r="A79" s="309" t="s">
        <v>1801</v>
      </c>
      <c r="B79" s="312"/>
      <c r="C79" s="249"/>
      <c r="D79" s="3"/>
      <c r="E79" s="3"/>
      <c r="F79" s="37"/>
      <c r="G79" s="37"/>
    </row>
    <row r="80" spans="1:8" s="4" customFormat="1" ht="17.5" x14ac:dyDescent="0.35">
      <c r="A80" s="309" t="s">
        <v>2401</v>
      </c>
      <c r="B80" s="312"/>
      <c r="C80" s="249"/>
      <c r="D80" s="3"/>
      <c r="E80" s="3"/>
      <c r="F80" s="37"/>
      <c r="G80" s="37"/>
    </row>
    <row r="81" spans="1:2" ht="17.5" x14ac:dyDescent="0.35">
      <c r="A81" s="310" t="s">
        <v>2628</v>
      </c>
      <c r="B81" s="6"/>
    </row>
    <row r="82" spans="1:2" ht="17.5" x14ac:dyDescent="0.35">
      <c r="A82" s="319" t="s">
        <v>2694</v>
      </c>
      <c r="B82" s="307"/>
    </row>
  </sheetData>
  <sortState xmlns:xlrd2="http://schemas.microsoft.com/office/spreadsheetml/2017/richdata2" ref="A2:H83">
    <sortCondition ref="B2:B83"/>
  </sortState>
  <printOptions gridLines="1"/>
  <pageMargins left="0.5" right="0.5" top="0.5" bottom="0.5" header="0.3" footer="0.3"/>
  <pageSetup scale="60" orientation="landscape" r:id="rId1"/>
  <headerFooter>
    <oddFooter xml:space="preserve">&amp;C </oddFooter>
  </headerFooter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XFB98"/>
  <sheetViews>
    <sheetView workbookViewId="0">
      <pane ySplit="1" topLeftCell="A62" activePane="bottomLeft" state="frozen"/>
      <selection activeCell="C26" sqref="C26"/>
      <selection pane="bottomLeft" activeCell="A93" sqref="A93:XFD100"/>
    </sheetView>
  </sheetViews>
  <sheetFormatPr defaultColWidth="9.08984375" defaultRowHeight="15.5" x14ac:dyDescent="0.35"/>
  <cols>
    <col min="1" max="1" width="70.36328125" style="51" bestFit="1" customWidth="1"/>
    <col min="2" max="2" width="15.90625" style="52" bestFit="1" customWidth="1"/>
    <col min="3" max="3" width="20.36328125" style="218" bestFit="1" customWidth="1"/>
    <col min="4" max="4" width="20.08984375" style="52" bestFit="1" customWidth="1"/>
    <col min="5" max="5" width="12.453125" style="52" bestFit="1" customWidth="1"/>
    <col min="6" max="6" width="10" style="52" bestFit="1" customWidth="1"/>
    <col min="7" max="7" width="11.36328125" style="53" bestFit="1" customWidth="1"/>
    <col min="8" max="8" width="16.90625" style="51" bestFit="1" customWidth="1"/>
    <col min="9" max="9" width="17" style="51" bestFit="1" customWidth="1"/>
    <col min="10" max="16384" width="9.08984375" style="51"/>
  </cols>
  <sheetData>
    <row r="1" spans="1:8" x14ac:dyDescent="0.35">
      <c r="A1" s="212" t="s">
        <v>0</v>
      </c>
      <c r="B1" s="210" t="s">
        <v>1</v>
      </c>
      <c r="C1" s="281" t="s">
        <v>2700</v>
      </c>
      <c r="D1" s="210" t="s">
        <v>1598</v>
      </c>
      <c r="E1" s="210" t="s">
        <v>1599</v>
      </c>
      <c r="F1" s="211" t="s">
        <v>364</v>
      </c>
      <c r="G1" s="326" t="s">
        <v>2695</v>
      </c>
      <c r="H1" s="305" t="s">
        <v>2696</v>
      </c>
    </row>
    <row r="2" spans="1:8" ht="15" customHeight="1" x14ac:dyDescent="0.35">
      <c r="A2" s="223" t="s">
        <v>174</v>
      </c>
      <c r="B2" s="15" t="s">
        <v>215</v>
      </c>
      <c r="C2" s="388"/>
      <c r="D2" s="62"/>
      <c r="E2" s="62">
        <v>55719</v>
      </c>
      <c r="F2" s="125">
        <v>1</v>
      </c>
      <c r="G2" s="347"/>
      <c r="H2" s="348"/>
    </row>
    <row r="3" spans="1:8" x14ac:dyDescent="0.35">
      <c r="A3" s="223" t="s">
        <v>3</v>
      </c>
      <c r="B3" s="15" t="s">
        <v>414</v>
      </c>
      <c r="C3" s="388"/>
      <c r="D3" s="62"/>
      <c r="E3" s="62">
        <v>55719</v>
      </c>
      <c r="F3" s="125">
        <v>1</v>
      </c>
      <c r="G3" s="347"/>
      <c r="H3" s="348"/>
    </row>
    <row r="4" spans="1:8" x14ac:dyDescent="0.35">
      <c r="A4" s="223" t="s">
        <v>4</v>
      </c>
      <c r="B4" s="15" t="s">
        <v>86</v>
      </c>
      <c r="C4" s="388"/>
      <c r="D4" s="62"/>
      <c r="E4" s="62">
        <v>55719</v>
      </c>
      <c r="F4" s="125">
        <v>1</v>
      </c>
      <c r="G4" s="347"/>
      <c r="H4" s="348"/>
    </row>
    <row r="5" spans="1:8" x14ac:dyDescent="0.35">
      <c r="A5" s="223" t="s">
        <v>5</v>
      </c>
      <c r="B5" s="15" t="s">
        <v>415</v>
      </c>
      <c r="C5" s="388"/>
      <c r="D5" s="62"/>
      <c r="E5" s="62">
        <v>55719</v>
      </c>
      <c r="F5" s="125">
        <v>1</v>
      </c>
      <c r="G5" s="347"/>
      <c r="H5" s="348"/>
    </row>
    <row r="6" spans="1:8" x14ac:dyDescent="0.35">
      <c r="A6" s="223" t="s">
        <v>6</v>
      </c>
      <c r="B6" s="15" t="s">
        <v>87</v>
      </c>
      <c r="C6" s="388"/>
      <c r="D6" s="62"/>
      <c r="E6" s="62">
        <v>55719</v>
      </c>
      <c r="F6" s="125">
        <v>1</v>
      </c>
      <c r="G6" s="347"/>
      <c r="H6" s="348"/>
    </row>
    <row r="7" spans="1:8" x14ac:dyDescent="0.35">
      <c r="A7" s="223" t="s">
        <v>1213</v>
      </c>
      <c r="B7" s="15" t="s">
        <v>455</v>
      </c>
      <c r="C7" s="388"/>
      <c r="D7" s="62"/>
      <c r="E7" s="62">
        <v>55719</v>
      </c>
      <c r="F7" s="125">
        <v>1</v>
      </c>
      <c r="G7" s="347"/>
      <c r="H7" s="348"/>
    </row>
    <row r="8" spans="1:8" x14ac:dyDescent="0.35">
      <c r="A8" s="223" t="s">
        <v>1185</v>
      </c>
      <c r="B8" s="15" t="s">
        <v>193</v>
      </c>
      <c r="C8" s="388"/>
      <c r="D8" s="62"/>
      <c r="E8" s="62">
        <v>55719</v>
      </c>
      <c r="F8" s="125">
        <v>1</v>
      </c>
      <c r="G8" s="347"/>
      <c r="H8" s="348"/>
    </row>
    <row r="9" spans="1:8" ht="15" customHeight="1" x14ac:dyDescent="0.35">
      <c r="A9" s="223" t="s">
        <v>2476</v>
      </c>
      <c r="B9" s="15" t="s">
        <v>1755</v>
      </c>
      <c r="C9" s="388"/>
      <c r="D9" s="62"/>
      <c r="E9" s="62">
        <v>55719</v>
      </c>
      <c r="F9" s="125">
        <v>1</v>
      </c>
      <c r="G9" s="347"/>
      <c r="H9" s="348"/>
    </row>
    <row r="10" spans="1:8" x14ac:dyDescent="0.35">
      <c r="A10" s="223" t="s">
        <v>2477</v>
      </c>
      <c r="B10" s="15" t="s">
        <v>744</v>
      </c>
      <c r="C10" s="388"/>
      <c r="D10" s="62" t="s">
        <v>1749</v>
      </c>
      <c r="E10" s="62">
        <v>55719</v>
      </c>
      <c r="F10" s="125">
        <v>1</v>
      </c>
      <c r="G10" s="347"/>
      <c r="H10" s="348"/>
    </row>
    <row r="11" spans="1:8" x14ac:dyDescent="0.35">
      <c r="A11" s="223" t="s">
        <v>938</v>
      </c>
      <c r="B11" s="15" t="s">
        <v>45</v>
      </c>
      <c r="C11" s="388"/>
      <c r="D11" s="62"/>
      <c r="E11" s="62">
        <v>55719</v>
      </c>
      <c r="F11" s="125">
        <v>1</v>
      </c>
      <c r="G11" s="347"/>
      <c r="H11" s="348"/>
    </row>
    <row r="12" spans="1:8" x14ac:dyDescent="0.35">
      <c r="A12" s="223" t="s">
        <v>937</v>
      </c>
      <c r="B12" s="15" t="s">
        <v>456</v>
      </c>
      <c r="C12" s="388"/>
      <c r="D12" s="62"/>
      <c r="E12" s="62">
        <v>55719</v>
      </c>
      <c r="F12" s="125">
        <v>1</v>
      </c>
      <c r="G12" s="347"/>
      <c r="H12" s="348"/>
    </row>
    <row r="13" spans="1:8" x14ac:dyDescent="0.35">
      <c r="A13" s="223" t="s">
        <v>871</v>
      </c>
      <c r="B13" s="15" t="s">
        <v>95</v>
      </c>
      <c r="C13" s="388"/>
      <c r="D13" s="62"/>
      <c r="E13" s="62">
        <v>55719</v>
      </c>
      <c r="F13" s="125">
        <v>1</v>
      </c>
      <c r="G13" s="347"/>
      <c r="H13" s="348"/>
    </row>
    <row r="14" spans="1:8" x14ac:dyDescent="0.35">
      <c r="A14" s="223" t="s">
        <v>967</v>
      </c>
      <c r="B14" s="15" t="s">
        <v>44</v>
      </c>
      <c r="C14" s="388"/>
      <c r="D14" s="62"/>
      <c r="E14" s="62">
        <v>55719</v>
      </c>
      <c r="F14" s="125">
        <v>1</v>
      </c>
      <c r="G14" s="347"/>
      <c r="H14" s="348"/>
    </row>
    <row r="15" spans="1:8" ht="15" customHeight="1" x14ac:dyDescent="0.35">
      <c r="A15" s="223" t="s">
        <v>9</v>
      </c>
      <c r="B15" s="15" t="s">
        <v>329</v>
      </c>
      <c r="C15" s="388"/>
      <c r="D15" s="62"/>
      <c r="E15" s="62">
        <v>55719</v>
      </c>
      <c r="F15" s="125">
        <v>2</v>
      </c>
      <c r="G15" s="347"/>
      <c r="H15" s="348"/>
    </row>
    <row r="16" spans="1:8" ht="15" customHeight="1" x14ac:dyDescent="0.35">
      <c r="A16" s="223" t="s">
        <v>97</v>
      </c>
      <c r="B16" s="15" t="s">
        <v>457</v>
      </c>
      <c r="C16" s="388"/>
      <c r="D16" s="62"/>
      <c r="E16" s="62">
        <v>55719</v>
      </c>
      <c r="F16" s="125">
        <v>1</v>
      </c>
      <c r="G16" s="347"/>
      <c r="H16" s="348"/>
    </row>
    <row r="17" spans="1:8" x14ac:dyDescent="0.35">
      <c r="A17" s="223" t="s">
        <v>881</v>
      </c>
      <c r="B17" s="15" t="s">
        <v>417</v>
      </c>
      <c r="C17" s="388"/>
      <c r="D17" s="62"/>
      <c r="E17" s="62">
        <v>55719</v>
      </c>
      <c r="F17" s="125">
        <v>1</v>
      </c>
      <c r="G17" s="347"/>
      <c r="H17" s="348"/>
    </row>
    <row r="18" spans="1:8" x14ac:dyDescent="0.35">
      <c r="A18" s="223" t="s">
        <v>882</v>
      </c>
      <c r="B18" s="15" t="s">
        <v>419</v>
      </c>
      <c r="C18" s="388"/>
      <c r="D18" s="62"/>
      <c r="E18" s="62">
        <v>55719</v>
      </c>
      <c r="F18" s="125">
        <v>1</v>
      </c>
      <c r="G18" s="347"/>
      <c r="H18" s="348"/>
    </row>
    <row r="19" spans="1:8" x14ac:dyDescent="0.35">
      <c r="A19" s="223" t="s">
        <v>11</v>
      </c>
      <c r="B19" s="15" t="s">
        <v>233</v>
      </c>
      <c r="C19" s="388"/>
      <c r="D19" s="62"/>
      <c r="E19" s="62">
        <v>55719</v>
      </c>
      <c r="F19" s="125">
        <v>1</v>
      </c>
      <c r="G19" s="347"/>
      <c r="H19" s="348"/>
    </row>
    <row r="20" spans="1:8" x14ac:dyDescent="0.35">
      <c r="A20" s="223" t="s">
        <v>12</v>
      </c>
      <c r="B20" s="15" t="s">
        <v>150</v>
      </c>
      <c r="C20" s="388"/>
      <c r="D20" s="62"/>
      <c r="E20" s="62">
        <v>55719</v>
      </c>
      <c r="F20" s="125">
        <v>1</v>
      </c>
      <c r="G20" s="347"/>
      <c r="H20" s="348"/>
    </row>
    <row r="21" spans="1:8" x14ac:dyDescent="0.35">
      <c r="A21" s="223" t="s">
        <v>1110</v>
      </c>
      <c r="B21" s="15" t="s">
        <v>422</v>
      </c>
      <c r="C21" s="388"/>
      <c r="D21" s="62"/>
      <c r="E21" s="62">
        <v>55719</v>
      </c>
      <c r="F21" s="125">
        <v>1</v>
      </c>
      <c r="G21" s="347"/>
      <c r="H21" s="348"/>
    </row>
    <row r="22" spans="1:8" x14ac:dyDescent="0.35">
      <c r="A22" s="223" t="s">
        <v>1036</v>
      </c>
      <c r="B22" s="15" t="s">
        <v>423</v>
      </c>
      <c r="C22" s="388"/>
      <c r="D22" s="62"/>
      <c r="E22" s="62">
        <v>55719</v>
      </c>
      <c r="F22" s="125">
        <v>2</v>
      </c>
      <c r="G22" s="347"/>
      <c r="H22" s="348"/>
    </row>
    <row r="23" spans="1:8" x14ac:dyDescent="0.35">
      <c r="A23" s="223" t="s">
        <v>930</v>
      </c>
      <c r="B23" s="15" t="s">
        <v>88</v>
      </c>
      <c r="C23" s="388"/>
      <c r="D23" s="62"/>
      <c r="E23" s="62">
        <v>55719</v>
      </c>
      <c r="F23" s="125">
        <v>1</v>
      </c>
      <c r="G23" s="347"/>
      <c r="H23" s="348"/>
    </row>
    <row r="24" spans="1:8" x14ac:dyDescent="0.35">
      <c r="A24" s="223" t="s">
        <v>1019</v>
      </c>
      <c r="B24" s="15" t="s">
        <v>90</v>
      </c>
      <c r="C24" s="388"/>
      <c r="D24" s="62"/>
      <c r="E24" s="62">
        <v>55719</v>
      </c>
      <c r="F24" s="125">
        <v>1</v>
      </c>
      <c r="G24" s="347"/>
      <c r="H24" s="348"/>
    </row>
    <row r="25" spans="1:8" ht="15" customHeight="1" x14ac:dyDescent="0.35">
      <c r="A25" s="223" t="s">
        <v>48</v>
      </c>
      <c r="B25" s="15" t="s">
        <v>335</v>
      </c>
      <c r="C25" s="388"/>
      <c r="D25" s="62"/>
      <c r="E25" s="62">
        <v>55719</v>
      </c>
      <c r="F25" s="125">
        <v>1</v>
      </c>
      <c r="G25" s="347"/>
      <c r="H25" s="348"/>
    </row>
    <row r="26" spans="1:8" x14ac:dyDescent="0.35">
      <c r="A26" s="223" t="s">
        <v>15</v>
      </c>
      <c r="B26" s="15" t="s">
        <v>424</v>
      </c>
      <c r="C26" s="388"/>
      <c r="D26" s="62"/>
      <c r="E26" s="62">
        <v>55719</v>
      </c>
      <c r="F26" s="125">
        <v>2</v>
      </c>
      <c r="G26" s="347"/>
      <c r="H26" s="348"/>
    </row>
    <row r="27" spans="1:8" x14ac:dyDescent="0.35">
      <c r="A27" s="223" t="s">
        <v>2681</v>
      </c>
      <c r="B27" s="15" t="s">
        <v>2238</v>
      </c>
      <c r="C27" s="388"/>
      <c r="D27" s="62"/>
      <c r="E27" s="62">
        <v>55719</v>
      </c>
      <c r="F27" s="125">
        <v>1</v>
      </c>
      <c r="G27" s="347"/>
      <c r="H27" s="348"/>
    </row>
    <row r="28" spans="1:8" x14ac:dyDescent="0.35">
      <c r="A28" s="275" t="s">
        <v>2680</v>
      </c>
      <c r="B28" s="276" t="s">
        <v>2240</v>
      </c>
      <c r="C28" s="388"/>
      <c r="D28" s="274"/>
      <c r="E28" s="62">
        <v>55719</v>
      </c>
      <c r="F28" s="125">
        <v>1</v>
      </c>
      <c r="G28" s="349"/>
      <c r="H28" s="348"/>
    </row>
    <row r="29" spans="1:8" x14ac:dyDescent="0.35">
      <c r="A29" s="275" t="s">
        <v>2679</v>
      </c>
      <c r="B29" s="276" t="s">
        <v>2241</v>
      </c>
      <c r="C29" s="388"/>
      <c r="D29" s="274"/>
      <c r="E29" s="62">
        <v>55719</v>
      </c>
      <c r="F29" s="125">
        <v>1</v>
      </c>
      <c r="G29" s="349"/>
      <c r="H29" s="348"/>
    </row>
    <row r="30" spans="1:8" x14ac:dyDescent="0.35">
      <c r="A30" s="223" t="s">
        <v>1765</v>
      </c>
      <c r="B30" s="15" t="s">
        <v>1764</v>
      </c>
      <c r="C30" s="388"/>
      <c r="D30" s="62"/>
      <c r="E30" s="62">
        <v>55719</v>
      </c>
      <c r="F30" s="125">
        <v>1</v>
      </c>
      <c r="G30" s="347"/>
      <c r="H30" s="348"/>
    </row>
    <row r="31" spans="1:8" x14ac:dyDescent="0.35">
      <c r="A31" s="223" t="s">
        <v>1099</v>
      </c>
      <c r="B31" s="15" t="s">
        <v>426</v>
      </c>
      <c r="C31" s="388"/>
      <c r="D31" s="62"/>
      <c r="E31" s="62">
        <v>55719</v>
      </c>
      <c r="F31" s="125">
        <v>1</v>
      </c>
      <c r="G31" s="347"/>
      <c r="H31" s="348"/>
    </row>
    <row r="32" spans="1:8" s="217" customFormat="1" x14ac:dyDescent="0.35">
      <c r="A32" s="223" t="s">
        <v>408</v>
      </c>
      <c r="B32" s="252" t="s">
        <v>1562</v>
      </c>
      <c r="C32" s="388"/>
      <c r="D32" s="253"/>
      <c r="E32" s="253">
        <v>55719</v>
      </c>
      <c r="F32" s="222">
        <v>1</v>
      </c>
      <c r="G32" s="347" t="s">
        <v>1749</v>
      </c>
      <c r="H32" s="348"/>
    </row>
    <row r="33" spans="1:8" s="217" customFormat="1" x14ac:dyDescent="0.35">
      <c r="A33" s="223" t="s">
        <v>159</v>
      </c>
      <c r="B33" s="252" t="s">
        <v>427</v>
      </c>
      <c r="C33" s="388"/>
      <c r="D33" s="253"/>
      <c r="E33" s="253">
        <v>55719</v>
      </c>
      <c r="F33" s="222">
        <v>1</v>
      </c>
      <c r="G33" s="347"/>
      <c r="H33" s="348"/>
    </row>
    <row r="34" spans="1:8" x14ac:dyDescent="0.35">
      <c r="A34" s="223" t="s">
        <v>1041</v>
      </c>
      <c r="B34" s="15" t="s">
        <v>241</v>
      </c>
      <c r="C34" s="388"/>
      <c r="D34" s="62"/>
      <c r="E34" s="62">
        <v>55719</v>
      </c>
      <c r="F34" s="125">
        <v>1</v>
      </c>
      <c r="G34" s="347"/>
      <c r="H34" s="348"/>
    </row>
    <row r="35" spans="1:8" x14ac:dyDescent="0.35">
      <c r="A35" s="223" t="s">
        <v>1338</v>
      </c>
      <c r="B35" s="15" t="s">
        <v>461</v>
      </c>
      <c r="C35" s="388"/>
      <c r="D35" s="62"/>
      <c r="E35" s="62">
        <v>55719</v>
      </c>
      <c r="F35" s="125">
        <v>1</v>
      </c>
      <c r="G35" s="347"/>
      <c r="H35" s="348"/>
    </row>
    <row r="36" spans="1:8" x14ac:dyDescent="0.35">
      <c r="A36" s="223" t="s">
        <v>1341</v>
      </c>
      <c r="B36" s="252" t="s">
        <v>462</v>
      </c>
      <c r="C36" s="388"/>
      <c r="D36" s="253"/>
      <c r="E36" s="253">
        <v>55719</v>
      </c>
      <c r="F36" s="125">
        <v>1</v>
      </c>
      <c r="G36" s="347"/>
      <c r="H36" s="348"/>
    </row>
    <row r="37" spans="1:8" x14ac:dyDescent="0.35">
      <c r="A37" s="223" t="s">
        <v>1042</v>
      </c>
      <c r="B37" s="15" t="s">
        <v>429</v>
      </c>
      <c r="C37" s="388"/>
      <c r="D37" s="62"/>
      <c r="E37" s="62">
        <v>55719</v>
      </c>
      <c r="F37" s="125">
        <v>1</v>
      </c>
      <c r="G37" s="347"/>
      <c r="H37" s="348"/>
    </row>
    <row r="38" spans="1:8" x14ac:dyDescent="0.35">
      <c r="A38" s="223" t="s">
        <v>991</v>
      </c>
      <c r="B38" s="15" t="s">
        <v>194</v>
      </c>
      <c r="C38" s="388"/>
      <c r="D38" s="62"/>
      <c r="E38" s="62">
        <v>55719</v>
      </c>
      <c r="F38" s="125">
        <v>1</v>
      </c>
      <c r="G38" s="347"/>
      <c r="H38" s="348"/>
    </row>
    <row r="39" spans="1:8" x14ac:dyDescent="0.35">
      <c r="A39" s="223" t="s">
        <v>1360</v>
      </c>
      <c r="B39" s="15" t="s">
        <v>464</v>
      </c>
      <c r="C39" s="388"/>
      <c r="D39" s="62"/>
      <c r="E39" s="62">
        <v>55719</v>
      </c>
      <c r="F39" s="125">
        <v>1</v>
      </c>
      <c r="G39" s="347"/>
      <c r="H39" s="348"/>
    </row>
    <row r="40" spans="1:8" x14ac:dyDescent="0.35">
      <c r="A40" s="223" t="s">
        <v>362</v>
      </c>
      <c r="B40" s="15" t="s">
        <v>431</v>
      </c>
      <c r="C40" s="388"/>
      <c r="D40" s="62"/>
      <c r="E40" s="62">
        <v>55719</v>
      </c>
      <c r="F40" s="125">
        <v>1</v>
      </c>
      <c r="G40" s="347"/>
      <c r="H40" s="348"/>
    </row>
    <row r="41" spans="1:8" x14ac:dyDescent="0.35">
      <c r="A41" s="223" t="s">
        <v>19</v>
      </c>
      <c r="B41" s="15" t="s">
        <v>242</v>
      </c>
      <c r="C41" s="388"/>
      <c r="D41" s="62"/>
      <c r="E41" s="62">
        <v>55719</v>
      </c>
      <c r="F41" s="125">
        <v>1</v>
      </c>
      <c r="G41" s="347"/>
      <c r="H41" s="348"/>
    </row>
    <row r="42" spans="1:8" x14ac:dyDescent="0.35">
      <c r="A42" s="223" t="s">
        <v>1163</v>
      </c>
      <c r="B42" s="215" t="s">
        <v>83</v>
      </c>
      <c r="C42" s="388"/>
      <c r="D42" s="220"/>
      <c r="E42" s="220">
        <v>55719</v>
      </c>
      <c r="F42" s="125">
        <v>1</v>
      </c>
      <c r="G42" s="347"/>
      <c r="H42" s="348"/>
    </row>
    <row r="43" spans="1:8" x14ac:dyDescent="0.35">
      <c r="A43" s="223" t="s">
        <v>1162</v>
      </c>
      <c r="B43" s="15" t="s">
        <v>84</v>
      </c>
      <c r="C43" s="388"/>
      <c r="D43" s="62"/>
      <c r="E43" s="62">
        <v>55719</v>
      </c>
      <c r="F43" s="125">
        <v>1</v>
      </c>
      <c r="G43" s="347"/>
      <c r="H43" s="348"/>
    </row>
    <row r="44" spans="1:8" ht="15" customHeight="1" x14ac:dyDescent="0.35">
      <c r="A44" s="223" t="s">
        <v>932</v>
      </c>
      <c r="B44" s="15" t="s">
        <v>432</v>
      </c>
      <c r="C44" s="388"/>
      <c r="D44" s="62"/>
      <c r="E44" s="62">
        <v>55719</v>
      </c>
      <c r="F44" s="125">
        <v>1</v>
      </c>
      <c r="G44" s="347"/>
      <c r="H44" s="348"/>
    </row>
    <row r="45" spans="1:8" ht="15" customHeight="1" x14ac:dyDescent="0.35">
      <c r="A45" s="223" t="s">
        <v>933</v>
      </c>
      <c r="B45" s="15" t="s">
        <v>433</v>
      </c>
      <c r="C45" s="388"/>
      <c r="D45" s="62"/>
      <c r="E45" s="62">
        <v>55719</v>
      </c>
      <c r="F45" s="125">
        <v>1</v>
      </c>
      <c r="G45" s="347"/>
      <c r="H45" s="348"/>
    </row>
    <row r="46" spans="1:8" x14ac:dyDescent="0.35">
      <c r="A46" s="223" t="s">
        <v>1160</v>
      </c>
      <c r="B46" s="15" t="s">
        <v>467</v>
      </c>
      <c r="C46" s="388"/>
      <c r="D46" s="62"/>
      <c r="E46" s="62">
        <v>55719</v>
      </c>
      <c r="F46" s="125">
        <v>2</v>
      </c>
      <c r="G46" s="347"/>
      <c r="H46" s="348"/>
    </row>
    <row r="47" spans="1:8" x14ac:dyDescent="0.35">
      <c r="A47" s="223" t="s">
        <v>1118</v>
      </c>
      <c r="B47" s="15" t="s">
        <v>50</v>
      </c>
      <c r="C47" s="388"/>
      <c r="D47" s="62"/>
      <c r="E47" s="62">
        <v>55719</v>
      </c>
      <c r="F47" s="125">
        <v>1</v>
      </c>
      <c r="G47" s="347"/>
      <c r="H47" s="348"/>
    </row>
    <row r="48" spans="1:8" ht="15" customHeight="1" x14ac:dyDescent="0.35">
      <c r="A48" s="223" t="s">
        <v>1124</v>
      </c>
      <c r="B48" s="15" t="s">
        <v>708</v>
      </c>
      <c r="C48" s="388"/>
      <c r="D48" s="62"/>
      <c r="E48" s="62">
        <v>55719</v>
      </c>
      <c r="F48" s="125">
        <v>1</v>
      </c>
      <c r="G48" s="347"/>
      <c r="H48" s="348"/>
    </row>
    <row r="49" spans="1:8" ht="15" customHeight="1" x14ac:dyDescent="0.35">
      <c r="A49" s="223" t="s">
        <v>1085</v>
      </c>
      <c r="B49" s="15" t="s">
        <v>468</v>
      </c>
      <c r="C49" s="388"/>
      <c r="D49" s="62"/>
      <c r="E49" s="62">
        <v>55719</v>
      </c>
      <c r="F49" s="125">
        <v>1</v>
      </c>
      <c r="G49" s="347"/>
      <c r="H49" s="348"/>
    </row>
    <row r="50" spans="1:8" x14ac:dyDescent="0.35">
      <c r="A50" s="223" t="s">
        <v>1215</v>
      </c>
      <c r="B50" s="15" t="s">
        <v>195</v>
      </c>
      <c r="C50" s="388"/>
      <c r="D50" s="62"/>
      <c r="E50" s="62">
        <v>55719</v>
      </c>
      <c r="F50" s="125">
        <v>1</v>
      </c>
      <c r="G50" s="347"/>
      <c r="H50" s="348"/>
    </row>
    <row r="51" spans="1:8" ht="15" customHeight="1" x14ac:dyDescent="0.35">
      <c r="A51" s="223" t="s">
        <v>1220</v>
      </c>
      <c r="B51" s="15" t="s">
        <v>469</v>
      </c>
      <c r="C51" s="388"/>
      <c r="D51" s="62"/>
      <c r="E51" s="62">
        <v>55719</v>
      </c>
      <c r="F51" s="125">
        <v>1</v>
      </c>
      <c r="G51" s="347"/>
      <c r="H51" s="348"/>
    </row>
    <row r="52" spans="1:8" x14ac:dyDescent="0.35">
      <c r="A52" s="223" t="s">
        <v>1218</v>
      </c>
      <c r="B52" s="15" t="s">
        <v>470</v>
      </c>
      <c r="C52" s="388"/>
      <c r="D52" s="62"/>
      <c r="E52" s="62">
        <v>55719</v>
      </c>
      <c r="F52" s="125">
        <v>1</v>
      </c>
      <c r="G52" s="347"/>
      <c r="H52" s="348"/>
    </row>
    <row r="53" spans="1:8" x14ac:dyDescent="0.35">
      <c r="A53" s="223" t="s">
        <v>1050</v>
      </c>
      <c r="B53" s="15" t="s">
        <v>471</v>
      </c>
      <c r="C53" s="388"/>
      <c r="D53" s="62"/>
      <c r="E53" s="62">
        <v>55719</v>
      </c>
      <c r="F53" s="125">
        <v>1</v>
      </c>
      <c r="G53" s="347"/>
      <c r="H53" s="348"/>
    </row>
    <row r="54" spans="1:8" ht="15" customHeight="1" x14ac:dyDescent="0.35">
      <c r="A54" s="223" t="s">
        <v>23</v>
      </c>
      <c r="B54" s="15" t="s">
        <v>252</v>
      </c>
      <c r="C54" s="388"/>
      <c r="D54" s="62"/>
      <c r="E54" s="62">
        <v>55719</v>
      </c>
      <c r="F54" s="125">
        <v>1</v>
      </c>
      <c r="G54" s="347"/>
      <c r="H54" s="348"/>
    </row>
    <row r="55" spans="1:8" x14ac:dyDescent="0.35">
      <c r="A55" s="223" t="s">
        <v>24</v>
      </c>
      <c r="B55" s="15" t="s">
        <v>255</v>
      </c>
      <c r="C55" s="388"/>
      <c r="D55" s="62"/>
      <c r="E55" s="62">
        <v>55719</v>
      </c>
      <c r="F55" s="125">
        <v>2</v>
      </c>
      <c r="G55" s="347"/>
      <c r="H55" s="348"/>
    </row>
    <row r="56" spans="1:8" x14ac:dyDescent="0.35">
      <c r="A56" s="223" t="s">
        <v>1053</v>
      </c>
      <c r="B56" s="15" t="s">
        <v>437</v>
      </c>
      <c r="C56" s="388"/>
      <c r="D56" s="62"/>
      <c r="E56" s="62">
        <v>55719</v>
      </c>
      <c r="F56" s="125">
        <v>2</v>
      </c>
      <c r="G56" s="347"/>
      <c r="H56" s="348"/>
    </row>
    <row r="57" spans="1:8" x14ac:dyDescent="0.35">
      <c r="A57" s="223" t="s">
        <v>1267</v>
      </c>
      <c r="B57" s="15" t="s">
        <v>737</v>
      </c>
      <c r="C57" s="388"/>
      <c r="D57" s="62"/>
      <c r="E57" s="62">
        <v>55719</v>
      </c>
      <c r="F57" s="125">
        <v>1</v>
      </c>
      <c r="G57" s="347"/>
      <c r="H57" s="348"/>
    </row>
    <row r="58" spans="1:8" x14ac:dyDescent="0.35">
      <c r="A58" s="223" t="s">
        <v>26</v>
      </c>
      <c r="B58" s="15" t="s">
        <v>257</v>
      </c>
      <c r="C58" s="388"/>
      <c r="D58" s="62"/>
      <c r="E58" s="62">
        <v>55719</v>
      </c>
      <c r="F58" s="125">
        <v>1</v>
      </c>
      <c r="G58" s="347"/>
      <c r="H58" s="348"/>
    </row>
    <row r="59" spans="1:8" x14ac:dyDescent="0.35">
      <c r="A59" s="223" t="s">
        <v>1054</v>
      </c>
      <c r="B59" s="15" t="s">
        <v>258</v>
      </c>
      <c r="C59" s="388"/>
      <c r="D59" s="62"/>
      <c r="E59" s="62">
        <v>55719</v>
      </c>
      <c r="F59" s="125">
        <v>1</v>
      </c>
      <c r="G59" s="347"/>
      <c r="H59" s="348"/>
    </row>
    <row r="60" spans="1:8" x14ac:dyDescent="0.35">
      <c r="A60" s="223" t="s">
        <v>924</v>
      </c>
      <c r="B60" s="15" t="s">
        <v>435</v>
      </c>
      <c r="C60" s="388"/>
      <c r="D60" s="62"/>
      <c r="E60" s="62">
        <v>55719</v>
      </c>
      <c r="F60" s="125">
        <v>1</v>
      </c>
      <c r="G60" s="347"/>
      <c r="H60" s="348"/>
    </row>
    <row r="61" spans="1:8" x14ac:dyDescent="0.35">
      <c r="A61" s="223" t="s">
        <v>1057</v>
      </c>
      <c r="B61" s="15" t="s">
        <v>72</v>
      </c>
      <c r="C61" s="388"/>
      <c r="D61" s="62"/>
      <c r="E61" s="62">
        <v>55719</v>
      </c>
      <c r="F61" s="125">
        <v>1</v>
      </c>
      <c r="G61" s="347"/>
      <c r="H61" s="348"/>
    </row>
    <row r="62" spans="1:8" x14ac:dyDescent="0.35">
      <c r="A62" s="223" t="s">
        <v>1060</v>
      </c>
      <c r="B62" s="15" t="s">
        <v>74</v>
      </c>
      <c r="C62" s="388"/>
      <c r="D62" s="62"/>
      <c r="E62" s="62">
        <v>55719</v>
      </c>
      <c r="F62" s="125">
        <v>1</v>
      </c>
      <c r="G62" s="347"/>
      <c r="H62" s="348"/>
    </row>
    <row r="63" spans="1:8" ht="15" customHeight="1" x14ac:dyDescent="0.35">
      <c r="A63" s="223" t="s">
        <v>28</v>
      </c>
      <c r="B63" s="15" t="s">
        <v>2242</v>
      </c>
      <c r="C63" s="388"/>
      <c r="D63" s="62"/>
      <c r="E63" s="62">
        <v>55719</v>
      </c>
      <c r="F63" s="125">
        <v>1</v>
      </c>
      <c r="G63" s="347"/>
      <c r="H63" s="348"/>
    </row>
    <row r="64" spans="1:8" ht="15" customHeight="1" x14ac:dyDescent="0.35">
      <c r="A64" s="223" t="s">
        <v>1065</v>
      </c>
      <c r="B64" s="15" t="s">
        <v>259</v>
      </c>
      <c r="C64" s="388"/>
      <c r="D64" s="62"/>
      <c r="E64" s="62">
        <v>55719</v>
      </c>
      <c r="F64" s="125">
        <v>2</v>
      </c>
      <c r="G64" s="347"/>
      <c r="H64" s="348"/>
    </row>
    <row r="65" spans="1:8" x14ac:dyDescent="0.35">
      <c r="A65" s="223" t="s">
        <v>52</v>
      </c>
      <c r="B65" s="15" t="s">
        <v>2445</v>
      </c>
      <c r="C65" s="388"/>
      <c r="D65" s="62"/>
      <c r="E65" s="62">
        <v>55719</v>
      </c>
      <c r="F65" s="125">
        <v>1</v>
      </c>
      <c r="G65" s="347"/>
      <c r="H65" s="348"/>
    </row>
    <row r="66" spans="1:8" x14ac:dyDescent="0.35">
      <c r="A66" s="223" t="s">
        <v>53</v>
      </c>
      <c r="B66" s="15" t="s">
        <v>472</v>
      </c>
      <c r="C66" s="388"/>
      <c r="D66" s="62"/>
      <c r="E66" s="62">
        <v>55719</v>
      </c>
      <c r="F66" s="125">
        <v>1</v>
      </c>
      <c r="G66" s="347"/>
      <c r="H66" s="348"/>
    </row>
    <row r="67" spans="1:8" x14ac:dyDescent="0.35">
      <c r="A67" s="223" t="s">
        <v>54</v>
      </c>
      <c r="B67" s="15" t="s">
        <v>473</v>
      </c>
      <c r="C67" s="388"/>
      <c r="D67" s="62"/>
      <c r="E67" s="62">
        <v>55719</v>
      </c>
      <c r="F67" s="125">
        <v>1</v>
      </c>
      <c r="G67" s="347"/>
      <c r="H67" s="348"/>
    </row>
    <row r="68" spans="1:8" x14ac:dyDescent="0.35">
      <c r="A68" s="223" t="s">
        <v>1020</v>
      </c>
      <c r="B68" s="15" t="s">
        <v>271</v>
      </c>
      <c r="C68" s="388"/>
      <c r="D68" s="62"/>
      <c r="E68" s="62">
        <v>55719</v>
      </c>
      <c r="F68" s="125">
        <v>1</v>
      </c>
      <c r="G68" s="347"/>
      <c r="H68" s="348"/>
    </row>
    <row r="69" spans="1:8" x14ac:dyDescent="0.35">
      <c r="A69" s="223" t="s">
        <v>33</v>
      </c>
      <c r="B69" s="15" t="s">
        <v>1565</v>
      </c>
      <c r="C69" s="388"/>
      <c r="D69" s="62"/>
      <c r="E69" s="62">
        <v>55719</v>
      </c>
      <c r="F69" s="125">
        <v>1</v>
      </c>
      <c r="G69" s="347"/>
      <c r="H69" s="348"/>
    </row>
    <row r="70" spans="1:8" x14ac:dyDescent="0.35">
      <c r="A70" s="223" t="s">
        <v>893</v>
      </c>
      <c r="B70" s="15" t="s">
        <v>149</v>
      </c>
      <c r="C70" s="388"/>
      <c r="D70" s="62"/>
      <c r="E70" s="62">
        <v>55719</v>
      </c>
      <c r="F70" s="125">
        <v>1</v>
      </c>
      <c r="G70" s="347"/>
      <c r="H70" s="348"/>
    </row>
    <row r="71" spans="1:8" x14ac:dyDescent="0.35">
      <c r="A71" s="223" t="s">
        <v>34</v>
      </c>
      <c r="B71" s="15" t="s">
        <v>1566</v>
      </c>
      <c r="C71" s="388"/>
      <c r="D71" s="62"/>
      <c r="E71" s="62">
        <v>55719</v>
      </c>
      <c r="F71" s="125">
        <v>1</v>
      </c>
      <c r="G71" s="347"/>
      <c r="H71" s="348"/>
    </row>
    <row r="72" spans="1:8" x14ac:dyDescent="0.35">
      <c r="A72" s="223" t="s">
        <v>895</v>
      </c>
      <c r="B72" s="15" t="s">
        <v>357</v>
      </c>
      <c r="C72" s="388"/>
      <c r="D72" s="62"/>
      <c r="E72" s="62">
        <v>55719</v>
      </c>
      <c r="F72" s="125">
        <v>1</v>
      </c>
      <c r="G72" s="347"/>
      <c r="H72" s="348"/>
    </row>
    <row r="73" spans="1:8" x14ac:dyDescent="0.35">
      <c r="A73" s="223" t="s">
        <v>35</v>
      </c>
      <c r="B73" s="15" t="s">
        <v>1567</v>
      </c>
      <c r="C73" s="388"/>
      <c r="D73" s="62"/>
      <c r="E73" s="62">
        <v>55719</v>
      </c>
      <c r="F73" s="125">
        <v>1</v>
      </c>
      <c r="G73" s="347"/>
      <c r="H73" s="348"/>
    </row>
    <row r="74" spans="1:8" x14ac:dyDescent="0.35">
      <c r="A74" s="223" t="s">
        <v>1021</v>
      </c>
      <c r="B74" s="15" t="s">
        <v>269</v>
      </c>
      <c r="C74" s="388"/>
      <c r="D74" s="62"/>
      <c r="E74" s="62">
        <v>55719</v>
      </c>
      <c r="F74" s="125">
        <v>1</v>
      </c>
      <c r="G74" s="347"/>
      <c r="H74" s="348"/>
    </row>
    <row r="75" spans="1:8" x14ac:dyDescent="0.35">
      <c r="A75" s="223" t="s">
        <v>1072</v>
      </c>
      <c r="B75" s="15" t="s">
        <v>395</v>
      </c>
      <c r="C75" s="388"/>
      <c r="D75" s="62"/>
      <c r="E75" s="62">
        <v>55719</v>
      </c>
      <c r="F75" s="125">
        <v>1</v>
      </c>
      <c r="G75" s="347"/>
      <c r="H75" s="348"/>
    </row>
    <row r="76" spans="1:8" ht="15" customHeight="1" x14ac:dyDescent="0.35">
      <c r="A76" s="223" t="s">
        <v>1075</v>
      </c>
      <c r="B76" s="15" t="s">
        <v>411</v>
      </c>
      <c r="C76" s="388"/>
      <c r="D76" s="62"/>
      <c r="E76" s="62">
        <v>55719</v>
      </c>
      <c r="F76" s="125">
        <v>1</v>
      </c>
      <c r="G76" s="347"/>
      <c r="H76" s="348"/>
    </row>
    <row r="77" spans="1:8" x14ac:dyDescent="0.35">
      <c r="A77" s="223" t="s">
        <v>2332</v>
      </c>
      <c r="B77" s="15" t="s">
        <v>263</v>
      </c>
      <c r="C77" s="388"/>
      <c r="D77" s="62"/>
      <c r="E77" s="62">
        <v>55719</v>
      </c>
      <c r="F77" s="125">
        <v>1</v>
      </c>
      <c r="G77" s="347"/>
      <c r="H77" s="348"/>
    </row>
    <row r="78" spans="1:8" x14ac:dyDescent="0.35">
      <c r="A78" s="223" t="s">
        <v>1002</v>
      </c>
      <c r="B78" s="15" t="s">
        <v>264</v>
      </c>
      <c r="C78" s="388"/>
      <c r="D78" s="62"/>
      <c r="E78" s="62">
        <v>55719</v>
      </c>
      <c r="F78" s="125">
        <v>2</v>
      </c>
      <c r="G78" s="347"/>
      <c r="H78" s="348"/>
    </row>
    <row r="79" spans="1:8" x14ac:dyDescent="0.35">
      <c r="A79" s="223" t="s">
        <v>2583</v>
      </c>
      <c r="B79" s="15" t="s">
        <v>78</v>
      </c>
      <c r="C79" s="388"/>
      <c r="D79" s="62"/>
      <c r="E79" s="62">
        <v>55719</v>
      </c>
      <c r="F79" s="125">
        <v>1</v>
      </c>
      <c r="G79" s="347"/>
      <c r="H79" s="348"/>
    </row>
    <row r="80" spans="1:8" x14ac:dyDescent="0.35">
      <c r="A80" s="223" t="s">
        <v>897</v>
      </c>
      <c r="B80" s="15" t="s">
        <v>267</v>
      </c>
      <c r="C80" s="388"/>
      <c r="D80" s="62"/>
      <c r="E80" s="62">
        <v>55719</v>
      </c>
      <c r="F80" s="125">
        <v>1</v>
      </c>
      <c r="G80" s="347"/>
      <c r="H80" s="348"/>
    </row>
    <row r="81" spans="1:16382" x14ac:dyDescent="0.35">
      <c r="A81" s="223" t="s">
        <v>38</v>
      </c>
      <c r="B81" s="15" t="s">
        <v>200</v>
      </c>
      <c r="C81" s="388"/>
      <c r="D81" s="62"/>
      <c r="E81" s="62">
        <v>55719</v>
      </c>
      <c r="F81" s="125">
        <v>1</v>
      </c>
      <c r="G81" s="347"/>
      <c r="H81" s="348"/>
    </row>
    <row r="82" spans="1:16382" x14ac:dyDescent="0.35">
      <c r="A82" s="223" t="s">
        <v>1388</v>
      </c>
      <c r="B82" s="15" t="s">
        <v>1619</v>
      </c>
      <c r="C82" s="388"/>
      <c r="D82" s="62"/>
      <c r="E82" s="62">
        <v>55719</v>
      </c>
      <c r="F82" s="125">
        <v>1</v>
      </c>
      <c r="G82" s="347"/>
      <c r="H82" s="348"/>
    </row>
    <row r="83" spans="1:16382" x14ac:dyDescent="0.35">
      <c r="A83" s="223" t="s">
        <v>1762</v>
      </c>
      <c r="B83" s="15" t="s">
        <v>113</v>
      </c>
      <c r="C83" s="388"/>
      <c r="D83" s="62"/>
      <c r="E83" s="62">
        <v>55719</v>
      </c>
      <c r="F83" s="125">
        <v>1</v>
      </c>
      <c r="G83" s="347"/>
      <c r="H83" s="348"/>
    </row>
    <row r="84" spans="1:16382" ht="15" customHeight="1" x14ac:dyDescent="0.35">
      <c r="A84" s="223" t="s">
        <v>2344</v>
      </c>
      <c r="B84" s="15" t="s">
        <v>279</v>
      </c>
      <c r="C84" s="388"/>
      <c r="D84" s="62"/>
      <c r="E84" s="62">
        <v>55719</v>
      </c>
      <c r="F84" s="125">
        <v>1</v>
      </c>
      <c r="G84" s="347"/>
      <c r="H84" s="348"/>
    </row>
    <row r="85" spans="1:16382" ht="15" customHeight="1" x14ac:dyDescent="0.35">
      <c r="A85" s="223" t="s">
        <v>146</v>
      </c>
      <c r="B85" s="15" t="s">
        <v>278</v>
      </c>
      <c r="C85" s="388"/>
      <c r="D85" s="62"/>
      <c r="E85" s="62">
        <v>55719</v>
      </c>
      <c r="F85" s="125">
        <v>1</v>
      </c>
      <c r="G85" s="347"/>
      <c r="H85" s="348"/>
    </row>
    <row r="86" spans="1:16382" x14ac:dyDescent="0.35">
      <c r="A86" s="223" t="s">
        <v>899</v>
      </c>
      <c r="B86" s="15" t="s">
        <v>281</v>
      </c>
      <c r="C86" s="388"/>
      <c r="D86" s="62"/>
      <c r="E86" s="62">
        <v>55719</v>
      </c>
      <c r="F86" s="125">
        <v>1</v>
      </c>
      <c r="G86" s="347"/>
      <c r="H86" s="348"/>
    </row>
    <row r="87" spans="1:16382" x14ac:dyDescent="0.35">
      <c r="A87" s="223" t="s">
        <v>1011</v>
      </c>
      <c r="B87" s="15" t="s">
        <v>282</v>
      </c>
      <c r="C87" s="388"/>
      <c r="D87" s="62"/>
      <c r="E87" s="62">
        <v>55719</v>
      </c>
      <c r="F87" s="125">
        <v>1</v>
      </c>
      <c r="G87" s="347"/>
      <c r="H87" s="348"/>
    </row>
    <row r="88" spans="1:16382" ht="15" customHeight="1" x14ac:dyDescent="0.35">
      <c r="A88" s="223" t="s">
        <v>2588</v>
      </c>
      <c r="B88" s="15" t="s">
        <v>273</v>
      </c>
      <c r="C88" s="388"/>
      <c r="D88" s="62"/>
      <c r="E88" s="62">
        <v>55719</v>
      </c>
      <c r="F88" s="125">
        <v>1</v>
      </c>
      <c r="G88" s="347"/>
      <c r="H88" s="348"/>
    </row>
    <row r="89" spans="1:16382" ht="15.75" customHeight="1" x14ac:dyDescent="0.35">
      <c r="A89" s="223" t="s">
        <v>1443</v>
      </c>
      <c r="B89" s="15" t="s">
        <v>474</v>
      </c>
      <c r="C89" s="388"/>
      <c r="D89" s="62"/>
      <c r="E89" s="62">
        <v>55719</v>
      </c>
      <c r="F89" s="125">
        <v>1</v>
      </c>
      <c r="G89" s="347"/>
      <c r="H89" s="348"/>
    </row>
    <row r="90" spans="1:16382" ht="15.75" customHeight="1" x14ac:dyDescent="0.35">
      <c r="A90" s="223" t="s">
        <v>1444</v>
      </c>
      <c r="B90" s="15" t="s">
        <v>475</v>
      </c>
      <c r="C90" s="388"/>
      <c r="D90" s="62"/>
      <c r="E90" s="62">
        <v>55719</v>
      </c>
      <c r="F90" s="125">
        <v>1</v>
      </c>
      <c r="G90" s="347"/>
      <c r="H90" s="348"/>
    </row>
    <row r="91" spans="1:16382" ht="15.75" customHeight="1" x14ac:dyDescent="0.35">
      <c r="A91" s="223" t="s">
        <v>55</v>
      </c>
      <c r="B91" s="15" t="s">
        <v>56</v>
      </c>
      <c r="C91" s="388"/>
      <c r="D91" s="62"/>
      <c r="E91" s="62">
        <v>55719</v>
      </c>
      <c r="F91" s="125">
        <v>1</v>
      </c>
      <c r="G91" s="347"/>
      <c r="H91" s="348"/>
    </row>
    <row r="92" spans="1:16382" ht="15.75" customHeight="1" x14ac:dyDescent="0.35">
      <c r="A92" s="223" t="s">
        <v>1313</v>
      </c>
      <c r="B92" s="15" t="s">
        <v>477</v>
      </c>
      <c r="C92" s="388"/>
      <c r="D92" s="62"/>
      <c r="E92" s="62">
        <v>55719</v>
      </c>
      <c r="F92" s="125">
        <v>1</v>
      </c>
      <c r="G92" s="347"/>
      <c r="H92" s="348"/>
    </row>
    <row r="93" spans="1:16382" x14ac:dyDescent="0.35">
      <c r="A93" s="217"/>
      <c r="B93" s="218"/>
      <c r="D93" s="218"/>
      <c r="E93" s="218"/>
      <c r="F93" s="218"/>
      <c r="G93" s="219"/>
    </row>
    <row r="95" spans="1:16382" ht="17.5" x14ac:dyDescent="0.35">
      <c r="A95" s="309" t="s">
        <v>1763</v>
      </c>
      <c r="B95" s="309"/>
      <c r="C95" s="24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  <c r="OR95" s="4"/>
      <c r="OS95" s="4"/>
      <c r="OT95" s="4"/>
      <c r="OU95" s="4"/>
      <c r="OV95" s="4"/>
      <c r="OW95" s="4"/>
      <c r="OX95" s="4"/>
      <c r="OY95" s="4"/>
      <c r="OZ95" s="4"/>
      <c r="PA95" s="4"/>
      <c r="PB95" s="4"/>
      <c r="PC95" s="4"/>
      <c r="PD95" s="4"/>
      <c r="PE95" s="4"/>
      <c r="PF95" s="4"/>
      <c r="PG95" s="4"/>
      <c r="PH95" s="4"/>
      <c r="PI95" s="4"/>
      <c r="PJ95" s="4"/>
      <c r="PK95" s="4"/>
      <c r="PL95" s="4"/>
      <c r="PM95" s="4"/>
      <c r="PN95" s="4"/>
      <c r="PO95" s="4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4"/>
      <c r="QL95" s="4"/>
      <c r="QM95" s="4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4"/>
      <c r="QY95" s="4"/>
      <c r="QZ95" s="4"/>
      <c r="RA95" s="4"/>
      <c r="RB95" s="4"/>
      <c r="RC95" s="4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4"/>
      <c r="RO95" s="4"/>
      <c r="RP95" s="4"/>
      <c r="RQ95" s="4"/>
      <c r="RR95" s="4"/>
      <c r="RS95" s="4"/>
      <c r="RT95" s="4"/>
      <c r="RU95" s="4"/>
      <c r="RV95" s="4"/>
      <c r="RW95" s="4"/>
      <c r="RX95" s="4"/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4"/>
      <c r="SJ95" s="4"/>
      <c r="SK95" s="4"/>
      <c r="SL95" s="4"/>
      <c r="SM95" s="4"/>
      <c r="SN95" s="4"/>
      <c r="SO95" s="4"/>
      <c r="SP95" s="4"/>
      <c r="SQ95" s="4"/>
      <c r="SR95" s="4"/>
      <c r="SS95" s="4"/>
      <c r="ST95" s="4"/>
      <c r="SU95" s="4"/>
      <c r="SV95" s="4"/>
      <c r="SW95" s="4"/>
      <c r="SX95" s="4"/>
      <c r="SY95" s="4"/>
      <c r="SZ95" s="4"/>
      <c r="TA95" s="4"/>
      <c r="TB95" s="4"/>
      <c r="TC95" s="4"/>
      <c r="TD95" s="4"/>
      <c r="TE95" s="4"/>
      <c r="TF95" s="4"/>
      <c r="TG95" s="4"/>
      <c r="TH95" s="4"/>
      <c r="TI95" s="4"/>
      <c r="TJ95" s="4"/>
      <c r="TK95" s="4"/>
      <c r="TL95" s="4"/>
      <c r="TM95" s="4"/>
      <c r="TN95" s="4"/>
      <c r="TO95" s="4"/>
      <c r="TP95" s="4"/>
      <c r="TQ95" s="4"/>
      <c r="TR95" s="4"/>
      <c r="TS95" s="4"/>
      <c r="TT95" s="4"/>
      <c r="TU95" s="4"/>
      <c r="TV95" s="4"/>
      <c r="TW95" s="4"/>
      <c r="TX95" s="4"/>
      <c r="TY95" s="4"/>
      <c r="TZ95" s="4"/>
      <c r="UA95" s="4"/>
      <c r="UB95" s="4"/>
      <c r="UC95" s="4"/>
      <c r="UD95" s="4"/>
      <c r="UE95" s="4"/>
      <c r="UF95" s="4"/>
      <c r="UG95" s="4"/>
      <c r="UH95" s="4"/>
      <c r="UI95" s="4"/>
      <c r="UJ95" s="4"/>
      <c r="UK95" s="4"/>
      <c r="UL95" s="4"/>
      <c r="UM95" s="4"/>
      <c r="UN95" s="4"/>
      <c r="UO95" s="4"/>
      <c r="UP95" s="4"/>
      <c r="UQ95" s="4"/>
      <c r="UR95" s="4"/>
      <c r="US95" s="4"/>
      <c r="UT95" s="4"/>
      <c r="UU95" s="4"/>
      <c r="UV95" s="4"/>
      <c r="UW95" s="4"/>
      <c r="UX95" s="4"/>
      <c r="UY95" s="4"/>
      <c r="UZ95" s="4"/>
      <c r="VA95" s="4"/>
      <c r="VB95" s="4"/>
      <c r="VC95" s="4"/>
      <c r="VD95" s="4"/>
      <c r="VE95" s="4"/>
      <c r="VF95" s="4"/>
      <c r="VG95" s="4"/>
      <c r="VH95" s="4"/>
      <c r="VI95" s="4"/>
      <c r="VJ95" s="4"/>
      <c r="VK95" s="4"/>
      <c r="VL95" s="4"/>
      <c r="VM95" s="4"/>
      <c r="VN95" s="4"/>
      <c r="VO95" s="4"/>
      <c r="VP95" s="4"/>
      <c r="VQ95" s="4"/>
      <c r="VR95" s="4"/>
      <c r="VS95" s="4"/>
      <c r="VT95" s="4"/>
      <c r="VU95" s="4"/>
      <c r="VV95" s="4"/>
      <c r="VW95" s="4"/>
      <c r="VX95" s="4"/>
      <c r="VY95" s="4"/>
      <c r="VZ95" s="4"/>
      <c r="WA95" s="4"/>
      <c r="WB95" s="4"/>
      <c r="WC95" s="4"/>
      <c r="WD95" s="4"/>
      <c r="WE95" s="4"/>
      <c r="WF95" s="4"/>
      <c r="WG95" s="4"/>
      <c r="WH95" s="4"/>
      <c r="WI95" s="4"/>
      <c r="WJ95" s="4"/>
      <c r="WK95" s="4"/>
      <c r="WL95" s="4"/>
      <c r="WM95" s="4"/>
      <c r="WN95" s="4"/>
      <c r="WO95" s="4"/>
      <c r="WP95" s="4"/>
      <c r="WQ95" s="4"/>
      <c r="WR95" s="4"/>
      <c r="WS95" s="4"/>
      <c r="WT95" s="4"/>
      <c r="WU95" s="4"/>
      <c r="WV95" s="4"/>
      <c r="WW95" s="4"/>
      <c r="WX95" s="4"/>
      <c r="WY95" s="4"/>
      <c r="WZ95" s="4"/>
      <c r="XA95" s="4"/>
      <c r="XB95" s="4"/>
      <c r="XC95" s="4"/>
      <c r="XD95" s="4"/>
      <c r="XE95" s="4"/>
      <c r="XF95" s="4"/>
      <c r="XG95" s="4"/>
      <c r="XH95" s="4"/>
      <c r="XI95" s="4"/>
      <c r="XJ95" s="4"/>
      <c r="XK95" s="4"/>
      <c r="XL95" s="4"/>
      <c r="XM95" s="4"/>
      <c r="XN95" s="4"/>
      <c r="XO95" s="4"/>
      <c r="XP95" s="4"/>
      <c r="XQ95" s="4"/>
      <c r="XR95" s="4"/>
      <c r="XS95" s="4"/>
      <c r="XT95" s="4"/>
      <c r="XU95" s="4"/>
      <c r="XV95" s="4"/>
      <c r="XW95" s="4"/>
      <c r="XX95" s="4"/>
      <c r="XY95" s="4"/>
      <c r="XZ95" s="4"/>
      <c r="YA95" s="4"/>
      <c r="YB95" s="4"/>
      <c r="YC95" s="4"/>
      <c r="YD95" s="4"/>
      <c r="YE95" s="4"/>
      <c r="YF95" s="4"/>
      <c r="YG95" s="4"/>
      <c r="YH95" s="4"/>
      <c r="YI95" s="4"/>
      <c r="YJ95" s="4"/>
      <c r="YK95" s="4"/>
      <c r="YL95" s="4"/>
      <c r="YM95" s="4"/>
      <c r="YN95" s="4"/>
      <c r="YO95" s="4"/>
      <c r="YP95" s="4"/>
      <c r="YQ95" s="4"/>
      <c r="YR95" s="4"/>
      <c r="YS95" s="4"/>
      <c r="YT95" s="4"/>
      <c r="YU95" s="4"/>
      <c r="YV95" s="4"/>
      <c r="YW95" s="4"/>
      <c r="YX95" s="4"/>
      <c r="YY95" s="4"/>
      <c r="YZ95" s="4"/>
      <c r="ZA95" s="4"/>
      <c r="ZB95" s="4"/>
      <c r="ZC95" s="4"/>
      <c r="ZD95" s="4"/>
      <c r="ZE95" s="4"/>
      <c r="ZF95" s="4"/>
      <c r="ZG95" s="4"/>
      <c r="ZH95" s="4"/>
      <c r="ZI95" s="4"/>
      <c r="ZJ95" s="4"/>
      <c r="ZK95" s="4"/>
      <c r="ZL95" s="4"/>
      <c r="ZM95" s="4"/>
      <c r="ZN95" s="4"/>
      <c r="ZO95" s="4"/>
      <c r="ZP95" s="4"/>
      <c r="ZQ95" s="4"/>
      <c r="ZR95" s="4"/>
      <c r="ZS95" s="4"/>
      <c r="ZT95" s="4"/>
      <c r="ZU95" s="4"/>
      <c r="ZV95" s="4"/>
      <c r="ZW95" s="4"/>
      <c r="ZX95" s="4"/>
      <c r="ZY95" s="4"/>
      <c r="ZZ95" s="4"/>
      <c r="AAA95" s="4"/>
      <c r="AAB95" s="4"/>
      <c r="AAC95" s="4"/>
      <c r="AAD95" s="4"/>
      <c r="AAE95" s="4"/>
      <c r="AAF95" s="4"/>
      <c r="AAG95" s="4"/>
      <c r="AAH95" s="4"/>
      <c r="AAI95" s="4"/>
      <c r="AAJ95" s="4"/>
      <c r="AAK95" s="4"/>
      <c r="AAL95" s="4"/>
      <c r="AAM95" s="4"/>
      <c r="AAN95" s="4"/>
      <c r="AAO95" s="4"/>
      <c r="AAP95" s="4"/>
      <c r="AAQ95" s="4"/>
      <c r="AAR95" s="4"/>
      <c r="AAS95" s="4"/>
      <c r="AAT95" s="4"/>
      <c r="AAU95" s="4"/>
      <c r="AAV95" s="4"/>
      <c r="AAW95" s="4"/>
      <c r="AAX95" s="4"/>
      <c r="AAY95" s="4"/>
      <c r="AAZ95" s="4"/>
      <c r="ABA95" s="4"/>
      <c r="ABB95" s="4"/>
      <c r="ABC95" s="4"/>
      <c r="ABD95" s="4"/>
      <c r="ABE95" s="4"/>
      <c r="ABF95" s="4"/>
      <c r="ABG95" s="4"/>
      <c r="ABH95" s="4"/>
      <c r="ABI95" s="4"/>
      <c r="ABJ95" s="4"/>
      <c r="ABK95" s="4"/>
      <c r="ABL95" s="4"/>
      <c r="ABM95" s="4"/>
      <c r="ABN95" s="4"/>
      <c r="ABO95" s="4"/>
      <c r="ABP95" s="4"/>
      <c r="ABQ95" s="4"/>
      <c r="ABR95" s="4"/>
      <c r="ABS95" s="4"/>
      <c r="ABT95" s="4"/>
      <c r="ABU95" s="4"/>
      <c r="ABV95" s="4"/>
      <c r="ABW95" s="4"/>
      <c r="ABX95" s="4"/>
      <c r="ABY95" s="4"/>
      <c r="ABZ95" s="4"/>
      <c r="ACA95" s="4"/>
      <c r="ACB95" s="4"/>
      <c r="ACC95" s="4"/>
      <c r="ACD95" s="4"/>
      <c r="ACE95" s="4"/>
      <c r="ACF95" s="4"/>
      <c r="ACG95" s="4"/>
      <c r="ACH95" s="4"/>
      <c r="ACI95" s="4"/>
      <c r="ACJ95" s="4"/>
      <c r="ACK95" s="4"/>
      <c r="ACL95" s="4"/>
      <c r="ACM95" s="4"/>
      <c r="ACN95" s="4"/>
      <c r="ACO95" s="4"/>
      <c r="ACP95" s="4"/>
      <c r="ACQ95" s="4"/>
      <c r="ACR95" s="4"/>
      <c r="ACS95" s="4"/>
      <c r="ACT95" s="4"/>
      <c r="ACU95" s="4"/>
      <c r="ACV95" s="4"/>
      <c r="ACW95" s="4"/>
      <c r="ACX95" s="4"/>
      <c r="ACY95" s="4"/>
      <c r="ACZ95" s="4"/>
      <c r="ADA95" s="4"/>
      <c r="ADB95" s="4"/>
      <c r="ADC95" s="4"/>
      <c r="ADD95" s="4"/>
      <c r="ADE95" s="4"/>
      <c r="ADF95" s="4"/>
      <c r="ADG95" s="4"/>
      <c r="ADH95" s="4"/>
      <c r="ADI95" s="4"/>
      <c r="ADJ95" s="4"/>
      <c r="ADK95" s="4"/>
      <c r="ADL95" s="4"/>
      <c r="ADM95" s="4"/>
      <c r="ADN95" s="4"/>
      <c r="ADO95" s="4"/>
      <c r="ADP95" s="4"/>
      <c r="ADQ95" s="4"/>
      <c r="ADR95" s="4"/>
      <c r="ADS95" s="4"/>
      <c r="ADT95" s="4"/>
      <c r="ADU95" s="4"/>
      <c r="ADV95" s="4"/>
      <c r="ADW95" s="4"/>
      <c r="ADX95" s="4"/>
      <c r="ADY95" s="4"/>
      <c r="ADZ95" s="4"/>
      <c r="AEA95" s="4"/>
      <c r="AEB95" s="4"/>
      <c r="AEC95" s="4"/>
      <c r="AED95" s="4"/>
      <c r="AEE95" s="4"/>
      <c r="AEF95" s="4"/>
      <c r="AEG95" s="4"/>
      <c r="AEH95" s="4"/>
      <c r="AEI95" s="4"/>
      <c r="AEJ95" s="4"/>
      <c r="AEK95" s="4"/>
      <c r="AEL95" s="4"/>
      <c r="AEM95" s="4"/>
      <c r="AEN95" s="4"/>
      <c r="AEO95" s="4"/>
      <c r="AEP95" s="4"/>
      <c r="AEQ95" s="4"/>
      <c r="AER95" s="4"/>
      <c r="AES95" s="4"/>
      <c r="AET95" s="4"/>
      <c r="AEU95" s="4"/>
      <c r="AEV95" s="4"/>
      <c r="AEW95" s="4"/>
      <c r="AEX95" s="4"/>
      <c r="AEY95" s="4"/>
      <c r="AEZ95" s="4"/>
      <c r="AFA95" s="4"/>
      <c r="AFB95" s="4"/>
      <c r="AFC95" s="4"/>
      <c r="AFD95" s="4"/>
      <c r="AFE95" s="4"/>
      <c r="AFF95" s="4"/>
      <c r="AFG95" s="4"/>
      <c r="AFH95" s="4"/>
      <c r="AFI95" s="4"/>
      <c r="AFJ95" s="4"/>
      <c r="AFK95" s="4"/>
      <c r="AFL95" s="4"/>
      <c r="AFM95" s="4"/>
      <c r="AFN95" s="4"/>
      <c r="AFO95" s="4"/>
      <c r="AFP95" s="4"/>
      <c r="AFQ95" s="4"/>
      <c r="AFR95" s="4"/>
      <c r="AFS95" s="4"/>
      <c r="AFT95" s="4"/>
      <c r="AFU95" s="4"/>
      <c r="AFV95" s="4"/>
      <c r="AFW95" s="4"/>
      <c r="AFX95" s="4"/>
      <c r="AFY95" s="4"/>
      <c r="AFZ95" s="4"/>
      <c r="AGA95" s="4"/>
      <c r="AGB95" s="4"/>
      <c r="AGC95" s="4"/>
      <c r="AGD95" s="4"/>
      <c r="AGE95" s="4"/>
      <c r="AGF95" s="4"/>
      <c r="AGG95" s="4"/>
      <c r="AGH95" s="4"/>
      <c r="AGI95" s="4"/>
      <c r="AGJ95" s="4"/>
      <c r="AGK95" s="4"/>
      <c r="AGL95" s="4"/>
      <c r="AGM95" s="4"/>
      <c r="AGN95" s="4"/>
      <c r="AGO95" s="4"/>
      <c r="AGP95" s="4"/>
      <c r="AGQ95" s="4"/>
      <c r="AGR95" s="4"/>
      <c r="AGS95" s="4"/>
      <c r="AGT95" s="4"/>
      <c r="AGU95" s="4"/>
      <c r="AGV95" s="4"/>
      <c r="AGW95" s="4"/>
      <c r="AGX95" s="4"/>
      <c r="AGY95" s="4"/>
      <c r="AGZ95" s="4"/>
      <c r="AHA95" s="4"/>
      <c r="AHB95" s="4"/>
      <c r="AHC95" s="4"/>
      <c r="AHD95" s="4"/>
      <c r="AHE95" s="4"/>
      <c r="AHF95" s="4"/>
      <c r="AHG95" s="4"/>
      <c r="AHH95" s="4"/>
      <c r="AHI95" s="4"/>
      <c r="AHJ95" s="4"/>
      <c r="AHK95" s="4"/>
      <c r="AHL95" s="4"/>
      <c r="AHM95" s="4"/>
      <c r="AHN95" s="4"/>
      <c r="AHO95" s="4"/>
      <c r="AHP95" s="4"/>
      <c r="AHQ95" s="4"/>
      <c r="AHR95" s="4"/>
      <c r="AHS95" s="4"/>
      <c r="AHT95" s="4"/>
      <c r="AHU95" s="4"/>
      <c r="AHV95" s="4"/>
      <c r="AHW95" s="4"/>
      <c r="AHX95" s="4"/>
      <c r="AHY95" s="4"/>
      <c r="AHZ95" s="4"/>
      <c r="AIA95" s="4"/>
      <c r="AIB95" s="4"/>
      <c r="AIC95" s="4"/>
      <c r="AID95" s="4"/>
      <c r="AIE95" s="4"/>
      <c r="AIF95" s="4"/>
      <c r="AIG95" s="4"/>
      <c r="AIH95" s="4"/>
      <c r="AII95" s="4"/>
      <c r="AIJ95" s="4"/>
      <c r="AIK95" s="4"/>
      <c r="AIL95" s="4"/>
      <c r="AIM95" s="4"/>
      <c r="AIN95" s="4"/>
      <c r="AIO95" s="4"/>
      <c r="AIP95" s="4"/>
      <c r="AIQ95" s="4"/>
      <c r="AIR95" s="4"/>
      <c r="AIS95" s="4"/>
      <c r="AIT95" s="4"/>
      <c r="AIU95" s="4"/>
      <c r="AIV95" s="4"/>
      <c r="AIW95" s="4"/>
      <c r="AIX95" s="4"/>
      <c r="AIY95" s="4"/>
      <c r="AIZ95" s="4"/>
      <c r="AJA95" s="4"/>
      <c r="AJB95" s="4"/>
      <c r="AJC95" s="4"/>
      <c r="AJD95" s="4"/>
      <c r="AJE95" s="4"/>
      <c r="AJF95" s="4"/>
      <c r="AJG95" s="4"/>
      <c r="AJH95" s="4"/>
      <c r="AJI95" s="4"/>
      <c r="AJJ95" s="4"/>
      <c r="AJK95" s="4"/>
      <c r="AJL95" s="4"/>
      <c r="AJM95" s="4"/>
      <c r="AJN95" s="4"/>
      <c r="AJO95" s="4"/>
      <c r="AJP95" s="4"/>
      <c r="AJQ95" s="4"/>
      <c r="AJR95" s="4"/>
      <c r="AJS95" s="4"/>
      <c r="AJT95" s="4"/>
      <c r="AJU95" s="4"/>
      <c r="AJV95" s="4"/>
      <c r="AJW95" s="4"/>
      <c r="AJX95" s="4"/>
      <c r="AJY95" s="4"/>
      <c r="AJZ95" s="4"/>
      <c r="AKA95" s="4"/>
      <c r="AKB95" s="4"/>
      <c r="AKC95" s="4"/>
      <c r="AKD95" s="4"/>
      <c r="AKE95" s="4"/>
      <c r="AKF95" s="4"/>
      <c r="AKG95" s="4"/>
      <c r="AKH95" s="4"/>
      <c r="AKI95" s="4"/>
      <c r="AKJ95" s="4"/>
      <c r="AKK95" s="4"/>
      <c r="AKL95" s="4"/>
      <c r="AKM95" s="4"/>
      <c r="AKN95" s="4"/>
      <c r="AKO95" s="4"/>
      <c r="AKP95" s="4"/>
      <c r="AKQ95" s="4"/>
      <c r="AKR95" s="4"/>
      <c r="AKS95" s="4"/>
      <c r="AKT95" s="4"/>
      <c r="AKU95" s="4"/>
      <c r="AKV95" s="4"/>
      <c r="AKW95" s="4"/>
      <c r="AKX95" s="4"/>
      <c r="AKY95" s="4"/>
      <c r="AKZ95" s="4"/>
      <c r="ALA95" s="4"/>
      <c r="ALB95" s="4"/>
      <c r="ALC95" s="4"/>
      <c r="ALD95" s="4"/>
      <c r="ALE95" s="4"/>
      <c r="ALF95" s="4"/>
      <c r="ALG95" s="4"/>
      <c r="ALH95" s="4"/>
      <c r="ALI95" s="4"/>
      <c r="ALJ95" s="4"/>
      <c r="ALK95" s="4"/>
      <c r="ALL95" s="4"/>
      <c r="ALM95" s="4"/>
      <c r="ALN95" s="4"/>
      <c r="ALO95" s="4"/>
      <c r="ALP95" s="4"/>
      <c r="ALQ95" s="4"/>
      <c r="ALR95" s="4"/>
      <c r="ALS95" s="4"/>
      <c r="ALT95" s="4"/>
      <c r="ALU95" s="4"/>
      <c r="ALV95" s="4"/>
      <c r="ALW95" s="4"/>
      <c r="ALX95" s="4"/>
      <c r="ALY95" s="4"/>
      <c r="ALZ95" s="4"/>
      <c r="AMA95" s="4"/>
      <c r="AMB95" s="4"/>
      <c r="AMC95" s="4"/>
      <c r="AMD95" s="4"/>
      <c r="AME95" s="4"/>
      <c r="AMF95" s="4"/>
      <c r="AMG95" s="4"/>
      <c r="AMH95" s="4"/>
      <c r="AMI95" s="4"/>
      <c r="AMJ95" s="4"/>
      <c r="AMK95" s="4"/>
      <c r="AML95" s="4"/>
      <c r="AMM95" s="4"/>
      <c r="AMN95" s="4"/>
      <c r="AMO95" s="4"/>
      <c r="AMP95" s="4"/>
      <c r="AMQ95" s="4"/>
      <c r="AMR95" s="4"/>
      <c r="AMS95" s="4"/>
      <c r="AMT95" s="4"/>
      <c r="AMU95" s="4"/>
      <c r="AMV95" s="4"/>
      <c r="AMW95" s="4"/>
      <c r="AMX95" s="4"/>
      <c r="AMY95" s="4"/>
      <c r="AMZ95" s="4"/>
      <c r="ANA95" s="4"/>
      <c r="ANB95" s="4"/>
      <c r="ANC95" s="4"/>
      <c r="AND95" s="4"/>
      <c r="ANE95" s="4"/>
      <c r="ANF95" s="4"/>
      <c r="ANG95" s="4"/>
      <c r="ANH95" s="4"/>
      <c r="ANI95" s="4"/>
      <c r="ANJ95" s="4"/>
      <c r="ANK95" s="4"/>
      <c r="ANL95" s="4"/>
      <c r="ANM95" s="4"/>
      <c r="ANN95" s="4"/>
      <c r="ANO95" s="4"/>
      <c r="ANP95" s="4"/>
      <c r="ANQ95" s="4"/>
      <c r="ANR95" s="4"/>
      <c r="ANS95" s="4"/>
      <c r="ANT95" s="4"/>
      <c r="ANU95" s="4"/>
      <c r="ANV95" s="4"/>
      <c r="ANW95" s="4"/>
      <c r="ANX95" s="4"/>
      <c r="ANY95" s="4"/>
      <c r="ANZ95" s="4"/>
      <c r="AOA95" s="4"/>
      <c r="AOB95" s="4"/>
      <c r="AOC95" s="4"/>
      <c r="AOD95" s="4"/>
      <c r="AOE95" s="4"/>
      <c r="AOF95" s="4"/>
      <c r="AOG95" s="4"/>
      <c r="AOH95" s="4"/>
      <c r="AOI95" s="4"/>
      <c r="AOJ95" s="4"/>
      <c r="AOK95" s="4"/>
      <c r="AOL95" s="4"/>
      <c r="AOM95" s="4"/>
      <c r="AON95" s="4"/>
      <c r="AOO95" s="4"/>
      <c r="AOP95" s="4"/>
      <c r="AOQ95" s="4"/>
      <c r="AOR95" s="4"/>
      <c r="AOS95" s="4"/>
      <c r="AOT95" s="4"/>
      <c r="AOU95" s="4"/>
      <c r="AOV95" s="4"/>
      <c r="AOW95" s="4"/>
      <c r="AOX95" s="4"/>
      <c r="AOY95" s="4"/>
      <c r="AOZ95" s="4"/>
      <c r="APA95" s="4"/>
      <c r="APB95" s="4"/>
      <c r="APC95" s="4"/>
      <c r="APD95" s="4"/>
      <c r="APE95" s="4"/>
      <c r="APF95" s="4"/>
      <c r="APG95" s="4"/>
      <c r="APH95" s="4"/>
      <c r="API95" s="4"/>
      <c r="APJ95" s="4"/>
      <c r="APK95" s="4"/>
      <c r="APL95" s="4"/>
      <c r="APM95" s="4"/>
      <c r="APN95" s="4"/>
      <c r="APO95" s="4"/>
      <c r="APP95" s="4"/>
      <c r="APQ95" s="4"/>
      <c r="APR95" s="4"/>
      <c r="APS95" s="4"/>
      <c r="APT95" s="4"/>
      <c r="APU95" s="4"/>
      <c r="APV95" s="4"/>
      <c r="APW95" s="4"/>
      <c r="APX95" s="4"/>
      <c r="APY95" s="4"/>
      <c r="APZ95" s="4"/>
      <c r="AQA95" s="4"/>
      <c r="AQB95" s="4"/>
      <c r="AQC95" s="4"/>
      <c r="AQD95" s="4"/>
      <c r="AQE95" s="4"/>
      <c r="AQF95" s="4"/>
      <c r="AQG95" s="4"/>
      <c r="AQH95" s="4"/>
      <c r="AQI95" s="4"/>
      <c r="AQJ95" s="4"/>
      <c r="AQK95" s="4"/>
      <c r="AQL95" s="4"/>
      <c r="AQM95" s="4"/>
      <c r="AQN95" s="4"/>
      <c r="AQO95" s="4"/>
      <c r="AQP95" s="4"/>
      <c r="AQQ95" s="4"/>
      <c r="AQR95" s="4"/>
      <c r="AQS95" s="4"/>
      <c r="AQT95" s="4"/>
      <c r="AQU95" s="4"/>
      <c r="AQV95" s="4"/>
      <c r="AQW95" s="4"/>
      <c r="AQX95" s="4"/>
      <c r="AQY95" s="4"/>
      <c r="AQZ95" s="4"/>
      <c r="ARA95" s="4"/>
      <c r="ARB95" s="4"/>
      <c r="ARC95" s="4"/>
      <c r="ARD95" s="4"/>
      <c r="ARE95" s="4"/>
      <c r="ARF95" s="4"/>
      <c r="ARG95" s="4"/>
      <c r="ARH95" s="4"/>
      <c r="ARI95" s="4"/>
      <c r="ARJ95" s="4"/>
      <c r="ARK95" s="4"/>
      <c r="ARL95" s="4"/>
      <c r="ARM95" s="4"/>
      <c r="ARN95" s="4"/>
      <c r="ARO95" s="4"/>
      <c r="ARP95" s="4"/>
      <c r="ARQ95" s="4"/>
      <c r="ARR95" s="4"/>
      <c r="ARS95" s="4"/>
      <c r="ART95" s="4"/>
      <c r="ARU95" s="4"/>
      <c r="ARV95" s="4"/>
      <c r="ARW95" s="4"/>
      <c r="ARX95" s="4"/>
      <c r="ARY95" s="4"/>
      <c r="ARZ95" s="4"/>
      <c r="ASA95" s="4"/>
      <c r="ASB95" s="4"/>
      <c r="ASC95" s="4"/>
      <c r="ASD95" s="4"/>
      <c r="ASE95" s="4"/>
      <c r="ASF95" s="4"/>
      <c r="ASG95" s="4"/>
      <c r="ASH95" s="4"/>
      <c r="ASI95" s="4"/>
      <c r="ASJ95" s="4"/>
      <c r="ASK95" s="4"/>
      <c r="ASL95" s="4"/>
      <c r="ASM95" s="4"/>
      <c r="ASN95" s="4"/>
      <c r="ASO95" s="4"/>
      <c r="ASP95" s="4"/>
      <c r="ASQ95" s="4"/>
      <c r="ASR95" s="4"/>
      <c r="ASS95" s="4"/>
      <c r="AST95" s="4"/>
      <c r="ASU95" s="4"/>
      <c r="ASV95" s="4"/>
      <c r="ASW95" s="4"/>
      <c r="ASX95" s="4"/>
      <c r="ASY95" s="4"/>
      <c r="ASZ95" s="4"/>
      <c r="ATA95" s="4"/>
      <c r="ATB95" s="4"/>
      <c r="ATC95" s="4"/>
      <c r="ATD95" s="4"/>
      <c r="ATE95" s="4"/>
      <c r="ATF95" s="4"/>
      <c r="ATG95" s="4"/>
      <c r="ATH95" s="4"/>
      <c r="ATI95" s="4"/>
      <c r="ATJ95" s="4"/>
      <c r="ATK95" s="4"/>
      <c r="ATL95" s="4"/>
      <c r="ATM95" s="4"/>
      <c r="ATN95" s="4"/>
      <c r="ATO95" s="4"/>
      <c r="ATP95" s="4"/>
      <c r="ATQ95" s="4"/>
      <c r="ATR95" s="4"/>
      <c r="ATS95" s="4"/>
      <c r="ATT95" s="4"/>
      <c r="ATU95" s="4"/>
      <c r="ATV95" s="4"/>
      <c r="ATW95" s="4"/>
      <c r="ATX95" s="4"/>
      <c r="ATY95" s="4"/>
      <c r="ATZ95" s="4"/>
      <c r="AUA95" s="4"/>
      <c r="AUB95" s="4"/>
      <c r="AUC95" s="4"/>
      <c r="AUD95" s="4"/>
      <c r="AUE95" s="4"/>
      <c r="AUF95" s="4"/>
      <c r="AUG95" s="4"/>
      <c r="AUH95" s="4"/>
      <c r="AUI95" s="4"/>
      <c r="AUJ95" s="4"/>
      <c r="AUK95" s="4"/>
      <c r="AUL95" s="4"/>
      <c r="AUM95" s="4"/>
      <c r="AUN95" s="4"/>
      <c r="AUO95" s="4"/>
      <c r="AUP95" s="4"/>
      <c r="AUQ95" s="4"/>
      <c r="AUR95" s="4"/>
      <c r="AUS95" s="4"/>
      <c r="AUT95" s="4"/>
      <c r="AUU95" s="4"/>
      <c r="AUV95" s="4"/>
      <c r="AUW95" s="4"/>
      <c r="AUX95" s="4"/>
      <c r="AUY95" s="4"/>
      <c r="AUZ95" s="4"/>
      <c r="AVA95" s="4"/>
      <c r="AVB95" s="4"/>
      <c r="AVC95" s="4"/>
      <c r="AVD95" s="4"/>
      <c r="AVE95" s="4"/>
      <c r="AVF95" s="4"/>
      <c r="AVG95" s="4"/>
      <c r="AVH95" s="4"/>
      <c r="AVI95" s="4"/>
      <c r="AVJ95" s="4"/>
      <c r="AVK95" s="4"/>
      <c r="AVL95" s="4"/>
      <c r="AVM95" s="4"/>
      <c r="AVN95" s="4"/>
      <c r="AVO95" s="4"/>
      <c r="AVP95" s="4"/>
      <c r="AVQ95" s="4"/>
      <c r="AVR95" s="4"/>
      <c r="AVS95" s="4"/>
      <c r="AVT95" s="4"/>
      <c r="AVU95" s="4"/>
      <c r="AVV95" s="4"/>
      <c r="AVW95" s="4"/>
      <c r="AVX95" s="4"/>
      <c r="AVY95" s="4"/>
      <c r="AVZ95" s="4"/>
      <c r="AWA95" s="4"/>
      <c r="AWB95" s="4"/>
      <c r="AWC95" s="4"/>
      <c r="AWD95" s="4"/>
      <c r="AWE95" s="4"/>
      <c r="AWF95" s="4"/>
      <c r="AWG95" s="4"/>
      <c r="AWH95" s="4"/>
      <c r="AWI95" s="4"/>
      <c r="AWJ95" s="4"/>
      <c r="AWK95" s="4"/>
      <c r="AWL95" s="4"/>
      <c r="AWM95" s="4"/>
      <c r="AWN95" s="4"/>
      <c r="AWO95" s="4"/>
      <c r="AWP95" s="4"/>
      <c r="AWQ95" s="4"/>
      <c r="AWR95" s="4"/>
      <c r="AWS95" s="4"/>
      <c r="AWT95" s="4"/>
      <c r="AWU95" s="4"/>
      <c r="AWV95" s="4"/>
      <c r="AWW95" s="4"/>
      <c r="AWX95" s="4"/>
      <c r="AWY95" s="4"/>
      <c r="AWZ95" s="4"/>
      <c r="AXA95" s="4"/>
      <c r="AXB95" s="4"/>
      <c r="AXC95" s="4"/>
      <c r="AXD95" s="4"/>
      <c r="AXE95" s="4"/>
      <c r="AXF95" s="4"/>
      <c r="AXG95" s="4"/>
      <c r="AXH95" s="4"/>
      <c r="AXI95" s="4"/>
      <c r="AXJ95" s="4"/>
      <c r="AXK95" s="4"/>
      <c r="AXL95" s="4"/>
      <c r="AXM95" s="4"/>
      <c r="AXN95" s="4"/>
      <c r="AXO95" s="4"/>
      <c r="AXP95" s="4"/>
      <c r="AXQ95" s="4"/>
      <c r="AXR95" s="4"/>
      <c r="AXS95" s="4"/>
      <c r="AXT95" s="4"/>
      <c r="AXU95" s="4"/>
      <c r="AXV95" s="4"/>
      <c r="AXW95" s="4"/>
      <c r="AXX95" s="4"/>
      <c r="AXY95" s="4"/>
      <c r="AXZ95" s="4"/>
      <c r="AYA95" s="4"/>
      <c r="AYB95" s="4"/>
      <c r="AYC95" s="4"/>
      <c r="AYD95" s="4"/>
      <c r="AYE95" s="4"/>
      <c r="AYF95" s="4"/>
      <c r="AYG95" s="4"/>
      <c r="AYH95" s="4"/>
      <c r="AYI95" s="4"/>
      <c r="AYJ95" s="4"/>
      <c r="AYK95" s="4"/>
      <c r="AYL95" s="4"/>
      <c r="AYM95" s="4"/>
      <c r="AYN95" s="4"/>
      <c r="AYO95" s="4"/>
      <c r="AYP95" s="4"/>
      <c r="AYQ95" s="4"/>
      <c r="AYR95" s="4"/>
      <c r="AYS95" s="4"/>
      <c r="AYT95" s="4"/>
      <c r="AYU95" s="4"/>
      <c r="AYV95" s="4"/>
      <c r="AYW95" s="4"/>
      <c r="AYX95" s="4"/>
      <c r="AYY95" s="4"/>
      <c r="AYZ95" s="4"/>
      <c r="AZA95" s="4"/>
      <c r="AZB95" s="4"/>
      <c r="AZC95" s="4"/>
      <c r="AZD95" s="4"/>
      <c r="AZE95" s="4"/>
      <c r="AZF95" s="4"/>
      <c r="AZG95" s="4"/>
      <c r="AZH95" s="4"/>
      <c r="AZI95" s="4"/>
      <c r="AZJ95" s="4"/>
      <c r="AZK95" s="4"/>
      <c r="AZL95" s="4"/>
      <c r="AZM95" s="4"/>
      <c r="AZN95" s="4"/>
      <c r="AZO95" s="4"/>
      <c r="AZP95" s="4"/>
      <c r="AZQ95" s="4"/>
      <c r="AZR95" s="4"/>
      <c r="AZS95" s="4"/>
      <c r="AZT95" s="4"/>
      <c r="AZU95" s="4"/>
      <c r="AZV95" s="4"/>
      <c r="AZW95" s="4"/>
      <c r="AZX95" s="4"/>
      <c r="AZY95" s="4"/>
      <c r="AZZ95" s="4"/>
      <c r="BAA95" s="4"/>
      <c r="BAB95" s="4"/>
      <c r="BAC95" s="4"/>
      <c r="BAD95" s="4"/>
      <c r="BAE95" s="4"/>
      <c r="BAF95" s="4"/>
      <c r="BAG95" s="4"/>
      <c r="BAH95" s="4"/>
      <c r="BAI95" s="4"/>
      <c r="BAJ95" s="4"/>
      <c r="BAK95" s="4"/>
      <c r="BAL95" s="4"/>
      <c r="BAM95" s="4"/>
      <c r="BAN95" s="4"/>
      <c r="BAO95" s="4"/>
      <c r="BAP95" s="4"/>
      <c r="BAQ95" s="4"/>
      <c r="BAR95" s="4"/>
      <c r="BAS95" s="4"/>
      <c r="BAT95" s="4"/>
      <c r="BAU95" s="4"/>
      <c r="BAV95" s="4"/>
      <c r="BAW95" s="4"/>
      <c r="BAX95" s="4"/>
      <c r="BAY95" s="4"/>
      <c r="BAZ95" s="4"/>
      <c r="BBA95" s="4"/>
      <c r="BBB95" s="4"/>
      <c r="BBC95" s="4"/>
      <c r="BBD95" s="4"/>
      <c r="BBE95" s="4"/>
      <c r="BBF95" s="4"/>
      <c r="BBG95" s="4"/>
      <c r="BBH95" s="4"/>
      <c r="BBI95" s="4"/>
      <c r="BBJ95" s="4"/>
      <c r="BBK95" s="4"/>
      <c r="BBL95" s="4"/>
      <c r="BBM95" s="4"/>
      <c r="BBN95" s="4"/>
      <c r="BBO95" s="4"/>
      <c r="BBP95" s="4"/>
      <c r="BBQ95" s="4"/>
      <c r="BBR95" s="4"/>
      <c r="BBS95" s="4"/>
      <c r="BBT95" s="4"/>
      <c r="BBU95" s="4"/>
      <c r="BBV95" s="4"/>
      <c r="BBW95" s="4"/>
      <c r="BBX95" s="4"/>
      <c r="BBY95" s="4"/>
      <c r="BBZ95" s="4"/>
      <c r="BCA95" s="4"/>
      <c r="BCB95" s="4"/>
      <c r="BCC95" s="4"/>
      <c r="BCD95" s="4"/>
      <c r="BCE95" s="4"/>
      <c r="BCF95" s="4"/>
      <c r="BCG95" s="4"/>
      <c r="BCH95" s="4"/>
      <c r="BCI95" s="4"/>
      <c r="BCJ95" s="4"/>
      <c r="BCK95" s="4"/>
      <c r="BCL95" s="4"/>
      <c r="BCM95" s="4"/>
      <c r="BCN95" s="4"/>
      <c r="BCO95" s="4"/>
      <c r="BCP95" s="4"/>
      <c r="BCQ95" s="4"/>
      <c r="BCR95" s="4"/>
      <c r="BCS95" s="4"/>
      <c r="BCT95" s="4"/>
      <c r="BCU95" s="4"/>
      <c r="BCV95" s="4"/>
      <c r="BCW95" s="4"/>
      <c r="BCX95" s="4"/>
      <c r="BCY95" s="4"/>
      <c r="BCZ95" s="4"/>
      <c r="BDA95" s="4"/>
      <c r="BDB95" s="4"/>
      <c r="BDC95" s="4"/>
      <c r="BDD95" s="4"/>
      <c r="BDE95" s="4"/>
      <c r="BDF95" s="4"/>
      <c r="BDG95" s="4"/>
      <c r="BDH95" s="4"/>
      <c r="BDI95" s="4"/>
      <c r="BDJ95" s="4"/>
      <c r="BDK95" s="4"/>
      <c r="BDL95" s="4"/>
      <c r="BDM95" s="4"/>
      <c r="BDN95" s="4"/>
      <c r="BDO95" s="4"/>
      <c r="BDP95" s="4"/>
      <c r="BDQ95" s="4"/>
      <c r="BDR95" s="4"/>
      <c r="BDS95" s="4"/>
      <c r="BDT95" s="4"/>
      <c r="BDU95" s="4"/>
      <c r="BDV95" s="4"/>
      <c r="BDW95" s="4"/>
      <c r="BDX95" s="4"/>
      <c r="BDY95" s="4"/>
      <c r="BDZ95" s="4"/>
      <c r="BEA95" s="4"/>
      <c r="BEB95" s="4"/>
      <c r="BEC95" s="4"/>
      <c r="BED95" s="4"/>
      <c r="BEE95" s="4"/>
      <c r="BEF95" s="4"/>
      <c r="BEG95" s="4"/>
      <c r="BEH95" s="4"/>
      <c r="BEI95" s="4"/>
      <c r="BEJ95" s="4"/>
      <c r="BEK95" s="4"/>
      <c r="BEL95" s="4"/>
      <c r="BEM95" s="4"/>
      <c r="BEN95" s="4"/>
      <c r="BEO95" s="4"/>
      <c r="BEP95" s="4"/>
      <c r="BEQ95" s="4"/>
      <c r="BER95" s="4"/>
      <c r="BES95" s="4"/>
      <c r="BET95" s="4"/>
      <c r="BEU95" s="4"/>
      <c r="BEV95" s="4"/>
      <c r="BEW95" s="4"/>
      <c r="BEX95" s="4"/>
      <c r="BEY95" s="4"/>
      <c r="BEZ95" s="4"/>
      <c r="BFA95" s="4"/>
      <c r="BFB95" s="4"/>
      <c r="BFC95" s="4"/>
      <c r="BFD95" s="4"/>
      <c r="BFE95" s="4"/>
      <c r="BFF95" s="4"/>
      <c r="BFG95" s="4"/>
      <c r="BFH95" s="4"/>
      <c r="BFI95" s="4"/>
      <c r="BFJ95" s="4"/>
      <c r="BFK95" s="4"/>
      <c r="BFL95" s="4"/>
      <c r="BFM95" s="4"/>
      <c r="BFN95" s="4"/>
      <c r="BFO95" s="4"/>
      <c r="BFP95" s="4"/>
      <c r="BFQ95" s="4"/>
      <c r="BFR95" s="4"/>
      <c r="BFS95" s="4"/>
      <c r="BFT95" s="4"/>
      <c r="BFU95" s="4"/>
      <c r="BFV95" s="4"/>
      <c r="BFW95" s="4"/>
      <c r="BFX95" s="4"/>
      <c r="BFY95" s="4"/>
      <c r="BFZ95" s="4"/>
      <c r="BGA95" s="4"/>
      <c r="BGB95" s="4"/>
      <c r="BGC95" s="4"/>
      <c r="BGD95" s="4"/>
      <c r="BGE95" s="4"/>
      <c r="BGF95" s="4"/>
      <c r="BGG95" s="4"/>
      <c r="BGH95" s="4"/>
      <c r="BGI95" s="4"/>
      <c r="BGJ95" s="4"/>
      <c r="BGK95" s="4"/>
      <c r="BGL95" s="4"/>
      <c r="BGM95" s="4"/>
      <c r="BGN95" s="4"/>
      <c r="BGO95" s="4"/>
      <c r="BGP95" s="4"/>
      <c r="BGQ95" s="4"/>
      <c r="BGR95" s="4"/>
      <c r="BGS95" s="4"/>
      <c r="BGT95" s="4"/>
      <c r="BGU95" s="4"/>
      <c r="BGV95" s="4"/>
      <c r="BGW95" s="4"/>
      <c r="BGX95" s="4"/>
      <c r="BGY95" s="4"/>
      <c r="BGZ95" s="4"/>
      <c r="BHA95" s="4"/>
      <c r="BHB95" s="4"/>
      <c r="BHC95" s="4"/>
      <c r="BHD95" s="4"/>
      <c r="BHE95" s="4"/>
      <c r="BHF95" s="4"/>
      <c r="BHG95" s="4"/>
      <c r="BHH95" s="4"/>
      <c r="BHI95" s="4"/>
      <c r="BHJ95" s="4"/>
      <c r="BHK95" s="4"/>
      <c r="BHL95" s="4"/>
      <c r="BHM95" s="4"/>
      <c r="BHN95" s="4"/>
      <c r="BHO95" s="4"/>
      <c r="BHP95" s="4"/>
      <c r="BHQ95" s="4"/>
      <c r="BHR95" s="4"/>
      <c r="BHS95" s="4"/>
      <c r="BHT95" s="4"/>
      <c r="BHU95" s="4"/>
      <c r="BHV95" s="4"/>
      <c r="BHW95" s="4"/>
      <c r="BHX95" s="4"/>
      <c r="BHY95" s="4"/>
      <c r="BHZ95" s="4"/>
      <c r="BIA95" s="4"/>
      <c r="BIB95" s="4"/>
      <c r="BIC95" s="4"/>
      <c r="BID95" s="4"/>
      <c r="BIE95" s="4"/>
      <c r="BIF95" s="4"/>
      <c r="BIG95" s="4"/>
      <c r="BIH95" s="4"/>
      <c r="BII95" s="4"/>
      <c r="BIJ95" s="4"/>
      <c r="BIK95" s="4"/>
      <c r="BIL95" s="4"/>
      <c r="BIM95" s="4"/>
      <c r="BIN95" s="4"/>
      <c r="BIO95" s="4"/>
      <c r="BIP95" s="4"/>
      <c r="BIQ95" s="4"/>
      <c r="BIR95" s="4"/>
      <c r="BIS95" s="4"/>
      <c r="BIT95" s="4"/>
      <c r="BIU95" s="4"/>
      <c r="BIV95" s="4"/>
      <c r="BIW95" s="4"/>
      <c r="BIX95" s="4"/>
      <c r="BIY95" s="4"/>
      <c r="BIZ95" s="4"/>
      <c r="BJA95" s="4"/>
      <c r="BJB95" s="4"/>
      <c r="BJC95" s="4"/>
      <c r="BJD95" s="4"/>
      <c r="BJE95" s="4"/>
      <c r="BJF95" s="4"/>
      <c r="BJG95" s="4"/>
      <c r="BJH95" s="4"/>
      <c r="BJI95" s="4"/>
      <c r="BJJ95" s="4"/>
      <c r="BJK95" s="4"/>
      <c r="BJL95" s="4"/>
      <c r="BJM95" s="4"/>
      <c r="BJN95" s="4"/>
      <c r="BJO95" s="4"/>
      <c r="BJP95" s="4"/>
      <c r="BJQ95" s="4"/>
      <c r="BJR95" s="4"/>
      <c r="BJS95" s="4"/>
      <c r="BJT95" s="4"/>
      <c r="BJU95" s="4"/>
      <c r="BJV95" s="4"/>
      <c r="BJW95" s="4"/>
      <c r="BJX95" s="4"/>
      <c r="BJY95" s="4"/>
      <c r="BJZ95" s="4"/>
      <c r="BKA95" s="4"/>
      <c r="BKB95" s="4"/>
      <c r="BKC95" s="4"/>
      <c r="BKD95" s="4"/>
      <c r="BKE95" s="4"/>
      <c r="BKF95" s="4"/>
      <c r="BKG95" s="4"/>
      <c r="BKH95" s="4"/>
      <c r="BKI95" s="4"/>
      <c r="BKJ95" s="4"/>
      <c r="BKK95" s="4"/>
      <c r="BKL95" s="4"/>
      <c r="BKM95" s="4"/>
      <c r="BKN95" s="4"/>
      <c r="BKO95" s="4"/>
      <c r="BKP95" s="4"/>
      <c r="BKQ95" s="4"/>
      <c r="BKR95" s="4"/>
      <c r="BKS95" s="4"/>
      <c r="BKT95" s="4"/>
      <c r="BKU95" s="4"/>
      <c r="BKV95" s="4"/>
      <c r="BKW95" s="4"/>
      <c r="BKX95" s="4"/>
      <c r="BKY95" s="4"/>
      <c r="BKZ95" s="4"/>
      <c r="BLA95" s="4"/>
      <c r="BLB95" s="4"/>
      <c r="BLC95" s="4"/>
      <c r="BLD95" s="4"/>
      <c r="BLE95" s="4"/>
      <c r="BLF95" s="4"/>
      <c r="BLG95" s="4"/>
      <c r="BLH95" s="4"/>
      <c r="BLI95" s="4"/>
      <c r="BLJ95" s="4"/>
      <c r="BLK95" s="4"/>
      <c r="BLL95" s="4"/>
      <c r="BLM95" s="4"/>
      <c r="BLN95" s="4"/>
      <c r="BLO95" s="4"/>
      <c r="BLP95" s="4"/>
      <c r="BLQ95" s="4"/>
      <c r="BLR95" s="4"/>
      <c r="BLS95" s="4"/>
      <c r="BLT95" s="4"/>
      <c r="BLU95" s="4"/>
      <c r="BLV95" s="4"/>
      <c r="BLW95" s="4"/>
      <c r="BLX95" s="4"/>
      <c r="BLY95" s="4"/>
      <c r="BLZ95" s="4"/>
      <c r="BMA95" s="4"/>
      <c r="BMB95" s="4"/>
      <c r="BMC95" s="4"/>
      <c r="BMD95" s="4"/>
      <c r="BME95" s="4"/>
      <c r="BMF95" s="4"/>
      <c r="BMG95" s="4"/>
      <c r="BMH95" s="4"/>
      <c r="BMI95" s="4"/>
      <c r="BMJ95" s="4"/>
      <c r="BMK95" s="4"/>
      <c r="BML95" s="4"/>
      <c r="BMM95" s="4"/>
      <c r="BMN95" s="4"/>
      <c r="BMO95" s="4"/>
      <c r="BMP95" s="4"/>
      <c r="BMQ95" s="4"/>
      <c r="BMR95" s="4"/>
      <c r="BMS95" s="4"/>
      <c r="BMT95" s="4"/>
      <c r="BMU95" s="4"/>
      <c r="BMV95" s="4"/>
      <c r="BMW95" s="4"/>
      <c r="BMX95" s="4"/>
      <c r="BMY95" s="4"/>
      <c r="BMZ95" s="4"/>
      <c r="BNA95" s="4"/>
      <c r="BNB95" s="4"/>
      <c r="BNC95" s="4"/>
      <c r="BND95" s="4"/>
      <c r="BNE95" s="4"/>
      <c r="BNF95" s="4"/>
      <c r="BNG95" s="4"/>
      <c r="BNH95" s="4"/>
      <c r="BNI95" s="4"/>
      <c r="BNJ95" s="4"/>
      <c r="BNK95" s="4"/>
      <c r="BNL95" s="4"/>
      <c r="BNM95" s="4"/>
      <c r="BNN95" s="4"/>
      <c r="BNO95" s="4"/>
      <c r="BNP95" s="4"/>
      <c r="BNQ95" s="4"/>
      <c r="BNR95" s="4"/>
      <c r="BNS95" s="4"/>
      <c r="BNT95" s="4"/>
      <c r="BNU95" s="4"/>
      <c r="BNV95" s="4"/>
      <c r="BNW95" s="4"/>
      <c r="BNX95" s="4"/>
      <c r="BNY95" s="4"/>
      <c r="BNZ95" s="4"/>
      <c r="BOA95" s="4"/>
      <c r="BOB95" s="4"/>
      <c r="BOC95" s="4"/>
      <c r="BOD95" s="4"/>
      <c r="BOE95" s="4"/>
      <c r="BOF95" s="4"/>
      <c r="BOG95" s="4"/>
      <c r="BOH95" s="4"/>
      <c r="BOI95" s="4"/>
      <c r="BOJ95" s="4"/>
      <c r="BOK95" s="4"/>
      <c r="BOL95" s="4"/>
      <c r="BOM95" s="4"/>
      <c r="BON95" s="4"/>
      <c r="BOO95" s="4"/>
      <c r="BOP95" s="4"/>
      <c r="BOQ95" s="4"/>
      <c r="BOR95" s="4"/>
      <c r="BOS95" s="4"/>
      <c r="BOT95" s="4"/>
      <c r="BOU95" s="4"/>
      <c r="BOV95" s="4"/>
      <c r="BOW95" s="4"/>
      <c r="BOX95" s="4"/>
      <c r="BOY95" s="4"/>
      <c r="BOZ95" s="4"/>
      <c r="BPA95" s="4"/>
      <c r="BPB95" s="4"/>
      <c r="BPC95" s="4"/>
      <c r="BPD95" s="4"/>
      <c r="BPE95" s="4"/>
      <c r="BPF95" s="4"/>
      <c r="BPG95" s="4"/>
      <c r="BPH95" s="4"/>
      <c r="BPI95" s="4"/>
      <c r="BPJ95" s="4"/>
      <c r="BPK95" s="4"/>
      <c r="BPL95" s="4"/>
      <c r="BPM95" s="4"/>
      <c r="BPN95" s="4"/>
      <c r="BPO95" s="4"/>
      <c r="BPP95" s="4"/>
      <c r="BPQ95" s="4"/>
      <c r="BPR95" s="4"/>
      <c r="BPS95" s="4"/>
      <c r="BPT95" s="4"/>
      <c r="BPU95" s="4"/>
      <c r="BPV95" s="4"/>
      <c r="BPW95" s="4"/>
      <c r="BPX95" s="4"/>
      <c r="BPY95" s="4"/>
      <c r="BPZ95" s="4"/>
      <c r="BQA95" s="4"/>
      <c r="BQB95" s="4"/>
      <c r="BQC95" s="4"/>
      <c r="BQD95" s="4"/>
      <c r="BQE95" s="4"/>
      <c r="BQF95" s="4"/>
      <c r="BQG95" s="4"/>
      <c r="BQH95" s="4"/>
      <c r="BQI95" s="4"/>
      <c r="BQJ95" s="4"/>
      <c r="BQK95" s="4"/>
      <c r="BQL95" s="4"/>
      <c r="BQM95" s="4"/>
      <c r="BQN95" s="4"/>
      <c r="BQO95" s="4"/>
      <c r="BQP95" s="4"/>
      <c r="BQQ95" s="4"/>
      <c r="BQR95" s="4"/>
      <c r="BQS95" s="4"/>
      <c r="BQT95" s="4"/>
      <c r="BQU95" s="4"/>
      <c r="BQV95" s="4"/>
      <c r="BQW95" s="4"/>
      <c r="BQX95" s="4"/>
      <c r="BQY95" s="4"/>
      <c r="BQZ95" s="4"/>
      <c r="BRA95" s="4"/>
      <c r="BRB95" s="4"/>
      <c r="BRC95" s="4"/>
      <c r="BRD95" s="4"/>
      <c r="BRE95" s="4"/>
      <c r="BRF95" s="4"/>
      <c r="BRG95" s="4"/>
      <c r="BRH95" s="4"/>
      <c r="BRI95" s="4"/>
      <c r="BRJ95" s="4"/>
      <c r="BRK95" s="4"/>
      <c r="BRL95" s="4"/>
      <c r="BRM95" s="4"/>
      <c r="BRN95" s="4"/>
      <c r="BRO95" s="4"/>
      <c r="BRP95" s="4"/>
      <c r="BRQ95" s="4"/>
      <c r="BRR95" s="4"/>
      <c r="BRS95" s="4"/>
      <c r="BRT95" s="4"/>
      <c r="BRU95" s="4"/>
      <c r="BRV95" s="4"/>
      <c r="BRW95" s="4"/>
      <c r="BRX95" s="4"/>
      <c r="BRY95" s="4"/>
      <c r="BRZ95" s="4"/>
      <c r="BSA95" s="4"/>
      <c r="BSB95" s="4"/>
      <c r="BSC95" s="4"/>
      <c r="BSD95" s="4"/>
      <c r="BSE95" s="4"/>
      <c r="BSF95" s="4"/>
      <c r="BSG95" s="4"/>
      <c r="BSH95" s="4"/>
      <c r="BSI95" s="4"/>
      <c r="BSJ95" s="4"/>
      <c r="BSK95" s="4"/>
      <c r="BSL95" s="4"/>
      <c r="BSM95" s="4"/>
      <c r="BSN95" s="4"/>
      <c r="BSO95" s="4"/>
      <c r="BSP95" s="4"/>
      <c r="BSQ95" s="4"/>
      <c r="BSR95" s="4"/>
      <c r="BSS95" s="4"/>
      <c r="BST95" s="4"/>
      <c r="BSU95" s="4"/>
      <c r="BSV95" s="4"/>
      <c r="BSW95" s="4"/>
      <c r="BSX95" s="4"/>
      <c r="BSY95" s="4"/>
      <c r="BSZ95" s="4"/>
      <c r="BTA95" s="4"/>
      <c r="BTB95" s="4"/>
      <c r="BTC95" s="4"/>
      <c r="BTD95" s="4"/>
      <c r="BTE95" s="4"/>
      <c r="BTF95" s="4"/>
      <c r="BTG95" s="4"/>
      <c r="BTH95" s="4"/>
      <c r="BTI95" s="4"/>
      <c r="BTJ95" s="4"/>
      <c r="BTK95" s="4"/>
      <c r="BTL95" s="4"/>
      <c r="BTM95" s="4"/>
      <c r="BTN95" s="4"/>
      <c r="BTO95" s="4"/>
      <c r="BTP95" s="4"/>
      <c r="BTQ95" s="4"/>
      <c r="BTR95" s="4"/>
      <c r="BTS95" s="4"/>
      <c r="BTT95" s="4"/>
      <c r="BTU95" s="4"/>
      <c r="BTV95" s="4"/>
      <c r="BTW95" s="4"/>
      <c r="BTX95" s="4"/>
      <c r="BTY95" s="4"/>
      <c r="BTZ95" s="4"/>
      <c r="BUA95" s="4"/>
      <c r="BUB95" s="4"/>
      <c r="BUC95" s="4"/>
      <c r="BUD95" s="4"/>
      <c r="BUE95" s="4"/>
      <c r="BUF95" s="4"/>
      <c r="BUG95" s="4"/>
      <c r="BUH95" s="4"/>
      <c r="BUI95" s="4"/>
      <c r="BUJ95" s="4"/>
      <c r="BUK95" s="4"/>
      <c r="BUL95" s="4"/>
      <c r="BUM95" s="4"/>
      <c r="BUN95" s="4"/>
      <c r="BUO95" s="4"/>
      <c r="BUP95" s="4"/>
      <c r="BUQ95" s="4"/>
      <c r="BUR95" s="4"/>
      <c r="BUS95" s="4"/>
      <c r="BUT95" s="4"/>
      <c r="BUU95" s="4"/>
      <c r="BUV95" s="4"/>
      <c r="BUW95" s="4"/>
      <c r="BUX95" s="4"/>
      <c r="BUY95" s="4"/>
      <c r="BUZ95" s="4"/>
      <c r="BVA95" s="4"/>
      <c r="BVB95" s="4"/>
      <c r="BVC95" s="4"/>
      <c r="BVD95" s="4"/>
      <c r="BVE95" s="4"/>
      <c r="BVF95" s="4"/>
      <c r="BVG95" s="4"/>
      <c r="BVH95" s="4"/>
      <c r="BVI95" s="4"/>
      <c r="BVJ95" s="4"/>
      <c r="BVK95" s="4"/>
      <c r="BVL95" s="4"/>
      <c r="BVM95" s="4"/>
      <c r="BVN95" s="4"/>
      <c r="BVO95" s="4"/>
      <c r="BVP95" s="4"/>
      <c r="BVQ95" s="4"/>
      <c r="BVR95" s="4"/>
      <c r="BVS95" s="4"/>
      <c r="BVT95" s="4"/>
      <c r="BVU95" s="4"/>
      <c r="BVV95" s="4"/>
      <c r="BVW95" s="4"/>
      <c r="BVX95" s="4"/>
      <c r="BVY95" s="4"/>
      <c r="BVZ95" s="4"/>
      <c r="BWA95" s="4"/>
      <c r="BWB95" s="4"/>
      <c r="BWC95" s="4"/>
      <c r="BWD95" s="4"/>
      <c r="BWE95" s="4"/>
      <c r="BWF95" s="4"/>
      <c r="BWG95" s="4"/>
      <c r="BWH95" s="4"/>
      <c r="BWI95" s="4"/>
      <c r="BWJ95" s="4"/>
      <c r="BWK95" s="4"/>
      <c r="BWL95" s="4"/>
      <c r="BWM95" s="4"/>
      <c r="BWN95" s="4"/>
      <c r="BWO95" s="4"/>
      <c r="BWP95" s="4"/>
      <c r="BWQ95" s="4"/>
      <c r="BWR95" s="4"/>
      <c r="BWS95" s="4"/>
      <c r="BWT95" s="4"/>
      <c r="BWU95" s="4"/>
      <c r="BWV95" s="4"/>
      <c r="BWW95" s="4"/>
      <c r="BWX95" s="4"/>
      <c r="BWY95" s="4"/>
      <c r="BWZ95" s="4"/>
      <c r="BXA95" s="4"/>
      <c r="BXB95" s="4"/>
      <c r="BXC95" s="4"/>
      <c r="BXD95" s="4"/>
      <c r="BXE95" s="4"/>
      <c r="BXF95" s="4"/>
      <c r="BXG95" s="4"/>
      <c r="BXH95" s="4"/>
      <c r="BXI95" s="4"/>
      <c r="BXJ95" s="4"/>
      <c r="BXK95" s="4"/>
      <c r="BXL95" s="4"/>
      <c r="BXM95" s="4"/>
      <c r="BXN95" s="4"/>
      <c r="BXO95" s="4"/>
      <c r="BXP95" s="4"/>
      <c r="BXQ95" s="4"/>
      <c r="BXR95" s="4"/>
      <c r="BXS95" s="4"/>
      <c r="BXT95" s="4"/>
      <c r="BXU95" s="4"/>
      <c r="BXV95" s="4"/>
      <c r="BXW95" s="4"/>
      <c r="BXX95" s="4"/>
      <c r="BXY95" s="4"/>
      <c r="BXZ95" s="4"/>
      <c r="BYA95" s="4"/>
      <c r="BYB95" s="4"/>
      <c r="BYC95" s="4"/>
      <c r="BYD95" s="4"/>
      <c r="BYE95" s="4"/>
      <c r="BYF95" s="4"/>
      <c r="BYG95" s="4"/>
      <c r="BYH95" s="4"/>
      <c r="BYI95" s="4"/>
      <c r="BYJ95" s="4"/>
      <c r="BYK95" s="4"/>
      <c r="BYL95" s="4"/>
      <c r="BYM95" s="4"/>
      <c r="BYN95" s="4"/>
      <c r="BYO95" s="4"/>
      <c r="BYP95" s="4"/>
      <c r="BYQ95" s="4"/>
      <c r="BYR95" s="4"/>
      <c r="BYS95" s="4"/>
      <c r="BYT95" s="4"/>
      <c r="BYU95" s="4"/>
      <c r="BYV95" s="4"/>
      <c r="BYW95" s="4"/>
      <c r="BYX95" s="4"/>
      <c r="BYY95" s="4"/>
      <c r="BYZ95" s="4"/>
      <c r="BZA95" s="4"/>
      <c r="BZB95" s="4"/>
      <c r="BZC95" s="4"/>
      <c r="BZD95" s="4"/>
      <c r="BZE95" s="4"/>
      <c r="BZF95" s="4"/>
      <c r="BZG95" s="4"/>
      <c r="BZH95" s="4"/>
      <c r="BZI95" s="4"/>
      <c r="BZJ95" s="4"/>
      <c r="BZK95" s="4"/>
      <c r="BZL95" s="4"/>
      <c r="BZM95" s="4"/>
      <c r="BZN95" s="4"/>
      <c r="BZO95" s="4"/>
      <c r="BZP95" s="4"/>
      <c r="BZQ95" s="4"/>
      <c r="BZR95" s="4"/>
      <c r="BZS95" s="4"/>
      <c r="BZT95" s="4"/>
      <c r="BZU95" s="4"/>
      <c r="BZV95" s="4"/>
      <c r="BZW95" s="4"/>
      <c r="BZX95" s="4"/>
      <c r="BZY95" s="4"/>
      <c r="BZZ95" s="4"/>
      <c r="CAA95" s="4"/>
      <c r="CAB95" s="4"/>
      <c r="CAC95" s="4"/>
      <c r="CAD95" s="4"/>
      <c r="CAE95" s="4"/>
      <c r="CAF95" s="4"/>
      <c r="CAG95" s="4"/>
      <c r="CAH95" s="4"/>
      <c r="CAI95" s="4"/>
      <c r="CAJ95" s="4"/>
      <c r="CAK95" s="4"/>
      <c r="CAL95" s="4"/>
      <c r="CAM95" s="4"/>
      <c r="CAN95" s="4"/>
      <c r="CAO95" s="4"/>
      <c r="CAP95" s="4"/>
      <c r="CAQ95" s="4"/>
      <c r="CAR95" s="4"/>
      <c r="CAS95" s="4"/>
      <c r="CAT95" s="4"/>
      <c r="CAU95" s="4"/>
      <c r="CAV95" s="4"/>
      <c r="CAW95" s="4"/>
      <c r="CAX95" s="4"/>
      <c r="CAY95" s="4"/>
      <c r="CAZ95" s="4"/>
      <c r="CBA95" s="4"/>
      <c r="CBB95" s="4"/>
      <c r="CBC95" s="4"/>
      <c r="CBD95" s="4"/>
      <c r="CBE95" s="4"/>
      <c r="CBF95" s="4"/>
      <c r="CBG95" s="4"/>
      <c r="CBH95" s="4"/>
      <c r="CBI95" s="4"/>
      <c r="CBJ95" s="4"/>
      <c r="CBK95" s="4"/>
      <c r="CBL95" s="4"/>
      <c r="CBM95" s="4"/>
      <c r="CBN95" s="4"/>
      <c r="CBO95" s="4"/>
      <c r="CBP95" s="4"/>
      <c r="CBQ95" s="4"/>
      <c r="CBR95" s="4"/>
      <c r="CBS95" s="4"/>
      <c r="CBT95" s="4"/>
      <c r="CBU95" s="4"/>
      <c r="CBV95" s="4"/>
      <c r="CBW95" s="4"/>
      <c r="CBX95" s="4"/>
      <c r="CBY95" s="4"/>
      <c r="CBZ95" s="4"/>
      <c r="CCA95" s="4"/>
      <c r="CCB95" s="4"/>
      <c r="CCC95" s="4"/>
      <c r="CCD95" s="4"/>
      <c r="CCE95" s="4"/>
      <c r="CCF95" s="4"/>
      <c r="CCG95" s="4"/>
      <c r="CCH95" s="4"/>
      <c r="CCI95" s="4"/>
      <c r="CCJ95" s="4"/>
      <c r="CCK95" s="4"/>
      <c r="CCL95" s="4"/>
      <c r="CCM95" s="4"/>
      <c r="CCN95" s="4"/>
      <c r="CCO95" s="4"/>
      <c r="CCP95" s="4"/>
      <c r="CCQ95" s="4"/>
      <c r="CCR95" s="4"/>
      <c r="CCS95" s="4"/>
      <c r="CCT95" s="4"/>
      <c r="CCU95" s="4"/>
      <c r="CCV95" s="4"/>
      <c r="CCW95" s="4"/>
      <c r="CCX95" s="4"/>
      <c r="CCY95" s="4"/>
      <c r="CCZ95" s="4"/>
      <c r="CDA95" s="4"/>
      <c r="CDB95" s="4"/>
      <c r="CDC95" s="4"/>
      <c r="CDD95" s="4"/>
      <c r="CDE95" s="4"/>
      <c r="CDF95" s="4"/>
      <c r="CDG95" s="4"/>
      <c r="CDH95" s="4"/>
      <c r="CDI95" s="4"/>
      <c r="CDJ95" s="4"/>
      <c r="CDK95" s="4"/>
      <c r="CDL95" s="4"/>
      <c r="CDM95" s="4"/>
      <c r="CDN95" s="4"/>
      <c r="CDO95" s="4"/>
      <c r="CDP95" s="4"/>
      <c r="CDQ95" s="4"/>
      <c r="CDR95" s="4"/>
      <c r="CDS95" s="4"/>
      <c r="CDT95" s="4"/>
      <c r="CDU95" s="4"/>
      <c r="CDV95" s="4"/>
      <c r="CDW95" s="4"/>
      <c r="CDX95" s="4"/>
      <c r="CDY95" s="4"/>
      <c r="CDZ95" s="4"/>
      <c r="CEA95" s="4"/>
      <c r="CEB95" s="4"/>
      <c r="CEC95" s="4"/>
      <c r="CED95" s="4"/>
      <c r="CEE95" s="4"/>
      <c r="CEF95" s="4"/>
      <c r="CEG95" s="4"/>
      <c r="CEH95" s="4"/>
      <c r="CEI95" s="4"/>
      <c r="CEJ95" s="4"/>
      <c r="CEK95" s="4"/>
      <c r="CEL95" s="4"/>
      <c r="CEM95" s="4"/>
      <c r="CEN95" s="4"/>
      <c r="CEO95" s="4"/>
      <c r="CEP95" s="4"/>
      <c r="CEQ95" s="4"/>
      <c r="CER95" s="4"/>
      <c r="CES95" s="4"/>
      <c r="CET95" s="4"/>
      <c r="CEU95" s="4"/>
      <c r="CEV95" s="4"/>
      <c r="CEW95" s="4"/>
      <c r="CEX95" s="4"/>
      <c r="CEY95" s="4"/>
      <c r="CEZ95" s="4"/>
      <c r="CFA95" s="4"/>
      <c r="CFB95" s="4"/>
      <c r="CFC95" s="4"/>
      <c r="CFD95" s="4"/>
      <c r="CFE95" s="4"/>
      <c r="CFF95" s="4"/>
      <c r="CFG95" s="4"/>
      <c r="CFH95" s="4"/>
      <c r="CFI95" s="4"/>
      <c r="CFJ95" s="4"/>
      <c r="CFK95" s="4"/>
      <c r="CFL95" s="4"/>
      <c r="CFM95" s="4"/>
      <c r="CFN95" s="4"/>
      <c r="CFO95" s="4"/>
      <c r="CFP95" s="4"/>
      <c r="CFQ95" s="4"/>
      <c r="CFR95" s="4"/>
      <c r="CFS95" s="4"/>
      <c r="CFT95" s="4"/>
      <c r="CFU95" s="4"/>
      <c r="CFV95" s="4"/>
      <c r="CFW95" s="4"/>
      <c r="CFX95" s="4"/>
      <c r="CFY95" s="4"/>
      <c r="CFZ95" s="4"/>
      <c r="CGA95" s="4"/>
      <c r="CGB95" s="4"/>
      <c r="CGC95" s="4"/>
      <c r="CGD95" s="4"/>
      <c r="CGE95" s="4"/>
      <c r="CGF95" s="4"/>
      <c r="CGG95" s="4"/>
      <c r="CGH95" s="4"/>
      <c r="CGI95" s="4"/>
      <c r="CGJ95" s="4"/>
      <c r="CGK95" s="4"/>
      <c r="CGL95" s="4"/>
      <c r="CGM95" s="4"/>
      <c r="CGN95" s="4"/>
      <c r="CGO95" s="4"/>
      <c r="CGP95" s="4"/>
      <c r="CGQ95" s="4"/>
      <c r="CGR95" s="4"/>
      <c r="CGS95" s="4"/>
      <c r="CGT95" s="4"/>
      <c r="CGU95" s="4"/>
      <c r="CGV95" s="4"/>
      <c r="CGW95" s="4"/>
      <c r="CGX95" s="4"/>
      <c r="CGY95" s="4"/>
      <c r="CGZ95" s="4"/>
      <c r="CHA95" s="4"/>
      <c r="CHB95" s="4"/>
      <c r="CHC95" s="4"/>
      <c r="CHD95" s="4"/>
      <c r="CHE95" s="4"/>
      <c r="CHF95" s="4"/>
      <c r="CHG95" s="4"/>
      <c r="CHH95" s="4"/>
      <c r="CHI95" s="4"/>
      <c r="CHJ95" s="4"/>
      <c r="CHK95" s="4"/>
      <c r="CHL95" s="4"/>
      <c r="CHM95" s="4"/>
      <c r="CHN95" s="4"/>
      <c r="CHO95" s="4"/>
      <c r="CHP95" s="4"/>
      <c r="CHQ95" s="4"/>
      <c r="CHR95" s="4"/>
      <c r="CHS95" s="4"/>
      <c r="CHT95" s="4"/>
      <c r="CHU95" s="4"/>
      <c r="CHV95" s="4"/>
      <c r="CHW95" s="4"/>
      <c r="CHX95" s="4"/>
      <c r="CHY95" s="4"/>
      <c r="CHZ95" s="4"/>
      <c r="CIA95" s="4"/>
      <c r="CIB95" s="4"/>
      <c r="CIC95" s="4"/>
      <c r="CID95" s="4"/>
      <c r="CIE95" s="4"/>
      <c r="CIF95" s="4"/>
      <c r="CIG95" s="4"/>
      <c r="CIH95" s="4"/>
      <c r="CII95" s="4"/>
      <c r="CIJ95" s="4"/>
      <c r="CIK95" s="4"/>
      <c r="CIL95" s="4"/>
      <c r="CIM95" s="4"/>
      <c r="CIN95" s="4"/>
      <c r="CIO95" s="4"/>
      <c r="CIP95" s="4"/>
      <c r="CIQ95" s="4"/>
      <c r="CIR95" s="4"/>
      <c r="CIS95" s="4"/>
      <c r="CIT95" s="4"/>
      <c r="CIU95" s="4"/>
      <c r="CIV95" s="4"/>
      <c r="CIW95" s="4"/>
      <c r="CIX95" s="4"/>
      <c r="CIY95" s="4"/>
      <c r="CIZ95" s="4"/>
      <c r="CJA95" s="4"/>
      <c r="CJB95" s="4"/>
      <c r="CJC95" s="4"/>
      <c r="CJD95" s="4"/>
      <c r="CJE95" s="4"/>
      <c r="CJF95" s="4"/>
      <c r="CJG95" s="4"/>
      <c r="CJH95" s="4"/>
      <c r="CJI95" s="4"/>
      <c r="CJJ95" s="4"/>
      <c r="CJK95" s="4"/>
      <c r="CJL95" s="4"/>
      <c r="CJM95" s="4"/>
      <c r="CJN95" s="4"/>
      <c r="CJO95" s="4"/>
      <c r="CJP95" s="4"/>
      <c r="CJQ95" s="4"/>
      <c r="CJR95" s="4"/>
      <c r="CJS95" s="4"/>
      <c r="CJT95" s="4"/>
      <c r="CJU95" s="4"/>
      <c r="CJV95" s="4"/>
      <c r="CJW95" s="4"/>
      <c r="CJX95" s="4"/>
      <c r="CJY95" s="4"/>
      <c r="CJZ95" s="4"/>
      <c r="CKA95" s="4"/>
      <c r="CKB95" s="4"/>
      <c r="CKC95" s="4"/>
      <c r="CKD95" s="4"/>
      <c r="CKE95" s="4"/>
      <c r="CKF95" s="4"/>
      <c r="CKG95" s="4"/>
      <c r="CKH95" s="4"/>
      <c r="CKI95" s="4"/>
      <c r="CKJ95" s="4"/>
      <c r="CKK95" s="4"/>
      <c r="CKL95" s="4"/>
      <c r="CKM95" s="4"/>
      <c r="CKN95" s="4"/>
      <c r="CKO95" s="4"/>
      <c r="CKP95" s="4"/>
      <c r="CKQ95" s="4"/>
      <c r="CKR95" s="4"/>
      <c r="CKS95" s="4"/>
      <c r="CKT95" s="4"/>
      <c r="CKU95" s="4"/>
      <c r="CKV95" s="4"/>
      <c r="CKW95" s="4"/>
      <c r="CKX95" s="4"/>
      <c r="CKY95" s="4"/>
      <c r="CKZ95" s="4"/>
      <c r="CLA95" s="4"/>
      <c r="CLB95" s="4"/>
      <c r="CLC95" s="4"/>
      <c r="CLD95" s="4"/>
      <c r="CLE95" s="4"/>
      <c r="CLF95" s="4"/>
      <c r="CLG95" s="4"/>
      <c r="CLH95" s="4"/>
      <c r="CLI95" s="4"/>
      <c r="CLJ95" s="4"/>
      <c r="CLK95" s="4"/>
      <c r="CLL95" s="4"/>
      <c r="CLM95" s="4"/>
      <c r="CLN95" s="4"/>
      <c r="CLO95" s="4"/>
      <c r="CLP95" s="4"/>
      <c r="CLQ95" s="4"/>
      <c r="CLR95" s="4"/>
      <c r="CLS95" s="4"/>
      <c r="CLT95" s="4"/>
      <c r="CLU95" s="4"/>
      <c r="CLV95" s="4"/>
      <c r="CLW95" s="4"/>
      <c r="CLX95" s="4"/>
      <c r="CLY95" s="4"/>
      <c r="CLZ95" s="4"/>
      <c r="CMA95" s="4"/>
      <c r="CMB95" s="4"/>
      <c r="CMC95" s="4"/>
      <c r="CMD95" s="4"/>
      <c r="CME95" s="4"/>
      <c r="CMF95" s="4"/>
      <c r="CMG95" s="4"/>
      <c r="CMH95" s="4"/>
      <c r="CMI95" s="4"/>
      <c r="CMJ95" s="4"/>
      <c r="CMK95" s="4"/>
      <c r="CML95" s="4"/>
      <c r="CMM95" s="4"/>
      <c r="CMN95" s="4"/>
      <c r="CMO95" s="4"/>
      <c r="CMP95" s="4"/>
      <c r="CMQ95" s="4"/>
      <c r="CMR95" s="4"/>
      <c r="CMS95" s="4"/>
      <c r="CMT95" s="4"/>
      <c r="CMU95" s="4"/>
      <c r="CMV95" s="4"/>
      <c r="CMW95" s="4"/>
      <c r="CMX95" s="4"/>
      <c r="CMY95" s="4"/>
      <c r="CMZ95" s="4"/>
      <c r="CNA95" s="4"/>
      <c r="CNB95" s="4"/>
      <c r="CNC95" s="4"/>
      <c r="CND95" s="4"/>
      <c r="CNE95" s="4"/>
      <c r="CNF95" s="4"/>
      <c r="CNG95" s="4"/>
      <c r="CNH95" s="4"/>
      <c r="CNI95" s="4"/>
      <c r="CNJ95" s="4"/>
      <c r="CNK95" s="4"/>
      <c r="CNL95" s="4"/>
      <c r="CNM95" s="4"/>
      <c r="CNN95" s="4"/>
      <c r="CNO95" s="4"/>
      <c r="CNP95" s="4"/>
      <c r="CNQ95" s="4"/>
      <c r="CNR95" s="4"/>
      <c r="CNS95" s="4"/>
      <c r="CNT95" s="4"/>
      <c r="CNU95" s="4"/>
      <c r="CNV95" s="4"/>
      <c r="CNW95" s="4"/>
      <c r="CNX95" s="4"/>
      <c r="CNY95" s="4"/>
      <c r="CNZ95" s="4"/>
      <c r="COA95" s="4"/>
      <c r="COB95" s="4"/>
      <c r="COC95" s="4"/>
      <c r="COD95" s="4"/>
      <c r="COE95" s="4"/>
      <c r="COF95" s="4"/>
      <c r="COG95" s="4"/>
      <c r="COH95" s="4"/>
      <c r="COI95" s="4"/>
      <c r="COJ95" s="4"/>
      <c r="COK95" s="4"/>
      <c r="COL95" s="4"/>
      <c r="COM95" s="4"/>
      <c r="CON95" s="4"/>
      <c r="COO95" s="4"/>
      <c r="COP95" s="4"/>
      <c r="COQ95" s="4"/>
      <c r="COR95" s="4"/>
      <c r="COS95" s="4"/>
      <c r="COT95" s="4"/>
      <c r="COU95" s="4"/>
      <c r="COV95" s="4"/>
      <c r="COW95" s="4"/>
      <c r="COX95" s="4"/>
      <c r="COY95" s="4"/>
      <c r="COZ95" s="4"/>
      <c r="CPA95" s="4"/>
      <c r="CPB95" s="4"/>
      <c r="CPC95" s="4"/>
      <c r="CPD95" s="4"/>
      <c r="CPE95" s="4"/>
      <c r="CPF95" s="4"/>
      <c r="CPG95" s="4"/>
      <c r="CPH95" s="4"/>
      <c r="CPI95" s="4"/>
      <c r="CPJ95" s="4"/>
      <c r="CPK95" s="4"/>
      <c r="CPL95" s="4"/>
      <c r="CPM95" s="4"/>
      <c r="CPN95" s="4"/>
      <c r="CPO95" s="4"/>
      <c r="CPP95" s="4"/>
      <c r="CPQ95" s="4"/>
      <c r="CPR95" s="4"/>
      <c r="CPS95" s="4"/>
      <c r="CPT95" s="4"/>
      <c r="CPU95" s="4"/>
      <c r="CPV95" s="4"/>
      <c r="CPW95" s="4"/>
      <c r="CPX95" s="4"/>
      <c r="CPY95" s="4"/>
      <c r="CPZ95" s="4"/>
      <c r="CQA95" s="4"/>
      <c r="CQB95" s="4"/>
      <c r="CQC95" s="4"/>
      <c r="CQD95" s="4"/>
      <c r="CQE95" s="4"/>
      <c r="CQF95" s="4"/>
      <c r="CQG95" s="4"/>
      <c r="CQH95" s="4"/>
      <c r="CQI95" s="4"/>
      <c r="CQJ95" s="4"/>
      <c r="CQK95" s="4"/>
      <c r="CQL95" s="4"/>
      <c r="CQM95" s="4"/>
      <c r="CQN95" s="4"/>
      <c r="CQO95" s="4"/>
      <c r="CQP95" s="4"/>
      <c r="CQQ95" s="4"/>
      <c r="CQR95" s="4"/>
      <c r="CQS95" s="4"/>
      <c r="CQT95" s="4"/>
      <c r="CQU95" s="4"/>
      <c r="CQV95" s="4"/>
      <c r="CQW95" s="4"/>
      <c r="CQX95" s="4"/>
      <c r="CQY95" s="4"/>
      <c r="CQZ95" s="4"/>
      <c r="CRA95" s="4"/>
      <c r="CRB95" s="4"/>
      <c r="CRC95" s="4"/>
      <c r="CRD95" s="4"/>
      <c r="CRE95" s="4"/>
      <c r="CRF95" s="4"/>
      <c r="CRG95" s="4"/>
      <c r="CRH95" s="4"/>
      <c r="CRI95" s="4"/>
      <c r="CRJ95" s="4"/>
      <c r="CRK95" s="4"/>
      <c r="CRL95" s="4"/>
      <c r="CRM95" s="4"/>
      <c r="CRN95" s="4"/>
      <c r="CRO95" s="4"/>
      <c r="CRP95" s="4"/>
      <c r="CRQ95" s="4"/>
      <c r="CRR95" s="4"/>
      <c r="CRS95" s="4"/>
      <c r="CRT95" s="4"/>
      <c r="CRU95" s="4"/>
      <c r="CRV95" s="4"/>
      <c r="CRW95" s="4"/>
      <c r="CRX95" s="4"/>
      <c r="CRY95" s="4"/>
      <c r="CRZ95" s="4"/>
      <c r="CSA95" s="4"/>
      <c r="CSB95" s="4"/>
      <c r="CSC95" s="4"/>
      <c r="CSD95" s="4"/>
      <c r="CSE95" s="4"/>
      <c r="CSF95" s="4"/>
      <c r="CSG95" s="4"/>
      <c r="CSH95" s="4"/>
      <c r="CSI95" s="4"/>
      <c r="CSJ95" s="4"/>
      <c r="CSK95" s="4"/>
      <c r="CSL95" s="4"/>
      <c r="CSM95" s="4"/>
      <c r="CSN95" s="4"/>
      <c r="CSO95" s="4"/>
      <c r="CSP95" s="4"/>
      <c r="CSQ95" s="4"/>
      <c r="CSR95" s="4"/>
      <c r="CSS95" s="4"/>
      <c r="CST95" s="4"/>
      <c r="CSU95" s="4"/>
      <c r="CSV95" s="4"/>
      <c r="CSW95" s="4"/>
      <c r="CSX95" s="4"/>
      <c r="CSY95" s="4"/>
      <c r="CSZ95" s="4"/>
      <c r="CTA95" s="4"/>
      <c r="CTB95" s="4"/>
      <c r="CTC95" s="4"/>
      <c r="CTD95" s="4"/>
      <c r="CTE95" s="4"/>
      <c r="CTF95" s="4"/>
      <c r="CTG95" s="4"/>
      <c r="CTH95" s="4"/>
      <c r="CTI95" s="4"/>
      <c r="CTJ95" s="4"/>
      <c r="CTK95" s="4"/>
      <c r="CTL95" s="4"/>
      <c r="CTM95" s="4"/>
      <c r="CTN95" s="4"/>
      <c r="CTO95" s="4"/>
      <c r="CTP95" s="4"/>
      <c r="CTQ95" s="4"/>
      <c r="CTR95" s="4"/>
      <c r="CTS95" s="4"/>
      <c r="CTT95" s="4"/>
      <c r="CTU95" s="4"/>
      <c r="CTV95" s="4"/>
      <c r="CTW95" s="4"/>
      <c r="CTX95" s="4"/>
      <c r="CTY95" s="4"/>
      <c r="CTZ95" s="4"/>
      <c r="CUA95" s="4"/>
      <c r="CUB95" s="4"/>
      <c r="CUC95" s="4"/>
      <c r="CUD95" s="4"/>
      <c r="CUE95" s="4"/>
      <c r="CUF95" s="4"/>
      <c r="CUG95" s="4"/>
      <c r="CUH95" s="4"/>
      <c r="CUI95" s="4"/>
      <c r="CUJ95" s="4"/>
      <c r="CUK95" s="4"/>
      <c r="CUL95" s="4"/>
      <c r="CUM95" s="4"/>
      <c r="CUN95" s="4"/>
      <c r="CUO95" s="4"/>
      <c r="CUP95" s="4"/>
      <c r="CUQ95" s="4"/>
      <c r="CUR95" s="4"/>
      <c r="CUS95" s="4"/>
      <c r="CUT95" s="4"/>
      <c r="CUU95" s="4"/>
      <c r="CUV95" s="4"/>
      <c r="CUW95" s="4"/>
      <c r="CUX95" s="4"/>
      <c r="CUY95" s="4"/>
      <c r="CUZ95" s="4"/>
      <c r="CVA95" s="4"/>
      <c r="CVB95" s="4"/>
      <c r="CVC95" s="4"/>
      <c r="CVD95" s="4"/>
      <c r="CVE95" s="4"/>
      <c r="CVF95" s="4"/>
      <c r="CVG95" s="4"/>
      <c r="CVH95" s="4"/>
      <c r="CVI95" s="4"/>
      <c r="CVJ95" s="4"/>
      <c r="CVK95" s="4"/>
      <c r="CVL95" s="4"/>
      <c r="CVM95" s="4"/>
      <c r="CVN95" s="4"/>
      <c r="CVO95" s="4"/>
      <c r="CVP95" s="4"/>
      <c r="CVQ95" s="4"/>
      <c r="CVR95" s="4"/>
      <c r="CVS95" s="4"/>
      <c r="CVT95" s="4"/>
      <c r="CVU95" s="4"/>
      <c r="CVV95" s="4"/>
      <c r="CVW95" s="4"/>
      <c r="CVX95" s="4"/>
      <c r="CVY95" s="4"/>
      <c r="CVZ95" s="4"/>
      <c r="CWA95" s="4"/>
      <c r="CWB95" s="4"/>
      <c r="CWC95" s="4"/>
      <c r="CWD95" s="4"/>
      <c r="CWE95" s="4"/>
      <c r="CWF95" s="4"/>
      <c r="CWG95" s="4"/>
      <c r="CWH95" s="4"/>
      <c r="CWI95" s="4"/>
      <c r="CWJ95" s="4"/>
      <c r="CWK95" s="4"/>
      <c r="CWL95" s="4"/>
      <c r="CWM95" s="4"/>
      <c r="CWN95" s="4"/>
      <c r="CWO95" s="4"/>
      <c r="CWP95" s="4"/>
      <c r="CWQ95" s="4"/>
      <c r="CWR95" s="4"/>
      <c r="CWS95" s="4"/>
      <c r="CWT95" s="4"/>
      <c r="CWU95" s="4"/>
      <c r="CWV95" s="4"/>
      <c r="CWW95" s="4"/>
      <c r="CWX95" s="4"/>
      <c r="CWY95" s="4"/>
      <c r="CWZ95" s="4"/>
      <c r="CXA95" s="4"/>
      <c r="CXB95" s="4"/>
      <c r="CXC95" s="4"/>
      <c r="CXD95" s="4"/>
      <c r="CXE95" s="4"/>
      <c r="CXF95" s="4"/>
      <c r="CXG95" s="4"/>
      <c r="CXH95" s="4"/>
      <c r="CXI95" s="4"/>
      <c r="CXJ95" s="4"/>
      <c r="CXK95" s="4"/>
      <c r="CXL95" s="4"/>
      <c r="CXM95" s="4"/>
      <c r="CXN95" s="4"/>
      <c r="CXO95" s="4"/>
      <c r="CXP95" s="4"/>
      <c r="CXQ95" s="4"/>
      <c r="CXR95" s="4"/>
      <c r="CXS95" s="4"/>
      <c r="CXT95" s="4"/>
      <c r="CXU95" s="4"/>
      <c r="CXV95" s="4"/>
      <c r="CXW95" s="4"/>
      <c r="CXX95" s="4"/>
      <c r="CXY95" s="4"/>
      <c r="CXZ95" s="4"/>
      <c r="CYA95" s="4"/>
      <c r="CYB95" s="4"/>
      <c r="CYC95" s="4"/>
      <c r="CYD95" s="4"/>
      <c r="CYE95" s="4"/>
      <c r="CYF95" s="4"/>
      <c r="CYG95" s="4"/>
      <c r="CYH95" s="4"/>
      <c r="CYI95" s="4"/>
      <c r="CYJ95" s="4"/>
      <c r="CYK95" s="4"/>
      <c r="CYL95" s="4"/>
      <c r="CYM95" s="4"/>
      <c r="CYN95" s="4"/>
      <c r="CYO95" s="4"/>
      <c r="CYP95" s="4"/>
      <c r="CYQ95" s="4"/>
      <c r="CYR95" s="4"/>
      <c r="CYS95" s="4"/>
      <c r="CYT95" s="4"/>
      <c r="CYU95" s="4"/>
      <c r="CYV95" s="4"/>
      <c r="CYW95" s="4"/>
      <c r="CYX95" s="4"/>
      <c r="CYY95" s="4"/>
      <c r="CYZ95" s="4"/>
      <c r="CZA95" s="4"/>
      <c r="CZB95" s="4"/>
      <c r="CZC95" s="4"/>
      <c r="CZD95" s="4"/>
      <c r="CZE95" s="4"/>
      <c r="CZF95" s="4"/>
      <c r="CZG95" s="4"/>
      <c r="CZH95" s="4"/>
      <c r="CZI95" s="4"/>
      <c r="CZJ95" s="4"/>
      <c r="CZK95" s="4"/>
      <c r="CZL95" s="4"/>
      <c r="CZM95" s="4"/>
      <c r="CZN95" s="4"/>
      <c r="CZO95" s="4"/>
      <c r="CZP95" s="4"/>
      <c r="CZQ95" s="4"/>
      <c r="CZR95" s="4"/>
      <c r="CZS95" s="4"/>
      <c r="CZT95" s="4"/>
      <c r="CZU95" s="4"/>
      <c r="CZV95" s="4"/>
      <c r="CZW95" s="4"/>
      <c r="CZX95" s="4"/>
      <c r="CZY95" s="4"/>
      <c r="CZZ95" s="4"/>
      <c r="DAA95" s="4"/>
      <c r="DAB95" s="4"/>
      <c r="DAC95" s="4"/>
      <c r="DAD95" s="4"/>
      <c r="DAE95" s="4"/>
      <c r="DAF95" s="4"/>
      <c r="DAG95" s="4"/>
      <c r="DAH95" s="4"/>
      <c r="DAI95" s="4"/>
      <c r="DAJ95" s="4"/>
      <c r="DAK95" s="4"/>
      <c r="DAL95" s="4"/>
      <c r="DAM95" s="4"/>
      <c r="DAN95" s="4"/>
      <c r="DAO95" s="4"/>
      <c r="DAP95" s="4"/>
      <c r="DAQ95" s="4"/>
      <c r="DAR95" s="4"/>
      <c r="DAS95" s="4"/>
      <c r="DAT95" s="4"/>
      <c r="DAU95" s="4"/>
      <c r="DAV95" s="4"/>
      <c r="DAW95" s="4"/>
      <c r="DAX95" s="4"/>
      <c r="DAY95" s="4"/>
      <c r="DAZ95" s="4"/>
      <c r="DBA95" s="4"/>
      <c r="DBB95" s="4"/>
      <c r="DBC95" s="4"/>
      <c r="DBD95" s="4"/>
      <c r="DBE95" s="4"/>
      <c r="DBF95" s="4"/>
      <c r="DBG95" s="4"/>
      <c r="DBH95" s="4"/>
      <c r="DBI95" s="4"/>
      <c r="DBJ95" s="4"/>
      <c r="DBK95" s="4"/>
      <c r="DBL95" s="4"/>
      <c r="DBM95" s="4"/>
      <c r="DBN95" s="4"/>
      <c r="DBO95" s="4"/>
      <c r="DBP95" s="4"/>
      <c r="DBQ95" s="4"/>
      <c r="DBR95" s="4"/>
      <c r="DBS95" s="4"/>
      <c r="DBT95" s="4"/>
      <c r="DBU95" s="4"/>
      <c r="DBV95" s="4"/>
      <c r="DBW95" s="4"/>
      <c r="DBX95" s="4"/>
      <c r="DBY95" s="4"/>
      <c r="DBZ95" s="4"/>
      <c r="DCA95" s="4"/>
      <c r="DCB95" s="4"/>
      <c r="DCC95" s="4"/>
      <c r="DCD95" s="4"/>
      <c r="DCE95" s="4"/>
      <c r="DCF95" s="4"/>
      <c r="DCG95" s="4"/>
      <c r="DCH95" s="4"/>
      <c r="DCI95" s="4"/>
      <c r="DCJ95" s="4"/>
      <c r="DCK95" s="4"/>
      <c r="DCL95" s="4"/>
      <c r="DCM95" s="4"/>
      <c r="DCN95" s="4"/>
      <c r="DCO95" s="4"/>
      <c r="DCP95" s="4"/>
      <c r="DCQ95" s="4"/>
      <c r="DCR95" s="4"/>
      <c r="DCS95" s="4"/>
      <c r="DCT95" s="4"/>
      <c r="DCU95" s="4"/>
      <c r="DCV95" s="4"/>
      <c r="DCW95" s="4"/>
      <c r="DCX95" s="4"/>
      <c r="DCY95" s="4"/>
      <c r="DCZ95" s="4"/>
      <c r="DDA95" s="4"/>
      <c r="DDB95" s="4"/>
      <c r="DDC95" s="4"/>
      <c r="DDD95" s="4"/>
      <c r="DDE95" s="4"/>
      <c r="DDF95" s="4"/>
      <c r="DDG95" s="4"/>
      <c r="DDH95" s="4"/>
      <c r="DDI95" s="4"/>
      <c r="DDJ95" s="4"/>
      <c r="DDK95" s="4"/>
      <c r="DDL95" s="4"/>
      <c r="DDM95" s="4"/>
      <c r="DDN95" s="4"/>
      <c r="DDO95" s="4"/>
      <c r="DDP95" s="4"/>
      <c r="DDQ95" s="4"/>
      <c r="DDR95" s="4"/>
      <c r="DDS95" s="4"/>
      <c r="DDT95" s="4"/>
      <c r="DDU95" s="4"/>
      <c r="DDV95" s="4"/>
      <c r="DDW95" s="4"/>
      <c r="DDX95" s="4"/>
      <c r="DDY95" s="4"/>
      <c r="DDZ95" s="4"/>
      <c r="DEA95" s="4"/>
      <c r="DEB95" s="4"/>
      <c r="DEC95" s="4"/>
      <c r="DED95" s="4"/>
      <c r="DEE95" s="4"/>
      <c r="DEF95" s="4"/>
      <c r="DEG95" s="4"/>
      <c r="DEH95" s="4"/>
      <c r="DEI95" s="4"/>
      <c r="DEJ95" s="4"/>
      <c r="DEK95" s="4"/>
      <c r="DEL95" s="4"/>
      <c r="DEM95" s="4"/>
      <c r="DEN95" s="4"/>
      <c r="DEO95" s="4"/>
      <c r="DEP95" s="4"/>
      <c r="DEQ95" s="4"/>
      <c r="DER95" s="4"/>
      <c r="DES95" s="4"/>
      <c r="DET95" s="4"/>
      <c r="DEU95" s="4"/>
      <c r="DEV95" s="4"/>
      <c r="DEW95" s="4"/>
      <c r="DEX95" s="4"/>
      <c r="DEY95" s="4"/>
      <c r="DEZ95" s="4"/>
      <c r="DFA95" s="4"/>
      <c r="DFB95" s="4"/>
      <c r="DFC95" s="4"/>
      <c r="DFD95" s="4"/>
      <c r="DFE95" s="4"/>
      <c r="DFF95" s="4"/>
      <c r="DFG95" s="4"/>
      <c r="DFH95" s="4"/>
      <c r="DFI95" s="4"/>
      <c r="DFJ95" s="4"/>
      <c r="DFK95" s="4"/>
      <c r="DFL95" s="4"/>
      <c r="DFM95" s="4"/>
      <c r="DFN95" s="4"/>
      <c r="DFO95" s="4"/>
      <c r="DFP95" s="4"/>
      <c r="DFQ95" s="4"/>
      <c r="DFR95" s="4"/>
      <c r="DFS95" s="4"/>
      <c r="DFT95" s="4"/>
      <c r="DFU95" s="4"/>
      <c r="DFV95" s="4"/>
      <c r="DFW95" s="4"/>
      <c r="DFX95" s="4"/>
      <c r="DFY95" s="4"/>
      <c r="DFZ95" s="4"/>
      <c r="DGA95" s="4"/>
      <c r="DGB95" s="4"/>
      <c r="DGC95" s="4"/>
      <c r="DGD95" s="4"/>
      <c r="DGE95" s="4"/>
      <c r="DGF95" s="4"/>
      <c r="DGG95" s="4"/>
      <c r="DGH95" s="4"/>
      <c r="DGI95" s="4"/>
      <c r="DGJ95" s="4"/>
      <c r="DGK95" s="4"/>
      <c r="DGL95" s="4"/>
      <c r="DGM95" s="4"/>
      <c r="DGN95" s="4"/>
      <c r="DGO95" s="4"/>
      <c r="DGP95" s="4"/>
      <c r="DGQ95" s="4"/>
      <c r="DGR95" s="4"/>
      <c r="DGS95" s="4"/>
      <c r="DGT95" s="4"/>
      <c r="DGU95" s="4"/>
      <c r="DGV95" s="4"/>
      <c r="DGW95" s="4"/>
      <c r="DGX95" s="4"/>
      <c r="DGY95" s="4"/>
      <c r="DGZ95" s="4"/>
      <c r="DHA95" s="4"/>
      <c r="DHB95" s="4"/>
      <c r="DHC95" s="4"/>
      <c r="DHD95" s="4"/>
      <c r="DHE95" s="4"/>
      <c r="DHF95" s="4"/>
      <c r="DHG95" s="4"/>
      <c r="DHH95" s="4"/>
      <c r="DHI95" s="4"/>
      <c r="DHJ95" s="4"/>
      <c r="DHK95" s="4"/>
      <c r="DHL95" s="4"/>
      <c r="DHM95" s="4"/>
      <c r="DHN95" s="4"/>
      <c r="DHO95" s="4"/>
      <c r="DHP95" s="4"/>
      <c r="DHQ95" s="4"/>
      <c r="DHR95" s="4"/>
      <c r="DHS95" s="4"/>
      <c r="DHT95" s="4"/>
      <c r="DHU95" s="4"/>
      <c r="DHV95" s="4"/>
      <c r="DHW95" s="4"/>
      <c r="DHX95" s="4"/>
      <c r="DHY95" s="4"/>
      <c r="DHZ95" s="4"/>
      <c r="DIA95" s="4"/>
      <c r="DIB95" s="4"/>
      <c r="DIC95" s="4"/>
      <c r="DID95" s="4"/>
      <c r="DIE95" s="4"/>
      <c r="DIF95" s="4"/>
      <c r="DIG95" s="4"/>
      <c r="DIH95" s="4"/>
      <c r="DII95" s="4"/>
      <c r="DIJ95" s="4"/>
      <c r="DIK95" s="4"/>
      <c r="DIL95" s="4"/>
      <c r="DIM95" s="4"/>
      <c r="DIN95" s="4"/>
      <c r="DIO95" s="4"/>
      <c r="DIP95" s="4"/>
      <c r="DIQ95" s="4"/>
      <c r="DIR95" s="4"/>
      <c r="DIS95" s="4"/>
      <c r="DIT95" s="4"/>
      <c r="DIU95" s="4"/>
      <c r="DIV95" s="4"/>
      <c r="DIW95" s="4"/>
      <c r="DIX95" s="4"/>
      <c r="DIY95" s="4"/>
      <c r="DIZ95" s="4"/>
      <c r="DJA95" s="4"/>
      <c r="DJB95" s="4"/>
      <c r="DJC95" s="4"/>
      <c r="DJD95" s="4"/>
      <c r="DJE95" s="4"/>
      <c r="DJF95" s="4"/>
      <c r="DJG95" s="4"/>
      <c r="DJH95" s="4"/>
      <c r="DJI95" s="4"/>
      <c r="DJJ95" s="4"/>
      <c r="DJK95" s="4"/>
      <c r="DJL95" s="4"/>
      <c r="DJM95" s="4"/>
      <c r="DJN95" s="4"/>
      <c r="DJO95" s="4"/>
      <c r="DJP95" s="4"/>
      <c r="DJQ95" s="4"/>
      <c r="DJR95" s="4"/>
      <c r="DJS95" s="4"/>
      <c r="DJT95" s="4"/>
      <c r="DJU95" s="4"/>
      <c r="DJV95" s="4"/>
      <c r="DJW95" s="4"/>
      <c r="DJX95" s="4"/>
      <c r="DJY95" s="4"/>
      <c r="DJZ95" s="4"/>
      <c r="DKA95" s="4"/>
      <c r="DKB95" s="4"/>
      <c r="DKC95" s="4"/>
      <c r="DKD95" s="4"/>
      <c r="DKE95" s="4"/>
      <c r="DKF95" s="4"/>
      <c r="DKG95" s="4"/>
      <c r="DKH95" s="4"/>
      <c r="DKI95" s="4"/>
      <c r="DKJ95" s="4"/>
      <c r="DKK95" s="4"/>
      <c r="DKL95" s="4"/>
      <c r="DKM95" s="4"/>
      <c r="DKN95" s="4"/>
      <c r="DKO95" s="4"/>
      <c r="DKP95" s="4"/>
      <c r="DKQ95" s="4"/>
      <c r="DKR95" s="4"/>
      <c r="DKS95" s="4"/>
      <c r="DKT95" s="4"/>
      <c r="DKU95" s="4"/>
      <c r="DKV95" s="4"/>
      <c r="DKW95" s="4"/>
      <c r="DKX95" s="4"/>
      <c r="DKY95" s="4"/>
      <c r="DKZ95" s="4"/>
      <c r="DLA95" s="4"/>
      <c r="DLB95" s="4"/>
      <c r="DLC95" s="4"/>
      <c r="DLD95" s="4"/>
      <c r="DLE95" s="4"/>
      <c r="DLF95" s="4"/>
      <c r="DLG95" s="4"/>
      <c r="DLH95" s="4"/>
      <c r="DLI95" s="4"/>
      <c r="DLJ95" s="4"/>
      <c r="DLK95" s="4"/>
      <c r="DLL95" s="4"/>
      <c r="DLM95" s="4"/>
      <c r="DLN95" s="4"/>
      <c r="DLO95" s="4"/>
      <c r="DLP95" s="4"/>
      <c r="DLQ95" s="4"/>
      <c r="DLR95" s="4"/>
      <c r="DLS95" s="4"/>
      <c r="DLT95" s="4"/>
      <c r="DLU95" s="4"/>
      <c r="DLV95" s="4"/>
      <c r="DLW95" s="4"/>
      <c r="DLX95" s="4"/>
      <c r="DLY95" s="4"/>
      <c r="DLZ95" s="4"/>
      <c r="DMA95" s="4"/>
      <c r="DMB95" s="4"/>
      <c r="DMC95" s="4"/>
      <c r="DMD95" s="4"/>
      <c r="DME95" s="4"/>
      <c r="DMF95" s="4"/>
      <c r="DMG95" s="4"/>
      <c r="DMH95" s="4"/>
      <c r="DMI95" s="4"/>
      <c r="DMJ95" s="4"/>
      <c r="DMK95" s="4"/>
      <c r="DML95" s="4"/>
      <c r="DMM95" s="4"/>
      <c r="DMN95" s="4"/>
      <c r="DMO95" s="4"/>
      <c r="DMP95" s="4"/>
      <c r="DMQ95" s="4"/>
      <c r="DMR95" s="4"/>
      <c r="DMS95" s="4"/>
      <c r="DMT95" s="4"/>
      <c r="DMU95" s="4"/>
      <c r="DMV95" s="4"/>
      <c r="DMW95" s="4"/>
      <c r="DMX95" s="4"/>
      <c r="DMY95" s="4"/>
      <c r="DMZ95" s="4"/>
      <c r="DNA95" s="4"/>
      <c r="DNB95" s="4"/>
      <c r="DNC95" s="4"/>
      <c r="DND95" s="4"/>
      <c r="DNE95" s="4"/>
      <c r="DNF95" s="4"/>
      <c r="DNG95" s="4"/>
      <c r="DNH95" s="4"/>
      <c r="DNI95" s="4"/>
      <c r="DNJ95" s="4"/>
      <c r="DNK95" s="4"/>
      <c r="DNL95" s="4"/>
      <c r="DNM95" s="4"/>
      <c r="DNN95" s="4"/>
      <c r="DNO95" s="4"/>
      <c r="DNP95" s="4"/>
      <c r="DNQ95" s="4"/>
      <c r="DNR95" s="4"/>
      <c r="DNS95" s="4"/>
      <c r="DNT95" s="4"/>
      <c r="DNU95" s="4"/>
      <c r="DNV95" s="4"/>
      <c r="DNW95" s="4"/>
      <c r="DNX95" s="4"/>
      <c r="DNY95" s="4"/>
      <c r="DNZ95" s="4"/>
      <c r="DOA95" s="4"/>
      <c r="DOB95" s="4"/>
      <c r="DOC95" s="4"/>
      <c r="DOD95" s="4"/>
      <c r="DOE95" s="4"/>
      <c r="DOF95" s="4"/>
      <c r="DOG95" s="4"/>
      <c r="DOH95" s="4"/>
      <c r="DOI95" s="4"/>
      <c r="DOJ95" s="4"/>
      <c r="DOK95" s="4"/>
      <c r="DOL95" s="4"/>
      <c r="DOM95" s="4"/>
      <c r="DON95" s="4"/>
      <c r="DOO95" s="4"/>
      <c r="DOP95" s="4"/>
      <c r="DOQ95" s="4"/>
      <c r="DOR95" s="4"/>
      <c r="DOS95" s="4"/>
      <c r="DOT95" s="4"/>
      <c r="DOU95" s="4"/>
      <c r="DOV95" s="4"/>
      <c r="DOW95" s="4"/>
      <c r="DOX95" s="4"/>
      <c r="DOY95" s="4"/>
      <c r="DOZ95" s="4"/>
      <c r="DPA95" s="4"/>
      <c r="DPB95" s="4"/>
      <c r="DPC95" s="4"/>
      <c r="DPD95" s="4"/>
      <c r="DPE95" s="4"/>
      <c r="DPF95" s="4"/>
      <c r="DPG95" s="4"/>
      <c r="DPH95" s="4"/>
      <c r="DPI95" s="4"/>
      <c r="DPJ95" s="4"/>
      <c r="DPK95" s="4"/>
      <c r="DPL95" s="4"/>
      <c r="DPM95" s="4"/>
      <c r="DPN95" s="4"/>
      <c r="DPO95" s="4"/>
      <c r="DPP95" s="4"/>
      <c r="DPQ95" s="4"/>
      <c r="DPR95" s="4"/>
      <c r="DPS95" s="4"/>
      <c r="DPT95" s="4"/>
      <c r="DPU95" s="4"/>
      <c r="DPV95" s="4"/>
      <c r="DPW95" s="4"/>
      <c r="DPX95" s="4"/>
      <c r="DPY95" s="4"/>
      <c r="DPZ95" s="4"/>
      <c r="DQA95" s="4"/>
      <c r="DQB95" s="4"/>
      <c r="DQC95" s="4"/>
      <c r="DQD95" s="4"/>
      <c r="DQE95" s="4"/>
      <c r="DQF95" s="4"/>
      <c r="DQG95" s="4"/>
      <c r="DQH95" s="4"/>
      <c r="DQI95" s="4"/>
      <c r="DQJ95" s="4"/>
      <c r="DQK95" s="4"/>
      <c r="DQL95" s="4"/>
      <c r="DQM95" s="4"/>
      <c r="DQN95" s="4"/>
      <c r="DQO95" s="4"/>
      <c r="DQP95" s="4"/>
      <c r="DQQ95" s="4"/>
      <c r="DQR95" s="4"/>
      <c r="DQS95" s="4"/>
      <c r="DQT95" s="4"/>
      <c r="DQU95" s="4"/>
      <c r="DQV95" s="4"/>
      <c r="DQW95" s="4"/>
      <c r="DQX95" s="4"/>
      <c r="DQY95" s="4"/>
      <c r="DQZ95" s="4"/>
      <c r="DRA95" s="4"/>
      <c r="DRB95" s="4"/>
      <c r="DRC95" s="4"/>
      <c r="DRD95" s="4"/>
      <c r="DRE95" s="4"/>
      <c r="DRF95" s="4"/>
      <c r="DRG95" s="4"/>
      <c r="DRH95" s="4"/>
      <c r="DRI95" s="4"/>
      <c r="DRJ95" s="4"/>
      <c r="DRK95" s="4"/>
      <c r="DRL95" s="4"/>
      <c r="DRM95" s="4"/>
      <c r="DRN95" s="4"/>
      <c r="DRO95" s="4"/>
      <c r="DRP95" s="4"/>
      <c r="DRQ95" s="4"/>
      <c r="DRR95" s="4"/>
      <c r="DRS95" s="4"/>
      <c r="DRT95" s="4"/>
      <c r="DRU95" s="4"/>
      <c r="DRV95" s="4"/>
      <c r="DRW95" s="4"/>
      <c r="DRX95" s="4"/>
      <c r="DRY95" s="4"/>
      <c r="DRZ95" s="4"/>
      <c r="DSA95" s="4"/>
      <c r="DSB95" s="4"/>
      <c r="DSC95" s="4"/>
      <c r="DSD95" s="4"/>
      <c r="DSE95" s="4"/>
      <c r="DSF95" s="4"/>
      <c r="DSG95" s="4"/>
      <c r="DSH95" s="4"/>
      <c r="DSI95" s="4"/>
      <c r="DSJ95" s="4"/>
      <c r="DSK95" s="4"/>
      <c r="DSL95" s="4"/>
      <c r="DSM95" s="4"/>
      <c r="DSN95" s="4"/>
      <c r="DSO95" s="4"/>
      <c r="DSP95" s="4"/>
      <c r="DSQ95" s="4"/>
      <c r="DSR95" s="4"/>
      <c r="DSS95" s="4"/>
      <c r="DST95" s="4"/>
      <c r="DSU95" s="4"/>
      <c r="DSV95" s="4"/>
      <c r="DSW95" s="4"/>
      <c r="DSX95" s="4"/>
      <c r="DSY95" s="4"/>
      <c r="DSZ95" s="4"/>
      <c r="DTA95" s="4"/>
      <c r="DTB95" s="4"/>
      <c r="DTC95" s="4"/>
      <c r="DTD95" s="4"/>
      <c r="DTE95" s="4"/>
      <c r="DTF95" s="4"/>
      <c r="DTG95" s="4"/>
      <c r="DTH95" s="4"/>
      <c r="DTI95" s="4"/>
      <c r="DTJ95" s="4"/>
      <c r="DTK95" s="4"/>
      <c r="DTL95" s="4"/>
      <c r="DTM95" s="4"/>
      <c r="DTN95" s="4"/>
      <c r="DTO95" s="4"/>
      <c r="DTP95" s="4"/>
      <c r="DTQ95" s="4"/>
      <c r="DTR95" s="4"/>
      <c r="DTS95" s="4"/>
      <c r="DTT95" s="4"/>
      <c r="DTU95" s="4"/>
      <c r="DTV95" s="4"/>
      <c r="DTW95" s="4"/>
      <c r="DTX95" s="4"/>
      <c r="DTY95" s="4"/>
      <c r="DTZ95" s="4"/>
      <c r="DUA95" s="4"/>
      <c r="DUB95" s="4"/>
      <c r="DUC95" s="4"/>
      <c r="DUD95" s="4"/>
      <c r="DUE95" s="4"/>
      <c r="DUF95" s="4"/>
      <c r="DUG95" s="4"/>
      <c r="DUH95" s="4"/>
      <c r="DUI95" s="4"/>
      <c r="DUJ95" s="4"/>
      <c r="DUK95" s="4"/>
      <c r="DUL95" s="4"/>
      <c r="DUM95" s="4"/>
      <c r="DUN95" s="4"/>
      <c r="DUO95" s="4"/>
      <c r="DUP95" s="4"/>
      <c r="DUQ95" s="4"/>
      <c r="DUR95" s="4"/>
      <c r="DUS95" s="4"/>
      <c r="DUT95" s="4"/>
      <c r="DUU95" s="4"/>
      <c r="DUV95" s="4"/>
      <c r="DUW95" s="4"/>
      <c r="DUX95" s="4"/>
      <c r="DUY95" s="4"/>
      <c r="DUZ95" s="4"/>
      <c r="DVA95" s="4"/>
      <c r="DVB95" s="4"/>
      <c r="DVC95" s="4"/>
      <c r="DVD95" s="4"/>
      <c r="DVE95" s="4"/>
      <c r="DVF95" s="4"/>
      <c r="DVG95" s="4"/>
      <c r="DVH95" s="4"/>
      <c r="DVI95" s="4"/>
      <c r="DVJ95" s="4"/>
      <c r="DVK95" s="4"/>
      <c r="DVL95" s="4"/>
      <c r="DVM95" s="4"/>
      <c r="DVN95" s="4"/>
      <c r="DVO95" s="4"/>
      <c r="DVP95" s="4"/>
      <c r="DVQ95" s="4"/>
      <c r="DVR95" s="4"/>
      <c r="DVS95" s="4"/>
      <c r="DVT95" s="4"/>
      <c r="DVU95" s="4"/>
      <c r="DVV95" s="4"/>
      <c r="DVW95" s="4"/>
      <c r="DVX95" s="4"/>
      <c r="DVY95" s="4"/>
      <c r="DVZ95" s="4"/>
      <c r="DWA95" s="4"/>
      <c r="DWB95" s="4"/>
      <c r="DWC95" s="4"/>
      <c r="DWD95" s="4"/>
      <c r="DWE95" s="4"/>
      <c r="DWF95" s="4"/>
      <c r="DWG95" s="4"/>
      <c r="DWH95" s="4"/>
      <c r="DWI95" s="4"/>
      <c r="DWJ95" s="4"/>
      <c r="DWK95" s="4"/>
      <c r="DWL95" s="4"/>
      <c r="DWM95" s="4"/>
      <c r="DWN95" s="4"/>
      <c r="DWO95" s="4"/>
      <c r="DWP95" s="4"/>
      <c r="DWQ95" s="4"/>
      <c r="DWR95" s="4"/>
      <c r="DWS95" s="4"/>
      <c r="DWT95" s="4"/>
      <c r="DWU95" s="4"/>
      <c r="DWV95" s="4"/>
      <c r="DWW95" s="4"/>
      <c r="DWX95" s="4"/>
      <c r="DWY95" s="4"/>
      <c r="DWZ95" s="4"/>
      <c r="DXA95" s="4"/>
      <c r="DXB95" s="4"/>
      <c r="DXC95" s="4"/>
      <c r="DXD95" s="4"/>
      <c r="DXE95" s="4"/>
      <c r="DXF95" s="4"/>
      <c r="DXG95" s="4"/>
      <c r="DXH95" s="4"/>
      <c r="DXI95" s="4"/>
      <c r="DXJ95" s="4"/>
      <c r="DXK95" s="4"/>
      <c r="DXL95" s="4"/>
      <c r="DXM95" s="4"/>
      <c r="DXN95" s="4"/>
      <c r="DXO95" s="4"/>
      <c r="DXP95" s="4"/>
      <c r="DXQ95" s="4"/>
      <c r="DXR95" s="4"/>
      <c r="DXS95" s="4"/>
      <c r="DXT95" s="4"/>
      <c r="DXU95" s="4"/>
      <c r="DXV95" s="4"/>
      <c r="DXW95" s="4"/>
      <c r="DXX95" s="4"/>
      <c r="DXY95" s="4"/>
      <c r="DXZ95" s="4"/>
      <c r="DYA95" s="4"/>
      <c r="DYB95" s="4"/>
      <c r="DYC95" s="4"/>
      <c r="DYD95" s="4"/>
      <c r="DYE95" s="4"/>
      <c r="DYF95" s="4"/>
      <c r="DYG95" s="4"/>
      <c r="DYH95" s="4"/>
      <c r="DYI95" s="4"/>
      <c r="DYJ95" s="4"/>
      <c r="DYK95" s="4"/>
      <c r="DYL95" s="4"/>
      <c r="DYM95" s="4"/>
      <c r="DYN95" s="4"/>
      <c r="DYO95" s="4"/>
      <c r="DYP95" s="4"/>
      <c r="DYQ95" s="4"/>
      <c r="DYR95" s="4"/>
      <c r="DYS95" s="4"/>
      <c r="DYT95" s="4"/>
      <c r="DYU95" s="4"/>
      <c r="DYV95" s="4"/>
      <c r="DYW95" s="4"/>
      <c r="DYX95" s="4"/>
      <c r="DYY95" s="4"/>
      <c r="DYZ95" s="4"/>
      <c r="DZA95" s="4"/>
      <c r="DZB95" s="4"/>
      <c r="DZC95" s="4"/>
      <c r="DZD95" s="4"/>
      <c r="DZE95" s="4"/>
      <c r="DZF95" s="4"/>
      <c r="DZG95" s="4"/>
      <c r="DZH95" s="4"/>
      <c r="DZI95" s="4"/>
      <c r="DZJ95" s="4"/>
      <c r="DZK95" s="4"/>
      <c r="DZL95" s="4"/>
      <c r="DZM95" s="4"/>
      <c r="DZN95" s="4"/>
      <c r="DZO95" s="4"/>
      <c r="DZP95" s="4"/>
      <c r="DZQ95" s="4"/>
      <c r="DZR95" s="4"/>
      <c r="DZS95" s="4"/>
      <c r="DZT95" s="4"/>
      <c r="DZU95" s="4"/>
      <c r="DZV95" s="4"/>
      <c r="DZW95" s="4"/>
      <c r="DZX95" s="4"/>
      <c r="DZY95" s="4"/>
      <c r="DZZ95" s="4"/>
      <c r="EAA95" s="4"/>
      <c r="EAB95" s="4"/>
      <c r="EAC95" s="4"/>
      <c r="EAD95" s="4"/>
      <c r="EAE95" s="4"/>
      <c r="EAF95" s="4"/>
      <c r="EAG95" s="4"/>
      <c r="EAH95" s="4"/>
      <c r="EAI95" s="4"/>
      <c r="EAJ95" s="4"/>
      <c r="EAK95" s="4"/>
      <c r="EAL95" s="4"/>
      <c r="EAM95" s="4"/>
      <c r="EAN95" s="4"/>
      <c r="EAO95" s="4"/>
      <c r="EAP95" s="4"/>
      <c r="EAQ95" s="4"/>
      <c r="EAR95" s="4"/>
      <c r="EAS95" s="4"/>
      <c r="EAT95" s="4"/>
      <c r="EAU95" s="4"/>
      <c r="EAV95" s="4"/>
      <c r="EAW95" s="4"/>
      <c r="EAX95" s="4"/>
      <c r="EAY95" s="4"/>
      <c r="EAZ95" s="4"/>
      <c r="EBA95" s="4"/>
      <c r="EBB95" s="4"/>
      <c r="EBC95" s="4"/>
      <c r="EBD95" s="4"/>
      <c r="EBE95" s="4"/>
      <c r="EBF95" s="4"/>
      <c r="EBG95" s="4"/>
      <c r="EBH95" s="4"/>
      <c r="EBI95" s="4"/>
      <c r="EBJ95" s="4"/>
      <c r="EBK95" s="4"/>
      <c r="EBL95" s="4"/>
      <c r="EBM95" s="4"/>
      <c r="EBN95" s="4"/>
      <c r="EBO95" s="4"/>
      <c r="EBP95" s="4"/>
      <c r="EBQ95" s="4"/>
      <c r="EBR95" s="4"/>
      <c r="EBS95" s="4"/>
      <c r="EBT95" s="4"/>
      <c r="EBU95" s="4"/>
      <c r="EBV95" s="4"/>
      <c r="EBW95" s="4"/>
      <c r="EBX95" s="4"/>
      <c r="EBY95" s="4"/>
      <c r="EBZ95" s="4"/>
      <c r="ECA95" s="4"/>
      <c r="ECB95" s="4"/>
      <c r="ECC95" s="4"/>
      <c r="ECD95" s="4"/>
      <c r="ECE95" s="4"/>
      <c r="ECF95" s="4"/>
      <c r="ECG95" s="4"/>
      <c r="ECH95" s="4"/>
      <c r="ECI95" s="4"/>
      <c r="ECJ95" s="4"/>
      <c r="ECK95" s="4"/>
      <c r="ECL95" s="4"/>
      <c r="ECM95" s="4"/>
      <c r="ECN95" s="4"/>
      <c r="ECO95" s="4"/>
      <c r="ECP95" s="4"/>
      <c r="ECQ95" s="4"/>
      <c r="ECR95" s="4"/>
      <c r="ECS95" s="4"/>
      <c r="ECT95" s="4"/>
      <c r="ECU95" s="4"/>
      <c r="ECV95" s="4"/>
      <c r="ECW95" s="4"/>
      <c r="ECX95" s="4"/>
      <c r="ECY95" s="4"/>
      <c r="ECZ95" s="4"/>
      <c r="EDA95" s="4"/>
      <c r="EDB95" s="4"/>
      <c r="EDC95" s="4"/>
      <c r="EDD95" s="4"/>
      <c r="EDE95" s="4"/>
      <c r="EDF95" s="4"/>
      <c r="EDG95" s="4"/>
      <c r="EDH95" s="4"/>
      <c r="EDI95" s="4"/>
      <c r="EDJ95" s="4"/>
      <c r="EDK95" s="4"/>
      <c r="EDL95" s="4"/>
      <c r="EDM95" s="4"/>
      <c r="EDN95" s="4"/>
      <c r="EDO95" s="4"/>
      <c r="EDP95" s="4"/>
      <c r="EDQ95" s="4"/>
      <c r="EDR95" s="4"/>
      <c r="EDS95" s="4"/>
      <c r="EDT95" s="4"/>
      <c r="EDU95" s="4"/>
      <c r="EDV95" s="4"/>
      <c r="EDW95" s="4"/>
      <c r="EDX95" s="4"/>
      <c r="EDY95" s="4"/>
      <c r="EDZ95" s="4"/>
      <c r="EEA95" s="4"/>
      <c r="EEB95" s="4"/>
      <c r="EEC95" s="4"/>
      <c r="EED95" s="4"/>
      <c r="EEE95" s="4"/>
      <c r="EEF95" s="4"/>
      <c r="EEG95" s="4"/>
      <c r="EEH95" s="4"/>
      <c r="EEI95" s="4"/>
      <c r="EEJ95" s="4"/>
      <c r="EEK95" s="4"/>
      <c r="EEL95" s="4"/>
      <c r="EEM95" s="4"/>
      <c r="EEN95" s="4"/>
      <c r="EEO95" s="4"/>
      <c r="EEP95" s="4"/>
      <c r="EEQ95" s="4"/>
      <c r="EER95" s="4"/>
      <c r="EES95" s="4"/>
      <c r="EET95" s="4"/>
      <c r="EEU95" s="4"/>
      <c r="EEV95" s="4"/>
      <c r="EEW95" s="4"/>
      <c r="EEX95" s="4"/>
      <c r="EEY95" s="4"/>
      <c r="EEZ95" s="4"/>
      <c r="EFA95" s="4"/>
      <c r="EFB95" s="4"/>
      <c r="EFC95" s="4"/>
      <c r="EFD95" s="4"/>
      <c r="EFE95" s="4"/>
      <c r="EFF95" s="4"/>
      <c r="EFG95" s="4"/>
      <c r="EFH95" s="4"/>
      <c r="EFI95" s="4"/>
      <c r="EFJ95" s="4"/>
      <c r="EFK95" s="4"/>
      <c r="EFL95" s="4"/>
      <c r="EFM95" s="4"/>
      <c r="EFN95" s="4"/>
      <c r="EFO95" s="4"/>
      <c r="EFP95" s="4"/>
      <c r="EFQ95" s="4"/>
      <c r="EFR95" s="4"/>
      <c r="EFS95" s="4"/>
      <c r="EFT95" s="4"/>
      <c r="EFU95" s="4"/>
      <c r="EFV95" s="4"/>
      <c r="EFW95" s="4"/>
      <c r="EFX95" s="4"/>
      <c r="EFY95" s="4"/>
      <c r="EFZ95" s="4"/>
      <c r="EGA95" s="4"/>
      <c r="EGB95" s="4"/>
      <c r="EGC95" s="4"/>
      <c r="EGD95" s="4"/>
      <c r="EGE95" s="4"/>
      <c r="EGF95" s="4"/>
      <c r="EGG95" s="4"/>
      <c r="EGH95" s="4"/>
      <c r="EGI95" s="4"/>
      <c r="EGJ95" s="4"/>
      <c r="EGK95" s="4"/>
      <c r="EGL95" s="4"/>
      <c r="EGM95" s="4"/>
      <c r="EGN95" s="4"/>
      <c r="EGO95" s="4"/>
      <c r="EGP95" s="4"/>
      <c r="EGQ95" s="4"/>
      <c r="EGR95" s="4"/>
      <c r="EGS95" s="4"/>
      <c r="EGT95" s="4"/>
      <c r="EGU95" s="4"/>
      <c r="EGV95" s="4"/>
      <c r="EGW95" s="4"/>
      <c r="EGX95" s="4"/>
      <c r="EGY95" s="4"/>
      <c r="EGZ95" s="4"/>
      <c r="EHA95" s="4"/>
      <c r="EHB95" s="4"/>
      <c r="EHC95" s="4"/>
      <c r="EHD95" s="4"/>
      <c r="EHE95" s="4"/>
      <c r="EHF95" s="4"/>
      <c r="EHG95" s="4"/>
      <c r="EHH95" s="4"/>
      <c r="EHI95" s="4"/>
      <c r="EHJ95" s="4"/>
      <c r="EHK95" s="4"/>
      <c r="EHL95" s="4"/>
      <c r="EHM95" s="4"/>
      <c r="EHN95" s="4"/>
      <c r="EHO95" s="4"/>
      <c r="EHP95" s="4"/>
      <c r="EHQ95" s="4"/>
      <c r="EHR95" s="4"/>
      <c r="EHS95" s="4"/>
      <c r="EHT95" s="4"/>
      <c r="EHU95" s="4"/>
      <c r="EHV95" s="4"/>
      <c r="EHW95" s="4"/>
      <c r="EHX95" s="4"/>
      <c r="EHY95" s="4"/>
      <c r="EHZ95" s="4"/>
      <c r="EIA95" s="4"/>
      <c r="EIB95" s="4"/>
      <c r="EIC95" s="4"/>
      <c r="EID95" s="4"/>
      <c r="EIE95" s="4"/>
      <c r="EIF95" s="4"/>
      <c r="EIG95" s="4"/>
      <c r="EIH95" s="4"/>
      <c r="EII95" s="4"/>
      <c r="EIJ95" s="4"/>
      <c r="EIK95" s="4"/>
      <c r="EIL95" s="4"/>
      <c r="EIM95" s="4"/>
      <c r="EIN95" s="4"/>
      <c r="EIO95" s="4"/>
      <c r="EIP95" s="4"/>
      <c r="EIQ95" s="4"/>
      <c r="EIR95" s="4"/>
      <c r="EIS95" s="4"/>
      <c r="EIT95" s="4"/>
      <c r="EIU95" s="4"/>
      <c r="EIV95" s="4"/>
      <c r="EIW95" s="4"/>
      <c r="EIX95" s="4"/>
      <c r="EIY95" s="4"/>
      <c r="EIZ95" s="4"/>
      <c r="EJA95" s="4"/>
      <c r="EJB95" s="4"/>
      <c r="EJC95" s="4"/>
      <c r="EJD95" s="4"/>
      <c r="EJE95" s="4"/>
      <c r="EJF95" s="4"/>
      <c r="EJG95" s="4"/>
      <c r="EJH95" s="4"/>
      <c r="EJI95" s="4"/>
      <c r="EJJ95" s="4"/>
      <c r="EJK95" s="4"/>
      <c r="EJL95" s="4"/>
      <c r="EJM95" s="4"/>
      <c r="EJN95" s="4"/>
      <c r="EJO95" s="4"/>
      <c r="EJP95" s="4"/>
      <c r="EJQ95" s="4"/>
      <c r="EJR95" s="4"/>
      <c r="EJS95" s="4"/>
      <c r="EJT95" s="4"/>
      <c r="EJU95" s="4"/>
      <c r="EJV95" s="4"/>
      <c r="EJW95" s="4"/>
      <c r="EJX95" s="4"/>
      <c r="EJY95" s="4"/>
      <c r="EJZ95" s="4"/>
      <c r="EKA95" s="4"/>
      <c r="EKB95" s="4"/>
      <c r="EKC95" s="4"/>
      <c r="EKD95" s="4"/>
      <c r="EKE95" s="4"/>
      <c r="EKF95" s="4"/>
      <c r="EKG95" s="4"/>
      <c r="EKH95" s="4"/>
      <c r="EKI95" s="4"/>
      <c r="EKJ95" s="4"/>
      <c r="EKK95" s="4"/>
      <c r="EKL95" s="4"/>
      <c r="EKM95" s="4"/>
      <c r="EKN95" s="4"/>
      <c r="EKO95" s="4"/>
      <c r="EKP95" s="4"/>
      <c r="EKQ95" s="4"/>
      <c r="EKR95" s="4"/>
      <c r="EKS95" s="4"/>
      <c r="EKT95" s="4"/>
      <c r="EKU95" s="4"/>
      <c r="EKV95" s="4"/>
      <c r="EKW95" s="4"/>
      <c r="EKX95" s="4"/>
      <c r="EKY95" s="4"/>
      <c r="EKZ95" s="4"/>
      <c r="ELA95" s="4"/>
      <c r="ELB95" s="4"/>
      <c r="ELC95" s="4"/>
      <c r="ELD95" s="4"/>
      <c r="ELE95" s="4"/>
      <c r="ELF95" s="4"/>
      <c r="ELG95" s="4"/>
      <c r="ELH95" s="4"/>
      <c r="ELI95" s="4"/>
      <c r="ELJ95" s="4"/>
      <c r="ELK95" s="4"/>
      <c r="ELL95" s="4"/>
      <c r="ELM95" s="4"/>
      <c r="ELN95" s="4"/>
      <c r="ELO95" s="4"/>
      <c r="ELP95" s="4"/>
      <c r="ELQ95" s="4"/>
      <c r="ELR95" s="4"/>
      <c r="ELS95" s="4"/>
      <c r="ELT95" s="4"/>
      <c r="ELU95" s="4"/>
      <c r="ELV95" s="4"/>
      <c r="ELW95" s="4"/>
      <c r="ELX95" s="4"/>
      <c r="ELY95" s="4"/>
      <c r="ELZ95" s="4"/>
      <c r="EMA95" s="4"/>
      <c r="EMB95" s="4"/>
      <c r="EMC95" s="4"/>
      <c r="EMD95" s="4"/>
      <c r="EME95" s="4"/>
      <c r="EMF95" s="4"/>
      <c r="EMG95" s="4"/>
      <c r="EMH95" s="4"/>
      <c r="EMI95" s="4"/>
      <c r="EMJ95" s="4"/>
      <c r="EMK95" s="4"/>
      <c r="EML95" s="4"/>
      <c r="EMM95" s="4"/>
      <c r="EMN95" s="4"/>
      <c r="EMO95" s="4"/>
      <c r="EMP95" s="4"/>
      <c r="EMQ95" s="4"/>
      <c r="EMR95" s="4"/>
      <c r="EMS95" s="4"/>
      <c r="EMT95" s="4"/>
      <c r="EMU95" s="4"/>
      <c r="EMV95" s="4"/>
      <c r="EMW95" s="4"/>
      <c r="EMX95" s="4"/>
      <c r="EMY95" s="4"/>
      <c r="EMZ95" s="4"/>
      <c r="ENA95" s="4"/>
      <c r="ENB95" s="4"/>
      <c r="ENC95" s="4"/>
      <c r="END95" s="4"/>
      <c r="ENE95" s="4"/>
      <c r="ENF95" s="4"/>
      <c r="ENG95" s="4"/>
      <c r="ENH95" s="4"/>
      <c r="ENI95" s="4"/>
      <c r="ENJ95" s="4"/>
      <c r="ENK95" s="4"/>
      <c r="ENL95" s="4"/>
      <c r="ENM95" s="4"/>
      <c r="ENN95" s="4"/>
      <c r="ENO95" s="4"/>
      <c r="ENP95" s="4"/>
      <c r="ENQ95" s="4"/>
      <c r="ENR95" s="4"/>
      <c r="ENS95" s="4"/>
      <c r="ENT95" s="4"/>
      <c r="ENU95" s="4"/>
      <c r="ENV95" s="4"/>
      <c r="ENW95" s="4"/>
      <c r="ENX95" s="4"/>
      <c r="ENY95" s="4"/>
      <c r="ENZ95" s="4"/>
      <c r="EOA95" s="4"/>
      <c r="EOB95" s="4"/>
      <c r="EOC95" s="4"/>
      <c r="EOD95" s="4"/>
      <c r="EOE95" s="4"/>
      <c r="EOF95" s="4"/>
      <c r="EOG95" s="4"/>
      <c r="EOH95" s="4"/>
      <c r="EOI95" s="4"/>
      <c r="EOJ95" s="4"/>
      <c r="EOK95" s="4"/>
      <c r="EOL95" s="4"/>
      <c r="EOM95" s="4"/>
      <c r="EON95" s="4"/>
      <c r="EOO95" s="4"/>
      <c r="EOP95" s="4"/>
      <c r="EOQ95" s="4"/>
      <c r="EOR95" s="4"/>
      <c r="EOS95" s="4"/>
      <c r="EOT95" s="4"/>
      <c r="EOU95" s="4"/>
      <c r="EOV95" s="4"/>
      <c r="EOW95" s="4"/>
      <c r="EOX95" s="4"/>
      <c r="EOY95" s="4"/>
      <c r="EOZ95" s="4"/>
      <c r="EPA95" s="4"/>
      <c r="EPB95" s="4"/>
      <c r="EPC95" s="4"/>
      <c r="EPD95" s="4"/>
      <c r="EPE95" s="4"/>
      <c r="EPF95" s="4"/>
      <c r="EPG95" s="4"/>
      <c r="EPH95" s="4"/>
      <c r="EPI95" s="4"/>
      <c r="EPJ95" s="4"/>
      <c r="EPK95" s="4"/>
      <c r="EPL95" s="4"/>
      <c r="EPM95" s="4"/>
      <c r="EPN95" s="4"/>
      <c r="EPO95" s="4"/>
      <c r="EPP95" s="4"/>
      <c r="EPQ95" s="4"/>
      <c r="EPR95" s="4"/>
      <c r="EPS95" s="4"/>
      <c r="EPT95" s="4"/>
      <c r="EPU95" s="4"/>
      <c r="EPV95" s="4"/>
      <c r="EPW95" s="4"/>
      <c r="EPX95" s="4"/>
      <c r="EPY95" s="4"/>
      <c r="EPZ95" s="4"/>
      <c r="EQA95" s="4"/>
      <c r="EQB95" s="4"/>
      <c r="EQC95" s="4"/>
      <c r="EQD95" s="4"/>
      <c r="EQE95" s="4"/>
      <c r="EQF95" s="4"/>
      <c r="EQG95" s="4"/>
      <c r="EQH95" s="4"/>
      <c r="EQI95" s="4"/>
      <c r="EQJ95" s="4"/>
      <c r="EQK95" s="4"/>
      <c r="EQL95" s="4"/>
      <c r="EQM95" s="4"/>
      <c r="EQN95" s="4"/>
      <c r="EQO95" s="4"/>
      <c r="EQP95" s="4"/>
      <c r="EQQ95" s="4"/>
      <c r="EQR95" s="4"/>
      <c r="EQS95" s="4"/>
      <c r="EQT95" s="4"/>
      <c r="EQU95" s="4"/>
      <c r="EQV95" s="4"/>
      <c r="EQW95" s="4"/>
      <c r="EQX95" s="4"/>
      <c r="EQY95" s="4"/>
      <c r="EQZ95" s="4"/>
      <c r="ERA95" s="4"/>
      <c r="ERB95" s="4"/>
      <c r="ERC95" s="4"/>
      <c r="ERD95" s="4"/>
      <c r="ERE95" s="4"/>
      <c r="ERF95" s="4"/>
      <c r="ERG95" s="4"/>
      <c r="ERH95" s="4"/>
      <c r="ERI95" s="4"/>
      <c r="ERJ95" s="4"/>
      <c r="ERK95" s="4"/>
      <c r="ERL95" s="4"/>
      <c r="ERM95" s="4"/>
      <c r="ERN95" s="4"/>
      <c r="ERO95" s="4"/>
      <c r="ERP95" s="4"/>
      <c r="ERQ95" s="4"/>
      <c r="ERR95" s="4"/>
      <c r="ERS95" s="4"/>
      <c r="ERT95" s="4"/>
      <c r="ERU95" s="4"/>
      <c r="ERV95" s="4"/>
      <c r="ERW95" s="4"/>
      <c r="ERX95" s="4"/>
      <c r="ERY95" s="4"/>
      <c r="ERZ95" s="4"/>
      <c r="ESA95" s="4"/>
      <c r="ESB95" s="4"/>
      <c r="ESC95" s="4"/>
      <c r="ESD95" s="4"/>
      <c r="ESE95" s="4"/>
      <c r="ESF95" s="4"/>
      <c r="ESG95" s="4"/>
      <c r="ESH95" s="4"/>
      <c r="ESI95" s="4"/>
      <c r="ESJ95" s="4"/>
      <c r="ESK95" s="4"/>
      <c r="ESL95" s="4"/>
      <c r="ESM95" s="4"/>
      <c r="ESN95" s="4"/>
      <c r="ESO95" s="4"/>
      <c r="ESP95" s="4"/>
      <c r="ESQ95" s="4"/>
      <c r="ESR95" s="4"/>
      <c r="ESS95" s="4"/>
      <c r="EST95" s="4"/>
      <c r="ESU95" s="4"/>
      <c r="ESV95" s="4"/>
      <c r="ESW95" s="4"/>
      <c r="ESX95" s="4"/>
      <c r="ESY95" s="4"/>
      <c r="ESZ95" s="4"/>
      <c r="ETA95" s="4"/>
      <c r="ETB95" s="4"/>
      <c r="ETC95" s="4"/>
      <c r="ETD95" s="4"/>
      <c r="ETE95" s="4"/>
      <c r="ETF95" s="4"/>
      <c r="ETG95" s="4"/>
      <c r="ETH95" s="4"/>
      <c r="ETI95" s="4"/>
      <c r="ETJ95" s="4"/>
      <c r="ETK95" s="4"/>
      <c r="ETL95" s="4"/>
      <c r="ETM95" s="4"/>
      <c r="ETN95" s="4"/>
      <c r="ETO95" s="4"/>
      <c r="ETP95" s="4"/>
      <c r="ETQ95" s="4"/>
      <c r="ETR95" s="4"/>
      <c r="ETS95" s="4"/>
      <c r="ETT95" s="4"/>
      <c r="ETU95" s="4"/>
      <c r="ETV95" s="4"/>
      <c r="ETW95" s="4"/>
      <c r="ETX95" s="4"/>
      <c r="ETY95" s="4"/>
      <c r="ETZ95" s="4"/>
      <c r="EUA95" s="4"/>
      <c r="EUB95" s="4"/>
      <c r="EUC95" s="4"/>
      <c r="EUD95" s="4"/>
      <c r="EUE95" s="4"/>
      <c r="EUF95" s="4"/>
      <c r="EUG95" s="4"/>
      <c r="EUH95" s="4"/>
      <c r="EUI95" s="4"/>
      <c r="EUJ95" s="4"/>
      <c r="EUK95" s="4"/>
      <c r="EUL95" s="4"/>
      <c r="EUM95" s="4"/>
      <c r="EUN95" s="4"/>
      <c r="EUO95" s="4"/>
      <c r="EUP95" s="4"/>
      <c r="EUQ95" s="4"/>
      <c r="EUR95" s="4"/>
      <c r="EUS95" s="4"/>
      <c r="EUT95" s="4"/>
      <c r="EUU95" s="4"/>
      <c r="EUV95" s="4"/>
      <c r="EUW95" s="4"/>
      <c r="EUX95" s="4"/>
      <c r="EUY95" s="4"/>
      <c r="EUZ95" s="4"/>
      <c r="EVA95" s="4"/>
      <c r="EVB95" s="4"/>
      <c r="EVC95" s="4"/>
      <c r="EVD95" s="4"/>
      <c r="EVE95" s="4"/>
      <c r="EVF95" s="4"/>
      <c r="EVG95" s="4"/>
      <c r="EVH95" s="4"/>
      <c r="EVI95" s="4"/>
      <c r="EVJ95" s="4"/>
      <c r="EVK95" s="4"/>
      <c r="EVL95" s="4"/>
      <c r="EVM95" s="4"/>
      <c r="EVN95" s="4"/>
      <c r="EVO95" s="4"/>
      <c r="EVP95" s="4"/>
      <c r="EVQ95" s="4"/>
      <c r="EVR95" s="4"/>
      <c r="EVS95" s="4"/>
      <c r="EVT95" s="4"/>
      <c r="EVU95" s="4"/>
      <c r="EVV95" s="4"/>
      <c r="EVW95" s="4"/>
      <c r="EVX95" s="4"/>
      <c r="EVY95" s="4"/>
      <c r="EVZ95" s="4"/>
      <c r="EWA95" s="4"/>
      <c r="EWB95" s="4"/>
      <c r="EWC95" s="4"/>
      <c r="EWD95" s="4"/>
      <c r="EWE95" s="4"/>
      <c r="EWF95" s="4"/>
      <c r="EWG95" s="4"/>
      <c r="EWH95" s="4"/>
      <c r="EWI95" s="4"/>
      <c r="EWJ95" s="4"/>
      <c r="EWK95" s="4"/>
      <c r="EWL95" s="4"/>
      <c r="EWM95" s="4"/>
      <c r="EWN95" s="4"/>
      <c r="EWO95" s="4"/>
      <c r="EWP95" s="4"/>
      <c r="EWQ95" s="4"/>
      <c r="EWR95" s="4"/>
      <c r="EWS95" s="4"/>
      <c r="EWT95" s="4"/>
      <c r="EWU95" s="4"/>
      <c r="EWV95" s="4"/>
      <c r="EWW95" s="4"/>
      <c r="EWX95" s="4"/>
      <c r="EWY95" s="4"/>
      <c r="EWZ95" s="4"/>
      <c r="EXA95" s="4"/>
      <c r="EXB95" s="4"/>
      <c r="EXC95" s="4"/>
      <c r="EXD95" s="4"/>
      <c r="EXE95" s="4"/>
      <c r="EXF95" s="4"/>
      <c r="EXG95" s="4"/>
      <c r="EXH95" s="4"/>
      <c r="EXI95" s="4"/>
      <c r="EXJ95" s="4"/>
      <c r="EXK95" s="4"/>
      <c r="EXL95" s="4"/>
      <c r="EXM95" s="4"/>
      <c r="EXN95" s="4"/>
      <c r="EXO95" s="4"/>
      <c r="EXP95" s="4"/>
      <c r="EXQ95" s="4"/>
      <c r="EXR95" s="4"/>
      <c r="EXS95" s="4"/>
      <c r="EXT95" s="4"/>
      <c r="EXU95" s="4"/>
      <c r="EXV95" s="4"/>
      <c r="EXW95" s="4"/>
      <c r="EXX95" s="4"/>
      <c r="EXY95" s="4"/>
      <c r="EXZ95" s="4"/>
      <c r="EYA95" s="4"/>
      <c r="EYB95" s="4"/>
      <c r="EYC95" s="4"/>
      <c r="EYD95" s="4"/>
      <c r="EYE95" s="4"/>
      <c r="EYF95" s="4"/>
      <c r="EYG95" s="4"/>
      <c r="EYH95" s="4"/>
      <c r="EYI95" s="4"/>
      <c r="EYJ95" s="4"/>
      <c r="EYK95" s="4"/>
      <c r="EYL95" s="4"/>
      <c r="EYM95" s="4"/>
      <c r="EYN95" s="4"/>
      <c r="EYO95" s="4"/>
      <c r="EYP95" s="4"/>
      <c r="EYQ95" s="4"/>
      <c r="EYR95" s="4"/>
      <c r="EYS95" s="4"/>
      <c r="EYT95" s="4"/>
      <c r="EYU95" s="4"/>
      <c r="EYV95" s="4"/>
      <c r="EYW95" s="4"/>
      <c r="EYX95" s="4"/>
      <c r="EYY95" s="4"/>
      <c r="EYZ95" s="4"/>
      <c r="EZA95" s="4"/>
      <c r="EZB95" s="4"/>
      <c r="EZC95" s="4"/>
      <c r="EZD95" s="4"/>
      <c r="EZE95" s="4"/>
      <c r="EZF95" s="4"/>
      <c r="EZG95" s="4"/>
      <c r="EZH95" s="4"/>
      <c r="EZI95" s="4"/>
      <c r="EZJ95" s="4"/>
      <c r="EZK95" s="4"/>
      <c r="EZL95" s="4"/>
      <c r="EZM95" s="4"/>
      <c r="EZN95" s="4"/>
      <c r="EZO95" s="4"/>
      <c r="EZP95" s="4"/>
      <c r="EZQ95" s="4"/>
      <c r="EZR95" s="4"/>
      <c r="EZS95" s="4"/>
      <c r="EZT95" s="4"/>
      <c r="EZU95" s="4"/>
      <c r="EZV95" s="4"/>
      <c r="EZW95" s="4"/>
      <c r="EZX95" s="4"/>
      <c r="EZY95" s="4"/>
      <c r="EZZ95" s="4"/>
      <c r="FAA95" s="4"/>
      <c r="FAB95" s="4"/>
      <c r="FAC95" s="4"/>
      <c r="FAD95" s="4"/>
      <c r="FAE95" s="4"/>
      <c r="FAF95" s="4"/>
      <c r="FAG95" s="4"/>
      <c r="FAH95" s="4"/>
      <c r="FAI95" s="4"/>
      <c r="FAJ95" s="4"/>
      <c r="FAK95" s="4"/>
      <c r="FAL95" s="4"/>
      <c r="FAM95" s="4"/>
      <c r="FAN95" s="4"/>
      <c r="FAO95" s="4"/>
      <c r="FAP95" s="4"/>
      <c r="FAQ95" s="4"/>
      <c r="FAR95" s="4"/>
      <c r="FAS95" s="4"/>
      <c r="FAT95" s="4"/>
      <c r="FAU95" s="4"/>
      <c r="FAV95" s="4"/>
      <c r="FAW95" s="4"/>
      <c r="FAX95" s="4"/>
      <c r="FAY95" s="4"/>
      <c r="FAZ95" s="4"/>
      <c r="FBA95" s="4"/>
      <c r="FBB95" s="4"/>
      <c r="FBC95" s="4"/>
      <c r="FBD95" s="4"/>
      <c r="FBE95" s="4"/>
      <c r="FBF95" s="4"/>
      <c r="FBG95" s="4"/>
      <c r="FBH95" s="4"/>
      <c r="FBI95" s="4"/>
      <c r="FBJ95" s="4"/>
      <c r="FBK95" s="4"/>
      <c r="FBL95" s="4"/>
      <c r="FBM95" s="4"/>
      <c r="FBN95" s="4"/>
      <c r="FBO95" s="4"/>
      <c r="FBP95" s="4"/>
      <c r="FBQ95" s="4"/>
      <c r="FBR95" s="4"/>
      <c r="FBS95" s="4"/>
      <c r="FBT95" s="4"/>
      <c r="FBU95" s="4"/>
      <c r="FBV95" s="4"/>
      <c r="FBW95" s="4"/>
      <c r="FBX95" s="4"/>
      <c r="FBY95" s="4"/>
      <c r="FBZ95" s="4"/>
      <c r="FCA95" s="4"/>
      <c r="FCB95" s="4"/>
      <c r="FCC95" s="4"/>
      <c r="FCD95" s="4"/>
      <c r="FCE95" s="4"/>
      <c r="FCF95" s="4"/>
      <c r="FCG95" s="4"/>
      <c r="FCH95" s="4"/>
      <c r="FCI95" s="4"/>
      <c r="FCJ95" s="4"/>
      <c r="FCK95" s="4"/>
      <c r="FCL95" s="4"/>
      <c r="FCM95" s="4"/>
      <c r="FCN95" s="4"/>
      <c r="FCO95" s="4"/>
      <c r="FCP95" s="4"/>
      <c r="FCQ95" s="4"/>
      <c r="FCR95" s="4"/>
      <c r="FCS95" s="4"/>
      <c r="FCT95" s="4"/>
      <c r="FCU95" s="4"/>
      <c r="FCV95" s="4"/>
      <c r="FCW95" s="4"/>
      <c r="FCX95" s="4"/>
      <c r="FCY95" s="4"/>
      <c r="FCZ95" s="4"/>
      <c r="FDA95" s="4"/>
      <c r="FDB95" s="4"/>
      <c r="FDC95" s="4"/>
      <c r="FDD95" s="4"/>
      <c r="FDE95" s="4"/>
      <c r="FDF95" s="4"/>
      <c r="FDG95" s="4"/>
      <c r="FDH95" s="4"/>
      <c r="FDI95" s="4"/>
      <c r="FDJ95" s="4"/>
      <c r="FDK95" s="4"/>
      <c r="FDL95" s="4"/>
      <c r="FDM95" s="4"/>
      <c r="FDN95" s="4"/>
      <c r="FDO95" s="4"/>
      <c r="FDP95" s="4"/>
      <c r="FDQ95" s="4"/>
      <c r="FDR95" s="4"/>
      <c r="FDS95" s="4"/>
      <c r="FDT95" s="4"/>
      <c r="FDU95" s="4"/>
      <c r="FDV95" s="4"/>
      <c r="FDW95" s="4"/>
      <c r="FDX95" s="4"/>
      <c r="FDY95" s="4"/>
      <c r="FDZ95" s="4"/>
      <c r="FEA95" s="4"/>
      <c r="FEB95" s="4"/>
      <c r="FEC95" s="4"/>
      <c r="FED95" s="4"/>
      <c r="FEE95" s="4"/>
      <c r="FEF95" s="4"/>
      <c r="FEG95" s="4"/>
      <c r="FEH95" s="4"/>
      <c r="FEI95" s="4"/>
      <c r="FEJ95" s="4"/>
      <c r="FEK95" s="4"/>
      <c r="FEL95" s="4"/>
      <c r="FEM95" s="4"/>
      <c r="FEN95" s="4"/>
      <c r="FEO95" s="4"/>
      <c r="FEP95" s="4"/>
      <c r="FEQ95" s="4"/>
      <c r="FER95" s="4"/>
      <c r="FES95" s="4"/>
      <c r="FET95" s="4"/>
      <c r="FEU95" s="4"/>
      <c r="FEV95" s="4"/>
      <c r="FEW95" s="4"/>
      <c r="FEX95" s="4"/>
      <c r="FEY95" s="4"/>
      <c r="FEZ95" s="4"/>
      <c r="FFA95" s="4"/>
      <c r="FFB95" s="4"/>
      <c r="FFC95" s="4"/>
      <c r="FFD95" s="4"/>
      <c r="FFE95" s="4"/>
      <c r="FFF95" s="4"/>
      <c r="FFG95" s="4"/>
      <c r="FFH95" s="4"/>
      <c r="FFI95" s="4"/>
      <c r="FFJ95" s="4"/>
      <c r="FFK95" s="4"/>
      <c r="FFL95" s="4"/>
      <c r="FFM95" s="4"/>
      <c r="FFN95" s="4"/>
      <c r="FFO95" s="4"/>
      <c r="FFP95" s="4"/>
      <c r="FFQ95" s="4"/>
      <c r="FFR95" s="4"/>
      <c r="FFS95" s="4"/>
      <c r="FFT95" s="4"/>
      <c r="FFU95" s="4"/>
      <c r="FFV95" s="4"/>
      <c r="FFW95" s="4"/>
      <c r="FFX95" s="4"/>
      <c r="FFY95" s="4"/>
      <c r="FFZ95" s="4"/>
      <c r="FGA95" s="4"/>
      <c r="FGB95" s="4"/>
      <c r="FGC95" s="4"/>
      <c r="FGD95" s="4"/>
      <c r="FGE95" s="4"/>
      <c r="FGF95" s="4"/>
      <c r="FGG95" s="4"/>
      <c r="FGH95" s="4"/>
      <c r="FGI95" s="4"/>
      <c r="FGJ95" s="4"/>
      <c r="FGK95" s="4"/>
      <c r="FGL95" s="4"/>
      <c r="FGM95" s="4"/>
      <c r="FGN95" s="4"/>
      <c r="FGO95" s="4"/>
      <c r="FGP95" s="4"/>
      <c r="FGQ95" s="4"/>
      <c r="FGR95" s="4"/>
      <c r="FGS95" s="4"/>
      <c r="FGT95" s="4"/>
      <c r="FGU95" s="4"/>
      <c r="FGV95" s="4"/>
      <c r="FGW95" s="4"/>
      <c r="FGX95" s="4"/>
      <c r="FGY95" s="4"/>
      <c r="FGZ95" s="4"/>
      <c r="FHA95" s="4"/>
      <c r="FHB95" s="4"/>
      <c r="FHC95" s="4"/>
      <c r="FHD95" s="4"/>
      <c r="FHE95" s="4"/>
      <c r="FHF95" s="4"/>
      <c r="FHG95" s="4"/>
      <c r="FHH95" s="4"/>
      <c r="FHI95" s="4"/>
      <c r="FHJ95" s="4"/>
      <c r="FHK95" s="4"/>
      <c r="FHL95" s="4"/>
      <c r="FHM95" s="4"/>
      <c r="FHN95" s="4"/>
      <c r="FHO95" s="4"/>
      <c r="FHP95" s="4"/>
      <c r="FHQ95" s="4"/>
      <c r="FHR95" s="4"/>
      <c r="FHS95" s="4"/>
      <c r="FHT95" s="4"/>
      <c r="FHU95" s="4"/>
      <c r="FHV95" s="4"/>
      <c r="FHW95" s="4"/>
      <c r="FHX95" s="4"/>
      <c r="FHY95" s="4"/>
      <c r="FHZ95" s="4"/>
      <c r="FIA95" s="4"/>
      <c r="FIB95" s="4"/>
      <c r="FIC95" s="4"/>
      <c r="FID95" s="4"/>
      <c r="FIE95" s="4"/>
      <c r="FIF95" s="4"/>
      <c r="FIG95" s="4"/>
      <c r="FIH95" s="4"/>
      <c r="FII95" s="4"/>
      <c r="FIJ95" s="4"/>
      <c r="FIK95" s="4"/>
      <c r="FIL95" s="4"/>
      <c r="FIM95" s="4"/>
      <c r="FIN95" s="4"/>
      <c r="FIO95" s="4"/>
      <c r="FIP95" s="4"/>
      <c r="FIQ95" s="4"/>
      <c r="FIR95" s="4"/>
      <c r="FIS95" s="4"/>
      <c r="FIT95" s="4"/>
      <c r="FIU95" s="4"/>
      <c r="FIV95" s="4"/>
      <c r="FIW95" s="4"/>
      <c r="FIX95" s="4"/>
      <c r="FIY95" s="4"/>
      <c r="FIZ95" s="4"/>
      <c r="FJA95" s="4"/>
      <c r="FJB95" s="4"/>
      <c r="FJC95" s="4"/>
      <c r="FJD95" s="4"/>
      <c r="FJE95" s="4"/>
      <c r="FJF95" s="4"/>
      <c r="FJG95" s="4"/>
      <c r="FJH95" s="4"/>
      <c r="FJI95" s="4"/>
      <c r="FJJ95" s="4"/>
      <c r="FJK95" s="4"/>
      <c r="FJL95" s="4"/>
      <c r="FJM95" s="4"/>
      <c r="FJN95" s="4"/>
      <c r="FJO95" s="4"/>
      <c r="FJP95" s="4"/>
      <c r="FJQ95" s="4"/>
      <c r="FJR95" s="4"/>
      <c r="FJS95" s="4"/>
      <c r="FJT95" s="4"/>
      <c r="FJU95" s="4"/>
      <c r="FJV95" s="4"/>
      <c r="FJW95" s="4"/>
      <c r="FJX95" s="4"/>
      <c r="FJY95" s="4"/>
      <c r="FJZ95" s="4"/>
      <c r="FKA95" s="4"/>
      <c r="FKB95" s="4"/>
      <c r="FKC95" s="4"/>
      <c r="FKD95" s="4"/>
      <c r="FKE95" s="4"/>
      <c r="FKF95" s="4"/>
      <c r="FKG95" s="4"/>
      <c r="FKH95" s="4"/>
      <c r="FKI95" s="4"/>
      <c r="FKJ95" s="4"/>
      <c r="FKK95" s="4"/>
      <c r="FKL95" s="4"/>
      <c r="FKM95" s="4"/>
      <c r="FKN95" s="4"/>
      <c r="FKO95" s="4"/>
      <c r="FKP95" s="4"/>
      <c r="FKQ95" s="4"/>
      <c r="FKR95" s="4"/>
      <c r="FKS95" s="4"/>
      <c r="FKT95" s="4"/>
      <c r="FKU95" s="4"/>
      <c r="FKV95" s="4"/>
      <c r="FKW95" s="4"/>
      <c r="FKX95" s="4"/>
      <c r="FKY95" s="4"/>
      <c r="FKZ95" s="4"/>
      <c r="FLA95" s="4"/>
      <c r="FLB95" s="4"/>
      <c r="FLC95" s="4"/>
      <c r="FLD95" s="4"/>
      <c r="FLE95" s="4"/>
      <c r="FLF95" s="4"/>
      <c r="FLG95" s="4"/>
      <c r="FLH95" s="4"/>
      <c r="FLI95" s="4"/>
      <c r="FLJ95" s="4"/>
      <c r="FLK95" s="4"/>
      <c r="FLL95" s="4"/>
      <c r="FLM95" s="4"/>
      <c r="FLN95" s="4"/>
      <c r="FLO95" s="4"/>
      <c r="FLP95" s="4"/>
      <c r="FLQ95" s="4"/>
      <c r="FLR95" s="4"/>
      <c r="FLS95" s="4"/>
      <c r="FLT95" s="4"/>
      <c r="FLU95" s="4"/>
      <c r="FLV95" s="4"/>
      <c r="FLW95" s="4"/>
      <c r="FLX95" s="4"/>
      <c r="FLY95" s="4"/>
      <c r="FLZ95" s="4"/>
      <c r="FMA95" s="4"/>
      <c r="FMB95" s="4"/>
      <c r="FMC95" s="4"/>
      <c r="FMD95" s="4"/>
      <c r="FME95" s="4"/>
      <c r="FMF95" s="4"/>
      <c r="FMG95" s="4"/>
      <c r="FMH95" s="4"/>
      <c r="FMI95" s="4"/>
      <c r="FMJ95" s="4"/>
      <c r="FMK95" s="4"/>
      <c r="FML95" s="4"/>
      <c r="FMM95" s="4"/>
      <c r="FMN95" s="4"/>
      <c r="FMO95" s="4"/>
      <c r="FMP95" s="4"/>
      <c r="FMQ95" s="4"/>
      <c r="FMR95" s="4"/>
      <c r="FMS95" s="4"/>
      <c r="FMT95" s="4"/>
      <c r="FMU95" s="4"/>
      <c r="FMV95" s="4"/>
      <c r="FMW95" s="4"/>
      <c r="FMX95" s="4"/>
      <c r="FMY95" s="4"/>
      <c r="FMZ95" s="4"/>
      <c r="FNA95" s="4"/>
      <c r="FNB95" s="4"/>
      <c r="FNC95" s="4"/>
      <c r="FND95" s="4"/>
      <c r="FNE95" s="4"/>
      <c r="FNF95" s="4"/>
      <c r="FNG95" s="4"/>
      <c r="FNH95" s="4"/>
      <c r="FNI95" s="4"/>
      <c r="FNJ95" s="4"/>
      <c r="FNK95" s="4"/>
      <c r="FNL95" s="4"/>
      <c r="FNM95" s="4"/>
      <c r="FNN95" s="4"/>
      <c r="FNO95" s="4"/>
      <c r="FNP95" s="4"/>
      <c r="FNQ95" s="4"/>
      <c r="FNR95" s="4"/>
      <c r="FNS95" s="4"/>
      <c r="FNT95" s="4"/>
      <c r="FNU95" s="4"/>
      <c r="FNV95" s="4"/>
      <c r="FNW95" s="4"/>
      <c r="FNX95" s="4"/>
      <c r="FNY95" s="4"/>
      <c r="FNZ95" s="4"/>
      <c r="FOA95" s="4"/>
      <c r="FOB95" s="4"/>
      <c r="FOC95" s="4"/>
      <c r="FOD95" s="4"/>
      <c r="FOE95" s="4"/>
      <c r="FOF95" s="4"/>
      <c r="FOG95" s="4"/>
      <c r="FOH95" s="4"/>
      <c r="FOI95" s="4"/>
      <c r="FOJ95" s="4"/>
      <c r="FOK95" s="4"/>
      <c r="FOL95" s="4"/>
      <c r="FOM95" s="4"/>
      <c r="FON95" s="4"/>
      <c r="FOO95" s="4"/>
      <c r="FOP95" s="4"/>
      <c r="FOQ95" s="4"/>
      <c r="FOR95" s="4"/>
      <c r="FOS95" s="4"/>
      <c r="FOT95" s="4"/>
      <c r="FOU95" s="4"/>
      <c r="FOV95" s="4"/>
      <c r="FOW95" s="4"/>
      <c r="FOX95" s="4"/>
      <c r="FOY95" s="4"/>
      <c r="FOZ95" s="4"/>
      <c r="FPA95" s="4"/>
      <c r="FPB95" s="4"/>
      <c r="FPC95" s="4"/>
      <c r="FPD95" s="4"/>
      <c r="FPE95" s="4"/>
      <c r="FPF95" s="4"/>
      <c r="FPG95" s="4"/>
      <c r="FPH95" s="4"/>
      <c r="FPI95" s="4"/>
      <c r="FPJ95" s="4"/>
      <c r="FPK95" s="4"/>
      <c r="FPL95" s="4"/>
      <c r="FPM95" s="4"/>
      <c r="FPN95" s="4"/>
      <c r="FPO95" s="4"/>
      <c r="FPP95" s="4"/>
      <c r="FPQ95" s="4"/>
      <c r="FPR95" s="4"/>
      <c r="FPS95" s="4"/>
      <c r="FPT95" s="4"/>
      <c r="FPU95" s="4"/>
      <c r="FPV95" s="4"/>
      <c r="FPW95" s="4"/>
      <c r="FPX95" s="4"/>
      <c r="FPY95" s="4"/>
      <c r="FPZ95" s="4"/>
      <c r="FQA95" s="4"/>
      <c r="FQB95" s="4"/>
      <c r="FQC95" s="4"/>
      <c r="FQD95" s="4"/>
      <c r="FQE95" s="4"/>
      <c r="FQF95" s="4"/>
      <c r="FQG95" s="4"/>
      <c r="FQH95" s="4"/>
      <c r="FQI95" s="4"/>
      <c r="FQJ95" s="4"/>
      <c r="FQK95" s="4"/>
      <c r="FQL95" s="4"/>
      <c r="FQM95" s="4"/>
      <c r="FQN95" s="4"/>
      <c r="FQO95" s="4"/>
      <c r="FQP95" s="4"/>
      <c r="FQQ95" s="4"/>
      <c r="FQR95" s="4"/>
      <c r="FQS95" s="4"/>
      <c r="FQT95" s="4"/>
      <c r="FQU95" s="4"/>
      <c r="FQV95" s="4"/>
      <c r="FQW95" s="4"/>
      <c r="FQX95" s="4"/>
      <c r="FQY95" s="4"/>
      <c r="FQZ95" s="4"/>
      <c r="FRA95" s="4"/>
      <c r="FRB95" s="4"/>
      <c r="FRC95" s="4"/>
      <c r="FRD95" s="4"/>
      <c r="FRE95" s="4"/>
      <c r="FRF95" s="4"/>
      <c r="FRG95" s="4"/>
      <c r="FRH95" s="4"/>
      <c r="FRI95" s="4"/>
      <c r="FRJ95" s="4"/>
      <c r="FRK95" s="4"/>
      <c r="FRL95" s="4"/>
      <c r="FRM95" s="4"/>
      <c r="FRN95" s="4"/>
      <c r="FRO95" s="4"/>
      <c r="FRP95" s="4"/>
      <c r="FRQ95" s="4"/>
      <c r="FRR95" s="4"/>
      <c r="FRS95" s="4"/>
      <c r="FRT95" s="4"/>
      <c r="FRU95" s="4"/>
      <c r="FRV95" s="4"/>
      <c r="FRW95" s="4"/>
      <c r="FRX95" s="4"/>
      <c r="FRY95" s="4"/>
      <c r="FRZ95" s="4"/>
      <c r="FSA95" s="4"/>
      <c r="FSB95" s="4"/>
      <c r="FSC95" s="4"/>
      <c r="FSD95" s="4"/>
      <c r="FSE95" s="4"/>
      <c r="FSF95" s="4"/>
      <c r="FSG95" s="4"/>
      <c r="FSH95" s="4"/>
      <c r="FSI95" s="4"/>
      <c r="FSJ95" s="4"/>
      <c r="FSK95" s="4"/>
      <c r="FSL95" s="4"/>
      <c r="FSM95" s="4"/>
      <c r="FSN95" s="4"/>
      <c r="FSO95" s="4"/>
      <c r="FSP95" s="4"/>
      <c r="FSQ95" s="4"/>
      <c r="FSR95" s="4"/>
      <c r="FSS95" s="4"/>
      <c r="FST95" s="4"/>
      <c r="FSU95" s="4"/>
      <c r="FSV95" s="4"/>
      <c r="FSW95" s="4"/>
      <c r="FSX95" s="4"/>
      <c r="FSY95" s="4"/>
      <c r="FSZ95" s="4"/>
      <c r="FTA95" s="4"/>
      <c r="FTB95" s="4"/>
      <c r="FTC95" s="4"/>
      <c r="FTD95" s="4"/>
      <c r="FTE95" s="4"/>
      <c r="FTF95" s="4"/>
      <c r="FTG95" s="4"/>
      <c r="FTH95" s="4"/>
      <c r="FTI95" s="4"/>
      <c r="FTJ95" s="4"/>
      <c r="FTK95" s="4"/>
      <c r="FTL95" s="4"/>
      <c r="FTM95" s="4"/>
      <c r="FTN95" s="4"/>
      <c r="FTO95" s="4"/>
      <c r="FTP95" s="4"/>
      <c r="FTQ95" s="4"/>
      <c r="FTR95" s="4"/>
      <c r="FTS95" s="4"/>
      <c r="FTT95" s="4"/>
      <c r="FTU95" s="4"/>
      <c r="FTV95" s="4"/>
      <c r="FTW95" s="4"/>
      <c r="FTX95" s="4"/>
      <c r="FTY95" s="4"/>
      <c r="FTZ95" s="4"/>
      <c r="FUA95" s="4"/>
      <c r="FUB95" s="4"/>
      <c r="FUC95" s="4"/>
      <c r="FUD95" s="4"/>
      <c r="FUE95" s="4"/>
      <c r="FUF95" s="4"/>
      <c r="FUG95" s="4"/>
      <c r="FUH95" s="4"/>
      <c r="FUI95" s="4"/>
      <c r="FUJ95" s="4"/>
      <c r="FUK95" s="4"/>
      <c r="FUL95" s="4"/>
      <c r="FUM95" s="4"/>
      <c r="FUN95" s="4"/>
      <c r="FUO95" s="4"/>
      <c r="FUP95" s="4"/>
      <c r="FUQ95" s="4"/>
      <c r="FUR95" s="4"/>
      <c r="FUS95" s="4"/>
      <c r="FUT95" s="4"/>
      <c r="FUU95" s="4"/>
      <c r="FUV95" s="4"/>
      <c r="FUW95" s="4"/>
      <c r="FUX95" s="4"/>
      <c r="FUY95" s="4"/>
      <c r="FUZ95" s="4"/>
      <c r="FVA95" s="4"/>
      <c r="FVB95" s="4"/>
      <c r="FVC95" s="4"/>
      <c r="FVD95" s="4"/>
      <c r="FVE95" s="4"/>
      <c r="FVF95" s="4"/>
      <c r="FVG95" s="4"/>
      <c r="FVH95" s="4"/>
      <c r="FVI95" s="4"/>
      <c r="FVJ95" s="4"/>
      <c r="FVK95" s="4"/>
      <c r="FVL95" s="4"/>
      <c r="FVM95" s="4"/>
      <c r="FVN95" s="4"/>
      <c r="FVO95" s="4"/>
      <c r="FVP95" s="4"/>
      <c r="FVQ95" s="4"/>
      <c r="FVR95" s="4"/>
      <c r="FVS95" s="4"/>
      <c r="FVT95" s="4"/>
      <c r="FVU95" s="4"/>
      <c r="FVV95" s="4"/>
      <c r="FVW95" s="4"/>
      <c r="FVX95" s="4"/>
      <c r="FVY95" s="4"/>
      <c r="FVZ95" s="4"/>
      <c r="FWA95" s="4"/>
      <c r="FWB95" s="4"/>
      <c r="FWC95" s="4"/>
      <c r="FWD95" s="4"/>
      <c r="FWE95" s="4"/>
      <c r="FWF95" s="4"/>
      <c r="FWG95" s="4"/>
      <c r="FWH95" s="4"/>
      <c r="FWI95" s="4"/>
      <c r="FWJ95" s="4"/>
      <c r="FWK95" s="4"/>
      <c r="FWL95" s="4"/>
      <c r="FWM95" s="4"/>
      <c r="FWN95" s="4"/>
      <c r="FWO95" s="4"/>
      <c r="FWP95" s="4"/>
      <c r="FWQ95" s="4"/>
      <c r="FWR95" s="4"/>
      <c r="FWS95" s="4"/>
      <c r="FWT95" s="4"/>
      <c r="FWU95" s="4"/>
      <c r="FWV95" s="4"/>
      <c r="FWW95" s="4"/>
      <c r="FWX95" s="4"/>
      <c r="FWY95" s="4"/>
      <c r="FWZ95" s="4"/>
      <c r="FXA95" s="4"/>
      <c r="FXB95" s="4"/>
      <c r="FXC95" s="4"/>
      <c r="FXD95" s="4"/>
      <c r="FXE95" s="4"/>
      <c r="FXF95" s="4"/>
      <c r="FXG95" s="4"/>
      <c r="FXH95" s="4"/>
      <c r="FXI95" s="4"/>
      <c r="FXJ95" s="4"/>
      <c r="FXK95" s="4"/>
      <c r="FXL95" s="4"/>
      <c r="FXM95" s="4"/>
      <c r="FXN95" s="4"/>
      <c r="FXO95" s="4"/>
      <c r="FXP95" s="4"/>
      <c r="FXQ95" s="4"/>
      <c r="FXR95" s="4"/>
      <c r="FXS95" s="4"/>
      <c r="FXT95" s="4"/>
      <c r="FXU95" s="4"/>
      <c r="FXV95" s="4"/>
      <c r="FXW95" s="4"/>
      <c r="FXX95" s="4"/>
      <c r="FXY95" s="4"/>
      <c r="FXZ95" s="4"/>
      <c r="FYA95" s="4"/>
      <c r="FYB95" s="4"/>
      <c r="FYC95" s="4"/>
      <c r="FYD95" s="4"/>
      <c r="FYE95" s="4"/>
      <c r="FYF95" s="4"/>
      <c r="FYG95" s="4"/>
      <c r="FYH95" s="4"/>
      <c r="FYI95" s="4"/>
      <c r="FYJ95" s="4"/>
      <c r="FYK95" s="4"/>
      <c r="FYL95" s="4"/>
      <c r="FYM95" s="4"/>
      <c r="FYN95" s="4"/>
      <c r="FYO95" s="4"/>
      <c r="FYP95" s="4"/>
      <c r="FYQ95" s="4"/>
      <c r="FYR95" s="4"/>
      <c r="FYS95" s="4"/>
      <c r="FYT95" s="4"/>
      <c r="FYU95" s="4"/>
      <c r="FYV95" s="4"/>
      <c r="FYW95" s="4"/>
      <c r="FYX95" s="4"/>
      <c r="FYY95" s="4"/>
      <c r="FYZ95" s="4"/>
      <c r="FZA95" s="4"/>
      <c r="FZB95" s="4"/>
      <c r="FZC95" s="4"/>
      <c r="FZD95" s="4"/>
      <c r="FZE95" s="4"/>
      <c r="FZF95" s="4"/>
      <c r="FZG95" s="4"/>
      <c r="FZH95" s="4"/>
      <c r="FZI95" s="4"/>
      <c r="FZJ95" s="4"/>
      <c r="FZK95" s="4"/>
      <c r="FZL95" s="4"/>
      <c r="FZM95" s="4"/>
      <c r="FZN95" s="4"/>
      <c r="FZO95" s="4"/>
      <c r="FZP95" s="4"/>
      <c r="FZQ95" s="4"/>
      <c r="FZR95" s="4"/>
      <c r="FZS95" s="4"/>
      <c r="FZT95" s="4"/>
      <c r="FZU95" s="4"/>
      <c r="FZV95" s="4"/>
      <c r="FZW95" s="4"/>
      <c r="FZX95" s="4"/>
      <c r="FZY95" s="4"/>
      <c r="FZZ95" s="4"/>
      <c r="GAA95" s="4"/>
      <c r="GAB95" s="4"/>
      <c r="GAC95" s="4"/>
      <c r="GAD95" s="4"/>
      <c r="GAE95" s="4"/>
      <c r="GAF95" s="4"/>
      <c r="GAG95" s="4"/>
      <c r="GAH95" s="4"/>
      <c r="GAI95" s="4"/>
      <c r="GAJ95" s="4"/>
      <c r="GAK95" s="4"/>
      <c r="GAL95" s="4"/>
      <c r="GAM95" s="4"/>
      <c r="GAN95" s="4"/>
      <c r="GAO95" s="4"/>
      <c r="GAP95" s="4"/>
      <c r="GAQ95" s="4"/>
      <c r="GAR95" s="4"/>
      <c r="GAS95" s="4"/>
      <c r="GAT95" s="4"/>
      <c r="GAU95" s="4"/>
      <c r="GAV95" s="4"/>
      <c r="GAW95" s="4"/>
      <c r="GAX95" s="4"/>
      <c r="GAY95" s="4"/>
      <c r="GAZ95" s="4"/>
      <c r="GBA95" s="4"/>
      <c r="GBB95" s="4"/>
      <c r="GBC95" s="4"/>
      <c r="GBD95" s="4"/>
      <c r="GBE95" s="4"/>
      <c r="GBF95" s="4"/>
      <c r="GBG95" s="4"/>
      <c r="GBH95" s="4"/>
      <c r="GBI95" s="4"/>
      <c r="GBJ95" s="4"/>
      <c r="GBK95" s="4"/>
      <c r="GBL95" s="4"/>
      <c r="GBM95" s="4"/>
      <c r="GBN95" s="4"/>
      <c r="GBO95" s="4"/>
      <c r="GBP95" s="4"/>
      <c r="GBQ95" s="4"/>
      <c r="GBR95" s="4"/>
      <c r="GBS95" s="4"/>
      <c r="GBT95" s="4"/>
      <c r="GBU95" s="4"/>
      <c r="GBV95" s="4"/>
      <c r="GBW95" s="4"/>
      <c r="GBX95" s="4"/>
      <c r="GBY95" s="4"/>
      <c r="GBZ95" s="4"/>
      <c r="GCA95" s="4"/>
      <c r="GCB95" s="4"/>
      <c r="GCC95" s="4"/>
      <c r="GCD95" s="4"/>
      <c r="GCE95" s="4"/>
      <c r="GCF95" s="4"/>
      <c r="GCG95" s="4"/>
      <c r="GCH95" s="4"/>
      <c r="GCI95" s="4"/>
      <c r="GCJ95" s="4"/>
      <c r="GCK95" s="4"/>
      <c r="GCL95" s="4"/>
      <c r="GCM95" s="4"/>
      <c r="GCN95" s="4"/>
      <c r="GCO95" s="4"/>
      <c r="GCP95" s="4"/>
      <c r="GCQ95" s="4"/>
      <c r="GCR95" s="4"/>
      <c r="GCS95" s="4"/>
      <c r="GCT95" s="4"/>
      <c r="GCU95" s="4"/>
      <c r="GCV95" s="4"/>
      <c r="GCW95" s="4"/>
      <c r="GCX95" s="4"/>
      <c r="GCY95" s="4"/>
      <c r="GCZ95" s="4"/>
      <c r="GDA95" s="4"/>
      <c r="GDB95" s="4"/>
      <c r="GDC95" s="4"/>
      <c r="GDD95" s="4"/>
      <c r="GDE95" s="4"/>
      <c r="GDF95" s="4"/>
      <c r="GDG95" s="4"/>
      <c r="GDH95" s="4"/>
      <c r="GDI95" s="4"/>
      <c r="GDJ95" s="4"/>
      <c r="GDK95" s="4"/>
      <c r="GDL95" s="4"/>
      <c r="GDM95" s="4"/>
      <c r="GDN95" s="4"/>
      <c r="GDO95" s="4"/>
      <c r="GDP95" s="4"/>
      <c r="GDQ95" s="4"/>
      <c r="GDR95" s="4"/>
      <c r="GDS95" s="4"/>
      <c r="GDT95" s="4"/>
      <c r="GDU95" s="4"/>
      <c r="GDV95" s="4"/>
      <c r="GDW95" s="4"/>
      <c r="GDX95" s="4"/>
      <c r="GDY95" s="4"/>
      <c r="GDZ95" s="4"/>
      <c r="GEA95" s="4"/>
      <c r="GEB95" s="4"/>
      <c r="GEC95" s="4"/>
      <c r="GED95" s="4"/>
      <c r="GEE95" s="4"/>
      <c r="GEF95" s="4"/>
      <c r="GEG95" s="4"/>
      <c r="GEH95" s="4"/>
      <c r="GEI95" s="4"/>
      <c r="GEJ95" s="4"/>
      <c r="GEK95" s="4"/>
      <c r="GEL95" s="4"/>
      <c r="GEM95" s="4"/>
      <c r="GEN95" s="4"/>
      <c r="GEO95" s="4"/>
      <c r="GEP95" s="4"/>
      <c r="GEQ95" s="4"/>
      <c r="GER95" s="4"/>
      <c r="GES95" s="4"/>
      <c r="GET95" s="4"/>
      <c r="GEU95" s="4"/>
      <c r="GEV95" s="4"/>
      <c r="GEW95" s="4"/>
      <c r="GEX95" s="4"/>
      <c r="GEY95" s="4"/>
      <c r="GEZ95" s="4"/>
      <c r="GFA95" s="4"/>
      <c r="GFB95" s="4"/>
      <c r="GFC95" s="4"/>
      <c r="GFD95" s="4"/>
      <c r="GFE95" s="4"/>
      <c r="GFF95" s="4"/>
      <c r="GFG95" s="4"/>
      <c r="GFH95" s="4"/>
      <c r="GFI95" s="4"/>
      <c r="GFJ95" s="4"/>
      <c r="GFK95" s="4"/>
      <c r="GFL95" s="4"/>
      <c r="GFM95" s="4"/>
      <c r="GFN95" s="4"/>
      <c r="GFO95" s="4"/>
      <c r="GFP95" s="4"/>
      <c r="GFQ95" s="4"/>
      <c r="GFR95" s="4"/>
      <c r="GFS95" s="4"/>
      <c r="GFT95" s="4"/>
      <c r="GFU95" s="4"/>
      <c r="GFV95" s="4"/>
      <c r="GFW95" s="4"/>
      <c r="GFX95" s="4"/>
      <c r="GFY95" s="4"/>
      <c r="GFZ95" s="4"/>
      <c r="GGA95" s="4"/>
      <c r="GGB95" s="4"/>
      <c r="GGC95" s="4"/>
      <c r="GGD95" s="4"/>
      <c r="GGE95" s="4"/>
      <c r="GGF95" s="4"/>
      <c r="GGG95" s="4"/>
      <c r="GGH95" s="4"/>
      <c r="GGI95" s="4"/>
      <c r="GGJ95" s="4"/>
      <c r="GGK95" s="4"/>
      <c r="GGL95" s="4"/>
      <c r="GGM95" s="4"/>
      <c r="GGN95" s="4"/>
      <c r="GGO95" s="4"/>
      <c r="GGP95" s="4"/>
      <c r="GGQ95" s="4"/>
      <c r="GGR95" s="4"/>
      <c r="GGS95" s="4"/>
      <c r="GGT95" s="4"/>
      <c r="GGU95" s="4"/>
      <c r="GGV95" s="4"/>
      <c r="GGW95" s="4"/>
      <c r="GGX95" s="4"/>
      <c r="GGY95" s="4"/>
      <c r="GGZ95" s="4"/>
      <c r="GHA95" s="4"/>
      <c r="GHB95" s="4"/>
      <c r="GHC95" s="4"/>
      <c r="GHD95" s="4"/>
      <c r="GHE95" s="4"/>
      <c r="GHF95" s="4"/>
      <c r="GHG95" s="4"/>
      <c r="GHH95" s="4"/>
      <c r="GHI95" s="4"/>
      <c r="GHJ95" s="4"/>
      <c r="GHK95" s="4"/>
      <c r="GHL95" s="4"/>
      <c r="GHM95" s="4"/>
      <c r="GHN95" s="4"/>
      <c r="GHO95" s="4"/>
      <c r="GHP95" s="4"/>
      <c r="GHQ95" s="4"/>
      <c r="GHR95" s="4"/>
      <c r="GHS95" s="4"/>
      <c r="GHT95" s="4"/>
      <c r="GHU95" s="4"/>
      <c r="GHV95" s="4"/>
      <c r="GHW95" s="4"/>
      <c r="GHX95" s="4"/>
      <c r="GHY95" s="4"/>
      <c r="GHZ95" s="4"/>
      <c r="GIA95" s="4"/>
      <c r="GIB95" s="4"/>
      <c r="GIC95" s="4"/>
      <c r="GID95" s="4"/>
      <c r="GIE95" s="4"/>
      <c r="GIF95" s="4"/>
      <c r="GIG95" s="4"/>
      <c r="GIH95" s="4"/>
      <c r="GII95" s="4"/>
      <c r="GIJ95" s="4"/>
      <c r="GIK95" s="4"/>
      <c r="GIL95" s="4"/>
      <c r="GIM95" s="4"/>
      <c r="GIN95" s="4"/>
      <c r="GIO95" s="4"/>
      <c r="GIP95" s="4"/>
      <c r="GIQ95" s="4"/>
      <c r="GIR95" s="4"/>
      <c r="GIS95" s="4"/>
      <c r="GIT95" s="4"/>
      <c r="GIU95" s="4"/>
      <c r="GIV95" s="4"/>
      <c r="GIW95" s="4"/>
      <c r="GIX95" s="4"/>
      <c r="GIY95" s="4"/>
      <c r="GIZ95" s="4"/>
      <c r="GJA95" s="4"/>
      <c r="GJB95" s="4"/>
      <c r="GJC95" s="4"/>
      <c r="GJD95" s="4"/>
      <c r="GJE95" s="4"/>
      <c r="GJF95" s="4"/>
      <c r="GJG95" s="4"/>
      <c r="GJH95" s="4"/>
      <c r="GJI95" s="4"/>
      <c r="GJJ95" s="4"/>
      <c r="GJK95" s="4"/>
      <c r="GJL95" s="4"/>
      <c r="GJM95" s="4"/>
      <c r="GJN95" s="4"/>
      <c r="GJO95" s="4"/>
      <c r="GJP95" s="4"/>
      <c r="GJQ95" s="4"/>
      <c r="GJR95" s="4"/>
      <c r="GJS95" s="4"/>
      <c r="GJT95" s="4"/>
      <c r="GJU95" s="4"/>
      <c r="GJV95" s="4"/>
      <c r="GJW95" s="4"/>
      <c r="GJX95" s="4"/>
      <c r="GJY95" s="4"/>
      <c r="GJZ95" s="4"/>
      <c r="GKA95" s="4"/>
      <c r="GKB95" s="4"/>
      <c r="GKC95" s="4"/>
      <c r="GKD95" s="4"/>
      <c r="GKE95" s="4"/>
      <c r="GKF95" s="4"/>
      <c r="GKG95" s="4"/>
      <c r="GKH95" s="4"/>
      <c r="GKI95" s="4"/>
      <c r="GKJ95" s="4"/>
      <c r="GKK95" s="4"/>
      <c r="GKL95" s="4"/>
      <c r="GKM95" s="4"/>
      <c r="GKN95" s="4"/>
      <c r="GKO95" s="4"/>
      <c r="GKP95" s="4"/>
      <c r="GKQ95" s="4"/>
      <c r="GKR95" s="4"/>
      <c r="GKS95" s="4"/>
      <c r="GKT95" s="4"/>
      <c r="GKU95" s="4"/>
      <c r="GKV95" s="4"/>
      <c r="GKW95" s="4"/>
      <c r="GKX95" s="4"/>
      <c r="GKY95" s="4"/>
      <c r="GKZ95" s="4"/>
      <c r="GLA95" s="4"/>
      <c r="GLB95" s="4"/>
      <c r="GLC95" s="4"/>
      <c r="GLD95" s="4"/>
      <c r="GLE95" s="4"/>
      <c r="GLF95" s="4"/>
      <c r="GLG95" s="4"/>
      <c r="GLH95" s="4"/>
      <c r="GLI95" s="4"/>
      <c r="GLJ95" s="4"/>
      <c r="GLK95" s="4"/>
      <c r="GLL95" s="4"/>
      <c r="GLM95" s="4"/>
      <c r="GLN95" s="4"/>
      <c r="GLO95" s="4"/>
      <c r="GLP95" s="4"/>
      <c r="GLQ95" s="4"/>
      <c r="GLR95" s="4"/>
      <c r="GLS95" s="4"/>
      <c r="GLT95" s="4"/>
      <c r="GLU95" s="4"/>
      <c r="GLV95" s="4"/>
      <c r="GLW95" s="4"/>
      <c r="GLX95" s="4"/>
      <c r="GLY95" s="4"/>
      <c r="GLZ95" s="4"/>
      <c r="GMA95" s="4"/>
      <c r="GMB95" s="4"/>
      <c r="GMC95" s="4"/>
      <c r="GMD95" s="4"/>
      <c r="GME95" s="4"/>
      <c r="GMF95" s="4"/>
      <c r="GMG95" s="4"/>
      <c r="GMH95" s="4"/>
      <c r="GMI95" s="4"/>
      <c r="GMJ95" s="4"/>
      <c r="GMK95" s="4"/>
      <c r="GML95" s="4"/>
      <c r="GMM95" s="4"/>
      <c r="GMN95" s="4"/>
      <c r="GMO95" s="4"/>
      <c r="GMP95" s="4"/>
      <c r="GMQ95" s="4"/>
      <c r="GMR95" s="4"/>
      <c r="GMS95" s="4"/>
      <c r="GMT95" s="4"/>
      <c r="GMU95" s="4"/>
      <c r="GMV95" s="4"/>
      <c r="GMW95" s="4"/>
      <c r="GMX95" s="4"/>
      <c r="GMY95" s="4"/>
      <c r="GMZ95" s="4"/>
      <c r="GNA95" s="4"/>
      <c r="GNB95" s="4"/>
      <c r="GNC95" s="4"/>
      <c r="GND95" s="4"/>
      <c r="GNE95" s="4"/>
      <c r="GNF95" s="4"/>
      <c r="GNG95" s="4"/>
      <c r="GNH95" s="4"/>
      <c r="GNI95" s="4"/>
      <c r="GNJ95" s="4"/>
      <c r="GNK95" s="4"/>
      <c r="GNL95" s="4"/>
      <c r="GNM95" s="4"/>
      <c r="GNN95" s="4"/>
      <c r="GNO95" s="4"/>
      <c r="GNP95" s="4"/>
      <c r="GNQ95" s="4"/>
      <c r="GNR95" s="4"/>
      <c r="GNS95" s="4"/>
      <c r="GNT95" s="4"/>
      <c r="GNU95" s="4"/>
      <c r="GNV95" s="4"/>
      <c r="GNW95" s="4"/>
      <c r="GNX95" s="4"/>
      <c r="GNY95" s="4"/>
      <c r="GNZ95" s="4"/>
      <c r="GOA95" s="4"/>
      <c r="GOB95" s="4"/>
      <c r="GOC95" s="4"/>
      <c r="GOD95" s="4"/>
      <c r="GOE95" s="4"/>
      <c r="GOF95" s="4"/>
      <c r="GOG95" s="4"/>
      <c r="GOH95" s="4"/>
      <c r="GOI95" s="4"/>
      <c r="GOJ95" s="4"/>
      <c r="GOK95" s="4"/>
      <c r="GOL95" s="4"/>
      <c r="GOM95" s="4"/>
      <c r="GON95" s="4"/>
      <c r="GOO95" s="4"/>
      <c r="GOP95" s="4"/>
      <c r="GOQ95" s="4"/>
      <c r="GOR95" s="4"/>
      <c r="GOS95" s="4"/>
      <c r="GOT95" s="4"/>
      <c r="GOU95" s="4"/>
      <c r="GOV95" s="4"/>
      <c r="GOW95" s="4"/>
      <c r="GOX95" s="4"/>
      <c r="GOY95" s="4"/>
      <c r="GOZ95" s="4"/>
      <c r="GPA95" s="4"/>
      <c r="GPB95" s="4"/>
      <c r="GPC95" s="4"/>
      <c r="GPD95" s="4"/>
      <c r="GPE95" s="4"/>
      <c r="GPF95" s="4"/>
      <c r="GPG95" s="4"/>
      <c r="GPH95" s="4"/>
      <c r="GPI95" s="4"/>
      <c r="GPJ95" s="4"/>
      <c r="GPK95" s="4"/>
      <c r="GPL95" s="4"/>
      <c r="GPM95" s="4"/>
      <c r="GPN95" s="4"/>
      <c r="GPO95" s="4"/>
      <c r="GPP95" s="4"/>
      <c r="GPQ95" s="4"/>
      <c r="GPR95" s="4"/>
      <c r="GPS95" s="4"/>
      <c r="GPT95" s="4"/>
      <c r="GPU95" s="4"/>
      <c r="GPV95" s="4"/>
      <c r="GPW95" s="4"/>
      <c r="GPX95" s="4"/>
      <c r="GPY95" s="4"/>
      <c r="GPZ95" s="4"/>
      <c r="GQA95" s="4"/>
      <c r="GQB95" s="4"/>
      <c r="GQC95" s="4"/>
      <c r="GQD95" s="4"/>
      <c r="GQE95" s="4"/>
      <c r="GQF95" s="4"/>
      <c r="GQG95" s="4"/>
      <c r="GQH95" s="4"/>
      <c r="GQI95" s="4"/>
      <c r="GQJ95" s="4"/>
      <c r="GQK95" s="4"/>
      <c r="GQL95" s="4"/>
      <c r="GQM95" s="4"/>
      <c r="GQN95" s="4"/>
      <c r="GQO95" s="4"/>
      <c r="GQP95" s="4"/>
      <c r="GQQ95" s="4"/>
      <c r="GQR95" s="4"/>
      <c r="GQS95" s="4"/>
      <c r="GQT95" s="4"/>
      <c r="GQU95" s="4"/>
      <c r="GQV95" s="4"/>
      <c r="GQW95" s="4"/>
      <c r="GQX95" s="4"/>
      <c r="GQY95" s="4"/>
      <c r="GQZ95" s="4"/>
      <c r="GRA95" s="4"/>
      <c r="GRB95" s="4"/>
      <c r="GRC95" s="4"/>
      <c r="GRD95" s="4"/>
      <c r="GRE95" s="4"/>
      <c r="GRF95" s="4"/>
      <c r="GRG95" s="4"/>
      <c r="GRH95" s="4"/>
      <c r="GRI95" s="4"/>
      <c r="GRJ95" s="4"/>
      <c r="GRK95" s="4"/>
      <c r="GRL95" s="4"/>
      <c r="GRM95" s="4"/>
      <c r="GRN95" s="4"/>
      <c r="GRO95" s="4"/>
      <c r="GRP95" s="4"/>
      <c r="GRQ95" s="4"/>
      <c r="GRR95" s="4"/>
      <c r="GRS95" s="4"/>
      <c r="GRT95" s="4"/>
      <c r="GRU95" s="4"/>
      <c r="GRV95" s="4"/>
      <c r="GRW95" s="4"/>
      <c r="GRX95" s="4"/>
      <c r="GRY95" s="4"/>
      <c r="GRZ95" s="4"/>
      <c r="GSA95" s="4"/>
      <c r="GSB95" s="4"/>
      <c r="GSC95" s="4"/>
      <c r="GSD95" s="4"/>
      <c r="GSE95" s="4"/>
      <c r="GSF95" s="4"/>
      <c r="GSG95" s="4"/>
      <c r="GSH95" s="4"/>
      <c r="GSI95" s="4"/>
      <c r="GSJ95" s="4"/>
      <c r="GSK95" s="4"/>
      <c r="GSL95" s="4"/>
      <c r="GSM95" s="4"/>
      <c r="GSN95" s="4"/>
      <c r="GSO95" s="4"/>
      <c r="GSP95" s="4"/>
      <c r="GSQ95" s="4"/>
      <c r="GSR95" s="4"/>
      <c r="GSS95" s="4"/>
      <c r="GST95" s="4"/>
      <c r="GSU95" s="4"/>
      <c r="GSV95" s="4"/>
      <c r="GSW95" s="4"/>
      <c r="GSX95" s="4"/>
      <c r="GSY95" s="4"/>
      <c r="GSZ95" s="4"/>
      <c r="GTA95" s="4"/>
      <c r="GTB95" s="4"/>
      <c r="GTC95" s="4"/>
      <c r="GTD95" s="4"/>
      <c r="GTE95" s="4"/>
      <c r="GTF95" s="4"/>
      <c r="GTG95" s="4"/>
      <c r="GTH95" s="4"/>
      <c r="GTI95" s="4"/>
      <c r="GTJ95" s="4"/>
      <c r="GTK95" s="4"/>
      <c r="GTL95" s="4"/>
      <c r="GTM95" s="4"/>
      <c r="GTN95" s="4"/>
      <c r="GTO95" s="4"/>
      <c r="GTP95" s="4"/>
      <c r="GTQ95" s="4"/>
      <c r="GTR95" s="4"/>
      <c r="GTS95" s="4"/>
      <c r="GTT95" s="4"/>
      <c r="GTU95" s="4"/>
      <c r="GTV95" s="4"/>
      <c r="GTW95" s="4"/>
      <c r="GTX95" s="4"/>
      <c r="GTY95" s="4"/>
      <c r="GTZ95" s="4"/>
      <c r="GUA95" s="4"/>
      <c r="GUB95" s="4"/>
      <c r="GUC95" s="4"/>
      <c r="GUD95" s="4"/>
      <c r="GUE95" s="4"/>
      <c r="GUF95" s="4"/>
      <c r="GUG95" s="4"/>
      <c r="GUH95" s="4"/>
      <c r="GUI95" s="4"/>
      <c r="GUJ95" s="4"/>
      <c r="GUK95" s="4"/>
      <c r="GUL95" s="4"/>
      <c r="GUM95" s="4"/>
      <c r="GUN95" s="4"/>
      <c r="GUO95" s="4"/>
      <c r="GUP95" s="4"/>
      <c r="GUQ95" s="4"/>
      <c r="GUR95" s="4"/>
      <c r="GUS95" s="4"/>
      <c r="GUT95" s="4"/>
      <c r="GUU95" s="4"/>
      <c r="GUV95" s="4"/>
      <c r="GUW95" s="4"/>
      <c r="GUX95" s="4"/>
      <c r="GUY95" s="4"/>
      <c r="GUZ95" s="4"/>
      <c r="GVA95" s="4"/>
      <c r="GVB95" s="4"/>
      <c r="GVC95" s="4"/>
      <c r="GVD95" s="4"/>
      <c r="GVE95" s="4"/>
      <c r="GVF95" s="4"/>
      <c r="GVG95" s="4"/>
      <c r="GVH95" s="4"/>
      <c r="GVI95" s="4"/>
      <c r="GVJ95" s="4"/>
      <c r="GVK95" s="4"/>
      <c r="GVL95" s="4"/>
      <c r="GVM95" s="4"/>
      <c r="GVN95" s="4"/>
      <c r="GVO95" s="4"/>
      <c r="GVP95" s="4"/>
      <c r="GVQ95" s="4"/>
      <c r="GVR95" s="4"/>
      <c r="GVS95" s="4"/>
      <c r="GVT95" s="4"/>
      <c r="GVU95" s="4"/>
      <c r="GVV95" s="4"/>
      <c r="GVW95" s="4"/>
      <c r="GVX95" s="4"/>
      <c r="GVY95" s="4"/>
      <c r="GVZ95" s="4"/>
      <c r="GWA95" s="4"/>
      <c r="GWB95" s="4"/>
      <c r="GWC95" s="4"/>
      <c r="GWD95" s="4"/>
      <c r="GWE95" s="4"/>
      <c r="GWF95" s="4"/>
      <c r="GWG95" s="4"/>
      <c r="GWH95" s="4"/>
      <c r="GWI95" s="4"/>
      <c r="GWJ95" s="4"/>
      <c r="GWK95" s="4"/>
      <c r="GWL95" s="4"/>
      <c r="GWM95" s="4"/>
      <c r="GWN95" s="4"/>
      <c r="GWO95" s="4"/>
      <c r="GWP95" s="4"/>
      <c r="GWQ95" s="4"/>
      <c r="GWR95" s="4"/>
      <c r="GWS95" s="4"/>
      <c r="GWT95" s="4"/>
      <c r="GWU95" s="4"/>
      <c r="GWV95" s="4"/>
      <c r="GWW95" s="4"/>
      <c r="GWX95" s="4"/>
      <c r="GWY95" s="4"/>
      <c r="GWZ95" s="4"/>
      <c r="GXA95" s="4"/>
      <c r="GXB95" s="4"/>
      <c r="GXC95" s="4"/>
      <c r="GXD95" s="4"/>
      <c r="GXE95" s="4"/>
      <c r="GXF95" s="4"/>
      <c r="GXG95" s="4"/>
      <c r="GXH95" s="4"/>
      <c r="GXI95" s="4"/>
      <c r="GXJ95" s="4"/>
      <c r="GXK95" s="4"/>
      <c r="GXL95" s="4"/>
      <c r="GXM95" s="4"/>
      <c r="GXN95" s="4"/>
      <c r="GXO95" s="4"/>
      <c r="GXP95" s="4"/>
      <c r="GXQ95" s="4"/>
      <c r="GXR95" s="4"/>
      <c r="GXS95" s="4"/>
      <c r="GXT95" s="4"/>
      <c r="GXU95" s="4"/>
      <c r="GXV95" s="4"/>
      <c r="GXW95" s="4"/>
      <c r="GXX95" s="4"/>
      <c r="GXY95" s="4"/>
      <c r="GXZ95" s="4"/>
      <c r="GYA95" s="4"/>
      <c r="GYB95" s="4"/>
      <c r="GYC95" s="4"/>
      <c r="GYD95" s="4"/>
      <c r="GYE95" s="4"/>
      <c r="GYF95" s="4"/>
      <c r="GYG95" s="4"/>
      <c r="GYH95" s="4"/>
      <c r="GYI95" s="4"/>
      <c r="GYJ95" s="4"/>
      <c r="GYK95" s="4"/>
      <c r="GYL95" s="4"/>
      <c r="GYM95" s="4"/>
      <c r="GYN95" s="4"/>
      <c r="GYO95" s="4"/>
      <c r="GYP95" s="4"/>
      <c r="GYQ95" s="4"/>
      <c r="GYR95" s="4"/>
      <c r="GYS95" s="4"/>
      <c r="GYT95" s="4"/>
      <c r="GYU95" s="4"/>
      <c r="GYV95" s="4"/>
      <c r="GYW95" s="4"/>
      <c r="GYX95" s="4"/>
      <c r="GYY95" s="4"/>
      <c r="GYZ95" s="4"/>
      <c r="GZA95" s="4"/>
      <c r="GZB95" s="4"/>
      <c r="GZC95" s="4"/>
      <c r="GZD95" s="4"/>
      <c r="GZE95" s="4"/>
      <c r="GZF95" s="4"/>
      <c r="GZG95" s="4"/>
      <c r="GZH95" s="4"/>
      <c r="GZI95" s="4"/>
      <c r="GZJ95" s="4"/>
      <c r="GZK95" s="4"/>
      <c r="GZL95" s="4"/>
      <c r="GZM95" s="4"/>
      <c r="GZN95" s="4"/>
      <c r="GZO95" s="4"/>
      <c r="GZP95" s="4"/>
      <c r="GZQ95" s="4"/>
      <c r="GZR95" s="4"/>
      <c r="GZS95" s="4"/>
      <c r="GZT95" s="4"/>
      <c r="GZU95" s="4"/>
      <c r="GZV95" s="4"/>
      <c r="GZW95" s="4"/>
      <c r="GZX95" s="4"/>
      <c r="GZY95" s="4"/>
      <c r="GZZ95" s="4"/>
      <c r="HAA95" s="4"/>
      <c r="HAB95" s="4"/>
      <c r="HAC95" s="4"/>
      <c r="HAD95" s="4"/>
      <c r="HAE95" s="4"/>
      <c r="HAF95" s="4"/>
      <c r="HAG95" s="4"/>
      <c r="HAH95" s="4"/>
      <c r="HAI95" s="4"/>
      <c r="HAJ95" s="4"/>
      <c r="HAK95" s="4"/>
      <c r="HAL95" s="4"/>
      <c r="HAM95" s="4"/>
      <c r="HAN95" s="4"/>
      <c r="HAO95" s="4"/>
      <c r="HAP95" s="4"/>
      <c r="HAQ95" s="4"/>
      <c r="HAR95" s="4"/>
      <c r="HAS95" s="4"/>
      <c r="HAT95" s="4"/>
      <c r="HAU95" s="4"/>
      <c r="HAV95" s="4"/>
      <c r="HAW95" s="4"/>
      <c r="HAX95" s="4"/>
      <c r="HAY95" s="4"/>
      <c r="HAZ95" s="4"/>
      <c r="HBA95" s="4"/>
      <c r="HBB95" s="4"/>
      <c r="HBC95" s="4"/>
      <c r="HBD95" s="4"/>
      <c r="HBE95" s="4"/>
      <c r="HBF95" s="4"/>
      <c r="HBG95" s="4"/>
      <c r="HBH95" s="4"/>
      <c r="HBI95" s="4"/>
      <c r="HBJ95" s="4"/>
      <c r="HBK95" s="4"/>
      <c r="HBL95" s="4"/>
      <c r="HBM95" s="4"/>
      <c r="HBN95" s="4"/>
      <c r="HBO95" s="4"/>
      <c r="HBP95" s="4"/>
      <c r="HBQ95" s="4"/>
      <c r="HBR95" s="4"/>
      <c r="HBS95" s="4"/>
      <c r="HBT95" s="4"/>
      <c r="HBU95" s="4"/>
      <c r="HBV95" s="4"/>
      <c r="HBW95" s="4"/>
      <c r="HBX95" s="4"/>
      <c r="HBY95" s="4"/>
      <c r="HBZ95" s="4"/>
      <c r="HCA95" s="4"/>
      <c r="HCB95" s="4"/>
      <c r="HCC95" s="4"/>
      <c r="HCD95" s="4"/>
      <c r="HCE95" s="4"/>
      <c r="HCF95" s="4"/>
      <c r="HCG95" s="4"/>
      <c r="HCH95" s="4"/>
      <c r="HCI95" s="4"/>
      <c r="HCJ95" s="4"/>
      <c r="HCK95" s="4"/>
      <c r="HCL95" s="4"/>
      <c r="HCM95" s="4"/>
      <c r="HCN95" s="4"/>
      <c r="HCO95" s="4"/>
      <c r="HCP95" s="4"/>
      <c r="HCQ95" s="4"/>
      <c r="HCR95" s="4"/>
      <c r="HCS95" s="4"/>
      <c r="HCT95" s="4"/>
      <c r="HCU95" s="4"/>
      <c r="HCV95" s="4"/>
      <c r="HCW95" s="4"/>
      <c r="HCX95" s="4"/>
      <c r="HCY95" s="4"/>
      <c r="HCZ95" s="4"/>
      <c r="HDA95" s="4"/>
      <c r="HDB95" s="4"/>
      <c r="HDC95" s="4"/>
      <c r="HDD95" s="4"/>
      <c r="HDE95" s="4"/>
      <c r="HDF95" s="4"/>
      <c r="HDG95" s="4"/>
      <c r="HDH95" s="4"/>
      <c r="HDI95" s="4"/>
      <c r="HDJ95" s="4"/>
      <c r="HDK95" s="4"/>
      <c r="HDL95" s="4"/>
      <c r="HDM95" s="4"/>
      <c r="HDN95" s="4"/>
      <c r="HDO95" s="4"/>
      <c r="HDP95" s="4"/>
      <c r="HDQ95" s="4"/>
      <c r="HDR95" s="4"/>
      <c r="HDS95" s="4"/>
      <c r="HDT95" s="4"/>
      <c r="HDU95" s="4"/>
      <c r="HDV95" s="4"/>
      <c r="HDW95" s="4"/>
      <c r="HDX95" s="4"/>
      <c r="HDY95" s="4"/>
      <c r="HDZ95" s="4"/>
      <c r="HEA95" s="4"/>
      <c r="HEB95" s="4"/>
      <c r="HEC95" s="4"/>
      <c r="HED95" s="4"/>
      <c r="HEE95" s="4"/>
      <c r="HEF95" s="4"/>
      <c r="HEG95" s="4"/>
      <c r="HEH95" s="4"/>
      <c r="HEI95" s="4"/>
      <c r="HEJ95" s="4"/>
      <c r="HEK95" s="4"/>
      <c r="HEL95" s="4"/>
      <c r="HEM95" s="4"/>
      <c r="HEN95" s="4"/>
      <c r="HEO95" s="4"/>
      <c r="HEP95" s="4"/>
      <c r="HEQ95" s="4"/>
      <c r="HER95" s="4"/>
      <c r="HES95" s="4"/>
      <c r="HET95" s="4"/>
      <c r="HEU95" s="4"/>
      <c r="HEV95" s="4"/>
      <c r="HEW95" s="4"/>
      <c r="HEX95" s="4"/>
      <c r="HEY95" s="4"/>
      <c r="HEZ95" s="4"/>
      <c r="HFA95" s="4"/>
      <c r="HFB95" s="4"/>
      <c r="HFC95" s="4"/>
      <c r="HFD95" s="4"/>
      <c r="HFE95" s="4"/>
      <c r="HFF95" s="4"/>
      <c r="HFG95" s="4"/>
      <c r="HFH95" s="4"/>
      <c r="HFI95" s="4"/>
      <c r="HFJ95" s="4"/>
      <c r="HFK95" s="4"/>
      <c r="HFL95" s="4"/>
      <c r="HFM95" s="4"/>
      <c r="HFN95" s="4"/>
      <c r="HFO95" s="4"/>
      <c r="HFP95" s="4"/>
      <c r="HFQ95" s="4"/>
      <c r="HFR95" s="4"/>
      <c r="HFS95" s="4"/>
      <c r="HFT95" s="4"/>
      <c r="HFU95" s="4"/>
      <c r="HFV95" s="4"/>
      <c r="HFW95" s="4"/>
      <c r="HFX95" s="4"/>
      <c r="HFY95" s="4"/>
      <c r="HFZ95" s="4"/>
      <c r="HGA95" s="4"/>
      <c r="HGB95" s="4"/>
      <c r="HGC95" s="4"/>
      <c r="HGD95" s="4"/>
      <c r="HGE95" s="4"/>
      <c r="HGF95" s="4"/>
      <c r="HGG95" s="4"/>
      <c r="HGH95" s="4"/>
      <c r="HGI95" s="4"/>
      <c r="HGJ95" s="4"/>
      <c r="HGK95" s="4"/>
      <c r="HGL95" s="4"/>
      <c r="HGM95" s="4"/>
      <c r="HGN95" s="4"/>
      <c r="HGO95" s="4"/>
      <c r="HGP95" s="4"/>
      <c r="HGQ95" s="4"/>
      <c r="HGR95" s="4"/>
      <c r="HGS95" s="4"/>
      <c r="HGT95" s="4"/>
      <c r="HGU95" s="4"/>
      <c r="HGV95" s="4"/>
      <c r="HGW95" s="4"/>
      <c r="HGX95" s="4"/>
      <c r="HGY95" s="4"/>
      <c r="HGZ95" s="4"/>
      <c r="HHA95" s="4"/>
      <c r="HHB95" s="4"/>
      <c r="HHC95" s="4"/>
      <c r="HHD95" s="4"/>
      <c r="HHE95" s="4"/>
      <c r="HHF95" s="4"/>
      <c r="HHG95" s="4"/>
      <c r="HHH95" s="4"/>
      <c r="HHI95" s="4"/>
      <c r="HHJ95" s="4"/>
      <c r="HHK95" s="4"/>
      <c r="HHL95" s="4"/>
      <c r="HHM95" s="4"/>
      <c r="HHN95" s="4"/>
      <c r="HHO95" s="4"/>
      <c r="HHP95" s="4"/>
      <c r="HHQ95" s="4"/>
      <c r="HHR95" s="4"/>
      <c r="HHS95" s="4"/>
      <c r="HHT95" s="4"/>
      <c r="HHU95" s="4"/>
      <c r="HHV95" s="4"/>
      <c r="HHW95" s="4"/>
      <c r="HHX95" s="4"/>
      <c r="HHY95" s="4"/>
      <c r="HHZ95" s="4"/>
      <c r="HIA95" s="4"/>
      <c r="HIB95" s="4"/>
      <c r="HIC95" s="4"/>
      <c r="HID95" s="4"/>
      <c r="HIE95" s="4"/>
      <c r="HIF95" s="4"/>
      <c r="HIG95" s="4"/>
      <c r="HIH95" s="4"/>
      <c r="HII95" s="4"/>
      <c r="HIJ95" s="4"/>
      <c r="HIK95" s="4"/>
      <c r="HIL95" s="4"/>
      <c r="HIM95" s="4"/>
      <c r="HIN95" s="4"/>
      <c r="HIO95" s="4"/>
      <c r="HIP95" s="4"/>
      <c r="HIQ95" s="4"/>
      <c r="HIR95" s="4"/>
      <c r="HIS95" s="4"/>
      <c r="HIT95" s="4"/>
      <c r="HIU95" s="4"/>
      <c r="HIV95" s="4"/>
      <c r="HIW95" s="4"/>
      <c r="HIX95" s="4"/>
      <c r="HIY95" s="4"/>
      <c r="HIZ95" s="4"/>
      <c r="HJA95" s="4"/>
      <c r="HJB95" s="4"/>
      <c r="HJC95" s="4"/>
      <c r="HJD95" s="4"/>
      <c r="HJE95" s="4"/>
      <c r="HJF95" s="4"/>
      <c r="HJG95" s="4"/>
      <c r="HJH95" s="4"/>
      <c r="HJI95" s="4"/>
      <c r="HJJ95" s="4"/>
      <c r="HJK95" s="4"/>
      <c r="HJL95" s="4"/>
      <c r="HJM95" s="4"/>
      <c r="HJN95" s="4"/>
      <c r="HJO95" s="4"/>
      <c r="HJP95" s="4"/>
      <c r="HJQ95" s="4"/>
      <c r="HJR95" s="4"/>
      <c r="HJS95" s="4"/>
      <c r="HJT95" s="4"/>
      <c r="HJU95" s="4"/>
      <c r="HJV95" s="4"/>
      <c r="HJW95" s="4"/>
      <c r="HJX95" s="4"/>
      <c r="HJY95" s="4"/>
      <c r="HJZ95" s="4"/>
      <c r="HKA95" s="4"/>
      <c r="HKB95" s="4"/>
      <c r="HKC95" s="4"/>
      <c r="HKD95" s="4"/>
      <c r="HKE95" s="4"/>
      <c r="HKF95" s="4"/>
      <c r="HKG95" s="4"/>
      <c r="HKH95" s="4"/>
      <c r="HKI95" s="4"/>
      <c r="HKJ95" s="4"/>
      <c r="HKK95" s="4"/>
      <c r="HKL95" s="4"/>
      <c r="HKM95" s="4"/>
      <c r="HKN95" s="4"/>
      <c r="HKO95" s="4"/>
      <c r="HKP95" s="4"/>
      <c r="HKQ95" s="4"/>
      <c r="HKR95" s="4"/>
      <c r="HKS95" s="4"/>
      <c r="HKT95" s="4"/>
      <c r="HKU95" s="4"/>
      <c r="HKV95" s="4"/>
      <c r="HKW95" s="4"/>
      <c r="HKX95" s="4"/>
      <c r="HKY95" s="4"/>
      <c r="HKZ95" s="4"/>
      <c r="HLA95" s="4"/>
      <c r="HLB95" s="4"/>
      <c r="HLC95" s="4"/>
      <c r="HLD95" s="4"/>
      <c r="HLE95" s="4"/>
      <c r="HLF95" s="4"/>
      <c r="HLG95" s="4"/>
      <c r="HLH95" s="4"/>
      <c r="HLI95" s="4"/>
      <c r="HLJ95" s="4"/>
      <c r="HLK95" s="4"/>
      <c r="HLL95" s="4"/>
      <c r="HLM95" s="4"/>
      <c r="HLN95" s="4"/>
      <c r="HLO95" s="4"/>
      <c r="HLP95" s="4"/>
      <c r="HLQ95" s="4"/>
      <c r="HLR95" s="4"/>
      <c r="HLS95" s="4"/>
      <c r="HLT95" s="4"/>
      <c r="HLU95" s="4"/>
      <c r="HLV95" s="4"/>
      <c r="HLW95" s="4"/>
      <c r="HLX95" s="4"/>
      <c r="HLY95" s="4"/>
      <c r="HLZ95" s="4"/>
      <c r="HMA95" s="4"/>
      <c r="HMB95" s="4"/>
      <c r="HMC95" s="4"/>
      <c r="HMD95" s="4"/>
      <c r="HME95" s="4"/>
      <c r="HMF95" s="4"/>
      <c r="HMG95" s="4"/>
      <c r="HMH95" s="4"/>
      <c r="HMI95" s="4"/>
      <c r="HMJ95" s="4"/>
      <c r="HMK95" s="4"/>
      <c r="HML95" s="4"/>
      <c r="HMM95" s="4"/>
      <c r="HMN95" s="4"/>
      <c r="HMO95" s="4"/>
      <c r="HMP95" s="4"/>
      <c r="HMQ95" s="4"/>
      <c r="HMR95" s="4"/>
      <c r="HMS95" s="4"/>
      <c r="HMT95" s="4"/>
      <c r="HMU95" s="4"/>
      <c r="HMV95" s="4"/>
      <c r="HMW95" s="4"/>
      <c r="HMX95" s="4"/>
      <c r="HMY95" s="4"/>
      <c r="HMZ95" s="4"/>
      <c r="HNA95" s="4"/>
      <c r="HNB95" s="4"/>
      <c r="HNC95" s="4"/>
      <c r="HND95" s="4"/>
      <c r="HNE95" s="4"/>
      <c r="HNF95" s="4"/>
      <c r="HNG95" s="4"/>
      <c r="HNH95" s="4"/>
      <c r="HNI95" s="4"/>
      <c r="HNJ95" s="4"/>
      <c r="HNK95" s="4"/>
      <c r="HNL95" s="4"/>
      <c r="HNM95" s="4"/>
      <c r="HNN95" s="4"/>
      <c r="HNO95" s="4"/>
      <c r="HNP95" s="4"/>
      <c r="HNQ95" s="4"/>
      <c r="HNR95" s="4"/>
      <c r="HNS95" s="4"/>
      <c r="HNT95" s="4"/>
      <c r="HNU95" s="4"/>
      <c r="HNV95" s="4"/>
      <c r="HNW95" s="4"/>
      <c r="HNX95" s="4"/>
      <c r="HNY95" s="4"/>
      <c r="HNZ95" s="4"/>
      <c r="HOA95" s="4"/>
      <c r="HOB95" s="4"/>
      <c r="HOC95" s="4"/>
      <c r="HOD95" s="4"/>
      <c r="HOE95" s="4"/>
      <c r="HOF95" s="4"/>
      <c r="HOG95" s="4"/>
      <c r="HOH95" s="4"/>
      <c r="HOI95" s="4"/>
      <c r="HOJ95" s="4"/>
      <c r="HOK95" s="4"/>
      <c r="HOL95" s="4"/>
      <c r="HOM95" s="4"/>
      <c r="HON95" s="4"/>
      <c r="HOO95" s="4"/>
      <c r="HOP95" s="4"/>
      <c r="HOQ95" s="4"/>
      <c r="HOR95" s="4"/>
      <c r="HOS95" s="4"/>
      <c r="HOT95" s="4"/>
      <c r="HOU95" s="4"/>
      <c r="HOV95" s="4"/>
      <c r="HOW95" s="4"/>
      <c r="HOX95" s="4"/>
      <c r="HOY95" s="4"/>
      <c r="HOZ95" s="4"/>
      <c r="HPA95" s="4"/>
      <c r="HPB95" s="4"/>
      <c r="HPC95" s="4"/>
      <c r="HPD95" s="4"/>
      <c r="HPE95" s="4"/>
      <c r="HPF95" s="4"/>
      <c r="HPG95" s="4"/>
      <c r="HPH95" s="4"/>
      <c r="HPI95" s="4"/>
      <c r="HPJ95" s="4"/>
      <c r="HPK95" s="4"/>
      <c r="HPL95" s="4"/>
      <c r="HPM95" s="4"/>
      <c r="HPN95" s="4"/>
      <c r="HPO95" s="4"/>
      <c r="HPP95" s="4"/>
      <c r="HPQ95" s="4"/>
      <c r="HPR95" s="4"/>
      <c r="HPS95" s="4"/>
      <c r="HPT95" s="4"/>
      <c r="HPU95" s="4"/>
      <c r="HPV95" s="4"/>
      <c r="HPW95" s="4"/>
      <c r="HPX95" s="4"/>
      <c r="HPY95" s="4"/>
      <c r="HPZ95" s="4"/>
      <c r="HQA95" s="4"/>
      <c r="HQB95" s="4"/>
      <c r="HQC95" s="4"/>
      <c r="HQD95" s="4"/>
      <c r="HQE95" s="4"/>
      <c r="HQF95" s="4"/>
      <c r="HQG95" s="4"/>
      <c r="HQH95" s="4"/>
      <c r="HQI95" s="4"/>
      <c r="HQJ95" s="4"/>
      <c r="HQK95" s="4"/>
      <c r="HQL95" s="4"/>
      <c r="HQM95" s="4"/>
      <c r="HQN95" s="4"/>
      <c r="HQO95" s="4"/>
      <c r="HQP95" s="4"/>
      <c r="HQQ95" s="4"/>
      <c r="HQR95" s="4"/>
      <c r="HQS95" s="4"/>
      <c r="HQT95" s="4"/>
      <c r="HQU95" s="4"/>
      <c r="HQV95" s="4"/>
      <c r="HQW95" s="4"/>
      <c r="HQX95" s="4"/>
      <c r="HQY95" s="4"/>
      <c r="HQZ95" s="4"/>
      <c r="HRA95" s="4"/>
      <c r="HRB95" s="4"/>
      <c r="HRC95" s="4"/>
      <c r="HRD95" s="4"/>
      <c r="HRE95" s="4"/>
      <c r="HRF95" s="4"/>
      <c r="HRG95" s="4"/>
      <c r="HRH95" s="4"/>
      <c r="HRI95" s="4"/>
      <c r="HRJ95" s="4"/>
      <c r="HRK95" s="4"/>
      <c r="HRL95" s="4"/>
      <c r="HRM95" s="4"/>
      <c r="HRN95" s="4"/>
      <c r="HRO95" s="4"/>
      <c r="HRP95" s="4"/>
      <c r="HRQ95" s="4"/>
      <c r="HRR95" s="4"/>
      <c r="HRS95" s="4"/>
      <c r="HRT95" s="4"/>
      <c r="HRU95" s="4"/>
      <c r="HRV95" s="4"/>
      <c r="HRW95" s="4"/>
      <c r="HRX95" s="4"/>
      <c r="HRY95" s="4"/>
      <c r="HRZ95" s="4"/>
      <c r="HSA95" s="4"/>
      <c r="HSB95" s="4"/>
      <c r="HSC95" s="4"/>
      <c r="HSD95" s="4"/>
      <c r="HSE95" s="4"/>
      <c r="HSF95" s="4"/>
      <c r="HSG95" s="4"/>
      <c r="HSH95" s="4"/>
      <c r="HSI95" s="4"/>
      <c r="HSJ95" s="4"/>
      <c r="HSK95" s="4"/>
      <c r="HSL95" s="4"/>
      <c r="HSM95" s="4"/>
      <c r="HSN95" s="4"/>
      <c r="HSO95" s="4"/>
      <c r="HSP95" s="4"/>
      <c r="HSQ95" s="4"/>
      <c r="HSR95" s="4"/>
      <c r="HSS95" s="4"/>
      <c r="HST95" s="4"/>
      <c r="HSU95" s="4"/>
      <c r="HSV95" s="4"/>
      <c r="HSW95" s="4"/>
      <c r="HSX95" s="4"/>
      <c r="HSY95" s="4"/>
      <c r="HSZ95" s="4"/>
      <c r="HTA95" s="4"/>
      <c r="HTB95" s="4"/>
      <c r="HTC95" s="4"/>
      <c r="HTD95" s="4"/>
      <c r="HTE95" s="4"/>
      <c r="HTF95" s="4"/>
      <c r="HTG95" s="4"/>
      <c r="HTH95" s="4"/>
      <c r="HTI95" s="4"/>
      <c r="HTJ95" s="4"/>
      <c r="HTK95" s="4"/>
      <c r="HTL95" s="4"/>
      <c r="HTM95" s="4"/>
      <c r="HTN95" s="4"/>
      <c r="HTO95" s="4"/>
      <c r="HTP95" s="4"/>
      <c r="HTQ95" s="4"/>
      <c r="HTR95" s="4"/>
      <c r="HTS95" s="4"/>
      <c r="HTT95" s="4"/>
      <c r="HTU95" s="4"/>
      <c r="HTV95" s="4"/>
      <c r="HTW95" s="4"/>
      <c r="HTX95" s="4"/>
      <c r="HTY95" s="4"/>
      <c r="HTZ95" s="4"/>
      <c r="HUA95" s="4"/>
      <c r="HUB95" s="4"/>
      <c r="HUC95" s="4"/>
      <c r="HUD95" s="4"/>
      <c r="HUE95" s="4"/>
      <c r="HUF95" s="4"/>
      <c r="HUG95" s="4"/>
      <c r="HUH95" s="4"/>
      <c r="HUI95" s="4"/>
      <c r="HUJ95" s="4"/>
      <c r="HUK95" s="4"/>
      <c r="HUL95" s="4"/>
      <c r="HUM95" s="4"/>
      <c r="HUN95" s="4"/>
      <c r="HUO95" s="4"/>
      <c r="HUP95" s="4"/>
      <c r="HUQ95" s="4"/>
      <c r="HUR95" s="4"/>
      <c r="HUS95" s="4"/>
      <c r="HUT95" s="4"/>
      <c r="HUU95" s="4"/>
      <c r="HUV95" s="4"/>
      <c r="HUW95" s="4"/>
      <c r="HUX95" s="4"/>
      <c r="HUY95" s="4"/>
      <c r="HUZ95" s="4"/>
      <c r="HVA95" s="4"/>
      <c r="HVB95" s="4"/>
      <c r="HVC95" s="4"/>
      <c r="HVD95" s="4"/>
      <c r="HVE95" s="4"/>
      <c r="HVF95" s="4"/>
      <c r="HVG95" s="4"/>
      <c r="HVH95" s="4"/>
      <c r="HVI95" s="4"/>
      <c r="HVJ95" s="4"/>
      <c r="HVK95" s="4"/>
      <c r="HVL95" s="4"/>
      <c r="HVM95" s="4"/>
      <c r="HVN95" s="4"/>
      <c r="HVO95" s="4"/>
      <c r="HVP95" s="4"/>
      <c r="HVQ95" s="4"/>
      <c r="HVR95" s="4"/>
      <c r="HVS95" s="4"/>
      <c r="HVT95" s="4"/>
      <c r="HVU95" s="4"/>
      <c r="HVV95" s="4"/>
      <c r="HVW95" s="4"/>
      <c r="HVX95" s="4"/>
      <c r="HVY95" s="4"/>
      <c r="HVZ95" s="4"/>
      <c r="HWA95" s="4"/>
      <c r="HWB95" s="4"/>
      <c r="HWC95" s="4"/>
      <c r="HWD95" s="4"/>
      <c r="HWE95" s="4"/>
      <c r="HWF95" s="4"/>
      <c r="HWG95" s="4"/>
      <c r="HWH95" s="4"/>
      <c r="HWI95" s="4"/>
      <c r="HWJ95" s="4"/>
      <c r="HWK95" s="4"/>
      <c r="HWL95" s="4"/>
      <c r="HWM95" s="4"/>
      <c r="HWN95" s="4"/>
      <c r="HWO95" s="4"/>
      <c r="HWP95" s="4"/>
      <c r="HWQ95" s="4"/>
      <c r="HWR95" s="4"/>
      <c r="HWS95" s="4"/>
      <c r="HWT95" s="4"/>
      <c r="HWU95" s="4"/>
      <c r="HWV95" s="4"/>
      <c r="HWW95" s="4"/>
      <c r="HWX95" s="4"/>
      <c r="HWY95" s="4"/>
      <c r="HWZ95" s="4"/>
      <c r="HXA95" s="4"/>
      <c r="HXB95" s="4"/>
      <c r="HXC95" s="4"/>
      <c r="HXD95" s="4"/>
      <c r="HXE95" s="4"/>
      <c r="HXF95" s="4"/>
      <c r="HXG95" s="4"/>
      <c r="HXH95" s="4"/>
      <c r="HXI95" s="4"/>
      <c r="HXJ95" s="4"/>
      <c r="HXK95" s="4"/>
      <c r="HXL95" s="4"/>
      <c r="HXM95" s="4"/>
      <c r="HXN95" s="4"/>
      <c r="HXO95" s="4"/>
      <c r="HXP95" s="4"/>
      <c r="HXQ95" s="4"/>
      <c r="HXR95" s="4"/>
      <c r="HXS95" s="4"/>
      <c r="HXT95" s="4"/>
      <c r="HXU95" s="4"/>
      <c r="HXV95" s="4"/>
      <c r="HXW95" s="4"/>
      <c r="HXX95" s="4"/>
      <c r="HXY95" s="4"/>
      <c r="HXZ95" s="4"/>
      <c r="HYA95" s="4"/>
      <c r="HYB95" s="4"/>
      <c r="HYC95" s="4"/>
      <c r="HYD95" s="4"/>
      <c r="HYE95" s="4"/>
      <c r="HYF95" s="4"/>
      <c r="HYG95" s="4"/>
      <c r="HYH95" s="4"/>
      <c r="HYI95" s="4"/>
      <c r="HYJ95" s="4"/>
      <c r="HYK95" s="4"/>
      <c r="HYL95" s="4"/>
      <c r="HYM95" s="4"/>
      <c r="HYN95" s="4"/>
      <c r="HYO95" s="4"/>
      <c r="HYP95" s="4"/>
      <c r="HYQ95" s="4"/>
      <c r="HYR95" s="4"/>
      <c r="HYS95" s="4"/>
      <c r="HYT95" s="4"/>
      <c r="HYU95" s="4"/>
      <c r="HYV95" s="4"/>
      <c r="HYW95" s="4"/>
      <c r="HYX95" s="4"/>
      <c r="HYY95" s="4"/>
      <c r="HYZ95" s="4"/>
      <c r="HZA95" s="4"/>
      <c r="HZB95" s="4"/>
      <c r="HZC95" s="4"/>
      <c r="HZD95" s="4"/>
      <c r="HZE95" s="4"/>
      <c r="HZF95" s="4"/>
      <c r="HZG95" s="4"/>
      <c r="HZH95" s="4"/>
      <c r="HZI95" s="4"/>
      <c r="HZJ95" s="4"/>
      <c r="HZK95" s="4"/>
      <c r="HZL95" s="4"/>
      <c r="HZM95" s="4"/>
      <c r="HZN95" s="4"/>
      <c r="HZO95" s="4"/>
      <c r="HZP95" s="4"/>
      <c r="HZQ95" s="4"/>
      <c r="HZR95" s="4"/>
      <c r="HZS95" s="4"/>
      <c r="HZT95" s="4"/>
      <c r="HZU95" s="4"/>
      <c r="HZV95" s="4"/>
      <c r="HZW95" s="4"/>
      <c r="HZX95" s="4"/>
      <c r="HZY95" s="4"/>
      <c r="HZZ95" s="4"/>
      <c r="IAA95" s="4"/>
      <c r="IAB95" s="4"/>
      <c r="IAC95" s="4"/>
      <c r="IAD95" s="4"/>
      <c r="IAE95" s="4"/>
      <c r="IAF95" s="4"/>
      <c r="IAG95" s="4"/>
      <c r="IAH95" s="4"/>
      <c r="IAI95" s="4"/>
      <c r="IAJ95" s="4"/>
      <c r="IAK95" s="4"/>
      <c r="IAL95" s="4"/>
      <c r="IAM95" s="4"/>
      <c r="IAN95" s="4"/>
      <c r="IAO95" s="4"/>
      <c r="IAP95" s="4"/>
      <c r="IAQ95" s="4"/>
      <c r="IAR95" s="4"/>
      <c r="IAS95" s="4"/>
      <c r="IAT95" s="4"/>
      <c r="IAU95" s="4"/>
      <c r="IAV95" s="4"/>
      <c r="IAW95" s="4"/>
      <c r="IAX95" s="4"/>
      <c r="IAY95" s="4"/>
      <c r="IAZ95" s="4"/>
      <c r="IBA95" s="4"/>
      <c r="IBB95" s="4"/>
      <c r="IBC95" s="4"/>
      <c r="IBD95" s="4"/>
      <c r="IBE95" s="4"/>
      <c r="IBF95" s="4"/>
      <c r="IBG95" s="4"/>
      <c r="IBH95" s="4"/>
      <c r="IBI95" s="4"/>
      <c r="IBJ95" s="4"/>
      <c r="IBK95" s="4"/>
      <c r="IBL95" s="4"/>
      <c r="IBM95" s="4"/>
      <c r="IBN95" s="4"/>
      <c r="IBO95" s="4"/>
      <c r="IBP95" s="4"/>
      <c r="IBQ95" s="4"/>
      <c r="IBR95" s="4"/>
      <c r="IBS95" s="4"/>
      <c r="IBT95" s="4"/>
      <c r="IBU95" s="4"/>
      <c r="IBV95" s="4"/>
      <c r="IBW95" s="4"/>
      <c r="IBX95" s="4"/>
      <c r="IBY95" s="4"/>
      <c r="IBZ95" s="4"/>
      <c r="ICA95" s="4"/>
      <c r="ICB95" s="4"/>
      <c r="ICC95" s="4"/>
      <c r="ICD95" s="4"/>
      <c r="ICE95" s="4"/>
      <c r="ICF95" s="4"/>
      <c r="ICG95" s="4"/>
      <c r="ICH95" s="4"/>
      <c r="ICI95" s="4"/>
      <c r="ICJ95" s="4"/>
      <c r="ICK95" s="4"/>
      <c r="ICL95" s="4"/>
      <c r="ICM95" s="4"/>
      <c r="ICN95" s="4"/>
      <c r="ICO95" s="4"/>
      <c r="ICP95" s="4"/>
      <c r="ICQ95" s="4"/>
      <c r="ICR95" s="4"/>
      <c r="ICS95" s="4"/>
      <c r="ICT95" s="4"/>
      <c r="ICU95" s="4"/>
      <c r="ICV95" s="4"/>
      <c r="ICW95" s="4"/>
      <c r="ICX95" s="4"/>
      <c r="ICY95" s="4"/>
      <c r="ICZ95" s="4"/>
      <c r="IDA95" s="4"/>
      <c r="IDB95" s="4"/>
      <c r="IDC95" s="4"/>
      <c r="IDD95" s="4"/>
      <c r="IDE95" s="4"/>
      <c r="IDF95" s="4"/>
      <c r="IDG95" s="4"/>
      <c r="IDH95" s="4"/>
      <c r="IDI95" s="4"/>
      <c r="IDJ95" s="4"/>
      <c r="IDK95" s="4"/>
      <c r="IDL95" s="4"/>
      <c r="IDM95" s="4"/>
      <c r="IDN95" s="4"/>
      <c r="IDO95" s="4"/>
      <c r="IDP95" s="4"/>
      <c r="IDQ95" s="4"/>
      <c r="IDR95" s="4"/>
      <c r="IDS95" s="4"/>
      <c r="IDT95" s="4"/>
      <c r="IDU95" s="4"/>
      <c r="IDV95" s="4"/>
      <c r="IDW95" s="4"/>
      <c r="IDX95" s="4"/>
      <c r="IDY95" s="4"/>
      <c r="IDZ95" s="4"/>
      <c r="IEA95" s="4"/>
      <c r="IEB95" s="4"/>
      <c r="IEC95" s="4"/>
      <c r="IED95" s="4"/>
      <c r="IEE95" s="4"/>
      <c r="IEF95" s="4"/>
      <c r="IEG95" s="4"/>
      <c r="IEH95" s="4"/>
      <c r="IEI95" s="4"/>
      <c r="IEJ95" s="4"/>
      <c r="IEK95" s="4"/>
      <c r="IEL95" s="4"/>
      <c r="IEM95" s="4"/>
      <c r="IEN95" s="4"/>
      <c r="IEO95" s="4"/>
      <c r="IEP95" s="4"/>
      <c r="IEQ95" s="4"/>
      <c r="IER95" s="4"/>
      <c r="IES95" s="4"/>
      <c r="IET95" s="4"/>
      <c r="IEU95" s="4"/>
      <c r="IEV95" s="4"/>
      <c r="IEW95" s="4"/>
      <c r="IEX95" s="4"/>
      <c r="IEY95" s="4"/>
      <c r="IEZ95" s="4"/>
      <c r="IFA95" s="4"/>
      <c r="IFB95" s="4"/>
      <c r="IFC95" s="4"/>
      <c r="IFD95" s="4"/>
      <c r="IFE95" s="4"/>
      <c r="IFF95" s="4"/>
      <c r="IFG95" s="4"/>
      <c r="IFH95" s="4"/>
      <c r="IFI95" s="4"/>
      <c r="IFJ95" s="4"/>
      <c r="IFK95" s="4"/>
      <c r="IFL95" s="4"/>
      <c r="IFM95" s="4"/>
      <c r="IFN95" s="4"/>
      <c r="IFO95" s="4"/>
      <c r="IFP95" s="4"/>
      <c r="IFQ95" s="4"/>
      <c r="IFR95" s="4"/>
      <c r="IFS95" s="4"/>
      <c r="IFT95" s="4"/>
      <c r="IFU95" s="4"/>
      <c r="IFV95" s="4"/>
      <c r="IFW95" s="4"/>
      <c r="IFX95" s="4"/>
      <c r="IFY95" s="4"/>
      <c r="IFZ95" s="4"/>
      <c r="IGA95" s="4"/>
      <c r="IGB95" s="4"/>
      <c r="IGC95" s="4"/>
      <c r="IGD95" s="4"/>
      <c r="IGE95" s="4"/>
      <c r="IGF95" s="4"/>
      <c r="IGG95" s="4"/>
      <c r="IGH95" s="4"/>
      <c r="IGI95" s="4"/>
      <c r="IGJ95" s="4"/>
      <c r="IGK95" s="4"/>
      <c r="IGL95" s="4"/>
      <c r="IGM95" s="4"/>
      <c r="IGN95" s="4"/>
      <c r="IGO95" s="4"/>
      <c r="IGP95" s="4"/>
      <c r="IGQ95" s="4"/>
      <c r="IGR95" s="4"/>
      <c r="IGS95" s="4"/>
      <c r="IGT95" s="4"/>
      <c r="IGU95" s="4"/>
      <c r="IGV95" s="4"/>
      <c r="IGW95" s="4"/>
      <c r="IGX95" s="4"/>
      <c r="IGY95" s="4"/>
      <c r="IGZ95" s="4"/>
      <c r="IHA95" s="4"/>
      <c r="IHB95" s="4"/>
      <c r="IHC95" s="4"/>
      <c r="IHD95" s="4"/>
      <c r="IHE95" s="4"/>
      <c r="IHF95" s="4"/>
      <c r="IHG95" s="4"/>
      <c r="IHH95" s="4"/>
      <c r="IHI95" s="4"/>
      <c r="IHJ95" s="4"/>
      <c r="IHK95" s="4"/>
      <c r="IHL95" s="4"/>
      <c r="IHM95" s="4"/>
      <c r="IHN95" s="4"/>
      <c r="IHO95" s="4"/>
      <c r="IHP95" s="4"/>
      <c r="IHQ95" s="4"/>
      <c r="IHR95" s="4"/>
      <c r="IHS95" s="4"/>
      <c r="IHT95" s="4"/>
      <c r="IHU95" s="4"/>
      <c r="IHV95" s="4"/>
      <c r="IHW95" s="4"/>
      <c r="IHX95" s="4"/>
      <c r="IHY95" s="4"/>
      <c r="IHZ95" s="4"/>
      <c r="IIA95" s="4"/>
      <c r="IIB95" s="4"/>
      <c r="IIC95" s="4"/>
      <c r="IID95" s="4"/>
      <c r="IIE95" s="4"/>
      <c r="IIF95" s="4"/>
      <c r="IIG95" s="4"/>
      <c r="IIH95" s="4"/>
      <c r="III95" s="4"/>
      <c r="IIJ95" s="4"/>
      <c r="IIK95" s="4"/>
      <c r="IIL95" s="4"/>
      <c r="IIM95" s="4"/>
      <c r="IIN95" s="4"/>
      <c r="IIO95" s="4"/>
      <c r="IIP95" s="4"/>
      <c r="IIQ95" s="4"/>
      <c r="IIR95" s="4"/>
      <c r="IIS95" s="4"/>
      <c r="IIT95" s="4"/>
      <c r="IIU95" s="4"/>
      <c r="IIV95" s="4"/>
      <c r="IIW95" s="4"/>
      <c r="IIX95" s="4"/>
      <c r="IIY95" s="4"/>
      <c r="IIZ95" s="4"/>
      <c r="IJA95" s="4"/>
      <c r="IJB95" s="4"/>
      <c r="IJC95" s="4"/>
      <c r="IJD95" s="4"/>
      <c r="IJE95" s="4"/>
      <c r="IJF95" s="4"/>
      <c r="IJG95" s="4"/>
      <c r="IJH95" s="4"/>
      <c r="IJI95" s="4"/>
      <c r="IJJ95" s="4"/>
      <c r="IJK95" s="4"/>
      <c r="IJL95" s="4"/>
      <c r="IJM95" s="4"/>
      <c r="IJN95" s="4"/>
      <c r="IJO95" s="4"/>
      <c r="IJP95" s="4"/>
      <c r="IJQ95" s="4"/>
      <c r="IJR95" s="4"/>
      <c r="IJS95" s="4"/>
      <c r="IJT95" s="4"/>
      <c r="IJU95" s="4"/>
      <c r="IJV95" s="4"/>
      <c r="IJW95" s="4"/>
      <c r="IJX95" s="4"/>
      <c r="IJY95" s="4"/>
      <c r="IJZ95" s="4"/>
      <c r="IKA95" s="4"/>
      <c r="IKB95" s="4"/>
      <c r="IKC95" s="4"/>
      <c r="IKD95" s="4"/>
      <c r="IKE95" s="4"/>
      <c r="IKF95" s="4"/>
      <c r="IKG95" s="4"/>
      <c r="IKH95" s="4"/>
      <c r="IKI95" s="4"/>
      <c r="IKJ95" s="4"/>
      <c r="IKK95" s="4"/>
      <c r="IKL95" s="4"/>
      <c r="IKM95" s="4"/>
      <c r="IKN95" s="4"/>
      <c r="IKO95" s="4"/>
      <c r="IKP95" s="4"/>
      <c r="IKQ95" s="4"/>
      <c r="IKR95" s="4"/>
      <c r="IKS95" s="4"/>
      <c r="IKT95" s="4"/>
      <c r="IKU95" s="4"/>
      <c r="IKV95" s="4"/>
      <c r="IKW95" s="4"/>
      <c r="IKX95" s="4"/>
      <c r="IKY95" s="4"/>
      <c r="IKZ95" s="4"/>
      <c r="ILA95" s="4"/>
      <c r="ILB95" s="4"/>
      <c r="ILC95" s="4"/>
      <c r="ILD95" s="4"/>
      <c r="ILE95" s="4"/>
      <c r="ILF95" s="4"/>
      <c r="ILG95" s="4"/>
      <c r="ILH95" s="4"/>
      <c r="ILI95" s="4"/>
      <c r="ILJ95" s="4"/>
      <c r="ILK95" s="4"/>
      <c r="ILL95" s="4"/>
      <c r="ILM95" s="4"/>
      <c r="ILN95" s="4"/>
      <c r="ILO95" s="4"/>
      <c r="ILP95" s="4"/>
      <c r="ILQ95" s="4"/>
      <c r="ILR95" s="4"/>
      <c r="ILS95" s="4"/>
      <c r="ILT95" s="4"/>
      <c r="ILU95" s="4"/>
      <c r="ILV95" s="4"/>
      <c r="ILW95" s="4"/>
      <c r="ILX95" s="4"/>
      <c r="ILY95" s="4"/>
      <c r="ILZ95" s="4"/>
      <c r="IMA95" s="4"/>
      <c r="IMB95" s="4"/>
      <c r="IMC95" s="4"/>
      <c r="IMD95" s="4"/>
      <c r="IME95" s="4"/>
      <c r="IMF95" s="4"/>
      <c r="IMG95" s="4"/>
      <c r="IMH95" s="4"/>
      <c r="IMI95" s="4"/>
      <c r="IMJ95" s="4"/>
      <c r="IMK95" s="4"/>
      <c r="IML95" s="4"/>
      <c r="IMM95" s="4"/>
      <c r="IMN95" s="4"/>
      <c r="IMO95" s="4"/>
      <c r="IMP95" s="4"/>
      <c r="IMQ95" s="4"/>
      <c r="IMR95" s="4"/>
      <c r="IMS95" s="4"/>
      <c r="IMT95" s="4"/>
      <c r="IMU95" s="4"/>
      <c r="IMV95" s="4"/>
      <c r="IMW95" s="4"/>
      <c r="IMX95" s="4"/>
      <c r="IMY95" s="4"/>
      <c r="IMZ95" s="4"/>
      <c r="INA95" s="4"/>
      <c r="INB95" s="4"/>
      <c r="INC95" s="4"/>
      <c r="IND95" s="4"/>
      <c r="INE95" s="4"/>
      <c r="INF95" s="4"/>
      <c r="ING95" s="4"/>
      <c r="INH95" s="4"/>
      <c r="INI95" s="4"/>
      <c r="INJ95" s="4"/>
      <c r="INK95" s="4"/>
      <c r="INL95" s="4"/>
      <c r="INM95" s="4"/>
      <c r="INN95" s="4"/>
      <c r="INO95" s="4"/>
      <c r="INP95" s="4"/>
      <c r="INQ95" s="4"/>
      <c r="INR95" s="4"/>
      <c r="INS95" s="4"/>
      <c r="INT95" s="4"/>
      <c r="INU95" s="4"/>
      <c r="INV95" s="4"/>
      <c r="INW95" s="4"/>
      <c r="INX95" s="4"/>
      <c r="INY95" s="4"/>
      <c r="INZ95" s="4"/>
      <c r="IOA95" s="4"/>
      <c r="IOB95" s="4"/>
      <c r="IOC95" s="4"/>
      <c r="IOD95" s="4"/>
      <c r="IOE95" s="4"/>
      <c r="IOF95" s="4"/>
      <c r="IOG95" s="4"/>
      <c r="IOH95" s="4"/>
      <c r="IOI95" s="4"/>
      <c r="IOJ95" s="4"/>
      <c r="IOK95" s="4"/>
      <c r="IOL95" s="4"/>
      <c r="IOM95" s="4"/>
      <c r="ION95" s="4"/>
      <c r="IOO95" s="4"/>
      <c r="IOP95" s="4"/>
      <c r="IOQ95" s="4"/>
      <c r="IOR95" s="4"/>
      <c r="IOS95" s="4"/>
      <c r="IOT95" s="4"/>
      <c r="IOU95" s="4"/>
      <c r="IOV95" s="4"/>
      <c r="IOW95" s="4"/>
      <c r="IOX95" s="4"/>
      <c r="IOY95" s="4"/>
      <c r="IOZ95" s="4"/>
      <c r="IPA95" s="4"/>
      <c r="IPB95" s="4"/>
      <c r="IPC95" s="4"/>
      <c r="IPD95" s="4"/>
      <c r="IPE95" s="4"/>
      <c r="IPF95" s="4"/>
      <c r="IPG95" s="4"/>
      <c r="IPH95" s="4"/>
      <c r="IPI95" s="4"/>
      <c r="IPJ95" s="4"/>
      <c r="IPK95" s="4"/>
      <c r="IPL95" s="4"/>
      <c r="IPM95" s="4"/>
      <c r="IPN95" s="4"/>
      <c r="IPO95" s="4"/>
      <c r="IPP95" s="4"/>
      <c r="IPQ95" s="4"/>
      <c r="IPR95" s="4"/>
      <c r="IPS95" s="4"/>
      <c r="IPT95" s="4"/>
      <c r="IPU95" s="4"/>
      <c r="IPV95" s="4"/>
      <c r="IPW95" s="4"/>
      <c r="IPX95" s="4"/>
      <c r="IPY95" s="4"/>
      <c r="IPZ95" s="4"/>
      <c r="IQA95" s="4"/>
      <c r="IQB95" s="4"/>
      <c r="IQC95" s="4"/>
      <c r="IQD95" s="4"/>
      <c r="IQE95" s="4"/>
      <c r="IQF95" s="4"/>
      <c r="IQG95" s="4"/>
      <c r="IQH95" s="4"/>
      <c r="IQI95" s="4"/>
      <c r="IQJ95" s="4"/>
      <c r="IQK95" s="4"/>
      <c r="IQL95" s="4"/>
      <c r="IQM95" s="4"/>
      <c r="IQN95" s="4"/>
      <c r="IQO95" s="4"/>
      <c r="IQP95" s="4"/>
      <c r="IQQ95" s="4"/>
      <c r="IQR95" s="4"/>
      <c r="IQS95" s="4"/>
      <c r="IQT95" s="4"/>
      <c r="IQU95" s="4"/>
      <c r="IQV95" s="4"/>
      <c r="IQW95" s="4"/>
      <c r="IQX95" s="4"/>
      <c r="IQY95" s="4"/>
      <c r="IQZ95" s="4"/>
      <c r="IRA95" s="4"/>
      <c r="IRB95" s="4"/>
      <c r="IRC95" s="4"/>
      <c r="IRD95" s="4"/>
      <c r="IRE95" s="4"/>
      <c r="IRF95" s="4"/>
      <c r="IRG95" s="4"/>
      <c r="IRH95" s="4"/>
      <c r="IRI95" s="4"/>
      <c r="IRJ95" s="4"/>
      <c r="IRK95" s="4"/>
      <c r="IRL95" s="4"/>
      <c r="IRM95" s="4"/>
      <c r="IRN95" s="4"/>
      <c r="IRO95" s="4"/>
      <c r="IRP95" s="4"/>
      <c r="IRQ95" s="4"/>
      <c r="IRR95" s="4"/>
      <c r="IRS95" s="4"/>
      <c r="IRT95" s="4"/>
      <c r="IRU95" s="4"/>
      <c r="IRV95" s="4"/>
      <c r="IRW95" s="4"/>
      <c r="IRX95" s="4"/>
      <c r="IRY95" s="4"/>
      <c r="IRZ95" s="4"/>
      <c r="ISA95" s="4"/>
      <c r="ISB95" s="4"/>
      <c r="ISC95" s="4"/>
      <c r="ISD95" s="4"/>
      <c r="ISE95" s="4"/>
      <c r="ISF95" s="4"/>
      <c r="ISG95" s="4"/>
      <c r="ISH95" s="4"/>
      <c r="ISI95" s="4"/>
      <c r="ISJ95" s="4"/>
      <c r="ISK95" s="4"/>
      <c r="ISL95" s="4"/>
      <c r="ISM95" s="4"/>
      <c r="ISN95" s="4"/>
      <c r="ISO95" s="4"/>
      <c r="ISP95" s="4"/>
      <c r="ISQ95" s="4"/>
      <c r="ISR95" s="4"/>
      <c r="ISS95" s="4"/>
      <c r="IST95" s="4"/>
      <c r="ISU95" s="4"/>
      <c r="ISV95" s="4"/>
      <c r="ISW95" s="4"/>
      <c r="ISX95" s="4"/>
      <c r="ISY95" s="4"/>
      <c r="ISZ95" s="4"/>
      <c r="ITA95" s="4"/>
      <c r="ITB95" s="4"/>
      <c r="ITC95" s="4"/>
      <c r="ITD95" s="4"/>
      <c r="ITE95" s="4"/>
      <c r="ITF95" s="4"/>
      <c r="ITG95" s="4"/>
      <c r="ITH95" s="4"/>
      <c r="ITI95" s="4"/>
      <c r="ITJ95" s="4"/>
      <c r="ITK95" s="4"/>
      <c r="ITL95" s="4"/>
      <c r="ITM95" s="4"/>
      <c r="ITN95" s="4"/>
      <c r="ITO95" s="4"/>
      <c r="ITP95" s="4"/>
      <c r="ITQ95" s="4"/>
      <c r="ITR95" s="4"/>
      <c r="ITS95" s="4"/>
      <c r="ITT95" s="4"/>
      <c r="ITU95" s="4"/>
      <c r="ITV95" s="4"/>
      <c r="ITW95" s="4"/>
      <c r="ITX95" s="4"/>
      <c r="ITY95" s="4"/>
      <c r="ITZ95" s="4"/>
      <c r="IUA95" s="4"/>
      <c r="IUB95" s="4"/>
      <c r="IUC95" s="4"/>
      <c r="IUD95" s="4"/>
      <c r="IUE95" s="4"/>
      <c r="IUF95" s="4"/>
      <c r="IUG95" s="4"/>
      <c r="IUH95" s="4"/>
      <c r="IUI95" s="4"/>
      <c r="IUJ95" s="4"/>
      <c r="IUK95" s="4"/>
      <c r="IUL95" s="4"/>
      <c r="IUM95" s="4"/>
      <c r="IUN95" s="4"/>
      <c r="IUO95" s="4"/>
      <c r="IUP95" s="4"/>
      <c r="IUQ95" s="4"/>
      <c r="IUR95" s="4"/>
      <c r="IUS95" s="4"/>
      <c r="IUT95" s="4"/>
      <c r="IUU95" s="4"/>
      <c r="IUV95" s="4"/>
      <c r="IUW95" s="4"/>
      <c r="IUX95" s="4"/>
      <c r="IUY95" s="4"/>
      <c r="IUZ95" s="4"/>
      <c r="IVA95" s="4"/>
      <c r="IVB95" s="4"/>
      <c r="IVC95" s="4"/>
      <c r="IVD95" s="4"/>
      <c r="IVE95" s="4"/>
      <c r="IVF95" s="4"/>
      <c r="IVG95" s="4"/>
      <c r="IVH95" s="4"/>
      <c r="IVI95" s="4"/>
      <c r="IVJ95" s="4"/>
      <c r="IVK95" s="4"/>
      <c r="IVL95" s="4"/>
      <c r="IVM95" s="4"/>
      <c r="IVN95" s="4"/>
      <c r="IVO95" s="4"/>
      <c r="IVP95" s="4"/>
      <c r="IVQ95" s="4"/>
      <c r="IVR95" s="4"/>
      <c r="IVS95" s="4"/>
      <c r="IVT95" s="4"/>
      <c r="IVU95" s="4"/>
      <c r="IVV95" s="4"/>
      <c r="IVW95" s="4"/>
      <c r="IVX95" s="4"/>
      <c r="IVY95" s="4"/>
      <c r="IVZ95" s="4"/>
      <c r="IWA95" s="4"/>
      <c r="IWB95" s="4"/>
      <c r="IWC95" s="4"/>
      <c r="IWD95" s="4"/>
      <c r="IWE95" s="4"/>
      <c r="IWF95" s="4"/>
      <c r="IWG95" s="4"/>
      <c r="IWH95" s="4"/>
      <c r="IWI95" s="4"/>
      <c r="IWJ95" s="4"/>
      <c r="IWK95" s="4"/>
      <c r="IWL95" s="4"/>
      <c r="IWM95" s="4"/>
      <c r="IWN95" s="4"/>
      <c r="IWO95" s="4"/>
      <c r="IWP95" s="4"/>
      <c r="IWQ95" s="4"/>
      <c r="IWR95" s="4"/>
      <c r="IWS95" s="4"/>
      <c r="IWT95" s="4"/>
      <c r="IWU95" s="4"/>
      <c r="IWV95" s="4"/>
      <c r="IWW95" s="4"/>
      <c r="IWX95" s="4"/>
      <c r="IWY95" s="4"/>
      <c r="IWZ95" s="4"/>
      <c r="IXA95" s="4"/>
      <c r="IXB95" s="4"/>
      <c r="IXC95" s="4"/>
      <c r="IXD95" s="4"/>
      <c r="IXE95" s="4"/>
      <c r="IXF95" s="4"/>
      <c r="IXG95" s="4"/>
      <c r="IXH95" s="4"/>
      <c r="IXI95" s="4"/>
      <c r="IXJ95" s="4"/>
      <c r="IXK95" s="4"/>
      <c r="IXL95" s="4"/>
      <c r="IXM95" s="4"/>
      <c r="IXN95" s="4"/>
      <c r="IXO95" s="4"/>
      <c r="IXP95" s="4"/>
      <c r="IXQ95" s="4"/>
      <c r="IXR95" s="4"/>
      <c r="IXS95" s="4"/>
      <c r="IXT95" s="4"/>
      <c r="IXU95" s="4"/>
      <c r="IXV95" s="4"/>
      <c r="IXW95" s="4"/>
      <c r="IXX95" s="4"/>
      <c r="IXY95" s="4"/>
      <c r="IXZ95" s="4"/>
      <c r="IYA95" s="4"/>
      <c r="IYB95" s="4"/>
      <c r="IYC95" s="4"/>
      <c r="IYD95" s="4"/>
      <c r="IYE95" s="4"/>
      <c r="IYF95" s="4"/>
      <c r="IYG95" s="4"/>
      <c r="IYH95" s="4"/>
      <c r="IYI95" s="4"/>
      <c r="IYJ95" s="4"/>
      <c r="IYK95" s="4"/>
      <c r="IYL95" s="4"/>
      <c r="IYM95" s="4"/>
      <c r="IYN95" s="4"/>
      <c r="IYO95" s="4"/>
      <c r="IYP95" s="4"/>
      <c r="IYQ95" s="4"/>
      <c r="IYR95" s="4"/>
      <c r="IYS95" s="4"/>
      <c r="IYT95" s="4"/>
      <c r="IYU95" s="4"/>
      <c r="IYV95" s="4"/>
      <c r="IYW95" s="4"/>
      <c r="IYX95" s="4"/>
      <c r="IYY95" s="4"/>
      <c r="IYZ95" s="4"/>
      <c r="IZA95" s="4"/>
      <c r="IZB95" s="4"/>
      <c r="IZC95" s="4"/>
      <c r="IZD95" s="4"/>
      <c r="IZE95" s="4"/>
      <c r="IZF95" s="4"/>
      <c r="IZG95" s="4"/>
      <c r="IZH95" s="4"/>
      <c r="IZI95" s="4"/>
      <c r="IZJ95" s="4"/>
      <c r="IZK95" s="4"/>
      <c r="IZL95" s="4"/>
      <c r="IZM95" s="4"/>
      <c r="IZN95" s="4"/>
      <c r="IZO95" s="4"/>
      <c r="IZP95" s="4"/>
      <c r="IZQ95" s="4"/>
      <c r="IZR95" s="4"/>
      <c r="IZS95" s="4"/>
      <c r="IZT95" s="4"/>
      <c r="IZU95" s="4"/>
      <c r="IZV95" s="4"/>
      <c r="IZW95" s="4"/>
      <c r="IZX95" s="4"/>
      <c r="IZY95" s="4"/>
      <c r="IZZ95" s="4"/>
      <c r="JAA95" s="4"/>
      <c r="JAB95" s="4"/>
      <c r="JAC95" s="4"/>
      <c r="JAD95" s="4"/>
      <c r="JAE95" s="4"/>
      <c r="JAF95" s="4"/>
      <c r="JAG95" s="4"/>
      <c r="JAH95" s="4"/>
      <c r="JAI95" s="4"/>
      <c r="JAJ95" s="4"/>
      <c r="JAK95" s="4"/>
      <c r="JAL95" s="4"/>
      <c r="JAM95" s="4"/>
      <c r="JAN95" s="4"/>
      <c r="JAO95" s="4"/>
      <c r="JAP95" s="4"/>
      <c r="JAQ95" s="4"/>
      <c r="JAR95" s="4"/>
      <c r="JAS95" s="4"/>
      <c r="JAT95" s="4"/>
      <c r="JAU95" s="4"/>
      <c r="JAV95" s="4"/>
      <c r="JAW95" s="4"/>
      <c r="JAX95" s="4"/>
      <c r="JAY95" s="4"/>
      <c r="JAZ95" s="4"/>
      <c r="JBA95" s="4"/>
      <c r="JBB95" s="4"/>
      <c r="JBC95" s="4"/>
      <c r="JBD95" s="4"/>
      <c r="JBE95" s="4"/>
      <c r="JBF95" s="4"/>
      <c r="JBG95" s="4"/>
      <c r="JBH95" s="4"/>
      <c r="JBI95" s="4"/>
      <c r="JBJ95" s="4"/>
      <c r="JBK95" s="4"/>
      <c r="JBL95" s="4"/>
      <c r="JBM95" s="4"/>
      <c r="JBN95" s="4"/>
      <c r="JBO95" s="4"/>
      <c r="JBP95" s="4"/>
      <c r="JBQ95" s="4"/>
      <c r="JBR95" s="4"/>
      <c r="JBS95" s="4"/>
      <c r="JBT95" s="4"/>
      <c r="JBU95" s="4"/>
      <c r="JBV95" s="4"/>
      <c r="JBW95" s="4"/>
      <c r="JBX95" s="4"/>
      <c r="JBY95" s="4"/>
      <c r="JBZ95" s="4"/>
      <c r="JCA95" s="4"/>
      <c r="JCB95" s="4"/>
      <c r="JCC95" s="4"/>
      <c r="JCD95" s="4"/>
      <c r="JCE95" s="4"/>
      <c r="JCF95" s="4"/>
      <c r="JCG95" s="4"/>
      <c r="JCH95" s="4"/>
      <c r="JCI95" s="4"/>
      <c r="JCJ95" s="4"/>
      <c r="JCK95" s="4"/>
      <c r="JCL95" s="4"/>
      <c r="JCM95" s="4"/>
      <c r="JCN95" s="4"/>
      <c r="JCO95" s="4"/>
      <c r="JCP95" s="4"/>
      <c r="JCQ95" s="4"/>
      <c r="JCR95" s="4"/>
      <c r="JCS95" s="4"/>
      <c r="JCT95" s="4"/>
      <c r="JCU95" s="4"/>
      <c r="JCV95" s="4"/>
      <c r="JCW95" s="4"/>
      <c r="JCX95" s="4"/>
      <c r="JCY95" s="4"/>
      <c r="JCZ95" s="4"/>
      <c r="JDA95" s="4"/>
      <c r="JDB95" s="4"/>
      <c r="JDC95" s="4"/>
      <c r="JDD95" s="4"/>
      <c r="JDE95" s="4"/>
      <c r="JDF95" s="4"/>
      <c r="JDG95" s="4"/>
      <c r="JDH95" s="4"/>
      <c r="JDI95" s="4"/>
      <c r="JDJ95" s="4"/>
      <c r="JDK95" s="4"/>
      <c r="JDL95" s="4"/>
      <c r="JDM95" s="4"/>
      <c r="JDN95" s="4"/>
      <c r="JDO95" s="4"/>
      <c r="JDP95" s="4"/>
      <c r="JDQ95" s="4"/>
      <c r="JDR95" s="4"/>
      <c r="JDS95" s="4"/>
      <c r="JDT95" s="4"/>
      <c r="JDU95" s="4"/>
      <c r="JDV95" s="4"/>
      <c r="JDW95" s="4"/>
      <c r="JDX95" s="4"/>
      <c r="JDY95" s="4"/>
      <c r="JDZ95" s="4"/>
      <c r="JEA95" s="4"/>
      <c r="JEB95" s="4"/>
      <c r="JEC95" s="4"/>
      <c r="JED95" s="4"/>
      <c r="JEE95" s="4"/>
      <c r="JEF95" s="4"/>
      <c r="JEG95" s="4"/>
      <c r="JEH95" s="4"/>
      <c r="JEI95" s="4"/>
      <c r="JEJ95" s="4"/>
      <c r="JEK95" s="4"/>
      <c r="JEL95" s="4"/>
      <c r="JEM95" s="4"/>
      <c r="JEN95" s="4"/>
      <c r="JEO95" s="4"/>
      <c r="JEP95" s="4"/>
      <c r="JEQ95" s="4"/>
      <c r="JER95" s="4"/>
      <c r="JES95" s="4"/>
      <c r="JET95" s="4"/>
      <c r="JEU95" s="4"/>
      <c r="JEV95" s="4"/>
      <c r="JEW95" s="4"/>
      <c r="JEX95" s="4"/>
      <c r="JEY95" s="4"/>
      <c r="JEZ95" s="4"/>
      <c r="JFA95" s="4"/>
      <c r="JFB95" s="4"/>
      <c r="JFC95" s="4"/>
      <c r="JFD95" s="4"/>
      <c r="JFE95" s="4"/>
      <c r="JFF95" s="4"/>
      <c r="JFG95" s="4"/>
      <c r="JFH95" s="4"/>
      <c r="JFI95" s="4"/>
      <c r="JFJ95" s="4"/>
      <c r="JFK95" s="4"/>
      <c r="JFL95" s="4"/>
      <c r="JFM95" s="4"/>
      <c r="JFN95" s="4"/>
      <c r="JFO95" s="4"/>
      <c r="JFP95" s="4"/>
      <c r="JFQ95" s="4"/>
      <c r="JFR95" s="4"/>
      <c r="JFS95" s="4"/>
      <c r="JFT95" s="4"/>
      <c r="JFU95" s="4"/>
      <c r="JFV95" s="4"/>
      <c r="JFW95" s="4"/>
      <c r="JFX95" s="4"/>
      <c r="JFY95" s="4"/>
      <c r="JFZ95" s="4"/>
      <c r="JGA95" s="4"/>
      <c r="JGB95" s="4"/>
      <c r="JGC95" s="4"/>
      <c r="JGD95" s="4"/>
      <c r="JGE95" s="4"/>
      <c r="JGF95" s="4"/>
      <c r="JGG95" s="4"/>
      <c r="JGH95" s="4"/>
      <c r="JGI95" s="4"/>
      <c r="JGJ95" s="4"/>
      <c r="JGK95" s="4"/>
      <c r="JGL95" s="4"/>
      <c r="JGM95" s="4"/>
      <c r="JGN95" s="4"/>
      <c r="JGO95" s="4"/>
      <c r="JGP95" s="4"/>
      <c r="JGQ95" s="4"/>
      <c r="JGR95" s="4"/>
      <c r="JGS95" s="4"/>
      <c r="JGT95" s="4"/>
      <c r="JGU95" s="4"/>
      <c r="JGV95" s="4"/>
      <c r="JGW95" s="4"/>
      <c r="JGX95" s="4"/>
      <c r="JGY95" s="4"/>
      <c r="JGZ95" s="4"/>
      <c r="JHA95" s="4"/>
      <c r="JHB95" s="4"/>
      <c r="JHC95" s="4"/>
      <c r="JHD95" s="4"/>
      <c r="JHE95" s="4"/>
      <c r="JHF95" s="4"/>
      <c r="JHG95" s="4"/>
      <c r="JHH95" s="4"/>
      <c r="JHI95" s="4"/>
      <c r="JHJ95" s="4"/>
      <c r="JHK95" s="4"/>
      <c r="JHL95" s="4"/>
      <c r="JHM95" s="4"/>
      <c r="JHN95" s="4"/>
      <c r="JHO95" s="4"/>
      <c r="JHP95" s="4"/>
      <c r="JHQ95" s="4"/>
      <c r="JHR95" s="4"/>
      <c r="JHS95" s="4"/>
      <c r="JHT95" s="4"/>
      <c r="JHU95" s="4"/>
      <c r="JHV95" s="4"/>
      <c r="JHW95" s="4"/>
      <c r="JHX95" s="4"/>
      <c r="JHY95" s="4"/>
      <c r="JHZ95" s="4"/>
      <c r="JIA95" s="4"/>
      <c r="JIB95" s="4"/>
      <c r="JIC95" s="4"/>
      <c r="JID95" s="4"/>
      <c r="JIE95" s="4"/>
      <c r="JIF95" s="4"/>
      <c r="JIG95" s="4"/>
      <c r="JIH95" s="4"/>
      <c r="JII95" s="4"/>
      <c r="JIJ95" s="4"/>
      <c r="JIK95" s="4"/>
      <c r="JIL95" s="4"/>
      <c r="JIM95" s="4"/>
      <c r="JIN95" s="4"/>
      <c r="JIO95" s="4"/>
      <c r="JIP95" s="4"/>
      <c r="JIQ95" s="4"/>
      <c r="JIR95" s="4"/>
      <c r="JIS95" s="4"/>
      <c r="JIT95" s="4"/>
      <c r="JIU95" s="4"/>
      <c r="JIV95" s="4"/>
      <c r="JIW95" s="4"/>
      <c r="JIX95" s="4"/>
      <c r="JIY95" s="4"/>
      <c r="JIZ95" s="4"/>
      <c r="JJA95" s="4"/>
      <c r="JJB95" s="4"/>
      <c r="JJC95" s="4"/>
      <c r="JJD95" s="4"/>
      <c r="JJE95" s="4"/>
      <c r="JJF95" s="4"/>
      <c r="JJG95" s="4"/>
      <c r="JJH95" s="4"/>
      <c r="JJI95" s="4"/>
      <c r="JJJ95" s="4"/>
      <c r="JJK95" s="4"/>
      <c r="JJL95" s="4"/>
      <c r="JJM95" s="4"/>
      <c r="JJN95" s="4"/>
      <c r="JJO95" s="4"/>
      <c r="JJP95" s="4"/>
      <c r="JJQ95" s="4"/>
      <c r="JJR95" s="4"/>
      <c r="JJS95" s="4"/>
      <c r="JJT95" s="4"/>
      <c r="JJU95" s="4"/>
      <c r="JJV95" s="4"/>
      <c r="JJW95" s="4"/>
      <c r="JJX95" s="4"/>
      <c r="JJY95" s="4"/>
      <c r="JJZ95" s="4"/>
      <c r="JKA95" s="4"/>
      <c r="JKB95" s="4"/>
      <c r="JKC95" s="4"/>
      <c r="JKD95" s="4"/>
      <c r="JKE95" s="4"/>
      <c r="JKF95" s="4"/>
      <c r="JKG95" s="4"/>
      <c r="JKH95" s="4"/>
      <c r="JKI95" s="4"/>
      <c r="JKJ95" s="4"/>
      <c r="JKK95" s="4"/>
      <c r="JKL95" s="4"/>
      <c r="JKM95" s="4"/>
      <c r="JKN95" s="4"/>
      <c r="JKO95" s="4"/>
      <c r="JKP95" s="4"/>
      <c r="JKQ95" s="4"/>
      <c r="JKR95" s="4"/>
      <c r="JKS95" s="4"/>
      <c r="JKT95" s="4"/>
      <c r="JKU95" s="4"/>
      <c r="JKV95" s="4"/>
      <c r="JKW95" s="4"/>
      <c r="JKX95" s="4"/>
      <c r="JKY95" s="4"/>
      <c r="JKZ95" s="4"/>
      <c r="JLA95" s="4"/>
      <c r="JLB95" s="4"/>
      <c r="JLC95" s="4"/>
      <c r="JLD95" s="4"/>
      <c r="JLE95" s="4"/>
      <c r="JLF95" s="4"/>
      <c r="JLG95" s="4"/>
      <c r="JLH95" s="4"/>
      <c r="JLI95" s="4"/>
      <c r="JLJ95" s="4"/>
      <c r="JLK95" s="4"/>
      <c r="JLL95" s="4"/>
      <c r="JLM95" s="4"/>
      <c r="JLN95" s="4"/>
      <c r="JLO95" s="4"/>
      <c r="JLP95" s="4"/>
      <c r="JLQ95" s="4"/>
      <c r="JLR95" s="4"/>
      <c r="JLS95" s="4"/>
      <c r="JLT95" s="4"/>
      <c r="JLU95" s="4"/>
      <c r="JLV95" s="4"/>
      <c r="JLW95" s="4"/>
      <c r="JLX95" s="4"/>
      <c r="JLY95" s="4"/>
      <c r="JLZ95" s="4"/>
      <c r="JMA95" s="4"/>
      <c r="JMB95" s="4"/>
      <c r="JMC95" s="4"/>
      <c r="JMD95" s="4"/>
      <c r="JME95" s="4"/>
      <c r="JMF95" s="4"/>
      <c r="JMG95" s="4"/>
      <c r="JMH95" s="4"/>
      <c r="JMI95" s="4"/>
      <c r="JMJ95" s="4"/>
      <c r="JMK95" s="4"/>
      <c r="JML95" s="4"/>
      <c r="JMM95" s="4"/>
      <c r="JMN95" s="4"/>
      <c r="JMO95" s="4"/>
      <c r="JMP95" s="4"/>
      <c r="JMQ95" s="4"/>
      <c r="JMR95" s="4"/>
      <c r="JMS95" s="4"/>
      <c r="JMT95" s="4"/>
      <c r="JMU95" s="4"/>
      <c r="JMV95" s="4"/>
      <c r="JMW95" s="4"/>
      <c r="JMX95" s="4"/>
      <c r="JMY95" s="4"/>
      <c r="JMZ95" s="4"/>
      <c r="JNA95" s="4"/>
      <c r="JNB95" s="4"/>
      <c r="JNC95" s="4"/>
      <c r="JND95" s="4"/>
      <c r="JNE95" s="4"/>
      <c r="JNF95" s="4"/>
      <c r="JNG95" s="4"/>
      <c r="JNH95" s="4"/>
      <c r="JNI95" s="4"/>
      <c r="JNJ95" s="4"/>
      <c r="JNK95" s="4"/>
      <c r="JNL95" s="4"/>
      <c r="JNM95" s="4"/>
      <c r="JNN95" s="4"/>
      <c r="JNO95" s="4"/>
      <c r="JNP95" s="4"/>
      <c r="JNQ95" s="4"/>
      <c r="JNR95" s="4"/>
      <c r="JNS95" s="4"/>
      <c r="JNT95" s="4"/>
      <c r="JNU95" s="4"/>
      <c r="JNV95" s="4"/>
      <c r="JNW95" s="4"/>
      <c r="JNX95" s="4"/>
      <c r="JNY95" s="4"/>
      <c r="JNZ95" s="4"/>
      <c r="JOA95" s="4"/>
      <c r="JOB95" s="4"/>
      <c r="JOC95" s="4"/>
      <c r="JOD95" s="4"/>
      <c r="JOE95" s="4"/>
      <c r="JOF95" s="4"/>
      <c r="JOG95" s="4"/>
      <c r="JOH95" s="4"/>
      <c r="JOI95" s="4"/>
      <c r="JOJ95" s="4"/>
      <c r="JOK95" s="4"/>
      <c r="JOL95" s="4"/>
      <c r="JOM95" s="4"/>
      <c r="JON95" s="4"/>
      <c r="JOO95" s="4"/>
      <c r="JOP95" s="4"/>
      <c r="JOQ95" s="4"/>
      <c r="JOR95" s="4"/>
      <c r="JOS95" s="4"/>
      <c r="JOT95" s="4"/>
      <c r="JOU95" s="4"/>
      <c r="JOV95" s="4"/>
      <c r="JOW95" s="4"/>
      <c r="JOX95" s="4"/>
      <c r="JOY95" s="4"/>
      <c r="JOZ95" s="4"/>
      <c r="JPA95" s="4"/>
      <c r="JPB95" s="4"/>
      <c r="JPC95" s="4"/>
      <c r="JPD95" s="4"/>
      <c r="JPE95" s="4"/>
      <c r="JPF95" s="4"/>
      <c r="JPG95" s="4"/>
      <c r="JPH95" s="4"/>
      <c r="JPI95" s="4"/>
      <c r="JPJ95" s="4"/>
      <c r="JPK95" s="4"/>
      <c r="JPL95" s="4"/>
      <c r="JPM95" s="4"/>
      <c r="JPN95" s="4"/>
      <c r="JPO95" s="4"/>
      <c r="JPP95" s="4"/>
      <c r="JPQ95" s="4"/>
      <c r="JPR95" s="4"/>
      <c r="JPS95" s="4"/>
      <c r="JPT95" s="4"/>
      <c r="JPU95" s="4"/>
      <c r="JPV95" s="4"/>
      <c r="JPW95" s="4"/>
      <c r="JPX95" s="4"/>
      <c r="JPY95" s="4"/>
      <c r="JPZ95" s="4"/>
      <c r="JQA95" s="4"/>
      <c r="JQB95" s="4"/>
      <c r="JQC95" s="4"/>
      <c r="JQD95" s="4"/>
      <c r="JQE95" s="4"/>
      <c r="JQF95" s="4"/>
      <c r="JQG95" s="4"/>
      <c r="JQH95" s="4"/>
      <c r="JQI95" s="4"/>
      <c r="JQJ95" s="4"/>
      <c r="JQK95" s="4"/>
      <c r="JQL95" s="4"/>
      <c r="JQM95" s="4"/>
      <c r="JQN95" s="4"/>
      <c r="JQO95" s="4"/>
      <c r="JQP95" s="4"/>
      <c r="JQQ95" s="4"/>
      <c r="JQR95" s="4"/>
      <c r="JQS95" s="4"/>
      <c r="JQT95" s="4"/>
      <c r="JQU95" s="4"/>
      <c r="JQV95" s="4"/>
      <c r="JQW95" s="4"/>
      <c r="JQX95" s="4"/>
      <c r="JQY95" s="4"/>
      <c r="JQZ95" s="4"/>
      <c r="JRA95" s="4"/>
      <c r="JRB95" s="4"/>
      <c r="JRC95" s="4"/>
      <c r="JRD95" s="4"/>
      <c r="JRE95" s="4"/>
      <c r="JRF95" s="4"/>
      <c r="JRG95" s="4"/>
      <c r="JRH95" s="4"/>
      <c r="JRI95" s="4"/>
      <c r="JRJ95" s="4"/>
      <c r="JRK95" s="4"/>
      <c r="JRL95" s="4"/>
      <c r="JRM95" s="4"/>
      <c r="JRN95" s="4"/>
      <c r="JRO95" s="4"/>
      <c r="JRP95" s="4"/>
      <c r="JRQ95" s="4"/>
      <c r="JRR95" s="4"/>
      <c r="JRS95" s="4"/>
      <c r="JRT95" s="4"/>
      <c r="JRU95" s="4"/>
      <c r="JRV95" s="4"/>
      <c r="JRW95" s="4"/>
      <c r="JRX95" s="4"/>
      <c r="JRY95" s="4"/>
      <c r="JRZ95" s="4"/>
      <c r="JSA95" s="4"/>
      <c r="JSB95" s="4"/>
      <c r="JSC95" s="4"/>
      <c r="JSD95" s="4"/>
      <c r="JSE95" s="4"/>
      <c r="JSF95" s="4"/>
      <c r="JSG95" s="4"/>
      <c r="JSH95" s="4"/>
      <c r="JSI95" s="4"/>
      <c r="JSJ95" s="4"/>
      <c r="JSK95" s="4"/>
      <c r="JSL95" s="4"/>
      <c r="JSM95" s="4"/>
      <c r="JSN95" s="4"/>
      <c r="JSO95" s="4"/>
      <c r="JSP95" s="4"/>
      <c r="JSQ95" s="4"/>
      <c r="JSR95" s="4"/>
      <c r="JSS95" s="4"/>
      <c r="JST95" s="4"/>
      <c r="JSU95" s="4"/>
      <c r="JSV95" s="4"/>
      <c r="JSW95" s="4"/>
      <c r="JSX95" s="4"/>
      <c r="JSY95" s="4"/>
      <c r="JSZ95" s="4"/>
      <c r="JTA95" s="4"/>
      <c r="JTB95" s="4"/>
      <c r="JTC95" s="4"/>
      <c r="JTD95" s="4"/>
      <c r="JTE95" s="4"/>
      <c r="JTF95" s="4"/>
      <c r="JTG95" s="4"/>
      <c r="JTH95" s="4"/>
      <c r="JTI95" s="4"/>
      <c r="JTJ95" s="4"/>
      <c r="JTK95" s="4"/>
      <c r="JTL95" s="4"/>
      <c r="JTM95" s="4"/>
      <c r="JTN95" s="4"/>
      <c r="JTO95" s="4"/>
      <c r="JTP95" s="4"/>
      <c r="JTQ95" s="4"/>
      <c r="JTR95" s="4"/>
      <c r="JTS95" s="4"/>
      <c r="JTT95" s="4"/>
      <c r="JTU95" s="4"/>
      <c r="JTV95" s="4"/>
      <c r="JTW95" s="4"/>
      <c r="JTX95" s="4"/>
      <c r="JTY95" s="4"/>
      <c r="JTZ95" s="4"/>
      <c r="JUA95" s="4"/>
      <c r="JUB95" s="4"/>
      <c r="JUC95" s="4"/>
      <c r="JUD95" s="4"/>
      <c r="JUE95" s="4"/>
      <c r="JUF95" s="4"/>
      <c r="JUG95" s="4"/>
      <c r="JUH95" s="4"/>
      <c r="JUI95" s="4"/>
      <c r="JUJ95" s="4"/>
      <c r="JUK95" s="4"/>
      <c r="JUL95" s="4"/>
      <c r="JUM95" s="4"/>
      <c r="JUN95" s="4"/>
      <c r="JUO95" s="4"/>
      <c r="JUP95" s="4"/>
      <c r="JUQ95" s="4"/>
      <c r="JUR95" s="4"/>
      <c r="JUS95" s="4"/>
      <c r="JUT95" s="4"/>
      <c r="JUU95" s="4"/>
      <c r="JUV95" s="4"/>
      <c r="JUW95" s="4"/>
      <c r="JUX95" s="4"/>
      <c r="JUY95" s="4"/>
      <c r="JUZ95" s="4"/>
      <c r="JVA95" s="4"/>
      <c r="JVB95" s="4"/>
      <c r="JVC95" s="4"/>
      <c r="JVD95" s="4"/>
      <c r="JVE95" s="4"/>
      <c r="JVF95" s="4"/>
      <c r="JVG95" s="4"/>
      <c r="JVH95" s="4"/>
      <c r="JVI95" s="4"/>
      <c r="JVJ95" s="4"/>
      <c r="JVK95" s="4"/>
      <c r="JVL95" s="4"/>
      <c r="JVM95" s="4"/>
      <c r="JVN95" s="4"/>
      <c r="JVO95" s="4"/>
      <c r="JVP95" s="4"/>
      <c r="JVQ95" s="4"/>
      <c r="JVR95" s="4"/>
      <c r="JVS95" s="4"/>
      <c r="JVT95" s="4"/>
      <c r="JVU95" s="4"/>
      <c r="JVV95" s="4"/>
      <c r="JVW95" s="4"/>
      <c r="JVX95" s="4"/>
      <c r="JVY95" s="4"/>
      <c r="JVZ95" s="4"/>
      <c r="JWA95" s="4"/>
      <c r="JWB95" s="4"/>
      <c r="JWC95" s="4"/>
      <c r="JWD95" s="4"/>
      <c r="JWE95" s="4"/>
      <c r="JWF95" s="4"/>
      <c r="JWG95" s="4"/>
      <c r="JWH95" s="4"/>
      <c r="JWI95" s="4"/>
      <c r="JWJ95" s="4"/>
      <c r="JWK95" s="4"/>
      <c r="JWL95" s="4"/>
      <c r="JWM95" s="4"/>
      <c r="JWN95" s="4"/>
      <c r="JWO95" s="4"/>
      <c r="JWP95" s="4"/>
      <c r="JWQ95" s="4"/>
      <c r="JWR95" s="4"/>
      <c r="JWS95" s="4"/>
      <c r="JWT95" s="4"/>
      <c r="JWU95" s="4"/>
      <c r="JWV95" s="4"/>
      <c r="JWW95" s="4"/>
      <c r="JWX95" s="4"/>
      <c r="JWY95" s="4"/>
      <c r="JWZ95" s="4"/>
      <c r="JXA95" s="4"/>
      <c r="JXB95" s="4"/>
      <c r="JXC95" s="4"/>
      <c r="JXD95" s="4"/>
      <c r="JXE95" s="4"/>
      <c r="JXF95" s="4"/>
      <c r="JXG95" s="4"/>
      <c r="JXH95" s="4"/>
      <c r="JXI95" s="4"/>
      <c r="JXJ95" s="4"/>
      <c r="JXK95" s="4"/>
      <c r="JXL95" s="4"/>
      <c r="JXM95" s="4"/>
      <c r="JXN95" s="4"/>
      <c r="JXO95" s="4"/>
      <c r="JXP95" s="4"/>
      <c r="JXQ95" s="4"/>
      <c r="JXR95" s="4"/>
      <c r="JXS95" s="4"/>
      <c r="JXT95" s="4"/>
      <c r="JXU95" s="4"/>
      <c r="JXV95" s="4"/>
      <c r="JXW95" s="4"/>
      <c r="JXX95" s="4"/>
      <c r="JXY95" s="4"/>
      <c r="JXZ95" s="4"/>
      <c r="JYA95" s="4"/>
      <c r="JYB95" s="4"/>
      <c r="JYC95" s="4"/>
      <c r="JYD95" s="4"/>
      <c r="JYE95" s="4"/>
      <c r="JYF95" s="4"/>
      <c r="JYG95" s="4"/>
      <c r="JYH95" s="4"/>
      <c r="JYI95" s="4"/>
      <c r="JYJ95" s="4"/>
      <c r="JYK95" s="4"/>
      <c r="JYL95" s="4"/>
      <c r="JYM95" s="4"/>
      <c r="JYN95" s="4"/>
      <c r="JYO95" s="4"/>
      <c r="JYP95" s="4"/>
      <c r="JYQ95" s="4"/>
      <c r="JYR95" s="4"/>
      <c r="JYS95" s="4"/>
      <c r="JYT95" s="4"/>
      <c r="JYU95" s="4"/>
      <c r="JYV95" s="4"/>
      <c r="JYW95" s="4"/>
      <c r="JYX95" s="4"/>
      <c r="JYY95" s="4"/>
      <c r="JYZ95" s="4"/>
      <c r="JZA95" s="4"/>
      <c r="JZB95" s="4"/>
      <c r="JZC95" s="4"/>
      <c r="JZD95" s="4"/>
      <c r="JZE95" s="4"/>
      <c r="JZF95" s="4"/>
      <c r="JZG95" s="4"/>
      <c r="JZH95" s="4"/>
      <c r="JZI95" s="4"/>
      <c r="JZJ95" s="4"/>
      <c r="JZK95" s="4"/>
      <c r="JZL95" s="4"/>
      <c r="JZM95" s="4"/>
      <c r="JZN95" s="4"/>
      <c r="JZO95" s="4"/>
      <c r="JZP95" s="4"/>
      <c r="JZQ95" s="4"/>
      <c r="JZR95" s="4"/>
      <c r="JZS95" s="4"/>
      <c r="JZT95" s="4"/>
      <c r="JZU95" s="4"/>
      <c r="JZV95" s="4"/>
      <c r="JZW95" s="4"/>
      <c r="JZX95" s="4"/>
      <c r="JZY95" s="4"/>
      <c r="JZZ95" s="4"/>
      <c r="KAA95" s="4"/>
      <c r="KAB95" s="4"/>
      <c r="KAC95" s="4"/>
      <c r="KAD95" s="4"/>
      <c r="KAE95" s="4"/>
      <c r="KAF95" s="4"/>
      <c r="KAG95" s="4"/>
      <c r="KAH95" s="4"/>
      <c r="KAI95" s="4"/>
      <c r="KAJ95" s="4"/>
      <c r="KAK95" s="4"/>
      <c r="KAL95" s="4"/>
      <c r="KAM95" s="4"/>
      <c r="KAN95" s="4"/>
      <c r="KAO95" s="4"/>
      <c r="KAP95" s="4"/>
      <c r="KAQ95" s="4"/>
      <c r="KAR95" s="4"/>
      <c r="KAS95" s="4"/>
      <c r="KAT95" s="4"/>
      <c r="KAU95" s="4"/>
      <c r="KAV95" s="4"/>
      <c r="KAW95" s="4"/>
      <c r="KAX95" s="4"/>
      <c r="KAY95" s="4"/>
      <c r="KAZ95" s="4"/>
      <c r="KBA95" s="4"/>
      <c r="KBB95" s="4"/>
      <c r="KBC95" s="4"/>
      <c r="KBD95" s="4"/>
      <c r="KBE95" s="4"/>
      <c r="KBF95" s="4"/>
      <c r="KBG95" s="4"/>
      <c r="KBH95" s="4"/>
      <c r="KBI95" s="4"/>
      <c r="KBJ95" s="4"/>
      <c r="KBK95" s="4"/>
      <c r="KBL95" s="4"/>
      <c r="KBM95" s="4"/>
      <c r="KBN95" s="4"/>
      <c r="KBO95" s="4"/>
      <c r="KBP95" s="4"/>
      <c r="KBQ95" s="4"/>
      <c r="KBR95" s="4"/>
      <c r="KBS95" s="4"/>
      <c r="KBT95" s="4"/>
      <c r="KBU95" s="4"/>
      <c r="KBV95" s="4"/>
      <c r="KBW95" s="4"/>
      <c r="KBX95" s="4"/>
      <c r="KBY95" s="4"/>
      <c r="KBZ95" s="4"/>
      <c r="KCA95" s="4"/>
      <c r="KCB95" s="4"/>
      <c r="KCC95" s="4"/>
      <c r="KCD95" s="4"/>
      <c r="KCE95" s="4"/>
      <c r="KCF95" s="4"/>
      <c r="KCG95" s="4"/>
      <c r="KCH95" s="4"/>
      <c r="KCI95" s="4"/>
      <c r="KCJ95" s="4"/>
      <c r="KCK95" s="4"/>
      <c r="KCL95" s="4"/>
      <c r="KCM95" s="4"/>
      <c r="KCN95" s="4"/>
      <c r="KCO95" s="4"/>
      <c r="KCP95" s="4"/>
      <c r="KCQ95" s="4"/>
      <c r="KCR95" s="4"/>
      <c r="KCS95" s="4"/>
      <c r="KCT95" s="4"/>
      <c r="KCU95" s="4"/>
      <c r="KCV95" s="4"/>
      <c r="KCW95" s="4"/>
      <c r="KCX95" s="4"/>
      <c r="KCY95" s="4"/>
      <c r="KCZ95" s="4"/>
      <c r="KDA95" s="4"/>
      <c r="KDB95" s="4"/>
      <c r="KDC95" s="4"/>
      <c r="KDD95" s="4"/>
      <c r="KDE95" s="4"/>
      <c r="KDF95" s="4"/>
      <c r="KDG95" s="4"/>
      <c r="KDH95" s="4"/>
      <c r="KDI95" s="4"/>
      <c r="KDJ95" s="4"/>
      <c r="KDK95" s="4"/>
      <c r="KDL95" s="4"/>
      <c r="KDM95" s="4"/>
      <c r="KDN95" s="4"/>
      <c r="KDO95" s="4"/>
      <c r="KDP95" s="4"/>
      <c r="KDQ95" s="4"/>
      <c r="KDR95" s="4"/>
      <c r="KDS95" s="4"/>
      <c r="KDT95" s="4"/>
      <c r="KDU95" s="4"/>
      <c r="KDV95" s="4"/>
      <c r="KDW95" s="4"/>
      <c r="KDX95" s="4"/>
      <c r="KDY95" s="4"/>
      <c r="KDZ95" s="4"/>
      <c r="KEA95" s="4"/>
      <c r="KEB95" s="4"/>
      <c r="KEC95" s="4"/>
      <c r="KED95" s="4"/>
      <c r="KEE95" s="4"/>
      <c r="KEF95" s="4"/>
      <c r="KEG95" s="4"/>
      <c r="KEH95" s="4"/>
      <c r="KEI95" s="4"/>
      <c r="KEJ95" s="4"/>
      <c r="KEK95" s="4"/>
      <c r="KEL95" s="4"/>
      <c r="KEM95" s="4"/>
      <c r="KEN95" s="4"/>
      <c r="KEO95" s="4"/>
      <c r="KEP95" s="4"/>
      <c r="KEQ95" s="4"/>
      <c r="KER95" s="4"/>
      <c r="KES95" s="4"/>
      <c r="KET95" s="4"/>
      <c r="KEU95" s="4"/>
      <c r="KEV95" s="4"/>
      <c r="KEW95" s="4"/>
      <c r="KEX95" s="4"/>
      <c r="KEY95" s="4"/>
      <c r="KEZ95" s="4"/>
      <c r="KFA95" s="4"/>
      <c r="KFB95" s="4"/>
      <c r="KFC95" s="4"/>
      <c r="KFD95" s="4"/>
      <c r="KFE95" s="4"/>
      <c r="KFF95" s="4"/>
      <c r="KFG95" s="4"/>
      <c r="KFH95" s="4"/>
      <c r="KFI95" s="4"/>
      <c r="KFJ95" s="4"/>
      <c r="KFK95" s="4"/>
      <c r="KFL95" s="4"/>
      <c r="KFM95" s="4"/>
      <c r="KFN95" s="4"/>
      <c r="KFO95" s="4"/>
      <c r="KFP95" s="4"/>
      <c r="KFQ95" s="4"/>
      <c r="KFR95" s="4"/>
      <c r="KFS95" s="4"/>
      <c r="KFT95" s="4"/>
      <c r="KFU95" s="4"/>
      <c r="KFV95" s="4"/>
      <c r="KFW95" s="4"/>
      <c r="KFX95" s="4"/>
      <c r="KFY95" s="4"/>
      <c r="KFZ95" s="4"/>
      <c r="KGA95" s="4"/>
      <c r="KGB95" s="4"/>
      <c r="KGC95" s="4"/>
      <c r="KGD95" s="4"/>
      <c r="KGE95" s="4"/>
      <c r="KGF95" s="4"/>
      <c r="KGG95" s="4"/>
      <c r="KGH95" s="4"/>
      <c r="KGI95" s="4"/>
      <c r="KGJ95" s="4"/>
      <c r="KGK95" s="4"/>
      <c r="KGL95" s="4"/>
      <c r="KGM95" s="4"/>
      <c r="KGN95" s="4"/>
      <c r="KGO95" s="4"/>
      <c r="KGP95" s="4"/>
      <c r="KGQ95" s="4"/>
      <c r="KGR95" s="4"/>
      <c r="KGS95" s="4"/>
      <c r="KGT95" s="4"/>
      <c r="KGU95" s="4"/>
      <c r="KGV95" s="4"/>
      <c r="KGW95" s="4"/>
      <c r="KGX95" s="4"/>
      <c r="KGY95" s="4"/>
      <c r="KGZ95" s="4"/>
      <c r="KHA95" s="4"/>
      <c r="KHB95" s="4"/>
      <c r="KHC95" s="4"/>
      <c r="KHD95" s="4"/>
      <c r="KHE95" s="4"/>
      <c r="KHF95" s="4"/>
      <c r="KHG95" s="4"/>
      <c r="KHH95" s="4"/>
      <c r="KHI95" s="4"/>
      <c r="KHJ95" s="4"/>
      <c r="KHK95" s="4"/>
      <c r="KHL95" s="4"/>
      <c r="KHM95" s="4"/>
      <c r="KHN95" s="4"/>
      <c r="KHO95" s="4"/>
      <c r="KHP95" s="4"/>
      <c r="KHQ95" s="4"/>
      <c r="KHR95" s="4"/>
      <c r="KHS95" s="4"/>
      <c r="KHT95" s="4"/>
      <c r="KHU95" s="4"/>
      <c r="KHV95" s="4"/>
      <c r="KHW95" s="4"/>
      <c r="KHX95" s="4"/>
      <c r="KHY95" s="4"/>
      <c r="KHZ95" s="4"/>
      <c r="KIA95" s="4"/>
      <c r="KIB95" s="4"/>
      <c r="KIC95" s="4"/>
      <c r="KID95" s="4"/>
      <c r="KIE95" s="4"/>
      <c r="KIF95" s="4"/>
      <c r="KIG95" s="4"/>
      <c r="KIH95" s="4"/>
      <c r="KII95" s="4"/>
      <c r="KIJ95" s="4"/>
      <c r="KIK95" s="4"/>
      <c r="KIL95" s="4"/>
      <c r="KIM95" s="4"/>
      <c r="KIN95" s="4"/>
      <c r="KIO95" s="4"/>
      <c r="KIP95" s="4"/>
      <c r="KIQ95" s="4"/>
      <c r="KIR95" s="4"/>
      <c r="KIS95" s="4"/>
      <c r="KIT95" s="4"/>
      <c r="KIU95" s="4"/>
      <c r="KIV95" s="4"/>
      <c r="KIW95" s="4"/>
      <c r="KIX95" s="4"/>
      <c r="KIY95" s="4"/>
      <c r="KIZ95" s="4"/>
      <c r="KJA95" s="4"/>
      <c r="KJB95" s="4"/>
      <c r="KJC95" s="4"/>
      <c r="KJD95" s="4"/>
      <c r="KJE95" s="4"/>
      <c r="KJF95" s="4"/>
      <c r="KJG95" s="4"/>
      <c r="KJH95" s="4"/>
      <c r="KJI95" s="4"/>
      <c r="KJJ95" s="4"/>
      <c r="KJK95" s="4"/>
      <c r="KJL95" s="4"/>
      <c r="KJM95" s="4"/>
      <c r="KJN95" s="4"/>
      <c r="KJO95" s="4"/>
      <c r="KJP95" s="4"/>
      <c r="KJQ95" s="4"/>
      <c r="KJR95" s="4"/>
      <c r="KJS95" s="4"/>
      <c r="KJT95" s="4"/>
      <c r="KJU95" s="4"/>
      <c r="KJV95" s="4"/>
      <c r="KJW95" s="4"/>
      <c r="KJX95" s="4"/>
      <c r="KJY95" s="4"/>
      <c r="KJZ95" s="4"/>
      <c r="KKA95" s="4"/>
      <c r="KKB95" s="4"/>
      <c r="KKC95" s="4"/>
      <c r="KKD95" s="4"/>
      <c r="KKE95" s="4"/>
      <c r="KKF95" s="4"/>
      <c r="KKG95" s="4"/>
      <c r="KKH95" s="4"/>
      <c r="KKI95" s="4"/>
      <c r="KKJ95" s="4"/>
      <c r="KKK95" s="4"/>
      <c r="KKL95" s="4"/>
      <c r="KKM95" s="4"/>
      <c r="KKN95" s="4"/>
      <c r="KKO95" s="4"/>
      <c r="KKP95" s="4"/>
      <c r="KKQ95" s="4"/>
      <c r="KKR95" s="4"/>
      <c r="KKS95" s="4"/>
      <c r="KKT95" s="4"/>
      <c r="KKU95" s="4"/>
      <c r="KKV95" s="4"/>
      <c r="KKW95" s="4"/>
      <c r="KKX95" s="4"/>
      <c r="KKY95" s="4"/>
      <c r="KKZ95" s="4"/>
      <c r="KLA95" s="4"/>
      <c r="KLB95" s="4"/>
      <c r="KLC95" s="4"/>
      <c r="KLD95" s="4"/>
      <c r="KLE95" s="4"/>
      <c r="KLF95" s="4"/>
      <c r="KLG95" s="4"/>
      <c r="KLH95" s="4"/>
      <c r="KLI95" s="4"/>
      <c r="KLJ95" s="4"/>
      <c r="KLK95" s="4"/>
      <c r="KLL95" s="4"/>
      <c r="KLM95" s="4"/>
      <c r="KLN95" s="4"/>
      <c r="KLO95" s="4"/>
      <c r="KLP95" s="4"/>
      <c r="KLQ95" s="4"/>
      <c r="KLR95" s="4"/>
      <c r="KLS95" s="4"/>
      <c r="KLT95" s="4"/>
      <c r="KLU95" s="4"/>
      <c r="KLV95" s="4"/>
      <c r="KLW95" s="4"/>
      <c r="KLX95" s="4"/>
      <c r="KLY95" s="4"/>
      <c r="KLZ95" s="4"/>
      <c r="KMA95" s="4"/>
      <c r="KMB95" s="4"/>
      <c r="KMC95" s="4"/>
      <c r="KMD95" s="4"/>
      <c r="KME95" s="4"/>
      <c r="KMF95" s="4"/>
      <c r="KMG95" s="4"/>
      <c r="KMH95" s="4"/>
      <c r="KMI95" s="4"/>
      <c r="KMJ95" s="4"/>
      <c r="KMK95" s="4"/>
      <c r="KML95" s="4"/>
      <c r="KMM95" s="4"/>
      <c r="KMN95" s="4"/>
      <c r="KMO95" s="4"/>
      <c r="KMP95" s="4"/>
      <c r="KMQ95" s="4"/>
      <c r="KMR95" s="4"/>
      <c r="KMS95" s="4"/>
      <c r="KMT95" s="4"/>
      <c r="KMU95" s="4"/>
      <c r="KMV95" s="4"/>
      <c r="KMW95" s="4"/>
      <c r="KMX95" s="4"/>
      <c r="KMY95" s="4"/>
      <c r="KMZ95" s="4"/>
      <c r="KNA95" s="4"/>
      <c r="KNB95" s="4"/>
      <c r="KNC95" s="4"/>
      <c r="KND95" s="4"/>
      <c r="KNE95" s="4"/>
      <c r="KNF95" s="4"/>
      <c r="KNG95" s="4"/>
      <c r="KNH95" s="4"/>
      <c r="KNI95" s="4"/>
      <c r="KNJ95" s="4"/>
      <c r="KNK95" s="4"/>
      <c r="KNL95" s="4"/>
      <c r="KNM95" s="4"/>
      <c r="KNN95" s="4"/>
      <c r="KNO95" s="4"/>
      <c r="KNP95" s="4"/>
      <c r="KNQ95" s="4"/>
      <c r="KNR95" s="4"/>
      <c r="KNS95" s="4"/>
      <c r="KNT95" s="4"/>
      <c r="KNU95" s="4"/>
      <c r="KNV95" s="4"/>
      <c r="KNW95" s="4"/>
      <c r="KNX95" s="4"/>
      <c r="KNY95" s="4"/>
      <c r="KNZ95" s="4"/>
      <c r="KOA95" s="4"/>
      <c r="KOB95" s="4"/>
      <c r="KOC95" s="4"/>
      <c r="KOD95" s="4"/>
      <c r="KOE95" s="4"/>
      <c r="KOF95" s="4"/>
      <c r="KOG95" s="4"/>
      <c r="KOH95" s="4"/>
      <c r="KOI95" s="4"/>
      <c r="KOJ95" s="4"/>
      <c r="KOK95" s="4"/>
      <c r="KOL95" s="4"/>
      <c r="KOM95" s="4"/>
      <c r="KON95" s="4"/>
      <c r="KOO95" s="4"/>
      <c r="KOP95" s="4"/>
      <c r="KOQ95" s="4"/>
      <c r="KOR95" s="4"/>
      <c r="KOS95" s="4"/>
      <c r="KOT95" s="4"/>
      <c r="KOU95" s="4"/>
      <c r="KOV95" s="4"/>
      <c r="KOW95" s="4"/>
      <c r="KOX95" s="4"/>
      <c r="KOY95" s="4"/>
      <c r="KOZ95" s="4"/>
      <c r="KPA95" s="4"/>
      <c r="KPB95" s="4"/>
      <c r="KPC95" s="4"/>
      <c r="KPD95" s="4"/>
      <c r="KPE95" s="4"/>
      <c r="KPF95" s="4"/>
      <c r="KPG95" s="4"/>
      <c r="KPH95" s="4"/>
      <c r="KPI95" s="4"/>
      <c r="KPJ95" s="4"/>
      <c r="KPK95" s="4"/>
      <c r="KPL95" s="4"/>
      <c r="KPM95" s="4"/>
      <c r="KPN95" s="4"/>
      <c r="KPO95" s="4"/>
      <c r="KPP95" s="4"/>
      <c r="KPQ95" s="4"/>
      <c r="KPR95" s="4"/>
      <c r="KPS95" s="4"/>
      <c r="KPT95" s="4"/>
      <c r="KPU95" s="4"/>
      <c r="KPV95" s="4"/>
      <c r="KPW95" s="4"/>
      <c r="KPX95" s="4"/>
      <c r="KPY95" s="4"/>
      <c r="KPZ95" s="4"/>
      <c r="KQA95" s="4"/>
      <c r="KQB95" s="4"/>
      <c r="KQC95" s="4"/>
      <c r="KQD95" s="4"/>
      <c r="KQE95" s="4"/>
      <c r="KQF95" s="4"/>
      <c r="KQG95" s="4"/>
      <c r="KQH95" s="4"/>
      <c r="KQI95" s="4"/>
      <c r="KQJ95" s="4"/>
      <c r="KQK95" s="4"/>
      <c r="KQL95" s="4"/>
      <c r="KQM95" s="4"/>
      <c r="KQN95" s="4"/>
      <c r="KQO95" s="4"/>
      <c r="KQP95" s="4"/>
      <c r="KQQ95" s="4"/>
      <c r="KQR95" s="4"/>
      <c r="KQS95" s="4"/>
      <c r="KQT95" s="4"/>
      <c r="KQU95" s="4"/>
      <c r="KQV95" s="4"/>
      <c r="KQW95" s="4"/>
      <c r="KQX95" s="4"/>
      <c r="KQY95" s="4"/>
      <c r="KQZ95" s="4"/>
      <c r="KRA95" s="4"/>
      <c r="KRB95" s="4"/>
      <c r="KRC95" s="4"/>
      <c r="KRD95" s="4"/>
      <c r="KRE95" s="4"/>
      <c r="KRF95" s="4"/>
      <c r="KRG95" s="4"/>
      <c r="KRH95" s="4"/>
      <c r="KRI95" s="4"/>
      <c r="KRJ95" s="4"/>
      <c r="KRK95" s="4"/>
      <c r="KRL95" s="4"/>
      <c r="KRM95" s="4"/>
      <c r="KRN95" s="4"/>
      <c r="KRO95" s="4"/>
      <c r="KRP95" s="4"/>
      <c r="KRQ95" s="4"/>
      <c r="KRR95" s="4"/>
      <c r="KRS95" s="4"/>
      <c r="KRT95" s="4"/>
      <c r="KRU95" s="4"/>
      <c r="KRV95" s="4"/>
      <c r="KRW95" s="4"/>
      <c r="KRX95" s="4"/>
      <c r="KRY95" s="4"/>
      <c r="KRZ95" s="4"/>
      <c r="KSA95" s="4"/>
      <c r="KSB95" s="4"/>
      <c r="KSC95" s="4"/>
      <c r="KSD95" s="4"/>
      <c r="KSE95" s="4"/>
      <c r="KSF95" s="4"/>
      <c r="KSG95" s="4"/>
      <c r="KSH95" s="4"/>
      <c r="KSI95" s="4"/>
      <c r="KSJ95" s="4"/>
      <c r="KSK95" s="4"/>
      <c r="KSL95" s="4"/>
      <c r="KSM95" s="4"/>
      <c r="KSN95" s="4"/>
      <c r="KSO95" s="4"/>
      <c r="KSP95" s="4"/>
      <c r="KSQ95" s="4"/>
      <c r="KSR95" s="4"/>
      <c r="KSS95" s="4"/>
      <c r="KST95" s="4"/>
      <c r="KSU95" s="4"/>
      <c r="KSV95" s="4"/>
      <c r="KSW95" s="4"/>
      <c r="KSX95" s="4"/>
      <c r="KSY95" s="4"/>
      <c r="KSZ95" s="4"/>
      <c r="KTA95" s="4"/>
      <c r="KTB95" s="4"/>
      <c r="KTC95" s="4"/>
      <c r="KTD95" s="4"/>
      <c r="KTE95" s="4"/>
      <c r="KTF95" s="4"/>
      <c r="KTG95" s="4"/>
      <c r="KTH95" s="4"/>
      <c r="KTI95" s="4"/>
      <c r="KTJ95" s="4"/>
      <c r="KTK95" s="4"/>
      <c r="KTL95" s="4"/>
      <c r="KTM95" s="4"/>
      <c r="KTN95" s="4"/>
      <c r="KTO95" s="4"/>
      <c r="KTP95" s="4"/>
      <c r="KTQ95" s="4"/>
      <c r="KTR95" s="4"/>
      <c r="KTS95" s="4"/>
      <c r="KTT95" s="4"/>
      <c r="KTU95" s="4"/>
      <c r="KTV95" s="4"/>
      <c r="KTW95" s="4"/>
      <c r="KTX95" s="4"/>
      <c r="KTY95" s="4"/>
      <c r="KTZ95" s="4"/>
      <c r="KUA95" s="4"/>
      <c r="KUB95" s="4"/>
      <c r="KUC95" s="4"/>
      <c r="KUD95" s="4"/>
      <c r="KUE95" s="4"/>
      <c r="KUF95" s="4"/>
      <c r="KUG95" s="4"/>
      <c r="KUH95" s="4"/>
      <c r="KUI95" s="4"/>
      <c r="KUJ95" s="4"/>
      <c r="KUK95" s="4"/>
      <c r="KUL95" s="4"/>
      <c r="KUM95" s="4"/>
      <c r="KUN95" s="4"/>
      <c r="KUO95" s="4"/>
      <c r="KUP95" s="4"/>
      <c r="KUQ95" s="4"/>
      <c r="KUR95" s="4"/>
      <c r="KUS95" s="4"/>
      <c r="KUT95" s="4"/>
      <c r="KUU95" s="4"/>
      <c r="KUV95" s="4"/>
      <c r="KUW95" s="4"/>
      <c r="KUX95" s="4"/>
      <c r="KUY95" s="4"/>
      <c r="KUZ95" s="4"/>
      <c r="KVA95" s="4"/>
      <c r="KVB95" s="4"/>
      <c r="KVC95" s="4"/>
      <c r="KVD95" s="4"/>
      <c r="KVE95" s="4"/>
      <c r="KVF95" s="4"/>
      <c r="KVG95" s="4"/>
      <c r="KVH95" s="4"/>
      <c r="KVI95" s="4"/>
      <c r="KVJ95" s="4"/>
      <c r="KVK95" s="4"/>
      <c r="KVL95" s="4"/>
      <c r="KVM95" s="4"/>
      <c r="KVN95" s="4"/>
      <c r="KVO95" s="4"/>
      <c r="KVP95" s="4"/>
      <c r="KVQ95" s="4"/>
      <c r="KVR95" s="4"/>
      <c r="KVS95" s="4"/>
      <c r="KVT95" s="4"/>
      <c r="KVU95" s="4"/>
      <c r="KVV95" s="4"/>
      <c r="KVW95" s="4"/>
      <c r="KVX95" s="4"/>
      <c r="KVY95" s="4"/>
      <c r="KVZ95" s="4"/>
      <c r="KWA95" s="4"/>
      <c r="KWB95" s="4"/>
      <c r="KWC95" s="4"/>
      <c r="KWD95" s="4"/>
      <c r="KWE95" s="4"/>
      <c r="KWF95" s="4"/>
      <c r="KWG95" s="4"/>
      <c r="KWH95" s="4"/>
      <c r="KWI95" s="4"/>
      <c r="KWJ95" s="4"/>
      <c r="KWK95" s="4"/>
      <c r="KWL95" s="4"/>
      <c r="KWM95" s="4"/>
      <c r="KWN95" s="4"/>
      <c r="KWO95" s="4"/>
      <c r="KWP95" s="4"/>
      <c r="KWQ95" s="4"/>
      <c r="KWR95" s="4"/>
      <c r="KWS95" s="4"/>
      <c r="KWT95" s="4"/>
      <c r="KWU95" s="4"/>
      <c r="KWV95" s="4"/>
      <c r="KWW95" s="4"/>
      <c r="KWX95" s="4"/>
      <c r="KWY95" s="4"/>
      <c r="KWZ95" s="4"/>
      <c r="KXA95" s="4"/>
      <c r="KXB95" s="4"/>
      <c r="KXC95" s="4"/>
      <c r="KXD95" s="4"/>
      <c r="KXE95" s="4"/>
      <c r="KXF95" s="4"/>
      <c r="KXG95" s="4"/>
      <c r="KXH95" s="4"/>
      <c r="KXI95" s="4"/>
      <c r="KXJ95" s="4"/>
      <c r="KXK95" s="4"/>
      <c r="KXL95" s="4"/>
      <c r="KXM95" s="4"/>
      <c r="KXN95" s="4"/>
      <c r="KXO95" s="4"/>
      <c r="KXP95" s="4"/>
      <c r="KXQ95" s="4"/>
      <c r="KXR95" s="4"/>
      <c r="KXS95" s="4"/>
      <c r="KXT95" s="4"/>
      <c r="KXU95" s="4"/>
      <c r="KXV95" s="4"/>
      <c r="KXW95" s="4"/>
      <c r="KXX95" s="4"/>
      <c r="KXY95" s="4"/>
      <c r="KXZ95" s="4"/>
      <c r="KYA95" s="4"/>
      <c r="KYB95" s="4"/>
      <c r="KYC95" s="4"/>
      <c r="KYD95" s="4"/>
      <c r="KYE95" s="4"/>
      <c r="KYF95" s="4"/>
      <c r="KYG95" s="4"/>
      <c r="KYH95" s="4"/>
      <c r="KYI95" s="4"/>
      <c r="KYJ95" s="4"/>
      <c r="KYK95" s="4"/>
      <c r="KYL95" s="4"/>
      <c r="KYM95" s="4"/>
      <c r="KYN95" s="4"/>
      <c r="KYO95" s="4"/>
      <c r="KYP95" s="4"/>
      <c r="KYQ95" s="4"/>
      <c r="KYR95" s="4"/>
      <c r="KYS95" s="4"/>
      <c r="KYT95" s="4"/>
      <c r="KYU95" s="4"/>
      <c r="KYV95" s="4"/>
      <c r="KYW95" s="4"/>
      <c r="KYX95" s="4"/>
      <c r="KYY95" s="4"/>
      <c r="KYZ95" s="4"/>
      <c r="KZA95" s="4"/>
      <c r="KZB95" s="4"/>
      <c r="KZC95" s="4"/>
      <c r="KZD95" s="4"/>
      <c r="KZE95" s="4"/>
      <c r="KZF95" s="4"/>
      <c r="KZG95" s="4"/>
      <c r="KZH95" s="4"/>
      <c r="KZI95" s="4"/>
      <c r="KZJ95" s="4"/>
      <c r="KZK95" s="4"/>
      <c r="KZL95" s="4"/>
      <c r="KZM95" s="4"/>
      <c r="KZN95" s="4"/>
      <c r="KZO95" s="4"/>
      <c r="KZP95" s="4"/>
      <c r="KZQ95" s="4"/>
      <c r="KZR95" s="4"/>
      <c r="KZS95" s="4"/>
      <c r="KZT95" s="4"/>
      <c r="KZU95" s="4"/>
      <c r="KZV95" s="4"/>
      <c r="KZW95" s="4"/>
      <c r="KZX95" s="4"/>
      <c r="KZY95" s="4"/>
      <c r="KZZ95" s="4"/>
      <c r="LAA95" s="4"/>
      <c r="LAB95" s="4"/>
      <c r="LAC95" s="4"/>
      <c r="LAD95" s="4"/>
      <c r="LAE95" s="4"/>
      <c r="LAF95" s="4"/>
      <c r="LAG95" s="4"/>
      <c r="LAH95" s="4"/>
      <c r="LAI95" s="4"/>
      <c r="LAJ95" s="4"/>
      <c r="LAK95" s="4"/>
      <c r="LAL95" s="4"/>
      <c r="LAM95" s="4"/>
      <c r="LAN95" s="4"/>
      <c r="LAO95" s="4"/>
      <c r="LAP95" s="4"/>
      <c r="LAQ95" s="4"/>
      <c r="LAR95" s="4"/>
      <c r="LAS95" s="4"/>
      <c r="LAT95" s="4"/>
      <c r="LAU95" s="4"/>
      <c r="LAV95" s="4"/>
      <c r="LAW95" s="4"/>
      <c r="LAX95" s="4"/>
      <c r="LAY95" s="4"/>
      <c r="LAZ95" s="4"/>
      <c r="LBA95" s="4"/>
      <c r="LBB95" s="4"/>
      <c r="LBC95" s="4"/>
      <c r="LBD95" s="4"/>
      <c r="LBE95" s="4"/>
      <c r="LBF95" s="4"/>
      <c r="LBG95" s="4"/>
      <c r="LBH95" s="4"/>
      <c r="LBI95" s="4"/>
      <c r="LBJ95" s="4"/>
      <c r="LBK95" s="4"/>
      <c r="LBL95" s="4"/>
      <c r="LBM95" s="4"/>
      <c r="LBN95" s="4"/>
      <c r="LBO95" s="4"/>
      <c r="LBP95" s="4"/>
      <c r="LBQ95" s="4"/>
      <c r="LBR95" s="4"/>
      <c r="LBS95" s="4"/>
      <c r="LBT95" s="4"/>
      <c r="LBU95" s="4"/>
      <c r="LBV95" s="4"/>
      <c r="LBW95" s="4"/>
      <c r="LBX95" s="4"/>
      <c r="LBY95" s="4"/>
      <c r="LBZ95" s="4"/>
      <c r="LCA95" s="4"/>
      <c r="LCB95" s="4"/>
      <c r="LCC95" s="4"/>
      <c r="LCD95" s="4"/>
      <c r="LCE95" s="4"/>
      <c r="LCF95" s="4"/>
      <c r="LCG95" s="4"/>
      <c r="LCH95" s="4"/>
      <c r="LCI95" s="4"/>
      <c r="LCJ95" s="4"/>
      <c r="LCK95" s="4"/>
      <c r="LCL95" s="4"/>
      <c r="LCM95" s="4"/>
      <c r="LCN95" s="4"/>
      <c r="LCO95" s="4"/>
      <c r="LCP95" s="4"/>
      <c r="LCQ95" s="4"/>
      <c r="LCR95" s="4"/>
      <c r="LCS95" s="4"/>
      <c r="LCT95" s="4"/>
      <c r="LCU95" s="4"/>
      <c r="LCV95" s="4"/>
      <c r="LCW95" s="4"/>
      <c r="LCX95" s="4"/>
      <c r="LCY95" s="4"/>
      <c r="LCZ95" s="4"/>
      <c r="LDA95" s="4"/>
      <c r="LDB95" s="4"/>
      <c r="LDC95" s="4"/>
      <c r="LDD95" s="4"/>
      <c r="LDE95" s="4"/>
      <c r="LDF95" s="4"/>
      <c r="LDG95" s="4"/>
      <c r="LDH95" s="4"/>
      <c r="LDI95" s="4"/>
      <c r="LDJ95" s="4"/>
      <c r="LDK95" s="4"/>
      <c r="LDL95" s="4"/>
      <c r="LDM95" s="4"/>
      <c r="LDN95" s="4"/>
      <c r="LDO95" s="4"/>
      <c r="LDP95" s="4"/>
      <c r="LDQ95" s="4"/>
      <c r="LDR95" s="4"/>
      <c r="LDS95" s="4"/>
      <c r="LDT95" s="4"/>
      <c r="LDU95" s="4"/>
      <c r="LDV95" s="4"/>
      <c r="LDW95" s="4"/>
      <c r="LDX95" s="4"/>
      <c r="LDY95" s="4"/>
      <c r="LDZ95" s="4"/>
      <c r="LEA95" s="4"/>
      <c r="LEB95" s="4"/>
      <c r="LEC95" s="4"/>
      <c r="LED95" s="4"/>
      <c r="LEE95" s="4"/>
      <c r="LEF95" s="4"/>
      <c r="LEG95" s="4"/>
      <c r="LEH95" s="4"/>
      <c r="LEI95" s="4"/>
      <c r="LEJ95" s="4"/>
      <c r="LEK95" s="4"/>
      <c r="LEL95" s="4"/>
      <c r="LEM95" s="4"/>
      <c r="LEN95" s="4"/>
      <c r="LEO95" s="4"/>
      <c r="LEP95" s="4"/>
      <c r="LEQ95" s="4"/>
      <c r="LER95" s="4"/>
      <c r="LES95" s="4"/>
      <c r="LET95" s="4"/>
      <c r="LEU95" s="4"/>
      <c r="LEV95" s="4"/>
      <c r="LEW95" s="4"/>
      <c r="LEX95" s="4"/>
      <c r="LEY95" s="4"/>
      <c r="LEZ95" s="4"/>
      <c r="LFA95" s="4"/>
      <c r="LFB95" s="4"/>
      <c r="LFC95" s="4"/>
      <c r="LFD95" s="4"/>
      <c r="LFE95" s="4"/>
      <c r="LFF95" s="4"/>
      <c r="LFG95" s="4"/>
      <c r="LFH95" s="4"/>
      <c r="LFI95" s="4"/>
      <c r="LFJ95" s="4"/>
      <c r="LFK95" s="4"/>
      <c r="LFL95" s="4"/>
      <c r="LFM95" s="4"/>
      <c r="LFN95" s="4"/>
      <c r="LFO95" s="4"/>
      <c r="LFP95" s="4"/>
      <c r="LFQ95" s="4"/>
      <c r="LFR95" s="4"/>
      <c r="LFS95" s="4"/>
      <c r="LFT95" s="4"/>
      <c r="LFU95" s="4"/>
      <c r="LFV95" s="4"/>
      <c r="LFW95" s="4"/>
      <c r="LFX95" s="4"/>
      <c r="LFY95" s="4"/>
      <c r="LFZ95" s="4"/>
      <c r="LGA95" s="4"/>
      <c r="LGB95" s="4"/>
      <c r="LGC95" s="4"/>
      <c r="LGD95" s="4"/>
      <c r="LGE95" s="4"/>
      <c r="LGF95" s="4"/>
      <c r="LGG95" s="4"/>
      <c r="LGH95" s="4"/>
      <c r="LGI95" s="4"/>
      <c r="LGJ95" s="4"/>
      <c r="LGK95" s="4"/>
      <c r="LGL95" s="4"/>
      <c r="LGM95" s="4"/>
      <c r="LGN95" s="4"/>
      <c r="LGO95" s="4"/>
      <c r="LGP95" s="4"/>
      <c r="LGQ95" s="4"/>
      <c r="LGR95" s="4"/>
      <c r="LGS95" s="4"/>
      <c r="LGT95" s="4"/>
      <c r="LGU95" s="4"/>
      <c r="LGV95" s="4"/>
      <c r="LGW95" s="4"/>
      <c r="LGX95" s="4"/>
      <c r="LGY95" s="4"/>
      <c r="LGZ95" s="4"/>
      <c r="LHA95" s="4"/>
      <c r="LHB95" s="4"/>
      <c r="LHC95" s="4"/>
      <c r="LHD95" s="4"/>
      <c r="LHE95" s="4"/>
      <c r="LHF95" s="4"/>
      <c r="LHG95" s="4"/>
      <c r="LHH95" s="4"/>
      <c r="LHI95" s="4"/>
      <c r="LHJ95" s="4"/>
      <c r="LHK95" s="4"/>
      <c r="LHL95" s="4"/>
      <c r="LHM95" s="4"/>
      <c r="LHN95" s="4"/>
      <c r="LHO95" s="4"/>
      <c r="LHP95" s="4"/>
      <c r="LHQ95" s="4"/>
      <c r="LHR95" s="4"/>
      <c r="LHS95" s="4"/>
      <c r="LHT95" s="4"/>
      <c r="LHU95" s="4"/>
      <c r="LHV95" s="4"/>
      <c r="LHW95" s="4"/>
      <c r="LHX95" s="4"/>
      <c r="LHY95" s="4"/>
      <c r="LHZ95" s="4"/>
      <c r="LIA95" s="4"/>
      <c r="LIB95" s="4"/>
      <c r="LIC95" s="4"/>
      <c r="LID95" s="4"/>
      <c r="LIE95" s="4"/>
      <c r="LIF95" s="4"/>
      <c r="LIG95" s="4"/>
      <c r="LIH95" s="4"/>
      <c r="LII95" s="4"/>
      <c r="LIJ95" s="4"/>
      <c r="LIK95" s="4"/>
      <c r="LIL95" s="4"/>
      <c r="LIM95" s="4"/>
      <c r="LIN95" s="4"/>
      <c r="LIO95" s="4"/>
      <c r="LIP95" s="4"/>
      <c r="LIQ95" s="4"/>
      <c r="LIR95" s="4"/>
      <c r="LIS95" s="4"/>
      <c r="LIT95" s="4"/>
      <c r="LIU95" s="4"/>
      <c r="LIV95" s="4"/>
      <c r="LIW95" s="4"/>
      <c r="LIX95" s="4"/>
      <c r="LIY95" s="4"/>
      <c r="LIZ95" s="4"/>
      <c r="LJA95" s="4"/>
      <c r="LJB95" s="4"/>
      <c r="LJC95" s="4"/>
      <c r="LJD95" s="4"/>
      <c r="LJE95" s="4"/>
      <c r="LJF95" s="4"/>
      <c r="LJG95" s="4"/>
      <c r="LJH95" s="4"/>
      <c r="LJI95" s="4"/>
      <c r="LJJ95" s="4"/>
      <c r="LJK95" s="4"/>
      <c r="LJL95" s="4"/>
      <c r="LJM95" s="4"/>
      <c r="LJN95" s="4"/>
      <c r="LJO95" s="4"/>
      <c r="LJP95" s="4"/>
      <c r="LJQ95" s="4"/>
      <c r="LJR95" s="4"/>
      <c r="LJS95" s="4"/>
      <c r="LJT95" s="4"/>
      <c r="LJU95" s="4"/>
      <c r="LJV95" s="4"/>
      <c r="LJW95" s="4"/>
      <c r="LJX95" s="4"/>
      <c r="LJY95" s="4"/>
      <c r="LJZ95" s="4"/>
      <c r="LKA95" s="4"/>
      <c r="LKB95" s="4"/>
      <c r="LKC95" s="4"/>
      <c r="LKD95" s="4"/>
      <c r="LKE95" s="4"/>
      <c r="LKF95" s="4"/>
      <c r="LKG95" s="4"/>
      <c r="LKH95" s="4"/>
      <c r="LKI95" s="4"/>
      <c r="LKJ95" s="4"/>
      <c r="LKK95" s="4"/>
      <c r="LKL95" s="4"/>
      <c r="LKM95" s="4"/>
      <c r="LKN95" s="4"/>
      <c r="LKO95" s="4"/>
      <c r="LKP95" s="4"/>
      <c r="LKQ95" s="4"/>
      <c r="LKR95" s="4"/>
      <c r="LKS95" s="4"/>
      <c r="LKT95" s="4"/>
      <c r="LKU95" s="4"/>
      <c r="LKV95" s="4"/>
      <c r="LKW95" s="4"/>
      <c r="LKX95" s="4"/>
      <c r="LKY95" s="4"/>
      <c r="LKZ95" s="4"/>
      <c r="LLA95" s="4"/>
      <c r="LLB95" s="4"/>
      <c r="LLC95" s="4"/>
      <c r="LLD95" s="4"/>
      <c r="LLE95" s="4"/>
      <c r="LLF95" s="4"/>
      <c r="LLG95" s="4"/>
      <c r="LLH95" s="4"/>
      <c r="LLI95" s="4"/>
      <c r="LLJ95" s="4"/>
      <c r="LLK95" s="4"/>
      <c r="LLL95" s="4"/>
      <c r="LLM95" s="4"/>
      <c r="LLN95" s="4"/>
      <c r="LLO95" s="4"/>
      <c r="LLP95" s="4"/>
      <c r="LLQ95" s="4"/>
      <c r="LLR95" s="4"/>
      <c r="LLS95" s="4"/>
      <c r="LLT95" s="4"/>
      <c r="LLU95" s="4"/>
      <c r="LLV95" s="4"/>
      <c r="LLW95" s="4"/>
      <c r="LLX95" s="4"/>
      <c r="LLY95" s="4"/>
      <c r="LLZ95" s="4"/>
      <c r="LMA95" s="4"/>
      <c r="LMB95" s="4"/>
      <c r="LMC95" s="4"/>
      <c r="LMD95" s="4"/>
      <c r="LME95" s="4"/>
      <c r="LMF95" s="4"/>
      <c r="LMG95" s="4"/>
      <c r="LMH95" s="4"/>
      <c r="LMI95" s="4"/>
      <c r="LMJ95" s="4"/>
      <c r="LMK95" s="4"/>
      <c r="LML95" s="4"/>
      <c r="LMM95" s="4"/>
      <c r="LMN95" s="4"/>
      <c r="LMO95" s="4"/>
      <c r="LMP95" s="4"/>
      <c r="LMQ95" s="4"/>
      <c r="LMR95" s="4"/>
      <c r="LMS95" s="4"/>
      <c r="LMT95" s="4"/>
      <c r="LMU95" s="4"/>
      <c r="LMV95" s="4"/>
      <c r="LMW95" s="4"/>
      <c r="LMX95" s="4"/>
      <c r="LMY95" s="4"/>
      <c r="LMZ95" s="4"/>
      <c r="LNA95" s="4"/>
      <c r="LNB95" s="4"/>
      <c r="LNC95" s="4"/>
      <c r="LND95" s="4"/>
      <c r="LNE95" s="4"/>
      <c r="LNF95" s="4"/>
      <c r="LNG95" s="4"/>
      <c r="LNH95" s="4"/>
      <c r="LNI95" s="4"/>
      <c r="LNJ95" s="4"/>
      <c r="LNK95" s="4"/>
      <c r="LNL95" s="4"/>
      <c r="LNM95" s="4"/>
      <c r="LNN95" s="4"/>
      <c r="LNO95" s="4"/>
      <c r="LNP95" s="4"/>
      <c r="LNQ95" s="4"/>
      <c r="LNR95" s="4"/>
      <c r="LNS95" s="4"/>
      <c r="LNT95" s="4"/>
      <c r="LNU95" s="4"/>
      <c r="LNV95" s="4"/>
      <c r="LNW95" s="4"/>
      <c r="LNX95" s="4"/>
      <c r="LNY95" s="4"/>
      <c r="LNZ95" s="4"/>
      <c r="LOA95" s="4"/>
      <c r="LOB95" s="4"/>
      <c r="LOC95" s="4"/>
      <c r="LOD95" s="4"/>
      <c r="LOE95" s="4"/>
      <c r="LOF95" s="4"/>
      <c r="LOG95" s="4"/>
      <c r="LOH95" s="4"/>
      <c r="LOI95" s="4"/>
      <c r="LOJ95" s="4"/>
      <c r="LOK95" s="4"/>
      <c r="LOL95" s="4"/>
      <c r="LOM95" s="4"/>
      <c r="LON95" s="4"/>
      <c r="LOO95" s="4"/>
      <c r="LOP95" s="4"/>
      <c r="LOQ95" s="4"/>
      <c r="LOR95" s="4"/>
      <c r="LOS95" s="4"/>
      <c r="LOT95" s="4"/>
      <c r="LOU95" s="4"/>
      <c r="LOV95" s="4"/>
      <c r="LOW95" s="4"/>
      <c r="LOX95" s="4"/>
      <c r="LOY95" s="4"/>
      <c r="LOZ95" s="4"/>
      <c r="LPA95" s="4"/>
      <c r="LPB95" s="4"/>
      <c r="LPC95" s="4"/>
      <c r="LPD95" s="4"/>
      <c r="LPE95" s="4"/>
      <c r="LPF95" s="4"/>
      <c r="LPG95" s="4"/>
      <c r="LPH95" s="4"/>
      <c r="LPI95" s="4"/>
      <c r="LPJ95" s="4"/>
      <c r="LPK95" s="4"/>
      <c r="LPL95" s="4"/>
      <c r="LPM95" s="4"/>
      <c r="LPN95" s="4"/>
      <c r="LPO95" s="4"/>
      <c r="LPP95" s="4"/>
      <c r="LPQ95" s="4"/>
      <c r="LPR95" s="4"/>
      <c r="LPS95" s="4"/>
      <c r="LPT95" s="4"/>
      <c r="LPU95" s="4"/>
      <c r="LPV95" s="4"/>
      <c r="LPW95" s="4"/>
      <c r="LPX95" s="4"/>
      <c r="LPY95" s="4"/>
      <c r="LPZ95" s="4"/>
      <c r="LQA95" s="4"/>
      <c r="LQB95" s="4"/>
      <c r="LQC95" s="4"/>
      <c r="LQD95" s="4"/>
      <c r="LQE95" s="4"/>
      <c r="LQF95" s="4"/>
      <c r="LQG95" s="4"/>
      <c r="LQH95" s="4"/>
      <c r="LQI95" s="4"/>
      <c r="LQJ95" s="4"/>
      <c r="LQK95" s="4"/>
      <c r="LQL95" s="4"/>
      <c r="LQM95" s="4"/>
      <c r="LQN95" s="4"/>
      <c r="LQO95" s="4"/>
      <c r="LQP95" s="4"/>
      <c r="LQQ95" s="4"/>
      <c r="LQR95" s="4"/>
      <c r="LQS95" s="4"/>
      <c r="LQT95" s="4"/>
      <c r="LQU95" s="4"/>
      <c r="LQV95" s="4"/>
      <c r="LQW95" s="4"/>
      <c r="LQX95" s="4"/>
      <c r="LQY95" s="4"/>
      <c r="LQZ95" s="4"/>
      <c r="LRA95" s="4"/>
      <c r="LRB95" s="4"/>
      <c r="LRC95" s="4"/>
      <c r="LRD95" s="4"/>
      <c r="LRE95" s="4"/>
      <c r="LRF95" s="4"/>
      <c r="LRG95" s="4"/>
      <c r="LRH95" s="4"/>
      <c r="LRI95" s="4"/>
      <c r="LRJ95" s="4"/>
      <c r="LRK95" s="4"/>
      <c r="LRL95" s="4"/>
      <c r="LRM95" s="4"/>
      <c r="LRN95" s="4"/>
      <c r="LRO95" s="4"/>
      <c r="LRP95" s="4"/>
      <c r="LRQ95" s="4"/>
      <c r="LRR95" s="4"/>
      <c r="LRS95" s="4"/>
      <c r="LRT95" s="4"/>
      <c r="LRU95" s="4"/>
      <c r="LRV95" s="4"/>
      <c r="LRW95" s="4"/>
      <c r="LRX95" s="4"/>
      <c r="LRY95" s="4"/>
      <c r="LRZ95" s="4"/>
      <c r="LSA95" s="4"/>
      <c r="LSB95" s="4"/>
      <c r="LSC95" s="4"/>
      <c r="LSD95" s="4"/>
      <c r="LSE95" s="4"/>
      <c r="LSF95" s="4"/>
      <c r="LSG95" s="4"/>
      <c r="LSH95" s="4"/>
      <c r="LSI95" s="4"/>
      <c r="LSJ95" s="4"/>
      <c r="LSK95" s="4"/>
      <c r="LSL95" s="4"/>
      <c r="LSM95" s="4"/>
      <c r="LSN95" s="4"/>
      <c r="LSO95" s="4"/>
      <c r="LSP95" s="4"/>
      <c r="LSQ95" s="4"/>
      <c r="LSR95" s="4"/>
      <c r="LSS95" s="4"/>
      <c r="LST95" s="4"/>
      <c r="LSU95" s="4"/>
      <c r="LSV95" s="4"/>
      <c r="LSW95" s="4"/>
      <c r="LSX95" s="4"/>
      <c r="LSY95" s="4"/>
      <c r="LSZ95" s="4"/>
      <c r="LTA95" s="4"/>
      <c r="LTB95" s="4"/>
      <c r="LTC95" s="4"/>
      <c r="LTD95" s="4"/>
      <c r="LTE95" s="4"/>
      <c r="LTF95" s="4"/>
      <c r="LTG95" s="4"/>
      <c r="LTH95" s="4"/>
      <c r="LTI95" s="4"/>
      <c r="LTJ95" s="4"/>
      <c r="LTK95" s="4"/>
      <c r="LTL95" s="4"/>
      <c r="LTM95" s="4"/>
      <c r="LTN95" s="4"/>
      <c r="LTO95" s="4"/>
      <c r="LTP95" s="4"/>
      <c r="LTQ95" s="4"/>
      <c r="LTR95" s="4"/>
      <c r="LTS95" s="4"/>
      <c r="LTT95" s="4"/>
      <c r="LTU95" s="4"/>
      <c r="LTV95" s="4"/>
      <c r="LTW95" s="4"/>
      <c r="LTX95" s="4"/>
      <c r="LTY95" s="4"/>
      <c r="LTZ95" s="4"/>
      <c r="LUA95" s="4"/>
      <c r="LUB95" s="4"/>
      <c r="LUC95" s="4"/>
      <c r="LUD95" s="4"/>
      <c r="LUE95" s="4"/>
      <c r="LUF95" s="4"/>
      <c r="LUG95" s="4"/>
      <c r="LUH95" s="4"/>
      <c r="LUI95" s="4"/>
      <c r="LUJ95" s="4"/>
      <c r="LUK95" s="4"/>
      <c r="LUL95" s="4"/>
      <c r="LUM95" s="4"/>
      <c r="LUN95" s="4"/>
      <c r="LUO95" s="4"/>
      <c r="LUP95" s="4"/>
      <c r="LUQ95" s="4"/>
      <c r="LUR95" s="4"/>
      <c r="LUS95" s="4"/>
      <c r="LUT95" s="4"/>
      <c r="LUU95" s="4"/>
      <c r="LUV95" s="4"/>
      <c r="LUW95" s="4"/>
      <c r="LUX95" s="4"/>
      <c r="LUY95" s="4"/>
      <c r="LUZ95" s="4"/>
      <c r="LVA95" s="4"/>
      <c r="LVB95" s="4"/>
      <c r="LVC95" s="4"/>
      <c r="LVD95" s="4"/>
      <c r="LVE95" s="4"/>
      <c r="LVF95" s="4"/>
      <c r="LVG95" s="4"/>
      <c r="LVH95" s="4"/>
      <c r="LVI95" s="4"/>
      <c r="LVJ95" s="4"/>
      <c r="LVK95" s="4"/>
      <c r="LVL95" s="4"/>
      <c r="LVM95" s="4"/>
      <c r="LVN95" s="4"/>
      <c r="LVO95" s="4"/>
      <c r="LVP95" s="4"/>
      <c r="LVQ95" s="4"/>
      <c r="LVR95" s="4"/>
      <c r="LVS95" s="4"/>
      <c r="LVT95" s="4"/>
      <c r="LVU95" s="4"/>
      <c r="LVV95" s="4"/>
      <c r="LVW95" s="4"/>
      <c r="LVX95" s="4"/>
      <c r="LVY95" s="4"/>
      <c r="LVZ95" s="4"/>
      <c r="LWA95" s="4"/>
      <c r="LWB95" s="4"/>
      <c r="LWC95" s="4"/>
      <c r="LWD95" s="4"/>
      <c r="LWE95" s="4"/>
      <c r="LWF95" s="4"/>
      <c r="LWG95" s="4"/>
      <c r="LWH95" s="4"/>
      <c r="LWI95" s="4"/>
      <c r="LWJ95" s="4"/>
      <c r="LWK95" s="4"/>
      <c r="LWL95" s="4"/>
      <c r="LWM95" s="4"/>
      <c r="LWN95" s="4"/>
      <c r="LWO95" s="4"/>
      <c r="LWP95" s="4"/>
      <c r="LWQ95" s="4"/>
      <c r="LWR95" s="4"/>
      <c r="LWS95" s="4"/>
      <c r="LWT95" s="4"/>
      <c r="LWU95" s="4"/>
      <c r="LWV95" s="4"/>
      <c r="LWW95" s="4"/>
      <c r="LWX95" s="4"/>
      <c r="LWY95" s="4"/>
      <c r="LWZ95" s="4"/>
      <c r="LXA95" s="4"/>
      <c r="LXB95" s="4"/>
      <c r="LXC95" s="4"/>
      <c r="LXD95" s="4"/>
      <c r="LXE95" s="4"/>
      <c r="LXF95" s="4"/>
      <c r="LXG95" s="4"/>
      <c r="LXH95" s="4"/>
      <c r="LXI95" s="4"/>
      <c r="LXJ95" s="4"/>
      <c r="LXK95" s="4"/>
      <c r="LXL95" s="4"/>
      <c r="LXM95" s="4"/>
      <c r="LXN95" s="4"/>
      <c r="LXO95" s="4"/>
      <c r="LXP95" s="4"/>
      <c r="LXQ95" s="4"/>
      <c r="LXR95" s="4"/>
      <c r="LXS95" s="4"/>
      <c r="LXT95" s="4"/>
      <c r="LXU95" s="4"/>
      <c r="LXV95" s="4"/>
      <c r="LXW95" s="4"/>
      <c r="LXX95" s="4"/>
      <c r="LXY95" s="4"/>
      <c r="LXZ95" s="4"/>
      <c r="LYA95" s="4"/>
      <c r="LYB95" s="4"/>
      <c r="LYC95" s="4"/>
      <c r="LYD95" s="4"/>
      <c r="LYE95" s="4"/>
      <c r="LYF95" s="4"/>
      <c r="LYG95" s="4"/>
      <c r="LYH95" s="4"/>
      <c r="LYI95" s="4"/>
      <c r="LYJ95" s="4"/>
      <c r="LYK95" s="4"/>
      <c r="LYL95" s="4"/>
      <c r="LYM95" s="4"/>
      <c r="LYN95" s="4"/>
      <c r="LYO95" s="4"/>
      <c r="LYP95" s="4"/>
      <c r="LYQ95" s="4"/>
      <c r="LYR95" s="4"/>
      <c r="LYS95" s="4"/>
      <c r="LYT95" s="4"/>
      <c r="LYU95" s="4"/>
      <c r="LYV95" s="4"/>
      <c r="LYW95" s="4"/>
      <c r="LYX95" s="4"/>
      <c r="LYY95" s="4"/>
      <c r="LYZ95" s="4"/>
      <c r="LZA95" s="4"/>
      <c r="LZB95" s="4"/>
      <c r="LZC95" s="4"/>
      <c r="LZD95" s="4"/>
      <c r="LZE95" s="4"/>
      <c r="LZF95" s="4"/>
      <c r="LZG95" s="4"/>
      <c r="LZH95" s="4"/>
      <c r="LZI95" s="4"/>
      <c r="LZJ95" s="4"/>
      <c r="LZK95" s="4"/>
      <c r="LZL95" s="4"/>
      <c r="LZM95" s="4"/>
      <c r="LZN95" s="4"/>
      <c r="LZO95" s="4"/>
      <c r="LZP95" s="4"/>
      <c r="LZQ95" s="4"/>
      <c r="LZR95" s="4"/>
      <c r="LZS95" s="4"/>
      <c r="LZT95" s="4"/>
      <c r="LZU95" s="4"/>
      <c r="LZV95" s="4"/>
      <c r="LZW95" s="4"/>
      <c r="LZX95" s="4"/>
      <c r="LZY95" s="4"/>
      <c r="LZZ95" s="4"/>
      <c r="MAA95" s="4"/>
      <c r="MAB95" s="4"/>
      <c r="MAC95" s="4"/>
      <c r="MAD95" s="4"/>
      <c r="MAE95" s="4"/>
      <c r="MAF95" s="4"/>
      <c r="MAG95" s="4"/>
      <c r="MAH95" s="4"/>
      <c r="MAI95" s="4"/>
      <c r="MAJ95" s="4"/>
      <c r="MAK95" s="4"/>
      <c r="MAL95" s="4"/>
      <c r="MAM95" s="4"/>
      <c r="MAN95" s="4"/>
      <c r="MAO95" s="4"/>
      <c r="MAP95" s="4"/>
      <c r="MAQ95" s="4"/>
      <c r="MAR95" s="4"/>
      <c r="MAS95" s="4"/>
      <c r="MAT95" s="4"/>
      <c r="MAU95" s="4"/>
      <c r="MAV95" s="4"/>
      <c r="MAW95" s="4"/>
      <c r="MAX95" s="4"/>
      <c r="MAY95" s="4"/>
      <c r="MAZ95" s="4"/>
      <c r="MBA95" s="4"/>
      <c r="MBB95" s="4"/>
      <c r="MBC95" s="4"/>
      <c r="MBD95" s="4"/>
      <c r="MBE95" s="4"/>
      <c r="MBF95" s="4"/>
      <c r="MBG95" s="4"/>
      <c r="MBH95" s="4"/>
      <c r="MBI95" s="4"/>
      <c r="MBJ95" s="4"/>
      <c r="MBK95" s="4"/>
      <c r="MBL95" s="4"/>
      <c r="MBM95" s="4"/>
      <c r="MBN95" s="4"/>
      <c r="MBO95" s="4"/>
      <c r="MBP95" s="4"/>
      <c r="MBQ95" s="4"/>
      <c r="MBR95" s="4"/>
      <c r="MBS95" s="4"/>
      <c r="MBT95" s="4"/>
      <c r="MBU95" s="4"/>
      <c r="MBV95" s="4"/>
      <c r="MBW95" s="4"/>
      <c r="MBX95" s="4"/>
      <c r="MBY95" s="4"/>
      <c r="MBZ95" s="4"/>
      <c r="MCA95" s="4"/>
      <c r="MCB95" s="4"/>
      <c r="MCC95" s="4"/>
      <c r="MCD95" s="4"/>
      <c r="MCE95" s="4"/>
      <c r="MCF95" s="4"/>
      <c r="MCG95" s="4"/>
      <c r="MCH95" s="4"/>
      <c r="MCI95" s="4"/>
      <c r="MCJ95" s="4"/>
      <c r="MCK95" s="4"/>
      <c r="MCL95" s="4"/>
      <c r="MCM95" s="4"/>
      <c r="MCN95" s="4"/>
      <c r="MCO95" s="4"/>
      <c r="MCP95" s="4"/>
      <c r="MCQ95" s="4"/>
      <c r="MCR95" s="4"/>
      <c r="MCS95" s="4"/>
      <c r="MCT95" s="4"/>
      <c r="MCU95" s="4"/>
      <c r="MCV95" s="4"/>
      <c r="MCW95" s="4"/>
      <c r="MCX95" s="4"/>
      <c r="MCY95" s="4"/>
      <c r="MCZ95" s="4"/>
      <c r="MDA95" s="4"/>
      <c r="MDB95" s="4"/>
      <c r="MDC95" s="4"/>
      <c r="MDD95" s="4"/>
      <c r="MDE95" s="4"/>
      <c r="MDF95" s="4"/>
      <c r="MDG95" s="4"/>
      <c r="MDH95" s="4"/>
      <c r="MDI95" s="4"/>
      <c r="MDJ95" s="4"/>
      <c r="MDK95" s="4"/>
      <c r="MDL95" s="4"/>
      <c r="MDM95" s="4"/>
      <c r="MDN95" s="4"/>
      <c r="MDO95" s="4"/>
      <c r="MDP95" s="4"/>
      <c r="MDQ95" s="4"/>
      <c r="MDR95" s="4"/>
      <c r="MDS95" s="4"/>
      <c r="MDT95" s="4"/>
      <c r="MDU95" s="4"/>
      <c r="MDV95" s="4"/>
      <c r="MDW95" s="4"/>
      <c r="MDX95" s="4"/>
      <c r="MDY95" s="4"/>
      <c r="MDZ95" s="4"/>
      <c r="MEA95" s="4"/>
      <c r="MEB95" s="4"/>
      <c r="MEC95" s="4"/>
      <c r="MED95" s="4"/>
      <c r="MEE95" s="4"/>
      <c r="MEF95" s="4"/>
      <c r="MEG95" s="4"/>
      <c r="MEH95" s="4"/>
      <c r="MEI95" s="4"/>
      <c r="MEJ95" s="4"/>
      <c r="MEK95" s="4"/>
      <c r="MEL95" s="4"/>
      <c r="MEM95" s="4"/>
      <c r="MEN95" s="4"/>
      <c r="MEO95" s="4"/>
      <c r="MEP95" s="4"/>
      <c r="MEQ95" s="4"/>
      <c r="MER95" s="4"/>
      <c r="MES95" s="4"/>
      <c r="MET95" s="4"/>
      <c r="MEU95" s="4"/>
      <c r="MEV95" s="4"/>
      <c r="MEW95" s="4"/>
      <c r="MEX95" s="4"/>
      <c r="MEY95" s="4"/>
      <c r="MEZ95" s="4"/>
      <c r="MFA95" s="4"/>
      <c r="MFB95" s="4"/>
      <c r="MFC95" s="4"/>
      <c r="MFD95" s="4"/>
      <c r="MFE95" s="4"/>
      <c r="MFF95" s="4"/>
      <c r="MFG95" s="4"/>
      <c r="MFH95" s="4"/>
      <c r="MFI95" s="4"/>
      <c r="MFJ95" s="4"/>
      <c r="MFK95" s="4"/>
      <c r="MFL95" s="4"/>
      <c r="MFM95" s="4"/>
      <c r="MFN95" s="4"/>
      <c r="MFO95" s="4"/>
      <c r="MFP95" s="4"/>
      <c r="MFQ95" s="4"/>
      <c r="MFR95" s="4"/>
      <c r="MFS95" s="4"/>
      <c r="MFT95" s="4"/>
      <c r="MFU95" s="4"/>
      <c r="MFV95" s="4"/>
      <c r="MFW95" s="4"/>
      <c r="MFX95" s="4"/>
      <c r="MFY95" s="4"/>
      <c r="MFZ95" s="4"/>
      <c r="MGA95" s="4"/>
      <c r="MGB95" s="4"/>
      <c r="MGC95" s="4"/>
      <c r="MGD95" s="4"/>
      <c r="MGE95" s="4"/>
      <c r="MGF95" s="4"/>
      <c r="MGG95" s="4"/>
      <c r="MGH95" s="4"/>
      <c r="MGI95" s="4"/>
      <c r="MGJ95" s="4"/>
      <c r="MGK95" s="4"/>
      <c r="MGL95" s="4"/>
      <c r="MGM95" s="4"/>
      <c r="MGN95" s="4"/>
      <c r="MGO95" s="4"/>
      <c r="MGP95" s="4"/>
      <c r="MGQ95" s="4"/>
      <c r="MGR95" s="4"/>
      <c r="MGS95" s="4"/>
      <c r="MGT95" s="4"/>
      <c r="MGU95" s="4"/>
      <c r="MGV95" s="4"/>
      <c r="MGW95" s="4"/>
      <c r="MGX95" s="4"/>
      <c r="MGY95" s="4"/>
      <c r="MGZ95" s="4"/>
      <c r="MHA95" s="4"/>
      <c r="MHB95" s="4"/>
      <c r="MHC95" s="4"/>
      <c r="MHD95" s="4"/>
      <c r="MHE95" s="4"/>
      <c r="MHF95" s="4"/>
      <c r="MHG95" s="4"/>
      <c r="MHH95" s="4"/>
      <c r="MHI95" s="4"/>
      <c r="MHJ95" s="4"/>
      <c r="MHK95" s="4"/>
      <c r="MHL95" s="4"/>
      <c r="MHM95" s="4"/>
      <c r="MHN95" s="4"/>
      <c r="MHO95" s="4"/>
      <c r="MHP95" s="4"/>
      <c r="MHQ95" s="4"/>
      <c r="MHR95" s="4"/>
      <c r="MHS95" s="4"/>
      <c r="MHT95" s="4"/>
      <c r="MHU95" s="4"/>
      <c r="MHV95" s="4"/>
      <c r="MHW95" s="4"/>
      <c r="MHX95" s="4"/>
      <c r="MHY95" s="4"/>
      <c r="MHZ95" s="4"/>
      <c r="MIA95" s="4"/>
      <c r="MIB95" s="4"/>
      <c r="MIC95" s="4"/>
      <c r="MID95" s="4"/>
      <c r="MIE95" s="4"/>
      <c r="MIF95" s="4"/>
      <c r="MIG95" s="4"/>
      <c r="MIH95" s="4"/>
      <c r="MII95" s="4"/>
      <c r="MIJ95" s="4"/>
      <c r="MIK95" s="4"/>
      <c r="MIL95" s="4"/>
      <c r="MIM95" s="4"/>
      <c r="MIN95" s="4"/>
      <c r="MIO95" s="4"/>
      <c r="MIP95" s="4"/>
      <c r="MIQ95" s="4"/>
      <c r="MIR95" s="4"/>
      <c r="MIS95" s="4"/>
      <c r="MIT95" s="4"/>
      <c r="MIU95" s="4"/>
      <c r="MIV95" s="4"/>
      <c r="MIW95" s="4"/>
      <c r="MIX95" s="4"/>
      <c r="MIY95" s="4"/>
      <c r="MIZ95" s="4"/>
      <c r="MJA95" s="4"/>
      <c r="MJB95" s="4"/>
      <c r="MJC95" s="4"/>
      <c r="MJD95" s="4"/>
      <c r="MJE95" s="4"/>
      <c r="MJF95" s="4"/>
      <c r="MJG95" s="4"/>
      <c r="MJH95" s="4"/>
      <c r="MJI95" s="4"/>
      <c r="MJJ95" s="4"/>
      <c r="MJK95" s="4"/>
      <c r="MJL95" s="4"/>
      <c r="MJM95" s="4"/>
      <c r="MJN95" s="4"/>
      <c r="MJO95" s="4"/>
      <c r="MJP95" s="4"/>
      <c r="MJQ95" s="4"/>
      <c r="MJR95" s="4"/>
      <c r="MJS95" s="4"/>
      <c r="MJT95" s="4"/>
      <c r="MJU95" s="4"/>
      <c r="MJV95" s="4"/>
      <c r="MJW95" s="4"/>
      <c r="MJX95" s="4"/>
      <c r="MJY95" s="4"/>
      <c r="MJZ95" s="4"/>
      <c r="MKA95" s="4"/>
      <c r="MKB95" s="4"/>
      <c r="MKC95" s="4"/>
      <c r="MKD95" s="4"/>
      <c r="MKE95" s="4"/>
      <c r="MKF95" s="4"/>
      <c r="MKG95" s="4"/>
      <c r="MKH95" s="4"/>
      <c r="MKI95" s="4"/>
      <c r="MKJ95" s="4"/>
      <c r="MKK95" s="4"/>
      <c r="MKL95" s="4"/>
      <c r="MKM95" s="4"/>
      <c r="MKN95" s="4"/>
      <c r="MKO95" s="4"/>
      <c r="MKP95" s="4"/>
      <c r="MKQ95" s="4"/>
      <c r="MKR95" s="4"/>
      <c r="MKS95" s="4"/>
      <c r="MKT95" s="4"/>
      <c r="MKU95" s="4"/>
      <c r="MKV95" s="4"/>
      <c r="MKW95" s="4"/>
      <c r="MKX95" s="4"/>
      <c r="MKY95" s="4"/>
      <c r="MKZ95" s="4"/>
      <c r="MLA95" s="4"/>
      <c r="MLB95" s="4"/>
      <c r="MLC95" s="4"/>
      <c r="MLD95" s="4"/>
      <c r="MLE95" s="4"/>
      <c r="MLF95" s="4"/>
      <c r="MLG95" s="4"/>
      <c r="MLH95" s="4"/>
      <c r="MLI95" s="4"/>
      <c r="MLJ95" s="4"/>
      <c r="MLK95" s="4"/>
      <c r="MLL95" s="4"/>
      <c r="MLM95" s="4"/>
      <c r="MLN95" s="4"/>
      <c r="MLO95" s="4"/>
      <c r="MLP95" s="4"/>
      <c r="MLQ95" s="4"/>
      <c r="MLR95" s="4"/>
      <c r="MLS95" s="4"/>
      <c r="MLT95" s="4"/>
      <c r="MLU95" s="4"/>
      <c r="MLV95" s="4"/>
      <c r="MLW95" s="4"/>
      <c r="MLX95" s="4"/>
      <c r="MLY95" s="4"/>
      <c r="MLZ95" s="4"/>
      <c r="MMA95" s="4"/>
      <c r="MMB95" s="4"/>
      <c r="MMC95" s="4"/>
      <c r="MMD95" s="4"/>
      <c r="MME95" s="4"/>
      <c r="MMF95" s="4"/>
      <c r="MMG95" s="4"/>
      <c r="MMH95" s="4"/>
      <c r="MMI95" s="4"/>
      <c r="MMJ95" s="4"/>
      <c r="MMK95" s="4"/>
      <c r="MML95" s="4"/>
      <c r="MMM95" s="4"/>
      <c r="MMN95" s="4"/>
      <c r="MMO95" s="4"/>
      <c r="MMP95" s="4"/>
      <c r="MMQ95" s="4"/>
      <c r="MMR95" s="4"/>
      <c r="MMS95" s="4"/>
      <c r="MMT95" s="4"/>
      <c r="MMU95" s="4"/>
      <c r="MMV95" s="4"/>
      <c r="MMW95" s="4"/>
      <c r="MMX95" s="4"/>
      <c r="MMY95" s="4"/>
      <c r="MMZ95" s="4"/>
      <c r="MNA95" s="4"/>
      <c r="MNB95" s="4"/>
      <c r="MNC95" s="4"/>
      <c r="MND95" s="4"/>
      <c r="MNE95" s="4"/>
      <c r="MNF95" s="4"/>
      <c r="MNG95" s="4"/>
      <c r="MNH95" s="4"/>
      <c r="MNI95" s="4"/>
      <c r="MNJ95" s="4"/>
      <c r="MNK95" s="4"/>
      <c r="MNL95" s="4"/>
      <c r="MNM95" s="4"/>
      <c r="MNN95" s="4"/>
      <c r="MNO95" s="4"/>
      <c r="MNP95" s="4"/>
      <c r="MNQ95" s="4"/>
      <c r="MNR95" s="4"/>
      <c r="MNS95" s="4"/>
      <c r="MNT95" s="4"/>
      <c r="MNU95" s="4"/>
      <c r="MNV95" s="4"/>
      <c r="MNW95" s="4"/>
      <c r="MNX95" s="4"/>
      <c r="MNY95" s="4"/>
      <c r="MNZ95" s="4"/>
      <c r="MOA95" s="4"/>
      <c r="MOB95" s="4"/>
      <c r="MOC95" s="4"/>
      <c r="MOD95" s="4"/>
      <c r="MOE95" s="4"/>
      <c r="MOF95" s="4"/>
      <c r="MOG95" s="4"/>
      <c r="MOH95" s="4"/>
      <c r="MOI95" s="4"/>
      <c r="MOJ95" s="4"/>
      <c r="MOK95" s="4"/>
      <c r="MOL95" s="4"/>
      <c r="MOM95" s="4"/>
      <c r="MON95" s="4"/>
      <c r="MOO95" s="4"/>
      <c r="MOP95" s="4"/>
      <c r="MOQ95" s="4"/>
      <c r="MOR95" s="4"/>
      <c r="MOS95" s="4"/>
      <c r="MOT95" s="4"/>
      <c r="MOU95" s="4"/>
      <c r="MOV95" s="4"/>
      <c r="MOW95" s="4"/>
      <c r="MOX95" s="4"/>
      <c r="MOY95" s="4"/>
      <c r="MOZ95" s="4"/>
      <c r="MPA95" s="4"/>
      <c r="MPB95" s="4"/>
      <c r="MPC95" s="4"/>
      <c r="MPD95" s="4"/>
      <c r="MPE95" s="4"/>
      <c r="MPF95" s="4"/>
      <c r="MPG95" s="4"/>
      <c r="MPH95" s="4"/>
      <c r="MPI95" s="4"/>
      <c r="MPJ95" s="4"/>
      <c r="MPK95" s="4"/>
      <c r="MPL95" s="4"/>
      <c r="MPM95" s="4"/>
      <c r="MPN95" s="4"/>
      <c r="MPO95" s="4"/>
      <c r="MPP95" s="4"/>
      <c r="MPQ95" s="4"/>
      <c r="MPR95" s="4"/>
      <c r="MPS95" s="4"/>
      <c r="MPT95" s="4"/>
      <c r="MPU95" s="4"/>
      <c r="MPV95" s="4"/>
      <c r="MPW95" s="4"/>
      <c r="MPX95" s="4"/>
      <c r="MPY95" s="4"/>
      <c r="MPZ95" s="4"/>
      <c r="MQA95" s="4"/>
      <c r="MQB95" s="4"/>
      <c r="MQC95" s="4"/>
      <c r="MQD95" s="4"/>
      <c r="MQE95" s="4"/>
      <c r="MQF95" s="4"/>
      <c r="MQG95" s="4"/>
      <c r="MQH95" s="4"/>
      <c r="MQI95" s="4"/>
      <c r="MQJ95" s="4"/>
      <c r="MQK95" s="4"/>
      <c r="MQL95" s="4"/>
      <c r="MQM95" s="4"/>
      <c r="MQN95" s="4"/>
      <c r="MQO95" s="4"/>
      <c r="MQP95" s="4"/>
      <c r="MQQ95" s="4"/>
      <c r="MQR95" s="4"/>
      <c r="MQS95" s="4"/>
      <c r="MQT95" s="4"/>
      <c r="MQU95" s="4"/>
      <c r="MQV95" s="4"/>
      <c r="MQW95" s="4"/>
      <c r="MQX95" s="4"/>
      <c r="MQY95" s="4"/>
      <c r="MQZ95" s="4"/>
      <c r="MRA95" s="4"/>
      <c r="MRB95" s="4"/>
      <c r="MRC95" s="4"/>
      <c r="MRD95" s="4"/>
      <c r="MRE95" s="4"/>
      <c r="MRF95" s="4"/>
      <c r="MRG95" s="4"/>
      <c r="MRH95" s="4"/>
      <c r="MRI95" s="4"/>
      <c r="MRJ95" s="4"/>
      <c r="MRK95" s="4"/>
      <c r="MRL95" s="4"/>
      <c r="MRM95" s="4"/>
      <c r="MRN95" s="4"/>
      <c r="MRO95" s="4"/>
      <c r="MRP95" s="4"/>
      <c r="MRQ95" s="4"/>
      <c r="MRR95" s="4"/>
      <c r="MRS95" s="4"/>
      <c r="MRT95" s="4"/>
      <c r="MRU95" s="4"/>
      <c r="MRV95" s="4"/>
      <c r="MRW95" s="4"/>
      <c r="MRX95" s="4"/>
      <c r="MRY95" s="4"/>
      <c r="MRZ95" s="4"/>
      <c r="MSA95" s="4"/>
      <c r="MSB95" s="4"/>
      <c r="MSC95" s="4"/>
      <c r="MSD95" s="4"/>
      <c r="MSE95" s="4"/>
      <c r="MSF95" s="4"/>
      <c r="MSG95" s="4"/>
      <c r="MSH95" s="4"/>
      <c r="MSI95" s="4"/>
      <c r="MSJ95" s="4"/>
      <c r="MSK95" s="4"/>
      <c r="MSL95" s="4"/>
      <c r="MSM95" s="4"/>
      <c r="MSN95" s="4"/>
      <c r="MSO95" s="4"/>
      <c r="MSP95" s="4"/>
      <c r="MSQ95" s="4"/>
      <c r="MSR95" s="4"/>
      <c r="MSS95" s="4"/>
      <c r="MST95" s="4"/>
      <c r="MSU95" s="4"/>
      <c r="MSV95" s="4"/>
      <c r="MSW95" s="4"/>
      <c r="MSX95" s="4"/>
      <c r="MSY95" s="4"/>
      <c r="MSZ95" s="4"/>
      <c r="MTA95" s="4"/>
      <c r="MTB95" s="4"/>
      <c r="MTC95" s="4"/>
      <c r="MTD95" s="4"/>
      <c r="MTE95" s="4"/>
      <c r="MTF95" s="4"/>
      <c r="MTG95" s="4"/>
      <c r="MTH95" s="4"/>
      <c r="MTI95" s="4"/>
      <c r="MTJ95" s="4"/>
      <c r="MTK95" s="4"/>
      <c r="MTL95" s="4"/>
      <c r="MTM95" s="4"/>
      <c r="MTN95" s="4"/>
      <c r="MTO95" s="4"/>
      <c r="MTP95" s="4"/>
      <c r="MTQ95" s="4"/>
      <c r="MTR95" s="4"/>
      <c r="MTS95" s="4"/>
      <c r="MTT95" s="4"/>
      <c r="MTU95" s="4"/>
      <c r="MTV95" s="4"/>
      <c r="MTW95" s="4"/>
      <c r="MTX95" s="4"/>
      <c r="MTY95" s="4"/>
      <c r="MTZ95" s="4"/>
      <c r="MUA95" s="4"/>
      <c r="MUB95" s="4"/>
      <c r="MUC95" s="4"/>
      <c r="MUD95" s="4"/>
      <c r="MUE95" s="4"/>
      <c r="MUF95" s="4"/>
      <c r="MUG95" s="4"/>
      <c r="MUH95" s="4"/>
      <c r="MUI95" s="4"/>
      <c r="MUJ95" s="4"/>
      <c r="MUK95" s="4"/>
      <c r="MUL95" s="4"/>
      <c r="MUM95" s="4"/>
      <c r="MUN95" s="4"/>
      <c r="MUO95" s="4"/>
      <c r="MUP95" s="4"/>
      <c r="MUQ95" s="4"/>
      <c r="MUR95" s="4"/>
      <c r="MUS95" s="4"/>
      <c r="MUT95" s="4"/>
      <c r="MUU95" s="4"/>
      <c r="MUV95" s="4"/>
      <c r="MUW95" s="4"/>
      <c r="MUX95" s="4"/>
      <c r="MUY95" s="4"/>
      <c r="MUZ95" s="4"/>
      <c r="MVA95" s="4"/>
      <c r="MVB95" s="4"/>
      <c r="MVC95" s="4"/>
      <c r="MVD95" s="4"/>
      <c r="MVE95" s="4"/>
      <c r="MVF95" s="4"/>
      <c r="MVG95" s="4"/>
      <c r="MVH95" s="4"/>
      <c r="MVI95" s="4"/>
      <c r="MVJ95" s="4"/>
      <c r="MVK95" s="4"/>
      <c r="MVL95" s="4"/>
      <c r="MVM95" s="4"/>
      <c r="MVN95" s="4"/>
      <c r="MVO95" s="4"/>
      <c r="MVP95" s="4"/>
      <c r="MVQ95" s="4"/>
      <c r="MVR95" s="4"/>
      <c r="MVS95" s="4"/>
      <c r="MVT95" s="4"/>
      <c r="MVU95" s="4"/>
      <c r="MVV95" s="4"/>
      <c r="MVW95" s="4"/>
      <c r="MVX95" s="4"/>
      <c r="MVY95" s="4"/>
      <c r="MVZ95" s="4"/>
      <c r="MWA95" s="4"/>
      <c r="MWB95" s="4"/>
      <c r="MWC95" s="4"/>
      <c r="MWD95" s="4"/>
      <c r="MWE95" s="4"/>
      <c r="MWF95" s="4"/>
      <c r="MWG95" s="4"/>
      <c r="MWH95" s="4"/>
      <c r="MWI95" s="4"/>
      <c r="MWJ95" s="4"/>
      <c r="MWK95" s="4"/>
      <c r="MWL95" s="4"/>
      <c r="MWM95" s="4"/>
      <c r="MWN95" s="4"/>
      <c r="MWO95" s="4"/>
      <c r="MWP95" s="4"/>
      <c r="MWQ95" s="4"/>
      <c r="MWR95" s="4"/>
      <c r="MWS95" s="4"/>
      <c r="MWT95" s="4"/>
      <c r="MWU95" s="4"/>
      <c r="MWV95" s="4"/>
      <c r="MWW95" s="4"/>
      <c r="MWX95" s="4"/>
      <c r="MWY95" s="4"/>
      <c r="MWZ95" s="4"/>
      <c r="MXA95" s="4"/>
      <c r="MXB95" s="4"/>
      <c r="MXC95" s="4"/>
      <c r="MXD95" s="4"/>
      <c r="MXE95" s="4"/>
      <c r="MXF95" s="4"/>
      <c r="MXG95" s="4"/>
      <c r="MXH95" s="4"/>
      <c r="MXI95" s="4"/>
      <c r="MXJ95" s="4"/>
      <c r="MXK95" s="4"/>
      <c r="MXL95" s="4"/>
      <c r="MXM95" s="4"/>
      <c r="MXN95" s="4"/>
      <c r="MXO95" s="4"/>
      <c r="MXP95" s="4"/>
      <c r="MXQ95" s="4"/>
      <c r="MXR95" s="4"/>
      <c r="MXS95" s="4"/>
      <c r="MXT95" s="4"/>
      <c r="MXU95" s="4"/>
      <c r="MXV95" s="4"/>
      <c r="MXW95" s="4"/>
      <c r="MXX95" s="4"/>
      <c r="MXY95" s="4"/>
      <c r="MXZ95" s="4"/>
      <c r="MYA95" s="4"/>
      <c r="MYB95" s="4"/>
      <c r="MYC95" s="4"/>
      <c r="MYD95" s="4"/>
      <c r="MYE95" s="4"/>
      <c r="MYF95" s="4"/>
      <c r="MYG95" s="4"/>
      <c r="MYH95" s="4"/>
      <c r="MYI95" s="4"/>
      <c r="MYJ95" s="4"/>
      <c r="MYK95" s="4"/>
      <c r="MYL95" s="4"/>
      <c r="MYM95" s="4"/>
      <c r="MYN95" s="4"/>
      <c r="MYO95" s="4"/>
      <c r="MYP95" s="4"/>
      <c r="MYQ95" s="4"/>
      <c r="MYR95" s="4"/>
      <c r="MYS95" s="4"/>
      <c r="MYT95" s="4"/>
      <c r="MYU95" s="4"/>
      <c r="MYV95" s="4"/>
      <c r="MYW95" s="4"/>
      <c r="MYX95" s="4"/>
      <c r="MYY95" s="4"/>
      <c r="MYZ95" s="4"/>
      <c r="MZA95" s="4"/>
      <c r="MZB95" s="4"/>
      <c r="MZC95" s="4"/>
      <c r="MZD95" s="4"/>
      <c r="MZE95" s="4"/>
      <c r="MZF95" s="4"/>
      <c r="MZG95" s="4"/>
      <c r="MZH95" s="4"/>
      <c r="MZI95" s="4"/>
      <c r="MZJ95" s="4"/>
      <c r="MZK95" s="4"/>
      <c r="MZL95" s="4"/>
      <c r="MZM95" s="4"/>
      <c r="MZN95" s="4"/>
      <c r="MZO95" s="4"/>
      <c r="MZP95" s="4"/>
      <c r="MZQ95" s="4"/>
      <c r="MZR95" s="4"/>
      <c r="MZS95" s="4"/>
      <c r="MZT95" s="4"/>
      <c r="MZU95" s="4"/>
      <c r="MZV95" s="4"/>
      <c r="MZW95" s="4"/>
      <c r="MZX95" s="4"/>
      <c r="MZY95" s="4"/>
      <c r="MZZ95" s="4"/>
      <c r="NAA95" s="4"/>
      <c r="NAB95" s="4"/>
      <c r="NAC95" s="4"/>
      <c r="NAD95" s="4"/>
      <c r="NAE95" s="4"/>
      <c r="NAF95" s="4"/>
      <c r="NAG95" s="4"/>
      <c r="NAH95" s="4"/>
      <c r="NAI95" s="4"/>
      <c r="NAJ95" s="4"/>
      <c r="NAK95" s="4"/>
      <c r="NAL95" s="4"/>
      <c r="NAM95" s="4"/>
      <c r="NAN95" s="4"/>
      <c r="NAO95" s="4"/>
      <c r="NAP95" s="4"/>
      <c r="NAQ95" s="4"/>
      <c r="NAR95" s="4"/>
      <c r="NAS95" s="4"/>
      <c r="NAT95" s="4"/>
      <c r="NAU95" s="4"/>
      <c r="NAV95" s="4"/>
      <c r="NAW95" s="4"/>
      <c r="NAX95" s="4"/>
      <c r="NAY95" s="4"/>
      <c r="NAZ95" s="4"/>
      <c r="NBA95" s="4"/>
      <c r="NBB95" s="4"/>
      <c r="NBC95" s="4"/>
      <c r="NBD95" s="4"/>
      <c r="NBE95" s="4"/>
      <c r="NBF95" s="4"/>
      <c r="NBG95" s="4"/>
      <c r="NBH95" s="4"/>
      <c r="NBI95" s="4"/>
      <c r="NBJ95" s="4"/>
      <c r="NBK95" s="4"/>
      <c r="NBL95" s="4"/>
      <c r="NBM95" s="4"/>
      <c r="NBN95" s="4"/>
      <c r="NBO95" s="4"/>
      <c r="NBP95" s="4"/>
      <c r="NBQ95" s="4"/>
      <c r="NBR95" s="4"/>
      <c r="NBS95" s="4"/>
      <c r="NBT95" s="4"/>
      <c r="NBU95" s="4"/>
      <c r="NBV95" s="4"/>
      <c r="NBW95" s="4"/>
      <c r="NBX95" s="4"/>
      <c r="NBY95" s="4"/>
      <c r="NBZ95" s="4"/>
      <c r="NCA95" s="4"/>
      <c r="NCB95" s="4"/>
      <c r="NCC95" s="4"/>
      <c r="NCD95" s="4"/>
      <c r="NCE95" s="4"/>
      <c r="NCF95" s="4"/>
      <c r="NCG95" s="4"/>
      <c r="NCH95" s="4"/>
      <c r="NCI95" s="4"/>
      <c r="NCJ95" s="4"/>
      <c r="NCK95" s="4"/>
      <c r="NCL95" s="4"/>
      <c r="NCM95" s="4"/>
      <c r="NCN95" s="4"/>
      <c r="NCO95" s="4"/>
      <c r="NCP95" s="4"/>
      <c r="NCQ95" s="4"/>
      <c r="NCR95" s="4"/>
      <c r="NCS95" s="4"/>
      <c r="NCT95" s="4"/>
      <c r="NCU95" s="4"/>
      <c r="NCV95" s="4"/>
      <c r="NCW95" s="4"/>
      <c r="NCX95" s="4"/>
      <c r="NCY95" s="4"/>
      <c r="NCZ95" s="4"/>
      <c r="NDA95" s="4"/>
      <c r="NDB95" s="4"/>
      <c r="NDC95" s="4"/>
      <c r="NDD95" s="4"/>
      <c r="NDE95" s="4"/>
      <c r="NDF95" s="4"/>
      <c r="NDG95" s="4"/>
      <c r="NDH95" s="4"/>
      <c r="NDI95" s="4"/>
      <c r="NDJ95" s="4"/>
      <c r="NDK95" s="4"/>
      <c r="NDL95" s="4"/>
      <c r="NDM95" s="4"/>
      <c r="NDN95" s="4"/>
      <c r="NDO95" s="4"/>
      <c r="NDP95" s="4"/>
      <c r="NDQ95" s="4"/>
      <c r="NDR95" s="4"/>
      <c r="NDS95" s="4"/>
      <c r="NDT95" s="4"/>
      <c r="NDU95" s="4"/>
      <c r="NDV95" s="4"/>
      <c r="NDW95" s="4"/>
      <c r="NDX95" s="4"/>
      <c r="NDY95" s="4"/>
      <c r="NDZ95" s="4"/>
      <c r="NEA95" s="4"/>
      <c r="NEB95" s="4"/>
      <c r="NEC95" s="4"/>
      <c r="NED95" s="4"/>
      <c r="NEE95" s="4"/>
      <c r="NEF95" s="4"/>
      <c r="NEG95" s="4"/>
      <c r="NEH95" s="4"/>
      <c r="NEI95" s="4"/>
      <c r="NEJ95" s="4"/>
      <c r="NEK95" s="4"/>
      <c r="NEL95" s="4"/>
      <c r="NEM95" s="4"/>
      <c r="NEN95" s="4"/>
      <c r="NEO95" s="4"/>
      <c r="NEP95" s="4"/>
      <c r="NEQ95" s="4"/>
      <c r="NER95" s="4"/>
      <c r="NES95" s="4"/>
      <c r="NET95" s="4"/>
      <c r="NEU95" s="4"/>
      <c r="NEV95" s="4"/>
      <c r="NEW95" s="4"/>
      <c r="NEX95" s="4"/>
      <c r="NEY95" s="4"/>
      <c r="NEZ95" s="4"/>
      <c r="NFA95" s="4"/>
      <c r="NFB95" s="4"/>
      <c r="NFC95" s="4"/>
      <c r="NFD95" s="4"/>
      <c r="NFE95" s="4"/>
      <c r="NFF95" s="4"/>
      <c r="NFG95" s="4"/>
      <c r="NFH95" s="4"/>
      <c r="NFI95" s="4"/>
      <c r="NFJ95" s="4"/>
      <c r="NFK95" s="4"/>
      <c r="NFL95" s="4"/>
      <c r="NFM95" s="4"/>
      <c r="NFN95" s="4"/>
      <c r="NFO95" s="4"/>
      <c r="NFP95" s="4"/>
      <c r="NFQ95" s="4"/>
      <c r="NFR95" s="4"/>
      <c r="NFS95" s="4"/>
      <c r="NFT95" s="4"/>
      <c r="NFU95" s="4"/>
      <c r="NFV95" s="4"/>
      <c r="NFW95" s="4"/>
      <c r="NFX95" s="4"/>
      <c r="NFY95" s="4"/>
      <c r="NFZ95" s="4"/>
      <c r="NGA95" s="4"/>
      <c r="NGB95" s="4"/>
      <c r="NGC95" s="4"/>
      <c r="NGD95" s="4"/>
      <c r="NGE95" s="4"/>
      <c r="NGF95" s="4"/>
      <c r="NGG95" s="4"/>
      <c r="NGH95" s="4"/>
      <c r="NGI95" s="4"/>
      <c r="NGJ95" s="4"/>
      <c r="NGK95" s="4"/>
      <c r="NGL95" s="4"/>
      <c r="NGM95" s="4"/>
      <c r="NGN95" s="4"/>
      <c r="NGO95" s="4"/>
      <c r="NGP95" s="4"/>
      <c r="NGQ95" s="4"/>
      <c r="NGR95" s="4"/>
      <c r="NGS95" s="4"/>
      <c r="NGT95" s="4"/>
      <c r="NGU95" s="4"/>
      <c r="NGV95" s="4"/>
      <c r="NGW95" s="4"/>
      <c r="NGX95" s="4"/>
      <c r="NGY95" s="4"/>
      <c r="NGZ95" s="4"/>
      <c r="NHA95" s="4"/>
      <c r="NHB95" s="4"/>
      <c r="NHC95" s="4"/>
      <c r="NHD95" s="4"/>
      <c r="NHE95" s="4"/>
      <c r="NHF95" s="4"/>
      <c r="NHG95" s="4"/>
      <c r="NHH95" s="4"/>
      <c r="NHI95" s="4"/>
      <c r="NHJ95" s="4"/>
      <c r="NHK95" s="4"/>
      <c r="NHL95" s="4"/>
      <c r="NHM95" s="4"/>
      <c r="NHN95" s="4"/>
      <c r="NHO95" s="4"/>
      <c r="NHP95" s="4"/>
      <c r="NHQ95" s="4"/>
      <c r="NHR95" s="4"/>
      <c r="NHS95" s="4"/>
      <c r="NHT95" s="4"/>
      <c r="NHU95" s="4"/>
      <c r="NHV95" s="4"/>
      <c r="NHW95" s="4"/>
      <c r="NHX95" s="4"/>
      <c r="NHY95" s="4"/>
      <c r="NHZ95" s="4"/>
      <c r="NIA95" s="4"/>
      <c r="NIB95" s="4"/>
      <c r="NIC95" s="4"/>
      <c r="NID95" s="4"/>
      <c r="NIE95" s="4"/>
      <c r="NIF95" s="4"/>
      <c r="NIG95" s="4"/>
      <c r="NIH95" s="4"/>
      <c r="NII95" s="4"/>
      <c r="NIJ95" s="4"/>
      <c r="NIK95" s="4"/>
      <c r="NIL95" s="4"/>
      <c r="NIM95" s="4"/>
      <c r="NIN95" s="4"/>
      <c r="NIO95" s="4"/>
      <c r="NIP95" s="4"/>
      <c r="NIQ95" s="4"/>
      <c r="NIR95" s="4"/>
      <c r="NIS95" s="4"/>
      <c r="NIT95" s="4"/>
      <c r="NIU95" s="4"/>
      <c r="NIV95" s="4"/>
      <c r="NIW95" s="4"/>
      <c r="NIX95" s="4"/>
      <c r="NIY95" s="4"/>
      <c r="NIZ95" s="4"/>
      <c r="NJA95" s="4"/>
      <c r="NJB95" s="4"/>
      <c r="NJC95" s="4"/>
      <c r="NJD95" s="4"/>
      <c r="NJE95" s="4"/>
      <c r="NJF95" s="4"/>
      <c r="NJG95" s="4"/>
      <c r="NJH95" s="4"/>
      <c r="NJI95" s="4"/>
      <c r="NJJ95" s="4"/>
      <c r="NJK95" s="4"/>
      <c r="NJL95" s="4"/>
      <c r="NJM95" s="4"/>
      <c r="NJN95" s="4"/>
      <c r="NJO95" s="4"/>
      <c r="NJP95" s="4"/>
      <c r="NJQ95" s="4"/>
      <c r="NJR95" s="4"/>
      <c r="NJS95" s="4"/>
      <c r="NJT95" s="4"/>
      <c r="NJU95" s="4"/>
      <c r="NJV95" s="4"/>
      <c r="NJW95" s="4"/>
      <c r="NJX95" s="4"/>
      <c r="NJY95" s="4"/>
      <c r="NJZ95" s="4"/>
      <c r="NKA95" s="4"/>
      <c r="NKB95" s="4"/>
      <c r="NKC95" s="4"/>
      <c r="NKD95" s="4"/>
      <c r="NKE95" s="4"/>
      <c r="NKF95" s="4"/>
      <c r="NKG95" s="4"/>
      <c r="NKH95" s="4"/>
      <c r="NKI95" s="4"/>
      <c r="NKJ95" s="4"/>
      <c r="NKK95" s="4"/>
      <c r="NKL95" s="4"/>
      <c r="NKM95" s="4"/>
      <c r="NKN95" s="4"/>
      <c r="NKO95" s="4"/>
      <c r="NKP95" s="4"/>
      <c r="NKQ95" s="4"/>
      <c r="NKR95" s="4"/>
      <c r="NKS95" s="4"/>
      <c r="NKT95" s="4"/>
      <c r="NKU95" s="4"/>
      <c r="NKV95" s="4"/>
      <c r="NKW95" s="4"/>
      <c r="NKX95" s="4"/>
      <c r="NKY95" s="4"/>
      <c r="NKZ95" s="4"/>
      <c r="NLA95" s="4"/>
      <c r="NLB95" s="4"/>
      <c r="NLC95" s="4"/>
      <c r="NLD95" s="4"/>
      <c r="NLE95" s="4"/>
      <c r="NLF95" s="4"/>
      <c r="NLG95" s="4"/>
      <c r="NLH95" s="4"/>
      <c r="NLI95" s="4"/>
      <c r="NLJ95" s="4"/>
      <c r="NLK95" s="4"/>
      <c r="NLL95" s="4"/>
      <c r="NLM95" s="4"/>
      <c r="NLN95" s="4"/>
      <c r="NLO95" s="4"/>
      <c r="NLP95" s="4"/>
      <c r="NLQ95" s="4"/>
      <c r="NLR95" s="4"/>
      <c r="NLS95" s="4"/>
      <c r="NLT95" s="4"/>
      <c r="NLU95" s="4"/>
      <c r="NLV95" s="4"/>
      <c r="NLW95" s="4"/>
      <c r="NLX95" s="4"/>
      <c r="NLY95" s="4"/>
      <c r="NLZ95" s="4"/>
      <c r="NMA95" s="4"/>
      <c r="NMB95" s="4"/>
      <c r="NMC95" s="4"/>
      <c r="NMD95" s="4"/>
      <c r="NME95" s="4"/>
      <c r="NMF95" s="4"/>
      <c r="NMG95" s="4"/>
      <c r="NMH95" s="4"/>
      <c r="NMI95" s="4"/>
      <c r="NMJ95" s="4"/>
      <c r="NMK95" s="4"/>
      <c r="NML95" s="4"/>
      <c r="NMM95" s="4"/>
      <c r="NMN95" s="4"/>
      <c r="NMO95" s="4"/>
      <c r="NMP95" s="4"/>
      <c r="NMQ95" s="4"/>
      <c r="NMR95" s="4"/>
      <c r="NMS95" s="4"/>
      <c r="NMT95" s="4"/>
      <c r="NMU95" s="4"/>
      <c r="NMV95" s="4"/>
      <c r="NMW95" s="4"/>
      <c r="NMX95" s="4"/>
      <c r="NMY95" s="4"/>
      <c r="NMZ95" s="4"/>
      <c r="NNA95" s="4"/>
      <c r="NNB95" s="4"/>
      <c r="NNC95" s="4"/>
      <c r="NND95" s="4"/>
      <c r="NNE95" s="4"/>
      <c r="NNF95" s="4"/>
      <c r="NNG95" s="4"/>
      <c r="NNH95" s="4"/>
      <c r="NNI95" s="4"/>
      <c r="NNJ95" s="4"/>
      <c r="NNK95" s="4"/>
      <c r="NNL95" s="4"/>
      <c r="NNM95" s="4"/>
      <c r="NNN95" s="4"/>
      <c r="NNO95" s="4"/>
      <c r="NNP95" s="4"/>
      <c r="NNQ95" s="4"/>
      <c r="NNR95" s="4"/>
      <c r="NNS95" s="4"/>
      <c r="NNT95" s="4"/>
      <c r="NNU95" s="4"/>
      <c r="NNV95" s="4"/>
      <c r="NNW95" s="4"/>
      <c r="NNX95" s="4"/>
      <c r="NNY95" s="4"/>
      <c r="NNZ95" s="4"/>
      <c r="NOA95" s="4"/>
      <c r="NOB95" s="4"/>
      <c r="NOC95" s="4"/>
      <c r="NOD95" s="4"/>
      <c r="NOE95" s="4"/>
      <c r="NOF95" s="4"/>
      <c r="NOG95" s="4"/>
      <c r="NOH95" s="4"/>
      <c r="NOI95" s="4"/>
      <c r="NOJ95" s="4"/>
      <c r="NOK95" s="4"/>
      <c r="NOL95" s="4"/>
      <c r="NOM95" s="4"/>
      <c r="NON95" s="4"/>
      <c r="NOO95" s="4"/>
      <c r="NOP95" s="4"/>
      <c r="NOQ95" s="4"/>
      <c r="NOR95" s="4"/>
      <c r="NOS95" s="4"/>
      <c r="NOT95" s="4"/>
      <c r="NOU95" s="4"/>
      <c r="NOV95" s="4"/>
      <c r="NOW95" s="4"/>
      <c r="NOX95" s="4"/>
      <c r="NOY95" s="4"/>
      <c r="NOZ95" s="4"/>
      <c r="NPA95" s="4"/>
      <c r="NPB95" s="4"/>
      <c r="NPC95" s="4"/>
      <c r="NPD95" s="4"/>
      <c r="NPE95" s="4"/>
      <c r="NPF95" s="4"/>
      <c r="NPG95" s="4"/>
      <c r="NPH95" s="4"/>
      <c r="NPI95" s="4"/>
      <c r="NPJ95" s="4"/>
      <c r="NPK95" s="4"/>
      <c r="NPL95" s="4"/>
      <c r="NPM95" s="4"/>
      <c r="NPN95" s="4"/>
      <c r="NPO95" s="4"/>
      <c r="NPP95" s="4"/>
      <c r="NPQ95" s="4"/>
      <c r="NPR95" s="4"/>
      <c r="NPS95" s="4"/>
      <c r="NPT95" s="4"/>
      <c r="NPU95" s="4"/>
      <c r="NPV95" s="4"/>
      <c r="NPW95" s="4"/>
      <c r="NPX95" s="4"/>
      <c r="NPY95" s="4"/>
      <c r="NPZ95" s="4"/>
      <c r="NQA95" s="4"/>
      <c r="NQB95" s="4"/>
      <c r="NQC95" s="4"/>
      <c r="NQD95" s="4"/>
      <c r="NQE95" s="4"/>
      <c r="NQF95" s="4"/>
      <c r="NQG95" s="4"/>
      <c r="NQH95" s="4"/>
      <c r="NQI95" s="4"/>
      <c r="NQJ95" s="4"/>
      <c r="NQK95" s="4"/>
      <c r="NQL95" s="4"/>
      <c r="NQM95" s="4"/>
      <c r="NQN95" s="4"/>
      <c r="NQO95" s="4"/>
      <c r="NQP95" s="4"/>
      <c r="NQQ95" s="4"/>
      <c r="NQR95" s="4"/>
      <c r="NQS95" s="4"/>
      <c r="NQT95" s="4"/>
      <c r="NQU95" s="4"/>
      <c r="NQV95" s="4"/>
      <c r="NQW95" s="4"/>
      <c r="NQX95" s="4"/>
      <c r="NQY95" s="4"/>
      <c r="NQZ95" s="4"/>
      <c r="NRA95" s="4"/>
      <c r="NRB95" s="4"/>
      <c r="NRC95" s="4"/>
      <c r="NRD95" s="4"/>
      <c r="NRE95" s="4"/>
      <c r="NRF95" s="4"/>
      <c r="NRG95" s="4"/>
      <c r="NRH95" s="4"/>
      <c r="NRI95" s="4"/>
      <c r="NRJ95" s="4"/>
      <c r="NRK95" s="4"/>
      <c r="NRL95" s="4"/>
      <c r="NRM95" s="4"/>
      <c r="NRN95" s="4"/>
      <c r="NRO95" s="4"/>
      <c r="NRP95" s="4"/>
      <c r="NRQ95" s="4"/>
      <c r="NRR95" s="4"/>
      <c r="NRS95" s="4"/>
      <c r="NRT95" s="4"/>
      <c r="NRU95" s="4"/>
      <c r="NRV95" s="4"/>
      <c r="NRW95" s="4"/>
      <c r="NRX95" s="4"/>
      <c r="NRY95" s="4"/>
      <c r="NRZ95" s="4"/>
      <c r="NSA95" s="4"/>
      <c r="NSB95" s="4"/>
      <c r="NSC95" s="4"/>
      <c r="NSD95" s="4"/>
      <c r="NSE95" s="4"/>
      <c r="NSF95" s="4"/>
      <c r="NSG95" s="4"/>
      <c r="NSH95" s="4"/>
      <c r="NSI95" s="4"/>
      <c r="NSJ95" s="4"/>
      <c r="NSK95" s="4"/>
      <c r="NSL95" s="4"/>
      <c r="NSM95" s="4"/>
      <c r="NSN95" s="4"/>
      <c r="NSO95" s="4"/>
      <c r="NSP95" s="4"/>
      <c r="NSQ95" s="4"/>
      <c r="NSR95" s="4"/>
      <c r="NSS95" s="4"/>
      <c r="NST95" s="4"/>
      <c r="NSU95" s="4"/>
      <c r="NSV95" s="4"/>
      <c r="NSW95" s="4"/>
      <c r="NSX95" s="4"/>
      <c r="NSY95" s="4"/>
      <c r="NSZ95" s="4"/>
      <c r="NTA95" s="4"/>
      <c r="NTB95" s="4"/>
      <c r="NTC95" s="4"/>
      <c r="NTD95" s="4"/>
      <c r="NTE95" s="4"/>
      <c r="NTF95" s="4"/>
      <c r="NTG95" s="4"/>
      <c r="NTH95" s="4"/>
      <c r="NTI95" s="4"/>
      <c r="NTJ95" s="4"/>
      <c r="NTK95" s="4"/>
      <c r="NTL95" s="4"/>
      <c r="NTM95" s="4"/>
      <c r="NTN95" s="4"/>
      <c r="NTO95" s="4"/>
      <c r="NTP95" s="4"/>
      <c r="NTQ95" s="4"/>
      <c r="NTR95" s="4"/>
      <c r="NTS95" s="4"/>
      <c r="NTT95" s="4"/>
      <c r="NTU95" s="4"/>
      <c r="NTV95" s="4"/>
      <c r="NTW95" s="4"/>
      <c r="NTX95" s="4"/>
      <c r="NTY95" s="4"/>
      <c r="NTZ95" s="4"/>
      <c r="NUA95" s="4"/>
      <c r="NUB95" s="4"/>
      <c r="NUC95" s="4"/>
      <c r="NUD95" s="4"/>
      <c r="NUE95" s="4"/>
      <c r="NUF95" s="4"/>
      <c r="NUG95" s="4"/>
      <c r="NUH95" s="4"/>
      <c r="NUI95" s="4"/>
      <c r="NUJ95" s="4"/>
      <c r="NUK95" s="4"/>
      <c r="NUL95" s="4"/>
      <c r="NUM95" s="4"/>
      <c r="NUN95" s="4"/>
      <c r="NUO95" s="4"/>
      <c r="NUP95" s="4"/>
      <c r="NUQ95" s="4"/>
      <c r="NUR95" s="4"/>
      <c r="NUS95" s="4"/>
      <c r="NUT95" s="4"/>
      <c r="NUU95" s="4"/>
      <c r="NUV95" s="4"/>
      <c r="NUW95" s="4"/>
      <c r="NUX95" s="4"/>
      <c r="NUY95" s="4"/>
      <c r="NUZ95" s="4"/>
      <c r="NVA95" s="4"/>
      <c r="NVB95" s="4"/>
      <c r="NVC95" s="4"/>
      <c r="NVD95" s="4"/>
      <c r="NVE95" s="4"/>
      <c r="NVF95" s="4"/>
      <c r="NVG95" s="4"/>
      <c r="NVH95" s="4"/>
      <c r="NVI95" s="4"/>
      <c r="NVJ95" s="4"/>
      <c r="NVK95" s="4"/>
      <c r="NVL95" s="4"/>
      <c r="NVM95" s="4"/>
      <c r="NVN95" s="4"/>
      <c r="NVO95" s="4"/>
      <c r="NVP95" s="4"/>
      <c r="NVQ95" s="4"/>
      <c r="NVR95" s="4"/>
      <c r="NVS95" s="4"/>
      <c r="NVT95" s="4"/>
      <c r="NVU95" s="4"/>
      <c r="NVV95" s="4"/>
      <c r="NVW95" s="4"/>
      <c r="NVX95" s="4"/>
      <c r="NVY95" s="4"/>
      <c r="NVZ95" s="4"/>
      <c r="NWA95" s="4"/>
      <c r="NWB95" s="4"/>
      <c r="NWC95" s="4"/>
      <c r="NWD95" s="4"/>
      <c r="NWE95" s="4"/>
      <c r="NWF95" s="4"/>
      <c r="NWG95" s="4"/>
      <c r="NWH95" s="4"/>
      <c r="NWI95" s="4"/>
      <c r="NWJ95" s="4"/>
      <c r="NWK95" s="4"/>
      <c r="NWL95" s="4"/>
      <c r="NWM95" s="4"/>
      <c r="NWN95" s="4"/>
      <c r="NWO95" s="4"/>
      <c r="NWP95" s="4"/>
      <c r="NWQ95" s="4"/>
      <c r="NWR95" s="4"/>
      <c r="NWS95" s="4"/>
      <c r="NWT95" s="4"/>
      <c r="NWU95" s="4"/>
      <c r="NWV95" s="4"/>
      <c r="NWW95" s="4"/>
      <c r="NWX95" s="4"/>
      <c r="NWY95" s="4"/>
      <c r="NWZ95" s="4"/>
      <c r="NXA95" s="4"/>
      <c r="NXB95" s="4"/>
      <c r="NXC95" s="4"/>
      <c r="NXD95" s="4"/>
      <c r="NXE95" s="4"/>
      <c r="NXF95" s="4"/>
      <c r="NXG95" s="4"/>
      <c r="NXH95" s="4"/>
      <c r="NXI95" s="4"/>
      <c r="NXJ95" s="4"/>
      <c r="NXK95" s="4"/>
      <c r="NXL95" s="4"/>
      <c r="NXM95" s="4"/>
      <c r="NXN95" s="4"/>
      <c r="NXO95" s="4"/>
      <c r="NXP95" s="4"/>
      <c r="NXQ95" s="4"/>
      <c r="NXR95" s="4"/>
      <c r="NXS95" s="4"/>
      <c r="NXT95" s="4"/>
      <c r="NXU95" s="4"/>
      <c r="NXV95" s="4"/>
      <c r="NXW95" s="4"/>
      <c r="NXX95" s="4"/>
      <c r="NXY95" s="4"/>
      <c r="NXZ95" s="4"/>
      <c r="NYA95" s="4"/>
      <c r="NYB95" s="4"/>
      <c r="NYC95" s="4"/>
      <c r="NYD95" s="4"/>
      <c r="NYE95" s="4"/>
      <c r="NYF95" s="4"/>
      <c r="NYG95" s="4"/>
      <c r="NYH95" s="4"/>
      <c r="NYI95" s="4"/>
      <c r="NYJ95" s="4"/>
      <c r="NYK95" s="4"/>
      <c r="NYL95" s="4"/>
      <c r="NYM95" s="4"/>
      <c r="NYN95" s="4"/>
      <c r="NYO95" s="4"/>
      <c r="NYP95" s="4"/>
      <c r="NYQ95" s="4"/>
      <c r="NYR95" s="4"/>
      <c r="NYS95" s="4"/>
      <c r="NYT95" s="4"/>
      <c r="NYU95" s="4"/>
      <c r="NYV95" s="4"/>
      <c r="NYW95" s="4"/>
      <c r="NYX95" s="4"/>
      <c r="NYY95" s="4"/>
      <c r="NYZ95" s="4"/>
      <c r="NZA95" s="4"/>
      <c r="NZB95" s="4"/>
      <c r="NZC95" s="4"/>
      <c r="NZD95" s="4"/>
      <c r="NZE95" s="4"/>
      <c r="NZF95" s="4"/>
      <c r="NZG95" s="4"/>
      <c r="NZH95" s="4"/>
      <c r="NZI95" s="4"/>
      <c r="NZJ95" s="4"/>
      <c r="NZK95" s="4"/>
      <c r="NZL95" s="4"/>
      <c r="NZM95" s="4"/>
      <c r="NZN95" s="4"/>
      <c r="NZO95" s="4"/>
      <c r="NZP95" s="4"/>
      <c r="NZQ95" s="4"/>
      <c r="NZR95" s="4"/>
      <c r="NZS95" s="4"/>
      <c r="NZT95" s="4"/>
      <c r="NZU95" s="4"/>
      <c r="NZV95" s="4"/>
      <c r="NZW95" s="4"/>
      <c r="NZX95" s="4"/>
      <c r="NZY95" s="4"/>
      <c r="NZZ95" s="4"/>
      <c r="OAA95" s="4"/>
      <c r="OAB95" s="4"/>
      <c r="OAC95" s="4"/>
      <c r="OAD95" s="4"/>
      <c r="OAE95" s="4"/>
      <c r="OAF95" s="4"/>
      <c r="OAG95" s="4"/>
      <c r="OAH95" s="4"/>
      <c r="OAI95" s="4"/>
      <c r="OAJ95" s="4"/>
      <c r="OAK95" s="4"/>
      <c r="OAL95" s="4"/>
      <c r="OAM95" s="4"/>
      <c r="OAN95" s="4"/>
      <c r="OAO95" s="4"/>
      <c r="OAP95" s="4"/>
      <c r="OAQ95" s="4"/>
      <c r="OAR95" s="4"/>
      <c r="OAS95" s="4"/>
      <c r="OAT95" s="4"/>
      <c r="OAU95" s="4"/>
      <c r="OAV95" s="4"/>
      <c r="OAW95" s="4"/>
      <c r="OAX95" s="4"/>
      <c r="OAY95" s="4"/>
      <c r="OAZ95" s="4"/>
      <c r="OBA95" s="4"/>
      <c r="OBB95" s="4"/>
      <c r="OBC95" s="4"/>
      <c r="OBD95" s="4"/>
      <c r="OBE95" s="4"/>
      <c r="OBF95" s="4"/>
      <c r="OBG95" s="4"/>
      <c r="OBH95" s="4"/>
      <c r="OBI95" s="4"/>
      <c r="OBJ95" s="4"/>
      <c r="OBK95" s="4"/>
      <c r="OBL95" s="4"/>
      <c r="OBM95" s="4"/>
      <c r="OBN95" s="4"/>
      <c r="OBO95" s="4"/>
      <c r="OBP95" s="4"/>
      <c r="OBQ95" s="4"/>
      <c r="OBR95" s="4"/>
      <c r="OBS95" s="4"/>
      <c r="OBT95" s="4"/>
      <c r="OBU95" s="4"/>
      <c r="OBV95" s="4"/>
      <c r="OBW95" s="4"/>
      <c r="OBX95" s="4"/>
      <c r="OBY95" s="4"/>
      <c r="OBZ95" s="4"/>
      <c r="OCA95" s="4"/>
      <c r="OCB95" s="4"/>
      <c r="OCC95" s="4"/>
      <c r="OCD95" s="4"/>
      <c r="OCE95" s="4"/>
      <c r="OCF95" s="4"/>
      <c r="OCG95" s="4"/>
      <c r="OCH95" s="4"/>
      <c r="OCI95" s="4"/>
      <c r="OCJ95" s="4"/>
      <c r="OCK95" s="4"/>
      <c r="OCL95" s="4"/>
      <c r="OCM95" s="4"/>
      <c r="OCN95" s="4"/>
      <c r="OCO95" s="4"/>
      <c r="OCP95" s="4"/>
      <c r="OCQ95" s="4"/>
      <c r="OCR95" s="4"/>
      <c r="OCS95" s="4"/>
      <c r="OCT95" s="4"/>
      <c r="OCU95" s="4"/>
      <c r="OCV95" s="4"/>
      <c r="OCW95" s="4"/>
      <c r="OCX95" s="4"/>
      <c r="OCY95" s="4"/>
      <c r="OCZ95" s="4"/>
      <c r="ODA95" s="4"/>
      <c r="ODB95" s="4"/>
      <c r="ODC95" s="4"/>
      <c r="ODD95" s="4"/>
      <c r="ODE95" s="4"/>
      <c r="ODF95" s="4"/>
      <c r="ODG95" s="4"/>
      <c r="ODH95" s="4"/>
      <c r="ODI95" s="4"/>
      <c r="ODJ95" s="4"/>
      <c r="ODK95" s="4"/>
      <c r="ODL95" s="4"/>
      <c r="ODM95" s="4"/>
      <c r="ODN95" s="4"/>
      <c r="ODO95" s="4"/>
      <c r="ODP95" s="4"/>
      <c r="ODQ95" s="4"/>
      <c r="ODR95" s="4"/>
      <c r="ODS95" s="4"/>
      <c r="ODT95" s="4"/>
      <c r="ODU95" s="4"/>
      <c r="ODV95" s="4"/>
      <c r="ODW95" s="4"/>
      <c r="ODX95" s="4"/>
      <c r="ODY95" s="4"/>
      <c r="ODZ95" s="4"/>
      <c r="OEA95" s="4"/>
      <c r="OEB95" s="4"/>
      <c r="OEC95" s="4"/>
      <c r="OED95" s="4"/>
      <c r="OEE95" s="4"/>
      <c r="OEF95" s="4"/>
      <c r="OEG95" s="4"/>
      <c r="OEH95" s="4"/>
      <c r="OEI95" s="4"/>
      <c r="OEJ95" s="4"/>
      <c r="OEK95" s="4"/>
      <c r="OEL95" s="4"/>
      <c r="OEM95" s="4"/>
      <c r="OEN95" s="4"/>
      <c r="OEO95" s="4"/>
      <c r="OEP95" s="4"/>
      <c r="OEQ95" s="4"/>
      <c r="OER95" s="4"/>
      <c r="OES95" s="4"/>
      <c r="OET95" s="4"/>
      <c r="OEU95" s="4"/>
      <c r="OEV95" s="4"/>
      <c r="OEW95" s="4"/>
      <c r="OEX95" s="4"/>
      <c r="OEY95" s="4"/>
      <c r="OEZ95" s="4"/>
      <c r="OFA95" s="4"/>
      <c r="OFB95" s="4"/>
      <c r="OFC95" s="4"/>
      <c r="OFD95" s="4"/>
      <c r="OFE95" s="4"/>
      <c r="OFF95" s="4"/>
      <c r="OFG95" s="4"/>
      <c r="OFH95" s="4"/>
      <c r="OFI95" s="4"/>
      <c r="OFJ95" s="4"/>
      <c r="OFK95" s="4"/>
      <c r="OFL95" s="4"/>
      <c r="OFM95" s="4"/>
      <c r="OFN95" s="4"/>
      <c r="OFO95" s="4"/>
      <c r="OFP95" s="4"/>
      <c r="OFQ95" s="4"/>
      <c r="OFR95" s="4"/>
      <c r="OFS95" s="4"/>
      <c r="OFT95" s="4"/>
      <c r="OFU95" s="4"/>
      <c r="OFV95" s="4"/>
      <c r="OFW95" s="4"/>
      <c r="OFX95" s="4"/>
      <c r="OFY95" s="4"/>
      <c r="OFZ95" s="4"/>
      <c r="OGA95" s="4"/>
      <c r="OGB95" s="4"/>
      <c r="OGC95" s="4"/>
      <c r="OGD95" s="4"/>
      <c r="OGE95" s="4"/>
      <c r="OGF95" s="4"/>
      <c r="OGG95" s="4"/>
      <c r="OGH95" s="4"/>
      <c r="OGI95" s="4"/>
      <c r="OGJ95" s="4"/>
      <c r="OGK95" s="4"/>
      <c r="OGL95" s="4"/>
      <c r="OGM95" s="4"/>
      <c r="OGN95" s="4"/>
      <c r="OGO95" s="4"/>
      <c r="OGP95" s="4"/>
      <c r="OGQ95" s="4"/>
      <c r="OGR95" s="4"/>
      <c r="OGS95" s="4"/>
      <c r="OGT95" s="4"/>
      <c r="OGU95" s="4"/>
      <c r="OGV95" s="4"/>
      <c r="OGW95" s="4"/>
      <c r="OGX95" s="4"/>
      <c r="OGY95" s="4"/>
      <c r="OGZ95" s="4"/>
      <c r="OHA95" s="4"/>
      <c r="OHB95" s="4"/>
      <c r="OHC95" s="4"/>
      <c r="OHD95" s="4"/>
      <c r="OHE95" s="4"/>
      <c r="OHF95" s="4"/>
      <c r="OHG95" s="4"/>
      <c r="OHH95" s="4"/>
      <c r="OHI95" s="4"/>
      <c r="OHJ95" s="4"/>
      <c r="OHK95" s="4"/>
      <c r="OHL95" s="4"/>
      <c r="OHM95" s="4"/>
      <c r="OHN95" s="4"/>
      <c r="OHO95" s="4"/>
      <c r="OHP95" s="4"/>
      <c r="OHQ95" s="4"/>
      <c r="OHR95" s="4"/>
      <c r="OHS95" s="4"/>
      <c r="OHT95" s="4"/>
      <c r="OHU95" s="4"/>
      <c r="OHV95" s="4"/>
      <c r="OHW95" s="4"/>
      <c r="OHX95" s="4"/>
      <c r="OHY95" s="4"/>
      <c r="OHZ95" s="4"/>
      <c r="OIA95" s="4"/>
      <c r="OIB95" s="4"/>
      <c r="OIC95" s="4"/>
      <c r="OID95" s="4"/>
      <c r="OIE95" s="4"/>
      <c r="OIF95" s="4"/>
      <c r="OIG95" s="4"/>
      <c r="OIH95" s="4"/>
      <c r="OII95" s="4"/>
      <c r="OIJ95" s="4"/>
      <c r="OIK95" s="4"/>
      <c r="OIL95" s="4"/>
      <c r="OIM95" s="4"/>
      <c r="OIN95" s="4"/>
      <c r="OIO95" s="4"/>
      <c r="OIP95" s="4"/>
      <c r="OIQ95" s="4"/>
      <c r="OIR95" s="4"/>
      <c r="OIS95" s="4"/>
      <c r="OIT95" s="4"/>
      <c r="OIU95" s="4"/>
      <c r="OIV95" s="4"/>
      <c r="OIW95" s="4"/>
      <c r="OIX95" s="4"/>
      <c r="OIY95" s="4"/>
      <c r="OIZ95" s="4"/>
      <c r="OJA95" s="4"/>
      <c r="OJB95" s="4"/>
      <c r="OJC95" s="4"/>
      <c r="OJD95" s="4"/>
      <c r="OJE95" s="4"/>
      <c r="OJF95" s="4"/>
      <c r="OJG95" s="4"/>
      <c r="OJH95" s="4"/>
      <c r="OJI95" s="4"/>
      <c r="OJJ95" s="4"/>
      <c r="OJK95" s="4"/>
      <c r="OJL95" s="4"/>
      <c r="OJM95" s="4"/>
      <c r="OJN95" s="4"/>
      <c r="OJO95" s="4"/>
      <c r="OJP95" s="4"/>
      <c r="OJQ95" s="4"/>
      <c r="OJR95" s="4"/>
      <c r="OJS95" s="4"/>
      <c r="OJT95" s="4"/>
      <c r="OJU95" s="4"/>
      <c r="OJV95" s="4"/>
      <c r="OJW95" s="4"/>
      <c r="OJX95" s="4"/>
      <c r="OJY95" s="4"/>
      <c r="OJZ95" s="4"/>
      <c r="OKA95" s="4"/>
      <c r="OKB95" s="4"/>
      <c r="OKC95" s="4"/>
      <c r="OKD95" s="4"/>
      <c r="OKE95" s="4"/>
      <c r="OKF95" s="4"/>
      <c r="OKG95" s="4"/>
      <c r="OKH95" s="4"/>
      <c r="OKI95" s="4"/>
      <c r="OKJ95" s="4"/>
      <c r="OKK95" s="4"/>
      <c r="OKL95" s="4"/>
      <c r="OKM95" s="4"/>
      <c r="OKN95" s="4"/>
      <c r="OKO95" s="4"/>
      <c r="OKP95" s="4"/>
      <c r="OKQ95" s="4"/>
      <c r="OKR95" s="4"/>
      <c r="OKS95" s="4"/>
      <c r="OKT95" s="4"/>
      <c r="OKU95" s="4"/>
      <c r="OKV95" s="4"/>
      <c r="OKW95" s="4"/>
      <c r="OKX95" s="4"/>
      <c r="OKY95" s="4"/>
      <c r="OKZ95" s="4"/>
      <c r="OLA95" s="4"/>
      <c r="OLB95" s="4"/>
      <c r="OLC95" s="4"/>
      <c r="OLD95" s="4"/>
      <c r="OLE95" s="4"/>
      <c r="OLF95" s="4"/>
      <c r="OLG95" s="4"/>
      <c r="OLH95" s="4"/>
      <c r="OLI95" s="4"/>
      <c r="OLJ95" s="4"/>
      <c r="OLK95" s="4"/>
      <c r="OLL95" s="4"/>
      <c r="OLM95" s="4"/>
      <c r="OLN95" s="4"/>
      <c r="OLO95" s="4"/>
      <c r="OLP95" s="4"/>
      <c r="OLQ95" s="4"/>
      <c r="OLR95" s="4"/>
      <c r="OLS95" s="4"/>
      <c r="OLT95" s="4"/>
      <c r="OLU95" s="4"/>
      <c r="OLV95" s="4"/>
      <c r="OLW95" s="4"/>
      <c r="OLX95" s="4"/>
      <c r="OLY95" s="4"/>
      <c r="OLZ95" s="4"/>
      <c r="OMA95" s="4"/>
      <c r="OMB95" s="4"/>
      <c r="OMC95" s="4"/>
      <c r="OMD95" s="4"/>
      <c r="OME95" s="4"/>
      <c r="OMF95" s="4"/>
      <c r="OMG95" s="4"/>
      <c r="OMH95" s="4"/>
      <c r="OMI95" s="4"/>
      <c r="OMJ95" s="4"/>
      <c r="OMK95" s="4"/>
      <c r="OML95" s="4"/>
      <c r="OMM95" s="4"/>
      <c r="OMN95" s="4"/>
      <c r="OMO95" s="4"/>
      <c r="OMP95" s="4"/>
      <c r="OMQ95" s="4"/>
      <c r="OMR95" s="4"/>
      <c r="OMS95" s="4"/>
      <c r="OMT95" s="4"/>
      <c r="OMU95" s="4"/>
      <c r="OMV95" s="4"/>
      <c r="OMW95" s="4"/>
      <c r="OMX95" s="4"/>
      <c r="OMY95" s="4"/>
      <c r="OMZ95" s="4"/>
      <c r="ONA95" s="4"/>
      <c r="ONB95" s="4"/>
      <c r="ONC95" s="4"/>
      <c r="OND95" s="4"/>
      <c r="ONE95" s="4"/>
      <c r="ONF95" s="4"/>
      <c r="ONG95" s="4"/>
      <c r="ONH95" s="4"/>
      <c r="ONI95" s="4"/>
      <c r="ONJ95" s="4"/>
      <c r="ONK95" s="4"/>
      <c r="ONL95" s="4"/>
      <c r="ONM95" s="4"/>
      <c r="ONN95" s="4"/>
      <c r="ONO95" s="4"/>
      <c r="ONP95" s="4"/>
      <c r="ONQ95" s="4"/>
      <c r="ONR95" s="4"/>
      <c r="ONS95" s="4"/>
      <c r="ONT95" s="4"/>
      <c r="ONU95" s="4"/>
      <c r="ONV95" s="4"/>
      <c r="ONW95" s="4"/>
      <c r="ONX95" s="4"/>
      <c r="ONY95" s="4"/>
      <c r="ONZ95" s="4"/>
      <c r="OOA95" s="4"/>
      <c r="OOB95" s="4"/>
      <c r="OOC95" s="4"/>
      <c r="OOD95" s="4"/>
      <c r="OOE95" s="4"/>
      <c r="OOF95" s="4"/>
      <c r="OOG95" s="4"/>
      <c r="OOH95" s="4"/>
      <c r="OOI95" s="4"/>
      <c r="OOJ95" s="4"/>
      <c r="OOK95" s="4"/>
      <c r="OOL95" s="4"/>
      <c r="OOM95" s="4"/>
      <c r="OON95" s="4"/>
      <c r="OOO95" s="4"/>
      <c r="OOP95" s="4"/>
      <c r="OOQ95" s="4"/>
      <c r="OOR95" s="4"/>
      <c r="OOS95" s="4"/>
      <c r="OOT95" s="4"/>
      <c r="OOU95" s="4"/>
      <c r="OOV95" s="4"/>
      <c r="OOW95" s="4"/>
      <c r="OOX95" s="4"/>
      <c r="OOY95" s="4"/>
      <c r="OOZ95" s="4"/>
      <c r="OPA95" s="4"/>
      <c r="OPB95" s="4"/>
      <c r="OPC95" s="4"/>
      <c r="OPD95" s="4"/>
      <c r="OPE95" s="4"/>
      <c r="OPF95" s="4"/>
      <c r="OPG95" s="4"/>
      <c r="OPH95" s="4"/>
      <c r="OPI95" s="4"/>
      <c r="OPJ95" s="4"/>
      <c r="OPK95" s="4"/>
      <c r="OPL95" s="4"/>
      <c r="OPM95" s="4"/>
      <c r="OPN95" s="4"/>
      <c r="OPO95" s="4"/>
      <c r="OPP95" s="4"/>
      <c r="OPQ95" s="4"/>
      <c r="OPR95" s="4"/>
      <c r="OPS95" s="4"/>
      <c r="OPT95" s="4"/>
      <c r="OPU95" s="4"/>
      <c r="OPV95" s="4"/>
      <c r="OPW95" s="4"/>
      <c r="OPX95" s="4"/>
      <c r="OPY95" s="4"/>
      <c r="OPZ95" s="4"/>
      <c r="OQA95" s="4"/>
      <c r="OQB95" s="4"/>
      <c r="OQC95" s="4"/>
      <c r="OQD95" s="4"/>
      <c r="OQE95" s="4"/>
      <c r="OQF95" s="4"/>
      <c r="OQG95" s="4"/>
      <c r="OQH95" s="4"/>
      <c r="OQI95" s="4"/>
      <c r="OQJ95" s="4"/>
      <c r="OQK95" s="4"/>
      <c r="OQL95" s="4"/>
      <c r="OQM95" s="4"/>
      <c r="OQN95" s="4"/>
      <c r="OQO95" s="4"/>
      <c r="OQP95" s="4"/>
      <c r="OQQ95" s="4"/>
      <c r="OQR95" s="4"/>
      <c r="OQS95" s="4"/>
      <c r="OQT95" s="4"/>
      <c r="OQU95" s="4"/>
      <c r="OQV95" s="4"/>
      <c r="OQW95" s="4"/>
      <c r="OQX95" s="4"/>
      <c r="OQY95" s="4"/>
      <c r="OQZ95" s="4"/>
      <c r="ORA95" s="4"/>
      <c r="ORB95" s="4"/>
      <c r="ORC95" s="4"/>
      <c r="ORD95" s="4"/>
      <c r="ORE95" s="4"/>
      <c r="ORF95" s="4"/>
      <c r="ORG95" s="4"/>
      <c r="ORH95" s="4"/>
      <c r="ORI95" s="4"/>
      <c r="ORJ95" s="4"/>
      <c r="ORK95" s="4"/>
      <c r="ORL95" s="4"/>
      <c r="ORM95" s="4"/>
      <c r="ORN95" s="4"/>
      <c r="ORO95" s="4"/>
      <c r="ORP95" s="4"/>
      <c r="ORQ95" s="4"/>
      <c r="ORR95" s="4"/>
      <c r="ORS95" s="4"/>
      <c r="ORT95" s="4"/>
      <c r="ORU95" s="4"/>
      <c r="ORV95" s="4"/>
      <c r="ORW95" s="4"/>
      <c r="ORX95" s="4"/>
      <c r="ORY95" s="4"/>
      <c r="ORZ95" s="4"/>
      <c r="OSA95" s="4"/>
      <c r="OSB95" s="4"/>
      <c r="OSC95" s="4"/>
      <c r="OSD95" s="4"/>
      <c r="OSE95" s="4"/>
      <c r="OSF95" s="4"/>
      <c r="OSG95" s="4"/>
      <c r="OSH95" s="4"/>
      <c r="OSI95" s="4"/>
      <c r="OSJ95" s="4"/>
      <c r="OSK95" s="4"/>
      <c r="OSL95" s="4"/>
      <c r="OSM95" s="4"/>
      <c r="OSN95" s="4"/>
      <c r="OSO95" s="4"/>
      <c r="OSP95" s="4"/>
      <c r="OSQ95" s="4"/>
      <c r="OSR95" s="4"/>
      <c r="OSS95" s="4"/>
      <c r="OST95" s="4"/>
      <c r="OSU95" s="4"/>
      <c r="OSV95" s="4"/>
      <c r="OSW95" s="4"/>
      <c r="OSX95" s="4"/>
      <c r="OSY95" s="4"/>
      <c r="OSZ95" s="4"/>
      <c r="OTA95" s="4"/>
      <c r="OTB95" s="4"/>
      <c r="OTC95" s="4"/>
      <c r="OTD95" s="4"/>
      <c r="OTE95" s="4"/>
      <c r="OTF95" s="4"/>
      <c r="OTG95" s="4"/>
      <c r="OTH95" s="4"/>
      <c r="OTI95" s="4"/>
      <c r="OTJ95" s="4"/>
      <c r="OTK95" s="4"/>
      <c r="OTL95" s="4"/>
      <c r="OTM95" s="4"/>
      <c r="OTN95" s="4"/>
      <c r="OTO95" s="4"/>
      <c r="OTP95" s="4"/>
      <c r="OTQ95" s="4"/>
      <c r="OTR95" s="4"/>
      <c r="OTS95" s="4"/>
      <c r="OTT95" s="4"/>
      <c r="OTU95" s="4"/>
      <c r="OTV95" s="4"/>
      <c r="OTW95" s="4"/>
      <c r="OTX95" s="4"/>
      <c r="OTY95" s="4"/>
      <c r="OTZ95" s="4"/>
      <c r="OUA95" s="4"/>
      <c r="OUB95" s="4"/>
      <c r="OUC95" s="4"/>
      <c r="OUD95" s="4"/>
      <c r="OUE95" s="4"/>
      <c r="OUF95" s="4"/>
      <c r="OUG95" s="4"/>
      <c r="OUH95" s="4"/>
      <c r="OUI95" s="4"/>
      <c r="OUJ95" s="4"/>
      <c r="OUK95" s="4"/>
      <c r="OUL95" s="4"/>
      <c r="OUM95" s="4"/>
      <c r="OUN95" s="4"/>
      <c r="OUO95" s="4"/>
      <c r="OUP95" s="4"/>
      <c r="OUQ95" s="4"/>
      <c r="OUR95" s="4"/>
      <c r="OUS95" s="4"/>
      <c r="OUT95" s="4"/>
      <c r="OUU95" s="4"/>
      <c r="OUV95" s="4"/>
      <c r="OUW95" s="4"/>
      <c r="OUX95" s="4"/>
      <c r="OUY95" s="4"/>
      <c r="OUZ95" s="4"/>
      <c r="OVA95" s="4"/>
      <c r="OVB95" s="4"/>
      <c r="OVC95" s="4"/>
      <c r="OVD95" s="4"/>
      <c r="OVE95" s="4"/>
      <c r="OVF95" s="4"/>
      <c r="OVG95" s="4"/>
      <c r="OVH95" s="4"/>
      <c r="OVI95" s="4"/>
      <c r="OVJ95" s="4"/>
      <c r="OVK95" s="4"/>
      <c r="OVL95" s="4"/>
      <c r="OVM95" s="4"/>
      <c r="OVN95" s="4"/>
      <c r="OVO95" s="4"/>
      <c r="OVP95" s="4"/>
      <c r="OVQ95" s="4"/>
      <c r="OVR95" s="4"/>
      <c r="OVS95" s="4"/>
      <c r="OVT95" s="4"/>
      <c r="OVU95" s="4"/>
      <c r="OVV95" s="4"/>
      <c r="OVW95" s="4"/>
      <c r="OVX95" s="4"/>
      <c r="OVY95" s="4"/>
      <c r="OVZ95" s="4"/>
      <c r="OWA95" s="4"/>
      <c r="OWB95" s="4"/>
      <c r="OWC95" s="4"/>
      <c r="OWD95" s="4"/>
      <c r="OWE95" s="4"/>
      <c r="OWF95" s="4"/>
      <c r="OWG95" s="4"/>
      <c r="OWH95" s="4"/>
      <c r="OWI95" s="4"/>
      <c r="OWJ95" s="4"/>
      <c r="OWK95" s="4"/>
      <c r="OWL95" s="4"/>
      <c r="OWM95" s="4"/>
      <c r="OWN95" s="4"/>
      <c r="OWO95" s="4"/>
      <c r="OWP95" s="4"/>
      <c r="OWQ95" s="4"/>
      <c r="OWR95" s="4"/>
      <c r="OWS95" s="4"/>
      <c r="OWT95" s="4"/>
      <c r="OWU95" s="4"/>
      <c r="OWV95" s="4"/>
      <c r="OWW95" s="4"/>
      <c r="OWX95" s="4"/>
      <c r="OWY95" s="4"/>
      <c r="OWZ95" s="4"/>
      <c r="OXA95" s="4"/>
      <c r="OXB95" s="4"/>
      <c r="OXC95" s="4"/>
      <c r="OXD95" s="4"/>
      <c r="OXE95" s="4"/>
      <c r="OXF95" s="4"/>
      <c r="OXG95" s="4"/>
      <c r="OXH95" s="4"/>
      <c r="OXI95" s="4"/>
      <c r="OXJ95" s="4"/>
      <c r="OXK95" s="4"/>
      <c r="OXL95" s="4"/>
      <c r="OXM95" s="4"/>
      <c r="OXN95" s="4"/>
      <c r="OXO95" s="4"/>
      <c r="OXP95" s="4"/>
      <c r="OXQ95" s="4"/>
      <c r="OXR95" s="4"/>
      <c r="OXS95" s="4"/>
      <c r="OXT95" s="4"/>
      <c r="OXU95" s="4"/>
      <c r="OXV95" s="4"/>
      <c r="OXW95" s="4"/>
      <c r="OXX95" s="4"/>
      <c r="OXY95" s="4"/>
      <c r="OXZ95" s="4"/>
      <c r="OYA95" s="4"/>
      <c r="OYB95" s="4"/>
      <c r="OYC95" s="4"/>
      <c r="OYD95" s="4"/>
      <c r="OYE95" s="4"/>
      <c r="OYF95" s="4"/>
      <c r="OYG95" s="4"/>
      <c r="OYH95" s="4"/>
      <c r="OYI95" s="4"/>
      <c r="OYJ95" s="4"/>
      <c r="OYK95" s="4"/>
      <c r="OYL95" s="4"/>
      <c r="OYM95" s="4"/>
      <c r="OYN95" s="4"/>
      <c r="OYO95" s="4"/>
      <c r="OYP95" s="4"/>
      <c r="OYQ95" s="4"/>
      <c r="OYR95" s="4"/>
      <c r="OYS95" s="4"/>
      <c r="OYT95" s="4"/>
      <c r="OYU95" s="4"/>
      <c r="OYV95" s="4"/>
      <c r="OYW95" s="4"/>
      <c r="OYX95" s="4"/>
      <c r="OYY95" s="4"/>
      <c r="OYZ95" s="4"/>
      <c r="OZA95" s="4"/>
      <c r="OZB95" s="4"/>
      <c r="OZC95" s="4"/>
      <c r="OZD95" s="4"/>
      <c r="OZE95" s="4"/>
      <c r="OZF95" s="4"/>
      <c r="OZG95" s="4"/>
      <c r="OZH95" s="4"/>
      <c r="OZI95" s="4"/>
      <c r="OZJ95" s="4"/>
      <c r="OZK95" s="4"/>
      <c r="OZL95" s="4"/>
      <c r="OZM95" s="4"/>
      <c r="OZN95" s="4"/>
      <c r="OZO95" s="4"/>
      <c r="OZP95" s="4"/>
      <c r="OZQ95" s="4"/>
      <c r="OZR95" s="4"/>
      <c r="OZS95" s="4"/>
      <c r="OZT95" s="4"/>
      <c r="OZU95" s="4"/>
      <c r="OZV95" s="4"/>
      <c r="OZW95" s="4"/>
      <c r="OZX95" s="4"/>
      <c r="OZY95" s="4"/>
      <c r="OZZ95" s="4"/>
      <c r="PAA95" s="4"/>
      <c r="PAB95" s="4"/>
      <c r="PAC95" s="4"/>
      <c r="PAD95" s="4"/>
      <c r="PAE95" s="4"/>
      <c r="PAF95" s="4"/>
      <c r="PAG95" s="4"/>
      <c r="PAH95" s="4"/>
      <c r="PAI95" s="4"/>
      <c r="PAJ95" s="4"/>
      <c r="PAK95" s="4"/>
      <c r="PAL95" s="4"/>
      <c r="PAM95" s="4"/>
      <c r="PAN95" s="4"/>
      <c r="PAO95" s="4"/>
      <c r="PAP95" s="4"/>
      <c r="PAQ95" s="4"/>
      <c r="PAR95" s="4"/>
      <c r="PAS95" s="4"/>
      <c r="PAT95" s="4"/>
      <c r="PAU95" s="4"/>
      <c r="PAV95" s="4"/>
      <c r="PAW95" s="4"/>
      <c r="PAX95" s="4"/>
      <c r="PAY95" s="4"/>
      <c r="PAZ95" s="4"/>
      <c r="PBA95" s="4"/>
      <c r="PBB95" s="4"/>
      <c r="PBC95" s="4"/>
      <c r="PBD95" s="4"/>
      <c r="PBE95" s="4"/>
      <c r="PBF95" s="4"/>
      <c r="PBG95" s="4"/>
      <c r="PBH95" s="4"/>
      <c r="PBI95" s="4"/>
      <c r="PBJ95" s="4"/>
      <c r="PBK95" s="4"/>
      <c r="PBL95" s="4"/>
      <c r="PBM95" s="4"/>
      <c r="PBN95" s="4"/>
      <c r="PBO95" s="4"/>
      <c r="PBP95" s="4"/>
      <c r="PBQ95" s="4"/>
      <c r="PBR95" s="4"/>
      <c r="PBS95" s="4"/>
      <c r="PBT95" s="4"/>
      <c r="PBU95" s="4"/>
      <c r="PBV95" s="4"/>
      <c r="PBW95" s="4"/>
      <c r="PBX95" s="4"/>
      <c r="PBY95" s="4"/>
      <c r="PBZ95" s="4"/>
      <c r="PCA95" s="4"/>
      <c r="PCB95" s="4"/>
      <c r="PCC95" s="4"/>
      <c r="PCD95" s="4"/>
      <c r="PCE95" s="4"/>
      <c r="PCF95" s="4"/>
      <c r="PCG95" s="4"/>
      <c r="PCH95" s="4"/>
      <c r="PCI95" s="4"/>
      <c r="PCJ95" s="4"/>
      <c r="PCK95" s="4"/>
      <c r="PCL95" s="4"/>
      <c r="PCM95" s="4"/>
      <c r="PCN95" s="4"/>
      <c r="PCO95" s="4"/>
      <c r="PCP95" s="4"/>
      <c r="PCQ95" s="4"/>
      <c r="PCR95" s="4"/>
      <c r="PCS95" s="4"/>
      <c r="PCT95" s="4"/>
      <c r="PCU95" s="4"/>
      <c r="PCV95" s="4"/>
      <c r="PCW95" s="4"/>
      <c r="PCX95" s="4"/>
      <c r="PCY95" s="4"/>
      <c r="PCZ95" s="4"/>
      <c r="PDA95" s="4"/>
      <c r="PDB95" s="4"/>
      <c r="PDC95" s="4"/>
      <c r="PDD95" s="4"/>
      <c r="PDE95" s="4"/>
      <c r="PDF95" s="4"/>
      <c r="PDG95" s="4"/>
      <c r="PDH95" s="4"/>
      <c r="PDI95" s="4"/>
      <c r="PDJ95" s="4"/>
      <c r="PDK95" s="4"/>
      <c r="PDL95" s="4"/>
      <c r="PDM95" s="4"/>
      <c r="PDN95" s="4"/>
      <c r="PDO95" s="4"/>
      <c r="PDP95" s="4"/>
      <c r="PDQ95" s="4"/>
      <c r="PDR95" s="4"/>
      <c r="PDS95" s="4"/>
      <c r="PDT95" s="4"/>
      <c r="PDU95" s="4"/>
      <c r="PDV95" s="4"/>
      <c r="PDW95" s="4"/>
      <c r="PDX95" s="4"/>
      <c r="PDY95" s="4"/>
      <c r="PDZ95" s="4"/>
      <c r="PEA95" s="4"/>
      <c r="PEB95" s="4"/>
      <c r="PEC95" s="4"/>
      <c r="PED95" s="4"/>
      <c r="PEE95" s="4"/>
      <c r="PEF95" s="4"/>
      <c r="PEG95" s="4"/>
      <c r="PEH95" s="4"/>
      <c r="PEI95" s="4"/>
      <c r="PEJ95" s="4"/>
      <c r="PEK95" s="4"/>
      <c r="PEL95" s="4"/>
      <c r="PEM95" s="4"/>
      <c r="PEN95" s="4"/>
      <c r="PEO95" s="4"/>
      <c r="PEP95" s="4"/>
      <c r="PEQ95" s="4"/>
      <c r="PER95" s="4"/>
      <c r="PES95" s="4"/>
      <c r="PET95" s="4"/>
      <c r="PEU95" s="4"/>
      <c r="PEV95" s="4"/>
      <c r="PEW95" s="4"/>
      <c r="PEX95" s="4"/>
      <c r="PEY95" s="4"/>
      <c r="PEZ95" s="4"/>
      <c r="PFA95" s="4"/>
      <c r="PFB95" s="4"/>
      <c r="PFC95" s="4"/>
      <c r="PFD95" s="4"/>
      <c r="PFE95" s="4"/>
      <c r="PFF95" s="4"/>
      <c r="PFG95" s="4"/>
      <c r="PFH95" s="4"/>
      <c r="PFI95" s="4"/>
      <c r="PFJ95" s="4"/>
      <c r="PFK95" s="4"/>
      <c r="PFL95" s="4"/>
      <c r="PFM95" s="4"/>
      <c r="PFN95" s="4"/>
      <c r="PFO95" s="4"/>
      <c r="PFP95" s="4"/>
      <c r="PFQ95" s="4"/>
      <c r="PFR95" s="4"/>
      <c r="PFS95" s="4"/>
      <c r="PFT95" s="4"/>
      <c r="PFU95" s="4"/>
      <c r="PFV95" s="4"/>
      <c r="PFW95" s="4"/>
      <c r="PFX95" s="4"/>
      <c r="PFY95" s="4"/>
      <c r="PFZ95" s="4"/>
      <c r="PGA95" s="4"/>
      <c r="PGB95" s="4"/>
      <c r="PGC95" s="4"/>
      <c r="PGD95" s="4"/>
      <c r="PGE95" s="4"/>
      <c r="PGF95" s="4"/>
      <c r="PGG95" s="4"/>
      <c r="PGH95" s="4"/>
      <c r="PGI95" s="4"/>
      <c r="PGJ95" s="4"/>
      <c r="PGK95" s="4"/>
      <c r="PGL95" s="4"/>
      <c r="PGM95" s="4"/>
      <c r="PGN95" s="4"/>
      <c r="PGO95" s="4"/>
      <c r="PGP95" s="4"/>
      <c r="PGQ95" s="4"/>
      <c r="PGR95" s="4"/>
      <c r="PGS95" s="4"/>
      <c r="PGT95" s="4"/>
      <c r="PGU95" s="4"/>
      <c r="PGV95" s="4"/>
      <c r="PGW95" s="4"/>
      <c r="PGX95" s="4"/>
      <c r="PGY95" s="4"/>
      <c r="PGZ95" s="4"/>
      <c r="PHA95" s="4"/>
      <c r="PHB95" s="4"/>
      <c r="PHC95" s="4"/>
      <c r="PHD95" s="4"/>
      <c r="PHE95" s="4"/>
      <c r="PHF95" s="4"/>
      <c r="PHG95" s="4"/>
      <c r="PHH95" s="4"/>
      <c r="PHI95" s="4"/>
      <c r="PHJ95" s="4"/>
      <c r="PHK95" s="4"/>
      <c r="PHL95" s="4"/>
      <c r="PHM95" s="4"/>
      <c r="PHN95" s="4"/>
      <c r="PHO95" s="4"/>
      <c r="PHP95" s="4"/>
      <c r="PHQ95" s="4"/>
      <c r="PHR95" s="4"/>
      <c r="PHS95" s="4"/>
      <c r="PHT95" s="4"/>
      <c r="PHU95" s="4"/>
      <c r="PHV95" s="4"/>
      <c r="PHW95" s="4"/>
      <c r="PHX95" s="4"/>
      <c r="PHY95" s="4"/>
      <c r="PHZ95" s="4"/>
      <c r="PIA95" s="4"/>
      <c r="PIB95" s="4"/>
      <c r="PIC95" s="4"/>
      <c r="PID95" s="4"/>
      <c r="PIE95" s="4"/>
      <c r="PIF95" s="4"/>
      <c r="PIG95" s="4"/>
      <c r="PIH95" s="4"/>
      <c r="PII95" s="4"/>
      <c r="PIJ95" s="4"/>
      <c r="PIK95" s="4"/>
      <c r="PIL95" s="4"/>
      <c r="PIM95" s="4"/>
      <c r="PIN95" s="4"/>
      <c r="PIO95" s="4"/>
      <c r="PIP95" s="4"/>
      <c r="PIQ95" s="4"/>
      <c r="PIR95" s="4"/>
      <c r="PIS95" s="4"/>
      <c r="PIT95" s="4"/>
      <c r="PIU95" s="4"/>
      <c r="PIV95" s="4"/>
      <c r="PIW95" s="4"/>
      <c r="PIX95" s="4"/>
      <c r="PIY95" s="4"/>
      <c r="PIZ95" s="4"/>
      <c r="PJA95" s="4"/>
      <c r="PJB95" s="4"/>
      <c r="PJC95" s="4"/>
      <c r="PJD95" s="4"/>
      <c r="PJE95" s="4"/>
      <c r="PJF95" s="4"/>
      <c r="PJG95" s="4"/>
      <c r="PJH95" s="4"/>
      <c r="PJI95" s="4"/>
      <c r="PJJ95" s="4"/>
      <c r="PJK95" s="4"/>
      <c r="PJL95" s="4"/>
      <c r="PJM95" s="4"/>
      <c r="PJN95" s="4"/>
      <c r="PJO95" s="4"/>
      <c r="PJP95" s="4"/>
      <c r="PJQ95" s="4"/>
      <c r="PJR95" s="4"/>
      <c r="PJS95" s="4"/>
      <c r="PJT95" s="4"/>
      <c r="PJU95" s="4"/>
      <c r="PJV95" s="4"/>
      <c r="PJW95" s="4"/>
      <c r="PJX95" s="4"/>
      <c r="PJY95" s="4"/>
      <c r="PJZ95" s="4"/>
      <c r="PKA95" s="4"/>
      <c r="PKB95" s="4"/>
      <c r="PKC95" s="4"/>
      <c r="PKD95" s="4"/>
      <c r="PKE95" s="4"/>
      <c r="PKF95" s="4"/>
      <c r="PKG95" s="4"/>
      <c r="PKH95" s="4"/>
      <c r="PKI95" s="4"/>
      <c r="PKJ95" s="4"/>
      <c r="PKK95" s="4"/>
      <c r="PKL95" s="4"/>
      <c r="PKM95" s="4"/>
      <c r="PKN95" s="4"/>
      <c r="PKO95" s="4"/>
      <c r="PKP95" s="4"/>
      <c r="PKQ95" s="4"/>
      <c r="PKR95" s="4"/>
      <c r="PKS95" s="4"/>
      <c r="PKT95" s="4"/>
      <c r="PKU95" s="4"/>
      <c r="PKV95" s="4"/>
      <c r="PKW95" s="4"/>
      <c r="PKX95" s="4"/>
      <c r="PKY95" s="4"/>
      <c r="PKZ95" s="4"/>
      <c r="PLA95" s="4"/>
      <c r="PLB95" s="4"/>
      <c r="PLC95" s="4"/>
      <c r="PLD95" s="4"/>
      <c r="PLE95" s="4"/>
      <c r="PLF95" s="4"/>
      <c r="PLG95" s="4"/>
      <c r="PLH95" s="4"/>
      <c r="PLI95" s="4"/>
      <c r="PLJ95" s="4"/>
      <c r="PLK95" s="4"/>
      <c r="PLL95" s="4"/>
      <c r="PLM95" s="4"/>
      <c r="PLN95" s="4"/>
      <c r="PLO95" s="4"/>
      <c r="PLP95" s="4"/>
      <c r="PLQ95" s="4"/>
      <c r="PLR95" s="4"/>
      <c r="PLS95" s="4"/>
      <c r="PLT95" s="4"/>
      <c r="PLU95" s="4"/>
      <c r="PLV95" s="4"/>
      <c r="PLW95" s="4"/>
      <c r="PLX95" s="4"/>
      <c r="PLY95" s="4"/>
      <c r="PLZ95" s="4"/>
      <c r="PMA95" s="4"/>
      <c r="PMB95" s="4"/>
      <c r="PMC95" s="4"/>
      <c r="PMD95" s="4"/>
      <c r="PME95" s="4"/>
      <c r="PMF95" s="4"/>
      <c r="PMG95" s="4"/>
      <c r="PMH95" s="4"/>
      <c r="PMI95" s="4"/>
      <c r="PMJ95" s="4"/>
      <c r="PMK95" s="4"/>
      <c r="PML95" s="4"/>
      <c r="PMM95" s="4"/>
      <c r="PMN95" s="4"/>
      <c r="PMO95" s="4"/>
      <c r="PMP95" s="4"/>
      <c r="PMQ95" s="4"/>
      <c r="PMR95" s="4"/>
      <c r="PMS95" s="4"/>
      <c r="PMT95" s="4"/>
      <c r="PMU95" s="4"/>
      <c r="PMV95" s="4"/>
      <c r="PMW95" s="4"/>
      <c r="PMX95" s="4"/>
      <c r="PMY95" s="4"/>
      <c r="PMZ95" s="4"/>
      <c r="PNA95" s="4"/>
      <c r="PNB95" s="4"/>
      <c r="PNC95" s="4"/>
      <c r="PND95" s="4"/>
      <c r="PNE95" s="4"/>
      <c r="PNF95" s="4"/>
      <c r="PNG95" s="4"/>
      <c r="PNH95" s="4"/>
      <c r="PNI95" s="4"/>
      <c r="PNJ95" s="4"/>
      <c r="PNK95" s="4"/>
      <c r="PNL95" s="4"/>
      <c r="PNM95" s="4"/>
      <c r="PNN95" s="4"/>
      <c r="PNO95" s="4"/>
      <c r="PNP95" s="4"/>
      <c r="PNQ95" s="4"/>
      <c r="PNR95" s="4"/>
      <c r="PNS95" s="4"/>
      <c r="PNT95" s="4"/>
      <c r="PNU95" s="4"/>
      <c r="PNV95" s="4"/>
      <c r="PNW95" s="4"/>
      <c r="PNX95" s="4"/>
      <c r="PNY95" s="4"/>
      <c r="PNZ95" s="4"/>
      <c r="POA95" s="4"/>
      <c r="POB95" s="4"/>
      <c r="POC95" s="4"/>
      <c r="POD95" s="4"/>
      <c r="POE95" s="4"/>
      <c r="POF95" s="4"/>
      <c r="POG95" s="4"/>
      <c r="POH95" s="4"/>
      <c r="POI95" s="4"/>
      <c r="POJ95" s="4"/>
      <c r="POK95" s="4"/>
      <c r="POL95" s="4"/>
      <c r="POM95" s="4"/>
      <c r="PON95" s="4"/>
      <c r="POO95" s="4"/>
      <c r="POP95" s="4"/>
      <c r="POQ95" s="4"/>
      <c r="POR95" s="4"/>
      <c r="POS95" s="4"/>
      <c r="POT95" s="4"/>
      <c r="POU95" s="4"/>
      <c r="POV95" s="4"/>
      <c r="POW95" s="4"/>
      <c r="POX95" s="4"/>
      <c r="POY95" s="4"/>
      <c r="POZ95" s="4"/>
      <c r="PPA95" s="4"/>
      <c r="PPB95" s="4"/>
      <c r="PPC95" s="4"/>
      <c r="PPD95" s="4"/>
      <c r="PPE95" s="4"/>
      <c r="PPF95" s="4"/>
      <c r="PPG95" s="4"/>
      <c r="PPH95" s="4"/>
      <c r="PPI95" s="4"/>
      <c r="PPJ95" s="4"/>
      <c r="PPK95" s="4"/>
      <c r="PPL95" s="4"/>
      <c r="PPM95" s="4"/>
      <c r="PPN95" s="4"/>
      <c r="PPO95" s="4"/>
      <c r="PPP95" s="4"/>
      <c r="PPQ95" s="4"/>
      <c r="PPR95" s="4"/>
      <c r="PPS95" s="4"/>
      <c r="PPT95" s="4"/>
      <c r="PPU95" s="4"/>
      <c r="PPV95" s="4"/>
      <c r="PPW95" s="4"/>
      <c r="PPX95" s="4"/>
      <c r="PPY95" s="4"/>
      <c r="PPZ95" s="4"/>
      <c r="PQA95" s="4"/>
      <c r="PQB95" s="4"/>
      <c r="PQC95" s="4"/>
      <c r="PQD95" s="4"/>
      <c r="PQE95" s="4"/>
      <c r="PQF95" s="4"/>
      <c r="PQG95" s="4"/>
      <c r="PQH95" s="4"/>
      <c r="PQI95" s="4"/>
      <c r="PQJ95" s="4"/>
      <c r="PQK95" s="4"/>
      <c r="PQL95" s="4"/>
      <c r="PQM95" s="4"/>
      <c r="PQN95" s="4"/>
      <c r="PQO95" s="4"/>
      <c r="PQP95" s="4"/>
      <c r="PQQ95" s="4"/>
      <c r="PQR95" s="4"/>
      <c r="PQS95" s="4"/>
      <c r="PQT95" s="4"/>
      <c r="PQU95" s="4"/>
      <c r="PQV95" s="4"/>
      <c r="PQW95" s="4"/>
      <c r="PQX95" s="4"/>
      <c r="PQY95" s="4"/>
      <c r="PQZ95" s="4"/>
      <c r="PRA95" s="4"/>
      <c r="PRB95" s="4"/>
      <c r="PRC95" s="4"/>
      <c r="PRD95" s="4"/>
      <c r="PRE95" s="4"/>
      <c r="PRF95" s="4"/>
      <c r="PRG95" s="4"/>
      <c r="PRH95" s="4"/>
      <c r="PRI95" s="4"/>
      <c r="PRJ95" s="4"/>
      <c r="PRK95" s="4"/>
      <c r="PRL95" s="4"/>
      <c r="PRM95" s="4"/>
      <c r="PRN95" s="4"/>
      <c r="PRO95" s="4"/>
      <c r="PRP95" s="4"/>
      <c r="PRQ95" s="4"/>
      <c r="PRR95" s="4"/>
      <c r="PRS95" s="4"/>
      <c r="PRT95" s="4"/>
      <c r="PRU95" s="4"/>
      <c r="PRV95" s="4"/>
      <c r="PRW95" s="4"/>
      <c r="PRX95" s="4"/>
      <c r="PRY95" s="4"/>
      <c r="PRZ95" s="4"/>
      <c r="PSA95" s="4"/>
      <c r="PSB95" s="4"/>
      <c r="PSC95" s="4"/>
      <c r="PSD95" s="4"/>
      <c r="PSE95" s="4"/>
      <c r="PSF95" s="4"/>
      <c r="PSG95" s="4"/>
      <c r="PSH95" s="4"/>
      <c r="PSI95" s="4"/>
      <c r="PSJ95" s="4"/>
      <c r="PSK95" s="4"/>
      <c r="PSL95" s="4"/>
      <c r="PSM95" s="4"/>
      <c r="PSN95" s="4"/>
      <c r="PSO95" s="4"/>
      <c r="PSP95" s="4"/>
      <c r="PSQ95" s="4"/>
      <c r="PSR95" s="4"/>
      <c r="PSS95" s="4"/>
      <c r="PST95" s="4"/>
      <c r="PSU95" s="4"/>
      <c r="PSV95" s="4"/>
      <c r="PSW95" s="4"/>
      <c r="PSX95" s="4"/>
      <c r="PSY95" s="4"/>
      <c r="PSZ95" s="4"/>
      <c r="PTA95" s="4"/>
      <c r="PTB95" s="4"/>
      <c r="PTC95" s="4"/>
      <c r="PTD95" s="4"/>
      <c r="PTE95" s="4"/>
      <c r="PTF95" s="4"/>
      <c r="PTG95" s="4"/>
      <c r="PTH95" s="4"/>
      <c r="PTI95" s="4"/>
      <c r="PTJ95" s="4"/>
      <c r="PTK95" s="4"/>
      <c r="PTL95" s="4"/>
      <c r="PTM95" s="4"/>
      <c r="PTN95" s="4"/>
      <c r="PTO95" s="4"/>
      <c r="PTP95" s="4"/>
      <c r="PTQ95" s="4"/>
      <c r="PTR95" s="4"/>
      <c r="PTS95" s="4"/>
      <c r="PTT95" s="4"/>
      <c r="PTU95" s="4"/>
      <c r="PTV95" s="4"/>
      <c r="PTW95" s="4"/>
      <c r="PTX95" s="4"/>
      <c r="PTY95" s="4"/>
      <c r="PTZ95" s="4"/>
      <c r="PUA95" s="4"/>
      <c r="PUB95" s="4"/>
      <c r="PUC95" s="4"/>
      <c r="PUD95" s="4"/>
      <c r="PUE95" s="4"/>
      <c r="PUF95" s="4"/>
      <c r="PUG95" s="4"/>
      <c r="PUH95" s="4"/>
      <c r="PUI95" s="4"/>
      <c r="PUJ95" s="4"/>
      <c r="PUK95" s="4"/>
      <c r="PUL95" s="4"/>
      <c r="PUM95" s="4"/>
      <c r="PUN95" s="4"/>
      <c r="PUO95" s="4"/>
      <c r="PUP95" s="4"/>
      <c r="PUQ95" s="4"/>
      <c r="PUR95" s="4"/>
      <c r="PUS95" s="4"/>
      <c r="PUT95" s="4"/>
      <c r="PUU95" s="4"/>
      <c r="PUV95" s="4"/>
      <c r="PUW95" s="4"/>
      <c r="PUX95" s="4"/>
      <c r="PUY95" s="4"/>
      <c r="PUZ95" s="4"/>
      <c r="PVA95" s="4"/>
      <c r="PVB95" s="4"/>
      <c r="PVC95" s="4"/>
      <c r="PVD95" s="4"/>
      <c r="PVE95" s="4"/>
      <c r="PVF95" s="4"/>
      <c r="PVG95" s="4"/>
      <c r="PVH95" s="4"/>
      <c r="PVI95" s="4"/>
      <c r="PVJ95" s="4"/>
      <c r="PVK95" s="4"/>
      <c r="PVL95" s="4"/>
      <c r="PVM95" s="4"/>
      <c r="PVN95" s="4"/>
      <c r="PVO95" s="4"/>
      <c r="PVP95" s="4"/>
      <c r="PVQ95" s="4"/>
      <c r="PVR95" s="4"/>
      <c r="PVS95" s="4"/>
      <c r="PVT95" s="4"/>
      <c r="PVU95" s="4"/>
      <c r="PVV95" s="4"/>
      <c r="PVW95" s="4"/>
      <c r="PVX95" s="4"/>
      <c r="PVY95" s="4"/>
      <c r="PVZ95" s="4"/>
      <c r="PWA95" s="4"/>
      <c r="PWB95" s="4"/>
      <c r="PWC95" s="4"/>
      <c r="PWD95" s="4"/>
      <c r="PWE95" s="4"/>
      <c r="PWF95" s="4"/>
      <c r="PWG95" s="4"/>
      <c r="PWH95" s="4"/>
      <c r="PWI95" s="4"/>
      <c r="PWJ95" s="4"/>
      <c r="PWK95" s="4"/>
      <c r="PWL95" s="4"/>
      <c r="PWM95" s="4"/>
      <c r="PWN95" s="4"/>
      <c r="PWO95" s="4"/>
      <c r="PWP95" s="4"/>
      <c r="PWQ95" s="4"/>
      <c r="PWR95" s="4"/>
      <c r="PWS95" s="4"/>
      <c r="PWT95" s="4"/>
      <c r="PWU95" s="4"/>
      <c r="PWV95" s="4"/>
      <c r="PWW95" s="4"/>
      <c r="PWX95" s="4"/>
      <c r="PWY95" s="4"/>
      <c r="PWZ95" s="4"/>
      <c r="PXA95" s="4"/>
      <c r="PXB95" s="4"/>
      <c r="PXC95" s="4"/>
      <c r="PXD95" s="4"/>
      <c r="PXE95" s="4"/>
      <c r="PXF95" s="4"/>
      <c r="PXG95" s="4"/>
      <c r="PXH95" s="4"/>
      <c r="PXI95" s="4"/>
      <c r="PXJ95" s="4"/>
      <c r="PXK95" s="4"/>
      <c r="PXL95" s="4"/>
      <c r="PXM95" s="4"/>
      <c r="PXN95" s="4"/>
      <c r="PXO95" s="4"/>
      <c r="PXP95" s="4"/>
      <c r="PXQ95" s="4"/>
      <c r="PXR95" s="4"/>
      <c r="PXS95" s="4"/>
      <c r="PXT95" s="4"/>
      <c r="PXU95" s="4"/>
      <c r="PXV95" s="4"/>
      <c r="PXW95" s="4"/>
      <c r="PXX95" s="4"/>
      <c r="PXY95" s="4"/>
      <c r="PXZ95" s="4"/>
      <c r="PYA95" s="4"/>
      <c r="PYB95" s="4"/>
      <c r="PYC95" s="4"/>
      <c r="PYD95" s="4"/>
      <c r="PYE95" s="4"/>
      <c r="PYF95" s="4"/>
      <c r="PYG95" s="4"/>
      <c r="PYH95" s="4"/>
      <c r="PYI95" s="4"/>
      <c r="PYJ95" s="4"/>
      <c r="PYK95" s="4"/>
      <c r="PYL95" s="4"/>
      <c r="PYM95" s="4"/>
      <c r="PYN95" s="4"/>
      <c r="PYO95" s="4"/>
      <c r="PYP95" s="4"/>
      <c r="PYQ95" s="4"/>
      <c r="PYR95" s="4"/>
      <c r="PYS95" s="4"/>
      <c r="PYT95" s="4"/>
      <c r="PYU95" s="4"/>
      <c r="PYV95" s="4"/>
      <c r="PYW95" s="4"/>
      <c r="PYX95" s="4"/>
      <c r="PYY95" s="4"/>
      <c r="PYZ95" s="4"/>
      <c r="PZA95" s="4"/>
      <c r="PZB95" s="4"/>
      <c r="PZC95" s="4"/>
      <c r="PZD95" s="4"/>
      <c r="PZE95" s="4"/>
      <c r="PZF95" s="4"/>
      <c r="PZG95" s="4"/>
      <c r="PZH95" s="4"/>
      <c r="PZI95" s="4"/>
      <c r="PZJ95" s="4"/>
      <c r="PZK95" s="4"/>
      <c r="PZL95" s="4"/>
      <c r="PZM95" s="4"/>
      <c r="PZN95" s="4"/>
      <c r="PZO95" s="4"/>
      <c r="PZP95" s="4"/>
      <c r="PZQ95" s="4"/>
      <c r="PZR95" s="4"/>
      <c r="PZS95" s="4"/>
      <c r="PZT95" s="4"/>
      <c r="PZU95" s="4"/>
      <c r="PZV95" s="4"/>
      <c r="PZW95" s="4"/>
      <c r="PZX95" s="4"/>
      <c r="PZY95" s="4"/>
      <c r="PZZ95" s="4"/>
      <c r="QAA95" s="4"/>
      <c r="QAB95" s="4"/>
      <c r="QAC95" s="4"/>
      <c r="QAD95" s="4"/>
      <c r="QAE95" s="4"/>
      <c r="QAF95" s="4"/>
      <c r="QAG95" s="4"/>
      <c r="QAH95" s="4"/>
      <c r="QAI95" s="4"/>
      <c r="QAJ95" s="4"/>
      <c r="QAK95" s="4"/>
      <c r="QAL95" s="4"/>
      <c r="QAM95" s="4"/>
      <c r="QAN95" s="4"/>
      <c r="QAO95" s="4"/>
      <c r="QAP95" s="4"/>
      <c r="QAQ95" s="4"/>
      <c r="QAR95" s="4"/>
      <c r="QAS95" s="4"/>
      <c r="QAT95" s="4"/>
      <c r="QAU95" s="4"/>
      <c r="QAV95" s="4"/>
      <c r="QAW95" s="4"/>
      <c r="QAX95" s="4"/>
      <c r="QAY95" s="4"/>
      <c r="QAZ95" s="4"/>
      <c r="QBA95" s="4"/>
      <c r="QBB95" s="4"/>
      <c r="QBC95" s="4"/>
      <c r="QBD95" s="4"/>
      <c r="QBE95" s="4"/>
      <c r="QBF95" s="4"/>
      <c r="QBG95" s="4"/>
      <c r="QBH95" s="4"/>
      <c r="QBI95" s="4"/>
      <c r="QBJ95" s="4"/>
      <c r="QBK95" s="4"/>
      <c r="QBL95" s="4"/>
      <c r="QBM95" s="4"/>
      <c r="QBN95" s="4"/>
      <c r="QBO95" s="4"/>
      <c r="QBP95" s="4"/>
      <c r="QBQ95" s="4"/>
      <c r="QBR95" s="4"/>
      <c r="QBS95" s="4"/>
      <c r="QBT95" s="4"/>
      <c r="QBU95" s="4"/>
      <c r="QBV95" s="4"/>
      <c r="QBW95" s="4"/>
      <c r="QBX95" s="4"/>
      <c r="QBY95" s="4"/>
      <c r="QBZ95" s="4"/>
      <c r="QCA95" s="4"/>
      <c r="QCB95" s="4"/>
      <c r="QCC95" s="4"/>
      <c r="QCD95" s="4"/>
      <c r="QCE95" s="4"/>
      <c r="QCF95" s="4"/>
      <c r="QCG95" s="4"/>
      <c r="QCH95" s="4"/>
      <c r="QCI95" s="4"/>
      <c r="QCJ95" s="4"/>
      <c r="QCK95" s="4"/>
      <c r="QCL95" s="4"/>
      <c r="QCM95" s="4"/>
      <c r="QCN95" s="4"/>
      <c r="QCO95" s="4"/>
      <c r="QCP95" s="4"/>
      <c r="QCQ95" s="4"/>
      <c r="QCR95" s="4"/>
      <c r="QCS95" s="4"/>
      <c r="QCT95" s="4"/>
      <c r="QCU95" s="4"/>
      <c r="QCV95" s="4"/>
      <c r="QCW95" s="4"/>
      <c r="QCX95" s="4"/>
      <c r="QCY95" s="4"/>
      <c r="QCZ95" s="4"/>
      <c r="QDA95" s="4"/>
      <c r="QDB95" s="4"/>
      <c r="QDC95" s="4"/>
      <c r="QDD95" s="4"/>
      <c r="QDE95" s="4"/>
      <c r="QDF95" s="4"/>
      <c r="QDG95" s="4"/>
      <c r="QDH95" s="4"/>
      <c r="QDI95" s="4"/>
      <c r="QDJ95" s="4"/>
      <c r="QDK95" s="4"/>
      <c r="QDL95" s="4"/>
      <c r="QDM95" s="4"/>
      <c r="QDN95" s="4"/>
      <c r="QDO95" s="4"/>
      <c r="QDP95" s="4"/>
      <c r="QDQ95" s="4"/>
      <c r="QDR95" s="4"/>
      <c r="QDS95" s="4"/>
      <c r="QDT95" s="4"/>
      <c r="QDU95" s="4"/>
      <c r="QDV95" s="4"/>
      <c r="QDW95" s="4"/>
      <c r="QDX95" s="4"/>
      <c r="QDY95" s="4"/>
      <c r="QDZ95" s="4"/>
      <c r="QEA95" s="4"/>
      <c r="QEB95" s="4"/>
      <c r="QEC95" s="4"/>
      <c r="QED95" s="4"/>
      <c r="QEE95" s="4"/>
      <c r="QEF95" s="4"/>
      <c r="QEG95" s="4"/>
      <c r="QEH95" s="4"/>
      <c r="QEI95" s="4"/>
      <c r="QEJ95" s="4"/>
      <c r="QEK95" s="4"/>
      <c r="QEL95" s="4"/>
      <c r="QEM95" s="4"/>
      <c r="QEN95" s="4"/>
      <c r="QEO95" s="4"/>
      <c r="QEP95" s="4"/>
      <c r="QEQ95" s="4"/>
      <c r="QER95" s="4"/>
      <c r="QES95" s="4"/>
      <c r="QET95" s="4"/>
      <c r="QEU95" s="4"/>
      <c r="QEV95" s="4"/>
      <c r="QEW95" s="4"/>
      <c r="QEX95" s="4"/>
      <c r="QEY95" s="4"/>
      <c r="QEZ95" s="4"/>
      <c r="QFA95" s="4"/>
      <c r="QFB95" s="4"/>
      <c r="QFC95" s="4"/>
      <c r="QFD95" s="4"/>
      <c r="QFE95" s="4"/>
      <c r="QFF95" s="4"/>
      <c r="QFG95" s="4"/>
      <c r="QFH95" s="4"/>
      <c r="QFI95" s="4"/>
      <c r="QFJ95" s="4"/>
      <c r="QFK95" s="4"/>
      <c r="QFL95" s="4"/>
      <c r="QFM95" s="4"/>
      <c r="QFN95" s="4"/>
      <c r="QFO95" s="4"/>
      <c r="QFP95" s="4"/>
      <c r="QFQ95" s="4"/>
      <c r="QFR95" s="4"/>
      <c r="QFS95" s="4"/>
      <c r="QFT95" s="4"/>
      <c r="QFU95" s="4"/>
      <c r="QFV95" s="4"/>
      <c r="QFW95" s="4"/>
      <c r="QFX95" s="4"/>
      <c r="QFY95" s="4"/>
      <c r="QFZ95" s="4"/>
      <c r="QGA95" s="4"/>
      <c r="QGB95" s="4"/>
      <c r="QGC95" s="4"/>
      <c r="QGD95" s="4"/>
      <c r="QGE95" s="4"/>
      <c r="QGF95" s="4"/>
      <c r="QGG95" s="4"/>
      <c r="QGH95" s="4"/>
      <c r="QGI95" s="4"/>
      <c r="QGJ95" s="4"/>
      <c r="QGK95" s="4"/>
      <c r="QGL95" s="4"/>
      <c r="QGM95" s="4"/>
      <c r="QGN95" s="4"/>
      <c r="QGO95" s="4"/>
      <c r="QGP95" s="4"/>
      <c r="QGQ95" s="4"/>
      <c r="QGR95" s="4"/>
      <c r="QGS95" s="4"/>
      <c r="QGT95" s="4"/>
      <c r="QGU95" s="4"/>
      <c r="QGV95" s="4"/>
      <c r="QGW95" s="4"/>
      <c r="QGX95" s="4"/>
      <c r="QGY95" s="4"/>
      <c r="QGZ95" s="4"/>
      <c r="QHA95" s="4"/>
      <c r="QHB95" s="4"/>
      <c r="QHC95" s="4"/>
      <c r="QHD95" s="4"/>
      <c r="QHE95" s="4"/>
      <c r="QHF95" s="4"/>
      <c r="QHG95" s="4"/>
      <c r="QHH95" s="4"/>
      <c r="QHI95" s="4"/>
      <c r="QHJ95" s="4"/>
      <c r="QHK95" s="4"/>
      <c r="QHL95" s="4"/>
      <c r="QHM95" s="4"/>
      <c r="QHN95" s="4"/>
      <c r="QHO95" s="4"/>
      <c r="QHP95" s="4"/>
      <c r="QHQ95" s="4"/>
      <c r="QHR95" s="4"/>
      <c r="QHS95" s="4"/>
      <c r="QHT95" s="4"/>
      <c r="QHU95" s="4"/>
      <c r="QHV95" s="4"/>
      <c r="QHW95" s="4"/>
      <c r="QHX95" s="4"/>
      <c r="QHY95" s="4"/>
      <c r="QHZ95" s="4"/>
      <c r="QIA95" s="4"/>
      <c r="QIB95" s="4"/>
      <c r="QIC95" s="4"/>
      <c r="QID95" s="4"/>
      <c r="QIE95" s="4"/>
      <c r="QIF95" s="4"/>
      <c r="QIG95" s="4"/>
      <c r="QIH95" s="4"/>
      <c r="QII95" s="4"/>
      <c r="QIJ95" s="4"/>
      <c r="QIK95" s="4"/>
      <c r="QIL95" s="4"/>
      <c r="QIM95" s="4"/>
      <c r="QIN95" s="4"/>
      <c r="QIO95" s="4"/>
      <c r="QIP95" s="4"/>
      <c r="QIQ95" s="4"/>
      <c r="QIR95" s="4"/>
      <c r="QIS95" s="4"/>
      <c r="QIT95" s="4"/>
      <c r="QIU95" s="4"/>
      <c r="QIV95" s="4"/>
      <c r="QIW95" s="4"/>
      <c r="QIX95" s="4"/>
      <c r="QIY95" s="4"/>
      <c r="QIZ95" s="4"/>
      <c r="QJA95" s="4"/>
      <c r="QJB95" s="4"/>
      <c r="QJC95" s="4"/>
      <c r="QJD95" s="4"/>
      <c r="QJE95" s="4"/>
      <c r="QJF95" s="4"/>
      <c r="QJG95" s="4"/>
      <c r="QJH95" s="4"/>
      <c r="QJI95" s="4"/>
      <c r="QJJ95" s="4"/>
      <c r="QJK95" s="4"/>
      <c r="QJL95" s="4"/>
      <c r="QJM95" s="4"/>
      <c r="QJN95" s="4"/>
      <c r="QJO95" s="4"/>
      <c r="QJP95" s="4"/>
      <c r="QJQ95" s="4"/>
      <c r="QJR95" s="4"/>
      <c r="QJS95" s="4"/>
      <c r="QJT95" s="4"/>
      <c r="QJU95" s="4"/>
      <c r="QJV95" s="4"/>
      <c r="QJW95" s="4"/>
      <c r="QJX95" s="4"/>
      <c r="QJY95" s="4"/>
      <c r="QJZ95" s="4"/>
      <c r="QKA95" s="4"/>
      <c r="QKB95" s="4"/>
      <c r="QKC95" s="4"/>
      <c r="QKD95" s="4"/>
      <c r="QKE95" s="4"/>
      <c r="QKF95" s="4"/>
      <c r="QKG95" s="4"/>
      <c r="QKH95" s="4"/>
      <c r="QKI95" s="4"/>
      <c r="QKJ95" s="4"/>
      <c r="QKK95" s="4"/>
      <c r="QKL95" s="4"/>
      <c r="QKM95" s="4"/>
      <c r="QKN95" s="4"/>
      <c r="QKO95" s="4"/>
      <c r="QKP95" s="4"/>
      <c r="QKQ95" s="4"/>
      <c r="QKR95" s="4"/>
      <c r="QKS95" s="4"/>
      <c r="QKT95" s="4"/>
      <c r="QKU95" s="4"/>
      <c r="QKV95" s="4"/>
      <c r="QKW95" s="4"/>
      <c r="QKX95" s="4"/>
      <c r="QKY95" s="4"/>
      <c r="QKZ95" s="4"/>
      <c r="QLA95" s="4"/>
      <c r="QLB95" s="4"/>
      <c r="QLC95" s="4"/>
      <c r="QLD95" s="4"/>
      <c r="QLE95" s="4"/>
      <c r="QLF95" s="4"/>
      <c r="QLG95" s="4"/>
      <c r="QLH95" s="4"/>
      <c r="QLI95" s="4"/>
      <c r="QLJ95" s="4"/>
      <c r="QLK95" s="4"/>
      <c r="QLL95" s="4"/>
      <c r="QLM95" s="4"/>
      <c r="QLN95" s="4"/>
      <c r="QLO95" s="4"/>
      <c r="QLP95" s="4"/>
      <c r="QLQ95" s="4"/>
      <c r="QLR95" s="4"/>
      <c r="QLS95" s="4"/>
      <c r="QLT95" s="4"/>
      <c r="QLU95" s="4"/>
      <c r="QLV95" s="4"/>
      <c r="QLW95" s="4"/>
      <c r="QLX95" s="4"/>
      <c r="QLY95" s="4"/>
      <c r="QLZ95" s="4"/>
      <c r="QMA95" s="4"/>
      <c r="QMB95" s="4"/>
      <c r="QMC95" s="4"/>
      <c r="QMD95" s="4"/>
      <c r="QME95" s="4"/>
      <c r="QMF95" s="4"/>
      <c r="QMG95" s="4"/>
      <c r="QMH95" s="4"/>
      <c r="QMI95" s="4"/>
      <c r="QMJ95" s="4"/>
      <c r="QMK95" s="4"/>
      <c r="QML95" s="4"/>
      <c r="QMM95" s="4"/>
      <c r="QMN95" s="4"/>
      <c r="QMO95" s="4"/>
      <c r="QMP95" s="4"/>
      <c r="QMQ95" s="4"/>
      <c r="QMR95" s="4"/>
      <c r="QMS95" s="4"/>
      <c r="QMT95" s="4"/>
      <c r="QMU95" s="4"/>
      <c r="QMV95" s="4"/>
      <c r="QMW95" s="4"/>
      <c r="QMX95" s="4"/>
      <c r="QMY95" s="4"/>
      <c r="QMZ95" s="4"/>
      <c r="QNA95" s="4"/>
      <c r="QNB95" s="4"/>
      <c r="QNC95" s="4"/>
      <c r="QND95" s="4"/>
      <c r="QNE95" s="4"/>
      <c r="QNF95" s="4"/>
      <c r="QNG95" s="4"/>
      <c r="QNH95" s="4"/>
      <c r="QNI95" s="4"/>
      <c r="QNJ95" s="4"/>
      <c r="QNK95" s="4"/>
      <c r="QNL95" s="4"/>
      <c r="QNM95" s="4"/>
      <c r="QNN95" s="4"/>
      <c r="QNO95" s="4"/>
      <c r="QNP95" s="4"/>
      <c r="QNQ95" s="4"/>
      <c r="QNR95" s="4"/>
      <c r="QNS95" s="4"/>
      <c r="QNT95" s="4"/>
      <c r="QNU95" s="4"/>
      <c r="QNV95" s="4"/>
      <c r="QNW95" s="4"/>
      <c r="QNX95" s="4"/>
      <c r="QNY95" s="4"/>
      <c r="QNZ95" s="4"/>
      <c r="QOA95" s="4"/>
      <c r="QOB95" s="4"/>
      <c r="QOC95" s="4"/>
      <c r="QOD95" s="4"/>
      <c r="QOE95" s="4"/>
      <c r="QOF95" s="4"/>
      <c r="QOG95" s="4"/>
      <c r="QOH95" s="4"/>
      <c r="QOI95" s="4"/>
      <c r="QOJ95" s="4"/>
      <c r="QOK95" s="4"/>
      <c r="QOL95" s="4"/>
      <c r="QOM95" s="4"/>
      <c r="QON95" s="4"/>
      <c r="QOO95" s="4"/>
      <c r="QOP95" s="4"/>
      <c r="QOQ95" s="4"/>
      <c r="QOR95" s="4"/>
      <c r="QOS95" s="4"/>
      <c r="QOT95" s="4"/>
      <c r="QOU95" s="4"/>
      <c r="QOV95" s="4"/>
      <c r="QOW95" s="4"/>
      <c r="QOX95" s="4"/>
      <c r="QOY95" s="4"/>
      <c r="QOZ95" s="4"/>
      <c r="QPA95" s="4"/>
      <c r="QPB95" s="4"/>
      <c r="QPC95" s="4"/>
      <c r="QPD95" s="4"/>
      <c r="QPE95" s="4"/>
      <c r="QPF95" s="4"/>
      <c r="QPG95" s="4"/>
      <c r="QPH95" s="4"/>
      <c r="QPI95" s="4"/>
      <c r="QPJ95" s="4"/>
      <c r="QPK95" s="4"/>
      <c r="QPL95" s="4"/>
      <c r="QPM95" s="4"/>
      <c r="QPN95" s="4"/>
      <c r="QPO95" s="4"/>
      <c r="QPP95" s="4"/>
      <c r="QPQ95" s="4"/>
      <c r="QPR95" s="4"/>
      <c r="QPS95" s="4"/>
      <c r="QPT95" s="4"/>
      <c r="QPU95" s="4"/>
      <c r="QPV95" s="4"/>
      <c r="QPW95" s="4"/>
      <c r="QPX95" s="4"/>
      <c r="QPY95" s="4"/>
      <c r="QPZ95" s="4"/>
      <c r="QQA95" s="4"/>
      <c r="QQB95" s="4"/>
      <c r="QQC95" s="4"/>
      <c r="QQD95" s="4"/>
      <c r="QQE95" s="4"/>
      <c r="QQF95" s="4"/>
      <c r="QQG95" s="4"/>
      <c r="QQH95" s="4"/>
      <c r="QQI95" s="4"/>
      <c r="QQJ95" s="4"/>
      <c r="QQK95" s="4"/>
      <c r="QQL95" s="4"/>
      <c r="QQM95" s="4"/>
      <c r="QQN95" s="4"/>
      <c r="QQO95" s="4"/>
      <c r="QQP95" s="4"/>
      <c r="QQQ95" s="4"/>
      <c r="QQR95" s="4"/>
      <c r="QQS95" s="4"/>
      <c r="QQT95" s="4"/>
      <c r="QQU95" s="4"/>
      <c r="QQV95" s="4"/>
      <c r="QQW95" s="4"/>
      <c r="QQX95" s="4"/>
      <c r="QQY95" s="4"/>
      <c r="QQZ95" s="4"/>
      <c r="QRA95" s="4"/>
      <c r="QRB95" s="4"/>
      <c r="QRC95" s="4"/>
      <c r="QRD95" s="4"/>
      <c r="QRE95" s="4"/>
      <c r="QRF95" s="4"/>
      <c r="QRG95" s="4"/>
      <c r="QRH95" s="4"/>
      <c r="QRI95" s="4"/>
      <c r="QRJ95" s="4"/>
      <c r="QRK95" s="4"/>
      <c r="QRL95" s="4"/>
      <c r="QRM95" s="4"/>
      <c r="QRN95" s="4"/>
      <c r="QRO95" s="4"/>
      <c r="QRP95" s="4"/>
      <c r="QRQ95" s="4"/>
      <c r="QRR95" s="4"/>
      <c r="QRS95" s="4"/>
      <c r="QRT95" s="4"/>
      <c r="QRU95" s="4"/>
      <c r="QRV95" s="4"/>
      <c r="QRW95" s="4"/>
      <c r="QRX95" s="4"/>
      <c r="QRY95" s="4"/>
      <c r="QRZ95" s="4"/>
      <c r="QSA95" s="4"/>
      <c r="QSB95" s="4"/>
      <c r="QSC95" s="4"/>
      <c r="QSD95" s="4"/>
      <c r="QSE95" s="4"/>
      <c r="QSF95" s="4"/>
      <c r="QSG95" s="4"/>
      <c r="QSH95" s="4"/>
      <c r="QSI95" s="4"/>
      <c r="QSJ95" s="4"/>
      <c r="QSK95" s="4"/>
      <c r="QSL95" s="4"/>
      <c r="QSM95" s="4"/>
      <c r="QSN95" s="4"/>
      <c r="QSO95" s="4"/>
      <c r="QSP95" s="4"/>
      <c r="QSQ95" s="4"/>
      <c r="QSR95" s="4"/>
      <c r="QSS95" s="4"/>
      <c r="QST95" s="4"/>
      <c r="QSU95" s="4"/>
      <c r="QSV95" s="4"/>
      <c r="QSW95" s="4"/>
      <c r="QSX95" s="4"/>
      <c r="QSY95" s="4"/>
      <c r="QSZ95" s="4"/>
      <c r="QTA95" s="4"/>
      <c r="QTB95" s="4"/>
      <c r="QTC95" s="4"/>
      <c r="QTD95" s="4"/>
      <c r="QTE95" s="4"/>
      <c r="QTF95" s="4"/>
      <c r="QTG95" s="4"/>
      <c r="QTH95" s="4"/>
      <c r="QTI95" s="4"/>
      <c r="QTJ95" s="4"/>
      <c r="QTK95" s="4"/>
      <c r="QTL95" s="4"/>
      <c r="QTM95" s="4"/>
      <c r="QTN95" s="4"/>
      <c r="QTO95" s="4"/>
      <c r="QTP95" s="4"/>
      <c r="QTQ95" s="4"/>
      <c r="QTR95" s="4"/>
      <c r="QTS95" s="4"/>
      <c r="QTT95" s="4"/>
      <c r="QTU95" s="4"/>
      <c r="QTV95" s="4"/>
      <c r="QTW95" s="4"/>
      <c r="QTX95" s="4"/>
      <c r="QTY95" s="4"/>
      <c r="QTZ95" s="4"/>
      <c r="QUA95" s="4"/>
      <c r="QUB95" s="4"/>
      <c r="QUC95" s="4"/>
      <c r="QUD95" s="4"/>
      <c r="QUE95" s="4"/>
      <c r="QUF95" s="4"/>
      <c r="QUG95" s="4"/>
      <c r="QUH95" s="4"/>
      <c r="QUI95" s="4"/>
      <c r="QUJ95" s="4"/>
      <c r="QUK95" s="4"/>
      <c r="QUL95" s="4"/>
      <c r="QUM95" s="4"/>
      <c r="QUN95" s="4"/>
      <c r="QUO95" s="4"/>
      <c r="QUP95" s="4"/>
      <c r="QUQ95" s="4"/>
      <c r="QUR95" s="4"/>
      <c r="QUS95" s="4"/>
      <c r="QUT95" s="4"/>
      <c r="QUU95" s="4"/>
      <c r="QUV95" s="4"/>
      <c r="QUW95" s="4"/>
      <c r="QUX95" s="4"/>
      <c r="QUY95" s="4"/>
      <c r="QUZ95" s="4"/>
      <c r="QVA95" s="4"/>
      <c r="QVB95" s="4"/>
      <c r="QVC95" s="4"/>
      <c r="QVD95" s="4"/>
      <c r="QVE95" s="4"/>
      <c r="QVF95" s="4"/>
      <c r="QVG95" s="4"/>
      <c r="QVH95" s="4"/>
      <c r="QVI95" s="4"/>
      <c r="QVJ95" s="4"/>
      <c r="QVK95" s="4"/>
      <c r="QVL95" s="4"/>
      <c r="QVM95" s="4"/>
      <c r="QVN95" s="4"/>
      <c r="QVO95" s="4"/>
      <c r="QVP95" s="4"/>
      <c r="QVQ95" s="4"/>
      <c r="QVR95" s="4"/>
      <c r="QVS95" s="4"/>
      <c r="QVT95" s="4"/>
      <c r="QVU95" s="4"/>
      <c r="QVV95" s="4"/>
      <c r="QVW95" s="4"/>
      <c r="QVX95" s="4"/>
      <c r="QVY95" s="4"/>
      <c r="QVZ95" s="4"/>
      <c r="QWA95" s="4"/>
      <c r="QWB95" s="4"/>
      <c r="QWC95" s="4"/>
      <c r="QWD95" s="4"/>
      <c r="QWE95" s="4"/>
      <c r="QWF95" s="4"/>
      <c r="QWG95" s="4"/>
      <c r="QWH95" s="4"/>
      <c r="QWI95" s="4"/>
      <c r="QWJ95" s="4"/>
      <c r="QWK95" s="4"/>
      <c r="QWL95" s="4"/>
      <c r="QWM95" s="4"/>
      <c r="QWN95" s="4"/>
      <c r="QWO95" s="4"/>
      <c r="QWP95" s="4"/>
      <c r="QWQ95" s="4"/>
      <c r="QWR95" s="4"/>
      <c r="QWS95" s="4"/>
      <c r="QWT95" s="4"/>
      <c r="QWU95" s="4"/>
      <c r="QWV95" s="4"/>
      <c r="QWW95" s="4"/>
      <c r="QWX95" s="4"/>
      <c r="QWY95" s="4"/>
      <c r="QWZ95" s="4"/>
      <c r="QXA95" s="4"/>
      <c r="QXB95" s="4"/>
      <c r="QXC95" s="4"/>
      <c r="QXD95" s="4"/>
      <c r="QXE95" s="4"/>
      <c r="QXF95" s="4"/>
      <c r="QXG95" s="4"/>
      <c r="QXH95" s="4"/>
      <c r="QXI95" s="4"/>
      <c r="QXJ95" s="4"/>
      <c r="QXK95" s="4"/>
      <c r="QXL95" s="4"/>
      <c r="QXM95" s="4"/>
      <c r="QXN95" s="4"/>
      <c r="QXO95" s="4"/>
      <c r="QXP95" s="4"/>
      <c r="QXQ95" s="4"/>
      <c r="QXR95" s="4"/>
      <c r="QXS95" s="4"/>
      <c r="QXT95" s="4"/>
      <c r="QXU95" s="4"/>
      <c r="QXV95" s="4"/>
      <c r="QXW95" s="4"/>
      <c r="QXX95" s="4"/>
      <c r="QXY95" s="4"/>
      <c r="QXZ95" s="4"/>
      <c r="QYA95" s="4"/>
      <c r="QYB95" s="4"/>
      <c r="QYC95" s="4"/>
      <c r="QYD95" s="4"/>
      <c r="QYE95" s="4"/>
      <c r="QYF95" s="4"/>
      <c r="QYG95" s="4"/>
      <c r="QYH95" s="4"/>
      <c r="QYI95" s="4"/>
      <c r="QYJ95" s="4"/>
      <c r="QYK95" s="4"/>
      <c r="QYL95" s="4"/>
      <c r="QYM95" s="4"/>
      <c r="QYN95" s="4"/>
      <c r="QYO95" s="4"/>
      <c r="QYP95" s="4"/>
      <c r="QYQ95" s="4"/>
      <c r="QYR95" s="4"/>
      <c r="QYS95" s="4"/>
      <c r="QYT95" s="4"/>
      <c r="QYU95" s="4"/>
      <c r="QYV95" s="4"/>
      <c r="QYW95" s="4"/>
      <c r="QYX95" s="4"/>
      <c r="QYY95" s="4"/>
      <c r="QYZ95" s="4"/>
      <c r="QZA95" s="4"/>
      <c r="QZB95" s="4"/>
      <c r="QZC95" s="4"/>
      <c r="QZD95" s="4"/>
      <c r="QZE95" s="4"/>
      <c r="QZF95" s="4"/>
      <c r="QZG95" s="4"/>
      <c r="QZH95" s="4"/>
      <c r="QZI95" s="4"/>
      <c r="QZJ95" s="4"/>
      <c r="QZK95" s="4"/>
      <c r="QZL95" s="4"/>
      <c r="QZM95" s="4"/>
      <c r="QZN95" s="4"/>
      <c r="QZO95" s="4"/>
      <c r="QZP95" s="4"/>
      <c r="QZQ95" s="4"/>
      <c r="QZR95" s="4"/>
      <c r="QZS95" s="4"/>
      <c r="QZT95" s="4"/>
      <c r="QZU95" s="4"/>
      <c r="QZV95" s="4"/>
      <c r="QZW95" s="4"/>
      <c r="QZX95" s="4"/>
      <c r="QZY95" s="4"/>
      <c r="QZZ95" s="4"/>
      <c r="RAA95" s="4"/>
      <c r="RAB95" s="4"/>
      <c r="RAC95" s="4"/>
      <c r="RAD95" s="4"/>
      <c r="RAE95" s="4"/>
      <c r="RAF95" s="4"/>
      <c r="RAG95" s="4"/>
      <c r="RAH95" s="4"/>
      <c r="RAI95" s="4"/>
      <c r="RAJ95" s="4"/>
      <c r="RAK95" s="4"/>
      <c r="RAL95" s="4"/>
      <c r="RAM95" s="4"/>
      <c r="RAN95" s="4"/>
      <c r="RAO95" s="4"/>
      <c r="RAP95" s="4"/>
      <c r="RAQ95" s="4"/>
      <c r="RAR95" s="4"/>
      <c r="RAS95" s="4"/>
      <c r="RAT95" s="4"/>
      <c r="RAU95" s="4"/>
      <c r="RAV95" s="4"/>
      <c r="RAW95" s="4"/>
      <c r="RAX95" s="4"/>
      <c r="RAY95" s="4"/>
      <c r="RAZ95" s="4"/>
      <c r="RBA95" s="4"/>
      <c r="RBB95" s="4"/>
      <c r="RBC95" s="4"/>
      <c r="RBD95" s="4"/>
      <c r="RBE95" s="4"/>
      <c r="RBF95" s="4"/>
      <c r="RBG95" s="4"/>
      <c r="RBH95" s="4"/>
      <c r="RBI95" s="4"/>
      <c r="RBJ95" s="4"/>
      <c r="RBK95" s="4"/>
      <c r="RBL95" s="4"/>
      <c r="RBM95" s="4"/>
      <c r="RBN95" s="4"/>
      <c r="RBO95" s="4"/>
      <c r="RBP95" s="4"/>
      <c r="RBQ95" s="4"/>
      <c r="RBR95" s="4"/>
      <c r="RBS95" s="4"/>
      <c r="RBT95" s="4"/>
      <c r="RBU95" s="4"/>
      <c r="RBV95" s="4"/>
      <c r="RBW95" s="4"/>
      <c r="RBX95" s="4"/>
      <c r="RBY95" s="4"/>
      <c r="RBZ95" s="4"/>
      <c r="RCA95" s="4"/>
      <c r="RCB95" s="4"/>
      <c r="RCC95" s="4"/>
      <c r="RCD95" s="4"/>
      <c r="RCE95" s="4"/>
      <c r="RCF95" s="4"/>
      <c r="RCG95" s="4"/>
      <c r="RCH95" s="4"/>
      <c r="RCI95" s="4"/>
      <c r="RCJ95" s="4"/>
      <c r="RCK95" s="4"/>
      <c r="RCL95" s="4"/>
      <c r="RCM95" s="4"/>
      <c r="RCN95" s="4"/>
      <c r="RCO95" s="4"/>
      <c r="RCP95" s="4"/>
      <c r="RCQ95" s="4"/>
      <c r="RCR95" s="4"/>
      <c r="RCS95" s="4"/>
      <c r="RCT95" s="4"/>
      <c r="RCU95" s="4"/>
      <c r="RCV95" s="4"/>
      <c r="RCW95" s="4"/>
      <c r="RCX95" s="4"/>
      <c r="RCY95" s="4"/>
      <c r="RCZ95" s="4"/>
      <c r="RDA95" s="4"/>
      <c r="RDB95" s="4"/>
      <c r="RDC95" s="4"/>
      <c r="RDD95" s="4"/>
      <c r="RDE95" s="4"/>
      <c r="RDF95" s="4"/>
      <c r="RDG95" s="4"/>
      <c r="RDH95" s="4"/>
      <c r="RDI95" s="4"/>
      <c r="RDJ95" s="4"/>
      <c r="RDK95" s="4"/>
      <c r="RDL95" s="4"/>
      <c r="RDM95" s="4"/>
      <c r="RDN95" s="4"/>
      <c r="RDO95" s="4"/>
      <c r="RDP95" s="4"/>
      <c r="RDQ95" s="4"/>
      <c r="RDR95" s="4"/>
      <c r="RDS95" s="4"/>
      <c r="RDT95" s="4"/>
      <c r="RDU95" s="4"/>
      <c r="RDV95" s="4"/>
      <c r="RDW95" s="4"/>
      <c r="RDX95" s="4"/>
      <c r="RDY95" s="4"/>
      <c r="RDZ95" s="4"/>
      <c r="REA95" s="4"/>
      <c r="REB95" s="4"/>
      <c r="REC95" s="4"/>
      <c r="RED95" s="4"/>
      <c r="REE95" s="4"/>
      <c r="REF95" s="4"/>
      <c r="REG95" s="4"/>
      <c r="REH95" s="4"/>
      <c r="REI95" s="4"/>
      <c r="REJ95" s="4"/>
      <c r="REK95" s="4"/>
      <c r="REL95" s="4"/>
      <c r="REM95" s="4"/>
      <c r="REN95" s="4"/>
      <c r="REO95" s="4"/>
      <c r="REP95" s="4"/>
      <c r="REQ95" s="4"/>
      <c r="RER95" s="4"/>
      <c r="RES95" s="4"/>
      <c r="RET95" s="4"/>
      <c r="REU95" s="4"/>
      <c r="REV95" s="4"/>
      <c r="REW95" s="4"/>
      <c r="REX95" s="4"/>
      <c r="REY95" s="4"/>
      <c r="REZ95" s="4"/>
      <c r="RFA95" s="4"/>
      <c r="RFB95" s="4"/>
      <c r="RFC95" s="4"/>
      <c r="RFD95" s="4"/>
      <c r="RFE95" s="4"/>
      <c r="RFF95" s="4"/>
      <c r="RFG95" s="4"/>
      <c r="RFH95" s="4"/>
      <c r="RFI95" s="4"/>
      <c r="RFJ95" s="4"/>
      <c r="RFK95" s="4"/>
      <c r="RFL95" s="4"/>
      <c r="RFM95" s="4"/>
      <c r="RFN95" s="4"/>
      <c r="RFO95" s="4"/>
      <c r="RFP95" s="4"/>
      <c r="RFQ95" s="4"/>
      <c r="RFR95" s="4"/>
      <c r="RFS95" s="4"/>
      <c r="RFT95" s="4"/>
      <c r="RFU95" s="4"/>
      <c r="RFV95" s="4"/>
      <c r="RFW95" s="4"/>
      <c r="RFX95" s="4"/>
      <c r="RFY95" s="4"/>
      <c r="RFZ95" s="4"/>
      <c r="RGA95" s="4"/>
      <c r="RGB95" s="4"/>
      <c r="RGC95" s="4"/>
      <c r="RGD95" s="4"/>
      <c r="RGE95" s="4"/>
      <c r="RGF95" s="4"/>
      <c r="RGG95" s="4"/>
      <c r="RGH95" s="4"/>
      <c r="RGI95" s="4"/>
      <c r="RGJ95" s="4"/>
      <c r="RGK95" s="4"/>
      <c r="RGL95" s="4"/>
      <c r="RGM95" s="4"/>
      <c r="RGN95" s="4"/>
      <c r="RGO95" s="4"/>
      <c r="RGP95" s="4"/>
      <c r="RGQ95" s="4"/>
      <c r="RGR95" s="4"/>
      <c r="RGS95" s="4"/>
      <c r="RGT95" s="4"/>
      <c r="RGU95" s="4"/>
      <c r="RGV95" s="4"/>
      <c r="RGW95" s="4"/>
      <c r="RGX95" s="4"/>
      <c r="RGY95" s="4"/>
      <c r="RGZ95" s="4"/>
      <c r="RHA95" s="4"/>
      <c r="RHB95" s="4"/>
      <c r="RHC95" s="4"/>
      <c r="RHD95" s="4"/>
      <c r="RHE95" s="4"/>
      <c r="RHF95" s="4"/>
      <c r="RHG95" s="4"/>
      <c r="RHH95" s="4"/>
      <c r="RHI95" s="4"/>
      <c r="RHJ95" s="4"/>
      <c r="RHK95" s="4"/>
      <c r="RHL95" s="4"/>
      <c r="RHM95" s="4"/>
      <c r="RHN95" s="4"/>
      <c r="RHO95" s="4"/>
      <c r="RHP95" s="4"/>
      <c r="RHQ95" s="4"/>
      <c r="RHR95" s="4"/>
      <c r="RHS95" s="4"/>
      <c r="RHT95" s="4"/>
      <c r="RHU95" s="4"/>
      <c r="RHV95" s="4"/>
      <c r="RHW95" s="4"/>
      <c r="RHX95" s="4"/>
      <c r="RHY95" s="4"/>
      <c r="RHZ95" s="4"/>
      <c r="RIA95" s="4"/>
      <c r="RIB95" s="4"/>
      <c r="RIC95" s="4"/>
      <c r="RID95" s="4"/>
      <c r="RIE95" s="4"/>
      <c r="RIF95" s="4"/>
      <c r="RIG95" s="4"/>
      <c r="RIH95" s="4"/>
      <c r="RII95" s="4"/>
      <c r="RIJ95" s="4"/>
      <c r="RIK95" s="4"/>
      <c r="RIL95" s="4"/>
      <c r="RIM95" s="4"/>
      <c r="RIN95" s="4"/>
      <c r="RIO95" s="4"/>
      <c r="RIP95" s="4"/>
      <c r="RIQ95" s="4"/>
      <c r="RIR95" s="4"/>
      <c r="RIS95" s="4"/>
      <c r="RIT95" s="4"/>
      <c r="RIU95" s="4"/>
      <c r="RIV95" s="4"/>
      <c r="RIW95" s="4"/>
      <c r="RIX95" s="4"/>
      <c r="RIY95" s="4"/>
      <c r="RIZ95" s="4"/>
      <c r="RJA95" s="4"/>
      <c r="RJB95" s="4"/>
      <c r="RJC95" s="4"/>
      <c r="RJD95" s="4"/>
      <c r="RJE95" s="4"/>
      <c r="RJF95" s="4"/>
      <c r="RJG95" s="4"/>
      <c r="RJH95" s="4"/>
      <c r="RJI95" s="4"/>
      <c r="RJJ95" s="4"/>
      <c r="RJK95" s="4"/>
      <c r="RJL95" s="4"/>
      <c r="RJM95" s="4"/>
      <c r="RJN95" s="4"/>
      <c r="RJO95" s="4"/>
      <c r="RJP95" s="4"/>
      <c r="RJQ95" s="4"/>
      <c r="RJR95" s="4"/>
      <c r="RJS95" s="4"/>
      <c r="RJT95" s="4"/>
      <c r="RJU95" s="4"/>
      <c r="RJV95" s="4"/>
      <c r="RJW95" s="4"/>
      <c r="RJX95" s="4"/>
      <c r="RJY95" s="4"/>
      <c r="RJZ95" s="4"/>
      <c r="RKA95" s="4"/>
      <c r="RKB95" s="4"/>
      <c r="RKC95" s="4"/>
      <c r="RKD95" s="4"/>
      <c r="RKE95" s="4"/>
      <c r="RKF95" s="4"/>
      <c r="RKG95" s="4"/>
      <c r="RKH95" s="4"/>
      <c r="RKI95" s="4"/>
      <c r="RKJ95" s="4"/>
      <c r="RKK95" s="4"/>
      <c r="RKL95" s="4"/>
      <c r="RKM95" s="4"/>
      <c r="RKN95" s="4"/>
      <c r="RKO95" s="4"/>
      <c r="RKP95" s="4"/>
      <c r="RKQ95" s="4"/>
      <c r="RKR95" s="4"/>
      <c r="RKS95" s="4"/>
      <c r="RKT95" s="4"/>
      <c r="RKU95" s="4"/>
      <c r="RKV95" s="4"/>
      <c r="RKW95" s="4"/>
      <c r="RKX95" s="4"/>
      <c r="RKY95" s="4"/>
      <c r="RKZ95" s="4"/>
      <c r="RLA95" s="4"/>
      <c r="RLB95" s="4"/>
      <c r="RLC95" s="4"/>
      <c r="RLD95" s="4"/>
      <c r="RLE95" s="4"/>
      <c r="RLF95" s="4"/>
      <c r="RLG95" s="4"/>
      <c r="RLH95" s="4"/>
      <c r="RLI95" s="4"/>
      <c r="RLJ95" s="4"/>
      <c r="RLK95" s="4"/>
      <c r="RLL95" s="4"/>
      <c r="RLM95" s="4"/>
      <c r="RLN95" s="4"/>
      <c r="RLO95" s="4"/>
      <c r="RLP95" s="4"/>
      <c r="RLQ95" s="4"/>
      <c r="RLR95" s="4"/>
      <c r="RLS95" s="4"/>
      <c r="RLT95" s="4"/>
      <c r="RLU95" s="4"/>
      <c r="RLV95" s="4"/>
      <c r="RLW95" s="4"/>
      <c r="RLX95" s="4"/>
      <c r="RLY95" s="4"/>
      <c r="RLZ95" s="4"/>
      <c r="RMA95" s="4"/>
      <c r="RMB95" s="4"/>
      <c r="RMC95" s="4"/>
      <c r="RMD95" s="4"/>
      <c r="RME95" s="4"/>
      <c r="RMF95" s="4"/>
      <c r="RMG95" s="4"/>
      <c r="RMH95" s="4"/>
      <c r="RMI95" s="4"/>
      <c r="RMJ95" s="4"/>
      <c r="RMK95" s="4"/>
      <c r="RML95" s="4"/>
      <c r="RMM95" s="4"/>
      <c r="RMN95" s="4"/>
      <c r="RMO95" s="4"/>
      <c r="RMP95" s="4"/>
      <c r="RMQ95" s="4"/>
      <c r="RMR95" s="4"/>
      <c r="RMS95" s="4"/>
      <c r="RMT95" s="4"/>
      <c r="RMU95" s="4"/>
      <c r="RMV95" s="4"/>
      <c r="RMW95" s="4"/>
      <c r="RMX95" s="4"/>
      <c r="RMY95" s="4"/>
      <c r="RMZ95" s="4"/>
      <c r="RNA95" s="4"/>
      <c r="RNB95" s="4"/>
      <c r="RNC95" s="4"/>
      <c r="RND95" s="4"/>
      <c r="RNE95" s="4"/>
      <c r="RNF95" s="4"/>
      <c r="RNG95" s="4"/>
      <c r="RNH95" s="4"/>
      <c r="RNI95" s="4"/>
      <c r="RNJ95" s="4"/>
      <c r="RNK95" s="4"/>
      <c r="RNL95" s="4"/>
      <c r="RNM95" s="4"/>
      <c r="RNN95" s="4"/>
      <c r="RNO95" s="4"/>
      <c r="RNP95" s="4"/>
      <c r="RNQ95" s="4"/>
      <c r="RNR95" s="4"/>
      <c r="RNS95" s="4"/>
      <c r="RNT95" s="4"/>
      <c r="RNU95" s="4"/>
      <c r="RNV95" s="4"/>
      <c r="RNW95" s="4"/>
      <c r="RNX95" s="4"/>
      <c r="RNY95" s="4"/>
      <c r="RNZ95" s="4"/>
      <c r="ROA95" s="4"/>
      <c r="ROB95" s="4"/>
      <c r="ROC95" s="4"/>
      <c r="ROD95" s="4"/>
      <c r="ROE95" s="4"/>
      <c r="ROF95" s="4"/>
      <c r="ROG95" s="4"/>
      <c r="ROH95" s="4"/>
      <c r="ROI95" s="4"/>
      <c r="ROJ95" s="4"/>
      <c r="ROK95" s="4"/>
      <c r="ROL95" s="4"/>
      <c r="ROM95" s="4"/>
      <c r="RON95" s="4"/>
      <c r="ROO95" s="4"/>
      <c r="ROP95" s="4"/>
      <c r="ROQ95" s="4"/>
      <c r="ROR95" s="4"/>
      <c r="ROS95" s="4"/>
      <c r="ROT95" s="4"/>
      <c r="ROU95" s="4"/>
      <c r="ROV95" s="4"/>
      <c r="ROW95" s="4"/>
      <c r="ROX95" s="4"/>
      <c r="ROY95" s="4"/>
      <c r="ROZ95" s="4"/>
      <c r="RPA95" s="4"/>
      <c r="RPB95" s="4"/>
      <c r="RPC95" s="4"/>
      <c r="RPD95" s="4"/>
      <c r="RPE95" s="4"/>
      <c r="RPF95" s="4"/>
      <c r="RPG95" s="4"/>
      <c r="RPH95" s="4"/>
      <c r="RPI95" s="4"/>
      <c r="RPJ95" s="4"/>
      <c r="RPK95" s="4"/>
      <c r="RPL95" s="4"/>
      <c r="RPM95" s="4"/>
      <c r="RPN95" s="4"/>
      <c r="RPO95" s="4"/>
      <c r="RPP95" s="4"/>
      <c r="RPQ95" s="4"/>
      <c r="RPR95" s="4"/>
      <c r="RPS95" s="4"/>
      <c r="RPT95" s="4"/>
      <c r="RPU95" s="4"/>
      <c r="RPV95" s="4"/>
      <c r="RPW95" s="4"/>
      <c r="RPX95" s="4"/>
      <c r="RPY95" s="4"/>
      <c r="RPZ95" s="4"/>
      <c r="RQA95" s="4"/>
      <c r="RQB95" s="4"/>
      <c r="RQC95" s="4"/>
      <c r="RQD95" s="4"/>
      <c r="RQE95" s="4"/>
      <c r="RQF95" s="4"/>
      <c r="RQG95" s="4"/>
      <c r="RQH95" s="4"/>
      <c r="RQI95" s="4"/>
      <c r="RQJ95" s="4"/>
      <c r="RQK95" s="4"/>
      <c r="RQL95" s="4"/>
      <c r="RQM95" s="4"/>
      <c r="RQN95" s="4"/>
      <c r="RQO95" s="4"/>
      <c r="RQP95" s="4"/>
      <c r="RQQ95" s="4"/>
      <c r="RQR95" s="4"/>
      <c r="RQS95" s="4"/>
      <c r="RQT95" s="4"/>
      <c r="RQU95" s="4"/>
      <c r="RQV95" s="4"/>
      <c r="RQW95" s="4"/>
      <c r="RQX95" s="4"/>
      <c r="RQY95" s="4"/>
      <c r="RQZ95" s="4"/>
      <c r="RRA95" s="4"/>
      <c r="RRB95" s="4"/>
      <c r="RRC95" s="4"/>
      <c r="RRD95" s="4"/>
      <c r="RRE95" s="4"/>
      <c r="RRF95" s="4"/>
      <c r="RRG95" s="4"/>
      <c r="RRH95" s="4"/>
      <c r="RRI95" s="4"/>
      <c r="RRJ95" s="4"/>
      <c r="RRK95" s="4"/>
      <c r="RRL95" s="4"/>
      <c r="RRM95" s="4"/>
      <c r="RRN95" s="4"/>
      <c r="RRO95" s="4"/>
      <c r="RRP95" s="4"/>
      <c r="RRQ95" s="4"/>
      <c r="RRR95" s="4"/>
      <c r="RRS95" s="4"/>
      <c r="RRT95" s="4"/>
      <c r="RRU95" s="4"/>
      <c r="RRV95" s="4"/>
      <c r="RRW95" s="4"/>
      <c r="RRX95" s="4"/>
      <c r="RRY95" s="4"/>
      <c r="RRZ95" s="4"/>
      <c r="RSA95" s="4"/>
      <c r="RSB95" s="4"/>
      <c r="RSC95" s="4"/>
      <c r="RSD95" s="4"/>
      <c r="RSE95" s="4"/>
      <c r="RSF95" s="4"/>
      <c r="RSG95" s="4"/>
      <c r="RSH95" s="4"/>
      <c r="RSI95" s="4"/>
      <c r="RSJ95" s="4"/>
      <c r="RSK95" s="4"/>
      <c r="RSL95" s="4"/>
      <c r="RSM95" s="4"/>
      <c r="RSN95" s="4"/>
      <c r="RSO95" s="4"/>
      <c r="RSP95" s="4"/>
      <c r="RSQ95" s="4"/>
      <c r="RSR95" s="4"/>
      <c r="RSS95" s="4"/>
      <c r="RST95" s="4"/>
      <c r="RSU95" s="4"/>
      <c r="RSV95" s="4"/>
      <c r="RSW95" s="4"/>
      <c r="RSX95" s="4"/>
      <c r="RSY95" s="4"/>
      <c r="RSZ95" s="4"/>
      <c r="RTA95" s="4"/>
      <c r="RTB95" s="4"/>
      <c r="RTC95" s="4"/>
      <c r="RTD95" s="4"/>
      <c r="RTE95" s="4"/>
      <c r="RTF95" s="4"/>
      <c r="RTG95" s="4"/>
      <c r="RTH95" s="4"/>
      <c r="RTI95" s="4"/>
      <c r="RTJ95" s="4"/>
      <c r="RTK95" s="4"/>
      <c r="RTL95" s="4"/>
      <c r="RTM95" s="4"/>
      <c r="RTN95" s="4"/>
      <c r="RTO95" s="4"/>
      <c r="RTP95" s="4"/>
      <c r="RTQ95" s="4"/>
      <c r="RTR95" s="4"/>
      <c r="RTS95" s="4"/>
      <c r="RTT95" s="4"/>
      <c r="RTU95" s="4"/>
      <c r="RTV95" s="4"/>
      <c r="RTW95" s="4"/>
      <c r="RTX95" s="4"/>
      <c r="RTY95" s="4"/>
      <c r="RTZ95" s="4"/>
      <c r="RUA95" s="4"/>
      <c r="RUB95" s="4"/>
      <c r="RUC95" s="4"/>
      <c r="RUD95" s="4"/>
      <c r="RUE95" s="4"/>
      <c r="RUF95" s="4"/>
      <c r="RUG95" s="4"/>
      <c r="RUH95" s="4"/>
      <c r="RUI95" s="4"/>
      <c r="RUJ95" s="4"/>
      <c r="RUK95" s="4"/>
      <c r="RUL95" s="4"/>
      <c r="RUM95" s="4"/>
      <c r="RUN95" s="4"/>
      <c r="RUO95" s="4"/>
      <c r="RUP95" s="4"/>
      <c r="RUQ95" s="4"/>
      <c r="RUR95" s="4"/>
      <c r="RUS95" s="4"/>
      <c r="RUT95" s="4"/>
      <c r="RUU95" s="4"/>
      <c r="RUV95" s="4"/>
      <c r="RUW95" s="4"/>
      <c r="RUX95" s="4"/>
      <c r="RUY95" s="4"/>
      <c r="RUZ95" s="4"/>
      <c r="RVA95" s="4"/>
      <c r="RVB95" s="4"/>
      <c r="RVC95" s="4"/>
      <c r="RVD95" s="4"/>
      <c r="RVE95" s="4"/>
      <c r="RVF95" s="4"/>
      <c r="RVG95" s="4"/>
      <c r="RVH95" s="4"/>
      <c r="RVI95" s="4"/>
      <c r="RVJ95" s="4"/>
      <c r="RVK95" s="4"/>
      <c r="RVL95" s="4"/>
      <c r="RVM95" s="4"/>
      <c r="RVN95" s="4"/>
      <c r="RVO95" s="4"/>
      <c r="RVP95" s="4"/>
      <c r="RVQ95" s="4"/>
      <c r="RVR95" s="4"/>
      <c r="RVS95" s="4"/>
      <c r="RVT95" s="4"/>
      <c r="RVU95" s="4"/>
      <c r="RVV95" s="4"/>
      <c r="RVW95" s="4"/>
      <c r="RVX95" s="4"/>
      <c r="RVY95" s="4"/>
      <c r="RVZ95" s="4"/>
      <c r="RWA95" s="4"/>
      <c r="RWB95" s="4"/>
      <c r="RWC95" s="4"/>
      <c r="RWD95" s="4"/>
      <c r="RWE95" s="4"/>
      <c r="RWF95" s="4"/>
      <c r="RWG95" s="4"/>
      <c r="RWH95" s="4"/>
      <c r="RWI95" s="4"/>
      <c r="RWJ95" s="4"/>
      <c r="RWK95" s="4"/>
      <c r="RWL95" s="4"/>
      <c r="RWM95" s="4"/>
      <c r="RWN95" s="4"/>
      <c r="RWO95" s="4"/>
      <c r="RWP95" s="4"/>
      <c r="RWQ95" s="4"/>
      <c r="RWR95" s="4"/>
      <c r="RWS95" s="4"/>
      <c r="RWT95" s="4"/>
      <c r="RWU95" s="4"/>
      <c r="RWV95" s="4"/>
      <c r="RWW95" s="4"/>
      <c r="RWX95" s="4"/>
      <c r="RWY95" s="4"/>
      <c r="RWZ95" s="4"/>
      <c r="RXA95" s="4"/>
      <c r="RXB95" s="4"/>
      <c r="RXC95" s="4"/>
      <c r="RXD95" s="4"/>
      <c r="RXE95" s="4"/>
      <c r="RXF95" s="4"/>
      <c r="RXG95" s="4"/>
      <c r="RXH95" s="4"/>
      <c r="RXI95" s="4"/>
      <c r="RXJ95" s="4"/>
      <c r="RXK95" s="4"/>
      <c r="RXL95" s="4"/>
      <c r="RXM95" s="4"/>
      <c r="RXN95" s="4"/>
      <c r="RXO95" s="4"/>
      <c r="RXP95" s="4"/>
      <c r="RXQ95" s="4"/>
      <c r="RXR95" s="4"/>
      <c r="RXS95" s="4"/>
      <c r="RXT95" s="4"/>
      <c r="RXU95" s="4"/>
      <c r="RXV95" s="4"/>
      <c r="RXW95" s="4"/>
      <c r="RXX95" s="4"/>
      <c r="RXY95" s="4"/>
      <c r="RXZ95" s="4"/>
      <c r="RYA95" s="4"/>
      <c r="RYB95" s="4"/>
      <c r="RYC95" s="4"/>
      <c r="RYD95" s="4"/>
      <c r="RYE95" s="4"/>
      <c r="RYF95" s="4"/>
      <c r="RYG95" s="4"/>
      <c r="RYH95" s="4"/>
      <c r="RYI95" s="4"/>
      <c r="RYJ95" s="4"/>
      <c r="RYK95" s="4"/>
      <c r="RYL95" s="4"/>
      <c r="RYM95" s="4"/>
      <c r="RYN95" s="4"/>
      <c r="RYO95" s="4"/>
      <c r="RYP95" s="4"/>
      <c r="RYQ95" s="4"/>
      <c r="RYR95" s="4"/>
      <c r="RYS95" s="4"/>
      <c r="RYT95" s="4"/>
      <c r="RYU95" s="4"/>
      <c r="RYV95" s="4"/>
      <c r="RYW95" s="4"/>
      <c r="RYX95" s="4"/>
      <c r="RYY95" s="4"/>
      <c r="RYZ95" s="4"/>
      <c r="RZA95" s="4"/>
      <c r="RZB95" s="4"/>
      <c r="RZC95" s="4"/>
      <c r="RZD95" s="4"/>
      <c r="RZE95" s="4"/>
      <c r="RZF95" s="4"/>
      <c r="RZG95" s="4"/>
      <c r="RZH95" s="4"/>
      <c r="RZI95" s="4"/>
      <c r="RZJ95" s="4"/>
      <c r="RZK95" s="4"/>
      <c r="RZL95" s="4"/>
      <c r="RZM95" s="4"/>
      <c r="RZN95" s="4"/>
      <c r="RZO95" s="4"/>
      <c r="RZP95" s="4"/>
      <c r="RZQ95" s="4"/>
      <c r="RZR95" s="4"/>
      <c r="RZS95" s="4"/>
      <c r="RZT95" s="4"/>
      <c r="RZU95" s="4"/>
      <c r="RZV95" s="4"/>
      <c r="RZW95" s="4"/>
      <c r="RZX95" s="4"/>
      <c r="RZY95" s="4"/>
      <c r="RZZ95" s="4"/>
      <c r="SAA95" s="4"/>
      <c r="SAB95" s="4"/>
      <c r="SAC95" s="4"/>
      <c r="SAD95" s="4"/>
      <c r="SAE95" s="4"/>
      <c r="SAF95" s="4"/>
      <c r="SAG95" s="4"/>
      <c r="SAH95" s="4"/>
      <c r="SAI95" s="4"/>
      <c r="SAJ95" s="4"/>
      <c r="SAK95" s="4"/>
      <c r="SAL95" s="4"/>
      <c r="SAM95" s="4"/>
      <c r="SAN95" s="4"/>
      <c r="SAO95" s="4"/>
      <c r="SAP95" s="4"/>
      <c r="SAQ95" s="4"/>
      <c r="SAR95" s="4"/>
      <c r="SAS95" s="4"/>
      <c r="SAT95" s="4"/>
      <c r="SAU95" s="4"/>
      <c r="SAV95" s="4"/>
      <c r="SAW95" s="4"/>
      <c r="SAX95" s="4"/>
      <c r="SAY95" s="4"/>
      <c r="SAZ95" s="4"/>
      <c r="SBA95" s="4"/>
      <c r="SBB95" s="4"/>
      <c r="SBC95" s="4"/>
      <c r="SBD95" s="4"/>
      <c r="SBE95" s="4"/>
      <c r="SBF95" s="4"/>
      <c r="SBG95" s="4"/>
      <c r="SBH95" s="4"/>
      <c r="SBI95" s="4"/>
      <c r="SBJ95" s="4"/>
      <c r="SBK95" s="4"/>
      <c r="SBL95" s="4"/>
      <c r="SBM95" s="4"/>
      <c r="SBN95" s="4"/>
      <c r="SBO95" s="4"/>
      <c r="SBP95" s="4"/>
      <c r="SBQ95" s="4"/>
      <c r="SBR95" s="4"/>
      <c r="SBS95" s="4"/>
      <c r="SBT95" s="4"/>
      <c r="SBU95" s="4"/>
      <c r="SBV95" s="4"/>
      <c r="SBW95" s="4"/>
      <c r="SBX95" s="4"/>
      <c r="SBY95" s="4"/>
      <c r="SBZ95" s="4"/>
      <c r="SCA95" s="4"/>
      <c r="SCB95" s="4"/>
      <c r="SCC95" s="4"/>
      <c r="SCD95" s="4"/>
      <c r="SCE95" s="4"/>
      <c r="SCF95" s="4"/>
      <c r="SCG95" s="4"/>
      <c r="SCH95" s="4"/>
      <c r="SCI95" s="4"/>
      <c r="SCJ95" s="4"/>
      <c r="SCK95" s="4"/>
      <c r="SCL95" s="4"/>
      <c r="SCM95" s="4"/>
      <c r="SCN95" s="4"/>
      <c r="SCO95" s="4"/>
      <c r="SCP95" s="4"/>
      <c r="SCQ95" s="4"/>
      <c r="SCR95" s="4"/>
      <c r="SCS95" s="4"/>
      <c r="SCT95" s="4"/>
      <c r="SCU95" s="4"/>
      <c r="SCV95" s="4"/>
      <c r="SCW95" s="4"/>
      <c r="SCX95" s="4"/>
      <c r="SCY95" s="4"/>
      <c r="SCZ95" s="4"/>
      <c r="SDA95" s="4"/>
      <c r="SDB95" s="4"/>
      <c r="SDC95" s="4"/>
      <c r="SDD95" s="4"/>
      <c r="SDE95" s="4"/>
      <c r="SDF95" s="4"/>
      <c r="SDG95" s="4"/>
      <c r="SDH95" s="4"/>
      <c r="SDI95" s="4"/>
      <c r="SDJ95" s="4"/>
      <c r="SDK95" s="4"/>
      <c r="SDL95" s="4"/>
      <c r="SDM95" s="4"/>
      <c r="SDN95" s="4"/>
      <c r="SDO95" s="4"/>
      <c r="SDP95" s="4"/>
      <c r="SDQ95" s="4"/>
      <c r="SDR95" s="4"/>
      <c r="SDS95" s="4"/>
      <c r="SDT95" s="4"/>
      <c r="SDU95" s="4"/>
      <c r="SDV95" s="4"/>
      <c r="SDW95" s="4"/>
      <c r="SDX95" s="4"/>
      <c r="SDY95" s="4"/>
      <c r="SDZ95" s="4"/>
      <c r="SEA95" s="4"/>
      <c r="SEB95" s="4"/>
      <c r="SEC95" s="4"/>
      <c r="SED95" s="4"/>
      <c r="SEE95" s="4"/>
      <c r="SEF95" s="4"/>
      <c r="SEG95" s="4"/>
      <c r="SEH95" s="4"/>
      <c r="SEI95" s="4"/>
      <c r="SEJ95" s="4"/>
      <c r="SEK95" s="4"/>
      <c r="SEL95" s="4"/>
      <c r="SEM95" s="4"/>
      <c r="SEN95" s="4"/>
      <c r="SEO95" s="4"/>
      <c r="SEP95" s="4"/>
      <c r="SEQ95" s="4"/>
      <c r="SER95" s="4"/>
      <c r="SES95" s="4"/>
      <c r="SET95" s="4"/>
      <c r="SEU95" s="4"/>
      <c r="SEV95" s="4"/>
      <c r="SEW95" s="4"/>
      <c r="SEX95" s="4"/>
      <c r="SEY95" s="4"/>
      <c r="SEZ95" s="4"/>
      <c r="SFA95" s="4"/>
      <c r="SFB95" s="4"/>
      <c r="SFC95" s="4"/>
      <c r="SFD95" s="4"/>
      <c r="SFE95" s="4"/>
      <c r="SFF95" s="4"/>
      <c r="SFG95" s="4"/>
      <c r="SFH95" s="4"/>
      <c r="SFI95" s="4"/>
      <c r="SFJ95" s="4"/>
      <c r="SFK95" s="4"/>
      <c r="SFL95" s="4"/>
      <c r="SFM95" s="4"/>
      <c r="SFN95" s="4"/>
      <c r="SFO95" s="4"/>
      <c r="SFP95" s="4"/>
      <c r="SFQ95" s="4"/>
      <c r="SFR95" s="4"/>
      <c r="SFS95" s="4"/>
      <c r="SFT95" s="4"/>
      <c r="SFU95" s="4"/>
      <c r="SFV95" s="4"/>
      <c r="SFW95" s="4"/>
      <c r="SFX95" s="4"/>
      <c r="SFY95" s="4"/>
      <c r="SFZ95" s="4"/>
      <c r="SGA95" s="4"/>
      <c r="SGB95" s="4"/>
      <c r="SGC95" s="4"/>
      <c r="SGD95" s="4"/>
      <c r="SGE95" s="4"/>
      <c r="SGF95" s="4"/>
      <c r="SGG95" s="4"/>
      <c r="SGH95" s="4"/>
      <c r="SGI95" s="4"/>
      <c r="SGJ95" s="4"/>
      <c r="SGK95" s="4"/>
      <c r="SGL95" s="4"/>
      <c r="SGM95" s="4"/>
      <c r="SGN95" s="4"/>
      <c r="SGO95" s="4"/>
      <c r="SGP95" s="4"/>
      <c r="SGQ95" s="4"/>
      <c r="SGR95" s="4"/>
      <c r="SGS95" s="4"/>
      <c r="SGT95" s="4"/>
      <c r="SGU95" s="4"/>
      <c r="SGV95" s="4"/>
      <c r="SGW95" s="4"/>
      <c r="SGX95" s="4"/>
      <c r="SGY95" s="4"/>
      <c r="SGZ95" s="4"/>
      <c r="SHA95" s="4"/>
      <c r="SHB95" s="4"/>
      <c r="SHC95" s="4"/>
      <c r="SHD95" s="4"/>
      <c r="SHE95" s="4"/>
      <c r="SHF95" s="4"/>
      <c r="SHG95" s="4"/>
      <c r="SHH95" s="4"/>
      <c r="SHI95" s="4"/>
      <c r="SHJ95" s="4"/>
      <c r="SHK95" s="4"/>
      <c r="SHL95" s="4"/>
      <c r="SHM95" s="4"/>
      <c r="SHN95" s="4"/>
      <c r="SHO95" s="4"/>
      <c r="SHP95" s="4"/>
      <c r="SHQ95" s="4"/>
      <c r="SHR95" s="4"/>
      <c r="SHS95" s="4"/>
      <c r="SHT95" s="4"/>
      <c r="SHU95" s="4"/>
      <c r="SHV95" s="4"/>
      <c r="SHW95" s="4"/>
      <c r="SHX95" s="4"/>
      <c r="SHY95" s="4"/>
      <c r="SHZ95" s="4"/>
      <c r="SIA95" s="4"/>
      <c r="SIB95" s="4"/>
      <c r="SIC95" s="4"/>
      <c r="SID95" s="4"/>
      <c r="SIE95" s="4"/>
      <c r="SIF95" s="4"/>
      <c r="SIG95" s="4"/>
      <c r="SIH95" s="4"/>
      <c r="SII95" s="4"/>
      <c r="SIJ95" s="4"/>
      <c r="SIK95" s="4"/>
      <c r="SIL95" s="4"/>
      <c r="SIM95" s="4"/>
      <c r="SIN95" s="4"/>
      <c r="SIO95" s="4"/>
      <c r="SIP95" s="4"/>
      <c r="SIQ95" s="4"/>
      <c r="SIR95" s="4"/>
      <c r="SIS95" s="4"/>
      <c r="SIT95" s="4"/>
      <c r="SIU95" s="4"/>
      <c r="SIV95" s="4"/>
      <c r="SIW95" s="4"/>
      <c r="SIX95" s="4"/>
      <c r="SIY95" s="4"/>
      <c r="SIZ95" s="4"/>
      <c r="SJA95" s="4"/>
      <c r="SJB95" s="4"/>
      <c r="SJC95" s="4"/>
      <c r="SJD95" s="4"/>
      <c r="SJE95" s="4"/>
      <c r="SJF95" s="4"/>
      <c r="SJG95" s="4"/>
      <c r="SJH95" s="4"/>
      <c r="SJI95" s="4"/>
      <c r="SJJ95" s="4"/>
      <c r="SJK95" s="4"/>
      <c r="SJL95" s="4"/>
      <c r="SJM95" s="4"/>
      <c r="SJN95" s="4"/>
      <c r="SJO95" s="4"/>
      <c r="SJP95" s="4"/>
      <c r="SJQ95" s="4"/>
      <c r="SJR95" s="4"/>
      <c r="SJS95" s="4"/>
      <c r="SJT95" s="4"/>
      <c r="SJU95" s="4"/>
      <c r="SJV95" s="4"/>
      <c r="SJW95" s="4"/>
      <c r="SJX95" s="4"/>
      <c r="SJY95" s="4"/>
      <c r="SJZ95" s="4"/>
      <c r="SKA95" s="4"/>
      <c r="SKB95" s="4"/>
      <c r="SKC95" s="4"/>
      <c r="SKD95" s="4"/>
      <c r="SKE95" s="4"/>
      <c r="SKF95" s="4"/>
      <c r="SKG95" s="4"/>
      <c r="SKH95" s="4"/>
      <c r="SKI95" s="4"/>
      <c r="SKJ95" s="4"/>
      <c r="SKK95" s="4"/>
      <c r="SKL95" s="4"/>
      <c r="SKM95" s="4"/>
      <c r="SKN95" s="4"/>
      <c r="SKO95" s="4"/>
      <c r="SKP95" s="4"/>
      <c r="SKQ95" s="4"/>
      <c r="SKR95" s="4"/>
      <c r="SKS95" s="4"/>
      <c r="SKT95" s="4"/>
      <c r="SKU95" s="4"/>
      <c r="SKV95" s="4"/>
      <c r="SKW95" s="4"/>
      <c r="SKX95" s="4"/>
      <c r="SKY95" s="4"/>
      <c r="SKZ95" s="4"/>
      <c r="SLA95" s="4"/>
      <c r="SLB95" s="4"/>
      <c r="SLC95" s="4"/>
      <c r="SLD95" s="4"/>
      <c r="SLE95" s="4"/>
      <c r="SLF95" s="4"/>
      <c r="SLG95" s="4"/>
      <c r="SLH95" s="4"/>
      <c r="SLI95" s="4"/>
      <c r="SLJ95" s="4"/>
      <c r="SLK95" s="4"/>
      <c r="SLL95" s="4"/>
      <c r="SLM95" s="4"/>
      <c r="SLN95" s="4"/>
      <c r="SLO95" s="4"/>
      <c r="SLP95" s="4"/>
      <c r="SLQ95" s="4"/>
      <c r="SLR95" s="4"/>
      <c r="SLS95" s="4"/>
      <c r="SLT95" s="4"/>
      <c r="SLU95" s="4"/>
      <c r="SLV95" s="4"/>
      <c r="SLW95" s="4"/>
      <c r="SLX95" s="4"/>
      <c r="SLY95" s="4"/>
      <c r="SLZ95" s="4"/>
      <c r="SMA95" s="4"/>
      <c r="SMB95" s="4"/>
      <c r="SMC95" s="4"/>
      <c r="SMD95" s="4"/>
      <c r="SME95" s="4"/>
      <c r="SMF95" s="4"/>
      <c r="SMG95" s="4"/>
      <c r="SMH95" s="4"/>
      <c r="SMI95" s="4"/>
      <c r="SMJ95" s="4"/>
      <c r="SMK95" s="4"/>
      <c r="SML95" s="4"/>
      <c r="SMM95" s="4"/>
      <c r="SMN95" s="4"/>
      <c r="SMO95" s="4"/>
      <c r="SMP95" s="4"/>
      <c r="SMQ95" s="4"/>
      <c r="SMR95" s="4"/>
      <c r="SMS95" s="4"/>
      <c r="SMT95" s="4"/>
      <c r="SMU95" s="4"/>
      <c r="SMV95" s="4"/>
      <c r="SMW95" s="4"/>
      <c r="SMX95" s="4"/>
      <c r="SMY95" s="4"/>
      <c r="SMZ95" s="4"/>
      <c r="SNA95" s="4"/>
      <c r="SNB95" s="4"/>
      <c r="SNC95" s="4"/>
      <c r="SND95" s="4"/>
      <c r="SNE95" s="4"/>
      <c r="SNF95" s="4"/>
      <c r="SNG95" s="4"/>
      <c r="SNH95" s="4"/>
      <c r="SNI95" s="4"/>
      <c r="SNJ95" s="4"/>
      <c r="SNK95" s="4"/>
      <c r="SNL95" s="4"/>
      <c r="SNM95" s="4"/>
      <c r="SNN95" s="4"/>
      <c r="SNO95" s="4"/>
      <c r="SNP95" s="4"/>
      <c r="SNQ95" s="4"/>
      <c r="SNR95" s="4"/>
      <c r="SNS95" s="4"/>
      <c r="SNT95" s="4"/>
      <c r="SNU95" s="4"/>
      <c r="SNV95" s="4"/>
      <c r="SNW95" s="4"/>
      <c r="SNX95" s="4"/>
      <c r="SNY95" s="4"/>
      <c r="SNZ95" s="4"/>
      <c r="SOA95" s="4"/>
      <c r="SOB95" s="4"/>
      <c r="SOC95" s="4"/>
      <c r="SOD95" s="4"/>
      <c r="SOE95" s="4"/>
      <c r="SOF95" s="4"/>
      <c r="SOG95" s="4"/>
      <c r="SOH95" s="4"/>
      <c r="SOI95" s="4"/>
      <c r="SOJ95" s="4"/>
      <c r="SOK95" s="4"/>
      <c r="SOL95" s="4"/>
      <c r="SOM95" s="4"/>
      <c r="SON95" s="4"/>
      <c r="SOO95" s="4"/>
      <c r="SOP95" s="4"/>
      <c r="SOQ95" s="4"/>
      <c r="SOR95" s="4"/>
      <c r="SOS95" s="4"/>
      <c r="SOT95" s="4"/>
      <c r="SOU95" s="4"/>
      <c r="SOV95" s="4"/>
      <c r="SOW95" s="4"/>
      <c r="SOX95" s="4"/>
      <c r="SOY95" s="4"/>
      <c r="SOZ95" s="4"/>
      <c r="SPA95" s="4"/>
      <c r="SPB95" s="4"/>
      <c r="SPC95" s="4"/>
      <c r="SPD95" s="4"/>
      <c r="SPE95" s="4"/>
      <c r="SPF95" s="4"/>
      <c r="SPG95" s="4"/>
      <c r="SPH95" s="4"/>
      <c r="SPI95" s="4"/>
      <c r="SPJ95" s="4"/>
      <c r="SPK95" s="4"/>
      <c r="SPL95" s="4"/>
      <c r="SPM95" s="4"/>
      <c r="SPN95" s="4"/>
      <c r="SPO95" s="4"/>
      <c r="SPP95" s="4"/>
      <c r="SPQ95" s="4"/>
      <c r="SPR95" s="4"/>
      <c r="SPS95" s="4"/>
      <c r="SPT95" s="4"/>
      <c r="SPU95" s="4"/>
      <c r="SPV95" s="4"/>
      <c r="SPW95" s="4"/>
      <c r="SPX95" s="4"/>
      <c r="SPY95" s="4"/>
      <c r="SPZ95" s="4"/>
      <c r="SQA95" s="4"/>
      <c r="SQB95" s="4"/>
      <c r="SQC95" s="4"/>
      <c r="SQD95" s="4"/>
      <c r="SQE95" s="4"/>
      <c r="SQF95" s="4"/>
      <c r="SQG95" s="4"/>
      <c r="SQH95" s="4"/>
      <c r="SQI95" s="4"/>
      <c r="SQJ95" s="4"/>
      <c r="SQK95" s="4"/>
      <c r="SQL95" s="4"/>
      <c r="SQM95" s="4"/>
      <c r="SQN95" s="4"/>
      <c r="SQO95" s="4"/>
      <c r="SQP95" s="4"/>
      <c r="SQQ95" s="4"/>
      <c r="SQR95" s="4"/>
      <c r="SQS95" s="4"/>
      <c r="SQT95" s="4"/>
      <c r="SQU95" s="4"/>
      <c r="SQV95" s="4"/>
      <c r="SQW95" s="4"/>
      <c r="SQX95" s="4"/>
      <c r="SQY95" s="4"/>
      <c r="SQZ95" s="4"/>
      <c r="SRA95" s="4"/>
      <c r="SRB95" s="4"/>
      <c r="SRC95" s="4"/>
      <c r="SRD95" s="4"/>
      <c r="SRE95" s="4"/>
      <c r="SRF95" s="4"/>
      <c r="SRG95" s="4"/>
      <c r="SRH95" s="4"/>
      <c r="SRI95" s="4"/>
      <c r="SRJ95" s="4"/>
      <c r="SRK95" s="4"/>
      <c r="SRL95" s="4"/>
      <c r="SRM95" s="4"/>
      <c r="SRN95" s="4"/>
      <c r="SRO95" s="4"/>
      <c r="SRP95" s="4"/>
      <c r="SRQ95" s="4"/>
      <c r="SRR95" s="4"/>
      <c r="SRS95" s="4"/>
      <c r="SRT95" s="4"/>
      <c r="SRU95" s="4"/>
      <c r="SRV95" s="4"/>
      <c r="SRW95" s="4"/>
      <c r="SRX95" s="4"/>
      <c r="SRY95" s="4"/>
      <c r="SRZ95" s="4"/>
      <c r="SSA95" s="4"/>
      <c r="SSB95" s="4"/>
      <c r="SSC95" s="4"/>
      <c r="SSD95" s="4"/>
      <c r="SSE95" s="4"/>
      <c r="SSF95" s="4"/>
      <c r="SSG95" s="4"/>
      <c r="SSH95" s="4"/>
      <c r="SSI95" s="4"/>
      <c r="SSJ95" s="4"/>
      <c r="SSK95" s="4"/>
      <c r="SSL95" s="4"/>
      <c r="SSM95" s="4"/>
      <c r="SSN95" s="4"/>
      <c r="SSO95" s="4"/>
      <c r="SSP95" s="4"/>
      <c r="SSQ95" s="4"/>
      <c r="SSR95" s="4"/>
      <c r="SSS95" s="4"/>
      <c r="SST95" s="4"/>
      <c r="SSU95" s="4"/>
      <c r="SSV95" s="4"/>
      <c r="SSW95" s="4"/>
      <c r="SSX95" s="4"/>
      <c r="SSY95" s="4"/>
      <c r="SSZ95" s="4"/>
      <c r="STA95" s="4"/>
      <c r="STB95" s="4"/>
      <c r="STC95" s="4"/>
      <c r="STD95" s="4"/>
      <c r="STE95" s="4"/>
      <c r="STF95" s="4"/>
      <c r="STG95" s="4"/>
      <c r="STH95" s="4"/>
      <c r="STI95" s="4"/>
      <c r="STJ95" s="4"/>
      <c r="STK95" s="4"/>
      <c r="STL95" s="4"/>
      <c r="STM95" s="4"/>
      <c r="STN95" s="4"/>
      <c r="STO95" s="4"/>
      <c r="STP95" s="4"/>
      <c r="STQ95" s="4"/>
      <c r="STR95" s="4"/>
      <c r="STS95" s="4"/>
      <c r="STT95" s="4"/>
      <c r="STU95" s="4"/>
      <c r="STV95" s="4"/>
      <c r="STW95" s="4"/>
      <c r="STX95" s="4"/>
      <c r="STY95" s="4"/>
      <c r="STZ95" s="4"/>
      <c r="SUA95" s="4"/>
      <c r="SUB95" s="4"/>
      <c r="SUC95" s="4"/>
      <c r="SUD95" s="4"/>
      <c r="SUE95" s="4"/>
      <c r="SUF95" s="4"/>
      <c r="SUG95" s="4"/>
      <c r="SUH95" s="4"/>
      <c r="SUI95" s="4"/>
      <c r="SUJ95" s="4"/>
      <c r="SUK95" s="4"/>
      <c r="SUL95" s="4"/>
      <c r="SUM95" s="4"/>
      <c r="SUN95" s="4"/>
      <c r="SUO95" s="4"/>
      <c r="SUP95" s="4"/>
      <c r="SUQ95" s="4"/>
      <c r="SUR95" s="4"/>
      <c r="SUS95" s="4"/>
      <c r="SUT95" s="4"/>
      <c r="SUU95" s="4"/>
      <c r="SUV95" s="4"/>
      <c r="SUW95" s="4"/>
      <c r="SUX95" s="4"/>
      <c r="SUY95" s="4"/>
      <c r="SUZ95" s="4"/>
      <c r="SVA95" s="4"/>
      <c r="SVB95" s="4"/>
      <c r="SVC95" s="4"/>
      <c r="SVD95" s="4"/>
      <c r="SVE95" s="4"/>
      <c r="SVF95" s="4"/>
      <c r="SVG95" s="4"/>
      <c r="SVH95" s="4"/>
      <c r="SVI95" s="4"/>
      <c r="SVJ95" s="4"/>
      <c r="SVK95" s="4"/>
      <c r="SVL95" s="4"/>
      <c r="SVM95" s="4"/>
      <c r="SVN95" s="4"/>
      <c r="SVO95" s="4"/>
      <c r="SVP95" s="4"/>
      <c r="SVQ95" s="4"/>
      <c r="SVR95" s="4"/>
      <c r="SVS95" s="4"/>
      <c r="SVT95" s="4"/>
      <c r="SVU95" s="4"/>
      <c r="SVV95" s="4"/>
      <c r="SVW95" s="4"/>
      <c r="SVX95" s="4"/>
      <c r="SVY95" s="4"/>
      <c r="SVZ95" s="4"/>
      <c r="SWA95" s="4"/>
      <c r="SWB95" s="4"/>
      <c r="SWC95" s="4"/>
      <c r="SWD95" s="4"/>
      <c r="SWE95" s="4"/>
      <c r="SWF95" s="4"/>
      <c r="SWG95" s="4"/>
      <c r="SWH95" s="4"/>
      <c r="SWI95" s="4"/>
      <c r="SWJ95" s="4"/>
      <c r="SWK95" s="4"/>
      <c r="SWL95" s="4"/>
      <c r="SWM95" s="4"/>
      <c r="SWN95" s="4"/>
      <c r="SWO95" s="4"/>
      <c r="SWP95" s="4"/>
      <c r="SWQ95" s="4"/>
      <c r="SWR95" s="4"/>
      <c r="SWS95" s="4"/>
      <c r="SWT95" s="4"/>
      <c r="SWU95" s="4"/>
      <c r="SWV95" s="4"/>
      <c r="SWW95" s="4"/>
      <c r="SWX95" s="4"/>
      <c r="SWY95" s="4"/>
      <c r="SWZ95" s="4"/>
      <c r="SXA95" s="4"/>
      <c r="SXB95" s="4"/>
      <c r="SXC95" s="4"/>
      <c r="SXD95" s="4"/>
      <c r="SXE95" s="4"/>
      <c r="SXF95" s="4"/>
      <c r="SXG95" s="4"/>
      <c r="SXH95" s="4"/>
      <c r="SXI95" s="4"/>
      <c r="SXJ95" s="4"/>
      <c r="SXK95" s="4"/>
      <c r="SXL95" s="4"/>
      <c r="SXM95" s="4"/>
      <c r="SXN95" s="4"/>
      <c r="SXO95" s="4"/>
      <c r="SXP95" s="4"/>
      <c r="SXQ95" s="4"/>
      <c r="SXR95" s="4"/>
      <c r="SXS95" s="4"/>
      <c r="SXT95" s="4"/>
      <c r="SXU95" s="4"/>
      <c r="SXV95" s="4"/>
      <c r="SXW95" s="4"/>
      <c r="SXX95" s="4"/>
      <c r="SXY95" s="4"/>
      <c r="SXZ95" s="4"/>
      <c r="SYA95" s="4"/>
      <c r="SYB95" s="4"/>
      <c r="SYC95" s="4"/>
      <c r="SYD95" s="4"/>
      <c r="SYE95" s="4"/>
      <c r="SYF95" s="4"/>
      <c r="SYG95" s="4"/>
      <c r="SYH95" s="4"/>
      <c r="SYI95" s="4"/>
      <c r="SYJ95" s="4"/>
      <c r="SYK95" s="4"/>
      <c r="SYL95" s="4"/>
      <c r="SYM95" s="4"/>
      <c r="SYN95" s="4"/>
      <c r="SYO95" s="4"/>
      <c r="SYP95" s="4"/>
      <c r="SYQ95" s="4"/>
      <c r="SYR95" s="4"/>
      <c r="SYS95" s="4"/>
      <c r="SYT95" s="4"/>
      <c r="SYU95" s="4"/>
      <c r="SYV95" s="4"/>
      <c r="SYW95" s="4"/>
      <c r="SYX95" s="4"/>
      <c r="SYY95" s="4"/>
      <c r="SYZ95" s="4"/>
      <c r="SZA95" s="4"/>
      <c r="SZB95" s="4"/>
      <c r="SZC95" s="4"/>
      <c r="SZD95" s="4"/>
      <c r="SZE95" s="4"/>
      <c r="SZF95" s="4"/>
      <c r="SZG95" s="4"/>
      <c r="SZH95" s="4"/>
      <c r="SZI95" s="4"/>
      <c r="SZJ95" s="4"/>
      <c r="SZK95" s="4"/>
      <c r="SZL95" s="4"/>
      <c r="SZM95" s="4"/>
      <c r="SZN95" s="4"/>
      <c r="SZO95" s="4"/>
      <c r="SZP95" s="4"/>
      <c r="SZQ95" s="4"/>
      <c r="SZR95" s="4"/>
      <c r="SZS95" s="4"/>
      <c r="SZT95" s="4"/>
      <c r="SZU95" s="4"/>
      <c r="SZV95" s="4"/>
      <c r="SZW95" s="4"/>
      <c r="SZX95" s="4"/>
      <c r="SZY95" s="4"/>
      <c r="SZZ95" s="4"/>
      <c r="TAA95" s="4"/>
      <c r="TAB95" s="4"/>
      <c r="TAC95" s="4"/>
      <c r="TAD95" s="4"/>
      <c r="TAE95" s="4"/>
      <c r="TAF95" s="4"/>
      <c r="TAG95" s="4"/>
      <c r="TAH95" s="4"/>
      <c r="TAI95" s="4"/>
      <c r="TAJ95" s="4"/>
      <c r="TAK95" s="4"/>
      <c r="TAL95" s="4"/>
      <c r="TAM95" s="4"/>
      <c r="TAN95" s="4"/>
      <c r="TAO95" s="4"/>
      <c r="TAP95" s="4"/>
      <c r="TAQ95" s="4"/>
      <c r="TAR95" s="4"/>
      <c r="TAS95" s="4"/>
      <c r="TAT95" s="4"/>
      <c r="TAU95" s="4"/>
      <c r="TAV95" s="4"/>
      <c r="TAW95" s="4"/>
      <c r="TAX95" s="4"/>
      <c r="TAY95" s="4"/>
      <c r="TAZ95" s="4"/>
      <c r="TBA95" s="4"/>
      <c r="TBB95" s="4"/>
      <c r="TBC95" s="4"/>
      <c r="TBD95" s="4"/>
      <c r="TBE95" s="4"/>
      <c r="TBF95" s="4"/>
      <c r="TBG95" s="4"/>
      <c r="TBH95" s="4"/>
      <c r="TBI95" s="4"/>
      <c r="TBJ95" s="4"/>
      <c r="TBK95" s="4"/>
      <c r="TBL95" s="4"/>
      <c r="TBM95" s="4"/>
      <c r="TBN95" s="4"/>
      <c r="TBO95" s="4"/>
      <c r="TBP95" s="4"/>
      <c r="TBQ95" s="4"/>
      <c r="TBR95" s="4"/>
      <c r="TBS95" s="4"/>
      <c r="TBT95" s="4"/>
      <c r="TBU95" s="4"/>
      <c r="TBV95" s="4"/>
      <c r="TBW95" s="4"/>
      <c r="TBX95" s="4"/>
      <c r="TBY95" s="4"/>
      <c r="TBZ95" s="4"/>
      <c r="TCA95" s="4"/>
      <c r="TCB95" s="4"/>
      <c r="TCC95" s="4"/>
      <c r="TCD95" s="4"/>
      <c r="TCE95" s="4"/>
      <c r="TCF95" s="4"/>
      <c r="TCG95" s="4"/>
      <c r="TCH95" s="4"/>
      <c r="TCI95" s="4"/>
      <c r="TCJ95" s="4"/>
      <c r="TCK95" s="4"/>
      <c r="TCL95" s="4"/>
      <c r="TCM95" s="4"/>
      <c r="TCN95" s="4"/>
      <c r="TCO95" s="4"/>
      <c r="TCP95" s="4"/>
      <c r="TCQ95" s="4"/>
      <c r="TCR95" s="4"/>
      <c r="TCS95" s="4"/>
      <c r="TCT95" s="4"/>
      <c r="TCU95" s="4"/>
      <c r="TCV95" s="4"/>
      <c r="TCW95" s="4"/>
      <c r="TCX95" s="4"/>
      <c r="TCY95" s="4"/>
      <c r="TCZ95" s="4"/>
      <c r="TDA95" s="4"/>
      <c r="TDB95" s="4"/>
      <c r="TDC95" s="4"/>
      <c r="TDD95" s="4"/>
      <c r="TDE95" s="4"/>
      <c r="TDF95" s="4"/>
      <c r="TDG95" s="4"/>
      <c r="TDH95" s="4"/>
      <c r="TDI95" s="4"/>
      <c r="TDJ95" s="4"/>
      <c r="TDK95" s="4"/>
      <c r="TDL95" s="4"/>
      <c r="TDM95" s="4"/>
      <c r="TDN95" s="4"/>
      <c r="TDO95" s="4"/>
      <c r="TDP95" s="4"/>
      <c r="TDQ95" s="4"/>
      <c r="TDR95" s="4"/>
      <c r="TDS95" s="4"/>
      <c r="TDT95" s="4"/>
      <c r="TDU95" s="4"/>
      <c r="TDV95" s="4"/>
      <c r="TDW95" s="4"/>
      <c r="TDX95" s="4"/>
      <c r="TDY95" s="4"/>
      <c r="TDZ95" s="4"/>
      <c r="TEA95" s="4"/>
      <c r="TEB95" s="4"/>
      <c r="TEC95" s="4"/>
      <c r="TED95" s="4"/>
      <c r="TEE95" s="4"/>
      <c r="TEF95" s="4"/>
      <c r="TEG95" s="4"/>
      <c r="TEH95" s="4"/>
      <c r="TEI95" s="4"/>
      <c r="TEJ95" s="4"/>
      <c r="TEK95" s="4"/>
      <c r="TEL95" s="4"/>
      <c r="TEM95" s="4"/>
      <c r="TEN95" s="4"/>
      <c r="TEO95" s="4"/>
      <c r="TEP95" s="4"/>
      <c r="TEQ95" s="4"/>
      <c r="TER95" s="4"/>
      <c r="TES95" s="4"/>
      <c r="TET95" s="4"/>
      <c r="TEU95" s="4"/>
      <c r="TEV95" s="4"/>
      <c r="TEW95" s="4"/>
      <c r="TEX95" s="4"/>
      <c r="TEY95" s="4"/>
      <c r="TEZ95" s="4"/>
      <c r="TFA95" s="4"/>
      <c r="TFB95" s="4"/>
      <c r="TFC95" s="4"/>
      <c r="TFD95" s="4"/>
      <c r="TFE95" s="4"/>
      <c r="TFF95" s="4"/>
      <c r="TFG95" s="4"/>
      <c r="TFH95" s="4"/>
      <c r="TFI95" s="4"/>
      <c r="TFJ95" s="4"/>
      <c r="TFK95" s="4"/>
      <c r="TFL95" s="4"/>
      <c r="TFM95" s="4"/>
      <c r="TFN95" s="4"/>
      <c r="TFO95" s="4"/>
      <c r="TFP95" s="4"/>
      <c r="TFQ95" s="4"/>
      <c r="TFR95" s="4"/>
      <c r="TFS95" s="4"/>
      <c r="TFT95" s="4"/>
      <c r="TFU95" s="4"/>
      <c r="TFV95" s="4"/>
      <c r="TFW95" s="4"/>
      <c r="TFX95" s="4"/>
      <c r="TFY95" s="4"/>
      <c r="TFZ95" s="4"/>
      <c r="TGA95" s="4"/>
      <c r="TGB95" s="4"/>
      <c r="TGC95" s="4"/>
      <c r="TGD95" s="4"/>
      <c r="TGE95" s="4"/>
      <c r="TGF95" s="4"/>
      <c r="TGG95" s="4"/>
      <c r="TGH95" s="4"/>
      <c r="TGI95" s="4"/>
      <c r="TGJ95" s="4"/>
      <c r="TGK95" s="4"/>
      <c r="TGL95" s="4"/>
      <c r="TGM95" s="4"/>
      <c r="TGN95" s="4"/>
      <c r="TGO95" s="4"/>
      <c r="TGP95" s="4"/>
      <c r="TGQ95" s="4"/>
      <c r="TGR95" s="4"/>
      <c r="TGS95" s="4"/>
      <c r="TGT95" s="4"/>
      <c r="TGU95" s="4"/>
      <c r="TGV95" s="4"/>
      <c r="TGW95" s="4"/>
      <c r="TGX95" s="4"/>
      <c r="TGY95" s="4"/>
      <c r="TGZ95" s="4"/>
      <c r="THA95" s="4"/>
      <c r="THB95" s="4"/>
      <c r="THC95" s="4"/>
      <c r="THD95" s="4"/>
      <c r="THE95" s="4"/>
      <c r="THF95" s="4"/>
      <c r="THG95" s="4"/>
      <c r="THH95" s="4"/>
      <c r="THI95" s="4"/>
      <c r="THJ95" s="4"/>
      <c r="THK95" s="4"/>
      <c r="THL95" s="4"/>
      <c r="THM95" s="4"/>
      <c r="THN95" s="4"/>
      <c r="THO95" s="4"/>
      <c r="THP95" s="4"/>
      <c r="THQ95" s="4"/>
      <c r="THR95" s="4"/>
      <c r="THS95" s="4"/>
      <c r="THT95" s="4"/>
      <c r="THU95" s="4"/>
      <c r="THV95" s="4"/>
      <c r="THW95" s="4"/>
      <c r="THX95" s="4"/>
      <c r="THY95" s="4"/>
      <c r="THZ95" s="4"/>
      <c r="TIA95" s="4"/>
      <c r="TIB95" s="4"/>
      <c r="TIC95" s="4"/>
      <c r="TID95" s="4"/>
      <c r="TIE95" s="4"/>
      <c r="TIF95" s="4"/>
      <c r="TIG95" s="4"/>
      <c r="TIH95" s="4"/>
      <c r="TII95" s="4"/>
      <c r="TIJ95" s="4"/>
      <c r="TIK95" s="4"/>
      <c r="TIL95" s="4"/>
      <c r="TIM95" s="4"/>
      <c r="TIN95" s="4"/>
      <c r="TIO95" s="4"/>
      <c r="TIP95" s="4"/>
      <c r="TIQ95" s="4"/>
      <c r="TIR95" s="4"/>
      <c r="TIS95" s="4"/>
      <c r="TIT95" s="4"/>
      <c r="TIU95" s="4"/>
      <c r="TIV95" s="4"/>
      <c r="TIW95" s="4"/>
      <c r="TIX95" s="4"/>
      <c r="TIY95" s="4"/>
      <c r="TIZ95" s="4"/>
      <c r="TJA95" s="4"/>
      <c r="TJB95" s="4"/>
      <c r="TJC95" s="4"/>
      <c r="TJD95" s="4"/>
      <c r="TJE95" s="4"/>
      <c r="TJF95" s="4"/>
      <c r="TJG95" s="4"/>
      <c r="TJH95" s="4"/>
      <c r="TJI95" s="4"/>
      <c r="TJJ95" s="4"/>
      <c r="TJK95" s="4"/>
      <c r="TJL95" s="4"/>
      <c r="TJM95" s="4"/>
      <c r="TJN95" s="4"/>
      <c r="TJO95" s="4"/>
      <c r="TJP95" s="4"/>
      <c r="TJQ95" s="4"/>
      <c r="TJR95" s="4"/>
      <c r="TJS95" s="4"/>
      <c r="TJT95" s="4"/>
      <c r="TJU95" s="4"/>
      <c r="TJV95" s="4"/>
      <c r="TJW95" s="4"/>
      <c r="TJX95" s="4"/>
      <c r="TJY95" s="4"/>
      <c r="TJZ95" s="4"/>
      <c r="TKA95" s="4"/>
      <c r="TKB95" s="4"/>
      <c r="TKC95" s="4"/>
      <c r="TKD95" s="4"/>
      <c r="TKE95" s="4"/>
      <c r="TKF95" s="4"/>
      <c r="TKG95" s="4"/>
      <c r="TKH95" s="4"/>
      <c r="TKI95" s="4"/>
      <c r="TKJ95" s="4"/>
      <c r="TKK95" s="4"/>
      <c r="TKL95" s="4"/>
      <c r="TKM95" s="4"/>
      <c r="TKN95" s="4"/>
      <c r="TKO95" s="4"/>
      <c r="TKP95" s="4"/>
      <c r="TKQ95" s="4"/>
      <c r="TKR95" s="4"/>
      <c r="TKS95" s="4"/>
      <c r="TKT95" s="4"/>
      <c r="TKU95" s="4"/>
      <c r="TKV95" s="4"/>
      <c r="TKW95" s="4"/>
      <c r="TKX95" s="4"/>
      <c r="TKY95" s="4"/>
      <c r="TKZ95" s="4"/>
      <c r="TLA95" s="4"/>
      <c r="TLB95" s="4"/>
      <c r="TLC95" s="4"/>
      <c r="TLD95" s="4"/>
      <c r="TLE95" s="4"/>
      <c r="TLF95" s="4"/>
      <c r="TLG95" s="4"/>
      <c r="TLH95" s="4"/>
      <c r="TLI95" s="4"/>
      <c r="TLJ95" s="4"/>
      <c r="TLK95" s="4"/>
      <c r="TLL95" s="4"/>
      <c r="TLM95" s="4"/>
      <c r="TLN95" s="4"/>
      <c r="TLO95" s="4"/>
      <c r="TLP95" s="4"/>
      <c r="TLQ95" s="4"/>
      <c r="TLR95" s="4"/>
      <c r="TLS95" s="4"/>
      <c r="TLT95" s="4"/>
      <c r="TLU95" s="4"/>
      <c r="TLV95" s="4"/>
      <c r="TLW95" s="4"/>
      <c r="TLX95" s="4"/>
      <c r="TLY95" s="4"/>
      <c r="TLZ95" s="4"/>
      <c r="TMA95" s="4"/>
      <c r="TMB95" s="4"/>
      <c r="TMC95" s="4"/>
      <c r="TMD95" s="4"/>
      <c r="TME95" s="4"/>
      <c r="TMF95" s="4"/>
      <c r="TMG95" s="4"/>
      <c r="TMH95" s="4"/>
      <c r="TMI95" s="4"/>
      <c r="TMJ95" s="4"/>
      <c r="TMK95" s="4"/>
      <c r="TML95" s="4"/>
      <c r="TMM95" s="4"/>
      <c r="TMN95" s="4"/>
      <c r="TMO95" s="4"/>
      <c r="TMP95" s="4"/>
      <c r="TMQ95" s="4"/>
      <c r="TMR95" s="4"/>
      <c r="TMS95" s="4"/>
      <c r="TMT95" s="4"/>
      <c r="TMU95" s="4"/>
      <c r="TMV95" s="4"/>
      <c r="TMW95" s="4"/>
      <c r="TMX95" s="4"/>
      <c r="TMY95" s="4"/>
      <c r="TMZ95" s="4"/>
      <c r="TNA95" s="4"/>
      <c r="TNB95" s="4"/>
      <c r="TNC95" s="4"/>
      <c r="TND95" s="4"/>
      <c r="TNE95" s="4"/>
      <c r="TNF95" s="4"/>
      <c r="TNG95" s="4"/>
      <c r="TNH95" s="4"/>
      <c r="TNI95" s="4"/>
      <c r="TNJ95" s="4"/>
      <c r="TNK95" s="4"/>
      <c r="TNL95" s="4"/>
      <c r="TNM95" s="4"/>
      <c r="TNN95" s="4"/>
      <c r="TNO95" s="4"/>
      <c r="TNP95" s="4"/>
      <c r="TNQ95" s="4"/>
      <c r="TNR95" s="4"/>
      <c r="TNS95" s="4"/>
      <c r="TNT95" s="4"/>
      <c r="TNU95" s="4"/>
      <c r="TNV95" s="4"/>
      <c r="TNW95" s="4"/>
      <c r="TNX95" s="4"/>
      <c r="TNY95" s="4"/>
      <c r="TNZ95" s="4"/>
      <c r="TOA95" s="4"/>
      <c r="TOB95" s="4"/>
      <c r="TOC95" s="4"/>
      <c r="TOD95" s="4"/>
      <c r="TOE95" s="4"/>
      <c r="TOF95" s="4"/>
      <c r="TOG95" s="4"/>
      <c r="TOH95" s="4"/>
      <c r="TOI95" s="4"/>
      <c r="TOJ95" s="4"/>
      <c r="TOK95" s="4"/>
      <c r="TOL95" s="4"/>
      <c r="TOM95" s="4"/>
      <c r="TON95" s="4"/>
      <c r="TOO95" s="4"/>
      <c r="TOP95" s="4"/>
      <c r="TOQ95" s="4"/>
      <c r="TOR95" s="4"/>
      <c r="TOS95" s="4"/>
      <c r="TOT95" s="4"/>
      <c r="TOU95" s="4"/>
      <c r="TOV95" s="4"/>
      <c r="TOW95" s="4"/>
      <c r="TOX95" s="4"/>
      <c r="TOY95" s="4"/>
      <c r="TOZ95" s="4"/>
      <c r="TPA95" s="4"/>
      <c r="TPB95" s="4"/>
      <c r="TPC95" s="4"/>
      <c r="TPD95" s="4"/>
      <c r="TPE95" s="4"/>
      <c r="TPF95" s="4"/>
      <c r="TPG95" s="4"/>
      <c r="TPH95" s="4"/>
      <c r="TPI95" s="4"/>
      <c r="TPJ95" s="4"/>
      <c r="TPK95" s="4"/>
      <c r="TPL95" s="4"/>
      <c r="TPM95" s="4"/>
      <c r="TPN95" s="4"/>
      <c r="TPO95" s="4"/>
      <c r="TPP95" s="4"/>
      <c r="TPQ95" s="4"/>
      <c r="TPR95" s="4"/>
      <c r="TPS95" s="4"/>
      <c r="TPT95" s="4"/>
      <c r="TPU95" s="4"/>
      <c r="TPV95" s="4"/>
      <c r="TPW95" s="4"/>
      <c r="TPX95" s="4"/>
      <c r="TPY95" s="4"/>
      <c r="TPZ95" s="4"/>
      <c r="TQA95" s="4"/>
      <c r="TQB95" s="4"/>
      <c r="TQC95" s="4"/>
      <c r="TQD95" s="4"/>
      <c r="TQE95" s="4"/>
      <c r="TQF95" s="4"/>
      <c r="TQG95" s="4"/>
      <c r="TQH95" s="4"/>
      <c r="TQI95" s="4"/>
      <c r="TQJ95" s="4"/>
      <c r="TQK95" s="4"/>
      <c r="TQL95" s="4"/>
      <c r="TQM95" s="4"/>
      <c r="TQN95" s="4"/>
      <c r="TQO95" s="4"/>
      <c r="TQP95" s="4"/>
      <c r="TQQ95" s="4"/>
      <c r="TQR95" s="4"/>
      <c r="TQS95" s="4"/>
      <c r="TQT95" s="4"/>
      <c r="TQU95" s="4"/>
      <c r="TQV95" s="4"/>
      <c r="TQW95" s="4"/>
      <c r="TQX95" s="4"/>
      <c r="TQY95" s="4"/>
      <c r="TQZ95" s="4"/>
      <c r="TRA95" s="4"/>
      <c r="TRB95" s="4"/>
      <c r="TRC95" s="4"/>
      <c r="TRD95" s="4"/>
      <c r="TRE95" s="4"/>
      <c r="TRF95" s="4"/>
      <c r="TRG95" s="4"/>
      <c r="TRH95" s="4"/>
      <c r="TRI95" s="4"/>
      <c r="TRJ95" s="4"/>
      <c r="TRK95" s="4"/>
      <c r="TRL95" s="4"/>
      <c r="TRM95" s="4"/>
      <c r="TRN95" s="4"/>
      <c r="TRO95" s="4"/>
      <c r="TRP95" s="4"/>
      <c r="TRQ95" s="4"/>
      <c r="TRR95" s="4"/>
      <c r="TRS95" s="4"/>
      <c r="TRT95" s="4"/>
      <c r="TRU95" s="4"/>
      <c r="TRV95" s="4"/>
      <c r="TRW95" s="4"/>
      <c r="TRX95" s="4"/>
      <c r="TRY95" s="4"/>
      <c r="TRZ95" s="4"/>
      <c r="TSA95" s="4"/>
      <c r="TSB95" s="4"/>
      <c r="TSC95" s="4"/>
      <c r="TSD95" s="4"/>
      <c r="TSE95" s="4"/>
      <c r="TSF95" s="4"/>
      <c r="TSG95" s="4"/>
      <c r="TSH95" s="4"/>
      <c r="TSI95" s="4"/>
      <c r="TSJ95" s="4"/>
      <c r="TSK95" s="4"/>
      <c r="TSL95" s="4"/>
      <c r="TSM95" s="4"/>
      <c r="TSN95" s="4"/>
      <c r="TSO95" s="4"/>
      <c r="TSP95" s="4"/>
      <c r="TSQ95" s="4"/>
      <c r="TSR95" s="4"/>
      <c r="TSS95" s="4"/>
      <c r="TST95" s="4"/>
      <c r="TSU95" s="4"/>
      <c r="TSV95" s="4"/>
      <c r="TSW95" s="4"/>
      <c r="TSX95" s="4"/>
      <c r="TSY95" s="4"/>
      <c r="TSZ95" s="4"/>
      <c r="TTA95" s="4"/>
      <c r="TTB95" s="4"/>
      <c r="TTC95" s="4"/>
      <c r="TTD95" s="4"/>
      <c r="TTE95" s="4"/>
      <c r="TTF95" s="4"/>
      <c r="TTG95" s="4"/>
      <c r="TTH95" s="4"/>
      <c r="TTI95" s="4"/>
      <c r="TTJ95" s="4"/>
      <c r="TTK95" s="4"/>
      <c r="TTL95" s="4"/>
      <c r="TTM95" s="4"/>
      <c r="TTN95" s="4"/>
      <c r="TTO95" s="4"/>
      <c r="TTP95" s="4"/>
      <c r="TTQ95" s="4"/>
      <c r="TTR95" s="4"/>
      <c r="TTS95" s="4"/>
      <c r="TTT95" s="4"/>
      <c r="TTU95" s="4"/>
      <c r="TTV95" s="4"/>
      <c r="TTW95" s="4"/>
      <c r="TTX95" s="4"/>
      <c r="TTY95" s="4"/>
      <c r="TTZ95" s="4"/>
      <c r="TUA95" s="4"/>
      <c r="TUB95" s="4"/>
      <c r="TUC95" s="4"/>
      <c r="TUD95" s="4"/>
      <c r="TUE95" s="4"/>
      <c r="TUF95" s="4"/>
      <c r="TUG95" s="4"/>
      <c r="TUH95" s="4"/>
      <c r="TUI95" s="4"/>
      <c r="TUJ95" s="4"/>
      <c r="TUK95" s="4"/>
      <c r="TUL95" s="4"/>
      <c r="TUM95" s="4"/>
      <c r="TUN95" s="4"/>
      <c r="TUO95" s="4"/>
      <c r="TUP95" s="4"/>
      <c r="TUQ95" s="4"/>
      <c r="TUR95" s="4"/>
      <c r="TUS95" s="4"/>
      <c r="TUT95" s="4"/>
      <c r="TUU95" s="4"/>
      <c r="TUV95" s="4"/>
      <c r="TUW95" s="4"/>
      <c r="TUX95" s="4"/>
      <c r="TUY95" s="4"/>
      <c r="TUZ95" s="4"/>
      <c r="TVA95" s="4"/>
      <c r="TVB95" s="4"/>
      <c r="TVC95" s="4"/>
      <c r="TVD95" s="4"/>
      <c r="TVE95" s="4"/>
      <c r="TVF95" s="4"/>
      <c r="TVG95" s="4"/>
      <c r="TVH95" s="4"/>
      <c r="TVI95" s="4"/>
      <c r="TVJ95" s="4"/>
      <c r="TVK95" s="4"/>
      <c r="TVL95" s="4"/>
      <c r="TVM95" s="4"/>
      <c r="TVN95" s="4"/>
      <c r="TVO95" s="4"/>
      <c r="TVP95" s="4"/>
      <c r="TVQ95" s="4"/>
      <c r="TVR95" s="4"/>
      <c r="TVS95" s="4"/>
      <c r="TVT95" s="4"/>
      <c r="TVU95" s="4"/>
      <c r="TVV95" s="4"/>
      <c r="TVW95" s="4"/>
      <c r="TVX95" s="4"/>
      <c r="TVY95" s="4"/>
      <c r="TVZ95" s="4"/>
      <c r="TWA95" s="4"/>
      <c r="TWB95" s="4"/>
      <c r="TWC95" s="4"/>
      <c r="TWD95" s="4"/>
      <c r="TWE95" s="4"/>
      <c r="TWF95" s="4"/>
      <c r="TWG95" s="4"/>
      <c r="TWH95" s="4"/>
      <c r="TWI95" s="4"/>
      <c r="TWJ95" s="4"/>
      <c r="TWK95" s="4"/>
      <c r="TWL95" s="4"/>
      <c r="TWM95" s="4"/>
      <c r="TWN95" s="4"/>
      <c r="TWO95" s="4"/>
      <c r="TWP95" s="4"/>
      <c r="TWQ95" s="4"/>
      <c r="TWR95" s="4"/>
      <c r="TWS95" s="4"/>
      <c r="TWT95" s="4"/>
      <c r="TWU95" s="4"/>
      <c r="TWV95" s="4"/>
      <c r="TWW95" s="4"/>
      <c r="TWX95" s="4"/>
      <c r="TWY95" s="4"/>
      <c r="TWZ95" s="4"/>
      <c r="TXA95" s="4"/>
      <c r="TXB95" s="4"/>
      <c r="TXC95" s="4"/>
      <c r="TXD95" s="4"/>
      <c r="TXE95" s="4"/>
      <c r="TXF95" s="4"/>
      <c r="TXG95" s="4"/>
      <c r="TXH95" s="4"/>
      <c r="TXI95" s="4"/>
      <c r="TXJ95" s="4"/>
      <c r="TXK95" s="4"/>
      <c r="TXL95" s="4"/>
      <c r="TXM95" s="4"/>
      <c r="TXN95" s="4"/>
      <c r="TXO95" s="4"/>
      <c r="TXP95" s="4"/>
      <c r="TXQ95" s="4"/>
      <c r="TXR95" s="4"/>
      <c r="TXS95" s="4"/>
      <c r="TXT95" s="4"/>
      <c r="TXU95" s="4"/>
      <c r="TXV95" s="4"/>
      <c r="TXW95" s="4"/>
      <c r="TXX95" s="4"/>
      <c r="TXY95" s="4"/>
      <c r="TXZ95" s="4"/>
      <c r="TYA95" s="4"/>
      <c r="TYB95" s="4"/>
      <c r="TYC95" s="4"/>
      <c r="TYD95" s="4"/>
      <c r="TYE95" s="4"/>
      <c r="TYF95" s="4"/>
      <c r="TYG95" s="4"/>
      <c r="TYH95" s="4"/>
      <c r="TYI95" s="4"/>
      <c r="TYJ95" s="4"/>
      <c r="TYK95" s="4"/>
      <c r="TYL95" s="4"/>
      <c r="TYM95" s="4"/>
      <c r="TYN95" s="4"/>
      <c r="TYO95" s="4"/>
      <c r="TYP95" s="4"/>
      <c r="TYQ95" s="4"/>
      <c r="TYR95" s="4"/>
      <c r="TYS95" s="4"/>
      <c r="TYT95" s="4"/>
      <c r="TYU95" s="4"/>
      <c r="TYV95" s="4"/>
      <c r="TYW95" s="4"/>
      <c r="TYX95" s="4"/>
      <c r="TYY95" s="4"/>
      <c r="TYZ95" s="4"/>
      <c r="TZA95" s="4"/>
      <c r="TZB95" s="4"/>
      <c r="TZC95" s="4"/>
      <c r="TZD95" s="4"/>
      <c r="TZE95" s="4"/>
      <c r="TZF95" s="4"/>
      <c r="TZG95" s="4"/>
      <c r="TZH95" s="4"/>
      <c r="TZI95" s="4"/>
      <c r="TZJ95" s="4"/>
      <c r="TZK95" s="4"/>
      <c r="TZL95" s="4"/>
      <c r="TZM95" s="4"/>
      <c r="TZN95" s="4"/>
      <c r="TZO95" s="4"/>
      <c r="TZP95" s="4"/>
      <c r="TZQ95" s="4"/>
      <c r="TZR95" s="4"/>
      <c r="TZS95" s="4"/>
      <c r="TZT95" s="4"/>
      <c r="TZU95" s="4"/>
      <c r="TZV95" s="4"/>
      <c r="TZW95" s="4"/>
      <c r="TZX95" s="4"/>
      <c r="TZY95" s="4"/>
      <c r="TZZ95" s="4"/>
      <c r="UAA95" s="4"/>
      <c r="UAB95" s="4"/>
      <c r="UAC95" s="4"/>
      <c r="UAD95" s="4"/>
      <c r="UAE95" s="4"/>
      <c r="UAF95" s="4"/>
      <c r="UAG95" s="4"/>
      <c r="UAH95" s="4"/>
      <c r="UAI95" s="4"/>
      <c r="UAJ95" s="4"/>
      <c r="UAK95" s="4"/>
      <c r="UAL95" s="4"/>
      <c r="UAM95" s="4"/>
      <c r="UAN95" s="4"/>
      <c r="UAO95" s="4"/>
      <c r="UAP95" s="4"/>
      <c r="UAQ95" s="4"/>
      <c r="UAR95" s="4"/>
      <c r="UAS95" s="4"/>
      <c r="UAT95" s="4"/>
      <c r="UAU95" s="4"/>
      <c r="UAV95" s="4"/>
      <c r="UAW95" s="4"/>
      <c r="UAX95" s="4"/>
      <c r="UAY95" s="4"/>
      <c r="UAZ95" s="4"/>
      <c r="UBA95" s="4"/>
      <c r="UBB95" s="4"/>
      <c r="UBC95" s="4"/>
      <c r="UBD95" s="4"/>
      <c r="UBE95" s="4"/>
      <c r="UBF95" s="4"/>
      <c r="UBG95" s="4"/>
      <c r="UBH95" s="4"/>
      <c r="UBI95" s="4"/>
      <c r="UBJ95" s="4"/>
      <c r="UBK95" s="4"/>
      <c r="UBL95" s="4"/>
      <c r="UBM95" s="4"/>
      <c r="UBN95" s="4"/>
      <c r="UBO95" s="4"/>
      <c r="UBP95" s="4"/>
      <c r="UBQ95" s="4"/>
      <c r="UBR95" s="4"/>
      <c r="UBS95" s="4"/>
      <c r="UBT95" s="4"/>
      <c r="UBU95" s="4"/>
      <c r="UBV95" s="4"/>
      <c r="UBW95" s="4"/>
      <c r="UBX95" s="4"/>
      <c r="UBY95" s="4"/>
      <c r="UBZ95" s="4"/>
      <c r="UCA95" s="4"/>
      <c r="UCB95" s="4"/>
      <c r="UCC95" s="4"/>
      <c r="UCD95" s="4"/>
      <c r="UCE95" s="4"/>
      <c r="UCF95" s="4"/>
      <c r="UCG95" s="4"/>
      <c r="UCH95" s="4"/>
      <c r="UCI95" s="4"/>
      <c r="UCJ95" s="4"/>
      <c r="UCK95" s="4"/>
      <c r="UCL95" s="4"/>
      <c r="UCM95" s="4"/>
      <c r="UCN95" s="4"/>
      <c r="UCO95" s="4"/>
      <c r="UCP95" s="4"/>
      <c r="UCQ95" s="4"/>
      <c r="UCR95" s="4"/>
      <c r="UCS95" s="4"/>
      <c r="UCT95" s="4"/>
      <c r="UCU95" s="4"/>
      <c r="UCV95" s="4"/>
      <c r="UCW95" s="4"/>
      <c r="UCX95" s="4"/>
      <c r="UCY95" s="4"/>
      <c r="UCZ95" s="4"/>
      <c r="UDA95" s="4"/>
      <c r="UDB95" s="4"/>
      <c r="UDC95" s="4"/>
      <c r="UDD95" s="4"/>
      <c r="UDE95" s="4"/>
      <c r="UDF95" s="4"/>
      <c r="UDG95" s="4"/>
      <c r="UDH95" s="4"/>
      <c r="UDI95" s="4"/>
      <c r="UDJ95" s="4"/>
      <c r="UDK95" s="4"/>
      <c r="UDL95" s="4"/>
      <c r="UDM95" s="4"/>
      <c r="UDN95" s="4"/>
      <c r="UDO95" s="4"/>
      <c r="UDP95" s="4"/>
      <c r="UDQ95" s="4"/>
      <c r="UDR95" s="4"/>
      <c r="UDS95" s="4"/>
      <c r="UDT95" s="4"/>
      <c r="UDU95" s="4"/>
      <c r="UDV95" s="4"/>
      <c r="UDW95" s="4"/>
      <c r="UDX95" s="4"/>
      <c r="UDY95" s="4"/>
      <c r="UDZ95" s="4"/>
      <c r="UEA95" s="4"/>
      <c r="UEB95" s="4"/>
      <c r="UEC95" s="4"/>
      <c r="UED95" s="4"/>
      <c r="UEE95" s="4"/>
      <c r="UEF95" s="4"/>
      <c r="UEG95" s="4"/>
      <c r="UEH95" s="4"/>
      <c r="UEI95" s="4"/>
      <c r="UEJ95" s="4"/>
      <c r="UEK95" s="4"/>
      <c r="UEL95" s="4"/>
      <c r="UEM95" s="4"/>
      <c r="UEN95" s="4"/>
      <c r="UEO95" s="4"/>
      <c r="UEP95" s="4"/>
      <c r="UEQ95" s="4"/>
      <c r="UER95" s="4"/>
      <c r="UES95" s="4"/>
      <c r="UET95" s="4"/>
      <c r="UEU95" s="4"/>
      <c r="UEV95" s="4"/>
      <c r="UEW95" s="4"/>
      <c r="UEX95" s="4"/>
      <c r="UEY95" s="4"/>
      <c r="UEZ95" s="4"/>
      <c r="UFA95" s="4"/>
      <c r="UFB95" s="4"/>
      <c r="UFC95" s="4"/>
      <c r="UFD95" s="4"/>
      <c r="UFE95" s="4"/>
      <c r="UFF95" s="4"/>
      <c r="UFG95" s="4"/>
      <c r="UFH95" s="4"/>
      <c r="UFI95" s="4"/>
      <c r="UFJ95" s="4"/>
      <c r="UFK95" s="4"/>
      <c r="UFL95" s="4"/>
      <c r="UFM95" s="4"/>
      <c r="UFN95" s="4"/>
      <c r="UFO95" s="4"/>
      <c r="UFP95" s="4"/>
      <c r="UFQ95" s="4"/>
      <c r="UFR95" s="4"/>
      <c r="UFS95" s="4"/>
      <c r="UFT95" s="4"/>
      <c r="UFU95" s="4"/>
      <c r="UFV95" s="4"/>
      <c r="UFW95" s="4"/>
      <c r="UFX95" s="4"/>
      <c r="UFY95" s="4"/>
      <c r="UFZ95" s="4"/>
      <c r="UGA95" s="4"/>
      <c r="UGB95" s="4"/>
      <c r="UGC95" s="4"/>
      <c r="UGD95" s="4"/>
      <c r="UGE95" s="4"/>
      <c r="UGF95" s="4"/>
      <c r="UGG95" s="4"/>
      <c r="UGH95" s="4"/>
      <c r="UGI95" s="4"/>
      <c r="UGJ95" s="4"/>
      <c r="UGK95" s="4"/>
      <c r="UGL95" s="4"/>
      <c r="UGM95" s="4"/>
      <c r="UGN95" s="4"/>
      <c r="UGO95" s="4"/>
      <c r="UGP95" s="4"/>
      <c r="UGQ95" s="4"/>
      <c r="UGR95" s="4"/>
      <c r="UGS95" s="4"/>
      <c r="UGT95" s="4"/>
      <c r="UGU95" s="4"/>
      <c r="UGV95" s="4"/>
      <c r="UGW95" s="4"/>
      <c r="UGX95" s="4"/>
      <c r="UGY95" s="4"/>
      <c r="UGZ95" s="4"/>
      <c r="UHA95" s="4"/>
      <c r="UHB95" s="4"/>
      <c r="UHC95" s="4"/>
      <c r="UHD95" s="4"/>
      <c r="UHE95" s="4"/>
      <c r="UHF95" s="4"/>
      <c r="UHG95" s="4"/>
      <c r="UHH95" s="4"/>
      <c r="UHI95" s="4"/>
      <c r="UHJ95" s="4"/>
      <c r="UHK95" s="4"/>
      <c r="UHL95" s="4"/>
      <c r="UHM95" s="4"/>
      <c r="UHN95" s="4"/>
      <c r="UHO95" s="4"/>
      <c r="UHP95" s="4"/>
      <c r="UHQ95" s="4"/>
      <c r="UHR95" s="4"/>
      <c r="UHS95" s="4"/>
      <c r="UHT95" s="4"/>
      <c r="UHU95" s="4"/>
      <c r="UHV95" s="4"/>
      <c r="UHW95" s="4"/>
      <c r="UHX95" s="4"/>
      <c r="UHY95" s="4"/>
      <c r="UHZ95" s="4"/>
      <c r="UIA95" s="4"/>
      <c r="UIB95" s="4"/>
      <c r="UIC95" s="4"/>
      <c r="UID95" s="4"/>
      <c r="UIE95" s="4"/>
      <c r="UIF95" s="4"/>
      <c r="UIG95" s="4"/>
      <c r="UIH95" s="4"/>
      <c r="UII95" s="4"/>
      <c r="UIJ95" s="4"/>
      <c r="UIK95" s="4"/>
      <c r="UIL95" s="4"/>
      <c r="UIM95" s="4"/>
      <c r="UIN95" s="4"/>
      <c r="UIO95" s="4"/>
      <c r="UIP95" s="4"/>
      <c r="UIQ95" s="4"/>
      <c r="UIR95" s="4"/>
      <c r="UIS95" s="4"/>
      <c r="UIT95" s="4"/>
      <c r="UIU95" s="4"/>
      <c r="UIV95" s="4"/>
      <c r="UIW95" s="4"/>
      <c r="UIX95" s="4"/>
      <c r="UIY95" s="4"/>
      <c r="UIZ95" s="4"/>
      <c r="UJA95" s="4"/>
      <c r="UJB95" s="4"/>
      <c r="UJC95" s="4"/>
      <c r="UJD95" s="4"/>
      <c r="UJE95" s="4"/>
      <c r="UJF95" s="4"/>
      <c r="UJG95" s="4"/>
      <c r="UJH95" s="4"/>
      <c r="UJI95" s="4"/>
      <c r="UJJ95" s="4"/>
      <c r="UJK95" s="4"/>
      <c r="UJL95" s="4"/>
      <c r="UJM95" s="4"/>
      <c r="UJN95" s="4"/>
      <c r="UJO95" s="4"/>
      <c r="UJP95" s="4"/>
      <c r="UJQ95" s="4"/>
      <c r="UJR95" s="4"/>
      <c r="UJS95" s="4"/>
      <c r="UJT95" s="4"/>
      <c r="UJU95" s="4"/>
      <c r="UJV95" s="4"/>
      <c r="UJW95" s="4"/>
      <c r="UJX95" s="4"/>
      <c r="UJY95" s="4"/>
      <c r="UJZ95" s="4"/>
      <c r="UKA95" s="4"/>
      <c r="UKB95" s="4"/>
      <c r="UKC95" s="4"/>
      <c r="UKD95" s="4"/>
      <c r="UKE95" s="4"/>
      <c r="UKF95" s="4"/>
      <c r="UKG95" s="4"/>
      <c r="UKH95" s="4"/>
      <c r="UKI95" s="4"/>
      <c r="UKJ95" s="4"/>
      <c r="UKK95" s="4"/>
      <c r="UKL95" s="4"/>
      <c r="UKM95" s="4"/>
      <c r="UKN95" s="4"/>
      <c r="UKO95" s="4"/>
      <c r="UKP95" s="4"/>
      <c r="UKQ95" s="4"/>
      <c r="UKR95" s="4"/>
      <c r="UKS95" s="4"/>
      <c r="UKT95" s="4"/>
      <c r="UKU95" s="4"/>
      <c r="UKV95" s="4"/>
      <c r="UKW95" s="4"/>
      <c r="UKX95" s="4"/>
      <c r="UKY95" s="4"/>
      <c r="UKZ95" s="4"/>
      <c r="ULA95" s="4"/>
      <c r="ULB95" s="4"/>
      <c r="ULC95" s="4"/>
      <c r="ULD95" s="4"/>
      <c r="ULE95" s="4"/>
      <c r="ULF95" s="4"/>
      <c r="ULG95" s="4"/>
      <c r="ULH95" s="4"/>
      <c r="ULI95" s="4"/>
      <c r="ULJ95" s="4"/>
      <c r="ULK95" s="4"/>
      <c r="ULL95" s="4"/>
      <c r="ULM95" s="4"/>
      <c r="ULN95" s="4"/>
      <c r="ULO95" s="4"/>
      <c r="ULP95" s="4"/>
      <c r="ULQ95" s="4"/>
      <c r="ULR95" s="4"/>
      <c r="ULS95" s="4"/>
      <c r="ULT95" s="4"/>
      <c r="ULU95" s="4"/>
      <c r="ULV95" s="4"/>
      <c r="ULW95" s="4"/>
      <c r="ULX95" s="4"/>
      <c r="ULY95" s="4"/>
      <c r="ULZ95" s="4"/>
      <c r="UMA95" s="4"/>
      <c r="UMB95" s="4"/>
      <c r="UMC95" s="4"/>
      <c r="UMD95" s="4"/>
      <c r="UME95" s="4"/>
      <c r="UMF95" s="4"/>
      <c r="UMG95" s="4"/>
      <c r="UMH95" s="4"/>
      <c r="UMI95" s="4"/>
      <c r="UMJ95" s="4"/>
      <c r="UMK95" s="4"/>
      <c r="UML95" s="4"/>
      <c r="UMM95" s="4"/>
      <c r="UMN95" s="4"/>
      <c r="UMO95" s="4"/>
      <c r="UMP95" s="4"/>
      <c r="UMQ95" s="4"/>
      <c r="UMR95" s="4"/>
      <c r="UMS95" s="4"/>
      <c r="UMT95" s="4"/>
      <c r="UMU95" s="4"/>
      <c r="UMV95" s="4"/>
      <c r="UMW95" s="4"/>
      <c r="UMX95" s="4"/>
      <c r="UMY95" s="4"/>
      <c r="UMZ95" s="4"/>
      <c r="UNA95" s="4"/>
      <c r="UNB95" s="4"/>
      <c r="UNC95" s="4"/>
      <c r="UND95" s="4"/>
      <c r="UNE95" s="4"/>
      <c r="UNF95" s="4"/>
      <c r="UNG95" s="4"/>
      <c r="UNH95" s="4"/>
      <c r="UNI95" s="4"/>
      <c r="UNJ95" s="4"/>
      <c r="UNK95" s="4"/>
      <c r="UNL95" s="4"/>
      <c r="UNM95" s="4"/>
      <c r="UNN95" s="4"/>
      <c r="UNO95" s="4"/>
      <c r="UNP95" s="4"/>
      <c r="UNQ95" s="4"/>
      <c r="UNR95" s="4"/>
      <c r="UNS95" s="4"/>
      <c r="UNT95" s="4"/>
      <c r="UNU95" s="4"/>
      <c r="UNV95" s="4"/>
      <c r="UNW95" s="4"/>
      <c r="UNX95" s="4"/>
      <c r="UNY95" s="4"/>
      <c r="UNZ95" s="4"/>
      <c r="UOA95" s="4"/>
      <c r="UOB95" s="4"/>
      <c r="UOC95" s="4"/>
      <c r="UOD95" s="4"/>
      <c r="UOE95" s="4"/>
      <c r="UOF95" s="4"/>
      <c r="UOG95" s="4"/>
      <c r="UOH95" s="4"/>
      <c r="UOI95" s="4"/>
      <c r="UOJ95" s="4"/>
      <c r="UOK95" s="4"/>
      <c r="UOL95" s="4"/>
      <c r="UOM95" s="4"/>
      <c r="UON95" s="4"/>
      <c r="UOO95" s="4"/>
      <c r="UOP95" s="4"/>
      <c r="UOQ95" s="4"/>
      <c r="UOR95" s="4"/>
      <c r="UOS95" s="4"/>
      <c r="UOT95" s="4"/>
      <c r="UOU95" s="4"/>
      <c r="UOV95" s="4"/>
      <c r="UOW95" s="4"/>
      <c r="UOX95" s="4"/>
      <c r="UOY95" s="4"/>
      <c r="UOZ95" s="4"/>
      <c r="UPA95" s="4"/>
      <c r="UPB95" s="4"/>
      <c r="UPC95" s="4"/>
      <c r="UPD95" s="4"/>
      <c r="UPE95" s="4"/>
      <c r="UPF95" s="4"/>
      <c r="UPG95" s="4"/>
      <c r="UPH95" s="4"/>
      <c r="UPI95" s="4"/>
      <c r="UPJ95" s="4"/>
      <c r="UPK95" s="4"/>
      <c r="UPL95" s="4"/>
      <c r="UPM95" s="4"/>
      <c r="UPN95" s="4"/>
      <c r="UPO95" s="4"/>
      <c r="UPP95" s="4"/>
      <c r="UPQ95" s="4"/>
      <c r="UPR95" s="4"/>
      <c r="UPS95" s="4"/>
      <c r="UPT95" s="4"/>
      <c r="UPU95" s="4"/>
      <c r="UPV95" s="4"/>
      <c r="UPW95" s="4"/>
      <c r="UPX95" s="4"/>
      <c r="UPY95" s="4"/>
      <c r="UPZ95" s="4"/>
      <c r="UQA95" s="4"/>
      <c r="UQB95" s="4"/>
      <c r="UQC95" s="4"/>
      <c r="UQD95" s="4"/>
      <c r="UQE95" s="4"/>
      <c r="UQF95" s="4"/>
      <c r="UQG95" s="4"/>
      <c r="UQH95" s="4"/>
      <c r="UQI95" s="4"/>
      <c r="UQJ95" s="4"/>
      <c r="UQK95" s="4"/>
      <c r="UQL95" s="4"/>
      <c r="UQM95" s="4"/>
      <c r="UQN95" s="4"/>
      <c r="UQO95" s="4"/>
      <c r="UQP95" s="4"/>
      <c r="UQQ95" s="4"/>
      <c r="UQR95" s="4"/>
      <c r="UQS95" s="4"/>
      <c r="UQT95" s="4"/>
      <c r="UQU95" s="4"/>
      <c r="UQV95" s="4"/>
      <c r="UQW95" s="4"/>
      <c r="UQX95" s="4"/>
      <c r="UQY95" s="4"/>
      <c r="UQZ95" s="4"/>
      <c r="URA95" s="4"/>
      <c r="URB95" s="4"/>
      <c r="URC95" s="4"/>
      <c r="URD95" s="4"/>
      <c r="URE95" s="4"/>
      <c r="URF95" s="4"/>
      <c r="URG95" s="4"/>
      <c r="URH95" s="4"/>
      <c r="URI95" s="4"/>
      <c r="URJ95" s="4"/>
      <c r="URK95" s="4"/>
      <c r="URL95" s="4"/>
      <c r="URM95" s="4"/>
      <c r="URN95" s="4"/>
      <c r="URO95" s="4"/>
      <c r="URP95" s="4"/>
      <c r="URQ95" s="4"/>
      <c r="URR95" s="4"/>
      <c r="URS95" s="4"/>
      <c r="URT95" s="4"/>
      <c r="URU95" s="4"/>
      <c r="URV95" s="4"/>
      <c r="URW95" s="4"/>
      <c r="URX95" s="4"/>
      <c r="URY95" s="4"/>
      <c r="URZ95" s="4"/>
      <c r="USA95" s="4"/>
      <c r="USB95" s="4"/>
      <c r="USC95" s="4"/>
      <c r="USD95" s="4"/>
      <c r="USE95" s="4"/>
      <c r="USF95" s="4"/>
      <c r="USG95" s="4"/>
      <c r="USH95" s="4"/>
      <c r="USI95" s="4"/>
      <c r="USJ95" s="4"/>
      <c r="USK95" s="4"/>
      <c r="USL95" s="4"/>
      <c r="USM95" s="4"/>
      <c r="USN95" s="4"/>
      <c r="USO95" s="4"/>
      <c r="USP95" s="4"/>
      <c r="USQ95" s="4"/>
      <c r="USR95" s="4"/>
      <c r="USS95" s="4"/>
      <c r="UST95" s="4"/>
      <c r="USU95" s="4"/>
      <c r="USV95" s="4"/>
      <c r="USW95" s="4"/>
      <c r="USX95" s="4"/>
      <c r="USY95" s="4"/>
      <c r="USZ95" s="4"/>
      <c r="UTA95" s="4"/>
      <c r="UTB95" s="4"/>
      <c r="UTC95" s="4"/>
      <c r="UTD95" s="4"/>
      <c r="UTE95" s="4"/>
      <c r="UTF95" s="4"/>
      <c r="UTG95" s="4"/>
      <c r="UTH95" s="4"/>
      <c r="UTI95" s="4"/>
      <c r="UTJ95" s="4"/>
      <c r="UTK95" s="4"/>
      <c r="UTL95" s="4"/>
      <c r="UTM95" s="4"/>
      <c r="UTN95" s="4"/>
      <c r="UTO95" s="4"/>
      <c r="UTP95" s="4"/>
      <c r="UTQ95" s="4"/>
      <c r="UTR95" s="4"/>
      <c r="UTS95" s="4"/>
      <c r="UTT95" s="4"/>
      <c r="UTU95" s="4"/>
      <c r="UTV95" s="4"/>
      <c r="UTW95" s="4"/>
      <c r="UTX95" s="4"/>
      <c r="UTY95" s="4"/>
      <c r="UTZ95" s="4"/>
      <c r="UUA95" s="4"/>
      <c r="UUB95" s="4"/>
      <c r="UUC95" s="4"/>
      <c r="UUD95" s="4"/>
      <c r="UUE95" s="4"/>
      <c r="UUF95" s="4"/>
      <c r="UUG95" s="4"/>
      <c r="UUH95" s="4"/>
      <c r="UUI95" s="4"/>
      <c r="UUJ95" s="4"/>
      <c r="UUK95" s="4"/>
      <c r="UUL95" s="4"/>
      <c r="UUM95" s="4"/>
      <c r="UUN95" s="4"/>
      <c r="UUO95" s="4"/>
      <c r="UUP95" s="4"/>
      <c r="UUQ95" s="4"/>
      <c r="UUR95" s="4"/>
      <c r="UUS95" s="4"/>
      <c r="UUT95" s="4"/>
      <c r="UUU95" s="4"/>
      <c r="UUV95" s="4"/>
      <c r="UUW95" s="4"/>
      <c r="UUX95" s="4"/>
      <c r="UUY95" s="4"/>
      <c r="UUZ95" s="4"/>
      <c r="UVA95" s="4"/>
      <c r="UVB95" s="4"/>
      <c r="UVC95" s="4"/>
      <c r="UVD95" s="4"/>
      <c r="UVE95" s="4"/>
      <c r="UVF95" s="4"/>
      <c r="UVG95" s="4"/>
      <c r="UVH95" s="4"/>
      <c r="UVI95" s="4"/>
      <c r="UVJ95" s="4"/>
      <c r="UVK95" s="4"/>
      <c r="UVL95" s="4"/>
      <c r="UVM95" s="4"/>
      <c r="UVN95" s="4"/>
      <c r="UVO95" s="4"/>
      <c r="UVP95" s="4"/>
      <c r="UVQ95" s="4"/>
      <c r="UVR95" s="4"/>
      <c r="UVS95" s="4"/>
      <c r="UVT95" s="4"/>
      <c r="UVU95" s="4"/>
      <c r="UVV95" s="4"/>
      <c r="UVW95" s="4"/>
      <c r="UVX95" s="4"/>
      <c r="UVY95" s="4"/>
      <c r="UVZ95" s="4"/>
      <c r="UWA95" s="4"/>
      <c r="UWB95" s="4"/>
      <c r="UWC95" s="4"/>
      <c r="UWD95" s="4"/>
      <c r="UWE95" s="4"/>
      <c r="UWF95" s="4"/>
      <c r="UWG95" s="4"/>
      <c r="UWH95" s="4"/>
      <c r="UWI95" s="4"/>
      <c r="UWJ95" s="4"/>
      <c r="UWK95" s="4"/>
      <c r="UWL95" s="4"/>
      <c r="UWM95" s="4"/>
      <c r="UWN95" s="4"/>
      <c r="UWO95" s="4"/>
      <c r="UWP95" s="4"/>
      <c r="UWQ95" s="4"/>
      <c r="UWR95" s="4"/>
      <c r="UWS95" s="4"/>
      <c r="UWT95" s="4"/>
      <c r="UWU95" s="4"/>
      <c r="UWV95" s="4"/>
      <c r="UWW95" s="4"/>
      <c r="UWX95" s="4"/>
      <c r="UWY95" s="4"/>
      <c r="UWZ95" s="4"/>
      <c r="UXA95" s="4"/>
      <c r="UXB95" s="4"/>
      <c r="UXC95" s="4"/>
      <c r="UXD95" s="4"/>
      <c r="UXE95" s="4"/>
      <c r="UXF95" s="4"/>
      <c r="UXG95" s="4"/>
      <c r="UXH95" s="4"/>
      <c r="UXI95" s="4"/>
      <c r="UXJ95" s="4"/>
      <c r="UXK95" s="4"/>
      <c r="UXL95" s="4"/>
      <c r="UXM95" s="4"/>
      <c r="UXN95" s="4"/>
      <c r="UXO95" s="4"/>
      <c r="UXP95" s="4"/>
      <c r="UXQ95" s="4"/>
      <c r="UXR95" s="4"/>
      <c r="UXS95" s="4"/>
      <c r="UXT95" s="4"/>
      <c r="UXU95" s="4"/>
      <c r="UXV95" s="4"/>
      <c r="UXW95" s="4"/>
      <c r="UXX95" s="4"/>
      <c r="UXY95" s="4"/>
      <c r="UXZ95" s="4"/>
      <c r="UYA95" s="4"/>
      <c r="UYB95" s="4"/>
      <c r="UYC95" s="4"/>
      <c r="UYD95" s="4"/>
      <c r="UYE95" s="4"/>
      <c r="UYF95" s="4"/>
      <c r="UYG95" s="4"/>
      <c r="UYH95" s="4"/>
      <c r="UYI95" s="4"/>
      <c r="UYJ95" s="4"/>
      <c r="UYK95" s="4"/>
      <c r="UYL95" s="4"/>
      <c r="UYM95" s="4"/>
      <c r="UYN95" s="4"/>
      <c r="UYO95" s="4"/>
      <c r="UYP95" s="4"/>
      <c r="UYQ95" s="4"/>
      <c r="UYR95" s="4"/>
      <c r="UYS95" s="4"/>
      <c r="UYT95" s="4"/>
      <c r="UYU95" s="4"/>
      <c r="UYV95" s="4"/>
      <c r="UYW95" s="4"/>
      <c r="UYX95" s="4"/>
      <c r="UYY95" s="4"/>
      <c r="UYZ95" s="4"/>
      <c r="UZA95" s="4"/>
      <c r="UZB95" s="4"/>
      <c r="UZC95" s="4"/>
      <c r="UZD95" s="4"/>
      <c r="UZE95" s="4"/>
      <c r="UZF95" s="4"/>
      <c r="UZG95" s="4"/>
      <c r="UZH95" s="4"/>
      <c r="UZI95" s="4"/>
      <c r="UZJ95" s="4"/>
      <c r="UZK95" s="4"/>
      <c r="UZL95" s="4"/>
      <c r="UZM95" s="4"/>
      <c r="UZN95" s="4"/>
      <c r="UZO95" s="4"/>
      <c r="UZP95" s="4"/>
      <c r="UZQ95" s="4"/>
      <c r="UZR95" s="4"/>
      <c r="UZS95" s="4"/>
      <c r="UZT95" s="4"/>
      <c r="UZU95" s="4"/>
      <c r="UZV95" s="4"/>
      <c r="UZW95" s="4"/>
      <c r="UZX95" s="4"/>
      <c r="UZY95" s="4"/>
      <c r="UZZ95" s="4"/>
      <c r="VAA95" s="4"/>
      <c r="VAB95" s="4"/>
      <c r="VAC95" s="4"/>
      <c r="VAD95" s="4"/>
      <c r="VAE95" s="4"/>
      <c r="VAF95" s="4"/>
      <c r="VAG95" s="4"/>
      <c r="VAH95" s="4"/>
      <c r="VAI95" s="4"/>
      <c r="VAJ95" s="4"/>
      <c r="VAK95" s="4"/>
      <c r="VAL95" s="4"/>
      <c r="VAM95" s="4"/>
      <c r="VAN95" s="4"/>
      <c r="VAO95" s="4"/>
      <c r="VAP95" s="4"/>
      <c r="VAQ95" s="4"/>
      <c r="VAR95" s="4"/>
      <c r="VAS95" s="4"/>
      <c r="VAT95" s="4"/>
      <c r="VAU95" s="4"/>
      <c r="VAV95" s="4"/>
      <c r="VAW95" s="4"/>
      <c r="VAX95" s="4"/>
      <c r="VAY95" s="4"/>
      <c r="VAZ95" s="4"/>
      <c r="VBA95" s="4"/>
      <c r="VBB95" s="4"/>
      <c r="VBC95" s="4"/>
      <c r="VBD95" s="4"/>
      <c r="VBE95" s="4"/>
      <c r="VBF95" s="4"/>
      <c r="VBG95" s="4"/>
      <c r="VBH95" s="4"/>
      <c r="VBI95" s="4"/>
      <c r="VBJ95" s="4"/>
      <c r="VBK95" s="4"/>
      <c r="VBL95" s="4"/>
      <c r="VBM95" s="4"/>
      <c r="VBN95" s="4"/>
      <c r="VBO95" s="4"/>
      <c r="VBP95" s="4"/>
      <c r="VBQ95" s="4"/>
      <c r="VBR95" s="4"/>
      <c r="VBS95" s="4"/>
      <c r="VBT95" s="4"/>
      <c r="VBU95" s="4"/>
      <c r="VBV95" s="4"/>
      <c r="VBW95" s="4"/>
      <c r="VBX95" s="4"/>
      <c r="VBY95" s="4"/>
      <c r="VBZ95" s="4"/>
      <c r="VCA95" s="4"/>
      <c r="VCB95" s="4"/>
      <c r="VCC95" s="4"/>
      <c r="VCD95" s="4"/>
      <c r="VCE95" s="4"/>
      <c r="VCF95" s="4"/>
      <c r="VCG95" s="4"/>
      <c r="VCH95" s="4"/>
      <c r="VCI95" s="4"/>
      <c r="VCJ95" s="4"/>
      <c r="VCK95" s="4"/>
      <c r="VCL95" s="4"/>
      <c r="VCM95" s="4"/>
      <c r="VCN95" s="4"/>
      <c r="VCO95" s="4"/>
      <c r="VCP95" s="4"/>
      <c r="VCQ95" s="4"/>
      <c r="VCR95" s="4"/>
      <c r="VCS95" s="4"/>
      <c r="VCT95" s="4"/>
      <c r="VCU95" s="4"/>
      <c r="VCV95" s="4"/>
      <c r="VCW95" s="4"/>
      <c r="VCX95" s="4"/>
      <c r="VCY95" s="4"/>
      <c r="VCZ95" s="4"/>
      <c r="VDA95" s="4"/>
      <c r="VDB95" s="4"/>
      <c r="VDC95" s="4"/>
      <c r="VDD95" s="4"/>
      <c r="VDE95" s="4"/>
      <c r="VDF95" s="4"/>
      <c r="VDG95" s="4"/>
      <c r="VDH95" s="4"/>
      <c r="VDI95" s="4"/>
      <c r="VDJ95" s="4"/>
      <c r="VDK95" s="4"/>
      <c r="VDL95" s="4"/>
      <c r="VDM95" s="4"/>
      <c r="VDN95" s="4"/>
      <c r="VDO95" s="4"/>
      <c r="VDP95" s="4"/>
      <c r="VDQ95" s="4"/>
      <c r="VDR95" s="4"/>
      <c r="VDS95" s="4"/>
      <c r="VDT95" s="4"/>
      <c r="VDU95" s="4"/>
      <c r="VDV95" s="4"/>
      <c r="VDW95" s="4"/>
      <c r="VDX95" s="4"/>
      <c r="VDY95" s="4"/>
      <c r="VDZ95" s="4"/>
      <c r="VEA95" s="4"/>
      <c r="VEB95" s="4"/>
      <c r="VEC95" s="4"/>
      <c r="VED95" s="4"/>
      <c r="VEE95" s="4"/>
      <c r="VEF95" s="4"/>
      <c r="VEG95" s="4"/>
      <c r="VEH95" s="4"/>
      <c r="VEI95" s="4"/>
      <c r="VEJ95" s="4"/>
      <c r="VEK95" s="4"/>
      <c r="VEL95" s="4"/>
      <c r="VEM95" s="4"/>
      <c r="VEN95" s="4"/>
      <c r="VEO95" s="4"/>
      <c r="VEP95" s="4"/>
      <c r="VEQ95" s="4"/>
      <c r="VER95" s="4"/>
      <c r="VES95" s="4"/>
      <c r="VET95" s="4"/>
      <c r="VEU95" s="4"/>
      <c r="VEV95" s="4"/>
      <c r="VEW95" s="4"/>
      <c r="VEX95" s="4"/>
      <c r="VEY95" s="4"/>
      <c r="VEZ95" s="4"/>
      <c r="VFA95" s="4"/>
      <c r="VFB95" s="4"/>
      <c r="VFC95" s="4"/>
      <c r="VFD95" s="4"/>
      <c r="VFE95" s="4"/>
      <c r="VFF95" s="4"/>
      <c r="VFG95" s="4"/>
      <c r="VFH95" s="4"/>
      <c r="VFI95" s="4"/>
      <c r="VFJ95" s="4"/>
      <c r="VFK95" s="4"/>
      <c r="VFL95" s="4"/>
      <c r="VFM95" s="4"/>
      <c r="VFN95" s="4"/>
      <c r="VFO95" s="4"/>
      <c r="VFP95" s="4"/>
      <c r="VFQ95" s="4"/>
      <c r="VFR95" s="4"/>
      <c r="VFS95" s="4"/>
      <c r="VFT95" s="4"/>
      <c r="VFU95" s="4"/>
      <c r="VFV95" s="4"/>
      <c r="VFW95" s="4"/>
      <c r="VFX95" s="4"/>
      <c r="VFY95" s="4"/>
      <c r="VFZ95" s="4"/>
      <c r="VGA95" s="4"/>
      <c r="VGB95" s="4"/>
      <c r="VGC95" s="4"/>
      <c r="VGD95" s="4"/>
      <c r="VGE95" s="4"/>
      <c r="VGF95" s="4"/>
      <c r="VGG95" s="4"/>
      <c r="VGH95" s="4"/>
      <c r="VGI95" s="4"/>
      <c r="VGJ95" s="4"/>
      <c r="VGK95" s="4"/>
      <c r="VGL95" s="4"/>
      <c r="VGM95" s="4"/>
      <c r="VGN95" s="4"/>
      <c r="VGO95" s="4"/>
      <c r="VGP95" s="4"/>
      <c r="VGQ95" s="4"/>
      <c r="VGR95" s="4"/>
      <c r="VGS95" s="4"/>
      <c r="VGT95" s="4"/>
      <c r="VGU95" s="4"/>
      <c r="VGV95" s="4"/>
      <c r="VGW95" s="4"/>
      <c r="VGX95" s="4"/>
      <c r="VGY95" s="4"/>
      <c r="VGZ95" s="4"/>
      <c r="VHA95" s="4"/>
      <c r="VHB95" s="4"/>
      <c r="VHC95" s="4"/>
      <c r="VHD95" s="4"/>
      <c r="VHE95" s="4"/>
      <c r="VHF95" s="4"/>
      <c r="VHG95" s="4"/>
      <c r="VHH95" s="4"/>
      <c r="VHI95" s="4"/>
      <c r="VHJ95" s="4"/>
      <c r="VHK95" s="4"/>
      <c r="VHL95" s="4"/>
      <c r="VHM95" s="4"/>
      <c r="VHN95" s="4"/>
      <c r="VHO95" s="4"/>
      <c r="VHP95" s="4"/>
      <c r="VHQ95" s="4"/>
      <c r="VHR95" s="4"/>
      <c r="VHS95" s="4"/>
      <c r="VHT95" s="4"/>
      <c r="VHU95" s="4"/>
      <c r="VHV95" s="4"/>
      <c r="VHW95" s="4"/>
      <c r="VHX95" s="4"/>
      <c r="VHY95" s="4"/>
      <c r="VHZ95" s="4"/>
      <c r="VIA95" s="4"/>
      <c r="VIB95" s="4"/>
      <c r="VIC95" s="4"/>
      <c r="VID95" s="4"/>
      <c r="VIE95" s="4"/>
      <c r="VIF95" s="4"/>
      <c r="VIG95" s="4"/>
      <c r="VIH95" s="4"/>
      <c r="VII95" s="4"/>
      <c r="VIJ95" s="4"/>
      <c r="VIK95" s="4"/>
      <c r="VIL95" s="4"/>
      <c r="VIM95" s="4"/>
      <c r="VIN95" s="4"/>
      <c r="VIO95" s="4"/>
      <c r="VIP95" s="4"/>
      <c r="VIQ95" s="4"/>
      <c r="VIR95" s="4"/>
      <c r="VIS95" s="4"/>
      <c r="VIT95" s="4"/>
      <c r="VIU95" s="4"/>
      <c r="VIV95" s="4"/>
      <c r="VIW95" s="4"/>
      <c r="VIX95" s="4"/>
      <c r="VIY95" s="4"/>
      <c r="VIZ95" s="4"/>
      <c r="VJA95" s="4"/>
      <c r="VJB95" s="4"/>
      <c r="VJC95" s="4"/>
      <c r="VJD95" s="4"/>
      <c r="VJE95" s="4"/>
      <c r="VJF95" s="4"/>
      <c r="VJG95" s="4"/>
      <c r="VJH95" s="4"/>
      <c r="VJI95" s="4"/>
      <c r="VJJ95" s="4"/>
      <c r="VJK95" s="4"/>
      <c r="VJL95" s="4"/>
      <c r="VJM95" s="4"/>
      <c r="VJN95" s="4"/>
      <c r="VJO95" s="4"/>
      <c r="VJP95" s="4"/>
      <c r="VJQ95" s="4"/>
      <c r="VJR95" s="4"/>
      <c r="VJS95" s="4"/>
      <c r="VJT95" s="4"/>
      <c r="VJU95" s="4"/>
      <c r="VJV95" s="4"/>
      <c r="VJW95" s="4"/>
      <c r="VJX95" s="4"/>
      <c r="VJY95" s="4"/>
      <c r="VJZ95" s="4"/>
      <c r="VKA95" s="4"/>
      <c r="VKB95" s="4"/>
      <c r="VKC95" s="4"/>
      <c r="VKD95" s="4"/>
      <c r="VKE95" s="4"/>
      <c r="VKF95" s="4"/>
      <c r="VKG95" s="4"/>
      <c r="VKH95" s="4"/>
      <c r="VKI95" s="4"/>
      <c r="VKJ95" s="4"/>
      <c r="VKK95" s="4"/>
      <c r="VKL95" s="4"/>
      <c r="VKM95" s="4"/>
      <c r="VKN95" s="4"/>
      <c r="VKO95" s="4"/>
      <c r="VKP95" s="4"/>
      <c r="VKQ95" s="4"/>
      <c r="VKR95" s="4"/>
      <c r="VKS95" s="4"/>
      <c r="VKT95" s="4"/>
      <c r="VKU95" s="4"/>
      <c r="VKV95" s="4"/>
      <c r="VKW95" s="4"/>
      <c r="VKX95" s="4"/>
      <c r="VKY95" s="4"/>
      <c r="VKZ95" s="4"/>
      <c r="VLA95" s="4"/>
      <c r="VLB95" s="4"/>
      <c r="VLC95" s="4"/>
      <c r="VLD95" s="4"/>
      <c r="VLE95" s="4"/>
      <c r="VLF95" s="4"/>
      <c r="VLG95" s="4"/>
      <c r="VLH95" s="4"/>
      <c r="VLI95" s="4"/>
      <c r="VLJ95" s="4"/>
      <c r="VLK95" s="4"/>
      <c r="VLL95" s="4"/>
      <c r="VLM95" s="4"/>
      <c r="VLN95" s="4"/>
      <c r="VLO95" s="4"/>
      <c r="VLP95" s="4"/>
      <c r="VLQ95" s="4"/>
      <c r="VLR95" s="4"/>
      <c r="VLS95" s="4"/>
      <c r="VLT95" s="4"/>
      <c r="VLU95" s="4"/>
      <c r="VLV95" s="4"/>
      <c r="VLW95" s="4"/>
      <c r="VLX95" s="4"/>
      <c r="VLY95" s="4"/>
      <c r="VLZ95" s="4"/>
      <c r="VMA95" s="4"/>
      <c r="VMB95" s="4"/>
      <c r="VMC95" s="4"/>
      <c r="VMD95" s="4"/>
      <c r="VME95" s="4"/>
      <c r="VMF95" s="4"/>
      <c r="VMG95" s="4"/>
      <c r="VMH95" s="4"/>
      <c r="VMI95" s="4"/>
      <c r="VMJ95" s="4"/>
      <c r="VMK95" s="4"/>
      <c r="VML95" s="4"/>
      <c r="VMM95" s="4"/>
      <c r="VMN95" s="4"/>
      <c r="VMO95" s="4"/>
      <c r="VMP95" s="4"/>
      <c r="VMQ95" s="4"/>
      <c r="VMR95" s="4"/>
      <c r="VMS95" s="4"/>
      <c r="VMT95" s="4"/>
      <c r="VMU95" s="4"/>
      <c r="VMV95" s="4"/>
      <c r="VMW95" s="4"/>
      <c r="VMX95" s="4"/>
      <c r="VMY95" s="4"/>
      <c r="VMZ95" s="4"/>
      <c r="VNA95" s="4"/>
      <c r="VNB95" s="4"/>
      <c r="VNC95" s="4"/>
      <c r="VND95" s="4"/>
      <c r="VNE95" s="4"/>
      <c r="VNF95" s="4"/>
      <c r="VNG95" s="4"/>
      <c r="VNH95" s="4"/>
      <c r="VNI95" s="4"/>
      <c r="VNJ95" s="4"/>
      <c r="VNK95" s="4"/>
      <c r="VNL95" s="4"/>
      <c r="VNM95" s="4"/>
      <c r="VNN95" s="4"/>
      <c r="VNO95" s="4"/>
      <c r="VNP95" s="4"/>
      <c r="VNQ95" s="4"/>
      <c r="VNR95" s="4"/>
      <c r="VNS95" s="4"/>
      <c r="VNT95" s="4"/>
      <c r="VNU95" s="4"/>
      <c r="VNV95" s="4"/>
      <c r="VNW95" s="4"/>
      <c r="VNX95" s="4"/>
      <c r="VNY95" s="4"/>
      <c r="VNZ95" s="4"/>
      <c r="VOA95" s="4"/>
      <c r="VOB95" s="4"/>
      <c r="VOC95" s="4"/>
      <c r="VOD95" s="4"/>
      <c r="VOE95" s="4"/>
      <c r="VOF95" s="4"/>
      <c r="VOG95" s="4"/>
      <c r="VOH95" s="4"/>
      <c r="VOI95" s="4"/>
      <c r="VOJ95" s="4"/>
      <c r="VOK95" s="4"/>
      <c r="VOL95" s="4"/>
      <c r="VOM95" s="4"/>
      <c r="VON95" s="4"/>
      <c r="VOO95" s="4"/>
      <c r="VOP95" s="4"/>
      <c r="VOQ95" s="4"/>
      <c r="VOR95" s="4"/>
      <c r="VOS95" s="4"/>
      <c r="VOT95" s="4"/>
      <c r="VOU95" s="4"/>
      <c r="VOV95" s="4"/>
      <c r="VOW95" s="4"/>
      <c r="VOX95" s="4"/>
      <c r="VOY95" s="4"/>
      <c r="VOZ95" s="4"/>
      <c r="VPA95" s="4"/>
      <c r="VPB95" s="4"/>
      <c r="VPC95" s="4"/>
      <c r="VPD95" s="4"/>
      <c r="VPE95" s="4"/>
      <c r="VPF95" s="4"/>
      <c r="VPG95" s="4"/>
      <c r="VPH95" s="4"/>
      <c r="VPI95" s="4"/>
      <c r="VPJ95" s="4"/>
      <c r="VPK95" s="4"/>
      <c r="VPL95" s="4"/>
      <c r="VPM95" s="4"/>
      <c r="VPN95" s="4"/>
      <c r="VPO95" s="4"/>
      <c r="VPP95" s="4"/>
      <c r="VPQ95" s="4"/>
      <c r="VPR95" s="4"/>
      <c r="VPS95" s="4"/>
      <c r="VPT95" s="4"/>
      <c r="VPU95" s="4"/>
      <c r="VPV95" s="4"/>
      <c r="VPW95" s="4"/>
      <c r="VPX95" s="4"/>
      <c r="VPY95" s="4"/>
      <c r="VPZ95" s="4"/>
      <c r="VQA95" s="4"/>
      <c r="VQB95" s="4"/>
      <c r="VQC95" s="4"/>
      <c r="VQD95" s="4"/>
      <c r="VQE95" s="4"/>
      <c r="VQF95" s="4"/>
      <c r="VQG95" s="4"/>
      <c r="VQH95" s="4"/>
      <c r="VQI95" s="4"/>
      <c r="VQJ95" s="4"/>
      <c r="VQK95" s="4"/>
      <c r="VQL95" s="4"/>
      <c r="VQM95" s="4"/>
      <c r="VQN95" s="4"/>
      <c r="VQO95" s="4"/>
      <c r="VQP95" s="4"/>
      <c r="VQQ95" s="4"/>
      <c r="VQR95" s="4"/>
      <c r="VQS95" s="4"/>
      <c r="VQT95" s="4"/>
      <c r="VQU95" s="4"/>
      <c r="VQV95" s="4"/>
      <c r="VQW95" s="4"/>
      <c r="VQX95" s="4"/>
      <c r="VQY95" s="4"/>
      <c r="VQZ95" s="4"/>
      <c r="VRA95" s="4"/>
      <c r="VRB95" s="4"/>
      <c r="VRC95" s="4"/>
      <c r="VRD95" s="4"/>
      <c r="VRE95" s="4"/>
      <c r="VRF95" s="4"/>
      <c r="VRG95" s="4"/>
      <c r="VRH95" s="4"/>
      <c r="VRI95" s="4"/>
      <c r="VRJ95" s="4"/>
      <c r="VRK95" s="4"/>
      <c r="VRL95" s="4"/>
      <c r="VRM95" s="4"/>
      <c r="VRN95" s="4"/>
      <c r="VRO95" s="4"/>
      <c r="VRP95" s="4"/>
      <c r="VRQ95" s="4"/>
      <c r="VRR95" s="4"/>
      <c r="VRS95" s="4"/>
      <c r="VRT95" s="4"/>
      <c r="VRU95" s="4"/>
      <c r="VRV95" s="4"/>
      <c r="VRW95" s="4"/>
      <c r="VRX95" s="4"/>
      <c r="VRY95" s="4"/>
      <c r="VRZ95" s="4"/>
      <c r="VSA95" s="4"/>
      <c r="VSB95" s="4"/>
      <c r="VSC95" s="4"/>
      <c r="VSD95" s="4"/>
      <c r="VSE95" s="4"/>
      <c r="VSF95" s="4"/>
      <c r="VSG95" s="4"/>
      <c r="VSH95" s="4"/>
      <c r="VSI95" s="4"/>
      <c r="VSJ95" s="4"/>
      <c r="VSK95" s="4"/>
      <c r="VSL95" s="4"/>
      <c r="VSM95" s="4"/>
      <c r="VSN95" s="4"/>
      <c r="VSO95" s="4"/>
      <c r="VSP95" s="4"/>
      <c r="VSQ95" s="4"/>
      <c r="VSR95" s="4"/>
      <c r="VSS95" s="4"/>
      <c r="VST95" s="4"/>
      <c r="VSU95" s="4"/>
      <c r="VSV95" s="4"/>
      <c r="VSW95" s="4"/>
      <c r="VSX95" s="4"/>
      <c r="VSY95" s="4"/>
      <c r="VSZ95" s="4"/>
      <c r="VTA95" s="4"/>
      <c r="VTB95" s="4"/>
      <c r="VTC95" s="4"/>
      <c r="VTD95" s="4"/>
      <c r="VTE95" s="4"/>
      <c r="VTF95" s="4"/>
      <c r="VTG95" s="4"/>
      <c r="VTH95" s="4"/>
      <c r="VTI95" s="4"/>
      <c r="VTJ95" s="4"/>
      <c r="VTK95" s="4"/>
      <c r="VTL95" s="4"/>
      <c r="VTM95" s="4"/>
      <c r="VTN95" s="4"/>
      <c r="VTO95" s="4"/>
      <c r="VTP95" s="4"/>
      <c r="VTQ95" s="4"/>
      <c r="VTR95" s="4"/>
      <c r="VTS95" s="4"/>
      <c r="VTT95" s="4"/>
      <c r="VTU95" s="4"/>
      <c r="VTV95" s="4"/>
      <c r="VTW95" s="4"/>
      <c r="VTX95" s="4"/>
      <c r="VTY95" s="4"/>
      <c r="VTZ95" s="4"/>
      <c r="VUA95" s="4"/>
      <c r="VUB95" s="4"/>
      <c r="VUC95" s="4"/>
      <c r="VUD95" s="4"/>
      <c r="VUE95" s="4"/>
      <c r="VUF95" s="4"/>
      <c r="VUG95" s="4"/>
      <c r="VUH95" s="4"/>
      <c r="VUI95" s="4"/>
      <c r="VUJ95" s="4"/>
      <c r="VUK95" s="4"/>
      <c r="VUL95" s="4"/>
      <c r="VUM95" s="4"/>
      <c r="VUN95" s="4"/>
      <c r="VUO95" s="4"/>
      <c r="VUP95" s="4"/>
      <c r="VUQ95" s="4"/>
      <c r="VUR95" s="4"/>
      <c r="VUS95" s="4"/>
      <c r="VUT95" s="4"/>
      <c r="VUU95" s="4"/>
      <c r="VUV95" s="4"/>
      <c r="VUW95" s="4"/>
      <c r="VUX95" s="4"/>
      <c r="VUY95" s="4"/>
      <c r="VUZ95" s="4"/>
      <c r="VVA95" s="4"/>
      <c r="VVB95" s="4"/>
      <c r="VVC95" s="4"/>
      <c r="VVD95" s="4"/>
      <c r="VVE95" s="4"/>
      <c r="VVF95" s="4"/>
      <c r="VVG95" s="4"/>
      <c r="VVH95" s="4"/>
      <c r="VVI95" s="4"/>
      <c r="VVJ95" s="4"/>
      <c r="VVK95" s="4"/>
      <c r="VVL95" s="4"/>
      <c r="VVM95" s="4"/>
      <c r="VVN95" s="4"/>
      <c r="VVO95" s="4"/>
      <c r="VVP95" s="4"/>
      <c r="VVQ95" s="4"/>
      <c r="VVR95" s="4"/>
      <c r="VVS95" s="4"/>
      <c r="VVT95" s="4"/>
      <c r="VVU95" s="4"/>
      <c r="VVV95" s="4"/>
      <c r="VVW95" s="4"/>
      <c r="VVX95" s="4"/>
      <c r="VVY95" s="4"/>
      <c r="VVZ95" s="4"/>
      <c r="VWA95" s="4"/>
      <c r="VWB95" s="4"/>
      <c r="VWC95" s="4"/>
      <c r="VWD95" s="4"/>
      <c r="VWE95" s="4"/>
      <c r="VWF95" s="4"/>
      <c r="VWG95" s="4"/>
      <c r="VWH95" s="4"/>
      <c r="VWI95" s="4"/>
      <c r="VWJ95" s="4"/>
      <c r="VWK95" s="4"/>
      <c r="VWL95" s="4"/>
      <c r="VWM95" s="4"/>
      <c r="VWN95" s="4"/>
      <c r="VWO95" s="4"/>
      <c r="VWP95" s="4"/>
      <c r="VWQ95" s="4"/>
      <c r="VWR95" s="4"/>
      <c r="VWS95" s="4"/>
      <c r="VWT95" s="4"/>
      <c r="VWU95" s="4"/>
      <c r="VWV95" s="4"/>
      <c r="VWW95" s="4"/>
      <c r="VWX95" s="4"/>
      <c r="VWY95" s="4"/>
      <c r="VWZ95" s="4"/>
      <c r="VXA95" s="4"/>
      <c r="VXB95" s="4"/>
      <c r="VXC95" s="4"/>
      <c r="VXD95" s="4"/>
      <c r="VXE95" s="4"/>
      <c r="VXF95" s="4"/>
      <c r="VXG95" s="4"/>
      <c r="VXH95" s="4"/>
      <c r="VXI95" s="4"/>
      <c r="VXJ95" s="4"/>
      <c r="VXK95" s="4"/>
      <c r="VXL95" s="4"/>
      <c r="VXM95" s="4"/>
      <c r="VXN95" s="4"/>
      <c r="VXO95" s="4"/>
      <c r="VXP95" s="4"/>
      <c r="VXQ95" s="4"/>
      <c r="VXR95" s="4"/>
      <c r="VXS95" s="4"/>
      <c r="VXT95" s="4"/>
      <c r="VXU95" s="4"/>
      <c r="VXV95" s="4"/>
      <c r="VXW95" s="4"/>
      <c r="VXX95" s="4"/>
      <c r="VXY95" s="4"/>
      <c r="VXZ95" s="4"/>
      <c r="VYA95" s="4"/>
      <c r="VYB95" s="4"/>
      <c r="VYC95" s="4"/>
      <c r="VYD95" s="4"/>
      <c r="VYE95" s="4"/>
      <c r="VYF95" s="4"/>
      <c r="VYG95" s="4"/>
      <c r="VYH95" s="4"/>
      <c r="VYI95" s="4"/>
      <c r="VYJ95" s="4"/>
      <c r="VYK95" s="4"/>
      <c r="VYL95" s="4"/>
      <c r="VYM95" s="4"/>
      <c r="VYN95" s="4"/>
      <c r="VYO95" s="4"/>
      <c r="VYP95" s="4"/>
      <c r="VYQ95" s="4"/>
      <c r="VYR95" s="4"/>
      <c r="VYS95" s="4"/>
      <c r="VYT95" s="4"/>
      <c r="VYU95" s="4"/>
      <c r="VYV95" s="4"/>
      <c r="VYW95" s="4"/>
      <c r="VYX95" s="4"/>
      <c r="VYY95" s="4"/>
      <c r="VYZ95" s="4"/>
      <c r="VZA95" s="4"/>
      <c r="VZB95" s="4"/>
      <c r="VZC95" s="4"/>
      <c r="VZD95" s="4"/>
      <c r="VZE95" s="4"/>
      <c r="VZF95" s="4"/>
      <c r="VZG95" s="4"/>
      <c r="VZH95" s="4"/>
      <c r="VZI95" s="4"/>
      <c r="VZJ95" s="4"/>
      <c r="VZK95" s="4"/>
      <c r="VZL95" s="4"/>
      <c r="VZM95" s="4"/>
      <c r="VZN95" s="4"/>
      <c r="VZO95" s="4"/>
      <c r="VZP95" s="4"/>
      <c r="VZQ95" s="4"/>
      <c r="VZR95" s="4"/>
      <c r="VZS95" s="4"/>
      <c r="VZT95" s="4"/>
      <c r="VZU95" s="4"/>
      <c r="VZV95" s="4"/>
      <c r="VZW95" s="4"/>
      <c r="VZX95" s="4"/>
      <c r="VZY95" s="4"/>
      <c r="VZZ95" s="4"/>
      <c r="WAA95" s="4"/>
      <c r="WAB95" s="4"/>
      <c r="WAC95" s="4"/>
      <c r="WAD95" s="4"/>
      <c r="WAE95" s="4"/>
      <c r="WAF95" s="4"/>
      <c r="WAG95" s="4"/>
      <c r="WAH95" s="4"/>
      <c r="WAI95" s="4"/>
      <c r="WAJ95" s="4"/>
      <c r="WAK95" s="4"/>
      <c r="WAL95" s="4"/>
      <c r="WAM95" s="4"/>
      <c r="WAN95" s="4"/>
      <c r="WAO95" s="4"/>
      <c r="WAP95" s="4"/>
      <c r="WAQ95" s="4"/>
      <c r="WAR95" s="4"/>
      <c r="WAS95" s="4"/>
      <c r="WAT95" s="4"/>
      <c r="WAU95" s="4"/>
      <c r="WAV95" s="4"/>
      <c r="WAW95" s="4"/>
      <c r="WAX95" s="4"/>
      <c r="WAY95" s="4"/>
      <c r="WAZ95" s="4"/>
      <c r="WBA95" s="4"/>
      <c r="WBB95" s="4"/>
      <c r="WBC95" s="4"/>
      <c r="WBD95" s="4"/>
      <c r="WBE95" s="4"/>
      <c r="WBF95" s="4"/>
      <c r="WBG95" s="4"/>
      <c r="WBH95" s="4"/>
      <c r="WBI95" s="4"/>
      <c r="WBJ95" s="4"/>
      <c r="WBK95" s="4"/>
      <c r="WBL95" s="4"/>
      <c r="WBM95" s="4"/>
      <c r="WBN95" s="4"/>
      <c r="WBO95" s="4"/>
      <c r="WBP95" s="4"/>
      <c r="WBQ95" s="4"/>
      <c r="WBR95" s="4"/>
      <c r="WBS95" s="4"/>
      <c r="WBT95" s="4"/>
      <c r="WBU95" s="4"/>
      <c r="WBV95" s="4"/>
      <c r="WBW95" s="4"/>
      <c r="WBX95" s="4"/>
      <c r="WBY95" s="4"/>
      <c r="WBZ95" s="4"/>
      <c r="WCA95" s="4"/>
      <c r="WCB95" s="4"/>
      <c r="WCC95" s="4"/>
      <c r="WCD95" s="4"/>
      <c r="WCE95" s="4"/>
      <c r="WCF95" s="4"/>
      <c r="WCG95" s="4"/>
      <c r="WCH95" s="4"/>
      <c r="WCI95" s="4"/>
      <c r="WCJ95" s="4"/>
      <c r="WCK95" s="4"/>
      <c r="WCL95" s="4"/>
      <c r="WCM95" s="4"/>
      <c r="WCN95" s="4"/>
      <c r="WCO95" s="4"/>
      <c r="WCP95" s="4"/>
      <c r="WCQ95" s="4"/>
      <c r="WCR95" s="4"/>
      <c r="WCS95" s="4"/>
      <c r="WCT95" s="4"/>
      <c r="WCU95" s="4"/>
      <c r="WCV95" s="4"/>
      <c r="WCW95" s="4"/>
      <c r="WCX95" s="4"/>
      <c r="WCY95" s="4"/>
      <c r="WCZ95" s="4"/>
      <c r="WDA95" s="4"/>
      <c r="WDB95" s="4"/>
      <c r="WDC95" s="4"/>
      <c r="WDD95" s="4"/>
      <c r="WDE95" s="4"/>
      <c r="WDF95" s="4"/>
      <c r="WDG95" s="4"/>
      <c r="WDH95" s="4"/>
      <c r="WDI95" s="4"/>
      <c r="WDJ95" s="4"/>
      <c r="WDK95" s="4"/>
      <c r="WDL95" s="4"/>
      <c r="WDM95" s="4"/>
      <c r="WDN95" s="4"/>
      <c r="WDO95" s="4"/>
      <c r="WDP95" s="4"/>
      <c r="WDQ95" s="4"/>
      <c r="WDR95" s="4"/>
      <c r="WDS95" s="4"/>
      <c r="WDT95" s="4"/>
      <c r="WDU95" s="4"/>
      <c r="WDV95" s="4"/>
      <c r="WDW95" s="4"/>
      <c r="WDX95" s="4"/>
      <c r="WDY95" s="4"/>
      <c r="WDZ95" s="4"/>
      <c r="WEA95" s="4"/>
      <c r="WEB95" s="4"/>
      <c r="WEC95" s="4"/>
      <c r="WED95" s="4"/>
      <c r="WEE95" s="4"/>
      <c r="WEF95" s="4"/>
      <c r="WEG95" s="4"/>
      <c r="WEH95" s="4"/>
      <c r="WEI95" s="4"/>
      <c r="WEJ95" s="4"/>
      <c r="WEK95" s="4"/>
      <c r="WEL95" s="4"/>
      <c r="WEM95" s="4"/>
      <c r="WEN95" s="4"/>
      <c r="WEO95" s="4"/>
      <c r="WEP95" s="4"/>
      <c r="WEQ95" s="4"/>
      <c r="WER95" s="4"/>
      <c r="WES95" s="4"/>
      <c r="WET95" s="4"/>
      <c r="WEU95" s="4"/>
      <c r="WEV95" s="4"/>
      <c r="WEW95" s="4"/>
      <c r="WEX95" s="4"/>
      <c r="WEY95" s="4"/>
      <c r="WEZ95" s="4"/>
      <c r="WFA95" s="4"/>
      <c r="WFB95" s="4"/>
      <c r="WFC95" s="4"/>
      <c r="WFD95" s="4"/>
      <c r="WFE95" s="4"/>
      <c r="WFF95" s="4"/>
      <c r="WFG95" s="4"/>
      <c r="WFH95" s="4"/>
      <c r="WFI95" s="4"/>
      <c r="WFJ95" s="4"/>
      <c r="WFK95" s="4"/>
      <c r="WFL95" s="4"/>
      <c r="WFM95" s="4"/>
      <c r="WFN95" s="4"/>
      <c r="WFO95" s="4"/>
      <c r="WFP95" s="4"/>
      <c r="WFQ95" s="4"/>
      <c r="WFR95" s="4"/>
      <c r="WFS95" s="4"/>
      <c r="WFT95" s="4"/>
      <c r="WFU95" s="4"/>
      <c r="WFV95" s="4"/>
      <c r="WFW95" s="4"/>
      <c r="WFX95" s="4"/>
      <c r="WFY95" s="4"/>
      <c r="WFZ95" s="4"/>
      <c r="WGA95" s="4"/>
      <c r="WGB95" s="4"/>
      <c r="WGC95" s="4"/>
      <c r="WGD95" s="4"/>
      <c r="WGE95" s="4"/>
      <c r="WGF95" s="4"/>
      <c r="WGG95" s="4"/>
      <c r="WGH95" s="4"/>
      <c r="WGI95" s="4"/>
      <c r="WGJ95" s="4"/>
      <c r="WGK95" s="4"/>
      <c r="WGL95" s="4"/>
      <c r="WGM95" s="4"/>
      <c r="WGN95" s="4"/>
      <c r="WGO95" s="4"/>
      <c r="WGP95" s="4"/>
      <c r="WGQ95" s="4"/>
      <c r="WGR95" s="4"/>
      <c r="WGS95" s="4"/>
      <c r="WGT95" s="4"/>
      <c r="WGU95" s="4"/>
      <c r="WGV95" s="4"/>
      <c r="WGW95" s="4"/>
      <c r="WGX95" s="4"/>
      <c r="WGY95" s="4"/>
      <c r="WGZ95" s="4"/>
      <c r="WHA95" s="4"/>
      <c r="WHB95" s="4"/>
      <c r="WHC95" s="4"/>
      <c r="WHD95" s="4"/>
      <c r="WHE95" s="4"/>
      <c r="WHF95" s="4"/>
      <c r="WHG95" s="4"/>
      <c r="WHH95" s="4"/>
      <c r="WHI95" s="4"/>
      <c r="WHJ95" s="4"/>
      <c r="WHK95" s="4"/>
      <c r="WHL95" s="4"/>
      <c r="WHM95" s="4"/>
      <c r="WHN95" s="4"/>
      <c r="WHO95" s="4"/>
      <c r="WHP95" s="4"/>
      <c r="WHQ95" s="4"/>
      <c r="WHR95" s="4"/>
      <c r="WHS95" s="4"/>
      <c r="WHT95" s="4"/>
      <c r="WHU95" s="4"/>
      <c r="WHV95" s="4"/>
      <c r="WHW95" s="4"/>
      <c r="WHX95" s="4"/>
      <c r="WHY95" s="4"/>
      <c r="WHZ95" s="4"/>
      <c r="WIA95" s="4"/>
      <c r="WIB95" s="4"/>
      <c r="WIC95" s="4"/>
      <c r="WID95" s="4"/>
      <c r="WIE95" s="4"/>
      <c r="WIF95" s="4"/>
      <c r="WIG95" s="4"/>
      <c r="WIH95" s="4"/>
      <c r="WII95" s="4"/>
      <c r="WIJ95" s="4"/>
      <c r="WIK95" s="4"/>
      <c r="WIL95" s="4"/>
      <c r="WIM95" s="4"/>
      <c r="WIN95" s="4"/>
      <c r="WIO95" s="4"/>
      <c r="WIP95" s="4"/>
      <c r="WIQ95" s="4"/>
      <c r="WIR95" s="4"/>
      <c r="WIS95" s="4"/>
      <c r="WIT95" s="4"/>
      <c r="WIU95" s="4"/>
      <c r="WIV95" s="4"/>
      <c r="WIW95" s="4"/>
      <c r="WIX95" s="4"/>
      <c r="WIY95" s="4"/>
      <c r="WIZ95" s="4"/>
      <c r="WJA95" s="4"/>
      <c r="WJB95" s="4"/>
      <c r="WJC95" s="4"/>
      <c r="WJD95" s="4"/>
      <c r="WJE95" s="4"/>
      <c r="WJF95" s="4"/>
      <c r="WJG95" s="4"/>
      <c r="WJH95" s="4"/>
      <c r="WJI95" s="4"/>
      <c r="WJJ95" s="4"/>
      <c r="WJK95" s="4"/>
      <c r="WJL95" s="4"/>
      <c r="WJM95" s="4"/>
      <c r="WJN95" s="4"/>
      <c r="WJO95" s="4"/>
      <c r="WJP95" s="4"/>
      <c r="WJQ95" s="4"/>
      <c r="WJR95" s="4"/>
      <c r="WJS95" s="4"/>
      <c r="WJT95" s="4"/>
      <c r="WJU95" s="4"/>
      <c r="WJV95" s="4"/>
      <c r="WJW95" s="4"/>
      <c r="WJX95" s="4"/>
      <c r="WJY95" s="4"/>
      <c r="WJZ95" s="4"/>
      <c r="WKA95" s="4"/>
      <c r="WKB95" s="4"/>
      <c r="WKC95" s="4"/>
      <c r="WKD95" s="4"/>
      <c r="WKE95" s="4"/>
      <c r="WKF95" s="4"/>
      <c r="WKG95" s="4"/>
      <c r="WKH95" s="4"/>
      <c r="WKI95" s="4"/>
      <c r="WKJ95" s="4"/>
      <c r="WKK95" s="4"/>
      <c r="WKL95" s="4"/>
      <c r="WKM95" s="4"/>
      <c r="WKN95" s="4"/>
      <c r="WKO95" s="4"/>
      <c r="WKP95" s="4"/>
      <c r="WKQ95" s="4"/>
      <c r="WKR95" s="4"/>
      <c r="WKS95" s="4"/>
      <c r="WKT95" s="4"/>
      <c r="WKU95" s="4"/>
      <c r="WKV95" s="4"/>
      <c r="WKW95" s="4"/>
      <c r="WKX95" s="4"/>
      <c r="WKY95" s="4"/>
      <c r="WKZ95" s="4"/>
      <c r="WLA95" s="4"/>
      <c r="WLB95" s="4"/>
      <c r="WLC95" s="4"/>
      <c r="WLD95" s="4"/>
      <c r="WLE95" s="4"/>
      <c r="WLF95" s="4"/>
      <c r="WLG95" s="4"/>
      <c r="WLH95" s="4"/>
      <c r="WLI95" s="4"/>
      <c r="WLJ95" s="4"/>
      <c r="WLK95" s="4"/>
      <c r="WLL95" s="4"/>
      <c r="WLM95" s="4"/>
      <c r="WLN95" s="4"/>
      <c r="WLO95" s="4"/>
      <c r="WLP95" s="4"/>
      <c r="WLQ95" s="4"/>
      <c r="WLR95" s="4"/>
      <c r="WLS95" s="4"/>
      <c r="WLT95" s="4"/>
      <c r="WLU95" s="4"/>
      <c r="WLV95" s="4"/>
      <c r="WLW95" s="4"/>
      <c r="WLX95" s="4"/>
      <c r="WLY95" s="4"/>
      <c r="WLZ95" s="4"/>
      <c r="WMA95" s="4"/>
      <c r="WMB95" s="4"/>
      <c r="WMC95" s="4"/>
      <c r="WMD95" s="4"/>
      <c r="WME95" s="4"/>
      <c r="WMF95" s="4"/>
      <c r="WMG95" s="4"/>
      <c r="WMH95" s="4"/>
      <c r="WMI95" s="4"/>
      <c r="WMJ95" s="4"/>
      <c r="WMK95" s="4"/>
      <c r="WML95" s="4"/>
      <c r="WMM95" s="4"/>
      <c r="WMN95" s="4"/>
      <c r="WMO95" s="4"/>
      <c r="WMP95" s="4"/>
      <c r="WMQ95" s="4"/>
      <c r="WMR95" s="4"/>
      <c r="WMS95" s="4"/>
      <c r="WMT95" s="4"/>
      <c r="WMU95" s="4"/>
      <c r="WMV95" s="4"/>
      <c r="WMW95" s="4"/>
      <c r="WMX95" s="4"/>
      <c r="WMY95" s="4"/>
      <c r="WMZ95" s="4"/>
      <c r="WNA95" s="4"/>
      <c r="WNB95" s="4"/>
      <c r="WNC95" s="4"/>
      <c r="WND95" s="4"/>
      <c r="WNE95" s="4"/>
      <c r="WNF95" s="4"/>
      <c r="WNG95" s="4"/>
      <c r="WNH95" s="4"/>
      <c r="WNI95" s="4"/>
      <c r="WNJ95" s="4"/>
      <c r="WNK95" s="4"/>
      <c r="WNL95" s="4"/>
      <c r="WNM95" s="4"/>
      <c r="WNN95" s="4"/>
      <c r="WNO95" s="4"/>
      <c r="WNP95" s="4"/>
      <c r="WNQ95" s="4"/>
      <c r="WNR95" s="4"/>
      <c r="WNS95" s="4"/>
      <c r="WNT95" s="4"/>
      <c r="WNU95" s="4"/>
      <c r="WNV95" s="4"/>
      <c r="WNW95" s="4"/>
      <c r="WNX95" s="4"/>
      <c r="WNY95" s="4"/>
      <c r="WNZ95" s="4"/>
      <c r="WOA95" s="4"/>
      <c r="WOB95" s="4"/>
      <c r="WOC95" s="4"/>
      <c r="WOD95" s="4"/>
      <c r="WOE95" s="4"/>
      <c r="WOF95" s="4"/>
      <c r="WOG95" s="4"/>
      <c r="WOH95" s="4"/>
      <c r="WOI95" s="4"/>
      <c r="WOJ95" s="4"/>
      <c r="WOK95" s="4"/>
      <c r="WOL95" s="4"/>
      <c r="WOM95" s="4"/>
      <c r="WON95" s="4"/>
      <c r="WOO95" s="4"/>
      <c r="WOP95" s="4"/>
      <c r="WOQ95" s="4"/>
      <c r="WOR95" s="4"/>
      <c r="WOS95" s="4"/>
      <c r="WOT95" s="4"/>
      <c r="WOU95" s="4"/>
      <c r="WOV95" s="4"/>
      <c r="WOW95" s="4"/>
      <c r="WOX95" s="4"/>
      <c r="WOY95" s="4"/>
      <c r="WOZ95" s="4"/>
      <c r="WPA95" s="4"/>
      <c r="WPB95" s="4"/>
      <c r="WPC95" s="4"/>
      <c r="WPD95" s="4"/>
      <c r="WPE95" s="4"/>
      <c r="WPF95" s="4"/>
      <c r="WPG95" s="4"/>
      <c r="WPH95" s="4"/>
      <c r="WPI95" s="4"/>
      <c r="WPJ95" s="4"/>
      <c r="WPK95" s="4"/>
      <c r="WPL95" s="4"/>
      <c r="WPM95" s="4"/>
      <c r="WPN95" s="4"/>
      <c r="WPO95" s="4"/>
      <c r="WPP95" s="4"/>
      <c r="WPQ95" s="4"/>
      <c r="WPR95" s="4"/>
      <c r="WPS95" s="4"/>
      <c r="WPT95" s="4"/>
      <c r="WPU95" s="4"/>
      <c r="WPV95" s="4"/>
      <c r="WPW95" s="4"/>
      <c r="WPX95" s="4"/>
      <c r="WPY95" s="4"/>
      <c r="WPZ95" s="4"/>
      <c r="WQA95" s="4"/>
      <c r="WQB95" s="4"/>
      <c r="WQC95" s="4"/>
      <c r="WQD95" s="4"/>
      <c r="WQE95" s="4"/>
      <c r="WQF95" s="4"/>
      <c r="WQG95" s="4"/>
      <c r="WQH95" s="4"/>
      <c r="WQI95" s="4"/>
      <c r="WQJ95" s="4"/>
      <c r="WQK95" s="4"/>
      <c r="WQL95" s="4"/>
      <c r="WQM95" s="4"/>
      <c r="WQN95" s="4"/>
      <c r="WQO95" s="4"/>
      <c r="WQP95" s="4"/>
      <c r="WQQ95" s="4"/>
      <c r="WQR95" s="4"/>
      <c r="WQS95" s="4"/>
      <c r="WQT95" s="4"/>
      <c r="WQU95" s="4"/>
      <c r="WQV95" s="4"/>
      <c r="WQW95" s="4"/>
      <c r="WQX95" s="4"/>
      <c r="WQY95" s="4"/>
      <c r="WQZ95" s="4"/>
      <c r="WRA95" s="4"/>
      <c r="WRB95" s="4"/>
      <c r="WRC95" s="4"/>
      <c r="WRD95" s="4"/>
      <c r="WRE95" s="4"/>
      <c r="WRF95" s="4"/>
      <c r="WRG95" s="4"/>
      <c r="WRH95" s="4"/>
      <c r="WRI95" s="4"/>
      <c r="WRJ95" s="4"/>
      <c r="WRK95" s="4"/>
      <c r="WRL95" s="4"/>
      <c r="WRM95" s="4"/>
      <c r="WRN95" s="4"/>
      <c r="WRO95" s="4"/>
      <c r="WRP95" s="4"/>
      <c r="WRQ95" s="4"/>
      <c r="WRR95" s="4"/>
      <c r="WRS95" s="4"/>
      <c r="WRT95" s="4"/>
      <c r="WRU95" s="4"/>
      <c r="WRV95" s="4"/>
      <c r="WRW95" s="4"/>
      <c r="WRX95" s="4"/>
      <c r="WRY95" s="4"/>
      <c r="WRZ95" s="4"/>
      <c r="WSA95" s="4"/>
      <c r="WSB95" s="4"/>
      <c r="WSC95" s="4"/>
      <c r="WSD95" s="4"/>
      <c r="WSE95" s="4"/>
      <c r="WSF95" s="4"/>
      <c r="WSG95" s="4"/>
      <c r="WSH95" s="4"/>
      <c r="WSI95" s="4"/>
      <c r="WSJ95" s="4"/>
      <c r="WSK95" s="4"/>
      <c r="WSL95" s="4"/>
      <c r="WSM95" s="4"/>
      <c r="WSN95" s="4"/>
      <c r="WSO95" s="4"/>
      <c r="WSP95" s="4"/>
      <c r="WSQ95" s="4"/>
      <c r="WSR95" s="4"/>
      <c r="WSS95" s="4"/>
      <c r="WST95" s="4"/>
      <c r="WSU95" s="4"/>
      <c r="WSV95" s="4"/>
      <c r="WSW95" s="4"/>
      <c r="WSX95" s="4"/>
      <c r="WSY95" s="4"/>
      <c r="WSZ95" s="4"/>
      <c r="WTA95" s="4"/>
      <c r="WTB95" s="4"/>
      <c r="WTC95" s="4"/>
      <c r="WTD95" s="4"/>
      <c r="WTE95" s="4"/>
      <c r="WTF95" s="4"/>
      <c r="WTG95" s="4"/>
      <c r="WTH95" s="4"/>
      <c r="WTI95" s="4"/>
      <c r="WTJ95" s="4"/>
      <c r="WTK95" s="4"/>
      <c r="WTL95" s="4"/>
      <c r="WTM95" s="4"/>
      <c r="WTN95" s="4"/>
      <c r="WTO95" s="4"/>
      <c r="WTP95" s="4"/>
      <c r="WTQ95" s="4"/>
      <c r="WTR95" s="4"/>
      <c r="WTS95" s="4"/>
      <c r="WTT95" s="4"/>
      <c r="WTU95" s="4"/>
      <c r="WTV95" s="4"/>
      <c r="WTW95" s="4"/>
      <c r="WTX95" s="4"/>
      <c r="WTY95" s="4"/>
      <c r="WTZ95" s="4"/>
      <c r="WUA95" s="4"/>
      <c r="WUB95" s="4"/>
      <c r="WUC95" s="4"/>
      <c r="WUD95" s="4"/>
      <c r="WUE95" s="4"/>
      <c r="WUF95" s="4"/>
      <c r="WUG95" s="4"/>
      <c r="WUH95" s="4"/>
      <c r="WUI95" s="4"/>
      <c r="WUJ95" s="4"/>
      <c r="WUK95" s="4"/>
      <c r="WUL95" s="4"/>
      <c r="WUM95" s="4"/>
      <c r="WUN95" s="4"/>
      <c r="WUO95" s="4"/>
      <c r="WUP95" s="4"/>
      <c r="WUQ95" s="4"/>
      <c r="WUR95" s="4"/>
      <c r="WUS95" s="4"/>
      <c r="WUT95" s="4"/>
      <c r="WUU95" s="4"/>
      <c r="WUV95" s="4"/>
      <c r="WUW95" s="4"/>
      <c r="WUX95" s="4"/>
      <c r="WUY95" s="4"/>
      <c r="WUZ95" s="4"/>
      <c r="WVA95" s="4"/>
      <c r="WVB95" s="4"/>
      <c r="WVC95" s="4"/>
      <c r="WVD95" s="4"/>
      <c r="WVE95" s="4"/>
      <c r="WVF95" s="4"/>
      <c r="WVG95" s="4"/>
      <c r="WVH95" s="4"/>
      <c r="WVI95" s="4"/>
      <c r="WVJ95" s="4"/>
      <c r="WVK95" s="4"/>
      <c r="WVL95" s="4"/>
      <c r="WVM95" s="4"/>
      <c r="WVN95" s="4"/>
      <c r="WVO95" s="4"/>
      <c r="WVP95" s="4"/>
      <c r="WVQ95" s="4"/>
      <c r="WVR95" s="4"/>
      <c r="WVS95" s="4"/>
      <c r="WVT95" s="4"/>
      <c r="WVU95" s="4"/>
      <c r="WVV95" s="4"/>
      <c r="WVW95" s="4"/>
      <c r="WVX95" s="4"/>
      <c r="WVY95" s="4"/>
      <c r="WVZ95" s="4"/>
      <c r="WWA95" s="4"/>
      <c r="WWB95" s="4"/>
      <c r="WWC95" s="4"/>
      <c r="WWD95" s="4"/>
      <c r="WWE95" s="4"/>
      <c r="WWF95" s="4"/>
      <c r="WWG95" s="4"/>
      <c r="WWH95" s="4"/>
      <c r="WWI95" s="4"/>
      <c r="WWJ95" s="4"/>
      <c r="WWK95" s="4"/>
      <c r="WWL95" s="4"/>
      <c r="WWM95" s="4"/>
      <c r="WWN95" s="4"/>
      <c r="WWO95" s="4"/>
      <c r="WWP95" s="4"/>
      <c r="WWQ95" s="4"/>
      <c r="WWR95" s="4"/>
      <c r="WWS95" s="4"/>
      <c r="WWT95" s="4"/>
      <c r="WWU95" s="4"/>
      <c r="WWV95" s="4"/>
      <c r="WWW95" s="4"/>
      <c r="WWX95" s="4"/>
      <c r="WWY95" s="4"/>
      <c r="WWZ95" s="4"/>
      <c r="WXA95" s="4"/>
      <c r="WXB95" s="4"/>
      <c r="WXC95" s="4"/>
      <c r="WXD95" s="4"/>
      <c r="WXE95" s="4"/>
      <c r="WXF95" s="4"/>
      <c r="WXG95" s="4"/>
      <c r="WXH95" s="4"/>
      <c r="WXI95" s="4"/>
      <c r="WXJ95" s="4"/>
      <c r="WXK95" s="4"/>
      <c r="WXL95" s="4"/>
      <c r="WXM95" s="4"/>
      <c r="WXN95" s="4"/>
      <c r="WXO95" s="4"/>
      <c r="WXP95" s="4"/>
      <c r="WXQ95" s="4"/>
      <c r="WXR95" s="4"/>
      <c r="WXS95" s="4"/>
      <c r="WXT95" s="4"/>
      <c r="WXU95" s="4"/>
      <c r="WXV95" s="4"/>
      <c r="WXW95" s="4"/>
      <c r="WXX95" s="4"/>
      <c r="WXY95" s="4"/>
      <c r="WXZ95" s="4"/>
      <c r="WYA95" s="4"/>
      <c r="WYB95" s="4"/>
      <c r="WYC95" s="4"/>
      <c r="WYD95" s="4"/>
      <c r="WYE95" s="4"/>
      <c r="WYF95" s="4"/>
      <c r="WYG95" s="4"/>
      <c r="WYH95" s="4"/>
      <c r="WYI95" s="4"/>
      <c r="WYJ95" s="4"/>
      <c r="WYK95" s="4"/>
      <c r="WYL95" s="4"/>
      <c r="WYM95" s="4"/>
      <c r="WYN95" s="4"/>
      <c r="WYO95" s="4"/>
      <c r="WYP95" s="4"/>
      <c r="WYQ95" s="4"/>
      <c r="WYR95" s="4"/>
      <c r="WYS95" s="4"/>
      <c r="WYT95" s="4"/>
      <c r="WYU95" s="4"/>
      <c r="WYV95" s="4"/>
      <c r="WYW95" s="4"/>
      <c r="WYX95" s="4"/>
      <c r="WYY95" s="4"/>
      <c r="WYZ95" s="4"/>
      <c r="WZA95" s="4"/>
      <c r="WZB95" s="4"/>
      <c r="WZC95" s="4"/>
      <c r="WZD95" s="4"/>
      <c r="WZE95" s="4"/>
      <c r="WZF95" s="4"/>
      <c r="WZG95" s="4"/>
      <c r="WZH95" s="4"/>
      <c r="WZI95" s="4"/>
      <c r="WZJ95" s="4"/>
      <c r="WZK95" s="4"/>
      <c r="WZL95" s="4"/>
      <c r="WZM95" s="4"/>
      <c r="WZN95" s="4"/>
      <c r="WZO95" s="4"/>
      <c r="WZP95" s="4"/>
      <c r="WZQ95" s="4"/>
      <c r="WZR95" s="4"/>
      <c r="WZS95" s="4"/>
      <c r="WZT95" s="4"/>
      <c r="WZU95" s="4"/>
      <c r="WZV95" s="4"/>
      <c r="WZW95" s="4"/>
      <c r="WZX95" s="4"/>
      <c r="WZY95" s="4"/>
      <c r="WZZ95" s="4"/>
      <c r="XAA95" s="4"/>
      <c r="XAB95" s="4"/>
      <c r="XAC95" s="4"/>
      <c r="XAD95" s="4"/>
      <c r="XAE95" s="4"/>
      <c r="XAF95" s="4"/>
      <c r="XAG95" s="4"/>
      <c r="XAH95" s="4"/>
      <c r="XAI95" s="4"/>
      <c r="XAJ95" s="4"/>
      <c r="XAK95" s="4"/>
      <c r="XAL95" s="4"/>
      <c r="XAM95" s="4"/>
      <c r="XAN95" s="4"/>
      <c r="XAO95" s="4"/>
      <c r="XAP95" s="4"/>
      <c r="XAQ95" s="4"/>
      <c r="XAR95" s="4"/>
      <c r="XAS95" s="4"/>
      <c r="XAT95" s="4"/>
      <c r="XAU95" s="4"/>
      <c r="XAV95" s="4"/>
      <c r="XAW95" s="4"/>
      <c r="XAX95" s="4"/>
      <c r="XAY95" s="4"/>
      <c r="XAZ95" s="4"/>
      <c r="XBA95" s="4"/>
      <c r="XBB95" s="4"/>
      <c r="XBC95" s="4"/>
      <c r="XBD95" s="4"/>
      <c r="XBE95" s="4"/>
      <c r="XBF95" s="4"/>
      <c r="XBG95" s="4"/>
      <c r="XBH95" s="4"/>
      <c r="XBI95" s="4"/>
      <c r="XBJ95" s="4"/>
      <c r="XBK95" s="4"/>
      <c r="XBL95" s="4"/>
      <c r="XBM95" s="4"/>
      <c r="XBN95" s="4"/>
      <c r="XBO95" s="4"/>
      <c r="XBP95" s="4"/>
      <c r="XBQ95" s="4"/>
      <c r="XBR95" s="4"/>
      <c r="XBS95" s="4"/>
      <c r="XBT95" s="4"/>
      <c r="XBU95" s="4"/>
      <c r="XBV95" s="4"/>
      <c r="XBW95" s="4"/>
      <c r="XBX95" s="4"/>
      <c r="XBY95" s="4"/>
      <c r="XBZ95" s="4"/>
      <c r="XCA95" s="4"/>
      <c r="XCB95" s="4"/>
      <c r="XCC95" s="4"/>
      <c r="XCD95" s="4"/>
      <c r="XCE95" s="4"/>
      <c r="XCF95" s="4"/>
      <c r="XCG95" s="4"/>
      <c r="XCH95" s="4"/>
      <c r="XCI95" s="4"/>
      <c r="XCJ95" s="4"/>
      <c r="XCK95" s="4"/>
      <c r="XCL95" s="4"/>
      <c r="XCM95" s="4"/>
      <c r="XCN95" s="4"/>
      <c r="XCO95" s="4"/>
      <c r="XCP95" s="4"/>
      <c r="XCQ95" s="4"/>
      <c r="XCR95" s="4"/>
      <c r="XCS95" s="4"/>
      <c r="XCT95" s="4"/>
      <c r="XCU95" s="4"/>
      <c r="XCV95" s="4"/>
      <c r="XCW95" s="4"/>
      <c r="XCX95" s="4"/>
      <c r="XCY95" s="4"/>
      <c r="XCZ95" s="4"/>
      <c r="XDA95" s="4"/>
      <c r="XDB95" s="4"/>
      <c r="XDC95" s="4"/>
      <c r="XDD95" s="4"/>
      <c r="XDE95" s="4"/>
      <c r="XDF95" s="4"/>
      <c r="XDG95" s="4"/>
      <c r="XDH95" s="4"/>
      <c r="XDI95" s="4"/>
      <c r="XDJ95" s="4"/>
      <c r="XDK95" s="4"/>
      <c r="XDL95" s="4"/>
      <c r="XDM95" s="4"/>
      <c r="XDN95" s="4"/>
      <c r="XDO95" s="4"/>
      <c r="XDP95" s="4"/>
      <c r="XDQ95" s="4"/>
      <c r="XDR95" s="4"/>
      <c r="XDS95" s="4"/>
      <c r="XDT95" s="4"/>
      <c r="XDU95" s="4"/>
      <c r="XDV95" s="4"/>
      <c r="XDW95" s="4"/>
      <c r="XDX95" s="4"/>
      <c r="XDY95" s="4"/>
      <c r="XDZ95" s="4"/>
      <c r="XEA95" s="4"/>
      <c r="XEB95" s="4"/>
      <c r="XEC95" s="4"/>
      <c r="XED95" s="4"/>
      <c r="XEE95" s="4"/>
      <c r="XEF95" s="4"/>
      <c r="XEG95" s="4"/>
      <c r="XEH95" s="4"/>
      <c r="XEI95" s="4"/>
      <c r="XEJ95" s="4"/>
      <c r="XEK95" s="4"/>
      <c r="XEL95" s="4"/>
      <c r="XEM95" s="4"/>
      <c r="XEN95" s="4"/>
      <c r="XEO95" s="4"/>
      <c r="XEP95" s="4"/>
      <c r="XEQ95" s="4"/>
      <c r="XER95" s="4"/>
      <c r="XES95" s="4"/>
      <c r="XET95" s="4"/>
      <c r="XEU95" s="4"/>
      <c r="XEV95" s="4"/>
      <c r="XEW95" s="4"/>
      <c r="XEX95" s="4"/>
      <c r="XEY95" s="4"/>
      <c r="XEZ95" s="4"/>
      <c r="XFA95" s="4"/>
      <c r="XFB95" s="4"/>
    </row>
    <row r="96" spans="1:16382" ht="17.5" x14ac:dyDescent="0.35">
      <c r="A96" s="309" t="s">
        <v>2404</v>
      </c>
      <c r="B96" s="309"/>
      <c r="C96" s="24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  <c r="SN96" s="4"/>
      <c r="SO96" s="4"/>
      <c r="SP96" s="4"/>
      <c r="SQ96" s="4"/>
      <c r="SR96" s="4"/>
      <c r="SS96" s="4"/>
      <c r="ST96" s="4"/>
      <c r="SU96" s="4"/>
      <c r="SV96" s="4"/>
      <c r="SW96" s="4"/>
      <c r="SX96" s="4"/>
      <c r="SY96" s="4"/>
      <c r="SZ96" s="4"/>
      <c r="TA96" s="4"/>
      <c r="TB96" s="4"/>
      <c r="TC96" s="4"/>
      <c r="TD96" s="4"/>
      <c r="TE96" s="4"/>
      <c r="TF96" s="4"/>
      <c r="TG96" s="4"/>
      <c r="TH96" s="4"/>
      <c r="TI96" s="4"/>
      <c r="TJ96" s="4"/>
      <c r="TK96" s="4"/>
      <c r="TL96" s="4"/>
      <c r="TM96" s="4"/>
      <c r="TN96" s="4"/>
      <c r="TO96" s="4"/>
      <c r="TP96" s="4"/>
      <c r="TQ96" s="4"/>
      <c r="TR96" s="4"/>
      <c r="TS96" s="4"/>
      <c r="TT96" s="4"/>
      <c r="TU96" s="4"/>
      <c r="TV96" s="4"/>
      <c r="TW96" s="4"/>
      <c r="TX96" s="4"/>
      <c r="TY96" s="4"/>
      <c r="TZ96" s="4"/>
      <c r="UA96" s="4"/>
      <c r="UB96" s="4"/>
      <c r="UC96" s="4"/>
      <c r="UD96" s="4"/>
      <c r="UE96" s="4"/>
      <c r="UF96" s="4"/>
      <c r="UG96" s="4"/>
      <c r="UH96" s="4"/>
      <c r="UI96" s="4"/>
      <c r="UJ96" s="4"/>
      <c r="UK96" s="4"/>
      <c r="UL96" s="4"/>
      <c r="UM96" s="4"/>
      <c r="UN96" s="4"/>
      <c r="UO96" s="4"/>
      <c r="UP96" s="4"/>
      <c r="UQ96" s="4"/>
      <c r="UR96" s="4"/>
      <c r="US96" s="4"/>
      <c r="UT96" s="4"/>
      <c r="UU96" s="4"/>
      <c r="UV96" s="4"/>
      <c r="UW96" s="4"/>
      <c r="UX96" s="4"/>
      <c r="UY96" s="4"/>
      <c r="UZ96" s="4"/>
      <c r="VA96" s="4"/>
      <c r="VB96" s="4"/>
      <c r="VC96" s="4"/>
      <c r="VD96" s="4"/>
      <c r="VE96" s="4"/>
      <c r="VF96" s="4"/>
      <c r="VG96" s="4"/>
      <c r="VH96" s="4"/>
      <c r="VI96" s="4"/>
      <c r="VJ96" s="4"/>
      <c r="VK96" s="4"/>
      <c r="VL96" s="4"/>
      <c r="VM96" s="4"/>
      <c r="VN96" s="4"/>
      <c r="VO96" s="4"/>
      <c r="VP96" s="4"/>
      <c r="VQ96" s="4"/>
      <c r="VR96" s="4"/>
      <c r="VS96" s="4"/>
      <c r="VT96" s="4"/>
      <c r="VU96" s="4"/>
      <c r="VV96" s="4"/>
      <c r="VW96" s="4"/>
      <c r="VX96" s="4"/>
      <c r="VY96" s="4"/>
      <c r="VZ96" s="4"/>
      <c r="WA96" s="4"/>
      <c r="WB96" s="4"/>
      <c r="WC96" s="4"/>
      <c r="WD96" s="4"/>
      <c r="WE96" s="4"/>
      <c r="WF96" s="4"/>
      <c r="WG96" s="4"/>
      <c r="WH96" s="4"/>
      <c r="WI96" s="4"/>
      <c r="WJ96" s="4"/>
      <c r="WK96" s="4"/>
      <c r="WL96" s="4"/>
      <c r="WM96" s="4"/>
      <c r="WN96" s="4"/>
      <c r="WO96" s="4"/>
      <c r="WP96" s="4"/>
      <c r="WQ96" s="4"/>
      <c r="WR96" s="4"/>
      <c r="WS96" s="4"/>
      <c r="WT96" s="4"/>
      <c r="WU96" s="4"/>
      <c r="WV96" s="4"/>
      <c r="WW96" s="4"/>
      <c r="WX96" s="4"/>
      <c r="WY96" s="4"/>
      <c r="WZ96" s="4"/>
      <c r="XA96" s="4"/>
      <c r="XB96" s="4"/>
      <c r="XC96" s="4"/>
      <c r="XD96" s="4"/>
      <c r="XE96" s="4"/>
      <c r="XF96" s="4"/>
      <c r="XG96" s="4"/>
      <c r="XH96" s="4"/>
      <c r="XI96" s="4"/>
      <c r="XJ96" s="4"/>
      <c r="XK96" s="4"/>
      <c r="XL96" s="4"/>
      <c r="XM96" s="4"/>
      <c r="XN96" s="4"/>
      <c r="XO96" s="4"/>
      <c r="XP96" s="4"/>
      <c r="XQ96" s="4"/>
      <c r="XR96" s="4"/>
      <c r="XS96" s="4"/>
      <c r="XT96" s="4"/>
      <c r="XU96" s="4"/>
      <c r="XV96" s="4"/>
      <c r="XW96" s="4"/>
      <c r="XX96" s="4"/>
      <c r="XY96" s="4"/>
      <c r="XZ96" s="4"/>
      <c r="YA96" s="4"/>
      <c r="YB96" s="4"/>
      <c r="YC96" s="4"/>
      <c r="YD96" s="4"/>
      <c r="YE96" s="4"/>
      <c r="YF96" s="4"/>
      <c r="YG96" s="4"/>
      <c r="YH96" s="4"/>
      <c r="YI96" s="4"/>
      <c r="YJ96" s="4"/>
      <c r="YK96" s="4"/>
      <c r="YL96" s="4"/>
      <c r="YM96" s="4"/>
      <c r="YN96" s="4"/>
      <c r="YO96" s="4"/>
      <c r="YP96" s="4"/>
      <c r="YQ96" s="4"/>
      <c r="YR96" s="4"/>
      <c r="YS96" s="4"/>
      <c r="YT96" s="4"/>
      <c r="YU96" s="4"/>
      <c r="YV96" s="4"/>
      <c r="YW96" s="4"/>
      <c r="YX96" s="4"/>
      <c r="YY96" s="4"/>
      <c r="YZ96" s="4"/>
      <c r="ZA96" s="4"/>
      <c r="ZB96" s="4"/>
      <c r="ZC96" s="4"/>
      <c r="ZD96" s="4"/>
      <c r="ZE96" s="4"/>
      <c r="ZF96" s="4"/>
      <c r="ZG96" s="4"/>
      <c r="ZH96" s="4"/>
      <c r="ZI96" s="4"/>
      <c r="ZJ96" s="4"/>
      <c r="ZK96" s="4"/>
      <c r="ZL96" s="4"/>
      <c r="ZM96" s="4"/>
      <c r="ZN96" s="4"/>
      <c r="ZO96" s="4"/>
      <c r="ZP96" s="4"/>
      <c r="ZQ96" s="4"/>
      <c r="ZR96" s="4"/>
      <c r="ZS96" s="4"/>
      <c r="ZT96" s="4"/>
      <c r="ZU96" s="4"/>
      <c r="ZV96" s="4"/>
      <c r="ZW96" s="4"/>
      <c r="ZX96" s="4"/>
      <c r="ZY96" s="4"/>
      <c r="ZZ96" s="4"/>
      <c r="AAA96" s="4"/>
      <c r="AAB96" s="4"/>
      <c r="AAC96" s="4"/>
      <c r="AAD96" s="4"/>
      <c r="AAE96" s="4"/>
      <c r="AAF96" s="4"/>
      <c r="AAG96" s="4"/>
      <c r="AAH96" s="4"/>
      <c r="AAI96" s="4"/>
      <c r="AAJ96" s="4"/>
      <c r="AAK96" s="4"/>
      <c r="AAL96" s="4"/>
      <c r="AAM96" s="4"/>
      <c r="AAN96" s="4"/>
      <c r="AAO96" s="4"/>
      <c r="AAP96" s="4"/>
      <c r="AAQ96" s="4"/>
      <c r="AAR96" s="4"/>
      <c r="AAS96" s="4"/>
      <c r="AAT96" s="4"/>
      <c r="AAU96" s="4"/>
      <c r="AAV96" s="4"/>
      <c r="AAW96" s="4"/>
      <c r="AAX96" s="4"/>
      <c r="AAY96" s="4"/>
      <c r="AAZ96" s="4"/>
      <c r="ABA96" s="4"/>
      <c r="ABB96" s="4"/>
      <c r="ABC96" s="4"/>
      <c r="ABD96" s="4"/>
      <c r="ABE96" s="4"/>
      <c r="ABF96" s="4"/>
      <c r="ABG96" s="4"/>
      <c r="ABH96" s="4"/>
      <c r="ABI96" s="4"/>
      <c r="ABJ96" s="4"/>
      <c r="ABK96" s="4"/>
      <c r="ABL96" s="4"/>
      <c r="ABM96" s="4"/>
      <c r="ABN96" s="4"/>
      <c r="ABO96" s="4"/>
      <c r="ABP96" s="4"/>
      <c r="ABQ96" s="4"/>
      <c r="ABR96" s="4"/>
      <c r="ABS96" s="4"/>
      <c r="ABT96" s="4"/>
      <c r="ABU96" s="4"/>
      <c r="ABV96" s="4"/>
      <c r="ABW96" s="4"/>
      <c r="ABX96" s="4"/>
      <c r="ABY96" s="4"/>
      <c r="ABZ96" s="4"/>
      <c r="ACA96" s="4"/>
      <c r="ACB96" s="4"/>
      <c r="ACC96" s="4"/>
      <c r="ACD96" s="4"/>
      <c r="ACE96" s="4"/>
      <c r="ACF96" s="4"/>
      <c r="ACG96" s="4"/>
      <c r="ACH96" s="4"/>
      <c r="ACI96" s="4"/>
      <c r="ACJ96" s="4"/>
      <c r="ACK96" s="4"/>
      <c r="ACL96" s="4"/>
      <c r="ACM96" s="4"/>
      <c r="ACN96" s="4"/>
      <c r="ACO96" s="4"/>
      <c r="ACP96" s="4"/>
      <c r="ACQ96" s="4"/>
      <c r="ACR96" s="4"/>
      <c r="ACS96" s="4"/>
      <c r="ACT96" s="4"/>
      <c r="ACU96" s="4"/>
      <c r="ACV96" s="4"/>
      <c r="ACW96" s="4"/>
      <c r="ACX96" s="4"/>
      <c r="ACY96" s="4"/>
      <c r="ACZ96" s="4"/>
      <c r="ADA96" s="4"/>
      <c r="ADB96" s="4"/>
      <c r="ADC96" s="4"/>
      <c r="ADD96" s="4"/>
      <c r="ADE96" s="4"/>
      <c r="ADF96" s="4"/>
      <c r="ADG96" s="4"/>
      <c r="ADH96" s="4"/>
      <c r="ADI96" s="4"/>
      <c r="ADJ96" s="4"/>
      <c r="ADK96" s="4"/>
      <c r="ADL96" s="4"/>
      <c r="ADM96" s="4"/>
      <c r="ADN96" s="4"/>
      <c r="ADO96" s="4"/>
      <c r="ADP96" s="4"/>
      <c r="ADQ96" s="4"/>
      <c r="ADR96" s="4"/>
      <c r="ADS96" s="4"/>
      <c r="ADT96" s="4"/>
      <c r="ADU96" s="4"/>
      <c r="ADV96" s="4"/>
      <c r="ADW96" s="4"/>
      <c r="ADX96" s="4"/>
      <c r="ADY96" s="4"/>
      <c r="ADZ96" s="4"/>
      <c r="AEA96" s="4"/>
      <c r="AEB96" s="4"/>
      <c r="AEC96" s="4"/>
      <c r="AED96" s="4"/>
      <c r="AEE96" s="4"/>
      <c r="AEF96" s="4"/>
      <c r="AEG96" s="4"/>
      <c r="AEH96" s="4"/>
      <c r="AEI96" s="4"/>
      <c r="AEJ96" s="4"/>
      <c r="AEK96" s="4"/>
      <c r="AEL96" s="4"/>
      <c r="AEM96" s="4"/>
      <c r="AEN96" s="4"/>
      <c r="AEO96" s="4"/>
      <c r="AEP96" s="4"/>
      <c r="AEQ96" s="4"/>
      <c r="AER96" s="4"/>
      <c r="AES96" s="4"/>
      <c r="AET96" s="4"/>
      <c r="AEU96" s="4"/>
      <c r="AEV96" s="4"/>
      <c r="AEW96" s="4"/>
      <c r="AEX96" s="4"/>
      <c r="AEY96" s="4"/>
      <c r="AEZ96" s="4"/>
      <c r="AFA96" s="4"/>
      <c r="AFB96" s="4"/>
      <c r="AFC96" s="4"/>
      <c r="AFD96" s="4"/>
      <c r="AFE96" s="4"/>
      <c r="AFF96" s="4"/>
      <c r="AFG96" s="4"/>
      <c r="AFH96" s="4"/>
      <c r="AFI96" s="4"/>
      <c r="AFJ96" s="4"/>
      <c r="AFK96" s="4"/>
      <c r="AFL96" s="4"/>
      <c r="AFM96" s="4"/>
      <c r="AFN96" s="4"/>
      <c r="AFO96" s="4"/>
      <c r="AFP96" s="4"/>
      <c r="AFQ96" s="4"/>
      <c r="AFR96" s="4"/>
      <c r="AFS96" s="4"/>
      <c r="AFT96" s="4"/>
      <c r="AFU96" s="4"/>
      <c r="AFV96" s="4"/>
      <c r="AFW96" s="4"/>
      <c r="AFX96" s="4"/>
      <c r="AFY96" s="4"/>
      <c r="AFZ96" s="4"/>
      <c r="AGA96" s="4"/>
      <c r="AGB96" s="4"/>
      <c r="AGC96" s="4"/>
      <c r="AGD96" s="4"/>
      <c r="AGE96" s="4"/>
      <c r="AGF96" s="4"/>
      <c r="AGG96" s="4"/>
      <c r="AGH96" s="4"/>
      <c r="AGI96" s="4"/>
      <c r="AGJ96" s="4"/>
      <c r="AGK96" s="4"/>
      <c r="AGL96" s="4"/>
      <c r="AGM96" s="4"/>
      <c r="AGN96" s="4"/>
      <c r="AGO96" s="4"/>
      <c r="AGP96" s="4"/>
      <c r="AGQ96" s="4"/>
      <c r="AGR96" s="4"/>
      <c r="AGS96" s="4"/>
      <c r="AGT96" s="4"/>
      <c r="AGU96" s="4"/>
      <c r="AGV96" s="4"/>
      <c r="AGW96" s="4"/>
      <c r="AGX96" s="4"/>
      <c r="AGY96" s="4"/>
      <c r="AGZ96" s="4"/>
      <c r="AHA96" s="4"/>
      <c r="AHB96" s="4"/>
      <c r="AHC96" s="4"/>
      <c r="AHD96" s="4"/>
      <c r="AHE96" s="4"/>
      <c r="AHF96" s="4"/>
      <c r="AHG96" s="4"/>
      <c r="AHH96" s="4"/>
      <c r="AHI96" s="4"/>
      <c r="AHJ96" s="4"/>
      <c r="AHK96" s="4"/>
      <c r="AHL96" s="4"/>
      <c r="AHM96" s="4"/>
      <c r="AHN96" s="4"/>
      <c r="AHO96" s="4"/>
      <c r="AHP96" s="4"/>
      <c r="AHQ96" s="4"/>
      <c r="AHR96" s="4"/>
      <c r="AHS96" s="4"/>
      <c r="AHT96" s="4"/>
      <c r="AHU96" s="4"/>
      <c r="AHV96" s="4"/>
      <c r="AHW96" s="4"/>
      <c r="AHX96" s="4"/>
      <c r="AHY96" s="4"/>
      <c r="AHZ96" s="4"/>
      <c r="AIA96" s="4"/>
      <c r="AIB96" s="4"/>
      <c r="AIC96" s="4"/>
      <c r="AID96" s="4"/>
      <c r="AIE96" s="4"/>
      <c r="AIF96" s="4"/>
      <c r="AIG96" s="4"/>
      <c r="AIH96" s="4"/>
      <c r="AII96" s="4"/>
      <c r="AIJ96" s="4"/>
      <c r="AIK96" s="4"/>
      <c r="AIL96" s="4"/>
      <c r="AIM96" s="4"/>
      <c r="AIN96" s="4"/>
      <c r="AIO96" s="4"/>
      <c r="AIP96" s="4"/>
      <c r="AIQ96" s="4"/>
      <c r="AIR96" s="4"/>
      <c r="AIS96" s="4"/>
      <c r="AIT96" s="4"/>
      <c r="AIU96" s="4"/>
      <c r="AIV96" s="4"/>
      <c r="AIW96" s="4"/>
      <c r="AIX96" s="4"/>
      <c r="AIY96" s="4"/>
      <c r="AIZ96" s="4"/>
      <c r="AJA96" s="4"/>
      <c r="AJB96" s="4"/>
      <c r="AJC96" s="4"/>
      <c r="AJD96" s="4"/>
      <c r="AJE96" s="4"/>
      <c r="AJF96" s="4"/>
      <c r="AJG96" s="4"/>
      <c r="AJH96" s="4"/>
      <c r="AJI96" s="4"/>
      <c r="AJJ96" s="4"/>
      <c r="AJK96" s="4"/>
      <c r="AJL96" s="4"/>
      <c r="AJM96" s="4"/>
      <c r="AJN96" s="4"/>
      <c r="AJO96" s="4"/>
      <c r="AJP96" s="4"/>
      <c r="AJQ96" s="4"/>
      <c r="AJR96" s="4"/>
      <c r="AJS96" s="4"/>
      <c r="AJT96" s="4"/>
      <c r="AJU96" s="4"/>
      <c r="AJV96" s="4"/>
      <c r="AJW96" s="4"/>
      <c r="AJX96" s="4"/>
      <c r="AJY96" s="4"/>
      <c r="AJZ96" s="4"/>
      <c r="AKA96" s="4"/>
      <c r="AKB96" s="4"/>
      <c r="AKC96" s="4"/>
      <c r="AKD96" s="4"/>
      <c r="AKE96" s="4"/>
      <c r="AKF96" s="4"/>
      <c r="AKG96" s="4"/>
      <c r="AKH96" s="4"/>
      <c r="AKI96" s="4"/>
      <c r="AKJ96" s="4"/>
      <c r="AKK96" s="4"/>
      <c r="AKL96" s="4"/>
      <c r="AKM96" s="4"/>
      <c r="AKN96" s="4"/>
      <c r="AKO96" s="4"/>
      <c r="AKP96" s="4"/>
      <c r="AKQ96" s="4"/>
      <c r="AKR96" s="4"/>
      <c r="AKS96" s="4"/>
      <c r="AKT96" s="4"/>
      <c r="AKU96" s="4"/>
      <c r="AKV96" s="4"/>
      <c r="AKW96" s="4"/>
      <c r="AKX96" s="4"/>
      <c r="AKY96" s="4"/>
      <c r="AKZ96" s="4"/>
      <c r="ALA96" s="4"/>
      <c r="ALB96" s="4"/>
      <c r="ALC96" s="4"/>
      <c r="ALD96" s="4"/>
      <c r="ALE96" s="4"/>
      <c r="ALF96" s="4"/>
      <c r="ALG96" s="4"/>
      <c r="ALH96" s="4"/>
      <c r="ALI96" s="4"/>
      <c r="ALJ96" s="4"/>
      <c r="ALK96" s="4"/>
      <c r="ALL96" s="4"/>
      <c r="ALM96" s="4"/>
      <c r="ALN96" s="4"/>
      <c r="ALO96" s="4"/>
      <c r="ALP96" s="4"/>
      <c r="ALQ96" s="4"/>
      <c r="ALR96" s="4"/>
      <c r="ALS96" s="4"/>
      <c r="ALT96" s="4"/>
      <c r="ALU96" s="4"/>
      <c r="ALV96" s="4"/>
      <c r="ALW96" s="4"/>
      <c r="ALX96" s="4"/>
      <c r="ALY96" s="4"/>
      <c r="ALZ96" s="4"/>
      <c r="AMA96" s="4"/>
      <c r="AMB96" s="4"/>
      <c r="AMC96" s="4"/>
      <c r="AMD96" s="4"/>
      <c r="AME96" s="4"/>
      <c r="AMF96" s="4"/>
      <c r="AMG96" s="4"/>
      <c r="AMH96" s="4"/>
      <c r="AMI96" s="4"/>
      <c r="AMJ96" s="4"/>
      <c r="AMK96" s="4"/>
      <c r="AML96" s="4"/>
      <c r="AMM96" s="4"/>
      <c r="AMN96" s="4"/>
      <c r="AMO96" s="4"/>
      <c r="AMP96" s="4"/>
      <c r="AMQ96" s="4"/>
      <c r="AMR96" s="4"/>
      <c r="AMS96" s="4"/>
      <c r="AMT96" s="4"/>
      <c r="AMU96" s="4"/>
      <c r="AMV96" s="4"/>
      <c r="AMW96" s="4"/>
      <c r="AMX96" s="4"/>
      <c r="AMY96" s="4"/>
      <c r="AMZ96" s="4"/>
      <c r="ANA96" s="4"/>
      <c r="ANB96" s="4"/>
      <c r="ANC96" s="4"/>
      <c r="AND96" s="4"/>
      <c r="ANE96" s="4"/>
      <c r="ANF96" s="4"/>
      <c r="ANG96" s="4"/>
      <c r="ANH96" s="4"/>
      <c r="ANI96" s="4"/>
      <c r="ANJ96" s="4"/>
      <c r="ANK96" s="4"/>
      <c r="ANL96" s="4"/>
      <c r="ANM96" s="4"/>
      <c r="ANN96" s="4"/>
      <c r="ANO96" s="4"/>
      <c r="ANP96" s="4"/>
      <c r="ANQ96" s="4"/>
      <c r="ANR96" s="4"/>
      <c r="ANS96" s="4"/>
      <c r="ANT96" s="4"/>
      <c r="ANU96" s="4"/>
      <c r="ANV96" s="4"/>
      <c r="ANW96" s="4"/>
      <c r="ANX96" s="4"/>
      <c r="ANY96" s="4"/>
      <c r="ANZ96" s="4"/>
      <c r="AOA96" s="4"/>
      <c r="AOB96" s="4"/>
      <c r="AOC96" s="4"/>
      <c r="AOD96" s="4"/>
      <c r="AOE96" s="4"/>
      <c r="AOF96" s="4"/>
      <c r="AOG96" s="4"/>
      <c r="AOH96" s="4"/>
      <c r="AOI96" s="4"/>
      <c r="AOJ96" s="4"/>
      <c r="AOK96" s="4"/>
      <c r="AOL96" s="4"/>
      <c r="AOM96" s="4"/>
      <c r="AON96" s="4"/>
      <c r="AOO96" s="4"/>
      <c r="AOP96" s="4"/>
      <c r="AOQ96" s="4"/>
      <c r="AOR96" s="4"/>
      <c r="AOS96" s="4"/>
      <c r="AOT96" s="4"/>
      <c r="AOU96" s="4"/>
      <c r="AOV96" s="4"/>
      <c r="AOW96" s="4"/>
      <c r="AOX96" s="4"/>
      <c r="AOY96" s="4"/>
      <c r="AOZ96" s="4"/>
      <c r="APA96" s="4"/>
      <c r="APB96" s="4"/>
      <c r="APC96" s="4"/>
      <c r="APD96" s="4"/>
      <c r="APE96" s="4"/>
      <c r="APF96" s="4"/>
      <c r="APG96" s="4"/>
      <c r="APH96" s="4"/>
      <c r="API96" s="4"/>
      <c r="APJ96" s="4"/>
      <c r="APK96" s="4"/>
      <c r="APL96" s="4"/>
      <c r="APM96" s="4"/>
      <c r="APN96" s="4"/>
      <c r="APO96" s="4"/>
      <c r="APP96" s="4"/>
      <c r="APQ96" s="4"/>
      <c r="APR96" s="4"/>
      <c r="APS96" s="4"/>
      <c r="APT96" s="4"/>
      <c r="APU96" s="4"/>
      <c r="APV96" s="4"/>
      <c r="APW96" s="4"/>
      <c r="APX96" s="4"/>
      <c r="APY96" s="4"/>
      <c r="APZ96" s="4"/>
      <c r="AQA96" s="4"/>
      <c r="AQB96" s="4"/>
      <c r="AQC96" s="4"/>
      <c r="AQD96" s="4"/>
      <c r="AQE96" s="4"/>
      <c r="AQF96" s="4"/>
      <c r="AQG96" s="4"/>
      <c r="AQH96" s="4"/>
      <c r="AQI96" s="4"/>
      <c r="AQJ96" s="4"/>
      <c r="AQK96" s="4"/>
      <c r="AQL96" s="4"/>
      <c r="AQM96" s="4"/>
      <c r="AQN96" s="4"/>
      <c r="AQO96" s="4"/>
      <c r="AQP96" s="4"/>
      <c r="AQQ96" s="4"/>
      <c r="AQR96" s="4"/>
      <c r="AQS96" s="4"/>
      <c r="AQT96" s="4"/>
      <c r="AQU96" s="4"/>
      <c r="AQV96" s="4"/>
      <c r="AQW96" s="4"/>
      <c r="AQX96" s="4"/>
      <c r="AQY96" s="4"/>
      <c r="AQZ96" s="4"/>
      <c r="ARA96" s="4"/>
      <c r="ARB96" s="4"/>
      <c r="ARC96" s="4"/>
      <c r="ARD96" s="4"/>
      <c r="ARE96" s="4"/>
      <c r="ARF96" s="4"/>
      <c r="ARG96" s="4"/>
      <c r="ARH96" s="4"/>
      <c r="ARI96" s="4"/>
      <c r="ARJ96" s="4"/>
      <c r="ARK96" s="4"/>
      <c r="ARL96" s="4"/>
      <c r="ARM96" s="4"/>
      <c r="ARN96" s="4"/>
      <c r="ARO96" s="4"/>
      <c r="ARP96" s="4"/>
      <c r="ARQ96" s="4"/>
      <c r="ARR96" s="4"/>
      <c r="ARS96" s="4"/>
      <c r="ART96" s="4"/>
      <c r="ARU96" s="4"/>
      <c r="ARV96" s="4"/>
      <c r="ARW96" s="4"/>
      <c r="ARX96" s="4"/>
      <c r="ARY96" s="4"/>
      <c r="ARZ96" s="4"/>
      <c r="ASA96" s="4"/>
      <c r="ASB96" s="4"/>
      <c r="ASC96" s="4"/>
      <c r="ASD96" s="4"/>
      <c r="ASE96" s="4"/>
      <c r="ASF96" s="4"/>
      <c r="ASG96" s="4"/>
      <c r="ASH96" s="4"/>
      <c r="ASI96" s="4"/>
      <c r="ASJ96" s="4"/>
      <c r="ASK96" s="4"/>
      <c r="ASL96" s="4"/>
      <c r="ASM96" s="4"/>
      <c r="ASN96" s="4"/>
      <c r="ASO96" s="4"/>
      <c r="ASP96" s="4"/>
      <c r="ASQ96" s="4"/>
      <c r="ASR96" s="4"/>
      <c r="ASS96" s="4"/>
      <c r="AST96" s="4"/>
      <c r="ASU96" s="4"/>
      <c r="ASV96" s="4"/>
      <c r="ASW96" s="4"/>
      <c r="ASX96" s="4"/>
      <c r="ASY96" s="4"/>
      <c r="ASZ96" s="4"/>
      <c r="ATA96" s="4"/>
      <c r="ATB96" s="4"/>
      <c r="ATC96" s="4"/>
      <c r="ATD96" s="4"/>
      <c r="ATE96" s="4"/>
      <c r="ATF96" s="4"/>
      <c r="ATG96" s="4"/>
      <c r="ATH96" s="4"/>
      <c r="ATI96" s="4"/>
      <c r="ATJ96" s="4"/>
      <c r="ATK96" s="4"/>
      <c r="ATL96" s="4"/>
      <c r="ATM96" s="4"/>
      <c r="ATN96" s="4"/>
      <c r="ATO96" s="4"/>
      <c r="ATP96" s="4"/>
      <c r="ATQ96" s="4"/>
      <c r="ATR96" s="4"/>
      <c r="ATS96" s="4"/>
      <c r="ATT96" s="4"/>
      <c r="ATU96" s="4"/>
      <c r="ATV96" s="4"/>
      <c r="ATW96" s="4"/>
      <c r="ATX96" s="4"/>
      <c r="ATY96" s="4"/>
      <c r="ATZ96" s="4"/>
      <c r="AUA96" s="4"/>
      <c r="AUB96" s="4"/>
      <c r="AUC96" s="4"/>
      <c r="AUD96" s="4"/>
      <c r="AUE96" s="4"/>
      <c r="AUF96" s="4"/>
      <c r="AUG96" s="4"/>
      <c r="AUH96" s="4"/>
      <c r="AUI96" s="4"/>
      <c r="AUJ96" s="4"/>
      <c r="AUK96" s="4"/>
      <c r="AUL96" s="4"/>
      <c r="AUM96" s="4"/>
      <c r="AUN96" s="4"/>
      <c r="AUO96" s="4"/>
      <c r="AUP96" s="4"/>
      <c r="AUQ96" s="4"/>
      <c r="AUR96" s="4"/>
      <c r="AUS96" s="4"/>
      <c r="AUT96" s="4"/>
      <c r="AUU96" s="4"/>
      <c r="AUV96" s="4"/>
      <c r="AUW96" s="4"/>
      <c r="AUX96" s="4"/>
      <c r="AUY96" s="4"/>
      <c r="AUZ96" s="4"/>
      <c r="AVA96" s="4"/>
      <c r="AVB96" s="4"/>
      <c r="AVC96" s="4"/>
      <c r="AVD96" s="4"/>
      <c r="AVE96" s="4"/>
      <c r="AVF96" s="4"/>
      <c r="AVG96" s="4"/>
      <c r="AVH96" s="4"/>
      <c r="AVI96" s="4"/>
      <c r="AVJ96" s="4"/>
      <c r="AVK96" s="4"/>
      <c r="AVL96" s="4"/>
      <c r="AVM96" s="4"/>
      <c r="AVN96" s="4"/>
      <c r="AVO96" s="4"/>
      <c r="AVP96" s="4"/>
      <c r="AVQ96" s="4"/>
      <c r="AVR96" s="4"/>
      <c r="AVS96" s="4"/>
      <c r="AVT96" s="4"/>
      <c r="AVU96" s="4"/>
      <c r="AVV96" s="4"/>
      <c r="AVW96" s="4"/>
      <c r="AVX96" s="4"/>
      <c r="AVY96" s="4"/>
      <c r="AVZ96" s="4"/>
      <c r="AWA96" s="4"/>
      <c r="AWB96" s="4"/>
      <c r="AWC96" s="4"/>
      <c r="AWD96" s="4"/>
      <c r="AWE96" s="4"/>
      <c r="AWF96" s="4"/>
      <c r="AWG96" s="4"/>
      <c r="AWH96" s="4"/>
      <c r="AWI96" s="4"/>
      <c r="AWJ96" s="4"/>
      <c r="AWK96" s="4"/>
      <c r="AWL96" s="4"/>
      <c r="AWM96" s="4"/>
      <c r="AWN96" s="4"/>
      <c r="AWO96" s="4"/>
      <c r="AWP96" s="4"/>
      <c r="AWQ96" s="4"/>
      <c r="AWR96" s="4"/>
      <c r="AWS96" s="4"/>
      <c r="AWT96" s="4"/>
      <c r="AWU96" s="4"/>
      <c r="AWV96" s="4"/>
      <c r="AWW96" s="4"/>
      <c r="AWX96" s="4"/>
      <c r="AWY96" s="4"/>
      <c r="AWZ96" s="4"/>
      <c r="AXA96" s="4"/>
      <c r="AXB96" s="4"/>
      <c r="AXC96" s="4"/>
      <c r="AXD96" s="4"/>
      <c r="AXE96" s="4"/>
      <c r="AXF96" s="4"/>
      <c r="AXG96" s="4"/>
      <c r="AXH96" s="4"/>
      <c r="AXI96" s="4"/>
      <c r="AXJ96" s="4"/>
      <c r="AXK96" s="4"/>
      <c r="AXL96" s="4"/>
      <c r="AXM96" s="4"/>
      <c r="AXN96" s="4"/>
      <c r="AXO96" s="4"/>
      <c r="AXP96" s="4"/>
      <c r="AXQ96" s="4"/>
      <c r="AXR96" s="4"/>
      <c r="AXS96" s="4"/>
      <c r="AXT96" s="4"/>
      <c r="AXU96" s="4"/>
      <c r="AXV96" s="4"/>
      <c r="AXW96" s="4"/>
      <c r="AXX96" s="4"/>
      <c r="AXY96" s="4"/>
      <c r="AXZ96" s="4"/>
      <c r="AYA96" s="4"/>
      <c r="AYB96" s="4"/>
      <c r="AYC96" s="4"/>
      <c r="AYD96" s="4"/>
      <c r="AYE96" s="4"/>
      <c r="AYF96" s="4"/>
      <c r="AYG96" s="4"/>
      <c r="AYH96" s="4"/>
      <c r="AYI96" s="4"/>
      <c r="AYJ96" s="4"/>
      <c r="AYK96" s="4"/>
      <c r="AYL96" s="4"/>
      <c r="AYM96" s="4"/>
      <c r="AYN96" s="4"/>
      <c r="AYO96" s="4"/>
      <c r="AYP96" s="4"/>
      <c r="AYQ96" s="4"/>
      <c r="AYR96" s="4"/>
      <c r="AYS96" s="4"/>
      <c r="AYT96" s="4"/>
      <c r="AYU96" s="4"/>
      <c r="AYV96" s="4"/>
      <c r="AYW96" s="4"/>
      <c r="AYX96" s="4"/>
      <c r="AYY96" s="4"/>
      <c r="AYZ96" s="4"/>
      <c r="AZA96" s="4"/>
      <c r="AZB96" s="4"/>
      <c r="AZC96" s="4"/>
      <c r="AZD96" s="4"/>
      <c r="AZE96" s="4"/>
      <c r="AZF96" s="4"/>
      <c r="AZG96" s="4"/>
      <c r="AZH96" s="4"/>
      <c r="AZI96" s="4"/>
      <c r="AZJ96" s="4"/>
      <c r="AZK96" s="4"/>
      <c r="AZL96" s="4"/>
      <c r="AZM96" s="4"/>
      <c r="AZN96" s="4"/>
      <c r="AZO96" s="4"/>
      <c r="AZP96" s="4"/>
      <c r="AZQ96" s="4"/>
      <c r="AZR96" s="4"/>
      <c r="AZS96" s="4"/>
      <c r="AZT96" s="4"/>
      <c r="AZU96" s="4"/>
      <c r="AZV96" s="4"/>
      <c r="AZW96" s="4"/>
      <c r="AZX96" s="4"/>
      <c r="AZY96" s="4"/>
      <c r="AZZ96" s="4"/>
      <c r="BAA96" s="4"/>
      <c r="BAB96" s="4"/>
      <c r="BAC96" s="4"/>
      <c r="BAD96" s="4"/>
      <c r="BAE96" s="4"/>
      <c r="BAF96" s="4"/>
      <c r="BAG96" s="4"/>
      <c r="BAH96" s="4"/>
      <c r="BAI96" s="4"/>
      <c r="BAJ96" s="4"/>
      <c r="BAK96" s="4"/>
      <c r="BAL96" s="4"/>
      <c r="BAM96" s="4"/>
      <c r="BAN96" s="4"/>
      <c r="BAO96" s="4"/>
      <c r="BAP96" s="4"/>
      <c r="BAQ96" s="4"/>
      <c r="BAR96" s="4"/>
      <c r="BAS96" s="4"/>
      <c r="BAT96" s="4"/>
      <c r="BAU96" s="4"/>
      <c r="BAV96" s="4"/>
      <c r="BAW96" s="4"/>
      <c r="BAX96" s="4"/>
      <c r="BAY96" s="4"/>
      <c r="BAZ96" s="4"/>
      <c r="BBA96" s="4"/>
      <c r="BBB96" s="4"/>
      <c r="BBC96" s="4"/>
      <c r="BBD96" s="4"/>
      <c r="BBE96" s="4"/>
      <c r="BBF96" s="4"/>
      <c r="BBG96" s="4"/>
      <c r="BBH96" s="4"/>
      <c r="BBI96" s="4"/>
      <c r="BBJ96" s="4"/>
      <c r="BBK96" s="4"/>
      <c r="BBL96" s="4"/>
      <c r="BBM96" s="4"/>
      <c r="BBN96" s="4"/>
      <c r="BBO96" s="4"/>
      <c r="BBP96" s="4"/>
      <c r="BBQ96" s="4"/>
      <c r="BBR96" s="4"/>
      <c r="BBS96" s="4"/>
      <c r="BBT96" s="4"/>
      <c r="BBU96" s="4"/>
      <c r="BBV96" s="4"/>
      <c r="BBW96" s="4"/>
      <c r="BBX96" s="4"/>
      <c r="BBY96" s="4"/>
      <c r="BBZ96" s="4"/>
      <c r="BCA96" s="4"/>
      <c r="BCB96" s="4"/>
      <c r="BCC96" s="4"/>
      <c r="BCD96" s="4"/>
      <c r="BCE96" s="4"/>
      <c r="BCF96" s="4"/>
      <c r="BCG96" s="4"/>
      <c r="BCH96" s="4"/>
      <c r="BCI96" s="4"/>
      <c r="BCJ96" s="4"/>
      <c r="BCK96" s="4"/>
      <c r="BCL96" s="4"/>
      <c r="BCM96" s="4"/>
      <c r="BCN96" s="4"/>
      <c r="BCO96" s="4"/>
      <c r="BCP96" s="4"/>
      <c r="BCQ96" s="4"/>
      <c r="BCR96" s="4"/>
      <c r="BCS96" s="4"/>
      <c r="BCT96" s="4"/>
      <c r="BCU96" s="4"/>
      <c r="BCV96" s="4"/>
      <c r="BCW96" s="4"/>
      <c r="BCX96" s="4"/>
      <c r="BCY96" s="4"/>
      <c r="BCZ96" s="4"/>
      <c r="BDA96" s="4"/>
      <c r="BDB96" s="4"/>
      <c r="BDC96" s="4"/>
      <c r="BDD96" s="4"/>
      <c r="BDE96" s="4"/>
      <c r="BDF96" s="4"/>
      <c r="BDG96" s="4"/>
      <c r="BDH96" s="4"/>
      <c r="BDI96" s="4"/>
      <c r="BDJ96" s="4"/>
      <c r="BDK96" s="4"/>
      <c r="BDL96" s="4"/>
      <c r="BDM96" s="4"/>
      <c r="BDN96" s="4"/>
      <c r="BDO96" s="4"/>
      <c r="BDP96" s="4"/>
      <c r="BDQ96" s="4"/>
      <c r="BDR96" s="4"/>
      <c r="BDS96" s="4"/>
      <c r="BDT96" s="4"/>
      <c r="BDU96" s="4"/>
      <c r="BDV96" s="4"/>
      <c r="BDW96" s="4"/>
      <c r="BDX96" s="4"/>
      <c r="BDY96" s="4"/>
      <c r="BDZ96" s="4"/>
      <c r="BEA96" s="4"/>
      <c r="BEB96" s="4"/>
      <c r="BEC96" s="4"/>
      <c r="BED96" s="4"/>
      <c r="BEE96" s="4"/>
      <c r="BEF96" s="4"/>
      <c r="BEG96" s="4"/>
      <c r="BEH96" s="4"/>
      <c r="BEI96" s="4"/>
      <c r="BEJ96" s="4"/>
      <c r="BEK96" s="4"/>
      <c r="BEL96" s="4"/>
      <c r="BEM96" s="4"/>
      <c r="BEN96" s="4"/>
      <c r="BEO96" s="4"/>
      <c r="BEP96" s="4"/>
      <c r="BEQ96" s="4"/>
      <c r="BER96" s="4"/>
      <c r="BES96" s="4"/>
      <c r="BET96" s="4"/>
      <c r="BEU96" s="4"/>
      <c r="BEV96" s="4"/>
      <c r="BEW96" s="4"/>
      <c r="BEX96" s="4"/>
      <c r="BEY96" s="4"/>
      <c r="BEZ96" s="4"/>
      <c r="BFA96" s="4"/>
      <c r="BFB96" s="4"/>
      <c r="BFC96" s="4"/>
      <c r="BFD96" s="4"/>
      <c r="BFE96" s="4"/>
      <c r="BFF96" s="4"/>
      <c r="BFG96" s="4"/>
      <c r="BFH96" s="4"/>
      <c r="BFI96" s="4"/>
      <c r="BFJ96" s="4"/>
      <c r="BFK96" s="4"/>
      <c r="BFL96" s="4"/>
      <c r="BFM96" s="4"/>
      <c r="BFN96" s="4"/>
      <c r="BFO96" s="4"/>
      <c r="BFP96" s="4"/>
      <c r="BFQ96" s="4"/>
      <c r="BFR96" s="4"/>
      <c r="BFS96" s="4"/>
      <c r="BFT96" s="4"/>
      <c r="BFU96" s="4"/>
      <c r="BFV96" s="4"/>
      <c r="BFW96" s="4"/>
      <c r="BFX96" s="4"/>
      <c r="BFY96" s="4"/>
      <c r="BFZ96" s="4"/>
      <c r="BGA96" s="4"/>
      <c r="BGB96" s="4"/>
      <c r="BGC96" s="4"/>
      <c r="BGD96" s="4"/>
      <c r="BGE96" s="4"/>
      <c r="BGF96" s="4"/>
      <c r="BGG96" s="4"/>
      <c r="BGH96" s="4"/>
      <c r="BGI96" s="4"/>
      <c r="BGJ96" s="4"/>
      <c r="BGK96" s="4"/>
      <c r="BGL96" s="4"/>
      <c r="BGM96" s="4"/>
      <c r="BGN96" s="4"/>
      <c r="BGO96" s="4"/>
      <c r="BGP96" s="4"/>
      <c r="BGQ96" s="4"/>
      <c r="BGR96" s="4"/>
      <c r="BGS96" s="4"/>
      <c r="BGT96" s="4"/>
      <c r="BGU96" s="4"/>
      <c r="BGV96" s="4"/>
      <c r="BGW96" s="4"/>
      <c r="BGX96" s="4"/>
      <c r="BGY96" s="4"/>
      <c r="BGZ96" s="4"/>
      <c r="BHA96" s="4"/>
      <c r="BHB96" s="4"/>
      <c r="BHC96" s="4"/>
      <c r="BHD96" s="4"/>
      <c r="BHE96" s="4"/>
      <c r="BHF96" s="4"/>
      <c r="BHG96" s="4"/>
      <c r="BHH96" s="4"/>
      <c r="BHI96" s="4"/>
      <c r="BHJ96" s="4"/>
      <c r="BHK96" s="4"/>
      <c r="BHL96" s="4"/>
      <c r="BHM96" s="4"/>
      <c r="BHN96" s="4"/>
      <c r="BHO96" s="4"/>
      <c r="BHP96" s="4"/>
      <c r="BHQ96" s="4"/>
      <c r="BHR96" s="4"/>
      <c r="BHS96" s="4"/>
      <c r="BHT96" s="4"/>
      <c r="BHU96" s="4"/>
      <c r="BHV96" s="4"/>
      <c r="BHW96" s="4"/>
      <c r="BHX96" s="4"/>
      <c r="BHY96" s="4"/>
      <c r="BHZ96" s="4"/>
      <c r="BIA96" s="4"/>
      <c r="BIB96" s="4"/>
      <c r="BIC96" s="4"/>
      <c r="BID96" s="4"/>
      <c r="BIE96" s="4"/>
      <c r="BIF96" s="4"/>
      <c r="BIG96" s="4"/>
      <c r="BIH96" s="4"/>
      <c r="BII96" s="4"/>
      <c r="BIJ96" s="4"/>
      <c r="BIK96" s="4"/>
      <c r="BIL96" s="4"/>
      <c r="BIM96" s="4"/>
      <c r="BIN96" s="4"/>
      <c r="BIO96" s="4"/>
      <c r="BIP96" s="4"/>
      <c r="BIQ96" s="4"/>
      <c r="BIR96" s="4"/>
      <c r="BIS96" s="4"/>
      <c r="BIT96" s="4"/>
      <c r="BIU96" s="4"/>
      <c r="BIV96" s="4"/>
      <c r="BIW96" s="4"/>
      <c r="BIX96" s="4"/>
      <c r="BIY96" s="4"/>
      <c r="BIZ96" s="4"/>
      <c r="BJA96" s="4"/>
      <c r="BJB96" s="4"/>
      <c r="BJC96" s="4"/>
      <c r="BJD96" s="4"/>
      <c r="BJE96" s="4"/>
      <c r="BJF96" s="4"/>
      <c r="BJG96" s="4"/>
      <c r="BJH96" s="4"/>
      <c r="BJI96" s="4"/>
      <c r="BJJ96" s="4"/>
      <c r="BJK96" s="4"/>
      <c r="BJL96" s="4"/>
      <c r="BJM96" s="4"/>
      <c r="BJN96" s="4"/>
      <c r="BJO96" s="4"/>
      <c r="BJP96" s="4"/>
      <c r="BJQ96" s="4"/>
      <c r="BJR96" s="4"/>
      <c r="BJS96" s="4"/>
      <c r="BJT96" s="4"/>
      <c r="BJU96" s="4"/>
      <c r="BJV96" s="4"/>
      <c r="BJW96" s="4"/>
      <c r="BJX96" s="4"/>
      <c r="BJY96" s="4"/>
      <c r="BJZ96" s="4"/>
      <c r="BKA96" s="4"/>
      <c r="BKB96" s="4"/>
      <c r="BKC96" s="4"/>
      <c r="BKD96" s="4"/>
      <c r="BKE96" s="4"/>
      <c r="BKF96" s="4"/>
      <c r="BKG96" s="4"/>
      <c r="BKH96" s="4"/>
      <c r="BKI96" s="4"/>
      <c r="BKJ96" s="4"/>
      <c r="BKK96" s="4"/>
      <c r="BKL96" s="4"/>
      <c r="BKM96" s="4"/>
      <c r="BKN96" s="4"/>
      <c r="BKO96" s="4"/>
      <c r="BKP96" s="4"/>
      <c r="BKQ96" s="4"/>
      <c r="BKR96" s="4"/>
      <c r="BKS96" s="4"/>
      <c r="BKT96" s="4"/>
      <c r="BKU96" s="4"/>
      <c r="BKV96" s="4"/>
      <c r="BKW96" s="4"/>
      <c r="BKX96" s="4"/>
      <c r="BKY96" s="4"/>
      <c r="BKZ96" s="4"/>
      <c r="BLA96" s="4"/>
      <c r="BLB96" s="4"/>
      <c r="BLC96" s="4"/>
      <c r="BLD96" s="4"/>
      <c r="BLE96" s="4"/>
      <c r="BLF96" s="4"/>
      <c r="BLG96" s="4"/>
      <c r="BLH96" s="4"/>
      <c r="BLI96" s="4"/>
      <c r="BLJ96" s="4"/>
      <c r="BLK96" s="4"/>
      <c r="BLL96" s="4"/>
      <c r="BLM96" s="4"/>
      <c r="BLN96" s="4"/>
      <c r="BLO96" s="4"/>
      <c r="BLP96" s="4"/>
      <c r="BLQ96" s="4"/>
      <c r="BLR96" s="4"/>
      <c r="BLS96" s="4"/>
      <c r="BLT96" s="4"/>
      <c r="BLU96" s="4"/>
      <c r="BLV96" s="4"/>
      <c r="BLW96" s="4"/>
      <c r="BLX96" s="4"/>
      <c r="BLY96" s="4"/>
      <c r="BLZ96" s="4"/>
      <c r="BMA96" s="4"/>
      <c r="BMB96" s="4"/>
      <c r="BMC96" s="4"/>
      <c r="BMD96" s="4"/>
      <c r="BME96" s="4"/>
      <c r="BMF96" s="4"/>
      <c r="BMG96" s="4"/>
      <c r="BMH96" s="4"/>
      <c r="BMI96" s="4"/>
      <c r="BMJ96" s="4"/>
      <c r="BMK96" s="4"/>
      <c r="BML96" s="4"/>
      <c r="BMM96" s="4"/>
      <c r="BMN96" s="4"/>
      <c r="BMO96" s="4"/>
      <c r="BMP96" s="4"/>
      <c r="BMQ96" s="4"/>
      <c r="BMR96" s="4"/>
      <c r="BMS96" s="4"/>
      <c r="BMT96" s="4"/>
      <c r="BMU96" s="4"/>
      <c r="BMV96" s="4"/>
      <c r="BMW96" s="4"/>
      <c r="BMX96" s="4"/>
      <c r="BMY96" s="4"/>
      <c r="BMZ96" s="4"/>
      <c r="BNA96" s="4"/>
      <c r="BNB96" s="4"/>
      <c r="BNC96" s="4"/>
      <c r="BND96" s="4"/>
      <c r="BNE96" s="4"/>
      <c r="BNF96" s="4"/>
      <c r="BNG96" s="4"/>
      <c r="BNH96" s="4"/>
      <c r="BNI96" s="4"/>
      <c r="BNJ96" s="4"/>
      <c r="BNK96" s="4"/>
      <c r="BNL96" s="4"/>
      <c r="BNM96" s="4"/>
      <c r="BNN96" s="4"/>
      <c r="BNO96" s="4"/>
      <c r="BNP96" s="4"/>
      <c r="BNQ96" s="4"/>
      <c r="BNR96" s="4"/>
      <c r="BNS96" s="4"/>
      <c r="BNT96" s="4"/>
      <c r="BNU96" s="4"/>
      <c r="BNV96" s="4"/>
      <c r="BNW96" s="4"/>
      <c r="BNX96" s="4"/>
      <c r="BNY96" s="4"/>
      <c r="BNZ96" s="4"/>
      <c r="BOA96" s="4"/>
      <c r="BOB96" s="4"/>
      <c r="BOC96" s="4"/>
      <c r="BOD96" s="4"/>
      <c r="BOE96" s="4"/>
      <c r="BOF96" s="4"/>
      <c r="BOG96" s="4"/>
      <c r="BOH96" s="4"/>
      <c r="BOI96" s="4"/>
      <c r="BOJ96" s="4"/>
      <c r="BOK96" s="4"/>
      <c r="BOL96" s="4"/>
      <c r="BOM96" s="4"/>
      <c r="BON96" s="4"/>
      <c r="BOO96" s="4"/>
      <c r="BOP96" s="4"/>
      <c r="BOQ96" s="4"/>
      <c r="BOR96" s="4"/>
      <c r="BOS96" s="4"/>
      <c r="BOT96" s="4"/>
      <c r="BOU96" s="4"/>
      <c r="BOV96" s="4"/>
      <c r="BOW96" s="4"/>
      <c r="BOX96" s="4"/>
      <c r="BOY96" s="4"/>
      <c r="BOZ96" s="4"/>
      <c r="BPA96" s="4"/>
      <c r="BPB96" s="4"/>
      <c r="BPC96" s="4"/>
      <c r="BPD96" s="4"/>
      <c r="BPE96" s="4"/>
      <c r="BPF96" s="4"/>
      <c r="BPG96" s="4"/>
      <c r="BPH96" s="4"/>
      <c r="BPI96" s="4"/>
      <c r="BPJ96" s="4"/>
      <c r="BPK96" s="4"/>
      <c r="BPL96" s="4"/>
      <c r="BPM96" s="4"/>
      <c r="BPN96" s="4"/>
      <c r="BPO96" s="4"/>
      <c r="BPP96" s="4"/>
      <c r="BPQ96" s="4"/>
      <c r="BPR96" s="4"/>
      <c r="BPS96" s="4"/>
      <c r="BPT96" s="4"/>
      <c r="BPU96" s="4"/>
      <c r="BPV96" s="4"/>
      <c r="BPW96" s="4"/>
      <c r="BPX96" s="4"/>
      <c r="BPY96" s="4"/>
      <c r="BPZ96" s="4"/>
      <c r="BQA96" s="4"/>
      <c r="BQB96" s="4"/>
      <c r="BQC96" s="4"/>
      <c r="BQD96" s="4"/>
      <c r="BQE96" s="4"/>
      <c r="BQF96" s="4"/>
      <c r="BQG96" s="4"/>
      <c r="BQH96" s="4"/>
      <c r="BQI96" s="4"/>
      <c r="BQJ96" s="4"/>
      <c r="BQK96" s="4"/>
      <c r="BQL96" s="4"/>
      <c r="BQM96" s="4"/>
      <c r="BQN96" s="4"/>
      <c r="BQO96" s="4"/>
      <c r="BQP96" s="4"/>
      <c r="BQQ96" s="4"/>
      <c r="BQR96" s="4"/>
      <c r="BQS96" s="4"/>
      <c r="BQT96" s="4"/>
      <c r="BQU96" s="4"/>
      <c r="BQV96" s="4"/>
      <c r="BQW96" s="4"/>
      <c r="BQX96" s="4"/>
      <c r="BQY96" s="4"/>
      <c r="BQZ96" s="4"/>
      <c r="BRA96" s="4"/>
      <c r="BRB96" s="4"/>
      <c r="BRC96" s="4"/>
      <c r="BRD96" s="4"/>
      <c r="BRE96" s="4"/>
      <c r="BRF96" s="4"/>
      <c r="BRG96" s="4"/>
      <c r="BRH96" s="4"/>
      <c r="BRI96" s="4"/>
      <c r="BRJ96" s="4"/>
      <c r="BRK96" s="4"/>
      <c r="BRL96" s="4"/>
      <c r="BRM96" s="4"/>
      <c r="BRN96" s="4"/>
      <c r="BRO96" s="4"/>
      <c r="BRP96" s="4"/>
      <c r="BRQ96" s="4"/>
      <c r="BRR96" s="4"/>
      <c r="BRS96" s="4"/>
      <c r="BRT96" s="4"/>
      <c r="BRU96" s="4"/>
      <c r="BRV96" s="4"/>
      <c r="BRW96" s="4"/>
      <c r="BRX96" s="4"/>
      <c r="BRY96" s="4"/>
      <c r="BRZ96" s="4"/>
      <c r="BSA96" s="4"/>
      <c r="BSB96" s="4"/>
      <c r="BSC96" s="4"/>
      <c r="BSD96" s="4"/>
      <c r="BSE96" s="4"/>
      <c r="BSF96" s="4"/>
      <c r="BSG96" s="4"/>
      <c r="BSH96" s="4"/>
      <c r="BSI96" s="4"/>
      <c r="BSJ96" s="4"/>
      <c r="BSK96" s="4"/>
      <c r="BSL96" s="4"/>
      <c r="BSM96" s="4"/>
      <c r="BSN96" s="4"/>
      <c r="BSO96" s="4"/>
      <c r="BSP96" s="4"/>
      <c r="BSQ96" s="4"/>
      <c r="BSR96" s="4"/>
      <c r="BSS96" s="4"/>
      <c r="BST96" s="4"/>
      <c r="BSU96" s="4"/>
      <c r="BSV96" s="4"/>
      <c r="BSW96" s="4"/>
      <c r="BSX96" s="4"/>
      <c r="BSY96" s="4"/>
      <c r="BSZ96" s="4"/>
      <c r="BTA96" s="4"/>
      <c r="BTB96" s="4"/>
      <c r="BTC96" s="4"/>
      <c r="BTD96" s="4"/>
      <c r="BTE96" s="4"/>
      <c r="BTF96" s="4"/>
      <c r="BTG96" s="4"/>
      <c r="BTH96" s="4"/>
      <c r="BTI96" s="4"/>
      <c r="BTJ96" s="4"/>
      <c r="BTK96" s="4"/>
      <c r="BTL96" s="4"/>
      <c r="BTM96" s="4"/>
      <c r="BTN96" s="4"/>
      <c r="BTO96" s="4"/>
      <c r="BTP96" s="4"/>
      <c r="BTQ96" s="4"/>
      <c r="BTR96" s="4"/>
      <c r="BTS96" s="4"/>
      <c r="BTT96" s="4"/>
      <c r="BTU96" s="4"/>
      <c r="BTV96" s="4"/>
      <c r="BTW96" s="4"/>
      <c r="BTX96" s="4"/>
      <c r="BTY96" s="4"/>
      <c r="BTZ96" s="4"/>
      <c r="BUA96" s="4"/>
      <c r="BUB96" s="4"/>
      <c r="BUC96" s="4"/>
      <c r="BUD96" s="4"/>
      <c r="BUE96" s="4"/>
      <c r="BUF96" s="4"/>
      <c r="BUG96" s="4"/>
      <c r="BUH96" s="4"/>
      <c r="BUI96" s="4"/>
      <c r="BUJ96" s="4"/>
      <c r="BUK96" s="4"/>
      <c r="BUL96" s="4"/>
      <c r="BUM96" s="4"/>
      <c r="BUN96" s="4"/>
      <c r="BUO96" s="4"/>
      <c r="BUP96" s="4"/>
      <c r="BUQ96" s="4"/>
      <c r="BUR96" s="4"/>
      <c r="BUS96" s="4"/>
      <c r="BUT96" s="4"/>
      <c r="BUU96" s="4"/>
      <c r="BUV96" s="4"/>
      <c r="BUW96" s="4"/>
      <c r="BUX96" s="4"/>
      <c r="BUY96" s="4"/>
      <c r="BUZ96" s="4"/>
      <c r="BVA96" s="4"/>
      <c r="BVB96" s="4"/>
      <c r="BVC96" s="4"/>
      <c r="BVD96" s="4"/>
      <c r="BVE96" s="4"/>
      <c r="BVF96" s="4"/>
      <c r="BVG96" s="4"/>
      <c r="BVH96" s="4"/>
      <c r="BVI96" s="4"/>
      <c r="BVJ96" s="4"/>
      <c r="BVK96" s="4"/>
      <c r="BVL96" s="4"/>
      <c r="BVM96" s="4"/>
      <c r="BVN96" s="4"/>
      <c r="BVO96" s="4"/>
      <c r="BVP96" s="4"/>
      <c r="BVQ96" s="4"/>
      <c r="BVR96" s="4"/>
      <c r="BVS96" s="4"/>
      <c r="BVT96" s="4"/>
      <c r="BVU96" s="4"/>
      <c r="BVV96" s="4"/>
      <c r="BVW96" s="4"/>
      <c r="BVX96" s="4"/>
      <c r="BVY96" s="4"/>
      <c r="BVZ96" s="4"/>
      <c r="BWA96" s="4"/>
      <c r="BWB96" s="4"/>
      <c r="BWC96" s="4"/>
      <c r="BWD96" s="4"/>
      <c r="BWE96" s="4"/>
      <c r="BWF96" s="4"/>
      <c r="BWG96" s="4"/>
      <c r="BWH96" s="4"/>
      <c r="BWI96" s="4"/>
      <c r="BWJ96" s="4"/>
      <c r="BWK96" s="4"/>
      <c r="BWL96" s="4"/>
      <c r="BWM96" s="4"/>
      <c r="BWN96" s="4"/>
      <c r="BWO96" s="4"/>
      <c r="BWP96" s="4"/>
      <c r="BWQ96" s="4"/>
      <c r="BWR96" s="4"/>
      <c r="BWS96" s="4"/>
      <c r="BWT96" s="4"/>
      <c r="BWU96" s="4"/>
      <c r="BWV96" s="4"/>
      <c r="BWW96" s="4"/>
      <c r="BWX96" s="4"/>
      <c r="BWY96" s="4"/>
      <c r="BWZ96" s="4"/>
      <c r="BXA96" s="4"/>
      <c r="BXB96" s="4"/>
      <c r="BXC96" s="4"/>
      <c r="BXD96" s="4"/>
      <c r="BXE96" s="4"/>
      <c r="BXF96" s="4"/>
      <c r="BXG96" s="4"/>
      <c r="BXH96" s="4"/>
      <c r="BXI96" s="4"/>
      <c r="BXJ96" s="4"/>
      <c r="BXK96" s="4"/>
      <c r="BXL96" s="4"/>
      <c r="BXM96" s="4"/>
      <c r="BXN96" s="4"/>
      <c r="BXO96" s="4"/>
      <c r="BXP96" s="4"/>
      <c r="BXQ96" s="4"/>
      <c r="BXR96" s="4"/>
      <c r="BXS96" s="4"/>
      <c r="BXT96" s="4"/>
      <c r="BXU96" s="4"/>
      <c r="BXV96" s="4"/>
      <c r="BXW96" s="4"/>
      <c r="BXX96" s="4"/>
      <c r="BXY96" s="4"/>
      <c r="BXZ96" s="4"/>
      <c r="BYA96" s="4"/>
      <c r="BYB96" s="4"/>
      <c r="BYC96" s="4"/>
      <c r="BYD96" s="4"/>
      <c r="BYE96" s="4"/>
      <c r="BYF96" s="4"/>
      <c r="BYG96" s="4"/>
      <c r="BYH96" s="4"/>
      <c r="BYI96" s="4"/>
      <c r="BYJ96" s="4"/>
      <c r="BYK96" s="4"/>
      <c r="BYL96" s="4"/>
      <c r="BYM96" s="4"/>
      <c r="BYN96" s="4"/>
      <c r="BYO96" s="4"/>
      <c r="BYP96" s="4"/>
      <c r="BYQ96" s="4"/>
      <c r="BYR96" s="4"/>
      <c r="BYS96" s="4"/>
      <c r="BYT96" s="4"/>
      <c r="BYU96" s="4"/>
      <c r="BYV96" s="4"/>
      <c r="BYW96" s="4"/>
      <c r="BYX96" s="4"/>
      <c r="BYY96" s="4"/>
      <c r="BYZ96" s="4"/>
      <c r="BZA96" s="4"/>
      <c r="BZB96" s="4"/>
      <c r="BZC96" s="4"/>
      <c r="BZD96" s="4"/>
      <c r="BZE96" s="4"/>
      <c r="BZF96" s="4"/>
      <c r="BZG96" s="4"/>
      <c r="BZH96" s="4"/>
      <c r="BZI96" s="4"/>
      <c r="BZJ96" s="4"/>
      <c r="BZK96" s="4"/>
      <c r="BZL96" s="4"/>
      <c r="BZM96" s="4"/>
      <c r="BZN96" s="4"/>
      <c r="BZO96" s="4"/>
      <c r="BZP96" s="4"/>
      <c r="BZQ96" s="4"/>
      <c r="BZR96" s="4"/>
      <c r="BZS96" s="4"/>
      <c r="BZT96" s="4"/>
      <c r="BZU96" s="4"/>
      <c r="BZV96" s="4"/>
      <c r="BZW96" s="4"/>
      <c r="BZX96" s="4"/>
      <c r="BZY96" s="4"/>
      <c r="BZZ96" s="4"/>
      <c r="CAA96" s="4"/>
      <c r="CAB96" s="4"/>
      <c r="CAC96" s="4"/>
      <c r="CAD96" s="4"/>
      <c r="CAE96" s="4"/>
      <c r="CAF96" s="4"/>
      <c r="CAG96" s="4"/>
      <c r="CAH96" s="4"/>
      <c r="CAI96" s="4"/>
      <c r="CAJ96" s="4"/>
      <c r="CAK96" s="4"/>
      <c r="CAL96" s="4"/>
      <c r="CAM96" s="4"/>
      <c r="CAN96" s="4"/>
      <c r="CAO96" s="4"/>
      <c r="CAP96" s="4"/>
      <c r="CAQ96" s="4"/>
      <c r="CAR96" s="4"/>
      <c r="CAS96" s="4"/>
      <c r="CAT96" s="4"/>
      <c r="CAU96" s="4"/>
      <c r="CAV96" s="4"/>
      <c r="CAW96" s="4"/>
      <c r="CAX96" s="4"/>
      <c r="CAY96" s="4"/>
      <c r="CAZ96" s="4"/>
      <c r="CBA96" s="4"/>
      <c r="CBB96" s="4"/>
      <c r="CBC96" s="4"/>
      <c r="CBD96" s="4"/>
      <c r="CBE96" s="4"/>
      <c r="CBF96" s="4"/>
      <c r="CBG96" s="4"/>
      <c r="CBH96" s="4"/>
      <c r="CBI96" s="4"/>
      <c r="CBJ96" s="4"/>
      <c r="CBK96" s="4"/>
      <c r="CBL96" s="4"/>
      <c r="CBM96" s="4"/>
      <c r="CBN96" s="4"/>
      <c r="CBO96" s="4"/>
      <c r="CBP96" s="4"/>
      <c r="CBQ96" s="4"/>
      <c r="CBR96" s="4"/>
      <c r="CBS96" s="4"/>
      <c r="CBT96" s="4"/>
      <c r="CBU96" s="4"/>
      <c r="CBV96" s="4"/>
      <c r="CBW96" s="4"/>
      <c r="CBX96" s="4"/>
      <c r="CBY96" s="4"/>
      <c r="CBZ96" s="4"/>
      <c r="CCA96" s="4"/>
      <c r="CCB96" s="4"/>
      <c r="CCC96" s="4"/>
      <c r="CCD96" s="4"/>
      <c r="CCE96" s="4"/>
      <c r="CCF96" s="4"/>
      <c r="CCG96" s="4"/>
      <c r="CCH96" s="4"/>
      <c r="CCI96" s="4"/>
      <c r="CCJ96" s="4"/>
      <c r="CCK96" s="4"/>
      <c r="CCL96" s="4"/>
      <c r="CCM96" s="4"/>
      <c r="CCN96" s="4"/>
      <c r="CCO96" s="4"/>
      <c r="CCP96" s="4"/>
      <c r="CCQ96" s="4"/>
      <c r="CCR96" s="4"/>
      <c r="CCS96" s="4"/>
      <c r="CCT96" s="4"/>
      <c r="CCU96" s="4"/>
      <c r="CCV96" s="4"/>
      <c r="CCW96" s="4"/>
      <c r="CCX96" s="4"/>
      <c r="CCY96" s="4"/>
      <c r="CCZ96" s="4"/>
      <c r="CDA96" s="4"/>
      <c r="CDB96" s="4"/>
      <c r="CDC96" s="4"/>
      <c r="CDD96" s="4"/>
      <c r="CDE96" s="4"/>
      <c r="CDF96" s="4"/>
      <c r="CDG96" s="4"/>
      <c r="CDH96" s="4"/>
      <c r="CDI96" s="4"/>
      <c r="CDJ96" s="4"/>
      <c r="CDK96" s="4"/>
      <c r="CDL96" s="4"/>
      <c r="CDM96" s="4"/>
      <c r="CDN96" s="4"/>
      <c r="CDO96" s="4"/>
      <c r="CDP96" s="4"/>
      <c r="CDQ96" s="4"/>
      <c r="CDR96" s="4"/>
      <c r="CDS96" s="4"/>
      <c r="CDT96" s="4"/>
      <c r="CDU96" s="4"/>
      <c r="CDV96" s="4"/>
      <c r="CDW96" s="4"/>
      <c r="CDX96" s="4"/>
      <c r="CDY96" s="4"/>
      <c r="CDZ96" s="4"/>
      <c r="CEA96" s="4"/>
      <c r="CEB96" s="4"/>
      <c r="CEC96" s="4"/>
      <c r="CED96" s="4"/>
      <c r="CEE96" s="4"/>
      <c r="CEF96" s="4"/>
      <c r="CEG96" s="4"/>
      <c r="CEH96" s="4"/>
      <c r="CEI96" s="4"/>
      <c r="CEJ96" s="4"/>
      <c r="CEK96" s="4"/>
      <c r="CEL96" s="4"/>
      <c r="CEM96" s="4"/>
      <c r="CEN96" s="4"/>
      <c r="CEO96" s="4"/>
      <c r="CEP96" s="4"/>
      <c r="CEQ96" s="4"/>
      <c r="CER96" s="4"/>
      <c r="CES96" s="4"/>
      <c r="CET96" s="4"/>
      <c r="CEU96" s="4"/>
      <c r="CEV96" s="4"/>
      <c r="CEW96" s="4"/>
      <c r="CEX96" s="4"/>
      <c r="CEY96" s="4"/>
      <c r="CEZ96" s="4"/>
      <c r="CFA96" s="4"/>
      <c r="CFB96" s="4"/>
      <c r="CFC96" s="4"/>
      <c r="CFD96" s="4"/>
      <c r="CFE96" s="4"/>
      <c r="CFF96" s="4"/>
      <c r="CFG96" s="4"/>
      <c r="CFH96" s="4"/>
      <c r="CFI96" s="4"/>
      <c r="CFJ96" s="4"/>
      <c r="CFK96" s="4"/>
      <c r="CFL96" s="4"/>
      <c r="CFM96" s="4"/>
      <c r="CFN96" s="4"/>
      <c r="CFO96" s="4"/>
      <c r="CFP96" s="4"/>
      <c r="CFQ96" s="4"/>
      <c r="CFR96" s="4"/>
      <c r="CFS96" s="4"/>
      <c r="CFT96" s="4"/>
      <c r="CFU96" s="4"/>
      <c r="CFV96" s="4"/>
      <c r="CFW96" s="4"/>
      <c r="CFX96" s="4"/>
      <c r="CFY96" s="4"/>
      <c r="CFZ96" s="4"/>
      <c r="CGA96" s="4"/>
      <c r="CGB96" s="4"/>
      <c r="CGC96" s="4"/>
      <c r="CGD96" s="4"/>
      <c r="CGE96" s="4"/>
      <c r="CGF96" s="4"/>
      <c r="CGG96" s="4"/>
      <c r="CGH96" s="4"/>
      <c r="CGI96" s="4"/>
      <c r="CGJ96" s="4"/>
      <c r="CGK96" s="4"/>
      <c r="CGL96" s="4"/>
      <c r="CGM96" s="4"/>
      <c r="CGN96" s="4"/>
      <c r="CGO96" s="4"/>
      <c r="CGP96" s="4"/>
      <c r="CGQ96" s="4"/>
      <c r="CGR96" s="4"/>
      <c r="CGS96" s="4"/>
      <c r="CGT96" s="4"/>
      <c r="CGU96" s="4"/>
      <c r="CGV96" s="4"/>
      <c r="CGW96" s="4"/>
      <c r="CGX96" s="4"/>
      <c r="CGY96" s="4"/>
      <c r="CGZ96" s="4"/>
      <c r="CHA96" s="4"/>
      <c r="CHB96" s="4"/>
      <c r="CHC96" s="4"/>
      <c r="CHD96" s="4"/>
      <c r="CHE96" s="4"/>
      <c r="CHF96" s="4"/>
      <c r="CHG96" s="4"/>
      <c r="CHH96" s="4"/>
      <c r="CHI96" s="4"/>
      <c r="CHJ96" s="4"/>
      <c r="CHK96" s="4"/>
      <c r="CHL96" s="4"/>
      <c r="CHM96" s="4"/>
      <c r="CHN96" s="4"/>
      <c r="CHO96" s="4"/>
      <c r="CHP96" s="4"/>
      <c r="CHQ96" s="4"/>
      <c r="CHR96" s="4"/>
      <c r="CHS96" s="4"/>
      <c r="CHT96" s="4"/>
      <c r="CHU96" s="4"/>
      <c r="CHV96" s="4"/>
      <c r="CHW96" s="4"/>
      <c r="CHX96" s="4"/>
      <c r="CHY96" s="4"/>
      <c r="CHZ96" s="4"/>
      <c r="CIA96" s="4"/>
      <c r="CIB96" s="4"/>
      <c r="CIC96" s="4"/>
      <c r="CID96" s="4"/>
      <c r="CIE96" s="4"/>
      <c r="CIF96" s="4"/>
      <c r="CIG96" s="4"/>
      <c r="CIH96" s="4"/>
      <c r="CII96" s="4"/>
      <c r="CIJ96" s="4"/>
      <c r="CIK96" s="4"/>
      <c r="CIL96" s="4"/>
      <c r="CIM96" s="4"/>
      <c r="CIN96" s="4"/>
      <c r="CIO96" s="4"/>
      <c r="CIP96" s="4"/>
      <c r="CIQ96" s="4"/>
      <c r="CIR96" s="4"/>
      <c r="CIS96" s="4"/>
      <c r="CIT96" s="4"/>
      <c r="CIU96" s="4"/>
      <c r="CIV96" s="4"/>
      <c r="CIW96" s="4"/>
      <c r="CIX96" s="4"/>
      <c r="CIY96" s="4"/>
      <c r="CIZ96" s="4"/>
      <c r="CJA96" s="4"/>
      <c r="CJB96" s="4"/>
      <c r="CJC96" s="4"/>
      <c r="CJD96" s="4"/>
      <c r="CJE96" s="4"/>
      <c r="CJF96" s="4"/>
      <c r="CJG96" s="4"/>
      <c r="CJH96" s="4"/>
      <c r="CJI96" s="4"/>
      <c r="CJJ96" s="4"/>
      <c r="CJK96" s="4"/>
      <c r="CJL96" s="4"/>
      <c r="CJM96" s="4"/>
      <c r="CJN96" s="4"/>
      <c r="CJO96" s="4"/>
      <c r="CJP96" s="4"/>
      <c r="CJQ96" s="4"/>
      <c r="CJR96" s="4"/>
      <c r="CJS96" s="4"/>
      <c r="CJT96" s="4"/>
      <c r="CJU96" s="4"/>
      <c r="CJV96" s="4"/>
      <c r="CJW96" s="4"/>
      <c r="CJX96" s="4"/>
      <c r="CJY96" s="4"/>
      <c r="CJZ96" s="4"/>
      <c r="CKA96" s="4"/>
      <c r="CKB96" s="4"/>
      <c r="CKC96" s="4"/>
      <c r="CKD96" s="4"/>
      <c r="CKE96" s="4"/>
      <c r="CKF96" s="4"/>
      <c r="CKG96" s="4"/>
      <c r="CKH96" s="4"/>
      <c r="CKI96" s="4"/>
      <c r="CKJ96" s="4"/>
      <c r="CKK96" s="4"/>
      <c r="CKL96" s="4"/>
      <c r="CKM96" s="4"/>
      <c r="CKN96" s="4"/>
      <c r="CKO96" s="4"/>
      <c r="CKP96" s="4"/>
      <c r="CKQ96" s="4"/>
      <c r="CKR96" s="4"/>
      <c r="CKS96" s="4"/>
      <c r="CKT96" s="4"/>
      <c r="CKU96" s="4"/>
      <c r="CKV96" s="4"/>
      <c r="CKW96" s="4"/>
      <c r="CKX96" s="4"/>
      <c r="CKY96" s="4"/>
      <c r="CKZ96" s="4"/>
      <c r="CLA96" s="4"/>
      <c r="CLB96" s="4"/>
      <c r="CLC96" s="4"/>
      <c r="CLD96" s="4"/>
      <c r="CLE96" s="4"/>
      <c r="CLF96" s="4"/>
      <c r="CLG96" s="4"/>
      <c r="CLH96" s="4"/>
      <c r="CLI96" s="4"/>
      <c r="CLJ96" s="4"/>
      <c r="CLK96" s="4"/>
      <c r="CLL96" s="4"/>
      <c r="CLM96" s="4"/>
      <c r="CLN96" s="4"/>
      <c r="CLO96" s="4"/>
      <c r="CLP96" s="4"/>
      <c r="CLQ96" s="4"/>
      <c r="CLR96" s="4"/>
      <c r="CLS96" s="4"/>
      <c r="CLT96" s="4"/>
      <c r="CLU96" s="4"/>
      <c r="CLV96" s="4"/>
      <c r="CLW96" s="4"/>
      <c r="CLX96" s="4"/>
      <c r="CLY96" s="4"/>
      <c r="CLZ96" s="4"/>
      <c r="CMA96" s="4"/>
      <c r="CMB96" s="4"/>
      <c r="CMC96" s="4"/>
      <c r="CMD96" s="4"/>
      <c r="CME96" s="4"/>
      <c r="CMF96" s="4"/>
      <c r="CMG96" s="4"/>
      <c r="CMH96" s="4"/>
      <c r="CMI96" s="4"/>
      <c r="CMJ96" s="4"/>
      <c r="CMK96" s="4"/>
      <c r="CML96" s="4"/>
      <c r="CMM96" s="4"/>
      <c r="CMN96" s="4"/>
      <c r="CMO96" s="4"/>
      <c r="CMP96" s="4"/>
      <c r="CMQ96" s="4"/>
      <c r="CMR96" s="4"/>
      <c r="CMS96" s="4"/>
      <c r="CMT96" s="4"/>
      <c r="CMU96" s="4"/>
      <c r="CMV96" s="4"/>
      <c r="CMW96" s="4"/>
      <c r="CMX96" s="4"/>
      <c r="CMY96" s="4"/>
      <c r="CMZ96" s="4"/>
      <c r="CNA96" s="4"/>
      <c r="CNB96" s="4"/>
      <c r="CNC96" s="4"/>
      <c r="CND96" s="4"/>
      <c r="CNE96" s="4"/>
      <c r="CNF96" s="4"/>
      <c r="CNG96" s="4"/>
      <c r="CNH96" s="4"/>
      <c r="CNI96" s="4"/>
      <c r="CNJ96" s="4"/>
      <c r="CNK96" s="4"/>
      <c r="CNL96" s="4"/>
      <c r="CNM96" s="4"/>
      <c r="CNN96" s="4"/>
      <c r="CNO96" s="4"/>
      <c r="CNP96" s="4"/>
      <c r="CNQ96" s="4"/>
      <c r="CNR96" s="4"/>
      <c r="CNS96" s="4"/>
      <c r="CNT96" s="4"/>
      <c r="CNU96" s="4"/>
      <c r="CNV96" s="4"/>
      <c r="CNW96" s="4"/>
      <c r="CNX96" s="4"/>
      <c r="CNY96" s="4"/>
      <c r="CNZ96" s="4"/>
      <c r="COA96" s="4"/>
      <c r="COB96" s="4"/>
      <c r="COC96" s="4"/>
      <c r="COD96" s="4"/>
      <c r="COE96" s="4"/>
      <c r="COF96" s="4"/>
      <c r="COG96" s="4"/>
      <c r="COH96" s="4"/>
      <c r="COI96" s="4"/>
      <c r="COJ96" s="4"/>
      <c r="COK96" s="4"/>
      <c r="COL96" s="4"/>
      <c r="COM96" s="4"/>
      <c r="CON96" s="4"/>
      <c r="COO96" s="4"/>
      <c r="COP96" s="4"/>
      <c r="COQ96" s="4"/>
      <c r="COR96" s="4"/>
      <c r="COS96" s="4"/>
      <c r="COT96" s="4"/>
      <c r="COU96" s="4"/>
      <c r="COV96" s="4"/>
      <c r="COW96" s="4"/>
      <c r="COX96" s="4"/>
      <c r="COY96" s="4"/>
      <c r="COZ96" s="4"/>
      <c r="CPA96" s="4"/>
      <c r="CPB96" s="4"/>
      <c r="CPC96" s="4"/>
      <c r="CPD96" s="4"/>
      <c r="CPE96" s="4"/>
      <c r="CPF96" s="4"/>
      <c r="CPG96" s="4"/>
      <c r="CPH96" s="4"/>
      <c r="CPI96" s="4"/>
      <c r="CPJ96" s="4"/>
      <c r="CPK96" s="4"/>
      <c r="CPL96" s="4"/>
      <c r="CPM96" s="4"/>
      <c r="CPN96" s="4"/>
      <c r="CPO96" s="4"/>
      <c r="CPP96" s="4"/>
      <c r="CPQ96" s="4"/>
      <c r="CPR96" s="4"/>
      <c r="CPS96" s="4"/>
      <c r="CPT96" s="4"/>
      <c r="CPU96" s="4"/>
      <c r="CPV96" s="4"/>
      <c r="CPW96" s="4"/>
      <c r="CPX96" s="4"/>
      <c r="CPY96" s="4"/>
      <c r="CPZ96" s="4"/>
      <c r="CQA96" s="4"/>
      <c r="CQB96" s="4"/>
      <c r="CQC96" s="4"/>
      <c r="CQD96" s="4"/>
      <c r="CQE96" s="4"/>
      <c r="CQF96" s="4"/>
      <c r="CQG96" s="4"/>
      <c r="CQH96" s="4"/>
      <c r="CQI96" s="4"/>
      <c r="CQJ96" s="4"/>
      <c r="CQK96" s="4"/>
      <c r="CQL96" s="4"/>
      <c r="CQM96" s="4"/>
      <c r="CQN96" s="4"/>
      <c r="CQO96" s="4"/>
      <c r="CQP96" s="4"/>
      <c r="CQQ96" s="4"/>
      <c r="CQR96" s="4"/>
      <c r="CQS96" s="4"/>
      <c r="CQT96" s="4"/>
      <c r="CQU96" s="4"/>
      <c r="CQV96" s="4"/>
      <c r="CQW96" s="4"/>
      <c r="CQX96" s="4"/>
      <c r="CQY96" s="4"/>
      <c r="CQZ96" s="4"/>
      <c r="CRA96" s="4"/>
      <c r="CRB96" s="4"/>
      <c r="CRC96" s="4"/>
      <c r="CRD96" s="4"/>
      <c r="CRE96" s="4"/>
      <c r="CRF96" s="4"/>
      <c r="CRG96" s="4"/>
      <c r="CRH96" s="4"/>
      <c r="CRI96" s="4"/>
      <c r="CRJ96" s="4"/>
      <c r="CRK96" s="4"/>
      <c r="CRL96" s="4"/>
      <c r="CRM96" s="4"/>
      <c r="CRN96" s="4"/>
      <c r="CRO96" s="4"/>
      <c r="CRP96" s="4"/>
      <c r="CRQ96" s="4"/>
      <c r="CRR96" s="4"/>
      <c r="CRS96" s="4"/>
      <c r="CRT96" s="4"/>
      <c r="CRU96" s="4"/>
      <c r="CRV96" s="4"/>
      <c r="CRW96" s="4"/>
      <c r="CRX96" s="4"/>
      <c r="CRY96" s="4"/>
      <c r="CRZ96" s="4"/>
      <c r="CSA96" s="4"/>
      <c r="CSB96" s="4"/>
      <c r="CSC96" s="4"/>
      <c r="CSD96" s="4"/>
      <c r="CSE96" s="4"/>
      <c r="CSF96" s="4"/>
      <c r="CSG96" s="4"/>
      <c r="CSH96" s="4"/>
      <c r="CSI96" s="4"/>
      <c r="CSJ96" s="4"/>
      <c r="CSK96" s="4"/>
      <c r="CSL96" s="4"/>
      <c r="CSM96" s="4"/>
      <c r="CSN96" s="4"/>
      <c r="CSO96" s="4"/>
      <c r="CSP96" s="4"/>
      <c r="CSQ96" s="4"/>
      <c r="CSR96" s="4"/>
      <c r="CSS96" s="4"/>
      <c r="CST96" s="4"/>
      <c r="CSU96" s="4"/>
      <c r="CSV96" s="4"/>
      <c r="CSW96" s="4"/>
      <c r="CSX96" s="4"/>
      <c r="CSY96" s="4"/>
      <c r="CSZ96" s="4"/>
      <c r="CTA96" s="4"/>
      <c r="CTB96" s="4"/>
      <c r="CTC96" s="4"/>
      <c r="CTD96" s="4"/>
      <c r="CTE96" s="4"/>
      <c r="CTF96" s="4"/>
      <c r="CTG96" s="4"/>
      <c r="CTH96" s="4"/>
      <c r="CTI96" s="4"/>
      <c r="CTJ96" s="4"/>
      <c r="CTK96" s="4"/>
      <c r="CTL96" s="4"/>
      <c r="CTM96" s="4"/>
      <c r="CTN96" s="4"/>
      <c r="CTO96" s="4"/>
      <c r="CTP96" s="4"/>
      <c r="CTQ96" s="4"/>
      <c r="CTR96" s="4"/>
      <c r="CTS96" s="4"/>
      <c r="CTT96" s="4"/>
      <c r="CTU96" s="4"/>
      <c r="CTV96" s="4"/>
      <c r="CTW96" s="4"/>
      <c r="CTX96" s="4"/>
      <c r="CTY96" s="4"/>
      <c r="CTZ96" s="4"/>
      <c r="CUA96" s="4"/>
      <c r="CUB96" s="4"/>
      <c r="CUC96" s="4"/>
      <c r="CUD96" s="4"/>
      <c r="CUE96" s="4"/>
      <c r="CUF96" s="4"/>
      <c r="CUG96" s="4"/>
      <c r="CUH96" s="4"/>
      <c r="CUI96" s="4"/>
      <c r="CUJ96" s="4"/>
      <c r="CUK96" s="4"/>
      <c r="CUL96" s="4"/>
      <c r="CUM96" s="4"/>
      <c r="CUN96" s="4"/>
      <c r="CUO96" s="4"/>
      <c r="CUP96" s="4"/>
      <c r="CUQ96" s="4"/>
      <c r="CUR96" s="4"/>
      <c r="CUS96" s="4"/>
      <c r="CUT96" s="4"/>
      <c r="CUU96" s="4"/>
      <c r="CUV96" s="4"/>
      <c r="CUW96" s="4"/>
      <c r="CUX96" s="4"/>
      <c r="CUY96" s="4"/>
      <c r="CUZ96" s="4"/>
      <c r="CVA96" s="4"/>
      <c r="CVB96" s="4"/>
      <c r="CVC96" s="4"/>
      <c r="CVD96" s="4"/>
      <c r="CVE96" s="4"/>
      <c r="CVF96" s="4"/>
      <c r="CVG96" s="4"/>
      <c r="CVH96" s="4"/>
      <c r="CVI96" s="4"/>
      <c r="CVJ96" s="4"/>
      <c r="CVK96" s="4"/>
      <c r="CVL96" s="4"/>
      <c r="CVM96" s="4"/>
      <c r="CVN96" s="4"/>
      <c r="CVO96" s="4"/>
      <c r="CVP96" s="4"/>
      <c r="CVQ96" s="4"/>
      <c r="CVR96" s="4"/>
      <c r="CVS96" s="4"/>
      <c r="CVT96" s="4"/>
      <c r="CVU96" s="4"/>
      <c r="CVV96" s="4"/>
      <c r="CVW96" s="4"/>
      <c r="CVX96" s="4"/>
      <c r="CVY96" s="4"/>
      <c r="CVZ96" s="4"/>
      <c r="CWA96" s="4"/>
      <c r="CWB96" s="4"/>
      <c r="CWC96" s="4"/>
      <c r="CWD96" s="4"/>
      <c r="CWE96" s="4"/>
      <c r="CWF96" s="4"/>
      <c r="CWG96" s="4"/>
      <c r="CWH96" s="4"/>
      <c r="CWI96" s="4"/>
      <c r="CWJ96" s="4"/>
      <c r="CWK96" s="4"/>
      <c r="CWL96" s="4"/>
      <c r="CWM96" s="4"/>
      <c r="CWN96" s="4"/>
      <c r="CWO96" s="4"/>
      <c r="CWP96" s="4"/>
      <c r="CWQ96" s="4"/>
      <c r="CWR96" s="4"/>
      <c r="CWS96" s="4"/>
      <c r="CWT96" s="4"/>
      <c r="CWU96" s="4"/>
      <c r="CWV96" s="4"/>
      <c r="CWW96" s="4"/>
      <c r="CWX96" s="4"/>
      <c r="CWY96" s="4"/>
      <c r="CWZ96" s="4"/>
      <c r="CXA96" s="4"/>
      <c r="CXB96" s="4"/>
      <c r="CXC96" s="4"/>
      <c r="CXD96" s="4"/>
      <c r="CXE96" s="4"/>
      <c r="CXF96" s="4"/>
      <c r="CXG96" s="4"/>
      <c r="CXH96" s="4"/>
      <c r="CXI96" s="4"/>
      <c r="CXJ96" s="4"/>
      <c r="CXK96" s="4"/>
      <c r="CXL96" s="4"/>
      <c r="CXM96" s="4"/>
      <c r="CXN96" s="4"/>
      <c r="CXO96" s="4"/>
      <c r="CXP96" s="4"/>
      <c r="CXQ96" s="4"/>
      <c r="CXR96" s="4"/>
      <c r="CXS96" s="4"/>
      <c r="CXT96" s="4"/>
      <c r="CXU96" s="4"/>
      <c r="CXV96" s="4"/>
      <c r="CXW96" s="4"/>
      <c r="CXX96" s="4"/>
      <c r="CXY96" s="4"/>
      <c r="CXZ96" s="4"/>
      <c r="CYA96" s="4"/>
      <c r="CYB96" s="4"/>
      <c r="CYC96" s="4"/>
      <c r="CYD96" s="4"/>
      <c r="CYE96" s="4"/>
      <c r="CYF96" s="4"/>
      <c r="CYG96" s="4"/>
      <c r="CYH96" s="4"/>
      <c r="CYI96" s="4"/>
      <c r="CYJ96" s="4"/>
      <c r="CYK96" s="4"/>
      <c r="CYL96" s="4"/>
      <c r="CYM96" s="4"/>
      <c r="CYN96" s="4"/>
      <c r="CYO96" s="4"/>
      <c r="CYP96" s="4"/>
      <c r="CYQ96" s="4"/>
      <c r="CYR96" s="4"/>
      <c r="CYS96" s="4"/>
      <c r="CYT96" s="4"/>
      <c r="CYU96" s="4"/>
      <c r="CYV96" s="4"/>
      <c r="CYW96" s="4"/>
      <c r="CYX96" s="4"/>
      <c r="CYY96" s="4"/>
      <c r="CYZ96" s="4"/>
      <c r="CZA96" s="4"/>
      <c r="CZB96" s="4"/>
      <c r="CZC96" s="4"/>
      <c r="CZD96" s="4"/>
      <c r="CZE96" s="4"/>
      <c r="CZF96" s="4"/>
      <c r="CZG96" s="4"/>
      <c r="CZH96" s="4"/>
      <c r="CZI96" s="4"/>
      <c r="CZJ96" s="4"/>
      <c r="CZK96" s="4"/>
      <c r="CZL96" s="4"/>
      <c r="CZM96" s="4"/>
      <c r="CZN96" s="4"/>
      <c r="CZO96" s="4"/>
      <c r="CZP96" s="4"/>
      <c r="CZQ96" s="4"/>
      <c r="CZR96" s="4"/>
      <c r="CZS96" s="4"/>
      <c r="CZT96" s="4"/>
      <c r="CZU96" s="4"/>
      <c r="CZV96" s="4"/>
      <c r="CZW96" s="4"/>
      <c r="CZX96" s="4"/>
      <c r="CZY96" s="4"/>
      <c r="CZZ96" s="4"/>
      <c r="DAA96" s="4"/>
      <c r="DAB96" s="4"/>
      <c r="DAC96" s="4"/>
      <c r="DAD96" s="4"/>
      <c r="DAE96" s="4"/>
      <c r="DAF96" s="4"/>
      <c r="DAG96" s="4"/>
      <c r="DAH96" s="4"/>
      <c r="DAI96" s="4"/>
      <c r="DAJ96" s="4"/>
      <c r="DAK96" s="4"/>
      <c r="DAL96" s="4"/>
      <c r="DAM96" s="4"/>
      <c r="DAN96" s="4"/>
      <c r="DAO96" s="4"/>
      <c r="DAP96" s="4"/>
      <c r="DAQ96" s="4"/>
      <c r="DAR96" s="4"/>
      <c r="DAS96" s="4"/>
      <c r="DAT96" s="4"/>
      <c r="DAU96" s="4"/>
      <c r="DAV96" s="4"/>
      <c r="DAW96" s="4"/>
      <c r="DAX96" s="4"/>
      <c r="DAY96" s="4"/>
      <c r="DAZ96" s="4"/>
      <c r="DBA96" s="4"/>
      <c r="DBB96" s="4"/>
      <c r="DBC96" s="4"/>
      <c r="DBD96" s="4"/>
      <c r="DBE96" s="4"/>
      <c r="DBF96" s="4"/>
      <c r="DBG96" s="4"/>
      <c r="DBH96" s="4"/>
      <c r="DBI96" s="4"/>
      <c r="DBJ96" s="4"/>
      <c r="DBK96" s="4"/>
      <c r="DBL96" s="4"/>
      <c r="DBM96" s="4"/>
      <c r="DBN96" s="4"/>
      <c r="DBO96" s="4"/>
      <c r="DBP96" s="4"/>
      <c r="DBQ96" s="4"/>
      <c r="DBR96" s="4"/>
      <c r="DBS96" s="4"/>
      <c r="DBT96" s="4"/>
      <c r="DBU96" s="4"/>
      <c r="DBV96" s="4"/>
      <c r="DBW96" s="4"/>
      <c r="DBX96" s="4"/>
      <c r="DBY96" s="4"/>
      <c r="DBZ96" s="4"/>
      <c r="DCA96" s="4"/>
      <c r="DCB96" s="4"/>
      <c r="DCC96" s="4"/>
      <c r="DCD96" s="4"/>
      <c r="DCE96" s="4"/>
      <c r="DCF96" s="4"/>
      <c r="DCG96" s="4"/>
      <c r="DCH96" s="4"/>
      <c r="DCI96" s="4"/>
      <c r="DCJ96" s="4"/>
      <c r="DCK96" s="4"/>
      <c r="DCL96" s="4"/>
      <c r="DCM96" s="4"/>
      <c r="DCN96" s="4"/>
      <c r="DCO96" s="4"/>
      <c r="DCP96" s="4"/>
      <c r="DCQ96" s="4"/>
      <c r="DCR96" s="4"/>
      <c r="DCS96" s="4"/>
      <c r="DCT96" s="4"/>
      <c r="DCU96" s="4"/>
      <c r="DCV96" s="4"/>
      <c r="DCW96" s="4"/>
      <c r="DCX96" s="4"/>
      <c r="DCY96" s="4"/>
      <c r="DCZ96" s="4"/>
      <c r="DDA96" s="4"/>
      <c r="DDB96" s="4"/>
      <c r="DDC96" s="4"/>
      <c r="DDD96" s="4"/>
      <c r="DDE96" s="4"/>
      <c r="DDF96" s="4"/>
      <c r="DDG96" s="4"/>
      <c r="DDH96" s="4"/>
      <c r="DDI96" s="4"/>
      <c r="DDJ96" s="4"/>
      <c r="DDK96" s="4"/>
      <c r="DDL96" s="4"/>
      <c r="DDM96" s="4"/>
      <c r="DDN96" s="4"/>
      <c r="DDO96" s="4"/>
      <c r="DDP96" s="4"/>
      <c r="DDQ96" s="4"/>
      <c r="DDR96" s="4"/>
      <c r="DDS96" s="4"/>
      <c r="DDT96" s="4"/>
      <c r="DDU96" s="4"/>
      <c r="DDV96" s="4"/>
      <c r="DDW96" s="4"/>
      <c r="DDX96" s="4"/>
      <c r="DDY96" s="4"/>
      <c r="DDZ96" s="4"/>
      <c r="DEA96" s="4"/>
      <c r="DEB96" s="4"/>
      <c r="DEC96" s="4"/>
      <c r="DED96" s="4"/>
      <c r="DEE96" s="4"/>
      <c r="DEF96" s="4"/>
      <c r="DEG96" s="4"/>
      <c r="DEH96" s="4"/>
      <c r="DEI96" s="4"/>
      <c r="DEJ96" s="4"/>
      <c r="DEK96" s="4"/>
      <c r="DEL96" s="4"/>
      <c r="DEM96" s="4"/>
      <c r="DEN96" s="4"/>
      <c r="DEO96" s="4"/>
      <c r="DEP96" s="4"/>
      <c r="DEQ96" s="4"/>
      <c r="DER96" s="4"/>
      <c r="DES96" s="4"/>
      <c r="DET96" s="4"/>
      <c r="DEU96" s="4"/>
      <c r="DEV96" s="4"/>
      <c r="DEW96" s="4"/>
      <c r="DEX96" s="4"/>
      <c r="DEY96" s="4"/>
      <c r="DEZ96" s="4"/>
      <c r="DFA96" s="4"/>
      <c r="DFB96" s="4"/>
      <c r="DFC96" s="4"/>
      <c r="DFD96" s="4"/>
      <c r="DFE96" s="4"/>
      <c r="DFF96" s="4"/>
      <c r="DFG96" s="4"/>
      <c r="DFH96" s="4"/>
      <c r="DFI96" s="4"/>
      <c r="DFJ96" s="4"/>
      <c r="DFK96" s="4"/>
      <c r="DFL96" s="4"/>
      <c r="DFM96" s="4"/>
      <c r="DFN96" s="4"/>
      <c r="DFO96" s="4"/>
      <c r="DFP96" s="4"/>
      <c r="DFQ96" s="4"/>
      <c r="DFR96" s="4"/>
      <c r="DFS96" s="4"/>
      <c r="DFT96" s="4"/>
      <c r="DFU96" s="4"/>
      <c r="DFV96" s="4"/>
      <c r="DFW96" s="4"/>
      <c r="DFX96" s="4"/>
      <c r="DFY96" s="4"/>
      <c r="DFZ96" s="4"/>
      <c r="DGA96" s="4"/>
      <c r="DGB96" s="4"/>
      <c r="DGC96" s="4"/>
      <c r="DGD96" s="4"/>
      <c r="DGE96" s="4"/>
      <c r="DGF96" s="4"/>
      <c r="DGG96" s="4"/>
      <c r="DGH96" s="4"/>
      <c r="DGI96" s="4"/>
      <c r="DGJ96" s="4"/>
      <c r="DGK96" s="4"/>
      <c r="DGL96" s="4"/>
      <c r="DGM96" s="4"/>
      <c r="DGN96" s="4"/>
      <c r="DGO96" s="4"/>
      <c r="DGP96" s="4"/>
      <c r="DGQ96" s="4"/>
      <c r="DGR96" s="4"/>
      <c r="DGS96" s="4"/>
      <c r="DGT96" s="4"/>
      <c r="DGU96" s="4"/>
      <c r="DGV96" s="4"/>
      <c r="DGW96" s="4"/>
      <c r="DGX96" s="4"/>
      <c r="DGY96" s="4"/>
      <c r="DGZ96" s="4"/>
      <c r="DHA96" s="4"/>
      <c r="DHB96" s="4"/>
      <c r="DHC96" s="4"/>
      <c r="DHD96" s="4"/>
      <c r="DHE96" s="4"/>
      <c r="DHF96" s="4"/>
      <c r="DHG96" s="4"/>
      <c r="DHH96" s="4"/>
      <c r="DHI96" s="4"/>
      <c r="DHJ96" s="4"/>
      <c r="DHK96" s="4"/>
      <c r="DHL96" s="4"/>
      <c r="DHM96" s="4"/>
      <c r="DHN96" s="4"/>
      <c r="DHO96" s="4"/>
      <c r="DHP96" s="4"/>
      <c r="DHQ96" s="4"/>
      <c r="DHR96" s="4"/>
      <c r="DHS96" s="4"/>
      <c r="DHT96" s="4"/>
      <c r="DHU96" s="4"/>
      <c r="DHV96" s="4"/>
      <c r="DHW96" s="4"/>
      <c r="DHX96" s="4"/>
      <c r="DHY96" s="4"/>
      <c r="DHZ96" s="4"/>
      <c r="DIA96" s="4"/>
      <c r="DIB96" s="4"/>
      <c r="DIC96" s="4"/>
      <c r="DID96" s="4"/>
      <c r="DIE96" s="4"/>
      <c r="DIF96" s="4"/>
      <c r="DIG96" s="4"/>
      <c r="DIH96" s="4"/>
      <c r="DII96" s="4"/>
      <c r="DIJ96" s="4"/>
      <c r="DIK96" s="4"/>
      <c r="DIL96" s="4"/>
      <c r="DIM96" s="4"/>
      <c r="DIN96" s="4"/>
      <c r="DIO96" s="4"/>
      <c r="DIP96" s="4"/>
      <c r="DIQ96" s="4"/>
      <c r="DIR96" s="4"/>
      <c r="DIS96" s="4"/>
      <c r="DIT96" s="4"/>
      <c r="DIU96" s="4"/>
      <c r="DIV96" s="4"/>
      <c r="DIW96" s="4"/>
      <c r="DIX96" s="4"/>
      <c r="DIY96" s="4"/>
      <c r="DIZ96" s="4"/>
      <c r="DJA96" s="4"/>
      <c r="DJB96" s="4"/>
      <c r="DJC96" s="4"/>
      <c r="DJD96" s="4"/>
      <c r="DJE96" s="4"/>
      <c r="DJF96" s="4"/>
      <c r="DJG96" s="4"/>
      <c r="DJH96" s="4"/>
      <c r="DJI96" s="4"/>
      <c r="DJJ96" s="4"/>
      <c r="DJK96" s="4"/>
      <c r="DJL96" s="4"/>
      <c r="DJM96" s="4"/>
      <c r="DJN96" s="4"/>
      <c r="DJO96" s="4"/>
      <c r="DJP96" s="4"/>
      <c r="DJQ96" s="4"/>
      <c r="DJR96" s="4"/>
      <c r="DJS96" s="4"/>
      <c r="DJT96" s="4"/>
      <c r="DJU96" s="4"/>
      <c r="DJV96" s="4"/>
      <c r="DJW96" s="4"/>
      <c r="DJX96" s="4"/>
      <c r="DJY96" s="4"/>
      <c r="DJZ96" s="4"/>
      <c r="DKA96" s="4"/>
      <c r="DKB96" s="4"/>
      <c r="DKC96" s="4"/>
      <c r="DKD96" s="4"/>
      <c r="DKE96" s="4"/>
      <c r="DKF96" s="4"/>
      <c r="DKG96" s="4"/>
      <c r="DKH96" s="4"/>
      <c r="DKI96" s="4"/>
      <c r="DKJ96" s="4"/>
      <c r="DKK96" s="4"/>
      <c r="DKL96" s="4"/>
      <c r="DKM96" s="4"/>
      <c r="DKN96" s="4"/>
      <c r="DKO96" s="4"/>
      <c r="DKP96" s="4"/>
      <c r="DKQ96" s="4"/>
      <c r="DKR96" s="4"/>
      <c r="DKS96" s="4"/>
      <c r="DKT96" s="4"/>
      <c r="DKU96" s="4"/>
      <c r="DKV96" s="4"/>
      <c r="DKW96" s="4"/>
      <c r="DKX96" s="4"/>
      <c r="DKY96" s="4"/>
      <c r="DKZ96" s="4"/>
      <c r="DLA96" s="4"/>
      <c r="DLB96" s="4"/>
      <c r="DLC96" s="4"/>
      <c r="DLD96" s="4"/>
      <c r="DLE96" s="4"/>
      <c r="DLF96" s="4"/>
      <c r="DLG96" s="4"/>
      <c r="DLH96" s="4"/>
      <c r="DLI96" s="4"/>
      <c r="DLJ96" s="4"/>
      <c r="DLK96" s="4"/>
      <c r="DLL96" s="4"/>
      <c r="DLM96" s="4"/>
      <c r="DLN96" s="4"/>
      <c r="DLO96" s="4"/>
      <c r="DLP96" s="4"/>
      <c r="DLQ96" s="4"/>
      <c r="DLR96" s="4"/>
      <c r="DLS96" s="4"/>
      <c r="DLT96" s="4"/>
      <c r="DLU96" s="4"/>
      <c r="DLV96" s="4"/>
      <c r="DLW96" s="4"/>
      <c r="DLX96" s="4"/>
      <c r="DLY96" s="4"/>
      <c r="DLZ96" s="4"/>
      <c r="DMA96" s="4"/>
      <c r="DMB96" s="4"/>
      <c r="DMC96" s="4"/>
      <c r="DMD96" s="4"/>
      <c r="DME96" s="4"/>
      <c r="DMF96" s="4"/>
      <c r="DMG96" s="4"/>
      <c r="DMH96" s="4"/>
      <c r="DMI96" s="4"/>
      <c r="DMJ96" s="4"/>
      <c r="DMK96" s="4"/>
      <c r="DML96" s="4"/>
      <c r="DMM96" s="4"/>
      <c r="DMN96" s="4"/>
      <c r="DMO96" s="4"/>
      <c r="DMP96" s="4"/>
      <c r="DMQ96" s="4"/>
      <c r="DMR96" s="4"/>
      <c r="DMS96" s="4"/>
      <c r="DMT96" s="4"/>
      <c r="DMU96" s="4"/>
      <c r="DMV96" s="4"/>
      <c r="DMW96" s="4"/>
      <c r="DMX96" s="4"/>
      <c r="DMY96" s="4"/>
      <c r="DMZ96" s="4"/>
      <c r="DNA96" s="4"/>
      <c r="DNB96" s="4"/>
      <c r="DNC96" s="4"/>
      <c r="DND96" s="4"/>
      <c r="DNE96" s="4"/>
      <c r="DNF96" s="4"/>
      <c r="DNG96" s="4"/>
      <c r="DNH96" s="4"/>
      <c r="DNI96" s="4"/>
      <c r="DNJ96" s="4"/>
      <c r="DNK96" s="4"/>
      <c r="DNL96" s="4"/>
      <c r="DNM96" s="4"/>
      <c r="DNN96" s="4"/>
      <c r="DNO96" s="4"/>
      <c r="DNP96" s="4"/>
      <c r="DNQ96" s="4"/>
      <c r="DNR96" s="4"/>
      <c r="DNS96" s="4"/>
      <c r="DNT96" s="4"/>
      <c r="DNU96" s="4"/>
      <c r="DNV96" s="4"/>
      <c r="DNW96" s="4"/>
      <c r="DNX96" s="4"/>
      <c r="DNY96" s="4"/>
      <c r="DNZ96" s="4"/>
      <c r="DOA96" s="4"/>
      <c r="DOB96" s="4"/>
      <c r="DOC96" s="4"/>
      <c r="DOD96" s="4"/>
      <c r="DOE96" s="4"/>
      <c r="DOF96" s="4"/>
      <c r="DOG96" s="4"/>
      <c r="DOH96" s="4"/>
      <c r="DOI96" s="4"/>
      <c r="DOJ96" s="4"/>
      <c r="DOK96" s="4"/>
      <c r="DOL96" s="4"/>
      <c r="DOM96" s="4"/>
      <c r="DON96" s="4"/>
      <c r="DOO96" s="4"/>
      <c r="DOP96" s="4"/>
      <c r="DOQ96" s="4"/>
      <c r="DOR96" s="4"/>
      <c r="DOS96" s="4"/>
      <c r="DOT96" s="4"/>
      <c r="DOU96" s="4"/>
      <c r="DOV96" s="4"/>
      <c r="DOW96" s="4"/>
      <c r="DOX96" s="4"/>
      <c r="DOY96" s="4"/>
      <c r="DOZ96" s="4"/>
      <c r="DPA96" s="4"/>
      <c r="DPB96" s="4"/>
      <c r="DPC96" s="4"/>
      <c r="DPD96" s="4"/>
      <c r="DPE96" s="4"/>
      <c r="DPF96" s="4"/>
      <c r="DPG96" s="4"/>
      <c r="DPH96" s="4"/>
      <c r="DPI96" s="4"/>
      <c r="DPJ96" s="4"/>
      <c r="DPK96" s="4"/>
      <c r="DPL96" s="4"/>
      <c r="DPM96" s="4"/>
      <c r="DPN96" s="4"/>
      <c r="DPO96" s="4"/>
      <c r="DPP96" s="4"/>
      <c r="DPQ96" s="4"/>
      <c r="DPR96" s="4"/>
      <c r="DPS96" s="4"/>
      <c r="DPT96" s="4"/>
      <c r="DPU96" s="4"/>
      <c r="DPV96" s="4"/>
      <c r="DPW96" s="4"/>
      <c r="DPX96" s="4"/>
      <c r="DPY96" s="4"/>
      <c r="DPZ96" s="4"/>
      <c r="DQA96" s="4"/>
      <c r="DQB96" s="4"/>
      <c r="DQC96" s="4"/>
      <c r="DQD96" s="4"/>
      <c r="DQE96" s="4"/>
      <c r="DQF96" s="4"/>
      <c r="DQG96" s="4"/>
      <c r="DQH96" s="4"/>
      <c r="DQI96" s="4"/>
      <c r="DQJ96" s="4"/>
      <c r="DQK96" s="4"/>
      <c r="DQL96" s="4"/>
      <c r="DQM96" s="4"/>
      <c r="DQN96" s="4"/>
      <c r="DQO96" s="4"/>
      <c r="DQP96" s="4"/>
      <c r="DQQ96" s="4"/>
      <c r="DQR96" s="4"/>
      <c r="DQS96" s="4"/>
      <c r="DQT96" s="4"/>
      <c r="DQU96" s="4"/>
      <c r="DQV96" s="4"/>
      <c r="DQW96" s="4"/>
      <c r="DQX96" s="4"/>
      <c r="DQY96" s="4"/>
      <c r="DQZ96" s="4"/>
      <c r="DRA96" s="4"/>
      <c r="DRB96" s="4"/>
      <c r="DRC96" s="4"/>
      <c r="DRD96" s="4"/>
      <c r="DRE96" s="4"/>
      <c r="DRF96" s="4"/>
      <c r="DRG96" s="4"/>
      <c r="DRH96" s="4"/>
      <c r="DRI96" s="4"/>
      <c r="DRJ96" s="4"/>
      <c r="DRK96" s="4"/>
      <c r="DRL96" s="4"/>
      <c r="DRM96" s="4"/>
      <c r="DRN96" s="4"/>
      <c r="DRO96" s="4"/>
      <c r="DRP96" s="4"/>
      <c r="DRQ96" s="4"/>
      <c r="DRR96" s="4"/>
      <c r="DRS96" s="4"/>
      <c r="DRT96" s="4"/>
      <c r="DRU96" s="4"/>
      <c r="DRV96" s="4"/>
      <c r="DRW96" s="4"/>
      <c r="DRX96" s="4"/>
      <c r="DRY96" s="4"/>
      <c r="DRZ96" s="4"/>
      <c r="DSA96" s="4"/>
      <c r="DSB96" s="4"/>
      <c r="DSC96" s="4"/>
      <c r="DSD96" s="4"/>
      <c r="DSE96" s="4"/>
      <c r="DSF96" s="4"/>
      <c r="DSG96" s="4"/>
      <c r="DSH96" s="4"/>
      <c r="DSI96" s="4"/>
      <c r="DSJ96" s="4"/>
      <c r="DSK96" s="4"/>
      <c r="DSL96" s="4"/>
      <c r="DSM96" s="4"/>
      <c r="DSN96" s="4"/>
      <c r="DSO96" s="4"/>
      <c r="DSP96" s="4"/>
      <c r="DSQ96" s="4"/>
      <c r="DSR96" s="4"/>
      <c r="DSS96" s="4"/>
      <c r="DST96" s="4"/>
      <c r="DSU96" s="4"/>
      <c r="DSV96" s="4"/>
      <c r="DSW96" s="4"/>
      <c r="DSX96" s="4"/>
      <c r="DSY96" s="4"/>
      <c r="DSZ96" s="4"/>
      <c r="DTA96" s="4"/>
      <c r="DTB96" s="4"/>
      <c r="DTC96" s="4"/>
      <c r="DTD96" s="4"/>
      <c r="DTE96" s="4"/>
      <c r="DTF96" s="4"/>
      <c r="DTG96" s="4"/>
      <c r="DTH96" s="4"/>
      <c r="DTI96" s="4"/>
      <c r="DTJ96" s="4"/>
      <c r="DTK96" s="4"/>
      <c r="DTL96" s="4"/>
      <c r="DTM96" s="4"/>
      <c r="DTN96" s="4"/>
      <c r="DTO96" s="4"/>
      <c r="DTP96" s="4"/>
      <c r="DTQ96" s="4"/>
      <c r="DTR96" s="4"/>
      <c r="DTS96" s="4"/>
      <c r="DTT96" s="4"/>
      <c r="DTU96" s="4"/>
      <c r="DTV96" s="4"/>
      <c r="DTW96" s="4"/>
      <c r="DTX96" s="4"/>
      <c r="DTY96" s="4"/>
      <c r="DTZ96" s="4"/>
      <c r="DUA96" s="4"/>
      <c r="DUB96" s="4"/>
      <c r="DUC96" s="4"/>
      <c r="DUD96" s="4"/>
      <c r="DUE96" s="4"/>
      <c r="DUF96" s="4"/>
      <c r="DUG96" s="4"/>
      <c r="DUH96" s="4"/>
      <c r="DUI96" s="4"/>
      <c r="DUJ96" s="4"/>
      <c r="DUK96" s="4"/>
      <c r="DUL96" s="4"/>
      <c r="DUM96" s="4"/>
      <c r="DUN96" s="4"/>
      <c r="DUO96" s="4"/>
      <c r="DUP96" s="4"/>
      <c r="DUQ96" s="4"/>
      <c r="DUR96" s="4"/>
      <c r="DUS96" s="4"/>
      <c r="DUT96" s="4"/>
      <c r="DUU96" s="4"/>
      <c r="DUV96" s="4"/>
      <c r="DUW96" s="4"/>
      <c r="DUX96" s="4"/>
      <c r="DUY96" s="4"/>
      <c r="DUZ96" s="4"/>
      <c r="DVA96" s="4"/>
      <c r="DVB96" s="4"/>
      <c r="DVC96" s="4"/>
      <c r="DVD96" s="4"/>
      <c r="DVE96" s="4"/>
      <c r="DVF96" s="4"/>
      <c r="DVG96" s="4"/>
      <c r="DVH96" s="4"/>
      <c r="DVI96" s="4"/>
      <c r="DVJ96" s="4"/>
      <c r="DVK96" s="4"/>
      <c r="DVL96" s="4"/>
      <c r="DVM96" s="4"/>
      <c r="DVN96" s="4"/>
      <c r="DVO96" s="4"/>
      <c r="DVP96" s="4"/>
      <c r="DVQ96" s="4"/>
      <c r="DVR96" s="4"/>
      <c r="DVS96" s="4"/>
      <c r="DVT96" s="4"/>
      <c r="DVU96" s="4"/>
      <c r="DVV96" s="4"/>
      <c r="DVW96" s="4"/>
      <c r="DVX96" s="4"/>
      <c r="DVY96" s="4"/>
      <c r="DVZ96" s="4"/>
      <c r="DWA96" s="4"/>
      <c r="DWB96" s="4"/>
      <c r="DWC96" s="4"/>
      <c r="DWD96" s="4"/>
      <c r="DWE96" s="4"/>
      <c r="DWF96" s="4"/>
      <c r="DWG96" s="4"/>
      <c r="DWH96" s="4"/>
      <c r="DWI96" s="4"/>
      <c r="DWJ96" s="4"/>
      <c r="DWK96" s="4"/>
      <c r="DWL96" s="4"/>
      <c r="DWM96" s="4"/>
      <c r="DWN96" s="4"/>
      <c r="DWO96" s="4"/>
      <c r="DWP96" s="4"/>
      <c r="DWQ96" s="4"/>
      <c r="DWR96" s="4"/>
      <c r="DWS96" s="4"/>
      <c r="DWT96" s="4"/>
      <c r="DWU96" s="4"/>
      <c r="DWV96" s="4"/>
      <c r="DWW96" s="4"/>
      <c r="DWX96" s="4"/>
      <c r="DWY96" s="4"/>
      <c r="DWZ96" s="4"/>
      <c r="DXA96" s="4"/>
      <c r="DXB96" s="4"/>
      <c r="DXC96" s="4"/>
      <c r="DXD96" s="4"/>
      <c r="DXE96" s="4"/>
      <c r="DXF96" s="4"/>
      <c r="DXG96" s="4"/>
      <c r="DXH96" s="4"/>
      <c r="DXI96" s="4"/>
      <c r="DXJ96" s="4"/>
      <c r="DXK96" s="4"/>
      <c r="DXL96" s="4"/>
      <c r="DXM96" s="4"/>
      <c r="DXN96" s="4"/>
      <c r="DXO96" s="4"/>
      <c r="DXP96" s="4"/>
      <c r="DXQ96" s="4"/>
      <c r="DXR96" s="4"/>
      <c r="DXS96" s="4"/>
      <c r="DXT96" s="4"/>
      <c r="DXU96" s="4"/>
      <c r="DXV96" s="4"/>
      <c r="DXW96" s="4"/>
      <c r="DXX96" s="4"/>
      <c r="DXY96" s="4"/>
      <c r="DXZ96" s="4"/>
      <c r="DYA96" s="4"/>
      <c r="DYB96" s="4"/>
      <c r="DYC96" s="4"/>
      <c r="DYD96" s="4"/>
      <c r="DYE96" s="4"/>
      <c r="DYF96" s="4"/>
      <c r="DYG96" s="4"/>
      <c r="DYH96" s="4"/>
      <c r="DYI96" s="4"/>
      <c r="DYJ96" s="4"/>
      <c r="DYK96" s="4"/>
      <c r="DYL96" s="4"/>
      <c r="DYM96" s="4"/>
      <c r="DYN96" s="4"/>
      <c r="DYO96" s="4"/>
      <c r="DYP96" s="4"/>
      <c r="DYQ96" s="4"/>
      <c r="DYR96" s="4"/>
      <c r="DYS96" s="4"/>
      <c r="DYT96" s="4"/>
      <c r="DYU96" s="4"/>
      <c r="DYV96" s="4"/>
      <c r="DYW96" s="4"/>
      <c r="DYX96" s="4"/>
      <c r="DYY96" s="4"/>
      <c r="DYZ96" s="4"/>
      <c r="DZA96" s="4"/>
      <c r="DZB96" s="4"/>
      <c r="DZC96" s="4"/>
      <c r="DZD96" s="4"/>
      <c r="DZE96" s="4"/>
      <c r="DZF96" s="4"/>
      <c r="DZG96" s="4"/>
      <c r="DZH96" s="4"/>
      <c r="DZI96" s="4"/>
      <c r="DZJ96" s="4"/>
      <c r="DZK96" s="4"/>
      <c r="DZL96" s="4"/>
      <c r="DZM96" s="4"/>
      <c r="DZN96" s="4"/>
      <c r="DZO96" s="4"/>
      <c r="DZP96" s="4"/>
      <c r="DZQ96" s="4"/>
      <c r="DZR96" s="4"/>
      <c r="DZS96" s="4"/>
      <c r="DZT96" s="4"/>
      <c r="DZU96" s="4"/>
      <c r="DZV96" s="4"/>
      <c r="DZW96" s="4"/>
      <c r="DZX96" s="4"/>
      <c r="DZY96" s="4"/>
      <c r="DZZ96" s="4"/>
      <c r="EAA96" s="4"/>
      <c r="EAB96" s="4"/>
      <c r="EAC96" s="4"/>
      <c r="EAD96" s="4"/>
      <c r="EAE96" s="4"/>
      <c r="EAF96" s="4"/>
      <c r="EAG96" s="4"/>
      <c r="EAH96" s="4"/>
      <c r="EAI96" s="4"/>
      <c r="EAJ96" s="4"/>
      <c r="EAK96" s="4"/>
      <c r="EAL96" s="4"/>
      <c r="EAM96" s="4"/>
      <c r="EAN96" s="4"/>
      <c r="EAO96" s="4"/>
      <c r="EAP96" s="4"/>
      <c r="EAQ96" s="4"/>
      <c r="EAR96" s="4"/>
      <c r="EAS96" s="4"/>
      <c r="EAT96" s="4"/>
      <c r="EAU96" s="4"/>
      <c r="EAV96" s="4"/>
      <c r="EAW96" s="4"/>
      <c r="EAX96" s="4"/>
      <c r="EAY96" s="4"/>
      <c r="EAZ96" s="4"/>
      <c r="EBA96" s="4"/>
      <c r="EBB96" s="4"/>
      <c r="EBC96" s="4"/>
      <c r="EBD96" s="4"/>
      <c r="EBE96" s="4"/>
      <c r="EBF96" s="4"/>
      <c r="EBG96" s="4"/>
      <c r="EBH96" s="4"/>
      <c r="EBI96" s="4"/>
      <c r="EBJ96" s="4"/>
      <c r="EBK96" s="4"/>
      <c r="EBL96" s="4"/>
      <c r="EBM96" s="4"/>
      <c r="EBN96" s="4"/>
      <c r="EBO96" s="4"/>
      <c r="EBP96" s="4"/>
      <c r="EBQ96" s="4"/>
      <c r="EBR96" s="4"/>
      <c r="EBS96" s="4"/>
      <c r="EBT96" s="4"/>
      <c r="EBU96" s="4"/>
      <c r="EBV96" s="4"/>
      <c r="EBW96" s="4"/>
      <c r="EBX96" s="4"/>
      <c r="EBY96" s="4"/>
      <c r="EBZ96" s="4"/>
      <c r="ECA96" s="4"/>
      <c r="ECB96" s="4"/>
      <c r="ECC96" s="4"/>
      <c r="ECD96" s="4"/>
      <c r="ECE96" s="4"/>
      <c r="ECF96" s="4"/>
      <c r="ECG96" s="4"/>
      <c r="ECH96" s="4"/>
      <c r="ECI96" s="4"/>
      <c r="ECJ96" s="4"/>
      <c r="ECK96" s="4"/>
      <c r="ECL96" s="4"/>
      <c r="ECM96" s="4"/>
      <c r="ECN96" s="4"/>
      <c r="ECO96" s="4"/>
      <c r="ECP96" s="4"/>
      <c r="ECQ96" s="4"/>
      <c r="ECR96" s="4"/>
      <c r="ECS96" s="4"/>
      <c r="ECT96" s="4"/>
      <c r="ECU96" s="4"/>
      <c r="ECV96" s="4"/>
      <c r="ECW96" s="4"/>
      <c r="ECX96" s="4"/>
      <c r="ECY96" s="4"/>
      <c r="ECZ96" s="4"/>
      <c r="EDA96" s="4"/>
      <c r="EDB96" s="4"/>
      <c r="EDC96" s="4"/>
      <c r="EDD96" s="4"/>
      <c r="EDE96" s="4"/>
      <c r="EDF96" s="4"/>
      <c r="EDG96" s="4"/>
      <c r="EDH96" s="4"/>
      <c r="EDI96" s="4"/>
      <c r="EDJ96" s="4"/>
      <c r="EDK96" s="4"/>
      <c r="EDL96" s="4"/>
      <c r="EDM96" s="4"/>
      <c r="EDN96" s="4"/>
      <c r="EDO96" s="4"/>
      <c r="EDP96" s="4"/>
      <c r="EDQ96" s="4"/>
      <c r="EDR96" s="4"/>
      <c r="EDS96" s="4"/>
      <c r="EDT96" s="4"/>
      <c r="EDU96" s="4"/>
      <c r="EDV96" s="4"/>
      <c r="EDW96" s="4"/>
      <c r="EDX96" s="4"/>
      <c r="EDY96" s="4"/>
      <c r="EDZ96" s="4"/>
      <c r="EEA96" s="4"/>
      <c r="EEB96" s="4"/>
      <c r="EEC96" s="4"/>
      <c r="EED96" s="4"/>
      <c r="EEE96" s="4"/>
      <c r="EEF96" s="4"/>
      <c r="EEG96" s="4"/>
      <c r="EEH96" s="4"/>
      <c r="EEI96" s="4"/>
      <c r="EEJ96" s="4"/>
      <c r="EEK96" s="4"/>
      <c r="EEL96" s="4"/>
      <c r="EEM96" s="4"/>
      <c r="EEN96" s="4"/>
      <c r="EEO96" s="4"/>
      <c r="EEP96" s="4"/>
      <c r="EEQ96" s="4"/>
      <c r="EER96" s="4"/>
      <c r="EES96" s="4"/>
      <c r="EET96" s="4"/>
      <c r="EEU96" s="4"/>
      <c r="EEV96" s="4"/>
      <c r="EEW96" s="4"/>
      <c r="EEX96" s="4"/>
      <c r="EEY96" s="4"/>
      <c r="EEZ96" s="4"/>
      <c r="EFA96" s="4"/>
      <c r="EFB96" s="4"/>
      <c r="EFC96" s="4"/>
      <c r="EFD96" s="4"/>
      <c r="EFE96" s="4"/>
      <c r="EFF96" s="4"/>
      <c r="EFG96" s="4"/>
      <c r="EFH96" s="4"/>
      <c r="EFI96" s="4"/>
      <c r="EFJ96" s="4"/>
      <c r="EFK96" s="4"/>
      <c r="EFL96" s="4"/>
      <c r="EFM96" s="4"/>
      <c r="EFN96" s="4"/>
      <c r="EFO96" s="4"/>
      <c r="EFP96" s="4"/>
      <c r="EFQ96" s="4"/>
      <c r="EFR96" s="4"/>
      <c r="EFS96" s="4"/>
      <c r="EFT96" s="4"/>
      <c r="EFU96" s="4"/>
      <c r="EFV96" s="4"/>
      <c r="EFW96" s="4"/>
      <c r="EFX96" s="4"/>
      <c r="EFY96" s="4"/>
      <c r="EFZ96" s="4"/>
      <c r="EGA96" s="4"/>
      <c r="EGB96" s="4"/>
      <c r="EGC96" s="4"/>
      <c r="EGD96" s="4"/>
      <c r="EGE96" s="4"/>
      <c r="EGF96" s="4"/>
      <c r="EGG96" s="4"/>
      <c r="EGH96" s="4"/>
      <c r="EGI96" s="4"/>
      <c r="EGJ96" s="4"/>
      <c r="EGK96" s="4"/>
      <c r="EGL96" s="4"/>
      <c r="EGM96" s="4"/>
      <c r="EGN96" s="4"/>
      <c r="EGO96" s="4"/>
      <c r="EGP96" s="4"/>
      <c r="EGQ96" s="4"/>
      <c r="EGR96" s="4"/>
      <c r="EGS96" s="4"/>
      <c r="EGT96" s="4"/>
      <c r="EGU96" s="4"/>
      <c r="EGV96" s="4"/>
      <c r="EGW96" s="4"/>
      <c r="EGX96" s="4"/>
      <c r="EGY96" s="4"/>
      <c r="EGZ96" s="4"/>
      <c r="EHA96" s="4"/>
      <c r="EHB96" s="4"/>
      <c r="EHC96" s="4"/>
      <c r="EHD96" s="4"/>
      <c r="EHE96" s="4"/>
      <c r="EHF96" s="4"/>
      <c r="EHG96" s="4"/>
      <c r="EHH96" s="4"/>
      <c r="EHI96" s="4"/>
      <c r="EHJ96" s="4"/>
      <c r="EHK96" s="4"/>
      <c r="EHL96" s="4"/>
      <c r="EHM96" s="4"/>
      <c r="EHN96" s="4"/>
      <c r="EHO96" s="4"/>
      <c r="EHP96" s="4"/>
      <c r="EHQ96" s="4"/>
      <c r="EHR96" s="4"/>
      <c r="EHS96" s="4"/>
      <c r="EHT96" s="4"/>
      <c r="EHU96" s="4"/>
      <c r="EHV96" s="4"/>
      <c r="EHW96" s="4"/>
      <c r="EHX96" s="4"/>
      <c r="EHY96" s="4"/>
      <c r="EHZ96" s="4"/>
      <c r="EIA96" s="4"/>
      <c r="EIB96" s="4"/>
      <c r="EIC96" s="4"/>
      <c r="EID96" s="4"/>
      <c r="EIE96" s="4"/>
      <c r="EIF96" s="4"/>
      <c r="EIG96" s="4"/>
      <c r="EIH96" s="4"/>
      <c r="EII96" s="4"/>
      <c r="EIJ96" s="4"/>
      <c r="EIK96" s="4"/>
      <c r="EIL96" s="4"/>
      <c r="EIM96" s="4"/>
      <c r="EIN96" s="4"/>
      <c r="EIO96" s="4"/>
      <c r="EIP96" s="4"/>
      <c r="EIQ96" s="4"/>
      <c r="EIR96" s="4"/>
      <c r="EIS96" s="4"/>
      <c r="EIT96" s="4"/>
      <c r="EIU96" s="4"/>
      <c r="EIV96" s="4"/>
      <c r="EIW96" s="4"/>
      <c r="EIX96" s="4"/>
      <c r="EIY96" s="4"/>
      <c r="EIZ96" s="4"/>
      <c r="EJA96" s="4"/>
      <c r="EJB96" s="4"/>
      <c r="EJC96" s="4"/>
      <c r="EJD96" s="4"/>
      <c r="EJE96" s="4"/>
      <c r="EJF96" s="4"/>
      <c r="EJG96" s="4"/>
      <c r="EJH96" s="4"/>
      <c r="EJI96" s="4"/>
      <c r="EJJ96" s="4"/>
      <c r="EJK96" s="4"/>
      <c r="EJL96" s="4"/>
      <c r="EJM96" s="4"/>
      <c r="EJN96" s="4"/>
      <c r="EJO96" s="4"/>
      <c r="EJP96" s="4"/>
      <c r="EJQ96" s="4"/>
      <c r="EJR96" s="4"/>
      <c r="EJS96" s="4"/>
      <c r="EJT96" s="4"/>
      <c r="EJU96" s="4"/>
      <c r="EJV96" s="4"/>
      <c r="EJW96" s="4"/>
      <c r="EJX96" s="4"/>
      <c r="EJY96" s="4"/>
      <c r="EJZ96" s="4"/>
      <c r="EKA96" s="4"/>
      <c r="EKB96" s="4"/>
      <c r="EKC96" s="4"/>
      <c r="EKD96" s="4"/>
      <c r="EKE96" s="4"/>
      <c r="EKF96" s="4"/>
      <c r="EKG96" s="4"/>
      <c r="EKH96" s="4"/>
      <c r="EKI96" s="4"/>
      <c r="EKJ96" s="4"/>
      <c r="EKK96" s="4"/>
      <c r="EKL96" s="4"/>
      <c r="EKM96" s="4"/>
      <c r="EKN96" s="4"/>
      <c r="EKO96" s="4"/>
      <c r="EKP96" s="4"/>
      <c r="EKQ96" s="4"/>
      <c r="EKR96" s="4"/>
      <c r="EKS96" s="4"/>
      <c r="EKT96" s="4"/>
      <c r="EKU96" s="4"/>
      <c r="EKV96" s="4"/>
      <c r="EKW96" s="4"/>
      <c r="EKX96" s="4"/>
      <c r="EKY96" s="4"/>
      <c r="EKZ96" s="4"/>
      <c r="ELA96" s="4"/>
      <c r="ELB96" s="4"/>
      <c r="ELC96" s="4"/>
      <c r="ELD96" s="4"/>
      <c r="ELE96" s="4"/>
      <c r="ELF96" s="4"/>
      <c r="ELG96" s="4"/>
      <c r="ELH96" s="4"/>
      <c r="ELI96" s="4"/>
      <c r="ELJ96" s="4"/>
      <c r="ELK96" s="4"/>
      <c r="ELL96" s="4"/>
      <c r="ELM96" s="4"/>
      <c r="ELN96" s="4"/>
      <c r="ELO96" s="4"/>
      <c r="ELP96" s="4"/>
      <c r="ELQ96" s="4"/>
      <c r="ELR96" s="4"/>
      <c r="ELS96" s="4"/>
      <c r="ELT96" s="4"/>
      <c r="ELU96" s="4"/>
      <c r="ELV96" s="4"/>
      <c r="ELW96" s="4"/>
      <c r="ELX96" s="4"/>
      <c r="ELY96" s="4"/>
      <c r="ELZ96" s="4"/>
      <c r="EMA96" s="4"/>
      <c r="EMB96" s="4"/>
      <c r="EMC96" s="4"/>
      <c r="EMD96" s="4"/>
      <c r="EME96" s="4"/>
      <c r="EMF96" s="4"/>
      <c r="EMG96" s="4"/>
      <c r="EMH96" s="4"/>
      <c r="EMI96" s="4"/>
      <c r="EMJ96" s="4"/>
      <c r="EMK96" s="4"/>
      <c r="EML96" s="4"/>
      <c r="EMM96" s="4"/>
      <c r="EMN96" s="4"/>
      <c r="EMO96" s="4"/>
      <c r="EMP96" s="4"/>
      <c r="EMQ96" s="4"/>
      <c r="EMR96" s="4"/>
      <c r="EMS96" s="4"/>
      <c r="EMT96" s="4"/>
      <c r="EMU96" s="4"/>
      <c r="EMV96" s="4"/>
      <c r="EMW96" s="4"/>
      <c r="EMX96" s="4"/>
      <c r="EMY96" s="4"/>
      <c r="EMZ96" s="4"/>
      <c r="ENA96" s="4"/>
      <c r="ENB96" s="4"/>
      <c r="ENC96" s="4"/>
      <c r="END96" s="4"/>
      <c r="ENE96" s="4"/>
      <c r="ENF96" s="4"/>
      <c r="ENG96" s="4"/>
      <c r="ENH96" s="4"/>
      <c r="ENI96" s="4"/>
      <c r="ENJ96" s="4"/>
      <c r="ENK96" s="4"/>
      <c r="ENL96" s="4"/>
      <c r="ENM96" s="4"/>
      <c r="ENN96" s="4"/>
      <c r="ENO96" s="4"/>
      <c r="ENP96" s="4"/>
      <c r="ENQ96" s="4"/>
      <c r="ENR96" s="4"/>
      <c r="ENS96" s="4"/>
      <c r="ENT96" s="4"/>
      <c r="ENU96" s="4"/>
      <c r="ENV96" s="4"/>
      <c r="ENW96" s="4"/>
      <c r="ENX96" s="4"/>
      <c r="ENY96" s="4"/>
      <c r="ENZ96" s="4"/>
      <c r="EOA96" s="4"/>
      <c r="EOB96" s="4"/>
      <c r="EOC96" s="4"/>
      <c r="EOD96" s="4"/>
      <c r="EOE96" s="4"/>
      <c r="EOF96" s="4"/>
      <c r="EOG96" s="4"/>
      <c r="EOH96" s="4"/>
      <c r="EOI96" s="4"/>
      <c r="EOJ96" s="4"/>
      <c r="EOK96" s="4"/>
      <c r="EOL96" s="4"/>
      <c r="EOM96" s="4"/>
      <c r="EON96" s="4"/>
      <c r="EOO96" s="4"/>
      <c r="EOP96" s="4"/>
      <c r="EOQ96" s="4"/>
      <c r="EOR96" s="4"/>
      <c r="EOS96" s="4"/>
      <c r="EOT96" s="4"/>
      <c r="EOU96" s="4"/>
      <c r="EOV96" s="4"/>
      <c r="EOW96" s="4"/>
      <c r="EOX96" s="4"/>
      <c r="EOY96" s="4"/>
      <c r="EOZ96" s="4"/>
      <c r="EPA96" s="4"/>
      <c r="EPB96" s="4"/>
      <c r="EPC96" s="4"/>
      <c r="EPD96" s="4"/>
      <c r="EPE96" s="4"/>
      <c r="EPF96" s="4"/>
      <c r="EPG96" s="4"/>
      <c r="EPH96" s="4"/>
      <c r="EPI96" s="4"/>
      <c r="EPJ96" s="4"/>
      <c r="EPK96" s="4"/>
      <c r="EPL96" s="4"/>
      <c r="EPM96" s="4"/>
      <c r="EPN96" s="4"/>
      <c r="EPO96" s="4"/>
      <c r="EPP96" s="4"/>
      <c r="EPQ96" s="4"/>
      <c r="EPR96" s="4"/>
      <c r="EPS96" s="4"/>
      <c r="EPT96" s="4"/>
      <c r="EPU96" s="4"/>
      <c r="EPV96" s="4"/>
      <c r="EPW96" s="4"/>
      <c r="EPX96" s="4"/>
      <c r="EPY96" s="4"/>
      <c r="EPZ96" s="4"/>
      <c r="EQA96" s="4"/>
      <c r="EQB96" s="4"/>
      <c r="EQC96" s="4"/>
      <c r="EQD96" s="4"/>
      <c r="EQE96" s="4"/>
      <c r="EQF96" s="4"/>
      <c r="EQG96" s="4"/>
      <c r="EQH96" s="4"/>
      <c r="EQI96" s="4"/>
      <c r="EQJ96" s="4"/>
      <c r="EQK96" s="4"/>
      <c r="EQL96" s="4"/>
      <c r="EQM96" s="4"/>
      <c r="EQN96" s="4"/>
      <c r="EQO96" s="4"/>
      <c r="EQP96" s="4"/>
      <c r="EQQ96" s="4"/>
      <c r="EQR96" s="4"/>
      <c r="EQS96" s="4"/>
      <c r="EQT96" s="4"/>
      <c r="EQU96" s="4"/>
      <c r="EQV96" s="4"/>
      <c r="EQW96" s="4"/>
      <c r="EQX96" s="4"/>
      <c r="EQY96" s="4"/>
      <c r="EQZ96" s="4"/>
      <c r="ERA96" s="4"/>
      <c r="ERB96" s="4"/>
      <c r="ERC96" s="4"/>
      <c r="ERD96" s="4"/>
      <c r="ERE96" s="4"/>
      <c r="ERF96" s="4"/>
      <c r="ERG96" s="4"/>
      <c r="ERH96" s="4"/>
      <c r="ERI96" s="4"/>
      <c r="ERJ96" s="4"/>
      <c r="ERK96" s="4"/>
      <c r="ERL96" s="4"/>
      <c r="ERM96" s="4"/>
      <c r="ERN96" s="4"/>
      <c r="ERO96" s="4"/>
      <c r="ERP96" s="4"/>
      <c r="ERQ96" s="4"/>
      <c r="ERR96" s="4"/>
      <c r="ERS96" s="4"/>
      <c r="ERT96" s="4"/>
      <c r="ERU96" s="4"/>
      <c r="ERV96" s="4"/>
      <c r="ERW96" s="4"/>
      <c r="ERX96" s="4"/>
      <c r="ERY96" s="4"/>
      <c r="ERZ96" s="4"/>
      <c r="ESA96" s="4"/>
      <c r="ESB96" s="4"/>
      <c r="ESC96" s="4"/>
      <c r="ESD96" s="4"/>
      <c r="ESE96" s="4"/>
      <c r="ESF96" s="4"/>
      <c r="ESG96" s="4"/>
      <c r="ESH96" s="4"/>
      <c r="ESI96" s="4"/>
      <c r="ESJ96" s="4"/>
      <c r="ESK96" s="4"/>
      <c r="ESL96" s="4"/>
      <c r="ESM96" s="4"/>
      <c r="ESN96" s="4"/>
      <c r="ESO96" s="4"/>
      <c r="ESP96" s="4"/>
      <c r="ESQ96" s="4"/>
      <c r="ESR96" s="4"/>
      <c r="ESS96" s="4"/>
      <c r="EST96" s="4"/>
      <c r="ESU96" s="4"/>
      <c r="ESV96" s="4"/>
      <c r="ESW96" s="4"/>
      <c r="ESX96" s="4"/>
      <c r="ESY96" s="4"/>
      <c r="ESZ96" s="4"/>
      <c r="ETA96" s="4"/>
      <c r="ETB96" s="4"/>
      <c r="ETC96" s="4"/>
      <c r="ETD96" s="4"/>
      <c r="ETE96" s="4"/>
      <c r="ETF96" s="4"/>
      <c r="ETG96" s="4"/>
      <c r="ETH96" s="4"/>
      <c r="ETI96" s="4"/>
      <c r="ETJ96" s="4"/>
      <c r="ETK96" s="4"/>
      <c r="ETL96" s="4"/>
      <c r="ETM96" s="4"/>
      <c r="ETN96" s="4"/>
      <c r="ETO96" s="4"/>
      <c r="ETP96" s="4"/>
      <c r="ETQ96" s="4"/>
      <c r="ETR96" s="4"/>
      <c r="ETS96" s="4"/>
      <c r="ETT96" s="4"/>
      <c r="ETU96" s="4"/>
      <c r="ETV96" s="4"/>
      <c r="ETW96" s="4"/>
      <c r="ETX96" s="4"/>
      <c r="ETY96" s="4"/>
      <c r="ETZ96" s="4"/>
      <c r="EUA96" s="4"/>
      <c r="EUB96" s="4"/>
      <c r="EUC96" s="4"/>
      <c r="EUD96" s="4"/>
      <c r="EUE96" s="4"/>
      <c r="EUF96" s="4"/>
      <c r="EUG96" s="4"/>
      <c r="EUH96" s="4"/>
      <c r="EUI96" s="4"/>
      <c r="EUJ96" s="4"/>
      <c r="EUK96" s="4"/>
      <c r="EUL96" s="4"/>
      <c r="EUM96" s="4"/>
      <c r="EUN96" s="4"/>
      <c r="EUO96" s="4"/>
      <c r="EUP96" s="4"/>
      <c r="EUQ96" s="4"/>
      <c r="EUR96" s="4"/>
      <c r="EUS96" s="4"/>
      <c r="EUT96" s="4"/>
      <c r="EUU96" s="4"/>
      <c r="EUV96" s="4"/>
      <c r="EUW96" s="4"/>
      <c r="EUX96" s="4"/>
      <c r="EUY96" s="4"/>
      <c r="EUZ96" s="4"/>
      <c r="EVA96" s="4"/>
      <c r="EVB96" s="4"/>
      <c r="EVC96" s="4"/>
      <c r="EVD96" s="4"/>
      <c r="EVE96" s="4"/>
      <c r="EVF96" s="4"/>
      <c r="EVG96" s="4"/>
      <c r="EVH96" s="4"/>
      <c r="EVI96" s="4"/>
      <c r="EVJ96" s="4"/>
      <c r="EVK96" s="4"/>
      <c r="EVL96" s="4"/>
      <c r="EVM96" s="4"/>
      <c r="EVN96" s="4"/>
      <c r="EVO96" s="4"/>
      <c r="EVP96" s="4"/>
      <c r="EVQ96" s="4"/>
      <c r="EVR96" s="4"/>
      <c r="EVS96" s="4"/>
      <c r="EVT96" s="4"/>
      <c r="EVU96" s="4"/>
      <c r="EVV96" s="4"/>
      <c r="EVW96" s="4"/>
      <c r="EVX96" s="4"/>
      <c r="EVY96" s="4"/>
      <c r="EVZ96" s="4"/>
      <c r="EWA96" s="4"/>
      <c r="EWB96" s="4"/>
      <c r="EWC96" s="4"/>
      <c r="EWD96" s="4"/>
      <c r="EWE96" s="4"/>
      <c r="EWF96" s="4"/>
      <c r="EWG96" s="4"/>
      <c r="EWH96" s="4"/>
      <c r="EWI96" s="4"/>
      <c r="EWJ96" s="4"/>
      <c r="EWK96" s="4"/>
      <c r="EWL96" s="4"/>
      <c r="EWM96" s="4"/>
      <c r="EWN96" s="4"/>
      <c r="EWO96" s="4"/>
      <c r="EWP96" s="4"/>
      <c r="EWQ96" s="4"/>
      <c r="EWR96" s="4"/>
      <c r="EWS96" s="4"/>
      <c r="EWT96" s="4"/>
      <c r="EWU96" s="4"/>
      <c r="EWV96" s="4"/>
      <c r="EWW96" s="4"/>
      <c r="EWX96" s="4"/>
      <c r="EWY96" s="4"/>
      <c r="EWZ96" s="4"/>
      <c r="EXA96" s="4"/>
      <c r="EXB96" s="4"/>
      <c r="EXC96" s="4"/>
      <c r="EXD96" s="4"/>
      <c r="EXE96" s="4"/>
      <c r="EXF96" s="4"/>
      <c r="EXG96" s="4"/>
      <c r="EXH96" s="4"/>
      <c r="EXI96" s="4"/>
      <c r="EXJ96" s="4"/>
      <c r="EXK96" s="4"/>
      <c r="EXL96" s="4"/>
      <c r="EXM96" s="4"/>
      <c r="EXN96" s="4"/>
      <c r="EXO96" s="4"/>
      <c r="EXP96" s="4"/>
      <c r="EXQ96" s="4"/>
      <c r="EXR96" s="4"/>
      <c r="EXS96" s="4"/>
      <c r="EXT96" s="4"/>
      <c r="EXU96" s="4"/>
      <c r="EXV96" s="4"/>
      <c r="EXW96" s="4"/>
      <c r="EXX96" s="4"/>
      <c r="EXY96" s="4"/>
      <c r="EXZ96" s="4"/>
      <c r="EYA96" s="4"/>
      <c r="EYB96" s="4"/>
      <c r="EYC96" s="4"/>
      <c r="EYD96" s="4"/>
      <c r="EYE96" s="4"/>
      <c r="EYF96" s="4"/>
      <c r="EYG96" s="4"/>
      <c r="EYH96" s="4"/>
      <c r="EYI96" s="4"/>
      <c r="EYJ96" s="4"/>
      <c r="EYK96" s="4"/>
      <c r="EYL96" s="4"/>
      <c r="EYM96" s="4"/>
      <c r="EYN96" s="4"/>
      <c r="EYO96" s="4"/>
      <c r="EYP96" s="4"/>
      <c r="EYQ96" s="4"/>
      <c r="EYR96" s="4"/>
      <c r="EYS96" s="4"/>
      <c r="EYT96" s="4"/>
      <c r="EYU96" s="4"/>
      <c r="EYV96" s="4"/>
      <c r="EYW96" s="4"/>
      <c r="EYX96" s="4"/>
      <c r="EYY96" s="4"/>
      <c r="EYZ96" s="4"/>
      <c r="EZA96" s="4"/>
      <c r="EZB96" s="4"/>
      <c r="EZC96" s="4"/>
      <c r="EZD96" s="4"/>
      <c r="EZE96" s="4"/>
      <c r="EZF96" s="4"/>
      <c r="EZG96" s="4"/>
      <c r="EZH96" s="4"/>
      <c r="EZI96" s="4"/>
      <c r="EZJ96" s="4"/>
      <c r="EZK96" s="4"/>
      <c r="EZL96" s="4"/>
      <c r="EZM96" s="4"/>
      <c r="EZN96" s="4"/>
      <c r="EZO96" s="4"/>
      <c r="EZP96" s="4"/>
      <c r="EZQ96" s="4"/>
      <c r="EZR96" s="4"/>
      <c r="EZS96" s="4"/>
      <c r="EZT96" s="4"/>
      <c r="EZU96" s="4"/>
      <c r="EZV96" s="4"/>
      <c r="EZW96" s="4"/>
      <c r="EZX96" s="4"/>
      <c r="EZY96" s="4"/>
      <c r="EZZ96" s="4"/>
      <c r="FAA96" s="4"/>
      <c r="FAB96" s="4"/>
      <c r="FAC96" s="4"/>
      <c r="FAD96" s="4"/>
      <c r="FAE96" s="4"/>
      <c r="FAF96" s="4"/>
      <c r="FAG96" s="4"/>
      <c r="FAH96" s="4"/>
      <c r="FAI96" s="4"/>
      <c r="FAJ96" s="4"/>
      <c r="FAK96" s="4"/>
      <c r="FAL96" s="4"/>
      <c r="FAM96" s="4"/>
      <c r="FAN96" s="4"/>
      <c r="FAO96" s="4"/>
      <c r="FAP96" s="4"/>
      <c r="FAQ96" s="4"/>
      <c r="FAR96" s="4"/>
      <c r="FAS96" s="4"/>
      <c r="FAT96" s="4"/>
      <c r="FAU96" s="4"/>
      <c r="FAV96" s="4"/>
      <c r="FAW96" s="4"/>
      <c r="FAX96" s="4"/>
      <c r="FAY96" s="4"/>
      <c r="FAZ96" s="4"/>
      <c r="FBA96" s="4"/>
      <c r="FBB96" s="4"/>
      <c r="FBC96" s="4"/>
      <c r="FBD96" s="4"/>
      <c r="FBE96" s="4"/>
      <c r="FBF96" s="4"/>
      <c r="FBG96" s="4"/>
      <c r="FBH96" s="4"/>
      <c r="FBI96" s="4"/>
      <c r="FBJ96" s="4"/>
      <c r="FBK96" s="4"/>
      <c r="FBL96" s="4"/>
      <c r="FBM96" s="4"/>
      <c r="FBN96" s="4"/>
      <c r="FBO96" s="4"/>
      <c r="FBP96" s="4"/>
      <c r="FBQ96" s="4"/>
      <c r="FBR96" s="4"/>
      <c r="FBS96" s="4"/>
      <c r="FBT96" s="4"/>
      <c r="FBU96" s="4"/>
      <c r="FBV96" s="4"/>
      <c r="FBW96" s="4"/>
      <c r="FBX96" s="4"/>
      <c r="FBY96" s="4"/>
      <c r="FBZ96" s="4"/>
      <c r="FCA96" s="4"/>
      <c r="FCB96" s="4"/>
      <c r="FCC96" s="4"/>
      <c r="FCD96" s="4"/>
      <c r="FCE96" s="4"/>
      <c r="FCF96" s="4"/>
      <c r="FCG96" s="4"/>
      <c r="FCH96" s="4"/>
      <c r="FCI96" s="4"/>
      <c r="FCJ96" s="4"/>
      <c r="FCK96" s="4"/>
      <c r="FCL96" s="4"/>
      <c r="FCM96" s="4"/>
      <c r="FCN96" s="4"/>
      <c r="FCO96" s="4"/>
      <c r="FCP96" s="4"/>
      <c r="FCQ96" s="4"/>
      <c r="FCR96" s="4"/>
      <c r="FCS96" s="4"/>
      <c r="FCT96" s="4"/>
      <c r="FCU96" s="4"/>
      <c r="FCV96" s="4"/>
      <c r="FCW96" s="4"/>
      <c r="FCX96" s="4"/>
      <c r="FCY96" s="4"/>
      <c r="FCZ96" s="4"/>
      <c r="FDA96" s="4"/>
      <c r="FDB96" s="4"/>
      <c r="FDC96" s="4"/>
      <c r="FDD96" s="4"/>
      <c r="FDE96" s="4"/>
      <c r="FDF96" s="4"/>
      <c r="FDG96" s="4"/>
      <c r="FDH96" s="4"/>
      <c r="FDI96" s="4"/>
      <c r="FDJ96" s="4"/>
      <c r="FDK96" s="4"/>
      <c r="FDL96" s="4"/>
      <c r="FDM96" s="4"/>
      <c r="FDN96" s="4"/>
      <c r="FDO96" s="4"/>
      <c r="FDP96" s="4"/>
      <c r="FDQ96" s="4"/>
      <c r="FDR96" s="4"/>
      <c r="FDS96" s="4"/>
      <c r="FDT96" s="4"/>
      <c r="FDU96" s="4"/>
      <c r="FDV96" s="4"/>
      <c r="FDW96" s="4"/>
      <c r="FDX96" s="4"/>
      <c r="FDY96" s="4"/>
      <c r="FDZ96" s="4"/>
      <c r="FEA96" s="4"/>
      <c r="FEB96" s="4"/>
      <c r="FEC96" s="4"/>
      <c r="FED96" s="4"/>
      <c r="FEE96" s="4"/>
      <c r="FEF96" s="4"/>
      <c r="FEG96" s="4"/>
      <c r="FEH96" s="4"/>
      <c r="FEI96" s="4"/>
      <c r="FEJ96" s="4"/>
      <c r="FEK96" s="4"/>
      <c r="FEL96" s="4"/>
      <c r="FEM96" s="4"/>
      <c r="FEN96" s="4"/>
      <c r="FEO96" s="4"/>
      <c r="FEP96" s="4"/>
      <c r="FEQ96" s="4"/>
      <c r="FER96" s="4"/>
      <c r="FES96" s="4"/>
      <c r="FET96" s="4"/>
      <c r="FEU96" s="4"/>
      <c r="FEV96" s="4"/>
      <c r="FEW96" s="4"/>
      <c r="FEX96" s="4"/>
      <c r="FEY96" s="4"/>
      <c r="FEZ96" s="4"/>
      <c r="FFA96" s="4"/>
      <c r="FFB96" s="4"/>
      <c r="FFC96" s="4"/>
      <c r="FFD96" s="4"/>
      <c r="FFE96" s="4"/>
      <c r="FFF96" s="4"/>
      <c r="FFG96" s="4"/>
      <c r="FFH96" s="4"/>
      <c r="FFI96" s="4"/>
      <c r="FFJ96" s="4"/>
      <c r="FFK96" s="4"/>
      <c r="FFL96" s="4"/>
      <c r="FFM96" s="4"/>
      <c r="FFN96" s="4"/>
      <c r="FFO96" s="4"/>
      <c r="FFP96" s="4"/>
      <c r="FFQ96" s="4"/>
      <c r="FFR96" s="4"/>
      <c r="FFS96" s="4"/>
      <c r="FFT96" s="4"/>
      <c r="FFU96" s="4"/>
      <c r="FFV96" s="4"/>
      <c r="FFW96" s="4"/>
      <c r="FFX96" s="4"/>
      <c r="FFY96" s="4"/>
      <c r="FFZ96" s="4"/>
      <c r="FGA96" s="4"/>
      <c r="FGB96" s="4"/>
      <c r="FGC96" s="4"/>
      <c r="FGD96" s="4"/>
      <c r="FGE96" s="4"/>
      <c r="FGF96" s="4"/>
      <c r="FGG96" s="4"/>
      <c r="FGH96" s="4"/>
      <c r="FGI96" s="4"/>
      <c r="FGJ96" s="4"/>
      <c r="FGK96" s="4"/>
      <c r="FGL96" s="4"/>
      <c r="FGM96" s="4"/>
      <c r="FGN96" s="4"/>
      <c r="FGO96" s="4"/>
      <c r="FGP96" s="4"/>
      <c r="FGQ96" s="4"/>
      <c r="FGR96" s="4"/>
      <c r="FGS96" s="4"/>
      <c r="FGT96" s="4"/>
      <c r="FGU96" s="4"/>
      <c r="FGV96" s="4"/>
      <c r="FGW96" s="4"/>
      <c r="FGX96" s="4"/>
      <c r="FGY96" s="4"/>
      <c r="FGZ96" s="4"/>
      <c r="FHA96" s="4"/>
      <c r="FHB96" s="4"/>
      <c r="FHC96" s="4"/>
      <c r="FHD96" s="4"/>
      <c r="FHE96" s="4"/>
      <c r="FHF96" s="4"/>
      <c r="FHG96" s="4"/>
      <c r="FHH96" s="4"/>
      <c r="FHI96" s="4"/>
      <c r="FHJ96" s="4"/>
      <c r="FHK96" s="4"/>
      <c r="FHL96" s="4"/>
      <c r="FHM96" s="4"/>
      <c r="FHN96" s="4"/>
      <c r="FHO96" s="4"/>
      <c r="FHP96" s="4"/>
      <c r="FHQ96" s="4"/>
      <c r="FHR96" s="4"/>
      <c r="FHS96" s="4"/>
      <c r="FHT96" s="4"/>
      <c r="FHU96" s="4"/>
      <c r="FHV96" s="4"/>
      <c r="FHW96" s="4"/>
      <c r="FHX96" s="4"/>
      <c r="FHY96" s="4"/>
      <c r="FHZ96" s="4"/>
      <c r="FIA96" s="4"/>
      <c r="FIB96" s="4"/>
      <c r="FIC96" s="4"/>
      <c r="FID96" s="4"/>
      <c r="FIE96" s="4"/>
      <c r="FIF96" s="4"/>
      <c r="FIG96" s="4"/>
      <c r="FIH96" s="4"/>
      <c r="FII96" s="4"/>
      <c r="FIJ96" s="4"/>
      <c r="FIK96" s="4"/>
      <c r="FIL96" s="4"/>
      <c r="FIM96" s="4"/>
      <c r="FIN96" s="4"/>
      <c r="FIO96" s="4"/>
      <c r="FIP96" s="4"/>
      <c r="FIQ96" s="4"/>
      <c r="FIR96" s="4"/>
      <c r="FIS96" s="4"/>
      <c r="FIT96" s="4"/>
      <c r="FIU96" s="4"/>
      <c r="FIV96" s="4"/>
      <c r="FIW96" s="4"/>
      <c r="FIX96" s="4"/>
      <c r="FIY96" s="4"/>
      <c r="FIZ96" s="4"/>
      <c r="FJA96" s="4"/>
      <c r="FJB96" s="4"/>
      <c r="FJC96" s="4"/>
      <c r="FJD96" s="4"/>
      <c r="FJE96" s="4"/>
      <c r="FJF96" s="4"/>
      <c r="FJG96" s="4"/>
      <c r="FJH96" s="4"/>
      <c r="FJI96" s="4"/>
      <c r="FJJ96" s="4"/>
      <c r="FJK96" s="4"/>
      <c r="FJL96" s="4"/>
      <c r="FJM96" s="4"/>
      <c r="FJN96" s="4"/>
      <c r="FJO96" s="4"/>
      <c r="FJP96" s="4"/>
      <c r="FJQ96" s="4"/>
      <c r="FJR96" s="4"/>
      <c r="FJS96" s="4"/>
      <c r="FJT96" s="4"/>
      <c r="FJU96" s="4"/>
      <c r="FJV96" s="4"/>
      <c r="FJW96" s="4"/>
      <c r="FJX96" s="4"/>
      <c r="FJY96" s="4"/>
      <c r="FJZ96" s="4"/>
      <c r="FKA96" s="4"/>
      <c r="FKB96" s="4"/>
      <c r="FKC96" s="4"/>
      <c r="FKD96" s="4"/>
      <c r="FKE96" s="4"/>
      <c r="FKF96" s="4"/>
      <c r="FKG96" s="4"/>
      <c r="FKH96" s="4"/>
      <c r="FKI96" s="4"/>
      <c r="FKJ96" s="4"/>
      <c r="FKK96" s="4"/>
      <c r="FKL96" s="4"/>
      <c r="FKM96" s="4"/>
      <c r="FKN96" s="4"/>
      <c r="FKO96" s="4"/>
      <c r="FKP96" s="4"/>
      <c r="FKQ96" s="4"/>
      <c r="FKR96" s="4"/>
      <c r="FKS96" s="4"/>
      <c r="FKT96" s="4"/>
      <c r="FKU96" s="4"/>
      <c r="FKV96" s="4"/>
      <c r="FKW96" s="4"/>
      <c r="FKX96" s="4"/>
      <c r="FKY96" s="4"/>
      <c r="FKZ96" s="4"/>
      <c r="FLA96" s="4"/>
      <c r="FLB96" s="4"/>
      <c r="FLC96" s="4"/>
      <c r="FLD96" s="4"/>
      <c r="FLE96" s="4"/>
      <c r="FLF96" s="4"/>
      <c r="FLG96" s="4"/>
      <c r="FLH96" s="4"/>
      <c r="FLI96" s="4"/>
      <c r="FLJ96" s="4"/>
      <c r="FLK96" s="4"/>
      <c r="FLL96" s="4"/>
      <c r="FLM96" s="4"/>
      <c r="FLN96" s="4"/>
      <c r="FLO96" s="4"/>
      <c r="FLP96" s="4"/>
      <c r="FLQ96" s="4"/>
      <c r="FLR96" s="4"/>
      <c r="FLS96" s="4"/>
      <c r="FLT96" s="4"/>
      <c r="FLU96" s="4"/>
      <c r="FLV96" s="4"/>
      <c r="FLW96" s="4"/>
      <c r="FLX96" s="4"/>
      <c r="FLY96" s="4"/>
      <c r="FLZ96" s="4"/>
      <c r="FMA96" s="4"/>
      <c r="FMB96" s="4"/>
      <c r="FMC96" s="4"/>
      <c r="FMD96" s="4"/>
      <c r="FME96" s="4"/>
      <c r="FMF96" s="4"/>
      <c r="FMG96" s="4"/>
      <c r="FMH96" s="4"/>
      <c r="FMI96" s="4"/>
      <c r="FMJ96" s="4"/>
      <c r="FMK96" s="4"/>
      <c r="FML96" s="4"/>
      <c r="FMM96" s="4"/>
      <c r="FMN96" s="4"/>
      <c r="FMO96" s="4"/>
      <c r="FMP96" s="4"/>
      <c r="FMQ96" s="4"/>
      <c r="FMR96" s="4"/>
      <c r="FMS96" s="4"/>
      <c r="FMT96" s="4"/>
      <c r="FMU96" s="4"/>
      <c r="FMV96" s="4"/>
      <c r="FMW96" s="4"/>
      <c r="FMX96" s="4"/>
      <c r="FMY96" s="4"/>
      <c r="FMZ96" s="4"/>
      <c r="FNA96" s="4"/>
      <c r="FNB96" s="4"/>
      <c r="FNC96" s="4"/>
      <c r="FND96" s="4"/>
      <c r="FNE96" s="4"/>
      <c r="FNF96" s="4"/>
      <c r="FNG96" s="4"/>
      <c r="FNH96" s="4"/>
      <c r="FNI96" s="4"/>
      <c r="FNJ96" s="4"/>
      <c r="FNK96" s="4"/>
      <c r="FNL96" s="4"/>
      <c r="FNM96" s="4"/>
      <c r="FNN96" s="4"/>
      <c r="FNO96" s="4"/>
      <c r="FNP96" s="4"/>
      <c r="FNQ96" s="4"/>
      <c r="FNR96" s="4"/>
      <c r="FNS96" s="4"/>
      <c r="FNT96" s="4"/>
      <c r="FNU96" s="4"/>
      <c r="FNV96" s="4"/>
      <c r="FNW96" s="4"/>
      <c r="FNX96" s="4"/>
      <c r="FNY96" s="4"/>
      <c r="FNZ96" s="4"/>
      <c r="FOA96" s="4"/>
      <c r="FOB96" s="4"/>
      <c r="FOC96" s="4"/>
      <c r="FOD96" s="4"/>
      <c r="FOE96" s="4"/>
      <c r="FOF96" s="4"/>
      <c r="FOG96" s="4"/>
      <c r="FOH96" s="4"/>
      <c r="FOI96" s="4"/>
      <c r="FOJ96" s="4"/>
      <c r="FOK96" s="4"/>
      <c r="FOL96" s="4"/>
      <c r="FOM96" s="4"/>
      <c r="FON96" s="4"/>
      <c r="FOO96" s="4"/>
      <c r="FOP96" s="4"/>
      <c r="FOQ96" s="4"/>
      <c r="FOR96" s="4"/>
      <c r="FOS96" s="4"/>
      <c r="FOT96" s="4"/>
      <c r="FOU96" s="4"/>
      <c r="FOV96" s="4"/>
      <c r="FOW96" s="4"/>
      <c r="FOX96" s="4"/>
      <c r="FOY96" s="4"/>
      <c r="FOZ96" s="4"/>
      <c r="FPA96" s="4"/>
      <c r="FPB96" s="4"/>
      <c r="FPC96" s="4"/>
      <c r="FPD96" s="4"/>
      <c r="FPE96" s="4"/>
      <c r="FPF96" s="4"/>
      <c r="FPG96" s="4"/>
      <c r="FPH96" s="4"/>
      <c r="FPI96" s="4"/>
      <c r="FPJ96" s="4"/>
      <c r="FPK96" s="4"/>
      <c r="FPL96" s="4"/>
      <c r="FPM96" s="4"/>
      <c r="FPN96" s="4"/>
      <c r="FPO96" s="4"/>
      <c r="FPP96" s="4"/>
      <c r="FPQ96" s="4"/>
      <c r="FPR96" s="4"/>
      <c r="FPS96" s="4"/>
      <c r="FPT96" s="4"/>
      <c r="FPU96" s="4"/>
      <c r="FPV96" s="4"/>
      <c r="FPW96" s="4"/>
      <c r="FPX96" s="4"/>
      <c r="FPY96" s="4"/>
      <c r="FPZ96" s="4"/>
      <c r="FQA96" s="4"/>
      <c r="FQB96" s="4"/>
      <c r="FQC96" s="4"/>
      <c r="FQD96" s="4"/>
      <c r="FQE96" s="4"/>
      <c r="FQF96" s="4"/>
      <c r="FQG96" s="4"/>
      <c r="FQH96" s="4"/>
      <c r="FQI96" s="4"/>
      <c r="FQJ96" s="4"/>
      <c r="FQK96" s="4"/>
      <c r="FQL96" s="4"/>
      <c r="FQM96" s="4"/>
      <c r="FQN96" s="4"/>
      <c r="FQO96" s="4"/>
      <c r="FQP96" s="4"/>
      <c r="FQQ96" s="4"/>
      <c r="FQR96" s="4"/>
      <c r="FQS96" s="4"/>
      <c r="FQT96" s="4"/>
      <c r="FQU96" s="4"/>
      <c r="FQV96" s="4"/>
      <c r="FQW96" s="4"/>
      <c r="FQX96" s="4"/>
      <c r="FQY96" s="4"/>
      <c r="FQZ96" s="4"/>
      <c r="FRA96" s="4"/>
      <c r="FRB96" s="4"/>
      <c r="FRC96" s="4"/>
      <c r="FRD96" s="4"/>
      <c r="FRE96" s="4"/>
      <c r="FRF96" s="4"/>
      <c r="FRG96" s="4"/>
      <c r="FRH96" s="4"/>
      <c r="FRI96" s="4"/>
      <c r="FRJ96" s="4"/>
      <c r="FRK96" s="4"/>
      <c r="FRL96" s="4"/>
      <c r="FRM96" s="4"/>
      <c r="FRN96" s="4"/>
      <c r="FRO96" s="4"/>
      <c r="FRP96" s="4"/>
      <c r="FRQ96" s="4"/>
      <c r="FRR96" s="4"/>
      <c r="FRS96" s="4"/>
      <c r="FRT96" s="4"/>
      <c r="FRU96" s="4"/>
      <c r="FRV96" s="4"/>
      <c r="FRW96" s="4"/>
      <c r="FRX96" s="4"/>
      <c r="FRY96" s="4"/>
      <c r="FRZ96" s="4"/>
      <c r="FSA96" s="4"/>
      <c r="FSB96" s="4"/>
      <c r="FSC96" s="4"/>
      <c r="FSD96" s="4"/>
      <c r="FSE96" s="4"/>
      <c r="FSF96" s="4"/>
      <c r="FSG96" s="4"/>
      <c r="FSH96" s="4"/>
      <c r="FSI96" s="4"/>
      <c r="FSJ96" s="4"/>
      <c r="FSK96" s="4"/>
      <c r="FSL96" s="4"/>
      <c r="FSM96" s="4"/>
      <c r="FSN96" s="4"/>
      <c r="FSO96" s="4"/>
      <c r="FSP96" s="4"/>
      <c r="FSQ96" s="4"/>
      <c r="FSR96" s="4"/>
      <c r="FSS96" s="4"/>
      <c r="FST96" s="4"/>
      <c r="FSU96" s="4"/>
      <c r="FSV96" s="4"/>
      <c r="FSW96" s="4"/>
      <c r="FSX96" s="4"/>
      <c r="FSY96" s="4"/>
      <c r="FSZ96" s="4"/>
      <c r="FTA96" s="4"/>
      <c r="FTB96" s="4"/>
      <c r="FTC96" s="4"/>
      <c r="FTD96" s="4"/>
      <c r="FTE96" s="4"/>
      <c r="FTF96" s="4"/>
      <c r="FTG96" s="4"/>
      <c r="FTH96" s="4"/>
      <c r="FTI96" s="4"/>
      <c r="FTJ96" s="4"/>
      <c r="FTK96" s="4"/>
      <c r="FTL96" s="4"/>
      <c r="FTM96" s="4"/>
      <c r="FTN96" s="4"/>
      <c r="FTO96" s="4"/>
      <c r="FTP96" s="4"/>
      <c r="FTQ96" s="4"/>
      <c r="FTR96" s="4"/>
      <c r="FTS96" s="4"/>
      <c r="FTT96" s="4"/>
      <c r="FTU96" s="4"/>
      <c r="FTV96" s="4"/>
      <c r="FTW96" s="4"/>
      <c r="FTX96" s="4"/>
      <c r="FTY96" s="4"/>
      <c r="FTZ96" s="4"/>
      <c r="FUA96" s="4"/>
      <c r="FUB96" s="4"/>
      <c r="FUC96" s="4"/>
      <c r="FUD96" s="4"/>
      <c r="FUE96" s="4"/>
      <c r="FUF96" s="4"/>
      <c r="FUG96" s="4"/>
      <c r="FUH96" s="4"/>
      <c r="FUI96" s="4"/>
      <c r="FUJ96" s="4"/>
      <c r="FUK96" s="4"/>
      <c r="FUL96" s="4"/>
      <c r="FUM96" s="4"/>
      <c r="FUN96" s="4"/>
      <c r="FUO96" s="4"/>
      <c r="FUP96" s="4"/>
      <c r="FUQ96" s="4"/>
      <c r="FUR96" s="4"/>
      <c r="FUS96" s="4"/>
      <c r="FUT96" s="4"/>
      <c r="FUU96" s="4"/>
      <c r="FUV96" s="4"/>
      <c r="FUW96" s="4"/>
      <c r="FUX96" s="4"/>
      <c r="FUY96" s="4"/>
      <c r="FUZ96" s="4"/>
      <c r="FVA96" s="4"/>
      <c r="FVB96" s="4"/>
      <c r="FVC96" s="4"/>
      <c r="FVD96" s="4"/>
      <c r="FVE96" s="4"/>
      <c r="FVF96" s="4"/>
      <c r="FVG96" s="4"/>
      <c r="FVH96" s="4"/>
      <c r="FVI96" s="4"/>
      <c r="FVJ96" s="4"/>
      <c r="FVK96" s="4"/>
      <c r="FVL96" s="4"/>
      <c r="FVM96" s="4"/>
      <c r="FVN96" s="4"/>
      <c r="FVO96" s="4"/>
      <c r="FVP96" s="4"/>
      <c r="FVQ96" s="4"/>
      <c r="FVR96" s="4"/>
      <c r="FVS96" s="4"/>
      <c r="FVT96" s="4"/>
      <c r="FVU96" s="4"/>
      <c r="FVV96" s="4"/>
      <c r="FVW96" s="4"/>
      <c r="FVX96" s="4"/>
      <c r="FVY96" s="4"/>
      <c r="FVZ96" s="4"/>
      <c r="FWA96" s="4"/>
      <c r="FWB96" s="4"/>
      <c r="FWC96" s="4"/>
      <c r="FWD96" s="4"/>
      <c r="FWE96" s="4"/>
      <c r="FWF96" s="4"/>
      <c r="FWG96" s="4"/>
      <c r="FWH96" s="4"/>
      <c r="FWI96" s="4"/>
      <c r="FWJ96" s="4"/>
      <c r="FWK96" s="4"/>
      <c r="FWL96" s="4"/>
      <c r="FWM96" s="4"/>
      <c r="FWN96" s="4"/>
      <c r="FWO96" s="4"/>
      <c r="FWP96" s="4"/>
      <c r="FWQ96" s="4"/>
      <c r="FWR96" s="4"/>
      <c r="FWS96" s="4"/>
      <c r="FWT96" s="4"/>
      <c r="FWU96" s="4"/>
      <c r="FWV96" s="4"/>
      <c r="FWW96" s="4"/>
      <c r="FWX96" s="4"/>
      <c r="FWY96" s="4"/>
      <c r="FWZ96" s="4"/>
      <c r="FXA96" s="4"/>
      <c r="FXB96" s="4"/>
      <c r="FXC96" s="4"/>
      <c r="FXD96" s="4"/>
      <c r="FXE96" s="4"/>
      <c r="FXF96" s="4"/>
      <c r="FXG96" s="4"/>
      <c r="FXH96" s="4"/>
      <c r="FXI96" s="4"/>
      <c r="FXJ96" s="4"/>
      <c r="FXK96" s="4"/>
      <c r="FXL96" s="4"/>
      <c r="FXM96" s="4"/>
      <c r="FXN96" s="4"/>
      <c r="FXO96" s="4"/>
      <c r="FXP96" s="4"/>
      <c r="FXQ96" s="4"/>
      <c r="FXR96" s="4"/>
      <c r="FXS96" s="4"/>
      <c r="FXT96" s="4"/>
      <c r="FXU96" s="4"/>
      <c r="FXV96" s="4"/>
      <c r="FXW96" s="4"/>
      <c r="FXX96" s="4"/>
      <c r="FXY96" s="4"/>
      <c r="FXZ96" s="4"/>
      <c r="FYA96" s="4"/>
      <c r="FYB96" s="4"/>
      <c r="FYC96" s="4"/>
      <c r="FYD96" s="4"/>
      <c r="FYE96" s="4"/>
      <c r="FYF96" s="4"/>
      <c r="FYG96" s="4"/>
      <c r="FYH96" s="4"/>
      <c r="FYI96" s="4"/>
      <c r="FYJ96" s="4"/>
      <c r="FYK96" s="4"/>
      <c r="FYL96" s="4"/>
      <c r="FYM96" s="4"/>
      <c r="FYN96" s="4"/>
      <c r="FYO96" s="4"/>
      <c r="FYP96" s="4"/>
      <c r="FYQ96" s="4"/>
      <c r="FYR96" s="4"/>
      <c r="FYS96" s="4"/>
      <c r="FYT96" s="4"/>
      <c r="FYU96" s="4"/>
      <c r="FYV96" s="4"/>
      <c r="FYW96" s="4"/>
      <c r="FYX96" s="4"/>
      <c r="FYY96" s="4"/>
      <c r="FYZ96" s="4"/>
      <c r="FZA96" s="4"/>
      <c r="FZB96" s="4"/>
      <c r="FZC96" s="4"/>
      <c r="FZD96" s="4"/>
      <c r="FZE96" s="4"/>
      <c r="FZF96" s="4"/>
      <c r="FZG96" s="4"/>
      <c r="FZH96" s="4"/>
      <c r="FZI96" s="4"/>
      <c r="FZJ96" s="4"/>
      <c r="FZK96" s="4"/>
      <c r="FZL96" s="4"/>
      <c r="FZM96" s="4"/>
      <c r="FZN96" s="4"/>
      <c r="FZO96" s="4"/>
      <c r="FZP96" s="4"/>
      <c r="FZQ96" s="4"/>
      <c r="FZR96" s="4"/>
      <c r="FZS96" s="4"/>
      <c r="FZT96" s="4"/>
      <c r="FZU96" s="4"/>
      <c r="FZV96" s="4"/>
      <c r="FZW96" s="4"/>
      <c r="FZX96" s="4"/>
      <c r="FZY96" s="4"/>
      <c r="FZZ96" s="4"/>
      <c r="GAA96" s="4"/>
      <c r="GAB96" s="4"/>
      <c r="GAC96" s="4"/>
      <c r="GAD96" s="4"/>
      <c r="GAE96" s="4"/>
      <c r="GAF96" s="4"/>
      <c r="GAG96" s="4"/>
      <c r="GAH96" s="4"/>
      <c r="GAI96" s="4"/>
      <c r="GAJ96" s="4"/>
      <c r="GAK96" s="4"/>
      <c r="GAL96" s="4"/>
      <c r="GAM96" s="4"/>
      <c r="GAN96" s="4"/>
      <c r="GAO96" s="4"/>
      <c r="GAP96" s="4"/>
      <c r="GAQ96" s="4"/>
      <c r="GAR96" s="4"/>
      <c r="GAS96" s="4"/>
      <c r="GAT96" s="4"/>
      <c r="GAU96" s="4"/>
      <c r="GAV96" s="4"/>
      <c r="GAW96" s="4"/>
      <c r="GAX96" s="4"/>
      <c r="GAY96" s="4"/>
      <c r="GAZ96" s="4"/>
      <c r="GBA96" s="4"/>
      <c r="GBB96" s="4"/>
      <c r="GBC96" s="4"/>
      <c r="GBD96" s="4"/>
      <c r="GBE96" s="4"/>
      <c r="GBF96" s="4"/>
      <c r="GBG96" s="4"/>
      <c r="GBH96" s="4"/>
      <c r="GBI96" s="4"/>
      <c r="GBJ96" s="4"/>
      <c r="GBK96" s="4"/>
      <c r="GBL96" s="4"/>
      <c r="GBM96" s="4"/>
      <c r="GBN96" s="4"/>
      <c r="GBO96" s="4"/>
      <c r="GBP96" s="4"/>
      <c r="GBQ96" s="4"/>
      <c r="GBR96" s="4"/>
      <c r="GBS96" s="4"/>
      <c r="GBT96" s="4"/>
      <c r="GBU96" s="4"/>
      <c r="GBV96" s="4"/>
      <c r="GBW96" s="4"/>
      <c r="GBX96" s="4"/>
      <c r="GBY96" s="4"/>
      <c r="GBZ96" s="4"/>
      <c r="GCA96" s="4"/>
      <c r="GCB96" s="4"/>
      <c r="GCC96" s="4"/>
      <c r="GCD96" s="4"/>
      <c r="GCE96" s="4"/>
      <c r="GCF96" s="4"/>
      <c r="GCG96" s="4"/>
      <c r="GCH96" s="4"/>
      <c r="GCI96" s="4"/>
      <c r="GCJ96" s="4"/>
      <c r="GCK96" s="4"/>
      <c r="GCL96" s="4"/>
      <c r="GCM96" s="4"/>
      <c r="GCN96" s="4"/>
      <c r="GCO96" s="4"/>
      <c r="GCP96" s="4"/>
      <c r="GCQ96" s="4"/>
      <c r="GCR96" s="4"/>
      <c r="GCS96" s="4"/>
      <c r="GCT96" s="4"/>
      <c r="GCU96" s="4"/>
      <c r="GCV96" s="4"/>
      <c r="GCW96" s="4"/>
      <c r="GCX96" s="4"/>
      <c r="GCY96" s="4"/>
      <c r="GCZ96" s="4"/>
      <c r="GDA96" s="4"/>
      <c r="GDB96" s="4"/>
      <c r="GDC96" s="4"/>
      <c r="GDD96" s="4"/>
      <c r="GDE96" s="4"/>
      <c r="GDF96" s="4"/>
      <c r="GDG96" s="4"/>
      <c r="GDH96" s="4"/>
      <c r="GDI96" s="4"/>
      <c r="GDJ96" s="4"/>
      <c r="GDK96" s="4"/>
      <c r="GDL96" s="4"/>
      <c r="GDM96" s="4"/>
      <c r="GDN96" s="4"/>
      <c r="GDO96" s="4"/>
      <c r="GDP96" s="4"/>
      <c r="GDQ96" s="4"/>
      <c r="GDR96" s="4"/>
      <c r="GDS96" s="4"/>
      <c r="GDT96" s="4"/>
      <c r="GDU96" s="4"/>
      <c r="GDV96" s="4"/>
      <c r="GDW96" s="4"/>
      <c r="GDX96" s="4"/>
      <c r="GDY96" s="4"/>
      <c r="GDZ96" s="4"/>
      <c r="GEA96" s="4"/>
      <c r="GEB96" s="4"/>
      <c r="GEC96" s="4"/>
      <c r="GED96" s="4"/>
      <c r="GEE96" s="4"/>
      <c r="GEF96" s="4"/>
      <c r="GEG96" s="4"/>
      <c r="GEH96" s="4"/>
      <c r="GEI96" s="4"/>
      <c r="GEJ96" s="4"/>
      <c r="GEK96" s="4"/>
      <c r="GEL96" s="4"/>
      <c r="GEM96" s="4"/>
      <c r="GEN96" s="4"/>
      <c r="GEO96" s="4"/>
      <c r="GEP96" s="4"/>
      <c r="GEQ96" s="4"/>
      <c r="GER96" s="4"/>
      <c r="GES96" s="4"/>
      <c r="GET96" s="4"/>
      <c r="GEU96" s="4"/>
      <c r="GEV96" s="4"/>
      <c r="GEW96" s="4"/>
      <c r="GEX96" s="4"/>
      <c r="GEY96" s="4"/>
      <c r="GEZ96" s="4"/>
      <c r="GFA96" s="4"/>
      <c r="GFB96" s="4"/>
      <c r="GFC96" s="4"/>
      <c r="GFD96" s="4"/>
      <c r="GFE96" s="4"/>
      <c r="GFF96" s="4"/>
      <c r="GFG96" s="4"/>
      <c r="GFH96" s="4"/>
      <c r="GFI96" s="4"/>
      <c r="GFJ96" s="4"/>
      <c r="GFK96" s="4"/>
      <c r="GFL96" s="4"/>
      <c r="GFM96" s="4"/>
      <c r="GFN96" s="4"/>
      <c r="GFO96" s="4"/>
      <c r="GFP96" s="4"/>
      <c r="GFQ96" s="4"/>
      <c r="GFR96" s="4"/>
      <c r="GFS96" s="4"/>
      <c r="GFT96" s="4"/>
      <c r="GFU96" s="4"/>
      <c r="GFV96" s="4"/>
      <c r="GFW96" s="4"/>
      <c r="GFX96" s="4"/>
      <c r="GFY96" s="4"/>
      <c r="GFZ96" s="4"/>
      <c r="GGA96" s="4"/>
      <c r="GGB96" s="4"/>
      <c r="GGC96" s="4"/>
      <c r="GGD96" s="4"/>
      <c r="GGE96" s="4"/>
      <c r="GGF96" s="4"/>
      <c r="GGG96" s="4"/>
      <c r="GGH96" s="4"/>
      <c r="GGI96" s="4"/>
      <c r="GGJ96" s="4"/>
      <c r="GGK96" s="4"/>
      <c r="GGL96" s="4"/>
      <c r="GGM96" s="4"/>
      <c r="GGN96" s="4"/>
      <c r="GGO96" s="4"/>
      <c r="GGP96" s="4"/>
      <c r="GGQ96" s="4"/>
      <c r="GGR96" s="4"/>
      <c r="GGS96" s="4"/>
      <c r="GGT96" s="4"/>
      <c r="GGU96" s="4"/>
      <c r="GGV96" s="4"/>
      <c r="GGW96" s="4"/>
      <c r="GGX96" s="4"/>
      <c r="GGY96" s="4"/>
      <c r="GGZ96" s="4"/>
      <c r="GHA96" s="4"/>
      <c r="GHB96" s="4"/>
      <c r="GHC96" s="4"/>
      <c r="GHD96" s="4"/>
      <c r="GHE96" s="4"/>
      <c r="GHF96" s="4"/>
      <c r="GHG96" s="4"/>
      <c r="GHH96" s="4"/>
      <c r="GHI96" s="4"/>
      <c r="GHJ96" s="4"/>
      <c r="GHK96" s="4"/>
      <c r="GHL96" s="4"/>
      <c r="GHM96" s="4"/>
      <c r="GHN96" s="4"/>
      <c r="GHO96" s="4"/>
      <c r="GHP96" s="4"/>
      <c r="GHQ96" s="4"/>
      <c r="GHR96" s="4"/>
      <c r="GHS96" s="4"/>
      <c r="GHT96" s="4"/>
      <c r="GHU96" s="4"/>
      <c r="GHV96" s="4"/>
      <c r="GHW96" s="4"/>
      <c r="GHX96" s="4"/>
      <c r="GHY96" s="4"/>
      <c r="GHZ96" s="4"/>
      <c r="GIA96" s="4"/>
      <c r="GIB96" s="4"/>
      <c r="GIC96" s="4"/>
      <c r="GID96" s="4"/>
      <c r="GIE96" s="4"/>
      <c r="GIF96" s="4"/>
      <c r="GIG96" s="4"/>
      <c r="GIH96" s="4"/>
      <c r="GII96" s="4"/>
      <c r="GIJ96" s="4"/>
      <c r="GIK96" s="4"/>
      <c r="GIL96" s="4"/>
      <c r="GIM96" s="4"/>
      <c r="GIN96" s="4"/>
      <c r="GIO96" s="4"/>
      <c r="GIP96" s="4"/>
      <c r="GIQ96" s="4"/>
      <c r="GIR96" s="4"/>
      <c r="GIS96" s="4"/>
      <c r="GIT96" s="4"/>
      <c r="GIU96" s="4"/>
      <c r="GIV96" s="4"/>
      <c r="GIW96" s="4"/>
      <c r="GIX96" s="4"/>
      <c r="GIY96" s="4"/>
      <c r="GIZ96" s="4"/>
      <c r="GJA96" s="4"/>
      <c r="GJB96" s="4"/>
      <c r="GJC96" s="4"/>
      <c r="GJD96" s="4"/>
      <c r="GJE96" s="4"/>
      <c r="GJF96" s="4"/>
      <c r="GJG96" s="4"/>
      <c r="GJH96" s="4"/>
      <c r="GJI96" s="4"/>
      <c r="GJJ96" s="4"/>
      <c r="GJK96" s="4"/>
      <c r="GJL96" s="4"/>
      <c r="GJM96" s="4"/>
      <c r="GJN96" s="4"/>
      <c r="GJO96" s="4"/>
      <c r="GJP96" s="4"/>
      <c r="GJQ96" s="4"/>
      <c r="GJR96" s="4"/>
      <c r="GJS96" s="4"/>
      <c r="GJT96" s="4"/>
      <c r="GJU96" s="4"/>
      <c r="GJV96" s="4"/>
      <c r="GJW96" s="4"/>
      <c r="GJX96" s="4"/>
      <c r="GJY96" s="4"/>
      <c r="GJZ96" s="4"/>
      <c r="GKA96" s="4"/>
      <c r="GKB96" s="4"/>
      <c r="GKC96" s="4"/>
      <c r="GKD96" s="4"/>
      <c r="GKE96" s="4"/>
      <c r="GKF96" s="4"/>
      <c r="GKG96" s="4"/>
      <c r="GKH96" s="4"/>
      <c r="GKI96" s="4"/>
      <c r="GKJ96" s="4"/>
      <c r="GKK96" s="4"/>
      <c r="GKL96" s="4"/>
      <c r="GKM96" s="4"/>
      <c r="GKN96" s="4"/>
      <c r="GKO96" s="4"/>
      <c r="GKP96" s="4"/>
      <c r="GKQ96" s="4"/>
      <c r="GKR96" s="4"/>
      <c r="GKS96" s="4"/>
      <c r="GKT96" s="4"/>
      <c r="GKU96" s="4"/>
      <c r="GKV96" s="4"/>
      <c r="GKW96" s="4"/>
      <c r="GKX96" s="4"/>
      <c r="GKY96" s="4"/>
      <c r="GKZ96" s="4"/>
      <c r="GLA96" s="4"/>
      <c r="GLB96" s="4"/>
      <c r="GLC96" s="4"/>
      <c r="GLD96" s="4"/>
      <c r="GLE96" s="4"/>
      <c r="GLF96" s="4"/>
      <c r="GLG96" s="4"/>
      <c r="GLH96" s="4"/>
      <c r="GLI96" s="4"/>
      <c r="GLJ96" s="4"/>
      <c r="GLK96" s="4"/>
      <c r="GLL96" s="4"/>
      <c r="GLM96" s="4"/>
      <c r="GLN96" s="4"/>
      <c r="GLO96" s="4"/>
      <c r="GLP96" s="4"/>
      <c r="GLQ96" s="4"/>
      <c r="GLR96" s="4"/>
      <c r="GLS96" s="4"/>
      <c r="GLT96" s="4"/>
      <c r="GLU96" s="4"/>
      <c r="GLV96" s="4"/>
      <c r="GLW96" s="4"/>
      <c r="GLX96" s="4"/>
      <c r="GLY96" s="4"/>
      <c r="GLZ96" s="4"/>
      <c r="GMA96" s="4"/>
      <c r="GMB96" s="4"/>
      <c r="GMC96" s="4"/>
      <c r="GMD96" s="4"/>
      <c r="GME96" s="4"/>
      <c r="GMF96" s="4"/>
      <c r="GMG96" s="4"/>
      <c r="GMH96" s="4"/>
      <c r="GMI96" s="4"/>
      <c r="GMJ96" s="4"/>
      <c r="GMK96" s="4"/>
      <c r="GML96" s="4"/>
      <c r="GMM96" s="4"/>
      <c r="GMN96" s="4"/>
      <c r="GMO96" s="4"/>
      <c r="GMP96" s="4"/>
      <c r="GMQ96" s="4"/>
      <c r="GMR96" s="4"/>
      <c r="GMS96" s="4"/>
      <c r="GMT96" s="4"/>
      <c r="GMU96" s="4"/>
      <c r="GMV96" s="4"/>
      <c r="GMW96" s="4"/>
      <c r="GMX96" s="4"/>
      <c r="GMY96" s="4"/>
      <c r="GMZ96" s="4"/>
      <c r="GNA96" s="4"/>
      <c r="GNB96" s="4"/>
      <c r="GNC96" s="4"/>
      <c r="GND96" s="4"/>
      <c r="GNE96" s="4"/>
      <c r="GNF96" s="4"/>
      <c r="GNG96" s="4"/>
      <c r="GNH96" s="4"/>
      <c r="GNI96" s="4"/>
      <c r="GNJ96" s="4"/>
      <c r="GNK96" s="4"/>
      <c r="GNL96" s="4"/>
      <c r="GNM96" s="4"/>
      <c r="GNN96" s="4"/>
      <c r="GNO96" s="4"/>
      <c r="GNP96" s="4"/>
      <c r="GNQ96" s="4"/>
      <c r="GNR96" s="4"/>
      <c r="GNS96" s="4"/>
      <c r="GNT96" s="4"/>
      <c r="GNU96" s="4"/>
      <c r="GNV96" s="4"/>
      <c r="GNW96" s="4"/>
      <c r="GNX96" s="4"/>
      <c r="GNY96" s="4"/>
      <c r="GNZ96" s="4"/>
      <c r="GOA96" s="4"/>
      <c r="GOB96" s="4"/>
      <c r="GOC96" s="4"/>
      <c r="GOD96" s="4"/>
      <c r="GOE96" s="4"/>
      <c r="GOF96" s="4"/>
      <c r="GOG96" s="4"/>
      <c r="GOH96" s="4"/>
      <c r="GOI96" s="4"/>
      <c r="GOJ96" s="4"/>
      <c r="GOK96" s="4"/>
      <c r="GOL96" s="4"/>
      <c r="GOM96" s="4"/>
      <c r="GON96" s="4"/>
      <c r="GOO96" s="4"/>
      <c r="GOP96" s="4"/>
      <c r="GOQ96" s="4"/>
      <c r="GOR96" s="4"/>
      <c r="GOS96" s="4"/>
      <c r="GOT96" s="4"/>
      <c r="GOU96" s="4"/>
      <c r="GOV96" s="4"/>
      <c r="GOW96" s="4"/>
      <c r="GOX96" s="4"/>
      <c r="GOY96" s="4"/>
      <c r="GOZ96" s="4"/>
      <c r="GPA96" s="4"/>
      <c r="GPB96" s="4"/>
      <c r="GPC96" s="4"/>
      <c r="GPD96" s="4"/>
      <c r="GPE96" s="4"/>
      <c r="GPF96" s="4"/>
      <c r="GPG96" s="4"/>
      <c r="GPH96" s="4"/>
      <c r="GPI96" s="4"/>
      <c r="GPJ96" s="4"/>
      <c r="GPK96" s="4"/>
      <c r="GPL96" s="4"/>
      <c r="GPM96" s="4"/>
      <c r="GPN96" s="4"/>
      <c r="GPO96" s="4"/>
      <c r="GPP96" s="4"/>
      <c r="GPQ96" s="4"/>
      <c r="GPR96" s="4"/>
      <c r="GPS96" s="4"/>
      <c r="GPT96" s="4"/>
      <c r="GPU96" s="4"/>
      <c r="GPV96" s="4"/>
      <c r="GPW96" s="4"/>
      <c r="GPX96" s="4"/>
      <c r="GPY96" s="4"/>
      <c r="GPZ96" s="4"/>
      <c r="GQA96" s="4"/>
      <c r="GQB96" s="4"/>
      <c r="GQC96" s="4"/>
      <c r="GQD96" s="4"/>
      <c r="GQE96" s="4"/>
      <c r="GQF96" s="4"/>
      <c r="GQG96" s="4"/>
      <c r="GQH96" s="4"/>
      <c r="GQI96" s="4"/>
      <c r="GQJ96" s="4"/>
      <c r="GQK96" s="4"/>
      <c r="GQL96" s="4"/>
      <c r="GQM96" s="4"/>
      <c r="GQN96" s="4"/>
      <c r="GQO96" s="4"/>
      <c r="GQP96" s="4"/>
      <c r="GQQ96" s="4"/>
      <c r="GQR96" s="4"/>
      <c r="GQS96" s="4"/>
      <c r="GQT96" s="4"/>
      <c r="GQU96" s="4"/>
      <c r="GQV96" s="4"/>
      <c r="GQW96" s="4"/>
      <c r="GQX96" s="4"/>
      <c r="GQY96" s="4"/>
      <c r="GQZ96" s="4"/>
      <c r="GRA96" s="4"/>
      <c r="GRB96" s="4"/>
      <c r="GRC96" s="4"/>
      <c r="GRD96" s="4"/>
      <c r="GRE96" s="4"/>
      <c r="GRF96" s="4"/>
      <c r="GRG96" s="4"/>
      <c r="GRH96" s="4"/>
      <c r="GRI96" s="4"/>
      <c r="GRJ96" s="4"/>
      <c r="GRK96" s="4"/>
      <c r="GRL96" s="4"/>
      <c r="GRM96" s="4"/>
      <c r="GRN96" s="4"/>
      <c r="GRO96" s="4"/>
      <c r="GRP96" s="4"/>
      <c r="GRQ96" s="4"/>
      <c r="GRR96" s="4"/>
      <c r="GRS96" s="4"/>
      <c r="GRT96" s="4"/>
      <c r="GRU96" s="4"/>
      <c r="GRV96" s="4"/>
      <c r="GRW96" s="4"/>
      <c r="GRX96" s="4"/>
      <c r="GRY96" s="4"/>
      <c r="GRZ96" s="4"/>
      <c r="GSA96" s="4"/>
      <c r="GSB96" s="4"/>
      <c r="GSC96" s="4"/>
      <c r="GSD96" s="4"/>
      <c r="GSE96" s="4"/>
      <c r="GSF96" s="4"/>
      <c r="GSG96" s="4"/>
      <c r="GSH96" s="4"/>
      <c r="GSI96" s="4"/>
      <c r="GSJ96" s="4"/>
      <c r="GSK96" s="4"/>
      <c r="GSL96" s="4"/>
      <c r="GSM96" s="4"/>
      <c r="GSN96" s="4"/>
      <c r="GSO96" s="4"/>
      <c r="GSP96" s="4"/>
      <c r="GSQ96" s="4"/>
      <c r="GSR96" s="4"/>
      <c r="GSS96" s="4"/>
      <c r="GST96" s="4"/>
      <c r="GSU96" s="4"/>
      <c r="GSV96" s="4"/>
      <c r="GSW96" s="4"/>
      <c r="GSX96" s="4"/>
      <c r="GSY96" s="4"/>
      <c r="GSZ96" s="4"/>
      <c r="GTA96" s="4"/>
      <c r="GTB96" s="4"/>
      <c r="GTC96" s="4"/>
      <c r="GTD96" s="4"/>
      <c r="GTE96" s="4"/>
      <c r="GTF96" s="4"/>
      <c r="GTG96" s="4"/>
      <c r="GTH96" s="4"/>
      <c r="GTI96" s="4"/>
      <c r="GTJ96" s="4"/>
      <c r="GTK96" s="4"/>
      <c r="GTL96" s="4"/>
      <c r="GTM96" s="4"/>
      <c r="GTN96" s="4"/>
      <c r="GTO96" s="4"/>
      <c r="GTP96" s="4"/>
      <c r="GTQ96" s="4"/>
      <c r="GTR96" s="4"/>
      <c r="GTS96" s="4"/>
      <c r="GTT96" s="4"/>
      <c r="GTU96" s="4"/>
      <c r="GTV96" s="4"/>
      <c r="GTW96" s="4"/>
      <c r="GTX96" s="4"/>
      <c r="GTY96" s="4"/>
      <c r="GTZ96" s="4"/>
      <c r="GUA96" s="4"/>
      <c r="GUB96" s="4"/>
      <c r="GUC96" s="4"/>
      <c r="GUD96" s="4"/>
      <c r="GUE96" s="4"/>
      <c r="GUF96" s="4"/>
      <c r="GUG96" s="4"/>
      <c r="GUH96" s="4"/>
      <c r="GUI96" s="4"/>
      <c r="GUJ96" s="4"/>
      <c r="GUK96" s="4"/>
      <c r="GUL96" s="4"/>
      <c r="GUM96" s="4"/>
      <c r="GUN96" s="4"/>
      <c r="GUO96" s="4"/>
      <c r="GUP96" s="4"/>
      <c r="GUQ96" s="4"/>
      <c r="GUR96" s="4"/>
      <c r="GUS96" s="4"/>
      <c r="GUT96" s="4"/>
      <c r="GUU96" s="4"/>
      <c r="GUV96" s="4"/>
      <c r="GUW96" s="4"/>
      <c r="GUX96" s="4"/>
      <c r="GUY96" s="4"/>
      <c r="GUZ96" s="4"/>
      <c r="GVA96" s="4"/>
      <c r="GVB96" s="4"/>
      <c r="GVC96" s="4"/>
      <c r="GVD96" s="4"/>
      <c r="GVE96" s="4"/>
      <c r="GVF96" s="4"/>
      <c r="GVG96" s="4"/>
      <c r="GVH96" s="4"/>
      <c r="GVI96" s="4"/>
      <c r="GVJ96" s="4"/>
      <c r="GVK96" s="4"/>
      <c r="GVL96" s="4"/>
      <c r="GVM96" s="4"/>
      <c r="GVN96" s="4"/>
      <c r="GVO96" s="4"/>
      <c r="GVP96" s="4"/>
      <c r="GVQ96" s="4"/>
      <c r="GVR96" s="4"/>
      <c r="GVS96" s="4"/>
      <c r="GVT96" s="4"/>
      <c r="GVU96" s="4"/>
      <c r="GVV96" s="4"/>
      <c r="GVW96" s="4"/>
      <c r="GVX96" s="4"/>
      <c r="GVY96" s="4"/>
      <c r="GVZ96" s="4"/>
      <c r="GWA96" s="4"/>
      <c r="GWB96" s="4"/>
      <c r="GWC96" s="4"/>
      <c r="GWD96" s="4"/>
      <c r="GWE96" s="4"/>
      <c r="GWF96" s="4"/>
      <c r="GWG96" s="4"/>
      <c r="GWH96" s="4"/>
      <c r="GWI96" s="4"/>
      <c r="GWJ96" s="4"/>
      <c r="GWK96" s="4"/>
      <c r="GWL96" s="4"/>
      <c r="GWM96" s="4"/>
      <c r="GWN96" s="4"/>
      <c r="GWO96" s="4"/>
      <c r="GWP96" s="4"/>
      <c r="GWQ96" s="4"/>
      <c r="GWR96" s="4"/>
      <c r="GWS96" s="4"/>
      <c r="GWT96" s="4"/>
      <c r="GWU96" s="4"/>
      <c r="GWV96" s="4"/>
      <c r="GWW96" s="4"/>
      <c r="GWX96" s="4"/>
      <c r="GWY96" s="4"/>
      <c r="GWZ96" s="4"/>
      <c r="GXA96" s="4"/>
      <c r="GXB96" s="4"/>
      <c r="GXC96" s="4"/>
      <c r="GXD96" s="4"/>
      <c r="GXE96" s="4"/>
      <c r="GXF96" s="4"/>
      <c r="GXG96" s="4"/>
      <c r="GXH96" s="4"/>
      <c r="GXI96" s="4"/>
      <c r="GXJ96" s="4"/>
      <c r="GXK96" s="4"/>
      <c r="GXL96" s="4"/>
      <c r="GXM96" s="4"/>
      <c r="GXN96" s="4"/>
      <c r="GXO96" s="4"/>
      <c r="GXP96" s="4"/>
      <c r="GXQ96" s="4"/>
      <c r="GXR96" s="4"/>
      <c r="GXS96" s="4"/>
      <c r="GXT96" s="4"/>
      <c r="GXU96" s="4"/>
      <c r="GXV96" s="4"/>
      <c r="GXW96" s="4"/>
      <c r="GXX96" s="4"/>
      <c r="GXY96" s="4"/>
      <c r="GXZ96" s="4"/>
      <c r="GYA96" s="4"/>
      <c r="GYB96" s="4"/>
      <c r="GYC96" s="4"/>
      <c r="GYD96" s="4"/>
      <c r="GYE96" s="4"/>
      <c r="GYF96" s="4"/>
      <c r="GYG96" s="4"/>
      <c r="GYH96" s="4"/>
      <c r="GYI96" s="4"/>
      <c r="GYJ96" s="4"/>
      <c r="GYK96" s="4"/>
      <c r="GYL96" s="4"/>
      <c r="GYM96" s="4"/>
      <c r="GYN96" s="4"/>
      <c r="GYO96" s="4"/>
      <c r="GYP96" s="4"/>
      <c r="GYQ96" s="4"/>
      <c r="GYR96" s="4"/>
      <c r="GYS96" s="4"/>
      <c r="GYT96" s="4"/>
      <c r="GYU96" s="4"/>
      <c r="GYV96" s="4"/>
      <c r="GYW96" s="4"/>
      <c r="GYX96" s="4"/>
      <c r="GYY96" s="4"/>
      <c r="GYZ96" s="4"/>
      <c r="GZA96" s="4"/>
      <c r="GZB96" s="4"/>
      <c r="GZC96" s="4"/>
      <c r="GZD96" s="4"/>
      <c r="GZE96" s="4"/>
      <c r="GZF96" s="4"/>
      <c r="GZG96" s="4"/>
      <c r="GZH96" s="4"/>
      <c r="GZI96" s="4"/>
      <c r="GZJ96" s="4"/>
      <c r="GZK96" s="4"/>
      <c r="GZL96" s="4"/>
      <c r="GZM96" s="4"/>
      <c r="GZN96" s="4"/>
      <c r="GZO96" s="4"/>
      <c r="GZP96" s="4"/>
      <c r="GZQ96" s="4"/>
      <c r="GZR96" s="4"/>
      <c r="GZS96" s="4"/>
      <c r="GZT96" s="4"/>
      <c r="GZU96" s="4"/>
      <c r="GZV96" s="4"/>
      <c r="GZW96" s="4"/>
      <c r="GZX96" s="4"/>
      <c r="GZY96" s="4"/>
      <c r="GZZ96" s="4"/>
      <c r="HAA96" s="4"/>
      <c r="HAB96" s="4"/>
      <c r="HAC96" s="4"/>
      <c r="HAD96" s="4"/>
      <c r="HAE96" s="4"/>
      <c r="HAF96" s="4"/>
      <c r="HAG96" s="4"/>
      <c r="HAH96" s="4"/>
      <c r="HAI96" s="4"/>
      <c r="HAJ96" s="4"/>
      <c r="HAK96" s="4"/>
      <c r="HAL96" s="4"/>
      <c r="HAM96" s="4"/>
      <c r="HAN96" s="4"/>
      <c r="HAO96" s="4"/>
      <c r="HAP96" s="4"/>
      <c r="HAQ96" s="4"/>
      <c r="HAR96" s="4"/>
      <c r="HAS96" s="4"/>
      <c r="HAT96" s="4"/>
      <c r="HAU96" s="4"/>
      <c r="HAV96" s="4"/>
      <c r="HAW96" s="4"/>
      <c r="HAX96" s="4"/>
      <c r="HAY96" s="4"/>
      <c r="HAZ96" s="4"/>
      <c r="HBA96" s="4"/>
      <c r="HBB96" s="4"/>
      <c r="HBC96" s="4"/>
      <c r="HBD96" s="4"/>
      <c r="HBE96" s="4"/>
      <c r="HBF96" s="4"/>
      <c r="HBG96" s="4"/>
      <c r="HBH96" s="4"/>
      <c r="HBI96" s="4"/>
      <c r="HBJ96" s="4"/>
      <c r="HBK96" s="4"/>
      <c r="HBL96" s="4"/>
      <c r="HBM96" s="4"/>
      <c r="HBN96" s="4"/>
      <c r="HBO96" s="4"/>
      <c r="HBP96" s="4"/>
      <c r="HBQ96" s="4"/>
      <c r="HBR96" s="4"/>
      <c r="HBS96" s="4"/>
      <c r="HBT96" s="4"/>
      <c r="HBU96" s="4"/>
      <c r="HBV96" s="4"/>
      <c r="HBW96" s="4"/>
      <c r="HBX96" s="4"/>
      <c r="HBY96" s="4"/>
      <c r="HBZ96" s="4"/>
      <c r="HCA96" s="4"/>
      <c r="HCB96" s="4"/>
      <c r="HCC96" s="4"/>
      <c r="HCD96" s="4"/>
      <c r="HCE96" s="4"/>
      <c r="HCF96" s="4"/>
      <c r="HCG96" s="4"/>
      <c r="HCH96" s="4"/>
      <c r="HCI96" s="4"/>
      <c r="HCJ96" s="4"/>
      <c r="HCK96" s="4"/>
      <c r="HCL96" s="4"/>
      <c r="HCM96" s="4"/>
      <c r="HCN96" s="4"/>
      <c r="HCO96" s="4"/>
      <c r="HCP96" s="4"/>
      <c r="HCQ96" s="4"/>
      <c r="HCR96" s="4"/>
      <c r="HCS96" s="4"/>
      <c r="HCT96" s="4"/>
      <c r="HCU96" s="4"/>
      <c r="HCV96" s="4"/>
      <c r="HCW96" s="4"/>
      <c r="HCX96" s="4"/>
      <c r="HCY96" s="4"/>
      <c r="HCZ96" s="4"/>
      <c r="HDA96" s="4"/>
      <c r="HDB96" s="4"/>
      <c r="HDC96" s="4"/>
      <c r="HDD96" s="4"/>
      <c r="HDE96" s="4"/>
      <c r="HDF96" s="4"/>
      <c r="HDG96" s="4"/>
      <c r="HDH96" s="4"/>
      <c r="HDI96" s="4"/>
      <c r="HDJ96" s="4"/>
      <c r="HDK96" s="4"/>
      <c r="HDL96" s="4"/>
      <c r="HDM96" s="4"/>
      <c r="HDN96" s="4"/>
      <c r="HDO96" s="4"/>
      <c r="HDP96" s="4"/>
      <c r="HDQ96" s="4"/>
      <c r="HDR96" s="4"/>
      <c r="HDS96" s="4"/>
      <c r="HDT96" s="4"/>
      <c r="HDU96" s="4"/>
      <c r="HDV96" s="4"/>
      <c r="HDW96" s="4"/>
      <c r="HDX96" s="4"/>
      <c r="HDY96" s="4"/>
      <c r="HDZ96" s="4"/>
      <c r="HEA96" s="4"/>
      <c r="HEB96" s="4"/>
      <c r="HEC96" s="4"/>
      <c r="HED96" s="4"/>
      <c r="HEE96" s="4"/>
      <c r="HEF96" s="4"/>
      <c r="HEG96" s="4"/>
      <c r="HEH96" s="4"/>
      <c r="HEI96" s="4"/>
      <c r="HEJ96" s="4"/>
      <c r="HEK96" s="4"/>
      <c r="HEL96" s="4"/>
      <c r="HEM96" s="4"/>
      <c r="HEN96" s="4"/>
      <c r="HEO96" s="4"/>
      <c r="HEP96" s="4"/>
      <c r="HEQ96" s="4"/>
      <c r="HER96" s="4"/>
      <c r="HES96" s="4"/>
      <c r="HET96" s="4"/>
      <c r="HEU96" s="4"/>
      <c r="HEV96" s="4"/>
      <c r="HEW96" s="4"/>
      <c r="HEX96" s="4"/>
      <c r="HEY96" s="4"/>
      <c r="HEZ96" s="4"/>
      <c r="HFA96" s="4"/>
      <c r="HFB96" s="4"/>
      <c r="HFC96" s="4"/>
      <c r="HFD96" s="4"/>
      <c r="HFE96" s="4"/>
      <c r="HFF96" s="4"/>
      <c r="HFG96" s="4"/>
      <c r="HFH96" s="4"/>
      <c r="HFI96" s="4"/>
      <c r="HFJ96" s="4"/>
      <c r="HFK96" s="4"/>
      <c r="HFL96" s="4"/>
      <c r="HFM96" s="4"/>
      <c r="HFN96" s="4"/>
      <c r="HFO96" s="4"/>
      <c r="HFP96" s="4"/>
      <c r="HFQ96" s="4"/>
      <c r="HFR96" s="4"/>
      <c r="HFS96" s="4"/>
      <c r="HFT96" s="4"/>
      <c r="HFU96" s="4"/>
      <c r="HFV96" s="4"/>
      <c r="HFW96" s="4"/>
      <c r="HFX96" s="4"/>
      <c r="HFY96" s="4"/>
      <c r="HFZ96" s="4"/>
      <c r="HGA96" s="4"/>
      <c r="HGB96" s="4"/>
      <c r="HGC96" s="4"/>
      <c r="HGD96" s="4"/>
      <c r="HGE96" s="4"/>
      <c r="HGF96" s="4"/>
      <c r="HGG96" s="4"/>
      <c r="HGH96" s="4"/>
      <c r="HGI96" s="4"/>
      <c r="HGJ96" s="4"/>
      <c r="HGK96" s="4"/>
      <c r="HGL96" s="4"/>
      <c r="HGM96" s="4"/>
      <c r="HGN96" s="4"/>
      <c r="HGO96" s="4"/>
      <c r="HGP96" s="4"/>
      <c r="HGQ96" s="4"/>
      <c r="HGR96" s="4"/>
      <c r="HGS96" s="4"/>
      <c r="HGT96" s="4"/>
      <c r="HGU96" s="4"/>
      <c r="HGV96" s="4"/>
      <c r="HGW96" s="4"/>
      <c r="HGX96" s="4"/>
      <c r="HGY96" s="4"/>
      <c r="HGZ96" s="4"/>
      <c r="HHA96" s="4"/>
      <c r="HHB96" s="4"/>
      <c r="HHC96" s="4"/>
      <c r="HHD96" s="4"/>
      <c r="HHE96" s="4"/>
      <c r="HHF96" s="4"/>
      <c r="HHG96" s="4"/>
      <c r="HHH96" s="4"/>
      <c r="HHI96" s="4"/>
      <c r="HHJ96" s="4"/>
      <c r="HHK96" s="4"/>
      <c r="HHL96" s="4"/>
      <c r="HHM96" s="4"/>
      <c r="HHN96" s="4"/>
      <c r="HHO96" s="4"/>
      <c r="HHP96" s="4"/>
      <c r="HHQ96" s="4"/>
      <c r="HHR96" s="4"/>
      <c r="HHS96" s="4"/>
      <c r="HHT96" s="4"/>
      <c r="HHU96" s="4"/>
      <c r="HHV96" s="4"/>
      <c r="HHW96" s="4"/>
      <c r="HHX96" s="4"/>
      <c r="HHY96" s="4"/>
      <c r="HHZ96" s="4"/>
      <c r="HIA96" s="4"/>
      <c r="HIB96" s="4"/>
      <c r="HIC96" s="4"/>
      <c r="HID96" s="4"/>
      <c r="HIE96" s="4"/>
      <c r="HIF96" s="4"/>
      <c r="HIG96" s="4"/>
      <c r="HIH96" s="4"/>
      <c r="HII96" s="4"/>
      <c r="HIJ96" s="4"/>
      <c r="HIK96" s="4"/>
      <c r="HIL96" s="4"/>
      <c r="HIM96" s="4"/>
      <c r="HIN96" s="4"/>
      <c r="HIO96" s="4"/>
      <c r="HIP96" s="4"/>
      <c r="HIQ96" s="4"/>
      <c r="HIR96" s="4"/>
      <c r="HIS96" s="4"/>
      <c r="HIT96" s="4"/>
      <c r="HIU96" s="4"/>
      <c r="HIV96" s="4"/>
      <c r="HIW96" s="4"/>
      <c r="HIX96" s="4"/>
      <c r="HIY96" s="4"/>
      <c r="HIZ96" s="4"/>
      <c r="HJA96" s="4"/>
      <c r="HJB96" s="4"/>
      <c r="HJC96" s="4"/>
      <c r="HJD96" s="4"/>
      <c r="HJE96" s="4"/>
      <c r="HJF96" s="4"/>
      <c r="HJG96" s="4"/>
      <c r="HJH96" s="4"/>
      <c r="HJI96" s="4"/>
      <c r="HJJ96" s="4"/>
      <c r="HJK96" s="4"/>
      <c r="HJL96" s="4"/>
      <c r="HJM96" s="4"/>
      <c r="HJN96" s="4"/>
      <c r="HJO96" s="4"/>
      <c r="HJP96" s="4"/>
      <c r="HJQ96" s="4"/>
      <c r="HJR96" s="4"/>
      <c r="HJS96" s="4"/>
      <c r="HJT96" s="4"/>
      <c r="HJU96" s="4"/>
      <c r="HJV96" s="4"/>
      <c r="HJW96" s="4"/>
      <c r="HJX96" s="4"/>
      <c r="HJY96" s="4"/>
      <c r="HJZ96" s="4"/>
      <c r="HKA96" s="4"/>
      <c r="HKB96" s="4"/>
      <c r="HKC96" s="4"/>
      <c r="HKD96" s="4"/>
      <c r="HKE96" s="4"/>
      <c r="HKF96" s="4"/>
      <c r="HKG96" s="4"/>
      <c r="HKH96" s="4"/>
      <c r="HKI96" s="4"/>
      <c r="HKJ96" s="4"/>
      <c r="HKK96" s="4"/>
      <c r="HKL96" s="4"/>
      <c r="HKM96" s="4"/>
      <c r="HKN96" s="4"/>
      <c r="HKO96" s="4"/>
      <c r="HKP96" s="4"/>
      <c r="HKQ96" s="4"/>
      <c r="HKR96" s="4"/>
      <c r="HKS96" s="4"/>
      <c r="HKT96" s="4"/>
      <c r="HKU96" s="4"/>
      <c r="HKV96" s="4"/>
      <c r="HKW96" s="4"/>
      <c r="HKX96" s="4"/>
      <c r="HKY96" s="4"/>
      <c r="HKZ96" s="4"/>
      <c r="HLA96" s="4"/>
      <c r="HLB96" s="4"/>
      <c r="HLC96" s="4"/>
      <c r="HLD96" s="4"/>
      <c r="HLE96" s="4"/>
      <c r="HLF96" s="4"/>
      <c r="HLG96" s="4"/>
      <c r="HLH96" s="4"/>
      <c r="HLI96" s="4"/>
      <c r="HLJ96" s="4"/>
      <c r="HLK96" s="4"/>
      <c r="HLL96" s="4"/>
      <c r="HLM96" s="4"/>
      <c r="HLN96" s="4"/>
      <c r="HLO96" s="4"/>
      <c r="HLP96" s="4"/>
      <c r="HLQ96" s="4"/>
      <c r="HLR96" s="4"/>
      <c r="HLS96" s="4"/>
      <c r="HLT96" s="4"/>
      <c r="HLU96" s="4"/>
      <c r="HLV96" s="4"/>
      <c r="HLW96" s="4"/>
      <c r="HLX96" s="4"/>
      <c r="HLY96" s="4"/>
      <c r="HLZ96" s="4"/>
      <c r="HMA96" s="4"/>
      <c r="HMB96" s="4"/>
      <c r="HMC96" s="4"/>
      <c r="HMD96" s="4"/>
      <c r="HME96" s="4"/>
      <c r="HMF96" s="4"/>
      <c r="HMG96" s="4"/>
      <c r="HMH96" s="4"/>
      <c r="HMI96" s="4"/>
      <c r="HMJ96" s="4"/>
      <c r="HMK96" s="4"/>
      <c r="HML96" s="4"/>
      <c r="HMM96" s="4"/>
      <c r="HMN96" s="4"/>
      <c r="HMO96" s="4"/>
      <c r="HMP96" s="4"/>
      <c r="HMQ96" s="4"/>
      <c r="HMR96" s="4"/>
      <c r="HMS96" s="4"/>
      <c r="HMT96" s="4"/>
      <c r="HMU96" s="4"/>
      <c r="HMV96" s="4"/>
      <c r="HMW96" s="4"/>
      <c r="HMX96" s="4"/>
      <c r="HMY96" s="4"/>
      <c r="HMZ96" s="4"/>
      <c r="HNA96" s="4"/>
      <c r="HNB96" s="4"/>
      <c r="HNC96" s="4"/>
      <c r="HND96" s="4"/>
      <c r="HNE96" s="4"/>
      <c r="HNF96" s="4"/>
      <c r="HNG96" s="4"/>
      <c r="HNH96" s="4"/>
      <c r="HNI96" s="4"/>
      <c r="HNJ96" s="4"/>
      <c r="HNK96" s="4"/>
      <c r="HNL96" s="4"/>
      <c r="HNM96" s="4"/>
      <c r="HNN96" s="4"/>
      <c r="HNO96" s="4"/>
      <c r="HNP96" s="4"/>
      <c r="HNQ96" s="4"/>
      <c r="HNR96" s="4"/>
      <c r="HNS96" s="4"/>
      <c r="HNT96" s="4"/>
      <c r="HNU96" s="4"/>
      <c r="HNV96" s="4"/>
      <c r="HNW96" s="4"/>
      <c r="HNX96" s="4"/>
      <c r="HNY96" s="4"/>
      <c r="HNZ96" s="4"/>
      <c r="HOA96" s="4"/>
      <c r="HOB96" s="4"/>
      <c r="HOC96" s="4"/>
      <c r="HOD96" s="4"/>
      <c r="HOE96" s="4"/>
      <c r="HOF96" s="4"/>
      <c r="HOG96" s="4"/>
      <c r="HOH96" s="4"/>
      <c r="HOI96" s="4"/>
      <c r="HOJ96" s="4"/>
      <c r="HOK96" s="4"/>
      <c r="HOL96" s="4"/>
      <c r="HOM96" s="4"/>
      <c r="HON96" s="4"/>
      <c r="HOO96" s="4"/>
      <c r="HOP96" s="4"/>
      <c r="HOQ96" s="4"/>
      <c r="HOR96" s="4"/>
      <c r="HOS96" s="4"/>
      <c r="HOT96" s="4"/>
      <c r="HOU96" s="4"/>
      <c r="HOV96" s="4"/>
      <c r="HOW96" s="4"/>
      <c r="HOX96" s="4"/>
      <c r="HOY96" s="4"/>
      <c r="HOZ96" s="4"/>
      <c r="HPA96" s="4"/>
      <c r="HPB96" s="4"/>
      <c r="HPC96" s="4"/>
      <c r="HPD96" s="4"/>
      <c r="HPE96" s="4"/>
      <c r="HPF96" s="4"/>
      <c r="HPG96" s="4"/>
      <c r="HPH96" s="4"/>
      <c r="HPI96" s="4"/>
      <c r="HPJ96" s="4"/>
      <c r="HPK96" s="4"/>
      <c r="HPL96" s="4"/>
      <c r="HPM96" s="4"/>
      <c r="HPN96" s="4"/>
      <c r="HPO96" s="4"/>
      <c r="HPP96" s="4"/>
      <c r="HPQ96" s="4"/>
      <c r="HPR96" s="4"/>
      <c r="HPS96" s="4"/>
      <c r="HPT96" s="4"/>
      <c r="HPU96" s="4"/>
      <c r="HPV96" s="4"/>
      <c r="HPW96" s="4"/>
      <c r="HPX96" s="4"/>
      <c r="HPY96" s="4"/>
      <c r="HPZ96" s="4"/>
      <c r="HQA96" s="4"/>
      <c r="HQB96" s="4"/>
      <c r="HQC96" s="4"/>
      <c r="HQD96" s="4"/>
      <c r="HQE96" s="4"/>
      <c r="HQF96" s="4"/>
      <c r="HQG96" s="4"/>
      <c r="HQH96" s="4"/>
      <c r="HQI96" s="4"/>
      <c r="HQJ96" s="4"/>
      <c r="HQK96" s="4"/>
      <c r="HQL96" s="4"/>
      <c r="HQM96" s="4"/>
      <c r="HQN96" s="4"/>
      <c r="HQO96" s="4"/>
      <c r="HQP96" s="4"/>
      <c r="HQQ96" s="4"/>
      <c r="HQR96" s="4"/>
      <c r="HQS96" s="4"/>
      <c r="HQT96" s="4"/>
      <c r="HQU96" s="4"/>
      <c r="HQV96" s="4"/>
      <c r="HQW96" s="4"/>
      <c r="HQX96" s="4"/>
      <c r="HQY96" s="4"/>
      <c r="HQZ96" s="4"/>
      <c r="HRA96" s="4"/>
      <c r="HRB96" s="4"/>
      <c r="HRC96" s="4"/>
      <c r="HRD96" s="4"/>
      <c r="HRE96" s="4"/>
      <c r="HRF96" s="4"/>
      <c r="HRG96" s="4"/>
      <c r="HRH96" s="4"/>
      <c r="HRI96" s="4"/>
      <c r="HRJ96" s="4"/>
      <c r="HRK96" s="4"/>
      <c r="HRL96" s="4"/>
      <c r="HRM96" s="4"/>
      <c r="HRN96" s="4"/>
      <c r="HRO96" s="4"/>
      <c r="HRP96" s="4"/>
      <c r="HRQ96" s="4"/>
      <c r="HRR96" s="4"/>
      <c r="HRS96" s="4"/>
      <c r="HRT96" s="4"/>
      <c r="HRU96" s="4"/>
      <c r="HRV96" s="4"/>
      <c r="HRW96" s="4"/>
      <c r="HRX96" s="4"/>
      <c r="HRY96" s="4"/>
      <c r="HRZ96" s="4"/>
      <c r="HSA96" s="4"/>
      <c r="HSB96" s="4"/>
      <c r="HSC96" s="4"/>
      <c r="HSD96" s="4"/>
      <c r="HSE96" s="4"/>
      <c r="HSF96" s="4"/>
      <c r="HSG96" s="4"/>
      <c r="HSH96" s="4"/>
      <c r="HSI96" s="4"/>
      <c r="HSJ96" s="4"/>
      <c r="HSK96" s="4"/>
      <c r="HSL96" s="4"/>
      <c r="HSM96" s="4"/>
      <c r="HSN96" s="4"/>
      <c r="HSO96" s="4"/>
      <c r="HSP96" s="4"/>
      <c r="HSQ96" s="4"/>
      <c r="HSR96" s="4"/>
      <c r="HSS96" s="4"/>
      <c r="HST96" s="4"/>
      <c r="HSU96" s="4"/>
      <c r="HSV96" s="4"/>
      <c r="HSW96" s="4"/>
      <c r="HSX96" s="4"/>
      <c r="HSY96" s="4"/>
      <c r="HSZ96" s="4"/>
      <c r="HTA96" s="4"/>
      <c r="HTB96" s="4"/>
      <c r="HTC96" s="4"/>
      <c r="HTD96" s="4"/>
      <c r="HTE96" s="4"/>
      <c r="HTF96" s="4"/>
      <c r="HTG96" s="4"/>
      <c r="HTH96" s="4"/>
      <c r="HTI96" s="4"/>
      <c r="HTJ96" s="4"/>
      <c r="HTK96" s="4"/>
      <c r="HTL96" s="4"/>
      <c r="HTM96" s="4"/>
      <c r="HTN96" s="4"/>
      <c r="HTO96" s="4"/>
      <c r="HTP96" s="4"/>
      <c r="HTQ96" s="4"/>
      <c r="HTR96" s="4"/>
      <c r="HTS96" s="4"/>
      <c r="HTT96" s="4"/>
      <c r="HTU96" s="4"/>
      <c r="HTV96" s="4"/>
      <c r="HTW96" s="4"/>
      <c r="HTX96" s="4"/>
      <c r="HTY96" s="4"/>
      <c r="HTZ96" s="4"/>
      <c r="HUA96" s="4"/>
      <c r="HUB96" s="4"/>
      <c r="HUC96" s="4"/>
      <c r="HUD96" s="4"/>
      <c r="HUE96" s="4"/>
      <c r="HUF96" s="4"/>
      <c r="HUG96" s="4"/>
      <c r="HUH96" s="4"/>
      <c r="HUI96" s="4"/>
      <c r="HUJ96" s="4"/>
      <c r="HUK96" s="4"/>
      <c r="HUL96" s="4"/>
      <c r="HUM96" s="4"/>
      <c r="HUN96" s="4"/>
      <c r="HUO96" s="4"/>
      <c r="HUP96" s="4"/>
      <c r="HUQ96" s="4"/>
      <c r="HUR96" s="4"/>
      <c r="HUS96" s="4"/>
      <c r="HUT96" s="4"/>
      <c r="HUU96" s="4"/>
      <c r="HUV96" s="4"/>
      <c r="HUW96" s="4"/>
      <c r="HUX96" s="4"/>
      <c r="HUY96" s="4"/>
      <c r="HUZ96" s="4"/>
      <c r="HVA96" s="4"/>
      <c r="HVB96" s="4"/>
      <c r="HVC96" s="4"/>
      <c r="HVD96" s="4"/>
      <c r="HVE96" s="4"/>
      <c r="HVF96" s="4"/>
      <c r="HVG96" s="4"/>
      <c r="HVH96" s="4"/>
      <c r="HVI96" s="4"/>
      <c r="HVJ96" s="4"/>
      <c r="HVK96" s="4"/>
      <c r="HVL96" s="4"/>
      <c r="HVM96" s="4"/>
      <c r="HVN96" s="4"/>
      <c r="HVO96" s="4"/>
      <c r="HVP96" s="4"/>
      <c r="HVQ96" s="4"/>
      <c r="HVR96" s="4"/>
      <c r="HVS96" s="4"/>
      <c r="HVT96" s="4"/>
      <c r="HVU96" s="4"/>
      <c r="HVV96" s="4"/>
      <c r="HVW96" s="4"/>
      <c r="HVX96" s="4"/>
      <c r="HVY96" s="4"/>
      <c r="HVZ96" s="4"/>
      <c r="HWA96" s="4"/>
      <c r="HWB96" s="4"/>
      <c r="HWC96" s="4"/>
      <c r="HWD96" s="4"/>
      <c r="HWE96" s="4"/>
      <c r="HWF96" s="4"/>
      <c r="HWG96" s="4"/>
      <c r="HWH96" s="4"/>
      <c r="HWI96" s="4"/>
      <c r="HWJ96" s="4"/>
      <c r="HWK96" s="4"/>
      <c r="HWL96" s="4"/>
      <c r="HWM96" s="4"/>
      <c r="HWN96" s="4"/>
      <c r="HWO96" s="4"/>
      <c r="HWP96" s="4"/>
      <c r="HWQ96" s="4"/>
      <c r="HWR96" s="4"/>
      <c r="HWS96" s="4"/>
      <c r="HWT96" s="4"/>
      <c r="HWU96" s="4"/>
      <c r="HWV96" s="4"/>
      <c r="HWW96" s="4"/>
      <c r="HWX96" s="4"/>
      <c r="HWY96" s="4"/>
      <c r="HWZ96" s="4"/>
      <c r="HXA96" s="4"/>
      <c r="HXB96" s="4"/>
      <c r="HXC96" s="4"/>
      <c r="HXD96" s="4"/>
      <c r="HXE96" s="4"/>
      <c r="HXF96" s="4"/>
      <c r="HXG96" s="4"/>
      <c r="HXH96" s="4"/>
      <c r="HXI96" s="4"/>
      <c r="HXJ96" s="4"/>
      <c r="HXK96" s="4"/>
      <c r="HXL96" s="4"/>
      <c r="HXM96" s="4"/>
      <c r="HXN96" s="4"/>
      <c r="HXO96" s="4"/>
      <c r="HXP96" s="4"/>
      <c r="HXQ96" s="4"/>
      <c r="HXR96" s="4"/>
      <c r="HXS96" s="4"/>
      <c r="HXT96" s="4"/>
      <c r="HXU96" s="4"/>
      <c r="HXV96" s="4"/>
      <c r="HXW96" s="4"/>
      <c r="HXX96" s="4"/>
      <c r="HXY96" s="4"/>
      <c r="HXZ96" s="4"/>
      <c r="HYA96" s="4"/>
      <c r="HYB96" s="4"/>
      <c r="HYC96" s="4"/>
      <c r="HYD96" s="4"/>
      <c r="HYE96" s="4"/>
      <c r="HYF96" s="4"/>
      <c r="HYG96" s="4"/>
      <c r="HYH96" s="4"/>
      <c r="HYI96" s="4"/>
      <c r="HYJ96" s="4"/>
      <c r="HYK96" s="4"/>
      <c r="HYL96" s="4"/>
      <c r="HYM96" s="4"/>
      <c r="HYN96" s="4"/>
      <c r="HYO96" s="4"/>
      <c r="HYP96" s="4"/>
      <c r="HYQ96" s="4"/>
      <c r="HYR96" s="4"/>
      <c r="HYS96" s="4"/>
      <c r="HYT96" s="4"/>
      <c r="HYU96" s="4"/>
      <c r="HYV96" s="4"/>
      <c r="HYW96" s="4"/>
      <c r="HYX96" s="4"/>
      <c r="HYY96" s="4"/>
      <c r="HYZ96" s="4"/>
      <c r="HZA96" s="4"/>
      <c r="HZB96" s="4"/>
      <c r="HZC96" s="4"/>
      <c r="HZD96" s="4"/>
      <c r="HZE96" s="4"/>
      <c r="HZF96" s="4"/>
      <c r="HZG96" s="4"/>
      <c r="HZH96" s="4"/>
      <c r="HZI96" s="4"/>
      <c r="HZJ96" s="4"/>
      <c r="HZK96" s="4"/>
      <c r="HZL96" s="4"/>
      <c r="HZM96" s="4"/>
      <c r="HZN96" s="4"/>
      <c r="HZO96" s="4"/>
      <c r="HZP96" s="4"/>
      <c r="HZQ96" s="4"/>
      <c r="HZR96" s="4"/>
      <c r="HZS96" s="4"/>
      <c r="HZT96" s="4"/>
      <c r="HZU96" s="4"/>
      <c r="HZV96" s="4"/>
      <c r="HZW96" s="4"/>
      <c r="HZX96" s="4"/>
      <c r="HZY96" s="4"/>
      <c r="HZZ96" s="4"/>
      <c r="IAA96" s="4"/>
      <c r="IAB96" s="4"/>
      <c r="IAC96" s="4"/>
      <c r="IAD96" s="4"/>
      <c r="IAE96" s="4"/>
      <c r="IAF96" s="4"/>
      <c r="IAG96" s="4"/>
      <c r="IAH96" s="4"/>
      <c r="IAI96" s="4"/>
      <c r="IAJ96" s="4"/>
      <c r="IAK96" s="4"/>
      <c r="IAL96" s="4"/>
      <c r="IAM96" s="4"/>
      <c r="IAN96" s="4"/>
      <c r="IAO96" s="4"/>
      <c r="IAP96" s="4"/>
      <c r="IAQ96" s="4"/>
      <c r="IAR96" s="4"/>
      <c r="IAS96" s="4"/>
      <c r="IAT96" s="4"/>
      <c r="IAU96" s="4"/>
      <c r="IAV96" s="4"/>
      <c r="IAW96" s="4"/>
      <c r="IAX96" s="4"/>
      <c r="IAY96" s="4"/>
      <c r="IAZ96" s="4"/>
      <c r="IBA96" s="4"/>
      <c r="IBB96" s="4"/>
      <c r="IBC96" s="4"/>
      <c r="IBD96" s="4"/>
      <c r="IBE96" s="4"/>
      <c r="IBF96" s="4"/>
      <c r="IBG96" s="4"/>
      <c r="IBH96" s="4"/>
      <c r="IBI96" s="4"/>
      <c r="IBJ96" s="4"/>
      <c r="IBK96" s="4"/>
      <c r="IBL96" s="4"/>
      <c r="IBM96" s="4"/>
      <c r="IBN96" s="4"/>
      <c r="IBO96" s="4"/>
      <c r="IBP96" s="4"/>
      <c r="IBQ96" s="4"/>
      <c r="IBR96" s="4"/>
      <c r="IBS96" s="4"/>
      <c r="IBT96" s="4"/>
      <c r="IBU96" s="4"/>
      <c r="IBV96" s="4"/>
      <c r="IBW96" s="4"/>
      <c r="IBX96" s="4"/>
      <c r="IBY96" s="4"/>
      <c r="IBZ96" s="4"/>
      <c r="ICA96" s="4"/>
      <c r="ICB96" s="4"/>
      <c r="ICC96" s="4"/>
      <c r="ICD96" s="4"/>
      <c r="ICE96" s="4"/>
      <c r="ICF96" s="4"/>
      <c r="ICG96" s="4"/>
      <c r="ICH96" s="4"/>
      <c r="ICI96" s="4"/>
      <c r="ICJ96" s="4"/>
      <c r="ICK96" s="4"/>
      <c r="ICL96" s="4"/>
      <c r="ICM96" s="4"/>
      <c r="ICN96" s="4"/>
      <c r="ICO96" s="4"/>
      <c r="ICP96" s="4"/>
      <c r="ICQ96" s="4"/>
      <c r="ICR96" s="4"/>
      <c r="ICS96" s="4"/>
      <c r="ICT96" s="4"/>
      <c r="ICU96" s="4"/>
      <c r="ICV96" s="4"/>
      <c r="ICW96" s="4"/>
      <c r="ICX96" s="4"/>
      <c r="ICY96" s="4"/>
      <c r="ICZ96" s="4"/>
      <c r="IDA96" s="4"/>
      <c r="IDB96" s="4"/>
      <c r="IDC96" s="4"/>
      <c r="IDD96" s="4"/>
      <c r="IDE96" s="4"/>
      <c r="IDF96" s="4"/>
      <c r="IDG96" s="4"/>
      <c r="IDH96" s="4"/>
      <c r="IDI96" s="4"/>
      <c r="IDJ96" s="4"/>
      <c r="IDK96" s="4"/>
      <c r="IDL96" s="4"/>
      <c r="IDM96" s="4"/>
      <c r="IDN96" s="4"/>
      <c r="IDO96" s="4"/>
      <c r="IDP96" s="4"/>
      <c r="IDQ96" s="4"/>
      <c r="IDR96" s="4"/>
      <c r="IDS96" s="4"/>
      <c r="IDT96" s="4"/>
      <c r="IDU96" s="4"/>
      <c r="IDV96" s="4"/>
      <c r="IDW96" s="4"/>
      <c r="IDX96" s="4"/>
      <c r="IDY96" s="4"/>
      <c r="IDZ96" s="4"/>
      <c r="IEA96" s="4"/>
      <c r="IEB96" s="4"/>
      <c r="IEC96" s="4"/>
      <c r="IED96" s="4"/>
      <c r="IEE96" s="4"/>
      <c r="IEF96" s="4"/>
      <c r="IEG96" s="4"/>
      <c r="IEH96" s="4"/>
      <c r="IEI96" s="4"/>
      <c r="IEJ96" s="4"/>
      <c r="IEK96" s="4"/>
      <c r="IEL96" s="4"/>
      <c r="IEM96" s="4"/>
      <c r="IEN96" s="4"/>
      <c r="IEO96" s="4"/>
      <c r="IEP96" s="4"/>
      <c r="IEQ96" s="4"/>
      <c r="IER96" s="4"/>
      <c r="IES96" s="4"/>
      <c r="IET96" s="4"/>
      <c r="IEU96" s="4"/>
      <c r="IEV96" s="4"/>
      <c r="IEW96" s="4"/>
      <c r="IEX96" s="4"/>
      <c r="IEY96" s="4"/>
      <c r="IEZ96" s="4"/>
      <c r="IFA96" s="4"/>
      <c r="IFB96" s="4"/>
      <c r="IFC96" s="4"/>
      <c r="IFD96" s="4"/>
      <c r="IFE96" s="4"/>
      <c r="IFF96" s="4"/>
      <c r="IFG96" s="4"/>
      <c r="IFH96" s="4"/>
      <c r="IFI96" s="4"/>
      <c r="IFJ96" s="4"/>
      <c r="IFK96" s="4"/>
      <c r="IFL96" s="4"/>
      <c r="IFM96" s="4"/>
      <c r="IFN96" s="4"/>
      <c r="IFO96" s="4"/>
      <c r="IFP96" s="4"/>
      <c r="IFQ96" s="4"/>
      <c r="IFR96" s="4"/>
      <c r="IFS96" s="4"/>
      <c r="IFT96" s="4"/>
      <c r="IFU96" s="4"/>
      <c r="IFV96" s="4"/>
      <c r="IFW96" s="4"/>
      <c r="IFX96" s="4"/>
      <c r="IFY96" s="4"/>
      <c r="IFZ96" s="4"/>
      <c r="IGA96" s="4"/>
      <c r="IGB96" s="4"/>
      <c r="IGC96" s="4"/>
      <c r="IGD96" s="4"/>
      <c r="IGE96" s="4"/>
      <c r="IGF96" s="4"/>
      <c r="IGG96" s="4"/>
      <c r="IGH96" s="4"/>
      <c r="IGI96" s="4"/>
      <c r="IGJ96" s="4"/>
      <c r="IGK96" s="4"/>
      <c r="IGL96" s="4"/>
      <c r="IGM96" s="4"/>
      <c r="IGN96" s="4"/>
      <c r="IGO96" s="4"/>
      <c r="IGP96" s="4"/>
      <c r="IGQ96" s="4"/>
      <c r="IGR96" s="4"/>
      <c r="IGS96" s="4"/>
      <c r="IGT96" s="4"/>
      <c r="IGU96" s="4"/>
      <c r="IGV96" s="4"/>
      <c r="IGW96" s="4"/>
      <c r="IGX96" s="4"/>
      <c r="IGY96" s="4"/>
      <c r="IGZ96" s="4"/>
      <c r="IHA96" s="4"/>
      <c r="IHB96" s="4"/>
      <c r="IHC96" s="4"/>
      <c r="IHD96" s="4"/>
      <c r="IHE96" s="4"/>
      <c r="IHF96" s="4"/>
      <c r="IHG96" s="4"/>
      <c r="IHH96" s="4"/>
      <c r="IHI96" s="4"/>
      <c r="IHJ96" s="4"/>
      <c r="IHK96" s="4"/>
      <c r="IHL96" s="4"/>
      <c r="IHM96" s="4"/>
      <c r="IHN96" s="4"/>
      <c r="IHO96" s="4"/>
      <c r="IHP96" s="4"/>
      <c r="IHQ96" s="4"/>
      <c r="IHR96" s="4"/>
      <c r="IHS96" s="4"/>
      <c r="IHT96" s="4"/>
      <c r="IHU96" s="4"/>
      <c r="IHV96" s="4"/>
      <c r="IHW96" s="4"/>
      <c r="IHX96" s="4"/>
      <c r="IHY96" s="4"/>
      <c r="IHZ96" s="4"/>
      <c r="IIA96" s="4"/>
      <c r="IIB96" s="4"/>
      <c r="IIC96" s="4"/>
      <c r="IID96" s="4"/>
      <c r="IIE96" s="4"/>
      <c r="IIF96" s="4"/>
      <c r="IIG96" s="4"/>
      <c r="IIH96" s="4"/>
      <c r="III96" s="4"/>
      <c r="IIJ96" s="4"/>
      <c r="IIK96" s="4"/>
      <c r="IIL96" s="4"/>
      <c r="IIM96" s="4"/>
      <c r="IIN96" s="4"/>
      <c r="IIO96" s="4"/>
      <c r="IIP96" s="4"/>
      <c r="IIQ96" s="4"/>
      <c r="IIR96" s="4"/>
      <c r="IIS96" s="4"/>
      <c r="IIT96" s="4"/>
      <c r="IIU96" s="4"/>
      <c r="IIV96" s="4"/>
      <c r="IIW96" s="4"/>
      <c r="IIX96" s="4"/>
      <c r="IIY96" s="4"/>
      <c r="IIZ96" s="4"/>
      <c r="IJA96" s="4"/>
      <c r="IJB96" s="4"/>
      <c r="IJC96" s="4"/>
      <c r="IJD96" s="4"/>
      <c r="IJE96" s="4"/>
      <c r="IJF96" s="4"/>
      <c r="IJG96" s="4"/>
      <c r="IJH96" s="4"/>
      <c r="IJI96" s="4"/>
      <c r="IJJ96" s="4"/>
      <c r="IJK96" s="4"/>
      <c r="IJL96" s="4"/>
      <c r="IJM96" s="4"/>
      <c r="IJN96" s="4"/>
      <c r="IJO96" s="4"/>
      <c r="IJP96" s="4"/>
      <c r="IJQ96" s="4"/>
      <c r="IJR96" s="4"/>
      <c r="IJS96" s="4"/>
      <c r="IJT96" s="4"/>
      <c r="IJU96" s="4"/>
      <c r="IJV96" s="4"/>
      <c r="IJW96" s="4"/>
      <c r="IJX96" s="4"/>
      <c r="IJY96" s="4"/>
      <c r="IJZ96" s="4"/>
      <c r="IKA96" s="4"/>
      <c r="IKB96" s="4"/>
      <c r="IKC96" s="4"/>
      <c r="IKD96" s="4"/>
      <c r="IKE96" s="4"/>
      <c r="IKF96" s="4"/>
      <c r="IKG96" s="4"/>
      <c r="IKH96" s="4"/>
      <c r="IKI96" s="4"/>
      <c r="IKJ96" s="4"/>
      <c r="IKK96" s="4"/>
      <c r="IKL96" s="4"/>
      <c r="IKM96" s="4"/>
      <c r="IKN96" s="4"/>
      <c r="IKO96" s="4"/>
      <c r="IKP96" s="4"/>
      <c r="IKQ96" s="4"/>
      <c r="IKR96" s="4"/>
      <c r="IKS96" s="4"/>
      <c r="IKT96" s="4"/>
      <c r="IKU96" s="4"/>
      <c r="IKV96" s="4"/>
      <c r="IKW96" s="4"/>
      <c r="IKX96" s="4"/>
      <c r="IKY96" s="4"/>
      <c r="IKZ96" s="4"/>
      <c r="ILA96" s="4"/>
      <c r="ILB96" s="4"/>
      <c r="ILC96" s="4"/>
      <c r="ILD96" s="4"/>
      <c r="ILE96" s="4"/>
      <c r="ILF96" s="4"/>
      <c r="ILG96" s="4"/>
      <c r="ILH96" s="4"/>
      <c r="ILI96" s="4"/>
      <c r="ILJ96" s="4"/>
      <c r="ILK96" s="4"/>
      <c r="ILL96" s="4"/>
      <c r="ILM96" s="4"/>
      <c r="ILN96" s="4"/>
      <c r="ILO96" s="4"/>
      <c r="ILP96" s="4"/>
      <c r="ILQ96" s="4"/>
      <c r="ILR96" s="4"/>
      <c r="ILS96" s="4"/>
      <c r="ILT96" s="4"/>
      <c r="ILU96" s="4"/>
      <c r="ILV96" s="4"/>
      <c r="ILW96" s="4"/>
      <c r="ILX96" s="4"/>
      <c r="ILY96" s="4"/>
      <c r="ILZ96" s="4"/>
      <c r="IMA96" s="4"/>
      <c r="IMB96" s="4"/>
      <c r="IMC96" s="4"/>
      <c r="IMD96" s="4"/>
      <c r="IME96" s="4"/>
      <c r="IMF96" s="4"/>
      <c r="IMG96" s="4"/>
      <c r="IMH96" s="4"/>
      <c r="IMI96" s="4"/>
      <c r="IMJ96" s="4"/>
      <c r="IMK96" s="4"/>
      <c r="IML96" s="4"/>
      <c r="IMM96" s="4"/>
      <c r="IMN96" s="4"/>
      <c r="IMO96" s="4"/>
      <c r="IMP96" s="4"/>
      <c r="IMQ96" s="4"/>
      <c r="IMR96" s="4"/>
      <c r="IMS96" s="4"/>
      <c r="IMT96" s="4"/>
      <c r="IMU96" s="4"/>
      <c r="IMV96" s="4"/>
      <c r="IMW96" s="4"/>
      <c r="IMX96" s="4"/>
      <c r="IMY96" s="4"/>
      <c r="IMZ96" s="4"/>
      <c r="INA96" s="4"/>
      <c r="INB96" s="4"/>
      <c r="INC96" s="4"/>
      <c r="IND96" s="4"/>
      <c r="INE96" s="4"/>
      <c r="INF96" s="4"/>
      <c r="ING96" s="4"/>
      <c r="INH96" s="4"/>
      <c r="INI96" s="4"/>
      <c r="INJ96" s="4"/>
      <c r="INK96" s="4"/>
      <c r="INL96" s="4"/>
      <c r="INM96" s="4"/>
      <c r="INN96" s="4"/>
      <c r="INO96" s="4"/>
      <c r="INP96" s="4"/>
      <c r="INQ96" s="4"/>
      <c r="INR96" s="4"/>
      <c r="INS96" s="4"/>
      <c r="INT96" s="4"/>
      <c r="INU96" s="4"/>
      <c r="INV96" s="4"/>
      <c r="INW96" s="4"/>
      <c r="INX96" s="4"/>
      <c r="INY96" s="4"/>
      <c r="INZ96" s="4"/>
      <c r="IOA96" s="4"/>
      <c r="IOB96" s="4"/>
      <c r="IOC96" s="4"/>
      <c r="IOD96" s="4"/>
      <c r="IOE96" s="4"/>
      <c r="IOF96" s="4"/>
      <c r="IOG96" s="4"/>
      <c r="IOH96" s="4"/>
      <c r="IOI96" s="4"/>
      <c r="IOJ96" s="4"/>
      <c r="IOK96" s="4"/>
      <c r="IOL96" s="4"/>
      <c r="IOM96" s="4"/>
      <c r="ION96" s="4"/>
      <c r="IOO96" s="4"/>
      <c r="IOP96" s="4"/>
      <c r="IOQ96" s="4"/>
      <c r="IOR96" s="4"/>
      <c r="IOS96" s="4"/>
      <c r="IOT96" s="4"/>
      <c r="IOU96" s="4"/>
      <c r="IOV96" s="4"/>
      <c r="IOW96" s="4"/>
      <c r="IOX96" s="4"/>
      <c r="IOY96" s="4"/>
      <c r="IOZ96" s="4"/>
      <c r="IPA96" s="4"/>
      <c r="IPB96" s="4"/>
      <c r="IPC96" s="4"/>
      <c r="IPD96" s="4"/>
      <c r="IPE96" s="4"/>
      <c r="IPF96" s="4"/>
      <c r="IPG96" s="4"/>
      <c r="IPH96" s="4"/>
      <c r="IPI96" s="4"/>
      <c r="IPJ96" s="4"/>
      <c r="IPK96" s="4"/>
      <c r="IPL96" s="4"/>
      <c r="IPM96" s="4"/>
      <c r="IPN96" s="4"/>
      <c r="IPO96" s="4"/>
      <c r="IPP96" s="4"/>
      <c r="IPQ96" s="4"/>
      <c r="IPR96" s="4"/>
      <c r="IPS96" s="4"/>
      <c r="IPT96" s="4"/>
      <c r="IPU96" s="4"/>
      <c r="IPV96" s="4"/>
      <c r="IPW96" s="4"/>
      <c r="IPX96" s="4"/>
      <c r="IPY96" s="4"/>
      <c r="IPZ96" s="4"/>
      <c r="IQA96" s="4"/>
      <c r="IQB96" s="4"/>
      <c r="IQC96" s="4"/>
      <c r="IQD96" s="4"/>
      <c r="IQE96" s="4"/>
      <c r="IQF96" s="4"/>
      <c r="IQG96" s="4"/>
      <c r="IQH96" s="4"/>
      <c r="IQI96" s="4"/>
      <c r="IQJ96" s="4"/>
      <c r="IQK96" s="4"/>
      <c r="IQL96" s="4"/>
      <c r="IQM96" s="4"/>
      <c r="IQN96" s="4"/>
      <c r="IQO96" s="4"/>
      <c r="IQP96" s="4"/>
      <c r="IQQ96" s="4"/>
      <c r="IQR96" s="4"/>
      <c r="IQS96" s="4"/>
      <c r="IQT96" s="4"/>
      <c r="IQU96" s="4"/>
      <c r="IQV96" s="4"/>
      <c r="IQW96" s="4"/>
      <c r="IQX96" s="4"/>
      <c r="IQY96" s="4"/>
      <c r="IQZ96" s="4"/>
      <c r="IRA96" s="4"/>
      <c r="IRB96" s="4"/>
      <c r="IRC96" s="4"/>
      <c r="IRD96" s="4"/>
      <c r="IRE96" s="4"/>
      <c r="IRF96" s="4"/>
      <c r="IRG96" s="4"/>
      <c r="IRH96" s="4"/>
      <c r="IRI96" s="4"/>
      <c r="IRJ96" s="4"/>
      <c r="IRK96" s="4"/>
      <c r="IRL96" s="4"/>
      <c r="IRM96" s="4"/>
      <c r="IRN96" s="4"/>
      <c r="IRO96" s="4"/>
      <c r="IRP96" s="4"/>
      <c r="IRQ96" s="4"/>
      <c r="IRR96" s="4"/>
      <c r="IRS96" s="4"/>
      <c r="IRT96" s="4"/>
      <c r="IRU96" s="4"/>
      <c r="IRV96" s="4"/>
      <c r="IRW96" s="4"/>
      <c r="IRX96" s="4"/>
      <c r="IRY96" s="4"/>
      <c r="IRZ96" s="4"/>
      <c r="ISA96" s="4"/>
      <c r="ISB96" s="4"/>
      <c r="ISC96" s="4"/>
      <c r="ISD96" s="4"/>
      <c r="ISE96" s="4"/>
      <c r="ISF96" s="4"/>
      <c r="ISG96" s="4"/>
      <c r="ISH96" s="4"/>
      <c r="ISI96" s="4"/>
      <c r="ISJ96" s="4"/>
      <c r="ISK96" s="4"/>
      <c r="ISL96" s="4"/>
      <c r="ISM96" s="4"/>
      <c r="ISN96" s="4"/>
      <c r="ISO96" s="4"/>
      <c r="ISP96" s="4"/>
      <c r="ISQ96" s="4"/>
      <c r="ISR96" s="4"/>
      <c r="ISS96" s="4"/>
      <c r="IST96" s="4"/>
      <c r="ISU96" s="4"/>
      <c r="ISV96" s="4"/>
      <c r="ISW96" s="4"/>
      <c r="ISX96" s="4"/>
      <c r="ISY96" s="4"/>
      <c r="ISZ96" s="4"/>
      <c r="ITA96" s="4"/>
      <c r="ITB96" s="4"/>
      <c r="ITC96" s="4"/>
      <c r="ITD96" s="4"/>
      <c r="ITE96" s="4"/>
      <c r="ITF96" s="4"/>
      <c r="ITG96" s="4"/>
      <c r="ITH96" s="4"/>
      <c r="ITI96" s="4"/>
      <c r="ITJ96" s="4"/>
      <c r="ITK96" s="4"/>
      <c r="ITL96" s="4"/>
      <c r="ITM96" s="4"/>
      <c r="ITN96" s="4"/>
      <c r="ITO96" s="4"/>
      <c r="ITP96" s="4"/>
      <c r="ITQ96" s="4"/>
      <c r="ITR96" s="4"/>
      <c r="ITS96" s="4"/>
      <c r="ITT96" s="4"/>
      <c r="ITU96" s="4"/>
      <c r="ITV96" s="4"/>
      <c r="ITW96" s="4"/>
      <c r="ITX96" s="4"/>
      <c r="ITY96" s="4"/>
      <c r="ITZ96" s="4"/>
      <c r="IUA96" s="4"/>
      <c r="IUB96" s="4"/>
      <c r="IUC96" s="4"/>
      <c r="IUD96" s="4"/>
      <c r="IUE96" s="4"/>
      <c r="IUF96" s="4"/>
      <c r="IUG96" s="4"/>
      <c r="IUH96" s="4"/>
      <c r="IUI96" s="4"/>
      <c r="IUJ96" s="4"/>
      <c r="IUK96" s="4"/>
      <c r="IUL96" s="4"/>
      <c r="IUM96" s="4"/>
      <c r="IUN96" s="4"/>
      <c r="IUO96" s="4"/>
      <c r="IUP96" s="4"/>
      <c r="IUQ96" s="4"/>
      <c r="IUR96" s="4"/>
      <c r="IUS96" s="4"/>
      <c r="IUT96" s="4"/>
      <c r="IUU96" s="4"/>
      <c r="IUV96" s="4"/>
      <c r="IUW96" s="4"/>
      <c r="IUX96" s="4"/>
      <c r="IUY96" s="4"/>
      <c r="IUZ96" s="4"/>
      <c r="IVA96" s="4"/>
      <c r="IVB96" s="4"/>
      <c r="IVC96" s="4"/>
      <c r="IVD96" s="4"/>
      <c r="IVE96" s="4"/>
      <c r="IVF96" s="4"/>
      <c r="IVG96" s="4"/>
      <c r="IVH96" s="4"/>
      <c r="IVI96" s="4"/>
      <c r="IVJ96" s="4"/>
      <c r="IVK96" s="4"/>
      <c r="IVL96" s="4"/>
      <c r="IVM96" s="4"/>
      <c r="IVN96" s="4"/>
      <c r="IVO96" s="4"/>
      <c r="IVP96" s="4"/>
      <c r="IVQ96" s="4"/>
      <c r="IVR96" s="4"/>
      <c r="IVS96" s="4"/>
      <c r="IVT96" s="4"/>
      <c r="IVU96" s="4"/>
      <c r="IVV96" s="4"/>
      <c r="IVW96" s="4"/>
      <c r="IVX96" s="4"/>
      <c r="IVY96" s="4"/>
      <c r="IVZ96" s="4"/>
      <c r="IWA96" s="4"/>
      <c r="IWB96" s="4"/>
      <c r="IWC96" s="4"/>
      <c r="IWD96" s="4"/>
      <c r="IWE96" s="4"/>
      <c r="IWF96" s="4"/>
      <c r="IWG96" s="4"/>
      <c r="IWH96" s="4"/>
      <c r="IWI96" s="4"/>
      <c r="IWJ96" s="4"/>
      <c r="IWK96" s="4"/>
      <c r="IWL96" s="4"/>
      <c r="IWM96" s="4"/>
      <c r="IWN96" s="4"/>
      <c r="IWO96" s="4"/>
      <c r="IWP96" s="4"/>
      <c r="IWQ96" s="4"/>
      <c r="IWR96" s="4"/>
      <c r="IWS96" s="4"/>
      <c r="IWT96" s="4"/>
      <c r="IWU96" s="4"/>
      <c r="IWV96" s="4"/>
      <c r="IWW96" s="4"/>
      <c r="IWX96" s="4"/>
      <c r="IWY96" s="4"/>
      <c r="IWZ96" s="4"/>
      <c r="IXA96" s="4"/>
      <c r="IXB96" s="4"/>
      <c r="IXC96" s="4"/>
      <c r="IXD96" s="4"/>
      <c r="IXE96" s="4"/>
      <c r="IXF96" s="4"/>
      <c r="IXG96" s="4"/>
      <c r="IXH96" s="4"/>
      <c r="IXI96" s="4"/>
      <c r="IXJ96" s="4"/>
      <c r="IXK96" s="4"/>
      <c r="IXL96" s="4"/>
      <c r="IXM96" s="4"/>
      <c r="IXN96" s="4"/>
      <c r="IXO96" s="4"/>
      <c r="IXP96" s="4"/>
      <c r="IXQ96" s="4"/>
      <c r="IXR96" s="4"/>
      <c r="IXS96" s="4"/>
      <c r="IXT96" s="4"/>
      <c r="IXU96" s="4"/>
      <c r="IXV96" s="4"/>
      <c r="IXW96" s="4"/>
      <c r="IXX96" s="4"/>
      <c r="IXY96" s="4"/>
      <c r="IXZ96" s="4"/>
      <c r="IYA96" s="4"/>
      <c r="IYB96" s="4"/>
      <c r="IYC96" s="4"/>
      <c r="IYD96" s="4"/>
      <c r="IYE96" s="4"/>
      <c r="IYF96" s="4"/>
      <c r="IYG96" s="4"/>
      <c r="IYH96" s="4"/>
      <c r="IYI96" s="4"/>
      <c r="IYJ96" s="4"/>
      <c r="IYK96" s="4"/>
      <c r="IYL96" s="4"/>
      <c r="IYM96" s="4"/>
      <c r="IYN96" s="4"/>
      <c r="IYO96" s="4"/>
      <c r="IYP96" s="4"/>
      <c r="IYQ96" s="4"/>
      <c r="IYR96" s="4"/>
      <c r="IYS96" s="4"/>
      <c r="IYT96" s="4"/>
      <c r="IYU96" s="4"/>
      <c r="IYV96" s="4"/>
      <c r="IYW96" s="4"/>
      <c r="IYX96" s="4"/>
      <c r="IYY96" s="4"/>
      <c r="IYZ96" s="4"/>
      <c r="IZA96" s="4"/>
      <c r="IZB96" s="4"/>
      <c r="IZC96" s="4"/>
      <c r="IZD96" s="4"/>
      <c r="IZE96" s="4"/>
      <c r="IZF96" s="4"/>
      <c r="IZG96" s="4"/>
      <c r="IZH96" s="4"/>
      <c r="IZI96" s="4"/>
      <c r="IZJ96" s="4"/>
      <c r="IZK96" s="4"/>
      <c r="IZL96" s="4"/>
      <c r="IZM96" s="4"/>
      <c r="IZN96" s="4"/>
      <c r="IZO96" s="4"/>
      <c r="IZP96" s="4"/>
      <c r="IZQ96" s="4"/>
      <c r="IZR96" s="4"/>
      <c r="IZS96" s="4"/>
      <c r="IZT96" s="4"/>
      <c r="IZU96" s="4"/>
      <c r="IZV96" s="4"/>
      <c r="IZW96" s="4"/>
      <c r="IZX96" s="4"/>
      <c r="IZY96" s="4"/>
      <c r="IZZ96" s="4"/>
      <c r="JAA96" s="4"/>
      <c r="JAB96" s="4"/>
      <c r="JAC96" s="4"/>
      <c r="JAD96" s="4"/>
      <c r="JAE96" s="4"/>
      <c r="JAF96" s="4"/>
      <c r="JAG96" s="4"/>
      <c r="JAH96" s="4"/>
      <c r="JAI96" s="4"/>
      <c r="JAJ96" s="4"/>
      <c r="JAK96" s="4"/>
      <c r="JAL96" s="4"/>
      <c r="JAM96" s="4"/>
      <c r="JAN96" s="4"/>
      <c r="JAO96" s="4"/>
      <c r="JAP96" s="4"/>
      <c r="JAQ96" s="4"/>
      <c r="JAR96" s="4"/>
      <c r="JAS96" s="4"/>
      <c r="JAT96" s="4"/>
      <c r="JAU96" s="4"/>
      <c r="JAV96" s="4"/>
      <c r="JAW96" s="4"/>
      <c r="JAX96" s="4"/>
      <c r="JAY96" s="4"/>
      <c r="JAZ96" s="4"/>
      <c r="JBA96" s="4"/>
      <c r="JBB96" s="4"/>
      <c r="JBC96" s="4"/>
      <c r="JBD96" s="4"/>
      <c r="JBE96" s="4"/>
      <c r="JBF96" s="4"/>
      <c r="JBG96" s="4"/>
      <c r="JBH96" s="4"/>
      <c r="JBI96" s="4"/>
      <c r="JBJ96" s="4"/>
      <c r="JBK96" s="4"/>
      <c r="JBL96" s="4"/>
      <c r="JBM96" s="4"/>
      <c r="JBN96" s="4"/>
      <c r="JBO96" s="4"/>
      <c r="JBP96" s="4"/>
      <c r="JBQ96" s="4"/>
      <c r="JBR96" s="4"/>
      <c r="JBS96" s="4"/>
      <c r="JBT96" s="4"/>
      <c r="JBU96" s="4"/>
      <c r="JBV96" s="4"/>
      <c r="JBW96" s="4"/>
      <c r="JBX96" s="4"/>
      <c r="JBY96" s="4"/>
      <c r="JBZ96" s="4"/>
      <c r="JCA96" s="4"/>
      <c r="JCB96" s="4"/>
      <c r="JCC96" s="4"/>
      <c r="JCD96" s="4"/>
      <c r="JCE96" s="4"/>
      <c r="JCF96" s="4"/>
      <c r="JCG96" s="4"/>
      <c r="JCH96" s="4"/>
      <c r="JCI96" s="4"/>
      <c r="JCJ96" s="4"/>
      <c r="JCK96" s="4"/>
      <c r="JCL96" s="4"/>
      <c r="JCM96" s="4"/>
      <c r="JCN96" s="4"/>
      <c r="JCO96" s="4"/>
      <c r="JCP96" s="4"/>
      <c r="JCQ96" s="4"/>
      <c r="JCR96" s="4"/>
      <c r="JCS96" s="4"/>
      <c r="JCT96" s="4"/>
      <c r="JCU96" s="4"/>
      <c r="JCV96" s="4"/>
      <c r="JCW96" s="4"/>
      <c r="JCX96" s="4"/>
      <c r="JCY96" s="4"/>
      <c r="JCZ96" s="4"/>
      <c r="JDA96" s="4"/>
      <c r="JDB96" s="4"/>
      <c r="JDC96" s="4"/>
      <c r="JDD96" s="4"/>
      <c r="JDE96" s="4"/>
      <c r="JDF96" s="4"/>
      <c r="JDG96" s="4"/>
      <c r="JDH96" s="4"/>
      <c r="JDI96" s="4"/>
      <c r="JDJ96" s="4"/>
      <c r="JDK96" s="4"/>
      <c r="JDL96" s="4"/>
      <c r="JDM96" s="4"/>
      <c r="JDN96" s="4"/>
      <c r="JDO96" s="4"/>
      <c r="JDP96" s="4"/>
      <c r="JDQ96" s="4"/>
      <c r="JDR96" s="4"/>
      <c r="JDS96" s="4"/>
      <c r="JDT96" s="4"/>
      <c r="JDU96" s="4"/>
      <c r="JDV96" s="4"/>
      <c r="JDW96" s="4"/>
      <c r="JDX96" s="4"/>
      <c r="JDY96" s="4"/>
      <c r="JDZ96" s="4"/>
      <c r="JEA96" s="4"/>
      <c r="JEB96" s="4"/>
      <c r="JEC96" s="4"/>
      <c r="JED96" s="4"/>
      <c r="JEE96" s="4"/>
      <c r="JEF96" s="4"/>
      <c r="JEG96" s="4"/>
      <c r="JEH96" s="4"/>
      <c r="JEI96" s="4"/>
      <c r="JEJ96" s="4"/>
      <c r="JEK96" s="4"/>
      <c r="JEL96" s="4"/>
      <c r="JEM96" s="4"/>
      <c r="JEN96" s="4"/>
      <c r="JEO96" s="4"/>
      <c r="JEP96" s="4"/>
      <c r="JEQ96" s="4"/>
      <c r="JER96" s="4"/>
      <c r="JES96" s="4"/>
      <c r="JET96" s="4"/>
      <c r="JEU96" s="4"/>
      <c r="JEV96" s="4"/>
      <c r="JEW96" s="4"/>
      <c r="JEX96" s="4"/>
      <c r="JEY96" s="4"/>
      <c r="JEZ96" s="4"/>
      <c r="JFA96" s="4"/>
      <c r="JFB96" s="4"/>
      <c r="JFC96" s="4"/>
      <c r="JFD96" s="4"/>
      <c r="JFE96" s="4"/>
      <c r="JFF96" s="4"/>
      <c r="JFG96" s="4"/>
      <c r="JFH96" s="4"/>
      <c r="JFI96" s="4"/>
      <c r="JFJ96" s="4"/>
      <c r="JFK96" s="4"/>
      <c r="JFL96" s="4"/>
      <c r="JFM96" s="4"/>
      <c r="JFN96" s="4"/>
      <c r="JFO96" s="4"/>
      <c r="JFP96" s="4"/>
      <c r="JFQ96" s="4"/>
      <c r="JFR96" s="4"/>
      <c r="JFS96" s="4"/>
      <c r="JFT96" s="4"/>
      <c r="JFU96" s="4"/>
      <c r="JFV96" s="4"/>
      <c r="JFW96" s="4"/>
      <c r="JFX96" s="4"/>
      <c r="JFY96" s="4"/>
      <c r="JFZ96" s="4"/>
      <c r="JGA96" s="4"/>
      <c r="JGB96" s="4"/>
      <c r="JGC96" s="4"/>
      <c r="JGD96" s="4"/>
      <c r="JGE96" s="4"/>
      <c r="JGF96" s="4"/>
      <c r="JGG96" s="4"/>
      <c r="JGH96" s="4"/>
      <c r="JGI96" s="4"/>
      <c r="JGJ96" s="4"/>
      <c r="JGK96" s="4"/>
      <c r="JGL96" s="4"/>
      <c r="JGM96" s="4"/>
      <c r="JGN96" s="4"/>
      <c r="JGO96" s="4"/>
      <c r="JGP96" s="4"/>
      <c r="JGQ96" s="4"/>
      <c r="JGR96" s="4"/>
      <c r="JGS96" s="4"/>
      <c r="JGT96" s="4"/>
      <c r="JGU96" s="4"/>
      <c r="JGV96" s="4"/>
      <c r="JGW96" s="4"/>
      <c r="JGX96" s="4"/>
      <c r="JGY96" s="4"/>
      <c r="JGZ96" s="4"/>
      <c r="JHA96" s="4"/>
      <c r="JHB96" s="4"/>
      <c r="JHC96" s="4"/>
      <c r="JHD96" s="4"/>
      <c r="JHE96" s="4"/>
      <c r="JHF96" s="4"/>
      <c r="JHG96" s="4"/>
      <c r="JHH96" s="4"/>
      <c r="JHI96" s="4"/>
      <c r="JHJ96" s="4"/>
      <c r="JHK96" s="4"/>
      <c r="JHL96" s="4"/>
      <c r="JHM96" s="4"/>
      <c r="JHN96" s="4"/>
      <c r="JHO96" s="4"/>
      <c r="JHP96" s="4"/>
      <c r="JHQ96" s="4"/>
      <c r="JHR96" s="4"/>
      <c r="JHS96" s="4"/>
      <c r="JHT96" s="4"/>
      <c r="JHU96" s="4"/>
      <c r="JHV96" s="4"/>
      <c r="JHW96" s="4"/>
      <c r="JHX96" s="4"/>
      <c r="JHY96" s="4"/>
      <c r="JHZ96" s="4"/>
      <c r="JIA96" s="4"/>
      <c r="JIB96" s="4"/>
      <c r="JIC96" s="4"/>
      <c r="JID96" s="4"/>
      <c r="JIE96" s="4"/>
      <c r="JIF96" s="4"/>
      <c r="JIG96" s="4"/>
      <c r="JIH96" s="4"/>
      <c r="JII96" s="4"/>
      <c r="JIJ96" s="4"/>
      <c r="JIK96" s="4"/>
      <c r="JIL96" s="4"/>
      <c r="JIM96" s="4"/>
      <c r="JIN96" s="4"/>
      <c r="JIO96" s="4"/>
      <c r="JIP96" s="4"/>
      <c r="JIQ96" s="4"/>
      <c r="JIR96" s="4"/>
      <c r="JIS96" s="4"/>
      <c r="JIT96" s="4"/>
      <c r="JIU96" s="4"/>
      <c r="JIV96" s="4"/>
      <c r="JIW96" s="4"/>
      <c r="JIX96" s="4"/>
      <c r="JIY96" s="4"/>
      <c r="JIZ96" s="4"/>
      <c r="JJA96" s="4"/>
      <c r="JJB96" s="4"/>
      <c r="JJC96" s="4"/>
      <c r="JJD96" s="4"/>
      <c r="JJE96" s="4"/>
      <c r="JJF96" s="4"/>
      <c r="JJG96" s="4"/>
      <c r="JJH96" s="4"/>
      <c r="JJI96" s="4"/>
      <c r="JJJ96" s="4"/>
      <c r="JJK96" s="4"/>
      <c r="JJL96" s="4"/>
      <c r="JJM96" s="4"/>
      <c r="JJN96" s="4"/>
      <c r="JJO96" s="4"/>
      <c r="JJP96" s="4"/>
      <c r="JJQ96" s="4"/>
      <c r="JJR96" s="4"/>
      <c r="JJS96" s="4"/>
      <c r="JJT96" s="4"/>
      <c r="JJU96" s="4"/>
      <c r="JJV96" s="4"/>
      <c r="JJW96" s="4"/>
      <c r="JJX96" s="4"/>
      <c r="JJY96" s="4"/>
      <c r="JJZ96" s="4"/>
      <c r="JKA96" s="4"/>
      <c r="JKB96" s="4"/>
      <c r="JKC96" s="4"/>
      <c r="JKD96" s="4"/>
      <c r="JKE96" s="4"/>
      <c r="JKF96" s="4"/>
      <c r="JKG96" s="4"/>
      <c r="JKH96" s="4"/>
      <c r="JKI96" s="4"/>
      <c r="JKJ96" s="4"/>
      <c r="JKK96" s="4"/>
      <c r="JKL96" s="4"/>
      <c r="JKM96" s="4"/>
      <c r="JKN96" s="4"/>
      <c r="JKO96" s="4"/>
      <c r="JKP96" s="4"/>
      <c r="JKQ96" s="4"/>
      <c r="JKR96" s="4"/>
      <c r="JKS96" s="4"/>
      <c r="JKT96" s="4"/>
      <c r="JKU96" s="4"/>
      <c r="JKV96" s="4"/>
      <c r="JKW96" s="4"/>
      <c r="JKX96" s="4"/>
      <c r="JKY96" s="4"/>
      <c r="JKZ96" s="4"/>
      <c r="JLA96" s="4"/>
      <c r="JLB96" s="4"/>
      <c r="JLC96" s="4"/>
      <c r="JLD96" s="4"/>
      <c r="JLE96" s="4"/>
      <c r="JLF96" s="4"/>
      <c r="JLG96" s="4"/>
      <c r="JLH96" s="4"/>
      <c r="JLI96" s="4"/>
      <c r="JLJ96" s="4"/>
      <c r="JLK96" s="4"/>
      <c r="JLL96" s="4"/>
      <c r="JLM96" s="4"/>
      <c r="JLN96" s="4"/>
      <c r="JLO96" s="4"/>
      <c r="JLP96" s="4"/>
      <c r="JLQ96" s="4"/>
      <c r="JLR96" s="4"/>
      <c r="JLS96" s="4"/>
      <c r="JLT96" s="4"/>
      <c r="JLU96" s="4"/>
      <c r="JLV96" s="4"/>
      <c r="JLW96" s="4"/>
      <c r="JLX96" s="4"/>
      <c r="JLY96" s="4"/>
      <c r="JLZ96" s="4"/>
      <c r="JMA96" s="4"/>
      <c r="JMB96" s="4"/>
      <c r="JMC96" s="4"/>
      <c r="JMD96" s="4"/>
      <c r="JME96" s="4"/>
      <c r="JMF96" s="4"/>
      <c r="JMG96" s="4"/>
      <c r="JMH96" s="4"/>
      <c r="JMI96" s="4"/>
      <c r="JMJ96" s="4"/>
      <c r="JMK96" s="4"/>
      <c r="JML96" s="4"/>
      <c r="JMM96" s="4"/>
      <c r="JMN96" s="4"/>
      <c r="JMO96" s="4"/>
      <c r="JMP96" s="4"/>
      <c r="JMQ96" s="4"/>
      <c r="JMR96" s="4"/>
      <c r="JMS96" s="4"/>
      <c r="JMT96" s="4"/>
      <c r="JMU96" s="4"/>
      <c r="JMV96" s="4"/>
      <c r="JMW96" s="4"/>
      <c r="JMX96" s="4"/>
      <c r="JMY96" s="4"/>
      <c r="JMZ96" s="4"/>
      <c r="JNA96" s="4"/>
      <c r="JNB96" s="4"/>
      <c r="JNC96" s="4"/>
      <c r="JND96" s="4"/>
      <c r="JNE96" s="4"/>
      <c r="JNF96" s="4"/>
      <c r="JNG96" s="4"/>
      <c r="JNH96" s="4"/>
      <c r="JNI96" s="4"/>
      <c r="JNJ96" s="4"/>
      <c r="JNK96" s="4"/>
      <c r="JNL96" s="4"/>
      <c r="JNM96" s="4"/>
      <c r="JNN96" s="4"/>
      <c r="JNO96" s="4"/>
      <c r="JNP96" s="4"/>
      <c r="JNQ96" s="4"/>
      <c r="JNR96" s="4"/>
      <c r="JNS96" s="4"/>
      <c r="JNT96" s="4"/>
      <c r="JNU96" s="4"/>
      <c r="JNV96" s="4"/>
      <c r="JNW96" s="4"/>
      <c r="JNX96" s="4"/>
      <c r="JNY96" s="4"/>
      <c r="JNZ96" s="4"/>
      <c r="JOA96" s="4"/>
      <c r="JOB96" s="4"/>
      <c r="JOC96" s="4"/>
      <c r="JOD96" s="4"/>
      <c r="JOE96" s="4"/>
      <c r="JOF96" s="4"/>
      <c r="JOG96" s="4"/>
      <c r="JOH96" s="4"/>
      <c r="JOI96" s="4"/>
      <c r="JOJ96" s="4"/>
      <c r="JOK96" s="4"/>
      <c r="JOL96" s="4"/>
      <c r="JOM96" s="4"/>
      <c r="JON96" s="4"/>
      <c r="JOO96" s="4"/>
      <c r="JOP96" s="4"/>
      <c r="JOQ96" s="4"/>
      <c r="JOR96" s="4"/>
      <c r="JOS96" s="4"/>
      <c r="JOT96" s="4"/>
      <c r="JOU96" s="4"/>
      <c r="JOV96" s="4"/>
      <c r="JOW96" s="4"/>
      <c r="JOX96" s="4"/>
      <c r="JOY96" s="4"/>
      <c r="JOZ96" s="4"/>
      <c r="JPA96" s="4"/>
      <c r="JPB96" s="4"/>
      <c r="JPC96" s="4"/>
      <c r="JPD96" s="4"/>
      <c r="JPE96" s="4"/>
      <c r="JPF96" s="4"/>
      <c r="JPG96" s="4"/>
      <c r="JPH96" s="4"/>
      <c r="JPI96" s="4"/>
      <c r="JPJ96" s="4"/>
      <c r="JPK96" s="4"/>
      <c r="JPL96" s="4"/>
      <c r="JPM96" s="4"/>
      <c r="JPN96" s="4"/>
      <c r="JPO96" s="4"/>
      <c r="JPP96" s="4"/>
      <c r="JPQ96" s="4"/>
      <c r="JPR96" s="4"/>
      <c r="JPS96" s="4"/>
      <c r="JPT96" s="4"/>
      <c r="JPU96" s="4"/>
      <c r="JPV96" s="4"/>
      <c r="JPW96" s="4"/>
      <c r="JPX96" s="4"/>
      <c r="JPY96" s="4"/>
      <c r="JPZ96" s="4"/>
      <c r="JQA96" s="4"/>
      <c r="JQB96" s="4"/>
      <c r="JQC96" s="4"/>
      <c r="JQD96" s="4"/>
      <c r="JQE96" s="4"/>
      <c r="JQF96" s="4"/>
      <c r="JQG96" s="4"/>
      <c r="JQH96" s="4"/>
      <c r="JQI96" s="4"/>
      <c r="JQJ96" s="4"/>
      <c r="JQK96" s="4"/>
      <c r="JQL96" s="4"/>
      <c r="JQM96" s="4"/>
      <c r="JQN96" s="4"/>
      <c r="JQO96" s="4"/>
      <c r="JQP96" s="4"/>
      <c r="JQQ96" s="4"/>
      <c r="JQR96" s="4"/>
      <c r="JQS96" s="4"/>
      <c r="JQT96" s="4"/>
      <c r="JQU96" s="4"/>
      <c r="JQV96" s="4"/>
      <c r="JQW96" s="4"/>
      <c r="JQX96" s="4"/>
      <c r="JQY96" s="4"/>
      <c r="JQZ96" s="4"/>
      <c r="JRA96" s="4"/>
      <c r="JRB96" s="4"/>
      <c r="JRC96" s="4"/>
      <c r="JRD96" s="4"/>
      <c r="JRE96" s="4"/>
      <c r="JRF96" s="4"/>
      <c r="JRG96" s="4"/>
      <c r="JRH96" s="4"/>
      <c r="JRI96" s="4"/>
      <c r="JRJ96" s="4"/>
      <c r="JRK96" s="4"/>
      <c r="JRL96" s="4"/>
      <c r="JRM96" s="4"/>
      <c r="JRN96" s="4"/>
      <c r="JRO96" s="4"/>
      <c r="JRP96" s="4"/>
      <c r="JRQ96" s="4"/>
      <c r="JRR96" s="4"/>
      <c r="JRS96" s="4"/>
      <c r="JRT96" s="4"/>
      <c r="JRU96" s="4"/>
      <c r="JRV96" s="4"/>
      <c r="JRW96" s="4"/>
      <c r="JRX96" s="4"/>
      <c r="JRY96" s="4"/>
      <c r="JRZ96" s="4"/>
      <c r="JSA96" s="4"/>
      <c r="JSB96" s="4"/>
      <c r="JSC96" s="4"/>
      <c r="JSD96" s="4"/>
      <c r="JSE96" s="4"/>
      <c r="JSF96" s="4"/>
      <c r="JSG96" s="4"/>
      <c r="JSH96" s="4"/>
      <c r="JSI96" s="4"/>
      <c r="JSJ96" s="4"/>
      <c r="JSK96" s="4"/>
      <c r="JSL96" s="4"/>
      <c r="JSM96" s="4"/>
      <c r="JSN96" s="4"/>
      <c r="JSO96" s="4"/>
      <c r="JSP96" s="4"/>
      <c r="JSQ96" s="4"/>
      <c r="JSR96" s="4"/>
      <c r="JSS96" s="4"/>
      <c r="JST96" s="4"/>
      <c r="JSU96" s="4"/>
      <c r="JSV96" s="4"/>
      <c r="JSW96" s="4"/>
      <c r="JSX96" s="4"/>
      <c r="JSY96" s="4"/>
      <c r="JSZ96" s="4"/>
      <c r="JTA96" s="4"/>
      <c r="JTB96" s="4"/>
      <c r="JTC96" s="4"/>
      <c r="JTD96" s="4"/>
      <c r="JTE96" s="4"/>
      <c r="JTF96" s="4"/>
      <c r="JTG96" s="4"/>
      <c r="JTH96" s="4"/>
      <c r="JTI96" s="4"/>
      <c r="JTJ96" s="4"/>
      <c r="JTK96" s="4"/>
      <c r="JTL96" s="4"/>
      <c r="JTM96" s="4"/>
      <c r="JTN96" s="4"/>
      <c r="JTO96" s="4"/>
      <c r="JTP96" s="4"/>
      <c r="JTQ96" s="4"/>
      <c r="JTR96" s="4"/>
      <c r="JTS96" s="4"/>
      <c r="JTT96" s="4"/>
      <c r="JTU96" s="4"/>
      <c r="JTV96" s="4"/>
      <c r="JTW96" s="4"/>
      <c r="JTX96" s="4"/>
      <c r="JTY96" s="4"/>
      <c r="JTZ96" s="4"/>
      <c r="JUA96" s="4"/>
      <c r="JUB96" s="4"/>
      <c r="JUC96" s="4"/>
      <c r="JUD96" s="4"/>
      <c r="JUE96" s="4"/>
      <c r="JUF96" s="4"/>
      <c r="JUG96" s="4"/>
      <c r="JUH96" s="4"/>
      <c r="JUI96" s="4"/>
      <c r="JUJ96" s="4"/>
      <c r="JUK96" s="4"/>
      <c r="JUL96" s="4"/>
      <c r="JUM96" s="4"/>
      <c r="JUN96" s="4"/>
      <c r="JUO96" s="4"/>
      <c r="JUP96" s="4"/>
      <c r="JUQ96" s="4"/>
      <c r="JUR96" s="4"/>
      <c r="JUS96" s="4"/>
      <c r="JUT96" s="4"/>
      <c r="JUU96" s="4"/>
      <c r="JUV96" s="4"/>
      <c r="JUW96" s="4"/>
      <c r="JUX96" s="4"/>
      <c r="JUY96" s="4"/>
      <c r="JUZ96" s="4"/>
      <c r="JVA96" s="4"/>
      <c r="JVB96" s="4"/>
      <c r="JVC96" s="4"/>
      <c r="JVD96" s="4"/>
      <c r="JVE96" s="4"/>
      <c r="JVF96" s="4"/>
      <c r="JVG96" s="4"/>
      <c r="JVH96" s="4"/>
      <c r="JVI96" s="4"/>
      <c r="JVJ96" s="4"/>
      <c r="JVK96" s="4"/>
      <c r="JVL96" s="4"/>
      <c r="JVM96" s="4"/>
      <c r="JVN96" s="4"/>
      <c r="JVO96" s="4"/>
      <c r="JVP96" s="4"/>
      <c r="JVQ96" s="4"/>
      <c r="JVR96" s="4"/>
      <c r="JVS96" s="4"/>
      <c r="JVT96" s="4"/>
      <c r="JVU96" s="4"/>
      <c r="JVV96" s="4"/>
      <c r="JVW96" s="4"/>
      <c r="JVX96" s="4"/>
      <c r="JVY96" s="4"/>
      <c r="JVZ96" s="4"/>
      <c r="JWA96" s="4"/>
      <c r="JWB96" s="4"/>
      <c r="JWC96" s="4"/>
      <c r="JWD96" s="4"/>
      <c r="JWE96" s="4"/>
      <c r="JWF96" s="4"/>
      <c r="JWG96" s="4"/>
      <c r="JWH96" s="4"/>
      <c r="JWI96" s="4"/>
      <c r="JWJ96" s="4"/>
      <c r="JWK96" s="4"/>
      <c r="JWL96" s="4"/>
      <c r="JWM96" s="4"/>
      <c r="JWN96" s="4"/>
      <c r="JWO96" s="4"/>
      <c r="JWP96" s="4"/>
      <c r="JWQ96" s="4"/>
      <c r="JWR96" s="4"/>
      <c r="JWS96" s="4"/>
      <c r="JWT96" s="4"/>
      <c r="JWU96" s="4"/>
      <c r="JWV96" s="4"/>
      <c r="JWW96" s="4"/>
      <c r="JWX96" s="4"/>
      <c r="JWY96" s="4"/>
      <c r="JWZ96" s="4"/>
      <c r="JXA96" s="4"/>
      <c r="JXB96" s="4"/>
      <c r="JXC96" s="4"/>
      <c r="JXD96" s="4"/>
      <c r="JXE96" s="4"/>
      <c r="JXF96" s="4"/>
      <c r="JXG96" s="4"/>
      <c r="JXH96" s="4"/>
      <c r="JXI96" s="4"/>
      <c r="JXJ96" s="4"/>
      <c r="JXK96" s="4"/>
      <c r="JXL96" s="4"/>
      <c r="JXM96" s="4"/>
      <c r="JXN96" s="4"/>
      <c r="JXO96" s="4"/>
      <c r="JXP96" s="4"/>
      <c r="JXQ96" s="4"/>
      <c r="JXR96" s="4"/>
      <c r="JXS96" s="4"/>
      <c r="JXT96" s="4"/>
      <c r="JXU96" s="4"/>
      <c r="JXV96" s="4"/>
      <c r="JXW96" s="4"/>
      <c r="JXX96" s="4"/>
      <c r="JXY96" s="4"/>
      <c r="JXZ96" s="4"/>
      <c r="JYA96" s="4"/>
      <c r="JYB96" s="4"/>
      <c r="JYC96" s="4"/>
      <c r="JYD96" s="4"/>
      <c r="JYE96" s="4"/>
      <c r="JYF96" s="4"/>
      <c r="JYG96" s="4"/>
      <c r="JYH96" s="4"/>
      <c r="JYI96" s="4"/>
      <c r="JYJ96" s="4"/>
      <c r="JYK96" s="4"/>
      <c r="JYL96" s="4"/>
      <c r="JYM96" s="4"/>
      <c r="JYN96" s="4"/>
      <c r="JYO96" s="4"/>
      <c r="JYP96" s="4"/>
      <c r="JYQ96" s="4"/>
      <c r="JYR96" s="4"/>
      <c r="JYS96" s="4"/>
      <c r="JYT96" s="4"/>
      <c r="JYU96" s="4"/>
      <c r="JYV96" s="4"/>
      <c r="JYW96" s="4"/>
      <c r="JYX96" s="4"/>
      <c r="JYY96" s="4"/>
      <c r="JYZ96" s="4"/>
      <c r="JZA96" s="4"/>
      <c r="JZB96" s="4"/>
      <c r="JZC96" s="4"/>
      <c r="JZD96" s="4"/>
      <c r="JZE96" s="4"/>
      <c r="JZF96" s="4"/>
      <c r="JZG96" s="4"/>
      <c r="JZH96" s="4"/>
      <c r="JZI96" s="4"/>
      <c r="JZJ96" s="4"/>
      <c r="JZK96" s="4"/>
      <c r="JZL96" s="4"/>
      <c r="JZM96" s="4"/>
      <c r="JZN96" s="4"/>
      <c r="JZO96" s="4"/>
      <c r="JZP96" s="4"/>
      <c r="JZQ96" s="4"/>
      <c r="JZR96" s="4"/>
      <c r="JZS96" s="4"/>
      <c r="JZT96" s="4"/>
      <c r="JZU96" s="4"/>
      <c r="JZV96" s="4"/>
      <c r="JZW96" s="4"/>
      <c r="JZX96" s="4"/>
      <c r="JZY96" s="4"/>
      <c r="JZZ96" s="4"/>
      <c r="KAA96" s="4"/>
      <c r="KAB96" s="4"/>
      <c r="KAC96" s="4"/>
      <c r="KAD96" s="4"/>
      <c r="KAE96" s="4"/>
      <c r="KAF96" s="4"/>
      <c r="KAG96" s="4"/>
      <c r="KAH96" s="4"/>
      <c r="KAI96" s="4"/>
      <c r="KAJ96" s="4"/>
      <c r="KAK96" s="4"/>
      <c r="KAL96" s="4"/>
      <c r="KAM96" s="4"/>
      <c r="KAN96" s="4"/>
      <c r="KAO96" s="4"/>
      <c r="KAP96" s="4"/>
      <c r="KAQ96" s="4"/>
      <c r="KAR96" s="4"/>
      <c r="KAS96" s="4"/>
      <c r="KAT96" s="4"/>
      <c r="KAU96" s="4"/>
      <c r="KAV96" s="4"/>
      <c r="KAW96" s="4"/>
      <c r="KAX96" s="4"/>
      <c r="KAY96" s="4"/>
      <c r="KAZ96" s="4"/>
      <c r="KBA96" s="4"/>
      <c r="KBB96" s="4"/>
      <c r="KBC96" s="4"/>
      <c r="KBD96" s="4"/>
      <c r="KBE96" s="4"/>
      <c r="KBF96" s="4"/>
      <c r="KBG96" s="4"/>
      <c r="KBH96" s="4"/>
      <c r="KBI96" s="4"/>
      <c r="KBJ96" s="4"/>
      <c r="KBK96" s="4"/>
      <c r="KBL96" s="4"/>
      <c r="KBM96" s="4"/>
      <c r="KBN96" s="4"/>
      <c r="KBO96" s="4"/>
      <c r="KBP96" s="4"/>
      <c r="KBQ96" s="4"/>
      <c r="KBR96" s="4"/>
      <c r="KBS96" s="4"/>
      <c r="KBT96" s="4"/>
      <c r="KBU96" s="4"/>
      <c r="KBV96" s="4"/>
      <c r="KBW96" s="4"/>
      <c r="KBX96" s="4"/>
      <c r="KBY96" s="4"/>
      <c r="KBZ96" s="4"/>
      <c r="KCA96" s="4"/>
      <c r="KCB96" s="4"/>
      <c r="KCC96" s="4"/>
      <c r="KCD96" s="4"/>
      <c r="KCE96" s="4"/>
      <c r="KCF96" s="4"/>
      <c r="KCG96" s="4"/>
      <c r="KCH96" s="4"/>
      <c r="KCI96" s="4"/>
      <c r="KCJ96" s="4"/>
      <c r="KCK96" s="4"/>
      <c r="KCL96" s="4"/>
      <c r="KCM96" s="4"/>
      <c r="KCN96" s="4"/>
      <c r="KCO96" s="4"/>
      <c r="KCP96" s="4"/>
      <c r="KCQ96" s="4"/>
      <c r="KCR96" s="4"/>
      <c r="KCS96" s="4"/>
      <c r="KCT96" s="4"/>
      <c r="KCU96" s="4"/>
      <c r="KCV96" s="4"/>
      <c r="KCW96" s="4"/>
      <c r="KCX96" s="4"/>
      <c r="KCY96" s="4"/>
      <c r="KCZ96" s="4"/>
      <c r="KDA96" s="4"/>
      <c r="KDB96" s="4"/>
      <c r="KDC96" s="4"/>
      <c r="KDD96" s="4"/>
      <c r="KDE96" s="4"/>
      <c r="KDF96" s="4"/>
      <c r="KDG96" s="4"/>
      <c r="KDH96" s="4"/>
      <c r="KDI96" s="4"/>
      <c r="KDJ96" s="4"/>
      <c r="KDK96" s="4"/>
      <c r="KDL96" s="4"/>
      <c r="KDM96" s="4"/>
      <c r="KDN96" s="4"/>
      <c r="KDO96" s="4"/>
      <c r="KDP96" s="4"/>
      <c r="KDQ96" s="4"/>
      <c r="KDR96" s="4"/>
      <c r="KDS96" s="4"/>
      <c r="KDT96" s="4"/>
      <c r="KDU96" s="4"/>
      <c r="KDV96" s="4"/>
      <c r="KDW96" s="4"/>
      <c r="KDX96" s="4"/>
      <c r="KDY96" s="4"/>
      <c r="KDZ96" s="4"/>
      <c r="KEA96" s="4"/>
      <c r="KEB96" s="4"/>
      <c r="KEC96" s="4"/>
      <c r="KED96" s="4"/>
      <c r="KEE96" s="4"/>
      <c r="KEF96" s="4"/>
      <c r="KEG96" s="4"/>
      <c r="KEH96" s="4"/>
      <c r="KEI96" s="4"/>
      <c r="KEJ96" s="4"/>
      <c r="KEK96" s="4"/>
      <c r="KEL96" s="4"/>
      <c r="KEM96" s="4"/>
      <c r="KEN96" s="4"/>
      <c r="KEO96" s="4"/>
      <c r="KEP96" s="4"/>
      <c r="KEQ96" s="4"/>
      <c r="KER96" s="4"/>
      <c r="KES96" s="4"/>
      <c r="KET96" s="4"/>
      <c r="KEU96" s="4"/>
      <c r="KEV96" s="4"/>
      <c r="KEW96" s="4"/>
      <c r="KEX96" s="4"/>
      <c r="KEY96" s="4"/>
      <c r="KEZ96" s="4"/>
      <c r="KFA96" s="4"/>
      <c r="KFB96" s="4"/>
      <c r="KFC96" s="4"/>
      <c r="KFD96" s="4"/>
      <c r="KFE96" s="4"/>
      <c r="KFF96" s="4"/>
      <c r="KFG96" s="4"/>
      <c r="KFH96" s="4"/>
      <c r="KFI96" s="4"/>
      <c r="KFJ96" s="4"/>
      <c r="KFK96" s="4"/>
      <c r="KFL96" s="4"/>
      <c r="KFM96" s="4"/>
      <c r="KFN96" s="4"/>
      <c r="KFO96" s="4"/>
      <c r="KFP96" s="4"/>
      <c r="KFQ96" s="4"/>
      <c r="KFR96" s="4"/>
      <c r="KFS96" s="4"/>
      <c r="KFT96" s="4"/>
      <c r="KFU96" s="4"/>
      <c r="KFV96" s="4"/>
      <c r="KFW96" s="4"/>
      <c r="KFX96" s="4"/>
      <c r="KFY96" s="4"/>
      <c r="KFZ96" s="4"/>
      <c r="KGA96" s="4"/>
      <c r="KGB96" s="4"/>
      <c r="KGC96" s="4"/>
      <c r="KGD96" s="4"/>
      <c r="KGE96" s="4"/>
      <c r="KGF96" s="4"/>
      <c r="KGG96" s="4"/>
      <c r="KGH96" s="4"/>
      <c r="KGI96" s="4"/>
      <c r="KGJ96" s="4"/>
      <c r="KGK96" s="4"/>
      <c r="KGL96" s="4"/>
      <c r="KGM96" s="4"/>
      <c r="KGN96" s="4"/>
      <c r="KGO96" s="4"/>
      <c r="KGP96" s="4"/>
      <c r="KGQ96" s="4"/>
      <c r="KGR96" s="4"/>
      <c r="KGS96" s="4"/>
      <c r="KGT96" s="4"/>
      <c r="KGU96" s="4"/>
      <c r="KGV96" s="4"/>
      <c r="KGW96" s="4"/>
      <c r="KGX96" s="4"/>
      <c r="KGY96" s="4"/>
      <c r="KGZ96" s="4"/>
      <c r="KHA96" s="4"/>
      <c r="KHB96" s="4"/>
      <c r="KHC96" s="4"/>
      <c r="KHD96" s="4"/>
      <c r="KHE96" s="4"/>
      <c r="KHF96" s="4"/>
      <c r="KHG96" s="4"/>
      <c r="KHH96" s="4"/>
      <c r="KHI96" s="4"/>
      <c r="KHJ96" s="4"/>
      <c r="KHK96" s="4"/>
      <c r="KHL96" s="4"/>
      <c r="KHM96" s="4"/>
      <c r="KHN96" s="4"/>
      <c r="KHO96" s="4"/>
      <c r="KHP96" s="4"/>
      <c r="KHQ96" s="4"/>
      <c r="KHR96" s="4"/>
      <c r="KHS96" s="4"/>
      <c r="KHT96" s="4"/>
      <c r="KHU96" s="4"/>
      <c r="KHV96" s="4"/>
      <c r="KHW96" s="4"/>
      <c r="KHX96" s="4"/>
      <c r="KHY96" s="4"/>
      <c r="KHZ96" s="4"/>
      <c r="KIA96" s="4"/>
      <c r="KIB96" s="4"/>
      <c r="KIC96" s="4"/>
      <c r="KID96" s="4"/>
      <c r="KIE96" s="4"/>
      <c r="KIF96" s="4"/>
      <c r="KIG96" s="4"/>
      <c r="KIH96" s="4"/>
      <c r="KII96" s="4"/>
      <c r="KIJ96" s="4"/>
      <c r="KIK96" s="4"/>
      <c r="KIL96" s="4"/>
      <c r="KIM96" s="4"/>
      <c r="KIN96" s="4"/>
      <c r="KIO96" s="4"/>
      <c r="KIP96" s="4"/>
      <c r="KIQ96" s="4"/>
      <c r="KIR96" s="4"/>
      <c r="KIS96" s="4"/>
      <c r="KIT96" s="4"/>
      <c r="KIU96" s="4"/>
      <c r="KIV96" s="4"/>
      <c r="KIW96" s="4"/>
      <c r="KIX96" s="4"/>
      <c r="KIY96" s="4"/>
      <c r="KIZ96" s="4"/>
      <c r="KJA96" s="4"/>
      <c r="KJB96" s="4"/>
      <c r="KJC96" s="4"/>
      <c r="KJD96" s="4"/>
      <c r="KJE96" s="4"/>
      <c r="KJF96" s="4"/>
      <c r="KJG96" s="4"/>
      <c r="KJH96" s="4"/>
      <c r="KJI96" s="4"/>
      <c r="KJJ96" s="4"/>
      <c r="KJK96" s="4"/>
      <c r="KJL96" s="4"/>
      <c r="KJM96" s="4"/>
      <c r="KJN96" s="4"/>
      <c r="KJO96" s="4"/>
      <c r="KJP96" s="4"/>
      <c r="KJQ96" s="4"/>
      <c r="KJR96" s="4"/>
      <c r="KJS96" s="4"/>
      <c r="KJT96" s="4"/>
      <c r="KJU96" s="4"/>
      <c r="KJV96" s="4"/>
      <c r="KJW96" s="4"/>
      <c r="KJX96" s="4"/>
      <c r="KJY96" s="4"/>
      <c r="KJZ96" s="4"/>
      <c r="KKA96" s="4"/>
      <c r="KKB96" s="4"/>
      <c r="KKC96" s="4"/>
      <c r="KKD96" s="4"/>
      <c r="KKE96" s="4"/>
      <c r="KKF96" s="4"/>
      <c r="KKG96" s="4"/>
      <c r="KKH96" s="4"/>
      <c r="KKI96" s="4"/>
      <c r="KKJ96" s="4"/>
      <c r="KKK96" s="4"/>
      <c r="KKL96" s="4"/>
      <c r="KKM96" s="4"/>
      <c r="KKN96" s="4"/>
      <c r="KKO96" s="4"/>
      <c r="KKP96" s="4"/>
      <c r="KKQ96" s="4"/>
      <c r="KKR96" s="4"/>
      <c r="KKS96" s="4"/>
      <c r="KKT96" s="4"/>
      <c r="KKU96" s="4"/>
      <c r="KKV96" s="4"/>
      <c r="KKW96" s="4"/>
      <c r="KKX96" s="4"/>
      <c r="KKY96" s="4"/>
      <c r="KKZ96" s="4"/>
      <c r="KLA96" s="4"/>
      <c r="KLB96" s="4"/>
      <c r="KLC96" s="4"/>
      <c r="KLD96" s="4"/>
      <c r="KLE96" s="4"/>
      <c r="KLF96" s="4"/>
      <c r="KLG96" s="4"/>
      <c r="KLH96" s="4"/>
      <c r="KLI96" s="4"/>
      <c r="KLJ96" s="4"/>
      <c r="KLK96" s="4"/>
      <c r="KLL96" s="4"/>
      <c r="KLM96" s="4"/>
      <c r="KLN96" s="4"/>
      <c r="KLO96" s="4"/>
      <c r="KLP96" s="4"/>
      <c r="KLQ96" s="4"/>
      <c r="KLR96" s="4"/>
      <c r="KLS96" s="4"/>
      <c r="KLT96" s="4"/>
      <c r="KLU96" s="4"/>
      <c r="KLV96" s="4"/>
      <c r="KLW96" s="4"/>
      <c r="KLX96" s="4"/>
      <c r="KLY96" s="4"/>
      <c r="KLZ96" s="4"/>
      <c r="KMA96" s="4"/>
      <c r="KMB96" s="4"/>
      <c r="KMC96" s="4"/>
      <c r="KMD96" s="4"/>
      <c r="KME96" s="4"/>
      <c r="KMF96" s="4"/>
      <c r="KMG96" s="4"/>
      <c r="KMH96" s="4"/>
      <c r="KMI96" s="4"/>
      <c r="KMJ96" s="4"/>
      <c r="KMK96" s="4"/>
      <c r="KML96" s="4"/>
      <c r="KMM96" s="4"/>
      <c r="KMN96" s="4"/>
      <c r="KMO96" s="4"/>
      <c r="KMP96" s="4"/>
      <c r="KMQ96" s="4"/>
      <c r="KMR96" s="4"/>
      <c r="KMS96" s="4"/>
      <c r="KMT96" s="4"/>
      <c r="KMU96" s="4"/>
      <c r="KMV96" s="4"/>
      <c r="KMW96" s="4"/>
      <c r="KMX96" s="4"/>
      <c r="KMY96" s="4"/>
      <c r="KMZ96" s="4"/>
      <c r="KNA96" s="4"/>
      <c r="KNB96" s="4"/>
      <c r="KNC96" s="4"/>
      <c r="KND96" s="4"/>
      <c r="KNE96" s="4"/>
      <c r="KNF96" s="4"/>
      <c r="KNG96" s="4"/>
      <c r="KNH96" s="4"/>
      <c r="KNI96" s="4"/>
      <c r="KNJ96" s="4"/>
      <c r="KNK96" s="4"/>
      <c r="KNL96" s="4"/>
      <c r="KNM96" s="4"/>
      <c r="KNN96" s="4"/>
      <c r="KNO96" s="4"/>
      <c r="KNP96" s="4"/>
      <c r="KNQ96" s="4"/>
      <c r="KNR96" s="4"/>
      <c r="KNS96" s="4"/>
      <c r="KNT96" s="4"/>
      <c r="KNU96" s="4"/>
      <c r="KNV96" s="4"/>
      <c r="KNW96" s="4"/>
      <c r="KNX96" s="4"/>
      <c r="KNY96" s="4"/>
      <c r="KNZ96" s="4"/>
      <c r="KOA96" s="4"/>
      <c r="KOB96" s="4"/>
      <c r="KOC96" s="4"/>
      <c r="KOD96" s="4"/>
      <c r="KOE96" s="4"/>
      <c r="KOF96" s="4"/>
      <c r="KOG96" s="4"/>
      <c r="KOH96" s="4"/>
      <c r="KOI96" s="4"/>
      <c r="KOJ96" s="4"/>
      <c r="KOK96" s="4"/>
      <c r="KOL96" s="4"/>
      <c r="KOM96" s="4"/>
      <c r="KON96" s="4"/>
      <c r="KOO96" s="4"/>
      <c r="KOP96" s="4"/>
      <c r="KOQ96" s="4"/>
      <c r="KOR96" s="4"/>
      <c r="KOS96" s="4"/>
      <c r="KOT96" s="4"/>
      <c r="KOU96" s="4"/>
      <c r="KOV96" s="4"/>
      <c r="KOW96" s="4"/>
      <c r="KOX96" s="4"/>
      <c r="KOY96" s="4"/>
      <c r="KOZ96" s="4"/>
      <c r="KPA96" s="4"/>
      <c r="KPB96" s="4"/>
      <c r="KPC96" s="4"/>
      <c r="KPD96" s="4"/>
      <c r="KPE96" s="4"/>
      <c r="KPF96" s="4"/>
      <c r="KPG96" s="4"/>
      <c r="KPH96" s="4"/>
      <c r="KPI96" s="4"/>
      <c r="KPJ96" s="4"/>
      <c r="KPK96" s="4"/>
      <c r="KPL96" s="4"/>
      <c r="KPM96" s="4"/>
      <c r="KPN96" s="4"/>
      <c r="KPO96" s="4"/>
      <c r="KPP96" s="4"/>
      <c r="KPQ96" s="4"/>
      <c r="KPR96" s="4"/>
      <c r="KPS96" s="4"/>
      <c r="KPT96" s="4"/>
      <c r="KPU96" s="4"/>
      <c r="KPV96" s="4"/>
      <c r="KPW96" s="4"/>
      <c r="KPX96" s="4"/>
      <c r="KPY96" s="4"/>
      <c r="KPZ96" s="4"/>
      <c r="KQA96" s="4"/>
      <c r="KQB96" s="4"/>
      <c r="KQC96" s="4"/>
      <c r="KQD96" s="4"/>
      <c r="KQE96" s="4"/>
      <c r="KQF96" s="4"/>
      <c r="KQG96" s="4"/>
      <c r="KQH96" s="4"/>
      <c r="KQI96" s="4"/>
      <c r="KQJ96" s="4"/>
      <c r="KQK96" s="4"/>
      <c r="KQL96" s="4"/>
      <c r="KQM96" s="4"/>
      <c r="KQN96" s="4"/>
      <c r="KQO96" s="4"/>
      <c r="KQP96" s="4"/>
      <c r="KQQ96" s="4"/>
      <c r="KQR96" s="4"/>
      <c r="KQS96" s="4"/>
      <c r="KQT96" s="4"/>
      <c r="KQU96" s="4"/>
      <c r="KQV96" s="4"/>
      <c r="KQW96" s="4"/>
      <c r="KQX96" s="4"/>
      <c r="KQY96" s="4"/>
      <c r="KQZ96" s="4"/>
      <c r="KRA96" s="4"/>
      <c r="KRB96" s="4"/>
      <c r="KRC96" s="4"/>
      <c r="KRD96" s="4"/>
      <c r="KRE96" s="4"/>
      <c r="KRF96" s="4"/>
      <c r="KRG96" s="4"/>
      <c r="KRH96" s="4"/>
      <c r="KRI96" s="4"/>
      <c r="KRJ96" s="4"/>
      <c r="KRK96" s="4"/>
      <c r="KRL96" s="4"/>
      <c r="KRM96" s="4"/>
      <c r="KRN96" s="4"/>
      <c r="KRO96" s="4"/>
      <c r="KRP96" s="4"/>
      <c r="KRQ96" s="4"/>
      <c r="KRR96" s="4"/>
      <c r="KRS96" s="4"/>
      <c r="KRT96" s="4"/>
      <c r="KRU96" s="4"/>
      <c r="KRV96" s="4"/>
      <c r="KRW96" s="4"/>
      <c r="KRX96" s="4"/>
      <c r="KRY96" s="4"/>
      <c r="KRZ96" s="4"/>
      <c r="KSA96" s="4"/>
      <c r="KSB96" s="4"/>
      <c r="KSC96" s="4"/>
      <c r="KSD96" s="4"/>
      <c r="KSE96" s="4"/>
      <c r="KSF96" s="4"/>
      <c r="KSG96" s="4"/>
      <c r="KSH96" s="4"/>
      <c r="KSI96" s="4"/>
      <c r="KSJ96" s="4"/>
      <c r="KSK96" s="4"/>
      <c r="KSL96" s="4"/>
      <c r="KSM96" s="4"/>
      <c r="KSN96" s="4"/>
      <c r="KSO96" s="4"/>
      <c r="KSP96" s="4"/>
      <c r="KSQ96" s="4"/>
      <c r="KSR96" s="4"/>
      <c r="KSS96" s="4"/>
      <c r="KST96" s="4"/>
      <c r="KSU96" s="4"/>
      <c r="KSV96" s="4"/>
      <c r="KSW96" s="4"/>
      <c r="KSX96" s="4"/>
      <c r="KSY96" s="4"/>
      <c r="KSZ96" s="4"/>
      <c r="KTA96" s="4"/>
      <c r="KTB96" s="4"/>
      <c r="KTC96" s="4"/>
      <c r="KTD96" s="4"/>
      <c r="KTE96" s="4"/>
      <c r="KTF96" s="4"/>
      <c r="KTG96" s="4"/>
      <c r="KTH96" s="4"/>
      <c r="KTI96" s="4"/>
      <c r="KTJ96" s="4"/>
      <c r="KTK96" s="4"/>
      <c r="KTL96" s="4"/>
      <c r="KTM96" s="4"/>
      <c r="KTN96" s="4"/>
      <c r="KTO96" s="4"/>
      <c r="KTP96" s="4"/>
      <c r="KTQ96" s="4"/>
      <c r="KTR96" s="4"/>
      <c r="KTS96" s="4"/>
      <c r="KTT96" s="4"/>
      <c r="KTU96" s="4"/>
      <c r="KTV96" s="4"/>
      <c r="KTW96" s="4"/>
      <c r="KTX96" s="4"/>
      <c r="KTY96" s="4"/>
      <c r="KTZ96" s="4"/>
      <c r="KUA96" s="4"/>
      <c r="KUB96" s="4"/>
      <c r="KUC96" s="4"/>
      <c r="KUD96" s="4"/>
      <c r="KUE96" s="4"/>
      <c r="KUF96" s="4"/>
      <c r="KUG96" s="4"/>
      <c r="KUH96" s="4"/>
      <c r="KUI96" s="4"/>
      <c r="KUJ96" s="4"/>
      <c r="KUK96" s="4"/>
      <c r="KUL96" s="4"/>
      <c r="KUM96" s="4"/>
      <c r="KUN96" s="4"/>
      <c r="KUO96" s="4"/>
      <c r="KUP96" s="4"/>
      <c r="KUQ96" s="4"/>
      <c r="KUR96" s="4"/>
      <c r="KUS96" s="4"/>
      <c r="KUT96" s="4"/>
      <c r="KUU96" s="4"/>
      <c r="KUV96" s="4"/>
      <c r="KUW96" s="4"/>
      <c r="KUX96" s="4"/>
      <c r="KUY96" s="4"/>
      <c r="KUZ96" s="4"/>
      <c r="KVA96" s="4"/>
      <c r="KVB96" s="4"/>
      <c r="KVC96" s="4"/>
      <c r="KVD96" s="4"/>
      <c r="KVE96" s="4"/>
      <c r="KVF96" s="4"/>
      <c r="KVG96" s="4"/>
      <c r="KVH96" s="4"/>
      <c r="KVI96" s="4"/>
      <c r="KVJ96" s="4"/>
      <c r="KVK96" s="4"/>
      <c r="KVL96" s="4"/>
      <c r="KVM96" s="4"/>
      <c r="KVN96" s="4"/>
      <c r="KVO96" s="4"/>
      <c r="KVP96" s="4"/>
      <c r="KVQ96" s="4"/>
      <c r="KVR96" s="4"/>
      <c r="KVS96" s="4"/>
      <c r="KVT96" s="4"/>
      <c r="KVU96" s="4"/>
      <c r="KVV96" s="4"/>
      <c r="KVW96" s="4"/>
      <c r="KVX96" s="4"/>
      <c r="KVY96" s="4"/>
      <c r="KVZ96" s="4"/>
      <c r="KWA96" s="4"/>
      <c r="KWB96" s="4"/>
      <c r="KWC96" s="4"/>
      <c r="KWD96" s="4"/>
      <c r="KWE96" s="4"/>
      <c r="KWF96" s="4"/>
      <c r="KWG96" s="4"/>
      <c r="KWH96" s="4"/>
      <c r="KWI96" s="4"/>
      <c r="KWJ96" s="4"/>
      <c r="KWK96" s="4"/>
      <c r="KWL96" s="4"/>
      <c r="KWM96" s="4"/>
      <c r="KWN96" s="4"/>
      <c r="KWO96" s="4"/>
      <c r="KWP96" s="4"/>
      <c r="KWQ96" s="4"/>
      <c r="KWR96" s="4"/>
      <c r="KWS96" s="4"/>
      <c r="KWT96" s="4"/>
      <c r="KWU96" s="4"/>
      <c r="KWV96" s="4"/>
      <c r="KWW96" s="4"/>
      <c r="KWX96" s="4"/>
      <c r="KWY96" s="4"/>
      <c r="KWZ96" s="4"/>
      <c r="KXA96" s="4"/>
      <c r="KXB96" s="4"/>
      <c r="KXC96" s="4"/>
      <c r="KXD96" s="4"/>
      <c r="KXE96" s="4"/>
      <c r="KXF96" s="4"/>
      <c r="KXG96" s="4"/>
      <c r="KXH96" s="4"/>
      <c r="KXI96" s="4"/>
      <c r="KXJ96" s="4"/>
      <c r="KXK96" s="4"/>
      <c r="KXL96" s="4"/>
      <c r="KXM96" s="4"/>
      <c r="KXN96" s="4"/>
      <c r="KXO96" s="4"/>
      <c r="KXP96" s="4"/>
      <c r="KXQ96" s="4"/>
      <c r="KXR96" s="4"/>
      <c r="KXS96" s="4"/>
      <c r="KXT96" s="4"/>
      <c r="KXU96" s="4"/>
      <c r="KXV96" s="4"/>
      <c r="KXW96" s="4"/>
      <c r="KXX96" s="4"/>
      <c r="KXY96" s="4"/>
      <c r="KXZ96" s="4"/>
      <c r="KYA96" s="4"/>
      <c r="KYB96" s="4"/>
      <c r="KYC96" s="4"/>
      <c r="KYD96" s="4"/>
      <c r="KYE96" s="4"/>
      <c r="KYF96" s="4"/>
      <c r="KYG96" s="4"/>
      <c r="KYH96" s="4"/>
      <c r="KYI96" s="4"/>
      <c r="KYJ96" s="4"/>
      <c r="KYK96" s="4"/>
      <c r="KYL96" s="4"/>
      <c r="KYM96" s="4"/>
      <c r="KYN96" s="4"/>
      <c r="KYO96" s="4"/>
      <c r="KYP96" s="4"/>
      <c r="KYQ96" s="4"/>
      <c r="KYR96" s="4"/>
      <c r="KYS96" s="4"/>
      <c r="KYT96" s="4"/>
      <c r="KYU96" s="4"/>
      <c r="KYV96" s="4"/>
      <c r="KYW96" s="4"/>
      <c r="KYX96" s="4"/>
      <c r="KYY96" s="4"/>
      <c r="KYZ96" s="4"/>
      <c r="KZA96" s="4"/>
      <c r="KZB96" s="4"/>
      <c r="KZC96" s="4"/>
      <c r="KZD96" s="4"/>
      <c r="KZE96" s="4"/>
      <c r="KZF96" s="4"/>
      <c r="KZG96" s="4"/>
      <c r="KZH96" s="4"/>
      <c r="KZI96" s="4"/>
      <c r="KZJ96" s="4"/>
      <c r="KZK96" s="4"/>
      <c r="KZL96" s="4"/>
      <c r="KZM96" s="4"/>
      <c r="KZN96" s="4"/>
      <c r="KZO96" s="4"/>
      <c r="KZP96" s="4"/>
      <c r="KZQ96" s="4"/>
      <c r="KZR96" s="4"/>
      <c r="KZS96" s="4"/>
      <c r="KZT96" s="4"/>
      <c r="KZU96" s="4"/>
      <c r="KZV96" s="4"/>
      <c r="KZW96" s="4"/>
      <c r="KZX96" s="4"/>
      <c r="KZY96" s="4"/>
      <c r="KZZ96" s="4"/>
      <c r="LAA96" s="4"/>
      <c r="LAB96" s="4"/>
      <c r="LAC96" s="4"/>
      <c r="LAD96" s="4"/>
      <c r="LAE96" s="4"/>
      <c r="LAF96" s="4"/>
      <c r="LAG96" s="4"/>
      <c r="LAH96" s="4"/>
      <c r="LAI96" s="4"/>
      <c r="LAJ96" s="4"/>
      <c r="LAK96" s="4"/>
      <c r="LAL96" s="4"/>
      <c r="LAM96" s="4"/>
      <c r="LAN96" s="4"/>
      <c r="LAO96" s="4"/>
      <c r="LAP96" s="4"/>
      <c r="LAQ96" s="4"/>
      <c r="LAR96" s="4"/>
      <c r="LAS96" s="4"/>
      <c r="LAT96" s="4"/>
      <c r="LAU96" s="4"/>
      <c r="LAV96" s="4"/>
      <c r="LAW96" s="4"/>
      <c r="LAX96" s="4"/>
      <c r="LAY96" s="4"/>
      <c r="LAZ96" s="4"/>
      <c r="LBA96" s="4"/>
      <c r="LBB96" s="4"/>
      <c r="LBC96" s="4"/>
      <c r="LBD96" s="4"/>
      <c r="LBE96" s="4"/>
      <c r="LBF96" s="4"/>
      <c r="LBG96" s="4"/>
      <c r="LBH96" s="4"/>
      <c r="LBI96" s="4"/>
      <c r="LBJ96" s="4"/>
      <c r="LBK96" s="4"/>
      <c r="LBL96" s="4"/>
      <c r="LBM96" s="4"/>
      <c r="LBN96" s="4"/>
      <c r="LBO96" s="4"/>
      <c r="LBP96" s="4"/>
      <c r="LBQ96" s="4"/>
      <c r="LBR96" s="4"/>
      <c r="LBS96" s="4"/>
      <c r="LBT96" s="4"/>
      <c r="LBU96" s="4"/>
      <c r="LBV96" s="4"/>
      <c r="LBW96" s="4"/>
      <c r="LBX96" s="4"/>
      <c r="LBY96" s="4"/>
      <c r="LBZ96" s="4"/>
      <c r="LCA96" s="4"/>
      <c r="LCB96" s="4"/>
      <c r="LCC96" s="4"/>
      <c r="LCD96" s="4"/>
      <c r="LCE96" s="4"/>
      <c r="LCF96" s="4"/>
      <c r="LCG96" s="4"/>
      <c r="LCH96" s="4"/>
      <c r="LCI96" s="4"/>
      <c r="LCJ96" s="4"/>
      <c r="LCK96" s="4"/>
      <c r="LCL96" s="4"/>
      <c r="LCM96" s="4"/>
      <c r="LCN96" s="4"/>
      <c r="LCO96" s="4"/>
      <c r="LCP96" s="4"/>
      <c r="LCQ96" s="4"/>
      <c r="LCR96" s="4"/>
      <c r="LCS96" s="4"/>
      <c r="LCT96" s="4"/>
      <c r="LCU96" s="4"/>
      <c r="LCV96" s="4"/>
      <c r="LCW96" s="4"/>
      <c r="LCX96" s="4"/>
      <c r="LCY96" s="4"/>
      <c r="LCZ96" s="4"/>
      <c r="LDA96" s="4"/>
      <c r="LDB96" s="4"/>
      <c r="LDC96" s="4"/>
      <c r="LDD96" s="4"/>
      <c r="LDE96" s="4"/>
      <c r="LDF96" s="4"/>
      <c r="LDG96" s="4"/>
      <c r="LDH96" s="4"/>
      <c r="LDI96" s="4"/>
      <c r="LDJ96" s="4"/>
      <c r="LDK96" s="4"/>
      <c r="LDL96" s="4"/>
      <c r="LDM96" s="4"/>
      <c r="LDN96" s="4"/>
      <c r="LDO96" s="4"/>
      <c r="LDP96" s="4"/>
      <c r="LDQ96" s="4"/>
      <c r="LDR96" s="4"/>
      <c r="LDS96" s="4"/>
      <c r="LDT96" s="4"/>
      <c r="LDU96" s="4"/>
      <c r="LDV96" s="4"/>
      <c r="LDW96" s="4"/>
      <c r="LDX96" s="4"/>
      <c r="LDY96" s="4"/>
      <c r="LDZ96" s="4"/>
      <c r="LEA96" s="4"/>
      <c r="LEB96" s="4"/>
      <c r="LEC96" s="4"/>
      <c r="LED96" s="4"/>
      <c r="LEE96" s="4"/>
      <c r="LEF96" s="4"/>
      <c r="LEG96" s="4"/>
      <c r="LEH96" s="4"/>
      <c r="LEI96" s="4"/>
      <c r="LEJ96" s="4"/>
      <c r="LEK96" s="4"/>
      <c r="LEL96" s="4"/>
      <c r="LEM96" s="4"/>
      <c r="LEN96" s="4"/>
      <c r="LEO96" s="4"/>
      <c r="LEP96" s="4"/>
      <c r="LEQ96" s="4"/>
      <c r="LER96" s="4"/>
      <c r="LES96" s="4"/>
      <c r="LET96" s="4"/>
      <c r="LEU96" s="4"/>
      <c r="LEV96" s="4"/>
      <c r="LEW96" s="4"/>
      <c r="LEX96" s="4"/>
      <c r="LEY96" s="4"/>
      <c r="LEZ96" s="4"/>
      <c r="LFA96" s="4"/>
      <c r="LFB96" s="4"/>
      <c r="LFC96" s="4"/>
      <c r="LFD96" s="4"/>
      <c r="LFE96" s="4"/>
      <c r="LFF96" s="4"/>
      <c r="LFG96" s="4"/>
      <c r="LFH96" s="4"/>
      <c r="LFI96" s="4"/>
      <c r="LFJ96" s="4"/>
      <c r="LFK96" s="4"/>
      <c r="LFL96" s="4"/>
      <c r="LFM96" s="4"/>
      <c r="LFN96" s="4"/>
      <c r="LFO96" s="4"/>
      <c r="LFP96" s="4"/>
      <c r="LFQ96" s="4"/>
      <c r="LFR96" s="4"/>
      <c r="LFS96" s="4"/>
      <c r="LFT96" s="4"/>
      <c r="LFU96" s="4"/>
      <c r="LFV96" s="4"/>
      <c r="LFW96" s="4"/>
      <c r="LFX96" s="4"/>
      <c r="LFY96" s="4"/>
      <c r="LFZ96" s="4"/>
      <c r="LGA96" s="4"/>
      <c r="LGB96" s="4"/>
      <c r="LGC96" s="4"/>
      <c r="LGD96" s="4"/>
      <c r="LGE96" s="4"/>
      <c r="LGF96" s="4"/>
      <c r="LGG96" s="4"/>
      <c r="LGH96" s="4"/>
      <c r="LGI96" s="4"/>
      <c r="LGJ96" s="4"/>
      <c r="LGK96" s="4"/>
      <c r="LGL96" s="4"/>
      <c r="LGM96" s="4"/>
      <c r="LGN96" s="4"/>
      <c r="LGO96" s="4"/>
      <c r="LGP96" s="4"/>
      <c r="LGQ96" s="4"/>
      <c r="LGR96" s="4"/>
      <c r="LGS96" s="4"/>
      <c r="LGT96" s="4"/>
      <c r="LGU96" s="4"/>
      <c r="LGV96" s="4"/>
      <c r="LGW96" s="4"/>
      <c r="LGX96" s="4"/>
      <c r="LGY96" s="4"/>
      <c r="LGZ96" s="4"/>
      <c r="LHA96" s="4"/>
      <c r="LHB96" s="4"/>
      <c r="LHC96" s="4"/>
      <c r="LHD96" s="4"/>
      <c r="LHE96" s="4"/>
      <c r="LHF96" s="4"/>
      <c r="LHG96" s="4"/>
      <c r="LHH96" s="4"/>
      <c r="LHI96" s="4"/>
      <c r="LHJ96" s="4"/>
      <c r="LHK96" s="4"/>
      <c r="LHL96" s="4"/>
      <c r="LHM96" s="4"/>
      <c r="LHN96" s="4"/>
      <c r="LHO96" s="4"/>
      <c r="LHP96" s="4"/>
      <c r="LHQ96" s="4"/>
      <c r="LHR96" s="4"/>
      <c r="LHS96" s="4"/>
      <c r="LHT96" s="4"/>
      <c r="LHU96" s="4"/>
      <c r="LHV96" s="4"/>
      <c r="LHW96" s="4"/>
      <c r="LHX96" s="4"/>
      <c r="LHY96" s="4"/>
      <c r="LHZ96" s="4"/>
      <c r="LIA96" s="4"/>
      <c r="LIB96" s="4"/>
      <c r="LIC96" s="4"/>
      <c r="LID96" s="4"/>
      <c r="LIE96" s="4"/>
      <c r="LIF96" s="4"/>
      <c r="LIG96" s="4"/>
      <c r="LIH96" s="4"/>
      <c r="LII96" s="4"/>
      <c r="LIJ96" s="4"/>
      <c r="LIK96" s="4"/>
      <c r="LIL96" s="4"/>
      <c r="LIM96" s="4"/>
      <c r="LIN96" s="4"/>
      <c r="LIO96" s="4"/>
      <c r="LIP96" s="4"/>
      <c r="LIQ96" s="4"/>
      <c r="LIR96" s="4"/>
      <c r="LIS96" s="4"/>
      <c r="LIT96" s="4"/>
      <c r="LIU96" s="4"/>
      <c r="LIV96" s="4"/>
      <c r="LIW96" s="4"/>
      <c r="LIX96" s="4"/>
      <c r="LIY96" s="4"/>
      <c r="LIZ96" s="4"/>
      <c r="LJA96" s="4"/>
      <c r="LJB96" s="4"/>
      <c r="LJC96" s="4"/>
      <c r="LJD96" s="4"/>
      <c r="LJE96" s="4"/>
      <c r="LJF96" s="4"/>
      <c r="LJG96" s="4"/>
      <c r="LJH96" s="4"/>
      <c r="LJI96" s="4"/>
      <c r="LJJ96" s="4"/>
      <c r="LJK96" s="4"/>
      <c r="LJL96" s="4"/>
      <c r="LJM96" s="4"/>
      <c r="LJN96" s="4"/>
      <c r="LJO96" s="4"/>
      <c r="LJP96" s="4"/>
      <c r="LJQ96" s="4"/>
      <c r="LJR96" s="4"/>
      <c r="LJS96" s="4"/>
      <c r="LJT96" s="4"/>
      <c r="LJU96" s="4"/>
      <c r="LJV96" s="4"/>
      <c r="LJW96" s="4"/>
      <c r="LJX96" s="4"/>
      <c r="LJY96" s="4"/>
      <c r="LJZ96" s="4"/>
      <c r="LKA96" s="4"/>
      <c r="LKB96" s="4"/>
      <c r="LKC96" s="4"/>
      <c r="LKD96" s="4"/>
      <c r="LKE96" s="4"/>
      <c r="LKF96" s="4"/>
      <c r="LKG96" s="4"/>
      <c r="LKH96" s="4"/>
      <c r="LKI96" s="4"/>
      <c r="LKJ96" s="4"/>
      <c r="LKK96" s="4"/>
      <c r="LKL96" s="4"/>
      <c r="LKM96" s="4"/>
      <c r="LKN96" s="4"/>
      <c r="LKO96" s="4"/>
      <c r="LKP96" s="4"/>
      <c r="LKQ96" s="4"/>
      <c r="LKR96" s="4"/>
      <c r="LKS96" s="4"/>
      <c r="LKT96" s="4"/>
      <c r="LKU96" s="4"/>
      <c r="LKV96" s="4"/>
      <c r="LKW96" s="4"/>
      <c r="LKX96" s="4"/>
      <c r="LKY96" s="4"/>
      <c r="LKZ96" s="4"/>
      <c r="LLA96" s="4"/>
      <c r="LLB96" s="4"/>
      <c r="LLC96" s="4"/>
      <c r="LLD96" s="4"/>
      <c r="LLE96" s="4"/>
      <c r="LLF96" s="4"/>
      <c r="LLG96" s="4"/>
      <c r="LLH96" s="4"/>
      <c r="LLI96" s="4"/>
      <c r="LLJ96" s="4"/>
      <c r="LLK96" s="4"/>
      <c r="LLL96" s="4"/>
      <c r="LLM96" s="4"/>
      <c r="LLN96" s="4"/>
      <c r="LLO96" s="4"/>
      <c r="LLP96" s="4"/>
      <c r="LLQ96" s="4"/>
      <c r="LLR96" s="4"/>
      <c r="LLS96" s="4"/>
      <c r="LLT96" s="4"/>
      <c r="LLU96" s="4"/>
      <c r="LLV96" s="4"/>
      <c r="LLW96" s="4"/>
      <c r="LLX96" s="4"/>
      <c r="LLY96" s="4"/>
      <c r="LLZ96" s="4"/>
      <c r="LMA96" s="4"/>
      <c r="LMB96" s="4"/>
      <c r="LMC96" s="4"/>
      <c r="LMD96" s="4"/>
      <c r="LME96" s="4"/>
      <c r="LMF96" s="4"/>
      <c r="LMG96" s="4"/>
      <c r="LMH96" s="4"/>
      <c r="LMI96" s="4"/>
      <c r="LMJ96" s="4"/>
      <c r="LMK96" s="4"/>
      <c r="LML96" s="4"/>
      <c r="LMM96" s="4"/>
      <c r="LMN96" s="4"/>
      <c r="LMO96" s="4"/>
      <c r="LMP96" s="4"/>
      <c r="LMQ96" s="4"/>
      <c r="LMR96" s="4"/>
      <c r="LMS96" s="4"/>
      <c r="LMT96" s="4"/>
      <c r="LMU96" s="4"/>
      <c r="LMV96" s="4"/>
      <c r="LMW96" s="4"/>
      <c r="LMX96" s="4"/>
      <c r="LMY96" s="4"/>
      <c r="LMZ96" s="4"/>
      <c r="LNA96" s="4"/>
      <c r="LNB96" s="4"/>
      <c r="LNC96" s="4"/>
      <c r="LND96" s="4"/>
      <c r="LNE96" s="4"/>
      <c r="LNF96" s="4"/>
      <c r="LNG96" s="4"/>
      <c r="LNH96" s="4"/>
      <c r="LNI96" s="4"/>
      <c r="LNJ96" s="4"/>
      <c r="LNK96" s="4"/>
      <c r="LNL96" s="4"/>
      <c r="LNM96" s="4"/>
      <c r="LNN96" s="4"/>
      <c r="LNO96" s="4"/>
      <c r="LNP96" s="4"/>
      <c r="LNQ96" s="4"/>
      <c r="LNR96" s="4"/>
      <c r="LNS96" s="4"/>
      <c r="LNT96" s="4"/>
      <c r="LNU96" s="4"/>
      <c r="LNV96" s="4"/>
      <c r="LNW96" s="4"/>
      <c r="LNX96" s="4"/>
      <c r="LNY96" s="4"/>
      <c r="LNZ96" s="4"/>
      <c r="LOA96" s="4"/>
      <c r="LOB96" s="4"/>
      <c r="LOC96" s="4"/>
      <c r="LOD96" s="4"/>
      <c r="LOE96" s="4"/>
      <c r="LOF96" s="4"/>
      <c r="LOG96" s="4"/>
      <c r="LOH96" s="4"/>
      <c r="LOI96" s="4"/>
      <c r="LOJ96" s="4"/>
      <c r="LOK96" s="4"/>
      <c r="LOL96" s="4"/>
      <c r="LOM96" s="4"/>
      <c r="LON96" s="4"/>
      <c r="LOO96" s="4"/>
      <c r="LOP96" s="4"/>
      <c r="LOQ96" s="4"/>
      <c r="LOR96" s="4"/>
      <c r="LOS96" s="4"/>
      <c r="LOT96" s="4"/>
      <c r="LOU96" s="4"/>
      <c r="LOV96" s="4"/>
      <c r="LOW96" s="4"/>
      <c r="LOX96" s="4"/>
      <c r="LOY96" s="4"/>
      <c r="LOZ96" s="4"/>
      <c r="LPA96" s="4"/>
      <c r="LPB96" s="4"/>
      <c r="LPC96" s="4"/>
      <c r="LPD96" s="4"/>
      <c r="LPE96" s="4"/>
      <c r="LPF96" s="4"/>
      <c r="LPG96" s="4"/>
      <c r="LPH96" s="4"/>
      <c r="LPI96" s="4"/>
      <c r="LPJ96" s="4"/>
      <c r="LPK96" s="4"/>
      <c r="LPL96" s="4"/>
      <c r="LPM96" s="4"/>
      <c r="LPN96" s="4"/>
      <c r="LPO96" s="4"/>
      <c r="LPP96" s="4"/>
      <c r="LPQ96" s="4"/>
      <c r="LPR96" s="4"/>
      <c r="LPS96" s="4"/>
      <c r="LPT96" s="4"/>
      <c r="LPU96" s="4"/>
      <c r="LPV96" s="4"/>
      <c r="LPW96" s="4"/>
      <c r="LPX96" s="4"/>
      <c r="LPY96" s="4"/>
      <c r="LPZ96" s="4"/>
      <c r="LQA96" s="4"/>
      <c r="LQB96" s="4"/>
      <c r="LQC96" s="4"/>
      <c r="LQD96" s="4"/>
      <c r="LQE96" s="4"/>
      <c r="LQF96" s="4"/>
      <c r="LQG96" s="4"/>
      <c r="LQH96" s="4"/>
      <c r="LQI96" s="4"/>
      <c r="LQJ96" s="4"/>
      <c r="LQK96" s="4"/>
      <c r="LQL96" s="4"/>
      <c r="LQM96" s="4"/>
      <c r="LQN96" s="4"/>
      <c r="LQO96" s="4"/>
      <c r="LQP96" s="4"/>
      <c r="LQQ96" s="4"/>
      <c r="LQR96" s="4"/>
      <c r="LQS96" s="4"/>
      <c r="LQT96" s="4"/>
      <c r="LQU96" s="4"/>
      <c r="LQV96" s="4"/>
      <c r="LQW96" s="4"/>
      <c r="LQX96" s="4"/>
      <c r="LQY96" s="4"/>
      <c r="LQZ96" s="4"/>
      <c r="LRA96" s="4"/>
      <c r="LRB96" s="4"/>
      <c r="LRC96" s="4"/>
      <c r="LRD96" s="4"/>
      <c r="LRE96" s="4"/>
      <c r="LRF96" s="4"/>
      <c r="LRG96" s="4"/>
      <c r="LRH96" s="4"/>
      <c r="LRI96" s="4"/>
      <c r="LRJ96" s="4"/>
      <c r="LRK96" s="4"/>
      <c r="LRL96" s="4"/>
      <c r="LRM96" s="4"/>
      <c r="LRN96" s="4"/>
      <c r="LRO96" s="4"/>
      <c r="LRP96" s="4"/>
      <c r="LRQ96" s="4"/>
      <c r="LRR96" s="4"/>
      <c r="LRS96" s="4"/>
      <c r="LRT96" s="4"/>
      <c r="LRU96" s="4"/>
      <c r="LRV96" s="4"/>
      <c r="LRW96" s="4"/>
      <c r="LRX96" s="4"/>
      <c r="LRY96" s="4"/>
      <c r="LRZ96" s="4"/>
      <c r="LSA96" s="4"/>
      <c r="LSB96" s="4"/>
      <c r="LSC96" s="4"/>
      <c r="LSD96" s="4"/>
      <c r="LSE96" s="4"/>
      <c r="LSF96" s="4"/>
      <c r="LSG96" s="4"/>
      <c r="LSH96" s="4"/>
      <c r="LSI96" s="4"/>
      <c r="LSJ96" s="4"/>
      <c r="LSK96" s="4"/>
      <c r="LSL96" s="4"/>
      <c r="LSM96" s="4"/>
      <c r="LSN96" s="4"/>
      <c r="LSO96" s="4"/>
      <c r="LSP96" s="4"/>
      <c r="LSQ96" s="4"/>
      <c r="LSR96" s="4"/>
      <c r="LSS96" s="4"/>
      <c r="LST96" s="4"/>
      <c r="LSU96" s="4"/>
      <c r="LSV96" s="4"/>
      <c r="LSW96" s="4"/>
      <c r="LSX96" s="4"/>
      <c r="LSY96" s="4"/>
      <c r="LSZ96" s="4"/>
      <c r="LTA96" s="4"/>
      <c r="LTB96" s="4"/>
      <c r="LTC96" s="4"/>
      <c r="LTD96" s="4"/>
      <c r="LTE96" s="4"/>
      <c r="LTF96" s="4"/>
      <c r="LTG96" s="4"/>
      <c r="LTH96" s="4"/>
      <c r="LTI96" s="4"/>
      <c r="LTJ96" s="4"/>
      <c r="LTK96" s="4"/>
      <c r="LTL96" s="4"/>
      <c r="LTM96" s="4"/>
      <c r="LTN96" s="4"/>
      <c r="LTO96" s="4"/>
      <c r="LTP96" s="4"/>
      <c r="LTQ96" s="4"/>
      <c r="LTR96" s="4"/>
      <c r="LTS96" s="4"/>
      <c r="LTT96" s="4"/>
      <c r="LTU96" s="4"/>
      <c r="LTV96" s="4"/>
      <c r="LTW96" s="4"/>
      <c r="LTX96" s="4"/>
      <c r="LTY96" s="4"/>
      <c r="LTZ96" s="4"/>
      <c r="LUA96" s="4"/>
      <c r="LUB96" s="4"/>
      <c r="LUC96" s="4"/>
      <c r="LUD96" s="4"/>
      <c r="LUE96" s="4"/>
      <c r="LUF96" s="4"/>
      <c r="LUG96" s="4"/>
      <c r="LUH96" s="4"/>
      <c r="LUI96" s="4"/>
      <c r="LUJ96" s="4"/>
      <c r="LUK96" s="4"/>
      <c r="LUL96" s="4"/>
      <c r="LUM96" s="4"/>
      <c r="LUN96" s="4"/>
      <c r="LUO96" s="4"/>
      <c r="LUP96" s="4"/>
      <c r="LUQ96" s="4"/>
      <c r="LUR96" s="4"/>
      <c r="LUS96" s="4"/>
      <c r="LUT96" s="4"/>
      <c r="LUU96" s="4"/>
      <c r="LUV96" s="4"/>
      <c r="LUW96" s="4"/>
      <c r="LUX96" s="4"/>
      <c r="LUY96" s="4"/>
      <c r="LUZ96" s="4"/>
      <c r="LVA96" s="4"/>
      <c r="LVB96" s="4"/>
      <c r="LVC96" s="4"/>
      <c r="LVD96" s="4"/>
      <c r="LVE96" s="4"/>
      <c r="LVF96" s="4"/>
      <c r="LVG96" s="4"/>
      <c r="LVH96" s="4"/>
      <c r="LVI96" s="4"/>
      <c r="LVJ96" s="4"/>
      <c r="LVK96" s="4"/>
      <c r="LVL96" s="4"/>
      <c r="LVM96" s="4"/>
      <c r="LVN96" s="4"/>
      <c r="LVO96" s="4"/>
      <c r="LVP96" s="4"/>
      <c r="LVQ96" s="4"/>
      <c r="LVR96" s="4"/>
      <c r="LVS96" s="4"/>
      <c r="LVT96" s="4"/>
      <c r="LVU96" s="4"/>
      <c r="LVV96" s="4"/>
      <c r="LVW96" s="4"/>
      <c r="LVX96" s="4"/>
      <c r="LVY96" s="4"/>
      <c r="LVZ96" s="4"/>
      <c r="LWA96" s="4"/>
      <c r="LWB96" s="4"/>
      <c r="LWC96" s="4"/>
      <c r="LWD96" s="4"/>
      <c r="LWE96" s="4"/>
      <c r="LWF96" s="4"/>
      <c r="LWG96" s="4"/>
      <c r="LWH96" s="4"/>
      <c r="LWI96" s="4"/>
      <c r="LWJ96" s="4"/>
      <c r="LWK96" s="4"/>
      <c r="LWL96" s="4"/>
      <c r="LWM96" s="4"/>
      <c r="LWN96" s="4"/>
      <c r="LWO96" s="4"/>
      <c r="LWP96" s="4"/>
      <c r="LWQ96" s="4"/>
      <c r="LWR96" s="4"/>
      <c r="LWS96" s="4"/>
      <c r="LWT96" s="4"/>
      <c r="LWU96" s="4"/>
      <c r="LWV96" s="4"/>
      <c r="LWW96" s="4"/>
      <c r="LWX96" s="4"/>
      <c r="LWY96" s="4"/>
      <c r="LWZ96" s="4"/>
      <c r="LXA96" s="4"/>
      <c r="LXB96" s="4"/>
      <c r="LXC96" s="4"/>
      <c r="LXD96" s="4"/>
      <c r="LXE96" s="4"/>
      <c r="LXF96" s="4"/>
      <c r="LXG96" s="4"/>
      <c r="LXH96" s="4"/>
      <c r="LXI96" s="4"/>
      <c r="LXJ96" s="4"/>
      <c r="LXK96" s="4"/>
      <c r="LXL96" s="4"/>
      <c r="LXM96" s="4"/>
      <c r="LXN96" s="4"/>
      <c r="LXO96" s="4"/>
      <c r="LXP96" s="4"/>
      <c r="LXQ96" s="4"/>
      <c r="LXR96" s="4"/>
      <c r="LXS96" s="4"/>
      <c r="LXT96" s="4"/>
      <c r="LXU96" s="4"/>
      <c r="LXV96" s="4"/>
      <c r="LXW96" s="4"/>
      <c r="LXX96" s="4"/>
      <c r="LXY96" s="4"/>
      <c r="LXZ96" s="4"/>
      <c r="LYA96" s="4"/>
      <c r="LYB96" s="4"/>
      <c r="LYC96" s="4"/>
      <c r="LYD96" s="4"/>
      <c r="LYE96" s="4"/>
      <c r="LYF96" s="4"/>
      <c r="LYG96" s="4"/>
      <c r="LYH96" s="4"/>
      <c r="LYI96" s="4"/>
      <c r="LYJ96" s="4"/>
      <c r="LYK96" s="4"/>
      <c r="LYL96" s="4"/>
      <c r="LYM96" s="4"/>
      <c r="LYN96" s="4"/>
      <c r="LYO96" s="4"/>
      <c r="LYP96" s="4"/>
      <c r="LYQ96" s="4"/>
      <c r="LYR96" s="4"/>
      <c r="LYS96" s="4"/>
      <c r="LYT96" s="4"/>
      <c r="LYU96" s="4"/>
      <c r="LYV96" s="4"/>
      <c r="LYW96" s="4"/>
      <c r="LYX96" s="4"/>
      <c r="LYY96" s="4"/>
      <c r="LYZ96" s="4"/>
      <c r="LZA96" s="4"/>
      <c r="LZB96" s="4"/>
      <c r="LZC96" s="4"/>
      <c r="LZD96" s="4"/>
      <c r="LZE96" s="4"/>
      <c r="LZF96" s="4"/>
      <c r="LZG96" s="4"/>
      <c r="LZH96" s="4"/>
      <c r="LZI96" s="4"/>
      <c r="LZJ96" s="4"/>
      <c r="LZK96" s="4"/>
      <c r="LZL96" s="4"/>
      <c r="LZM96" s="4"/>
      <c r="LZN96" s="4"/>
      <c r="LZO96" s="4"/>
      <c r="LZP96" s="4"/>
      <c r="LZQ96" s="4"/>
      <c r="LZR96" s="4"/>
      <c r="LZS96" s="4"/>
      <c r="LZT96" s="4"/>
      <c r="LZU96" s="4"/>
      <c r="LZV96" s="4"/>
      <c r="LZW96" s="4"/>
      <c r="LZX96" s="4"/>
      <c r="LZY96" s="4"/>
      <c r="LZZ96" s="4"/>
      <c r="MAA96" s="4"/>
      <c r="MAB96" s="4"/>
      <c r="MAC96" s="4"/>
      <c r="MAD96" s="4"/>
      <c r="MAE96" s="4"/>
      <c r="MAF96" s="4"/>
      <c r="MAG96" s="4"/>
      <c r="MAH96" s="4"/>
      <c r="MAI96" s="4"/>
      <c r="MAJ96" s="4"/>
      <c r="MAK96" s="4"/>
      <c r="MAL96" s="4"/>
      <c r="MAM96" s="4"/>
      <c r="MAN96" s="4"/>
      <c r="MAO96" s="4"/>
      <c r="MAP96" s="4"/>
      <c r="MAQ96" s="4"/>
      <c r="MAR96" s="4"/>
      <c r="MAS96" s="4"/>
      <c r="MAT96" s="4"/>
      <c r="MAU96" s="4"/>
      <c r="MAV96" s="4"/>
      <c r="MAW96" s="4"/>
      <c r="MAX96" s="4"/>
      <c r="MAY96" s="4"/>
      <c r="MAZ96" s="4"/>
      <c r="MBA96" s="4"/>
      <c r="MBB96" s="4"/>
      <c r="MBC96" s="4"/>
      <c r="MBD96" s="4"/>
      <c r="MBE96" s="4"/>
      <c r="MBF96" s="4"/>
      <c r="MBG96" s="4"/>
      <c r="MBH96" s="4"/>
      <c r="MBI96" s="4"/>
      <c r="MBJ96" s="4"/>
      <c r="MBK96" s="4"/>
      <c r="MBL96" s="4"/>
      <c r="MBM96" s="4"/>
      <c r="MBN96" s="4"/>
      <c r="MBO96" s="4"/>
      <c r="MBP96" s="4"/>
      <c r="MBQ96" s="4"/>
      <c r="MBR96" s="4"/>
      <c r="MBS96" s="4"/>
      <c r="MBT96" s="4"/>
      <c r="MBU96" s="4"/>
      <c r="MBV96" s="4"/>
      <c r="MBW96" s="4"/>
      <c r="MBX96" s="4"/>
      <c r="MBY96" s="4"/>
      <c r="MBZ96" s="4"/>
      <c r="MCA96" s="4"/>
      <c r="MCB96" s="4"/>
      <c r="MCC96" s="4"/>
      <c r="MCD96" s="4"/>
      <c r="MCE96" s="4"/>
      <c r="MCF96" s="4"/>
      <c r="MCG96" s="4"/>
      <c r="MCH96" s="4"/>
      <c r="MCI96" s="4"/>
      <c r="MCJ96" s="4"/>
      <c r="MCK96" s="4"/>
      <c r="MCL96" s="4"/>
      <c r="MCM96" s="4"/>
      <c r="MCN96" s="4"/>
      <c r="MCO96" s="4"/>
      <c r="MCP96" s="4"/>
      <c r="MCQ96" s="4"/>
      <c r="MCR96" s="4"/>
      <c r="MCS96" s="4"/>
      <c r="MCT96" s="4"/>
      <c r="MCU96" s="4"/>
      <c r="MCV96" s="4"/>
      <c r="MCW96" s="4"/>
      <c r="MCX96" s="4"/>
      <c r="MCY96" s="4"/>
      <c r="MCZ96" s="4"/>
      <c r="MDA96" s="4"/>
      <c r="MDB96" s="4"/>
      <c r="MDC96" s="4"/>
      <c r="MDD96" s="4"/>
      <c r="MDE96" s="4"/>
      <c r="MDF96" s="4"/>
      <c r="MDG96" s="4"/>
      <c r="MDH96" s="4"/>
      <c r="MDI96" s="4"/>
      <c r="MDJ96" s="4"/>
      <c r="MDK96" s="4"/>
      <c r="MDL96" s="4"/>
      <c r="MDM96" s="4"/>
      <c r="MDN96" s="4"/>
      <c r="MDO96" s="4"/>
      <c r="MDP96" s="4"/>
      <c r="MDQ96" s="4"/>
      <c r="MDR96" s="4"/>
      <c r="MDS96" s="4"/>
      <c r="MDT96" s="4"/>
      <c r="MDU96" s="4"/>
      <c r="MDV96" s="4"/>
      <c r="MDW96" s="4"/>
      <c r="MDX96" s="4"/>
      <c r="MDY96" s="4"/>
      <c r="MDZ96" s="4"/>
      <c r="MEA96" s="4"/>
      <c r="MEB96" s="4"/>
      <c r="MEC96" s="4"/>
      <c r="MED96" s="4"/>
      <c r="MEE96" s="4"/>
      <c r="MEF96" s="4"/>
      <c r="MEG96" s="4"/>
      <c r="MEH96" s="4"/>
      <c r="MEI96" s="4"/>
      <c r="MEJ96" s="4"/>
      <c r="MEK96" s="4"/>
      <c r="MEL96" s="4"/>
      <c r="MEM96" s="4"/>
      <c r="MEN96" s="4"/>
      <c r="MEO96" s="4"/>
      <c r="MEP96" s="4"/>
      <c r="MEQ96" s="4"/>
      <c r="MER96" s="4"/>
      <c r="MES96" s="4"/>
      <c r="MET96" s="4"/>
      <c r="MEU96" s="4"/>
      <c r="MEV96" s="4"/>
      <c r="MEW96" s="4"/>
      <c r="MEX96" s="4"/>
      <c r="MEY96" s="4"/>
      <c r="MEZ96" s="4"/>
      <c r="MFA96" s="4"/>
      <c r="MFB96" s="4"/>
      <c r="MFC96" s="4"/>
      <c r="MFD96" s="4"/>
      <c r="MFE96" s="4"/>
      <c r="MFF96" s="4"/>
      <c r="MFG96" s="4"/>
      <c r="MFH96" s="4"/>
      <c r="MFI96" s="4"/>
      <c r="MFJ96" s="4"/>
      <c r="MFK96" s="4"/>
      <c r="MFL96" s="4"/>
      <c r="MFM96" s="4"/>
      <c r="MFN96" s="4"/>
      <c r="MFO96" s="4"/>
      <c r="MFP96" s="4"/>
      <c r="MFQ96" s="4"/>
      <c r="MFR96" s="4"/>
      <c r="MFS96" s="4"/>
      <c r="MFT96" s="4"/>
      <c r="MFU96" s="4"/>
      <c r="MFV96" s="4"/>
      <c r="MFW96" s="4"/>
      <c r="MFX96" s="4"/>
      <c r="MFY96" s="4"/>
      <c r="MFZ96" s="4"/>
      <c r="MGA96" s="4"/>
      <c r="MGB96" s="4"/>
      <c r="MGC96" s="4"/>
      <c r="MGD96" s="4"/>
      <c r="MGE96" s="4"/>
      <c r="MGF96" s="4"/>
      <c r="MGG96" s="4"/>
      <c r="MGH96" s="4"/>
      <c r="MGI96" s="4"/>
      <c r="MGJ96" s="4"/>
      <c r="MGK96" s="4"/>
      <c r="MGL96" s="4"/>
      <c r="MGM96" s="4"/>
      <c r="MGN96" s="4"/>
      <c r="MGO96" s="4"/>
      <c r="MGP96" s="4"/>
      <c r="MGQ96" s="4"/>
      <c r="MGR96" s="4"/>
      <c r="MGS96" s="4"/>
      <c r="MGT96" s="4"/>
      <c r="MGU96" s="4"/>
      <c r="MGV96" s="4"/>
      <c r="MGW96" s="4"/>
      <c r="MGX96" s="4"/>
      <c r="MGY96" s="4"/>
      <c r="MGZ96" s="4"/>
      <c r="MHA96" s="4"/>
      <c r="MHB96" s="4"/>
      <c r="MHC96" s="4"/>
      <c r="MHD96" s="4"/>
      <c r="MHE96" s="4"/>
      <c r="MHF96" s="4"/>
      <c r="MHG96" s="4"/>
      <c r="MHH96" s="4"/>
      <c r="MHI96" s="4"/>
      <c r="MHJ96" s="4"/>
      <c r="MHK96" s="4"/>
      <c r="MHL96" s="4"/>
      <c r="MHM96" s="4"/>
      <c r="MHN96" s="4"/>
      <c r="MHO96" s="4"/>
      <c r="MHP96" s="4"/>
      <c r="MHQ96" s="4"/>
      <c r="MHR96" s="4"/>
      <c r="MHS96" s="4"/>
      <c r="MHT96" s="4"/>
      <c r="MHU96" s="4"/>
      <c r="MHV96" s="4"/>
      <c r="MHW96" s="4"/>
      <c r="MHX96" s="4"/>
      <c r="MHY96" s="4"/>
      <c r="MHZ96" s="4"/>
      <c r="MIA96" s="4"/>
      <c r="MIB96" s="4"/>
      <c r="MIC96" s="4"/>
      <c r="MID96" s="4"/>
      <c r="MIE96" s="4"/>
      <c r="MIF96" s="4"/>
      <c r="MIG96" s="4"/>
      <c r="MIH96" s="4"/>
      <c r="MII96" s="4"/>
      <c r="MIJ96" s="4"/>
      <c r="MIK96" s="4"/>
      <c r="MIL96" s="4"/>
      <c r="MIM96" s="4"/>
      <c r="MIN96" s="4"/>
      <c r="MIO96" s="4"/>
      <c r="MIP96" s="4"/>
      <c r="MIQ96" s="4"/>
      <c r="MIR96" s="4"/>
      <c r="MIS96" s="4"/>
      <c r="MIT96" s="4"/>
      <c r="MIU96" s="4"/>
      <c r="MIV96" s="4"/>
      <c r="MIW96" s="4"/>
      <c r="MIX96" s="4"/>
      <c r="MIY96" s="4"/>
      <c r="MIZ96" s="4"/>
      <c r="MJA96" s="4"/>
      <c r="MJB96" s="4"/>
      <c r="MJC96" s="4"/>
      <c r="MJD96" s="4"/>
      <c r="MJE96" s="4"/>
      <c r="MJF96" s="4"/>
      <c r="MJG96" s="4"/>
      <c r="MJH96" s="4"/>
      <c r="MJI96" s="4"/>
      <c r="MJJ96" s="4"/>
      <c r="MJK96" s="4"/>
      <c r="MJL96" s="4"/>
      <c r="MJM96" s="4"/>
      <c r="MJN96" s="4"/>
      <c r="MJO96" s="4"/>
      <c r="MJP96" s="4"/>
      <c r="MJQ96" s="4"/>
      <c r="MJR96" s="4"/>
      <c r="MJS96" s="4"/>
      <c r="MJT96" s="4"/>
      <c r="MJU96" s="4"/>
      <c r="MJV96" s="4"/>
      <c r="MJW96" s="4"/>
      <c r="MJX96" s="4"/>
      <c r="MJY96" s="4"/>
      <c r="MJZ96" s="4"/>
      <c r="MKA96" s="4"/>
      <c r="MKB96" s="4"/>
      <c r="MKC96" s="4"/>
      <c r="MKD96" s="4"/>
      <c r="MKE96" s="4"/>
      <c r="MKF96" s="4"/>
      <c r="MKG96" s="4"/>
      <c r="MKH96" s="4"/>
      <c r="MKI96" s="4"/>
      <c r="MKJ96" s="4"/>
      <c r="MKK96" s="4"/>
      <c r="MKL96" s="4"/>
      <c r="MKM96" s="4"/>
      <c r="MKN96" s="4"/>
      <c r="MKO96" s="4"/>
      <c r="MKP96" s="4"/>
      <c r="MKQ96" s="4"/>
      <c r="MKR96" s="4"/>
      <c r="MKS96" s="4"/>
      <c r="MKT96" s="4"/>
      <c r="MKU96" s="4"/>
      <c r="MKV96" s="4"/>
      <c r="MKW96" s="4"/>
      <c r="MKX96" s="4"/>
      <c r="MKY96" s="4"/>
      <c r="MKZ96" s="4"/>
      <c r="MLA96" s="4"/>
      <c r="MLB96" s="4"/>
      <c r="MLC96" s="4"/>
      <c r="MLD96" s="4"/>
      <c r="MLE96" s="4"/>
      <c r="MLF96" s="4"/>
      <c r="MLG96" s="4"/>
      <c r="MLH96" s="4"/>
      <c r="MLI96" s="4"/>
      <c r="MLJ96" s="4"/>
      <c r="MLK96" s="4"/>
      <c r="MLL96" s="4"/>
      <c r="MLM96" s="4"/>
      <c r="MLN96" s="4"/>
      <c r="MLO96" s="4"/>
      <c r="MLP96" s="4"/>
      <c r="MLQ96" s="4"/>
      <c r="MLR96" s="4"/>
      <c r="MLS96" s="4"/>
      <c r="MLT96" s="4"/>
      <c r="MLU96" s="4"/>
      <c r="MLV96" s="4"/>
      <c r="MLW96" s="4"/>
      <c r="MLX96" s="4"/>
      <c r="MLY96" s="4"/>
      <c r="MLZ96" s="4"/>
      <c r="MMA96" s="4"/>
      <c r="MMB96" s="4"/>
      <c r="MMC96" s="4"/>
      <c r="MMD96" s="4"/>
      <c r="MME96" s="4"/>
      <c r="MMF96" s="4"/>
      <c r="MMG96" s="4"/>
      <c r="MMH96" s="4"/>
      <c r="MMI96" s="4"/>
      <c r="MMJ96" s="4"/>
      <c r="MMK96" s="4"/>
      <c r="MML96" s="4"/>
      <c r="MMM96" s="4"/>
      <c r="MMN96" s="4"/>
      <c r="MMO96" s="4"/>
      <c r="MMP96" s="4"/>
      <c r="MMQ96" s="4"/>
      <c r="MMR96" s="4"/>
      <c r="MMS96" s="4"/>
      <c r="MMT96" s="4"/>
      <c r="MMU96" s="4"/>
      <c r="MMV96" s="4"/>
      <c r="MMW96" s="4"/>
      <c r="MMX96" s="4"/>
      <c r="MMY96" s="4"/>
      <c r="MMZ96" s="4"/>
      <c r="MNA96" s="4"/>
      <c r="MNB96" s="4"/>
      <c r="MNC96" s="4"/>
      <c r="MND96" s="4"/>
      <c r="MNE96" s="4"/>
      <c r="MNF96" s="4"/>
      <c r="MNG96" s="4"/>
      <c r="MNH96" s="4"/>
      <c r="MNI96" s="4"/>
      <c r="MNJ96" s="4"/>
      <c r="MNK96" s="4"/>
      <c r="MNL96" s="4"/>
      <c r="MNM96" s="4"/>
      <c r="MNN96" s="4"/>
      <c r="MNO96" s="4"/>
      <c r="MNP96" s="4"/>
      <c r="MNQ96" s="4"/>
      <c r="MNR96" s="4"/>
      <c r="MNS96" s="4"/>
      <c r="MNT96" s="4"/>
      <c r="MNU96" s="4"/>
      <c r="MNV96" s="4"/>
      <c r="MNW96" s="4"/>
      <c r="MNX96" s="4"/>
      <c r="MNY96" s="4"/>
      <c r="MNZ96" s="4"/>
      <c r="MOA96" s="4"/>
      <c r="MOB96" s="4"/>
      <c r="MOC96" s="4"/>
      <c r="MOD96" s="4"/>
      <c r="MOE96" s="4"/>
      <c r="MOF96" s="4"/>
      <c r="MOG96" s="4"/>
      <c r="MOH96" s="4"/>
      <c r="MOI96" s="4"/>
      <c r="MOJ96" s="4"/>
      <c r="MOK96" s="4"/>
      <c r="MOL96" s="4"/>
      <c r="MOM96" s="4"/>
      <c r="MON96" s="4"/>
      <c r="MOO96" s="4"/>
      <c r="MOP96" s="4"/>
      <c r="MOQ96" s="4"/>
      <c r="MOR96" s="4"/>
      <c r="MOS96" s="4"/>
      <c r="MOT96" s="4"/>
      <c r="MOU96" s="4"/>
      <c r="MOV96" s="4"/>
      <c r="MOW96" s="4"/>
      <c r="MOX96" s="4"/>
      <c r="MOY96" s="4"/>
      <c r="MOZ96" s="4"/>
      <c r="MPA96" s="4"/>
      <c r="MPB96" s="4"/>
      <c r="MPC96" s="4"/>
      <c r="MPD96" s="4"/>
      <c r="MPE96" s="4"/>
      <c r="MPF96" s="4"/>
      <c r="MPG96" s="4"/>
      <c r="MPH96" s="4"/>
      <c r="MPI96" s="4"/>
      <c r="MPJ96" s="4"/>
      <c r="MPK96" s="4"/>
      <c r="MPL96" s="4"/>
      <c r="MPM96" s="4"/>
      <c r="MPN96" s="4"/>
      <c r="MPO96" s="4"/>
      <c r="MPP96" s="4"/>
      <c r="MPQ96" s="4"/>
      <c r="MPR96" s="4"/>
      <c r="MPS96" s="4"/>
      <c r="MPT96" s="4"/>
      <c r="MPU96" s="4"/>
      <c r="MPV96" s="4"/>
      <c r="MPW96" s="4"/>
      <c r="MPX96" s="4"/>
      <c r="MPY96" s="4"/>
      <c r="MPZ96" s="4"/>
      <c r="MQA96" s="4"/>
      <c r="MQB96" s="4"/>
      <c r="MQC96" s="4"/>
      <c r="MQD96" s="4"/>
      <c r="MQE96" s="4"/>
      <c r="MQF96" s="4"/>
      <c r="MQG96" s="4"/>
      <c r="MQH96" s="4"/>
      <c r="MQI96" s="4"/>
      <c r="MQJ96" s="4"/>
      <c r="MQK96" s="4"/>
      <c r="MQL96" s="4"/>
      <c r="MQM96" s="4"/>
      <c r="MQN96" s="4"/>
      <c r="MQO96" s="4"/>
      <c r="MQP96" s="4"/>
      <c r="MQQ96" s="4"/>
      <c r="MQR96" s="4"/>
      <c r="MQS96" s="4"/>
      <c r="MQT96" s="4"/>
      <c r="MQU96" s="4"/>
      <c r="MQV96" s="4"/>
      <c r="MQW96" s="4"/>
      <c r="MQX96" s="4"/>
      <c r="MQY96" s="4"/>
      <c r="MQZ96" s="4"/>
      <c r="MRA96" s="4"/>
      <c r="MRB96" s="4"/>
      <c r="MRC96" s="4"/>
      <c r="MRD96" s="4"/>
      <c r="MRE96" s="4"/>
      <c r="MRF96" s="4"/>
      <c r="MRG96" s="4"/>
      <c r="MRH96" s="4"/>
      <c r="MRI96" s="4"/>
      <c r="MRJ96" s="4"/>
      <c r="MRK96" s="4"/>
      <c r="MRL96" s="4"/>
      <c r="MRM96" s="4"/>
      <c r="MRN96" s="4"/>
      <c r="MRO96" s="4"/>
      <c r="MRP96" s="4"/>
      <c r="MRQ96" s="4"/>
      <c r="MRR96" s="4"/>
      <c r="MRS96" s="4"/>
      <c r="MRT96" s="4"/>
      <c r="MRU96" s="4"/>
      <c r="MRV96" s="4"/>
      <c r="MRW96" s="4"/>
      <c r="MRX96" s="4"/>
      <c r="MRY96" s="4"/>
      <c r="MRZ96" s="4"/>
      <c r="MSA96" s="4"/>
      <c r="MSB96" s="4"/>
      <c r="MSC96" s="4"/>
      <c r="MSD96" s="4"/>
      <c r="MSE96" s="4"/>
      <c r="MSF96" s="4"/>
      <c r="MSG96" s="4"/>
      <c r="MSH96" s="4"/>
      <c r="MSI96" s="4"/>
      <c r="MSJ96" s="4"/>
      <c r="MSK96" s="4"/>
      <c r="MSL96" s="4"/>
      <c r="MSM96" s="4"/>
      <c r="MSN96" s="4"/>
      <c r="MSO96" s="4"/>
      <c r="MSP96" s="4"/>
      <c r="MSQ96" s="4"/>
      <c r="MSR96" s="4"/>
      <c r="MSS96" s="4"/>
      <c r="MST96" s="4"/>
      <c r="MSU96" s="4"/>
      <c r="MSV96" s="4"/>
      <c r="MSW96" s="4"/>
      <c r="MSX96" s="4"/>
      <c r="MSY96" s="4"/>
      <c r="MSZ96" s="4"/>
      <c r="MTA96" s="4"/>
      <c r="MTB96" s="4"/>
      <c r="MTC96" s="4"/>
      <c r="MTD96" s="4"/>
      <c r="MTE96" s="4"/>
      <c r="MTF96" s="4"/>
      <c r="MTG96" s="4"/>
      <c r="MTH96" s="4"/>
      <c r="MTI96" s="4"/>
      <c r="MTJ96" s="4"/>
      <c r="MTK96" s="4"/>
      <c r="MTL96" s="4"/>
      <c r="MTM96" s="4"/>
      <c r="MTN96" s="4"/>
      <c r="MTO96" s="4"/>
      <c r="MTP96" s="4"/>
      <c r="MTQ96" s="4"/>
      <c r="MTR96" s="4"/>
      <c r="MTS96" s="4"/>
      <c r="MTT96" s="4"/>
      <c r="MTU96" s="4"/>
      <c r="MTV96" s="4"/>
      <c r="MTW96" s="4"/>
      <c r="MTX96" s="4"/>
      <c r="MTY96" s="4"/>
      <c r="MTZ96" s="4"/>
      <c r="MUA96" s="4"/>
      <c r="MUB96" s="4"/>
      <c r="MUC96" s="4"/>
      <c r="MUD96" s="4"/>
      <c r="MUE96" s="4"/>
      <c r="MUF96" s="4"/>
      <c r="MUG96" s="4"/>
      <c r="MUH96" s="4"/>
      <c r="MUI96" s="4"/>
      <c r="MUJ96" s="4"/>
      <c r="MUK96" s="4"/>
      <c r="MUL96" s="4"/>
      <c r="MUM96" s="4"/>
      <c r="MUN96" s="4"/>
      <c r="MUO96" s="4"/>
      <c r="MUP96" s="4"/>
      <c r="MUQ96" s="4"/>
      <c r="MUR96" s="4"/>
      <c r="MUS96" s="4"/>
      <c r="MUT96" s="4"/>
      <c r="MUU96" s="4"/>
      <c r="MUV96" s="4"/>
      <c r="MUW96" s="4"/>
      <c r="MUX96" s="4"/>
      <c r="MUY96" s="4"/>
      <c r="MUZ96" s="4"/>
      <c r="MVA96" s="4"/>
      <c r="MVB96" s="4"/>
      <c r="MVC96" s="4"/>
      <c r="MVD96" s="4"/>
      <c r="MVE96" s="4"/>
      <c r="MVF96" s="4"/>
      <c r="MVG96" s="4"/>
      <c r="MVH96" s="4"/>
      <c r="MVI96" s="4"/>
      <c r="MVJ96" s="4"/>
      <c r="MVK96" s="4"/>
      <c r="MVL96" s="4"/>
      <c r="MVM96" s="4"/>
      <c r="MVN96" s="4"/>
      <c r="MVO96" s="4"/>
      <c r="MVP96" s="4"/>
      <c r="MVQ96" s="4"/>
      <c r="MVR96" s="4"/>
      <c r="MVS96" s="4"/>
      <c r="MVT96" s="4"/>
      <c r="MVU96" s="4"/>
      <c r="MVV96" s="4"/>
      <c r="MVW96" s="4"/>
      <c r="MVX96" s="4"/>
      <c r="MVY96" s="4"/>
      <c r="MVZ96" s="4"/>
      <c r="MWA96" s="4"/>
      <c r="MWB96" s="4"/>
      <c r="MWC96" s="4"/>
      <c r="MWD96" s="4"/>
      <c r="MWE96" s="4"/>
      <c r="MWF96" s="4"/>
      <c r="MWG96" s="4"/>
      <c r="MWH96" s="4"/>
      <c r="MWI96" s="4"/>
      <c r="MWJ96" s="4"/>
      <c r="MWK96" s="4"/>
      <c r="MWL96" s="4"/>
      <c r="MWM96" s="4"/>
      <c r="MWN96" s="4"/>
      <c r="MWO96" s="4"/>
      <c r="MWP96" s="4"/>
      <c r="MWQ96" s="4"/>
      <c r="MWR96" s="4"/>
      <c r="MWS96" s="4"/>
      <c r="MWT96" s="4"/>
      <c r="MWU96" s="4"/>
      <c r="MWV96" s="4"/>
      <c r="MWW96" s="4"/>
      <c r="MWX96" s="4"/>
      <c r="MWY96" s="4"/>
      <c r="MWZ96" s="4"/>
      <c r="MXA96" s="4"/>
      <c r="MXB96" s="4"/>
      <c r="MXC96" s="4"/>
      <c r="MXD96" s="4"/>
      <c r="MXE96" s="4"/>
      <c r="MXF96" s="4"/>
      <c r="MXG96" s="4"/>
      <c r="MXH96" s="4"/>
      <c r="MXI96" s="4"/>
      <c r="MXJ96" s="4"/>
      <c r="MXK96" s="4"/>
      <c r="MXL96" s="4"/>
      <c r="MXM96" s="4"/>
      <c r="MXN96" s="4"/>
      <c r="MXO96" s="4"/>
      <c r="MXP96" s="4"/>
      <c r="MXQ96" s="4"/>
      <c r="MXR96" s="4"/>
      <c r="MXS96" s="4"/>
      <c r="MXT96" s="4"/>
      <c r="MXU96" s="4"/>
      <c r="MXV96" s="4"/>
      <c r="MXW96" s="4"/>
      <c r="MXX96" s="4"/>
      <c r="MXY96" s="4"/>
      <c r="MXZ96" s="4"/>
      <c r="MYA96" s="4"/>
      <c r="MYB96" s="4"/>
      <c r="MYC96" s="4"/>
      <c r="MYD96" s="4"/>
      <c r="MYE96" s="4"/>
      <c r="MYF96" s="4"/>
      <c r="MYG96" s="4"/>
      <c r="MYH96" s="4"/>
      <c r="MYI96" s="4"/>
      <c r="MYJ96" s="4"/>
      <c r="MYK96" s="4"/>
      <c r="MYL96" s="4"/>
      <c r="MYM96" s="4"/>
      <c r="MYN96" s="4"/>
      <c r="MYO96" s="4"/>
      <c r="MYP96" s="4"/>
      <c r="MYQ96" s="4"/>
      <c r="MYR96" s="4"/>
      <c r="MYS96" s="4"/>
      <c r="MYT96" s="4"/>
      <c r="MYU96" s="4"/>
      <c r="MYV96" s="4"/>
      <c r="MYW96" s="4"/>
      <c r="MYX96" s="4"/>
      <c r="MYY96" s="4"/>
      <c r="MYZ96" s="4"/>
      <c r="MZA96" s="4"/>
      <c r="MZB96" s="4"/>
      <c r="MZC96" s="4"/>
      <c r="MZD96" s="4"/>
      <c r="MZE96" s="4"/>
      <c r="MZF96" s="4"/>
      <c r="MZG96" s="4"/>
      <c r="MZH96" s="4"/>
      <c r="MZI96" s="4"/>
      <c r="MZJ96" s="4"/>
      <c r="MZK96" s="4"/>
      <c r="MZL96" s="4"/>
      <c r="MZM96" s="4"/>
      <c r="MZN96" s="4"/>
      <c r="MZO96" s="4"/>
      <c r="MZP96" s="4"/>
      <c r="MZQ96" s="4"/>
      <c r="MZR96" s="4"/>
      <c r="MZS96" s="4"/>
      <c r="MZT96" s="4"/>
      <c r="MZU96" s="4"/>
      <c r="MZV96" s="4"/>
      <c r="MZW96" s="4"/>
      <c r="MZX96" s="4"/>
      <c r="MZY96" s="4"/>
      <c r="MZZ96" s="4"/>
      <c r="NAA96" s="4"/>
      <c r="NAB96" s="4"/>
      <c r="NAC96" s="4"/>
      <c r="NAD96" s="4"/>
      <c r="NAE96" s="4"/>
      <c r="NAF96" s="4"/>
      <c r="NAG96" s="4"/>
      <c r="NAH96" s="4"/>
      <c r="NAI96" s="4"/>
      <c r="NAJ96" s="4"/>
      <c r="NAK96" s="4"/>
      <c r="NAL96" s="4"/>
      <c r="NAM96" s="4"/>
      <c r="NAN96" s="4"/>
      <c r="NAO96" s="4"/>
      <c r="NAP96" s="4"/>
      <c r="NAQ96" s="4"/>
      <c r="NAR96" s="4"/>
      <c r="NAS96" s="4"/>
      <c r="NAT96" s="4"/>
      <c r="NAU96" s="4"/>
      <c r="NAV96" s="4"/>
      <c r="NAW96" s="4"/>
      <c r="NAX96" s="4"/>
      <c r="NAY96" s="4"/>
      <c r="NAZ96" s="4"/>
      <c r="NBA96" s="4"/>
      <c r="NBB96" s="4"/>
      <c r="NBC96" s="4"/>
      <c r="NBD96" s="4"/>
      <c r="NBE96" s="4"/>
      <c r="NBF96" s="4"/>
      <c r="NBG96" s="4"/>
      <c r="NBH96" s="4"/>
      <c r="NBI96" s="4"/>
      <c r="NBJ96" s="4"/>
      <c r="NBK96" s="4"/>
      <c r="NBL96" s="4"/>
      <c r="NBM96" s="4"/>
      <c r="NBN96" s="4"/>
      <c r="NBO96" s="4"/>
      <c r="NBP96" s="4"/>
      <c r="NBQ96" s="4"/>
      <c r="NBR96" s="4"/>
      <c r="NBS96" s="4"/>
      <c r="NBT96" s="4"/>
      <c r="NBU96" s="4"/>
      <c r="NBV96" s="4"/>
      <c r="NBW96" s="4"/>
      <c r="NBX96" s="4"/>
      <c r="NBY96" s="4"/>
      <c r="NBZ96" s="4"/>
      <c r="NCA96" s="4"/>
      <c r="NCB96" s="4"/>
      <c r="NCC96" s="4"/>
      <c r="NCD96" s="4"/>
      <c r="NCE96" s="4"/>
      <c r="NCF96" s="4"/>
      <c r="NCG96" s="4"/>
      <c r="NCH96" s="4"/>
      <c r="NCI96" s="4"/>
      <c r="NCJ96" s="4"/>
      <c r="NCK96" s="4"/>
      <c r="NCL96" s="4"/>
      <c r="NCM96" s="4"/>
      <c r="NCN96" s="4"/>
      <c r="NCO96" s="4"/>
      <c r="NCP96" s="4"/>
      <c r="NCQ96" s="4"/>
      <c r="NCR96" s="4"/>
      <c r="NCS96" s="4"/>
      <c r="NCT96" s="4"/>
      <c r="NCU96" s="4"/>
      <c r="NCV96" s="4"/>
      <c r="NCW96" s="4"/>
      <c r="NCX96" s="4"/>
      <c r="NCY96" s="4"/>
      <c r="NCZ96" s="4"/>
      <c r="NDA96" s="4"/>
      <c r="NDB96" s="4"/>
      <c r="NDC96" s="4"/>
      <c r="NDD96" s="4"/>
      <c r="NDE96" s="4"/>
      <c r="NDF96" s="4"/>
      <c r="NDG96" s="4"/>
      <c r="NDH96" s="4"/>
      <c r="NDI96" s="4"/>
      <c r="NDJ96" s="4"/>
      <c r="NDK96" s="4"/>
      <c r="NDL96" s="4"/>
      <c r="NDM96" s="4"/>
      <c r="NDN96" s="4"/>
      <c r="NDO96" s="4"/>
      <c r="NDP96" s="4"/>
      <c r="NDQ96" s="4"/>
      <c r="NDR96" s="4"/>
      <c r="NDS96" s="4"/>
      <c r="NDT96" s="4"/>
      <c r="NDU96" s="4"/>
      <c r="NDV96" s="4"/>
      <c r="NDW96" s="4"/>
      <c r="NDX96" s="4"/>
      <c r="NDY96" s="4"/>
      <c r="NDZ96" s="4"/>
      <c r="NEA96" s="4"/>
      <c r="NEB96" s="4"/>
      <c r="NEC96" s="4"/>
      <c r="NED96" s="4"/>
      <c r="NEE96" s="4"/>
      <c r="NEF96" s="4"/>
      <c r="NEG96" s="4"/>
      <c r="NEH96" s="4"/>
      <c r="NEI96" s="4"/>
      <c r="NEJ96" s="4"/>
      <c r="NEK96" s="4"/>
      <c r="NEL96" s="4"/>
      <c r="NEM96" s="4"/>
      <c r="NEN96" s="4"/>
      <c r="NEO96" s="4"/>
      <c r="NEP96" s="4"/>
      <c r="NEQ96" s="4"/>
      <c r="NER96" s="4"/>
      <c r="NES96" s="4"/>
      <c r="NET96" s="4"/>
      <c r="NEU96" s="4"/>
      <c r="NEV96" s="4"/>
      <c r="NEW96" s="4"/>
      <c r="NEX96" s="4"/>
      <c r="NEY96" s="4"/>
      <c r="NEZ96" s="4"/>
      <c r="NFA96" s="4"/>
      <c r="NFB96" s="4"/>
      <c r="NFC96" s="4"/>
      <c r="NFD96" s="4"/>
      <c r="NFE96" s="4"/>
      <c r="NFF96" s="4"/>
      <c r="NFG96" s="4"/>
      <c r="NFH96" s="4"/>
      <c r="NFI96" s="4"/>
      <c r="NFJ96" s="4"/>
      <c r="NFK96" s="4"/>
      <c r="NFL96" s="4"/>
      <c r="NFM96" s="4"/>
      <c r="NFN96" s="4"/>
      <c r="NFO96" s="4"/>
      <c r="NFP96" s="4"/>
      <c r="NFQ96" s="4"/>
      <c r="NFR96" s="4"/>
      <c r="NFS96" s="4"/>
      <c r="NFT96" s="4"/>
      <c r="NFU96" s="4"/>
      <c r="NFV96" s="4"/>
      <c r="NFW96" s="4"/>
      <c r="NFX96" s="4"/>
      <c r="NFY96" s="4"/>
      <c r="NFZ96" s="4"/>
      <c r="NGA96" s="4"/>
      <c r="NGB96" s="4"/>
      <c r="NGC96" s="4"/>
      <c r="NGD96" s="4"/>
      <c r="NGE96" s="4"/>
      <c r="NGF96" s="4"/>
      <c r="NGG96" s="4"/>
      <c r="NGH96" s="4"/>
      <c r="NGI96" s="4"/>
      <c r="NGJ96" s="4"/>
      <c r="NGK96" s="4"/>
      <c r="NGL96" s="4"/>
      <c r="NGM96" s="4"/>
      <c r="NGN96" s="4"/>
      <c r="NGO96" s="4"/>
      <c r="NGP96" s="4"/>
      <c r="NGQ96" s="4"/>
      <c r="NGR96" s="4"/>
      <c r="NGS96" s="4"/>
      <c r="NGT96" s="4"/>
      <c r="NGU96" s="4"/>
      <c r="NGV96" s="4"/>
      <c r="NGW96" s="4"/>
      <c r="NGX96" s="4"/>
      <c r="NGY96" s="4"/>
      <c r="NGZ96" s="4"/>
      <c r="NHA96" s="4"/>
      <c r="NHB96" s="4"/>
      <c r="NHC96" s="4"/>
      <c r="NHD96" s="4"/>
      <c r="NHE96" s="4"/>
      <c r="NHF96" s="4"/>
      <c r="NHG96" s="4"/>
      <c r="NHH96" s="4"/>
      <c r="NHI96" s="4"/>
      <c r="NHJ96" s="4"/>
      <c r="NHK96" s="4"/>
      <c r="NHL96" s="4"/>
      <c r="NHM96" s="4"/>
      <c r="NHN96" s="4"/>
      <c r="NHO96" s="4"/>
      <c r="NHP96" s="4"/>
      <c r="NHQ96" s="4"/>
      <c r="NHR96" s="4"/>
      <c r="NHS96" s="4"/>
      <c r="NHT96" s="4"/>
      <c r="NHU96" s="4"/>
      <c r="NHV96" s="4"/>
      <c r="NHW96" s="4"/>
      <c r="NHX96" s="4"/>
      <c r="NHY96" s="4"/>
      <c r="NHZ96" s="4"/>
      <c r="NIA96" s="4"/>
      <c r="NIB96" s="4"/>
      <c r="NIC96" s="4"/>
      <c r="NID96" s="4"/>
      <c r="NIE96" s="4"/>
      <c r="NIF96" s="4"/>
      <c r="NIG96" s="4"/>
      <c r="NIH96" s="4"/>
      <c r="NII96" s="4"/>
      <c r="NIJ96" s="4"/>
      <c r="NIK96" s="4"/>
      <c r="NIL96" s="4"/>
      <c r="NIM96" s="4"/>
      <c r="NIN96" s="4"/>
      <c r="NIO96" s="4"/>
      <c r="NIP96" s="4"/>
      <c r="NIQ96" s="4"/>
      <c r="NIR96" s="4"/>
      <c r="NIS96" s="4"/>
      <c r="NIT96" s="4"/>
      <c r="NIU96" s="4"/>
      <c r="NIV96" s="4"/>
      <c r="NIW96" s="4"/>
      <c r="NIX96" s="4"/>
      <c r="NIY96" s="4"/>
      <c r="NIZ96" s="4"/>
      <c r="NJA96" s="4"/>
      <c r="NJB96" s="4"/>
      <c r="NJC96" s="4"/>
      <c r="NJD96" s="4"/>
      <c r="NJE96" s="4"/>
      <c r="NJF96" s="4"/>
      <c r="NJG96" s="4"/>
      <c r="NJH96" s="4"/>
      <c r="NJI96" s="4"/>
      <c r="NJJ96" s="4"/>
      <c r="NJK96" s="4"/>
      <c r="NJL96" s="4"/>
      <c r="NJM96" s="4"/>
      <c r="NJN96" s="4"/>
      <c r="NJO96" s="4"/>
      <c r="NJP96" s="4"/>
      <c r="NJQ96" s="4"/>
      <c r="NJR96" s="4"/>
      <c r="NJS96" s="4"/>
      <c r="NJT96" s="4"/>
      <c r="NJU96" s="4"/>
      <c r="NJV96" s="4"/>
      <c r="NJW96" s="4"/>
      <c r="NJX96" s="4"/>
      <c r="NJY96" s="4"/>
      <c r="NJZ96" s="4"/>
      <c r="NKA96" s="4"/>
      <c r="NKB96" s="4"/>
      <c r="NKC96" s="4"/>
      <c r="NKD96" s="4"/>
      <c r="NKE96" s="4"/>
      <c r="NKF96" s="4"/>
      <c r="NKG96" s="4"/>
      <c r="NKH96" s="4"/>
      <c r="NKI96" s="4"/>
      <c r="NKJ96" s="4"/>
      <c r="NKK96" s="4"/>
      <c r="NKL96" s="4"/>
      <c r="NKM96" s="4"/>
      <c r="NKN96" s="4"/>
      <c r="NKO96" s="4"/>
      <c r="NKP96" s="4"/>
      <c r="NKQ96" s="4"/>
      <c r="NKR96" s="4"/>
      <c r="NKS96" s="4"/>
      <c r="NKT96" s="4"/>
      <c r="NKU96" s="4"/>
      <c r="NKV96" s="4"/>
      <c r="NKW96" s="4"/>
      <c r="NKX96" s="4"/>
      <c r="NKY96" s="4"/>
      <c r="NKZ96" s="4"/>
      <c r="NLA96" s="4"/>
      <c r="NLB96" s="4"/>
      <c r="NLC96" s="4"/>
      <c r="NLD96" s="4"/>
      <c r="NLE96" s="4"/>
      <c r="NLF96" s="4"/>
      <c r="NLG96" s="4"/>
      <c r="NLH96" s="4"/>
      <c r="NLI96" s="4"/>
      <c r="NLJ96" s="4"/>
      <c r="NLK96" s="4"/>
      <c r="NLL96" s="4"/>
      <c r="NLM96" s="4"/>
      <c r="NLN96" s="4"/>
      <c r="NLO96" s="4"/>
      <c r="NLP96" s="4"/>
      <c r="NLQ96" s="4"/>
      <c r="NLR96" s="4"/>
      <c r="NLS96" s="4"/>
      <c r="NLT96" s="4"/>
      <c r="NLU96" s="4"/>
      <c r="NLV96" s="4"/>
      <c r="NLW96" s="4"/>
      <c r="NLX96" s="4"/>
      <c r="NLY96" s="4"/>
      <c r="NLZ96" s="4"/>
      <c r="NMA96" s="4"/>
      <c r="NMB96" s="4"/>
      <c r="NMC96" s="4"/>
      <c r="NMD96" s="4"/>
      <c r="NME96" s="4"/>
      <c r="NMF96" s="4"/>
      <c r="NMG96" s="4"/>
      <c r="NMH96" s="4"/>
      <c r="NMI96" s="4"/>
      <c r="NMJ96" s="4"/>
      <c r="NMK96" s="4"/>
      <c r="NML96" s="4"/>
      <c r="NMM96" s="4"/>
      <c r="NMN96" s="4"/>
      <c r="NMO96" s="4"/>
      <c r="NMP96" s="4"/>
      <c r="NMQ96" s="4"/>
      <c r="NMR96" s="4"/>
      <c r="NMS96" s="4"/>
      <c r="NMT96" s="4"/>
      <c r="NMU96" s="4"/>
      <c r="NMV96" s="4"/>
      <c r="NMW96" s="4"/>
      <c r="NMX96" s="4"/>
      <c r="NMY96" s="4"/>
      <c r="NMZ96" s="4"/>
      <c r="NNA96" s="4"/>
      <c r="NNB96" s="4"/>
      <c r="NNC96" s="4"/>
      <c r="NND96" s="4"/>
      <c r="NNE96" s="4"/>
      <c r="NNF96" s="4"/>
      <c r="NNG96" s="4"/>
      <c r="NNH96" s="4"/>
      <c r="NNI96" s="4"/>
      <c r="NNJ96" s="4"/>
      <c r="NNK96" s="4"/>
      <c r="NNL96" s="4"/>
      <c r="NNM96" s="4"/>
      <c r="NNN96" s="4"/>
      <c r="NNO96" s="4"/>
      <c r="NNP96" s="4"/>
      <c r="NNQ96" s="4"/>
      <c r="NNR96" s="4"/>
      <c r="NNS96" s="4"/>
      <c r="NNT96" s="4"/>
      <c r="NNU96" s="4"/>
      <c r="NNV96" s="4"/>
      <c r="NNW96" s="4"/>
      <c r="NNX96" s="4"/>
      <c r="NNY96" s="4"/>
      <c r="NNZ96" s="4"/>
      <c r="NOA96" s="4"/>
      <c r="NOB96" s="4"/>
      <c r="NOC96" s="4"/>
      <c r="NOD96" s="4"/>
      <c r="NOE96" s="4"/>
      <c r="NOF96" s="4"/>
      <c r="NOG96" s="4"/>
      <c r="NOH96" s="4"/>
      <c r="NOI96" s="4"/>
      <c r="NOJ96" s="4"/>
      <c r="NOK96" s="4"/>
      <c r="NOL96" s="4"/>
      <c r="NOM96" s="4"/>
      <c r="NON96" s="4"/>
      <c r="NOO96" s="4"/>
      <c r="NOP96" s="4"/>
      <c r="NOQ96" s="4"/>
      <c r="NOR96" s="4"/>
      <c r="NOS96" s="4"/>
      <c r="NOT96" s="4"/>
      <c r="NOU96" s="4"/>
      <c r="NOV96" s="4"/>
      <c r="NOW96" s="4"/>
      <c r="NOX96" s="4"/>
      <c r="NOY96" s="4"/>
      <c r="NOZ96" s="4"/>
      <c r="NPA96" s="4"/>
      <c r="NPB96" s="4"/>
      <c r="NPC96" s="4"/>
      <c r="NPD96" s="4"/>
      <c r="NPE96" s="4"/>
      <c r="NPF96" s="4"/>
      <c r="NPG96" s="4"/>
      <c r="NPH96" s="4"/>
      <c r="NPI96" s="4"/>
      <c r="NPJ96" s="4"/>
      <c r="NPK96" s="4"/>
      <c r="NPL96" s="4"/>
      <c r="NPM96" s="4"/>
      <c r="NPN96" s="4"/>
      <c r="NPO96" s="4"/>
      <c r="NPP96" s="4"/>
      <c r="NPQ96" s="4"/>
      <c r="NPR96" s="4"/>
      <c r="NPS96" s="4"/>
      <c r="NPT96" s="4"/>
      <c r="NPU96" s="4"/>
      <c r="NPV96" s="4"/>
      <c r="NPW96" s="4"/>
      <c r="NPX96" s="4"/>
      <c r="NPY96" s="4"/>
      <c r="NPZ96" s="4"/>
      <c r="NQA96" s="4"/>
      <c r="NQB96" s="4"/>
      <c r="NQC96" s="4"/>
      <c r="NQD96" s="4"/>
      <c r="NQE96" s="4"/>
      <c r="NQF96" s="4"/>
      <c r="NQG96" s="4"/>
      <c r="NQH96" s="4"/>
      <c r="NQI96" s="4"/>
      <c r="NQJ96" s="4"/>
      <c r="NQK96" s="4"/>
      <c r="NQL96" s="4"/>
      <c r="NQM96" s="4"/>
      <c r="NQN96" s="4"/>
      <c r="NQO96" s="4"/>
      <c r="NQP96" s="4"/>
      <c r="NQQ96" s="4"/>
      <c r="NQR96" s="4"/>
      <c r="NQS96" s="4"/>
      <c r="NQT96" s="4"/>
      <c r="NQU96" s="4"/>
      <c r="NQV96" s="4"/>
      <c r="NQW96" s="4"/>
      <c r="NQX96" s="4"/>
      <c r="NQY96" s="4"/>
      <c r="NQZ96" s="4"/>
      <c r="NRA96" s="4"/>
      <c r="NRB96" s="4"/>
      <c r="NRC96" s="4"/>
      <c r="NRD96" s="4"/>
      <c r="NRE96" s="4"/>
      <c r="NRF96" s="4"/>
      <c r="NRG96" s="4"/>
      <c r="NRH96" s="4"/>
      <c r="NRI96" s="4"/>
      <c r="NRJ96" s="4"/>
      <c r="NRK96" s="4"/>
      <c r="NRL96" s="4"/>
      <c r="NRM96" s="4"/>
      <c r="NRN96" s="4"/>
      <c r="NRO96" s="4"/>
      <c r="NRP96" s="4"/>
      <c r="NRQ96" s="4"/>
      <c r="NRR96" s="4"/>
      <c r="NRS96" s="4"/>
      <c r="NRT96" s="4"/>
      <c r="NRU96" s="4"/>
      <c r="NRV96" s="4"/>
      <c r="NRW96" s="4"/>
      <c r="NRX96" s="4"/>
      <c r="NRY96" s="4"/>
      <c r="NRZ96" s="4"/>
      <c r="NSA96" s="4"/>
      <c r="NSB96" s="4"/>
      <c r="NSC96" s="4"/>
      <c r="NSD96" s="4"/>
      <c r="NSE96" s="4"/>
      <c r="NSF96" s="4"/>
      <c r="NSG96" s="4"/>
      <c r="NSH96" s="4"/>
      <c r="NSI96" s="4"/>
      <c r="NSJ96" s="4"/>
      <c r="NSK96" s="4"/>
      <c r="NSL96" s="4"/>
      <c r="NSM96" s="4"/>
      <c r="NSN96" s="4"/>
      <c r="NSO96" s="4"/>
      <c r="NSP96" s="4"/>
      <c r="NSQ96" s="4"/>
      <c r="NSR96" s="4"/>
      <c r="NSS96" s="4"/>
      <c r="NST96" s="4"/>
      <c r="NSU96" s="4"/>
      <c r="NSV96" s="4"/>
      <c r="NSW96" s="4"/>
      <c r="NSX96" s="4"/>
      <c r="NSY96" s="4"/>
      <c r="NSZ96" s="4"/>
      <c r="NTA96" s="4"/>
      <c r="NTB96" s="4"/>
      <c r="NTC96" s="4"/>
      <c r="NTD96" s="4"/>
      <c r="NTE96" s="4"/>
      <c r="NTF96" s="4"/>
      <c r="NTG96" s="4"/>
      <c r="NTH96" s="4"/>
      <c r="NTI96" s="4"/>
      <c r="NTJ96" s="4"/>
      <c r="NTK96" s="4"/>
      <c r="NTL96" s="4"/>
      <c r="NTM96" s="4"/>
      <c r="NTN96" s="4"/>
      <c r="NTO96" s="4"/>
      <c r="NTP96" s="4"/>
      <c r="NTQ96" s="4"/>
      <c r="NTR96" s="4"/>
      <c r="NTS96" s="4"/>
      <c r="NTT96" s="4"/>
      <c r="NTU96" s="4"/>
      <c r="NTV96" s="4"/>
      <c r="NTW96" s="4"/>
      <c r="NTX96" s="4"/>
      <c r="NTY96" s="4"/>
      <c r="NTZ96" s="4"/>
      <c r="NUA96" s="4"/>
      <c r="NUB96" s="4"/>
      <c r="NUC96" s="4"/>
      <c r="NUD96" s="4"/>
      <c r="NUE96" s="4"/>
      <c r="NUF96" s="4"/>
      <c r="NUG96" s="4"/>
      <c r="NUH96" s="4"/>
      <c r="NUI96" s="4"/>
      <c r="NUJ96" s="4"/>
      <c r="NUK96" s="4"/>
      <c r="NUL96" s="4"/>
      <c r="NUM96" s="4"/>
      <c r="NUN96" s="4"/>
      <c r="NUO96" s="4"/>
      <c r="NUP96" s="4"/>
      <c r="NUQ96" s="4"/>
      <c r="NUR96" s="4"/>
      <c r="NUS96" s="4"/>
      <c r="NUT96" s="4"/>
      <c r="NUU96" s="4"/>
      <c r="NUV96" s="4"/>
      <c r="NUW96" s="4"/>
      <c r="NUX96" s="4"/>
      <c r="NUY96" s="4"/>
      <c r="NUZ96" s="4"/>
      <c r="NVA96" s="4"/>
      <c r="NVB96" s="4"/>
      <c r="NVC96" s="4"/>
      <c r="NVD96" s="4"/>
      <c r="NVE96" s="4"/>
      <c r="NVF96" s="4"/>
      <c r="NVG96" s="4"/>
      <c r="NVH96" s="4"/>
      <c r="NVI96" s="4"/>
      <c r="NVJ96" s="4"/>
      <c r="NVK96" s="4"/>
      <c r="NVL96" s="4"/>
      <c r="NVM96" s="4"/>
      <c r="NVN96" s="4"/>
      <c r="NVO96" s="4"/>
      <c r="NVP96" s="4"/>
      <c r="NVQ96" s="4"/>
      <c r="NVR96" s="4"/>
      <c r="NVS96" s="4"/>
      <c r="NVT96" s="4"/>
      <c r="NVU96" s="4"/>
      <c r="NVV96" s="4"/>
      <c r="NVW96" s="4"/>
      <c r="NVX96" s="4"/>
      <c r="NVY96" s="4"/>
      <c r="NVZ96" s="4"/>
      <c r="NWA96" s="4"/>
      <c r="NWB96" s="4"/>
      <c r="NWC96" s="4"/>
      <c r="NWD96" s="4"/>
      <c r="NWE96" s="4"/>
      <c r="NWF96" s="4"/>
      <c r="NWG96" s="4"/>
      <c r="NWH96" s="4"/>
      <c r="NWI96" s="4"/>
      <c r="NWJ96" s="4"/>
      <c r="NWK96" s="4"/>
      <c r="NWL96" s="4"/>
      <c r="NWM96" s="4"/>
      <c r="NWN96" s="4"/>
      <c r="NWO96" s="4"/>
      <c r="NWP96" s="4"/>
      <c r="NWQ96" s="4"/>
      <c r="NWR96" s="4"/>
      <c r="NWS96" s="4"/>
      <c r="NWT96" s="4"/>
      <c r="NWU96" s="4"/>
      <c r="NWV96" s="4"/>
      <c r="NWW96" s="4"/>
      <c r="NWX96" s="4"/>
      <c r="NWY96" s="4"/>
      <c r="NWZ96" s="4"/>
      <c r="NXA96" s="4"/>
      <c r="NXB96" s="4"/>
      <c r="NXC96" s="4"/>
      <c r="NXD96" s="4"/>
      <c r="NXE96" s="4"/>
      <c r="NXF96" s="4"/>
      <c r="NXG96" s="4"/>
      <c r="NXH96" s="4"/>
      <c r="NXI96" s="4"/>
      <c r="NXJ96" s="4"/>
      <c r="NXK96" s="4"/>
      <c r="NXL96" s="4"/>
      <c r="NXM96" s="4"/>
      <c r="NXN96" s="4"/>
      <c r="NXO96" s="4"/>
      <c r="NXP96" s="4"/>
      <c r="NXQ96" s="4"/>
      <c r="NXR96" s="4"/>
      <c r="NXS96" s="4"/>
      <c r="NXT96" s="4"/>
      <c r="NXU96" s="4"/>
      <c r="NXV96" s="4"/>
      <c r="NXW96" s="4"/>
      <c r="NXX96" s="4"/>
      <c r="NXY96" s="4"/>
      <c r="NXZ96" s="4"/>
      <c r="NYA96" s="4"/>
      <c r="NYB96" s="4"/>
      <c r="NYC96" s="4"/>
      <c r="NYD96" s="4"/>
      <c r="NYE96" s="4"/>
      <c r="NYF96" s="4"/>
      <c r="NYG96" s="4"/>
      <c r="NYH96" s="4"/>
      <c r="NYI96" s="4"/>
      <c r="NYJ96" s="4"/>
      <c r="NYK96" s="4"/>
      <c r="NYL96" s="4"/>
      <c r="NYM96" s="4"/>
      <c r="NYN96" s="4"/>
      <c r="NYO96" s="4"/>
      <c r="NYP96" s="4"/>
      <c r="NYQ96" s="4"/>
      <c r="NYR96" s="4"/>
      <c r="NYS96" s="4"/>
      <c r="NYT96" s="4"/>
      <c r="NYU96" s="4"/>
      <c r="NYV96" s="4"/>
      <c r="NYW96" s="4"/>
      <c r="NYX96" s="4"/>
      <c r="NYY96" s="4"/>
      <c r="NYZ96" s="4"/>
      <c r="NZA96" s="4"/>
      <c r="NZB96" s="4"/>
      <c r="NZC96" s="4"/>
      <c r="NZD96" s="4"/>
      <c r="NZE96" s="4"/>
      <c r="NZF96" s="4"/>
      <c r="NZG96" s="4"/>
      <c r="NZH96" s="4"/>
      <c r="NZI96" s="4"/>
      <c r="NZJ96" s="4"/>
      <c r="NZK96" s="4"/>
      <c r="NZL96" s="4"/>
      <c r="NZM96" s="4"/>
      <c r="NZN96" s="4"/>
      <c r="NZO96" s="4"/>
      <c r="NZP96" s="4"/>
      <c r="NZQ96" s="4"/>
      <c r="NZR96" s="4"/>
      <c r="NZS96" s="4"/>
      <c r="NZT96" s="4"/>
      <c r="NZU96" s="4"/>
      <c r="NZV96" s="4"/>
      <c r="NZW96" s="4"/>
      <c r="NZX96" s="4"/>
      <c r="NZY96" s="4"/>
      <c r="NZZ96" s="4"/>
      <c r="OAA96" s="4"/>
      <c r="OAB96" s="4"/>
      <c r="OAC96" s="4"/>
      <c r="OAD96" s="4"/>
      <c r="OAE96" s="4"/>
      <c r="OAF96" s="4"/>
      <c r="OAG96" s="4"/>
      <c r="OAH96" s="4"/>
      <c r="OAI96" s="4"/>
      <c r="OAJ96" s="4"/>
      <c r="OAK96" s="4"/>
      <c r="OAL96" s="4"/>
      <c r="OAM96" s="4"/>
      <c r="OAN96" s="4"/>
      <c r="OAO96" s="4"/>
      <c r="OAP96" s="4"/>
      <c r="OAQ96" s="4"/>
      <c r="OAR96" s="4"/>
      <c r="OAS96" s="4"/>
      <c r="OAT96" s="4"/>
      <c r="OAU96" s="4"/>
      <c r="OAV96" s="4"/>
      <c r="OAW96" s="4"/>
      <c r="OAX96" s="4"/>
      <c r="OAY96" s="4"/>
      <c r="OAZ96" s="4"/>
      <c r="OBA96" s="4"/>
      <c r="OBB96" s="4"/>
      <c r="OBC96" s="4"/>
      <c r="OBD96" s="4"/>
      <c r="OBE96" s="4"/>
      <c r="OBF96" s="4"/>
      <c r="OBG96" s="4"/>
      <c r="OBH96" s="4"/>
      <c r="OBI96" s="4"/>
      <c r="OBJ96" s="4"/>
      <c r="OBK96" s="4"/>
      <c r="OBL96" s="4"/>
      <c r="OBM96" s="4"/>
      <c r="OBN96" s="4"/>
      <c r="OBO96" s="4"/>
      <c r="OBP96" s="4"/>
      <c r="OBQ96" s="4"/>
      <c r="OBR96" s="4"/>
      <c r="OBS96" s="4"/>
      <c r="OBT96" s="4"/>
      <c r="OBU96" s="4"/>
      <c r="OBV96" s="4"/>
      <c r="OBW96" s="4"/>
      <c r="OBX96" s="4"/>
      <c r="OBY96" s="4"/>
      <c r="OBZ96" s="4"/>
      <c r="OCA96" s="4"/>
      <c r="OCB96" s="4"/>
      <c r="OCC96" s="4"/>
      <c r="OCD96" s="4"/>
      <c r="OCE96" s="4"/>
      <c r="OCF96" s="4"/>
      <c r="OCG96" s="4"/>
      <c r="OCH96" s="4"/>
      <c r="OCI96" s="4"/>
      <c r="OCJ96" s="4"/>
      <c r="OCK96" s="4"/>
      <c r="OCL96" s="4"/>
      <c r="OCM96" s="4"/>
      <c r="OCN96" s="4"/>
      <c r="OCO96" s="4"/>
      <c r="OCP96" s="4"/>
      <c r="OCQ96" s="4"/>
      <c r="OCR96" s="4"/>
      <c r="OCS96" s="4"/>
      <c r="OCT96" s="4"/>
      <c r="OCU96" s="4"/>
      <c r="OCV96" s="4"/>
      <c r="OCW96" s="4"/>
      <c r="OCX96" s="4"/>
      <c r="OCY96" s="4"/>
      <c r="OCZ96" s="4"/>
      <c r="ODA96" s="4"/>
      <c r="ODB96" s="4"/>
      <c r="ODC96" s="4"/>
      <c r="ODD96" s="4"/>
      <c r="ODE96" s="4"/>
      <c r="ODF96" s="4"/>
      <c r="ODG96" s="4"/>
      <c r="ODH96" s="4"/>
      <c r="ODI96" s="4"/>
      <c r="ODJ96" s="4"/>
      <c r="ODK96" s="4"/>
      <c r="ODL96" s="4"/>
      <c r="ODM96" s="4"/>
      <c r="ODN96" s="4"/>
      <c r="ODO96" s="4"/>
      <c r="ODP96" s="4"/>
      <c r="ODQ96" s="4"/>
      <c r="ODR96" s="4"/>
      <c r="ODS96" s="4"/>
      <c r="ODT96" s="4"/>
      <c r="ODU96" s="4"/>
      <c r="ODV96" s="4"/>
      <c r="ODW96" s="4"/>
      <c r="ODX96" s="4"/>
      <c r="ODY96" s="4"/>
      <c r="ODZ96" s="4"/>
      <c r="OEA96" s="4"/>
      <c r="OEB96" s="4"/>
      <c r="OEC96" s="4"/>
      <c r="OED96" s="4"/>
      <c r="OEE96" s="4"/>
      <c r="OEF96" s="4"/>
      <c r="OEG96" s="4"/>
      <c r="OEH96" s="4"/>
      <c r="OEI96" s="4"/>
      <c r="OEJ96" s="4"/>
      <c r="OEK96" s="4"/>
      <c r="OEL96" s="4"/>
      <c r="OEM96" s="4"/>
      <c r="OEN96" s="4"/>
      <c r="OEO96" s="4"/>
      <c r="OEP96" s="4"/>
      <c r="OEQ96" s="4"/>
      <c r="OER96" s="4"/>
      <c r="OES96" s="4"/>
      <c r="OET96" s="4"/>
      <c r="OEU96" s="4"/>
      <c r="OEV96" s="4"/>
      <c r="OEW96" s="4"/>
      <c r="OEX96" s="4"/>
      <c r="OEY96" s="4"/>
      <c r="OEZ96" s="4"/>
      <c r="OFA96" s="4"/>
      <c r="OFB96" s="4"/>
      <c r="OFC96" s="4"/>
      <c r="OFD96" s="4"/>
      <c r="OFE96" s="4"/>
      <c r="OFF96" s="4"/>
      <c r="OFG96" s="4"/>
      <c r="OFH96" s="4"/>
      <c r="OFI96" s="4"/>
      <c r="OFJ96" s="4"/>
      <c r="OFK96" s="4"/>
      <c r="OFL96" s="4"/>
      <c r="OFM96" s="4"/>
      <c r="OFN96" s="4"/>
      <c r="OFO96" s="4"/>
      <c r="OFP96" s="4"/>
      <c r="OFQ96" s="4"/>
      <c r="OFR96" s="4"/>
      <c r="OFS96" s="4"/>
      <c r="OFT96" s="4"/>
      <c r="OFU96" s="4"/>
      <c r="OFV96" s="4"/>
      <c r="OFW96" s="4"/>
      <c r="OFX96" s="4"/>
      <c r="OFY96" s="4"/>
      <c r="OFZ96" s="4"/>
      <c r="OGA96" s="4"/>
      <c r="OGB96" s="4"/>
      <c r="OGC96" s="4"/>
      <c r="OGD96" s="4"/>
      <c r="OGE96" s="4"/>
      <c r="OGF96" s="4"/>
      <c r="OGG96" s="4"/>
      <c r="OGH96" s="4"/>
      <c r="OGI96" s="4"/>
      <c r="OGJ96" s="4"/>
      <c r="OGK96" s="4"/>
      <c r="OGL96" s="4"/>
      <c r="OGM96" s="4"/>
      <c r="OGN96" s="4"/>
      <c r="OGO96" s="4"/>
      <c r="OGP96" s="4"/>
      <c r="OGQ96" s="4"/>
      <c r="OGR96" s="4"/>
      <c r="OGS96" s="4"/>
      <c r="OGT96" s="4"/>
      <c r="OGU96" s="4"/>
      <c r="OGV96" s="4"/>
      <c r="OGW96" s="4"/>
      <c r="OGX96" s="4"/>
      <c r="OGY96" s="4"/>
      <c r="OGZ96" s="4"/>
      <c r="OHA96" s="4"/>
      <c r="OHB96" s="4"/>
      <c r="OHC96" s="4"/>
      <c r="OHD96" s="4"/>
      <c r="OHE96" s="4"/>
      <c r="OHF96" s="4"/>
      <c r="OHG96" s="4"/>
      <c r="OHH96" s="4"/>
      <c r="OHI96" s="4"/>
      <c r="OHJ96" s="4"/>
      <c r="OHK96" s="4"/>
      <c r="OHL96" s="4"/>
      <c r="OHM96" s="4"/>
      <c r="OHN96" s="4"/>
      <c r="OHO96" s="4"/>
      <c r="OHP96" s="4"/>
      <c r="OHQ96" s="4"/>
      <c r="OHR96" s="4"/>
      <c r="OHS96" s="4"/>
      <c r="OHT96" s="4"/>
      <c r="OHU96" s="4"/>
      <c r="OHV96" s="4"/>
      <c r="OHW96" s="4"/>
      <c r="OHX96" s="4"/>
      <c r="OHY96" s="4"/>
      <c r="OHZ96" s="4"/>
      <c r="OIA96" s="4"/>
      <c r="OIB96" s="4"/>
      <c r="OIC96" s="4"/>
      <c r="OID96" s="4"/>
      <c r="OIE96" s="4"/>
      <c r="OIF96" s="4"/>
      <c r="OIG96" s="4"/>
      <c r="OIH96" s="4"/>
      <c r="OII96" s="4"/>
      <c r="OIJ96" s="4"/>
      <c r="OIK96" s="4"/>
      <c r="OIL96" s="4"/>
      <c r="OIM96" s="4"/>
      <c r="OIN96" s="4"/>
      <c r="OIO96" s="4"/>
      <c r="OIP96" s="4"/>
      <c r="OIQ96" s="4"/>
      <c r="OIR96" s="4"/>
      <c r="OIS96" s="4"/>
      <c r="OIT96" s="4"/>
      <c r="OIU96" s="4"/>
      <c r="OIV96" s="4"/>
      <c r="OIW96" s="4"/>
      <c r="OIX96" s="4"/>
      <c r="OIY96" s="4"/>
      <c r="OIZ96" s="4"/>
      <c r="OJA96" s="4"/>
      <c r="OJB96" s="4"/>
      <c r="OJC96" s="4"/>
      <c r="OJD96" s="4"/>
      <c r="OJE96" s="4"/>
      <c r="OJF96" s="4"/>
      <c r="OJG96" s="4"/>
      <c r="OJH96" s="4"/>
      <c r="OJI96" s="4"/>
      <c r="OJJ96" s="4"/>
      <c r="OJK96" s="4"/>
      <c r="OJL96" s="4"/>
      <c r="OJM96" s="4"/>
      <c r="OJN96" s="4"/>
      <c r="OJO96" s="4"/>
      <c r="OJP96" s="4"/>
      <c r="OJQ96" s="4"/>
      <c r="OJR96" s="4"/>
      <c r="OJS96" s="4"/>
      <c r="OJT96" s="4"/>
      <c r="OJU96" s="4"/>
      <c r="OJV96" s="4"/>
      <c r="OJW96" s="4"/>
      <c r="OJX96" s="4"/>
      <c r="OJY96" s="4"/>
      <c r="OJZ96" s="4"/>
      <c r="OKA96" s="4"/>
      <c r="OKB96" s="4"/>
      <c r="OKC96" s="4"/>
      <c r="OKD96" s="4"/>
      <c r="OKE96" s="4"/>
      <c r="OKF96" s="4"/>
      <c r="OKG96" s="4"/>
      <c r="OKH96" s="4"/>
      <c r="OKI96" s="4"/>
      <c r="OKJ96" s="4"/>
      <c r="OKK96" s="4"/>
      <c r="OKL96" s="4"/>
      <c r="OKM96" s="4"/>
      <c r="OKN96" s="4"/>
      <c r="OKO96" s="4"/>
      <c r="OKP96" s="4"/>
      <c r="OKQ96" s="4"/>
      <c r="OKR96" s="4"/>
      <c r="OKS96" s="4"/>
      <c r="OKT96" s="4"/>
      <c r="OKU96" s="4"/>
      <c r="OKV96" s="4"/>
      <c r="OKW96" s="4"/>
      <c r="OKX96" s="4"/>
      <c r="OKY96" s="4"/>
      <c r="OKZ96" s="4"/>
      <c r="OLA96" s="4"/>
      <c r="OLB96" s="4"/>
      <c r="OLC96" s="4"/>
      <c r="OLD96" s="4"/>
      <c r="OLE96" s="4"/>
      <c r="OLF96" s="4"/>
      <c r="OLG96" s="4"/>
      <c r="OLH96" s="4"/>
      <c r="OLI96" s="4"/>
      <c r="OLJ96" s="4"/>
      <c r="OLK96" s="4"/>
      <c r="OLL96" s="4"/>
      <c r="OLM96" s="4"/>
      <c r="OLN96" s="4"/>
      <c r="OLO96" s="4"/>
      <c r="OLP96" s="4"/>
      <c r="OLQ96" s="4"/>
      <c r="OLR96" s="4"/>
      <c r="OLS96" s="4"/>
      <c r="OLT96" s="4"/>
      <c r="OLU96" s="4"/>
      <c r="OLV96" s="4"/>
      <c r="OLW96" s="4"/>
      <c r="OLX96" s="4"/>
      <c r="OLY96" s="4"/>
      <c r="OLZ96" s="4"/>
      <c r="OMA96" s="4"/>
      <c r="OMB96" s="4"/>
      <c r="OMC96" s="4"/>
      <c r="OMD96" s="4"/>
      <c r="OME96" s="4"/>
      <c r="OMF96" s="4"/>
      <c r="OMG96" s="4"/>
      <c r="OMH96" s="4"/>
      <c r="OMI96" s="4"/>
      <c r="OMJ96" s="4"/>
      <c r="OMK96" s="4"/>
      <c r="OML96" s="4"/>
      <c r="OMM96" s="4"/>
      <c r="OMN96" s="4"/>
      <c r="OMO96" s="4"/>
      <c r="OMP96" s="4"/>
      <c r="OMQ96" s="4"/>
      <c r="OMR96" s="4"/>
      <c r="OMS96" s="4"/>
      <c r="OMT96" s="4"/>
      <c r="OMU96" s="4"/>
      <c r="OMV96" s="4"/>
      <c r="OMW96" s="4"/>
      <c r="OMX96" s="4"/>
      <c r="OMY96" s="4"/>
      <c r="OMZ96" s="4"/>
      <c r="ONA96" s="4"/>
      <c r="ONB96" s="4"/>
      <c r="ONC96" s="4"/>
      <c r="OND96" s="4"/>
      <c r="ONE96" s="4"/>
      <c r="ONF96" s="4"/>
      <c r="ONG96" s="4"/>
      <c r="ONH96" s="4"/>
      <c r="ONI96" s="4"/>
      <c r="ONJ96" s="4"/>
      <c r="ONK96" s="4"/>
      <c r="ONL96" s="4"/>
      <c r="ONM96" s="4"/>
      <c r="ONN96" s="4"/>
      <c r="ONO96" s="4"/>
      <c r="ONP96" s="4"/>
      <c r="ONQ96" s="4"/>
      <c r="ONR96" s="4"/>
      <c r="ONS96" s="4"/>
      <c r="ONT96" s="4"/>
      <c r="ONU96" s="4"/>
      <c r="ONV96" s="4"/>
      <c r="ONW96" s="4"/>
      <c r="ONX96" s="4"/>
      <c r="ONY96" s="4"/>
      <c r="ONZ96" s="4"/>
      <c r="OOA96" s="4"/>
      <c r="OOB96" s="4"/>
      <c r="OOC96" s="4"/>
      <c r="OOD96" s="4"/>
      <c r="OOE96" s="4"/>
      <c r="OOF96" s="4"/>
      <c r="OOG96" s="4"/>
      <c r="OOH96" s="4"/>
      <c r="OOI96" s="4"/>
      <c r="OOJ96" s="4"/>
      <c r="OOK96" s="4"/>
      <c r="OOL96" s="4"/>
      <c r="OOM96" s="4"/>
      <c r="OON96" s="4"/>
      <c r="OOO96" s="4"/>
      <c r="OOP96" s="4"/>
      <c r="OOQ96" s="4"/>
      <c r="OOR96" s="4"/>
      <c r="OOS96" s="4"/>
      <c r="OOT96" s="4"/>
      <c r="OOU96" s="4"/>
      <c r="OOV96" s="4"/>
      <c r="OOW96" s="4"/>
      <c r="OOX96" s="4"/>
      <c r="OOY96" s="4"/>
      <c r="OOZ96" s="4"/>
      <c r="OPA96" s="4"/>
      <c r="OPB96" s="4"/>
      <c r="OPC96" s="4"/>
      <c r="OPD96" s="4"/>
      <c r="OPE96" s="4"/>
      <c r="OPF96" s="4"/>
      <c r="OPG96" s="4"/>
      <c r="OPH96" s="4"/>
      <c r="OPI96" s="4"/>
      <c r="OPJ96" s="4"/>
      <c r="OPK96" s="4"/>
      <c r="OPL96" s="4"/>
      <c r="OPM96" s="4"/>
      <c r="OPN96" s="4"/>
      <c r="OPO96" s="4"/>
      <c r="OPP96" s="4"/>
      <c r="OPQ96" s="4"/>
      <c r="OPR96" s="4"/>
      <c r="OPS96" s="4"/>
      <c r="OPT96" s="4"/>
      <c r="OPU96" s="4"/>
      <c r="OPV96" s="4"/>
      <c r="OPW96" s="4"/>
      <c r="OPX96" s="4"/>
      <c r="OPY96" s="4"/>
      <c r="OPZ96" s="4"/>
      <c r="OQA96" s="4"/>
      <c r="OQB96" s="4"/>
      <c r="OQC96" s="4"/>
      <c r="OQD96" s="4"/>
      <c r="OQE96" s="4"/>
      <c r="OQF96" s="4"/>
      <c r="OQG96" s="4"/>
      <c r="OQH96" s="4"/>
      <c r="OQI96" s="4"/>
      <c r="OQJ96" s="4"/>
      <c r="OQK96" s="4"/>
      <c r="OQL96" s="4"/>
      <c r="OQM96" s="4"/>
      <c r="OQN96" s="4"/>
      <c r="OQO96" s="4"/>
      <c r="OQP96" s="4"/>
      <c r="OQQ96" s="4"/>
      <c r="OQR96" s="4"/>
      <c r="OQS96" s="4"/>
      <c r="OQT96" s="4"/>
      <c r="OQU96" s="4"/>
      <c r="OQV96" s="4"/>
      <c r="OQW96" s="4"/>
      <c r="OQX96" s="4"/>
      <c r="OQY96" s="4"/>
      <c r="OQZ96" s="4"/>
      <c r="ORA96" s="4"/>
      <c r="ORB96" s="4"/>
      <c r="ORC96" s="4"/>
      <c r="ORD96" s="4"/>
      <c r="ORE96" s="4"/>
      <c r="ORF96" s="4"/>
      <c r="ORG96" s="4"/>
      <c r="ORH96" s="4"/>
      <c r="ORI96" s="4"/>
      <c r="ORJ96" s="4"/>
      <c r="ORK96" s="4"/>
      <c r="ORL96" s="4"/>
      <c r="ORM96" s="4"/>
      <c r="ORN96" s="4"/>
      <c r="ORO96" s="4"/>
      <c r="ORP96" s="4"/>
      <c r="ORQ96" s="4"/>
      <c r="ORR96" s="4"/>
      <c r="ORS96" s="4"/>
      <c r="ORT96" s="4"/>
      <c r="ORU96" s="4"/>
      <c r="ORV96" s="4"/>
      <c r="ORW96" s="4"/>
      <c r="ORX96" s="4"/>
      <c r="ORY96" s="4"/>
      <c r="ORZ96" s="4"/>
      <c r="OSA96" s="4"/>
      <c r="OSB96" s="4"/>
      <c r="OSC96" s="4"/>
      <c r="OSD96" s="4"/>
      <c r="OSE96" s="4"/>
      <c r="OSF96" s="4"/>
      <c r="OSG96" s="4"/>
      <c r="OSH96" s="4"/>
      <c r="OSI96" s="4"/>
      <c r="OSJ96" s="4"/>
      <c r="OSK96" s="4"/>
      <c r="OSL96" s="4"/>
      <c r="OSM96" s="4"/>
      <c r="OSN96" s="4"/>
      <c r="OSO96" s="4"/>
      <c r="OSP96" s="4"/>
      <c r="OSQ96" s="4"/>
      <c r="OSR96" s="4"/>
      <c r="OSS96" s="4"/>
      <c r="OST96" s="4"/>
      <c r="OSU96" s="4"/>
      <c r="OSV96" s="4"/>
      <c r="OSW96" s="4"/>
      <c r="OSX96" s="4"/>
      <c r="OSY96" s="4"/>
      <c r="OSZ96" s="4"/>
      <c r="OTA96" s="4"/>
      <c r="OTB96" s="4"/>
      <c r="OTC96" s="4"/>
      <c r="OTD96" s="4"/>
      <c r="OTE96" s="4"/>
      <c r="OTF96" s="4"/>
      <c r="OTG96" s="4"/>
      <c r="OTH96" s="4"/>
      <c r="OTI96" s="4"/>
      <c r="OTJ96" s="4"/>
      <c r="OTK96" s="4"/>
      <c r="OTL96" s="4"/>
      <c r="OTM96" s="4"/>
      <c r="OTN96" s="4"/>
      <c r="OTO96" s="4"/>
      <c r="OTP96" s="4"/>
      <c r="OTQ96" s="4"/>
      <c r="OTR96" s="4"/>
      <c r="OTS96" s="4"/>
      <c r="OTT96" s="4"/>
      <c r="OTU96" s="4"/>
      <c r="OTV96" s="4"/>
      <c r="OTW96" s="4"/>
      <c r="OTX96" s="4"/>
      <c r="OTY96" s="4"/>
      <c r="OTZ96" s="4"/>
      <c r="OUA96" s="4"/>
      <c r="OUB96" s="4"/>
      <c r="OUC96" s="4"/>
      <c r="OUD96" s="4"/>
      <c r="OUE96" s="4"/>
      <c r="OUF96" s="4"/>
      <c r="OUG96" s="4"/>
      <c r="OUH96" s="4"/>
      <c r="OUI96" s="4"/>
      <c r="OUJ96" s="4"/>
      <c r="OUK96" s="4"/>
      <c r="OUL96" s="4"/>
      <c r="OUM96" s="4"/>
      <c r="OUN96" s="4"/>
      <c r="OUO96" s="4"/>
      <c r="OUP96" s="4"/>
      <c r="OUQ96" s="4"/>
      <c r="OUR96" s="4"/>
      <c r="OUS96" s="4"/>
      <c r="OUT96" s="4"/>
      <c r="OUU96" s="4"/>
      <c r="OUV96" s="4"/>
      <c r="OUW96" s="4"/>
      <c r="OUX96" s="4"/>
      <c r="OUY96" s="4"/>
      <c r="OUZ96" s="4"/>
      <c r="OVA96" s="4"/>
      <c r="OVB96" s="4"/>
      <c r="OVC96" s="4"/>
      <c r="OVD96" s="4"/>
      <c r="OVE96" s="4"/>
      <c r="OVF96" s="4"/>
      <c r="OVG96" s="4"/>
      <c r="OVH96" s="4"/>
      <c r="OVI96" s="4"/>
      <c r="OVJ96" s="4"/>
      <c r="OVK96" s="4"/>
      <c r="OVL96" s="4"/>
      <c r="OVM96" s="4"/>
      <c r="OVN96" s="4"/>
      <c r="OVO96" s="4"/>
      <c r="OVP96" s="4"/>
      <c r="OVQ96" s="4"/>
      <c r="OVR96" s="4"/>
      <c r="OVS96" s="4"/>
      <c r="OVT96" s="4"/>
      <c r="OVU96" s="4"/>
      <c r="OVV96" s="4"/>
      <c r="OVW96" s="4"/>
      <c r="OVX96" s="4"/>
      <c r="OVY96" s="4"/>
      <c r="OVZ96" s="4"/>
      <c r="OWA96" s="4"/>
      <c r="OWB96" s="4"/>
      <c r="OWC96" s="4"/>
      <c r="OWD96" s="4"/>
      <c r="OWE96" s="4"/>
      <c r="OWF96" s="4"/>
      <c r="OWG96" s="4"/>
      <c r="OWH96" s="4"/>
      <c r="OWI96" s="4"/>
      <c r="OWJ96" s="4"/>
      <c r="OWK96" s="4"/>
      <c r="OWL96" s="4"/>
      <c r="OWM96" s="4"/>
      <c r="OWN96" s="4"/>
      <c r="OWO96" s="4"/>
      <c r="OWP96" s="4"/>
      <c r="OWQ96" s="4"/>
      <c r="OWR96" s="4"/>
      <c r="OWS96" s="4"/>
      <c r="OWT96" s="4"/>
      <c r="OWU96" s="4"/>
      <c r="OWV96" s="4"/>
      <c r="OWW96" s="4"/>
      <c r="OWX96" s="4"/>
      <c r="OWY96" s="4"/>
      <c r="OWZ96" s="4"/>
      <c r="OXA96" s="4"/>
      <c r="OXB96" s="4"/>
      <c r="OXC96" s="4"/>
      <c r="OXD96" s="4"/>
      <c r="OXE96" s="4"/>
      <c r="OXF96" s="4"/>
      <c r="OXG96" s="4"/>
      <c r="OXH96" s="4"/>
      <c r="OXI96" s="4"/>
      <c r="OXJ96" s="4"/>
      <c r="OXK96" s="4"/>
      <c r="OXL96" s="4"/>
      <c r="OXM96" s="4"/>
      <c r="OXN96" s="4"/>
      <c r="OXO96" s="4"/>
      <c r="OXP96" s="4"/>
      <c r="OXQ96" s="4"/>
      <c r="OXR96" s="4"/>
      <c r="OXS96" s="4"/>
      <c r="OXT96" s="4"/>
      <c r="OXU96" s="4"/>
      <c r="OXV96" s="4"/>
      <c r="OXW96" s="4"/>
      <c r="OXX96" s="4"/>
      <c r="OXY96" s="4"/>
      <c r="OXZ96" s="4"/>
      <c r="OYA96" s="4"/>
      <c r="OYB96" s="4"/>
      <c r="OYC96" s="4"/>
      <c r="OYD96" s="4"/>
      <c r="OYE96" s="4"/>
      <c r="OYF96" s="4"/>
      <c r="OYG96" s="4"/>
      <c r="OYH96" s="4"/>
      <c r="OYI96" s="4"/>
      <c r="OYJ96" s="4"/>
      <c r="OYK96" s="4"/>
      <c r="OYL96" s="4"/>
      <c r="OYM96" s="4"/>
      <c r="OYN96" s="4"/>
      <c r="OYO96" s="4"/>
      <c r="OYP96" s="4"/>
      <c r="OYQ96" s="4"/>
      <c r="OYR96" s="4"/>
      <c r="OYS96" s="4"/>
      <c r="OYT96" s="4"/>
      <c r="OYU96" s="4"/>
      <c r="OYV96" s="4"/>
      <c r="OYW96" s="4"/>
      <c r="OYX96" s="4"/>
      <c r="OYY96" s="4"/>
      <c r="OYZ96" s="4"/>
      <c r="OZA96" s="4"/>
      <c r="OZB96" s="4"/>
      <c r="OZC96" s="4"/>
      <c r="OZD96" s="4"/>
      <c r="OZE96" s="4"/>
      <c r="OZF96" s="4"/>
      <c r="OZG96" s="4"/>
      <c r="OZH96" s="4"/>
      <c r="OZI96" s="4"/>
      <c r="OZJ96" s="4"/>
      <c r="OZK96" s="4"/>
      <c r="OZL96" s="4"/>
      <c r="OZM96" s="4"/>
      <c r="OZN96" s="4"/>
      <c r="OZO96" s="4"/>
      <c r="OZP96" s="4"/>
      <c r="OZQ96" s="4"/>
      <c r="OZR96" s="4"/>
      <c r="OZS96" s="4"/>
      <c r="OZT96" s="4"/>
      <c r="OZU96" s="4"/>
      <c r="OZV96" s="4"/>
      <c r="OZW96" s="4"/>
      <c r="OZX96" s="4"/>
      <c r="OZY96" s="4"/>
      <c r="OZZ96" s="4"/>
      <c r="PAA96" s="4"/>
      <c r="PAB96" s="4"/>
      <c r="PAC96" s="4"/>
      <c r="PAD96" s="4"/>
      <c r="PAE96" s="4"/>
      <c r="PAF96" s="4"/>
      <c r="PAG96" s="4"/>
      <c r="PAH96" s="4"/>
      <c r="PAI96" s="4"/>
      <c r="PAJ96" s="4"/>
      <c r="PAK96" s="4"/>
      <c r="PAL96" s="4"/>
      <c r="PAM96" s="4"/>
      <c r="PAN96" s="4"/>
      <c r="PAO96" s="4"/>
      <c r="PAP96" s="4"/>
      <c r="PAQ96" s="4"/>
      <c r="PAR96" s="4"/>
      <c r="PAS96" s="4"/>
      <c r="PAT96" s="4"/>
      <c r="PAU96" s="4"/>
      <c r="PAV96" s="4"/>
      <c r="PAW96" s="4"/>
      <c r="PAX96" s="4"/>
      <c r="PAY96" s="4"/>
      <c r="PAZ96" s="4"/>
      <c r="PBA96" s="4"/>
      <c r="PBB96" s="4"/>
      <c r="PBC96" s="4"/>
      <c r="PBD96" s="4"/>
      <c r="PBE96" s="4"/>
      <c r="PBF96" s="4"/>
      <c r="PBG96" s="4"/>
      <c r="PBH96" s="4"/>
      <c r="PBI96" s="4"/>
      <c r="PBJ96" s="4"/>
      <c r="PBK96" s="4"/>
      <c r="PBL96" s="4"/>
      <c r="PBM96" s="4"/>
      <c r="PBN96" s="4"/>
      <c r="PBO96" s="4"/>
      <c r="PBP96" s="4"/>
      <c r="PBQ96" s="4"/>
      <c r="PBR96" s="4"/>
      <c r="PBS96" s="4"/>
      <c r="PBT96" s="4"/>
      <c r="PBU96" s="4"/>
      <c r="PBV96" s="4"/>
      <c r="PBW96" s="4"/>
      <c r="PBX96" s="4"/>
      <c r="PBY96" s="4"/>
      <c r="PBZ96" s="4"/>
      <c r="PCA96" s="4"/>
      <c r="PCB96" s="4"/>
      <c r="PCC96" s="4"/>
      <c r="PCD96" s="4"/>
      <c r="PCE96" s="4"/>
      <c r="PCF96" s="4"/>
      <c r="PCG96" s="4"/>
      <c r="PCH96" s="4"/>
      <c r="PCI96" s="4"/>
      <c r="PCJ96" s="4"/>
      <c r="PCK96" s="4"/>
      <c r="PCL96" s="4"/>
      <c r="PCM96" s="4"/>
      <c r="PCN96" s="4"/>
      <c r="PCO96" s="4"/>
      <c r="PCP96" s="4"/>
      <c r="PCQ96" s="4"/>
      <c r="PCR96" s="4"/>
      <c r="PCS96" s="4"/>
      <c r="PCT96" s="4"/>
      <c r="PCU96" s="4"/>
      <c r="PCV96" s="4"/>
      <c r="PCW96" s="4"/>
      <c r="PCX96" s="4"/>
      <c r="PCY96" s="4"/>
      <c r="PCZ96" s="4"/>
      <c r="PDA96" s="4"/>
      <c r="PDB96" s="4"/>
      <c r="PDC96" s="4"/>
      <c r="PDD96" s="4"/>
      <c r="PDE96" s="4"/>
      <c r="PDF96" s="4"/>
      <c r="PDG96" s="4"/>
      <c r="PDH96" s="4"/>
      <c r="PDI96" s="4"/>
      <c r="PDJ96" s="4"/>
      <c r="PDK96" s="4"/>
      <c r="PDL96" s="4"/>
      <c r="PDM96" s="4"/>
      <c r="PDN96" s="4"/>
      <c r="PDO96" s="4"/>
      <c r="PDP96" s="4"/>
      <c r="PDQ96" s="4"/>
      <c r="PDR96" s="4"/>
      <c r="PDS96" s="4"/>
      <c r="PDT96" s="4"/>
      <c r="PDU96" s="4"/>
      <c r="PDV96" s="4"/>
      <c r="PDW96" s="4"/>
      <c r="PDX96" s="4"/>
      <c r="PDY96" s="4"/>
      <c r="PDZ96" s="4"/>
      <c r="PEA96" s="4"/>
      <c r="PEB96" s="4"/>
      <c r="PEC96" s="4"/>
      <c r="PED96" s="4"/>
      <c r="PEE96" s="4"/>
      <c r="PEF96" s="4"/>
      <c r="PEG96" s="4"/>
      <c r="PEH96" s="4"/>
      <c r="PEI96" s="4"/>
      <c r="PEJ96" s="4"/>
      <c r="PEK96" s="4"/>
      <c r="PEL96" s="4"/>
      <c r="PEM96" s="4"/>
      <c r="PEN96" s="4"/>
      <c r="PEO96" s="4"/>
      <c r="PEP96" s="4"/>
      <c r="PEQ96" s="4"/>
      <c r="PER96" s="4"/>
      <c r="PES96" s="4"/>
      <c r="PET96" s="4"/>
      <c r="PEU96" s="4"/>
      <c r="PEV96" s="4"/>
      <c r="PEW96" s="4"/>
      <c r="PEX96" s="4"/>
      <c r="PEY96" s="4"/>
      <c r="PEZ96" s="4"/>
      <c r="PFA96" s="4"/>
      <c r="PFB96" s="4"/>
      <c r="PFC96" s="4"/>
      <c r="PFD96" s="4"/>
      <c r="PFE96" s="4"/>
      <c r="PFF96" s="4"/>
      <c r="PFG96" s="4"/>
      <c r="PFH96" s="4"/>
      <c r="PFI96" s="4"/>
      <c r="PFJ96" s="4"/>
      <c r="PFK96" s="4"/>
      <c r="PFL96" s="4"/>
      <c r="PFM96" s="4"/>
      <c r="PFN96" s="4"/>
      <c r="PFO96" s="4"/>
      <c r="PFP96" s="4"/>
      <c r="PFQ96" s="4"/>
      <c r="PFR96" s="4"/>
      <c r="PFS96" s="4"/>
      <c r="PFT96" s="4"/>
      <c r="PFU96" s="4"/>
      <c r="PFV96" s="4"/>
      <c r="PFW96" s="4"/>
      <c r="PFX96" s="4"/>
      <c r="PFY96" s="4"/>
      <c r="PFZ96" s="4"/>
      <c r="PGA96" s="4"/>
      <c r="PGB96" s="4"/>
      <c r="PGC96" s="4"/>
      <c r="PGD96" s="4"/>
      <c r="PGE96" s="4"/>
      <c r="PGF96" s="4"/>
      <c r="PGG96" s="4"/>
      <c r="PGH96" s="4"/>
      <c r="PGI96" s="4"/>
      <c r="PGJ96" s="4"/>
      <c r="PGK96" s="4"/>
      <c r="PGL96" s="4"/>
      <c r="PGM96" s="4"/>
      <c r="PGN96" s="4"/>
      <c r="PGO96" s="4"/>
      <c r="PGP96" s="4"/>
      <c r="PGQ96" s="4"/>
      <c r="PGR96" s="4"/>
      <c r="PGS96" s="4"/>
      <c r="PGT96" s="4"/>
      <c r="PGU96" s="4"/>
      <c r="PGV96" s="4"/>
      <c r="PGW96" s="4"/>
      <c r="PGX96" s="4"/>
      <c r="PGY96" s="4"/>
      <c r="PGZ96" s="4"/>
      <c r="PHA96" s="4"/>
      <c r="PHB96" s="4"/>
      <c r="PHC96" s="4"/>
      <c r="PHD96" s="4"/>
      <c r="PHE96" s="4"/>
      <c r="PHF96" s="4"/>
      <c r="PHG96" s="4"/>
      <c r="PHH96" s="4"/>
      <c r="PHI96" s="4"/>
      <c r="PHJ96" s="4"/>
      <c r="PHK96" s="4"/>
      <c r="PHL96" s="4"/>
      <c r="PHM96" s="4"/>
      <c r="PHN96" s="4"/>
      <c r="PHO96" s="4"/>
      <c r="PHP96" s="4"/>
      <c r="PHQ96" s="4"/>
      <c r="PHR96" s="4"/>
      <c r="PHS96" s="4"/>
      <c r="PHT96" s="4"/>
      <c r="PHU96" s="4"/>
      <c r="PHV96" s="4"/>
      <c r="PHW96" s="4"/>
      <c r="PHX96" s="4"/>
      <c r="PHY96" s="4"/>
      <c r="PHZ96" s="4"/>
      <c r="PIA96" s="4"/>
      <c r="PIB96" s="4"/>
      <c r="PIC96" s="4"/>
      <c r="PID96" s="4"/>
      <c r="PIE96" s="4"/>
      <c r="PIF96" s="4"/>
      <c r="PIG96" s="4"/>
      <c r="PIH96" s="4"/>
      <c r="PII96" s="4"/>
      <c r="PIJ96" s="4"/>
      <c r="PIK96" s="4"/>
      <c r="PIL96" s="4"/>
      <c r="PIM96" s="4"/>
      <c r="PIN96" s="4"/>
      <c r="PIO96" s="4"/>
      <c r="PIP96" s="4"/>
      <c r="PIQ96" s="4"/>
      <c r="PIR96" s="4"/>
      <c r="PIS96" s="4"/>
      <c r="PIT96" s="4"/>
      <c r="PIU96" s="4"/>
      <c r="PIV96" s="4"/>
      <c r="PIW96" s="4"/>
      <c r="PIX96" s="4"/>
      <c r="PIY96" s="4"/>
      <c r="PIZ96" s="4"/>
      <c r="PJA96" s="4"/>
      <c r="PJB96" s="4"/>
      <c r="PJC96" s="4"/>
      <c r="PJD96" s="4"/>
      <c r="PJE96" s="4"/>
      <c r="PJF96" s="4"/>
      <c r="PJG96" s="4"/>
      <c r="PJH96" s="4"/>
      <c r="PJI96" s="4"/>
      <c r="PJJ96" s="4"/>
      <c r="PJK96" s="4"/>
      <c r="PJL96" s="4"/>
      <c r="PJM96" s="4"/>
      <c r="PJN96" s="4"/>
      <c r="PJO96" s="4"/>
      <c r="PJP96" s="4"/>
      <c r="PJQ96" s="4"/>
      <c r="PJR96" s="4"/>
      <c r="PJS96" s="4"/>
      <c r="PJT96" s="4"/>
      <c r="PJU96" s="4"/>
      <c r="PJV96" s="4"/>
      <c r="PJW96" s="4"/>
      <c r="PJX96" s="4"/>
      <c r="PJY96" s="4"/>
      <c r="PJZ96" s="4"/>
      <c r="PKA96" s="4"/>
      <c r="PKB96" s="4"/>
      <c r="PKC96" s="4"/>
      <c r="PKD96" s="4"/>
      <c r="PKE96" s="4"/>
      <c r="PKF96" s="4"/>
      <c r="PKG96" s="4"/>
      <c r="PKH96" s="4"/>
      <c r="PKI96" s="4"/>
      <c r="PKJ96" s="4"/>
      <c r="PKK96" s="4"/>
      <c r="PKL96" s="4"/>
      <c r="PKM96" s="4"/>
      <c r="PKN96" s="4"/>
      <c r="PKO96" s="4"/>
      <c r="PKP96" s="4"/>
      <c r="PKQ96" s="4"/>
      <c r="PKR96" s="4"/>
      <c r="PKS96" s="4"/>
      <c r="PKT96" s="4"/>
      <c r="PKU96" s="4"/>
      <c r="PKV96" s="4"/>
      <c r="PKW96" s="4"/>
      <c r="PKX96" s="4"/>
      <c r="PKY96" s="4"/>
      <c r="PKZ96" s="4"/>
      <c r="PLA96" s="4"/>
      <c r="PLB96" s="4"/>
      <c r="PLC96" s="4"/>
      <c r="PLD96" s="4"/>
      <c r="PLE96" s="4"/>
      <c r="PLF96" s="4"/>
      <c r="PLG96" s="4"/>
      <c r="PLH96" s="4"/>
      <c r="PLI96" s="4"/>
      <c r="PLJ96" s="4"/>
      <c r="PLK96" s="4"/>
      <c r="PLL96" s="4"/>
      <c r="PLM96" s="4"/>
      <c r="PLN96" s="4"/>
      <c r="PLO96" s="4"/>
      <c r="PLP96" s="4"/>
      <c r="PLQ96" s="4"/>
      <c r="PLR96" s="4"/>
      <c r="PLS96" s="4"/>
      <c r="PLT96" s="4"/>
      <c r="PLU96" s="4"/>
      <c r="PLV96" s="4"/>
      <c r="PLW96" s="4"/>
      <c r="PLX96" s="4"/>
      <c r="PLY96" s="4"/>
      <c r="PLZ96" s="4"/>
      <c r="PMA96" s="4"/>
      <c r="PMB96" s="4"/>
      <c r="PMC96" s="4"/>
      <c r="PMD96" s="4"/>
      <c r="PME96" s="4"/>
      <c r="PMF96" s="4"/>
      <c r="PMG96" s="4"/>
      <c r="PMH96" s="4"/>
      <c r="PMI96" s="4"/>
      <c r="PMJ96" s="4"/>
      <c r="PMK96" s="4"/>
      <c r="PML96" s="4"/>
      <c r="PMM96" s="4"/>
      <c r="PMN96" s="4"/>
      <c r="PMO96" s="4"/>
      <c r="PMP96" s="4"/>
      <c r="PMQ96" s="4"/>
      <c r="PMR96" s="4"/>
      <c r="PMS96" s="4"/>
      <c r="PMT96" s="4"/>
      <c r="PMU96" s="4"/>
      <c r="PMV96" s="4"/>
      <c r="PMW96" s="4"/>
      <c r="PMX96" s="4"/>
      <c r="PMY96" s="4"/>
      <c r="PMZ96" s="4"/>
      <c r="PNA96" s="4"/>
      <c r="PNB96" s="4"/>
      <c r="PNC96" s="4"/>
      <c r="PND96" s="4"/>
      <c r="PNE96" s="4"/>
      <c r="PNF96" s="4"/>
      <c r="PNG96" s="4"/>
      <c r="PNH96" s="4"/>
      <c r="PNI96" s="4"/>
      <c r="PNJ96" s="4"/>
      <c r="PNK96" s="4"/>
      <c r="PNL96" s="4"/>
      <c r="PNM96" s="4"/>
      <c r="PNN96" s="4"/>
      <c r="PNO96" s="4"/>
      <c r="PNP96" s="4"/>
      <c r="PNQ96" s="4"/>
      <c r="PNR96" s="4"/>
      <c r="PNS96" s="4"/>
      <c r="PNT96" s="4"/>
      <c r="PNU96" s="4"/>
      <c r="PNV96" s="4"/>
      <c r="PNW96" s="4"/>
      <c r="PNX96" s="4"/>
      <c r="PNY96" s="4"/>
      <c r="PNZ96" s="4"/>
      <c r="POA96" s="4"/>
      <c r="POB96" s="4"/>
      <c r="POC96" s="4"/>
      <c r="POD96" s="4"/>
      <c r="POE96" s="4"/>
      <c r="POF96" s="4"/>
      <c r="POG96" s="4"/>
      <c r="POH96" s="4"/>
      <c r="POI96" s="4"/>
      <c r="POJ96" s="4"/>
      <c r="POK96" s="4"/>
      <c r="POL96" s="4"/>
      <c r="POM96" s="4"/>
      <c r="PON96" s="4"/>
      <c r="POO96" s="4"/>
      <c r="POP96" s="4"/>
      <c r="POQ96" s="4"/>
      <c r="POR96" s="4"/>
      <c r="POS96" s="4"/>
      <c r="POT96" s="4"/>
      <c r="POU96" s="4"/>
      <c r="POV96" s="4"/>
      <c r="POW96" s="4"/>
      <c r="POX96" s="4"/>
      <c r="POY96" s="4"/>
      <c r="POZ96" s="4"/>
      <c r="PPA96" s="4"/>
      <c r="PPB96" s="4"/>
      <c r="PPC96" s="4"/>
      <c r="PPD96" s="4"/>
      <c r="PPE96" s="4"/>
      <c r="PPF96" s="4"/>
      <c r="PPG96" s="4"/>
      <c r="PPH96" s="4"/>
      <c r="PPI96" s="4"/>
      <c r="PPJ96" s="4"/>
      <c r="PPK96" s="4"/>
      <c r="PPL96" s="4"/>
      <c r="PPM96" s="4"/>
      <c r="PPN96" s="4"/>
      <c r="PPO96" s="4"/>
      <c r="PPP96" s="4"/>
      <c r="PPQ96" s="4"/>
      <c r="PPR96" s="4"/>
      <c r="PPS96" s="4"/>
      <c r="PPT96" s="4"/>
      <c r="PPU96" s="4"/>
      <c r="PPV96" s="4"/>
      <c r="PPW96" s="4"/>
      <c r="PPX96" s="4"/>
      <c r="PPY96" s="4"/>
      <c r="PPZ96" s="4"/>
      <c r="PQA96" s="4"/>
      <c r="PQB96" s="4"/>
      <c r="PQC96" s="4"/>
      <c r="PQD96" s="4"/>
      <c r="PQE96" s="4"/>
      <c r="PQF96" s="4"/>
      <c r="PQG96" s="4"/>
      <c r="PQH96" s="4"/>
      <c r="PQI96" s="4"/>
      <c r="PQJ96" s="4"/>
      <c r="PQK96" s="4"/>
      <c r="PQL96" s="4"/>
      <c r="PQM96" s="4"/>
      <c r="PQN96" s="4"/>
      <c r="PQO96" s="4"/>
      <c r="PQP96" s="4"/>
      <c r="PQQ96" s="4"/>
      <c r="PQR96" s="4"/>
      <c r="PQS96" s="4"/>
      <c r="PQT96" s="4"/>
      <c r="PQU96" s="4"/>
      <c r="PQV96" s="4"/>
      <c r="PQW96" s="4"/>
      <c r="PQX96" s="4"/>
      <c r="PQY96" s="4"/>
      <c r="PQZ96" s="4"/>
      <c r="PRA96" s="4"/>
      <c r="PRB96" s="4"/>
      <c r="PRC96" s="4"/>
      <c r="PRD96" s="4"/>
      <c r="PRE96" s="4"/>
      <c r="PRF96" s="4"/>
      <c r="PRG96" s="4"/>
      <c r="PRH96" s="4"/>
      <c r="PRI96" s="4"/>
      <c r="PRJ96" s="4"/>
      <c r="PRK96" s="4"/>
      <c r="PRL96" s="4"/>
      <c r="PRM96" s="4"/>
      <c r="PRN96" s="4"/>
      <c r="PRO96" s="4"/>
      <c r="PRP96" s="4"/>
      <c r="PRQ96" s="4"/>
      <c r="PRR96" s="4"/>
      <c r="PRS96" s="4"/>
      <c r="PRT96" s="4"/>
      <c r="PRU96" s="4"/>
      <c r="PRV96" s="4"/>
      <c r="PRW96" s="4"/>
      <c r="PRX96" s="4"/>
      <c r="PRY96" s="4"/>
      <c r="PRZ96" s="4"/>
      <c r="PSA96" s="4"/>
      <c r="PSB96" s="4"/>
      <c r="PSC96" s="4"/>
      <c r="PSD96" s="4"/>
      <c r="PSE96" s="4"/>
      <c r="PSF96" s="4"/>
      <c r="PSG96" s="4"/>
      <c r="PSH96" s="4"/>
      <c r="PSI96" s="4"/>
      <c r="PSJ96" s="4"/>
      <c r="PSK96" s="4"/>
      <c r="PSL96" s="4"/>
      <c r="PSM96" s="4"/>
      <c r="PSN96" s="4"/>
      <c r="PSO96" s="4"/>
      <c r="PSP96" s="4"/>
      <c r="PSQ96" s="4"/>
      <c r="PSR96" s="4"/>
      <c r="PSS96" s="4"/>
      <c r="PST96" s="4"/>
      <c r="PSU96" s="4"/>
      <c r="PSV96" s="4"/>
      <c r="PSW96" s="4"/>
      <c r="PSX96" s="4"/>
      <c r="PSY96" s="4"/>
      <c r="PSZ96" s="4"/>
      <c r="PTA96" s="4"/>
      <c r="PTB96" s="4"/>
      <c r="PTC96" s="4"/>
      <c r="PTD96" s="4"/>
      <c r="PTE96" s="4"/>
      <c r="PTF96" s="4"/>
      <c r="PTG96" s="4"/>
      <c r="PTH96" s="4"/>
      <c r="PTI96" s="4"/>
      <c r="PTJ96" s="4"/>
      <c r="PTK96" s="4"/>
      <c r="PTL96" s="4"/>
      <c r="PTM96" s="4"/>
      <c r="PTN96" s="4"/>
      <c r="PTO96" s="4"/>
      <c r="PTP96" s="4"/>
      <c r="PTQ96" s="4"/>
      <c r="PTR96" s="4"/>
      <c r="PTS96" s="4"/>
      <c r="PTT96" s="4"/>
      <c r="PTU96" s="4"/>
      <c r="PTV96" s="4"/>
      <c r="PTW96" s="4"/>
      <c r="PTX96" s="4"/>
      <c r="PTY96" s="4"/>
      <c r="PTZ96" s="4"/>
      <c r="PUA96" s="4"/>
      <c r="PUB96" s="4"/>
      <c r="PUC96" s="4"/>
      <c r="PUD96" s="4"/>
      <c r="PUE96" s="4"/>
      <c r="PUF96" s="4"/>
      <c r="PUG96" s="4"/>
      <c r="PUH96" s="4"/>
      <c r="PUI96" s="4"/>
      <c r="PUJ96" s="4"/>
      <c r="PUK96" s="4"/>
      <c r="PUL96" s="4"/>
      <c r="PUM96" s="4"/>
      <c r="PUN96" s="4"/>
      <c r="PUO96" s="4"/>
      <c r="PUP96" s="4"/>
      <c r="PUQ96" s="4"/>
      <c r="PUR96" s="4"/>
      <c r="PUS96" s="4"/>
      <c r="PUT96" s="4"/>
      <c r="PUU96" s="4"/>
      <c r="PUV96" s="4"/>
      <c r="PUW96" s="4"/>
      <c r="PUX96" s="4"/>
      <c r="PUY96" s="4"/>
      <c r="PUZ96" s="4"/>
      <c r="PVA96" s="4"/>
      <c r="PVB96" s="4"/>
      <c r="PVC96" s="4"/>
      <c r="PVD96" s="4"/>
      <c r="PVE96" s="4"/>
      <c r="PVF96" s="4"/>
      <c r="PVG96" s="4"/>
      <c r="PVH96" s="4"/>
      <c r="PVI96" s="4"/>
      <c r="PVJ96" s="4"/>
      <c r="PVK96" s="4"/>
      <c r="PVL96" s="4"/>
      <c r="PVM96" s="4"/>
      <c r="PVN96" s="4"/>
      <c r="PVO96" s="4"/>
      <c r="PVP96" s="4"/>
      <c r="PVQ96" s="4"/>
      <c r="PVR96" s="4"/>
      <c r="PVS96" s="4"/>
      <c r="PVT96" s="4"/>
      <c r="PVU96" s="4"/>
      <c r="PVV96" s="4"/>
      <c r="PVW96" s="4"/>
      <c r="PVX96" s="4"/>
      <c r="PVY96" s="4"/>
      <c r="PVZ96" s="4"/>
      <c r="PWA96" s="4"/>
      <c r="PWB96" s="4"/>
      <c r="PWC96" s="4"/>
      <c r="PWD96" s="4"/>
      <c r="PWE96" s="4"/>
      <c r="PWF96" s="4"/>
      <c r="PWG96" s="4"/>
      <c r="PWH96" s="4"/>
      <c r="PWI96" s="4"/>
      <c r="PWJ96" s="4"/>
      <c r="PWK96" s="4"/>
      <c r="PWL96" s="4"/>
      <c r="PWM96" s="4"/>
      <c r="PWN96" s="4"/>
      <c r="PWO96" s="4"/>
      <c r="PWP96" s="4"/>
      <c r="PWQ96" s="4"/>
      <c r="PWR96" s="4"/>
      <c r="PWS96" s="4"/>
      <c r="PWT96" s="4"/>
      <c r="PWU96" s="4"/>
      <c r="PWV96" s="4"/>
      <c r="PWW96" s="4"/>
      <c r="PWX96" s="4"/>
      <c r="PWY96" s="4"/>
      <c r="PWZ96" s="4"/>
      <c r="PXA96" s="4"/>
      <c r="PXB96" s="4"/>
      <c r="PXC96" s="4"/>
      <c r="PXD96" s="4"/>
      <c r="PXE96" s="4"/>
      <c r="PXF96" s="4"/>
      <c r="PXG96" s="4"/>
      <c r="PXH96" s="4"/>
      <c r="PXI96" s="4"/>
      <c r="PXJ96" s="4"/>
      <c r="PXK96" s="4"/>
      <c r="PXL96" s="4"/>
      <c r="PXM96" s="4"/>
      <c r="PXN96" s="4"/>
      <c r="PXO96" s="4"/>
      <c r="PXP96" s="4"/>
      <c r="PXQ96" s="4"/>
      <c r="PXR96" s="4"/>
      <c r="PXS96" s="4"/>
      <c r="PXT96" s="4"/>
      <c r="PXU96" s="4"/>
      <c r="PXV96" s="4"/>
      <c r="PXW96" s="4"/>
      <c r="PXX96" s="4"/>
      <c r="PXY96" s="4"/>
      <c r="PXZ96" s="4"/>
      <c r="PYA96" s="4"/>
      <c r="PYB96" s="4"/>
      <c r="PYC96" s="4"/>
      <c r="PYD96" s="4"/>
      <c r="PYE96" s="4"/>
      <c r="PYF96" s="4"/>
      <c r="PYG96" s="4"/>
      <c r="PYH96" s="4"/>
      <c r="PYI96" s="4"/>
      <c r="PYJ96" s="4"/>
      <c r="PYK96" s="4"/>
      <c r="PYL96" s="4"/>
      <c r="PYM96" s="4"/>
      <c r="PYN96" s="4"/>
      <c r="PYO96" s="4"/>
      <c r="PYP96" s="4"/>
      <c r="PYQ96" s="4"/>
      <c r="PYR96" s="4"/>
      <c r="PYS96" s="4"/>
      <c r="PYT96" s="4"/>
      <c r="PYU96" s="4"/>
      <c r="PYV96" s="4"/>
      <c r="PYW96" s="4"/>
      <c r="PYX96" s="4"/>
      <c r="PYY96" s="4"/>
      <c r="PYZ96" s="4"/>
      <c r="PZA96" s="4"/>
      <c r="PZB96" s="4"/>
      <c r="PZC96" s="4"/>
      <c r="PZD96" s="4"/>
      <c r="PZE96" s="4"/>
      <c r="PZF96" s="4"/>
      <c r="PZG96" s="4"/>
      <c r="PZH96" s="4"/>
      <c r="PZI96" s="4"/>
      <c r="PZJ96" s="4"/>
      <c r="PZK96" s="4"/>
      <c r="PZL96" s="4"/>
      <c r="PZM96" s="4"/>
      <c r="PZN96" s="4"/>
      <c r="PZO96" s="4"/>
      <c r="PZP96" s="4"/>
      <c r="PZQ96" s="4"/>
      <c r="PZR96" s="4"/>
      <c r="PZS96" s="4"/>
      <c r="PZT96" s="4"/>
      <c r="PZU96" s="4"/>
      <c r="PZV96" s="4"/>
      <c r="PZW96" s="4"/>
      <c r="PZX96" s="4"/>
      <c r="PZY96" s="4"/>
      <c r="PZZ96" s="4"/>
      <c r="QAA96" s="4"/>
      <c r="QAB96" s="4"/>
      <c r="QAC96" s="4"/>
      <c r="QAD96" s="4"/>
      <c r="QAE96" s="4"/>
      <c r="QAF96" s="4"/>
      <c r="QAG96" s="4"/>
      <c r="QAH96" s="4"/>
      <c r="QAI96" s="4"/>
      <c r="QAJ96" s="4"/>
      <c r="QAK96" s="4"/>
      <c r="QAL96" s="4"/>
      <c r="QAM96" s="4"/>
      <c r="QAN96" s="4"/>
      <c r="QAO96" s="4"/>
      <c r="QAP96" s="4"/>
      <c r="QAQ96" s="4"/>
      <c r="QAR96" s="4"/>
      <c r="QAS96" s="4"/>
      <c r="QAT96" s="4"/>
      <c r="QAU96" s="4"/>
      <c r="QAV96" s="4"/>
      <c r="QAW96" s="4"/>
      <c r="QAX96" s="4"/>
      <c r="QAY96" s="4"/>
      <c r="QAZ96" s="4"/>
      <c r="QBA96" s="4"/>
      <c r="QBB96" s="4"/>
      <c r="QBC96" s="4"/>
      <c r="QBD96" s="4"/>
      <c r="QBE96" s="4"/>
      <c r="QBF96" s="4"/>
      <c r="QBG96" s="4"/>
      <c r="QBH96" s="4"/>
      <c r="QBI96" s="4"/>
      <c r="QBJ96" s="4"/>
      <c r="QBK96" s="4"/>
      <c r="QBL96" s="4"/>
      <c r="QBM96" s="4"/>
      <c r="QBN96" s="4"/>
      <c r="QBO96" s="4"/>
      <c r="QBP96" s="4"/>
      <c r="QBQ96" s="4"/>
      <c r="QBR96" s="4"/>
      <c r="QBS96" s="4"/>
      <c r="QBT96" s="4"/>
      <c r="QBU96" s="4"/>
      <c r="QBV96" s="4"/>
      <c r="QBW96" s="4"/>
      <c r="QBX96" s="4"/>
      <c r="QBY96" s="4"/>
      <c r="QBZ96" s="4"/>
      <c r="QCA96" s="4"/>
      <c r="QCB96" s="4"/>
      <c r="QCC96" s="4"/>
      <c r="QCD96" s="4"/>
      <c r="QCE96" s="4"/>
      <c r="QCF96" s="4"/>
      <c r="QCG96" s="4"/>
      <c r="QCH96" s="4"/>
      <c r="QCI96" s="4"/>
      <c r="QCJ96" s="4"/>
      <c r="QCK96" s="4"/>
      <c r="QCL96" s="4"/>
      <c r="QCM96" s="4"/>
      <c r="QCN96" s="4"/>
      <c r="QCO96" s="4"/>
      <c r="QCP96" s="4"/>
      <c r="QCQ96" s="4"/>
      <c r="QCR96" s="4"/>
      <c r="QCS96" s="4"/>
      <c r="QCT96" s="4"/>
      <c r="QCU96" s="4"/>
      <c r="QCV96" s="4"/>
      <c r="QCW96" s="4"/>
      <c r="QCX96" s="4"/>
      <c r="QCY96" s="4"/>
      <c r="QCZ96" s="4"/>
      <c r="QDA96" s="4"/>
      <c r="QDB96" s="4"/>
      <c r="QDC96" s="4"/>
      <c r="QDD96" s="4"/>
      <c r="QDE96" s="4"/>
      <c r="QDF96" s="4"/>
      <c r="QDG96" s="4"/>
      <c r="QDH96" s="4"/>
      <c r="QDI96" s="4"/>
      <c r="QDJ96" s="4"/>
      <c r="QDK96" s="4"/>
      <c r="QDL96" s="4"/>
      <c r="QDM96" s="4"/>
      <c r="QDN96" s="4"/>
      <c r="QDO96" s="4"/>
      <c r="QDP96" s="4"/>
      <c r="QDQ96" s="4"/>
      <c r="QDR96" s="4"/>
      <c r="QDS96" s="4"/>
      <c r="QDT96" s="4"/>
      <c r="QDU96" s="4"/>
      <c r="QDV96" s="4"/>
      <c r="QDW96" s="4"/>
      <c r="QDX96" s="4"/>
      <c r="QDY96" s="4"/>
      <c r="QDZ96" s="4"/>
      <c r="QEA96" s="4"/>
      <c r="QEB96" s="4"/>
      <c r="QEC96" s="4"/>
      <c r="QED96" s="4"/>
      <c r="QEE96" s="4"/>
      <c r="QEF96" s="4"/>
      <c r="QEG96" s="4"/>
      <c r="QEH96" s="4"/>
      <c r="QEI96" s="4"/>
      <c r="QEJ96" s="4"/>
      <c r="QEK96" s="4"/>
      <c r="QEL96" s="4"/>
      <c r="QEM96" s="4"/>
      <c r="QEN96" s="4"/>
      <c r="QEO96" s="4"/>
      <c r="QEP96" s="4"/>
      <c r="QEQ96" s="4"/>
      <c r="QER96" s="4"/>
      <c r="QES96" s="4"/>
      <c r="QET96" s="4"/>
      <c r="QEU96" s="4"/>
      <c r="QEV96" s="4"/>
      <c r="QEW96" s="4"/>
      <c r="QEX96" s="4"/>
      <c r="QEY96" s="4"/>
      <c r="QEZ96" s="4"/>
      <c r="QFA96" s="4"/>
      <c r="QFB96" s="4"/>
      <c r="QFC96" s="4"/>
      <c r="QFD96" s="4"/>
      <c r="QFE96" s="4"/>
      <c r="QFF96" s="4"/>
      <c r="QFG96" s="4"/>
      <c r="QFH96" s="4"/>
      <c r="QFI96" s="4"/>
      <c r="QFJ96" s="4"/>
      <c r="QFK96" s="4"/>
      <c r="QFL96" s="4"/>
      <c r="QFM96" s="4"/>
      <c r="QFN96" s="4"/>
      <c r="QFO96" s="4"/>
      <c r="QFP96" s="4"/>
      <c r="QFQ96" s="4"/>
      <c r="QFR96" s="4"/>
      <c r="QFS96" s="4"/>
      <c r="QFT96" s="4"/>
      <c r="QFU96" s="4"/>
      <c r="QFV96" s="4"/>
      <c r="QFW96" s="4"/>
      <c r="QFX96" s="4"/>
      <c r="QFY96" s="4"/>
      <c r="QFZ96" s="4"/>
      <c r="QGA96" s="4"/>
      <c r="QGB96" s="4"/>
      <c r="QGC96" s="4"/>
      <c r="QGD96" s="4"/>
      <c r="QGE96" s="4"/>
      <c r="QGF96" s="4"/>
      <c r="QGG96" s="4"/>
      <c r="QGH96" s="4"/>
      <c r="QGI96" s="4"/>
      <c r="QGJ96" s="4"/>
      <c r="QGK96" s="4"/>
      <c r="QGL96" s="4"/>
      <c r="QGM96" s="4"/>
      <c r="QGN96" s="4"/>
      <c r="QGO96" s="4"/>
      <c r="QGP96" s="4"/>
      <c r="QGQ96" s="4"/>
      <c r="QGR96" s="4"/>
      <c r="QGS96" s="4"/>
      <c r="QGT96" s="4"/>
      <c r="QGU96" s="4"/>
      <c r="QGV96" s="4"/>
      <c r="QGW96" s="4"/>
      <c r="QGX96" s="4"/>
      <c r="QGY96" s="4"/>
      <c r="QGZ96" s="4"/>
      <c r="QHA96" s="4"/>
      <c r="QHB96" s="4"/>
      <c r="QHC96" s="4"/>
      <c r="QHD96" s="4"/>
      <c r="QHE96" s="4"/>
      <c r="QHF96" s="4"/>
      <c r="QHG96" s="4"/>
      <c r="QHH96" s="4"/>
      <c r="QHI96" s="4"/>
      <c r="QHJ96" s="4"/>
      <c r="QHK96" s="4"/>
      <c r="QHL96" s="4"/>
      <c r="QHM96" s="4"/>
      <c r="QHN96" s="4"/>
      <c r="QHO96" s="4"/>
      <c r="QHP96" s="4"/>
      <c r="QHQ96" s="4"/>
      <c r="QHR96" s="4"/>
      <c r="QHS96" s="4"/>
      <c r="QHT96" s="4"/>
      <c r="QHU96" s="4"/>
      <c r="QHV96" s="4"/>
      <c r="QHW96" s="4"/>
      <c r="QHX96" s="4"/>
      <c r="QHY96" s="4"/>
      <c r="QHZ96" s="4"/>
      <c r="QIA96" s="4"/>
      <c r="QIB96" s="4"/>
      <c r="QIC96" s="4"/>
      <c r="QID96" s="4"/>
      <c r="QIE96" s="4"/>
      <c r="QIF96" s="4"/>
      <c r="QIG96" s="4"/>
      <c r="QIH96" s="4"/>
      <c r="QII96" s="4"/>
      <c r="QIJ96" s="4"/>
      <c r="QIK96" s="4"/>
      <c r="QIL96" s="4"/>
      <c r="QIM96" s="4"/>
      <c r="QIN96" s="4"/>
      <c r="QIO96" s="4"/>
      <c r="QIP96" s="4"/>
      <c r="QIQ96" s="4"/>
      <c r="QIR96" s="4"/>
      <c r="QIS96" s="4"/>
      <c r="QIT96" s="4"/>
      <c r="QIU96" s="4"/>
      <c r="QIV96" s="4"/>
      <c r="QIW96" s="4"/>
      <c r="QIX96" s="4"/>
      <c r="QIY96" s="4"/>
      <c r="QIZ96" s="4"/>
      <c r="QJA96" s="4"/>
      <c r="QJB96" s="4"/>
      <c r="QJC96" s="4"/>
      <c r="QJD96" s="4"/>
      <c r="QJE96" s="4"/>
      <c r="QJF96" s="4"/>
      <c r="QJG96" s="4"/>
      <c r="QJH96" s="4"/>
      <c r="QJI96" s="4"/>
      <c r="QJJ96" s="4"/>
      <c r="QJK96" s="4"/>
      <c r="QJL96" s="4"/>
      <c r="QJM96" s="4"/>
      <c r="QJN96" s="4"/>
      <c r="QJO96" s="4"/>
      <c r="QJP96" s="4"/>
      <c r="QJQ96" s="4"/>
      <c r="QJR96" s="4"/>
      <c r="QJS96" s="4"/>
      <c r="QJT96" s="4"/>
      <c r="QJU96" s="4"/>
      <c r="QJV96" s="4"/>
      <c r="QJW96" s="4"/>
      <c r="QJX96" s="4"/>
      <c r="QJY96" s="4"/>
      <c r="QJZ96" s="4"/>
      <c r="QKA96" s="4"/>
      <c r="QKB96" s="4"/>
      <c r="QKC96" s="4"/>
      <c r="QKD96" s="4"/>
      <c r="QKE96" s="4"/>
      <c r="QKF96" s="4"/>
      <c r="QKG96" s="4"/>
      <c r="QKH96" s="4"/>
      <c r="QKI96" s="4"/>
      <c r="QKJ96" s="4"/>
      <c r="QKK96" s="4"/>
      <c r="QKL96" s="4"/>
      <c r="QKM96" s="4"/>
      <c r="QKN96" s="4"/>
      <c r="QKO96" s="4"/>
      <c r="QKP96" s="4"/>
      <c r="QKQ96" s="4"/>
      <c r="QKR96" s="4"/>
      <c r="QKS96" s="4"/>
      <c r="QKT96" s="4"/>
      <c r="QKU96" s="4"/>
      <c r="QKV96" s="4"/>
      <c r="QKW96" s="4"/>
      <c r="QKX96" s="4"/>
      <c r="QKY96" s="4"/>
      <c r="QKZ96" s="4"/>
      <c r="QLA96" s="4"/>
      <c r="QLB96" s="4"/>
      <c r="QLC96" s="4"/>
      <c r="QLD96" s="4"/>
      <c r="QLE96" s="4"/>
      <c r="QLF96" s="4"/>
      <c r="QLG96" s="4"/>
      <c r="QLH96" s="4"/>
      <c r="QLI96" s="4"/>
      <c r="QLJ96" s="4"/>
      <c r="QLK96" s="4"/>
      <c r="QLL96" s="4"/>
      <c r="QLM96" s="4"/>
      <c r="QLN96" s="4"/>
      <c r="QLO96" s="4"/>
      <c r="QLP96" s="4"/>
      <c r="QLQ96" s="4"/>
      <c r="QLR96" s="4"/>
      <c r="QLS96" s="4"/>
      <c r="QLT96" s="4"/>
      <c r="QLU96" s="4"/>
      <c r="QLV96" s="4"/>
      <c r="QLW96" s="4"/>
      <c r="QLX96" s="4"/>
      <c r="QLY96" s="4"/>
      <c r="QLZ96" s="4"/>
      <c r="QMA96" s="4"/>
      <c r="QMB96" s="4"/>
      <c r="QMC96" s="4"/>
      <c r="QMD96" s="4"/>
      <c r="QME96" s="4"/>
      <c r="QMF96" s="4"/>
      <c r="QMG96" s="4"/>
      <c r="QMH96" s="4"/>
      <c r="QMI96" s="4"/>
      <c r="QMJ96" s="4"/>
      <c r="QMK96" s="4"/>
      <c r="QML96" s="4"/>
      <c r="QMM96" s="4"/>
      <c r="QMN96" s="4"/>
      <c r="QMO96" s="4"/>
      <c r="QMP96" s="4"/>
      <c r="QMQ96" s="4"/>
      <c r="QMR96" s="4"/>
      <c r="QMS96" s="4"/>
      <c r="QMT96" s="4"/>
      <c r="QMU96" s="4"/>
      <c r="QMV96" s="4"/>
      <c r="QMW96" s="4"/>
      <c r="QMX96" s="4"/>
      <c r="QMY96" s="4"/>
      <c r="QMZ96" s="4"/>
      <c r="QNA96" s="4"/>
      <c r="QNB96" s="4"/>
      <c r="QNC96" s="4"/>
      <c r="QND96" s="4"/>
      <c r="QNE96" s="4"/>
      <c r="QNF96" s="4"/>
      <c r="QNG96" s="4"/>
      <c r="QNH96" s="4"/>
      <c r="QNI96" s="4"/>
      <c r="QNJ96" s="4"/>
      <c r="QNK96" s="4"/>
      <c r="QNL96" s="4"/>
      <c r="QNM96" s="4"/>
      <c r="QNN96" s="4"/>
      <c r="QNO96" s="4"/>
      <c r="QNP96" s="4"/>
      <c r="QNQ96" s="4"/>
      <c r="QNR96" s="4"/>
      <c r="QNS96" s="4"/>
      <c r="QNT96" s="4"/>
      <c r="QNU96" s="4"/>
      <c r="QNV96" s="4"/>
      <c r="QNW96" s="4"/>
      <c r="QNX96" s="4"/>
      <c r="QNY96" s="4"/>
      <c r="QNZ96" s="4"/>
      <c r="QOA96" s="4"/>
      <c r="QOB96" s="4"/>
      <c r="QOC96" s="4"/>
      <c r="QOD96" s="4"/>
      <c r="QOE96" s="4"/>
      <c r="QOF96" s="4"/>
      <c r="QOG96" s="4"/>
      <c r="QOH96" s="4"/>
      <c r="QOI96" s="4"/>
      <c r="QOJ96" s="4"/>
      <c r="QOK96" s="4"/>
      <c r="QOL96" s="4"/>
      <c r="QOM96" s="4"/>
      <c r="QON96" s="4"/>
      <c r="QOO96" s="4"/>
      <c r="QOP96" s="4"/>
      <c r="QOQ96" s="4"/>
      <c r="QOR96" s="4"/>
      <c r="QOS96" s="4"/>
      <c r="QOT96" s="4"/>
      <c r="QOU96" s="4"/>
      <c r="QOV96" s="4"/>
      <c r="QOW96" s="4"/>
      <c r="QOX96" s="4"/>
      <c r="QOY96" s="4"/>
      <c r="QOZ96" s="4"/>
      <c r="QPA96" s="4"/>
      <c r="QPB96" s="4"/>
      <c r="QPC96" s="4"/>
      <c r="QPD96" s="4"/>
      <c r="QPE96" s="4"/>
      <c r="QPF96" s="4"/>
      <c r="QPG96" s="4"/>
      <c r="QPH96" s="4"/>
      <c r="QPI96" s="4"/>
      <c r="QPJ96" s="4"/>
      <c r="QPK96" s="4"/>
      <c r="QPL96" s="4"/>
      <c r="QPM96" s="4"/>
      <c r="QPN96" s="4"/>
      <c r="QPO96" s="4"/>
      <c r="QPP96" s="4"/>
      <c r="QPQ96" s="4"/>
      <c r="QPR96" s="4"/>
      <c r="QPS96" s="4"/>
      <c r="QPT96" s="4"/>
      <c r="QPU96" s="4"/>
      <c r="QPV96" s="4"/>
      <c r="QPW96" s="4"/>
      <c r="QPX96" s="4"/>
      <c r="QPY96" s="4"/>
      <c r="QPZ96" s="4"/>
      <c r="QQA96" s="4"/>
      <c r="QQB96" s="4"/>
      <c r="QQC96" s="4"/>
      <c r="QQD96" s="4"/>
      <c r="QQE96" s="4"/>
      <c r="QQF96" s="4"/>
      <c r="QQG96" s="4"/>
      <c r="QQH96" s="4"/>
      <c r="QQI96" s="4"/>
      <c r="QQJ96" s="4"/>
      <c r="QQK96" s="4"/>
      <c r="QQL96" s="4"/>
      <c r="QQM96" s="4"/>
      <c r="QQN96" s="4"/>
      <c r="QQO96" s="4"/>
      <c r="QQP96" s="4"/>
      <c r="QQQ96" s="4"/>
      <c r="QQR96" s="4"/>
      <c r="QQS96" s="4"/>
      <c r="QQT96" s="4"/>
      <c r="QQU96" s="4"/>
      <c r="QQV96" s="4"/>
      <c r="QQW96" s="4"/>
      <c r="QQX96" s="4"/>
      <c r="QQY96" s="4"/>
      <c r="QQZ96" s="4"/>
      <c r="QRA96" s="4"/>
      <c r="QRB96" s="4"/>
      <c r="QRC96" s="4"/>
      <c r="QRD96" s="4"/>
      <c r="QRE96" s="4"/>
      <c r="QRF96" s="4"/>
      <c r="QRG96" s="4"/>
      <c r="QRH96" s="4"/>
      <c r="QRI96" s="4"/>
      <c r="QRJ96" s="4"/>
      <c r="QRK96" s="4"/>
      <c r="QRL96" s="4"/>
      <c r="QRM96" s="4"/>
      <c r="QRN96" s="4"/>
      <c r="QRO96" s="4"/>
      <c r="QRP96" s="4"/>
      <c r="QRQ96" s="4"/>
      <c r="QRR96" s="4"/>
      <c r="QRS96" s="4"/>
      <c r="QRT96" s="4"/>
      <c r="QRU96" s="4"/>
      <c r="QRV96" s="4"/>
      <c r="QRW96" s="4"/>
      <c r="QRX96" s="4"/>
      <c r="QRY96" s="4"/>
      <c r="QRZ96" s="4"/>
      <c r="QSA96" s="4"/>
      <c r="QSB96" s="4"/>
      <c r="QSC96" s="4"/>
      <c r="QSD96" s="4"/>
      <c r="QSE96" s="4"/>
      <c r="QSF96" s="4"/>
      <c r="QSG96" s="4"/>
      <c r="QSH96" s="4"/>
      <c r="QSI96" s="4"/>
      <c r="QSJ96" s="4"/>
      <c r="QSK96" s="4"/>
      <c r="QSL96" s="4"/>
      <c r="QSM96" s="4"/>
      <c r="QSN96" s="4"/>
      <c r="QSO96" s="4"/>
      <c r="QSP96" s="4"/>
      <c r="QSQ96" s="4"/>
      <c r="QSR96" s="4"/>
      <c r="QSS96" s="4"/>
      <c r="QST96" s="4"/>
      <c r="QSU96" s="4"/>
      <c r="QSV96" s="4"/>
      <c r="QSW96" s="4"/>
      <c r="QSX96" s="4"/>
      <c r="QSY96" s="4"/>
      <c r="QSZ96" s="4"/>
      <c r="QTA96" s="4"/>
      <c r="QTB96" s="4"/>
      <c r="QTC96" s="4"/>
      <c r="QTD96" s="4"/>
      <c r="QTE96" s="4"/>
      <c r="QTF96" s="4"/>
      <c r="QTG96" s="4"/>
      <c r="QTH96" s="4"/>
      <c r="QTI96" s="4"/>
      <c r="QTJ96" s="4"/>
      <c r="QTK96" s="4"/>
      <c r="QTL96" s="4"/>
      <c r="QTM96" s="4"/>
      <c r="QTN96" s="4"/>
      <c r="QTO96" s="4"/>
      <c r="QTP96" s="4"/>
      <c r="QTQ96" s="4"/>
      <c r="QTR96" s="4"/>
      <c r="QTS96" s="4"/>
      <c r="QTT96" s="4"/>
      <c r="QTU96" s="4"/>
      <c r="QTV96" s="4"/>
      <c r="QTW96" s="4"/>
      <c r="QTX96" s="4"/>
      <c r="QTY96" s="4"/>
      <c r="QTZ96" s="4"/>
      <c r="QUA96" s="4"/>
      <c r="QUB96" s="4"/>
      <c r="QUC96" s="4"/>
      <c r="QUD96" s="4"/>
      <c r="QUE96" s="4"/>
      <c r="QUF96" s="4"/>
      <c r="QUG96" s="4"/>
      <c r="QUH96" s="4"/>
      <c r="QUI96" s="4"/>
      <c r="QUJ96" s="4"/>
      <c r="QUK96" s="4"/>
      <c r="QUL96" s="4"/>
      <c r="QUM96" s="4"/>
      <c r="QUN96" s="4"/>
      <c r="QUO96" s="4"/>
      <c r="QUP96" s="4"/>
      <c r="QUQ96" s="4"/>
      <c r="QUR96" s="4"/>
      <c r="QUS96" s="4"/>
      <c r="QUT96" s="4"/>
      <c r="QUU96" s="4"/>
      <c r="QUV96" s="4"/>
      <c r="QUW96" s="4"/>
      <c r="QUX96" s="4"/>
      <c r="QUY96" s="4"/>
      <c r="QUZ96" s="4"/>
      <c r="QVA96" s="4"/>
      <c r="QVB96" s="4"/>
      <c r="QVC96" s="4"/>
      <c r="QVD96" s="4"/>
      <c r="QVE96" s="4"/>
      <c r="QVF96" s="4"/>
      <c r="QVG96" s="4"/>
      <c r="QVH96" s="4"/>
      <c r="QVI96" s="4"/>
      <c r="QVJ96" s="4"/>
      <c r="QVK96" s="4"/>
      <c r="QVL96" s="4"/>
      <c r="QVM96" s="4"/>
      <c r="QVN96" s="4"/>
      <c r="QVO96" s="4"/>
      <c r="QVP96" s="4"/>
      <c r="QVQ96" s="4"/>
      <c r="QVR96" s="4"/>
      <c r="QVS96" s="4"/>
      <c r="QVT96" s="4"/>
      <c r="QVU96" s="4"/>
      <c r="QVV96" s="4"/>
      <c r="QVW96" s="4"/>
      <c r="QVX96" s="4"/>
      <c r="QVY96" s="4"/>
      <c r="QVZ96" s="4"/>
      <c r="QWA96" s="4"/>
      <c r="QWB96" s="4"/>
      <c r="QWC96" s="4"/>
      <c r="QWD96" s="4"/>
      <c r="QWE96" s="4"/>
      <c r="QWF96" s="4"/>
      <c r="QWG96" s="4"/>
      <c r="QWH96" s="4"/>
      <c r="QWI96" s="4"/>
      <c r="QWJ96" s="4"/>
      <c r="QWK96" s="4"/>
      <c r="QWL96" s="4"/>
      <c r="QWM96" s="4"/>
      <c r="QWN96" s="4"/>
      <c r="QWO96" s="4"/>
      <c r="QWP96" s="4"/>
      <c r="QWQ96" s="4"/>
      <c r="QWR96" s="4"/>
      <c r="QWS96" s="4"/>
      <c r="QWT96" s="4"/>
      <c r="QWU96" s="4"/>
      <c r="QWV96" s="4"/>
      <c r="QWW96" s="4"/>
      <c r="QWX96" s="4"/>
      <c r="QWY96" s="4"/>
      <c r="QWZ96" s="4"/>
      <c r="QXA96" s="4"/>
      <c r="QXB96" s="4"/>
      <c r="QXC96" s="4"/>
      <c r="QXD96" s="4"/>
      <c r="QXE96" s="4"/>
      <c r="QXF96" s="4"/>
      <c r="QXG96" s="4"/>
      <c r="QXH96" s="4"/>
      <c r="QXI96" s="4"/>
      <c r="QXJ96" s="4"/>
      <c r="QXK96" s="4"/>
      <c r="QXL96" s="4"/>
      <c r="QXM96" s="4"/>
      <c r="QXN96" s="4"/>
      <c r="QXO96" s="4"/>
      <c r="QXP96" s="4"/>
      <c r="QXQ96" s="4"/>
      <c r="QXR96" s="4"/>
      <c r="QXS96" s="4"/>
      <c r="QXT96" s="4"/>
      <c r="QXU96" s="4"/>
      <c r="QXV96" s="4"/>
      <c r="QXW96" s="4"/>
      <c r="QXX96" s="4"/>
      <c r="QXY96" s="4"/>
      <c r="QXZ96" s="4"/>
      <c r="QYA96" s="4"/>
      <c r="QYB96" s="4"/>
      <c r="QYC96" s="4"/>
      <c r="QYD96" s="4"/>
      <c r="QYE96" s="4"/>
      <c r="QYF96" s="4"/>
      <c r="QYG96" s="4"/>
      <c r="QYH96" s="4"/>
      <c r="QYI96" s="4"/>
      <c r="QYJ96" s="4"/>
      <c r="QYK96" s="4"/>
      <c r="QYL96" s="4"/>
      <c r="QYM96" s="4"/>
      <c r="QYN96" s="4"/>
      <c r="QYO96" s="4"/>
      <c r="QYP96" s="4"/>
      <c r="QYQ96" s="4"/>
      <c r="QYR96" s="4"/>
      <c r="QYS96" s="4"/>
      <c r="QYT96" s="4"/>
      <c r="QYU96" s="4"/>
      <c r="QYV96" s="4"/>
      <c r="QYW96" s="4"/>
      <c r="QYX96" s="4"/>
      <c r="QYY96" s="4"/>
      <c r="QYZ96" s="4"/>
      <c r="QZA96" s="4"/>
      <c r="QZB96" s="4"/>
      <c r="QZC96" s="4"/>
      <c r="QZD96" s="4"/>
      <c r="QZE96" s="4"/>
      <c r="QZF96" s="4"/>
      <c r="QZG96" s="4"/>
      <c r="QZH96" s="4"/>
      <c r="QZI96" s="4"/>
      <c r="QZJ96" s="4"/>
      <c r="QZK96" s="4"/>
      <c r="QZL96" s="4"/>
      <c r="QZM96" s="4"/>
      <c r="QZN96" s="4"/>
      <c r="QZO96" s="4"/>
      <c r="QZP96" s="4"/>
      <c r="QZQ96" s="4"/>
      <c r="QZR96" s="4"/>
      <c r="QZS96" s="4"/>
      <c r="QZT96" s="4"/>
      <c r="QZU96" s="4"/>
      <c r="QZV96" s="4"/>
      <c r="QZW96" s="4"/>
      <c r="QZX96" s="4"/>
      <c r="QZY96" s="4"/>
      <c r="QZZ96" s="4"/>
      <c r="RAA96" s="4"/>
      <c r="RAB96" s="4"/>
      <c r="RAC96" s="4"/>
      <c r="RAD96" s="4"/>
      <c r="RAE96" s="4"/>
      <c r="RAF96" s="4"/>
      <c r="RAG96" s="4"/>
      <c r="RAH96" s="4"/>
      <c r="RAI96" s="4"/>
      <c r="RAJ96" s="4"/>
      <c r="RAK96" s="4"/>
      <c r="RAL96" s="4"/>
      <c r="RAM96" s="4"/>
      <c r="RAN96" s="4"/>
      <c r="RAO96" s="4"/>
      <c r="RAP96" s="4"/>
      <c r="RAQ96" s="4"/>
      <c r="RAR96" s="4"/>
      <c r="RAS96" s="4"/>
      <c r="RAT96" s="4"/>
      <c r="RAU96" s="4"/>
      <c r="RAV96" s="4"/>
      <c r="RAW96" s="4"/>
      <c r="RAX96" s="4"/>
      <c r="RAY96" s="4"/>
      <c r="RAZ96" s="4"/>
      <c r="RBA96" s="4"/>
      <c r="RBB96" s="4"/>
      <c r="RBC96" s="4"/>
      <c r="RBD96" s="4"/>
      <c r="RBE96" s="4"/>
      <c r="RBF96" s="4"/>
      <c r="RBG96" s="4"/>
      <c r="RBH96" s="4"/>
      <c r="RBI96" s="4"/>
      <c r="RBJ96" s="4"/>
      <c r="RBK96" s="4"/>
      <c r="RBL96" s="4"/>
      <c r="RBM96" s="4"/>
      <c r="RBN96" s="4"/>
      <c r="RBO96" s="4"/>
      <c r="RBP96" s="4"/>
      <c r="RBQ96" s="4"/>
      <c r="RBR96" s="4"/>
      <c r="RBS96" s="4"/>
      <c r="RBT96" s="4"/>
      <c r="RBU96" s="4"/>
      <c r="RBV96" s="4"/>
      <c r="RBW96" s="4"/>
      <c r="RBX96" s="4"/>
      <c r="RBY96" s="4"/>
      <c r="RBZ96" s="4"/>
      <c r="RCA96" s="4"/>
      <c r="RCB96" s="4"/>
      <c r="RCC96" s="4"/>
      <c r="RCD96" s="4"/>
      <c r="RCE96" s="4"/>
      <c r="RCF96" s="4"/>
      <c r="RCG96" s="4"/>
      <c r="RCH96" s="4"/>
      <c r="RCI96" s="4"/>
      <c r="RCJ96" s="4"/>
      <c r="RCK96" s="4"/>
      <c r="RCL96" s="4"/>
      <c r="RCM96" s="4"/>
      <c r="RCN96" s="4"/>
      <c r="RCO96" s="4"/>
      <c r="RCP96" s="4"/>
      <c r="RCQ96" s="4"/>
      <c r="RCR96" s="4"/>
      <c r="RCS96" s="4"/>
      <c r="RCT96" s="4"/>
      <c r="RCU96" s="4"/>
      <c r="RCV96" s="4"/>
      <c r="RCW96" s="4"/>
      <c r="RCX96" s="4"/>
      <c r="RCY96" s="4"/>
      <c r="RCZ96" s="4"/>
      <c r="RDA96" s="4"/>
      <c r="RDB96" s="4"/>
      <c r="RDC96" s="4"/>
      <c r="RDD96" s="4"/>
      <c r="RDE96" s="4"/>
      <c r="RDF96" s="4"/>
      <c r="RDG96" s="4"/>
      <c r="RDH96" s="4"/>
      <c r="RDI96" s="4"/>
      <c r="RDJ96" s="4"/>
      <c r="RDK96" s="4"/>
      <c r="RDL96" s="4"/>
      <c r="RDM96" s="4"/>
      <c r="RDN96" s="4"/>
      <c r="RDO96" s="4"/>
      <c r="RDP96" s="4"/>
      <c r="RDQ96" s="4"/>
      <c r="RDR96" s="4"/>
      <c r="RDS96" s="4"/>
      <c r="RDT96" s="4"/>
      <c r="RDU96" s="4"/>
      <c r="RDV96" s="4"/>
      <c r="RDW96" s="4"/>
      <c r="RDX96" s="4"/>
      <c r="RDY96" s="4"/>
      <c r="RDZ96" s="4"/>
      <c r="REA96" s="4"/>
      <c r="REB96" s="4"/>
      <c r="REC96" s="4"/>
      <c r="RED96" s="4"/>
      <c r="REE96" s="4"/>
      <c r="REF96" s="4"/>
      <c r="REG96" s="4"/>
      <c r="REH96" s="4"/>
      <c r="REI96" s="4"/>
      <c r="REJ96" s="4"/>
      <c r="REK96" s="4"/>
      <c r="REL96" s="4"/>
      <c r="REM96" s="4"/>
      <c r="REN96" s="4"/>
      <c r="REO96" s="4"/>
      <c r="REP96" s="4"/>
      <c r="REQ96" s="4"/>
      <c r="RER96" s="4"/>
      <c r="RES96" s="4"/>
      <c r="RET96" s="4"/>
      <c r="REU96" s="4"/>
      <c r="REV96" s="4"/>
      <c r="REW96" s="4"/>
      <c r="REX96" s="4"/>
      <c r="REY96" s="4"/>
      <c r="REZ96" s="4"/>
      <c r="RFA96" s="4"/>
      <c r="RFB96" s="4"/>
      <c r="RFC96" s="4"/>
      <c r="RFD96" s="4"/>
      <c r="RFE96" s="4"/>
      <c r="RFF96" s="4"/>
      <c r="RFG96" s="4"/>
      <c r="RFH96" s="4"/>
      <c r="RFI96" s="4"/>
      <c r="RFJ96" s="4"/>
      <c r="RFK96" s="4"/>
      <c r="RFL96" s="4"/>
      <c r="RFM96" s="4"/>
      <c r="RFN96" s="4"/>
      <c r="RFO96" s="4"/>
      <c r="RFP96" s="4"/>
      <c r="RFQ96" s="4"/>
      <c r="RFR96" s="4"/>
      <c r="RFS96" s="4"/>
      <c r="RFT96" s="4"/>
      <c r="RFU96" s="4"/>
      <c r="RFV96" s="4"/>
      <c r="RFW96" s="4"/>
      <c r="RFX96" s="4"/>
      <c r="RFY96" s="4"/>
      <c r="RFZ96" s="4"/>
      <c r="RGA96" s="4"/>
      <c r="RGB96" s="4"/>
      <c r="RGC96" s="4"/>
      <c r="RGD96" s="4"/>
      <c r="RGE96" s="4"/>
      <c r="RGF96" s="4"/>
      <c r="RGG96" s="4"/>
      <c r="RGH96" s="4"/>
      <c r="RGI96" s="4"/>
      <c r="RGJ96" s="4"/>
      <c r="RGK96" s="4"/>
      <c r="RGL96" s="4"/>
      <c r="RGM96" s="4"/>
      <c r="RGN96" s="4"/>
      <c r="RGO96" s="4"/>
      <c r="RGP96" s="4"/>
      <c r="RGQ96" s="4"/>
      <c r="RGR96" s="4"/>
      <c r="RGS96" s="4"/>
      <c r="RGT96" s="4"/>
      <c r="RGU96" s="4"/>
      <c r="RGV96" s="4"/>
      <c r="RGW96" s="4"/>
      <c r="RGX96" s="4"/>
      <c r="RGY96" s="4"/>
      <c r="RGZ96" s="4"/>
      <c r="RHA96" s="4"/>
      <c r="RHB96" s="4"/>
      <c r="RHC96" s="4"/>
      <c r="RHD96" s="4"/>
      <c r="RHE96" s="4"/>
      <c r="RHF96" s="4"/>
      <c r="RHG96" s="4"/>
      <c r="RHH96" s="4"/>
      <c r="RHI96" s="4"/>
      <c r="RHJ96" s="4"/>
      <c r="RHK96" s="4"/>
      <c r="RHL96" s="4"/>
      <c r="RHM96" s="4"/>
      <c r="RHN96" s="4"/>
      <c r="RHO96" s="4"/>
      <c r="RHP96" s="4"/>
      <c r="RHQ96" s="4"/>
      <c r="RHR96" s="4"/>
      <c r="RHS96" s="4"/>
      <c r="RHT96" s="4"/>
      <c r="RHU96" s="4"/>
      <c r="RHV96" s="4"/>
      <c r="RHW96" s="4"/>
      <c r="RHX96" s="4"/>
      <c r="RHY96" s="4"/>
      <c r="RHZ96" s="4"/>
      <c r="RIA96" s="4"/>
      <c r="RIB96" s="4"/>
      <c r="RIC96" s="4"/>
      <c r="RID96" s="4"/>
      <c r="RIE96" s="4"/>
      <c r="RIF96" s="4"/>
      <c r="RIG96" s="4"/>
      <c r="RIH96" s="4"/>
      <c r="RII96" s="4"/>
      <c r="RIJ96" s="4"/>
      <c r="RIK96" s="4"/>
      <c r="RIL96" s="4"/>
      <c r="RIM96" s="4"/>
      <c r="RIN96" s="4"/>
      <c r="RIO96" s="4"/>
      <c r="RIP96" s="4"/>
      <c r="RIQ96" s="4"/>
      <c r="RIR96" s="4"/>
      <c r="RIS96" s="4"/>
      <c r="RIT96" s="4"/>
      <c r="RIU96" s="4"/>
      <c r="RIV96" s="4"/>
      <c r="RIW96" s="4"/>
      <c r="RIX96" s="4"/>
      <c r="RIY96" s="4"/>
      <c r="RIZ96" s="4"/>
      <c r="RJA96" s="4"/>
      <c r="RJB96" s="4"/>
      <c r="RJC96" s="4"/>
      <c r="RJD96" s="4"/>
      <c r="RJE96" s="4"/>
      <c r="RJF96" s="4"/>
      <c r="RJG96" s="4"/>
      <c r="RJH96" s="4"/>
      <c r="RJI96" s="4"/>
      <c r="RJJ96" s="4"/>
      <c r="RJK96" s="4"/>
      <c r="RJL96" s="4"/>
      <c r="RJM96" s="4"/>
      <c r="RJN96" s="4"/>
      <c r="RJO96" s="4"/>
      <c r="RJP96" s="4"/>
      <c r="RJQ96" s="4"/>
      <c r="RJR96" s="4"/>
      <c r="RJS96" s="4"/>
      <c r="RJT96" s="4"/>
      <c r="RJU96" s="4"/>
      <c r="RJV96" s="4"/>
      <c r="RJW96" s="4"/>
      <c r="RJX96" s="4"/>
      <c r="RJY96" s="4"/>
      <c r="RJZ96" s="4"/>
      <c r="RKA96" s="4"/>
      <c r="RKB96" s="4"/>
      <c r="RKC96" s="4"/>
      <c r="RKD96" s="4"/>
      <c r="RKE96" s="4"/>
      <c r="RKF96" s="4"/>
      <c r="RKG96" s="4"/>
      <c r="RKH96" s="4"/>
      <c r="RKI96" s="4"/>
      <c r="RKJ96" s="4"/>
      <c r="RKK96" s="4"/>
      <c r="RKL96" s="4"/>
      <c r="RKM96" s="4"/>
      <c r="RKN96" s="4"/>
      <c r="RKO96" s="4"/>
      <c r="RKP96" s="4"/>
      <c r="RKQ96" s="4"/>
      <c r="RKR96" s="4"/>
      <c r="RKS96" s="4"/>
      <c r="RKT96" s="4"/>
      <c r="RKU96" s="4"/>
      <c r="RKV96" s="4"/>
      <c r="RKW96" s="4"/>
      <c r="RKX96" s="4"/>
      <c r="RKY96" s="4"/>
      <c r="RKZ96" s="4"/>
      <c r="RLA96" s="4"/>
      <c r="RLB96" s="4"/>
      <c r="RLC96" s="4"/>
      <c r="RLD96" s="4"/>
      <c r="RLE96" s="4"/>
      <c r="RLF96" s="4"/>
      <c r="RLG96" s="4"/>
      <c r="RLH96" s="4"/>
      <c r="RLI96" s="4"/>
      <c r="RLJ96" s="4"/>
      <c r="RLK96" s="4"/>
      <c r="RLL96" s="4"/>
      <c r="RLM96" s="4"/>
      <c r="RLN96" s="4"/>
      <c r="RLO96" s="4"/>
      <c r="RLP96" s="4"/>
      <c r="RLQ96" s="4"/>
      <c r="RLR96" s="4"/>
      <c r="RLS96" s="4"/>
      <c r="RLT96" s="4"/>
      <c r="RLU96" s="4"/>
      <c r="RLV96" s="4"/>
      <c r="RLW96" s="4"/>
      <c r="RLX96" s="4"/>
      <c r="RLY96" s="4"/>
      <c r="RLZ96" s="4"/>
      <c r="RMA96" s="4"/>
      <c r="RMB96" s="4"/>
      <c r="RMC96" s="4"/>
      <c r="RMD96" s="4"/>
      <c r="RME96" s="4"/>
      <c r="RMF96" s="4"/>
      <c r="RMG96" s="4"/>
      <c r="RMH96" s="4"/>
      <c r="RMI96" s="4"/>
      <c r="RMJ96" s="4"/>
      <c r="RMK96" s="4"/>
      <c r="RML96" s="4"/>
      <c r="RMM96" s="4"/>
      <c r="RMN96" s="4"/>
      <c r="RMO96" s="4"/>
      <c r="RMP96" s="4"/>
      <c r="RMQ96" s="4"/>
      <c r="RMR96" s="4"/>
      <c r="RMS96" s="4"/>
      <c r="RMT96" s="4"/>
      <c r="RMU96" s="4"/>
      <c r="RMV96" s="4"/>
      <c r="RMW96" s="4"/>
      <c r="RMX96" s="4"/>
      <c r="RMY96" s="4"/>
      <c r="RMZ96" s="4"/>
      <c r="RNA96" s="4"/>
      <c r="RNB96" s="4"/>
      <c r="RNC96" s="4"/>
      <c r="RND96" s="4"/>
      <c r="RNE96" s="4"/>
      <c r="RNF96" s="4"/>
      <c r="RNG96" s="4"/>
      <c r="RNH96" s="4"/>
      <c r="RNI96" s="4"/>
      <c r="RNJ96" s="4"/>
      <c r="RNK96" s="4"/>
      <c r="RNL96" s="4"/>
      <c r="RNM96" s="4"/>
      <c r="RNN96" s="4"/>
      <c r="RNO96" s="4"/>
      <c r="RNP96" s="4"/>
      <c r="RNQ96" s="4"/>
      <c r="RNR96" s="4"/>
      <c r="RNS96" s="4"/>
      <c r="RNT96" s="4"/>
      <c r="RNU96" s="4"/>
      <c r="RNV96" s="4"/>
      <c r="RNW96" s="4"/>
      <c r="RNX96" s="4"/>
      <c r="RNY96" s="4"/>
      <c r="RNZ96" s="4"/>
      <c r="ROA96" s="4"/>
      <c r="ROB96" s="4"/>
      <c r="ROC96" s="4"/>
      <c r="ROD96" s="4"/>
      <c r="ROE96" s="4"/>
      <c r="ROF96" s="4"/>
      <c r="ROG96" s="4"/>
      <c r="ROH96" s="4"/>
      <c r="ROI96" s="4"/>
      <c r="ROJ96" s="4"/>
      <c r="ROK96" s="4"/>
      <c r="ROL96" s="4"/>
      <c r="ROM96" s="4"/>
      <c r="RON96" s="4"/>
      <c r="ROO96" s="4"/>
      <c r="ROP96" s="4"/>
      <c r="ROQ96" s="4"/>
      <c r="ROR96" s="4"/>
      <c r="ROS96" s="4"/>
      <c r="ROT96" s="4"/>
      <c r="ROU96" s="4"/>
      <c r="ROV96" s="4"/>
      <c r="ROW96" s="4"/>
      <c r="ROX96" s="4"/>
      <c r="ROY96" s="4"/>
      <c r="ROZ96" s="4"/>
      <c r="RPA96" s="4"/>
      <c r="RPB96" s="4"/>
      <c r="RPC96" s="4"/>
      <c r="RPD96" s="4"/>
      <c r="RPE96" s="4"/>
      <c r="RPF96" s="4"/>
      <c r="RPG96" s="4"/>
      <c r="RPH96" s="4"/>
      <c r="RPI96" s="4"/>
      <c r="RPJ96" s="4"/>
      <c r="RPK96" s="4"/>
      <c r="RPL96" s="4"/>
      <c r="RPM96" s="4"/>
      <c r="RPN96" s="4"/>
      <c r="RPO96" s="4"/>
      <c r="RPP96" s="4"/>
      <c r="RPQ96" s="4"/>
      <c r="RPR96" s="4"/>
      <c r="RPS96" s="4"/>
      <c r="RPT96" s="4"/>
      <c r="RPU96" s="4"/>
      <c r="RPV96" s="4"/>
      <c r="RPW96" s="4"/>
      <c r="RPX96" s="4"/>
      <c r="RPY96" s="4"/>
      <c r="RPZ96" s="4"/>
      <c r="RQA96" s="4"/>
      <c r="RQB96" s="4"/>
      <c r="RQC96" s="4"/>
      <c r="RQD96" s="4"/>
      <c r="RQE96" s="4"/>
      <c r="RQF96" s="4"/>
      <c r="RQG96" s="4"/>
      <c r="RQH96" s="4"/>
      <c r="RQI96" s="4"/>
      <c r="RQJ96" s="4"/>
      <c r="RQK96" s="4"/>
      <c r="RQL96" s="4"/>
      <c r="RQM96" s="4"/>
      <c r="RQN96" s="4"/>
      <c r="RQO96" s="4"/>
      <c r="RQP96" s="4"/>
      <c r="RQQ96" s="4"/>
      <c r="RQR96" s="4"/>
      <c r="RQS96" s="4"/>
      <c r="RQT96" s="4"/>
      <c r="RQU96" s="4"/>
      <c r="RQV96" s="4"/>
      <c r="RQW96" s="4"/>
      <c r="RQX96" s="4"/>
      <c r="RQY96" s="4"/>
      <c r="RQZ96" s="4"/>
      <c r="RRA96" s="4"/>
      <c r="RRB96" s="4"/>
      <c r="RRC96" s="4"/>
      <c r="RRD96" s="4"/>
      <c r="RRE96" s="4"/>
      <c r="RRF96" s="4"/>
      <c r="RRG96" s="4"/>
      <c r="RRH96" s="4"/>
      <c r="RRI96" s="4"/>
      <c r="RRJ96" s="4"/>
      <c r="RRK96" s="4"/>
      <c r="RRL96" s="4"/>
      <c r="RRM96" s="4"/>
      <c r="RRN96" s="4"/>
      <c r="RRO96" s="4"/>
      <c r="RRP96" s="4"/>
      <c r="RRQ96" s="4"/>
      <c r="RRR96" s="4"/>
      <c r="RRS96" s="4"/>
      <c r="RRT96" s="4"/>
      <c r="RRU96" s="4"/>
      <c r="RRV96" s="4"/>
      <c r="RRW96" s="4"/>
      <c r="RRX96" s="4"/>
      <c r="RRY96" s="4"/>
      <c r="RRZ96" s="4"/>
      <c r="RSA96" s="4"/>
      <c r="RSB96" s="4"/>
      <c r="RSC96" s="4"/>
      <c r="RSD96" s="4"/>
      <c r="RSE96" s="4"/>
      <c r="RSF96" s="4"/>
      <c r="RSG96" s="4"/>
      <c r="RSH96" s="4"/>
      <c r="RSI96" s="4"/>
      <c r="RSJ96" s="4"/>
      <c r="RSK96" s="4"/>
      <c r="RSL96" s="4"/>
      <c r="RSM96" s="4"/>
      <c r="RSN96" s="4"/>
      <c r="RSO96" s="4"/>
      <c r="RSP96" s="4"/>
      <c r="RSQ96" s="4"/>
      <c r="RSR96" s="4"/>
      <c r="RSS96" s="4"/>
      <c r="RST96" s="4"/>
      <c r="RSU96" s="4"/>
      <c r="RSV96" s="4"/>
      <c r="RSW96" s="4"/>
      <c r="RSX96" s="4"/>
      <c r="RSY96" s="4"/>
      <c r="RSZ96" s="4"/>
      <c r="RTA96" s="4"/>
      <c r="RTB96" s="4"/>
      <c r="RTC96" s="4"/>
      <c r="RTD96" s="4"/>
      <c r="RTE96" s="4"/>
      <c r="RTF96" s="4"/>
      <c r="RTG96" s="4"/>
      <c r="RTH96" s="4"/>
      <c r="RTI96" s="4"/>
      <c r="RTJ96" s="4"/>
      <c r="RTK96" s="4"/>
      <c r="RTL96" s="4"/>
      <c r="RTM96" s="4"/>
      <c r="RTN96" s="4"/>
      <c r="RTO96" s="4"/>
      <c r="RTP96" s="4"/>
      <c r="RTQ96" s="4"/>
      <c r="RTR96" s="4"/>
      <c r="RTS96" s="4"/>
      <c r="RTT96" s="4"/>
      <c r="RTU96" s="4"/>
      <c r="RTV96" s="4"/>
      <c r="RTW96" s="4"/>
      <c r="RTX96" s="4"/>
      <c r="RTY96" s="4"/>
      <c r="RTZ96" s="4"/>
      <c r="RUA96" s="4"/>
      <c r="RUB96" s="4"/>
      <c r="RUC96" s="4"/>
      <c r="RUD96" s="4"/>
      <c r="RUE96" s="4"/>
      <c r="RUF96" s="4"/>
      <c r="RUG96" s="4"/>
      <c r="RUH96" s="4"/>
      <c r="RUI96" s="4"/>
      <c r="RUJ96" s="4"/>
      <c r="RUK96" s="4"/>
      <c r="RUL96" s="4"/>
      <c r="RUM96" s="4"/>
      <c r="RUN96" s="4"/>
      <c r="RUO96" s="4"/>
      <c r="RUP96" s="4"/>
      <c r="RUQ96" s="4"/>
      <c r="RUR96" s="4"/>
      <c r="RUS96" s="4"/>
      <c r="RUT96" s="4"/>
      <c r="RUU96" s="4"/>
      <c r="RUV96" s="4"/>
      <c r="RUW96" s="4"/>
      <c r="RUX96" s="4"/>
      <c r="RUY96" s="4"/>
      <c r="RUZ96" s="4"/>
      <c r="RVA96" s="4"/>
      <c r="RVB96" s="4"/>
      <c r="RVC96" s="4"/>
      <c r="RVD96" s="4"/>
      <c r="RVE96" s="4"/>
      <c r="RVF96" s="4"/>
      <c r="RVG96" s="4"/>
      <c r="RVH96" s="4"/>
      <c r="RVI96" s="4"/>
      <c r="RVJ96" s="4"/>
      <c r="RVK96" s="4"/>
      <c r="RVL96" s="4"/>
      <c r="RVM96" s="4"/>
      <c r="RVN96" s="4"/>
      <c r="RVO96" s="4"/>
      <c r="RVP96" s="4"/>
      <c r="RVQ96" s="4"/>
      <c r="RVR96" s="4"/>
      <c r="RVS96" s="4"/>
      <c r="RVT96" s="4"/>
      <c r="RVU96" s="4"/>
      <c r="RVV96" s="4"/>
      <c r="RVW96" s="4"/>
      <c r="RVX96" s="4"/>
      <c r="RVY96" s="4"/>
      <c r="RVZ96" s="4"/>
      <c r="RWA96" s="4"/>
      <c r="RWB96" s="4"/>
      <c r="RWC96" s="4"/>
      <c r="RWD96" s="4"/>
      <c r="RWE96" s="4"/>
      <c r="RWF96" s="4"/>
      <c r="RWG96" s="4"/>
      <c r="RWH96" s="4"/>
      <c r="RWI96" s="4"/>
      <c r="RWJ96" s="4"/>
      <c r="RWK96" s="4"/>
      <c r="RWL96" s="4"/>
      <c r="RWM96" s="4"/>
      <c r="RWN96" s="4"/>
      <c r="RWO96" s="4"/>
      <c r="RWP96" s="4"/>
      <c r="RWQ96" s="4"/>
      <c r="RWR96" s="4"/>
      <c r="RWS96" s="4"/>
      <c r="RWT96" s="4"/>
      <c r="RWU96" s="4"/>
      <c r="RWV96" s="4"/>
      <c r="RWW96" s="4"/>
      <c r="RWX96" s="4"/>
      <c r="RWY96" s="4"/>
      <c r="RWZ96" s="4"/>
      <c r="RXA96" s="4"/>
      <c r="RXB96" s="4"/>
      <c r="RXC96" s="4"/>
      <c r="RXD96" s="4"/>
      <c r="RXE96" s="4"/>
      <c r="RXF96" s="4"/>
      <c r="RXG96" s="4"/>
      <c r="RXH96" s="4"/>
      <c r="RXI96" s="4"/>
      <c r="RXJ96" s="4"/>
      <c r="RXK96" s="4"/>
      <c r="RXL96" s="4"/>
      <c r="RXM96" s="4"/>
      <c r="RXN96" s="4"/>
      <c r="RXO96" s="4"/>
      <c r="RXP96" s="4"/>
      <c r="RXQ96" s="4"/>
      <c r="RXR96" s="4"/>
      <c r="RXS96" s="4"/>
      <c r="RXT96" s="4"/>
      <c r="RXU96" s="4"/>
      <c r="RXV96" s="4"/>
      <c r="RXW96" s="4"/>
      <c r="RXX96" s="4"/>
      <c r="RXY96" s="4"/>
      <c r="RXZ96" s="4"/>
      <c r="RYA96" s="4"/>
      <c r="RYB96" s="4"/>
      <c r="RYC96" s="4"/>
      <c r="RYD96" s="4"/>
      <c r="RYE96" s="4"/>
      <c r="RYF96" s="4"/>
      <c r="RYG96" s="4"/>
      <c r="RYH96" s="4"/>
      <c r="RYI96" s="4"/>
      <c r="RYJ96" s="4"/>
      <c r="RYK96" s="4"/>
      <c r="RYL96" s="4"/>
      <c r="RYM96" s="4"/>
      <c r="RYN96" s="4"/>
      <c r="RYO96" s="4"/>
      <c r="RYP96" s="4"/>
      <c r="RYQ96" s="4"/>
      <c r="RYR96" s="4"/>
      <c r="RYS96" s="4"/>
      <c r="RYT96" s="4"/>
      <c r="RYU96" s="4"/>
      <c r="RYV96" s="4"/>
      <c r="RYW96" s="4"/>
      <c r="RYX96" s="4"/>
      <c r="RYY96" s="4"/>
      <c r="RYZ96" s="4"/>
      <c r="RZA96" s="4"/>
      <c r="RZB96" s="4"/>
      <c r="RZC96" s="4"/>
      <c r="RZD96" s="4"/>
      <c r="RZE96" s="4"/>
      <c r="RZF96" s="4"/>
      <c r="RZG96" s="4"/>
      <c r="RZH96" s="4"/>
      <c r="RZI96" s="4"/>
      <c r="RZJ96" s="4"/>
      <c r="RZK96" s="4"/>
      <c r="RZL96" s="4"/>
      <c r="RZM96" s="4"/>
      <c r="RZN96" s="4"/>
      <c r="RZO96" s="4"/>
      <c r="RZP96" s="4"/>
      <c r="RZQ96" s="4"/>
      <c r="RZR96" s="4"/>
      <c r="RZS96" s="4"/>
      <c r="RZT96" s="4"/>
      <c r="RZU96" s="4"/>
      <c r="RZV96" s="4"/>
      <c r="RZW96" s="4"/>
      <c r="RZX96" s="4"/>
      <c r="RZY96" s="4"/>
      <c r="RZZ96" s="4"/>
      <c r="SAA96" s="4"/>
      <c r="SAB96" s="4"/>
      <c r="SAC96" s="4"/>
      <c r="SAD96" s="4"/>
      <c r="SAE96" s="4"/>
      <c r="SAF96" s="4"/>
      <c r="SAG96" s="4"/>
      <c r="SAH96" s="4"/>
      <c r="SAI96" s="4"/>
      <c r="SAJ96" s="4"/>
      <c r="SAK96" s="4"/>
      <c r="SAL96" s="4"/>
      <c r="SAM96" s="4"/>
      <c r="SAN96" s="4"/>
      <c r="SAO96" s="4"/>
      <c r="SAP96" s="4"/>
      <c r="SAQ96" s="4"/>
      <c r="SAR96" s="4"/>
      <c r="SAS96" s="4"/>
      <c r="SAT96" s="4"/>
      <c r="SAU96" s="4"/>
      <c r="SAV96" s="4"/>
      <c r="SAW96" s="4"/>
      <c r="SAX96" s="4"/>
      <c r="SAY96" s="4"/>
      <c r="SAZ96" s="4"/>
      <c r="SBA96" s="4"/>
      <c r="SBB96" s="4"/>
      <c r="SBC96" s="4"/>
      <c r="SBD96" s="4"/>
      <c r="SBE96" s="4"/>
      <c r="SBF96" s="4"/>
      <c r="SBG96" s="4"/>
      <c r="SBH96" s="4"/>
      <c r="SBI96" s="4"/>
      <c r="SBJ96" s="4"/>
      <c r="SBK96" s="4"/>
      <c r="SBL96" s="4"/>
      <c r="SBM96" s="4"/>
      <c r="SBN96" s="4"/>
      <c r="SBO96" s="4"/>
      <c r="SBP96" s="4"/>
      <c r="SBQ96" s="4"/>
      <c r="SBR96" s="4"/>
      <c r="SBS96" s="4"/>
      <c r="SBT96" s="4"/>
      <c r="SBU96" s="4"/>
      <c r="SBV96" s="4"/>
      <c r="SBW96" s="4"/>
      <c r="SBX96" s="4"/>
      <c r="SBY96" s="4"/>
      <c r="SBZ96" s="4"/>
      <c r="SCA96" s="4"/>
      <c r="SCB96" s="4"/>
      <c r="SCC96" s="4"/>
      <c r="SCD96" s="4"/>
      <c r="SCE96" s="4"/>
      <c r="SCF96" s="4"/>
      <c r="SCG96" s="4"/>
      <c r="SCH96" s="4"/>
      <c r="SCI96" s="4"/>
      <c r="SCJ96" s="4"/>
      <c r="SCK96" s="4"/>
      <c r="SCL96" s="4"/>
      <c r="SCM96" s="4"/>
      <c r="SCN96" s="4"/>
      <c r="SCO96" s="4"/>
      <c r="SCP96" s="4"/>
      <c r="SCQ96" s="4"/>
      <c r="SCR96" s="4"/>
      <c r="SCS96" s="4"/>
      <c r="SCT96" s="4"/>
      <c r="SCU96" s="4"/>
      <c r="SCV96" s="4"/>
      <c r="SCW96" s="4"/>
      <c r="SCX96" s="4"/>
      <c r="SCY96" s="4"/>
      <c r="SCZ96" s="4"/>
      <c r="SDA96" s="4"/>
      <c r="SDB96" s="4"/>
      <c r="SDC96" s="4"/>
      <c r="SDD96" s="4"/>
      <c r="SDE96" s="4"/>
      <c r="SDF96" s="4"/>
      <c r="SDG96" s="4"/>
      <c r="SDH96" s="4"/>
      <c r="SDI96" s="4"/>
      <c r="SDJ96" s="4"/>
      <c r="SDK96" s="4"/>
      <c r="SDL96" s="4"/>
      <c r="SDM96" s="4"/>
      <c r="SDN96" s="4"/>
      <c r="SDO96" s="4"/>
      <c r="SDP96" s="4"/>
      <c r="SDQ96" s="4"/>
      <c r="SDR96" s="4"/>
      <c r="SDS96" s="4"/>
      <c r="SDT96" s="4"/>
      <c r="SDU96" s="4"/>
      <c r="SDV96" s="4"/>
      <c r="SDW96" s="4"/>
      <c r="SDX96" s="4"/>
      <c r="SDY96" s="4"/>
      <c r="SDZ96" s="4"/>
      <c r="SEA96" s="4"/>
      <c r="SEB96" s="4"/>
      <c r="SEC96" s="4"/>
      <c r="SED96" s="4"/>
      <c r="SEE96" s="4"/>
      <c r="SEF96" s="4"/>
      <c r="SEG96" s="4"/>
      <c r="SEH96" s="4"/>
      <c r="SEI96" s="4"/>
      <c r="SEJ96" s="4"/>
      <c r="SEK96" s="4"/>
      <c r="SEL96" s="4"/>
      <c r="SEM96" s="4"/>
      <c r="SEN96" s="4"/>
      <c r="SEO96" s="4"/>
      <c r="SEP96" s="4"/>
      <c r="SEQ96" s="4"/>
      <c r="SER96" s="4"/>
      <c r="SES96" s="4"/>
      <c r="SET96" s="4"/>
      <c r="SEU96" s="4"/>
      <c r="SEV96" s="4"/>
      <c r="SEW96" s="4"/>
      <c r="SEX96" s="4"/>
      <c r="SEY96" s="4"/>
      <c r="SEZ96" s="4"/>
      <c r="SFA96" s="4"/>
      <c r="SFB96" s="4"/>
      <c r="SFC96" s="4"/>
      <c r="SFD96" s="4"/>
      <c r="SFE96" s="4"/>
      <c r="SFF96" s="4"/>
      <c r="SFG96" s="4"/>
      <c r="SFH96" s="4"/>
      <c r="SFI96" s="4"/>
      <c r="SFJ96" s="4"/>
      <c r="SFK96" s="4"/>
      <c r="SFL96" s="4"/>
      <c r="SFM96" s="4"/>
      <c r="SFN96" s="4"/>
      <c r="SFO96" s="4"/>
      <c r="SFP96" s="4"/>
      <c r="SFQ96" s="4"/>
      <c r="SFR96" s="4"/>
      <c r="SFS96" s="4"/>
      <c r="SFT96" s="4"/>
      <c r="SFU96" s="4"/>
      <c r="SFV96" s="4"/>
      <c r="SFW96" s="4"/>
      <c r="SFX96" s="4"/>
      <c r="SFY96" s="4"/>
      <c r="SFZ96" s="4"/>
      <c r="SGA96" s="4"/>
      <c r="SGB96" s="4"/>
      <c r="SGC96" s="4"/>
      <c r="SGD96" s="4"/>
      <c r="SGE96" s="4"/>
      <c r="SGF96" s="4"/>
      <c r="SGG96" s="4"/>
      <c r="SGH96" s="4"/>
      <c r="SGI96" s="4"/>
      <c r="SGJ96" s="4"/>
      <c r="SGK96" s="4"/>
      <c r="SGL96" s="4"/>
      <c r="SGM96" s="4"/>
      <c r="SGN96" s="4"/>
      <c r="SGO96" s="4"/>
      <c r="SGP96" s="4"/>
      <c r="SGQ96" s="4"/>
      <c r="SGR96" s="4"/>
      <c r="SGS96" s="4"/>
      <c r="SGT96" s="4"/>
      <c r="SGU96" s="4"/>
      <c r="SGV96" s="4"/>
      <c r="SGW96" s="4"/>
      <c r="SGX96" s="4"/>
      <c r="SGY96" s="4"/>
      <c r="SGZ96" s="4"/>
      <c r="SHA96" s="4"/>
      <c r="SHB96" s="4"/>
      <c r="SHC96" s="4"/>
      <c r="SHD96" s="4"/>
      <c r="SHE96" s="4"/>
      <c r="SHF96" s="4"/>
      <c r="SHG96" s="4"/>
      <c r="SHH96" s="4"/>
      <c r="SHI96" s="4"/>
      <c r="SHJ96" s="4"/>
      <c r="SHK96" s="4"/>
      <c r="SHL96" s="4"/>
      <c r="SHM96" s="4"/>
      <c r="SHN96" s="4"/>
      <c r="SHO96" s="4"/>
      <c r="SHP96" s="4"/>
      <c r="SHQ96" s="4"/>
      <c r="SHR96" s="4"/>
      <c r="SHS96" s="4"/>
      <c r="SHT96" s="4"/>
      <c r="SHU96" s="4"/>
      <c r="SHV96" s="4"/>
      <c r="SHW96" s="4"/>
      <c r="SHX96" s="4"/>
      <c r="SHY96" s="4"/>
      <c r="SHZ96" s="4"/>
      <c r="SIA96" s="4"/>
      <c r="SIB96" s="4"/>
      <c r="SIC96" s="4"/>
      <c r="SID96" s="4"/>
      <c r="SIE96" s="4"/>
      <c r="SIF96" s="4"/>
      <c r="SIG96" s="4"/>
      <c r="SIH96" s="4"/>
      <c r="SII96" s="4"/>
      <c r="SIJ96" s="4"/>
      <c r="SIK96" s="4"/>
      <c r="SIL96" s="4"/>
      <c r="SIM96" s="4"/>
      <c r="SIN96" s="4"/>
      <c r="SIO96" s="4"/>
      <c r="SIP96" s="4"/>
      <c r="SIQ96" s="4"/>
      <c r="SIR96" s="4"/>
      <c r="SIS96" s="4"/>
      <c r="SIT96" s="4"/>
      <c r="SIU96" s="4"/>
      <c r="SIV96" s="4"/>
      <c r="SIW96" s="4"/>
      <c r="SIX96" s="4"/>
      <c r="SIY96" s="4"/>
      <c r="SIZ96" s="4"/>
      <c r="SJA96" s="4"/>
      <c r="SJB96" s="4"/>
      <c r="SJC96" s="4"/>
      <c r="SJD96" s="4"/>
      <c r="SJE96" s="4"/>
      <c r="SJF96" s="4"/>
      <c r="SJG96" s="4"/>
      <c r="SJH96" s="4"/>
      <c r="SJI96" s="4"/>
      <c r="SJJ96" s="4"/>
      <c r="SJK96" s="4"/>
      <c r="SJL96" s="4"/>
      <c r="SJM96" s="4"/>
      <c r="SJN96" s="4"/>
      <c r="SJO96" s="4"/>
      <c r="SJP96" s="4"/>
      <c r="SJQ96" s="4"/>
      <c r="SJR96" s="4"/>
      <c r="SJS96" s="4"/>
      <c r="SJT96" s="4"/>
      <c r="SJU96" s="4"/>
      <c r="SJV96" s="4"/>
      <c r="SJW96" s="4"/>
      <c r="SJX96" s="4"/>
      <c r="SJY96" s="4"/>
      <c r="SJZ96" s="4"/>
      <c r="SKA96" s="4"/>
      <c r="SKB96" s="4"/>
      <c r="SKC96" s="4"/>
      <c r="SKD96" s="4"/>
      <c r="SKE96" s="4"/>
      <c r="SKF96" s="4"/>
      <c r="SKG96" s="4"/>
      <c r="SKH96" s="4"/>
      <c r="SKI96" s="4"/>
      <c r="SKJ96" s="4"/>
      <c r="SKK96" s="4"/>
      <c r="SKL96" s="4"/>
      <c r="SKM96" s="4"/>
      <c r="SKN96" s="4"/>
      <c r="SKO96" s="4"/>
      <c r="SKP96" s="4"/>
      <c r="SKQ96" s="4"/>
      <c r="SKR96" s="4"/>
      <c r="SKS96" s="4"/>
      <c r="SKT96" s="4"/>
      <c r="SKU96" s="4"/>
      <c r="SKV96" s="4"/>
      <c r="SKW96" s="4"/>
      <c r="SKX96" s="4"/>
      <c r="SKY96" s="4"/>
      <c r="SKZ96" s="4"/>
      <c r="SLA96" s="4"/>
      <c r="SLB96" s="4"/>
      <c r="SLC96" s="4"/>
      <c r="SLD96" s="4"/>
      <c r="SLE96" s="4"/>
      <c r="SLF96" s="4"/>
      <c r="SLG96" s="4"/>
      <c r="SLH96" s="4"/>
      <c r="SLI96" s="4"/>
      <c r="SLJ96" s="4"/>
      <c r="SLK96" s="4"/>
      <c r="SLL96" s="4"/>
      <c r="SLM96" s="4"/>
      <c r="SLN96" s="4"/>
      <c r="SLO96" s="4"/>
      <c r="SLP96" s="4"/>
      <c r="SLQ96" s="4"/>
      <c r="SLR96" s="4"/>
      <c r="SLS96" s="4"/>
      <c r="SLT96" s="4"/>
      <c r="SLU96" s="4"/>
      <c r="SLV96" s="4"/>
      <c r="SLW96" s="4"/>
      <c r="SLX96" s="4"/>
      <c r="SLY96" s="4"/>
      <c r="SLZ96" s="4"/>
      <c r="SMA96" s="4"/>
      <c r="SMB96" s="4"/>
      <c r="SMC96" s="4"/>
      <c r="SMD96" s="4"/>
      <c r="SME96" s="4"/>
      <c r="SMF96" s="4"/>
      <c r="SMG96" s="4"/>
      <c r="SMH96" s="4"/>
      <c r="SMI96" s="4"/>
      <c r="SMJ96" s="4"/>
      <c r="SMK96" s="4"/>
      <c r="SML96" s="4"/>
      <c r="SMM96" s="4"/>
      <c r="SMN96" s="4"/>
      <c r="SMO96" s="4"/>
      <c r="SMP96" s="4"/>
      <c r="SMQ96" s="4"/>
      <c r="SMR96" s="4"/>
      <c r="SMS96" s="4"/>
      <c r="SMT96" s="4"/>
      <c r="SMU96" s="4"/>
      <c r="SMV96" s="4"/>
      <c r="SMW96" s="4"/>
      <c r="SMX96" s="4"/>
      <c r="SMY96" s="4"/>
      <c r="SMZ96" s="4"/>
      <c r="SNA96" s="4"/>
      <c r="SNB96" s="4"/>
      <c r="SNC96" s="4"/>
      <c r="SND96" s="4"/>
      <c r="SNE96" s="4"/>
      <c r="SNF96" s="4"/>
      <c r="SNG96" s="4"/>
      <c r="SNH96" s="4"/>
      <c r="SNI96" s="4"/>
      <c r="SNJ96" s="4"/>
      <c r="SNK96" s="4"/>
      <c r="SNL96" s="4"/>
      <c r="SNM96" s="4"/>
      <c r="SNN96" s="4"/>
      <c r="SNO96" s="4"/>
      <c r="SNP96" s="4"/>
      <c r="SNQ96" s="4"/>
      <c r="SNR96" s="4"/>
      <c r="SNS96" s="4"/>
      <c r="SNT96" s="4"/>
      <c r="SNU96" s="4"/>
      <c r="SNV96" s="4"/>
      <c r="SNW96" s="4"/>
      <c r="SNX96" s="4"/>
      <c r="SNY96" s="4"/>
      <c r="SNZ96" s="4"/>
      <c r="SOA96" s="4"/>
      <c r="SOB96" s="4"/>
      <c r="SOC96" s="4"/>
      <c r="SOD96" s="4"/>
      <c r="SOE96" s="4"/>
      <c r="SOF96" s="4"/>
      <c r="SOG96" s="4"/>
      <c r="SOH96" s="4"/>
      <c r="SOI96" s="4"/>
      <c r="SOJ96" s="4"/>
      <c r="SOK96" s="4"/>
      <c r="SOL96" s="4"/>
      <c r="SOM96" s="4"/>
      <c r="SON96" s="4"/>
      <c r="SOO96" s="4"/>
      <c r="SOP96" s="4"/>
      <c r="SOQ96" s="4"/>
      <c r="SOR96" s="4"/>
      <c r="SOS96" s="4"/>
      <c r="SOT96" s="4"/>
      <c r="SOU96" s="4"/>
      <c r="SOV96" s="4"/>
      <c r="SOW96" s="4"/>
      <c r="SOX96" s="4"/>
      <c r="SOY96" s="4"/>
      <c r="SOZ96" s="4"/>
      <c r="SPA96" s="4"/>
      <c r="SPB96" s="4"/>
      <c r="SPC96" s="4"/>
      <c r="SPD96" s="4"/>
      <c r="SPE96" s="4"/>
      <c r="SPF96" s="4"/>
      <c r="SPG96" s="4"/>
      <c r="SPH96" s="4"/>
      <c r="SPI96" s="4"/>
      <c r="SPJ96" s="4"/>
      <c r="SPK96" s="4"/>
      <c r="SPL96" s="4"/>
      <c r="SPM96" s="4"/>
      <c r="SPN96" s="4"/>
      <c r="SPO96" s="4"/>
      <c r="SPP96" s="4"/>
      <c r="SPQ96" s="4"/>
      <c r="SPR96" s="4"/>
      <c r="SPS96" s="4"/>
      <c r="SPT96" s="4"/>
      <c r="SPU96" s="4"/>
      <c r="SPV96" s="4"/>
      <c r="SPW96" s="4"/>
      <c r="SPX96" s="4"/>
      <c r="SPY96" s="4"/>
      <c r="SPZ96" s="4"/>
      <c r="SQA96" s="4"/>
      <c r="SQB96" s="4"/>
      <c r="SQC96" s="4"/>
      <c r="SQD96" s="4"/>
      <c r="SQE96" s="4"/>
      <c r="SQF96" s="4"/>
      <c r="SQG96" s="4"/>
      <c r="SQH96" s="4"/>
      <c r="SQI96" s="4"/>
      <c r="SQJ96" s="4"/>
      <c r="SQK96" s="4"/>
      <c r="SQL96" s="4"/>
      <c r="SQM96" s="4"/>
      <c r="SQN96" s="4"/>
      <c r="SQO96" s="4"/>
      <c r="SQP96" s="4"/>
      <c r="SQQ96" s="4"/>
      <c r="SQR96" s="4"/>
      <c r="SQS96" s="4"/>
      <c r="SQT96" s="4"/>
      <c r="SQU96" s="4"/>
      <c r="SQV96" s="4"/>
      <c r="SQW96" s="4"/>
      <c r="SQX96" s="4"/>
      <c r="SQY96" s="4"/>
      <c r="SQZ96" s="4"/>
      <c r="SRA96" s="4"/>
      <c r="SRB96" s="4"/>
      <c r="SRC96" s="4"/>
      <c r="SRD96" s="4"/>
      <c r="SRE96" s="4"/>
      <c r="SRF96" s="4"/>
      <c r="SRG96" s="4"/>
      <c r="SRH96" s="4"/>
      <c r="SRI96" s="4"/>
      <c r="SRJ96" s="4"/>
      <c r="SRK96" s="4"/>
      <c r="SRL96" s="4"/>
      <c r="SRM96" s="4"/>
      <c r="SRN96" s="4"/>
      <c r="SRO96" s="4"/>
      <c r="SRP96" s="4"/>
      <c r="SRQ96" s="4"/>
      <c r="SRR96" s="4"/>
      <c r="SRS96" s="4"/>
      <c r="SRT96" s="4"/>
      <c r="SRU96" s="4"/>
      <c r="SRV96" s="4"/>
      <c r="SRW96" s="4"/>
      <c r="SRX96" s="4"/>
      <c r="SRY96" s="4"/>
      <c r="SRZ96" s="4"/>
      <c r="SSA96" s="4"/>
      <c r="SSB96" s="4"/>
      <c r="SSC96" s="4"/>
      <c r="SSD96" s="4"/>
      <c r="SSE96" s="4"/>
      <c r="SSF96" s="4"/>
      <c r="SSG96" s="4"/>
      <c r="SSH96" s="4"/>
      <c r="SSI96" s="4"/>
      <c r="SSJ96" s="4"/>
      <c r="SSK96" s="4"/>
      <c r="SSL96" s="4"/>
      <c r="SSM96" s="4"/>
      <c r="SSN96" s="4"/>
      <c r="SSO96" s="4"/>
      <c r="SSP96" s="4"/>
      <c r="SSQ96" s="4"/>
      <c r="SSR96" s="4"/>
      <c r="SSS96" s="4"/>
      <c r="SST96" s="4"/>
      <c r="SSU96" s="4"/>
      <c r="SSV96" s="4"/>
      <c r="SSW96" s="4"/>
      <c r="SSX96" s="4"/>
      <c r="SSY96" s="4"/>
      <c r="SSZ96" s="4"/>
      <c r="STA96" s="4"/>
      <c r="STB96" s="4"/>
      <c r="STC96" s="4"/>
      <c r="STD96" s="4"/>
      <c r="STE96" s="4"/>
      <c r="STF96" s="4"/>
      <c r="STG96" s="4"/>
      <c r="STH96" s="4"/>
      <c r="STI96" s="4"/>
      <c r="STJ96" s="4"/>
      <c r="STK96" s="4"/>
      <c r="STL96" s="4"/>
      <c r="STM96" s="4"/>
      <c r="STN96" s="4"/>
      <c r="STO96" s="4"/>
      <c r="STP96" s="4"/>
      <c r="STQ96" s="4"/>
      <c r="STR96" s="4"/>
      <c r="STS96" s="4"/>
      <c r="STT96" s="4"/>
      <c r="STU96" s="4"/>
      <c r="STV96" s="4"/>
      <c r="STW96" s="4"/>
      <c r="STX96" s="4"/>
      <c r="STY96" s="4"/>
      <c r="STZ96" s="4"/>
      <c r="SUA96" s="4"/>
      <c r="SUB96" s="4"/>
      <c r="SUC96" s="4"/>
      <c r="SUD96" s="4"/>
      <c r="SUE96" s="4"/>
      <c r="SUF96" s="4"/>
      <c r="SUG96" s="4"/>
      <c r="SUH96" s="4"/>
      <c r="SUI96" s="4"/>
      <c r="SUJ96" s="4"/>
      <c r="SUK96" s="4"/>
      <c r="SUL96" s="4"/>
      <c r="SUM96" s="4"/>
      <c r="SUN96" s="4"/>
      <c r="SUO96" s="4"/>
      <c r="SUP96" s="4"/>
      <c r="SUQ96" s="4"/>
      <c r="SUR96" s="4"/>
      <c r="SUS96" s="4"/>
      <c r="SUT96" s="4"/>
      <c r="SUU96" s="4"/>
      <c r="SUV96" s="4"/>
      <c r="SUW96" s="4"/>
      <c r="SUX96" s="4"/>
      <c r="SUY96" s="4"/>
      <c r="SUZ96" s="4"/>
      <c r="SVA96" s="4"/>
      <c r="SVB96" s="4"/>
      <c r="SVC96" s="4"/>
      <c r="SVD96" s="4"/>
      <c r="SVE96" s="4"/>
      <c r="SVF96" s="4"/>
      <c r="SVG96" s="4"/>
      <c r="SVH96" s="4"/>
      <c r="SVI96" s="4"/>
      <c r="SVJ96" s="4"/>
      <c r="SVK96" s="4"/>
      <c r="SVL96" s="4"/>
      <c r="SVM96" s="4"/>
      <c r="SVN96" s="4"/>
      <c r="SVO96" s="4"/>
      <c r="SVP96" s="4"/>
      <c r="SVQ96" s="4"/>
      <c r="SVR96" s="4"/>
      <c r="SVS96" s="4"/>
      <c r="SVT96" s="4"/>
      <c r="SVU96" s="4"/>
      <c r="SVV96" s="4"/>
      <c r="SVW96" s="4"/>
      <c r="SVX96" s="4"/>
      <c r="SVY96" s="4"/>
      <c r="SVZ96" s="4"/>
      <c r="SWA96" s="4"/>
      <c r="SWB96" s="4"/>
      <c r="SWC96" s="4"/>
      <c r="SWD96" s="4"/>
      <c r="SWE96" s="4"/>
      <c r="SWF96" s="4"/>
      <c r="SWG96" s="4"/>
      <c r="SWH96" s="4"/>
      <c r="SWI96" s="4"/>
      <c r="SWJ96" s="4"/>
      <c r="SWK96" s="4"/>
      <c r="SWL96" s="4"/>
      <c r="SWM96" s="4"/>
      <c r="SWN96" s="4"/>
      <c r="SWO96" s="4"/>
      <c r="SWP96" s="4"/>
      <c r="SWQ96" s="4"/>
      <c r="SWR96" s="4"/>
      <c r="SWS96" s="4"/>
      <c r="SWT96" s="4"/>
      <c r="SWU96" s="4"/>
      <c r="SWV96" s="4"/>
      <c r="SWW96" s="4"/>
      <c r="SWX96" s="4"/>
      <c r="SWY96" s="4"/>
      <c r="SWZ96" s="4"/>
      <c r="SXA96" s="4"/>
      <c r="SXB96" s="4"/>
      <c r="SXC96" s="4"/>
      <c r="SXD96" s="4"/>
      <c r="SXE96" s="4"/>
      <c r="SXF96" s="4"/>
      <c r="SXG96" s="4"/>
      <c r="SXH96" s="4"/>
      <c r="SXI96" s="4"/>
      <c r="SXJ96" s="4"/>
      <c r="SXK96" s="4"/>
      <c r="SXL96" s="4"/>
      <c r="SXM96" s="4"/>
      <c r="SXN96" s="4"/>
      <c r="SXO96" s="4"/>
      <c r="SXP96" s="4"/>
      <c r="SXQ96" s="4"/>
      <c r="SXR96" s="4"/>
      <c r="SXS96" s="4"/>
      <c r="SXT96" s="4"/>
      <c r="SXU96" s="4"/>
      <c r="SXV96" s="4"/>
      <c r="SXW96" s="4"/>
      <c r="SXX96" s="4"/>
      <c r="SXY96" s="4"/>
      <c r="SXZ96" s="4"/>
      <c r="SYA96" s="4"/>
      <c r="SYB96" s="4"/>
      <c r="SYC96" s="4"/>
      <c r="SYD96" s="4"/>
      <c r="SYE96" s="4"/>
      <c r="SYF96" s="4"/>
      <c r="SYG96" s="4"/>
      <c r="SYH96" s="4"/>
      <c r="SYI96" s="4"/>
      <c r="SYJ96" s="4"/>
      <c r="SYK96" s="4"/>
      <c r="SYL96" s="4"/>
      <c r="SYM96" s="4"/>
      <c r="SYN96" s="4"/>
      <c r="SYO96" s="4"/>
      <c r="SYP96" s="4"/>
      <c r="SYQ96" s="4"/>
      <c r="SYR96" s="4"/>
      <c r="SYS96" s="4"/>
      <c r="SYT96" s="4"/>
      <c r="SYU96" s="4"/>
      <c r="SYV96" s="4"/>
      <c r="SYW96" s="4"/>
      <c r="SYX96" s="4"/>
      <c r="SYY96" s="4"/>
      <c r="SYZ96" s="4"/>
      <c r="SZA96" s="4"/>
      <c r="SZB96" s="4"/>
      <c r="SZC96" s="4"/>
      <c r="SZD96" s="4"/>
      <c r="SZE96" s="4"/>
      <c r="SZF96" s="4"/>
      <c r="SZG96" s="4"/>
      <c r="SZH96" s="4"/>
      <c r="SZI96" s="4"/>
      <c r="SZJ96" s="4"/>
      <c r="SZK96" s="4"/>
      <c r="SZL96" s="4"/>
      <c r="SZM96" s="4"/>
      <c r="SZN96" s="4"/>
      <c r="SZO96" s="4"/>
      <c r="SZP96" s="4"/>
      <c r="SZQ96" s="4"/>
      <c r="SZR96" s="4"/>
      <c r="SZS96" s="4"/>
      <c r="SZT96" s="4"/>
      <c r="SZU96" s="4"/>
      <c r="SZV96" s="4"/>
      <c r="SZW96" s="4"/>
      <c r="SZX96" s="4"/>
      <c r="SZY96" s="4"/>
      <c r="SZZ96" s="4"/>
      <c r="TAA96" s="4"/>
      <c r="TAB96" s="4"/>
      <c r="TAC96" s="4"/>
      <c r="TAD96" s="4"/>
      <c r="TAE96" s="4"/>
      <c r="TAF96" s="4"/>
      <c r="TAG96" s="4"/>
      <c r="TAH96" s="4"/>
      <c r="TAI96" s="4"/>
      <c r="TAJ96" s="4"/>
      <c r="TAK96" s="4"/>
      <c r="TAL96" s="4"/>
      <c r="TAM96" s="4"/>
      <c r="TAN96" s="4"/>
      <c r="TAO96" s="4"/>
      <c r="TAP96" s="4"/>
      <c r="TAQ96" s="4"/>
      <c r="TAR96" s="4"/>
      <c r="TAS96" s="4"/>
      <c r="TAT96" s="4"/>
      <c r="TAU96" s="4"/>
      <c r="TAV96" s="4"/>
      <c r="TAW96" s="4"/>
      <c r="TAX96" s="4"/>
      <c r="TAY96" s="4"/>
      <c r="TAZ96" s="4"/>
      <c r="TBA96" s="4"/>
      <c r="TBB96" s="4"/>
      <c r="TBC96" s="4"/>
      <c r="TBD96" s="4"/>
      <c r="TBE96" s="4"/>
      <c r="TBF96" s="4"/>
      <c r="TBG96" s="4"/>
      <c r="TBH96" s="4"/>
      <c r="TBI96" s="4"/>
      <c r="TBJ96" s="4"/>
      <c r="TBK96" s="4"/>
      <c r="TBL96" s="4"/>
      <c r="TBM96" s="4"/>
      <c r="TBN96" s="4"/>
      <c r="TBO96" s="4"/>
      <c r="TBP96" s="4"/>
      <c r="TBQ96" s="4"/>
      <c r="TBR96" s="4"/>
      <c r="TBS96" s="4"/>
      <c r="TBT96" s="4"/>
      <c r="TBU96" s="4"/>
      <c r="TBV96" s="4"/>
      <c r="TBW96" s="4"/>
      <c r="TBX96" s="4"/>
      <c r="TBY96" s="4"/>
      <c r="TBZ96" s="4"/>
      <c r="TCA96" s="4"/>
      <c r="TCB96" s="4"/>
      <c r="TCC96" s="4"/>
      <c r="TCD96" s="4"/>
      <c r="TCE96" s="4"/>
      <c r="TCF96" s="4"/>
      <c r="TCG96" s="4"/>
      <c r="TCH96" s="4"/>
      <c r="TCI96" s="4"/>
      <c r="TCJ96" s="4"/>
      <c r="TCK96" s="4"/>
      <c r="TCL96" s="4"/>
      <c r="TCM96" s="4"/>
      <c r="TCN96" s="4"/>
      <c r="TCO96" s="4"/>
      <c r="TCP96" s="4"/>
      <c r="TCQ96" s="4"/>
      <c r="TCR96" s="4"/>
      <c r="TCS96" s="4"/>
      <c r="TCT96" s="4"/>
      <c r="TCU96" s="4"/>
      <c r="TCV96" s="4"/>
      <c r="TCW96" s="4"/>
      <c r="TCX96" s="4"/>
      <c r="TCY96" s="4"/>
      <c r="TCZ96" s="4"/>
      <c r="TDA96" s="4"/>
      <c r="TDB96" s="4"/>
      <c r="TDC96" s="4"/>
      <c r="TDD96" s="4"/>
      <c r="TDE96" s="4"/>
      <c r="TDF96" s="4"/>
      <c r="TDG96" s="4"/>
      <c r="TDH96" s="4"/>
      <c r="TDI96" s="4"/>
      <c r="TDJ96" s="4"/>
      <c r="TDK96" s="4"/>
      <c r="TDL96" s="4"/>
      <c r="TDM96" s="4"/>
      <c r="TDN96" s="4"/>
      <c r="TDO96" s="4"/>
      <c r="TDP96" s="4"/>
      <c r="TDQ96" s="4"/>
      <c r="TDR96" s="4"/>
      <c r="TDS96" s="4"/>
      <c r="TDT96" s="4"/>
      <c r="TDU96" s="4"/>
      <c r="TDV96" s="4"/>
      <c r="TDW96" s="4"/>
      <c r="TDX96" s="4"/>
      <c r="TDY96" s="4"/>
      <c r="TDZ96" s="4"/>
      <c r="TEA96" s="4"/>
      <c r="TEB96" s="4"/>
      <c r="TEC96" s="4"/>
      <c r="TED96" s="4"/>
      <c r="TEE96" s="4"/>
      <c r="TEF96" s="4"/>
      <c r="TEG96" s="4"/>
      <c r="TEH96" s="4"/>
      <c r="TEI96" s="4"/>
      <c r="TEJ96" s="4"/>
      <c r="TEK96" s="4"/>
      <c r="TEL96" s="4"/>
      <c r="TEM96" s="4"/>
      <c r="TEN96" s="4"/>
      <c r="TEO96" s="4"/>
      <c r="TEP96" s="4"/>
      <c r="TEQ96" s="4"/>
      <c r="TER96" s="4"/>
      <c r="TES96" s="4"/>
      <c r="TET96" s="4"/>
      <c r="TEU96" s="4"/>
      <c r="TEV96" s="4"/>
      <c r="TEW96" s="4"/>
      <c r="TEX96" s="4"/>
      <c r="TEY96" s="4"/>
      <c r="TEZ96" s="4"/>
      <c r="TFA96" s="4"/>
      <c r="TFB96" s="4"/>
      <c r="TFC96" s="4"/>
      <c r="TFD96" s="4"/>
      <c r="TFE96" s="4"/>
      <c r="TFF96" s="4"/>
      <c r="TFG96" s="4"/>
      <c r="TFH96" s="4"/>
      <c r="TFI96" s="4"/>
      <c r="TFJ96" s="4"/>
      <c r="TFK96" s="4"/>
      <c r="TFL96" s="4"/>
      <c r="TFM96" s="4"/>
      <c r="TFN96" s="4"/>
      <c r="TFO96" s="4"/>
      <c r="TFP96" s="4"/>
      <c r="TFQ96" s="4"/>
      <c r="TFR96" s="4"/>
      <c r="TFS96" s="4"/>
      <c r="TFT96" s="4"/>
      <c r="TFU96" s="4"/>
      <c r="TFV96" s="4"/>
      <c r="TFW96" s="4"/>
      <c r="TFX96" s="4"/>
      <c r="TFY96" s="4"/>
      <c r="TFZ96" s="4"/>
      <c r="TGA96" s="4"/>
      <c r="TGB96" s="4"/>
      <c r="TGC96" s="4"/>
      <c r="TGD96" s="4"/>
      <c r="TGE96" s="4"/>
      <c r="TGF96" s="4"/>
      <c r="TGG96" s="4"/>
      <c r="TGH96" s="4"/>
      <c r="TGI96" s="4"/>
      <c r="TGJ96" s="4"/>
      <c r="TGK96" s="4"/>
      <c r="TGL96" s="4"/>
      <c r="TGM96" s="4"/>
      <c r="TGN96" s="4"/>
      <c r="TGO96" s="4"/>
      <c r="TGP96" s="4"/>
      <c r="TGQ96" s="4"/>
      <c r="TGR96" s="4"/>
      <c r="TGS96" s="4"/>
      <c r="TGT96" s="4"/>
      <c r="TGU96" s="4"/>
      <c r="TGV96" s="4"/>
      <c r="TGW96" s="4"/>
      <c r="TGX96" s="4"/>
      <c r="TGY96" s="4"/>
      <c r="TGZ96" s="4"/>
      <c r="THA96" s="4"/>
      <c r="THB96" s="4"/>
      <c r="THC96" s="4"/>
      <c r="THD96" s="4"/>
      <c r="THE96" s="4"/>
      <c r="THF96" s="4"/>
      <c r="THG96" s="4"/>
      <c r="THH96" s="4"/>
      <c r="THI96" s="4"/>
      <c r="THJ96" s="4"/>
      <c r="THK96" s="4"/>
      <c r="THL96" s="4"/>
      <c r="THM96" s="4"/>
      <c r="THN96" s="4"/>
      <c r="THO96" s="4"/>
      <c r="THP96" s="4"/>
      <c r="THQ96" s="4"/>
      <c r="THR96" s="4"/>
      <c r="THS96" s="4"/>
      <c r="THT96" s="4"/>
      <c r="THU96" s="4"/>
      <c r="THV96" s="4"/>
      <c r="THW96" s="4"/>
      <c r="THX96" s="4"/>
      <c r="THY96" s="4"/>
      <c r="THZ96" s="4"/>
      <c r="TIA96" s="4"/>
      <c r="TIB96" s="4"/>
      <c r="TIC96" s="4"/>
      <c r="TID96" s="4"/>
      <c r="TIE96" s="4"/>
      <c r="TIF96" s="4"/>
      <c r="TIG96" s="4"/>
      <c r="TIH96" s="4"/>
      <c r="TII96" s="4"/>
      <c r="TIJ96" s="4"/>
      <c r="TIK96" s="4"/>
      <c r="TIL96" s="4"/>
      <c r="TIM96" s="4"/>
      <c r="TIN96" s="4"/>
      <c r="TIO96" s="4"/>
      <c r="TIP96" s="4"/>
      <c r="TIQ96" s="4"/>
      <c r="TIR96" s="4"/>
      <c r="TIS96" s="4"/>
      <c r="TIT96" s="4"/>
      <c r="TIU96" s="4"/>
      <c r="TIV96" s="4"/>
      <c r="TIW96" s="4"/>
      <c r="TIX96" s="4"/>
      <c r="TIY96" s="4"/>
      <c r="TIZ96" s="4"/>
      <c r="TJA96" s="4"/>
      <c r="TJB96" s="4"/>
      <c r="TJC96" s="4"/>
      <c r="TJD96" s="4"/>
      <c r="TJE96" s="4"/>
      <c r="TJF96" s="4"/>
      <c r="TJG96" s="4"/>
      <c r="TJH96" s="4"/>
      <c r="TJI96" s="4"/>
      <c r="TJJ96" s="4"/>
      <c r="TJK96" s="4"/>
      <c r="TJL96" s="4"/>
      <c r="TJM96" s="4"/>
      <c r="TJN96" s="4"/>
      <c r="TJO96" s="4"/>
      <c r="TJP96" s="4"/>
      <c r="TJQ96" s="4"/>
      <c r="TJR96" s="4"/>
      <c r="TJS96" s="4"/>
      <c r="TJT96" s="4"/>
      <c r="TJU96" s="4"/>
      <c r="TJV96" s="4"/>
      <c r="TJW96" s="4"/>
      <c r="TJX96" s="4"/>
      <c r="TJY96" s="4"/>
      <c r="TJZ96" s="4"/>
      <c r="TKA96" s="4"/>
      <c r="TKB96" s="4"/>
      <c r="TKC96" s="4"/>
      <c r="TKD96" s="4"/>
      <c r="TKE96" s="4"/>
      <c r="TKF96" s="4"/>
      <c r="TKG96" s="4"/>
      <c r="TKH96" s="4"/>
      <c r="TKI96" s="4"/>
      <c r="TKJ96" s="4"/>
      <c r="TKK96" s="4"/>
      <c r="TKL96" s="4"/>
      <c r="TKM96" s="4"/>
      <c r="TKN96" s="4"/>
      <c r="TKO96" s="4"/>
      <c r="TKP96" s="4"/>
      <c r="TKQ96" s="4"/>
      <c r="TKR96" s="4"/>
      <c r="TKS96" s="4"/>
      <c r="TKT96" s="4"/>
      <c r="TKU96" s="4"/>
      <c r="TKV96" s="4"/>
      <c r="TKW96" s="4"/>
      <c r="TKX96" s="4"/>
      <c r="TKY96" s="4"/>
      <c r="TKZ96" s="4"/>
      <c r="TLA96" s="4"/>
      <c r="TLB96" s="4"/>
      <c r="TLC96" s="4"/>
      <c r="TLD96" s="4"/>
      <c r="TLE96" s="4"/>
      <c r="TLF96" s="4"/>
      <c r="TLG96" s="4"/>
      <c r="TLH96" s="4"/>
      <c r="TLI96" s="4"/>
      <c r="TLJ96" s="4"/>
      <c r="TLK96" s="4"/>
      <c r="TLL96" s="4"/>
      <c r="TLM96" s="4"/>
      <c r="TLN96" s="4"/>
      <c r="TLO96" s="4"/>
      <c r="TLP96" s="4"/>
      <c r="TLQ96" s="4"/>
      <c r="TLR96" s="4"/>
      <c r="TLS96" s="4"/>
      <c r="TLT96" s="4"/>
      <c r="TLU96" s="4"/>
      <c r="TLV96" s="4"/>
      <c r="TLW96" s="4"/>
      <c r="TLX96" s="4"/>
      <c r="TLY96" s="4"/>
      <c r="TLZ96" s="4"/>
      <c r="TMA96" s="4"/>
      <c r="TMB96" s="4"/>
      <c r="TMC96" s="4"/>
      <c r="TMD96" s="4"/>
      <c r="TME96" s="4"/>
      <c r="TMF96" s="4"/>
      <c r="TMG96" s="4"/>
      <c r="TMH96" s="4"/>
      <c r="TMI96" s="4"/>
      <c r="TMJ96" s="4"/>
      <c r="TMK96" s="4"/>
      <c r="TML96" s="4"/>
      <c r="TMM96" s="4"/>
      <c r="TMN96" s="4"/>
      <c r="TMO96" s="4"/>
      <c r="TMP96" s="4"/>
      <c r="TMQ96" s="4"/>
      <c r="TMR96" s="4"/>
      <c r="TMS96" s="4"/>
      <c r="TMT96" s="4"/>
      <c r="TMU96" s="4"/>
      <c r="TMV96" s="4"/>
      <c r="TMW96" s="4"/>
      <c r="TMX96" s="4"/>
      <c r="TMY96" s="4"/>
      <c r="TMZ96" s="4"/>
      <c r="TNA96" s="4"/>
      <c r="TNB96" s="4"/>
      <c r="TNC96" s="4"/>
      <c r="TND96" s="4"/>
      <c r="TNE96" s="4"/>
      <c r="TNF96" s="4"/>
      <c r="TNG96" s="4"/>
      <c r="TNH96" s="4"/>
      <c r="TNI96" s="4"/>
      <c r="TNJ96" s="4"/>
      <c r="TNK96" s="4"/>
      <c r="TNL96" s="4"/>
      <c r="TNM96" s="4"/>
      <c r="TNN96" s="4"/>
      <c r="TNO96" s="4"/>
      <c r="TNP96" s="4"/>
      <c r="TNQ96" s="4"/>
      <c r="TNR96" s="4"/>
      <c r="TNS96" s="4"/>
      <c r="TNT96" s="4"/>
      <c r="TNU96" s="4"/>
      <c r="TNV96" s="4"/>
      <c r="TNW96" s="4"/>
      <c r="TNX96" s="4"/>
      <c r="TNY96" s="4"/>
      <c r="TNZ96" s="4"/>
      <c r="TOA96" s="4"/>
      <c r="TOB96" s="4"/>
      <c r="TOC96" s="4"/>
      <c r="TOD96" s="4"/>
      <c r="TOE96" s="4"/>
      <c r="TOF96" s="4"/>
      <c r="TOG96" s="4"/>
      <c r="TOH96" s="4"/>
      <c r="TOI96" s="4"/>
      <c r="TOJ96" s="4"/>
      <c r="TOK96" s="4"/>
      <c r="TOL96" s="4"/>
      <c r="TOM96" s="4"/>
      <c r="TON96" s="4"/>
      <c r="TOO96" s="4"/>
      <c r="TOP96" s="4"/>
      <c r="TOQ96" s="4"/>
      <c r="TOR96" s="4"/>
      <c r="TOS96" s="4"/>
      <c r="TOT96" s="4"/>
      <c r="TOU96" s="4"/>
      <c r="TOV96" s="4"/>
      <c r="TOW96" s="4"/>
      <c r="TOX96" s="4"/>
      <c r="TOY96" s="4"/>
      <c r="TOZ96" s="4"/>
      <c r="TPA96" s="4"/>
      <c r="TPB96" s="4"/>
      <c r="TPC96" s="4"/>
      <c r="TPD96" s="4"/>
      <c r="TPE96" s="4"/>
      <c r="TPF96" s="4"/>
      <c r="TPG96" s="4"/>
      <c r="TPH96" s="4"/>
      <c r="TPI96" s="4"/>
      <c r="TPJ96" s="4"/>
      <c r="TPK96" s="4"/>
      <c r="TPL96" s="4"/>
      <c r="TPM96" s="4"/>
      <c r="TPN96" s="4"/>
      <c r="TPO96" s="4"/>
      <c r="TPP96" s="4"/>
      <c r="TPQ96" s="4"/>
      <c r="TPR96" s="4"/>
      <c r="TPS96" s="4"/>
      <c r="TPT96" s="4"/>
      <c r="TPU96" s="4"/>
      <c r="TPV96" s="4"/>
      <c r="TPW96" s="4"/>
      <c r="TPX96" s="4"/>
      <c r="TPY96" s="4"/>
      <c r="TPZ96" s="4"/>
      <c r="TQA96" s="4"/>
      <c r="TQB96" s="4"/>
      <c r="TQC96" s="4"/>
      <c r="TQD96" s="4"/>
      <c r="TQE96" s="4"/>
      <c r="TQF96" s="4"/>
      <c r="TQG96" s="4"/>
      <c r="TQH96" s="4"/>
      <c r="TQI96" s="4"/>
      <c r="TQJ96" s="4"/>
      <c r="TQK96" s="4"/>
      <c r="TQL96" s="4"/>
      <c r="TQM96" s="4"/>
      <c r="TQN96" s="4"/>
      <c r="TQO96" s="4"/>
      <c r="TQP96" s="4"/>
      <c r="TQQ96" s="4"/>
      <c r="TQR96" s="4"/>
      <c r="TQS96" s="4"/>
      <c r="TQT96" s="4"/>
      <c r="TQU96" s="4"/>
      <c r="TQV96" s="4"/>
      <c r="TQW96" s="4"/>
      <c r="TQX96" s="4"/>
      <c r="TQY96" s="4"/>
      <c r="TQZ96" s="4"/>
      <c r="TRA96" s="4"/>
      <c r="TRB96" s="4"/>
      <c r="TRC96" s="4"/>
      <c r="TRD96" s="4"/>
      <c r="TRE96" s="4"/>
      <c r="TRF96" s="4"/>
      <c r="TRG96" s="4"/>
      <c r="TRH96" s="4"/>
      <c r="TRI96" s="4"/>
      <c r="TRJ96" s="4"/>
      <c r="TRK96" s="4"/>
      <c r="TRL96" s="4"/>
      <c r="TRM96" s="4"/>
      <c r="TRN96" s="4"/>
      <c r="TRO96" s="4"/>
      <c r="TRP96" s="4"/>
      <c r="TRQ96" s="4"/>
      <c r="TRR96" s="4"/>
      <c r="TRS96" s="4"/>
      <c r="TRT96" s="4"/>
      <c r="TRU96" s="4"/>
      <c r="TRV96" s="4"/>
      <c r="TRW96" s="4"/>
      <c r="TRX96" s="4"/>
      <c r="TRY96" s="4"/>
      <c r="TRZ96" s="4"/>
      <c r="TSA96" s="4"/>
      <c r="TSB96" s="4"/>
      <c r="TSC96" s="4"/>
      <c r="TSD96" s="4"/>
      <c r="TSE96" s="4"/>
      <c r="TSF96" s="4"/>
      <c r="TSG96" s="4"/>
      <c r="TSH96" s="4"/>
      <c r="TSI96" s="4"/>
      <c r="TSJ96" s="4"/>
      <c r="TSK96" s="4"/>
      <c r="TSL96" s="4"/>
      <c r="TSM96" s="4"/>
      <c r="TSN96" s="4"/>
      <c r="TSO96" s="4"/>
      <c r="TSP96" s="4"/>
      <c r="TSQ96" s="4"/>
      <c r="TSR96" s="4"/>
      <c r="TSS96" s="4"/>
      <c r="TST96" s="4"/>
      <c r="TSU96" s="4"/>
      <c r="TSV96" s="4"/>
      <c r="TSW96" s="4"/>
      <c r="TSX96" s="4"/>
      <c r="TSY96" s="4"/>
      <c r="TSZ96" s="4"/>
      <c r="TTA96" s="4"/>
      <c r="TTB96" s="4"/>
      <c r="TTC96" s="4"/>
      <c r="TTD96" s="4"/>
      <c r="TTE96" s="4"/>
      <c r="TTF96" s="4"/>
      <c r="TTG96" s="4"/>
      <c r="TTH96" s="4"/>
      <c r="TTI96" s="4"/>
      <c r="TTJ96" s="4"/>
      <c r="TTK96" s="4"/>
      <c r="TTL96" s="4"/>
      <c r="TTM96" s="4"/>
      <c r="TTN96" s="4"/>
      <c r="TTO96" s="4"/>
      <c r="TTP96" s="4"/>
      <c r="TTQ96" s="4"/>
      <c r="TTR96" s="4"/>
      <c r="TTS96" s="4"/>
      <c r="TTT96" s="4"/>
      <c r="TTU96" s="4"/>
      <c r="TTV96" s="4"/>
      <c r="TTW96" s="4"/>
      <c r="TTX96" s="4"/>
      <c r="TTY96" s="4"/>
      <c r="TTZ96" s="4"/>
      <c r="TUA96" s="4"/>
      <c r="TUB96" s="4"/>
      <c r="TUC96" s="4"/>
      <c r="TUD96" s="4"/>
      <c r="TUE96" s="4"/>
      <c r="TUF96" s="4"/>
      <c r="TUG96" s="4"/>
      <c r="TUH96" s="4"/>
      <c r="TUI96" s="4"/>
      <c r="TUJ96" s="4"/>
      <c r="TUK96" s="4"/>
      <c r="TUL96" s="4"/>
      <c r="TUM96" s="4"/>
      <c r="TUN96" s="4"/>
      <c r="TUO96" s="4"/>
      <c r="TUP96" s="4"/>
      <c r="TUQ96" s="4"/>
      <c r="TUR96" s="4"/>
      <c r="TUS96" s="4"/>
      <c r="TUT96" s="4"/>
      <c r="TUU96" s="4"/>
      <c r="TUV96" s="4"/>
      <c r="TUW96" s="4"/>
      <c r="TUX96" s="4"/>
      <c r="TUY96" s="4"/>
      <c r="TUZ96" s="4"/>
      <c r="TVA96" s="4"/>
      <c r="TVB96" s="4"/>
      <c r="TVC96" s="4"/>
      <c r="TVD96" s="4"/>
      <c r="TVE96" s="4"/>
      <c r="TVF96" s="4"/>
      <c r="TVG96" s="4"/>
      <c r="TVH96" s="4"/>
      <c r="TVI96" s="4"/>
      <c r="TVJ96" s="4"/>
      <c r="TVK96" s="4"/>
      <c r="TVL96" s="4"/>
      <c r="TVM96" s="4"/>
      <c r="TVN96" s="4"/>
      <c r="TVO96" s="4"/>
      <c r="TVP96" s="4"/>
      <c r="TVQ96" s="4"/>
      <c r="TVR96" s="4"/>
      <c r="TVS96" s="4"/>
      <c r="TVT96" s="4"/>
      <c r="TVU96" s="4"/>
      <c r="TVV96" s="4"/>
      <c r="TVW96" s="4"/>
      <c r="TVX96" s="4"/>
      <c r="TVY96" s="4"/>
      <c r="TVZ96" s="4"/>
      <c r="TWA96" s="4"/>
      <c r="TWB96" s="4"/>
      <c r="TWC96" s="4"/>
      <c r="TWD96" s="4"/>
      <c r="TWE96" s="4"/>
      <c r="TWF96" s="4"/>
      <c r="TWG96" s="4"/>
      <c r="TWH96" s="4"/>
      <c r="TWI96" s="4"/>
      <c r="TWJ96" s="4"/>
      <c r="TWK96" s="4"/>
      <c r="TWL96" s="4"/>
      <c r="TWM96" s="4"/>
      <c r="TWN96" s="4"/>
      <c r="TWO96" s="4"/>
      <c r="TWP96" s="4"/>
      <c r="TWQ96" s="4"/>
      <c r="TWR96" s="4"/>
      <c r="TWS96" s="4"/>
      <c r="TWT96" s="4"/>
      <c r="TWU96" s="4"/>
      <c r="TWV96" s="4"/>
      <c r="TWW96" s="4"/>
      <c r="TWX96" s="4"/>
      <c r="TWY96" s="4"/>
      <c r="TWZ96" s="4"/>
      <c r="TXA96" s="4"/>
      <c r="TXB96" s="4"/>
      <c r="TXC96" s="4"/>
      <c r="TXD96" s="4"/>
      <c r="TXE96" s="4"/>
      <c r="TXF96" s="4"/>
      <c r="TXG96" s="4"/>
      <c r="TXH96" s="4"/>
      <c r="TXI96" s="4"/>
      <c r="TXJ96" s="4"/>
      <c r="TXK96" s="4"/>
      <c r="TXL96" s="4"/>
      <c r="TXM96" s="4"/>
      <c r="TXN96" s="4"/>
      <c r="TXO96" s="4"/>
      <c r="TXP96" s="4"/>
      <c r="TXQ96" s="4"/>
      <c r="TXR96" s="4"/>
      <c r="TXS96" s="4"/>
      <c r="TXT96" s="4"/>
      <c r="TXU96" s="4"/>
      <c r="TXV96" s="4"/>
      <c r="TXW96" s="4"/>
      <c r="TXX96" s="4"/>
      <c r="TXY96" s="4"/>
      <c r="TXZ96" s="4"/>
      <c r="TYA96" s="4"/>
      <c r="TYB96" s="4"/>
      <c r="TYC96" s="4"/>
      <c r="TYD96" s="4"/>
      <c r="TYE96" s="4"/>
      <c r="TYF96" s="4"/>
      <c r="TYG96" s="4"/>
      <c r="TYH96" s="4"/>
      <c r="TYI96" s="4"/>
      <c r="TYJ96" s="4"/>
      <c r="TYK96" s="4"/>
      <c r="TYL96" s="4"/>
      <c r="TYM96" s="4"/>
      <c r="TYN96" s="4"/>
      <c r="TYO96" s="4"/>
      <c r="TYP96" s="4"/>
      <c r="TYQ96" s="4"/>
      <c r="TYR96" s="4"/>
      <c r="TYS96" s="4"/>
      <c r="TYT96" s="4"/>
      <c r="TYU96" s="4"/>
      <c r="TYV96" s="4"/>
      <c r="TYW96" s="4"/>
      <c r="TYX96" s="4"/>
      <c r="TYY96" s="4"/>
      <c r="TYZ96" s="4"/>
      <c r="TZA96" s="4"/>
      <c r="TZB96" s="4"/>
      <c r="TZC96" s="4"/>
      <c r="TZD96" s="4"/>
      <c r="TZE96" s="4"/>
      <c r="TZF96" s="4"/>
      <c r="TZG96" s="4"/>
      <c r="TZH96" s="4"/>
      <c r="TZI96" s="4"/>
      <c r="TZJ96" s="4"/>
      <c r="TZK96" s="4"/>
      <c r="TZL96" s="4"/>
      <c r="TZM96" s="4"/>
      <c r="TZN96" s="4"/>
      <c r="TZO96" s="4"/>
      <c r="TZP96" s="4"/>
      <c r="TZQ96" s="4"/>
      <c r="TZR96" s="4"/>
      <c r="TZS96" s="4"/>
      <c r="TZT96" s="4"/>
      <c r="TZU96" s="4"/>
      <c r="TZV96" s="4"/>
      <c r="TZW96" s="4"/>
      <c r="TZX96" s="4"/>
      <c r="TZY96" s="4"/>
      <c r="TZZ96" s="4"/>
      <c r="UAA96" s="4"/>
      <c r="UAB96" s="4"/>
      <c r="UAC96" s="4"/>
      <c r="UAD96" s="4"/>
      <c r="UAE96" s="4"/>
      <c r="UAF96" s="4"/>
      <c r="UAG96" s="4"/>
      <c r="UAH96" s="4"/>
      <c r="UAI96" s="4"/>
      <c r="UAJ96" s="4"/>
      <c r="UAK96" s="4"/>
      <c r="UAL96" s="4"/>
      <c r="UAM96" s="4"/>
      <c r="UAN96" s="4"/>
      <c r="UAO96" s="4"/>
      <c r="UAP96" s="4"/>
      <c r="UAQ96" s="4"/>
      <c r="UAR96" s="4"/>
      <c r="UAS96" s="4"/>
      <c r="UAT96" s="4"/>
      <c r="UAU96" s="4"/>
      <c r="UAV96" s="4"/>
      <c r="UAW96" s="4"/>
      <c r="UAX96" s="4"/>
      <c r="UAY96" s="4"/>
      <c r="UAZ96" s="4"/>
      <c r="UBA96" s="4"/>
      <c r="UBB96" s="4"/>
      <c r="UBC96" s="4"/>
      <c r="UBD96" s="4"/>
      <c r="UBE96" s="4"/>
      <c r="UBF96" s="4"/>
      <c r="UBG96" s="4"/>
      <c r="UBH96" s="4"/>
      <c r="UBI96" s="4"/>
      <c r="UBJ96" s="4"/>
      <c r="UBK96" s="4"/>
      <c r="UBL96" s="4"/>
      <c r="UBM96" s="4"/>
      <c r="UBN96" s="4"/>
      <c r="UBO96" s="4"/>
      <c r="UBP96" s="4"/>
      <c r="UBQ96" s="4"/>
      <c r="UBR96" s="4"/>
      <c r="UBS96" s="4"/>
      <c r="UBT96" s="4"/>
      <c r="UBU96" s="4"/>
      <c r="UBV96" s="4"/>
      <c r="UBW96" s="4"/>
      <c r="UBX96" s="4"/>
      <c r="UBY96" s="4"/>
      <c r="UBZ96" s="4"/>
      <c r="UCA96" s="4"/>
      <c r="UCB96" s="4"/>
      <c r="UCC96" s="4"/>
      <c r="UCD96" s="4"/>
      <c r="UCE96" s="4"/>
      <c r="UCF96" s="4"/>
      <c r="UCG96" s="4"/>
      <c r="UCH96" s="4"/>
      <c r="UCI96" s="4"/>
      <c r="UCJ96" s="4"/>
      <c r="UCK96" s="4"/>
      <c r="UCL96" s="4"/>
      <c r="UCM96" s="4"/>
      <c r="UCN96" s="4"/>
      <c r="UCO96" s="4"/>
      <c r="UCP96" s="4"/>
      <c r="UCQ96" s="4"/>
      <c r="UCR96" s="4"/>
      <c r="UCS96" s="4"/>
      <c r="UCT96" s="4"/>
      <c r="UCU96" s="4"/>
      <c r="UCV96" s="4"/>
      <c r="UCW96" s="4"/>
      <c r="UCX96" s="4"/>
      <c r="UCY96" s="4"/>
      <c r="UCZ96" s="4"/>
      <c r="UDA96" s="4"/>
      <c r="UDB96" s="4"/>
      <c r="UDC96" s="4"/>
      <c r="UDD96" s="4"/>
      <c r="UDE96" s="4"/>
      <c r="UDF96" s="4"/>
      <c r="UDG96" s="4"/>
      <c r="UDH96" s="4"/>
      <c r="UDI96" s="4"/>
      <c r="UDJ96" s="4"/>
      <c r="UDK96" s="4"/>
      <c r="UDL96" s="4"/>
      <c r="UDM96" s="4"/>
      <c r="UDN96" s="4"/>
      <c r="UDO96" s="4"/>
      <c r="UDP96" s="4"/>
      <c r="UDQ96" s="4"/>
      <c r="UDR96" s="4"/>
      <c r="UDS96" s="4"/>
      <c r="UDT96" s="4"/>
      <c r="UDU96" s="4"/>
      <c r="UDV96" s="4"/>
      <c r="UDW96" s="4"/>
      <c r="UDX96" s="4"/>
      <c r="UDY96" s="4"/>
      <c r="UDZ96" s="4"/>
      <c r="UEA96" s="4"/>
      <c r="UEB96" s="4"/>
      <c r="UEC96" s="4"/>
      <c r="UED96" s="4"/>
      <c r="UEE96" s="4"/>
      <c r="UEF96" s="4"/>
      <c r="UEG96" s="4"/>
      <c r="UEH96" s="4"/>
      <c r="UEI96" s="4"/>
      <c r="UEJ96" s="4"/>
      <c r="UEK96" s="4"/>
      <c r="UEL96" s="4"/>
      <c r="UEM96" s="4"/>
      <c r="UEN96" s="4"/>
      <c r="UEO96" s="4"/>
      <c r="UEP96" s="4"/>
      <c r="UEQ96" s="4"/>
      <c r="UER96" s="4"/>
      <c r="UES96" s="4"/>
      <c r="UET96" s="4"/>
      <c r="UEU96" s="4"/>
      <c r="UEV96" s="4"/>
      <c r="UEW96" s="4"/>
      <c r="UEX96" s="4"/>
      <c r="UEY96" s="4"/>
      <c r="UEZ96" s="4"/>
      <c r="UFA96" s="4"/>
      <c r="UFB96" s="4"/>
      <c r="UFC96" s="4"/>
      <c r="UFD96" s="4"/>
      <c r="UFE96" s="4"/>
      <c r="UFF96" s="4"/>
      <c r="UFG96" s="4"/>
      <c r="UFH96" s="4"/>
      <c r="UFI96" s="4"/>
      <c r="UFJ96" s="4"/>
      <c r="UFK96" s="4"/>
      <c r="UFL96" s="4"/>
      <c r="UFM96" s="4"/>
      <c r="UFN96" s="4"/>
      <c r="UFO96" s="4"/>
      <c r="UFP96" s="4"/>
      <c r="UFQ96" s="4"/>
      <c r="UFR96" s="4"/>
      <c r="UFS96" s="4"/>
      <c r="UFT96" s="4"/>
      <c r="UFU96" s="4"/>
      <c r="UFV96" s="4"/>
      <c r="UFW96" s="4"/>
      <c r="UFX96" s="4"/>
      <c r="UFY96" s="4"/>
      <c r="UFZ96" s="4"/>
      <c r="UGA96" s="4"/>
      <c r="UGB96" s="4"/>
      <c r="UGC96" s="4"/>
      <c r="UGD96" s="4"/>
      <c r="UGE96" s="4"/>
      <c r="UGF96" s="4"/>
      <c r="UGG96" s="4"/>
      <c r="UGH96" s="4"/>
      <c r="UGI96" s="4"/>
      <c r="UGJ96" s="4"/>
      <c r="UGK96" s="4"/>
      <c r="UGL96" s="4"/>
      <c r="UGM96" s="4"/>
      <c r="UGN96" s="4"/>
      <c r="UGO96" s="4"/>
      <c r="UGP96" s="4"/>
      <c r="UGQ96" s="4"/>
      <c r="UGR96" s="4"/>
      <c r="UGS96" s="4"/>
      <c r="UGT96" s="4"/>
      <c r="UGU96" s="4"/>
      <c r="UGV96" s="4"/>
      <c r="UGW96" s="4"/>
      <c r="UGX96" s="4"/>
      <c r="UGY96" s="4"/>
      <c r="UGZ96" s="4"/>
      <c r="UHA96" s="4"/>
      <c r="UHB96" s="4"/>
      <c r="UHC96" s="4"/>
      <c r="UHD96" s="4"/>
      <c r="UHE96" s="4"/>
      <c r="UHF96" s="4"/>
      <c r="UHG96" s="4"/>
      <c r="UHH96" s="4"/>
      <c r="UHI96" s="4"/>
      <c r="UHJ96" s="4"/>
      <c r="UHK96" s="4"/>
      <c r="UHL96" s="4"/>
      <c r="UHM96" s="4"/>
      <c r="UHN96" s="4"/>
      <c r="UHO96" s="4"/>
      <c r="UHP96" s="4"/>
      <c r="UHQ96" s="4"/>
      <c r="UHR96" s="4"/>
      <c r="UHS96" s="4"/>
      <c r="UHT96" s="4"/>
      <c r="UHU96" s="4"/>
      <c r="UHV96" s="4"/>
      <c r="UHW96" s="4"/>
      <c r="UHX96" s="4"/>
      <c r="UHY96" s="4"/>
      <c r="UHZ96" s="4"/>
      <c r="UIA96" s="4"/>
      <c r="UIB96" s="4"/>
      <c r="UIC96" s="4"/>
      <c r="UID96" s="4"/>
      <c r="UIE96" s="4"/>
      <c r="UIF96" s="4"/>
      <c r="UIG96" s="4"/>
      <c r="UIH96" s="4"/>
      <c r="UII96" s="4"/>
      <c r="UIJ96" s="4"/>
      <c r="UIK96" s="4"/>
      <c r="UIL96" s="4"/>
      <c r="UIM96" s="4"/>
      <c r="UIN96" s="4"/>
      <c r="UIO96" s="4"/>
      <c r="UIP96" s="4"/>
      <c r="UIQ96" s="4"/>
      <c r="UIR96" s="4"/>
      <c r="UIS96" s="4"/>
      <c r="UIT96" s="4"/>
      <c r="UIU96" s="4"/>
      <c r="UIV96" s="4"/>
      <c r="UIW96" s="4"/>
      <c r="UIX96" s="4"/>
      <c r="UIY96" s="4"/>
      <c r="UIZ96" s="4"/>
      <c r="UJA96" s="4"/>
      <c r="UJB96" s="4"/>
      <c r="UJC96" s="4"/>
      <c r="UJD96" s="4"/>
      <c r="UJE96" s="4"/>
      <c r="UJF96" s="4"/>
      <c r="UJG96" s="4"/>
      <c r="UJH96" s="4"/>
      <c r="UJI96" s="4"/>
      <c r="UJJ96" s="4"/>
      <c r="UJK96" s="4"/>
      <c r="UJL96" s="4"/>
      <c r="UJM96" s="4"/>
      <c r="UJN96" s="4"/>
      <c r="UJO96" s="4"/>
      <c r="UJP96" s="4"/>
      <c r="UJQ96" s="4"/>
      <c r="UJR96" s="4"/>
      <c r="UJS96" s="4"/>
      <c r="UJT96" s="4"/>
      <c r="UJU96" s="4"/>
      <c r="UJV96" s="4"/>
      <c r="UJW96" s="4"/>
      <c r="UJX96" s="4"/>
      <c r="UJY96" s="4"/>
      <c r="UJZ96" s="4"/>
      <c r="UKA96" s="4"/>
      <c r="UKB96" s="4"/>
      <c r="UKC96" s="4"/>
      <c r="UKD96" s="4"/>
      <c r="UKE96" s="4"/>
      <c r="UKF96" s="4"/>
      <c r="UKG96" s="4"/>
      <c r="UKH96" s="4"/>
      <c r="UKI96" s="4"/>
      <c r="UKJ96" s="4"/>
      <c r="UKK96" s="4"/>
      <c r="UKL96" s="4"/>
      <c r="UKM96" s="4"/>
      <c r="UKN96" s="4"/>
      <c r="UKO96" s="4"/>
      <c r="UKP96" s="4"/>
      <c r="UKQ96" s="4"/>
      <c r="UKR96" s="4"/>
      <c r="UKS96" s="4"/>
      <c r="UKT96" s="4"/>
      <c r="UKU96" s="4"/>
      <c r="UKV96" s="4"/>
      <c r="UKW96" s="4"/>
      <c r="UKX96" s="4"/>
      <c r="UKY96" s="4"/>
      <c r="UKZ96" s="4"/>
      <c r="ULA96" s="4"/>
      <c r="ULB96" s="4"/>
      <c r="ULC96" s="4"/>
      <c r="ULD96" s="4"/>
      <c r="ULE96" s="4"/>
      <c r="ULF96" s="4"/>
      <c r="ULG96" s="4"/>
      <c r="ULH96" s="4"/>
      <c r="ULI96" s="4"/>
      <c r="ULJ96" s="4"/>
      <c r="ULK96" s="4"/>
      <c r="ULL96" s="4"/>
      <c r="ULM96" s="4"/>
      <c r="ULN96" s="4"/>
      <c r="ULO96" s="4"/>
      <c r="ULP96" s="4"/>
      <c r="ULQ96" s="4"/>
      <c r="ULR96" s="4"/>
      <c r="ULS96" s="4"/>
      <c r="ULT96" s="4"/>
      <c r="ULU96" s="4"/>
      <c r="ULV96" s="4"/>
      <c r="ULW96" s="4"/>
      <c r="ULX96" s="4"/>
      <c r="ULY96" s="4"/>
      <c r="ULZ96" s="4"/>
      <c r="UMA96" s="4"/>
      <c r="UMB96" s="4"/>
      <c r="UMC96" s="4"/>
      <c r="UMD96" s="4"/>
      <c r="UME96" s="4"/>
      <c r="UMF96" s="4"/>
      <c r="UMG96" s="4"/>
      <c r="UMH96" s="4"/>
      <c r="UMI96" s="4"/>
      <c r="UMJ96" s="4"/>
      <c r="UMK96" s="4"/>
      <c r="UML96" s="4"/>
      <c r="UMM96" s="4"/>
      <c r="UMN96" s="4"/>
      <c r="UMO96" s="4"/>
      <c r="UMP96" s="4"/>
      <c r="UMQ96" s="4"/>
      <c r="UMR96" s="4"/>
      <c r="UMS96" s="4"/>
      <c r="UMT96" s="4"/>
      <c r="UMU96" s="4"/>
      <c r="UMV96" s="4"/>
      <c r="UMW96" s="4"/>
      <c r="UMX96" s="4"/>
      <c r="UMY96" s="4"/>
      <c r="UMZ96" s="4"/>
      <c r="UNA96" s="4"/>
      <c r="UNB96" s="4"/>
      <c r="UNC96" s="4"/>
      <c r="UND96" s="4"/>
      <c r="UNE96" s="4"/>
      <c r="UNF96" s="4"/>
      <c r="UNG96" s="4"/>
      <c r="UNH96" s="4"/>
      <c r="UNI96" s="4"/>
      <c r="UNJ96" s="4"/>
      <c r="UNK96" s="4"/>
      <c r="UNL96" s="4"/>
      <c r="UNM96" s="4"/>
      <c r="UNN96" s="4"/>
      <c r="UNO96" s="4"/>
      <c r="UNP96" s="4"/>
      <c r="UNQ96" s="4"/>
      <c r="UNR96" s="4"/>
      <c r="UNS96" s="4"/>
      <c r="UNT96" s="4"/>
      <c r="UNU96" s="4"/>
      <c r="UNV96" s="4"/>
      <c r="UNW96" s="4"/>
      <c r="UNX96" s="4"/>
      <c r="UNY96" s="4"/>
      <c r="UNZ96" s="4"/>
      <c r="UOA96" s="4"/>
      <c r="UOB96" s="4"/>
      <c r="UOC96" s="4"/>
      <c r="UOD96" s="4"/>
      <c r="UOE96" s="4"/>
      <c r="UOF96" s="4"/>
      <c r="UOG96" s="4"/>
      <c r="UOH96" s="4"/>
      <c r="UOI96" s="4"/>
      <c r="UOJ96" s="4"/>
      <c r="UOK96" s="4"/>
      <c r="UOL96" s="4"/>
      <c r="UOM96" s="4"/>
      <c r="UON96" s="4"/>
      <c r="UOO96" s="4"/>
      <c r="UOP96" s="4"/>
      <c r="UOQ96" s="4"/>
      <c r="UOR96" s="4"/>
      <c r="UOS96" s="4"/>
      <c r="UOT96" s="4"/>
      <c r="UOU96" s="4"/>
      <c r="UOV96" s="4"/>
      <c r="UOW96" s="4"/>
      <c r="UOX96" s="4"/>
      <c r="UOY96" s="4"/>
      <c r="UOZ96" s="4"/>
      <c r="UPA96" s="4"/>
      <c r="UPB96" s="4"/>
      <c r="UPC96" s="4"/>
      <c r="UPD96" s="4"/>
      <c r="UPE96" s="4"/>
      <c r="UPF96" s="4"/>
      <c r="UPG96" s="4"/>
      <c r="UPH96" s="4"/>
      <c r="UPI96" s="4"/>
      <c r="UPJ96" s="4"/>
      <c r="UPK96" s="4"/>
      <c r="UPL96" s="4"/>
      <c r="UPM96" s="4"/>
      <c r="UPN96" s="4"/>
      <c r="UPO96" s="4"/>
      <c r="UPP96" s="4"/>
      <c r="UPQ96" s="4"/>
      <c r="UPR96" s="4"/>
      <c r="UPS96" s="4"/>
      <c r="UPT96" s="4"/>
      <c r="UPU96" s="4"/>
      <c r="UPV96" s="4"/>
      <c r="UPW96" s="4"/>
      <c r="UPX96" s="4"/>
      <c r="UPY96" s="4"/>
      <c r="UPZ96" s="4"/>
      <c r="UQA96" s="4"/>
      <c r="UQB96" s="4"/>
      <c r="UQC96" s="4"/>
      <c r="UQD96" s="4"/>
      <c r="UQE96" s="4"/>
      <c r="UQF96" s="4"/>
      <c r="UQG96" s="4"/>
      <c r="UQH96" s="4"/>
      <c r="UQI96" s="4"/>
      <c r="UQJ96" s="4"/>
      <c r="UQK96" s="4"/>
      <c r="UQL96" s="4"/>
      <c r="UQM96" s="4"/>
      <c r="UQN96" s="4"/>
      <c r="UQO96" s="4"/>
      <c r="UQP96" s="4"/>
      <c r="UQQ96" s="4"/>
      <c r="UQR96" s="4"/>
      <c r="UQS96" s="4"/>
      <c r="UQT96" s="4"/>
      <c r="UQU96" s="4"/>
      <c r="UQV96" s="4"/>
      <c r="UQW96" s="4"/>
      <c r="UQX96" s="4"/>
      <c r="UQY96" s="4"/>
      <c r="UQZ96" s="4"/>
      <c r="URA96" s="4"/>
      <c r="URB96" s="4"/>
      <c r="URC96" s="4"/>
      <c r="URD96" s="4"/>
      <c r="URE96" s="4"/>
      <c r="URF96" s="4"/>
      <c r="URG96" s="4"/>
      <c r="URH96" s="4"/>
      <c r="URI96" s="4"/>
      <c r="URJ96" s="4"/>
      <c r="URK96" s="4"/>
      <c r="URL96" s="4"/>
      <c r="URM96" s="4"/>
      <c r="URN96" s="4"/>
      <c r="URO96" s="4"/>
      <c r="URP96" s="4"/>
      <c r="URQ96" s="4"/>
      <c r="URR96" s="4"/>
      <c r="URS96" s="4"/>
      <c r="URT96" s="4"/>
      <c r="URU96" s="4"/>
      <c r="URV96" s="4"/>
      <c r="URW96" s="4"/>
      <c r="URX96" s="4"/>
      <c r="URY96" s="4"/>
      <c r="URZ96" s="4"/>
      <c r="USA96" s="4"/>
      <c r="USB96" s="4"/>
      <c r="USC96" s="4"/>
      <c r="USD96" s="4"/>
      <c r="USE96" s="4"/>
      <c r="USF96" s="4"/>
      <c r="USG96" s="4"/>
      <c r="USH96" s="4"/>
      <c r="USI96" s="4"/>
      <c r="USJ96" s="4"/>
      <c r="USK96" s="4"/>
      <c r="USL96" s="4"/>
      <c r="USM96" s="4"/>
      <c r="USN96" s="4"/>
      <c r="USO96" s="4"/>
      <c r="USP96" s="4"/>
      <c r="USQ96" s="4"/>
      <c r="USR96" s="4"/>
      <c r="USS96" s="4"/>
      <c r="UST96" s="4"/>
      <c r="USU96" s="4"/>
      <c r="USV96" s="4"/>
      <c r="USW96" s="4"/>
      <c r="USX96" s="4"/>
      <c r="USY96" s="4"/>
      <c r="USZ96" s="4"/>
      <c r="UTA96" s="4"/>
      <c r="UTB96" s="4"/>
      <c r="UTC96" s="4"/>
      <c r="UTD96" s="4"/>
      <c r="UTE96" s="4"/>
      <c r="UTF96" s="4"/>
      <c r="UTG96" s="4"/>
      <c r="UTH96" s="4"/>
      <c r="UTI96" s="4"/>
      <c r="UTJ96" s="4"/>
      <c r="UTK96" s="4"/>
      <c r="UTL96" s="4"/>
      <c r="UTM96" s="4"/>
      <c r="UTN96" s="4"/>
      <c r="UTO96" s="4"/>
      <c r="UTP96" s="4"/>
      <c r="UTQ96" s="4"/>
      <c r="UTR96" s="4"/>
      <c r="UTS96" s="4"/>
      <c r="UTT96" s="4"/>
      <c r="UTU96" s="4"/>
      <c r="UTV96" s="4"/>
      <c r="UTW96" s="4"/>
      <c r="UTX96" s="4"/>
      <c r="UTY96" s="4"/>
      <c r="UTZ96" s="4"/>
      <c r="UUA96" s="4"/>
      <c r="UUB96" s="4"/>
      <c r="UUC96" s="4"/>
      <c r="UUD96" s="4"/>
      <c r="UUE96" s="4"/>
      <c r="UUF96" s="4"/>
      <c r="UUG96" s="4"/>
      <c r="UUH96" s="4"/>
      <c r="UUI96" s="4"/>
      <c r="UUJ96" s="4"/>
      <c r="UUK96" s="4"/>
      <c r="UUL96" s="4"/>
      <c r="UUM96" s="4"/>
      <c r="UUN96" s="4"/>
      <c r="UUO96" s="4"/>
      <c r="UUP96" s="4"/>
      <c r="UUQ96" s="4"/>
      <c r="UUR96" s="4"/>
      <c r="UUS96" s="4"/>
      <c r="UUT96" s="4"/>
      <c r="UUU96" s="4"/>
      <c r="UUV96" s="4"/>
      <c r="UUW96" s="4"/>
      <c r="UUX96" s="4"/>
      <c r="UUY96" s="4"/>
      <c r="UUZ96" s="4"/>
      <c r="UVA96" s="4"/>
      <c r="UVB96" s="4"/>
      <c r="UVC96" s="4"/>
      <c r="UVD96" s="4"/>
      <c r="UVE96" s="4"/>
      <c r="UVF96" s="4"/>
      <c r="UVG96" s="4"/>
      <c r="UVH96" s="4"/>
      <c r="UVI96" s="4"/>
      <c r="UVJ96" s="4"/>
      <c r="UVK96" s="4"/>
      <c r="UVL96" s="4"/>
      <c r="UVM96" s="4"/>
      <c r="UVN96" s="4"/>
      <c r="UVO96" s="4"/>
      <c r="UVP96" s="4"/>
      <c r="UVQ96" s="4"/>
      <c r="UVR96" s="4"/>
      <c r="UVS96" s="4"/>
      <c r="UVT96" s="4"/>
      <c r="UVU96" s="4"/>
      <c r="UVV96" s="4"/>
      <c r="UVW96" s="4"/>
      <c r="UVX96" s="4"/>
      <c r="UVY96" s="4"/>
      <c r="UVZ96" s="4"/>
      <c r="UWA96" s="4"/>
      <c r="UWB96" s="4"/>
      <c r="UWC96" s="4"/>
      <c r="UWD96" s="4"/>
      <c r="UWE96" s="4"/>
      <c r="UWF96" s="4"/>
      <c r="UWG96" s="4"/>
      <c r="UWH96" s="4"/>
      <c r="UWI96" s="4"/>
      <c r="UWJ96" s="4"/>
      <c r="UWK96" s="4"/>
      <c r="UWL96" s="4"/>
      <c r="UWM96" s="4"/>
      <c r="UWN96" s="4"/>
      <c r="UWO96" s="4"/>
      <c r="UWP96" s="4"/>
      <c r="UWQ96" s="4"/>
      <c r="UWR96" s="4"/>
      <c r="UWS96" s="4"/>
      <c r="UWT96" s="4"/>
      <c r="UWU96" s="4"/>
      <c r="UWV96" s="4"/>
      <c r="UWW96" s="4"/>
      <c r="UWX96" s="4"/>
      <c r="UWY96" s="4"/>
      <c r="UWZ96" s="4"/>
      <c r="UXA96" s="4"/>
      <c r="UXB96" s="4"/>
      <c r="UXC96" s="4"/>
      <c r="UXD96" s="4"/>
      <c r="UXE96" s="4"/>
      <c r="UXF96" s="4"/>
      <c r="UXG96" s="4"/>
      <c r="UXH96" s="4"/>
      <c r="UXI96" s="4"/>
      <c r="UXJ96" s="4"/>
      <c r="UXK96" s="4"/>
      <c r="UXL96" s="4"/>
      <c r="UXM96" s="4"/>
      <c r="UXN96" s="4"/>
      <c r="UXO96" s="4"/>
      <c r="UXP96" s="4"/>
      <c r="UXQ96" s="4"/>
      <c r="UXR96" s="4"/>
      <c r="UXS96" s="4"/>
      <c r="UXT96" s="4"/>
      <c r="UXU96" s="4"/>
      <c r="UXV96" s="4"/>
      <c r="UXW96" s="4"/>
      <c r="UXX96" s="4"/>
      <c r="UXY96" s="4"/>
      <c r="UXZ96" s="4"/>
      <c r="UYA96" s="4"/>
      <c r="UYB96" s="4"/>
      <c r="UYC96" s="4"/>
      <c r="UYD96" s="4"/>
      <c r="UYE96" s="4"/>
      <c r="UYF96" s="4"/>
      <c r="UYG96" s="4"/>
      <c r="UYH96" s="4"/>
      <c r="UYI96" s="4"/>
      <c r="UYJ96" s="4"/>
      <c r="UYK96" s="4"/>
      <c r="UYL96" s="4"/>
      <c r="UYM96" s="4"/>
      <c r="UYN96" s="4"/>
      <c r="UYO96" s="4"/>
      <c r="UYP96" s="4"/>
      <c r="UYQ96" s="4"/>
      <c r="UYR96" s="4"/>
      <c r="UYS96" s="4"/>
      <c r="UYT96" s="4"/>
      <c r="UYU96" s="4"/>
      <c r="UYV96" s="4"/>
      <c r="UYW96" s="4"/>
      <c r="UYX96" s="4"/>
      <c r="UYY96" s="4"/>
      <c r="UYZ96" s="4"/>
      <c r="UZA96" s="4"/>
      <c r="UZB96" s="4"/>
      <c r="UZC96" s="4"/>
      <c r="UZD96" s="4"/>
      <c r="UZE96" s="4"/>
      <c r="UZF96" s="4"/>
      <c r="UZG96" s="4"/>
      <c r="UZH96" s="4"/>
      <c r="UZI96" s="4"/>
      <c r="UZJ96" s="4"/>
      <c r="UZK96" s="4"/>
      <c r="UZL96" s="4"/>
      <c r="UZM96" s="4"/>
      <c r="UZN96" s="4"/>
      <c r="UZO96" s="4"/>
      <c r="UZP96" s="4"/>
      <c r="UZQ96" s="4"/>
      <c r="UZR96" s="4"/>
      <c r="UZS96" s="4"/>
      <c r="UZT96" s="4"/>
      <c r="UZU96" s="4"/>
      <c r="UZV96" s="4"/>
      <c r="UZW96" s="4"/>
      <c r="UZX96" s="4"/>
      <c r="UZY96" s="4"/>
      <c r="UZZ96" s="4"/>
      <c r="VAA96" s="4"/>
      <c r="VAB96" s="4"/>
      <c r="VAC96" s="4"/>
      <c r="VAD96" s="4"/>
      <c r="VAE96" s="4"/>
      <c r="VAF96" s="4"/>
      <c r="VAG96" s="4"/>
      <c r="VAH96" s="4"/>
      <c r="VAI96" s="4"/>
      <c r="VAJ96" s="4"/>
      <c r="VAK96" s="4"/>
      <c r="VAL96" s="4"/>
      <c r="VAM96" s="4"/>
      <c r="VAN96" s="4"/>
      <c r="VAO96" s="4"/>
      <c r="VAP96" s="4"/>
      <c r="VAQ96" s="4"/>
      <c r="VAR96" s="4"/>
      <c r="VAS96" s="4"/>
      <c r="VAT96" s="4"/>
      <c r="VAU96" s="4"/>
      <c r="VAV96" s="4"/>
      <c r="VAW96" s="4"/>
      <c r="VAX96" s="4"/>
      <c r="VAY96" s="4"/>
      <c r="VAZ96" s="4"/>
      <c r="VBA96" s="4"/>
      <c r="VBB96" s="4"/>
      <c r="VBC96" s="4"/>
      <c r="VBD96" s="4"/>
      <c r="VBE96" s="4"/>
      <c r="VBF96" s="4"/>
      <c r="VBG96" s="4"/>
      <c r="VBH96" s="4"/>
      <c r="VBI96" s="4"/>
      <c r="VBJ96" s="4"/>
      <c r="VBK96" s="4"/>
      <c r="VBL96" s="4"/>
      <c r="VBM96" s="4"/>
      <c r="VBN96" s="4"/>
      <c r="VBO96" s="4"/>
      <c r="VBP96" s="4"/>
      <c r="VBQ96" s="4"/>
      <c r="VBR96" s="4"/>
      <c r="VBS96" s="4"/>
      <c r="VBT96" s="4"/>
      <c r="VBU96" s="4"/>
      <c r="VBV96" s="4"/>
      <c r="VBW96" s="4"/>
      <c r="VBX96" s="4"/>
      <c r="VBY96" s="4"/>
      <c r="VBZ96" s="4"/>
      <c r="VCA96" s="4"/>
      <c r="VCB96" s="4"/>
      <c r="VCC96" s="4"/>
      <c r="VCD96" s="4"/>
      <c r="VCE96" s="4"/>
      <c r="VCF96" s="4"/>
      <c r="VCG96" s="4"/>
      <c r="VCH96" s="4"/>
      <c r="VCI96" s="4"/>
      <c r="VCJ96" s="4"/>
      <c r="VCK96" s="4"/>
      <c r="VCL96" s="4"/>
      <c r="VCM96" s="4"/>
      <c r="VCN96" s="4"/>
      <c r="VCO96" s="4"/>
      <c r="VCP96" s="4"/>
      <c r="VCQ96" s="4"/>
      <c r="VCR96" s="4"/>
      <c r="VCS96" s="4"/>
      <c r="VCT96" s="4"/>
      <c r="VCU96" s="4"/>
      <c r="VCV96" s="4"/>
      <c r="VCW96" s="4"/>
      <c r="VCX96" s="4"/>
      <c r="VCY96" s="4"/>
      <c r="VCZ96" s="4"/>
      <c r="VDA96" s="4"/>
      <c r="VDB96" s="4"/>
      <c r="VDC96" s="4"/>
      <c r="VDD96" s="4"/>
      <c r="VDE96" s="4"/>
      <c r="VDF96" s="4"/>
      <c r="VDG96" s="4"/>
      <c r="VDH96" s="4"/>
      <c r="VDI96" s="4"/>
      <c r="VDJ96" s="4"/>
      <c r="VDK96" s="4"/>
      <c r="VDL96" s="4"/>
      <c r="VDM96" s="4"/>
      <c r="VDN96" s="4"/>
      <c r="VDO96" s="4"/>
      <c r="VDP96" s="4"/>
      <c r="VDQ96" s="4"/>
      <c r="VDR96" s="4"/>
      <c r="VDS96" s="4"/>
      <c r="VDT96" s="4"/>
      <c r="VDU96" s="4"/>
      <c r="VDV96" s="4"/>
      <c r="VDW96" s="4"/>
      <c r="VDX96" s="4"/>
      <c r="VDY96" s="4"/>
      <c r="VDZ96" s="4"/>
      <c r="VEA96" s="4"/>
      <c r="VEB96" s="4"/>
      <c r="VEC96" s="4"/>
      <c r="VED96" s="4"/>
      <c r="VEE96" s="4"/>
      <c r="VEF96" s="4"/>
      <c r="VEG96" s="4"/>
      <c r="VEH96" s="4"/>
      <c r="VEI96" s="4"/>
      <c r="VEJ96" s="4"/>
      <c r="VEK96" s="4"/>
      <c r="VEL96" s="4"/>
      <c r="VEM96" s="4"/>
      <c r="VEN96" s="4"/>
      <c r="VEO96" s="4"/>
      <c r="VEP96" s="4"/>
      <c r="VEQ96" s="4"/>
      <c r="VER96" s="4"/>
      <c r="VES96" s="4"/>
      <c r="VET96" s="4"/>
      <c r="VEU96" s="4"/>
      <c r="VEV96" s="4"/>
      <c r="VEW96" s="4"/>
      <c r="VEX96" s="4"/>
      <c r="VEY96" s="4"/>
      <c r="VEZ96" s="4"/>
      <c r="VFA96" s="4"/>
      <c r="VFB96" s="4"/>
      <c r="VFC96" s="4"/>
      <c r="VFD96" s="4"/>
      <c r="VFE96" s="4"/>
      <c r="VFF96" s="4"/>
      <c r="VFG96" s="4"/>
      <c r="VFH96" s="4"/>
      <c r="VFI96" s="4"/>
      <c r="VFJ96" s="4"/>
      <c r="VFK96" s="4"/>
      <c r="VFL96" s="4"/>
      <c r="VFM96" s="4"/>
      <c r="VFN96" s="4"/>
      <c r="VFO96" s="4"/>
      <c r="VFP96" s="4"/>
      <c r="VFQ96" s="4"/>
      <c r="VFR96" s="4"/>
      <c r="VFS96" s="4"/>
      <c r="VFT96" s="4"/>
      <c r="VFU96" s="4"/>
      <c r="VFV96" s="4"/>
      <c r="VFW96" s="4"/>
      <c r="VFX96" s="4"/>
      <c r="VFY96" s="4"/>
      <c r="VFZ96" s="4"/>
      <c r="VGA96" s="4"/>
      <c r="VGB96" s="4"/>
      <c r="VGC96" s="4"/>
      <c r="VGD96" s="4"/>
      <c r="VGE96" s="4"/>
      <c r="VGF96" s="4"/>
      <c r="VGG96" s="4"/>
      <c r="VGH96" s="4"/>
      <c r="VGI96" s="4"/>
      <c r="VGJ96" s="4"/>
      <c r="VGK96" s="4"/>
      <c r="VGL96" s="4"/>
      <c r="VGM96" s="4"/>
      <c r="VGN96" s="4"/>
      <c r="VGO96" s="4"/>
      <c r="VGP96" s="4"/>
      <c r="VGQ96" s="4"/>
      <c r="VGR96" s="4"/>
      <c r="VGS96" s="4"/>
      <c r="VGT96" s="4"/>
      <c r="VGU96" s="4"/>
      <c r="VGV96" s="4"/>
      <c r="VGW96" s="4"/>
      <c r="VGX96" s="4"/>
      <c r="VGY96" s="4"/>
      <c r="VGZ96" s="4"/>
      <c r="VHA96" s="4"/>
      <c r="VHB96" s="4"/>
      <c r="VHC96" s="4"/>
      <c r="VHD96" s="4"/>
      <c r="VHE96" s="4"/>
      <c r="VHF96" s="4"/>
      <c r="VHG96" s="4"/>
      <c r="VHH96" s="4"/>
      <c r="VHI96" s="4"/>
      <c r="VHJ96" s="4"/>
      <c r="VHK96" s="4"/>
      <c r="VHL96" s="4"/>
      <c r="VHM96" s="4"/>
      <c r="VHN96" s="4"/>
      <c r="VHO96" s="4"/>
      <c r="VHP96" s="4"/>
      <c r="VHQ96" s="4"/>
      <c r="VHR96" s="4"/>
      <c r="VHS96" s="4"/>
      <c r="VHT96" s="4"/>
      <c r="VHU96" s="4"/>
      <c r="VHV96" s="4"/>
      <c r="VHW96" s="4"/>
      <c r="VHX96" s="4"/>
      <c r="VHY96" s="4"/>
      <c r="VHZ96" s="4"/>
      <c r="VIA96" s="4"/>
      <c r="VIB96" s="4"/>
      <c r="VIC96" s="4"/>
      <c r="VID96" s="4"/>
      <c r="VIE96" s="4"/>
      <c r="VIF96" s="4"/>
      <c r="VIG96" s="4"/>
      <c r="VIH96" s="4"/>
      <c r="VII96" s="4"/>
      <c r="VIJ96" s="4"/>
      <c r="VIK96" s="4"/>
      <c r="VIL96" s="4"/>
      <c r="VIM96" s="4"/>
      <c r="VIN96" s="4"/>
      <c r="VIO96" s="4"/>
      <c r="VIP96" s="4"/>
      <c r="VIQ96" s="4"/>
      <c r="VIR96" s="4"/>
      <c r="VIS96" s="4"/>
      <c r="VIT96" s="4"/>
      <c r="VIU96" s="4"/>
      <c r="VIV96" s="4"/>
      <c r="VIW96" s="4"/>
      <c r="VIX96" s="4"/>
      <c r="VIY96" s="4"/>
      <c r="VIZ96" s="4"/>
      <c r="VJA96" s="4"/>
      <c r="VJB96" s="4"/>
      <c r="VJC96" s="4"/>
      <c r="VJD96" s="4"/>
      <c r="VJE96" s="4"/>
      <c r="VJF96" s="4"/>
      <c r="VJG96" s="4"/>
      <c r="VJH96" s="4"/>
      <c r="VJI96" s="4"/>
      <c r="VJJ96" s="4"/>
      <c r="VJK96" s="4"/>
      <c r="VJL96" s="4"/>
      <c r="VJM96" s="4"/>
      <c r="VJN96" s="4"/>
      <c r="VJO96" s="4"/>
      <c r="VJP96" s="4"/>
      <c r="VJQ96" s="4"/>
      <c r="VJR96" s="4"/>
      <c r="VJS96" s="4"/>
      <c r="VJT96" s="4"/>
      <c r="VJU96" s="4"/>
      <c r="VJV96" s="4"/>
      <c r="VJW96" s="4"/>
      <c r="VJX96" s="4"/>
      <c r="VJY96" s="4"/>
      <c r="VJZ96" s="4"/>
      <c r="VKA96" s="4"/>
      <c r="VKB96" s="4"/>
      <c r="VKC96" s="4"/>
      <c r="VKD96" s="4"/>
      <c r="VKE96" s="4"/>
      <c r="VKF96" s="4"/>
      <c r="VKG96" s="4"/>
      <c r="VKH96" s="4"/>
      <c r="VKI96" s="4"/>
      <c r="VKJ96" s="4"/>
      <c r="VKK96" s="4"/>
      <c r="VKL96" s="4"/>
      <c r="VKM96" s="4"/>
      <c r="VKN96" s="4"/>
      <c r="VKO96" s="4"/>
      <c r="VKP96" s="4"/>
      <c r="VKQ96" s="4"/>
      <c r="VKR96" s="4"/>
      <c r="VKS96" s="4"/>
      <c r="VKT96" s="4"/>
      <c r="VKU96" s="4"/>
      <c r="VKV96" s="4"/>
      <c r="VKW96" s="4"/>
      <c r="VKX96" s="4"/>
      <c r="VKY96" s="4"/>
      <c r="VKZ96" s="4"/>
      <c r="VLA96" s="4"/>
      <c r="VLB96" s="4"/>
      <c r="VLC96" s="4"/>
      <c r="VLD96" s="4"/>
      <c r="VLE96" s="4"/>
      <c r="VLF96" s="4"/>
      <c r="VLG96" s="4"/>
      <c r="VLH96" s="4"/>
      <c r="VLI96" s="4"/>
      <c r="VLJ96" s="4"/>
      <c r="VLK96" s="4"/>
      <c r="VLL96" s="4"/>
      <c r="VLM96" s="4"/>
      <c r="VLN96" s="4"/>
      <c r="VLO96" s="4"/>
      <c r="VLP96" s="4"/>
      <c r="VLQ96" s="4"/>
      <c r="VLR96" s="4"/>
      <c r="VLS96" s="4"/>
      <c r="VLT96" s="4"/>
      <c r="VLU96" s="4"/>
      <c r="VLV96" s="4"/>
      <c r="VLW96" s="4"/>
      <c r="VLX96" s="4"/>
      <c r="VLY96" s="4"/>
      <c r="VLZ96" s="4"/>
      <c r="VMA96" s="4"/>
      <c r="VMB96" s="4"/>
      <c r="VMC96" s="4"/>
      <c r="VMD96" s="4"/>
      <c r="VME96" s="4"/>
      <c r="VMF96" s="4"/>
      <c r="VMG96" s="4"/>
      <c r="VMH96" s="4"/>
      <c r="VMI96" s="4"/>
      <c r="VMJ96" s="4"/>
      <c r="VMK96" s="4"/>
      <c r="VML96" s="4"/>
      <c r="VMM96" s="4"/>
      <c r="VMN96" s="4"/>
      <c r="VMO96" s="4"/>
      <c r="VMP96" s="4"/>
      <c r="VMQ96" s="4"/>
      <c r="VMR96" s="4"/>
      <c r="VMS96" s="4"/>
      <c r="VMT96" s="4"/>
      <c r="VMU96" s="4"/>
      <c r="VMV96" s="4"/>
      <c r="VMW96" s="4"/>
      <c r="VMX96" s="4"/>
      <c r="VMY96" s="4"/>
      <c r="VMZ96" s="4"/>
      <c r="VNA96" s="4"/>
      <c r="VNB96" s="4"/>
      <c r="VNC96" s="4"/>
      <c r="VND96" s="4"/>
      <c r="VNE96" s="4"/>
      <c r="VNF96" s="4"/>
      <c r="VNG96" s="4"/>
      <c r="VNH96" s="4"/>
      <c r="VNI96" s="4"/>
      <c r="VNJ96" s="4"/>
      <c r="VNK96" s="4"/>
      <c r="VNL96" s="4"/>
      <c r="VNM96" s="4"/>
      <c r="VNN96" s="4"/>
      <c r="VNO96" s="4"/>
      <c r="VNP96" s="4"/>
      <c r="VNQ96" s="4"/>
      <c r="VNR96" s="4"/>
      <c r="VNS96" s="4"/>
      <c r="VNT96" s="4"/>
      <c r="VNU96" s="4"/>
      <c r="VNV96" s="4"/>
      <c r="VNW96" s="4"/>
      <c r="VNX96" s="4"/>
      <c r="VNY96" s="4"/>
      <c r="VNZ96" s="4"/>
      <c r="VOA96" s="4"/>
      <c r="VOB96" s="4"/>
      <c r="VOC96" s="4"/>
      <c r="VOD96" s="4"/>
      <c r="VOE96" s="4"/>
      <c r="VOF96" s="4"/>
      <c r="VOG96" s="4"/>
      <c r="VOH96" s="4"/>
      <c r="VOI96" s="4"/>
      <c r="VOJ96" s="4"/>
      <c r="VOK96" s="4"/>
      <c r="VOL96" s="4"/>
      <c r="VOM96" s="4"/>
      <c r="VON96" s="4"/>
      <c r="VOO96" s="4"/>
      <c r="VOP96" s="4"/>
      <c r="VOQ96" s="4"/>
      <c r="VOR96" s="4"/>
      <c r="VOS96" s="4"/>
      <c r="VOT96" s="4"/>
      <c r="VOU96" s="4"/>
      <c r="VOV96" s="4"/>
      <c r="VOW96" s="4"/>
      <c r="VOX96" s="4"/>
      <c r="VOY96" s="4"/>
      <c r="VOZ96" s="4"/>
      <c r="VPA96" s="4"/>
      <c r="VPB96" s="4"/>
      <c r="VPC96" s="4"/>
      <c r="VPD96" s="4"/>
      <c r="VPE96" s="4"/>
      <c r="VPF96" s="4"/>
      <c r="VPG96" s="4"/>
      <c r="VPH96" s="4"/>
      <c r="VPI96" s="4"/>
      <c r="VPJ96" s="4"/>
      <c r="VPK96" s="4"/>
      <c r="VPL96" s="4"/>
      <c r="VPM96" s="4"/>
      <c r="VPN96" s="4"/>
      <c r="VPO96" s="4"/>
      <c r="VPP96" s="4"/>
      <c r="VPQ96" s="4"/>
      <c r="VPR96" s="4"/>
      <c r="VPS96" s="4"/>
      <c r="VPT96" s="4"/>
      <c r="VPU96" s="4"/>
      <c r="VPV96" s="4"/>
      <c r="VPW96" s="4"/>
      <c r="VPX96" s="4"/>
      <c r="VPY96" s="4"/>
      <c r="VPZ96" s="4"/>
      <c r="VQA96" s="4"/>
      <c r="VQB96" s="4"/>
      <c r="VQC96" s="4"/>
      <c r="VQD96" s="4"/>
      <c r="VQE96" s="4"/>
      <c r="VQF96" s="4"/>
      <c r="VQG96" s="4"/>
      <c r="VQH96" s="4"/>
      <c r="VQI96" s="4"/>
      <c r="VQJ96" s="4"/>
      <c r="VQK96" s="4"/>
      <c r="VQL96" s="4"/>
      <c r="VQM96" s="4"/>
      <c r="VQN96" s="4"/>
      <c r="VQO96" s="4"/>
      <c r="VQP96" s="4"/>
      <c r="VQQ96" s="4"/>
      <c r="VQR96" s="4"/>
      <c r="VQS96" s="4"/>
      <c r="VQT96" s="4"/>
      <c r="VQU96" s="4"/>
      <c r="VQV96" s="4"/>
      <c r="VQW96" s="4"/>
      <c r="VQX96" s="4"/>
      <c r="VQY96" s="4"/>
      <c r="VQZ96" s="4"/>
      <c r="VRA96" s="4"/>
      <c r="VRB96" s="4"/>
      <c r="VRC96" s="4"/>
      <c r="VRD96" s="4"/>
      <c r="VRE96" s="4"/>
      <c r="VRF96" s="4"/>
      <c r="VRG96" s="4"/>
      <c r="VRH96" s="4"/>
      <c r="VRI96" s="4"/>
      <c r="VRJ96" s="4"/>
      <c r="VRK96" s="4"/>
      <c r="VRL96" s="4"/>
      <c r="VRM96" s="4"/>
      <c r="VRN96" s="4"/>
      <c r="VRO96" s="4"/>
      <c r="VRP96" s="4"/>
      <c r="VRQ96" s="4"/>
      <c r="VRR96" s="4"/>
      <c r="VRS96" s="4"/>
      <c r="VRT96" s="4"/>
      <c r="VRU96" s="4"/>
      <c r="VRV96" s="4"/>
      <c r="VRW96" s="4"/>
      <c r="VRX96" s="4"/>
      <c r="VRY96" s="4"/>
      <c r="VRZ96" s="4"/>
      <c r="VSA96" s="4"/>
      <c r="VSB96" s="4"/>
      <c r="VSC96" s="4"/>
      <c r="VSD96" s="4"/>
      <c r="VSE96" s="4"/>
      <c r="VSF96" s="4"/>
      <c r="VSG96" s="4"/>
      <c r="VSH96" s="4"/>
      <c r="VSI96" s="4"/>
      <c r="VSJ96" s="4"/>
      <c r="VSK96" s="4"/>
      <c r="VSL96" s="4"/>
      <c r="VSM96" s="4"/>
      <c r="VSN96" s="4"/>
      <c r="VSO96" s="4"/>
      <c r="VSP96" s="4"/>
      <c r="VSQ96" s="4"/>
      <c r="VSR96" s="4"/>
      <c r="VSS96" s="4"/>
      <c r="VST96" s="4"/>
      <c r="VSU96" s="4"/>
      <c r="VSV96" s="4"/>
      <c r="VSW96" s="4"/>
      <c r="VSX96" s="4"/>
      <c r="VSY96" s="4"/>
      <c r="VSZ96" s="4"/>
      <c r="VTA96" s="4"/>
      <c r="VTB96" s="4"/>
      <c r="VTC96" s="4"/>
      <c r="VTD96" s="4"/>
      <c r="VTE96" s="4"/>
      <c r="VTF96" s="4"/>
      <c r="VTG96" s="4"/>
      <c r="VTH96" s="4"/>
      <c r="VTI96" s="4"/>
      <c r="VTJ96" s="4"/>
      <c r="VTK96" s="4"/>
      <c r="VTL96" s="4"/>
      <c r="VTM96" s="4"/>
      <c r="VTN96" s="4"/>
      <c r="VTO96" s="4"/>
      <c r="VTP96" s="4"/>
      <c r="VTQ96" s="4"/>
      <c r="VTR96" s="4"/>
      <c r="VTS96" s="4"/>
      <c r="VTT96" s="4"/>
      <c r="VTU96" s="4"/>
      <c r="VTV96" s="4"/>
      <c r="VTW96" s="4"/>
      <c r="VTX96" s="4"/>
      <c r="VTY96" s="4"/>
      <c r="VTZ96" s="4"/>
      <c r="VUA96" s="4"/>
      <c r="VUB96" s="4"/>
      <c r="VUC96" s="4"/>
      <c r="VUD96" s="4"/>
      <c r="VUE96" s="4"/>
      <c r="VUF96" s="4"/>
      <c r="VUG96" s="4"/>
      <c r="VUH96" s="4"/>
      <c r="VUI96" s="4"/>
      <c r="VUJ96" s="4"/>
      <c r="VUK96" s="4"/>
      <c r="VUL96" s="4"/>
      <c r="VUM96" s="4"/>
      <c r="VUN96" s="4"/>
      <c r="VUO96" s="4"/>
      <c r="VUP96" s="4"/>
      <c r="VUQ96" s="4"/>
      <c r="VUR96" s="4"/>
      <c r="VUS96" s="4"/>
      <c r="VUT96" s="4"/>
      <c r="VUU96" s="4"/>
      <c r="VUV96" s="4"/>
      <c r="VUW96" s="4"/>
      <c r="VUX96" s="4"/>
      <c r="VUY96" s="4"/>
      <c r="VUZ96" s="4"/>
      <c r="VVA96" s="4"/>
      <c r="VVB96" s="4"/>
      <c r="VVC96" s="4"/>
      <c r="VVD96" s="4"/>
      <c r="VVE96" s="4"/>
      <c r="VVF96" s="4"/>
      <c r="VVG96" s="4"/>
      <c r="VVH96" s="4"/>
      <c r="VVI96" s="4"/>
      <c r="VVJ96" s="4"/>
      <c r="VVK96" s="4"/>
      <c r="VVL96" s="4"/>
      <c r="VVM96" s="4"/>
      <c r="VVN96" s="4"/>
      <c r="VVO96" s="4"/>
      <c r="VVP96" s="4"/>
      <c r="VVQ96" s="4"/>
      <c r="VVR96" s="4"/>
      <c r="VVS96" s="4"/>
      <c r="VVT96" s="4"/>
      <c r="VVU96" s="4"/>
      <c r="VVV96" s="4"/>
      <c r="VVW96" s="4"/>
      <c r="VVX96" s="4"/>
      <c r="VVY96" s="4"/>
      <c r="VVZ96" s="4"/>
      <c r="VWA96" s="4"/>
      <c r="VWB96" s="4"/>
      <c r="VWC96" s="4"/>
      <c r="VWD96" s="4"/>
      <c r="VWE96" s="4"/>
      <c r="VWF96" s="4"/>
      <c r="VWG96" s="4"/>
      <c r="VWH96" s="4"/>
      <c r="VWI96" s="4"/>
      <c r="VWJ96" s="4"/>
      <c r="VWK96" s="4"/>
      <c r="VWL96" s="4"/>
      <c r="VWM96" s="4"/>
      <c r="VWN96" s="4"/>
      <c r="VWO96" s="4"/>
      <c r="VWP96" s="4"/>
      <c r="VWQ96" s="4"/>
      <c r="VWR96" s="4"/>
      <c r="VWS96" s="4"/>
      <c r="VWT96" s="4"/>
      <c r="VWU96" s="4"/>
      <c r="VWV96" s="4"/>
      <c r="VWW96" s="4"/>
      <c r="VWX96" s="4"/>
      <c r="VWY96" s="4"/>
      <c r="VWZ96" s="4"/>
      <c r="VXA96" s="4"/>
      <c r="VXB96" s="4"/>
      <c r="VXC96" s="4"/>
      <c r="VXD96" s="4"/>
      <c r="VXE96" s="4"/>
      <c r="VXF96" s="4"/>
      <c r="VXG96" s="4"/>
      <c r="VXH96" s="4"/>
      <c r="VXI96" s="4"/>
      <c r="VXJ96" s="4"/>
      <c r="VXK96" s="4"/>
      <c r="VXL96" s="4"/>
      <c r="VXM96" s="4"/>
      <c r="VXN96" s="4"/>
      <c r="VXO96" s="4"/>
      <c r="VXP96" s="4"/>
      <c r="VXQ96" s="4"/>
      <c r="VXR96" s="4"/>
      <c r="VXS96" s="4"/>
      <c r="VXT96" s="4"/>
      <c r="VXU96" s="4"/>
      <c r="VXV96" s="4"/>
      <c r="VXW96" s="4"/>
      <c r="VXX96" s="4"/>
      <c r="VXY96" s="4"/>
      <c r="VXZ96" s="4"/>
      <c r="VYA96" s="4"/>
      <c r="VYB96" s="4"/>
      <c r="VYC96" s="4"/>
      <c r="VYD96" s="4"/>
      <c r="VYE96" s="4"/>
      <c r="VYF96" s="4"/>
      <c r="VYG96" s="4"/>
      <c r="VYH96" s="4"/>
      <c r="VYI96" s="4"/>
      <c r="VYJ96" s="4"/>
      <c r="VYK96" s="4"/>
      <c r="VYL96" s="4"/>
      <c r="VYM96" s="4"/>
      <c r="VYN96" s="4"/>
      <c r="VYO96" s="4"/>
      <c r="VYP96" s="4"/>
      <c r="VYQ96" s="4"/>
      <c r="VYR96" s="4"/>
      <c r="VYS96" s="4"/>
      <c r="VYT96" s="4"/>
      <c r="VYU96" s="4"/>
      <c r="VYV96" s="4"/>
      <c r="VYW96" s="4"/>
      <c r="VYX96" s="4"/>
      <c r="VYY96" s="4"/>
      <c r="VYZ96" s="4"/>
      <c r="VZA96" s="4"/>
      <c r="VZB96" s="4"/>
      <c r="VZC96" s="4"/>
      <c r="VZD96" s="4"/>
      <c r="VZE96" s="4"/>
      <c r="VZF96" s="4"/>
      <c r="VZG96" s="4"/>
      <c r="VZH96" s="4"/>
      <c r="VZI96" s="4"/>
      <c r="VZJ96" s="4"/>
      <c r="VZK96" s="4"/>
      <c r="VZL96" s="4"/>
      <c r="VZM96" s="4"/>
      <c r="VZN96" s="4"/>
      <c r="VZO96" s="4"/>
      <c r="VZP96" s="4"/>
      <c r="VZQ96" s="4"/>
      <c r="VZR96" s="4"/>
      <c r="VZS96" s="4"/>
      <c r="VZT96" s="4"/>
      <c r="VZU96" s="4"/>
      <c r="VZV96" s="4"/>
      <c r="VZW96" s="4"/>
      <c r="VZX96" s="4"/>
      <c r="VZY96" s="4"/>
      <c r="VZZ96" s="4"/>
      <c r="WAA96" s="4"/>
      <c r="WAB96" s="4"/>
      <c r="WAC96" s="4"/>
      <c r="WAD96" s="4"/>
      <c r="WAE96" s="4"/>
      <c r="WAF96" s="4"/>
      <c r="WAG96" s="4"/>
      <c r="WAH96" s="4"/>
      <c r="WAI96" s="4"/>
      <c r="WAJ96" s="4"/>
      <c r="WAK96" s="4"/>
      <c r="WAL96" s="4"/>
      <c r="WAM96" s="4"/>
      <c r="WAN96" s="4"/>
      <c r="WAO96" s="4"/>
      <c r="WAP96" s="4"/>
      <c r="WAQ96" s="4"/>
      <c r="WAR96" s="4"/>
      <c r="WAS96" s="4"/>
      <c r="WAT96" s="4"/>
      <c r="WAU96" s="4"/>
      <c r="WAV96" s="4"/>
      <c r="WAW96" s="4"/>
      <c r="WAX96" s="4"/>
      <c r="WAY96" s="4"/>
      <c r="WAZ96" s="4"/>
      <c r="WBA96" s="4"/>
      <c r="WBB96" s="4"/>
      <c r="WBC96" s="4"/>
      <c r="WBD96" s="4"/>
      <c r="WBE96" s="4"/>
      <c r="WBF96" s="4"/>
      <c r="WBG96" s="4"/>
      <c r="WBH96" s="4"/>
      <c r="WBI96" s="4"/>
      <c r="WBJ96" s="4"/>
      <c r="WBK96" s="4"/>
      <c r="WBL96" s="4"/>
      <c r="WBM96" s="4"/>
      <c r="WBN96" s="4"/>
      <c r="WBO96" s="4"/>
      <c r="WBP96" s="4"/>
      <c r="WBQ96" s="4"/>
      <c r="WBR96" s="4"/>
      <c r="WBS96" s="4"/>
      <c r="WBT96" s="4"/>
      <c r="WBU96" s="4"/>
      <c r="WBV96" s="4"/>
      <c r="WBW96" s="4"/>
      <c r="WBX96" s="4"/>
      <c r="WBY96" s="4"/>
      <c r="WBZ96" s="4"/>
      <c r="WCA96" s="4"/>
      <c r="WCB96" s="4"/>
      <c r="WCC96" s="4"/>
      <c r="WCD96" s="4"/>
      <c r="WCE96" s="4"/>
      <c r="WCF96" s="4"/>
      <c r="WCG96" s="4"/>
      <c r="WCH96" s="4"/>
      <c r="WCI96" s="4"/>
      <c r="WCJ96" s="4"/>
      <c r="WCK96" s="4"/>
      <c r="WCL96" s="4"/>
      <c r="WCM96" s="4"/>
      <c r="WCN96" s="4"/>
      <c r="WCO96" s="4"/>
      <c r="WCP96" s="4"/>
      <c r="WCQ96" s="4"/>
      <c r="WCR96" s="4"/>
      <c r="WCS96" s="4"/>
      <c r="WCT96" s="4"/>
      <c r="WCU96" s="4"/>
      <c r="WCV96" s="4"/>
      <c r="WCW96" s="4"/>
      <c r="WCX96" s="4"/>
      <c r="WCY96" s="4"/>
      <c r="WCZ96" s="4"/>
      <c r="WDA96" s="4"/>
      <c r="WDB96" s="4"/>
      <c r="WDC96" s="4"/>
      <c r="WDD96" s="4"/>
      <c r="WDE96" s="4"/>
      <c r="WDF96" s="4"/>
      <c r="WDG96" s="4"/>
      <c r="WDH96" s="4"/>
      <c r="WDI96" s="4"/>
      <c r="WDJ96" s="4"/>
      <c r="WDK96" s="4"/>
      <c r="WDL96" s="4"/>
      <c r="WDM96" s="4"/>
      <c r="WDN96" s="4"/>
      <c r="WDO96" s="4"/>
      <c r="WDP96" s="4"/>
      <c r="WDQ96" s="4"/>
      <c r="WDR96" s="4"/>
      <c r="WDS96" s="4"/>
      <c r="WDT96" s="4"/>
      <c r="WDU96" s="4"/>
      <c r="WDV96" s="4"/>
      <c r="WDW96" s="4"/>
      <c r="WDX96" s="4"/>
      <c r="WDY96" s="4"/>
      <c r="WDZ96" s="4"/>
      <c r="WEA96" s="4"/>
      <c r="WEB96" s="4"/>
      <c r="WEC96" s="4"/>
      <c r="WED96" s="4"/>
      <c r="WEE96" s="4"/>
      <c r="WEF96" s="4"/>
      <c r="WEG96" s="4"/>
      <c r="WEH96" s="4"/>
      <c r="WEI96" s="4"/>
      <c r="WEJ96" s="4"/>
      <c r="WEK96" s="4"/>
      <c r="WEL96" s="4"/>
      <c r="WEM96" s="4"/>
      <c r="WEN96" s="4"/>
      <c r="WEO96" s="4"/>
      <c r="WEP96" s="4"/>
      <c r="WEQ96" s="4"/>
      <c r="WER96" s="4"/>
      <c r="WES96" s="4"/>
      <c r="WET96" s="4"/>
      <c r="WEU96" s="4"/>
      <c r="WEV96" s="4"/>
      <c r="WEW96" s="4"/>
      <c r="WEX96" s="4"/>
      <c r="WEY96" s="4"/>
      <c r="WEZ96" s="4"/>
      <c r="WFA96" s="4"/>
      <c r="WFB96" s="4"/>
      <c r="WFC96" s="4"/>
      <c r="WFD96" s="4"/>
      <c r="WFE96" s="4"/>
      <c r="WFF96" s="4"/>
      <c r="WFG96" s="4"/>
      <c r="WFH96" s="4"/>
      <c r="WFI96" s="4"/>
      <c r="WFJ96" s="4"/>
      <c r="WFK96" s="4"/>
      <c r="WFL96" s="4"/>
      <c r="WFM96" s="4"/>
      <c r="WFN96" s="4"/>
      <c r="WFO96" s="4"/>
      <c r="WFP96" s="4"/>
      <c r="WFQ96" s="4"/>
      <c r="WFR96" s="4"/>
      <c r="WFS96" s="4"/>
      <c r="WFT96" s="4"/>
      <c r="WFU96" s="4"/>
      <c r="WFV96" s="4"/>
      <c r="WFW96" s="4"/>
      <c r="WFX96" s="4"/>
      <c r="WFY96" s="4"/>
      <c r="WFZ96" s="4"/>
      <c r="WGA96" s="4"/>
      <c r="WGB96" s="4"/>
      <c r="WGC96" s="4"/>
      <c r="WGD96" s="4"/>
      <c r="WGE96" s="4"/>
      <c r="WGF96" s="4"/>
      <c r="WGG96" s="4"/>
      <c r="WGH96" s="4"/>
      <c r="WGI96" s="4"/>
      <c r="WGJ96" s="4"/>
      <c r="WGK96" s="4"/>
      <c r="WGL96" s="4"/>
      <c r="WGM96" s="4"/>
      <c r="WGN96" s="4"/>
      <c r="WGO96" s="4"/>
      <c r="WGP96" s="4"/>
      <c r="WGQ96" s="4"/>
      <c r="WGR96" s="4"/>
      <c r="WGS96" s="4"/>
      <c r="WGT96" s="4"/>
      <c r="WGU96" s="4"/>
      <c r="WGV96" s="4"/>
      <c r="WGW96" s="4"/>
      <c r="WGX96" s="4"/>
      <c r="WGY96" s="4"/>
      <c r="WGZ96" s="4"/>
      <c r="WHA96" s="4"/>
      <c r="WHB96" s="4"/>
      <c r="WHC96" s="4"/>
      <c r="WHD96" s="4"/>
      <c r="WHE96" s="4"/>
      <c r="WHF96" s="4"/>
      <c r="WHG96" s="4"/>
      <c r="WHH96" s="4"/>
      <c r="WHI96" s="4"/>
      <c r="WHJ96" s="4"/>
      <c r="WHK96" s="4"/>
      <c r="WHL96" s="4"/>
      <c r="WHM96" s="4"/>
      <c r="WHN96" s="4"/>
      <c r="WHO96" s="4"/>
      <c r="WHP96" s="4"/>
      <c r="WHQ96" s="4"/>
      <c r="WHR96" s="4"/>
      <c r="WHS96" s="4"/>
      <c r="WHT96" s="4"/>
      <c r="WHU96" s="4"/>
      <c r="WHV96" s="4"/>
      <c r="WHW96" s="4"/>
      <c r="WHX96" s="4"/>
      <c r="WHY96" s="4"/>
      <c r="WHZ96" s="4"/>
      <c r="WIA96" s="4"/>
      <c r="WIB96" s="4"/>
      <c r="WIC96" s="4"/>
      <c r="WID96" s="4"/>
      <c r="WIE96" s="4"/>
      <c r="WIF96" s="4"/>
      <c r="WIG96" s="4"/>
      <c r="WIH96" s="4"/>
      <c r="WII96" s="4"/>
      <c r="WIJ96" s="4"/>
      <c r="WIK96" s="4"/>
      <c r="WIL96" s="4"/>
      <c r="WIM96" s="4"/>
      <c r="WIN96" s="4"/>
      <c r="WIO96" s="4"/>
      <c r="WIP96" s="4"/>
      <c r="WIQ96" s="4"/>
      <c r="WIR96" s="4"/>
      <c r="WIS96" s="4"/>
      <c r="WIT96" s="4"/>
      <c r="WIU96" s="4"/>
      <c r="WIV96" s="4"/>
      <c r="WIW96" s="4"/>
      <c r="WIX96" s="4"/>
      <c r="WIY96" s="4"/>
      <c r="WIZ96" s="4"/>
      <c r="WJA96" s="4"/>
      <c r="WJB96" s="4"/>
      <c r="WJC96" s="4"/>
      <c r="WJD96" s="4"/>
      <c r="WJE96" s="4"/>
      <c r="WJF96" s="4"/>
      <c r="WJG96" s="4"/>
      <c r="WJH96" s="4"/>
      <c r="WJI96" s="4"/>
      <c r="WJJ96" s="4"/>
      <c r="WJK96" s="4"/>
      <c r="WJL96" s="4"/>
      <c r="WJM96" s="4"/>
      <c r="WJN96" s="4"/>
      <c r="WJO96" s="4"/>
      <c r="WJP96" s="4"/>
      <c r="WJQ96" s="4"/>
      <c r="WJR96" s="4"/>
      <c r="WJS96" s="4"/>
      <c r="WJT96" s="4"/>
      <c r="WJU96" s="4"/>
      <c r="WJV96" s="4"/>
      <c r="WJW96" s="4"/>
      <c r="WJX96" s="4"/>
      <c r="WJY96" s="4"/>
      <c r="WJZ96" s="4"/>
      <c r="WKA96" s="4"/>
      <c r="WKB96" s="4"/>
      <c r="WKC96" s="4"/>
      <c r="WKD96" s="4"/>
      <c r="WKE96" s="4"/>
      <c r="WKF96" s="4"/>
      <c r="WKG96" s="4"/>
      <c r="WKH96" s="4"/>
      <c r="WKI96" s="4"/>
      <c r="WKJ96" s="4"/>
      <c r="WKK96" s="4"/>
      <c r="WKL96" s="4"/>
      <c r="WKM96" s="4"/>
      <c r="WKN96" s="4"/>
      <c r="WKO96" s="4"/>
      <c r="WKP96" s="4"/>
      <c r="WKQ96" s="4"/>
      <c r="WKR96" s="4"/>
      <c r="WKS96" s="4"/>
      <c r="WKT96" s="4"/>
      <c r="WKU96" s="4"/>
      <c r="WKV96" s="4"/>
      <c r="WKW96" s="4"/>
      <c r="WKX96" s="4"/>
      <c r="WKY96" s="4"/>
      <c r="WKZ96" s="4"/>
      <c r="WLA96" s="4"/>
      <c r="WLB96" s="4"/>
      <c r="WLC96" s="4"/>
      <c r="WLD96" s="4"/>
      <c r="WLE96" s="4"/>
      <c r="WLF96" s="4"/>
      <c r="WLG96" s="4"/>
      <c r="WLH96" s="4"/>
      <c r="WLI96" s="4"/>
      <c r="WLJ96" s="4"/>
      <c r="WLK96" s="4"/>
      <c r="WLL96" s="4"/>
      <c r="WLM96" s="4"/>
      <c r="WLN96" s="4"/>
      <c r="WLO96" s="4"/>
      <c r="WLP96" s="4"/>
      <c r="WLQ96" s="4"/>
      <c r="WLR96" s="4"/>
      <c r="WLS96" s="4"/>
      <c r="WLT96" s="4"/>
      <c r="WLU96" s="4"/>
      <c r="WLV96" s="4"/>
      <c r="WLW96" s="4"/>
      <c r="WLX96" s="4"/>
      <c r="WLY96" s="4"/>
      <c r="WLZ96" s="4"/>
      <c r="WMA96" s="4"/>
      <c r="WMB96" s="4"/>
      <c r="WMC96" s="4"/>
      <c r="WMD96" s="4"/>
      <c r="WME96" s="4"/>
      <c r="WMF96" s="4"/>
      <c r="WMG96" s="4"/>
      <c r="WMH96" s="4"/>
      <c r="WMI96" s="4"/>
      <c r="WMJ96" s="4"/>
      <c r="WMK96" s="4"/>
      <c r="WML96" s="4"/>
      <c r="WMM96" s="4"/>
      <c r="WMN96" s="4"/>
      <c r="WMO96" s="4"/>
      <c r="WMP96" s="4"/>
      <c r="WMQ96" s="4"/>
      <c r="WMR96" s="4"/>
      <c r="WMS96" s="4"/>
      <c r="WMT96" s="4"/>
      <c r="WMU96" s="4"/>
      <c r="WMV96" s="4"/>
      <c r="WMW96" s="4"/>
      <c r="WMX96" s="4"/>
      <c r="WMY96" s="4"/>
      <c r="WMZ96" s="4"/>
      <c r="WNA96" s="4"/>
      <c r="WNB96" s="4"/>
      <c r="WNC96" s="4"/>
      <c r="WND96" s="4"/>
      <c r="WNE96" s="4"/>
      <c r="WNF96" s="4"/>
      <c r="WNG96" s="4"/>
      <c r="WNH96" s="4"/>
      <c r="WNI96" s="4"/>
      <c r="WNJ96" s="4"/>
      <c r="WNK96" s="4"/>
      <c r="WNL96" s="4"/>
      <c r="WNM96" s="4"/>
      <c r="WNN96" s="4"/>
      <c r="WNO96" s="4"/>
      <c r="WNP96" s="4"/>
      <c r="WNQ96" s="4"/>
      <c r="WNR96" s="4"/>
      <c r="WNS96" s="4"/>
      <c r="WNT96" s="4"/>
      <c r="WNU96" s="4"/>
      <c r="WNV96" s="4"/>
      <c r="WNW96" s="4"/>
      <c r="WNX96" s="4"/>
      <c r="WNY96" s="4"/>
      <c r="WNZ96" s="4"/>
      <c r="WOA96" s="4"/>
      <c r="WOB96" s="4"/>
      <c r="WOC96" s="4"/>
      <c r="WOD96" s="4"/>
      <c r="WOE96" s="4"/>
      <c r="WOF96" s="4"/>
      <c r="WOG96" s="4"/>
      <c r="WOH96" s="4"/>
      <c r="WOI96" s="4"/>
      <c r="WOJ96" s="4"/>
      <c r="WOK96" s="4"/>
      <c r="WOL96" s="4"/>
      <c r="WOM96" s="4"/>
      <c r="WON96" s="4"/>
      <c r="WOO96" s="4"/>
      <c r="WOP96" s="4"/>
      <c r="WOQ96" s="4"/>
      <c r="WOR96" s="4"/>
      <c r="WOS96" s="4"/>
      <c r="WOT96" s="4"/>
      <c r="WOU96" s="4"/>
      <c r="WOV96" s="4"/>
      <c r="WOW96" s="4"/>
      <c r="WOX96" s="4"/>
      <c r="WOY96" s="4"/>
      <c r="WOZ96" s="4"/>
      <c r="WPA96" s="4"/>
      <c r="WPB96" s="4"/>
      <c r="WPC96" s="4"/>
      <c r="WPD96" s="4"/>
      <c r="WPE96" s="4"/>
      <c r="WPF96" s="4"/>
      <c r="WPG96" s="4"/>
      <c r="WPH96" s="4"/>
      <c r="WPI96" s="4"/>
      <c r="WPJ96" s="4"/>
      <c r="WPK96" s="4"/>
      <c r="WPL96" s="4"/>
      <c r="WPM96" s="4"/>
      <c r="WPN96" s="4"/>
      <c r="WPO96" s="4"/>
      <c r="WPP96" s="4"/>
      <c r="WPQ96" s="4"/>
      <c r="WPR96" s="4"/>
      <c r="WPS96" s="4"/>
      <c r="WPT96" s="4"/>
      <c r="WPU96" s="4"/>
      <c r="WPV96" s="4"/>
      <c r="WPW96" s="4"/>
      <c r="WPX96" s="4"/>
      <c r="WPY96" s="4"/>
      <c r="WPZ96" s="4"/>
      <c r="WQA96" s="4"/>
      <c r="WQB96" s="4"/>
      <c r="WQC96" s="4"/>
      <c r="WQD96" s="4"/>
      <c r="WQE96" s="4"/>
      <c r="WQF96" s="4"/>
      <c r="WQG96" s="4"/>
      <c r="WQH96" s="4"/>
      <c r="WQI96" s="4"/>
      <c r="WQJ96" s="4"/>
      <c r="WQK96" s="4"/>
      <c r="WQL96" s="4"/>
      <c r="WQM96" s="4"/>
      <c r="WQN96" s="4"/>
      <c r="WQO96" s="4"/>
      <c r="WQP96" s="4"/>
      <c r="WQQ96" s="4"/>
      <c r="WQR96" s="4"/>
      <c r="WQS96" s="4"/>
      <c r="WQT96" s="4"/>
      <c r="WQU96" s="4"/>
      <c r="WQV96" s="4"/>
      <c r="WQW96" s="4"/>
      <c r="WQX96" s="4"/>
      <c r="WQY96" s="4"/>
      <c r="WQZ96" s="4"/>
      <c r="WRA96" s="4"/>
      <c r="WRB96" s="4"/>
      <c r="WRC96" s="4"/>
      <c r="WRD96" s="4"/>
      <c r="WRE96" s="4"/>
      <c r="WRF96" s="4"/>
      <c r="WRG96" s="4"/>
      <c r="WRH96" s="4"/>
      <c r="WRI96" s="4"/>
      <c r="WRJ96" s="4"/>
      <c r="WRK96" s="4"/>
      <c r="WRL96" s="4"/>
      <c r="WRM96" s="4"/>
      <c r="WRN96" s="4"/>
      <c r="WRO96" s="4"/>
      <c r="WRP96" s="4"/>
      <c r="WRQ96" s="4"/>
      <c r="WRR96" s="4"/>
      <c r="WRS96" s="4"/>
      <c r="WRT96" s="4"/>
      <c r="WRU96" s="4"/>
      <c r="WRV96" s="4"/>
      <c r="WRW96" s="4"/>
      <c r="WRX96" s="4"/>
      <c r="WRY96" s="4"/>
      <c r="WRZ96" s="4"/>
      <c r="WSA96" s="4"/>
      <c r="WSB96" s="4"/>
      <c r="WSC96" s="4"/>
      <c r="WSD96" s="4"/>
      <c r="WSE96" s="4"/>
      <c r="WSF96" s="4"/>
      <c r="WSG96" s="4"/>
      <c r="WSH96" s="4"/>
      <c r="WSI96" s="4"/>
      <c r="WSJ96" s="4"/>
      <c r="WSK96" s="4"/>
      <c r="WSL96" s="4"/>
      <c r="WSM96" s="4"/>
      <c r="WSN96" s="4"/>
      <c r="WSO96" s="4"/>
      <c r="WSP96" s="4"/>
      <c r="WSQ96" s="4"/>
      <c r="WSR96" s="4"/>
      <c r="WSS96" s="4"/>
      <c r="WST96" s="4"/>
      <c r="WSU96" s="4"/>
      <c r="WSV96" s="4"/>
      <c r="WSW96" s="4"/>
      <c r="WSX96" s="4"/>
      <c r="WSY96" s="4"/>
      <c r="WSZ96" s="4"/>
      <c r="WTA96" s="4"/>
      <c r="WTB96" s="4"/>
      <c r="WTC96" s="4"/>
      <c r="WTD96" s="4"/>
      <c r="WTE96" s="4"/>
      <c r="WTF96" s="4"/>
      <c r="WTG96" s="4"/>
      <c r="WTH96" s="4"/>
      <c r="WTI96" s="4"/>
      <c r="WTJ96" s="4"/>
      <c r="WTK96" s="4"/>
      <c r="WTL96" s="4"/>
      <c r="WTM96" s="4"/>
      <c r="WTN96" s="4"/>
      <c r="WTO96" s="4"/>
      <c r="WTP96" s="4"/>
      <c r="WTQ96" s="4"/>
      <c r="WTR96" s="4"/>
      <c r="WTS96" s="4"/>
      <c r="WTT96" s="4"/>
      <c r="WTU96" s="4"/>
      <c r="WTV96" s="4"/>
      <c r="WTW96" s="4"/>
      <c r="WTX96" s="4"/>
      <c r="WTY96" s="4"/>
      <c r="WTZ96" s="4"/>
      <c r="WUA96" s="4"/>
      <c r="WUB96" s="4"/>
      <c r="WUC96" s="4"/>
      <c r="WUD96" s="4"/>
      <c r="WUE96" s="4"/>
      <c r="WUF96" s="4"/>
      <c r="WUG96" s="4"/>
      <c r="WUH96" s="4"/>
      <c r="WUI96" s="4"/>
      <c r="WUJ96" s="4"/>
      <c r="WUK96" s="4"/>
      <c r="WUL96" s="4"/>
      <c r="WUM96" s="4"/>
      <c r="WUN96" s="4"/>
      <c r="WUO96" s="4"/>
      <c r="WUP96" s="4"/>
      <c r="WUQ96" s="4"/>
      <c r="WUR96" s="4"/>
      <c r="WUS96" s="4"/>
      <c r="WUT96" s="4"/>
      <c r="WUU96" s="4"/>
      <c r="WUV96" s="4"/>
      <c r="WUW96" s="4"/>
      <c r="WUX96" s="4"/>
      <c r="WUY96" s="4"/>
      <c r="WUZ96" s="4"/>
      <c r="WVA96" s="4"/>
      <c r="WVB96" s="4"/>
      <c r="WVC96" s="4"/>
      <c r="WVD96" s="4"/>
      <c r="WVE96" s="4"/>
      <c r="WVF96" s="4"/>
      <c r="WVG96" s="4"/>
      <c r="WVH96" s="4"/>
      <c r="WVI96" s="4"/>
      <c r="WVJ96" s="4"/>
      <c r="WVK96" s="4"/>
      <c r="WVL96" s="4"/>
      <c r="WVM96" s="4"/>
      <c r="WVN96" s="4"/>
      <c r="WVO96" s="4"/>
      <c r="WVP96" s="4"/>
      <c r="WVQ96" s="4"/>
      <c r="WVR96" s="4"/>
      <c r="WVS96" s="4"/>
      <c r="WVT96" s="4"/>
      <c r="WVU96" s="4"/>
      <c r="WVV96" s="4"/>
      <c r="WVW96" s="4"/>
      <c r="WVX96" s="4"/>
      <c r="WVY96" s="4"/>
      <c r="WVZ96" s="4"/>
      <c r="WWA96" s="4"/>
      <c r="WWB96" s="4"/>
      <c r="WWC96" s="4"/>
      <c r="WWD96" s="4"/>
      <c r="WWE96" s="4"/>
      <c r="WWF96" s="4"/>
      <c r="WWG96" s="4"/>
      <c r="WWH96" s="4"/>
      <c r="WWI96" s="4"/>
      <c r="WWJ96" s="4"/>
      <c r="WWK96" s="4"/>
      <c r="WWL96" s="4"/>
      <c r="WWM96" s="4"/>
      <c r="WWN96" s="4"/>
      <c r="WWO96" s="4"/>
      <c r="WWP96" s="4"/>
      <c r="WWQ96" s="4"/>
      <c r="WWR96" s="4"/>
      <c r="WWS96" s="4"/>
      <c r="WWT96" s="4"/>
      <c r="WWU96" s="4"/>
      <c r="WWV96" s="4"/>
      <c r="WWW96" s="4"/>
      <c r="WWX96" s="4"/>
      <c r="WWY96" s="4"/>
      <c r="WWZ96" s="4"/>
      <c r="WXA96" s="4"/>
      <c r="WXB96" s="4"/>
      <c r="WXC96" s="4"/>
      <c r="WXD96" s="4"/>
      <c r="WXE96" s="4"/>
      <c r="WXF96" s="4"/>
      <c r="WXG96" s="4"/>
      <c r="WXH96" s="4"/>
      <c r="WXI96" s="4"/>
      <c r="WXJ96" s="4"/>
      <c r="WXK96" s="4"/>
      <c r="WXL96" s="4"/>
      <c r="WXM96" s="4"/>
      <c r="WXN96" s="4"/>
      <c r="WXO96" s="4"/>
      <c r="WXP96" s="4"/>
      <c r="WXQ96" s="4"/>
      <c r="WXR96" s="4"/>
      <c r="WXS96" s="4"/>
      <c r="WXT96" s="4"/>
      <c r="WXU96" s="4"/>
      <c r="WXV96" s="4"/>
      <c r="WXW96" s="4"/>
      <c r="WXX96" s="4"/>
      <c r="WXY96" s="4"/>
      <c r="WXZ96" s="4"/>
      <c r="WYA96" s="4"/>
      <c r="WYB96" s="4"/>
      <c r="WYC96" s="4"/>
      <c r="WYD96" s="4"/>
      <c r="WYE96" s="4"/>
      <c r="WYF96" s="4"/>
      <c r="WYG96" s="4"/>
      <c r="WYH96" s="4"/>
      <c r="WYI96" s="4"/>
      <c r="WYJ96" s="4"/>
      <c r="WYK96" s="4"/>
      <c r="WYL96" s="4"/>
      <c r="WYM96" s="4"/>
      <c r="WYN96" s="4"/>
      <c r="WYO96" s="4"/>
      <c r="WYP96" s="4"/>
      <c r="WYQ96" s="4"/>
      <c r="WYR96" s="4"/>
      <c r="WYS96" s="4"/>
      <c r="WYT96" s="4"/>
      <c r="WYU96" s="4"/>
      <c r="WYV96" s="4"/>
      <c r="WYW96" s="4"/>
      <c r="WYX96" s="4"/>
      <c r="WYY96" s="4"/>
      <c r="WYZ96" s="4"/>
      <c r="WZA96" s="4"/>
      <c r="WZB96" s="4"/>
      <c r="WZC96" s="4"/>
      <c r="WZD96" s="4"/>
      <c r="WZE96" s="4"/>
      <c r="WZF96" s="4"/>
      <c r="WZG96" s="4"/>
      <c r="WZH96" s="4"/>
      <c r="WZI96" s="4"/>
      <c r="WZJ96" s="4"/>
      <c r="WZK96" s="4"/>
      <c r="WZL96" s="4"/>
      <c r="WZM96" s="4"/>
      <c r="WZN96" s="4"/>
      <c r="WZO96" s="4"/>
      <c r="WZP96" s="4"/>
      <c r="WZQ96" s="4"/>
      <c r="WZR96" s="4"/>
      <c r="WZS96" s="4"/>
      <c r="WZT96" s="4"/>
      <c r="WZU96" s="4"/>
      <c r="WZV96" s="4"/>
      <c r="WZW96" s="4"/>
      <c r="WZX96" s="4"/>
      <c r="WZY96" s="4"/>
      <c r="WZZ96" s="4"/>
      <c r="XAA96" s="4"/>
      <c r="XAB96" s="4"/>
      <c r="XAC96" s="4"/>
      <c r="XAD96" s="4"/>
      <c r="XAE96" s="4"/>
      <c r="XAF96" s="4"/>
      <c r="XAG96" s="4"/>
      <c r="XAH96" s="4"/>
      <c r="XAI96" s="4"/>
      <c r="XAJ96" s="4"/>
      <c r="XAK96" s="4"/>
      <c r="XAL96" s="4"/>
      <c r="XAM96" s="4"/>
      <c r="XAN96" s="4"/>
      <c r="XAO96" s="4"/>
      <c r="XAP96" s="4"/>
      <c r="XAQ96" s="4"/>
      <c r="XAR96" s="4"/>
      <c r="XAS96" s="4"/>
      <c r="XAT96" s="4"/>
      <c r="XAU96" s="4"/>
      <c r="XAV96" s="4"/>
      <c r="XAW96" s="4"/>
      <c r="XAX96" s="4"/>
      <c r="XAY96" s="4"/>
      <c r="XAZ96" s="4"/>
      <c r="XBA96" s="4"/>
      <c r="XBB96" s="4"/>
      <c r="XBC96" s="4"/>
      <c r="XBD96" s="4"/>
      <c r="XBE96" s="4"/>
      <c r="XBF96" s="4"/>
      <c r="XBG96" s="4"/>
      <c r="XBH96" s="4"/>
      <c r="XBI96" s="4"/>
      <c r="XBJ96" s="4"/>
      <c r="XBK96" s="4"/>
      <c r="XBL96" s="4"/>
      <c r="XBM96" s="4"/>
      <c r="XBN96" s="4"/>
      <c r="XBO96" s="4"/>
      <c r="XBP96" s="4"/>
      <c r="XBQ96" s="4"/>
      <c r="XBR96" s="4"/>
      <c r="XBS96" s="4"/>
      <c r="XBT96" s="4"/>
      <c r="XBU96" s="4"/>
      <c r="XBV96" s="4"/>
      <c r="XBW96" s="4"/>
      <c r="XBX96" s="4"/>
      <c r="XBY96" s="4"/>
      <c r="XBZ96" s="4"/>
      <c r="XCA96" s="4"/>
      <c r="XCB96" s="4"/>
      <c r="XCC96" s="4"/>
      <c r="XCD96" s="4"/>
      <c r="XCE96" s="4"/>
      <c r="XCF96" s="4"/>
      <c r="XCG96" s="4"/>
      <c r="XCH96" s="4"/>
      <c r="XCI96" s="4"/>
      <c r="XCJ96" s="4"/>
      <c r="XCK96" s="4"/>
      <c r="XCL96" s="4"/>
      <c r="XCM96" s="4"/>
      <c r="XCN96" s="4"/>
      <c r="XCO96" s="4"/>
      <c r="XCP96" s="4"/>
      <c r="XCQ96" s="4"/>
      <c r="XCR96" s="4"/>
      <c r="XCS96" s="4"/>
      <c r="XCT96" s="4"/>
      <c r="XCU96" s="4"/>
      <c r="XCV96" s="4"/>
      <c r="XCW96" s="4"/>
      <c r="XCX96" s="4"/>
      <c r="XCY96" s="4"/>
      <c r="XCZ96" s="4"/>
      <c r="XDA96" s="4"/>
      <c r="XDB96" s="4"/>
      <c r="XDC96" s="4"/>
      <c r="XDD96" s="4"/>
      <c r="XDE96" s="4"/>
      <c r="XDF96" s="4"/>
      <c r="XDG96" s="4"/>
      <c r="XDH96" s="4"/>
      <c r="XDI96" s="4"/>
      <c r="XDJ96" s="4"/>
      <c r="XDK96" s="4"/>
      <c r="XDL96" s="4"/>
      <c r="XDM96" s="4"/>
      <c r="XDN96" s="4"/>
      <c r="XDO96" s="4"/>
      <c r="XDP96" s="4"/>
      <c r="XDQ96" s="4"/>
      <c r="XDR96" s="4"/>
      <c r="XDS96" s="4"/>
      <c r="XDT96" s="4"/>
      <c r="XDU96" s="4"/>
      <c r="XDV96" s="4"/>
      <c r="XDW96" s="4"/>
      <c r="XDX96" s="4"/>
      <c r="XDY96" s="4"/>
      <c r="XDZ96" s="4"/>
      <c r="XEA96" s="4"/>
      <c r="XEB96" s="4"/>
      <c r="XEC96" s="4"/>
      <c r="XED96" s="4"/>
      <c r="XEE96" s="4"/>
      <c r="XEF96" s="4"/>
      <c r="XEG96" s="4"/>
      <c r="XEH96" s="4"/>
      <c r="XEI96" s="4"/>
      <c r="XEJ96" s="4"/>
      <c r="XEK96" s="4"/>
      <c r="XEL96" s="4"/>
      <c r="XEM96" s="4"/>
      <c r="XEN96" s="4"/>
      <c r="XEO96" s="4"/>
      <c r="XEP96" s="4"/>
      <c r="XEQ96" s="4"/>
      <c r="XER96" s="4"/>
      <c r="XES96" s="4"/>
      <c r="XET96" s="4"/>
      <c r="XEU96" s="4"/>
      <c r="XEV96" s="4"/>
      <c r="XEW96" s="4"/>
      <c r="XEX96" s="4"/>
      <c r="XEY96" s="4"/>
      <c r="XEZ96" s="4"/>
      <c r="XFA96" s="4"/>
      <c r="XFB96" s="4"/>
    </row>
    <row r="97" spans="1:2" ht="17.5" x14ac:dyDescent="0.35">
      <c r="A97" s="310" t="s">
        <v>2627</v>
      </c>
      <c r="B97" s="24"/>
    </row>
    <row r="98" spans="1:2" ht="17.5" x14ac:dyDescent="0.35">
      <c r="A98" s="319" t="s">
        <v>2694</v>
      </c>
      <c r="B98" s="307"/>
    </row>
  </sheetData>
  <sortState xmlns:xlrd2="http://schemas.microsoft.com/office/spreadsheetml/2017/richdata2" ref="A3:G92">
    <sortCondition ref="B3:B92"/>
  </sortState>
  <printOptions gridLines="1"/>
  <pageMargins left="0.5" right="0.5" top="0.5" bottom="0.5" header="0.3" footer="0.3"/>
  <pageSetup scale="65" orientation="landscape"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17"/>
  <sheetViews>
    <sheetView workbookViewId="0">
      <pane ySplit="1" topLeftCell="A2" activePane="bottomLeft" state="frozen"/>
      <selection activeCell="C26" sqref="C26"/>
      <selection pane="bottomLeft" activeCell="A6" sqref="A2:XFD6"/>
    </sheetView>
  </sheetViews>
  <sheetFormatPr defaultColWidth="9.08984375" defaultRowHeight="12.5" x14ac:dyDescent="0.25"/>
  <cols>
    <col min="1" max="1" width="65.54296875" style="32" bestFit="1" customWidth="1"/>
    <col min="2" max="2" width="16.08984375" style="34" customWidth="1"/>
    <col min="3" max="3" width="21.1796875" style="34" customWidth="1"/>
    <col min="4" max="4" width="21.81640625" style="34" customWidth="1"/>
    <col min="5" max="5" width="14.36328125" style="34" customWidth="1"/>
    <col min="6" max="6" width="11.90625" style="34" customWidth="1"/>
    <col min="7" max="7" width="13.08984375" style="33" customWidth="1"/>
    <col min="8" max="8" width="18.6328125" style="33" customWidth="1"/>
    <col min="9" max="16384" width="9.08984375" style="33"/>
  </cols>
  <sheetData>
    <row r="1" spans="1:8" ht="15.5" x14ac:dyDescent="0.35">
      <c r="A1" s="544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13" t="s">
        <v>364</v>
      </c>
      <c r="G1" s="326" t="s">
        <v>2695</v>
      </c>
      <c r="H1" s="305" t="s">
        <v>2696</v>
      </c>
    </row>
    <row r="2" spans="1:8" s="32" customFormat="1" ht="15.5" x14ac:dyDescent="0.35">
      <c r="A2" s="258" t="s">
        <v>16</v>
      </c>
      <c r="B2" s="99" t="s">
        <v>360</v>
      </c>
      <c r="C2" s="315"/>
      <c r="D2" s="99"/>
      <c r="E2" s="99" t="s">
        <v>1604</v>
      </c>
      <c r="F2" s="26">
        <v>1</v>
      </c>
      <c r="G2" s="337"/>
      <c r="H2" s="345"/>
    </row>
    <row r="3" spans="1:8" s="32" customFormat="1" ht="15.5" x14ac:dyDescent="0.35">
      <c r="A3" s="258" t="s">
        <v>15</v>
      </c>
      <c r="B3" s="99" t="s">
        <v>424</v>
      </c>
      <c r="C3" s="315"/>
      <c r="D3" s="99"/>
      <c r="E3" s="99" t="s">
        <v>1604</v>
      </c>
      <c r="F3" s="26">
        <v>1</v>
      </c>
      <c r="G3" s="337"/>
      <c r="H3" s="345"/>
    </row>
    <row r="4" spans="1:8" ht="15.5" x14ac:dyDescent="0.35">
      <c r="A4" s="258" t="s">
        <v>12</v>
      </c>
      <c r="B4" s="99" t="s">
        <v>150</v>
      </c>
      <c r="C4" s="315"/>
      <c r="D4" s="99"/>
      <c r="E4" s="99" t="s">
        <v>1604</v>
      </c>
      <c r="F4" s="26">
        <v>1</v>
      </c>
      <c r="G4" s="337"/>
      <c r="H4" s="345"/>
    </row>
    <row r="5" spans="1:8" ht="15.5" x14ac:dyDescent="0.35">
      <c r="A5" s="258" t="s">
        <v>6</v>
      </c>
      <c r="B5" s="99" t="s">
        <v>87</v>
      </c>
      <c r="C5" s="315"/>
      <c r="D5" s="99"/>
      <c r="E5" s="99" t="s">
        <v>1604</v>
      </c>
      <c r="F5" s="26">
        <v>1</v>
      </c>
      <c r="G5" s="337"/>
      <c r="H5" s="345"/>
    </row>
    <row r="6" spans="1:8" ht="15.5" x14ac:dyDescent="0.35">
      <c r="A6" s="258" t="s">
        <v>2547</v>
      </c>
      <c r="B6" s="99" t="s">
        <v>210</v>
      </c>
      <c r="C6" s="315"/>
      <c r="D6" s="99"/>
      <c r="E6" s="99" t="s">
        <v>1604</v>
      </c>
      <c r="F6" s="26">
        <v>1</v>
      </c>
      <c r="G6" s="337"/>
      <c r="H6" s="345"/>
    </row>
    <row r="7" spans="1:8" ht="15.5" x14ac:dyDescent="0.35">
      <c r="A7" s="258" t="s">
        <v>1099</v>
      </c>
      <c r="B7" s="99" t="s">
        <v>426</v>
      </c>
      <c r="C7" s="315"/>
      <c r="D7" s="99"/>
      <c r="E7" s="99" t="s">
        <v>1604</v>
      </c>
      <c r="F7" s="26">
        <v>1</v>
      </c>
      <c r="G7" s="337"/>
      <c r="H7" s="345"/>
    </row>
    <row r="8" spans="1:8" ht="15.5" x14ac:dyDescent="0.35">
      <c r="A8" s="258" t="s">
        <v>930</v>
      </c>
      <c r="B8" s="99" t="s">
        <v>88</v>
      </c>
      <c r="C8" s="315"/>
      <c r="D8" s="99"/>
      <c r="E8" s="99" t="s">
        <v>1604</v>
      </c>
      <c r="F8" s="26">
        <v>1</v>
      </c>
      <c r="G8" s="337"/>
      <c r="H8" s="345"/>
    </row>
    <row r="9" spans="1:8" ht="15.5" x14ac:dyDescent="0.35">
      <c r="A9" s="258" t="s">
        <v>1061</v>
      </c>
      <c r="B9" s="99" t="s">
        <v>73</v>
      </c>
      <c r="C9" s="315"/>
      <c r="D9" s="99"/>
      <c r="E9" s="99" t="s">
        <v>1604</v>
      </c>
      <c r="F9" s="26">
        <v>1</v>
      </c>
      <c r="G9" s="337"/>
      <c r="H9" s="345"/>
    </row>
    <row r="10" spans="1:8" ht="15.5" x14ac:dyDescent="0.35">
      <c r="A10" s="258" t="s">
        <v>10</v>
      </c>
      <c r="B10" s="99" t="s">
        <v>418</v>
      </c>
      <c r="C10" s="315"/>
      <c r="D10" s="99"/>
      <c r="E10" s="99" t="s">
        <v>1604</v>
      </c>
      <c r="F10" s="26">
        <v>1</v>
      </c>
      <c r="G10" s="337"/>
      <c r="H10" s="345"/>
    </row>
    <row r="11" spans="1:8" ht="15.5" x14ac:dyDescent="0.35">
      <c r="A11" s="550" t="s">
        <v>97</v>
      </c>
      <c r="B11" s="225" t="s">
        <v>457</v>
      </c>
      <c r="C11" s="547"/>
      <c r="D11" s="225"/>
      <c r="E11" s="225" t="s">
        <v>1604</v>
      </c>
      <c r="F11" s="227">
        <v>1</v>
      </c>
      <c r="G11" s="342"/>
      <c r="H11" s="656"/>
    </row>
    <row r="14" spans="1:8" s="4" customFormat="1" ht="17.5" x14ac:dyDescent="0.35">
      <c r="A14" s="309" t="s">
        <v>1784</v>
      </c>
      <c r="B14" s="312"/>
      <c r="C14" s="249"/>
      <c r="D14" s="3"/>
      <c r="E14" s="3"/>
      <c r="F14" s="3"/>
      <c r="G14" s="37"/>
    </row>
    <row r="15" spans="1:8" s="4" customFormat="1" ht="17.5" x14ac:dyDescent="0.35">
      <c r="A15" s="309" t="s">
        <v>2463</v>
      </c>
      <c r="B15" s="312"/>
      <c r="C15" s="249"/>
      <c r="D15" s="3"/>
      <c r="E15" s="3"/>
      <c r="F15" s="3"/>
      <c r="G15" s="37"/>
    </row>
    <row r="16" spans="1:8" ht="17.5" x14ac:dyDescent="0.35">
      <c r="A16" s="310" t="s">
        <v>2626</v>
      </c>
      <c r="B16" s="346"/>
    </row>
    <row r="17" spans="1:2" ht="17.5" x14ac:dyDescent="0.35">
      <c r="A17" s="319" t="s">
        <v>2694</v>
      </c>
      <c r="B17" s="307"/>
    </row>
  </sheetData>
  <sortState xmlns:xlrd2="http://schemas.microsoft.com/office/spreadsheetml/2017/richdata2" ref="A2:H11">
    <sortCondition ref="B2:B11"/>
  </sortState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3"/>
  <sheetViews>
    <sheetView workbookViewId="0">
      <pane ySplit="1" topLeftCell="A2" activePane="bottomLeft" state="frozen"/>
      <selection activeCell="C26" sqref="C26"/>
      <selection pane="bottomLeft" activeCell="A6" sqref="A6:XFD6"/>
    </sheetView>
  </sheetViews>
  <sheetFormatPr defaultColWidth="9.08984375" defaultRowHeight="12.5" x14ac:dyDescent="0.25"/>
  <cols>
    <col min="1" max="1" width="63.90625" style="32" bestFit="1" customWidth="1"/>
    <col min="2" max="2" width="14.36328125" style="34" bestFit="1" customWidth="1"/>
    <col min="3" max="3" width="20.36328125" style="34" bestFit="1" customWidth="1"/>
    <col min="4" max="4" width="20.08984375" style="34" bestFit="1" customWidth="1"/>
    <col min="5" max="5" width="12.453125" style="34" bestFit="1" customWidth="1"/>
    <col min="6" max="6" width="10" style="34" bestFit="1" customWidth="1"/>
    <col min="7" max="7" width="11.36328125" style="32" bestFit="1" customWidth="1"/>
    <col min="8" max="8" width="16.90625" style="32" bestFit="1" customWidth="1"/>
    <col min="9" max="16384" width="9.08984375" style="32"/>
  </cols>
  <sheetData>
    <row r="1" spans="1:8" ht="24.9" customHeight="1" x14ac:dyDescent="0.35">
      <c r="A1" s="13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13" t="s">
        <v>364</v>
      </c>
      <c r="G1" s="326" t="s">
        <v>2695</v>
      </c>
      <c r="H1" s="305" t="s">
        <v>2696</v>
      </c>
    </row>
    <row r="2" spans="1:8" ht="15.5" x14ac:dyDescent="0.35">
      <c r="A2" s="101" t="s">
        <v>16</v>
      </c>
      <c r="B2" s="221" t="s">
        <v>360</v>
      </c>
      <c r="C2" s="315"/>
      <c r="D2" s="221">
        <v>55719</v>
      </c>
      <c r="E2" s="221"/>
      <c r="F2" s="221">
        <v>1</v>
      </c>
      <c r="G2" s="344"/>
      <c r="H2" s="345"/>
    </row>
    <row r="3" spans="1:8" ht="15.5" x14ac:dyDescent="0.35">
      <c r="A3" s="101" t="s">
        <v>1787</v>
      </c>
      <c r="B3" s="221" t="s">
        <v>1789</v>
      </c>
      <c r="C3" s="315"/>
      <c r="D3" s="221">
        <v>55719</v>
      </c>
      <c r="E3" s="221"/>
      <c r="F3" s="221">
        <v>1</v>
      </c>
      <c r="G3" s="344"/>
      <c r="H3" s="345"/>
    </row>
    <row r="4" spans="1:8" ht="15.5" x14ac:dyDescent="0.35">
      <c r="A4" s="101" t="s">
        <v>2594</v>
      </c>
      <c r="B4" s="221" t="s">
        <v>757</v>
      </c>
      <c r="C4" s="315"/>
      <c r="D4" s="221">
        <v>55719</v>
      </c>
      <c r="E4" s="221"/>
      <c r="F4" s="221">
        <v>1</v>
      </c>
      <c r="G4" s="344"/>
      <c r="H4" s="345"/>
    </row>
    <row r="5" spans="1:8" ht="15.5" x14ac:dyDescent="0.35">
      <c r="A5" s="101" t="s">
        <v>62</v>
      </c>
      <c r="B5" s="221" t="s">
        <v>1574</v>
      </c>
      <c r="C5" s="315"/>
      <c r="D5" s="221">
        <v>55719</v>
      </c>
      <c r="E5" s="221"/>
      <c r="F5" s="221">
        <v>1</v>
      </c>
      <c r="G5" s="344"/>
      <c r="H5" s="345"/>
    </row>
    <row r="6" spans="1:8" ht="15.5" x14ac:dyDescent="0.35">
      <c r="A6" s="101" t="s">
        <v>987</v>
      </c>
      <c r="B6" s="221" t="s">
        <v>237</v>
      </c>
      <c r="C6" s="315"/>
      <c r="D6" s="221">
        <v>55719</v>
      </c>
      <c r="E6" s="221"/>
      <c r="F6" s="221">
        <v>1</v>
      </c>
      <c r="G6" s="344"/>
      <c r="H6" s="345"/>
    </row>
    <row r="7" spans="1:8" ht="15.5" x14ac:dyDescent="0.35">
      <c r="A7" s="101" t="s">
        <v>13</v>
      </c>
      <c r="B7" s="221" t="s">
        <v>420</v>
      </c>
      <c r="C7" s="315"/>
      <c r="D7" s="221">
        <v>55719</v>
      </c>
      <c r="E7" s="221"/>
      <c r="F7" s="221">
        <v>1</v>
      </c>
      <c r="G7" s="344"/>
      <c r="H7" s="345"/>
    </row>
    <row r="10" spans="1:8" s="248" customFormat="1" ht="17.5" x14ac:dyDescent="0.35">
      <c r="A10" s="309" t="s">
        <v>1785</v>
      </c>
      <c r="B10" s="312"/>
      <c r="C10" s="249"/>
      <c r="D10" s="249"/>
      <c r="E10" s="249"/>
      <c r="F10" s="249"/>
      <c r="G10" s="250"/>
    </row>
    <row r="11" spans="1:8" s="248" customFormat="1" ht="17.5" x14ac:dyDescent="0.35">
      <c r="A11" s="309" t="s">
        <v>2426</v>
      </c>
      <c r="B11" s="312"/>
      <c r="C11" s="249"/>
      <c r="D11" s="249"/>
      <c r="E11" s="249"/>
      <c r="F11" s="249"/>
      <c r="G11" s="250"/>
    </row>
    <row r="12" spans="1:8" ht="17.5" x14ac:dyDescent="0.35">
      <c r="A12" s="334" t="s">
        <v>2625</v>
      </c>
      <c r="B12" s="346"/>
    </row>
    <row r="13" spans="1:8" ht="17.5" x14ac:dyDescent="0.35">
      <c r="A13" s="319" t="s">
        <v>2694</v>
      </c>
      <c r="B13" s="307"/>
    </row>
  </sheetData>
  <sortState xmlns:xlrd2="http://schemas.microsoft.com/office/spreadsheetml/2017/richdata2" ref="A2:H8">
    <sortCondition ref="B2:B8"/>
  </sortState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H12"/>
  <sheetViews>
    <sheetView workbookViewId="0">
      <pane ySplit="1" topLeftCell="A2" activePane="bottomLeft" state="frozen"/>
      <selection activeCell="C26" sqref="C26"/>
      <selection pane="bottomLeft" activeCell="A7" sqref="A7:XFD7"/>
    </sheetView>
  </sheetViews>
  <sheetFormatPr defaultColWidth="9.08984375" defaultRowHeight="18" customHeight="1" x14ac:dyDescent="0.35"/>
  <cols>
    <col min="1" max="1" width="60.6328125" style="208" bestFit="1" customWidth="1"/>
    <col min="2" max="2" width="16" style="143" bestFit="1" customWidth="1"/>
    <col min="3" max="3" width="20.36328125" style="143" bestFit="1" customWidth="1"/>
    <col min="4" max="4" width="20.90625" style="143" bestFit="1" customWidth="1"/>
    <col min="5" max="5" width="13.54296875" style="143" bestFit="1" customWidth="1"/>
    <col min="6" max="6" width="10.453125" style="208" bestFit="1" customWidth="1"/>
    <col min="7" max="7" width="13.08984375" style="208" bestFit="1" customWidth="1"/>
    <col min="8" max="16384" width="9.08984375" style="208"/>
  </cols>
  <sheetData>
    <row r="1" spans="1:8" ht="18" customHeight="1" x14ac:dyDescent="0.35">
      <c r="A1" s="82" t="s">
        <v>0</v>
      </c>
      <c r="B1" s="110" t="s">
        <v>1</v>
      </c>
      <c r="C1" s="281" t="s">
        <v>2700</v>
      </c>
      <c r="D1" s="21" t="s">
        <v>1598</v>
      </c>
      <c r="E1" s="21" t="s">
        <v>1599</v>
      </c>
      <c r="F1" s="140" t="s">
        <v>364</v>
      </c>
      <c r="G1" s="326" t="s">
        <v>2695</v>
      </c>
      <c r="H1" s="305" t="s">
        <v>2696</v>
      </c>
    </row>
    <row r="2" spans="1:8" ht="18" customHeight="1" x14ac:dyDescent="0.35">
      <c r="A2" s="246" t="s">
        <v>16</v>
      </c>
      <c r="B2" s="207" t="s">
        <v>360</v>
      </c>
      <c r="C2" s="315"/>
      <c r="D2" s="207"/>
      <c r="E2" s="207" t="s">
        <v>1604</v>
      </c>
      <c r="F2" s="200">
        <v>1</v>
      </c>
      <c r="G2" s="337"/>
      <c r="H2" s="325"/>
    </row>
    <row r="3" spans="1:8" ht="18" customHeight="1" x14ac:dyDescent="0.35">
      <c r="A3" s="246" t="s">
        <v>1013</v>
      </c>
      <c r="B3" s="207" t="s">
        <v>283</v>
      </c>
      <c r="C3" s="315"/>
      <c r="D3" s="207"/>
      <c r="E3" s="207" t="s">
        <v>1604</v>
      </c>
      <c r="F3" s="200">
        <v>1</v>
      </c>
      <c r="G3" s="337"/>
      <c r="H3" s="325"/>
    </row>
    <row r="4" spans="1:8" ht="18" customHeight="1" x14ac:dyDescent="0.35">
      <c r="A4" s="246" t="s">
        <v>1014</v>
      </c>
      <c r="B4" s="207" t="s">
        <v>314</v>
      </c>
      <c r="C4" s="315"/>
      <c r="D4" s="207"/>
      <c r="E4" s="207" t="s">
        <v>1604</v>
      </c>
      <c r="F4" s="200">
        <v>1</v>
      </c>
      <c r="G4" s="337"/>
      <c r="H4" s="325"/>
    </row>
    <row r="5" spans="1:8" ht="18" customHeight="1" x14ac:dyDescent="0.35">
      <c r="A5" s="246" t="s">
        <v>1012</v>
      </c>
      <c r="B5" s="207" t="s">
        <v>285</v>
      </c>
      <c r="C5" s="315"/>
      <c r="D5" s="207"/>
      <c r="E5" s="207" t="s">
        <v>1604</v>
      </c>
      <c r="F5" s="200">
        <v>1</v>
      </c>
      <c r="G5" s="337"/>
      <c r="H5" s="325"/>
    </row>
    <row r="6" spans="1:8" ht="18" customHeight="1" x14ac:dyDescent="0.35">
      <c r="A6" s="246" t="s">
        <v>899</v>
      </c>
      <c r="B6" s="207" t="s">
        <v>281</v>
      </c>
      <c r="C6" s="315"/>
      <c r="D6" s="207"/>
      <c r="E6" s="207" t="s">
        <v>1604</v>
      </c>
      <c r="F6" s="200">
        <v>1</v>
      </c>
      <c r="G6" s="337"/>
      <c r="H6" s="325"/>
    </row>
    <row r="9" spans="1:8" s="248" customFormat="1" ht="17.5" x14ac:dyDescent="0.35">
      <c r="A9" s="309" t="s">
        <v>2218</v>
      </c>
      <c r="B9" s="312"/>
      <c r="C9" s="249"/>
      <c r="D9" s="249"/>
      <c r="E9" s="249"/>
      <c r="F9" s="249"/>
      <c r="G9" s="250"/>
    </row>
    <row r="10" spans="1:8" s="248" customFormat="1" ht="17.5" x14ac:dyDescent="0.35">
      <c r="A10" s="309" t="s">
        <v>2415</v>
      </c>
      <c r="B10" s="312"/>
      <c r="C10" s="249"/>
      <c r="D10" s="249"/>
      <c r="E10" s="249"/>
      <c r="F10" s="249"/>
      <c r="G10" s="250"/>
    </row>
    <row r="11" spans="1:8" ht="18" customHeight="1" x14ac:dyDescent="0.35">
      <c r="A11" s="334" t="s">
        <v>2624</v>
      </c>
      <c r="B11" s="142"/>
    </row>
    <row r="12" spans="1:8" ht="18" customHeight="1" x14ac:dyDescent="0.35">
      <c r="A12" s="319" t="s">
        <v>2694</v>
      </c>
      <c r="B12" s="307"/>
    </row>
  </sheetData>
  <sortState xmlns:xlrd2="http://schemas.microsoft.com/office/spreadsheetml/2017/richdata2" ref="A2:H6">
    <sortCondition ref="B2:B6"/>
  </sortState>
  <pageMargins left="0.7" right="0.7" top="0.75" bottom="0.75" header="0.3" footer="0.3"/>
  <pageSetup scale="67" fitToHeight="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H15"/>
  <sheetViews>
    <sheetView workbookViewId="0">
      <pane ySplit="1" topLeftCell="A2" activePane="bottomLeft" state="frozen"/>
      <selection activeCell="C26" sqref="C26"/>
      <selection pane="bottomLeft" activeCell="A2" sqref="A2:XFD2"/>
    </sheetView>
  </sheetViews>
  <sheetFormatPr defaultColWidth="9.08984375" defaultRowHeight="15.5" x14ac:dyDescent="0.35"/>
  <cols>
    <col min="1" max="1" width="56.453125" style="141" bestFit="1" customWidth="1"/>
    <col min="2" max="2" width="15" style="143" bestFit="1" customWidth="1"/>
    <col min="3" max="3" width="20.36328125" style="143" bestFit="1" customWidth="1"/>
    <col min="4" max="4" width="20.08984375" style="143" bestFit="1" customWidth="1"/>
    <col min="5" max="5" width="12.453125" style="143" bestFit="1" customWidth="1"/>
    <col min="6" max="6" width="10" style="141" bestFit="1" customWidth="1"/>
    <col min="7" max="7" width="11.36328125" style="141" bestFit="1" customWidth="1"/>
    <col min="8" max="8" width="16.90625" style="141" bestFit="1" customWidth="1"/>
    <col min="9" max="9" width="17.90625" style="141" bestFit="1" customWidth="1"/>
    <col min="10" max="16384" width="9.08984375" style="141"/>
  </cols>
  <sheetData>
    <row r="1" spans="1:8" x14ac:dyDescent="0.35">
      <c r="A1" s="191" t="s">
        <v>0</v>
      </c>
      <c r="B1" s="210" t="s">
        <v>1</v>
      </c>
      <c r="C1" s="281" t="s">
        <v>2700</v>
      </c>
      <c r="D1" s="210" t="s">
        <v>1598</v>
      </c>
      <c r="E1" s="210" t="s">
        <v>1599</v>
      </c>
      <c r="F1" s="198" t="s">
        <v>364</v>
      </c>
      <c r="G1" s="326" t="s">
        <v>2695</v>
      </c>
      <c r="H1" s="305" t="s">
        <v>2696</v>
      </c>
    </row>
    <row r="2" spans="1:8" x14ac:dyDescent="0.35">
      <c r="A2" s="209" t="s">
        <v>16</v>
      </c>
      <c r="B2" s="99" t="s">
        <v>360</v>
      </c>
      <c r="C2" s="340"/>
      <c r="D2" s="207"/>
      <c r="E2" s="207">
        <v>55719</v>
      </c>
      <c r="F2" s="200">
        <v>1</v>
      </c>
      <c r="G2" s="337"/>
      <c r="H2" s="341"/>
    </row>
    <row r="3" spans="1:8" x14ac:dyDescent="0.35">
      <c r="A3" s="183" t="s">
        <v>15</v>
      </c>
      <c r="B3" s="99" t="s">
        <v>424</v>
      </c>
      <c r="C3" s="340"/>
      <c r="D3" s="115"/>
      <c r="E3" s="115">
        <v>55719</v>
      </c>
      <c r="F3" s="26">
        <v>1</v>
      </c>
      <c r="G3" s="337"/>
      <c r="H3" s="341"/>
    </row>
    <row r="4" spans="1:8" x14ac:dyDescent="0.35">
      <c r="A4" s="209" t="s">
        <v>980</v>
      </c>
      <c r="B4" s="99" t="s">
        <v>236</v>
      </c>
      <c r="C4" s="340"/>
      <c r="D4" s="207"/>
      <c r="E4" s="207">
        <v>55719</v>
      </c>
      <c r="F4" s="200">
        <v>1</v>
      </c>
      <c r="G4" s="337"/>
      <c r="H4" s="341"/>
    </row>
    <row r="5" spans="1:8" x14ac:dyDescent="0.35">
      <c r="A5" s="209" t="s">
        <v>6</v>
      </c>
      <c r="B5" s="99" t="s">
        <v>87</v>
      </c>
      <c r="C5" s="340"/>
      <c r="D5" s="207"/>
      <c r="E5" s="207">
        <v>55719</v>
      </c>
      <c r="F5" s="200">
        <v>1</v>
      </c>
      <c r="G5" s="337"/>
      <c r="H5" s="341"/>
    </row>
    <row r="6" spans="1:8" x14ac:dyDescent="0.35">
      <c r="A6" s="209" t="s">
        <v>19</v>
      </c>
      <c r="B6" s="99" t="s">
        <v>242</v>
      </c>
      <c r="C6" s="340"/>
      <c r="D6" s="207"/>
      <c r="E6" s="207">
        <v>55719</v>
      </c>
      <c r="F6" s="200">
        <v>1</v>
      </c>
      <c r="G6" s="337"/>
      <c r="H6" s="341"/>
    </row>
    <row r="7" spans="1:8" x14ac:dyDescent="0.35">
      <c r="A7" s="209" t="s">
        <v>4</v>
      </c>
      <c r="B7" s="99" t="s">
        <v>86</v>
      </c>
      <c r="C7" s="340"/>
      <c r="D7" s="207"/>
      <c r="E7" s="207">
        <v>55719</v>
      </c>
      <c r="F7" s="200">
        <v>1</v>
      </c>
      <c r="G7" s="337"/>
      <c r="H7" s="341"/>
    </row>
    <row r="9" spans="1:8" x14ac:dyDescent="0.35">
      <c r="F9" s="277"/>
    </row>
    <row r="12" spans="1:8" s="4" customFormat="1" ht="17.5" x14ac:dyDescent="0.35">
      <c r="A12" s="309" t="s">
        <v>1691</v>
      </c>
      <c r="B12" s="312"/>
      <c r="C12" s="249"/>
      <c r="D12" s="3"/>
      <c r="E12" s="3"/>
      <c r="F12" s="3"/>
      <c r="G12" s="37"/>
    </row>
    <row r="13" spans="1:8" s="4" customFormat="1" ht="17.5" x14ac:dyDescent="0.35">
      <c r="A13" s="309" t="s">
        <v>2414</v>
      </c>
      <c r="B13" s="312"/>
      <c r="C13" s="249"/>
      <c r="D13" s="3"/>
      <c r="E13" s="3"/>
      <c r="F13" s="3"/>
      <c r="G13" s="37"/>
    </row>
    <row r="14" spans="1:8" ht="17.5" x14ac:dyDescent="0.35">
      <c r="A14" s="310" t="s">
        <v>2623</v>
      </c>
      <c r="B14" s="142"/>
    </row>
    <row r="15" spans="1:8" ht="17.5" x14ac:dyDescent="0.35">
      <c r="A15" s="319" t="s">
        <v>2694</v>
      </c>
      <c r="B15" s="307"/>
    </row>
  </sheetData>
  <sheetProtection selectLockedCells="1" selectUnlockedCells="1"/>
  <sortState xmlns:xlrd2="http://schemas.microsoft.com/office/spreadsheetml/2017/richdata2" ref="A2:H9">
    <sortCondition ref="B2:B9"/>
  </sortState>
  <pageMargins left="0.7" right="0.7" top="0.75" bottom="0.75" header="0.3" footer="0.3"/>
  <pageSetup scale="67" fitToHeight="0" orientation="landscape"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H20"/>
  <sheetViews>
    <sheetView tabSelected="1" workbookViewId="0">
      <pane ySplit="1" topLeftCell="A7" activePane="bottomLeft" state="frozen"/>
      <selection activeCell="C26" sqref="C26"/>
      <selection pane="bottomLeft" activeCell="D16" sqref="D16"/>
    </sheetView>
  </sheetViews>
  <sheetFormatPr defaultColWidth="9.08984375" defaultRowHeight="15.5" x14ac:dyDescent="0.35"/>
  <cols>
    <col min="1" max="1" width="51.6328125" style="141" bestFit="1" customWidth="1"/>
    <col min="2" max="2" width="16.08984375" style="143" customWidth="1"/>
    <col min="3" max="3" width="21.1796875" style="143" customWidth="1"/>
    <col min="4" max="4" width="21.81640625" style="143" customWidth="1"/>
    <col min="5" max="5" width="14.36328125" style="143" customWidth="1"/>
    <col min="6" max="6" width="11.90625" style="141" customWidth="1"/>
    <col min="7" max="7" width="13.08984375" style="141" customWidth="1"/>
    <col min="8" max="8" width="18.6328125" style="141" customWidth="1"/>
    <col min="9" max="16384" width="9.08984375" style="141"/>
  </cols>
  <sheetData>
    <row r="1" spans="1:8" x14ac:dyDescent="0.35">
      <c r="A1" s="627" t="s">
        <v>0</v>
      </c>
      <c r="B1" s="110" t="s">
        <v>1</v>
      </c>
      <c r="C1" s="281" t="s">
        <v>2700</v>
      </c>
      <c r="D1" s="21" t="s">
        <v>1598</v>
      </c>
      <c r="E1" s="21" t="s">
        <v>1599</v>
      </c>
      <c r="F1" s="140" t="s">
        <v>364</v>
      </c>
      <c r="G1" s="326" t="s">
        <v>2695</v>
      </c>
      <c r="H1" s="305" t="s">
        <v>2696</v>
      </c>
    </row>
    <row r="2" spans="1:8" x14ac:dyDescent="0.35">
      <c r="A2" s="234" t="s">
        <v>15</v>
      </c>
      <c r="B2" s="99" t="s">
        <v>424</v>
      </c>
      <c r="C2" s="315"/>
      <c r="D2" s="115"/>
      <c r="E2" s="115" t="s">
        <v>1604</v>
      </c>
      <c r="F2" s="26">
        <v>2</v>
      </c>
      <c r="G2" s="337"/>
      <c r="H2" s="325"/>
    </row>
    <row r="3" spans="1:8" x14ac:dyDescent="0.35">
      <c r="A3" s="234" t="s">
        <v>1182</v>
      </c>
      <c r="B3" s="99" t="s">
        <v>99</v>
      </c>
      <c r="C3" s="315"/>
      <c r="D3" s="115"/>
      <c r="E3" s="115" t="s">
        <v>1604</v>
      </c>
      <c r="F3" s="26">
        <v>1</v>
      </c>
      <c r="G3" s="337"/>
      <c r="H3" s="325"/>
    </row>
    <row r="4" spans="1:8" x14ac:dyDescent="0.35">
      <c r="A4" s="234" t="s">
        <v>181</v>
      </c>
      <c r="B4" s="99" t="s">
        <v>182</v>
      </c>
      <c r="C4" s="315"/>
      <c r="D4" s="115"/>
      <c r="E4" s="115" t="s">
        <v>1604</v>
      </c>
      <c r="F4" s="26">
        <v>1</v>
      </c>
      <c r="G4" s="337"/>
      <c r="H4" s="325"/>
    </row>
    <row r="5" spans="1:8" x14ac:dyDescent="0.35">
      <c r="A5" s="234" t="s">
        <v>6</v>
      </c>
      <c r="B5" s="99" t="s">
        <v>87</v>
      </c>
      <c r="C5" s="315"/>
      <c r="D5" s="115"/>
      <c r="E5" s="115" t="s">
        <v>1604</v>
      </c>
      <c r="F5" s="26">
        <v>2</v>
      </c>
      <c r="G5" s="337" t="s">
        <v>1749</v>
      </c>
      <c r="H5" s="325"/>
    </row>
    <row r="6" spans="1:8" x14ac:dyDescent="0.35">
      <c r="A6" s="234" t="s">
        <v>177</v>
      </c>
      <c r="B6" s="99" t="s">
        <v>601</v>
      </c>
      <c r="C6" s="315"/>
      <c r="D6" s="115"/>
      <c r="E6" s="115" t="s">
        <v>1604</v>
      </c>
      <c r="F6" s="26">
        <v>2</v>
      </c>
      <c r="G6" s="337"/>
      <c r="H6" s="325"/>
    </row>
    <row r="7" spans="1:8" x14ac:dyDescent="0.35">
      <c r="A7" s="234" t="s">
        <v>1446</v>
      </c>
      <c r="B7" s="99" t="s">
        <v>482</v>
      </c>
      <c r="C7" s="315"/>
      <c r="D7" s="115"/>
      <c r="E7" s="115" t="s">
        <v>1604</v>
      </c>
      <c r="F7" s="26">
        <v>2</v>
      </c>
      <c r="G7" s="337"/>
      <c r="H7" s="325"/>
    </row>
    <row r="8" spans="1:8" x14ac:dyDescent="0.35">
      <c r="A8" s="234" t="s">
        <v>930</v>
      </c>
      <c r="B8" s="99" t="s">
        <v>88</v>
      </c>
      <c r="C8" s="315"/>
      <c r="D8" s="115"/>
      <c r="E8" s="115" t="s">
        <v>1604</v>
      </c>
      <c r="F8" s="26">
        <v>2</v>
      </c>
      <c r="G8" s="337"/>
      <c r="H8" s="325"/>
    </row>
    <row r="9" spans="1:8" x14ac:dyDescent="0.35">
      <c r="A9" s="234" t="s">
        <v>1061</v>
      </c>
      <c r="B9" s="99" t="s">
        <v>73</v>
      </c>
      <c r="C9" s="315"/>
      <c r="D9" s="115"/>
      <c r="E9" s="115" t="s">
        <v>1604</v>
      </c>
      <c r="F9" s="26">
        <v>2</v>
      </c>
      <c r="G9" s="337"/>
      <c r="H9" s="325"/>
    </row>
    <row r="10" spans="1:8" x14ac:dyDescent="0.35">
      <c r="A10" s="234" t="s">
        <v>14</v>
      </c>
      <c r="B10" s="99" t="s">
        <v>334</v>
      </c>
      <c r="C10" s="315"/>
      <c r="D10" s="115"/>
      <c r="E10" s="115" t="s">
        <v>1604</v>
      </c>
      <c r="F10" s="26">
        <v>2</v>
      </c>
      <c r="G10" s="337"/>
      <c r="H10" s="325"/>
    </row>
    <row r="11" spans="1:8" x14ac:dyDescent="0.35">
      <c r="A11" s="234" t="s">
        <v>104</v>
      </c>
      <c r="B11" s="99" t="s">
        <v>506</v>
      </c>
      <c r="C11" s="315"/>
      <c r="D11" s="115"/>
      <c r="E11" s="115" t="s">
        <v>1604</v>
      </c>
      <c r="F11" s="26">
        <v>1</v>
      </c>
      <c r="G11" s="337"/>
      <c r="H11" s="325"/>
    </row>
    <row r="12" spans="1:8" x14ac:dyDescent="0.35">
      <c r="A12" s="234" t="s">
        <v>97</v>
      </c>
      <c r="B12" s="99" t="s">
        <v>457</v>
      </c>
      <c r="C12" s="315"/>
      <c r="D12" s="207"/>
      <c r="E12" s="207" t="s">
        <v>1604</v>
      </c>
      <c r="F12" s="200">
        <v>2</v>
      </c>
      <c r="G12" s="337"/>
      <c r="H12" s="325"/>
    </row>
    <row r="14" spans="1:8" x14ac:dyDescent="0.35">
      <c r="F14" s="141">
        <f>SUM(F2:F12)</f>
        <v>19</v>
      </c>
    </row>
    <row r="17" spans="1:7" s="4" customFormat="1" ht="17.5" x14ac:dyDescent="0.35">
      <c r="A17" s="309" t="s">
        <v>1804</v>
      </c>
      <c r="B17" s="312"/>
      <c r="C17" s="249"/>
      <c r="D17" s="3"/>
      <c r="E17" s="3"/>
      <c r="F17" s="3"/>
      <c r="G17" s="37"/>
    </row>
    <row r="18" spans="1:7" s="4" customFormat="1" ht="17.5" x14ac:dyDescent="0.35">
      <c r="A18" s="309" t="s">
        <v>2413</v>
      </c>
      <c r="B18" s="312"/>
      <c r="C18" s="249"/>
      <c r="D18" s="3"/>
      <c r="E18" s="3"/>
      <c r="F18" s="3"/>
      <c r="G18" s="37"/>
    </row>
    <row r="19" spans="1:7" ht="17.5" x14ac:dyDescent="0.35">
      <c r="A19" s="310" t="s">
        <v>2622</v>
      </c>
      <c r="B19" s="142"/>
    </row>
    <row r="20" spans="1:7" ht="17.5" x14ac:dyDescent="0.35">
      <c r="A20" s="319" t="s">
        <v>2694</v>
      </c>
      <c r="B20" s="307"/>
    </row>
  </sheetData>
  <sortState xmlns:xlrd2="http://schemas.microsoft.com/office/spreadsheetml/2017/richdata2" ref="A2:H12">
    <sortCondition ref="B2:B12"/>
  </sortState>
  <pageMargins left="0.7" right="0.7" top="0.75" bottom="0.75" header="0.3" footer="0.3"/>
  <pageSetup scale="67" fitToHeight="0" orientation="landscape" r:id="rId1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295"/>
  <sheetViews>
    <sheetView workbookViewId="0">
      <pane ySplit="1" topLeftCell="A30" activePane="bottomLeft" state="frozen"/>
      <selection activeCell="C26" sqref="C26"/>
      <selection pane="bottomLeft" activeCell="E78" sqref="E78"/>
    </sheetView>
  </sheetViews>
  <sheetFormatPr defaultColWidth="9.08984375" defaultRowHeight="14.5" x14ac:dyDescent="0.35"/>
  <cols>
    <col min="1" max="1" width="63.90625" style="131" bestFit="1" customWidth="1"/>
    <col min="2" max="2" width="15.90625" style="131" bestFit="1" customWidth="1"/>
    <col min="3" max="3" width="20.36328125" style="131" bestFit="1" customWidth="1"/>
    <col min="4" max="4" width="20.08984375" style="131" bestFit="1" customWidth="1"/>
    <col min="5" max="5" width="12.453125" style="131" bestFit="1" customWidth="1"/>
    <col min="6" max="6" width="10" style="131" bestFit="1" customWidth="1"/>
    <col min="7" max="7" width="11.36328125" style="131" bestFit="1" customWidth="1"/>
    <col min="8" max="8" width="16.90625" style="131" bestFit="1" customWidth="1"/>
    <col min="9" max="16384" width="9.08984375" style="131"/>
  </cols>
  <sheetData>
    <row r="1" spans="1:8" ht="15.5" x14ac:dyDescent="0.35">
      <c r="A1" s="228" t="s">
        <v>0</v>
      </c>
      <c r="B1" s="233" t="s">
        <v>1</v>
      </c>
      <c r="C1" s="281" t="s">
        <v>2700</v>
      </c>
      <c r="D1" s="261" t="s">
        <v>1598</v>
      </c>
      <c r="E1" s="261" t="s">
        <v>1599</v>
      </c>
      <c r="F1" s="228" t="s">
        <v>364</v>
      </c>
      <c r="G1" s="326" t="s">
        <v>2695</v>
      </c>
      <c r="H1" s="305" t="s">
        <v>2696</v>
      </c>
    </row>
    <row r="2" spans="1:8" ht="15.5" x14ac:dyDescent="0.35">
      <c r="A2" s="246" t="s">
        <v>880</v>
      </c>
      <c r="B2" s="207" t="s">
        <v>366</v>
      </c>
      <c r="C2" s="315"/>
      <c r="D2" s="207"/>
      <c r="E2" s="207">
        <v>55719</v>
      </c>
      <c r="F2" s="200">
        <v>1</v>
      </c>
      <c r="G2" s="337"/>
      <c r="H2" s="330"/>
    </row>
    <row r="3" spans="1:8" ht="15.5" x14ac:dyDescent="0.35">
      <c r="A3" s="246" t="s">
        <v>1091</v>
      </c>
      <c r="B3" s="207" t="s">
        <v>1610</v>
      </c>
      <c r="C3" s="315"/>
      <c r="D3" s="207"/>
      <c r="E3" s="207">
        <v>55719</v>
      </c>
      <c r="F3" s="200">
        <v>1</v>
      </c>
      <c r="G3" s="337"/>
      <c r="H3" s="330"/>
    </row>
    <row r="4" spans="1:8" ht="15.5" x14ac:dyDescent="0.35">
      <c r="A4" s="246" t="s">
        <v>1385</v>
      </c>
      <c r="B4" s="207" t="s">
        <v>1581</v>
      </c>
      <c r="C4" s="315"/>
      <c r="D4" s="207"/>
      <c r="E4" s="207">
        <v>55719</v>
      </c>
      <c r="F4" s="200">
        <v>1</v>
      </c>
      <c r="G4" s="337"/>
      <c r="H4" s="330"/>
    </row>
    <row r="5" spans="1:8" ht="15.5" x14ac:dyDescent="0.35">
      <c r="A5" s="246" t="s">
        <v>1037</v>
      </c>
      <c r="B5" s="207" t="s">
        <v>1613</v>
      </c>
      <c r="C5" s="315"/>
      <c r="D5" s="207"/>
      <c r="E5" s="207">
        <v>55719</v>
      </c>
      <c r="F5" s="200">
        <v>1</v>
      </c>
      <c r="G5" s="337"/>
      <c r="H5" s="330"/>
    </row>
    <row r="6" spans="1:8" ht="15.5" x14ac:dyDescent="0.35">
      <c r="A6" s="246" t="s">
        <v>5</v>
      </c>
      <c r="B6" s="207" t="s">
        <v>415</v>
      </c>
      <c r="C6" s="315"/>
      <c r="D6" s="207"/>
      <c r="E6" s="207">
        <v>55719</v>
      </c>
      <c r="F6" s="200">
        <v>1</v>
      </c>
      <c r="G6" s="337"/>
      <c r="H6" s="330"/>
    </row>
    <row r="7" spans="1:8" ht="15.5" x14ac:dyDescent="0.35">
      <c r="A7" s="246" t="s">
        <v>171</v>
      </c>
      <c r="B7" s="207" t="s">
        <v>565</v>
      </c>
      <c r="C7" s="315"/>
      <c r="D7" s="207"/>
      <c r="E7" s="207">
        <v>55719</v>
      </c>
      <c r="F7" s="200">
        <v>1</v>
      </c>
      <c r="G7" s="337"/>
      <c r="H7" s="330"/>
    </row>
    <row r="8" spans="1:8" ht="15.5" x14ac:dyDescent="0.35">
      <c r="A8" s="246" t="s">
        <v>1397</v>
      </c>
      <c r="B8" s="207" t="s">
        <v>602</v>
      </c>
      <c r="C8" s="315"/>
      <c r="D8" s="207"/>
      <c r="E8" s="207">
        <v>55719</v>
      </c>
      <c r="F8" s="200">
        <v>1</v>
      </c>
      <c r="G8" s="337"/>
      <c r="H8" s="330"/>
    </row>
    <row r="9" spans="1:8" ht="15.5" x14ac:dyDescent="0.35">
      <c r="A9" s="246" t="s">
        <v>894</v>
      </c>
      <c r="B9" s="207" t="s">
        <v>441</v>
      </c>
      <c r="C9" s="315"/>
      <c r="D9" s="207"/>
      <c r="E9" s="207">
        <v>55719</v>
      </c>
      <c r="F9" s="200">
        <v>1</v>
      </c>
      <c r="G9" s="337"/>
      <c r="H9" s="330"/>
    </row>
    <row r="10" spans="1:8" ht="15.5" x14ac:dyDescent="0.35">
      <c r="A10" s="246" t="s">
        <v>2045</v>
      </c>
      <c r="B10" s="207" t="s">
        <v>149</v>
      </c>
      <c r="C10" s="315"/>
      <c r="D10" s="207"/>
      <c r="E10" s="207">
        <v>55719</v>
      </c>
      <c r="F10" s="200">
        <v>1</v>
      </c>
      <c r="G10" s="337"/>
      <c r="H10" s="330"/>
    </row>
    <row r="11" spans="1:8" ht="15.5" x14ac:dyDescent="0.35">
      <c r="A11" s="246" t="s">
        <v>895</v>
      </c>
      <c r="B11" s="207" t="s">
        <v>357</v>
      </c>
      <c r="C11" s="315"/>
      <c r="D11" s="207"/>
      <c r="E11" s="207">
        <v>55719</v>
      </c>
      <c r="F11" s="200">
        <v>1</v>
      </c>
      <c r="G11" s="337"/>
      <c r="H11" s="330"/>
    </row>
    <row r="12" spans="1:8" ht="15.5" x14ac:dyDescent="0.35">
      <c r="A12" s="246" t="s">
        <v>1020</v>
      </c>
      <c r="B12" s="207" t="s">
        <v>271</v>
      </c>
      <c r="C12" s="315"/>
      <c r="D12" s="207"/>
      <c r="E12" s="207">
        <v>55719</v>
      </c>
      <c r="F12" s="200">
        <v>1</v>
      </c>
      <c r="G12" s="337"/>
      <c r="H12" s="330"/>
    </row>
    <row r="13" spans="1:8" ht="15.5" x14ac:dyDescent="0.35">
      <c r="A13" s="246" t="s">
        <v>1021</v>
      </c>
      <c r="B13" s="207" t="s">
        <v>269</v>
      </c>
      <c r="C13" s="315"/>
      <c r="D13" s="207"/>
      <c r="E13" s="207">
        <v>55719</v>
      </c>
      <c r="F13" s="200">
        <v>1</v>
      </c>
      <c r="G13" s="337"/>
      <c r="H13" s="330"/>
    </row>
    <row r="14" spans="1:8" ht="15.5" x14ac:dyDescent="0.35">
      <c r="A14" s="246" t="s">
        <v>2583</v>
      </c>
      <c r="B14" s="207" t="s">
        <v>78</v>
      </c>
      <c r="C14" s="315"/>
      <c r="D14" s="207"/>
      <c r="E14" s="207">
        <v>55719</v>
      </c>
      <c r="F14" s="200">
        <v>1</v>
      </c>
      <c r="G14" s="337"/>
      <c r="H14" s="330"/>
    </row>
    <row r="15" spans="1:8" ht="15.5" x14ac:dyDescent="0.35">
      <c r="A15" s="246" t="s">
        <v>15</v>
      </c>
      <c r="B15" s="207" t="s">
        <v>424</v>
      </c>
      <c r="C15" s="315"/>
      <c r="D15" s="207"/>
      <c r="E15" s="207">
        <v>55719</v>
      </c>
      <c r="F15" s="200">
        <v>2</v>
      </c>
      <c r="G15" s="337"/>
      <c r="H15" s="330"/>
    </row>
    <row r="16" spans="1:8" ht="15.5" x14ac:dyDescent="0.35">
      <c r="A16" s="246" t="s">
        <v>903</v>
      </c>
      <c r="B16" s="207" t="s">
        <v>645</v>
      </c>
      <c r="C16" s="315"/>
      <c r="D16" s="207"/>
      <c r="E16" s="207">
        <v>55719</v>
      </c>
      <c r="F16" s="200">
        <v>1</v>
      </c>
      <c r="G16" s="337"/>
      <c r="H16" s="330"/>
    </row>
    <row r="17" spans="1:8" ht="15.5" x14ac:dyDescent="0.35">
      <c r="A17" s="246" t="s">
        <v>1127</v>
      </c>
      <c r="B17" s="207" t="s">
        <v>539</v>
      </c>
      <c r="C17" s="315"/>
      <c r="D17" s="207"/>
      <c r="E17" s="207">
        <v>55719</v>
      </c>
      <c r="F17" s="200">
        <v>2</v>
      </c>
      <c r="G17" s="337"/>
      <c r="H17" s="330"/>
    </row>
    <row r="18" spans="1:8" ht="15.5" x14ac:dyDescent="0.35">
      <c r="A18" s="246" t="s">
        <v>980</v>
      </c>
      <c r="B18" s="207" t="s">
        <v>236</v>
      </c>
      <c r="C18" s="315"/>
      <c r="D18" s="207"/>
      <c r="E18" s="207">
        <v>55719</v>
      </c>
      <c r="F18" s="200">
        <v>1</v>
      </c>
      <c r="G18" s="337"/>
      <c r="H18" s="330"/>
    </row>
    <row r="19" spans="1:8" ht="15.5" x14ac:dyDescent="0.35">
      <c r="A19" s="246" t="s">
        <v>875</v>
      </c>
      <c r="B19" s="207" t="s">
        <v>231</v>
      </c>
      <c r="C19" s="315"/>
      <c r="D19" s="207"/>
      <c r="E19" s="207">
        <v>55719</v>
      </c>
      <c r="F19" s="200">
        <v>1</v>
      </c>
      <c r="G19" s="337"/>
      <c r="H19" s="330"/>
    </row>
    <row r="20" spans="1:8" ht="15.5" x14ac:dyDescent="0.35">
      <c r="A20" s="246" t="s">
        <v>975</v>
      </c>
      <c r="B20" s="207" t="s">
        <v>356</v>
      </c>
      <c r="C20" s="315"/>
      <c r="D20" s="207"/>
      <c r="E20" s="207">
        <v>55719</v>
      </c>
      <c r="F20" s="200">
        <v>1</v>
      </c>
      <c r="G20" s="337"/>
      <c r="H20" s="330"/>
    </row>
    <row r="21" spans="1:8" ht="15.5" x14ac:dyDescent="0.35">
      <c r="A21" s="246" t="s">
        <v>871</v>
      </c>
      <c r="B21" s="207" t="s">
        <v>95</v>
      </c>
      <c r="C21" s="315"/>
      <c r="D21" s="207"/>
      <c r="E21" s="207">
        <v>55719</v>
      </c>
      <c r="F21" s="200">
        <v>1</v>
      </c>
      <c r="G21" s="337"/>
      <c r="H21" s="542"/>
    </row>
    <row r="22" spans="1:8" ht="15.5" x14ac:dyDescent="0.35">
      <c r="A22" s="246" t="s">
        <v>1103</v>
      </c>
      <c r="B22" s="207" t="s">
        <v>1571</v>
      </c>
      <c r="C22" s="315"/>
      <c r="D22" s="207"/>
      <c r="E22" s="207">
        <v>55719</v>
      </c>
      <c r="F22" s="200">
        <v>1</v>
      </c>
      <c r="G22" s="337"/>
      <c r="H22" s="542"/>
    </row>
    <row r="23" spans="1:8" ht="15.5" x14ac:dyDescent="0.35">
      <c r="A23" s="246" t="s">
        <v>1104</v>
      </c>
      <c r="B23" s="207" t="s">
        <v>1572</v>
      </c>
      <c r="C23" s="315"/>
      <c r="D23" s="207"/>
      <c r="E23" s="207">
        <v>55719</v>
      </c>
      <c r="F23" s="200">
        <v>1</v>
      </c>
      <c r="G23" s="337"/>
      <c r="H23" s="542"/>
    </row>
    <row r="24" spans="1:8" ht="15.5" x14ac:dyDescent="0.35">
      <c r="A24" s="246" t="s">
        <v>1181</v>
      </c>
      <c r="B24" s="207" t="s">
        <v>735</v>
      </c>
      <c r="C24" s="315"/>
      <c r="D24" s="207"/>
      <c r="E24" s="207">
        <v>55719</v>
      </c>
      <c r="F24" s="200">
        <v>1</v>
      </c>
      <c r="G24" s="337"/>
      <c r="H24" s="542"/>
    </row>
    <row r="25" spans="1:8" ht="15.5" x14ac:dyDescent="0.35">
      <c r="A25" s="246" t="s">
        <v>38</v>
      </c>
      <c r="B25" s="207" t="s">
        <v>200</v>
      </c>
      <c r="C25" s="315"/>
      <c r="D25" s="207"/>
      <c r="E25" s="207">
        <v>55719</v>
      </c>
      <c r="F25" s="200">
        <v>1</v>
      </c>
      <c r="G25" s="337"/>
      <c r="H25" s="542"/>
    </row>
    <row r="26" spans="1:8" ht="15.5" x14ac:dyDescent="0.35">
      <c r="A26" s="246" t="s">
        <v>181</v>
      </c>
      <c r="B26" s="207" t="s">
        <v>182</v>
      </c>
      <c r="C26" s="315"/>
      <c r="D26" s="207"/>
      <c r="E26" s="207">
        <v>55719</v>
      </c>
      <c r="F26" s="200">
        <v>1</v>
      </c>
      <c r="G26" s="337"/>
      <c r="H26" s="330"/>
    </row>
    <row r="27" spans="1:8" ht="15.5" x14ac:dyDescent="0.35">
      <c r="A27" s="246" t="s">
        <v>11</v>
      </c>
      <c r="B27" s="207" t="s">
        <v>233</v>
      </c>
      <c r="C27" s="315"/>
      <c r="D27" s="207"/>
      <c r="E27" s="207">
        <v>55719</v>
      </c>
      <c r="F27" s="200">
        <v>1</v>
      </c>
      <c r="G27" s="337"/>
      <c r="H27" s="330"/>
    </row>
    <row r="28" spans="1:8" ht="15.5" x14ac:dyDescent="0.35">
      <c r="A28" s="246" t="s">
        <v>12</v>
      </c>
      <c r="B28" s="207" t="s">
        <v>150</v>
      </c>
      <c r="C28" s="315"/>
      <c r="D28" s="207"/>
      <c r="E28" s="207">
        <v>55719</v>
      </c>
      <c r="F28" s="200">
        <v>1</v>
      </c>
      <c r="G28" s="337"/>
      <c r="H28" s="330"/>
    </row>
    <row r="29" spans="1:8" ht="15.5" x14ac:dyDescent="0.35">
      <c r="A29" s="246" t="s">
        <v>1191</v>
      </c>
      <c r="B29" s="207" t="s">
        <v>603</v>
      </c>
      <c r="C29" s="315"/>
      <c r="D29" s="207"/>
      <c r="E29" s="207">
        <v>55719</v>
      </c>
      <c r="F29" s="200">
        <v>1</v>
      </c>
      <c r="G29" s="337"/>
      <c r="H29" s="330"/>
    </row>
    <row r="30" spans="1:8" s="192" customFormat="1" ht="15.5" x14ac:dyDescent="0.35">
      <c r="A30" s="246" t="s">
        <v>6</v>
      </c>
      <c r="B30" s="207" t="s">
        <v>87</v>
      </c>
      <c r="C30" s="315"/>
      <c r="D30" s="207"/>
      <c r="E30" s="207">
        <v>55719</v>
      </c>
      <c r="F30" s="200">
        <v>1</v>
      </c>
      <c r="G30" s="337"/>
      <c r="H30" s="330"/>
    </row>
    <row r="31" spans="1:8" s="192" customFormat="1" ht="15.5" x14ac:dyDescent="0.35">
      <c r="A31" s="246" t="s">
        <v>2049</v>
      </c>
      <c r="B31" s="207" t="s">
        <v>2050</v>
      </c>
      <c r="C31" s="315"/>
      <c r="D31" s="207"/>
      <c r="E31" s="207">
        <v>55719</v>
      </c>
      <c r="F31" s="200">
        <v>1</v>
      </c>
      <c r="G31" s="337"/>
      <c r="H31" s="330"/>
    </row>
    <row r="32" spans="1:8" s="192" customFormat="1" ht="15.5" x14ac:dyDescent="0.35">
      <c r="A32" s="246" t="s">
        <v>2594</v>
      </c>
      <c r="B32" s="207" t="s">
        <v>757</v>
      </c>
      <c r="C32" s="315"/>
      <c r="D32" s="207"/>
      <c r="E32" s="207">
        <v>55719</v>
      </c>
      <c r="F32" s="200">
        <v>1</v>
      </c>
      <c r="G32" s="337"/>
      <c r="H32" s="330"/>
    </row>
    <row r="33" spans="1:8" s="192" customFormat="1" ht="15.5" x14ac:dyDescent="0.35">
      <c r="A33" s="246" t="s">
        <v>2037</v>
      </c>
      <c r="B33" s="207" t="s">
        <v>2047</v>
      </c>
      <c r="C33" s="315"/>
      <c r="D33" s="207"/>
      <c r="E33" s="207">
        <v>55719</v>
      </c>
      <c r="F33" s="200">
        <v>1</v>
      </c>
      <c r="G33" s="337"/>
      <c r="H33" s="330"/>
    </row>
    <row r="34" spans="1:8" s="192" customFormat="1" ht="15.5" x14ac:dyDescent="0.35">
      <c r="A34" s="246" t="s">
        <v>2586</v>
      </c>
      <c r="B34" s="207" t="s">
        <v>1713</v>
      </c>
      <c r="C34" s="315"/>
      <c r="D34" s="207"/>
      <c r="E34" s="207">
        <v>55719</v>
      </c>
      <c r="F34" s="200">
        <v>1</v>
      </c>
      <c r="G34" s="337"/>
      <c r="H34" s="330"/>
    </row>
    <row r="35" spans="1:8" ht="15.5" x14ac:dyDescent="0.35">
      <c r="A35" s="246" t="s">
        <v>2038</v>
      </c>
      <c r="B35" s="207" t="s">
        <v>1714</v>
      </c>
      <c r="C35" s="315"/>
      <c r="D35" s="207"/>
      <c r="E35" s="207">
        <v>55719</v>
      </c>
      <c r="F35" s="200">
        <v>1</v>
      </c>
      <c r="G35" s="337"/>
      <c r="H35" s="330"/>
    </row>
    <row r="36" spans="1:8" ht="15.5" x14ac:dyDescent="0.35">
      <c r="A36" s="246" t="s">
        <v>2036</v>
      </c>
      <c r="B36" s="207" t="s">
        <v>1711</v>
      </c>
      <c r="C36" s="315"/>
      <c r="D36" s="207"/>
      <c r="E36" s="207">
        <v>55719</v>
      </c>
      <c r="F36" s="200">
        <v>1</v>
      </c>
      <c r="G36" s="337"/>
      <c r="H36" s="330"/>
    </row>
    <row r="37" spans="1:8" ht="15.5" x14ac:dyDescent="0.35">
      <c r="A37" s="246" t="s">
        <v>2039</v>
      </c>
      <c r="B37" s="207" t="s">
        <v>1715</v>
      </c>
      <c r="C37" s="315"/>
      <c r="D37" s="207"/>
      <c r="E37" s="207">
        <v>55719</v>
      </c>
      <c r="F37" s="200">
        <v>1</v>
      </c>
      <c r="G37" s="337"/>
      <c r="H37" s="330"/>
    </row>
    <row r="38" spans="1:8" ht="15.5" x14ac:dyDescent="0.35">
      <c r="A38" s="246" t="s">
        <v>2591</v>
      </c>
      <c r="B38" s="207" t="s">
        <v>2048</v>
      </c>
      <c r="C38" s="315"/>
      <c r="D38" s="207"/>
      <c r="E38" s="207">
        <v>55719</v>
      </c>
      <c r="F38" s="200">
        <v>1</v>
      </c>
      <c r="G38" s="337"/>
      <c r="H38" s="330"/>
    </row>
    <row r="39" spans="1:8" ht="15.5" x14ac:dyDescent="0.35">
      <c r="A39" s="246" t="s">
        <v>2592</v>
      </c>
      <c r="B39" s="207" t="s">
        <v>2046</v>
      </c>
      <c r="C39" s="315"/>
      <c r="D39" s="207"/>
      <c r="E39" s="207">
        <v>55719</v>
      </c>
      <c r="F39" s="200">
        <v>1</v>
      </c>
      <c r="G39" s="337"/>
      <c r="H39" s="330"/>
    </row>
    <row r="40" spans="1:8" ht="15.5" x14ac:dyDescent="0.35">
      <c r="A40" s="246" t="s">
        <v>2344</v>
      </c>
      <c r="B40" s="207" t="s">
        <v>279</v>
      </c>
      <c r="C40" s="315"/>
      <c r="D40" s="207"/>
      <c r="E40" s="207">
        <v>55719</v>
      </c>
      <c r="F40" s="200">
        <v>1</v>
      </c>
      <c r="G40" s="337"/>
      <c r="H40" s="330"/>
    </row>
    <row r="41" spans="1:8" ht="15.5" x14ac:dyDescent="0.35">
      <c r="A41" s="246" t="s">
        <v>885</v>
      </c>
      <c r="B41" s="207" t="s">
        <v>229</v>
      </c>
      <c r="C41" s="315"/>
      <c r="D41" s="207"/>
      <c r="E41" s="207">
        <v>55719</v>
      </c>
      <c r="F41" s="200">
        <v>1</v>
      </c>
      <c r="G41" s="337"/>
      <c r="H41" s="330"/>
    </row>
    <row r="42" spans="1:8" ht="15.5" x14ac:dyDescent="0.35">
      <c r="A42" s="246" t="s">
        <v>1436</v>
      </c>
      <c r="B42" s="207" t="s">
        <v>798</v>
      </c>
      <c r="C42" s="315"/>
      <c r="D42" s="207"/>
      <c r="E42" s="207">
        <v>55719</v>
      </c>
      <c r="F42" s="200">
        <v>1</v>
      </c>
      <c r="G42" s="337"/>
      <c r="H42" s="330"/>
    </row>
    <row r="43" spans="1:8" ht="15.5" x14ac:dyDescent="0.35">
      <c r="A43" s="246" t="s">
        <v>1444</v>
      </c>
      <c r="B43" s="207" t="s">
        <v>475</v>
      </c>
      <c r="C43" s="315"/>
      <c r="D43" s="207"/>
      <c r="E43" s="207">
        <v>55719</v>
      </c>
      <c r="F43" s="200">
        <v>1</v>
      </c>
      <c r="G43" s="337"/>
      <c r="H43" s="330"/>
    </row>
    <row r="44" spans="1:8" ht="15.5" x14ac:dyDescent="0.35">
      <c r="A44" s="246" t="s">
        <v>1235</v>
      </c>
      <c r="B44" s="207" t="s">
        <v>497</v>
      </c>
      <c r="C44" s="315"/>
      <c r="D44" s="207"/>
      <c r="E44" s="207">
        <v>55719</v>
      </c>
      <c r="F44" s="200">
        <v>1</v>
      </c>
      <c r="G44" s="337"/>
      <c r="H44" s="330"/>
    </row>
    <row r="45" spans="1:8" ht="15.5" x14ac:dyDescent="0.35">
      <c r="A45" s="246" t="s">
        <v>2476</v>
      </c>
      <c r="B45" s="207" t="s">
        <v>1755</v>
      </c>
      <c r="C45" s="315"/>
      <c r="D45" s="207"/>
      <c r="E45" s="207">
        <v>55719</v>
      </c>
      <c r="F45" s="200">
        <v>1</v>
      </c>
      <c r="G45" s="337"/>
      <c r="H45" s="330"/>
    </row>
    <row r="46" spans="1:8" ht="15.5" x14ac:dyDescent="0.35">
      <c r="A46" s="246" t="s">
        <v>1099</v>
      </c>
      <c r="B46" s="207" t="s">
        <v>426</v>
      </c>
      <c r="C46" s="315"/>
      <c r="D46" s="207"/>
      <c r="E46" s="207">
        <v>55719</v>
      </c>
      <c r="F46" s="200">
        <v>1</v>
      </c>
      <c r="G46" s="337"/>
      <c r="H46" s="330"/>
    </row>
    <row r="47" spans="1:8" ht="15.5" x14ac:dyDescent="0.35">
      <c r="A47" s="246" t="s">
        <v>1413</v>
      </c>
      <c r="B47" s="207" t="s">
        <v>587</v>
      </c>
      <c r="C47" s="315"/>
      <c r="D47" s="207"/>
      <c r="E47" s="207">
        <v>55719</v>
      </c>
      <c r="F47" s="200">
        <v>1</v>
      </c>
      <c r="G47" s="337"/>
      <c r="H47" s="330"/>
    </row>
    <row r="48" spans="1:8" ht="15.5" x14ac:dyDescent="0.35">
      <c r="A48" s="246" t="s">
        <v>1042</v>
      </c>
      <c r="B48" s="207" t="s">
        <v>714</v>
      </c>
      <c r="C48" s="315"/>
      <c r="D48" s="207"/>
      <c r="E48" s="207">
        <v>55719</v>
      </c>
      <c r="F48" s="200">
        <v>1</v>
      </c>
      <c r="G48" s="337"/>
      <c r="H48" s="330"/>
    </row>
    <row r="49" spans="1:8" ht="15.5" x14ac:dyDescent="0.35">
      <c r="A49" s="246" t="s">
        <v>64</v>
      </c>
      <c r="B49" s="207" t="s">
        <v>483</v>
      </c>
      <c r="C49" s="315"/>
      <c r="D49" s="207"/>
      <c r="E49" s="207">
        <v>55719</v>
      </c>
      <c r="F49" s="200">
        <v>1</v>
      </c>
      <c r="G49" s="337"/>
      <c r="H49" s="330"/>
    </row>
    <row r="50" spans="1:8" ht="15.5" x14ac:dyDescent="0.35">
      <c r="A50" s="246" t="s">
        <v>992</v>
      </c>
      <c r="B50" s="207" t="s">
        <v>709</v>
      </c>
      <c r="C50" s="315"/>
      <c r="D50" s="207"/>
      <c r="E50" s="207">
        <v>55719</v>
      </c>
      <c r="F50" s="200">
        <v>1</v>
      </c>
      <c r="G50" s="337"/>
      <c r="H50" s="330"/>
    </row>
    <row r="51" spans="1:8" ht="15.5" x14ac:dyDescent="0.35">
      <c r="A51" s="246" t="s">
        <v>362</v>
      </c>
      <c r="B51" s="207" t="s">
        <v>363</v>
      </c>
      <c r="C51" s="315"/>
      <c r="D51" s="207"/>
      <c r="E51" s="207">
        <v>55719</v>
      </c>
      <c r="F51" s="200">
        <v>1</v>
      </c>
      <c r="G51" s="337"/>
      <c r="H51" s="330"/>
    </row>
    <row r="52" spans="1:8" ht="15.5" x14ac:dyDescent="0.35">
      <c r="A52" s="246" t="s">
        <v>991</v>
      </c>
      <c r="B52" s="207" t="s">
        <v>194</v>
      </c>
      <c r="C52" s="315"/>
      <c r="D52" s="207"/>
      <c r="E52" s="207">
        <v>55719</v>
      </c>
      <c r="F52" s="200">
        <v>1</v>
      </c>
      <c r="G52" s="337"/>
      <c r="H52" s="330"/>
    </row>
    <row r="53" spans="1:8" ht="15.5" x14ac:dyDescent="0.35">
      <c r="A53" s="246" t="s">
        <v>1245</v>
      </c>
      <c r="B53" s="207" t="s">
        <v>481</v>
      </c>
      <c r="C53" s="315"/>
      <c r="D53" s="207"/>
      <c r="E53" s="207">
        <v>55719</v>
      </c>
      <c r="F53" s="200">
        <v>1</v>
      </c>
      <c r="G53" s="337"/>
      <c r="H53" s="330"/>
    </row>
    <row r="54" spans="1:8" ht="15.5" x14ac:dyDescent="0.35">
      <c r="A54" s="246" t="s">
        <v>999</v>
      </c>
      <c r="B54" s="207" t="s">
        <v>393</v>
      </c>
      <c r="C54" s="315"/>
      <c r="D54" s="207"/>
      <c r="E54" s="207">
        <v>55719</v>
      </c>
      <c r="F54" s="200">
        <v>1</v>
      </c>
      <c r="G54" s="337"/>
      <c r="H54" s="330"/>
    </row>
    <row r="55" spans="1:8" ht="15.5" x14ac:dyDescent="0.35">
      <c r="A55" s="246" t="s">
        <v>930</v>
      </c>
      <c r="B55" s="207" t="s">
        <v>88</v>
      </c>
      <c r="C55" s="315"/>
      <c r="D55" s="207"/>
      <c r="E55" s="207">
        <v>55719</v>
      </c>
      <c r="F55" s="200">
        <v>1</v>
      </c>
      <c r="G55" s="337"/>
      <c r="H55" s="330"/>
    </row>
    <row r="56" spans="1:8" ht="15.5" x14ac:dyDescent="0.35">
      <c r="A56" s="246" t="s">
        <v>4</v>
      </c>
      <c r="B56" s="207" t="s">
        <v>86</v>
      </c>
      <c r="C56" s="315"/>
      <c r="D56" s="207"/>
      <c r="E56" s="207">
        <v>55719</v>
      </c>
      <c r="F56" s="200">
        <v>1</v>
      </c>
      <c r="G56" s="337"/>
      <c r="H56" s="330"/>
    </row>
    <row r="57" spans="1:8" ht="15.5" x14ac:dyDescent="0.35">
      <c r="A57" s="246" t="s">
        <v>29</v>
      </c>
      <c r="B57" s="207" t="s">
        <v>1564</v>
      </c>
      <c r="C57" s="315"/>
      <c r="D57" s="207"/>
      <c r="E57" s="207">
        <v>55719</v>
      </c>
      <c r="F57" s="200">
        <v>1</v>
      </c>
      <c r="G57" s="337"/>
      <c r="H57" s="330"/>
    </row>
    <row r="58" spans="1:8" ht="15.5" x14ac:dyDescent="0.35">
      <c r="A58" s="246" t="s">
        <v>28</v>
      </c>
      <c r="B58" s="207" t="s">
        <v>2242</v>
      </c>
      <c r="C58" s="315"/>
      <c r="D58" s="207"/>
      <c r="E58" s="207">
        <v>55719</v>
      </c>
      <c r="F58" s="200">
        <v>1</v>
      </c>
      <c r="G58" s="337"/>
      <c r="H58" s="330"/>
    </row>
    <row r="59" spans="1:8" ht="15.5" x14ac:dyDescent="0.35">
      <c r="A59" s="246" t="s">
        <v>833</v>
      </c>
      <c r="B59" s="207" t="s">
        <v>244</v>
      </c>
      <c r="C59" s="315"/>
      <c r="D59" s="207"/>
      <c r="E59" s="207">
        <v>55719</v>
      </c>
      <c r="F59" s="200">
        <v>1</v>
      </c>
      <c r="G59" s="337"/>
      <c r="H59" s="330"/>
    </row>
    <row r="60" spans="1:8" ht="15.5" x14ac:dyDescent="0.35">
      <c r="A60" s="246" t="s">
        <v>1064</v>
      </c>
      <c r="B60" s="207" t="s">
        <v>1576</v>
      </c>
      <c r="C60" s="315"/>
      <c r="D60" s="207"/>
      <c r="E60" s="207">
        <v>55719</v>
      </c>
      <c r="F60" s="200">
        <v>1</v>
      </c>
      <c r="G60" s="337"/>
      <c r="H60" s="330"/>
    </row>
    <row r="61" spans="1:8" ht="15.5" x14ac:dyDescent="0.35">
      <c r="A61" s="246" t="s">
        <v>1058</v>
      </c>
      <c r="B61" s="207" t="s">
        <v>1563</v>
      </c>
      <c r="C61" s="315"/>
      <c r="D61" s="207"/>
      <c r="E61" s="207">
        <v>55719</v>
      </c>
      <c r="F61" s="200">
        <v>1</v>
      </c>
      <c r="G61" s="337"/>
      <c r="H61" s="330"/>
    </row>
    <row r="62" spans="1:8" ht="15.5" x14ac:dyDescent="0.35">
      <c r="A62" s="246" t="s">
        <v>1156</v>
      </c>
      <c r="B62" s="207" t="s">
        <v>61</v>
      </c>
      <c r="C62" s="315"/>
      <c r="D62" s="207"/>
      <c r="E62" s="207">
        <v>55719</v>
      </c>
      <c r="F62" s="200">
        <v>1</v>
      </c>
      <c r="G62" s="337"/>
      <c r="H62" s="330"/>
    </row>
    <row r="63" spans="1:8" ht="15.5" x14ac:dyDescent="0.35">
      <c r="A63" s="246" t="s">
        <v>1061</v>
      </c>
      <c r="B63" s="207" t="s">
        <v>73</v>
      </c>
      <c r="C63" s="315"/>
      <c r="D63" s="207"/>
      <c r="E63" s="207">
        <v>55719</v>
      </c>
      <c r="F63" s="200">
        <v>1</v>
      </c>
      <c r="G63" s="337"/>
      <c r="H63" s="330"/>
    </row>
    <row r="64" spans="1:8" ht="15.5" x14ac:dyDescent="0.35">
      <c r="A64" s="246" t="s">
        <v>1060</v>
      </c>
      <c r="B64" s="207" t="s">
        <v>74</v>
      </c>
      <c r="C64" s="315"/>
      <c r="D64" s="207"/>
      <c r="E64" s="207">
        <v>55719</v>
      </c>
      <c r="F64" s="200">
        <v>1</v>
      </c>
      <c r="G64" s="337"/>
      <c r="H64" s="330"/>
    </row>
    <row r="65" spans="1:8" ht="15.5" x14ac:dyDescent="0.35">
      <c r="A65" s="246" t="s">
        <v>1062</v>
      </c>
      <c r="B65" s="207" t="s">
        <v>261</v>
      </c>
      <c r="C65" s="315"/>
      <c r="D65" s="207"/>
      <c r="E65" s="207">
        <v>55719</v>
      </c>
      <c r="F65" s="200">
        <v>1</v>
      </c>
      <c r="G65" s="337"/>
      <c r="H65" s="330"/>
    </row>
    <row r="66" spans="1:8" ht="15.5" x14ac:dyDescent="0.35">
      <c r="A66" s="246" t="s">
        <v>997</v>
      </c>
      <c r="B66" s="207" t="s">
        <v>388</v>
      </c>
      <c r="C66" s="315"/>
      <c r="D66" s="207"/>
      <c r="E66" s="207">
        <v>55719</v>
      </c>
      <c r="F66" s="200">
        <v>1</v>
      </c>
      <c r="G66" s="337"/>
      <c r="H66" s="330"/>
    </row>
    <row r="67" spans="1:8" ht="15.5" x14ac:dyDescent="0.35">
      <c r="A67" s="246" t="s">
        <v>1168</v>
      </c>
      <c r="B67" s="207" t="s">
        <v>75</v>
      </c>
      <c r="C67" s="315"/>
      <c r="D67" s="207"/>
      <c r="E67" s="207">
        <v>55719</v>
      </c>
      <c r="F67" s="200">
        <v>1</v>
      </c>
      <c r="G67" s="337"/>
      <c r="H67" s="330"/>
    </row>
    <row r="68" spans="1:8" ht="15.5" x14ac:dyDescent="0.35">
      <c r="A68" s="246" t="s">
        <v>1059</v>
      </c>
      <c r="B68" s="207" t="s">
        <v>69</v>
      </c>
      <c r="C68" s="315"/>
      <c r="D68" s="207"/>
      <c r="E68" s="207">
        <v>55719</v>
      </c>
      <c r="F68" s="200">
        <v>1</v>
      </c>
      <c r="G68" s="337"/>
      <c r="H68" s="330"/>
    </row>
    <row r="69" spans="1:8" ht="15.5" x14ac:dyDescent="0.35">
      <c r="A69" s="246" t="s">
        <v>1057</v>
      </c>
      <c r="B69" s="207" t="s">
        <v>72</v>
      </c>
      <c r="C69" s="315"/>
      <c r="D69" s="207"/>
      <c r="E69" s="207">
        <v>55719</v>
      </c>
      <c r="F69" s="200">
        <v>1</v>
      </c>
      <c r="G69" s="337"/>
      <c r="H69" s="330"/>
    </row>
    <row r="70" spans="1:8" ht="15.5" x14ac:dyDescent="0.35">
      <c r="A70" s="246" t="s">
        <v>14</v>
      </c>
      <c r="B70" s="207" t="s">
        <v>334</v>
      </c>
      <c r="C70" s="315"/>
      <c r="D70" s="207"/>
      <c r="E70" s="207">
        <v>55719</v>
      </c>
      <c r="F70" s="200">
        <v>1</v>
      </c>
      <c r="G70" s="337"/>
      <c r="H70" s="330"/>
    </row>
    <row r="71" spans="1:8" ht="15.5" x14ac:dyDescent="0.35">
      <c r="A71" s="246" t="s">
        <v>346</v>
      </c>
      <c r="B71" s="207" t="s">
        <v>350</v>
      </c>
      <c r="C71" s="315"/>
      <c r="D71" s="207"/>
      <c r="E71" s="207">
        <v>55719</v>
      </c>
      <c r="F71" s="200">
        <v>1</v>
      </c>
      <c r="G71" s="337"/>
      <c r="H71" s="330"/>
    </row>
    <row r="72" spans="1:8" ht="15.5" x14ac:dyDescent="0.35">
      <c r="A72" s="246" t="s">
        <v>348</v>
      </c>
      <c r="B72" s="207" t="s">
        <v>351</v>
      </c>
      <c r="C72" s="315"/>
      <c r="D72" s="207"/>
      <c r="E72" s="207">
        <v>55719</v>
      </c>
      <c r="F72" s="200">
        <v>1</v>
      </c>
      <c r="G72" s="337"/>
      <c r="H72" s="330"/>
    </row>
    <row r="73" spans="1:8" ht="15.5" x14ac:dyDescent="0.35">
      <c r="A73" s="246" t="s">
        <v>36</v>
      </c>
      <c r="B73" s="207" t="s">
        <v>37</v>
      </c>
      <c r="C73" s="315"/>
      <c r="D73" s="207"/>
      <c r="E73" s="207">
        <v>55719</v>
      </c>
      <c r="F73" s="200">
        <v>1</v>
      </c>
      <c r="G73" s="337"/>
      <c r="H73" s="330"/>
    </row>
    <row r="74" spans="1:8" ht="15.5" x14ac:dyDescent="0.35">
      <c r="A74" s="246" t="s">
        <v>881</v>
      </c>
      <c r="B74" s="207" t="s">
        <v>417</v>
      </c>
      <c r="C74" s="315"/>
      <c r="D74" s="207"/>
      <c r="E74" s="207">
        <v>55719</v>
      </c>
      <c r="F74" s="200">
        <v>1</v>
      </c>
      <c r="G74" s="337"/>
      <c r="H74" s="330"/>
    </row>
    <row r="75" spans="1:8" ht="15.5" x14ac:dyDescent="0.35">
      <c r="A75" s="246" t="s">
        <v>97</v>
      </c>
      <c r="B75" s="207" t="s">
        <v>457</v>
      </c>
      <c r="C75" s="315"/>
      <c r="D75" s="207"/>
      <c r="E75" s="207">
        <v>55719</v>
      </c>
      <c r="F75" s="200">
        <v>1</v>
      </c>
      <c r="G75" s="337"/>
      <c r="H75" s="330"/>
    </row>
    <row r="76" spans="1:8" ht="15.5" x14ac:dyDescent="0.35">
      <c r="A76" s="246" t="s">
        <v>2040</v>
      </c>
      <c r="B76" s="207" t="s">
        <v>2051</v>
      </c>
      <c r="C76" s="315"/>
      <c r="D76" s="207"/>
      <c r="E76" s="207">
        <v>55719</v>
      </c>
      <c r="F76" s="200">
        <v>1</v>
      </c>
      <c r="G76" s="337"/>
      <c r="H76" s="330"/>
    </row>
    <row r="77" spans="1:8" ht="15.5" x14ac:dyDescent="0.35">
      <c r="A77" s="246" t="s">
        <v>19</v>
      </c>
      <c r="B77" s="207" t="s">
        <v>242</v>
      </c>
      <c r="C77" s="315"/>
      <c r="D77" s="207"/>
      <c r="E77" s="207">
        <v>55719</v>
      </c>
      <c r="F77" s="200">
        <v>1</v>
      </c>
      <c r="G77" s="337"/>
      <c r="H77" s="330"/>
    </row>
    <row r="78" spans="1:8" ht="17.5" x14ac:dyDescent="0.35">
      <c r="G78" s="5"/>
    </row>
    <row r="79" spans="1:8" ht="17.5" x14ac:dyDescent="0.35">
      <c r="A79" s="309" t="s">
        <v>2226</v>
      </c>
      <c r="B79" s="312"/>
      <c r="C79" s="249"/>
      <c r="D79" s="249"/>
      <c r="E79" s="249"/>
      <c r="F79" s="249"/>
      <c r="G79" s="250"/>
    </row>
    <row r="80" spans="1:8" ht="17.5" x14ac:dyDescent="0.35">
      <c r="A80" s="309" t="s">
        <v>2412</v>
      </c>
      <c r="B80" s="312"/>
      <c r="C80" s="249"/>
      <c r="D80" s="249"/>
      <c r="E80" s="249"/>
      <c r="F80" s="249"/>
      <c r="G80" s="250"/>
    </row>
    <row r="81" spans="1:7" ht="17.5" x14ac:dyDescent="0.35">
      <c r="A81" s="334" t="s">
        <v>2621</v>
      </c>
      <c r="B81" s="335"/>
      <c r="G81" s="5"/>
    </row>
    <row r="82" spans="1:7" ht="17.5" x14ac:dyDescent="0.35">
      <c r="A82" s="319" t="s">
        <v>2694</v>
      </c>
      <c r="B82" s="307"/>
      <c r="G82" s="5"/>
    </row>
    <row r="83" spans="1:7" ht="17.5" x14ac:dyDescent="0.35">
      <c r="G83" s="5"/>
    </row>
    <row r="84" spans="1:7" ht="17.5" x14ac:dyDescent="0.35">
      <c r="G84" s="5"/>
    </row>
    <row r="85" spans="1:7" ht="17.5" x14ac:dyDescent="0.35">
      <c r="G85" s="5"/>
    </row>
    <row r="86" spans="1:7" ht="17.5" x14ac:dyDescent="0.35">
      <c r="G86" s="5"/>
    </row>
    <row r="87" spans="1:7" ht="17.5" x14ac:dyDescent="0.35">
      <c r="G87" s="5"/>
    </row>
    <row r="88" spans="1:7" ht="17.5" x14ac:dyDescent="0.35">
      <c r="G88" s="5"/>
    </row>
    <row r="89" spans="1:7" ht="17.5" x14ac:dyDescent="0.35">
      <c r="G89" s="5"/>
    </row>
    <row r="90" spans="1:7" ht="17.5" x14ac:dyDescent="0.35">
      <c r="G90" s="5"/>
    </row>
    <row r="91" spans="1:7" ht="17.5" x14ac:dyDescent="0.35">
      <c r="G91" s="5"/>
    </row>
    <row r="92" spans="1:7" ht="17.5" x14ac:dyDescent="0.35">
      <c r="G92" s="5"/>
    </row>
    <row r="93" spans="1:7" ht="17.5" x14ac:dyDescent="0.35">
      <c r="G93" s="5"/>
    </row>
    <row r="94" spans="1:7" ht="17.5" x14ac:dyDescent="0.35">
      <c r="G94" s="5"/>
    </row>
    <row r="95" spans="1:7" ht="17.5" x14ac:dyDescent="0.35">
      <c r="G95" s="5"/>
    </row>
    <row r="96" spans="1:7" ht="17.5" x14ac:dyDescent="0.35">
      <c r="G96" s="5"/>
    </row>
    <row r="97" spans="7:7" ht="17.5" x14ac:dyDescent="0.35">
      <c r="G97" s="5"/>
    </row>
    <row r="98" spans="7:7" ht="17.5" x14ac:dyDescent="0.35">
      <c r="G98" s="5"/>
    </row>
    <row r="99" spans="7:7" ht="17.5" x14ac:dyDescent="0.35">
      <c r="G99" s="5"/>
    </row>
    <row r="100" spans="7:7" ht="17.5" x14ac:dyDescent="0.35">
      <c r="G100" s="5"/>
    </row>
    <row r="101" spans="7:7" ht="17.5" x14ac:dyDescent="0.35">
      <c r="G101" s="5"/>
    </row>
    <row r="102" spans="7:7" ht="17.5" x14ac:dyDescent="0.35">
      <c r="G102" s="5"/>
    </row>
    <row r="103" spans="7:7" ht="17.5" x14ac:dyDescent="0.35">
      <c r="G103" s="5"/>
    </row>
    <row r="104" spans="7:7" ht="17.5" x14ac:dyDescent="0.35">
      <c r="G104" s="5"/>
    </row>
    <row r="105" spans="7:7" ht="17.5" x14ac:dyDescent="0.35">
      <c r="G105" s="5"/>
    </row>
    <row r="106" spans="7:7" ht="17.5" x14ac:dyDescent="0.35">
      <c r="G106" s="5"/>
    </row>
    <row r="107" spans="7:7" ht="17.5" x14ac:dyDescent="0.35">
      <c r="G107" s="5"/>
    </row>
    <row r="108" spans="7:7" ht="17.5" x14ac:dyDescent="0.35">
      <c r="G108" s="5"/>
    </row>
    <row r="109" spans="7:7" ht="17.5" x14ac:dyDescent="0.35">
      <c r="G109" s="5"/>
    </row>
    <row r="110" spans="7:7" ht="17.5" x14ac:dyDescent="0.35">
      <c r="G110" s="5"/>
    </row>
    <row r="111" spans="7:7" ht="17.5" x14ac:dyDescent="0.35">
      <c r="G111" s="5"/>
    </row>
    <row r="112" spans="7:7" ht="17.5" x14ac:dyDescent="0.35">
      <c r="G112" s="5"/>
    </row>
    <row r="113" spans="7:7" ht="17.5" x14ac:dyDescent="0.35">
      <c r="G113" s="5"/>
    </row>
    <row r="114" spans="7:7" ht="17.5" x14ac:dyDescent="0.35">
      <c r="G114" s="5"/>
    </row>
    <row r="115" spans="7:7" ht="17.5" x14ac:dyDescent="0.35">
      <c r="G115" s="5"/>
    </row>
    <row r="116" spans="7:7" ht="17.5" x14ac:dyDescent="0.35">
      <c r="G116" s="5"/>
    </row>
    <row r="117" spans="7:7" ht="17.5" x14ac:dyDescent="0.35">
      <c r="G117" s="5"/>
    </row>
    <row r="118" spans="7:7" ht="17.5" x14ac:dyDescent="0.35">
      <c r="G118" s="5"/>
    </row>
    <row r="119" spans="7:7" ht="17.5" x14ac:dyDescent="0.35">
      <c r="G119" s="5"/>
    </row>
    <row r="120" spans="7:7" ht="17.5" x14ac:dyDescent="0.35">
      <c r="G120" s="5"/>
    </row>
    <row r="121" spans="7:7" ht="17.5" x14ac:dyDescent="0.35">
      <c r="G121" s="5"/>
    </row>
    <row r="122" spans="7:7" ht="17.5" x14ac:dyDescent="0.35">
      <c r="G122" s="5"/>
    </row>
    <row r="123" spans="7:7" ht="17.5" x14ac:dyDescent="0.35">
      <c r="G123" s="5"/>
    </row>
    <row r="124" spans="7:7" ht="17.5" x14ac:dyDescent="0.35">
      <c r="G124" s="5"/>
    </row>
    <row r="125" spans="7:7" ht="17.5" x14ac:dyDescent="0.35">
      <c r="G125" s="248"/>
    </row>
    <row r="126" spans="7:7" ht="17.5" x14ac:dyDescent="0.35">
      <c r="G126" s="248"/>
    </row>
    <row r="127" spans="7:7" ht="17.5" x14ac:dyDescent="0.35">
      <c r="G127" s="248"/>
    </row>
    <row r="128" spans="7:7" ht="17.5" x14ac:dyDescent="0.35">
      <c r="G128" s="248"/>
    </row>
    <row r="129" spans="7:7" ht="17.5" x14ac:dyDescent="0.35">
      <c r="G129" s="248"/>
    </row>
    <row r="130" spans="7:7" ht="17.5" x14ac:dyDescent="0.35">
      <c r="G130" s="248"/>
    </row>
    <row r="131" spans="7:7" ht="17.5" x14ac:dyDescent="0.35">
      <c r="G131" s="248"/>
    </row>
    <row r="132" spans="7:7" ht="17.5" x14ac:dyDescent="0.35">
      <c r="G132" s="248"/>
    </row>
    <row r="133" spans="7:7" ht="17.5" x14ac:dyDescent="0.35">
      <c r="G133" s="248"/>
    </row>
    <row r="134" spans="7:7" ht="17.5" x14ac:dyDescent="0.35">
      <c r="G134" s="248"/>
    </row>
    <row r="135" spans="7:7" ht="15.5" x14ac:dyDescent="0.35">
      <c r="G135" s="79"/>
    </row>
    <row r="136" spans="7:7" ht="15.5" x14ac:dyDescent="0.35">
      <c r="G136" s="80"/>
    </row>
    <row r="137" spans="7:7" ht="15.5" x14ac:dyDescent="0.35">
      <c r="G137" s="80"/>
    </row>
    <row r="138" spans="7:7" ht="17.5" x14ac:dyDescent="0.35">
      <c r="G138" s="248"/>
    </row>
    <row r="139" spans="7:7" ht="17.5" x14ac:dyDescent="0.35">
      <c r="G139" s="248"/>
    </row>
    <row r="140" spans="7:7" ht="17.5" x14ac:dyDescent="0.35">
      <c r="G140" s="248"/>
    </row>
    <row r="141" spans="7:7" ht="17.5" x14ac:dyDescent="0.35">
      <c r="G141" s="248"/>
    </row>
    <row r="142" spans="7:7" ht="17.5" x14ac:dyDescent="0.35">
      <c r="G142" s="248"/>
    </row>
    <row r="143" spans="7:7" ht="17.5" x14ac:dyDescent="0.35">
      <c r="G143" s="248"/>
    </row>
    <row r="144" spans="7:7" ht="17.5" x14ac:dyDescent="0.35">
      <c r="G144" s="248"/>
    </row>
    <row r="145" spans="1:7" ht="17.5" x14ac:dyDescent="0.35">
      <c r="G145" s="248"/>
    </row>
    <row r="146" spans="1:7" ht="17.5" x14ac:dyDescent="0.35">
      <c r="G146" s="5"/>
    </row>
    <row r="147" spans="1:7" ht="17.5" x14ac:dyDescent="0.35">
      <c r="G147" s="248"/>
    </row>
    <row r="148" spans="1:7" ht="17.5" x14ac:dyDescent="0.35">
      <c r="G148" s="248"/>
    </row>
    <row r="149" spans="1:7" ht="17.5" x14ac:dyDescent="0.35">
      <c r="G149" s="248"/>
    </row>
    <row r="150" spans="1:7" ht="17.5" x14ac:dyDescent="0.35">
      <c r="A150" s="217"/>
      <c r="B150" s="218"/>
      <c r="C150" s="218"/>
      <c r="D150" s="218"/>
      <c r="E150" s="218"/>
      <c r="F150" s="219"/>
      <c r="G150" s="248"/>
    </row>
    <row r="151" spans="1:7" ht="17.5" x14ac:dyDescent="0.35">
      <c r="A151" s="217"/>
      <c r="B151" s="218"/>
      <c r="C151" s="218"/>
      <c r="D151" s="218"/>
      <c r="E151" s="218"/>
      <c r="F151" s="219"/>
      <c r="G151" s="248"/>
    </row>
    <row r="152" spans="1:7" ht="17.5" x14ac:dyDescent="0.35">
      <c r="A152" s="217"/>
      <c r="B152" s="218"/>
      <c r="C152" s="218"/>
      <c r="D152" s="218"/>
      <c r="E152" s="218"/>
      <c r="F152" s="219"/>
      <c r="G152" s="248"/>
    </row>
    <row r="153" spans="1:7" ht="17.5" x14ac:dyDescent="0.35">
      <c r="A153" s="217"/>
      <c r="B153" s="218"/>
      <c r="C153" s="218"/>
      <c r="D153" s="218"/>
      <c r="E153" s="218"/>
      <c r="F153" s="219"/>
      <c r="G153" s="248"/>
    </row>
    <row r="154" spans="1:7" ht="17.5" x14ac:dyDescent="0.35">
      <c r="A154" s="217"/>
      <c r="B154" s="218"/>
      <c r="C154" s="218"/>
      <c r="D154" s="218"/>
      <c r="E154" s="218"/>
      <c r="F154" s="219"/>
      <c r="G154" s="248"/>
    </row>
    <row r="155" spans="1:7" ht="17.5" x14ac:dyDescent="0.35">
      <c r="A155" s="217"/>
      <c r="B155" s="218"/>
      <c r="C155" s="218"/>
      <c r="D155" s="218"/>
      <c r="E155" s="218"/>
      <c r="F155" s="219"/>
      <c r="G155" s="248"/>
    </row>
    <row r="156" spans="1:7" ht="17.5" x14ac:dyDescent="0.35">
      <c r="A156" s="217"/>
      <c r="B156" s="218"/>
      <c r="C156" s="218"/>
      <c r="D156" s="218"/>
      <c r="E156" s="218"/>
      <c r="F156" s="219"/>
      <c r="G156" s="248"/>
    </row>
    <row r="157" spans="1:7" ht="17.5" x14ac:dyDescent="0.35">
      <c r="A157" s="217"/>
      <c r="B157" s="218"/>
      <c r="C157" s="218"/>
      <c r="D157" s="218"/>
      <c r="E157" s="218"/>
      <c r="F157" s="219"/>
      <c r="G157" s="248"/>
    </row>
    <row r="158" spans="1:7" ht="17.5" x14ac:dyDescent="0.35">
      <c r="A158" s="217"/>
      <c r="B158" s="218"/>
      <c r="C158" s="218"/>
      <c r="D158" s="218"/>
      <c r="E158" s="218"/>
      <c r="F158" s="219"/>
      <c r="G158" s="248"/>
    </row>
    <row r="159" spans="1:7" ht="17.5" x14ac:dyDescent="0.35">
      <c r="A159" s="217"/>
      <c r="B159" s="218"/>
      <c r="C159" s="218"/>
      <c r="D159" s="218"/>
      <c r="E159" s="218"/>
      <c r="F159" s="219"/>
      <c r="G159" s="248"/>
    </row>
    <row r="160" spans="1:7" ht="17.5" x14ac:dyDescent="0.35">
      <c r="A160" s="217"/>
      <c r="B160" s="218"/>
      <c r="C160" s="218"/>
      <c r="D160" s="218"/>
      <c r="E160" s="218"/>
      <c r="F160" s="219"/>
      <c r="G160" s="248"/>
    </row>
    <row r="161" spans="1:7" ht="17.5" x14ac:dyDescent="0.35">
      <c r="A161" s="217"/>
      <c r="B161" s="218"/>
      <c r="C161" s="218"/>
      <c r="D161" s="218"/>
      <c r="E161" s="218"/>
      <c r="F161" s="219"/>
      <c r="G161" s="248"/>
    </row>
    <row r="162" spans="1:7" ht="17.5" x14ac:dyDescent="0.35">
      <c r="A162" s="217"/>
      <c r="B162" s="218"/>
      <c r="C162" s="218"/>
      <c r="D162" s="218"/>
      <c r="E162" s="218"/>
      <c r="F162" s="219"/>
      <c r="G162" s="248"/>
    </row>
    <row r="163" spans="1:7" ht="17.5" x14ac:dyDescent="0.35">
      <c r="A163" s="217"/>
      <c r="B163" s="218"/>
      <c r="C163" s="218"/>
      <c r="D163" s="218"/>
      <c r="E163" s="218"/>
      <c r="F163" s="219"/>
      <c r="G163" s="248"/>
    </row>
    <row r="164" spans="1:7" ht="17.5" x14ac:dyDescent="0.35">
      <c r="A164" s="217"/>
      <c r="B164" s="218"/>
      <c r="C164" s="218"/>
      <c r="D164" s="218"/>
      <c r="E164" s="218"/>
      <c r="F164" s="219"/>
      <c r="G164" s="248"/>
    </row>
    <row r="165" spans="1:7" ht="17.5" x14ac:dyDescent="0.35">
      <c r="A165" s="217"/>
      <c r="B165" s="218"/>
      <c r="C165" s="218"/>
      <c r="D165" s="218"/>
      <c r="E165" s="218"/>
      <c r="F165" s="219"/>
      <c r="G165" s="248"/>
    </row>
    <row r="166" spans="1:7" ht="17.5" x14ac:dyDescent="0.35">
      <c r="A166" s="217"/>
      <c r="B166" s="218"/>
      <c r="C166" s="218"/>
      <c r="D166" s="218"/>
      <c r="E166" s="218"/>
      <c r="F166" s="219"/>
      <c r="G166" s="248"/>
    </row>
    <row r="167" spans="1:7" ht="17.5" x14ac:dyDescent="0.35">
      <c r="A167" s="217"/>
      <c r="B167" s="218"/>
      <c r="C167" s="218"/>
      <c r="D167" s="218"/>
      <c r="E167" s="218"/>
      <c r="F167" s="219"/>
      <c r="G167" s="248"/>
    </row>
    <row r="168" spans="1:7" ht="17.5" x14ac:dyDescent="0.35">
      <c r="A168" s="217"/>
      <c r="B168" s="218"/>
      <c r="C168" s="218"/>
      <c r="D168" s="218"/>
      <c r="E168" s="218"/>
      <c r="F168" s="219"/>
      <c r="G168" s="248"/>
    </row>
    <row r="169" spans="1:7" ht="17.5" x14ac:dyDescent="0.35">
      <c r="A169" s="217"/>
      <c r="B169" s="218"/>
      <c r="C169" s="218"/>
      <c r="D169" s="218"/>
      <c r="E169" s="218"/>
      <c r="F169" s="219"/>
      <c r="G169" s="248"/>
    </row>
    <row r="170" spans="1:7" ht="17.5" x14ac:dyDescent="0.35">
      <c r="A170" s="217"/>
      <c r="B170" s="218"/>
      <c r="C170" s="218"/>
      <c r="D170" s="218"/>
      <c r="E170" s="218"/>
      <c r="F170" s="219"/>
      <c r="G170" s="248"/>
    </row>
    <row r="171" spans="1:7" ht="17.5" x14ac:dyDescent="0.35">
      <c r="A171" s="217"/>
      <c r="B171" s="218"/>
      <c r="C171" s="218"/>
      <c r="D171" s="218"/>
      <c r="E171" s="218"/>
      <c r="F171" s="219"/>
      <c r="G171" s="248"/>
    </row>
    <row r="172" spans="1:7" ht="17.5" x14ac:dyDescent="0.35">
      <c r="A172" s="217"/>
      <c r="B172" s="218"/>
      <c r="C172" s="218"/>
      <c r="D172" s="218"/>
      <c r="E172" s="218"/>
      <c r="F172" s="219"/>
      <c r="G172" s="248"/>
    </row>
    <row r="173" spans="1:7" ht="17.5" x14ac:dyDescent="0.35">
      <c r="A173" s="217"/>
      <c r="B173" s="218"/>
      <c r="C173" s="218"/>
      <c r="D173" s="218"/>
      <c r="E173" s="218"/>
      <c r="F173" s="219"/>
      <c r="G173" s="248"/>
    </row>
    <row r="174" spans="1:7" ht="17.5" x14ac:dyDescent="0.35">
      <c r="A174" s="217"/>
      <c r="B174" s="218"/>
      <c r="C174" s="218"/>
      <c r="D174" s="218"/>
      <c r="E174" s="218"/>
      <c r="F174" s="219"/>
      <c r="G174" s="248"/>
    </row>
    <row r="175" spans="1:7" ht="17.5" x14ac:dyDescent="0.35">
      <c r="A175" s="217"/>
      <c r="B175" s="218"/>
      <c r="C175" s="218"/>
      <c r="D175" s="218"/>
      <c r="E175" s="218"/>
      <c r="F175" s="219"/>
      <c r="G175" s="248"/>
    </row>
    <row r="176" spans="1:7" ht="17.5" x14ac:dyDescent="0.35">
      <c r="A176" s="217"/>
      <c r="B176" s="218"/>
      <c r="C176" s="218"/>
      <c r="D176" s="218"/>
      <c r="E176" s="218"/>
      <c r="F176" s="219"/>
      <c r="G176" s="248"/>
    </row>
    <row r="177" spans="1:7" ht="17.5" x14ac:dyDescent="0.35">
      <c r="A177" s="217"/>
      <c r="B177" s="218"/>
      <c r="C177" s="218"/>
      <c r="D177" s="218"/>
      <c r="E177" s="218"/>
      <c r="F177" s="219"/>
      <c r="G177" s="248"/>
    </row>
    <row r="178" spans="1:7" ht="17.5" x14ac:dyDescent="0.35">
      <c r="A178" s="217"/>
      <c r="B178" s="218"/>
      <c r="C178" s="218"/>
      <c r="D178" s="218"/>
      <c r="E178" s="218"/>
      <c r="F178" s="219"/>
      <c r="G178" s="248"/>
    </row>
    <row r="179" spans="1:7" ht="17.5" x14ac:dyDescent="0.35">
      <c r="A179" s="217"/>
      <c r="B179" s="218"/>
      <c r="C179" s="218"/>
      <c r="D179" s="218"/>
      <c r="E179" s="218"/>
      <c r="F179" s="219"/>
      <c r="G179" s="248"/>
    </row>
    <row r="180" spans="1:7" ht="17.5" x14ac:dyDescent="0.35">
      <c r="A180" s="217"/>
      <c r="B180" s="218"/>
      <c r="C180" s="218"/>
      <c r="D180" s="218"/>
      <c r="E180" s="218"/>
      <c r="F180" s="219"/>
      <c r="G180" s="248"/>
    </row>
    <row r="181" spans="1:7" ht="17.5" x14ac:dyDescent="0.35">
      <c r="A181" s="217"/>
      <c r="B181" s="218"/>
      <c r="C181" s="218"/>
      <c r="D181" s="218"/>
      <c r="E181" s="218"/>
      <c r="F181" s="219"/>
      <c r="G181" s="248"/>
    </row>
    <row r="182" spans="1:7" ht="17.5" x14ac:dyDescent="0.35">
      <c r="A182" s="217"/>
      <c r="B182" s="218"/>
      <c r="C182" s="218"/>
      <c r="D182" s="218"/>
      <c r="E182" s="218"/>
      <c r="F182" s="219"/>
      <c r="G182" s="248"/>
    </row>
    <row r="183" spans="1:7" ht="17.5" x14ac:dyDescent="0.35">
      <c r="A183" s="217"/>
      <c r="B183" s="218"/>
      <c r="C183" s="218"/>
      <c r="D183" s="218"/>
      <c r="E183" s="218"/>
      <c r="F183" s="219"/>
      <c r="G183" s="248"/>
    </row>
    <row r="184" spans="1:7" ht="17.5" x14ac:dyDescent="0.35">
      <c r="A184" s="217"/>
      <c r="B184" s="218"/>
      <c r="C184" s="218"/>
      <c r="D184" s="218"/>
      <c r="E184" s="218"/>
      <c r="F184" s="219"/>
      <c r="G184" s="248"/>
    </row>
    <row r="185" spans="1:7" ht="17.5" x14ac:dyDescent="0.35">
      <c r="A185" s="217"/>
      <c r="B185" s="218"/>
      <c r="C185" s="218"/>
      <c r="D185" s="218"/>
      <c r="E185" s="218"/>
      <c r="F185" s="219"/>
      <c r="G185" s="248"/>
    </row>
    <row r="186" spans="1:7" ht="17.5" x14ac:dyDescent="0.35">
      <c r="A186" s="217"/>
      <c r="B186" s="218"/>
      <c r="C186" s="218"/>
      <c r="D186" s="218"/>
      <c r="E186" s="218"/>
      <c r="F186" s="219"/>
      <c r="G186" s="248"/>
    </row>
    <row r="187" spans="1:7" ht="17.5" x14ac:dyDescent="0.35">
      <c r="A187" s="217"/>
      <c r="B187" s="218"/>
      <c r="C187" s="218"/>
      <c r="D187" s="218"/>
      <c r="E187" s="218"/>
      <c r="F187" s="219"/>
      <c r="G187" s="248"/>
    </row>
    <row r="188" spans="1:7" ht="17.5" x14ac:dyDescent="0.35">
      <c r="A188" s="217"/>
      <c r="B188" s="218"/>
      <c r="C188" s="218"/>
      <c r="D188" s="218"/>
      <c r="E188" s="218"/>
      <c r="F188" s="219"/>
      <c r="G188" s="248"/>
    </row>
    <row r="189" spans="1:7" ht="17.5" x14ac:dyDescent="0.35">
      <c r="A189" s="217"/>
      <c r="B189" s="218"/>
      <c r="C189" s="218"/>
      <c r="D189" s="218"/>
      <c r="E189" s="218"/>
      <c r="F189" s="219"/>
      <c r="G189" s="248"/>
    </row>
    <row r="190" spans="1:7" ht="17.5" x14ac:dyDescent="0.35">
      <c r="A190" s="217"/>
      <c r="B190" s="218"/>
      <c r="C190" s="218"/>
      <c r="D190" s="218"/>
      <c r="E190" s="218"/>
      <c r="F190" s="219"/>
      <c r="G190" s="248"/>
    </row>
    <row r="191" spans="1:7" ht="17.5" x14ac:dyDescent="0.35">
      <c r="A191" s="217"/>
      <c r="B191" s="218"/>
      <c r="C191" s="218"/>
      <c r="D191" s="218"/>
      <c r="E191" s="218"/>
      <c r="F191" s="219"/>
      <c r="G191" s="248"/>
    </row>
    <row r="192" spans="1:7" ht="17.5" x14ac:dyDescent="0.35">
      <c r="A192" s="217"/>
      <c r="B192" s="218"/>
      <c r="C192" s="218"/>
      <c r="D192" s="218"/>
      <c r="E192" s="218"/>
      <c r="F192" s="219"/>
      <c r="G192" s="248"/>
    </row>
    <row r="193" spans="1:7" ht="17.5" x14ac:dyDescent="0.35">
      <c r="A193" s="217"/>
      <c r="B193" s="218"/>
      <c r="C193" s="218"/>
      <c r="D193" s="218"/>
      <c r="E193" s="218"/>
      <c r="F193" s="219"/>
      <c r="G193" s="248"/>
    </row>
    <row r="194" spans="1:7" ht="17.5" x14ac:dyDescent="0.35">
      <c r="A194" s="217"/>
      <c r="B194" s="218"/>
      <c r="C194" s="218"/>
      <c r="D194" s="218"/>
      <c r="E194" s="218"/>
      <c r="F194" s="219"/>
      <c r="G194" s="248"/>
    </row>
    <row r="195" spans="1:7" ht="17.5" x14ac:dyDescent="0.35">
      <c r="A195" s="217"/>
      <c r="B195" s="218"/>
      <c r="C195" s="218"/>
      <c r="D195" s="218"/>
      <c r="E195" s="218"/>
      <c r="F195" s="219"/>
      <c r="G195" s="248"/>
    </row>
    <row r="196" spans="1:7" ht="17.5" x14ac:dyDescent="0.35">
      <c r="A196" s="217"/>
      <c r="B196" s="218"/>
      <c r="C196" s="218"/>
      <c r="D196" s="218"/>
      <c r="E196" s="218"/>
      <c r="F196" s="219"/>
      <c r="G196" s="248"/>
    </row>
    <row r="197" spans="1:7" ht="17.5" x14ac:dyDescent="0.35">
      <c r="A197" s="217"/>
      <c r="B197" s="218"/>
      <c r="C197" s="218"/>
      <c r="D197" s="218"/>
      <c r="E197" s="218"/>
      <c r="F197" s="219"/>
      <c r="G197" s="248"/>
    </row>
    <row r="198" spans="1:7" ht="17.5" x14ac:dyDescent="0.35">
      <c r="A198" s="217"/>
      <c r="B198" s="218"/>
      <c r="C198" s="218"/>
      <c r="D198" s="218"/>
      <c r="E198" s="218"/>
      <c r="F198" s="219"/>
      <c r="G198" s="248"/>
    </row>
    <row r="199" spans="1:7" ht="17.5" x14ac:dyDescent="0.35">
      <c r="A199" s="217"/>
      <c r="B199" s="218"/>
      <c r="C199" s="218"/>
      <c r="D199" s="218"/>
      <c r="E199" s="218"/>
      <c r="F199" s="219"/>
      <c r="G199" s="248"/>
    </row>
    <row r="200" spans="1:7" ht="17.5" x14ac:dyDescent="0.35">
      <c r="A200" s="217"/>
      <c r="B200" s="218"/>
      <c r="C200" s="218"/>
      <c r="D200" s="218"/>
      <c r="E200" s="218"/>
      <c r="F200" s="219"/>
      <c r="G200" s="248"/>
    </row>
    <row r="201" spans="1:7" ht="17.5" x14ac:dyDescent="0.35">
      <c r="A201" s="217"/>
      <c r="B201" s="218"/>
      <c r="C201" s="218"/>
      <c r="D201" s="218"/>
      <c r="E201" s="218"/>
      <c r="F201" s="219"/>
      <c r="G201" s="248"/>
    </row>
    <row r="202" spans="1:7" ht="17.5" x14ac:dyDescent="0.35">
      <c r="A202" s="217"/>
      <c r="B202" s="218"/>
      <c r="C202" s="218"/>
      <c r="D202" s="218"/>
      <c r="E202" s="218"/>
      <c r="F202" s="219"/>
      <c r="G202" s="248"/>
    </row>
    <row r="203" spans="1:7" ht="17.5" x14ac:dyDescent="0.35">
      <c r="A203" s="217"/>
      <c r="B203" s="218"/>
      <c r="C203" s="218"/>
      <c r="D203" s="218"/>
      <c r="E203" s="218"/>
      <c r="F203" s="219"/>
      <c r="G203" s="248"/>
    </row>
    <row r="204" spans="1:7" ht="17.5" x14ac:dyDescent="0.35">
      <c r="A204" s="217"/>
      <c r="B204" s="218"/>
      <c r="C204" s="218"/>
      <c r="D204" s="218"/>
      <c r="E204" s="218"/>
      <c r="F204" s="219"/>
      <c r="G204" s="248"/>
    </row>
    <row r="205" spans="1:7" ht="17.5" x14ac:dyDescent="0.35">
      <c r="A205" s="217"/>
      <c r="B205" s="218"/>
      <c r="C205" s="218"/>
      <c r="D205" s="218"/>
      <c r="E205" s="218"/>
      <c r="F205" s="219"/>
      <c r="G205" s="248"/>
    </row>
    <row r="206" spans="1:7" ht="17.5" x14ac:dyDescent="0.35">
      <c r="A206" s="217"/>
      <c r="B206" s="218"/>
      <c r="C206" s="218"/>
      <c r="D206" s="218"/>
      <c r="E206" s="218"/>
      <c r="F206" s="219"/>
      <c r="G206" s="248"/>
    </row>
    <row r="207" spans="1:7" ht="17.5" x14ac:dyDescent="0.35">
      <c r="A207" s="217"/>
      <c r="B207" s="218"/>
      <c r="C207" s="218"/>
      <c r="D207" s="218"/>
      <c r="E207" s="218"/>
      <c r="F207" s="219"/>
      <c r="G207" s="248"/>
    </row>
    <row r="208" spans="1:7" ht="17.5" x14ac:dyDescent="0.35">
      <c r="A208" s="217"/>
      <c r="B208" s="218"/>
      <c r="C208" s="218"/>
      <c r="D208" s="218"/>
      <c r="E208" s="218"/>
      <c r="F208" s="219"/>
      <c r="G208" s="248"/>
    </row>
    <row r="209" spans="1:7" ht="17.5" x14ac:dyDescent="0.35">
      <c r="A209" s="217"/>
      <c r="B209" s="218"/>
      <c r="C209" s="218"/>
      <c r="D209" s="218"/>
      <c r="E209" s="218"/>
      <c r="F209" s="219"/>
      <c r="G209" s="248"/>
    </row>
    <row r="210" spans="1:7" ht="17.5" x14ac:dyDescent="0.35">
      <c r="A210" s="217"/>
      <c r="B210" s="218"/>
      <c r="C210" s="218"/>
      <c r="D210" s="218"/>
      <c r="E210" s="218"/>
      <c r="F210" s="219"/>
      <c r="G210" s="248"/>
    </row>
    <row r="211" spans="1:7" ht="17.5" x14ac:dyDescent="0.35">
      <c r="A211" s="217"/>
      <c r="B211" s="218"/>
      <c r="C211" s="218"/>
      <c r="D211" s="218"/>
      <c r="E211" s="218"/>
      <c r="F211" s="219"/>
      <c r="G211" s="248"/>
    </row>
    <row r="212" spans="1:7" ht="17.5" x14ac:dyDescent="0.35">
      <c r="A212" s="217"/>
      <c r="B212" s="218"/>
      <c r="C212" s="218"/>
      <c r="D212" s="218"/>
      <c r="E212" s="218"/>
      <c r="F212" s="219"/>
      <c r="G212" s="248"/>
    </row>
    <row r="213" spans="1:7" ht="17.5" x14ac:dyDescent="0.35">
      <c r="A213" s="217"/>
      <c r="B213" s="218"/>
      <c r="C213" s="218"/>
      <c r="D213" s="218"/>
      <c r="E213" s="218"/>
      <c r="F213" s="219"/>
      <c r="G213" s="248"/>
    </row>
    <row r="214" spans="1:7" ht="17.5" x14ac:dyDescent="0.35">
      <c r="A214" s="217"/>
      <c r="B214" s="218"/>
      <c r="C214" s="218"/>
      <c r="D214" s="218"/>
      <c r="E214" s="218"/>
      <c r="F214" s="219"/>
      <c r="G214" s="248"/>
    </row>
    <row r="215" spans="1:7" ht="17.5" x14ac:dyDescent="0.35">
      <c r="A215" s="217"/>
      <c r="B215" s="218"/>
      <c r="C215" s="218"/>
      <c r="D215" s="218"/>
      <c r="E215" s="218"/>
      <c r="F215" s="219"/>
      <c r="G215" s="248"/>
    </row>
    <row r="216" spans="1:7" ht="17.5" x14ac:dyDescent="0.35">
      <c r="A216" s="217"/>
      <c r="B216" s="218"/>
      <c r="C216" s="218"/>
      <c r="D216" s="218"/>
      <c r="E216" s="218"/>
      <c r="F216" s="219"/>
      <c r="G216" s="248"/>
    </row>
    <row r="217" spans="1:7" ht="17.5" x14ac:dyDescent="0.35">
      <c r="A217" s="217"/>
      <c r="B217" s="218"/>
      <c r="C217" s="218"/>
      <c r="D217" s="218"/>
      <c r="E217" s="218"/>
      <c r="F217" s="219"/>
      <c r="G217" s="248"/>
    </row>
    <row r="218" spans="1:7" ht="17.5" x14ac:dyDescent="0.35">
      <c r="A218" s="217"/>
      <c r="B218" s="218"/>
      <c r="C218" s="218"/>
      <c r="D218" s="218"/>
      <c r="E218" s="218"/>
      <c r="F218" s="219"/>
      <c r="G218" s="248"/>
    </row>
    <row r="219" spans="1:7" ht="17.5" x14ac:dyDescent="0.35">
      <c r="A219" s="217"/>
      <c r="B219" s="218"/>
      <c r="C219" s="218"/>
      <c r="D219" s="218"/>
      <c r="E219" s="218"/>
      <c r="F219" s="219"/>
      <c r="G219" s="248"/>
    </row>
    <row r="220" spans="1:7" ht="17.5" x14ac:dyDescent="0.35">
      <c r="A220" s="217"/>
      <c r="B220" s="218"/>
      <c r="C220" s="218"/>
      <c r="D220" s="218"/>
      <c r="E220" s="218"/>
      <c r="F220" s="219"/>
      <c r="G220" s="248"/>
    </row>
    <row r="221" spans="1:7" ht="17.5" x14ac:dyDescent="0.35">
      <c r="A221" s="217"/>
      <c r="B221" s="218"/>
      <c r="C221" s="218"/>
      <c r="D221" s="218"/>
      <c r="E221" s="218"/>
      <c r="F221" s="219"/>
      <c r="G221" s="248"/>
    </row>
    <row r="222" spans="1:7" ht="17.5" x14ac:dyDescent="0.35">
      <c r="A222" s="217"/>
      <c r="B222" s="218"/>
      <c r="C222" s="218"/>
      <c r="D222" s="218"/>
      <c r="E222" s="218"/>
      <c r="F222" s="219"/>
      <c r="G222" s="248"/>
    </row>
    <row r="223" spans="1:7" ht="17.5" x14ac:dyDescent="0.35">
      <c r="A223" s="217"/>
      <c r="B223" s="218"/>
      <c r="C223" s="218"/>
      <c r="D223" s="218"/>
      <c r="E223" s="218"/>
      <c r="F223" s="219"/>
      <c r="G223" s="248"/>
    </row>
    <row r="224" spans="1:7" ht="17.5" x14ac:dyDescent="0.35">
      <c r="A224" s="217"/>
      <c r="B224" s="218"/>
      <c r="C224" s="218"/>
      <c r="D224" s="218"/>
      <c r="E224" s="218"/>
      <c r="F224" s="219"/>
      <c r="G224" s="248"/>
    </row>
    <row r="225" spans="1:7" ht="17.5" x14ac:dyDescent="0.35">
      <c r="A225" s="217"/>
      <c r="B225" s="218"/>
      <c r="C225" s="218"/>
      <c r="D225" s="218"/>
      <c r="E225" s="218"/>
      <c r="F225" s="219"/>
      <c r="G225" s="248"/>
    </row>
    <row r="226" spans="1:7" ht="17.5" x14ac:dyDescent="0.35">
      <c r="A226" s="217"/>
      <c r="B226" s="218"/>
      <c r="C226" s="218"/>
      <c r="D226" s="218"/>
      <c r="E226" s="218"/>
      <c r="F226" s="219"/>
      <c r="G226" s="248"/>
    </row>
    <row r="227" spans="1:7" ht="17.5" x14ac:dyDescent="0.35">
      <c r="A227" s="217"/>
      <c r="B227" s="218"/>
      <c r="C227" s="218"/>
      <c r="D227" s="218"/>
      <c r="E227" s="218"/>
      <c r="F227" s="219"/>
      <c r="G227" s="248"/>
    </row>
    <row r="228" spans="1:7" ht="17.5" x14ac:dyDescent="0.35">
      <c r="A228" s="217"/>
      <c r="B228" s="218"/>
      <c r="C228" s="218"/>
      <c r="D228" s="218"/>
      <c r="E228" s="218"/>
      <c r="F228" s="219"/>
      <c r="G228" s="248"/>
    </row>
    <row r="229" spans="1:7" ht="17.5" x14ac:dyDescent="0.35">
      <c r="A229" s="217"/>
      <c r="B229" s="218"/>
      <c r="C229" s="218"/>
      <c r="D229" s="218"/>
      <c r="E229" s="218"/>
      <c r="F229" s="219"/>
      <c r="G229" s="248"/>
    </row>
    <row r="230" spans="1:7" ht="17.5" x14ac:dyDescent="0.35">
      <c r="A230" s="217"/>
      <c r="B230" s="218"/>
      <c r="C230" s="218"/>
      <c r="D230" s="218"/>
      <c r="E230" s="218"/>
      <c r="F230" s="219"/>
      <c r="G230" s="248"/>
    </row>
    <row r="231" spans="1:7" ht="17.5" x14ac:dyDescent="0.35">
      <c r="A231" s="217"/>
      <c r="B231" s="218"/>
      <c r="C231" s="218"/>
      <c r="D231" s="218"/>
      <c r="E231" s="218"/>
      <c r="F231" s="219"/>
      <c r="G231" s="248"/>
    </row>
    <row r="232" spans="1:7" ht="17.5" x14ac:dyDescent="0.35">
      <c r="A232" s="217"/>
      <c r="B232" s="218"/>
      <c r="C232" s="218"/>
      <c r="D232" s="218"/>
      <c r="E232" s="218"/>
      <c r="F232" s="219"/>
      <c r="G232" s="248"/>
    </row>
    <row r="233" spans="1:7" ht="17.5" x14ac:dyDescent="0.35">
      <c r="A233" s="217"/>
      <c r="B233" s="218"/>
      <c r="C233" s="218"/>
      <c r="D233" s="218"/>
      <c r="E233" s="218"/>
      <c r="F233" s="219"/>
      <c r="G233" s="248"/>
    </row>
    <row r="234" spans="1:7" ht="17.5" x14ac:dyDescent="0.35">
      <c r="A234" s="217"/>
      <c r="B234" s="218"/>
      <c r="C234" s="218"/>
      <c r="D234" s="218"/>
      <c r="E234" s="218"/>
      <c r="F234" s="219"/>
      <c r="G234" s="248"/>
    </row>
    <row r="235" spans="1:7" ht="17.5" x14ac:dyDescent="0.35">
      <c r="A235" s="217"/>
      <c r="B235" s="218"/>
      <c r="C235" s="218"/>
      <c r="D235" s="218"/>
      <c r="E235" s="218"/>
      <c r="F235" s="219"/>
      <c r="G235" s="248"/>
    </row>
    <row r="236" spans="1:7" ht="17.5" x14ac:dyDescent="0.35">
      <c r="A236" s="217"/>
      <c r="B236" s="218"/>
      <c r="C236" s="218"/>
      <c r="D236" s="218"/>
      <c r="E236" s="218"/>
      <c r="F236" s="219"/>
      <c r="G236" s="248"/>
    </row>
    <row r="237" spans="1:7" ht="17.5" x14ac:dyDescent="0.35">
      <c r="A237" s="217"/>
      <c r="B237" s="218"/>
      <c r="C237" s="218"/>
      <c r="D237" s="218"/>
      <c r="E237" s="218"/>
      <c r="F237" s="219"/>
      <c r="G237" s="248"/>
    </row>
    <row r="238" spans="1:7" ht="17.5" x14ac:dyDescent="0.35">
      <c r="A238" s="217"/>
      <c r="B238" s="218"/>
      <c r="C238" s="218"/>
      <c r="D238" s="218"/>
      <c r="E238" s="218"/>
      <c r="F238" s="219"/>
      <c r="G238" s="248"/>
    </row>
    <row r="239" spans="1:7" ht="17.5" x14ac:dyDescent="0.35">
      <c r="A239" s="217"/>
      <c r="B239" s="218"/>
      <c r="C239" s="218"/>
      <c r="D239" s="218"/>
      <c r="E239" s="218"/>
      <c r="F239" s="219"/>
      <c r="G239" s="248"/>
    </row>
    <row r="240" spans="1:7" ht="17.5" x14ac:dyDescent="0.35">
      <c r="A240" s="217"/>
      <c r="B240" s="218"/>
      <c r="C240" s="218"/>
      <c r="D240" s="218"/>
      <c r="E240" s="218"/>
      <c r="F240" s="219"/>
      <c r="G240" s="248"/>
    </row>
    <row r="241" spans="1:7" ht="17.5" x14ac:dyDescent="0.35">
      <c r="A241" s="217"/>
      <c r="B241" s="218"/>
      <c r="C241" s="218"/>
      <c r="D241" s="218"/>
      <c r="E241" s="218"/>
      <c r="F241" s="219"/>
      <c r="G241" s="248"/>
    </row>
    <row r="242" spans="1:7" ht="17.5" x14ac:dyDescent="0.35">
      <c r="A242" s="217"/>
      <c r="B242" s="218"/>
      <c r="C242" s="218"/>
      <c r="D242" s="218"/>
      <c r="E242" s="218"/>
      <c r="F242" s="219"/>
      <c r="G242" s="248"/>
    </row>
    <row r="243" spans="1:7" ht="17.5" x14ac:dyDescent="0.35">
      <c r="A243" s="217"/>
      <c r="B243" s="218"/>
      <c r="C243" s="218"/>
      <c r="D243" s="218"/>
      <c r="E243" s="218"/>
      <c r="F243" s="219"/>
      <c r="G243" s="248"/>
    </row>
    <row r="244" spans="1:7" ht="17.5" x14ac:dyDescent="0.35">
      <c r="A244" s="217"/>
      <c r="B244" s="218"/>
      <c r="C244" s="218"/>
      <c r="D244" s="218"/>
      <c r="E244" s="218"/>
      <c r="F244" s="219"/>
      <c r="G244" s="248"/>
    </row>
    <row r="245" spans="1:7" ht="17.5" x14ac:dyDescent="0.35">
      <c r="A245" s="217"/>
      <c r="B245" s="218"/>
      <c r="C245" s="218"/>
      <c r="D245" s="218"/>
      <c r="E245" s="218"/>
      <c r="F245" s="219"/>
      <c r="G245" s="248"/>
    </row>
    <row r="246" spans="1:7" ht="17.5" x14ac:dyDescent="0.35">
      <c r="A246" s="217"/>
      <c r="B246" s="218"/>
      <c r="C246" s="218"/>
      <c r="D246" s="218"/>
      <c r="E246" s="218"/>
      <c r="F246" s="219"/>
      <c r="G246" s="248"/>
    </row>
    <row r="247" spans="1:7" ht="17.5" x14ac:dyDescent="0.35">
      <c r="A247" s="217"/>
      <c r="B247" s="218"/>
      <c r="C247" s="218"/>
      <c r="D247" s="218"/>
      <c r="E247" s="218"/>
      <c r="F247" s="219"/>
      <c r="G247" s="248"/>
    </row>
    <row r="248" spans="1:7" ht="17.5" x14ac:dyDescent="0.35">
      <c r="A248" s="217"/>
      <c r="B248" s="218"/>
      <c r="C248" s="218"/>
      <c r="D248" s="218"/>
      <c r="E248" s="218"/>
      <c r="F248" s="219"/>
      <c r="G248" s="248"/>
    </row>
    <row r="249" spans="1:7" ht="17.5" x14ac:dyDescent="0.35">
      <c r="A249" s="217"/>
      <c r="B249" s="218"/>
      <c r="C249" s="218"/>
      <c r="D249" s="218"/>
      <c r="E249" s="218"/>
      <c r="F249" s="219"/>
      <c r="G249" s="248"/>
    </row>
    <row r="250" spans="1:7" ht="17.5" x14ac:dyDescent="0.35">
      <c r="A250" s="217"/>
      <c r="B250" s="218"/>
      <c r="C250" s="218"/>
      <c r="D250" s="218"/>
      <c r="E250" s="218"/>
      <c r="F250" s="219"/>
      <c r="G250" s="248"/>
    </row>
    <row r="251" spans="1:7" ht="17.5" x14ac:dyDescent="0.35">
      <c r="A251" s="217"/>
      <c r="B251" s="218"/>
      <c r="C251" s="218"/>
      <c r="D251" s="218"/>
      <c r="E251" s="218"/>
      <c r="F251" s="219"/>
      <c r="G251" s="248"/>
    </row>
    <row r="252" spans="1:7" ht="17.5" x14ac:dyDescent="0.35">
      <c r="A252" s="217"/>
      <c r="B252" s="218"/>
      <c r="C252" s="218"/>
      <c r="D252" s="218"/>
      <c r="E252" s="218"/>
      <c r="F252" s="219"/>
      <c r="G252" s="248"/>
    </row>
    <row r="253" spans="1:7" ht="17.5" x14ac:dyDescent="0.35">
      <c r="A253" s="217"/>
      <c r="B253" s="218"/>
      <c r="C253" s="218"/>
      <c r="D253" s="218"/>
      <c r="E253" s="218"/>
      <c r="F253" s="219"/>
      <c r="G253" s="248"/>
    </row>
    <row r="254" spans="1:7" ht="17.5" x14ac:dyDescent="0.35">
      <c r="A254" s="217"/>
      <c r="B254" s="218"/>
      <c r="C254" s="218"/>
      <c r="D254" s="218"/>
      <c r="E254" s="218"/>
      <c r="F254" s="219"/>
      <c r="G254" s="248"/>
    </row>
    <row r="255" spans="1:7" ht="17.5" x14ac:dyDescent="0.35">
      <c r="A255" s="217"/>
      <c r="B255" s="218"/>
      <c r="C255" s="218"/>
      <c r="D255" s="218"/>
      <c r="E255" s="218"/>
      <c r="F255" s="219"/>
      <c r="G255" s="248"/>
    </row>
    <row r="256" spans="1:7" ht="17.5" x14ac:dyDescent="0.35">
      <c r="A256" s="217"/>
      <c r="B256" s="218"/>
      <c r="C256" s="218"/>
      <c r="D256" s="218"/>
      <c r="E256" s="218"/>
      <c r="F256" s="219"/>
      <c r="G256" s="248"/>
    </row>
    <row r="257" spans="1:7" ht="17.5" x14ac:dyDescent="0.35">
      <c r="A257" s="217"/>
      <c r="B257" s="218"/>
      <c r="C257" s="218"/>
      <c r="D257" s="218"/>
      <c r="E257" s="218"/>
      <c r="F257" s="219"/>
      <c r="G257" s="248"/>
    </row>
    <row r="258" spans="1:7" ht="17.5" x14ac:dyDescent="0.35">
      <c r="A258" s="217"/>
      <c r="B258" s="218"/>
      <c r="C258" s="218"/>
      <c r="D258" s="218"/>
      <c r="E258" s="218"/>
      <c r="F258" s="219"/>
      <c r="G258" s="248"/>
    </row>
    <row r="259" spans="1:7" ht="17.5" x14ac:dyDescent="0.35">
      <c r="A259" s="217"/>
      <c r="B259" s="218"/>
      <c r="C259" s="218"/>
      <c r="D259" s="218"/>
      <c r="E259" s="218"/>
      <c r="F259" s="219"/>
      <c r="G259" s="248"/>
    </row>
    <row r="260" spans="1:7" ht="17.5" x14ac:dyDescent="0.35">
      <c r="A260" s="217"/>
      <c r="B260" s="218"/>
      <c r="C260" s="218"/>
      <c r="D260" s="218"/>
      <c r="E260" s="218"/>
      <c r="F260" s="219"/>
      <c r="G260" s="248"/>
    </row>
    <row r="261" spans="1:7" ht="17.5" x14ac:dyDescent="0.35">
      <c r="A261" s="217"/>
      <c r="B261" s="218"/>
      <c r="C261" s="218"/>
      <c r="D261" s="218"/>
      <c r="E261" s="218"/>
      <c r="F261" s="219"/>
      <c r="G261" s="248"/>
    </row>
    <row r="262" spans="1:7" ht="17.5" x14ac:dyDescent="0.35">
      <c r="A262" s="217"/>
      <c r="B262" s="218"/>
      <c r="C262" s="218"/>
      <c r="D262" s="218"/>
      <c r="E262" s="218"/>
      <c r="F262" s="219"/>
      <c r="G262" s="248"/>
    </row>
    <row r="263" spans="1:7" ht="17.5" x14ac:dyDescent="0.35">
      <c r="A263" s="217"/>
      <c r="B263" s="218"/>
      <c r="C263" s="218"/>
      <c r="D263" s="218"/>
      <c r="E263" s="218"/>
      <c r="F263" s="219"/>
      <c r="G263" s="248"/>
    </row>
    <row r="264" spans="1:7" ht="17.5" x14ac:dyDescent="0.35">
      <c r="A264" s="217"/>
      <c r="B264" s="218"/>
      <c r="C264" s="218"/>
      <c r="D264" s="218"/>
      <c r="E264" s="218"/>
      <c r="F264" s="219"/>
      <c r="G264" s="248"/>
    </row>
    <row r="265" spans="1:7" ht="17.5" x14ac:dyDescent="0.35">
      <c r="A265" s="217"/>
      <c r="B265" s="218"/>
      <c r="C265" s="218"/>
      <c r="D265" s="218"/>
      <c r="E265" s="218"/>
      <c r="F265" s="219"/>
      <c r="G265" s="248"/>
    </row>
    <row r="266" spans="1:7" ht="17.5" x14ac:dyDescent="0.35">
      <c r="A266" s="217"/>
      <c r="B266" s="218"/>
      <c r="C266" s="218"/>
      <c r="D266" s="218"/>
      <c r="E266" s="218"/>
      <c r="F266" s="219"/>
      <c r="G266" s="248"/>
    </row>
    <row r="267" spans="1:7" ht="17.5" x14ac:dyDescent="0.35">
      <c r="A267" s="217"/>
      <c r="B267" s="218"/>
      <c r="C267" s="218"/>
      <c r="D267" s="218"/>
      <c r="E267" s="218"/>
      <c r="F267" s="219"/>
      <c r="G267" s="248"/>
    </row>
    <row r="268" spans="1:7" ht="17.5" x14ac:dyDescent="0.35">
      <c r="A268" s="217"/>
      <c r="B268" s="218"/>
      <c r="C268" s="218"/>
      <c r="D268" s="218"/>
      <c r="E268" s="218"/>
      <c r="F268" s="219"/>
      <c r="G268" s="248"/>
    </row>
    <row r="269" spans="1:7" ht="17.5" x14ac:dyDescent="0.35">
      <c r="A269" s="217"/>
      <c r="B269" s="218"/>
      <c r="C269" s="218"/>
      <c r="D269" s="218"/>
      <c r="E269" s="218"/>
      <c r="F269" s="219"/>
      <c r="G269" s="248"/>
    </row>
    <row r="270" spans="1:7" ht="17.5" x14ac:dyDescent="0.35">
      <c r="A270" s="217"/>
      <c r="B270" s="218"/>
      <c r="C270" s="218"/>
      <c r="D270" s="218"/>
      <c r="E270" s="218"/>
      <c r="F270" s="219"/>
      <c r="G270" s="248"/>
    </row>
    <row r="271" spans="1:7" ht="17.5" x14ac:dyDescent="0.35">
      <c r="A271" s="217"/>
      <c r="B271" s="218"/>
      <c r="C271" s="218"/>
      <c r="D271" s="218"/>
      <c r="E271" s="218"/>
      <c r="F271" s="219"/>
      <c r="G271" s="248"/>
    </row>
    <row r="272" spans="1:7" ht="17.5" x14ac:dyDescent="0.35">
      <c r="A272" s="217"/>
      <c r="B272" s="218"/>
      <c r="C272" s="218"/>
      <c r="D272" s="218"/>
      <c r="E272" s="218"/>
      <c r="F272" s="219"/>
      <c r="G272" s="248"/>
    </row>
    <row r="273" spans="1:7" ht="17.5" x14ac:dyDescent="0.35">
      <c r="A273" s="217"/>
      <c r="B273" s="218"/>
      <c r="C273" s="218"/>
      <c r="D273" s="218"/>
      <c r="E273" s="218"/>
      <c r="F273" s="219"/>
      <c r="G273" s="248"/>
    </row>
    <row r="274" spans="1:7" ht="17.5" x14ac:dyDescent="0.35">
      <c r="A274" s="248"/>
      <c r="B274" s="249"/>
      <c r="C274" s="249"/>
      <c r="D274" s="249"/>
      <c r="E274" s="249"/>
      <c r="F274" s="250"/>
      <c r="G274" s="248"/>
    </row>
    <row r="275" spans="1:7" ht="17.5" x14ac:dyDescent="0.35">
      <c r="A275" s="248"/>
      <c r="B275" s="249"/>
      <c r="C275" s="249"/>
      <c r="D275" s="249"/>
      <c r="E275" s="249"/>
      <c r="F275" s="250"/>
      <c r="G275" s="248"/>
    </row>
    <row r="276" spans="1:7" ht="17.5" x14ac:dyDescent="0.35">
      <c r="A276" s="248"/>
      <c r="B276" s="249"/>
      <c r="C276" s="249"/>
      <c r="D276" s="249"/>
      <c r="E276" s="249"/>
      <c r="F276" s="250"/>
      <c r="G276" s="248"/>
    </row>
    <row r="277" spans="1:7" ht="17.5" x14ac:dyDescent="0.35">
      <c r="A277" s="248"/>
      <c r="B277" s="249"/>
      <c r="C277" s="249"/>
      <c r="D277" s="249"/>
      <c r="E277" s="249"/>
      <c r="F277" s="250"/>
      <c r="G277" s="248"/>
    </row>
    <row r="278" spans="1:7" ht="17.5" x14ac:dyDescent="0.35">
      <c r="A278" s="248"/>
      <c r="B278" s="249"/>
      <c r="C278" s="249"/>
      <c r="D278" s="249"/>
      <c r="E278" s="249"/>
      <c r="F278" s="250"/>
      <c r="G278" s="248"/>
    </row>
    <row r="279" spans="1:7" ht="17.5" x14ac:dyDescent="0.35">
      <c r="A279" s="248"/>
      <c r="B279" s="249"/>
      <c r="C279" s="249"/>
      <c r="D279" s="249"/>
      <c r="E279" s="249"/>
      <c r="F279" s="250"/>
      <c r="G279" s="248"/>
    </row>
    <row r="280" spans="1:7" ht="17.5" x14ac:dyDescent="0.35">
      <c r="A280" s="248"/>
      <c r="B280" s="249"/>
      <c r="C280" s="249"/>
      <c r="D280" s="249"/>
      <c r="E280" s="249"/>
      <c r="F280" s="250"/>
      <c r="G280" s="248"/>
    </row>
    <row r="281" spans="1:7" ht="17.5" x14ac:dyDescent="0.35">
      <c r="A281" s="248"/>
      <c r="B281" s="249"/>
      <c r="C281" s="249"/>
      <c r="D281" s="249"/>
      <c r="E281" s="249"/>
      <c r="F281" s="250"/>
      <c r="G281" s="248"/>
    </row>
    <row r="282" spans="1:7" ht="17.5" x14ac:dyDescent="0.35">
      <c r="A282" s="248"/>
      <c r="B282" s="249"/>
      <c r="C282" s="249"/>
      <c r="D282" s="249"/>
      <c r="E282" s="249"/>
      <c r="F282" s="250"/>
      <c r="G282" s="248"/>
    </row>
    <row r="283" spans="1:7" ht="17.5" x14ac:dyDescent="0.35">
      <c r="A283" s="248"/>
      <c r="B283" s="249"/>
      <c r="C283" s="249"/>
      <c r="D283" s="249"/>
      <c r="E283" s="249"/>
      <c r="F283" s="250"/>
      <c r="G283" s="248"/>
    </row>
    <row r="284" spans="1:7" ht="17.5" x14ac:dyDescent="0.35">
      <c r="A284" s="248"/>
      <c r="B284" s="249"/>
      <c r="C284" s="249"/>
      <c r="D284" s="249"/>
      <c r="E284" s="249"/>
      <c r="F284" s="250"/>
      <c r="G284" s="248"/>
    </row>
    <row r="285" spans="1:7" ht="17.5" x14ac:dyDescent="0.35">
      <c r="A285" s="248"/>
      <c r="B285" s="249"/>
      <c r="C285" s="249"/>
      <c r="D285" s="249"/>
      <c r="E285" s="249"/>
      <c r="F285" s="250"/>
      <c r="G285" s="248"/>
    </row>
    <row r="286" spans="1:7" ht="17.5" x14ac:dyDescent="0.35">
      <c r="A286" s="248"/>
      <c r="B286" s="249"/>
      <c r="C286" s="249"/>
      <c r="D286" s="249"/>
      <c r="E286" s="249"/>
      <c r="F286" s="250"/>
      <c r="G286" s="248"/>
    </row>
    <row r="287" spans="1:7" ht="17.5" x14ac:dyDescent="0.35">
      <c r="A287" s="248"/>
      <c r="B287" s="249"/>
      <c r="C287" s="249"/>
      <c r="D287" s="249"/>
      <c r="E287" s="249"/>
      <c r="F287" s="250"/>
      <c r="G287" s="248"/>
    </row>
    <row r="288" spans="1:7" ht="17.5" x14ac:dyDescent="0.35">
      <c r="A288" s="248"/>
      <c r="B288" s="249"/>
      <c r="C288" s="249"/>
      <c r="D288" s="249"/>
      <c r="E288" s="249"/>
      <c r="F288" s="250"/>
      <c r="G288" s="248"/>
    </row>
    <row r="289" spans="1:7" ht="17.5" x14ac:dyDescent="0.35">
      <c r="A289" s="248"/>
      <c r="B289" s="249"/>
      <c r="C289" s="249"/>
      <c r="D289" s="249"/>
      <c r="E289" s="249"/>
      <c r="F289" s="250"/>
      <c r="G289" s="248"/>
    </row>
    <row r="290" spans="1:7" ht="17.5" x14ac:dyDescent="0.35">
      <c r="A290" s="248"/>
      <c r="B290" s="249"/>
      <c r="C290" s="249"/>
      <c r="D290" s="249"/>
      <c r="E290" s="249"/>
      <c r="F290" s="250"/>
      <c r="G290" s="248"/>
    </row>
    <row r="291" spans="1:7" ht="17.5" x14ac:dyDescent="0.35">
      <c r="A291" s="248"/>
      <c r="B291" s="249"/>
      <c r="C291" s="249"/>
      <c r="D291" s="249"/>
      <c r="E291" s="249"/>
      <c r="F291" s="250"/>
      <c r="G291" s="248"/>
    </row>
    <row r="292" spans="1:7" ht="17.5" x14ac:dyDescent="0.35">
      <c r="A292" s="248"/>
      <c r="B292" s="249"/>
      <c r="C292" s="249"/>
      <c r="D292" s="249"/>
      <c r="E292" s="249"/>
      <c r="F292" s="250"/>
      <c r="G292" s="248"/>
    </row>
    <row r="293" spans="1:7" ht="17.5" x14ac:dyDescent="0.35">
      <c r="A293" s="248"/>
      <c r="B293" s="249"/>
      <c r="C293" s="249"/>
      <c r="D293" s="249"/>
      <c r="E293" s="249"/>
      <c r="F293" s="250"/>
      <c r="G293" s="248"/>
    </row>
    <row r="294" spans="1:7" ht="17.5" x14ac:dyDescent="0.35">
      <c r="A294" s="248"/>
      <c r="B294" s="249"/>
      <c r="C294" s="249"/>
      <c r="D294" s="249"/>
      <c r="E294" s="249"/>
      <c r="F294" s="250"/>
      <c r="G294" s="248"/>
    </row>
    <row r="295" spans="1:7" ht="17.5" x14ac:dyDescent="0.35">
      <c r="A295" s="248"/>
      <c r="B295" s="249"/>
      <c r="C295" s="249"/>
      <c r="D295" s="249"/>
      <c r="E295" s="249"/>
      <c r="F295" s="250"/>
      <c r="G295" s="248"/>
    </row>
  </sheetData>
  <sortState xmlns:xlrd2="http://schemas.microsoft.com/office/spreadsheetml/2017/richdata2" ref="A3:H77">
    <sortCondition ref="B3:B77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24"/>
  <sheetViews>
    <sheetView workbookViewId="0">
      <pane ySplit="1" topLeftCell="A2" activePane="bottomLeft" state="frozen"/>
      <selection activeCell="C26" sqref="C26"/>
      <selection pane="bottomLeft" activeCell="E2" sqref="E2:E16"/>
    </sheetView>
  </sheetViews>
  <sheetFormatPr defaultRowHeight="14.5" x14ac:dyDescent="0.35"/>
  <cols>
    <col min="1" max="1" width="63.36328125" bestFit="1" customWidth="1"/>
    <col min="2" max="2" width="16.08984375" customWidth="1"/>
    <col min="3" max="3" width="21.1796875" style="131" customWidth="1"/>
    <col min="4" max="4" width="21.81640625" customWidth="1"/>
    <col min="5" max="5" width="14.36328125" customWidth="1"/>
    <col min="6" max="6" width="11.90625" customWidth="1"/>
    <col min="7" max="7" width="13.08984375" customWidth="1"/>
    <col min="8" max="8" width="18.6328125" customWidth="1"/>
  </cols>
  <sheetData>
    <row r="1" spans="1:8" ht="15.5" x14ac:dyDescent="0.35">
      <c r="A1" s="658" t="s">
        <v>0</v>
      </c>
      <c r="B1" s="110" t="s">
        <v>1</v>
      </c>
      <c r="C1" s="281" t="s">
        <v>2700</v>
      </c>
      <c r="D1" s="21" t="s">
        <v>1598</v>
      </c>
      <c r="E1" s="21" t="s">
        <v>1599</v>
      </c>
      <c r="F1" s="82" t="s">
        <v>364</v>
      </c>
      <c r="G1" s="326" t="s">
        <v>2695</v>
      </c>
      <c r="H1" s="305" t="s">
        <v>2696</v>
      </c>
    </row>
    <row r="2" spans="1:8" ht="15.5" x14ac:dyDescent="0.35">
      <c r="A2" s="234" t="s">
        <v>1091</v>
      </c>
      <c r="B2" s="99" t="s">
        <v>1610</v>
      </c>
      <c r="C2" s="315"/>
      <c r="D2" s="115"/>
      <c r="E2" s="115">
        <v>55719</v>
      </c>
      <c r="F2" s="26">
        <v>1</v>
      </c>
      <c r="G2" s="337"/>
      <c r="H2" s="313"/>
    </row>
    <row r="3" spans="1:8" s="20" customFormat="1" ht="15.5" x14ac:dyDescent="0.35">
      <c r="A3" s="234" t="s">
        <v>16</v>
      </c>
      <c r="B3" s="99" t="s">
        <v>360</v>
      </c>
      <c r="C3" s="315"/>
      <c r="D3" s="115"/>
      <c r="E3" s="115">
        <v>55719</v>
      </c>
      <c r="F3" s="26">
        <v>1</v>
      </c>
      <c r="G3" s="337"/>
      <c r="H3" s="313"/>
    </row>
    <row r="4" spans="1:8" s="20" customFormat="1" ht="15.5" x14ac:dyDescent="0.35">
      <c r="A4" s="234" t="s">
        <v>171</v>
      </c>
      <c r="B4" s="99" t="s">
        <v>565</v>
      </c>
      <c r="C4" s="315"/>
      <c r="D4" s="115"/>
      <c r="E4" s="115">
        <v>55719</v>
      </c>
      <c r="F4" s="26">
        <v>1</v>
      </c>
      <c r="G4" s="337"/>
      <c r="H4" s="313"/>
    </row>
    <row r="5" spans="1:8" ht="15.5" x14ac:dyDescent="0.35">
      <c r="A5" s="234" t="s">
        <v>15</v>
      </c>
      <c r="B5" s="99" t="s">
        <v>424</v>
      </c>
      <c r="C5" s="315"/>
      <c r="D5" s="115"/>
      <c r="E5" s="115">
        <v>55719</v>
      </c>
      <c r="F5" s="26">
        <v>1</v>
      </c>
      <c r="G5" s="337"/>
      <c r="H5" s="313"/>
    </row>
    <row r="6" spans="1:8" ht="15.5" x14ac:dyDescent="0.35">
      <c r="A6" s="234" t="s">
        <v>1019</v>
      </c>
      <c r="B6" s="99" t="s">
        <v>90</v>
      </c>
      <c r="C6" s="315"/>
      <c r="D6" s="115"/>
      <c r="E6" s="115">
        <v>55719</v>
      </c>
      <c r="F6" s="26">
        <v>1</v>
      </c>
      <c r="G6" s="337"/>
      <c r="H6" s="313"/>
    </row>
    <row r="7" spans="1:8" ht="15.5" x14ac:dyDescent="0.35">
      <c r="A7" s="234" t="s">
        <v>1127</v>
      </c>
      <c r="B7" s="99" t="s">
        <v>539</v>
      </c>
      <c r="C7" s="315"/>
      <c r="D7" s="115"/>
      <c r="E7" s="115">
        <v>55719</v>
      </c>
      <c r="F7" s="26">
        <v>1</v>
      </c>
      <c r="G7" s="337"/>
      <c r="H7" s="313"/>
    </row>
    <row r="8" spans="1:8" ht="15.5" x14ac:dyDescent="0.35">
      <c r="A8" s="234" t="s">
        <v>6</v>
      </c>
      <c r="B8" s="99" t="s">
        <v>87</v>
      </c>
      <c r="C8" s="315"/>
      <c r="D8" s="115"/>
      <c r="E8" s="115">
        <v>55719</v>
      </c>
      <c r="F8" s="26">
        <v>1</v>
      </c>
      <c r="G8" s="337"/>
      <c r="H8" s="313"/>
    </row>
    <row r="9" spans="1:8" ht="15.5" x14ac:dyDescent="0.35">
      <c r="A9" s="234" t="s">
        <v>885</v>
      </c>
      <c r="B9" s="99" t="s">
        <v>229</v>
      </c>
      <c r="C9" s="315"/>
      <c r="D9" s="115"/>
      <c r="E9" s="115">
        <v>55719</v>
      </c>
      <c r="F9" s="26">
        <v>1</v>
      </c>
      <c r="G9" s="337"/>
      <c r="H9" s="313"/>
    </row>
    <row r="10" spans="1:8" ht="15.5" x14ac:dyDescent="0.35">
      <c r="A10" s="234" t="s">
        <v>1235</v>
      </c>
      <c r="B10" s="99" t="s">
        <v>497</v>
      </c>
      <c r="C10" s="315"/>
      <c r="D10" s="115"/>
      <c r="E10" s="115">
        <v>55719</v>
      </c>
      <c r="F10" s="26">
        <v>1</v>
      </c>
      <c r="G10" s="337"/>
      <c r="H10" s="313"/>
    </row>
    <row r="11" spans="1:8" ht="15.5" x14ac:dyDescent="0.35">
      <c r="A11" s="234" t="s">
        <v>1042</v>
      </c>
      <c r="B11" s="99" t="s">
        <v>714</v>
      </c>
      <c r="C11" s="315"/>
      <c r="D11" s="115"/>
      <c r="E11" s="115">
        <v>55719</v>
      </c>
      <c r="F11" s="26">
        <v>1</v>
      </c>
      <c r="G11" s="337"/>
      <c r="H11" s="313"/>
    </row>
    <row r="12" spans="1:8" ht="15.5" x14ac:dyDescent="0.35">
      <c r="A12" s="234" t="s">
        <v>992</v>
      </c>
      <c r="B12" s="99" t="s">
        <v>709</v>
      </c>
      <c r="C12" s="315"/>
      <c r="D12" s="115"/>
      <c r="E12" s="115">
        <v>55719</v>
      </c>
      <c r="F12" s="26">
        <v>1</v>
      </c>
      <c r="G12" s="337"/>
      <c r="H12" s="313"/>
    </row>
    <row r="13" spans="1:8" ht="15.5" x14ac:dyDescent="0.35">
      <c r="A13" s="234" t="s">
        <v>930</v>
      </c>
      <c r="B13" s="99" t="s">
        <v>88</v>
      </c>
      <c r="C13" s="315"/>
      <c r="D13" s="115"/>
      <c r="E13" s="115">
        <v>55719</v>
      </c>
      <c r="F13" s="26">
        <v>1</v>
      </c>
      <c r="G13" s="337"/>
      <c r="H13" s="313"/>
    </row>
    <row r="14" spans="1:8" ht="15.5" x14ac:dyDescent="0.35">
      <c r="A14" s="234" t="s">
        <v>1060</v>
      </c>
      <c r="B14" s="99" t="s">
        <v>74</v>
      </c>
      <c r="C14" s="315"/>
      <c r="D14" s="115"/>
      <c r="E14" s="115">
        <v>55719</v>
      </c>
      <c r="F14" s="26">
        <v>1</v>
      </c>
      <c r="G14" s="337"/>
      <c r="H14" s="313"/>
    </row>
    <row r="15" spans="1:8" ht="15.5" x14ac:dyDescent="0.35">
      <c r="A15" s="234" t="s">
        <v>1062</v>
      </c>
      <c r="B15" s="99" t="s">
        <v>261</v>
      </c>
      <c r="C15" s="315"/>
      <c r="D15" s="115"/>
      <c r="E15" s="115">
        <v>55719</v>
      </c>
      <c r="F15" s="26">
        <v>1</v>
      </c>
      <c r="G15" s="337"/>
      <c r="H15" s="313"/>
    </row>
    <row r="16" spans="1:8" ht="15.5" x14ac:dyDescent="0.35">
      <c r="A16" s="657" t="s">
        <v>881</v>
      </c>
      <c r="B16" s="225" t="s">
        <v>417</v>
      </c>
      <c r="C16" s="547"/>
      <c r="D16" s="226"/>
      <c r="E16" s="226">
        <v>55719</v>
      </c>
      <c r="F16" s="227">
        <v>1</v>
      </c>
      <c r="G16" s="342"/>
      <c r="H16" s="659"/>
    </row>
    <row r="21" spans="1:7" ht="17.5" x14ac:dyDescent="0.35">
      <c r="A21" s="309" t="s">
        <v>2227</v>
      </c>
      <c r="B21" s="312"/>
      <c r="C21" s="249"/>
      <c r="D21" s="3"/>
      <c r="E21" s="3"/>
      <c r="F21" s="3"/>
      <c r="G21" s="37"/>
    </row>
    <row r="22" spans="1:7" ht="17.5" x14ac:dyDescent="0.35">
      <c r="A22" s="309" t="s">
        <v>2411</v>
      </c>
      <c r="B22" s="312"/>
      <c r="C22" s="249"/>
      <c r="D22" s="3"/>
      <c r="E22" s="3"/>
      <c r="F22" s="3"/>
      <c r="G22" s="37"/>
    </row>
    <row r="23" spans="1:7" ht="17.5" x14ac:dyDescent="0.35">
      <c r="A23" s="310" t="s">
        <v>2620</v>
      </c>
      <c r="B23" s="339"/>
    </row>
    <row r="24" spans="1:7" ht="17.5" x14ac:dyDescent="0.35">
      <c r="A24" s="319" t="s">
        <v>2694</v>
      </c>
      <c r="B24" s="307"/>
    </row>
  </sheetData>
  <sortState xmlns:xlrd2="http://schemas.microsoft.com/office/spreadsheetml/2017/richdata2" ref="A2:H16">
    <sortCondition ref="B2:B16"/>
  </sortState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9"/>
  <sheetViews>
    <sheetView workbookViewId="0">
      <pane ySplit="1" topLeftCell="A2" activePane="bottomLeft" state="frozen"/>
      <selection activeCell="C26" sqref="C26"/>
      <selection pane="bottomLeft" activeCell="A4" sqref="A4:XFD6"/>
    </sheetView>
  </sheetViews>
  <sheetFormatPr defaultColWidth="56.6328125" defaultRowHeight="14.5" x14ac:dyDescent="0.35"/>
  <cols>
    <col min="1" max="1" width="48.54296875" bestFit="1" customWidth="1"/>
    <col min="2" max="2" width="16.08984375" customWidth="1"/>
    <col min="3" max="3" width="21.1796875" style="247" customWidth="1"/>
    <col min="4" max="4" width="21.81640625" customWidth="1"/>
    <col min="5" max="5" width="17.6328125" bestFit="1" customWidth="1"/>
    <col min="6" max="6" width="11.90625" customWidth="1"/>
    <col min="7" max="7" width="13.08984375" customWidth="1"/>
    <col min="8" max="8" width="18.6328125" customWidth="1"/>
  </cols>
  <sheetData>
    <row r="1" spans="1:8" ht="15.5" x14ac:dyDescent="0.35">
      <c r="A1" s="658" t="s">
        <v>0</v>
      </c>
      <c r="B1" s="110" t="s">
        <v>1</v>
      </c>
      <c r="C1" s="281" t="s">
        <v>2700</v>
      </c>
      <c r="D1" s="21" t="s">
        <v>1598</v>
      </c>
      <c r="E1" s="21" t="s">
        <v>1599</v>
      </c>
      <c r="F1" s="82" t="s">
        <v>364</v>
      </c>
      <c r="G1" s="326" t="s">
        <v>2695</v>
      </c>
      <c r="H1" s="305" t="s">
        <v>2696</v>
      </c>
    </row>
    <row r="2" spans="1:8" ht="15.5" x14ac:dyDescent="0.35">
      <c r="A2" s="234" t="s">
        <v>1431</v>
      </c>
      <c r="B2" s="99" t="s">
        <v>719</v>
      </c>
      <c r="C2" s="340"/>
      <c r="D2" s="115"/>
      <c r="E2" s="115">
        <v>55719</v>
      </c>
      <c r="F2" s="26">
        <v>1</v>
      </c>
      <c r="G2" s="337"/>
      <c r="H2" s="313"/>
    </row>
    <row r="3" spans="1:8" ht="15.5" x14ac:dyDescent="0.35">
      <c r="A3" s="234" t="s">
        <v>988</v>
      </c>
      <c r="B3" s="99" t="s">
        <v>2235</v>
      </c>
      <c r="C3" s="340"/>
      <c r="D3" s="115"/>
      <c r="E3" s="115">
        <v>55719</v>
      </c>
      <c r="F3" s="26">
        <v>1</v>
      </c>
      <c r="G3" s="337"/>
      <c r="H3" s="313"/>
    </row>
    <row r="6" spans="1:8" ht="17.5" x14ac:dyDescent="0.35">
      <c r="A6" s="309" t="s">
        <v>2041</v>
      </c>
      <c r="B6" s="312"/>
      <c r="C6" s="249"/>
      <c r="D6" s="3"/>
      <c r="E6" s="3"/>
      <c r="F6" s="3"/>
      <c r="G6" s="37"/>
    </row>
    <row r="7" spans="1:8" ht="17.5" x14ac:dyDescent="0.35">
      <c r="A7" s="309" t="s">
        <v>2410</v>
      </c>
      <c r="B7" s="312"/>
      <c r="C7" s="249"/>
      <c r="D7" s="3"/>
      <c r="E7" s="3"/>
      <c r="F7" s="3"/>
      <c r="G7" s="37"/>
    </row>
    <row r="8" spans="1:8" ht="17.5" x14ac:dyDescent="0.35">
      <c r="A8" s="310" t="s">
        <v>2619</v>
      </c>
      <c r="B8" s="339"/>
    </row>
    <row r="9" spans="1:8" ht="17.5" x14ac:dyDescent="0.35">
      <c r="A9" s="319" t="s">
        <v>2694</v>
      </c>
      <c r="B9" s="307"/>
      <c r="G9" s="20"/>
    </row>
  </sheetData>
  <sortState xmlns:xlrd2="http://schemas.microsoft.com/office/spreadsheetml/2017/richdata2" ref="A2:H15">
    <sortCondition ref="B2:B15"/>
  </sortState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49"/>
  <sheetViews>
    <sheetView workbookViewId="0">
      <pane ySplit="1" topLeftCell="A20" activePane="bottomLeft" state="frozen"/>
      <selection activeCell="C26" sqref="C26"/>
      <selection pane="bottomLeft" activeCell="A44" sqref="A44:XFD55"/>
    </sheetView>
  </sheetViews>
  <sheetFormatPr defaultColWidth="9.08984375" defaultRowHeight="14.5" x14ac:dyDescent="0.35"/>
  <cols>
    <col min="1" max="1" width="64" style="131" bestFit="1" customWidth="1"/>
    <col min="2" max="2" width="20" style="131" bestFit="1" customWidth="1"/>
    <col min="3" max="3" width="21.1796875" style="131" customWidth="1"/>
    <col min="4" max="4" width="21.81640625" style="131" customWidth="1"/>
    <col min="5" max="5" width="14.36328125" style="131" customWidth="1"/>
    <col min="6" max="6" width="11.90625" style="131" customWidth="1"/>
    <col min="7" max="7" width="13.08984375" style="131" customWidth="1"/>
    <col min="8" max="8" width="18.6328125" style="131" customWidth="1"/>
    <col min="9" max="16384" width="9.08984375" style="131"/>
  </cols>
  <sheetData>
    <row r="1" spans="1:8" ht="15.5" x14ac:dyDescent="0.35">
      <c r="A1" s="658" t="s">
        <v>0</v>
      </c>
      <c r="B1" s="110" t="s">
        <v>1</v>
      </c>
      <c r="C1" s="281" t="s">
        <v>2700</v>
      </c>
      <c r="D1" s="21" t="s">
        <v>1598</v>
      </c>
      <c r="E1" s="21" t="s">
        <v>1599</v>
      </c>
      <c r="F1" s="82" t="s">
        <v>364</v>
      </c>
      <c r="G1" s="326" t="s">
        <v>2695</v>
      </c>
      <c r="H1" s="305" t="s">
        <v>2696</v>
      </c>
    </row>
    <row r="2" spans="1:8" ht="15.5" x14ac:dyDescent="0.35">
      <c r="A2" s="236" t="s">
        <v>4</v>
      </c>
      <c r="B2" s="207" t="s">
        <v>86</v>
      </c>
      <c r="C2" s="465"/>
      <c r="D2" s="207"/>
      <c r="E2" s="207">
        <v>55719</v>
      </c>
      <c r="F2" s="200">
        <v>1</v>
      </c>
      <c r="G2" s="337"/>
      <c r="H2" s="313"/>
    </row>
    <row r="3" spans="1:8" ht="15.5" x14ac:dyDescent="0.35">
      <c r="A3" s="236" t="s">
        <v>6</v>
      </c>
      <c r="B3" s="207" t="s">
        <v>87</v>
      </c>
      <c r="C3" s="465"/>
      <c r="D3" s="207"/>
      <c r="E3" s="207">
        <v>55719</v>
      </c>
      <c r="F3" s="200">
        <v>2</v>
      </c>
      <c r="G3" s="337"/>
      <c r="H3" s="313"/>
    </row>
    <row r="4" spans="1:8" ht="15.5" x14ac:dyDescent="0.35">
      <c r="A4" s="236" t="s">
        <v>955</v>
      </c>
      <c r="B4" s="207">
        <v>8130015</v>
      </c>
      <c r="C4" s="465"/>
      <c r="D4" s="207"/>
      <c r="E4" s="207">
        <v>55719</v>
      </c>
      <c r="F4" s="200">
        <v>2</v>
      </c>
      <c r="G4" s="337"/>
      <c r="H4" s="313"/>
    </row>
    <row r="5" spans="1:8" ht="15.5" x14ac:dyDescent="0.35">
      <c r="A5" s="236" t="s">
        <v>956</v>
      </c>
      <c r="B5" s="207">
        <v>8130040</v>
      </c>
      <c r="C5" s="465"/>
      <c r="D5" s="207"/>
      <c r="E5" s="207">
        <v>55719</v>
      </c>
      <c r="F5" s="200">
        <v>1</v>
      </c>
      <c r="G5" s="337"/>
      <c r="H5" s="313"/>
    </row>
    <row r="6" spans="1:8" ht="15.5" x14ac:dyDescent="0.35">
      <c r="A6" s="235" t="s">
        <v>2069</v>
      </c>
      <c r="B6" s="253" t="s">
        <v>1911</v>
      </c>
      <c r="C6" s="465"/>
      <c r="D6" s="253"/>
      <c r="E6" s="253">
        <v>55719</v>
      </c>
      <c r="F6" s="29">
        <v>1</v>
      </c>
      <c r="G6" s="338"/>
      <c r="H6" s="318"/>
    </row>
    <row r="7" spans="1:8" ht="15.5" x14ac:dyDescent="0.35">
      <c r="A7" s="235" t="s">
        <v>2540</v>
      </c>
      <c r="B7" s="253" t="s">
        <v>2456</v>
      </c>
      <c r="C7" s="465"/>
      <c r="D7" s="253"/>
      <c r="E7" s="253">
        <v>55719</v>
      </c>
      <c r="F7" s="29">
        <v>1</v>
      </c>
      <c r="G7" s="338"/>
      <c r="H7" s="318"/>
    </row>
    <row r="8" spans="1:8" s="206" customFormat="1" ht="15.5" x14ac:dyDescent="0.35">
      <c r="A8" s="236" t="s">
        <v>10</v>
      </c>
      <c r="B8" s="207" t="s">
        <v>418</v>
      </c>
      <c r="C8" s="465"/>
      <c r="D8" s="207"/>
      <c r="E8" s="207">
        <v>55719</v>
      </c>
      <c r="F8" s="200">
        <v>1</v>
      </c>
      <c r="G8" s="337"/>
      <c r="H8" s="313"/>
    </row>
    <row r="9" spans="1:8" s="206" customFormat="1" ht="15.5" x14ac:dyDescent="0.35">
      <c r="A9" s="236" t="s">
        <v>2359</v>
      </c>
      <c r="B9" s="207" t="s">
        <v>2358</v>
      </c>
      <c r="C9" s="465"/>
      <c r="D9" s="207"/>
      <c r="E9" s="207">
        <v>55719</v>
      </c>
      <c r="F9" s="200">
        <v>1</v>
      </c>
      <c r="G9" s="337"/>
      <c r="H9" s="318"/>
    </row>
    <row r="10" spans="1:8" s="206" customFormat="1" ht="15.5" x14ac:dyDescent="0.35">
      <c r="A10" s="236" t="s">
        <v>11</v>
      </c>
      <c r="B10" s="207" t="s">
        <v>233</v>
      </c>
      <c r="C10" s="465"/>
      <c r="D10" s="207"/>
      <c r="E10" s="207">
        <v>55719</v>
      </c>
      <c r="F10" s="200">
        <v>1</v>
      </c>
      <c r="G10" s="337"/>
      <c r="H10" s="313"/>
    </row>
    <row r="11" spans="1:8" s="206" customFormat="1" ht="15.5" x14ac:dyDescent="0.35">
      <c r="A11" s="236" t="s">
        <v>12</v>
      </c>
      <c r="B11" s="207" t="s">
        <v>150</v>
      </c>
      <c r="C11" s="465"/>
      <c r="D11" s="207"/>
      <c r="E11" s="207">
        <v>55719</v>
      </c>
      <c r="F11" s="200">
        <v>1</v>
      </c>
      <c r="G11" s="337"/>
      <c r="H11" s="313"/>
    </row>
    <row r="12" spans="1:8" ht="15.5" x14ac:dyDescent="0.35">
      <c r="A12" s="236" t="s">
        <v>13</v>
      </c>
      <c r="B12" s="207" t="s">
        <v>420</v>
      </c>
      <c r="C12" s="465"/>
      <c r="D12" s="207"/>
      <c r="E12" s="207">
        <v>55719</v>
      </c>
      <c r="F12" s="200">
        <v>1</v>
      </c>
      <c r="G12" s="337"/>
      <c r="H12" s="313"/>
    </row>
    <row r="13" spans="1:8" s="206" customFormat="1" ht="15.5" x14ac:dyDescent="0.35">
      <c r="A13" s="236" t="s">
        <v>930</v>
      </c>
      <c r="B13" s="207" t="s">
        <v>88</v>
      </c>
      <c r="C13" s="465"/>
      <c r="D13" s="207"/>
      <c r="E13" s="207">
        <v>55719</v>
      </c>
      <c r="F13" s="200">
        <v>1</v>
      </c>
      <c r="G13" s="337"/>
      <c r="H13" s="313"/>
    </row>
    <row r="14" spans="1:8" ht="15.5" x14ac:dyDescent="0.35">
      <c r="A14" s="236" t="s">
        <v>1019</v>
      </c>
      <c r="B14" s="207" t="s">
        <v>90</v>
      </c>
      <c r="C14" s="465"/>
      <c r="D14" s="207"/>
      <c r="E14" s="207">
        <v>55719</v>
      </c>
      <c r="F14" s="200">
        <v>1</v>
      </c>
      <c r="G14" s="337"/>
      <c r="H14" s="313"/>
    </row>
    <row r="15" spans="1:8" ht="15.5" x14ac:dyDescent="0.35">
      <c r="A15" s="236" t="s">
        <v>15</v>
      </c>
      <c r="B15" s="207" t="s">
        <v>424</v>
      </c>
      <c r="C15" s="465"/>
      <c r="D15" s="207"/>
      <c r="E15" s="207">
        <v>55719</v>
      </c>
      <c r="F15" s="200">
        <v>2</v>
      </c>
      <c r="G15" s="337"/>
      <c r="H15" s="313"/>
    </row>
    <row r="16" spans="1:8" ht="15.5" x14ac:dyDescent="0.35">
      <c r="A16" s="236" t="s">
        <v>1391</v>
      </c>
      <c r="B16" s="207" t="s">
        <v>807</v>
      </c>
      <c r="C16" s="465"/>
      <c r="D16" s="207"/>
      <c r="E16" s="207">
        <v>55719</v>
      </c>
      <c r="F16" s="200">
        <v>1</v>
      </c>
      <c r="G16" s="337"/>
      <c r="H16" s="313"/>
    </row>
    <row r="17" spans="1:8" ht="15.5" x14ac:dyDescent="0.35">
      <c r="A17" s="236" t="s">
        <v>16</v>
      </c>
      <c r="B17" s="207" t="s">
        <v>360</v>
      </c>
      <c r="C17" s="465"/>
      <c r="D17" s="207"/>
      <c r="E17" s="207">
        <v>55719</v>
      </c>
      <c r="F17" s="200">
        <v>1</v>
      </c>
      <c r="G17" s="337"/>
      <c r="H17" s="313"/>
    </row>
    <row r="18" spans="1:8" ht="15.5" x14ac:dyDescent="0.35">
      <c r="A18" s="236" t="s">
        <v>1099</v>
      </c>
      <c r="B18" s="207" t="s">
        <v>426</v>
      </c>
      <c r="C18" s="465"/>
      <c r="D18" s="207"/>
      <c r="E18" s="207">
        <v>55719</v>
      </c>
      <c r="F18" s="200">
        <v>1</v>
      </c>
      <c r="G18" s="337"/>
      <c r="H18" s="313"/>
    </row>
    <row r="19" spans="1:8" ht="15.5" x14ac:dyDescent="0.35">
      <c r="A19" s="236" t="s">
        <v>1411</v>
      </c>
      <c r="B19" s="207" t="s">
        <v>49</v>
      </c>
      <c r="C19" s="465"/>
      <c r="D19" s="207"/>
      <c r="E19" s="207">
        <v>55719</v>
      </c>
      <c r="F19" s="200">
        <v>1</v>
      </c>
      <c r="G19" s="337"/>
      <c r="H19" s="313"/>
    </row>
    <row r="20" spans="1:8" ht="15.5" x14ac:dyDescent="0.35">
      <c r="A20" s="236" t="s">
        <v>408</v>
      </c>
      <c r="B20" s="207" t="s">
        <v>1562</v>
      </c>
      <c r="C20" s="465"/>
      <c r="D20" s="207"/>
      <c r="E20" s="207">
        <v>55719</v>
      </c>
      <c r="F20" s="200">
        <v>1</v>
      </c>
      <c r="G20" s="337"/>
      <c r="H20" s="313"/>
    </row>
    <row r="21" spans="1:8" ht="15.5" x14ac:dyDescent="0.35">
      <c r="A21" s="236" t="s">
        <v>1037</v>
      </c>
      <c r="B21" s="207" t="s">
        <v>1613</v>
      </c>
      <c r="C21" s="465"/>
      <c r="D21" s="207"/>
      <c r="E21" s="207">
        <v>55719</v>
      </c>
      <c r="F21" s="200">
        <v>1</v>
      </c>
      <c r="G21" s="337"/>
      <c r="H21" s="313"/>
    </row>
    <row r="22" spans="1:8" ht="15.5" x14ac:dyDescent="0.35">
      <c r="A22" s="236" t="s">
        <v>885</v>
      </c>
      <c r="B22" s="207" t="s">
        <v>229</v>
      </c>
      <c r="C22" s="465"/>
      <c r="D22" s="207"/>
      <c r="E22" s="207">
        <v>55719</v>
      </c>
      <c r="F22" s="200">
        <v>1</v>
      </c>
      <c r="G22" s="337"/>
      <c r="H22" s="313"/>
    </row>
    <row r="23" spans="1:8" ht="15.5" x14ac:dyDescent="0.35">
      <c r="A23" s="236" t="s">
        <v>1042</v>
      </c>
      <c r="B23" s="207" t="s">
        <v>714</v>
      </c>
      <c r="C23" s="465"/>
      <c r="D23" s="207"/>
      <c r="E23" s="207">
        <v>55719</v>
      </c>
      <c r="F23" s="200">
        <v>1</v>
      </c>
      <c r="G23" s="337"/>
      <c r="H23" s="313"/>
    </row>
    <row r="24" spans="1:8" ht="15.5" x14ac:dyDescent="0.35">
      <c r="A24" s="236" t="s">
        <v>1109</v>
      </c>
      <c r="B24" s="207" t="s">
        <v>430</v>
      </c>
      <c r="C24" s="465"/>
      <c r="D24" s="207"/>
      <c r="E24" s="207">
        <v>55719</v>
      </c>
      <c r="F24" s="200">
        <v>1</v>
      </c>
      <c r="G24" s="337"/>
      <c r="H24" s="313"/>
    </row>
    <row r="25" spans="1:8" ht="15.5" x14ac:dyDescent="0.35">
      <c r="A25" s="236" t="s">
        <v>362</v>
      </c>
      <c r="B25" s="207" t="s">
        <v>363</v>
      </c>
      <c r="C25" s="465"/>
      <c r="D25" s="207"/>
      <c r="E25" s="207">
        <v>55719</v>
      </c>
      <c r="F25" s="200">
        <v>1</v>
      </c>
      <c r="G25" s="337"/>
      <c r="H25" s="313"/>
    </row>
    <row r="26" spans="1:8" ht="15.5" x14ac:dyDescent="0.35">
      <c r="A26" s="236" t="s">
        <v>19</v>
      </c>
      <c r="B26" s="207" t="s">
        <v>242</v>
      </c>
      <c r="C26" s="465"/>
      <c r="D26" s="207"/>
      <c r="E26" s="207">
        <v>55719</v>
      </c>
      <c r="F26" s="200">
        <v>1</v>
      </c>
      <c r="G26" s="337"/>
      <c r="H26" s="313"/>
    </row>
    <row r="27" spans="1:8" ht="15.5" x14ac:dyDescent="0.35">
      <c r="A27" s="236" t="s">
        <v>932</v>
      </c>
      <c r="B27" s="207" t="s">
        <v>432</v>
      </c>
      <c r="C27" s="465"/>
      <c r="D27" s="207"/>
      <c r="E27" s="207">
        <v>55719</v>
      </c>
      <c r="F27" s="200">
        <v>1</v>
      </c>
      <c r="G27" s="337"/>
      <c r="H27" s="313"/>
    </row>
    <row r="28" spans="1:8" ht="15.5" x14ac:dyDescent="0.35">
      <c r="A28" s="236" t="s">
        <v>933</v>
      </c>
      <c r="B28" s="207" t="s">
        <v>433</v>
      </c>
      <c r="C28" s="465"/>
      <c r="D28" s="207"/>
      <c r="E28" s="207">
        <v>55719</v>
      </c>
      <c r="F28" s="200">
        <v>1</v>
      </c>
      <c r="G28" s="337"/>
      <c r="H28" s="313"/>
    </row>
    <row r="29" spans="1:8" ht="15.5" x14ac:dyDescent="0.35">
      <c r="A29" s="236" t="s">
        <v>934</v>
      </c>
      <c r="B29" s="207" t="s">
        <v>434</v>
      </c>
      <c r="C29" s="465"/>
      <c r="D29" s="207"/>
      <c r="E29" s="207">
        <v>55719</v>
      </c>
      <c r="F29" s="200">
        <v>1</v>
      </c>
      <c r="G29" s="337"/>
      <c r="H29" s="313"/>
    </row>
    <row r="30" spans="1:8" ht="15.5" x14ac:dyDescent="0.35">
      <c r="A30" s="236" t="s">
        <v>1160</v>
      </c>
      <c r="B30" s="207" t="s">
        <v>467</v>
      </c>
      <c r="C30" s="465"/>
      <c r="D30" s="207"/>
      <c r="E30" s="207">
        <v>55719</v>
      </c>
      <c r="F30" s="200">
        <v>1</v>
      </c>
      <c r="G30" s="337"/>
      <c r="H30" s="313"/>
    </row>
    <row r="31" spans="1:8" ht="15.5" x14ac:dyDescent="0.35">
      <c r="A31" s="236" t="s">
        <v>1608</v>
      </c>
      <c r="B31" s="207" t="s">
        <v>1609</v>
      </c>
      <c r="C31" s="465"/>
      <c r="D31" s="207"/>
      <c r="E31" s="207">
        <v>55719</v>
      </c>
      <c r="F31" s="200">
        <v>1</v>
      </c>
      <c r="G31" s="337"/>
      <c r="H31" s="313"/>
    </row>
    <row r="32" spans="1:8" ht="15.5" x14ac:dyDescent="0.35">
      <c r="A32" s="236" t="s">
        <v>35</v>
      </c>
      <c r="B32" s="207" t="s">
        <v>1567</v>
      </c>
      <c r="C32" s="465"/>
      <c r="D32" s="207"/>
      <c r="E32" s="207">
        <v>55719</v>
      </c>
      <c r="F32" s="200">
        <v>1</v>
      </c>
      <c r="G32" s="337"/>
      <c r="H32" s="313"/>
    </row>
    <row r="33" spans="1:8" ht="15.5" x14ac:dyDescent="0.35">
      <c r="A33" s="236" t="s">
        <v>38</v>
      </c>
      <c r="B33" s="207" t="s">
        <v>200</v>
      </c>
      <c r="C33" s="465"/>
      <c r="D33" s="207"/>
      <c r="E33" s="207">
        <v>55719</v>
      </c>
      <c r="F33" s="200">
        <v>1</v>
      </c>
      <c r="G33" s="337"/>
      <c r="H33" s="313"/>
    </row>
    <row r="34" spans="1:8" ht="15.5" x14ac:dyDescent="0.35">
      <c r="A34" s="236" t="s">
        <v>2344</v>
      </c>
      <c r="B34" s="207" t="s">
        <v>279</v>
      </c>
      <c r="C34" s="465"/>
      <c r="D34" s="207"/>
      <c r="E34" s="207">
        <v>55719</v>
      </c>
      <c r="F34" s="200">
        <v>1</v>
      </c>
      <c r="G34" s="337"/>
      <c r="H34" s="313"/>
    </row>
    <row r="35" spans="1:8" ht="15.5" x14ac:dyDescent="0.35">
      <c r="A35" s="236" t="s">
        <v>1008</v>
      </c>
      <c r="B35" s="207" t="s">
        <v>173</v>
      </c>
      <c r="C35" s="465"/>
      <c r="D35" s="207"/>
      <c r="E35" s="207">
        <v>55719</v>
      </c>
      <c r="F35" s="200">
        <v>1</v>
      </c>
      <c r="G35" s="337"/>
      <c r="H35" s="313"/>
    </row>
    <row r="36" spans="1:8" ht="15.5" x14ac:dyDescent="0.35">
      <c r="A36" s="236" t="s">
        <v>1759</v>
      </c>
      <c r="B36" s="207" t="s">
        <v>280</v>
      </c>
      <c r="C36" s="465"/>
      <c r="D36" s="207"/>
      <c r="E36" s="207">
        <v>55719</v>
      </c>
      <c r="F36" s="200">
        <v>1</v>
      </c>
      <c r="G36" s="337"/>
      <c r="H36" s="313"/>
    </row>
    <row r="37" spans="1:8" ht="15.5" x14ac:dyDescent="0.35">
      <c r="A37" s="236" t="s">
        <v>899</v>
      </c>
      <c r="B37" s="207" t="s">
        <v>281</v>
      </c>
      <c r="C37" s="465"/>
      <c r="D37" s="207"/>
      <c r="E37" s="207">
        <v>55719</v>
      </c>
      <c r="F37" s="200">
        <v>1</v>
      </c>
      <c r="G37" s="337"/>
      <c r="H37" s="313"/>
    </row>
    <row r="38" spans="1:8" ht="15.5" x14ac:dyDescent="0.35">
      <c r="A38" s="236" t="s">
        <v>1011</v>
      </c>
      <c r="B38" s="207" t="s">
        <v>282</v>
      </c>
      <c r="C38" s="465"/>
      <c r="D38" s="207"/>
      <c r="E38" s="207">
        <v>55719</v>
      </c>
      <c r="F38" s="200">
        <v>1</v>
      </c>
      <c r="G38" s="337"/>
      <c r="H38" s="313"/>
    </row>
    <row r="39" spans="1:8" ht="15.5" x14ac:dyDescent="0.35">
      <c r="A39" s="236" t="s">
        <v>1014</v>
      </c>
      <c r="B39" s="207" t="s">
        <v>314</v>
      </c>
      <c r="C39" s="465"/>
      <c r="D39" s="207"/>
      <c r="E39" s="207">
        <v>55719</v>
      </c>
      <c r="F39" s="200">
        <v>1</v>
      </c>
      <c r="G39" s="337"/>
      <c r="H39" s="313"/>
    </row>
    <row r="40" spans="1:8" ht="15.5" x14ac:dyDescent="0.35">
      <c r="A40" s="236" t="s">
        <v>1016</v>
      </c>
      <c r="B40" s="207" t="s">
        <v>310</v>
      </c>
      <c r="C40" s="465"/>
      <c r="D40" s="207"/>
      <c r="E40" s="207">
        <v>55719</v>
      </c>
      <c r="F40" s="200">
        <v>1</v>
      </c>
      <c r="G40" s="337"/>
      <c r="H40" s="313"/>
    </row>
    <row r="41" spans="1:8" ht="15.5" x14ac:dyDescent="0.35">
      <c r="A41" s="236" t="s">
        <v>2588</v>
      </c>
      <c r="B41" s="207" t="s">
        <v>273</v>
      </c>
      <c r="C41" s="465"/>
      <c r="D41" s="207"/>
      <c r="E41" s="207">
        <v>55719</v>
      </c>
      <c r="F41" s="200">
        <v>1</v>
      </c>
      <c r="G41" s="337"/>
      <c r="H41" s="313"/>
    </row>
    <row r="42" spans="1:8" ht="15.5" x14ac:dyDescent="0.35">
      <c r="A42" s="236" t="s">
        <v>1083</v>
      </c>
      <c r="B42" s="207" t="s">
        <v>491</v>
      </c>
      <c r="C42" s="465"/>
      <c r="D42" s="207"/>
      <c r="E42" s="207">
        <v>55719</v>
      </c>
      <c r="F42" s="200">
        <v>1</v>
      </c>
      <c r="G42" s="337"/>
      <c r="H42" s="313"/>
    </row>
    <row r="43" spans="1:8" ht="15.5" x14ac:dyDescent="0.35">
      <c r="A43" s="236" t="s">
        <v>1018</v>
      </c>
      <c r="B43" s="207" t="s">
        <v>493</v>
      </c>
      <c r="C43" s="465"/>
      <c r="D43" s="207"/>
      <c r="E43" s="207">
        <v>55719</v>
      </c>
      <c r="F43" s="200">
        <v>1</v>
      </c>
      <c r="G43" s="337"/>
      <c r="H43" s="313"/>
    </row>
    <row r="46" spans="1:8" ht="17.5" x14ac:dyDescent="0.35">
      <c r="A46" s="309" t="s">
        <v>2030</v>
      </c>
      <c r="B46" s="312"/>
      <c r="C46" s="249"/>
      <c r="D46" s="249"/>
      <c r="E46" s="249"/>
      <c r="F46" s="249"/>
      <c r="G46" s="250"/>
    </row>
    <row r="47" spans="1:8" ht="17.5" x14ac:dyDescent="0.35">
      <c r="A47" s="309" t="s">
        <v>2408</v>
      </c>
      <c r="B47" s="312"/>
      <c r="C47" s="249"/>
      <c r="D47" s="249"/>
      <c r="E47" s="249"/>
      <c r="F47" s="249"/>
      <c r="G47" s="250"/>
    </row>
    <row r="48" spans="1:8" ht="17.5" x14ac:dyDescent="0.35">
      <c r="A48" s="334" t="s">
        <v>2618</v>
      </c>
      <c r="B48" s="335"/>
    </row>
    <row r="49" spans="1:2" ht="17.5" x14ac:dyDescent="0.35">
      <c r="A49" s="319" t="s">
        <v>2694</v>
      </c>
      <c r="B49" s="307"/>
    </row>
  </sheetData>
  <sortState xmlns:xlrd2="http://schemas.microsoft.com/office/spreadsheetml/2017/richdata2" ref="A2:H43">
    <sortCondition ref="A2:A43"/>
  </sortState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92"/>
  <sheetViews>
    <sheetView workbookViewId="0">
      <pane ySplit="1" topLeftCell="A75" activePane="bottomLeft" state="frozen"/>
      <selection activeCell="C26" sqref="C26"/>
      <selection pane="bottomLeft" activeCell="A87" sqref="A87:XFD94"/>
    </sheetView>
  </sheetViews>
  <sheetFormatPr defaultColWidth="9.08984375" defaultRowHeight="14.5" x14ac:dyDescent="0.35"/>
  <cols>
    <col min="1" max="1" width="66.90625" style="131" bestFit="1" customWidth="1"/>
    <col min="2" max="2" width="16.08984375" style="131" customWidth="1"/>
    <col min="3" max="3" width="21.1796875" style="131" customWidth="1"/>
    <col min="4" max="4" width="21.81640625" style="131" customWidth="1"/>
    <col min="5" max="5" width="14.36328125" style="131" customWidth="1"/>
    <col min="6" max="6" width="11.90625" style="131" customWidth="1"/>
    <col min="7" max="7" width="13.08984375" style="131" customWidth="1"/>
    <col min="8" max="8" width="18.6328125" style="131" customWidth="1"/>
    <col min="9" max="16384" width="9.08984375" style="131"/>
  </cols>
  <sheetData>
    <row r="1" spans="1:8" ht="15.5" x14ac:dyDescent="0.35">
      <c r="A1" s="661" t="s">
        <v>0</v>
      </c>
      <c r="B1" s="233" t="s">
        <v>1</v>
      </c>
      <c r="C1" s="610" t="s">
        <v>2700</v>
      </c>
      <c r="D1" s="261" t="s">
        <v>1598</v>
      </c>
      <c r="E1" s="261" t="s">
        <v>1599</v>
      </c>
      <c r="F1" s="229" t="s">
        <v>364</v>
      </c>
      <c r="G1" s="662" t="s">
        <v>2695</v>
      </c>
      <c r="H1" s="663" t="s">
        <v>2696</v>
      </c>
    </row>
    <row r="2" spans="1:8" ht="15.5" x14ac:dyDescent="0.35">
      <c r="A2" s="236" t="s">
        <v>1091</v>
      </c>
      <c r="B2" s="207" t="s">
        <v>1610</v>
      </c>
      <c r="C2" s="315"/>
      <c r="D2" s="207"/>
      <c r="E2" s="207">
        <v>55719</v>
      </c>
      <c r="F2" s="200">
        <v>1</v>
      </c>
      <c r="G2" s="337"/>
      <c r="H2" s="660"/>
    </row>
    <row r="3" spans="1:8" ht="15.5" x14ac:dyDescent="0.35">
      <c r="A3" s="236" t="s">
        <v>408</v>
      </c>
      <c r="B3" s="207" t="s">
        <v>1562</v>
      </c>
      <c r="C3" s="315"/>
      <c r="D3" s="207"/>
      <c r="E3" s="207">
        <v>55719</v>
      </c>
      <c r="F3" s="200">
        <v>1</v>
      </c>
      <c r="G3" s="337"/>
      <c r="H3" s="660"/>
    </row>
    <row r="4" spans="1:8" ht="15.5" x14ac:dyDescent="0.35">
      <c r="A4" s="236" t="s">
        <v>1643</v>
      </c>
      <c r="B4" s="207" t="s">
        <v>1642</v>
      </c>
      <c r="C4" s="315"/>
      <c r="D4" s="207"/>
      <c r="E4" s="207">
        <v>55719</v>
      </c>
      <c r="F4" s="200">
        <v>1</v>
      </c>
      <c r="G4" s="337"/>
      <c r="H4" s="660"/>
    </row>
    <row r="5" spans="1:8" ht="15.5" x14ac:dyDescent="0.35">
      <c r="A5" s="236" t="s">
        <v>16</v>
      </c>
      <c r="B5" s="207" t="s">
        <v>360</v>
      </c>
      <c r="C5" s="315"/>
      <c r="D5" s="207"/>
      <c r="E5" s="207">
        <v>55719</v>
      </c>
      <c r="F5" s="200">
        <v>1</v>
      </c>
      <c r="G5" s="337"/>
      <c r="H5" s="660"/>
    </row>
    <row r="6" spans="1:8" ht="15.5" x14ac:dyDescent="0.35">
      <c r="A6" s="236" t="s">
        <v>1411</v>
      </c>
      <c r="B6" s="207" t="s">
        <v>49</v>
      </c>
      <c r="C6" s="315"/>
      <c r="D6" s="207"/>
      <c r="E6" s="207">
        <v>55719</v>
      </c>
      <c r="F6" s="200">
        <v>2</v>
      </c>
      <c r="G6" s="337"/>
      <c r="H6" s="660"/>
    </row>
    <row r="7" spans="1:8" ht="15.5" x14ac:dyDescent="0.35">
      <c r="A7" s="236" t="s">
        <v>1412</v>
      </c>
      <c r="B7" s="207" t="s">
        <v>480</v>
      </c>
      <c r="C7" s="315"/>
      <c r="D7" s="207"/>
      <c r="E7" s="207">
        <v>55719</v>
      </c>
      <c r="F7" s="200">
        <v>1</v>
      </c>
      <c r="G7" s="337"/>
      <c r="H7" s="660"/>
    </row>
    <row r="8" spans="1:8" ht="15.5" x14ac:dyDescent="0.35">
      <c r="A8" s="236" t="s">
        <v>892</v>
      </c>
      <c r="B8" s="207" t="s">
        <v>440</v>
      </c>
      <c r="C8" s="315"/>
      <c r="D8" s="207"/>
      <c r="E8" s="207">
        <v>55719</v>
      </c>
      <c r="F8" s="200">
        <v>1</v>
      </c>
      <c r="G8" s="337"/>
      <c r="H8" s="660"/>
    </row>
    <row r="9" spans="1:8" ht="15.5" x14ac:dyDescent="0.35">
      <c r="A9" s="236" t="s">
        <v>894</v>
      </c>
      <c r="B9" s="207" t="s">
        <v>441</v>
      </c>
      <c r="C9" s="315"/>
      <c r="D9" s="207"/>
      <c r="E9" s="207">
        <v>55719</v>
      </c>
      <c r="F9" s="200">
        <v>1</v>
      </c>
      <c r="G9" s="337"/>
      <c r="H9" s="660"/>
    </row>
    <row r="10" spans="1:8" ht="15.5" x14ac:dyDescent="0.35">
      <c r="A10" s="236" t="s">
        <v>893</v>
      </c>
      <c r="B10" s="207" t="s">
        <v>149</v>
      </c>
      <c r="C10" s="315"/>
      <c r="D10" s="207"/>
      <c r="E10" s="207">
        <v>55719</v>
      </c>
      <c r="F10" s="200">
        <v>1</v>
      </c>
      <c r="G10" s="337"/>
      <c r="H10" s="660"/>
    </row>
    <row r="11" spans="1:8" ht="15.5" x14ac:dyDescent="0.35">
      <c r="A11" s="236" t="s">
        <v>895</v>
      </c>
      <c r="B11" s="207" t="s">
        <v>357</v>
      </c>
      <c r="C11" s="315"/>
      <c r="D11" s="207"/>
      <c r="E11" s="207">
        <v>55719</v>
      </c>
      <c r="F11" s="200">
        <v>1</v>
      </c>
      <c r="G11" s="337"/>
      <c r="H11" s="660"/>
    </row>
    <row r="12" spans="1:8" ht="15.5" x14ac:dyDescent="0.35">
      <c r="A12" s="236" t="s">
        <v>1020</v>
      </c>
      <c r="B12" s="207" t="s">
        <v>271</v>
      </c>
      <c r="C12" s="315"/>
      <c r="D12" s="207"/>
      <c r="E12" s="207">
        <v>55719</v>
      </c>
      <c r="F12" s="200">
        <v>1</v>
      </c>
      <c r="G12" s="337"/>
      <c r="H12" s="660"/>
    </row>
    <row r="13" spans="1:8" ht="15.5" x14ac:dyDescent="0.35">
      <c r="A13" s="236" t="s">
        <v>1021</v>
      </c>
      <c r="B13" s="207" t="s">
        <v>269</v>
      </c>
      <c r="C13" s="315"/>
      <c r="D13" s="207"/>
      <c r="E13" s="207">
        <v>55719</v>
      </c>
      <c r="F13" s="200">
        <v>1</v>
      </c>
      <c r="G13" s="337"/>
      <c r="H13" s="660"/>
    </row>
    <row r="14" spans="1:8" ht="15.5" x14ac:dyDescent="0.35">
      <c r="A14" s="236" t="s">
        <v>896</v>
      </c>
      <c r="B14" s="207" t="s">
        <v>272</v>
      </c>
      <c r="C14" s="315"/>
      <c r="D14" s="207"/>
      <c r="E14" s="207">
        <v>55719</v>
      </c>
      <c r="F14" s="200">
        <v>1</v>
      </c>
      <c r="G14" s="337"/>
      <c r="H14" s="660"/>
    </row>
    <row r="15" spans="1:8" ht="15.5" x14ac:dyDescent="0.35">
      <c r="A15" s="236" t="s">
        <v>2583</v>
      </c>
      <c r="B15" s="207" t="s">
        <v>78</v>
      </c>
      <c r="C15" s="315"/>
      <c r="D15" s="207"/>
      <c r="E15" s="207">
        <v>55719</v>
      </c>
      <c r="F15" s="200">
        <v>2</v>
      </c>
      <c r="G15" s="337"/>
      <c r="H15" s="660"/>
    </row>
    <row r="16" spans="1:8" ht="15.5" x14ac:dyDescent="0.35">
      <c r="A16" s="236" t="s">
        <v>2584</v>
      </c>
      <c r="B16" s="207" t="s">
        <v>263</v>
      </c>
      <c r="C16" s="315"/>
      <c r="D16" s="207"/>
      <c r="E16" s="207">
        <v>55719</v>
      </c>
      <c r="F16" s="200">
        <v>1</v>
      </c>
      <c r="G16" s="337"/>
      <c r="H16" s="660"/>
    </row>
    <row r="17" spans="1:8" ht="15.5" x14ac:dyDescent="0.35">
      <c r="A17" s="236" t="s">
        <v>15</v>
      </c>
      <c r="B17" s="207" t="s">
        <v>424</v>
      </c>
      <c r="C17" s="315"/>
      <c r="D17" s="207"/>
      <c r="E17" s="207">
        <v>55719</v>
      </c>
      <c r="F17" s="200">
        <v>1</v>
      </c>
      <c r="G17" s="337"/>
      <c r="H17" s="660"/>
    </row>
    <row r="18" spans="1:8" ht="15.5" x14ac:dyDescent="0.35">
      <c r="A18" s="236" t="s">
        <v>1019</v>
      </c>
      <c r="B18" s="207" t="s">
        <v>90</v>
      </c>
      <c r="C18" s="315"/>
      <c r="D18" s="207"/>
      <c r="E18" s="207">
        <v>55719</v>
      </c>
      <c r="F18" s="200">
        <v>1</v>
      </c>
      <c r="G18" s="337"/>
      <c r="H18" s="660"/>
    </row>
    <row r="19" spans="1:8" ht="15.5" x14ac:dyDescent="0.35">
      <c r="A19" s="236" t="s">
        <v>1129</v>
      </c>
      <c r="B19" s="207" t="s">
        <v>51</v>
      </c>
      <c r="C19" s="315"/>
      <c r="D19" s="207"/>
      <c r="E19" s="207">
        <v>55719</v>
      </c>
      <c r="F19" s="200">
        <v>1</v>
      </c>
      <c r="G19" s="337"/>
      <c r="H19" s="660"/>
    </row>
    <row r="20" spans="1:8" ht="15.5" x14ac:dyDescent="0.35">
      <c r="A20" s="236" t="s">
        <v>1131</v>
      </c>
      <c r="B20" s="207" t="s">
        <v>151</v>
      </c>
      <c r="C20" s="315"/>
      <c r="D20" s="207"/>
      <c r="E20" s="207">
        <v>55719</v>
      </c>
      <c r="F20" s="200">
        <v>1</v>
      </c>
      <c r="G20" s="337"/>
      <c r="H20" s="660"/>
    </row>
    <row r="21" spans="1:8" ht="15.5" x14ac:dyDescent="0.35">
      <c r="A21" s="236" t="s">
        <v>1133</v>
      </c>
      <c r="B21" s="207" t="s">
        <v>489</v>
      </c>
      <c r="C21" s="315"/>
      <c r="D21" s="207"/>
      <c r="E21" s="207">
        <v>55719</v>
      </c>
      <c r="F21" s="200">
        <v>1</v>
      </c>
      <c r="G21" s="337"/>
      <c r="H21" s="660"/>
    </row>
    <row r="22" spans="1:8" ht="15.5" x14ac:dyDescent="0.35">
      <c r="A22" s="236" t="s">
        <v>1134</v>
      </c>
      <c r="B22" s="207" t="s">
        <v>65</v>
      </c>
      <c r="C22" s="315"/>
      <c r="D22" s="207"/>
      <c r="E22" s="207">
        <v>55719</v>
      </c>
      <c r="F22" s="200">
        <v>2</v>
      </c>
      <c r="G22" s="337"/>
      <c r="H22" s="660"/>
    </row>
    <row r="23" spans="1:8" ht="15.5" x14ac:dyDescent="0.35">
      <c r="A23" s="236" t="s">
        <v>1135</v>
      </c>
      <c r="B23" s="207" t="s">
        <v>490</v>
      </c>
      <c r="C23" s="315"/>
      <c r="D23" s="207"/>
      <c r="E23" s="207">
        <v>55719</v>
      </c>
      <c r="F23" s="200">
        <v>1</v>
      </c>
      <c r="G23" s="337"/>
      <c r="H23" s="660"/>
    </row>
    <row r="24" spans="1:8" ht="15.5" x14ac:dyDescent="0.35">
      <c r="A24" s="236" t="s">
        <v>877</v>
      </c>
      <c r="B24" s="207" t="s">
        <v>365</v>
      </c>
      <c r="C24" s="315"/>
      <c r="D24" s="207"/>
      <c r="E24" s="207">
        <v>55719</v>
      </c>
      <c r="F24" s="200">
        <v>1</v>
      </c>
      <c r="G24" s="337"/>
      <c r="H24" s="660"/>
    </row>
    <row r="25" spans="1:8" ht="15.5" x14ac:dyDescent="0.35">
      <c r="A25" s="236" t="s">
        <v>35</v>
      </c>
      <c r="B25" s="207" t="s">
        <v>1567</v>
      </c>
      <c r="C25" s="315"/>
      <c r="D25" s="207"/>
      <c r="E25" s="207">
        <v>55719</v>
      </c>
      <c r="F25" s="200">
        <v>1</v>
      </c>
      <c r="G25" s="337"/>
      <c r="H25" s="660"/>
    </row>
    <row r="26" spans="1:8" ht="15.5" x14ac:dyDescent="0.35">
      <c r="A26" s="236" t="s">
        <v>38</v>
      </c>
      <c r="B26" s="207" t="s">
        <v>200</v>
      </c>
      <c r="C26" s="315"/>
      <c r="D26" s="207"/>
      <c r="E26" s="207">
        <v>55719</v>
      </c>
      <c r="F26" s="200">
        <v>1</v>
      </c>
      <c r="G26" s="337"/>
      <c r="H26" s="660"/>
    </row>
    <row r="27" spans="1:8" ht="15.5" x14ac:dyDescent="0.35">
      <c r="A27" s="236" t="s">
        <v>181</v>
      </c>
      <c r="B27" s="207" t="s">
        <v>182</v>
      </c>
      <c r="C27" s="315"/>
      <c r="D27" s="207"/>
      <c r="E27" s="207">
        <v>55719</v>
      </c>
      <c r="F27" s="200">
        <v>1</v>
      </c>
      <c r="G27" s="337"/>
      <c r="H27" s="660"/>
    </row>
    <row r="28" spans="1:8" ht="15.5" x14ac:dyDescent="0.35">
      <c r="A28" s="236" t="s">
        <v>11</v>
      </c>
      <c r="B28" s="207" t="s">
        <v>233</v>
      </c>
      <c r="C28" s="315"/>
      <c r="D28" s="207"/>
      <c r="E28" s="207">
        <v>55719</v>
      </c>
      <c r="F28" s="200">
        <v>1</v>
      </c>
      <c r="G28" s="337"/>
      <c r="H28" s="660"/>
    </row>
    <row r="29" spans="1:8" ht="15.5" x14ac:dyDescent="0.35">
      <c r="A29" s="236" t="s">
        <v>12</v>
      </c>
      <c r="B29" s="207" t="s">
        <v>150</v>
      </c>
      <c r="C29" s="315"/>
      <c r="D29" s="207"/>
      <c r="E29" s="207">
        <v>55719</v>
      </c>
      <c r="F29" s="200">
        <v>1</v>
      </c>
      <c r="G29" s="337"/>
      <c r="H29" s="660"/>
    </row>
    <row r="30" spans="1:8" ht="15.5" x14ac:dyDescent="0.35">
      <c r="A30" s="236" t="s">
        <v>5</v>
      </c>
      <c r="B30" s="207" t="s">
        <v>333</v>
      </c>
      <c r="C30" s="315"/>
      <c r="D30" s="207"/>
      <c r="E30" s="207">
        <v>55719</v>
      </c>
      <c r="F30" s="200">
        <v>1</v>
      </c>
      <c r="G30" s="337"/>
      <c r="H30" s="660"/>
    </row>
    <row r="31" spans="1:8" ht="15.5" x14ac:dyDescent="0.35">
      <c r="A31" s="236" t="s">
        <v>6</v>
      </c>
      <c r="B31" s="207" t="s">
        <v>87</v>
      </c>
      <c r="C31" s="315"/>
      <c r="D31" s="207"/>
      <c r="E31" s="207">
        <v>55719</v>
      </c>
      <c r="F31" s="200">
        <v>1</v>
      </c>
      <c r="G31" s="337"/>
      <c r="H31" s="660"/>
    </row>
    <row r="32" spans="1:8" ht="15.5" x14ac:dyDescent="0.35">
      <c r="A32" s="236" t="s">
        <v>1200</v>
      </c>
      <c r="B32" s="207" t="s">
        <v>59</v>
      </c>
      <c r="C32" s="315"/>
      <c r="D32" s="207"/>
      <c r="E32" s="207">
        <v>55719</v>
      </c>
      <c r="F32" s="200">
        <v>1</v>
      </c>
      <c r="G32" s="337"/>
      <c r="H32" s="660"/>
    </row>
    <row r="33" spans="1:8" ht="15.5" x14ac:dyDescent="0.35">
      <c r="A33" s="236" t="s">
        <v>1214</v>
      </c>
      <c r="B33" s="207" t="s">
        <v>573</v>
      </c>
      <c r="C33" s="315"/>
      <c r="D33" s="207"/>
      <c r="E33" s="207">
        <v>55719</v>
      </c>
      <c r="F33" s="200">
        <v>1</v>
      </c>
      <c r="G33" s="337"/>
      <c r="H33" s="660"/>
    </row>
    <row r="34" spans="1:8" ht="15.5" x14ac:dyDescent="0.35">
      <c r="A34" s="236" t="s">
        <v>1081</v>
      </c>
      <c r="B34" s="207" t="s">
        <v>276</v>
      </c>
      <c r="C34" s="315"/>
      <c r="D34" s="207"/>
      <c r="E34" s="207">
        <v>55719</v>
      </c>
      <c r="F34" s="200">
        <v>1</v>
      </c>
      <c r="G34" s="337"/>
      <c r="H34" s="660"/>
    </row>
    <row r="35" spans="1:8" ht="15.5" x14ac:dyDescent="0.35">
      <c r="A35" s="236" t="s">
        <v>1011</v>
      </c>
      <c r="B35" s="207" t="s">
        <v>282</v>
      </c>
      <c r="C35" s="315"/>
      <c r="D35" s="207"/>
      <c r="E35" s="207">
        <v>55719</v>
      </c>
      <c r="F35" s="200">
        <v>1</v>
      </c>
      <c r="G35" s="337"/>
      <c r="H35" s="660"/>
    </row>
    <row r="36" spans="1:8" ht="15.5" x14ac:dyDescent="0.35">
      <c r="A36" s="236" t="s">
        <v>1018</v>
      </c>
      <c r="B36" s="207" t="s">
        <v>493</v>
      </c>
      <c r="C36" s="315"/>
      <c r="D36" s="207"/>
      <c r="E36" s="207">
        <v>55719</v>
      </c>
      <c r="F36" s="200">
        <v>1</v>
      </c>
      <c r="G36" s="337"/>
      <c r="H36" s="660"/>
    </row>
    <row r="37" spans="1:8" ht="15.5" x14ac:dyDescent="0.35">
      <c r="A37" s="236" t="s">
        <v>1007</v>
      </c>
      <c r="B37" s="207" t="s">
        <v>313</v>
      </c>
      <c r="C37" s="315"/>
      <c r="D37" s="207"/>
      <c r="E37" s="207">
        <v>55719</v>
      </c>
      <c r="F37" s="200">
        <v>1</v>
      </c>
      <c r="G37" s="337"/>
      <c r="H37" s="660"/>
    </row>
    <row r="38" spans="1:8" ht="15.5" x14ac:dyDescent="0.35">
      <c r="A38" s="236" t="s">
        <v>1014</v>
      </c>
      <c r="B38" s="207" t="s">
        <v>314</v>
      </c>
      <c r="C38" s="315"/>
      <c r="D38" s="207"/>
      <c r="E38" s="207">
        <v>55719</v>
      </c>
      <c r="F38" s="200">
        <v>1</v>
      </c>
      <c r="G38" s="337"/>
      <c r="H38" s="660"/>
    </row>
    <row r="39" spans="1:8" ht="15.5" x14ac:dyDescent="0.35">
      <c r="A39" s="236" t="s">
        <v>1083</v>
      </c>
      <c r="B39" s="207" t="s">
        <v>491</v>
      </c>
      <c r="C39" s="315"/>
      <c r="D39" s="207"/>
      <c r="E39" s="207">
        <v>55719</v>
      </c>
      <c r="F39" s="200">
        <v>1</v>
      </c>
      <c r="G39" s="337"/>
      <c r="H39" s="660"/>
    </row>
    <row r="40" spans="1:8" ht="15.5" x14ac:dyDescent="0.35">
      <c r="A40" s="236" t="s">
        <v>1012</v>
      </c>
      <c r="B40" s="207" t="s">
        <v>285</v>
      </c>
      <c r="C40" s="315"/>
      <c r="D40" s="207"/>
      <c r="E40" s="207">
        <v>55719</v>
      </c>
      <c r="F40" s="200">
        <v>1</v>
      </c>
      <c r="G40" s="337"/>
      <c r="H40" s="660"/>
    </row>
    <row r="41" spans="1:8" ht="15.5" x14ac:dyDescent="0.35">
      <c r="A41" s="236" t="s">
        <v>1008</v>
      </c>
      <c r="B41" s="207" t="s">
        <v>173</v>
      </c>
      <c r="C41" s="315"/>
      <c r="D41" s="207"/>
      <c r="E41" s="207">
        <v>55719</v>
      </c>
      <c r="F41" s="200">
        <v>1</v>
      </c>
      <c r="G41" s="337"/>
      <c r="H41" s="660"/>
    </row>
    <row r="42" spans="1:8" ht="15.5" x14ac:dyDescent="0.35">
      <c r="A42" s="236" t="s">
        <v>899</v>
      </c>
      <c r="B42" s="207" t="s">
        <v>281</v>
      </c>
      <c r="C42" s="315"/>
      <c r="D42" s="207"/>
      <c r="E42" s="207">
        <v>55719</v>
      </c>
      <c r="F42" s="200">
        <v>1</v>
      </c>
      <c r="G42" s="337"/>
      <c r="H42" s="660"/>
    </row>
    <row r="43" spans="1:8" ht="15.5" x14ac:dyDescent="0.35">
      <c r="A43" s="236" t="s">
        <v>2334</v>
      </c>
      <c r="B43" s="207" t="s">
        <v>284</v>
      </c>
      <c r="C43" s="315"/>
      <c r="D43" s="207"/>
      <c r="E43" s="207">
        <v>55719</v>
      </c>
      <c r="F43" s="200">
        <v>1</v>
      </c>
      <c r="G43" s="337"/>
      <c r="H43" s="660"/>
    </row>
    <row r="44" spans="1:8" ht="15.5" x14ac:dyDescent="0.35">
      <c r="A44" s="236" t="s">
        <v>1762</v>
      </c>
      <c r="B44" s="207" t="s">
        <v>113</v>
      </c>
      <c r="C44" s="315"/>
      <c r="D44" s="207"/>
      <c r="E44" s="207">
        <v>55719</v>
      </c>
      <c r="F44" s="200">
        <v>1</v>
      </c>
      <c r="G44" s="337"/>
      <c r="H44" s="660"/>
    </row>
    <row r="45" spans="1:8" ht="15.5" x14ac:dyDescent="0.35">
      <c r="A45" s="236" t="s">
        <v>2344</v>
      </c>
      <c r="B45" s="207" t="s">
        <v>279</v>
      </c>
      <c r="C45" s="315"/>
      <c r="D45" s="207"/>
      <c r="E45" s="207">
        <v>55719</v>
      </c>
      <c r="F45" s="200">
        <v>1</v>
      </c>
      <c r="G45" s="337"/>
      <c r="H45" s="660"/>
    </row>
    <row r="46" spans="1:8" ht="15.5" x14ac:dyDescent="0.35">
      <c r="A46" s="236" t="s">
        <v>1016</v>
      </c>
      <c r="B46" s="207" t="s">
        <v>310</v>
      </c>
      <c r="C46" s="315"/>
      <c r="D46" s="207"/>
      <c r="E46" s="207">
        <v>55719</v>
      </c>
      <c r="F46" s="200">
        <v>1</v>
      </c>
      <c r="G46" s="337"/>
      <c r="H46" s="660"/>
    </row>
    <row r="47" spans="1:8" ht="15.5" x14ac:dyDescent="0.35">
      <c r="A47" s="236" t="s">
        <v>885</v>
      </c>
      <c r="B47" s="207" t="s">
        <v>229</v>
      </c>
      <c r="C47" s="315"/>
      <c r="D47" s="207"/>
      <c r="E47" s="207">
        <v>55719</v>
      </c>
      <c r="F47" s="200">
        <v>1</v>
      </c>
      <c r="G47" s="337"/>
      <c r="H47" s="660"/>
    </row>
    <row r="48" spans="1:8" ht="15.5" x14ac:dyDescent="0.35">
      <c r="A48" s="236" t="s">
        <v>1444</v>
      </c>
      <c r="B48" s="207" t="s">
        <v>475</v>
      </c>
      <c r="C48" s="315"/>
      <c r="D48" s="207"/>
      <c r="E48" s="207">
        <v>55719</v>
      </c>
      <c r="F48" s="200">
        <v>1</v>
      </c>
      <c r="G48" s="337"/>
      <c r="H48" s="660"/>
    </row>
    <row r="49" spans="1:8" ht="15.5" x14ac:dyDescent="0.35">
      <c r="A49" s="236" t="s">
        <v>1036</v>
      </c>
      <c r="B49" s="207" t="s">
        <v>423</v>
      </c>
      <c r="C49" s="315"/>
      <c r="D49" s="207"/>
      <c r="E49" s="207">
        <v>55719</v>
      </c>
      <c r="F49" s="200">
        <v>1</v>
      </c>
      <c r="G49" s="337"/>
      <c r="H49" s="660"/>
    </row>
    <row r="50" spans="1:8" ht="15.5" x14ac:dyDescent="0.35">
      <c r="A50" s="236" t="s">
        <v>959</v>
      </c>
      <c r="B50" s="207" t="s">
        <v>529</v>
      </c>
      <c r="C50" s="315"/>
      <c r="D50" s="207"/>
      <c r="E50" s="207">
        <v>55719</v>
      </c>
      <c r="F50" s="200">
        <v>1</v>
      </c>
      <c r="G50" s="337"/>
      <c r="H50" s="660"/>
    </row>
    <row r="51" spans="1:8" ht="15.5" x14ac:dyDescent="0.35">
      <c r="A51" s="236" t="s">
        <v>2053</v>
      </c>
      <c r="B51" s="207" t="s">
        <v>1697</v>
      </c>
      <c r="C51" s="315"/>
      <c r="D51" s="207"/>
      <c r="E51" s="207">
        <v>55719</v>
      </c>
      <c r="F51" s="200">
        <v>1</v>
      </c>
      <c r="G51" s="337"/>
      <c r="H51" s="660"/>
    </row>
    <row r="52" spans="1:8" ht="15.5" x14ac:dyDescent="0.35">
      <c r="A52" s="236" t="s">
        <v>2476</v>
      </c>
      <c r="B52" s="207" t="s">
        <v>1755</v>
      </c>
      <c r="C52" s="315"/>
      <c r="D52" s="207"/>
      <c r="E52" s="207">
        <v>55719</v>
      </c>
      <c r="F52" s="200">
        <v>1</v>
      </c>
      <c r="G52" s="337"/>
      <c r="H52" s="660"/>
    </row>
    <row r="53" spans="1:8" ht="15.5" x14ac:dyDescent="0.35">
      <c r="A53" s="236" t="s">
        <v>22</v>
      </c>
      <c r="B53" s="207" t="s">
        <v>245</v>
      </c>
      <c r="C53" s="315"/>
      <c r="D53" s="207"/>
      <c r="E53" s="207">
        <v>55719</v>
      </c>
      <c r="F53" s="200">
        <v>1</v>
      </c>
      <c r="G53" s="337"/>
      <c r="H53" s="660"/>
    </row>
    <row r="54" spans="1:8" ht="15.5" x14ac:dyDescent="0.35">
      <c r="A54" s="236" t="s">
        <v>1078</v>
      </c>
      <c r="B54" s="207" t="s">
        <v>270</v>
      </c>
      <c r="C54" s="315"/>
      <c r="D54" s="207"/>
      <c r="E54" s="207">
        <v>55719</v>
      </c>
      <c r="F54" s="200">
        <v>1</v>
      </c>
      <c r="G54" s="337"/>
      <c r="H54" s="660"/>
    </row>
    <row r="55" spans="1:8" ht="15.5" x14ac:dyDescent="0.35">
      <c r="A55" s="236" t="s">
        <v>1042</v>
      </c>
      <c r="B55" s="207" t="s">
        <v>344</v>
      </c>
      <c r="C55" s="315"/>
      <c r="D55" s="207"/>
      <c r="E55" s="207">
        <v>55719</v>
      </c>
      <c r="F55" s="200">
        <v>1</v>
      </c>
      <c r="G55" s="337"/>
      <c r="H55" s="660"/>
    </row>
    <row r="56" spans="1:8" ht="15.5" x14ac:dyDescent="0.35">
      <c r="A56" s="236" t="s">
        <v>64</v>
      </c>
      <c r="B56" s="207" t="s">
        <v>483</v>
      </c>
      <c r="C56" s="315"/>
      <c r="D56" s="207"/>
      <c r="E56" s="207">
        <v>55719</v>
      </c>
      <c r="F56" s="200">
        <v>1</v>
      </c>
      <c r="G56" s="337"/>
      <c r="H56" s="660"/>
    </row>
    <row r="57" spans="1:8" ht="15.5" x14ac:dyDescent="0.35">
      <c r="A57" s="236" t="s">
        <v>362</v>
      </c>
      <c r="B57" s="207" t="s">
        <v>363</v>
      </c>
      <c r="C57" s="315"/>
      <c r="D57" s="207"/>
      <c r="E57" s="207">
        <v>55719</v>
      </c>
      <c r="F57" s="200">
        <v>1</v>
      </c>
      <c r="G57" s="337"/>
      <c r="H57" s="660"/>
    </row>
    <row r="58" spans="1:8" ht="15.5" x14ac:dyDescent="0.35">
      <c r="A58" s="236" t="s">
        <v>1109</v>
      </c>
      <c r="B58" s="207" t="s">
        <v>430</v>
      </c>
      <c r="C58" s="315"/>
      <c r="D58" s="207"/>
      <c r="E58" s="207">
        <v>55719</v>
      </c>
      <c r="F58" s="200">
        <v>1</v>
      </c>
      <c r="G58" s="337"/>
      <c r="H58" s="660"/>
    </row>
    <row r="59" spans="1:8" ht="15.5" x14ac:dyDescent="0.35">
      <c r="A59" s="236" t="s">
        <v>1054</v>
      </c>
      <c r="B59" s="207" t="s">
        <v>258</v>
      </c>
      <c r="C59" s="315"/>
      <c r="D59" s="207"/>
      <c r="E59" s="207">
        <v>55719</v>
      </c>
      <c r="F59" s="200">
        <v>1</v>
      </c>
      <c r="G59" s="337"/>
      <c r="H59" s="660"/>
    </row>
    <row r="60" spans="1:8" ht="15.5" x14ac:dyDescent="0.35">
      <c r="A60" s="236" t="s">
        <v>8</v>
      </c>
      <c r="B60" s="207" t="s">
        <v>211</v>
      </c>
      <c r="C60" s="315"/>
      <c r="D60" s="207"/>
      <c r="E60" s="207">
        <v>55719</v>
      </c>
      <c r="F60" s="200">
        <v>1</v>
      </c>
      <c r="G60" s="337"/>
      <c r="H60" s="660"/>
    </row>
    <row r="61" spans="1:8" ht="15.5" x14ac:dyDescent="0.35">
      <c r="A61" s="236" t="s">
        <v>9</v>
      </c>
      <c r="B61" s="207" t="s">
        <v>329</v>
      </c>
      <c r="C61" s="315"/>
      <c r="D61" s="207"/>
      <c r="E61" s="207">
        <v>55719</v>
      </c>
      <c r="F61" s="200">
        <v>1</v>
      </c>
      <c r="G61" s="337"/>
      <c r="H61" s="660"/>
    </row>
    <row r="62" spans="1:8" ht="15.5" x14ac:dyDescent="0.35">
      <c r="A62" s="236" t="s">
        <v>930</v>
      </c>
      <c r="B62" s="207" t="s">
        <v>88</v>
      </c>
      <c r="C62" s="315"/>
      <c r="D62" s="207"/>
      <c r="E62" s="207">
        <v>55719</v>
      </c>
      <c r="F62" s="200">
        <v>1</v>
      </c>
      <c r="G62" s="337"/>
      <c r="H62" s="660"/>
    </row>
    <row r="63" spans="1:8" ht="15.5" x14ac:dyDescent="0.35">
      <c r="A63" s="236" t="s">
        <v>4</v>
      </c>
      <c r="B63" s="207" t="s">
        <v>86</v>
      </c>
      <c r="C63" s="315"/>
      <c r="D63" s="207"/>
      <c r="E63" s="207">
        <v>55719</v>
      </c>
      <c r="F63" s="200">
        <v>1</v>
      </c>
      <c r="G63" s="337"/>
      <c r="H63" s="660"/>
    </row>
    <row r="64" spans="1:8" ht="15.5" x14ac:dyDescent="0.35">
      <c r="A64" s="236" t="s">
        <v>29</v>
      </c>
      <c r="B64" s="207" t="s">
        <v>1564</v>
      </c>
      <c r="C64" s="315"/>
      <c r="D64" s="207"/>
      <c r="E64" s="207">
        <v>55719</v>
      </c>
      <c r="F64" s="200">
        <v>1</v>
      </c>
      <c r="G64" s="337"/>
      <c r="H64" s="660"/>
    </row>
    <row r="65" spans="1:8" ht="15.5" x14ac:dyDescent="0.35">
      <c r="A65" s="236" t="s">
        <v>28</v>
      </c>
      <c r="B65" s="207" t="s">
        <v>2242</v>
      </c>
      <c r="C65" s="315"/>
      <c r="D65" s="207"/>
      <c r="E65" s="207">
        <v>55719</v>
      </c>
      <c r="F65" s="200">
        <v>1</v>
      </c>
      <c r="G65" s="337"/>
      <c r="H65" s="660"/>
    </row>
    <row r="66" spans="1:8" ht="15.5" x14ac:dyDescent="0.35">
      <c r="A66" s="236" t="s">
        <v>1159</v>
      </c>
      <c r="B66" s="207" t="s">
        <v>484</v>
      </c>
      <c r="C66" s="315"/>
      <c r="D66" s="207"/>
      <c r="E66" s="207">
        <v>55719</v>
      </c>
      <c r="F66" s="200">
        <v>1</v>
      </c>
      <c r="G66" s="337"/>
      <c r="H66" s="660"/>
    </row>
    <row r="67" spans="1:8" ht="15.5" x14ac:dyDescent="0.35">
      <c r="A67" s="236" t="s">
        <v>931</v>
      </c>
      <c r="B67" s="207" t="s">
        <v>66</v>
      </c>
      <c r="C67" s="315"/>
      <c r="D67" s="207"/>
      <c r="E67" s="207">
        <v>55719</v>
      </c>
      <c r="F67" s="200">
        <v>2</v>
      </c>
      <c r="G67" s="337"/>
      <c r="H67" s="660"/>
    </row>
    <row r="68" spans="1:8" ht="15.5" x14ac:dyDescent="0.35">
      <c r="A68" s="236" t="s">
        <v>932</v>
      </c>
      <c r="B68" s="207" t="s">
        <v>432</v>
      </c>
      <c r="C68" s="315"/>
      <c r="D68" s="207"/>
      <c r="E68" s="207">
        <v>55719</v>
      </c>
      <c r="F68" s="200">
        <v>1</v>
      </c>
      <c r="G68" s="337"/>
      <c r="H68" s="660"/>
    </row>
    <row r="69" spans="1:8" ht="15.5" x14ac:dyDescent="0.35">
      <c r="A69" s="236" t="s">
        <v>1160</v>
      </c>
      <c r="B69" s="207" t="s">
        <v>467</v>
      </c>
      <c r="C69" s="315"/>
      <c r="D69" s="207"/>
      <c r="E69" s="207">
        <v>55719</v>
      </c>
      <c r="F69" s="200">
        <v>1</v>
      </c>
      <c r="G69" s="337"/>
      <c r="H69" s="660"/>
    </row>
    <row r="70" spans="1:8" ht="15.5" x14ac:dyDescent="0.35">
      <c r="A70" s="236" t="s">
        <v>933</v>
      </c>
      <c r="B70" s="207" t="s">
        <v>433</v>
      </c>
      <c r="C70" s="315"/>
      <c r="D70" s="207"/>
      <c r="E70" s="207">
        <v>55719</v>
      </c>
      <c r="F70" s="200">
        <v>1</v>
      </c>
      <c r="G70" s="337"/>
      <c r="H70" s="660"/>
    </row>
    <row r="71" spans="1:8" ht="15.5" x14ac:dyDescent="0.35">
      <c r="A71" s="236" t="s">
        <v>1162</v>
      </c>
      <c r="B71" s="207" t="s">
        <v>84</v>
      </c>
      <c r="C71" s="315"/>
      <c r="D71" s="207"/>
      <c r="E71" s="207">
        <v>55719</v>
      </c>
      <c r="F71" s="200">
        <v>1</v>
      </c>
      <c r="G71" s="337"/>
      <c r="H71" s="660"/>
    </row>
    <row r="72" spans="1:8" ht="15.5" x14ac:dyDescent="0.35">
      <c r="A72" s="236" t="s">
        <v>934</v>
      </c>
      <c r="B72" s="207" t="s">
        <v>434</v>
      </c>
      <c r="C72" s="315"/>
      <c r="D72" s="207"/>
      <c r="E72" s="207">
        <v>55719</v>
      </c>
      <c r="F72" s="200">
        <v>1</v>
      </c>
      <c r="G72" s="337"/>
      <c r="H72" s="660"/>
    </row>
    <row r="73" spans="1:8" ht="15.5" x14ac:dyDescent="0.35">
      <c r="A73" s="236" t="s">
        <v>1164</v>
      </c>
      <c r="B73" s="207" t="s">
        <v>486</v>
      </c>
      <c r="C73" s="315"/>
      <c r="D73" s="207"/>
      <c r="E73" s="207">
        <v>55719</v>
      </c>
      <c r="F73" s="200">
        <v>1</v>
      </c>
      <c r="G73" s="337"/>
      <c r="H73" s="660"/>
    </row>
    <row r="74" spans="1:8" ht="15.5" x14ac:dyDescent="0.35">
      <c r="A74" s="236" t="s">
        <v>1165</v>
      </c>
      <c r="B74" s="207" t="s">
        <v>478</v>
      </c>
      <c r="C74" s="315"/>
      <c r="D74" s="207"/>
      <c r="E74" s="207">
        <v>55719</v>
      </c>
      <c r="F74" s="200">
        <v>2</v>
      </c>
      <c r="G74" s="337"/>
      <c r="H74" s="660"/>
    </row>
    <row r="75" spans="1:8" ht="15.5" x14ac:dyDescent="0.35">
      <c r="A75" s="236" t="s">
        <v>1166</v>
      </c>
      <c r="B75" s="207" t="s">
        <v>485</v>
      </c>
      <c r="C75" s="315"/>
      <c r="D75" s="207"/>
      <c r="E75" s="207">
        <v>55719</v>
      </c>
      <c r="F75" s="200">
        <v>1</v>
      </c>
      <c r="G75" s="337"/>
      <c r="H75" s="660"/>
    </row>
    <row r="76" spans="1:8" ht="15.5" x14ac:dyDescent="0.35">
      <c r="A76" s="236" t="s">
        <v>1061</v>
      </c>
      <c r="B76" s="207" t="s">
        <v>73</v>
      </c>
      <c r="C76" s="315"/>
      <c r="D76" s="207"/>
      <c r="E76" s="207">
        <v>55719</v>
      </c>
      <c r="F76" s="200">
        <v>2</v>
      </c>
      <c r="G76" s="337"/>
      <c r="H76" s="660"/>
    </row>
    <row r="77" spans="1:8" ht="15.5" x14ac:dyDescent="0.35">
      <c r="A77" s="236" t="s">
        <v>1060</v>
      </c>
      <c r="B77" s="207" t="s">
        <v>74</v>
      </c>
      <c r="C77" s="315"/>
      <c r="D77" s="207"/>
      <c r="E77" s="207">
        <v>55719</v>
      </c>
      <c r="F77" s="200">
        <v>1</v>
      </c>
      <c r="G77" s="337"/>
      <c r="H77" s="660"/>
    </row>
    <row r="78" spans="1:8" ht="15.5" x14ac:dyDescent="0.35">
      <c r="A78" s="236" t="s">
        <v>1062</v>
      </c>
      <c r="B78" s="207" t="s">
        <v>261</v>
      </c>
      <c r="C78" s="315"/>
      <c r="D78" s="207"/>
      <c r="E78" s="207">
        <v>55719</v>
      </c>
      <c r="F78" s="200">
        <v>1</v>
      </c>
      <c r="G78" s="337"/>
      <c r="H78" s="660"/>
    </row>
    <row r="79" spans="1:8" ht="15.5" x14ac:dyDescent="0.35">
      <c r="A79" s="236" t="s">
        <v>1168</v>
      </c>
      <c r="B79" s="207" t="s">
        <v>75</v>
      </c>
      <c r="C79" s="315"/>
      <c r="D79" s="207"/>
      <c r="E79" s="207">
        <v>55719</v>
      </c>
      <c r="F79" s="200">
        <v>1</v>
      </c>
      <c r="G79" s="337"/>
      <c r="H79" s="660"/>
    </row>
    <row r="80" spans="1:8" ht="15.5" x14ac:dyDescent="0.35">
      <c r="A80" s="236" t="s">
        <v>1057</v>
      </c>
      <c r="B80" s="207" t="s">
        <v>72</v>
      </c>
      <c r="C80" s="315"/>
      <c r="D80" s="207"/>
      <c r="E80" s="207">
        <v>55719</v>
      </c>
      <c r="F80" s="200">
        <v>1</v>
      </c>
      <c r="G80" s="337"/>
      <c r="H80" s="660"/>
    </row>
    <row r="81" spans="1:8" ht="15.5" x14ac:dyDescent="0.35">
      <c r="A81" s="236" t="s">
        <v>14</v>
      </c>
      <c r="B81" s="207" t="s">
        <v>334</v>
      </c>
      <c r="C81" s="315"/>
      <c r="D81" s="207"/>
      <c r="E81" s="207">
        <v>55719</v>
      </c>
      <c r="F81" s="200">
        <v>1</v>
      </c>
      <c r="G81" s="337"/>
      <c r="H81" s="660"/>
    </row>
    <row r="82" spans="1:8" ht="15.5" x14ac:dyDescent="0.35">
      <c r="A82" s="236" t="s">
        <v>881</v>
      </c>
      <c r="B82" s="207" t="s">
        <v>417</v>
      </c>
      <c r="C82" s="315"/>
      <c r="D82" s="207"/>
      <c r="E82" s="207">
        <v>55719</v>
      </c>
      <c r="F82" s="200">
        <v>1</v>
      </c>
      <c r="G82" s="337"/>
      <c r="H82" s="660"/>
    </row>
    <row r="83" spans="1:8" ht="15.5" x14ac:dyDescent="0.35">
      <c r="A83" s="236" t="s">
        <v>10</v>
      </c>
      <c r="B83" s="207" t="s">
        <v>418</v>
      </c>
      <c r="C83" s="315"/>
      <c r="D83" s="207"/>
      <c r="E83" s="207">
        <v>55719</v>
      </c>
      <c r="F83" s="200">
        <v>1</v>
      </c>
      <c r="G83" s="337"/>
      <c r="H83" s="660"/>
    </row>
    <row r="84" spans="1:8" ht="15.5" x14ac:dyDescent="0.35">
      <c r="A84" s="236" t="s">
        <v>97</v>
      </c>
      <c r="B84" s="207" t="s">
        <v>457</v>
      </c>
      <c r="C84" s="315"/>
      <c r="D84" s="207"/>
      <c r="E84" s="207">
        <v>55719</v>
      </c>
      <c r="F84" s="200">
        <v>1</v>
      </c>
      <c r="G84" s="337"/>
      <c r="H84" s="660"/>
    </row>
    <row r="85" spans="1:8" ht="15.5" x14ac:dyDescent="0.35">
      <c r="A85" s="236" t="s">
        <v>19</v>
      </c>
      <c r="B85" s="207" t="s">
        <v>242</v>
      </c>
      <c r="C85" s="315"/>
      <c r="D85" s="207"/>
      <c r="E85" s="207">
        <v>55719</v>
      </c>
      <c r="F85" s="200">
        <v>1</v>
      </c>
      <c r="G85" s="337"/>
      <c r="H85" s="660"/>
    </row>
    <row r="86" spans="1:8" ht="15.5" x14ac:dyDescent="0.35">
      <c r="A86" s="236" t="s">
        <v>13</v>
      </c>
      <c r="B86" s="207" t="s">
        <v>420</v>
      </c>
      <c r="C86" s="315"/>
      <c r="D86" s="207"/>
      <c r="E86" s="207">
        <v>55719</v>
      </c>
      <c r="F86" s="200">
        <v>1</v>
      </c>
      <c r="G86" s="337"/>
      <c r="H86" s="660"/>
    </row>
    <row r="89" spans="1:8" ht="17.5" x14ac:dyDescent="0.35">
      <c r="A89" s="309" t="s">
        <v>2032</v>
      </c>
      <c r="B89" s="312"/>
      <c r="C89" s="249"/>
      <c r="D89" s="249"/>
      <c r="E89" s="249"/>
      <c r="F89" s="249"/>
      <c r="G89" s="250"/>
    </row>
    <row r="90" spans="1:8" ht="17.5" x14ac:dyDescent="0.35">
      <c r="A90" s="309" t="s">
        <v>2407</v>
      </c>
      <c r="B90" s="312"/>
      <c r="C90" s="249"/>
      <c r="D90" s="249"/>
      <c r="E90" s="249"/>
      <c r="F90" s="249"/>
      <c r="G90" s="250"/>
    </row>
    <row r="91" spans="1:8" ht="17.5" x14ac:dyDescent="0.35">
      <c r="A91" s="334" t="s">
        <v>2617</v>
      </c>
      <c r="B91" s="335"/>
    </row>
    <row r="92" spans="1:8" ht="17.5" x14ac:dyDescent="0.35">
      <c r="A92" s="319" t="s">
        <v>2694</v>
      </c>
      <c r="B92" s="307"/>
    </row>
  </sheetData>
  <sortState xmlns:xlrd2="http://schemas.microsoft.com/office/spreadsheetml/2017/richdata2" ref="A2:H86">
    <sortCondition ref="B2:B86"/>
  </sortState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18"/>
  <sheetViews>
    <sheetView workbookViewId="0">
      <pane ySplit="1" topLeftCell="A2" activePane="bottomLeft" state="frozen"/>
      <selection activeCell="C26" sqref="C26"/>
      <selection pane="bottomLeft" activeCell="A11" sqref="A11:XFD14"/>
    </sheetView>
  </sheetViews>
  <sheetFormatPr defaultColWidth="9.08984375" defaultRowHeight="14.5" x14ac:dyDescent="0.35"/>
  <cols>
    <col min="1" max="1" width="70.36328125" style="131" bestFit="1" customWidth="1"/>
    <col min="2" max="2" width="16.08984375" style="131" customWidth="1"/>
    <col min="3" max="3" width="21.1796875" style="131" customWidth="1"/>
    <col min="4" max="4" width="21.81640625" style="131" customWidth="1"/>
    <col min="5" max="5" width="14.36328125" style="131" customWidth="1"/>
    <col min="6" max="6" width="11.90625" style="131" customWidth="1"/>
    <col min="7" max="7" width="13.08984375" style="131" customWidth="1"/>
    <col min="8" max="8" width="18.6328125" style="131" customWidth="1"/>
    <col min="9" max="16384" width="9.08984375" style="131"/>
  </cols>
  <sheetData>
    <row r="1" spans="1:8" ht="15.5" x14ac:dyDescent="0.35">
      <c r="A1" s="658" t="s">
        <v>0</v>
      </c>
      <c r="B1" s="110" t="s">
        <v>1</v>
      </c>
      <c r="C1" s="281" t="s">
        <v>2700</v>
      </c>
      <c r="D1" s="21" t="s">
        <v>1598</v>
      </c>
      <c r="E1" s="21" t="s">
        <v>1599</v>
      </c>
      <c r="F1" s="88" t="s">
        <v>364</v>
      </c>
      <c r="G1" s="326" t="s">
        <v>2695</v>
      </c>
      <c r="H1" s="305" t="s">
        <v>2696</v>
      </c>
    </row>
    <row r="2" spans="1:8" ht="15.5" x14ac:dyDescent="0.35">
      <c r="A2" s="236" t="s">
        <v>6</v>
      </c>
      <c r="B2" s="207" t="s">
        <v>87</v>
      </c>
      <c r="C2" s="315"/>
      <c r="D2" s="207"/>
      <c r="E2" s="207">
        <v>55719</v>
      </c>
      <c r="F2" s="200">
        <v>1</v>
      </c>
      <c r="G2" s="337"/>
      <c r="H2" s="313"/>
    </row>
    <row r="3" spans="1:8" ht="15.5" x14ac:dyDescent="0.35">
      <c r="A3" s="236" t="s">
        <v>15</v>
      </c>
      <c r="B3" s="207" t="s">
        <v>424</v>
      </c>
      <c r="C3" s="315"/>
      <c r="D3" s="207"/>
      <c r="E3" s="207">
        <v>55719</v>
      </c>
      <c r="F3" s="200">
        <v>1</v>
      </c>
      <c r="G3" s="337"/>
      <c r="H3" s="313"/>
    </row>
    <row r="4" spans="1:8" ht="15.5" x14ac:dyDescent="0.35">
      <c r="A4" s="236" t="s">
        <v>1091</v>
      </c>
      <c r="B4" s="207" t="s">
        <v>1610</v>
      </c>
      <c r="C4" s="315"/>
      <c r="D4" s="207"/>
      <c r="E4" s="207">
        <v>55719</v>
      </c>
      <c r="F4" s="200">
        <v>1</v>
      </c>
      <c r="G4" s="337"/>
      <c r="H4" s="313"/>
    </row>
    <row r="5" spans="1:8" ht="15.5" x14ac:dyDescent="0.35">
      <c r="A5" s="236" t="s">
        <v>1019</v>
      </c>
      <c r="B5" s="207" t="s">
        <v>90</v>
      </c>
      <c r="C5" s="315"/>
      <c r="D5" s="207"/>
      <c r="E5" s="207">
        <v>55719</v>
      </c>
      <c r="F5" s="200">
        <v>1</v>
      </c>
      <c r="G5" s="337"/>
      <c r="H5" s="313"/>
    </row>
    <row r="6" spans="1:8" ht="15.5" x14ac:dyDescent="0.35">
      <c r="A6" s="236" t="s">
        <v>1042</v>
      </c>
      <c r="B6" s="207" t="s">
        <v>429</v>
      </c>
      <c r="C6" s="315"/>
      <c r="D6" s="207"/>
      <c r="E6" s="207">
        <v>55719</v>
      </c>
      <c r="F6" s="200">
        <v>1</v>
      </c>
      <c r="G6" s="337"/>
      <c r="H6" s="313"/>
    </row>
    <row r="7" spans="1:8" ht="15.5" x14ac:dyDescent="0.35">
      <c r="A7" s="236" t="s">
        <v>992</v>
      </c>
      <c r="B7" s="207" t="s">
        <v>584</v>
      </c>
      <c r="C7" s="315"/>
      <c r="D7" s="207"/>
      <c r="E7" s="207">
        <v>55719</v>
      </c>
      <c r="F7" s="200">
        <v>1</v>
      </c>
      <c r="G7" s="337"/>
      <c r="H7" s="313"/>
    </row>
    <row r="8" spans="1:8" ht="15.5" x14ac:dyDescent="0.35">
      <c r="A8" s="236" t="s">
        <v>171</v>
      </c>
      <c r="B8" s="207" t="s">
        <v>565</v>
      </c>
      <c r="C8" s="315"/>
      <c r="D8" s="207"/>
      <c r="E8" s="207">
        <v>55719</v>
      </c>
      <c r="F8" s="200">
        <v>1</v>
      </c>
      <c r="G8" s="337"/>
      <c r="H8" s="313"/>
    </row>
    <row r="9" spans="1:8" ht="15.5" x14ac:dyDescent="0.35">
      <c r="A9" s="236" t="s">
        <v>1127</v>
      </c>
      <c r="B9" s="207" t="s">
        <v>539</v>
      </c>
      <c r="C9" s="315"/>
      <c r="D9" s="207"/>
      <c r="E9" s="207">
        <v>55719</v>
      </c>
      <c r="F9" s="200">
        <v>1</v>
      </c>
      <c r="G9" s="337"/>
      <c r="H9" s="313"/>
    </row>
    <row r="10" spans="1:8" ht="15.5" x14ac:dyDescent="0.35">
      <c r="A10" s="236" t="s">
        <v>16</v>
      </c>
      <c r="B10" s="207" t="s">
        <v>360</v>
      </c>
      <c r="C10" s="315"/>
      <c r="D10" s="207"/>
      <c r="E10" s="207">
        <v>55719</v>
      </c>
      <c r="F10" s="200">
        <v>1</v>
      </c>
      <c r="G10" s="337"/>
      <c r="H10" s="313"/>
    </row>
    <row r="15" spans="1:8" ht="17.5" x14ac:dyDescent="0.35">
      <c r="A15" s="309" t="s">
        <v>2026</v>
      </c>
      <c r="B15" s="312"/>
      <c r="C15" s="249"/>
      <c r="D15" s="249"/>
      <c r="E15" s="249"/>
      <c r="F15" s="249"/>
      <c r="G15" s="250"/>
    </row>
    <row r="16" spans="1:8" ht="17.5" x14ac:dyDescent="0.35">
      <c r="A16" s="309" t="s">
        <v>2406</v>
      </c>
      <c r="B16" s="312"/>
      <c r="C16" s="249"/>
      <c r="D16" s="249"/>
      <c r="E16" s="249"/>
      <c r="F16" s="249"/>
      <c r="G16" s="250"/>
    </row>
    <row r="17" spans="1:2" ht="17.5" x14ac:dyDescent="0.35">
      <c r="A17" s="334" t="s">
        <v>2616</v>
      </c>
      <c r="B17" s="335"/>
    </row>
    <row r="18" spans="1:2" ht="17.5" x14ac:dyDescent="0.35">
      <c r="A18" s="319" t="s">
        <v>2694</v>
      </c>
      <c r="B18" s="30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22"/>
  <sheetViews>
    <sheetView workbookViewId="0">
      <pane ySplit="1" topLeftCell="A2" activePane="bottomLeft" state="frozen"/>
      <selection activeCell="C26" sqref="C26"/>
      <selection pane="bottomLeft" activeCell="A16" sqref="A16:XFD21"/>
    </sheetView>
  </sheetViews>
  <sheetFormatPr defaultColWidth="9.08984375" defaultRowHeight="14.5" x14ac:dyDescent="0.35"/>
  <cols>
    <col min="1" max="1" width="63.90625" style="131" bestFit="1" customWidth="1"/>
    <col min="2" max="2" width="16.08984375" style="131" customWidth="1"/>
    <col min="3" max="3" width="21.1796875" style="131" customWidth="1"/>
    <col min="4" max="4" width="21.81640625" style="131" customWidth="1"/>
    <col min="5" max="5" width="14.36328125" style="131" customWidth="1"/>
    <col min="6" max="6" width="11.90625" style="131" customWidth="1"/>
    <col min="7" max="7" width="13.08984375" style="131" customWidth="1"/>
    <col min="8" max="8" width="18.6328125" style="131" customWidth="1"/>
    <col min="9" max="16384" width="9.08984375" style="131"/>
  </cols>
  <sheetData>
    <row r="1" spans="1:8" ht="15.5" x14ac:dyDescent="0.35">
      <c r="A1" s="567" t="s">
        <v>0</v>
      </c>
      <c r="B1" s="21" t="s">
        <v>1</v>
      </c>
      <c r="C1" s="281" t="s">
        <v>2700</v>
      </c>
      <c r="D1" s="21" t="s">
        <v>1598</v>
      </c>
      <c r="E1" s="21" t="s">
        <v>1599</v>
      </c>
      <c r="F1" s="88" t="s">
        <v>364</v>
      </c>
      <c r="G1" s="326" t="s">
        <v>2695</v>
      </c>
      <c r="H1" s="305" t="s">
        <v>2696</v>
      </c>
    </row>
    <row r="2" spans="1:8" ht="15.5" x14ac:dyDescent="0.35">
      <c r="A2" s="236" t="s">
        <v>6</v>
      </c>
      <c r="B2" s="207" t="s">
        <v>87</v>
      </c>
      <c r="C2" s="315"/>
      <c r="D2" s="207"/>
      <c r="E2" s="207">
        <v>55719</v>
      </c>
      <c r="F2" s="200">
        <v>1</v>
      </c>
      <c r="G2" s="337"/>
      <c r="H2" s="313"/>
    </row>
    <row r="3" spans="1:8" ht="15.5" x14ac:dyDescent="0.35">
      <c r="A3" s="236" t="s">
        <v>12</v>
      </c>
      <c r="B3" s="207" t="s">
        <v>150</v>
      </c>
      <c r="C3" s="315"/>
      <c r="D3" s="207"/>
      <c r="E3" s="207">
        <v>55719</v>
      </c>
      <c r="F3" s="200">
        <v>1</v>
      </c>
      <c r="G3" s="337"/>
      <c r="H3" s="313"/>
    </row>
    <row r="4" spans="1:8" ht="15.5" x14ac:dyDescent="0.35">
      <c r="A4" s="236" t="s">
        <v>13</v>
      </c>
      <c r="B4" s="207" t="s">
        <v>420</v>
      </c>
      <c r="C4" s="315"/>
      <c r="D4" s="207"/>
      <c r="E4" s="207">
        <v>55719</v>
      </c>
      <c r="F4" s="200">
        <v>1</v>
      </c>
      <c r="G4" s="337"/>
      <c r="H4" s="313"/>
    </row>
    <row r="5" spans="1:8" ht="15.5" x14ac:dyDescent="0.35">
      <c r="A5" s="236" t="s">
        <v>15</v>
      </c>
      <c r="B5" s="207" t="s">
        <v>424</v>
      </c>
      <c r="C5" s="315"/>
      <c r="D5" s="207"/>
      <c r="E5" s="207">
        <v>55719</v>
      </c>
      <c r="F5" s="200">
        <v>1</v>
      </c>
      <c r="G5" s="337"/>
      <c r="H5" s="313"/>
    </row>
    <row r="6" spans="1:8" ht="15.5" x14ac:dyDescent="0.35">
      <c r="A6" s="236" t="s">
        <v>1099</v>
      </c>
      <c r="B6" s="207" t="s">
        <v>426</v>
      </c>
      <c r="C6" s="315"/>
      <c r="D6" s="207"/>
      <c r="E6" s="207">
        <v>55719</v>
      </c>
      <c r="F6" s="200">
        <v>1</v>
      </c>
      <c r="G6" s="337"/>
      <c r="H6" s="313"/>
    </row>
    <row r="7" spans="1:8" ht="15.5" x14ac:dyDescent="0.35">
      <c r="A7" s="236" t="s">
        <v>408</v>
      </c>
      <c r="B7" s="207" t="s">
        <v>1562</v>
      </c>
      <c r="C7" s="315"/>
      <c r="D7" s="207"/>
      <c r="E7" s="207">
        <v>55719</v>
      </c>
      <c r="F7" s="200">
        <v>1</v>
      </c>
      <c r="G7" s="337"/>
      <c r="H7" s="313"/>
    </row>
    <row r="8" spans="1:8" ht="15.5" x14ac:dyDescent="0.35">
      <c r="A8" s="236" t="s">
        <v>885</v>
      </c>
      <c r="B8" s="207" t="s">
        <v>229</v>
      </c>
      <c r="C8" s="315"/>
      <c r="D8" s="207"/>
      <c r="E8" s="207">
        <v>55719</v>
      </c>
      <c r="F8" s="200">
        <v>1</v>
      </c>
      <c r="G8" s="337"/>
      <c r="H8" s="313"/>
    </row>
    <row r="9" spans="1:8" ht="15.5" x14ac:dyDescent="0.35">
      <c r="A9" s="236" t="s">
        <v>1091</v>
      </c>
      <c r="B9" s="207" t="s">
        <v>1610</v>
      </c>
      <c r="C9" s="315"/>
      <c r="D9" s="207"/>
      <c r="E9" s="207">
        <v>55719</v>
      </c>
      <c r="F9" s="200">
        <v>1</v>
      </c>
      <c r="G9" s="337"/>
      <c r="H9" s="313"/>
    </row>
    <row r="10" spans="1:8" ht="15.5" x14ac:dyDescent="0.35">
      <c r="A10" s="236" t="s">
        <v>1019</v>
      </c>
      <c r="B10" s="207" t="s">
        <v>90</v>
      </c>
      <c r="C10" s="315"/>
      <c r="D10" s="207"/>
      <c r="E10" s="207">
        <v>55719</v>
      </c>
      <c r="F10" s="200">
        <v>1</v>
      </c>
      <c r="G10" s="337"/>
      <c r="H10" s="313"/>
    </row>
    <row r="11" spans="1:8" ht="15.5" x14ac:dyDescent="0.35">
      <c r="A11" s="236" t="s">
        <v>1377</v>
      </c>
      <c r="B11" s="207" t="s">
        <v>143</v>
      </c>
      <c r="C11" s="315"/>
      <c r="D11" s="207"/>
      <c r="E11" s="207">
        <v>55719</v>
      </c>
      <c r="F11" s="200">
        <v>1</v>
      </c>
      <c r="G11" s="337"/>
      <c r="H11" s="313"/>
    </row>
    <row r="12" spans="1:8" ht="15.5" x14ac:dyDescent="0.35">
      <c r="A12" s="236" t="s">
        <v>19</v>
      </c>
      <c r="B12" s="207" t="s">
        <v>242</v>
      </c>
      <c r="C12" s="315"/>
      <c r="D12" s="207"/>
      <c r="E12" s="207">
        <v>55719</v>
      </c>
      <c r="F12" s="200">
        <v>1</v>
      </c>
      <c r="G12" s="337"/>
      <c r="H12" s="313"/>
    </row>
    <row r="13" spans="1:8" ht="15.5" x14ac:dyDescent="0.35">
      <c r="A13" s="236" t="s">
        <v>1608</v>
      </c>
      <c r="B13" s="207" t="s">
        <v>1609</v>
      </c>
      <c r="C13" s="315"/>
      <c r="D13" s="207"/>
      <c r="E13" s="207">
        <v>55719</v>
      </c>
      <c r="F13" s="200">
        <v>1</v>
      </c>
      <c r="G13" s="337"/>
      <c r="H13" s="313"/>
    </row>
    <row r="14" spans="1:8" ht="15.5" x14ac:dyDescent="0.35">
      <c r="A14" s="236" t="s">
        <v>1759</v>
      </c>
      <c r="B14" s="207" t="s">
        <v>280</v>
      </c>
      <c r="C14" s="315"/>
      <c r="D14" s="207"/>
      <c r="E14" s="207">
        <v>55719</v>
      </c>
      <c r="F14" s="200">
        <v>1</v>
      </c>
      <c r="G14" s="337"/>
      <c r="H14" s="313"/>
    </row>
    <row r="15" spans="1:8" ht="15.5" x14ac:dyDescent="0.35">
      <c r="A15" s="236" t="s">
        <v>16</v>
      </c>
      <c r="B15" s="207" t="s">
        <v>360</v>
      </c>
      <c r="C15" s="315"/>
      <c r="D15" s="207"/>
      <c r="E15" s="207">
        <v>55719</v>
      </c>
      <c r="F15" s="200">
        <v>1</v>
      </c>
      <c r="G15" s="337"/>
      <c r="H15" s="313"/>
    </row>
    <row r="19" spans="1:7" ht="17.5" x14ac:dyDescent="0.35">
      <c r="A19" s="309" t="s">
        <v>2035</v>
      </c>
      <c r="B19" s="312"/>
      <c r="C19" s="249"/>
      <c r="D19" s="249"/>
      <c r="E19" s="249"/>
      <c r="F19" s="249"/>
      <c r="G19" s="250"/>
    </row>
    <row r="20" spans="1:7" ht="17.5" x14ac:dyDescent="0.35">
      <c r="A20" s="309" t="s">
        <v>2405</v>
      </c>
      <c r="B20" s="312"/>
      <c r="C20" s="249"/>
      <c r="D20" s="249"/>
      <c r="E20" s="249"/>
      <c r="F20" s="249"/>
      <c r="G20" s="250"/>
    </row>
    <row r="21" spans="1:7" ht="17.5" x14ac:dyDescent="0.35">
      <c r="A21" s="334" t="s">
        <v>2615</v>
      </c>
      <c r="B21" s="335"/>
    </row>
    <row r="22" spans="1:7" ht="17.5" x14ac:dyDescent="0.35">
      <c r="A22" s="319" t="s">
        <v>2694</v>
      </c>
      <c r="B22" s="30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12"/>
  <sheetViews>
    <sheetView workbookViewId="0">
      <pane ySplit="1" topLeftCell="A2" activePane="bottomLeft" state="frozen"/>
      <selection activeCell="C26" sqref="C26"/>
      <selection pane="bottomLeft" activeCell="E7" sqref="E7"/>
    </sheetView>
  </sheetViews>
  <sheetFormatPr defaultColWidth="9.08984375" defaultRowHeight="15.5" x14ac:dyDescent="0.35"/>
  <cols>
    <col min="1" max="1" width="56.08984375" style="257" bestFit="1" customWidth="1"/>
    <col min="2" max="2" width="14.36328125" style="257" bestFit="1" customWidth="1"/>
    <col min="3" max="3" width="20.36328125" style="257" bestFit="1" customWidth="1"/>
    <col min="4" max="4" width="20.08984375" style="257" bestFit="1" customWidth="1"/>
    <col min="5" max="5" width="12.453125" style="257" bestFit="1" customWidth="1"/>
    <col min="6" max="6" width="16" style="251" customWidth="1"/>
    <col min="7" max="7" width="11.36328125" style="397" bestFit="1" customWidth="1"/>
    <col min="8" max="8" width="16.90625" style="251" bestFit="1" customWidth="1"/>
    <col min="9" max="9" width="9.08984375" style="251"/>
    <col min="10" max="10" width="14.90625" style="251" bestFit="1" customWidth="1"/>
    <col min="11" max="12" width="9.08984375" style="251"/>
    <col min="13" max="13" width="16.54296875" style="251" bestFit="1" customWidth="1"/>
    <col min="14" max="16384" width="9.08984375" style="251"/>
  </cols>
  <sheetData>
    <row r="1" spans="1:8" x14ac:dyDescent="0.35">
      <c r="A1" s="260" t="s">
        <v>0</v>
      </c>
      <c r="B1" s="261" t="s">
        <v>1</v>
      </c>
      <c r="C1" s="281" t="s">
        <v>2700</v>
      </c>
      <c r="D1" s="261" t="s">
        <v>1598</v>
      </c>
      <c r="E1" s="261" t="s">
        <v>1599</v>
      </c>
      <c r="F1" s="262" t="s">
        <v>364</v>
      </c>
      <c r="G1" s="393" t="s">
        <v>2695</v>
      </c>
      <c r="H1" s="305" t="s">
        <v>2696</v>
      </c>
    </row>
    <row r="2" spans="1:8" x14ac:dyDescent="0.35">
      <c r="A2" s="205" t="s">
        <v>2468</v>
      </c>
      <c r="B2" s="221" t="s">
        <v>2469</v>
      </c>
      <c r="C2" s="315"/>
      <c r="E2" s="252">
        <v>55719</v>
      </c>
      <c r="F2" s="252">
        <v>1</v>
      </c>
      <c r="G2" s="394"/>
      <c r="H2" s="332">
        <f>+Table1517[[#This Row],[Quantity]]*Table1517[[#This Row],[Unit Price]]</f>
        <v>0</v>
      </c>
    </row>
    <row r="3" spans="1:8" x14ac:dyDescent="0.35">
      <c r="A3" s="205" t="s">
        <v>2466</v>
      </c>
      <c r="B3" s="221" t="s">
        <v>2467</v>
      </c>
      <c r="C3" s="543"/>
      <c r="E3" s="252">
        <v>55719</v>
      </c>
      <c r="F3" s="252">
        <v>1</v>
      </c>
      <c r="G3" s="394"/>
      <c r="H3" s="332">
        <f>+Table1517[[#This Row],[Quantity]]*Table1517[[#This Row],[Unit Price]]</f>
        <v>0</v>
      </c>
    </row>
    <row r="4" spans="1:8" x14ac:dyDescent="0.35">
      <c r="A4" s="258" t="s">
        <v>2568</v>
      </c>
      <c r="B4" s="252" t="s">
        <v>2569</v>
      </c>
      <c r="C4" s="315"/>
      <c r="E4" s="252">
        <v>55719</v>
      </c>
      <c r="F4" s="252">
        <v>1</v>
      </c>
      <c r="G4" s="394"/>
      <c r="H4" s="332">
        <f>+Table1517[[#This Row],[Quantity]]*Table1517[[#This Row],[Unit Price]]</f>
        <v>0</v>
      </c>
    </row>
    <row r="5" spans="1:8" x14ac:dyDescent="0.35">
      <c r="A5" s="258" t="s">
        <v>2570</v>
      </c>
      <c r="B5" s="252" t="s">
        <v>2571</v>
      </c>
      <c r="C5" s="543"/>
      <c r="E5" s="252">
        <v>55719</v>
      </c>
      <c r="F5" s="252">
        <v>1</v>
      </c>
      <c r="G5" s="394"/>
      <c r="H5" s="332">
        <f>+Table1517[[#This Row],[Quantity]]*Table1517[[#This Row],[Unit Price]]</f>
        <v>0</v>
      </c>
    </row>
    <row r="6" spans="1:8" x14ac:dyDescent="0.35">
      <c r="A6" s="258" t="s">
        <v>2572</v>
      </c>
      <c r="B6" s="252" t="s">
        <v>2573</v>
      </c>
      <c r="C6" s="315"/>
      <c r="E6" s="252">
        <v>55719</v>
      </c>
      <c r="F6" s="252">
        <v>1</v>
      </c>
      <c r="G6" s="394"/>
      <c r="H6" s="332">
        <f>+Table1517[[#This Row],[Quantity]]*Table1517[[#This Row],[Unit Price]]</f>
        <v>0</v>
      </c>
    </row>
    <row r="7" spans="1:8" x14ac:dyDescent="0.35">
      <c r="A7" s="389"/>
      <c r="B7" s="390"/>
      <c r="C7" s="391"/>
      <c r="D7" s="392"/>
      <c r="E7" s="390"/>
      <c r="F7" s="390"/>
      <c r="G7" s="395"/>
      <c r="H7" s="332">
        <f>+Table1517[[#This Row],[Quantity]]*Table1517[[#This Row],[Unit Price]]</f>
        <v>0</v>
      </c>
    </row>
    <row r="8" spans="1:8" x14ac:dyDescent="0.35">
      <c r="A8" s="398"/>
      <c r="B8" s="399"/>
      <c r="C8" s="400"/>
      <c r="D8" s="401"/>
      <c r="E8" s="399"/>
      <c r="F8" s="399"/>
      <c r="G8" s="402"/>
      <c r="H8" s="403">
        <f>SUM(H2:H7)</f>
        <v>0</v>
      </c>
    </row>
    <row r="9" spans="1:8" s="248" customFormat="1" ht="17.5" x14ac:dyDescent="0.35">
      <c r="A9" s="309" t="s">
        <v>2566</v>
      </c>
      <c r="B9" s="312"/>
      <c r="C9" s="249"/>
      <c r="D9" s="249"/>
      <c r="E9" s="249"/>
      <c r="F9" s="249"/>
      <c r="G9" s="396"/>
    </row>
    <row r="10" spans="1:8" s="248" customFormat="1" ht="17.5" x14ac:dyDescent="0.35">
      <c r="A10" s="309" t="s">
        <v>2567</v>
      </c>
      <c r="B10" s="312"/>
      <c r="C10" s="249"/>
      <c r="D10" s="249"/>
      <c r="E10" s="249"/>
      <c r="F10" s="249"/>
      <c r="G10" s="396"/>
    </row>
    <row r="11" spans="1:8" ht="17.5" x14ac:dyDescent="0.35">
      <c r="A11" s="334" t="s">
        <v>2690</v>
      </c>
      <c r="B11" s="311"/>
    </row>
    <row r="12" spans="1:8" ht="17.5" x14ac:dyDescent="0.35">
      <c r="A12" s="319" t="s">
        <v>2694</v>
      </c>
      <c r="B12" s="307">
        <f>+Table1517[[#Totals],[Extended price]]</f>
        <v>0</v>
      </c>
    </row>
  </sheetData>
  <printOptions gridLines="1"/>
  <pageMargins left="0.5" right="0.5" top="0.5" bottom="0.5" header="0.3" footer="0.3"/>
  <pageSetup scale="8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9fcf24-b5a3-4768-8688-f3ccf55adf13">
      <Terms xmlns="http://schemas.microsoft.com/office/infopath/2007/PartnerControls"/>
    </lcf76f155ced4ddcb4097134ff3c332f>
    <TaxCatchAll xmlns="a94cdab9-b6d1-411c-b43c-cbd3cb385a5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8ED7DC9E1E764EB54EFD225770C6C9" ma:contentTypeVersion="14" ma:contentTypeDescription="Create a new document." ma:contentTypeScope="" ma:versionID="fce5a32f6d43a82ae09c7b278162ed3e">
  <xsd:schema xmlns:xsd="http://www.w3.org/2001/XMLSchema" xmlns:xs="http://www.w3.org/2001/XMLSchema" xmlns:p="http://schemas.microsoft.com/office/2006/metadata/properties" xmlns:ns2="a19fcf24-b5a3-4768-8688-f3ccf55adf13" xmlns:ns3="a94cdab9-b6d1-411c-b43c-cbd3cb385a52" targetNamespace="http://schemas.microsoft.com/office/2006/metadata/properties" ma:root="true" ma:fieldsID="91693a0b0749a0e3f1e9c60846f0c6b8" ns2:_="" ns3:_="">
    <xsd:import namespace="a19fcf24-b5a3-4768-8688-f3ccf55adf13"/>
    <xsd:import namespace="a94cdab9-b6d1-411c-b43c-cbd3cb385a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fcf24-b5a3-4768-8688-f3ccf55ad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cdab9-b6d1-411c-b43c-cbd3cb385a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707ef2e-cf3a-4403-aa91-2e9fbc4e9ce1}" ma:internalName="TaxCatchAll" ma:showField="CatchAllData" ma:web="a94cdab9-b6d1-411c-b43c-cbd3cb385a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2124C6-BC29-4A32-AEB6-8BAA8797E6DF}">
  <ds:schemaRefs>
    <ds:schemaRef ds:uri="http://schemas.microsoft.com/office/2006/metadata/properties"/>
    <ds:schemaRef ds:uri="http://schemas.microsoft.com/office/infopath/2007/PartnerControls"/>
    <ds:schemaRef ds:uri="a19fcf24-b5a3-4768-8688-f3ccf55adf13"/>
    <ds:schemaRef ds:uri="a94cdab9-b6d1-411c-b43c-cbd3cb385a52"/>
  </ds:schemaRefs>
</ds:datastoreItem>
</file>

<file path=customXml/itemProps2.xml><?xml version="1.0" encoding="utf-8"?>
<ds:datastoreItem xmlns:ds="http://schemas.openxmlformats.org/officeDocument/2006/customXml" ds:itemID="{43752B27-D252-4C4F-9BA2-B12F3E367C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9fcf24-b5a3-4768-8688-f3ccf55adf13"/>
    <ds:schemaRef ds:uri="a94cdab9-b6d1-411c-b43c-cbd3cb385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E65A81-6661-4B3F-ABA8-19AE5F74FEC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75</vt:i4>
      </vt:variant>
      <vt:variant>
        <vt:lpstr>Named Ranges</vt:lpstr>
      </vt:variant>
      <vt:variant>
        <vt:i4>3</vt:i4>
      </vt:variant>
    </vt:vector>
  </HeadingPairs>
  <TitlesOfParts>
    <vt:vector size="78" baseType="lpstr">
      <vt:lpstr>SEID</vt:lpstr>
      <vt:lpstr>Tool Set, Flight Equipment</vt:lpstr>
      <vt:lpstr>Tool Set, Structure Box (A)</vt:lpstr>
      <vt:lpstr>Tool Set, LO Composite (A)</vt:lpstr>
      <vt:lpstr>Tool Set, Structure Box (BC)</vt:lpstr>
      <vt:lpstr>Tool Set, Power Plants (A)</vt:lpstr>
      <vt:lpstr>Tool Set, Engine (BC)</vt:lpstr>
      <vt:lpstr>Tool Set, Tire Back Shop (A)</vt:lpstr>
      <vt:lpstr>Tool Set, ECS (BC)</vt:lpstr>
      <vt:lpstr>Tool Set, Support Equip (AB)</vt:lpstr>
      <vt:lpstr>Tool Set, AF Shop Equip (BC)</vt:lpstr>
      <vt:lpstr>Tool Set, MALS Tire Buildup (B)</vt:lpstr>
      <vt:lpstr>Tool Set, Ordnance Shop (B)</vt:lpstr>
      <vt:lpstr>Tool Set, Ordnance Shop (C)</vt:lpstr>
      <vt:lpstr>Tool Set, Gun Maint Shop (BC)</vt:lpstr>
      <vt:lpstr>Tool Set, Mask Oxygen Only</vt:lpstr>
      <vt:lpstr>Tool Set, Electrical Shop (C)</vt:lpstr>
      <vt:lpstr>Tool Set, Supplemental (BC)</vt:lpstr>
      <vt:lpstr>Tool Set, Master Puller Kit (AB</vt:lpstr>
      <vt:lpstr>Tool Set, Seat Survival</vt:lpstr>
      <vt:lpstr>Tool Set, AF Hyd (BC)</vt:lpstr>
      <vt:lpstr>Tool Set, PP Shop (BC)</vt:lpstr>
      <vt:lpstr>Tool Set, Lift Systems (B)</vt:lpstr>
      <vt:lpstr>Tool Set, Egress (A)</vt:lpstr>
      <vt:lpstr>Tool Set, Egress (BC)</vt:lpstr>
      <vt:lpstr>Tool Set, Torque Head </vt:lpstr>
      <vt:lpstr>Tool Set, Fuels  (A)</vt:lpstr>
      <vt:lpstr>Tool Set, Fuels (BC)</vt:lpstr>
      <vt:lpstr>Tool Set, Panel Kit (A)</vt:lpstr>
      <vt:lpstr>Tool Set, Tire Wheel (A)</vt:lpstr>
      <vt:lpstr>Tool Set, OML Pouch (A)</vt:lpstr>
      <vt:lpstr>Tool Set, Tire Wheel (C)</vt:lpstr>
      <vt:lpstr>Tool Set, Avi Maint (A)</vt:lpstr>
      <vt:lpstr>Tool Set, Avi Electrical (A)</vt:lpstr>
      <vt:lpstr>Tool Set, Gun Jam Clearing (A)</vt:lpstr>
      <vt:lpstr>Tool Set, Weapons (A)</vt:lpstr>
      <vt:lpstr>Tool Set, Gun Jam Clearing (BC)</vt:lpstr>
      <vt:lpstr>Tool Set, Wpns Load Kit (BC)</vt:lpstr>
      <vt:lpstr>Tool Set, Egress Dispatch (A)</vt:lpstr>
      <vt:lpstr>Tool Box, Oxygen Use Only (A)</vt:lpstr>
      <vt:lpstr>Tool Set, 13B FS Pouch (B)</vt:lpstr>
      <vt:lpstr>Tool Set, 310 FS Pouch (B)</vt:lpstr>
      <vt:lpstr>Tool Set, 310 Shop Pouch (C)</vt:lpstr>
      <vt:lpstr>Tool Set, Crew Chief (A)</vt:lpstr>
      <vt:lpstr>Tool Set, CC Pouch (BC)</vt:lpstr>
      <vt:lpstr>Fuel Shop Dispatch (A)</vt:lpstr>
      <vt:lpstr>Tool Set, LO Dispatch (A)</vt:lpstr>
      <vt:lpstr>Tool Set, Fastener (A)</vt:lpstr>
      <vt:lpstr>Tool Set, Eddie Bolt</vt:lpstr>
      <vt:lpstr>Tool Set, Rivet</vt:lpstr>
      <vt:lpstr>Tool Set, LO Composite (BC)</vt:lpstr>
      <vt:lpstr>Tool Set, OML Pouch (BC)</vt:lpstr>
      <vt:lpstr>Tool Box, Oxygen Use Only (BC)</vt:lpstr>
      <vt:lpstr>Tool Set, 13B FS Pouch (C)</vt:lpstr>
      <vt:lpstr>Tool Set, Fastener (BC)</vt:lpstr>
      <vt:lpstr>Tool Set, AF Servicing Pouch(B)</vt:lpstr>
      <vt:lpstr>Tool Set, AF Servicing Pouch(C)</vt:lpstr>
      <vt:lpstr>Tool Set, PL Tire Removal (B)</vt:lpstr>
      <vt:lpstr>Tool Set, Avionics Maint (B) </vt:lpstr>
      <vt:lpstr>Tool Set, Avi Maint Pouch (B)</vt:lpstr>
      <vt:lpstr>Tool Set, Avionics Line (B)</vt:lpstr>
      <vt:lpstr>Tool Set, Weapons Maint (BC)</vt:lpstr>
      <vt:lpstr>Tool Set, 110 FR Pouch (C)</vt:lpstr>
      <vt:lpstr>Tool Set, 040 Inspect Box (C)</vt:lpstr>
      <vt:lpstr>Tool Set, Oxygen Use Only</vt:lpstr>
      <vt:lpstr>Tool Set, LO Dispatch (BC)</vt:lpstr>
      <vt:lpstr>Tool Set, Panel Line Box (B)</vt:lpstr>
      <vt:lpstr>Tool Set, Electrical Main (C)</vt:lpstr>
      <vt:lpstr>Tool Set, Electrical TS (C)</vt:lpstr>
      <vt:lpstr>Tool Set, Wire Repair (C)</vt:lpstr>
      <vt:lpstr>Tool Set, Avi Maint (C)</vt:lpstr>
      <vt:lpstr>Tool Set, Avi TS (C)</vt:lpstr>
      <vt:lpstr>Tool Set, Avi TS Pouch (C)</vt:lpstr>
      <vt:lpstr>Tool Set, EOTS Maint (C)</vt:lpstr>
      <vt:lpstr>Tool Set, Control Surfaces</vt:lpstr>
      <vt:lpstr>'Tool Set, Avi Electrical (A)'!Print_Area</vt:lpstr>
      <vt:lpstr>'Tool Set, Avionics Line (B)'!Print_Area</vt:lpstr>
      <vt:lpstr>'Tool Set, Avionics Maint (B) 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harold.kimball</dc:creator>
  <cp:lastModifiedBy>Daly, Eric M CIV (USA)</cp:lastModifiedBy>
  <cp:lastPrinted>2015-08-24T18:43:29Z</cp:lastPrinted>
  <dcterms:created xsi:type="dcterms:W3CDTF">2012-08-20T12:24:09Z</dcterms:created>
  <dcterms:modified xsi:type="dcterms:W3CDTF">2026-04-01T14:14:20Z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ontentTypeId">
    <vt:lpwstr>0x010100998ED7DC9E1E764EB54EFD225770C6C9</vt:lpwstr>
  </property>
  <property fmtid="{D5CDD505-2E9C-101B-9397-08002B2CF9AE}" pid="4" name="MediaServiceImageTags">
    <vt:lpwstr/>
  </property>
</Properties>
</file>