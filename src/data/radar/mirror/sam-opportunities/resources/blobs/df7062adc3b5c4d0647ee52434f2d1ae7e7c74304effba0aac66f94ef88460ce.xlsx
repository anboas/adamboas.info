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FLCY_C210/C211 CUI/SHIP REPAIR/WORKING/N6264926RA032 (USS HIGGINS) (PT 20260001179) - ss/S2 Solicitation/2.02 RFP Attachments/"/>
    </mc:Choice>
  </mc:AlternateContent>
  <bookViews>
    <workbookView xWindow="0" yWindow="11970" windowWidth="28800" windowHeight="12090" tabRatio="944"/>
  </bookViews>
  <sheets>
    <sheet name="SUMMARY" sheetId="67" r:id="rId1"/>
    <sheet name="1_38KB312315-A01" sheetId="68" r:id="rId2"/>
    <sheet name="2_38KB312316-A01" sheetId="69" r:id="rId3"/>
    <sheet name="3_38KB312317-A01" sheetId="70" r:id="rId4"/>
    <sheet name="4_38KB312318-A01" sheetId="71" r:id="rId5"/>
    <sheet name="5_38KB312319-A01" sheetId="72" r:id="rId6"/>
    <sheet name="6_38KB312320-A01" sheetId="73" r:id="rId7"/>
    <sheet name="7_38KB312323-A01" sheetId="74" r:id="rId8"/>
    <sheet name="8_38KB312324-A01" sheetId="75" r:id="rId9"/>
    <sheet name="9_38KB312325-A01" sheetId="76" r:id="rId10"/>
    <sheet name="10_38KB312328-A01" sheetId="77" r:id="rId11"/>
    <sheet name="11_38KB312329-A01" sheetId="78" r:id="rId12"/>
    <sheet name="12_38KB312330-A01" sheetId="79" r:id="rId13"/>
    <sheet name="13_38KB312331-A01" sheetId="80" r:id="rId14"/>
    <sheet name="14_38KB312332-A01" sheetId="81" r:id="rId15"/>
    <sheet name="15_38KB312333-A01" sheetId="82" r:id="rId16"/>
    <sheet name="16_38KB312334-A01" sheetId="83" r:id="rId17"/>
    <sheet name="17_38KB312336-A01" sheetId="84" r:id="rId18"/>
    <sheet name="18_38KB312338-A01" sheetId="85" r:id="rId19"/>
    <sheet name="19_38KB312339-A01" sheetId="86" r:id="rId20"/>
    <sheet name="20_38KB312340-A01" sheetId="87" r:id="rId21"/>
    <sheet name="21_38KB312341-A01" sheetId="88" r:id="rId22"/>
    <sheet name="22_38KB312342-A01" sheetId="89" r:id="rId23"/>
    <sheet name="23_38KB312343-A01" sheetId="90" r:id="rId24"/>
    <sheet name="24_38KB312344-A01" sheetId="91" r:id="rId25"/>
    <sheet name="25_38KB312345-A01" sheetId="92" r:id="rId26"/>
    <sheet name="26_38KB312346-A01" sheetId="93" r:id="rId27"/>
    <sheet name="27_38KB312348-A01" sheetId="94" r:id="rId28"/>
    <sheet name="28_38KB312350-A01" sheetId="95" r:id="rId29"/>
    <sheet name="29_38KB312352-A01" sheetId="96" r:id="rId30"/>
    <sheet name="30_38KB312353-A01" sheetId="97" r:id="rId31"/>
    <sheet name="31_38KB312354-A01" sheetId="98" r:id="rId32"/>
    <sheet name="32_38KB312355-A01 T01" sheetId="99" r:id="rId33"/>
  </sheets>
  <definedNames>
    <definedName name="_xlnm.Print_Area" localSheetId="1">'1_38KB312315-A01'!$A$1:$L$80</definedName>
    <definedName name="_xlnm.Print_Area" localSheetId="10">'10_38KB312328-A01'!$A$1:$L$80</definedName>
    <definedName name="_xlnm.Print_Area" localSheetId="11">'11_38KB312329-A01'!$A$1:$L$80</definedName>
    <definedName name="_xlnm.Print_Area" localSheetId="12">'12_38KB312330-A01'!$A$1:$L$80</definedName>
    <definedName name="_xlnm.Print_Area" localSheetId="13">'13_38KB312331-A01'!$A$1:$L$80</definedName>
    <definedName name="_xlnm.Print_Area" localSheetId="14">'14_38KB312332-A01'!$A$1:$L$80</definedName>
    <definedName name="_xlnm.Print_Area" localSheetId="15">'15_38KB312333-A01'!$A$1:$L$80</definedName>
    <definedName name="_xlnm.Print_Area" localSheetId="16">'16_38KB312334-A01'!$A$1:$L$80</definedName>
    <definedName name="_xlnm.Print_Area" localSheetId="17">'17_38KB312336-A01'!$A$1:$L$80</definedName>
    <definedName name="_xlnm.Print_Area" localSheetId="18">'18_38KB312338-A01'!$A$1:$L$80</definedName>
    <definedName name="_xlnm.Print_Area" localSheetId="19">'19_38KB312339-A01'!$A$1:$L$80</definedName>
    <definedName name="_xlnm.Print_Area" localSheetId="2">'2_38KB312316-A01'!$A$1:$L$80</definedName>
    <definedName name="_xlnm.Print_Area" localSheetId="20">'20_38KB312340-A01'!$A$1:$L$80</definedName>
    <definedName name="_xlnm.Print_Area" localSheetId="21">'21_38KB312341-A01'!$A$1:$L$80</definedName>
    <definedName name="_xlnm.Print_Area" localSheetId="22">'22_38KB312342-A01'!$A$1:$L$80</definedName>
    <definedName name="_xlnm.Print_Area" localSheetId="23">'23_38KB312343-A01'!$A$1:$L$80</definedName>
    <definedName name="_xlnm.Print_Area" localSheetId="24">'24_38KB312344-A01'!$A$1:$L$80</definedName>
    <definedName name="_xlnm.Print_Area" localSheetId="25">'25_38KB312345-A01'!$A$1:$L$80</definedName>
    <definedName name="_xlnm.Print_Area" localSheetId="26">'26_38KB312346-A01'!$A$1:$L$80</definedName>
    <definedName name="_xlnm.Print_Area" localSheetId="27">'27_38KB312348-A01'!$A$1:$L$80</definedName>
    <definedName name="_xlnm.Print_Area" localSheetId="28">'28_38KB312350-A01'!$A$1:$L$80</definedName>
    <definedName name="_xlnm.Print_Area" localSheetId="29">'29_38KB312352-A01'!$A$1:$L$80</definedName>
    <definedName name="_xlnm.Print_Area" localSheetId="3">'3_38KB312317-A01'!$A$1:$L$80</definedName>
    <definedName name="_xlnm.Print_Area" localSheetId="30">'30_38KB312353-A01'!$A$1:$L$80</definedName>
    <definedName name="_xlnm.Print_Area" localSheetId="31">'31_38KB312354-A01'!$A$1:$L$80</definedName>
    <definedName name="_xlnm.Print_Area" localSheetId="32">'32_38KB312355-A01 T01'!$A$1:$L$80</definedName>
    <definedName name="_xlnm.Print_Area" localSheetId="4">'4_38KB312318-A01'!$A$1:$L$80</definedName>
    <definedName name="_xlnm.Print_Area" localSheetId="5">'5_38KB312319-A01'!$A$1:$L$80</definedName>
    <definedName name="_xlnm.Print_Area" localSheetId="6">'6_38KB312320-A01'!$A$1:$L$80</definedName>
    <definedName name="_xlnm.Print_Area" localSheetId="7">'7_38KB312323-A01'!$A$1:$L$80</definedName>
    <definedName name="_xlnm.Print_Area" localSheetId="8">'8_38KB312324-A01'!$A$1:$L$80</definedName>
    <definedName name="_xlnm.Print_Area" localSheetId="9">'9_38KB312325-A01'!$A$1:$L$80</definedName>
  </definedNames>
  <calcPr calcId="162913"/>
</workbook>
</file>

<file path=xl/calcChain.xml><?xml version="1.0" encoding="utf-8"?>
<calcChain xmlns="http://schemas.openxmlformats.org/spreadsheetml/2006/main">
  <c r="E77" i="99" l="1"/>
  <c r="E76" i="99"/>
  <c r="E75" i="99"/>
  <c r="E74" i="99"/>
  <c r="E73" i="99"/>
  <c r="E72" i="99"/>
  <c r="E71" i="99"/>
  <c r="E70" i="99"/>
  <c r="E69" i="99"/>
  <c r="E68" i="99"/>
  <c r="E67" i="99"/>
  <c r="E66" i="99"/>
  <c r="E65" i="99"/>
  <c r="E64" i="99"/>
  <c r="E63" i="99"/>
  <c r="E78" i="99" s="1"/>
  <c r="K4" i="99" s="1"/>
  <c r="E58" i="99"/>
  <c r="E57" i="99"/>
  <c r="E56" i="99"/>
  <c r="E55" i="99"/>
  <c r="E54" i="99"/>
  <c r="E53" i="99"/>
  <c r="E52" i="99"/>
  <c r="E51" i="99"/>
  <c r="E50" i="99"/>
  <c r="E49" i="99"/>
  <c r="E48" i="99"/>
  <c r="E47" i="99"/>
  <c r="E46" i="99"/>
  <c r="E45" i="99"/>
  <c r="E44" i="99"/>
  <c r="E59" i="99" s="1"/>
  <c r="J4" i="99" s="1"/>
  <c r="L37" i="99"/>
  <c r="G37" i="99"/>
  <c r="B37" i="99"/>
  <c r="L36" i="99"/>
  <c r="G36" i="99"/>
  <c r="B36" i="99"/>
  <c r="L35" i="99"/>
  <c r="G35" i="99"/>
  <c r="B35" i="99"/>
  <c r="L34" i="99"/>
  <c r="G34" i="99"/>
  <c r="B34" i="99"/>
  <c r="L33" i="99"/>
  <c r="G33" i="99"/>
  <c r="B33" i="99"/>
  <c r="L32" i="99"/>
  <c r="G32" i="99"/>
  <c r="B32" i="99"/>
  <c r="L31" i="99"/>
  <c r="G31" i="99"/>
  <c r="B31" i="99"/>
  <c r="L30" i="99"/>
  <c r="G30" i="99"/>
  <c r="B30" i="99"/>
  <c r="L29" i="99"/>
  <c r="G29" i="99"/>
  <c r="B29" i="99"/>
  <c r="L28" i="99"/>
  <c r="G28" i="99"/>
  <c r="B28" i="99"/>
  <c r="L27" i="99"/>
  <c r="G27" i="99"/>
  <c r="B27" i="99"/>
  <c r="L26" i="99"/>
  <c r="G26" i="99"/>
  <c r="B26" i="99"/>
  <c r="L25" i="99"/>
  <c r="G25" i="99"/>
  <c r="G38" i="99" s="1"/>
  <c r="B25" i="99"/>
  <c r="B38" i="99" s="1"/>
  <c r="K21" i="99"/>
  <c r="J21" i="99"/>
  <c r="I21" i="99"/>
  <c r="H21" i="99"/>
  <c r="G21" i="99"/>
  <c r="F21" i="99"/>
  <c r="E21" i="99"/>
  <c r="D21" i="99"/>
  <c r="C21" i="99"/>
  <c r="B21" i="99"/>
  <c r="L20" i="99"/>
  <c r="L19" i="99"/>
  <c r="L18" i="99"/>
  <c r="L17" i="99"/>
  <c r="L16" i="99"/>
  <c r="L15" i="99"/>
  <c r="L14" i="99"/>
  <c r="L13" i="99"/>
  <c r="L12" i="99"/>
  <c r="L11" i="99"/>
  <c r="L10" i="99"/>
  <c r="L9" i="99"/>
  <c r="L8" i="99"/>
  <c r="L21" i="99" s="1"/>
  <c r="G1" i="99"/>
  <c r="E77" i="98"/>
  <c r="E76" i="98"/>
  <c r="E75" i="98"/>
  <c r="E74" i="98"/>
  <c r="E73" i="98"/>
  <c r="E72" i="98"/>
  <c r="E71" i="98"/>
  <c r="E70" i="98"/>
  <c r="E69" i="98"/>
  <c r="E68" i="98"/>
  <c r="E67" i="98"/>
  <c r="E66" i="98"/>
  <c r="E65" i="98"/>
  <c r="E64" i="98"/>
  <c r="E78" i="98" s="1"/>
  <c r="K4" i="98" s="1"/>
  <c r="E63" i="98"/>
  <c r="E58" i="98"/>
  <c r="E57" i="98"/>
  <c r="E56" i="98"/>
  <c r="E55" i="98"/>
  <c r="E54" i="98"/>
  <c r="E53" i="98"/>
  <c r="E52" i="98"/>
  <c r="E51" i="98"/>
  <c r="E50" i="98"/>
  <c r="E49" i="98"/>
  <c r="E48" i="98"/>
  <c r="E47" i="98"/>
  <c r="E46" i="98"/>
  <c r="E45" i="98"/>
  <c r="E59" i="98" s="1"/>
  <c r="J4" i="98" s="1"/>
  <c r="E44" i="98"/>
  <c r="L37" i="98"/>
  <c r="G37" i="98"/>
  <c r="B37" i="98"/>
  <c r="L36" i="98"/>
  <c r="G36" i="98"/>
  <c r="B36" i="98"/>
  <c r="L35" i="98"/>
  <c r="G35" i="98"/>
  <c r="B35" i="98"/>
  <c r="L34" i="98"/>
  <c r="G34" i="98"/>
  <c r="B34" i="98"/>
  <c r="L33" i="98"/>
  <c r="G33" i="98"/>
  <c r="B33" i="98"/>
  <c r="L32" i="98"/>
  <c r="G32" i="98"/>
  <c r="B32" i="98"/>
  <c r="L31" i="98"/>
  <c r="G31" i="98"/>
  <c r="B31" i="98"/>
  <c r="L30" i="98"/>
  <c r="G30" i="98"/>
  <c r="B30" i="98"/>
  <c r="L29" i="98"/>
  <c r="G29" i="98"/>
  <c r="B29" i="98"/>
  <c r="L28" i="98"/>
  <c r="G28" i="98"/>
  <c r="B28" i="98"/>
  <c r="B38" i="98" s="1"/>
  <c r="L27" i="98"/>
  <c r="G27" i="98"/>
  <c r="B27" i="98"/>
  <c r="L26" i="98"/>
  <c r="G26" i="98"/>
  <c r="B26" i="98"/>
  <c r="L25" i="98"/>
  <c r="G25" i="98"/>
  <c r="G38" i="98" s="1"/>
  <c r="B25" i="98"/>
  <c r="K21" i="98"/>
  <c r="J21" i="98"/>
  <c r="I21" i="98"/>
  <c r="H21" i="98"/>
  <c r="G21" i="98"/>
  <c r="F21" i="98"/>
  <c r="E21" i="98"/>
  <c r="D21" i="98"/>
  <c r="C21" i="98"/>
  <c r="B21" i="98"/>
  <c r="L20" i="98"/>
  <c r="L19" i="98"/>
  <c r="L18" i="98"/>
  <c r="L17" i="98"/>
  <c r="L16" i="98"/>
  <c r="L15" i="98"/>
  <c r="L14" i="98"/>
  <c r="L13" i="98"/>
  <c r="L12" i="98"/>
  <c r="L11" i="98"/>
  <c r="L10" i="98"/>
  <c r="L9" i="98"/>
  <c r="L21" i="98" s="1"/>
  <c r="L8" i="98"/>
  <c r="G1" i="98"/>
  <c r="E77" i="97"/>
  <c r="E76" i="97"/>
  <c r="E75" i="97"/>
  <c r="E74" i="97"/>
  <c r="E73" i="97"/>
  <c r="E72" i="97"/>
  <c r="E71" i="97"/>
  <c r="E70" i="97"/>
  <c r="E69" i="97"/>
  <c r="E68" i="97"/>
  <c r="E67" i="97"/>
  <c r="E66" i="97"/>
  <c r="E65" i="97"/>
  <c r="E64" i="97"/>
  <c r="E63" i="97"/>
  <c r="E78" i="97" s="1"/>
  <c r="K4" i="97" s="1"/>
  <c r="E58" i="97"/>
  <c r="E57" i="97"/>
  <c r="E56" i="97"/>
  <c r="E55" i="97"/>
  <c r="E54" i="97"/>
  <c r="E53" i="97"/>
  <c r="E52" i="97"/>
  <c r="E51" i="97"/>
  <c r="E50" i="97"/>
  <c r="E49" i="97"/>
  <c r="E48" i="97"/>
  <c r="E47" i="97"/>
  <c r="E46" i="97"/>
  <c r="E45" i="97"/>
  <c r="E44" i="97"/>
  <c r="E59" i="97" s="1"/>
  <c r="J4" i="97" s="1"/>
  <c r="L37" i="97"/>
  <c r="G37" i="97"/>
  <c r="B37" i="97"/>
  <c r="L36" i="97"/>
  <c r="G36" i="97"/>
  <c r="B36" i="97"/>
  <c r="L35" i="97"/>
  <c r="G35" i="97"/>
  <c r="B35" i="97"/>
  <c r="L34" i="97"/>
  <c r="G34" i="97"/>
  <c r="B34" i="97"/>
  <c r="L33" i="97"/>
  <c r="G33" i="97"/>
  <c r="B33" i="97"/>
  <c r="L32" i="97"/>
  <c r="G32" i="97"/>
  <c r="B32" i="97"/>
  <c r="L31" i="97"/>
  <c r="G31" i="97"/>
  <c r="B31" i="97"/>
  <c r="L30" i="97"/>
  <c r="G30" i="97"/>
  <c r="B30" i="97"/>
  <c r="L29" i="97"/>
  <c r="G29" i="97"/>
  <c r="B29" i="97"/>
  <c r="L28" i="97"/>
  <c r="G28" i="97"/>
  <c r="B28" i="97"/>
  <c r="L27" i="97"/>
  <c r="G27" i="97"/>
  <c r="B27" i="97"/>
  <c r="L26" i="97"/>
  <c r="G26" i="97"/>
  <c r="B26" i="97"/>
  <c r="B38" i="97" s="1"/>
  <c r="L25" i="97"/>
  <c r="G25" i="97"/>
  <c r="G38" i="97" s="1"/>
  <c r="B25" i="97"/>
  <c r="K21" i="97"/>
  <c r="J21" i="97"/>
  <c r="I21" i="97"/>
  <c r="H21" i="97"/>
  <c r="G21" i="97"/>
  <c r="F21" i="97"/>
  <c r="E21" i="97"/>
  <c r="D21" i="97"/>
  <c r="C21" i="97"/>
  <c r="B21" i="97"/>
  <c r="L20" i="97"/>
  <c r="L19" i="97"/>
  <c r="L18" i="97"/>
  <c r="L17" i="97"/>
  <c r="L16" i="97"/>
  <c r="L15" i="97"/>
  <c r="L14" i="97"/>
  <c r="L13" i="97"/>
  <c r="L12" i="97"/>
  <c r="L11" i="97"/>
  <c r="L21" i="97" s="1"/>
  <c r="L10" i="97"/>
  <c r="L9" i="97"/>
  <c r="L8" i="97"/>
  <c r="G1" i="97"/>
  <c r="E77" i="96"/>
  <c r="E76" i="96"/>
  <c r="E75" i="96"/>
  <c r="E74" i="96"/>
  <c r="E73" i="96"/>
  <c r="E72" i="96"/>
  <c r="E71" i="96"/>
  <c r="E70" i="96"/>
  <c r="E69" i="96"/>
  <c r="E68" i="96"/>
  <c r="E67" i="96"/>
  <c r="E66" i="96"/>
  <c r="E65" i="96"/>
  <c r="E64" i="96"/>
  <c r="E63" i="96"/>
  <c r="E78" i="96" s="1"/>
  <c r="K4" i="96" s="1"/>
  <c r="E58" i="96"/>
  <c r="E57" i="96"/>
  <c r="E56" i="96"/>
  <c r="E55" i="96"/>
  <c r="E54" i="96"/>
  <c r="E53" i="96"/>
  <c r="E52" i="96"/>
  <c r="E51" i="96"/>
  <c r="E50" i="96"/>
  <c r="E49" i="96"/>
  <c r="E48" i="96"/>
  <c r="E47" i="96"/>
  <c r="E46" i="96"/>
  <c r="E45" i="96"/>
  <c r="E44" i="96"/>
  <c r="E59" i="96" s="1"/>
  <c r="J4" i="96" s="1"/>
  <c r="L37" i="96"/>
  <c r="G37" i="96"/>
  <c r="B37" i="96"/>
  <c r="L36" i="96"/>
  <c r="G36" i="96"/>
  <c r="B36" i="96"/>
  <c r="L35" i="96"/>
  <c r="G35" i="96"/>
  <c r="B35" i="96"/>
  <c r="L34" i="96"/>
  <c r="G34" i="96"/>
  <c r="B34" i="96"/>
  <c r="L33" i="96"/>
  <c r="G33" i="96"/>
  <c r="B33" i="96"/>
  <c r="L32" i="96"/>
  <c r="G32" i="96"/>
  <c r="B32" i="96"/>
  <c r="L31" i="96"/>
  <c r="G31" i="96"/>
  <c r="B31" i="96"/>
  <c r="L30" i="96"/>
  <c r="G30" i="96"/>
  <c r="B30" i="96"/>
  <c r="L29" i="96"/>
  <c r="G29" i="96"/>
  <c r="B29" i="96"/>
  <c r="L28" i="96"/>
  <c r="G28" i="96"/>
  <c r="B28" i="96"/>
  <c r="L27" i="96"/>
  <c r="G27" i="96"/>
  <c r="B27" i="96"/>
  <c r="L26" i="96"/>
  <c r="G26" i="96"/>
  <c r="B26" i="96"/>
  <c r="B38" i="96" s="1"/>
  <c r="L25" i="96"/>
  <c r="G25" i="96"/>
  <c r="G38" i="96" s="1"/>
  <c r="B25" i="96"/>
  <c r="K21" i="96"/>
  <c r="J21" i="96"/>
  <c r="I21" i="96"/>
  <c r="H21" i="96"/>
  <c r="G21" i="96"/>
  <c r="F21" i="96"/>
  <c r="E21" i="96"/>
  <c r="D21" i="96"/>
  <c r="C21" i="96"/>
  <c r="B21" i="96"/>
  <c r="L20" i="96"/>
  <c r="L19" i="96"/>
  <c r="L18" i="96"/>
  <c r="L17" i="96"/>
  <c r="L16" i="96"/>
  <c r="L15" i="96"/>
  <c r="L14" i="96"/>
  <c r="L13" i="96"/>
  <c r="L12" i="96"/>
  <c r="L11" i="96"/>
  <c r="L10" i="96"/>
  <c r="L9" i="96"/>
  <c r="L21" i="96" s="1"/>
  <c r="L8" i="96"/>
  <c r="G1" i="96"/>
  <c r="E77" i="95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78" i="95" s="1"/>
  <c r="K4" i="95" s="1"/>
  <c r="E58" i="95"/>
  <c r="E57" i="95"/>
  <c r="E56" i="95"/>
  <c r="E55" i="95"/>
  <c r="E54" i="95"/>
  <c r="E53" i="95"/>
  <c r="E52" i="95"/>
  <c r="E51" i="95"/>
  <c r="E50" i="95"/>
  <c r="E49" i="95"/>
  <c r="E48" i="95"/>
  <c r="E47" i="95"/>
  <c r="E46" i="95"/>
  <c r="E45" i="95"/>
  <c r="E44" i="95"/>
  <c r="E59" i="95" s="1"/>
  <c r="J4" i="95" s="1"/>
  <c r="L37" i="95"/>
  <c r="G37" i="95"/>
  <c r="B37" i="95"/>
  <c r="L36" i="95"/>
  <c r="G36" i="95"/>
  <c r="B36" i="95"/>
  <c r="L35" i="95"/>
  <c r="G35" i="95"/>
  <c r="B35" i="95"/>
  <c r="L34" i="95"/>
  <c r="G34" i="95"/>
  <c r="B34" i="95"/>
  <c r="L33" i="95"/>
  <c r="G33" i="95"/>
  <c r="B33" i="95"/>
  <c r="L32" i="95"/>
  <c r="G32" i="95"/>
  <c r="B32" i="95"/>
  <c r="L31" i="95"/>
  <c r="G31" i="95"/>
  <c r="B31" i="95"/>
  <c r="L30" i="95"/>
  <c r="G30" i="95"/>
  <c r="B30" i="95"/>
  <c r="L29" i="95"/>
  <c r="G29" i="95"/>
  <c r="B29" i="95"/>
  <c r="L28" i="95"/>
  <c r="G28" i="95"/>
  <c r="B28" i="95"/>
  <c r="L27" i="95"/>
  <c r="G27" i="95"/>
  <c r="B27" i="95"/>
  <c r="L26" i="95"/>
  <c r="G26" i="95"/>
  <c r="B26" i="95"/>
  <c r="B38" i="95" s="1"/>
  <c r="L25" i="95"/>
  <c r="G25" i="95"/>
  <c r="G38" i="95" s="1"/>
  <c r="B25" i="95"/>
  <c r="K21" i="95"/>
  <c r="J21" i="95"/>
  <c r="I21" i="95"/>
  <c r="H21" i="95"/>
  <c r="G21" i="95"/>
  <c r="F21" i="95"/>
  <c r="E21" i="95"/>
  <c r="D21" i="95"/>
  <c r="C21" i="95"/>
  <c r="B21" i="95"/>
  <c r="L20" i="95"/>
  <c r="L19" i="95"/>
  <c r="L18" i="95"/>
  <c r="L17" i="95"/>
  <c r="L16" i="95"/>
  <c r="L15" i="95"/>
  <c r="L14" i="95"/>
  <c r="L13" i="95"/>
  <c r="L12" i="95"/>
  <c r="L11" i="95"/>
  <c r="L21" i="95" s="1"/>
  <c r="L10" i="95"/>
  <c r="L9" i="95"/>
  <c r="L8" i="95"/>
  <c r="G1" i="95"/>
  <c r="E77" i="94"/>
  <c r="E76" i="94"/>
  <c r="E75" i="94"/>
  <c r="E74" i="94"/>
  <c r="E73" i="94"/>
  <c r="E72" i="94"/>
  <c r="E71" i="94"/>
  <c r="E70" i="94"/>
  <c r="E69" i="94"/>
  <c r="E68" i="94"/>
  <c r="E67" i="94"/>
  <c r="E66" i="94"/>
  <c r="E65" i="94"/>
  <c r="E64" i="94"/>
  <c r="E78" i="94" s="1"/>
  <c r="K4" i="94" s="1"/>
  <c r="E63" i="94"/>
  <c r="E58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5" i="94"/>
  <c r="E59" i="94" s="1"/>
  <c r="J4" i="94" s="1"/>
  <c r="E44" i="94"/>
  <c r="L37" i="94"/>
  <c r="G37" i="94"/>
  <c r="B37" i="94"/>
  <c r="L36" i="94"/>
  <c r="G36" i="94"/>
  <c r="B36" i="94"/>
  <c r="L35" i="94"/>
  <c r="G35" i="94"/>
  <c r="B35" i="94"/>
  <c r="L34" i="94"/>
  <c r="G34" i="94"/>
  <c r="B34" i="94"/>
  <c r="L33" i="94"/>
  <c r="G33" i="94"/>
  <c r="B33" i="94"/>
  <c r="L32" i="94"/>
  <c r="G32" i="94"/>
  <c r="B32" i="94"/>
  <c r="L31" i="94"/>
  <c r="G31" i="94"/>
  <c r="B31" i="94"/>
  <c r="L30" i="94"/>
  <c r="G30" i="94"/>
  <c r="B30" i="94"/>
  <c r="L29" i="94"/>
  <c r="G29" i="94"/>
  <c r="B29" i="94"/>
  <c r="L28" i="94"/>
  <c r="G28" i="94"/>
  <c r="B28" i="94"/>
  <c r="L27" i="94"/>
  <c r="G27" i="94"/>
  <c r="B27" i="94"/>
  <c r="L26" i="94"/>
  <c r="G26" i="94"/>
  <c r="B26" i="94"/>
  <c r="L25" i="94"/>
  <c r="G25" i="94"/>
  <c r="G38" i="94" s="1"/>
  <c r="B25" i="94"/>
  <c r="B38" i="94" s="1"/>
  <c r="K21" i="94"/>
  <c r="J21" i="94"/>
  <c r="I21" i="94"/>
  <c r="H21" i="94"/>
  <c r="G21" i="94"/>
  <c r="F21" i="94"/>
  <c r="E21" i="94"/>
  <c r="D21" i="94"/>
  <c r="C21" i="94"/>
  <c r="B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21" i="94" s="1"/>
  <c r="G1" i="94"/>
  <c r="E77" i="93"/>
  <c r="E76" i="93"/>
  <c r="E75" i="93"/>
  <c r="E74" i="93"/>
  <c r="E73" i="93"/>
  <c r="E72" i="93"/>
  <c r="E71" i="93"/>
  <c r="E70" i="93"/>
  <c r="E69" i="93"/>
  <c r="E68" i="93"/>
  <c r="E67" i="93"/>
  <c r="E66" i="93"/>
  <c r="E65" i="93"/>
  <c r="E64" i="93"/>
  <c r="E78" i="93" s="1"/>
  <c r="K4" i="93" s="1"/>
  <c r="E63" i="93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59" i="93" s="1"/>
  <c r="J4" i="93" s="1"/>
  <c r="E44" i="93"/>
  <c r="L37" i="93"/>
  <c r="G37" i="93"/>
  <c r="B37" i="93"/>
  <c r="L36" i="93"/>
  <c r="G36" i="93"/>
  <c r="B36" i="93"/>
  <c r="L35" i="93"/>
  <c r="G35" i="93"/>
  <c r="B35" i="93"/>
  <c r="L34" i="93"/>
  <c r="G34" i="93"/>
  <c r="B34" i="93"/>
  <c r="L33" i="93"/>
  <c r="G33" i="93"/>
  <c r="B33" i="93"/>
  <c r="L32" i="93"/>
  <c r="G32" i="93"/>
  <c r="B32" i="93"/>
  <c r="L31" i="93"/>
  <c r="G31" i="93"/>
  <c r="B31" i="93"/>
  <c r="L30" i="93"/>
  <c r="G30" i="93"/>
  <c r="B30" i="93"/>
  <c r="L29" i="93"/>
  <c r="G29" i="93"/>
  <c r="B29" i="93"/>
  <c r="L28" i="93"/>
  <c r="G28" i="93"/>
  <c r="B28" i="93"/>
  <c r="L27" i="93"/>
  <c r="G27" i="93"/>
  <c r="B27" i="93"/>
  <c r="L26" i="93"/>
  <c r="G26" i="93"/>
  <c r="B26" i="93"/>
  <c r="L25" i="93"/>
  <c r="G25" i="93"/>
  <c r="G38" i="93" s="1"/>
  <c r="B25" i="93"/>
  <c r="B38" i="93" s="1"/>
  <c r="K21" i="93"/>
  <c r="J21" i="93"/>
  <c r="I21" i="93"/>
  <c r="H21" i="93"/>
  <c r="G21" i="93"/>
  <c r="F21" i="93"/>
  <c r="E21" i="93"/>
  <c r="D21" i="93"/>
  <c r="C21" i="93"/>
  <c r="B21" i="93"/>
  <c r="L20" i="93"/>
  <c r="L19" i="93"/>
  <c r="L18" i="93"/>
  <c r="L17" i="93"/>
  <c r="L16" i="93"/>
  <c r="L15" i="93"/>
  <c r="L14" i="93"/>
  <c r="L13" i="93"/>
  <c r="L12" i="93"/>
  <c r="L11" i="93"/>
  <c r="L10" i="93"/>
  <c r="L9" i="93"/>
  <c r="L8" i="93"/>
  <c r="L21" i="93" s="1"/>
  <c r="G1" i="93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78" i="92" s="1"/>
  <c r="K4" i="92" s="1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E59" i="92" s="1"/>
  <c r="J4" i="92" s="1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B26" i="92"/>
  <c r="B38" i="92" s="1"/>
  <c r="L25" i="92"/>
  <c r="G25" i="92"/>
  <c r="G38" i="92" s="1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21" i="92" s="1"/>
  <c r="L8" i="92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78" i="91" s="1"/>
  <c r="K4" i="91" s="1"/>
  <c r="E63" i="9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59" i="91" s="1"/>
  <c r="J4" i="91" s="1"/>
  <c r="E44" i="9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B26" i="91"/>
  <c r="L25" i="91"/>
  <c r="G25" i="91"/>
  <c r="G38" i="91" s="1"/>
  <c r="B25" i="91"/>
  <c r="B38" i="91" s="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10" i="91"/>
  <c r="L9" i="91"/>
  <c r="L8" i="91"/>
  <c r="L21" i="91" s="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78" i="90" s="1"/>
  <c r="K4" i="90" s="1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E59" i="90" s="1"/>
  <c r="J4" i="90" s="1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B26" i="90"/>
  <c r="B38" i="90" s="1"/>
  <c r="L25" i="90"/>
  <c r="G25" i="90"/>
  <c r="G38" i="90" s="1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21" i="90" s="1"/>
  <c r="L8" i="90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78" i="89" s="1"/>
  <c r="K4" i="89" s="1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59" i="89" s="1"/>
  <c r="J4" i="89" s="1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B26" i="89"/>
  <c r="B38" i="89" s="1"/>
  <c r="L25" i="89"/>
  <c r="G25" i="89"/>
  <c r="G38" i="89" s="1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21" i="89" s="1"/>
  <c r="L8" i="89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78" i="88" s="1"/>
  <c r="K4" i="88" s="1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E59" i="88" s="1"/>
  <c r="J4" i="88" s="1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B26" i="88"/>
  <c r="L25" i="88"/>
  <c r="G25" i="88"/>
  <c r="G38" i="88" s="1"/>
  <c r="B25" i="88"/>
  <c r="B38" i="88" s="1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10" i="88"/>
  <c r="L9" i="88"/>
  <c r="L8" i="88"/>
  <c r="L21" i="88" s="1"/>
  <c r="G1" i="88"/>
  <c r="E77" i="87"/>
  <c r="E76" i="87"/>
  <c r="E75" i="87"/>
  <c r="E74" i="87"/>
  <c r="E73" i="87"/>
  <c r="E72" i="87"/>
  <c r="E71" i="87"/>
  <c r="E70" i="87"/>
  <c r="E78" i="87" s="1"/>
  <c r="K4" i="87" s="1"/>
  <c r="E69" i="87"/>
  <c r="E68" i="87"/>
  <c r="E67" i="87"/>
  <c r="E66" i="87"/>
  <c r="E65" i="87"/>
  <c r="E64" i="87"/>
  <c r="E63" i="87"/>
  <c r="E58" i="87"/>
  <c r="E57" i="87"/>
  <c r="E56" i="87"/>
  <c r="E55" i="87"/>
  <c r="E54" i="87"/>
  <c r="E53" i="87"/>
  <c r="E52" i="87"/>
  <c r="E51" i="87"/>
  <c r="E59" i="87" s="1"/>
  <c r="J4" i="87" s="1"/>
  <c r="E50" i="87"/>
  <c r="E49" i="87"/>
  <c r="E48" i="87"/>
  <c r="E47" i="87"/>
  <c r="E46" i="87"/>
  <c r="E45" i="87"/>
  <c r="E44" i="87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B26" i="87"/>
  <c r="B38" i="87" s="1"/>
  <c r="L25" i="87"/>
  <c r="G25" i="87"/>
  <c r="G38" i="87" s="1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10" i="87"/>
  <c r="L21" i="87" s="1"/>
  <c r="L9" i="87"/>
  <c r="L8" i="87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78" i="86" s="1"/>
  <c r="K4" i="86" s="1"/>
  <c r="E63" i="86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59" i="86" s="1"/>
  <c r="J4" i="86" s="1"/>
  <c r="E44" i="86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B26" i="86"/>
  <c r="L25" i="86"/>
  <c r="G25" i="86"/>
  <c r="G38" i="86" s="1"/>
  <c r="B25" i="86"/>
  <c r="B38" i="86" s="1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8" i="86"/>
  <c r="L21" i="86" s="1"/>
  <c r="G1" i="86"/>
  <c r="E77" i="85"/>
  <c r="E76" i="85"/>
  <c r="E75" i="85"/>
  <c r="E74" i="85"/>
  <c r="E73" i="85"/>
  <c r="E72" i="85"/>
  <c r="E71" i="85"/>
  <c r="E70" i="85"/>
  <c r="E69" i="85"/>
  <c r="E78" i="85" s="1"/>
  <c r="K4" i="85" s="1"/>
  <c r="E68" i="85"/>
  <c r="E67" i="85"/>
  <c r="E66" i="85"/>
  <c r="E65" i="85"/>
  <c r="E64" i="85"/>
  <c r="E63" i="85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59" i="85" s="1"/>
  <c r="J4" i="85" s="1"/>
  <c r="E45" i="85"/>
  <c r="E44" i="85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B26" i="85"/>
  <c r="B38" i="85" s="1"/>
  <c r="L25" i="85"/>
  <c r="G25" i="85"/>
  <c r="G38" i="85" s="1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10" i="85"/>
  <c r="L9" i="85"/>
  <c r="L21" i="85" s="1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78" i="84" s="1"/>
  <c r="K4" i="84" s="1"/>
  <c r="E63" i="84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59" i="84" s="1"/>
  <c r="J4" i="84" s="1"/>
  <c r="E44" i="84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B38" i="84" s="1"/>
  <c r="L27" i="84"/>
  <c r="G27" i="84"/>
  <c r="B27" i="84"/>
  <c r="L26" i="84"/>
  <c r="G26" i="84"/>
  <c r="B26" i="84"/>
  <c r="L25" i="84"/>
  <c r="G25" i="84"/>
  <c r="G38" i="84" s="1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10" i="84"/>
  <c r="L9" i="84"/>
  <c r="L21" i="84" s="1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78" i="83" s="1"/>
  <c r="K4" i="83" s="1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59" i="83" s="1"/>
  <c r="J4" i="83" s="1"/>
  <c r="L37" i="83"/>
  <c r="G37" i="83"/>
  <c r="B37" i="83"/>
  <c r="L36" i="83"/>
  <c r="G36" i="83"/>
  <c r="B36" i="83"/>
  <c r="L35" i="83"/>
  <c r="G35" i="83"/>
  <c r="B35" i="83"/>
  <c r="L34" i="83"/>
  <c r="G34" i="83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B26" i="83"/>
  <c r="B38" i="83" s="1"/>
  <c r="L25" i="83"/>
  <c r="G25" i="83"/>
  <c r="G38" i="83" s="1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10" i="83"/>
  <c r="L9" i="83"/>
  <c r="L21" i="83" s="1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78" i="82" s="1"/>
  <c r="K4" i="82" s="1"/>
  <c r="E63" i="82"/>
  <c r="E58" i="82"/>
  <c r="E57" i="82"/>
  <c r="E56" i="82"/>
  <c r="E55" i="82"/>
  <c r="E54" i="82"/>
  <c r="E53" i="82"/>
  <c r="E52" i="82"/>
  <c r="E51" i="82"/>
  <c r="E50" i="82"/>
  <c r="E59" i="82" s="1"/>
  <c r="J4" i="82" s="1"/>
  <c r="E49" i="82"/>
  <c r="E48" i="82"/>
  <c r="E47" i="82"/>
  <c r="E46" i="82"/>
  <c r="E45" i="82"/>
  <c r="E44" i="82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B26" i="82"/>
  <c r="L25" i="82"/>
  <c r="G25" i="82"/>
  <c r="G38" i="82" s="1"/>
  <c r="B25" i="82"/>
  <c r="B38" i="82" s="1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10" i="82"/>
  <c r="L9" i="82"/>
  <c r="L8" i="82"/>
  <c r="L21" i="82" s="1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78" i="81" s="1"/>
  <c r="K4" i="81" s="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E59" i="81" s="1"/>
  <c r="J4" i="81" s="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B26" i="81"/>
  <c r="L25" i="81"/>
  <c r="G25" i="81"/>
  <c r="G38" i="81" s="1"/>
  <c r="B25" i="81"/>
  <c r="B38" i="81" s="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21" i="81" s="1"/>
  <c r="L10" i="81"/>
  <c r="L9" i="81"/>
  <c r="L8" i="8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78" i="80" s="1"/>
  <c r="K4" i="80" s="1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E59" i="80" s="1"/>
  <c r="J4" i="80" s="1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B26" i="80"/>
  <c r="L25" i="80"/>
  <c r="G25" i="80"/>
  <c r="G38" i="80" s="1"/>
  <c r="B25" i="80"/>
  <c r="B38" i="80" s="1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L21" i="80" s="1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78" i="79" s="1"/>
  <c r="K4" i="79" s="1"/>
  <c r="E63" i="79"/>
  <c r="E58" i="79"/>
  <c r="E57" i="79"/>
  <c r="E56" i="79"/>
  <c r="E55" i="79"/>
  <c r="E54" i="79"/>
  <c r="E53" i="79"/>
  <c r="E52" i="79"/>
  <c r="E51" i="79"/>
  <c r="E50" i="79"/>
  <c r="E59" i="79" s="1"/>
  <c r="J4" i="79" s="1"/>
  <c r="E49" i="79"/>
  <c r="E48" i="79"/>
  <c r="E47" i="79"/>
  <c r="E46" i="79"/>
  <c r="E45" i="79"/>
  <c r="E44" i="79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B26" i="79"/>
  <c r="L25" i="79"/>
  <c r="G25" i="79"/>
  <c r="G38" i="79" s="1"/>
  <c r="B25" i="79"/>
  <c r="B38" i="79" s="1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L21" i="79" s="1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78" i="78" s="1"/>
  <c r="K4" i="78" s="1"/>
  <c r="E63" i="78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59" i="78" s="1"/>
  <c r="J4" i="78" s="1"/>
  <c r="E44" i="78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B26" i="78"/>
  <c r="L25" i="78"/>
  <c r="G25" i="78"/>
  <c r="G38" i="78" s="1"/>
  <c r="B25" i="78"/>
  <c r="B38" i="78" s="1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L21" i="78" s="1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78" i="77" s="1"/>
  <c r="K4" i="77" s="1"/>
  <c r="E63" i="77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59" i="77" s="1"/>
  <c r="J4" i="77" s="1"/>
  <c r="E44" i="77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B26" i="77"/>
  <c r="L25" i="77"/>
  <c r="G25" i="77"/>
  <c r="G38" i="77" s="1"/>
  <c r="B25" i="77"/>
  <c r="B38" i="77" s="1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9" i="77"/>
  <c r="L8" i="77"/>
  <c r="L21" i="77" s="1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78" i="76" s="1"/>
  <c r="K4" i="76" s="1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E59" i="76" s="1"/>
  <c r="J4" i="76" s="1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B26" i="76"/>
  <c r="L25" i="76"/>
  <c r="G25" i="76"/>
  <c r="G38" i="76" s="1"/>
  <c r="B25" i="76"/>
  <c r="B38" i="76" s="1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L21" i="76" s="1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78" i="75" s="1"/>
  <c r="K4" i="75" s="1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E59" i="75" s="1"/>
  <c r="J4" i="75" s="1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B26" i="75"/>
  <c r="L25" i="75"/>
  <c r="G25" i="75"/>
  <c r="G38" i="75" s="1"/>
  <c r="B25" i="75"/>
  <c r="B38" i="75" s="1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L21" i="75" s="1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78" i="74" s="1"/>
  <c r="K4" i="74" s="1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59" i="74" s="1"/>
  <c r="J4" i="74" s="1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B26" i="74"/>
  <c r="B38" i="74" s="1"/>
  <c r="L25" i="74"/>
  <c r="G25" i="74"/>
  <c r="G38" i="74" s="1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21" i="74" s="1"/>
  <c r="L10" i="74"/>
  <c r="L9" i="74"/>
  <c r="L8" i="74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78" i="73" s="1"/>
  <c r="K4" i="73" s="1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E59" i="73" s="1"/>
  <c r="J4" i="73" s="1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B26" i="73"/>
  <c r="B38" i="73" s="1"/>
  <c r="L25" i="73"/>
  <c r="G25" i="73"/>
  <c r="G38" i="73" s="1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21" i="73" s="1"/>
  <c r="L10" i="73"/>
  <c r="L9" i="73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B26" i="72"/>
  <c r="L25" i="72"/>
  <c r="G25" i="72"/>
  <c r="G38" i="72" s="1"/>
  <c r="B25" i="72"/>
  <c r="B38" i="72" s="1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21" i="72" s="1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B26" i="71"/>
  <c r="B38" i="71" s="1"/>
  <c r="L25" i="71"/>
  <c r="G25" i="71"/>
  <c r="G38" i="71" s="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B26" i="70"/>
  <c r="L25" i="70"/>
  <c r="G25" i="70"/>
  <c r="G38" i="70" s="1"/>
  <c r="B25" i="70"/>
  <c r="B38" i="70" s="1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L21" i="70" s="1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B26" i="69"/>
  <c r="L25" i="69"/>
  <c r="G25" i="69"/>
  <c r="G38" i="69" s="1"/>
  <c r="B25" i="69"/>
  <c r="B38" i="69" s="1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L21" i="69" s="1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B25" i="68"/>
  <c r="B38" i="68" s="1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s="1"/>
  <c r="G1" i="68"/>
  <c r="G4" i="99" l="1"/>
  <c r="B40" i="99"/>
  <c r="I4" i="99" s="1"/>
  <c r="L4" i="99" s="1"/>
  <c r="G40" i="99"/>
  <c r="H4" i="99"/>
  <c r="G40" i="98"/>
  <c r="H4" i="98"/>
  <c r="G4" i="98"/>
  <c r="B40" i="98"/>
  <c r="G40" i="97"/>
  <c r="H4" i="97"/>
  <c r="G4" i="97"/>
  <c r="B40" i="97"/>
  <c r="G40" i="96"/>
  <c r="H4" i="96"/>
  <c r="G4" i="96"/>
  <c r="B40" i="96"/>
  <c r="G40" i="95"/>
  <c r="H4" i="95"/>
  <c r="G4" i="95"/>
  <c r="B40" i="95"/>
  <c r="I4" i="95" s="1"/>
  <c r="L4" i="95" s="1"/>
  <c r="G4" i="94"/>
  <c r="B40" i="94"/>
  <c r="I4" i="94" s="1"/>
  <c r="L4" i="94" s="1"/>
  <c r="G40" i="94"/>
  <c r="H4" i="94"/>
  <c r="G4" i="93"/>
  <c r="B40" i="93"/>
  <c r="I4" i="93" s="1"/>
  <c r="L4" i="93" s="1"/>
  <c r="G40" i="93"/>
  <c r="H4" i="93"/>
  <c r="G4" i="92"/>
  <c r="B40" i="92"/>
  <c r="G40" i="92"/>
  <c r="H4" i="92"/>
  <c r="B40" i="91"/>
  <c r="I4" i="91" s="1"/>
  <c r="L4" i="91" s="1"/>
  <c r="G4" i="91"/>
  <c r="H4" i="91"/>
  <c r="G40" i="91"/>
  <c r="G4" i="90"/>
  <c r="B40" i="90"/>
  <c r="I4" i="90" s="1"/>
  <c r="L4" i="90" s="1"/>
  <c r="G40" i="90"/>
  <c r="H4" i="90"/>
  <c r="G4" i="89"/>
  <c r="B40" i="89"/>
  <c r="I4" i="89" s="1"/>
  <c r="L4" i="89" s="1"/>
  <c r="G40" i="89"/>
  <c r="H4" i="89"/>
  <c r="G40" i="88"/>
  <c r="H4" i="88"/>
  <c r="G4" i="88"/>
  <c r="B40" i="88"/>
  <c r="H4" i="87"/>
  <c r="G40" i="87"/>
  <c r="B40" i="87"/>
  <c r="I4" i="87" s="1"/>
  <c r="L4" i="87" s="1"/>
  <c r="G4" i="87"/>
  <c r="G4" i="86"/>
  <c r="B40" i="86"/>
  <c r="I4" i="86" s="1"/>
  <c r="L4" i="86" s="1"/>
  <c r="H4" i="86"/>
  <c r="G40" i="86"/>
  <c r="G40" i="85"/>
  <c r="H4" i="85"/>
  <c r="G4" i="85"/>
  <c r="B40" i="85"/>
  <c r="G4" i="84"/>
  <c r="B40" i="84"/>
  <c r="I4" i="84" s="1"/>
  <c r="L4" i="84" s="1"/>
  <c r="G40" i="84"/>
  <c r="H4" i="84"/>
  <c r="G4" i="83"/>
  <c r="B40" i="83"/>
  <c r="I4" i="83" s="1"/>
  <c r="L4" i="83" s="1"/>
  <c r="G40" i="83"/>
  <c r="H4" i="83"/>
  <c r="G4" i="82"/>
  <c r="B40" i="82"/>
  <c r="I4" i="82" s="1"/>
  <c r="L4" i="82" s="1"/>
  <c r="H4" i="82"/>
  <c r="G40" i="82"/>
  <c r="G4" i="81"/>
  <c r="B40" i="81"/>
  <c r="I4" i="81" s="1"/>
  <c r="L4" i="81" s="1"/>
  <c r="G40" i="81"/>
  <c r="H4" i="81"/>
  <c r="G4" i="80"/>
  <c r="B40" i="80"/>
  <c r="I4" i="80" s="1"/>
  <c r="L4" i="80" s="1"/>
  <c r="G40" i="80"/>
  <c r="H4" i="80"/>
  <c r="B40" i="79"/>
  <c r="I4" i="79" s="1"/>
  <c r="L4" i="79" s="1"/>
  <c r="G4" i="79"/>
  <c r="H4" i="79"/>
  <c r="G40" i="79"/>
  <c r="G40" i="78"/>
  <c r="H4" i="78"/>
  <c r="G4" i="78"/>
  <c r="B40" i="78"/>
  <c r="G4" i="77"/>
  <c r="B40" i="77"/>
  <c r="I4" i="77" s="1"/>
  <c r="L4" i="77" s="1"/>
  <c r="H4" i="77"/>
  <c r="G40" i="77"/>
  <c r="G4" i="76"/>
  <c r="B40" i="76"/>
  <c r="I4" i="76" s="1"/>
  <c r="L4" i="76" s="1"/>
  <c r="G40" i="76"/>
  <c r="H4" i="76"/>
  <c r="G4" i="75"/>
  <c r="B40" i="75"/>
  <c r="I4" i="75" s="1"/>
  <c r="L4" i="75" s="1"/>
  <c r="G40" i="75"/>
  <c r="H4" i="75"/>
  <c r="G40" i="74"/>
  <c r="H4" i="74"/>
  <c r="G4" i="74"/>
  <c r="B40" i="74"/>
  <c r="I4" i="74" s="1"/>
  <c r="L4" i="74" s="1"/>
  <c r="G40" i="73"/>
  <c r="H4" i="73"/>
  <c r="G4" i="73"/>
  <c r="B40" i="73"/>
  <c r="I4" i="73" s="1"/>
  <c r="L4" i="73" s="1"/>
  <c r="G4" i="72"/>
  <c r="B40" i="72"/>
  <c r="G40" i="72"/>
  <c r="H4" i="72"/>
  <c r="G40" i="71"/>
  <c r="H4" i="71"/>
  <c r="G4" i="71"/>
  <c r="B40" i="71"/>
  <c r="I4" i="71" s="1"/>
  <c r="L4" i="71" s="1"/>
  <c r="G40" i="70"/>
  <c r="H4" i="70"/>
  <c r="G4" i="70"/>
  <c r="B40" i="70"/>
  <c r="I4" i="70" s="1"/>
  <c r="L4" i="70" s="1"/>
  <c r="G40" i="69"/>
  <c r="H4" i="69"/>
  <c r="G4" i="69"/>
  <c r="B40" i="69"/>
  <c r="I4" i="69" s="1"/>
  <c r="L4" i="69" s="1"/>
  <c r="G4" i="68"/>
  <c r="B40" i="68"/>
  <c r="I4" i="68" s="1"/>
  <c r="L4" i="68" s="1"/>
  <c r="G40" i="68"/>
  <c r="H4" i="68"/>
  <c r="I4" i="98" l="1"/>
  <c r="L4" i="98" s="1"/>
  <c r="I4" i="97"/>
  <c r="L4" i="97" s="1"/>
  <c r="I4" i="96"/>
  <c r="L4" i="96" s="1"/>
  <c r="I4" i="92"/>
  <c r="L4" i="92" s="1"/>
  <c r="I4" i="88"/>
  <c r="L4" i="88" s="1"/>
  <c r="I4" i="85"/>
  <c r="L4" i="85" s="1"/>
  <c r="I4" i="78"/>
  <c r="L4" i="78" s="1"/>
  <c r="I4" i="72"/>
  <c r="L4" i="72" s="1"/>
  <c r="D69" i="67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51" i="67"/>
  <c r="E58" i="67"/>
  <c r="H54" i="67"/>
  <c r="G60" i="67"/>
  <c r="E67" i="67"/>
  <c r="I68" i="67"/>
  <c r="I51" i="67"/>
  <c r="H46" i="67"/>
  <c r="H57" i="67"/>
  <c r="H53" i="67"/>
  <c r="I48" i="67"/>
  <c r="J59" i="67"/>
  <c r="G46" i="67"/>
  <c r="G51" i="67"/>
  <c r="G65" i="67"/>
  <c r="J50" i="67"/>
  <c r="G48" i="67"/>
  <c r="E55" i="67"/>
  <c r="H65" i="67"/>
  <c r="I52" i="67"/>
  <c r="E53" i="67"/>
  <c r="D55" i="67"/>
  <c r="J61" i="67"/>
  <c r="G58" i="67"/>
  <c r="H50" i="67"/>
  <c r="G56" i="67"/>
  <c r="D62" i="67"/>
  <c r="H55" i="67"/>
  <c r="G64" i="67"/>
  <c r="D61" i="67"/>
  <c r="H66" i="67"/>
  <c r="G57" i="67"/>
  <c r="D64" i="67"/>
  <c r="H56" i="67"/>
  <c r="E63" i="67"/>
  <c r="I53" i="67"/>
  <c r="D63" i="67"/>
  <c r="E57" i="67"/>
  <c r="I47" i="67"/>
  <c r="D52" i="67"/>
  <c r="G66" i="67"/>
  <c r="D48" i="67"/>
  <c r="J63" i="67"/>
  <c r="I56" i="67"/>
  <c r="I61" i="67"/>
  <c r="D59" i="67"/>
  <c r="H47" i="67"/>
  <c r="H52" i="67"/>
  <c r="I49" i="67"/>
  <c r="D47" i="67"/>
  <c r="I50" i="67"/>
  <c r="E48" i="67"/>
  <c r="D58" i="67"/>
  <c r="I67" i="67"/>
  <c r="E60" i="67"/>
  <c r="E61" i="67"/>
  <c r="E46" i="67"/>
  <c r="G63" i="67"/>
  <c r="H64" i="67"/>
  <c r="D53" i="67"/>
  <c r="E54" i="67"/>
  <c r="I46" i="67"/>
  <c r="G54" i="67"/>
  <c r="G59" i="67"/>
  <c r="I58" i="67"/>
  <c r="J53" i="67"/>
  <c r="J65" i="67"/>
  <c r="D67" i="67"/>
  <c r="I54" i="67"/>
  <c r="I55" i="67"/>
  <c r="J57" i="67"/>
  <c r="J62" i="67"/>
  <c r="J67" i="67"/>
  <c r="J55" i="67"/>
  <c r="H61" i="67"/>
  <c r="I62" i="67"/>
  <c r="E66" i="67"/>
  <c r="E64" i="67"/>
  <c r="E62" i="67"/>
  <c r="D49" i="67"/>
  <c r="J48" i="67"/>
  <c r="H59" i="67"/>
  <c r="J60" i="67"/>
  <c r="E52" i="67"/>
  <c r="E50" i="67"/>
  <c r="I64" i="67"/>
  <c r="G52" i="67"/>
  <c r="H60" i="67"/>
  <c r="G47" i="67"/>
  <c r="H62" i="67"/>
  <c r="H48" i="67"/>
  <c r="D66" i="67"/>
  <c r="D65" i="67"/>
  <c r="G68" i="67"/>
  <c r="E68" i="67"/>
  <c r="G61" i="67"/>
  <c r="E47" i="67"/>
  <c r="J64" i="67"/>
  <c r="G49" i="67"/>
  <c r="H63" i="67"/>
  <c r="E59" i="67"/>
  <c r="H67" i="67"/>
  <c r="I57" i="67"/>
  <c r="J58" i="67"/>
  <c r="E56" i="67"/>
  <c r="D57" i="67"/>
  <c r="H58" i="67"/>
  <c r="G50" i="67"/>
  <c r="I60" i="67"/>
  <c r="D46" i="67"/>
  <c r="G62" i="67"/>
  <c r="I65" i="67"/>
  <c r="H49" i="67"/>
  <c r="J51" i="67"/>
  <c r="I59" i="67"/>
  <c r="J56" i="67"/>
  <c r="D68" i="67"/>
  <c r="D60" i="67"/>
  <c r="E65" i="67"/>
  <c r="G67" i="67"/>
  <c r="H68" i="67"/>
  <c r="D5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G53" i="67"/>
  <c r="G45" i="67"/>
  <c r="E42" i="67"/>
  <c r="D33" i="67"/>
  <c r="G19" i="67"/>
  <c r="G29" i="67"/>
  <c r="E19" i="67"/>
  <c r="D25" i="67"/>
  <c r="G34" i="67"/>
  <c r="D16" i="67"/>
  <c r="I31" i="67"/>
  <c r="E18" i="67"/>
  <c r="H24" i="67"/>
  <c r="I33" i="67"/>
  <c r="H19" i="67"/>
  <c r="E15" i="67"/>
  <c r="D35" i="67"/>
  <c r="I17" i="67"/>
  <c r="G40" i="67"/>
  <c r="H28" i="67"/>
  <c r="D22" i="67"/>
  <c r="G37" i="67"/>
  <c r="G41" i="67"/>
  <c r="J29" i="67"/>
  <c r="I15" i="67"/>
  <c r="E35" i="67"/>
  <c r="H42" i="67"/>
  <c r="I30" i="67"/>
  <c r="E25" i="67"/>
  <c r="G42" i="67"/>
  <c r="I39" i="67"/>
  <c r="G17" i="67"/>
  <c r="D23" i="67"/>
  <c r="E14" i="67"/>
  <c r="D26" i="67"/>
  <c r="J19" i="67"/>
  <c r="G36" i="67"/>
  <c r="H40" i="67"/>
  <c r="D36" i="67"/>
  <c r="J28" i="67"/>
  <c r="I42" i="67"/>
  <c r="G44" i="67"/>
  <c r="H39" i="67"/>
  <c r="J33" i="67"/>
  <c r="H31" i="67"/>
  <c r="J26" i="67"/>
  <c r="D21" i="67"/>
  <c r="H43" i="67"/>
  <c r="E39" i="67"/>
  <c r="J38" i="67"/>
  <c r="D28" i="67"/>
  <c r="D18" i="67"/>
  <c r="H27" i="67"/>
  <c r="G15" i="67"/>
  <c r="J25" i="67"/>
  <c r="E43" i="67"/>
  <c r="I35" i="67"/>
  <c r="E29" i="67"/>
  <c r="G27" i="67"/>
  <c r="J20" i="67"/>
  <c r="D31" i="67"/>
  <c r="J39" i="67"/>
  <c r="G18" i="67"/>
  <c r="J23" i="67"/>
  <c r="I25" i="67"/>
  <c r="D32" i="67"/>
  <c r="I28" i="67"/>
  <c r="H23" i="67"/>
  <c r="E32" i="67"/>
  <c r="I27" i="67"/>
  <c r="E27" i="67"/>
  <c r="J40" i="67"/>
  <c r="H36" i="67"/>
  <c r="I41" i="67"/>
  <c r="H35" i="67"/>
  <c r="G21" i="67"/>
  <c r="I45" i="67"/>
  <c r="I29" i="67"/>
  <c r="D40" i="67"/>
  <c r="E23" i="67"/>
  <c r="H33" i="67"/>
  <c r="H26" i="67"/>
  <c r="D27" i="67"/>
  <c r="D41" i="67"/>
  <c r="I21" i="67"/>
  <c r="E28" i="67"/>
  <c r="E45" i="67"/>
  <c r="E26" i="67"/>
  <c r="I24" i="67"/>
  <c r="D29" i="67"/>
  <c r="D24" i="67"/>
  <c r="H15" i="67"/>
  <c r="G25" i="67"/>
  <c r="I44" i="67"/>
  <c r="I36" i="67"/>
  <c r="H38" i="67"/>
  <c r="J31" i="67"/>
  <c r="E21" i="67"/>
  <c r="D30" i="67"/>
  <c r="J15" i="67"/>
  <c r="G22" i="67"/>
  <c r="H17" i="67"/>
  <c r="D37" i="67"/>
  <c r="J22" i="67"/>
  <c r="G32" i="67"/>
  <c r="J45" i="67"/>
  <c r="E31" i="67"/>
  <c r="G33" i="67"/>
  <c r="G39" i="67"/>
  <c r="E30" i="67"/>
  <c r="J16" i="67"/>
  <c r="J43" i="67"/>
  <c r="E44" i="67"/>
  <c r="E20" i="67"/>
  <c r="D44" i="67"/>
  <c r="J30" i="67"/>
  <c r="D43" i="67"/>
  <c r="J35" i="67"/>
  <c r="D17" i="67"/>
  <c r="E37" i="67"/>
  <c r="H45" i="67"/>
  <c r="E33" i="67"/>
  <c r="I40" i="67"/>
  <c r="I43" i="67"/>
  <c r="D20" i="67"/>
  <c r="D38" i="67"/>
  <c r="G43" i="67"/>
  <c r="D15" i="67"/>
  <c r="G30" i="67"/>
  <c r="E40" i="67"/>
  <c r="H18" i="67"/>
  <c r="E38" i="67"/>
  <c r="I23" i="67"/>
  <c r="I38" i="67"/>
  <c r="D45" i="67"/>
  <c r="G16" i="67"/>
  <c r="J32" i="67"/>
  <c r="G35" i="67"/>
  <c r="I22" i="67"/>
  <c r="H22" i="67"/>
  <c r="G38" i="67"/>
  <c r="J36" i="67"/>
  <c r="I18" i="67"/>
  <c r="E22" i="67"/>
  <c r="D34" i="67"/>
  <c r="H32" i="67"/>
  <c r="D39" i="67"/>
  <c r="G23" i="67"/>
  <c r="J18" i="67"/>
  <c r="J37" i="67"/>
  <c r="I32" i="67"/>
  <c r="E34" i="67"/>
  <c r="G31" i="67"/>
  <c r="I26" i="67"/>
  <c r="J41" i="67"/>
  <c r="H41" i="67"/>
  <c r="J17" i="67"/>
  <c r="E17" i="67"/>
  <c r="I19" i="67"/>
  <c r="D42" i="67"/>
  <c r="H29" i="67"/>
  <c r="J34" i="67"/>
  <c r="G28" i="67"/>
  <c r="J27" i="67"/>
  <c r="H44" i="67"/>
  <c r="H21" i="67"/>
  <c r="J44" i="67"/>
  <c r="E36" i="67"/>
  <c r="E16" i="67"/>
  <c r="H34" i="67"/>
  <c r="J21" i="67"/>
  <c r="I34" i="67"/>
  <c r="I37" i="67"/>
  <c r="H25" i="67"/>
  <c r="J24" i="67"/>
  <c r="E24" i="67"/>
  <c r="D19" i="67"/>
  <c r="G26" i="67"/>
  <c r="I20" i="67"/>
  <c r="J42" i="67"/>
  <c r="E41" i="67"/>
  <c r="I16" i="67"/>
  <c r="G24" i="67"/>
  <c r="H37" i="67"/>
  <c r="H30" i="67"/>
  <c r="G20" i="67"/>
  <c r="H16" i="67"/>
  <c r="H20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l="1"/>
  <c r="F5" i="67" s="1"/>
  <c r="F6" i="67" s="1"/>
  <c r="H14" i="67"/>
  <c r="I14" i="67"/>
  <c r="G14" i="67"/>
  <c r="J14" i="67"/>
  <c r="G4" i="67" l="1"/>
  <c r="I4" i="67"/>
  <c r="I5" i="67" s="1"/>
  <c r="I6" i="67" s="1"/>
  <c r="H4" i="67"/>
  <c r="H5" i="67" s="1"/>
  <c r="H6" i="67" s="1"/>
  <c r="J4" i="67"/>
  <c r="J5" i="67" s="1"/>
  <c r="J6" i="67" s="1"/>
  <c r="H8" i="67" s="1"/>
  <c r="G5" i="67" l="1"/>
  <c r="G6" i="67" s="1"/>
  <c r="D4" i="67" l="1"/>
</calcChain>
</file>

<file path=xl/sharedStrings.xml><?xml version="1.0" encoding="utf-8"?>
<sst xmlns="http://schemas.openxmlformats.org/spreadsheetml/2006/main" count="2306" uniqueCount="175">
  <si>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</si>
  <si>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</si>
  <si>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</si>
  <si>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</si>
  <si>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</si>
  <si>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</si>
  <si>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</si>
  <si>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</si>
  <si>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</si>
  <si>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</si>
  <si>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</si>
  <si>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</si>
  <si>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</si>
  <si>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</si>
  <si>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</si>
  <si>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</si>
  <si>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</si>
  <si>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</si>
  <si>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</si>
  <si>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</si>
  <si>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</si>
  <si>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</si>
  <si>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</si>
  <si>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</si>
  <si>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</si>
  <si>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</si>
  <si>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</si>
  <si>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</si>
  <si>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</si>
  <si>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</si>
  <si>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</si>
  <si>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</si>
  <si>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</si>
  <si>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</si>
  <si>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</si>
  <si>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</si>
  <si>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</si>
  <si>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</si>
  <si>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</si>
  <si>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</si>
  <si>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</si>
  <si>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</si>
  <si>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</si>
  <si>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</si>
  <si>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</si>
  <si>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</si>
  <si>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</si>
  <si>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</si>
  <si>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</si>
  <si>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</si>
  <si>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</si>
  <si>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</si>
  <si>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</si>
  <si>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</si>
  <si>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</si>
  <si>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</si>
  <si>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</si>
  <si>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</si>
  <si>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</si>
  <si>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</si>
  <si>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</si>
  <si>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</si>
  <si>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</si>
  <si>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</si>
  <si>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</si>
  <si>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</si>
  <si>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</si>
  <si>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</si>
  <si>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</si>
  <si>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</si>
  <si>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</si>
  <si>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</si>
  <si>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</si>
  <si>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</si>
  <si>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</si>
  <si>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38KB312315-A01</t>
  </si>
  <si>
    <t>F O - CLEAN, ASSESS, REPAIR AND PRESERVE FUEL RECEIVING TANK GROUP-3 (4-174-1-F)</t>
  </si>
  <si>
    <t>38KB312316-A01</t>
  </si>
  <si>
    <t>F O - CLEAN AND ASSESS CPP HYDRAULIC OIL SUMP TANK (4-208-1-F)</t>
  </si>
  <si>
    <t>38KB312317-A01</t>
  </si>
  <si>
    <t>F O - CLEAN, ASSESS, INSPECT, REPAIR, AND PRESERVE FUEL SERVICE TANK (4-220-1-F)</t>
  </si>
  <si>
    <t>38KB312318-A01</t>
  </si>
  <si>
    <t>F O - CLEAN, ASSESS, INSPECT, RPR, AND PSV FUEL SERVICE TANK (4-220-4-F)</t>
  </si>
  <si>
    <t>38KB312319-A01</t>
  </si>
  <si>
    <t>F O - CLEAN AND ASSESS CPP HYDRAULIC OIL SUMP TANK (4-254-2-F)</t>
  </si>
  <si>
    <t>38KB312320-A01</t>
  </si>
  <si>
    <t>F O-CLEAN, ASSESS, REPAIR, AND PRESERVE FTK GP4 4-272-2-F AND FTK GP4 5-264-2-F</t>
  </si>
  <si>
    <t>38KB312323-A01</t>
  </si>
  <si>
    <t>F O - CLEAN, ASSESS, REPAIR, AND PRESERVE FUEL SERVICE TANK (4-300-1-F)</t>
  </si>
  <si>
    <t>38KB312324-A01</t>
  </si>
  <si>
    <t>F O - CLEAN, ASSESS, REPAIR, AND PRESERVE FOR JP-5 DRAIN TANK (4-370-1-J)</t>
  </si>
  <si>
    <t>38KB312325-A01</t>
  </si>
  <si>
    <t>F O - CLN, ASSESS, RPR, AND PSV FOR GTRB WASTE DR COLLECTING TK (4-370-2-F)</t>
  </si>
  <si>
    <t>38KB312328-A01</t>
  </si>
  <si>
    <t>F O - CLN, ASSESS, INSP, RPR, &amp; PSV FRTK GP-1 (4-78-1-F) AND FTK GP-1 (5-78-1-F)</t>
  </si>
  <si>
    <t>38KB312329-A01</t>
  </si>
  <si>
    <t>F O - CLN, ASSESS, INSP, RPR, AND PSV FRTK GP2 (4-78-2-F) AND FTK GP2 (5-78-2-F)</t>
  </si>
  <si>
    <t>38KB312330-A01</t>
  </si>
  <si>
    <t>F O - CLEAN, ASSESS, REPAIR, AND PRESERVE FUEL TANK GROUP-1 (5-126-1-F)</t>
  </si>
  <si>
    <t>38KB312331-A01</t>
  </si>
  <si>
    <t>F O - CLEAN, ASSESS, REPAIR, AND PRESERVE FUEL TANK GROUP-2 (5-126-2-F)</t>
  </si>
  <si>
    <t>38KB312332-A01</t>
  </si>
  <si>
    <t>F O - CLEAN, ASSESS, REPAIR, AND PRESERVE FUEL TANK GROUP-1 (5-174-1-F)</t>
  </si>
  <si>
    <t>38KB312333-A01</t>
  </si>
  <si>
    <t>F O - CLN, ASSESS, INSP, RPR, &amp; PSV OILY WASTE DRAIN TK (5-174-2-F)</t>
  </si>
  <si>
    <t>38KB312334-A01</t>
  </si>
  <si>
    <t>F O - CLEAN, ASSESS, INSP, RPR, &amp; PSV GTRB WASTE DR COLLECTING TANK (5-177-1-F)</t>
  </si>
  <si>
    <t>38KB312336-A01</t>
  </si>
  <si>
    <t>F O - CLEAN AND ASSESS LUBRICATING OIL SUMP TANK (5-206-1-F)</t>
  </si>
  <si>
    <t>38KB312338-A01</t>
  </si>
  <si>
    <t>F O - CLEAN, ASSESS, REPAIR, AND PRESERVE FUEL EXP SW OVFL TK GP-2 (5-212-4-F)</t>
  </si>
  <si>
    <t>38KB312339-A01</t>
  </si>
  <si>
    <t>F O - CLEAN, ASSESS, REPAIR, AND PRESERVE FUEL EXP SW OVFL TANK GP-1 (5-214-1-F)</t>
  </si>
  <si>
    <t>38KB312340-A01</t>
  </si>
  <si>
    <t>F O - CLEAN, ASSESS, REPAIR, AND PRESERVE WASTE OIL TANK (5-220-1-F)</t>
  </si>
  <si>
    <t>38KB312341-A01</t>
  </si>
  <si>
    <t>F O - CLEAN, ASSESS, REPAIR, AND PRESERVE OILY WASTE HOLDING TANK (5-220-2-F)</t>
  </si>
  <si>
    <t>38KB312342-A01</t>
  </si>
  <si>
    <t>F O - CLEAN, ASSESS, REPAIR, AND PRESERVE FUEL TANK GROUP-3 (5-220-3-F)</t>
  </si>
  <si>
    <t>38KB312343-A01</t>
  </si>
  <si>
    <t>F O - CLEAN, ASSESS, REPAIR, AND PRESERVE FUEL RECEIVING TK GROUP-4 (5-220-4-F)</t>
  </si>
  <si>
    <t>38KB312344-A01</t>
  </si>
  <si>
    <t>F O - OPEN AND CLEAN FUEL EXPANSION SEAWATER OVERFLOW TANK GROUP-3 (5-254-1-F)</t>
  </si>
  <si>
    <t>38KB312345-A01</t>
  </si>
  <si>
    <t>F O - OPEN AND CLEAN FUEL EXPANSION SEAWATER OVERFLOW TANK GROUP-4 (5-254-2-F)</t>
  </si>
  <si>
    <t>38KB312346-A01</t>
  </si>
  <si>
    <t>F O - CLEAN, ASSESS, INSPECT, RPR, AND PSV FUEL TANK GP-3 (5-254-3-F)</t>
  </si>
  <si>
    <t>38KB312348-A01</t>
  </si>
  <si>
    <t>F O - CLEAN AND ASSESS LUBRICATING OIL SUMP TANK (5-254-6-F)</t>
  </si>
  <si>
    <t>38KB312350-A01</t>
  </si>
  <si>
    <t>F O - CLEAN, ASSESS, RPR, AND PRESERVE GTRB WASTE DR COLLECTING TANK (5-292-1-F)</t>
  </si>
  <si>
    <t>38KB312352-A01</t>
  </si>
  <si>
    <t>F O - CLEAN, ASSESS, RPR, &amp; PRESERVE OILY WASTE DR COLLECTING TK (5-296-1-F)</t>
  </si>
  <si>
    <t>38KB312353-A01</t>
  </si>
  <si>
    <t>F O - CLEAN, ASSESS, AND PRESERVE FUEL TANK GROUP-3 (5-300-1-F)</t>
  </si>
  <si>
    <t>38KB312354-A01</t>
  </si>
  <si>
    <t>F O - CLEAN, ASSESS, REPAIR, AND PRESERVE FUEL TANK GROUP-4 (5-300-2-F)</t>
  </si>
  <si>
    <t>38KB312355-A01 T01</t>
  </si>
  <si>
    <t>F O - CLEAN, ASSESS, REPAIR, AND PRESERVE FUEL SERVICE TANK (5-300-4-F)</t>
  </si>
  <si>
    <t>N6264926RA032</t>
  </si>
  <si>
    <t>USS HIGGINS (DDG 76)</t>
  </si>
  <si>
    <t>FY26 6C1 Bundle 1</t>
  </si>
  <si>
    <t>USS HIGGINS (DDG 76) - FY26 6C1 Bundle 1</t>
  </si>
  <si>
    <t>1_38KB312315-A01</t>
  </si>
  <si>
    <t>2_38KB312316-A01</t>
  </si>
  <si>
    <t>3_38KB312317-A01</t>
  </si>
  <si>
    <t>4_38KB312318-A01</t>
  </si>
  <si>
    <t>5_38KB312319-A01</t>
  </si>
  <si>
    <t>6_38KB312320-A01</t>
  </si>
  <si>
    <t>7_38KB312323-A01</t>
  </si>
  <si>
    <t>8_38KB312324-A01</t>
  </si>
  <si>
    <t>9_38KB312325-A01</t>
  </si>
  <si>
    <t>10_38KB312328-A01</t>
  </si>
  <si>
    <t>11_38KB312329-A01</t>
  </si>
  <si>
    <t>12_38KB312330-A01</t>
  </si>
  <si>
    <t>13_38KB312331-A01</t>
  </si>
  <si>
    <t>14_38KB312332-A01</t>
  </si>
  <si>
    <t>15_38KB312333-A01</t>
  </si>
  <si>
    <t>16_38KB312334-A01</t>
  </si>
  <si>
    <t>17_38KB312336-A01</t>
  </si>
  <si>
    <t>18_38KB312338-A01</t>
  </si>
  <si>
    <t>19_38KB312339-A01</t>
  </si>
  <si>
    <t>20_38KB312340-A01</t>
  </si>
  <si>
    <t>21_38KB312341-A01</t>
  </si>
  <si>
    <t>22_38KB312342-A01</t>
  </si>
  <si>
    <t>23_38KB312343-A01</t>
  </si>
  <si>
    <t>24_38KB312344-A01</t>
  </si>
  <si>
    <t>25_38KB312345-A01</t>
  </si>
  <si>
    <t>26_38KB312346-A01</t>
  </si>
  <si>
    <t>27_38KB312348-A01</t>
  </si>
  <si>
    <t>28_38KB312350-A01</t>
  </si>
  <si>
    <t>29_38KB312352-A01</t>
  </si>
  <si>
    <t>30_38KB312353-A01</t>
  </si>
  <si>
    <t>31_38KB312354-A01</t>
  </si>
  <si>
    <t>32_38KB312355-A01 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</si>
</sst>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4" fillId="11" borderId="22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 wrapText="1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5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113"/>
  <sheetViews>
    <sheetView showGridLines="0" tabSelected="1" zoomScale="115" zoomScaleNormal="115" zoomScaleSheetLayoutView="130" workbookViewId="0">
      <selection activeCell="C4" sqref="C4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03" t="s">
        <v>23</v>
      </c>
      <c r="B1" s="103"/>
      <c r="C1" s="26"/>
    </row>
    <row r="2" spans="1:10" ht="15.75" customHeight="1" x14ac:dyDescent="0.2">
      <c r="A2" s="85"/>
      <c r="B2" s="85"/>
      <c r="C2" s="86"/>
    </row>
    <row r="3" spans="1:10" ht="15" x14ac:dyDescent="0.2">
      <c r="A3" s="93" t="s">
        <v>70</v>
      </c>
      <c r="B3" s="94" t="s">
        <v>64</v>
      </c>
      <c r="C3" s="75" t="s">
        <v>64</v>
      </c>
      <c r="D3" s="108" t="s">
        <v>49</v>
      </c>
      <c r="E3" s="109"/>
      <c r="F3" s="78" t="s">
        <v>45</v>
      </c>
      <c r="G3" s="78" t="s">
        <v>52</v>
      </c>
      <c r="H3" s="78" t="s">
        <v>62</v>
      </c>
      <c r="I3" s="78" t="s">
        <v>63</v>
      </c>
      <c r="J3" s="78" t="s">
        <v>36</v>
      </c>
    </row>
    <row r="4" spans="1:10" x14ac:dyDescent="0.2">
      <c r="A4" s="103" t="s">
        <v>66</v>
      </c>
      <c r="B4" s="103"/>
      <c r="C4" s="87" t="s">
        <v>139</v>
      </c>
      <c r="D4" s="110" t="str">
        <f>"CLIN 0001" &amp; "(" &amp; C8 &amp; " TGIs)"</f>
        <v>CLIN 0001(32 TGIs)</v>
      </c>
      <c r="E4" s="111"/>
      <c r="F4" s="82">
        <f ca="1">SUM(F14:F113)</f>
        <v>0</v>
      </c>
      <c r="G4" s="79">
        <f ca="1">SUM(G14:G113)</f>
        <v>0</v>
      </c>
      <c r="H4" s="79">
        <f ca="1">SUM(H14:H113)</f>
        <v>0</v>
      </c>
      <c r="I4" s="79">
        <f ca="1">SUM(I14:I113)</f>
        <v>0</v>
      </c>
      <c r="J4" s="79">
        <f ca="1">SUM(J14:J113)</f>
        <v>0</v>
      </c>
    </row>
    <row r="5" spans="1:10" ht="13.5" customHeight="1" x14ac:dyDescent="0.2">
      <c r="A5" s="103" t="s">
        <v>65</v>
      </c>
      <c r="B5" s="103"/>
      <c r="C5" s="87" t="s">
        <v>140</v>
      </c>
      <c r="D5" s="110" t="s">
        <v>50</v>
      </c>
      <c r="E5" s="111"/>
      <c r="F5" s="82">
        <f ca="1">ROUNDDOWN(F4*$C$9,0)</f>
        <v>0</v>
      </c>
      <c r="G5" s="79">
        <f ca="1">J5-I5-H5</f>
        <v>0</v>
      </c>
      <c r="H5" s="79">
        <f ca="1">ROUND(H4*$C$9,0)</f>
        <v>0</v>
      </c>
      <c r="I5" s="79">
        <f t="shared" ref="I5:J5" ca="1" si="0">ROUND(I4*$C$9,0)</f>
        <v>0</v>
      </c>
      <c r="J5" s="79">
        <f t="shared" ca="1" si="0"/>
        <v>0</v>
      </c>
    </row>
    <row r="6" spans="1:10" ht="15.75" customHeight="1" x14ac:dyDescent="0.2">
      <c r="A6" s="103" t="s">
        <v>67</v>
      </c>
      <c r="B6" s="103"/>
      <c r="C6" s="88" t="s">
        <v>141</v>
      </c>
      <c r="D6" s="108" t="s">
        <v>51</v>
      </c>
      <c r="E6" s="109"/>
      <c r="F6" s="78">
        <f ca="1">SUM(F4:F5)</f>
        <v>0</v>
      </c>
      <c r="G6" s="80">
        <f ca="1">SUM(G4:G5)</f>
        <v>0</v>
      </c>
      <c r="H6" s="80">
        <f t="shared" ref="H6:J6" ca="1" si="1">SUM(H4:H5)</f>
        <v>0</v>
      </c>
      <c r="I6" s="80">
        <f t="shared" ca="1" si="1"/>
        <v>0</v>
      </c>
      <c r="J6" s="80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8"/>
      <c r="I7" s="119"/>
      <c r="J7" s="119"/>
    </row>
    <row r="8" spans="1:10" ht="15" customHeight="1" x14ac:dyDescent="0.2">
      <c r="A8" s="122" t="s">
        <v>55</v>
      </c>
      <c r="B8" s="122"/>
      <c r="C8" s="76">
        <v>32</v>
      </c>
      <c r="D8" s="104" t="s">
        <v>37</v>
      </c>
      <c r="E8" s="105"/>
      <c r="F8" s="105"/>
      <c r="G8" s="105"/>
      <c r="H8" s="120">
        <f ca="1">J6</f>
        <v>0</v>
      </c>
      <c r="I8" s="120"/>
      <c r="J8" s="120"/>
    </row>
    <row r="9" spans="1:10" ht="12.75" customHeight="1" x14ac:dyDescent="0.2">
      <c r="A9" s="122" t="s">
        <v>39</v>
      </c>
      <c r="B9" s="122"/>
      <c r="C9" s="77">
        <v>0.09</v>
      </c>
      <c r="D9" s="106"/>
      <c r="E9" s="107"/>
      <c r="F9" s="107"/>
      <c r="G9" s="107"/>
      <c r="H9" s="121"/>
      <c r="I9" s="121"/>
      <c r="J9" s="121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6" t="s">
        <v>40</v>
      </c>
      <c r="B12" s="116" t="s">
        <v>35</v>
      </c>
      <c r="C12" s="114" t="s">
        <v>3</v>
      </c>
      <c r="D12" s="123" t="s">
        <v>41</v>
      </c>
      <c r="E12" s="123"/>
      <c r="F12" s="123"/>
      <c r="G12" s="123"/>
      <c r="H12" s="123" t="s">
        <v>38</v>
      </c>
      <c r="I12" s="123"/>
      <c r="J12" s="112" t="s">
        <v>42</v>
      </c>
    </row>
    <row r="13" spans="1:10" ht="41.25" customHeight="1" thickBot="1" x14ac:dyDescent="0.25">
      <c r="A13" s="117"/>
      <c r="B13" s="117"/>
      <c r="C13" s="115"/>
      <c r="D13" s="25" t="s">
        <v>43</v>
      </c>
      <c r="E13" s="25" t="s">
        <v>44</v>
      </c>
      <c r="F13" s="25" t="s">
        <v>45</v>
      </c>
      <c r="G13" s="25" t="s">
        <v>46</v>
      </c>
      <c r="H13" s="25" t="s">
        <v>47</v>
      </c>
      <c r="I13" s="25" t="s">
        <v>48</v>
      </c>
      <c r="J13" s="113"/>
    </row>
    <row r="14" spans="1:10" ht="13.5" thickTop="1" x14ac:dyDescent="0.2">
      <c r="A14" s="23">
        <v>1</v>
      </c>
      <c r="B14" s="157" t="s">
        <v>75</v>
      </c>
      <c r="C14" s="157" t="s">
        <v>76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4">
        <f ca="1">IF(B14="","",INDIRECT("'" &amp; A14 &amp; "_" &amp; B14 &amp; "'!I4"))</f>
        <v>0</v>
      </c>
      <c r="H14" s="74">
        <f ca="1">IF(B14="","",INDIRECT("'" &amp; A14 &amp; "_" &amp; B14 &amp; "'!J4"))</f>
        <v>0</v>
      </c>
      <c r="I14" s="74">
        <f ca="1">IF(B14="","",INDIRECT("'" &amp; A14 &amp; "_" &amp; B14 &amp; "'!K4"))</f>
        <v>0</v>
      </c>
      <c r="J14" s="74">
        <f ca="1">IF(B14="","",INDIRECT("'" &amp; A14 &amp; "_" &amp; B14 &amp; "'!L4"))</f>
        <v>0</v>
      </c>
    </row>
    <row r="15" spans="1:10" x14ac:dyDescent="0.2">
      <c r="A15" s="22">
        <v>2</v>
      </c>
      <c r="B15" s="158" t="s">
        <v>77</v>
      </c>
      <c r="C15" s="158" t="s">
        <v>78</v>
      </c>
      <c r="D15" s="24">
        <f t="shared" ref="D15:D78" ca="1" si="2">IF(B15="","",INDIRECT("'" &amp; A15 &amp; "_" &amp; B15 &amp; "'!G4"))</f>
        <v>0</v>
      </c>
      <c r="E15" s="24">
        <f t="shared" ref="E15:E78" ca="1" si="3">IF(B15="","",INDIRECT("'" &amp; A15 &amp; "_" &amp; B15 &amp; "'!H4"))</f>
        <v>0</v>
      </c>
      <c r="F15" s="24">
        <f t="shared" ref="F15:F78" ca="1" si="4">IF(B15="","",SUM(D15,E15))</f>
        <v>0</v>
      </c>
      <c r="G15" s="74">
        <f t="shared" ref="G15:G78" ca="1" si="5">IF(B15="","",INDIRECT("'" &amp; A15 &amp; "_" &amp; B15 &amp; "'!I4"))</f>
        <v>0</v>
      </c>
      <c r="H15" s="74">
        <f t="shared" ref="H15:H78" ca="1" si="6">IF(B15="","",INDIRECT("'" &amp; A15 &amp; "_" &amp; B15 &amp; "'!J4"))</f>
        <v>0</v>
      </c>
      <c r="I15" s="74">
        <f t="shared" ref="I15:I78" ca="1" si="7">IF(B15="","",INDIRECT("'" &amp; A15 &amp; "_" &amp; B15 &amp; "'!K4"))</f>
        <v>0</v>
      </c>
      <c r="J15" s="74">
        <f t="shared" ref="J15:J78" ca="1" si="8">IF(B15="","",INDIRECT("'" &amp; A15 &amp; "_" &amp; B15 &amp; "'!L4"))</f>
        <v>0</v>
      </c>
    </row>
    <row r="16" spans="1:10" x14ac:dyDescent="0.2">
      <c r="A16" s="22">
        <v>3</v>
      </c>
      <c r="B16" s="157" t="s">
        <v>79</v>
      </c>
      <c r="C16" s="157" t="s">
        <v>80</v>
      </c>
      <c r="D16" s="24">
        <f t="shared" ca="1" si="2"/>
        <v>0</v>
      </c>
      <c r="E16" s="24">
        <f t="shared" ca="1" si="3"/>
        <v>0</v>
      </c>
      <c r="F16" s="24">
        <f t="shared" ca="1" si="4"/>
        <v>0</v>
      </c>
      <c r="G16" s="74">
        <f t="shared" ca="1" si="5"/>
        <v>0</v>
      </c>
      <c r="H16" s="74">
        <f t="shared" ca="1" si="6"/>
        <v>0</v>
      </c>
      <c r="I16" s="74">
        <f t="shared" ca="1" si="7"/>
        <v>0</v>
      </c>
      <c r="J16" s="74">
        <f t="shared" ca="1" si="8"/>
        <v>0</v>
      </c>
    </row>
    <row r="17" spans="1:10" x14ac:dyDescent="0.2">
      <c r="A17" s="22">
        <v>4</v>
      </c>
      <c r="B17" s="158" t="s">
        <v>81</v>
      </c>
      <c r="C17" s="158" t="s">
        <v>82</v>
      </c>
      <c r="D17" s="24">
        <f t="shared" ca="1" si="2"/>
        <v>0</v>
      </c>
      <c r="E17" s="24">
        <f t="shared" ca="1" si="3"/>
        <v>0</v>
      </c>
      <c r="F17" s="24">
        <f t="shared" ca="1" si="4"/>
        <v>0</v>
      </c>
      <c r="G17" s="74">
        <f t="shared" ca="1" si="5"/>
        <v>0</v>
      </c>
      <c r="H17" s="74">
        <f t="shared" ca="1" si="6"/>
        <v>0</v>
      </c>
      <c r="I17" s="74">
        <f t="shared" ca="1" si="7"/>
        <v>0</v>
      </c>
      <c r="J17" s="74">
        <f t="shared" ca="1" si="8"/>
        <v>0</v>
      </c>
    </row>
    <row r="18" spans="1:10" x14ac:dyDescent="0.2">
      <c r="A18" s="22">
        <v>5</v>
      </c>
      <c r="B18" s="157" t="s">
        <v>83</v>
      </c>
      <c r="C18" s="157" t="s">
        <v>84</v>
      </c>
      <c r="D18" s="24">
        <f t="shared" ca="1" si="2"/>
        <v>0</v>
      </c>
      <c r="E18" s="24">
        <f t="shared" ca="1" si="3"/>
        <v>0</v>
      </c>
      <c r="F18" s="24">
        <f t="shared" ca="1" si="4"/>
        <v>0</v>
      </c>
      <c r="G18" s="74">
        <f t="shared" ca="1" si="5"/>
        <v>0</v>
      </c>
      <c r="H18" s="74">
        <f t="shared" ca="1" si="6"/>
        <v>0</v>
      </c>
      <c r="I18" s="74">
        <f t="shared" ca="1" si="7"/>
        <v>0</v>
      </c>
      <c r="J18" s="74">
        <f t="shared" ca="1" si="8"/>
        <v>0</v>
      </c>
    </row>
    <row r="19" spans="1:10" x14ac:dyDescent="0.2">
      <c r="A19" s="22">
        <v>6</v>
      </c>
      <c r="B19" s="158" t="s">
        <v>85</v>
      </c>
      <c r="C19" s="158" t="s">
        <v>86</v>
      </c>
      <c r="D19" s="24">
        <f t="shared" ca="1" si="2"/>
        <v>0</v>
      </c>
      <c r="E19" s="24">
        <f t="shared" ca="1" si="3"/>
        <v>0</v>
      </c>
      <c r="F19" s="24">
        <f t="shared" ca="1" si="4"/>
        <v>0</v>
      </c>
      <c r="G19" s="74">
        <f t="shared" ca="1" si="5"/>
        <v>0</v>
      </c>
      <c r="H19" s="74">
        <f t="shared" ca="1" si="6"/>
        <v>0</v>
      </c>
      <c r="I19" s="74">
        <f t="shared" ca="1" si="7"/>
        <v>0</v>
      </c>
      <c r="J19" s="74">
        <f t="shared" ca="1" si="8"/>
        <v>0</v>
      </c>
    </row>
    <row r="20" spans="1:10" x14ac:dyDescent="0.2">
      <c r="A20" s="22">
        <v>7</v>
      </c>
      <c r="B20" s="157" t="s">
        <v>87</v>
      </c>
      <c r="C20" s="157" t="s">
        <v>88</v>
      </c>
      <c r="D20" s="24">
        <f t="shared" ca="1" si="2"/>
        <v>0</v>
      </c>
      <c r="E20" s="24">
        <f t="shared" ca="1" si="3"/>
        <v>0</v>
      </c>
      <c r="F20" s="24">
        <f t="shared" ca="1" si="4"/>
        <v>0</v>
      </c>
      <c r="G20" s="74">
        <f t="shared" ca="1" si="5"/>
        <v>0</v>
      </c>
      <c r="H20" s="74">
        <f t="shared" ca="1" si="6"/>
        <v>0</v>
      </c>
      <c r="I20" s="74">
        <f t="shared" ca="1" si="7"/>
        <v>0</v>
      </c>
      <c r="J20" s="74">
        <f t="shared" ca="1" si="8"/>
        <v>0</v>
      </c>
    </row>
    <row r="21" spans="1:10" x14ac:dyDescent="0.2">
      <c r="A21" s="22">
        <v>8</v>
      </c>
      <c r="B21" s="158" t="s">
        <v>89</v>
      </c>
      <c r="C21" s="158" t="s">
        <v>90</v>
      </c>
      <c r="D21" s="24">
        <f t="shared" ca="1" si="2"/>
        <v>0</v>
      </c>
      <c r="E21" s="24">
        <f t="shared" ca="1" si="3"/>
        <v>0</v>
      </c>
      <c r="F21" s="24">
        <f t="shared" ca="1" si="4"/>
        <v>0</v>
      </c>
      <c r="G21" s="74">
        <f t="shared" ca="1" si="5"/>
        <v>0</v>
      </c>
      <c r="H21" s="74">
        <f t="shared" ca="1" si="6"/>
        <v>0</v>
      </c>
      <c r="I21" s="74">
        <f t="shared" ca="1" si="7"/>
        <v>0</v>
      </c>
      <c r="J21" s="74">
        <f t="shared" ca="1" si="8"/>
        <v>0</v>
      </c>
    </row>
    <row r="22" spans="1:10" x14ac:dyDescent="0.2">
      <c r="A22" s="22">
        <v>9</v>
      </c>
      <c r="B22" s="157" t="s">
        <v>91</v>
      </c>
      <c r="C22" s="157" t="s">
        <v>92</v>
      </c>
      <c r="D22" s="24">
        <f t="shared" ca="1" si="2"/>
        <v>0</v>
      </c>
      <c r="E22" s="24">
        <f t="shared" ca="1" si="3"/>
        <v>0</v>
      </c>
      <c r="F22" s="24">
        <f t="shared" ca="1" si="4"/>
        <v>0</v>
      </c>
      <c r="G22" s="74">
        <f t="shared" ca="1" si="5"/>
        <v>0</v>
      </c>
      <c r="H22" s="74">
        <f t="shared" ca="1" si="6"/>
        <v>0</v>
      </c>
      <c r="I22" s="74">
        <f t="shared" ca="1" si="7"/>
        <v>0</v>
      </c>
      <c r="J22" s="74">
        <f t="shared" ca="1" si="8"/>
        <v>0</v>
      </c>
    </row>
    <row r="23" spans="1:10" x14ac:dyDescent="0.2">
      <c r="A23" s="22">
        <v>10</v>
      </c>
      <c r="B23" s="158" t="s">
        <v>93</v>
      </c>
      <c r="C23" s="158" t="s">
        <v>94</v>
      </c>
      <c r="D23" s="24">
        <f t="shared" ca="1" si="2"/>
        <v>0</v>
      </c>
      <c r="E23" s="24">
        <f t="shared" ca="1" si="3"/>
        <v>0</v>
      </c>
      <c r="F23" s="24">
        <f t="shared" ca="1" si="4"/>
        <v>0</v>
      </c>
      <c r="G23" s="74">
        <f t="shared" ca="1" si="5"/>
        <v>0</v>
      </c>
      <c r="H23" s="74">
        <f t="shared" ca="1" si="6"/>
        <v>0</v>
      </c>
      <c r="I23" s="74">
        <f t="shared" ca="1" si="7"/>
        <v>0</v>
      </c>
      <c r="J23" s="74">
        <f t="shared" ca="1" si="8"/>
        <v>0</v>
      </c>
    </row>
    <row r="24" spans="1:10" x14ac:dyDescent="0.2">
      <c r="A24" s="22">
        <v>11</v>
      </c>
      <c r="B24" s="157" t="s">
        <v>95</v>
      </c>
      <c r="C24" s="157" t="s">
        <v>96</v>
      </c>
      <c r="D24" s="24">
        <f t="shared" ca="1" si="2"/>
        <v>0</v>
      </c>
      <c r="E24" s="24">
        <f t="shared" ca="1" si="3"/>
        <v>0</v>
      </c>
      <c r="F24" s="24">
        <f t="shared" ca="1" si="4"/>
        <v>0</v>
      </c>
      <c r="G24" s="74">
        <f t="shared" ca="1" si="5"/>
        <v>0</v>
      </c>
      <c r="H24" s="74">
        <f t="shared" ca="1" si="6"/>
        <v>0</v>
      </c>
      <c r="I24" s="74">
        <f t="shared" ca="1" si="7"/>
        <v>0</v>
      </c>
      <c r="J24" s="74">
        <f t="shared" ca="1" si="8"/>
        <v>0</v>
      </c>
    </row>
    <row r="25" spans="1:10" x14ac:dyDescent="0.2">
      <c r="A25" s="22">
        <v>12</v>
      </c>
      <c r="B25" s="158" t="s">
        <v>97</v>
      </c>
      <c r="C25" s="158" t="s">
        <v>98</v>
      </c>
      <c r="D25" s="24">
        <f t="shared" ca="1" si="2"/>
        <v>0</v>
      </c>
      <c r="E25" s="24">
        <f t="shared" ca="1" si="3"/>
        <v>0</v>
      </c>
      <c r="F25" s="24">
        <f t="shared" ca="1" si="4"/>
        <v>0</v>
      </c>
      <c r="G25" s="74">
        <f t="shared" ca="1" si="5"/>
        <v>0</v>
      </c>
      <c r="H25" s="74">
        <f t="shared" ca="1" si="6"/>
        <v>0</v>
      </c>
      <c r="I25" s="74">
        <f t="shared" ca="1" si="7"/>
        <v>0</v>
      </c>
      <c r="J25" s="74">
        <f t="shared" ca="1" si="8"/>
        <v>0</v>
      </c>
    </row>
    <row r="26" spans="1:10" x14ac:dyDescent="0.2">
      <c r="A26" s="22">
        <v>13</v>
      </c>
      <c r="B26" s="157" t="s">
        <v>99</v>
      </c>
      <c r="C26" s="157" t="s">
        <v>100</v>
      </c>
      <c r="D26" s="24">
        <f t="shared" ca="1" si="2"/>
        <v>0</v>
      </c>
      <c r="E26" s="24">
        <f t="shared" ca="1" si="3"/>
        <v>0</v>
      </c>
      <c r="F26" s="24">
        <f t="shared" ca="1" si="4"/>
        <v>0</v>
      </c>
      <c r="G26" s="74">
        <f t="shared" ca="1" si="5"/>
        <v>0</v>
      </c>
      <c r="H26" s="74">
        <f t="shared" ca="1" si="6"/>
        <v>0</v>
      </c>
      <c r="I26" s="74">
        <f t="shared" ca="1" si="7"/>
        <v>0</v>
      </c>
      <c r="J26" s="74">
        <f t="shared" ca="1" si="8"/>
        <v>0</v>
      </c>
    </row>
    <row r="27" spans="1:10" x14ac:dyDescent="0.2">
      <c r="A27" s="22">
        <v>14</v>
      </c>
      <c r="B27" s="158" t="s">
        <v>101</v>
      </c>
      <c r="C27" s="158" t="s">
        <v>102</v>
      </c>
      <c r="D27" s="24">
        <f t="shared" ca="1" si="2"/>
        <v>0</v>
      </c>
      <c r="E27" s="24">
        <f t="shared" ca="1" si="3"/>
        <v>0</v>
      </c>
      <c r="F27" s="24">
        <f t="shared" ca="1" si="4"/>
        <v>0</v>
      </c>
      <c r="G27" s="74">
        <f t="shared" ca="1" si="5"/>
        <v>0</v>
      </c>
      <c r="H27" s="74">
        <f t="shared" ca="1" si="6"/>
        <v>0</v>
      </c>
      <c r="I27" s="74">
        <f t="shared" ca="1" si="7"/>
        <v>0</v>
      </c>
      <c r="J27" s="74">
        <f t="shared" ca="1" si="8"/>
        <v>0</v>
      </c>
    </row>
    <row r="28" spans="1:10" x14ac:dyDescent="0.2">
      <c r="A28" s="22">
        <v>15</v>
      </c>
      <c r="B28" s="157" t="s">
        <v>103</v>
      </c>
      <c r="C28" s="157" t="s">
        <v>104</v>
      </c>
      <c r="D28" s="24">
        <f t="shared" ca="1" si="2"/>
        <v>0</v>
      </c>
      <c r="E28" s="24">
        <f t="shared" ca="1" si="3"/>
        <v>0</v>
      </c>
      <c r="F28" s="24">
        <f t="shared" ca="1" si="4"/>
        <v>0</v>
      </c>
      <c r="G28" s="74">
        <f t="shared" ca="1" si="5"/>
        <v>0</v>
      </c>
      <c r="H28" s="74">
        <f t="shared" ca="1" si="6"/>
        <v>0</v>
      </c>
      <c r="I28" s="74">
        <f t="shared" ca="1" si="7"/>
        <v>0</v>
      </c>
      <c r="J28" s="74">
        <f t="shared" ca="1" si="8"/>
        <v>0</v>
      </c>
    </row>
    <row r="29" spans="1:10" x14ac:dyDescent="0.2">
      <c r="A29" s="22">
        <v>16</v>
      </c>
      <c r="B29" s="158" t="s">
        <v>105</v>
      </c>
      <c r="C29" s="158" t="s">
        <v>106</v>
      </c>
      <c r="D29" s="24">
        <f t="shared" ca="1" si="2"/>
        <v>0</v>
      </c>
      <c r="E29" s="24">
        <f t="shared" ca="1" si="3"/>
        <v>0</v>
      </c>
      <c r="F29" s="24">
        <f t="shared" ca="1" si="4"/>
        <v>0</v>
      </c>
      <c r="G29" s="74">
        <f t="shared" ca="1" si="5"/>
        <v>0</v>
      </c>
      <c r="H29" s="74">
        <f t="shared" ca="1" si="6"/>
        <v>0</v>
      </c>
      <c r="I29" s="74">
        <f t="shared" ca="1" si="7"/>
        <v>0</v>
      </c>
      <c r="J29" s="74">
        <f t="shared" ca="1" si="8"/>
        <v>0</v>
      </c>
    </row>
    <row r="30" spans="1:10" x14ac:dyDescent="0.2">
      <c r="A30" s="22">
        <v>17</v>
      </c>
      <c r="B30" s="157" t="s">
        <v>107</v>
      </c>
      <c r="C30" s="157" t="s">
        <v>108</v>
      </c>
      <c r="D30" s="24">
        <f t="shared" ca="1" si="2"/>
        <v>0</v>
      </c>
      <c r="E30" s="24">
        <f t="shared" ca="1" si="3"/>
        <v>0</v>
      </c>
      <c r="F30" s="24">
        <f t="shared" ca="1" si="4"/>
        <v>0</v>
      </c>
      <c r="G30" s="74">
        <f t="shared" ca="1" si="5"/>
        <v>0</v>
      </c>
      <c r="H30" s="74">
        <f t="shared" ca="1" si="6"/>
        <v>0</v>
      </c>
      <c r="I30" s="74">
        <f t="shared" ca="1" si="7"/>
        <v>0</v>
      </c>
      <c r="J30" s="74">
        <f t="shared" ca="1" si="8"/>
        <v>0</v>
      </c>
    </row>
    <row r="31" spans="1:10" x14ac:dyDescent="0.2">
      <c r="A31" s="22">
        <v>18</v>
      </c>
      <c r="B31" s="158" t="s">
        <v>109</v>
      </c>
      <c r="C31" s="158" t="s">
        <v>110</v>
      </c>
      <c r="D31" s="24">
        <f t="shared" ca="1" si="2"/>
        <v>0</v>
      </c>
      <c r="E31" s="24">
        <f t="shared" ca="1" si="3"/>
        <v>0</v>
      </c>
      <c r="F31" s="24">
        <f t="shared" ca="1" si="4"/>
        <v>0</v>
      </c>
      <c r="G31" s="74">
        <f t="shared" ca="1" si="5"/>
        <v>0</v>
      </c>
      <c r="H31" s="74">
        <f t="shared" ca="1" si="6"/>
        <v>0</v>
      </c>
      <c r="I31" s="74">
        <f t="shared" ca="1" si="7"/>
        <v>0</v>
      </c>
      <c r="J31" s="74">
        <f t="shared" ca="1" si="8"/>
        <v>0</v>
      </c>
    </row>
    <row r="32" spans="1:10" x14ac:dyDescent="0.2">
      <c r="A32" s="22">
        <v>19</v>
      </c>
      <c r="B32" s="157" t="s">
        <v>111</v>
      </c>
      <c r="C32" s="157" t="s">
        <v>112</v>
      </c>
      <c r="D32" s="24">
        <f t="shared" ca="1" si="2"/>
        <v>0</v>
      </c>
      <c r="E32" s="24">
        <f t="shared" ca="1" si="3"/>
        <v>0</v>
      </c>
      <c r="F32" s="24">
        <f t="shared" ca="1" si="4"/>
        <v>0</v>
      </c>
      <c r="G32" s="74">
        <f t="shared" ca="1" si="5"/>
        <v>0</v>
      </c>
      <c r="H32" s="74">
        <f t="shared" ca="1" si="6"/>
        <v>0</v>
      </c>
      <c r="I32" s="74">
        <f t="shared" ca="1" si="7"/>
        <v>0</v>
      </c>
      <c r="J32" s="74">
        <f t="shared" ca="1" si="8"/>
        <v>0</v>
      </c>
    </row>
    <row r="33" spans="1:10" x14ac:dyDescent="0.2">
      <c r="A33" s="22">
        <v>20</v>
      </c>
      <c r="B33" s="158" t="s">
        <v>113</v>
      </c>
      <c r="C33" s="158" t="s">
        <v>114</v>
      </c>
      <c r="D33" s="24">
        <f t="shared" ca="1" si="2"/>
        <v>0</v>
      </c>
      <c r="E33" s="24">
        <f t="shared" ca="1" si="3"/>
        <v>0</v>
      </c>
      <c r="F33" s="24">
        <f t="shared" ca="1" si="4"/>
        <v>0</v>
      </c>
      <c r="G33" s="74">
        <f t="shared" ca="1" si="5"/>
        <v>0</v>
      </c>
      <c r="H33" s="74">
        <f t="shared" ca="1" si="6"/>
        <v>0</v>
      </c>
      <c r="I33" s="74">
        <f t="shared" ca="1" si="7"/>
        <v>0</v>
      </c>
      <c r="J33" s="74">
        <f t="shared" ca="1" si="8"/>
        <v>0</v>
      </c>
    </row>
    <row r="34" spans="1:10" x14ac:dyDescent="0.2">
      <c r="A34" s="22">
        <v>21</v>
      </c>
      <c r="B34" s="157" t="s">
        <v>115</v>
      </c>
      <c r="C34" s="157" t="s">
        <v>116</v>
      </c>
      <c r="D34" s="24">
        <f t="shared" ca="1" si="2"/>
        <v>0</v>
      </c>
      <c r="E34" s="24">
        <f t="shared" ca="1" si="3"/>
        <v>0</v>
      </c>
      <c r="F34" s="24">
        <f t="shared" ca="1" si="4"/>
        <v>0</v>
      </c>
      <c r="G34" s="74">
        <f t="shared" ca="1" si="5"/>
        <v>0</v>
      </c>
      <c r="H34" s="74">
        <f t="shared" ca="1" si="6"/>
        <v>0</v>
      </c>
      <c r="I34" s="74">
        <f t="shared" ca="1" si="7"/>
        <v>0</v>
      </c>
      <c r="J34" s="74">
        <f t="shared" ca="1" si="8"/>
        <v>0</v>
      </c>
    </row>
    <row r="35" spans="1:10" x14ac:dyDescent="0.2">
      <c r="A35" s="22">
        <v>22</v>
      </c>
      <c r="B35" s="158" t="s">
        <v>117</v>
      </c>
      <c r="C35" s="158" t="s">
        <v>118</v>
      </c>
      <c r="D35" s="24">
        <f t="shared" ca="1" si="2"/>
        <v>0</v>
      </c>
      <c r="E35" s="24">
        <f t="shared" ca="1" si="3"/>
        <v>0</v>
      </c>
      <c r="F35" s="24">
        <f t="shared" ca="1" si="4"/>
        <v>0</v>
      </c>
      <c r="G35" s="74">
        <f t="shared" ca="1" si="5"/>
        <v>0</v>
      </c>
      <c r="H35" s="74">
        <f t="shared" ca="1" si="6"/>
        <v>0</v>
      </c>
      <c r="I35" s="74">
        <f t="shared" ca="1" si="7"/>
        <v>0</v>
      </c>
      <c r="J35" s="74">
        <f t="shared" ca="1" si="8"/>
        <v>0</v>
      </c>
    </row>
    <row r="36" spans="1:10" x14ac:dyDescent="0.2">
      <c r="A36" s="22">
        <v>23</v>
      </c>
      <c r="B36" s="157" t="s">
        <v>119</v>
      </c>
      <c r="C36" s="157" t="s">
        <v>120</v>
      </c>
      <c r="D36" s="24">
        <f t="shared" ca="1" si="2"/>
        <v>0</v>
      </c>
      <c r="E36" s="24">
        <f t="shared" ca="1" si="3"/>
        <v>0</v>
      </c>
      <c r="F36" s="24">
        <f t="shared" ca="1" si="4"/>
        <v>0</v>
      </c>
      <c r="G36" s="74">
        <f t="shared" ca="1" si="5"/>
        <v>0</v>
      </c>
      <c r="H36" s="74">
        <f t="shared" ca="1" si="6"/>
        <v>0</v>
      </c>
      <c r="I36" s="74">
        <f t="shared" ca="1" si="7"/>
        <v>0</v>
      </c>
      <c r="J36" s="74">
        <f t="shared" ca="1" si="8"/>
        <v>0</v>
      </c>
    </row>
    <row r="37" spans="1:10" ht="12" customHeight="1" x14ac:dyDescent="0.2">
      <c r="A37" s="22">
        <v>24</v>
      </c>
      <c r="B37" s="158" t="s">
        <v>121</v>
      </c>
      <c r="C37" s="158" t="s">
        <v>122</v>
      </c>
      <c r="D37" s="24">
        <f t="shared" ca="1" si="2"/>
        <v>0</v>
      </c>
      <c r="E37" s="24">
        <f t="shared" ca="1" si="3"/>
        <v>0</v>
      </c>
      <c r="F37" s="24">
        <f t="shared" ca="1" si="4"/>
        <v>0</v>
      </c>
      <c r="G37" s="74">
        <f t="shared" ca="1" si="5"/>
        <v>0</v>
      </c>
      <c r="H37" s="74">
        <f t="shared" ca="1" si="6"/>
        <v>0</v>
      </c>
      <c r="I37" s="74">
        <f t="shared" ca="1" si="7"/>
        <v>0</v>
      </c>
      <c r="J37" s="74">
        <f t="shared" ca="1" si="8"/>
        <v>0</v>
      </c>
    </row>
    <row r="38" spans="1:10" ht="12" customHeight="1" x14ac:dyDescent="0.2">
      <c r="A38" s="22">
        <v>25</v>
      </c>
      <c r="B38" s="157" t="s">
        <v>123</v>
      </c>
      <c r="C38" s="157" t="s">
        <v>124</v>
      </c>
      <c r="D38" s="24">
        <f t="shared" ca="1" si="2"/>
        <v>0</v>
      </c>
      <c r="E38" s="24">
        <f t="shared" ca="1" si="3"/>
        <v>0</v>
      </c>
      <c r="F38" s="24">
        <f t="shared" ca="1" si="4"/>
        <v>0</v>
      </c>
      <c r="G38" s="74">
        <f t="shared" ca="1" si="5"/>
        <v>0</v>
      </c>
      <c r="H38" s="74">
        <f t="shared" ca="1" si="6"/>
        <v>0</v>
      </c>
      <c r="I38" s="74">
        <f t="shared" ca="1" si="7"/>
        <v>0</v>
      </c>
      <c r="J38" s="74">
        <f t="shared" ca="1" si="8"/>
        <v>0</v>
      </c>
    </row>
    <row r="39" spans="1:10" ht="12" customHeight="1" x14ac:dyDescent="0.2">
      <c r="A39" s="22">
        <v>26</v>
      </c>
      <c r="B39" s="158" t="s">
        <v>125</v>
      </c>
      <c r="C39" s="158" t="s">
        <v>126</v>
      </c>
      <c r="D39" s="24">
        <f t="shared" ca="1" si="2"/>
        <v>0</v>
      </c>
      <c r="E39" s="24">
        <f t="shared" ca="1" si="3"/>
        <v>0</v>
      </c>
      <c r="F39" s="24">
        <f t="shared" ca="1" si="4"/>
        <v>0</v>
      </c>
      <c r="G39" s="74">
        <f t="shared" ca="1" si="5"/>
        <v>0</v>
      </c>
      <c r="H39" s="74">
        <f t="shared" ca="1" si="6"/>
        <v>0</v>
      </c>
      <c r="I39" s="74">
        <f t="shared" ca="1" si="7"/>
        <v>0</v>
      </c>
      <c r="J39" s="74">
        <f t="shared" ca="1" si="8"/>
        <v>0</v>
      </c>
    </row>
    <row r="40" spans="1:10" ht="12" customHeight="1" x14ac:dyDescent="0.2">
      <c r="A40" s="22">
        <v>27</v>
      </c>
      <c r="B40" s="157" t="s">
        <v>127</v>
      </c>
      <c r="C40" s="157" t="s">
        <v>128</v>
      </c>
      <c r="D40" s="24">
        <f t="shared" ca="1" si="2"/>
        <v>0</v>
      </c>
      <c r="E40" s="24">
        <f t="shared" ca="1" si="3"/>
        <v>0</v>
      </c>
      <c r="F40" s="24">
        <f t="shared" ca="1" si="4"/>
        <v>0</v>
      </c>
      <c r="G40" s="74">
        <f t="shared" ca="1" si="5"/>
        <v>0</v>
      </c>
      <c r="H40" s="74">
        <f t="shared" ca="1" si="6"/>
        <v>0</v>
      </c>
      <c r="I40" s="74">
        <f t="shared" ca="1" si="7"/>
        <v>0</v>
      </c>
      <c r="J40" s="74">
        <f t="shared" ca="1" si="8"/>
        <v>0</v>
      </c>
    </row>
    <row r="41" spans="1:10" ht="12" customHeight="1" x14ac:dyDescent="0.2">
      <c r="A41" s="22">
        <v>28</v>
      </c>
      <c r="B41" s="158" t="s">
        <v>129</v>
      </c>
      <c r="C41" s="158" t="s">
        <v>130</v>
      </c>
      <c r="D41" s="24">
        <f t="shared" ca="1" si="2"/>
        <v>0</v>
      </c>
      <c r="E41" s="24">
        <f t="shared" ca="1" si="3"/>
        <v>0</v>
      </c>
      <c r="F41" s="24">
        <f t="shared" ca="1" si="4"/>
        <v>0</v>
      </c>
      <c r="G41" s="74">
        <f t="shared" ca="1" si="5"/>
        <v>0</v>
      </c>
      <c r="H41" s="74">
        <f t="shared" ca="1" si="6"/>
        <v>0</v>
      </c>
      <c r="I41" s="74">
        <f t="shared" ca="1" si="7"/>
        <v>0</v>
      </c>
      <c r="J41" s="74">
        <f t="shared" ca="1" si="8"/>
        <v>0</v>
      </c>
    </row>
    <row r="42" spans="1:10" ht="12" customHeight="1" x14ac:dyDescent="0.2">
      <c r="A42" s="22">
        <v>29</v>
      </c>
      <c r="B42" s="157" t="s">
        <v>131</v>
      </c>
      <c r="C42" s="157" t="s">
        <v>132</v>
      </c>
      <c r="D42" s="24">
        <f t="shared" ca="1" si="2"/>
        <v>0</v>
      </c>
      <c r="E42" s="24">
        <f t="shared" ca="1" si="3"/>
        <v>0</v>
      </c>
      <c r="F42" s="24">
        <f t="shared" ca="1" si="4"/>
        <v>0</v>
      </c>
      <c r="G42" s="74">
        <f t="shared" ca="1" si="5"/>
        <v>0</v>
      </c>
      <c r="H42" s="74">
        <f t="shared" ca="1" si="6"/>
        <v>0</v>
      </c>
      <c r="I42" s="74">
        <f t="shared" ca="1" si="7"/>
        <v>0</v>
      </c>
      <c r="J42" s="74">
        <f t="shared" ca="1" si="8"/>
        <v>0</v>
      </c>
    </row>
    <row r="43" spans="1:10" ht="12" customHeight="1" x14ac:dyDescent="0.2">
      <c r="A43" s="22">
        <v>30</v>
      </c>
      <c r="B43" s="158" t="s">
        <v>133</v>
      </c>
      <c r="C43" s="158" t="s">
        <v>134</v>
      </c>
      <c r="D43" s="24">
        <f t="shared" ca="1" si="2"/>
        <v>0</v>
      </c>
      <c r="E43" s="24">
        <f t="shared" ca="1" si="3"/>
        <v>0</v>
      </c>
      <c r="F43" s="24">
        <f t="shared" ca="1" si="4"/>
        <v>0</v>
      </c>
      <c r="G43" s="74">
        <f t="shared" ca="1" si="5"/>
        <v>0</v>
      </c>
      <c r="H43" s="74">
        <f t="shared" ca="1" si="6"/>
        <v>0</v>
      </c>
      <c r="I43" s="74">
        <f t="shared" ca="1" si="7"/>
        <v>0</v>
      </c>
      <c r="J43" s="74">
        <f t="shared" ca="1" si="8"/>
        <v>0</v>
      </c>
    </row>
    <row r="44" spans="1:10" ht="12" customHeight="1" x14ac:dyDescent="0.2">
      <c r="A44" s="22">
        <v>31</v>
      </c>
      <c r="B44" s="157" t="s">
        <v>135</v>
      </c>
      <c r="C44" s="157" t="s">
        <v>136</v>
      </c>
      <c r="D44" s="24">
        <f t="shared" ca="1" si="2"/>
        <v>0</v>
      </c>
      <c r="E44" s="24">
        <f t="shared" ca="1" si="3"/>
        <v>0</v>
      </c>
      <c r="F44" s="24">
        <f t="shared" ca="1" si="4"/>
        <v>0</v>
      </c>
      <c r="G44" s="74">
        <f t="shared" ca="1" si="5"/>
        <v>0</v>
      </c>
      <c r="H44" s="74">
        <f t="shared" ca="1" si="6"/>
        <v>0</v>
      </c>
      <c r="I44" s="74">
        <f t="shared" ca="1" si="7"/>
        <v>0</v>
      </c>
      <c r="J44" s="74">
        <f t="shared" ca="1" si="8"/>
        <v>0</v>
      </c>
    </row>
    <row r="45" spans="1:10" ht="12" customHeight="1" x14ac:dyDescent="0.2">
      <c r="A45" s="22">
        <v>32</v>
      </c>
      <c r="B45" s="158" t="s">
        <v>137</v>
      </c>
      <c r="C45" s="158" t="s">
        <v>138</v>
      </c>
      <c r="D45" s="24">
        <f t="shared" ca="1" si="2"/>
        <v>0</v>
      </c>
      <c r="E45" s="24">
        <f t="shared" ca="1" si="3"/>
        <v>0</v>
      </c>
      <c r="F45" s="24">
        <f t="shared" ca="1" si="4"/>
        <v>0</v>
      </c>
      <c r="G45" s="74">
        <f t="shared" ca="1" si="5"/>
        <v>0</v>
      </c>
      <c r="H45" s="74">
        <f t="shared" ca="1" si="6"/>
        <v>0</v>
      </c>
      <c r="I45" s="74">
        <f t="shared" ca="1" si="7"/>
        <v>0</v>
      </c>
      <c r="J45" s="74">
        <f t="shared" ca="1" si="8"/>
        <v>0</v>
      </c>
    </row>
    <row r="46" spans="1:10" ht="12" customHeight="1" x14ac:dyDescent="0.2">
      <c r="A46" s="22">
        <v>33</v>
      </c>
      <c r="B46" s="71"/>
      <c r="C46" s="72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4" t="str">
        <f t="shared" ca="1" si="5"/>
        <v/>
      </c>
      <c r="H46" s="74" t="str">
        <f t="shared" ca="1" si="6"/>
        <v/>
      </c>
      <c r="I46" s="74" t="str">
        <f t="shared" ca="1" si="7"/>
        <v/>
      </c>
      <c r="J46" s="74" t="str">
        <f t="shared" ca="1" si="8"/>
        <v/>
      </c>
    </row>
    <row r="47" spans="1:10" ht="12" customHeight="1" x14ac:dyDescent="0.2">
      <c r="A47" s="22">
        <v>34</v>
      </c>
      <c r="B47" s="71"/>
      <c r="C47" s="72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4" t="str">
        <f t="shared" ca="1" si="5"/>
        <v/>
      </c>
      <c r="H47" s="74" t="str">
        <f t="shared" ca="1" si="6"/>
        <v/>
      </c>
      <c r="I47" s="74" t="str">
        <f t="shared" ca="1" si="7"/>
        <v/>
      </c>
      <c r="J47" s="74" t="str">
        <f t="shared" ca="1" si="8"/>
        <v/>
      </c>
    </row>
    <row r="48" spans="1:10" ht="12" customHeight="1" x14ac:dyDescent="0.2">
      <c r="A48" s="22">
        <v>35</v>
      </c>
      <c r="B48" s="71"/>
      <c r="C48" s="72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4" t="str">
        <f t="shared" ca="1" si="5"/>
        <v/>
      </c>
      <c r="H48" s="74" t="str">
        <f t="shared" ca="1" si="6"/>
        <v/>
      </c>
      <c r="I48" s="74" t="str">
        <f t="shared" ca="1" si="7"/>
        <v/>
      </c>
      <c r="J48" s="74" t="str">
        <f t="shared" ca="1" si="8"/>
        <v/>
      </c>
    </row>
    <row r="49" spans="1:10" ht="12" customHeight="1" x14ac:dyDescent="0.2">
      <c r="A49" s="22">
        <v>36</v>
      </c>
      <c r="B49" s="71"/>
      <c r="C49" s="72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4" t="str">
        <f t="shared" ca="1" si="5"/>
        <v/>
      </c>
      <c r="H49" s="74" t="str">
        <f t="shared" ca="1" si="6"/>
        <v/>
      </c>
      <c r="I49" s="74" t="str">
        <f t="shared" ca="1" si="7"/>
        <v/>
      </c>
      <c r="J49" s="74" t="str">
        <f t="shared" ca="1" si="8"/>
        <v/>
      </c>
    </row>
    <row r="50" spans="1:10" ht="12" customHeight="1" x14ac:dyDescent="0.2">
      <c r="A50" s="22">
        <v>37</v>
      </c>
      <c r="B50" s="71"/>
      <c r="C50" s="72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4" t="str">
        <f t="shared" ca="1" si="5"/>
        <v/>
      </c>
      <c r="H50" s="74" t="str">
        <f t="shared" ca="1" si="6"/>
        <v/>
      </c>
      <c r="I50" s="74" t="str">
        <f t="shared" ca="1" si="7"/>
        <v/>
      </c>
      <c r="J50" s="74" t="str">
        <f t="shared" ca="1" si="8"/>
        <v/>
      </c>
    </row>
    <row r="51" spans="1:10" ht="12" customHeight="1" x14ac:dyDescent="0.2">
      <c r="A51" s="22">
        <v>38</v>
      </c>
      <c r="B51" s="71"/>
      <c r="C51" s="72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4" t="str">
        <f t="shared" ca="1" si="5"/>
        <v/>
      </c>
      <c r="H51" s="74" t="str">
        <f t="shared" ca="1" si="6"/>
        <v/>
      </c>
      <c r="I51" s="74" t="str">
        <f t="shared" ca="1" si="7"/>
        <v/>
      </c>
      <c r="J51" s="74" t="str">
        <f t="shared" ca="1" si="8"/>
        <v/>
      </c>
    </row>
    <row r="52" spans="1:10" ht="12" customHeight="1" x14ac:dyDescent="0.2">
      <c r="A52" s="22">
        <v>39</v>
      </c>
      <c r="B52" s="71"/>
      <c r="C52" s="72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4" t="str">
        <f t="shared" ca="1" si="5"/>
        <v/>
      </c>
      <c r="H52" s="74" t="str">
        <f t="shared" ca="1" si="6"/>
        <v/>
      </c>
      <c r="I52" s="74" t="str">
        <f t="shared" ca="1" si="7"/>
        <v/>
      </c>
      <c r="J52" s="74" t="str">
        <f t="shared" ca="1" si="8"/>
        <v/>
      </c>
    </row>
    <row r="53" spans="1:10" ht="12" customHeight="1" x14ac:dyDescent="0.2">
      <c r="A53" s="22">
        <v>40</v>
      </c>
      <c r="B53" s="71"/>
      <c r="C53" s="72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4" t="str">
        <f t="shared" ca="1" si="5"/>
        <v/>
      </c>
      <c r="H53" s="74" t="str">
        <f t="shared" ca="1" si="6"/>
        <v/>
      </c>
      <c r="I53" s="74" t="str">
        <f t="shared" ca="1" si="7"/>
        <v/>
      </c>
      <c r="J53" s="74" t="str">
        <f t="shared" ca="1" si="8"/>
        <v/>
      </c>
    </row>
    <row r="54" spans="1:10" ht="12" customHeight="1" x14ac:dyDescent="0.2">
      <c r="A54" s="22">
        <v>41</v>
      </c>
      <c r="B54" s="71"/>
      <c r="C54" s="72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4" t="str">
        <f t="shared" ca="1" si="5"/>
        <v/>
      </c>
      <c r="H54" s="74" t="str">
        <f t="shared" ca="1" si="6"/>
        <v/>
      </c>
      <c r="I54" s="74" t="str">
        <f t="shared" ca="1" si="7"/>
        <v/>
      </c>
      <c r="J54" s="74" t="str">
        <f t="shared" ca="1" si="8"/>
        <v/>
      </c>
    </row>
    <row r="55" spans="1:10" ht="12" customHeight="1" x14ac:dyDescent="0.2">
      <c r="A55" s="22">
        <v>42</v>
      </c>
      <c r="B55" s="71"/>
      <c r="C55" s="72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4" t="str">
        <f t="shared" ca="1" si="5"/>
        <v/>
      </c>
      <c r="H55" s="74" t="str">
        <f t="shared" ca="1" si="6"/>
        <v/>
      </c>
      <c r="I55" s="74" t="str">
        <f t="shared" ca="1" si="7"/>
        <v/>
      </c>
      <c r="J55" s="74" t="str">
        <f t="shared" ca="1" si="8"/>
        <v/>
      </c>
    </row>
    <row r="56" spans="1:10" ht="12" customHeight="1" x14ac:dyDescent="0.2">
      <c r="A56" s="22">
        <v>43</v>
      </c>
      <c r="B56" s="71"/>
      <c r="C56" s="72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4" t="str">
        <f t="shared" ca="1" si="5"/>
        <v/>
      </c>
      <c r="H56" s="74" t="str">
        <f t="shared" ca="1" si="6"/>
        <v/>
      </c>
      <c r="I56" s="74" t="str">
        <f t="shared" ca="1" si="7"/>
        <v/>
      </c>
      <c r="J56" s="74" t="str">
        <f t="shared" ca="1" si="8"/>
        <v/>
      </c>
    </row>
    <row r="57" spans="1:10" ht="12" customHeight="1" x14ac:dyDescent="0.2">
      <c r="A57" s="22">
        <v>44</v>
      </c>
      <c r="B57" s="71"/>
      <c r="C57" s="72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4" t="str">
        <f t="shared" ca="1" si="5"/>
        <v/>
      </c>
      <c r="H57" s="74" t="str">
        <f t="shared" ca="1" si="6"/>
        <v/>
      </c>
      <c r="I57" s="74" t="str">
        <f t="shared" ca="1" si="7"/>
        <v/>
      </c>
      <c r="J57" s="74" t="str">
        <f t="shared" ca="1" si="8"/>
        <v/>
      </c>
    </row>
    <row r="58" spans="1:10" ht="12" customHeight="1" x14ac:dyDescent="0.2">
      <c r="A58" s="22">
        <v>45</v>
      </c>
      <c r="B58" s="71"/>
      <c r="C58" s="72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4" t="str">
        <f t="shared" ca="1" si="5"/>
        <v/>
      </c>
      <c r="H58" s="74" t="str">
        <f t="shared" ca="1" si="6"/>
        <v/>
      </c>
      <c r="I58" s="74" t="str">
        <f t="shared" ca="1" si="7"/>
        <v/>
      </c>
      <c r="J58" s="74" t="str">
        <f t="shared" ca="1" si="8"/>
        <v/>
      </c>
    </row>
    <row r="59" spans="1:10" ht="12" customHeight="1" x14ac:dyDescent="0.2">
      <c r="A59" s="22">
        <v>46</v>
      </c>
      <c r="B59" s="71"/>
      <c r="C59" s="72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4" t="str">
        <f t="shared" ca="1" si="5"/>
        <v/>
      </c>
      <c r="H59" s="74" t="str">
        <f t="shared" ca="1" si="6"/>
        <v/>
      </c>
      <c r="I59" s="74" t="str">
        <f t="shared" ca="1" si="7"/>
        <v/>
      </c>
      <c r="J59" s="74" t="str">
        <f t="shared" ca="1" si="8"/>
        <v/>
      </c>
    </row>
    <row r="60" spans="1:10" ht="12" customHeight="1" x14ac:dyDescent="0.2">
      <c r="A60" s="22">
        <v>47</v>
      </c>
      <c r="B60" s="71"/>
      <c r="C60" s="72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4" t="str">
        <f t="shared" ca="1" si="5"/>
        <v/>
      </c>
      <c r="H60" s="74" t="str">
        <f t="shared" ca="1" si="6"/>
        <v/>
      </c>
      <c r="I60" s="74" t="str">
        <f t="shared" ca="1" si="7"/>
        <v/>
      </c>
      <c r="J60" s="74" t="str">
        <f t="shared" ca="1" si="8"/>
        <v/>
      </c>
    </row>
    <row r="61" spans="1:10" ht="12" customHeight="1" x14ac:dyDescent="0.2">
      <c r="A61" s="22">
        <v>48</v>
      </c>
      <c r="B61" s="71"/>
      <c r="C61" s="72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4" t="str">
        <f t="shared" ca="1" si="5"/>
        <v/>
      </c>
      <c r="H61" s="74" t="str">
        <f t="shared" ca="1" si="6"/>
        <v/>
      </c>
      <c r="I61" s="74" t="str">
        <f t="shared" ca="1" si="7"/>
        <v/>
      </c>
      <c r="J61" s="74" t="str">
        <f t="shared" ca="1" si="8"/>
        <v/>
      </c>
    </row>
    <row r="62" spans="1:10" ht="12" customHeight="1" x14ac:dyDescent="0.2">
      <c r="A62" s="22">
        <v>49</v>
      </c>
      <c r="B62" s="71"/>
      <c r="C62" s="72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4" t="str">
        <f t="shared" ca="1" si="5"/>
        <v/>
      </c>
      <c r="H62" s="74" t="str">
        <f t="shared" ca="1" si="6"/>
        <v/>
      </c>
      <c r="I62" s="74" t="str">
        <f t="shared" ca="1" si="7"/>
        <v/>
      </c>
      <c r="J62" s="74" t="str">
        <f t="shared" ca="1" si="8"/>
        <v/>
      </c>
    </row>
    <row r="63" spans="1:10" ht="12" customHeight="1" x14ac:dyDescent="0.2">
      <c r="A63" s="22">
        <v>50</v>
      </c>
      <c r="B63" s="71"/>
      <c r="C63" s="72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4" t="str">
        <f t="shared" ca="1" si="5"/>
        <v/>
      </c>
      <c r="H63" s="74" t="str">
        <f t="shared" ca="1" si="6"/>
        <v/>
      </c>
      <c r="I63" s="74" t="str">
        <f t="shared" ca="1" si="7"/>
        <v/>
      </c>
      <c r="J63" s="74" t="str">
        <f t="shared" ca="1" si="8"/>
        <v/>
      </c>
    </row>
    <row r="64" spans="1:10" ht="12" customHeight="1" x14ac:dyDescent="0.2">
      <c r="A64" s="22">
        <v>51</v>
      </c>
      <c r="B64" s="71"/>
      <c r="C64" s="72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4" t="str">
        <f t="shared" ca="1" si="5"/>
        <v/>
      </c>
      <c r="H64" s="74" t="str">
        <f t="shared" ca="1" si="6"/>
        <v/>
      </c>
      <c r="I64" s="74" t="str">
        <f t="shared" ca="1" si="7"/>
        <v/>
      </c>
      <c r="J64" s="74" t="str">
        <f t="shared" ca="1" si="8"/>
        <v/>
      </c>
    </row>
    <row r="65" spans="1:10" ht="12" customHeight="1" x14ac:dyDescent="0.2">
      <c r="A65" s="22">
        <v>52</v>
      </c>
      <c r="B65" s="71"/>
      <c r="C65" s="72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4" t="str">
        <f t="shared" ca="1" si="5"/>
        <v/>
      </c>
      <c r="H65" s="74" t="str">
        <f t="shared" ca="1" si="6"/>
        <v/>
      </c>
      <c r="I65" s="74" t="str">
        <f t="shared" ca="1" si="7"/>
        <v/>
      </c>
      <c r="J65" s="74" t="str">
        <f t="shared" ca="1" si="8"/>
        <v/>
      </c>
    </row>
    <row r="66" spans="1:10" ht="12" customHeight="1" x14ac:dyDescent="0.2">
      <c r="A66" s="22">
        <v>53</v>
      </c>
      <c r="B66" s="71"/>
      <c r="C66" s="72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4" t="str">
        <f t="shared" ca="1" si="5"/>
        <v/>
      </c>
      <c r="H66" s="74" t="str">
        <f t="shared" ca="1" si="6"/>
        <v/>
      </c>
      <c r="I66" s="74" t="str">
        <f t="shared" ca="1" si="7"/>
        <v/>
      </c>
      <c r="J66" s="74" t="str">
        <f t="shared" ca="1" si="8"/>
        <v/>
      </c>
    </row>
    <row r="67" spans="1:10" ht="12" customHeight="1" x14ac:dyDescent="0.2">
      <c r="A67" s="22">
        <v>54</v>
      </c>
      <c r="B67" s="71"/>
      <c r="C67" s="72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4" t="str">
        <f t="shared" ca="1" si="5"/>
        <v/>
      </c>
      <c r="H67" s="74" t="str">
        <f t="shared" ca="1" si="6"/>
        <v/>
      </c>
      <c r="I67" s="74" t="str">
        <f t="shared" ca="1" si="7"/>
        <v/>
      </c>
      <c r="J67" s="74" t="str">
        <f t="shared" ca="1" si="8"/>
        <v/>
      </c>
    </row>
    <row r="68" spans="1:10" ht="12" customHeight="1" x14ac:dyDescent="0.2">
      <c r="A68" s="22">
        <v>55</v>
      </c>
      <c r="B68" s="71"/>
      <c r="C68" s="72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4" t="str">
        <f t="shared" ca="1" si="5"/>
        <v/>
      </c>
      <c r="H68" s="74" t="str">
        <f t="shared" ca="1" si="6"/>
        <v/>
      </c>
      <c r="I68" s="74" t="str">
        <f t="shared" ca="1" si="7"/>
        <v/>
      </c>
      <c r="J68" s="74" t="str">
        <f t="shared" ca="1" si="8"/>
        <v/>
      </c>
    </row>
    <row r="69" spans="1:10" ht="12" customHeight="1" x14ac:dyDescent="0.2">
      <c r="A69" s="22">
        <v>56</v>
      </c>
      <c r="B69" s="71"/>
      <c r="C69" s="72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4" t="str">
        <f t="shared" ca="1" si="5"/>
        <v/>
      </c>
      <c r="H69" s="74" t="str">
        <f t="shared" ca="1" si="6"/>
        <v/>
      </c>
      <c r="I69" s="74" t="str">
        <f t="shared" ca="1" si="7"/>
        <v/>
      </c>
      <c r="J69" s="74" t="str">
        <f t="shared" ca="1" si="8"/>
        <v/>
      </c>
    </row>
    <row r="70" spans="1:10" ht="12" customHeight="1" x14ac:dyDescent="0.2">
      <c r="A70" s="22">
        <v>57</v>
      </c>
      <c r="B70" s="71"/>
      <c r="C70" s="72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4" t="str">
        <f t="shared" ca="1" si="5"/>
        <v/>
      </c>
      <c r="H70" s="74" t="str">
        <f t="shared" ca="1" si="6"/>
        <v/>
      </c>
      <c r="I70" s="74" t="str">
        <f t="shared" ca="1" si="7"/>
        <v/>
      </c>
      <c r="J70" s="74" t="str">
        <f t="shared" ca="1" si="8"/>
        <v/>
      </c>
    </row>
    <row r="71" spans="1:10" ht="12" customHeight="1" x14ac:dyDescent="0.2">
      <c r="A71" s="22">
        <v>58</v>
      </c>
      <c r="B71" s="71"/>
      <c r="C71" s="72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4" t="str">
        <f t="shared" ca="1" si="5"/>
        <v/>
      </c>
      <c r="H71" s="74" t="str">
        <f t="shared" ca="1" si="6"/>
        <v/>
      </c>
      <c r="I71" s="74" t="str">
        <f t="shared" ca="1" si="7"/>
        <v/>
      </c>
      <c r="J71" s="74" t="str">
        <f t="shared" ca="1" si="8"/>
        <v/>
      </c>
    </row>
    <row r="72" spans="1:10" ht="12" customHeight="1" x14ac:dyDescent="0.2">
      <c r="A72" s="22">
        <v>59</v>
      </c>
      <c r="B72" s="71"/>
      <c r="C72" s="72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4" t="str">
        <f t="shared" ca="1" si="5"/>
        <v/>
      </c>
      <c r="H72" s="74" t="str">
        <f t="shared" ca="1" si="6"/>
        <v/>
      </c>
      <c r="I72" s="74" t="str">
        <f t="shared" ca="1" si="7"/>
        <v/>
      </c>
      <c r="J72" s="74" t="str">
        <f t="shared" ca="1" si="8"/>
        <v/>
      </c>
    </row>
    <row r="73" spans="1:10" ht="12" customHeight="1" x14ac:dyDescent="0.2">
      <c r="A73" s="22">
        <v>60</v>
      </c>
      <c r="B73" s="71"/>
      <c r="C73" s="72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4" t="str">
        <f t="shared" ca="1" si="5"/>
        <v/>
      </c>
      <c r="H73" s="74" t="str">
        <f t="shared" ca="1" si="6"/>
        <v/>
      </c>
      <c r="I73" s="74" t="str">
        <f t="shared" ca="1" si="7"/>
        <v/>
      </c>
      <c r="J73" s="74" t="str">
        <f t="shared" ca="1" si="8"/>
        <v/>
      </c>
    </row>
    <row r="74" spans="1:10" ht="12" customHeight="1" x14ac:dyDescent="0.2">
      <c r="A74" s="22">
        <v>61</v>
      </c>
      <c r="B74" s="71"/>
      <c r="C74" s="72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4" t="str">
        <f t="shared" ca="1" si="5"/>
        <v/>
      </c>
      <c r="H74" s="74" t="str">
        <f t="shared" ca="1" si="6"/>
        <v/>
      </c>
      <c r="I74" s="74" t="str">
        <f t="shared" ca="1" si="7"/>
        <v/>
      </c>
      <c r="J74" s="74" t="str">
        <f t="shared" ca="1" si="8"/>
        <v/>
      </c>
    </row>
    <row r="75" spans="1:10" ht="12" customHeight="1" x14ac:dyDescent="0.2">
      <c r="A75" s="22">
        <v>62</v>
      </c>
      <c r="B75" s="71"/>
      <c r="C75" s="72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4" t="str">
        <f t="shared" ca="1" si="5"/>
        <v/>
      </c>
      <c r="H75" s="74" t="str">
        <f t="shared" ca="1" si="6"/>
        <v/>
      </c>
      <c r="I75" s="74" t="str">
        <f t="shared" ca="1" si="7"/>
        <v/>
      </c>
      <c r="J75" s="74" t="str">
        <f t="shared" ca="1" si="8"/>
        <v/>
      </c>
    </row>
    <row r="76" spans="1:10" ht="12" customHeight="1" x14ac:dyDescent="0.2">
      <c r="A76" s="22">
        <v>63</v>
      </c>
      <c r="B76" s="71"/>
      <c r="C76" s="72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4" t="str">
        <f t="shared" ca="1" si="5"/>
        <v/>
      </c>
      <c r="H76" s="74" t="str">
        <f t="shared" ca="1" si="6"/>
        <v/>
      </c>
      <c r="I76" s="74" t="str">
        <f t="shared" ca="1" si="7"/>
        <v/>
      </c>
      <c r="J76" s="74" t="str">
        <f t="shared" ca="1" si="8"/>
        <v/>
      </c>
    </row>
    <row r="77" spans="1:10" ht="12" customHeight="1" x14ac:dyDescent="0.2">
      <c r="A77" s="22">
        <v>64</v>
      </c>
      <c r="B77" s="71"/>
      <c r="C77" s="72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4" t="str">
        <f t="shared" ca="1" si="5"/>
        <v/>
      </c>
      <c r="H77" s="74" t="str">
        <f t="shared" ca="1" si="6"/>
        <v/>
      </c>
      <c r="I77" s="74" t="str">
        <f t="shared" ca="1" si="7"/>
        <v/>
      </c>
      <c r="J77" s="74" t="str">
        <f t="shared" ca="1" si="8"/>
        <v/>
      </c>
    </row>
    <row r="78" spans="1:10" ht="12" customHeight="1" x14ac:dyDescent="0.2">
      <c r="A78" s="22">
        <v>65</v>
      </c>
      <c r="B78" s="71"/>
      <c r="C78" s="72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4" t="str">
        <f t="shared" ca="1" si="5"/>
        <v/>
      </c>
      <c r="H78" s="74" t="str">
        <f t="shared" ca="1" si="6"/>
        <v/>
      </c>
      <c r="I78" s="74" t="str">
        <f t="shared" ca="1" si="7"/>
        <v/>
      </c>
      <c r="J78" s="74" t="str">
        <f t="shared" ca="1" si="8"/>
        <v/>
      </c>
    </row>
    <row r="79" spans="1:10" ht="12" customHeight="1" x14ac:dyDescent="0.2">
      <c r="A79" s="22">
        <v>66</v>
      </c>
      <c r="B79" s="71"/>
      <c r="C79" s="72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4" t="str">
        <f t="shared" ref="G79:G113" ca="1" si="12">IF(B79="","",INDIRECT("'" &amp; A79 &amp; "_" &amp; B79 &amp; "'!I4"))</f>
        <v/>
      </c>
      <c r="H79" s="74" t="str">
        <f t="shared" ref="H79:H113" ca="1" si="13">IF(B79="","",INDIRECT("'" &amp; A79 &amp; "_" &amp; B79 &amp; "'!J4"))</f>
        <v/>
      </c>
      <c r="I79" s="74" t="str">
        <f t="shared" ref="I79:I113" ca="1" si="14">IF(B79="","",INDIRECT("'" &amp; A79 &amp; "_" &amp; B79 &amp; "'!K4"))</f>
        <v/>
      </c>
      <c r="J79" s="74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1"/>
      <c r="C80" s="72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4" t="str">
        <f t="shared" ca="1" si="12"/>
        <v/>
      </c>
      <c r="H80" s="74" t="str">
        <f t="shared" ca="1" si="13"/>
        <v/>
      </c>
      <c r="I80" s="74" t="str">
        <f t="shared" ca="1" si="14"/>
        <v/>
      </c>
      <c r="J80" s="74" t="str">
        <f t="shared" ca="1" si="15"/>
        <v/>
      </c>
    </row>
    <row r="81" spans="1:10" ht="12" customHeight="1" x14ac:dyDescent="0.2">
      <c r="A81" s="22">
        <v>68</v>
      </c>
      <c r="B81" s="71"/>
      <c r="C81" s="72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4" t="str">
        <f t="shared" ca="1" si="12"/>
        <v/>
      </c>
      <c r="H81" s="74" t="str">
        <f t="shared" ca="1" si="13"/>
        <v/>
      </c>
      <c r="I81" s="74" t="str">
        <f t="shared" ca="1" si="14"/>
        <v/>
      </c>
      <c r="J81" s="74" t="str">
        <f t="shared" ca="1" si="15"/>
        <v/>
      </c>
    </row>
    <row r="82" spans="1:10" ht="12" customHeight="1" x14ac:dyDescent="0.2">
      <c r="A82" s="22">
        <v>69</v>
      </c>
      <c r="B82" s="71"/>
      <c r="C82" s="72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4" t="str">
        <f t="shared" ca="1" si="12"/>
        <v/>
      </c>
      <c r="H82" s="74" t="str">
        <f t="shared" ca="1" si="13"/>
        <v/>
      </c>
      <c r="I82" s="74" t="str">
        <f t="shared" ca="1" si="14"/>
        <v/>
      </c>
      <c r="J82" s="74" t="str">
        <f t="shared" ca="1" si="15"/>
        <v/>
      </c>
    </row>
    <row r="83" spans="1:10" ht="12" customHeight="1" x14ac:dyDescent="0.2">
      <c r="A83" s="22">
        <v>70</v>
      </c>
      <c r="B83" s="71"/>
      <c r="C83" s="72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4" t="str">
        <f t="shared" ca="1" si="12"/>
        <v/>
      </c>
      <c r="H83" s="74" t="str">
        <f t="shared" ca="1" si="13"/>
        <v/>
      </c>
      <c r="I83" s="74" t="str">
        <f t="shared" ca="1" si="14"/>
        <v/>
      </c>
      <c r="J83" s="74" t="str">
        <f t="shared" ca="1" si="15"/>
        <v/>
      </c>
    </row>
    <row r="84" spans="1:10" ht="12" customHeight="1" x14ac:dyDescent="0.2">
      <c r="A84" s="22">
        <v>71</v>
      </c>
      <c r="B84" s="71"/>
      <c r="C84" s="72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4" t="str">
        <f t="shared" ca="1" si="12"/>
        <v/>
      </c>
      <c r="H84" s="74" t="str">
        <f t="shared" ca="1" si="13"/>
        <v/>
      </c>
      <c r="I84" s="74" t="str">
        <f t="shared" ca="1" si="14"/>
        <v/>
      </c>
      <c r="J84" s="74" t="str">
        <f t="shared" ca="1" si="15"/>
        <v/>
      </c>
    </row>
    <row r="85" spans="1:10" ht="12" customHeight="1" x14ac:dyDescent="0.2">
      <c r="A85" s="22">
        <v>72</v>
      </c>
      <c r="B85" s="71"/>
      <c r="C85" s="72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4" t="str">
        <f t="shared" ca="1" si="12"/>
        <v/>
      </c>
      <c r="H85" s="74" t="str">
        <f t="shared" ca="1" si="13"/>
        <v/>
      </c>
      <c r="I85" s="74" t="str">
        <f t="shared" ca="1" si="14"/>
        <v/>
      </c>
      <c r="J85" s="74" t="str">
        <f t="shared" ca="1" si="15"/>
        <v/>
      </c>
    </row>
    <row r="86" spans="1:10" ht="12" customHeight="1" x14ac:dyDescent="0.2">
      <c r="A86" s="22">
        <v>73</v>
      </c>
      <c r="B86" s="71"/>
      <c r="C86" s="72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4" t="str">
        <f t="shared" ca="1" si="12"/>
        <v/>
      </c>
      <c r="H86" s="74" t="str">
        <f t="shared" ca="1" si="13"/>
        <v/>
      </c>
      <c r="I86" s="74" t="str">
        <f t="shared" ca="1" si="14"/>
        <v/>
      </c>
      <c r="J86" s="74" t="str">
        <f t="shared" ca="1" si="15"/>
        <v/>
      </c>
    </row>
    <row r="87" spans="1:10" ht="12" customHeight="1" x14ac:dyDescent="0.2">
      <c r="A87" s="22">
        <v>74</v>
      </c>
      <c r="B87" s="71"/>
      <c r="C87" s="72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4" t="str">
        <f t="shared" ca="1" si="12"/>
        <v/>
      </c>
      <c r="H87" s="74" t="str">
        <f t="shared" ca="1" si="13"/>
        <v/>
      </c>
      <c r="I87" s="74" t="str">
        <f t="shared" ca="1" si="14"/>
        <v/>
      </c>
      <c r="J87" s="74" t="str">
        <f t="shared" ca="1" si="15"/>
        <v/>
      </c>
    </row>
    <row r="88" spans="1:10" ht="12" customHeight="1" x14ac:dyDescent="0.2">
      <c r="A88" s="22">
        <v>75</v>
      </c>
      <c r="B88" s="71"/>
      <c r="C88" s="72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4" t="str">
        <f t="shared" ca="1" si="12"/>
        <v/>
      </c>
      <c r="H88" s="74" t="str">
        <f t="shared" ca="1" si="13"/>
        <v/>
      </c>
      <c r="I88" s="74" t="str">
        <f t="shared" ca="1" si="14"/>
        <v/>
      </c>
      <c r="J88" s="74" t="str">
        <f t="shared" ca="1" si="15"/>
        <v/>
      </c>
    </row>
    <row r="89" spans="1:10" ht="12" customHeight="1" x14ac:dyDescent="0.2">
      <c r="A89" s="22">
        <v>76</v>
      </c>
      <c r="B89" s="71"/>
      <c r="C89" s="72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4" t="str">
        <f t="shared" ca="1" si="12"/>
        <v/>
      </c>
      <c r="H89" s="74" t="str">
        <f t="shared" ca="1" si="13"/>
        <v/>
      </c>
      <c r="I89" s="74" t="str">
        <f t="shared" ca="1" si="14"/>
        <v/>
      </c>
      <c r="J89" s="74" t="str">
        <f t="shared" ca="1" si="15"/>
        <v/>
      </c>
    </row>
    <row r="90" spans="1:10" ht="12" customHeight="1" x14ac:dyDescent="0.2">
      <c r="A90" s="22">
        <v>77</v>
      </c>
      <c r="B90" s="71"/>
      <c r="C90" s="72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4" t="str">
        <f t="shared" ca="1" si="12"/>
        <v/>
      </c>
      <c r="H90" s="74" t="str">
        <f t="shared" ca="1" si="13"/>
        <v/>
      </c>
      <c r="I90" s="74" t="str">
        <f t="shared" ca="1" si="14"/>
        <v/>
      </c>
      <c r="J90" s="74" t="str">
        <f t="shared" ca="1" si="15"/>
        <v/>
      </c>
    </row>
    <row r="91" spans="1:10" ht="12" customHeight="1" x14ac:dyDescent="0.2">
      <c r="A91" s="22">
        <v>78</v>
      </c>
      <c r="B91" s="71"/>
      <c r="C91" s="72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4" t="str">
        <f t="shared" ca="1" si="12"/>
        <v/>
      </c>
      <c r="H91" s="74" t="str">
        <f t="shared" ca="1" si="13"/>
        <v/>
      </c>
      <c r="I91" s="74" t="str">
        <f t="shared" ca="1" si="14"/>
        <v/>
      </c>
      <c r="J91" s="74" t="str">
        <f t="shared" ca="1" si="15"/>
        <v/>
      </c>
    </row>
    <row r="92" spans="1:10" ht="12" customHeight="1" x14ac:dyDescent="0.2">
      <c r="A92" s="22">
        <v>79</v>
      </c>
      <c r="B92" s="71"/>
      <c r="C92" s="72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4" t="str">
        <f t="shared" ca="1" si="12"/>
        <v/>
      </c>
      <c r="H92" s="74" t="str">
        <f t="shared" ca="1" si="13"/>
        <v/>
      </c>
      <c r="I92" s="74" t="str">
        <f t="shared" ca="1" si="14"/>
        <v/>
      </c>
      <c r="J92" s="74" t="str">
        <f t="shared" ca="1" si="15"/>
        <v/>
      </c>
    </row>
    <row r="93" spans="1:10" ht="12" customHeight="1" x14ac:dyDescent="0.2">
      <c r="A93" s="22">
        <v>80</v>
      </c>
      <c r="B93" s="71"/>
      <c r="C93" s="72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4" t="str">
        <f t="shared" ca="1" si="12"/>
        <v/>
      </c>
      <c r="H93" s="74" t="str">
        <f t="shared" ca="1" si="13"/>
        <v/>
      </c>
      <c r="I93" s="74" t="str">
        <f t="shared" ca="1" si="14"/>
        <v/>
      </c>
      <c r="J93" s="74" t="str">
        <f t="shared" ca="1" si="15"/>
        <v/>
      </c>
    </row>
    <row r="94" spans="1:10" ht="12" customHeight="1" x14ac:dyDescent="0.2">
      <c r="A94" s="22">
        <v>81</v>
      </c>
      <c r="B94" s="71"/>
      <c r="C94" s="72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4" t="str">
        <f t="shared" ca="1" si="12"/>
        <v/>
      </c>
      <c r="H94" s="74" t="str">
        <f t="shared" ca="1" si="13"/>
        <v/>
      </c>
      <c r="I94" s="74" t="str">
        <f t="shared" ca="1" si="14"/>
        <v/>
      </c>
      <c r="J94" s="74" t="str">
        <f t="shared" ca="1" si="15"/>
        <v/>
      </c>
    </row>
    <row r="95" spans="1:10" ht="12" customHeight="1" x14ac:dyDescent="0.2">
      <c r="A95" s="22">
        <v>82</v>
      </c>
      <c r="B95" s="71"/>
      <c r="C95" s="72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4" t="str">
        <f t="shared" ca="1" si="12"/>
        <v/>
      </c>
      <c r="H95" s="74" t="str">
        <f t="shared" ca="1" si="13"/>
        <v/>
      </c>
      <c r="I95" s="74" t="str">
        <f t="shared" ca="1" si="14"/>
        <v/>
      </c>
      <c r="J95" s="74" t="str">
        <f t="shared" ca="1" si="15"/>
        <v/>
      </c>
    </row>
    <row r="96" spans="1:10" ht="12" customHeight="1" x14ac:dyDescent="0.2">
      <c r="A96" s="22">
        <v>83</v>
      </c>
      <c r="B96" s="71"/>
      <c r="C96" s="72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4" t="str">
        <f t="shared" ca="1" si="12"/>
        <v/>
      </c>
      <c r="H96" s="74" t="str">
        <f t="shared" ca="1" si="13"/>
        <v/>
      </c>
      <c r="I96" s="74" t="str">
        <f t="shared" ca="1" si="14"/>
        <v/>
      </c>
      <c r="J96" s="74" t="str">
        <f t="shared" ca="1" si="15"/>
        <v/>
      </c>
    </row>
    <row r="97" spans="1:10" ht="12" customHeight="1" x14ac:dyDescent="0.2">
      <c r="A97" s="22">
        <v>84</v>
      </c>
      <c r="B97" s="71"/>
      <c r="C97" s="72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4" t="str">
        <f t="shared" ca="1" si="12"/>
        <v/>
      </c>
      <c r="H97" s="74" t="str">
        <f t="shared" ca="1" si="13"/>
        <v/>
      </c>
      <c r="I97" s="74" t="str">
        <f t="shared" ca="1" si="14"/>
        <v/>
      </c>
      <c r="J97" s="74" t="str">
        <f t="shared" ca="1" si="15"/>
        <v/>
      </c>
    </row>
    <row r="98" spans="1:10" ht="12" customHeight="1" x14ac:dyDescent="0.2">
      <c r="A98" s="22">
        <v>85</v>
      </c>
      <c r="B98" s="71"/>
      <c r="C98" s="72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4" t="str">
        <f t="shared" ca="1" si="12"/>
        <v/>
      </c>
      <c r="H98" s="74" t="str">
        <f t="shared" ca="1" si="13"/>
        <v/>
      </c>
      <c r="I98" s="74" t="str">
        <f t="shared" ca="1" si="14"/>
        <v/>
      </c>
      <c r="J98" s="74" t="str">
        <f t="shared" ca="1" si="15"/>
        <v/>
      </c>
    </row>
    <row r="99" spans="1:10" ht="12" customHeight="1" x14ac:dyDescent="0.2">
      <c r="A99" s="22">
        <v>86</v>
      </c>
      <c r="B99" s="71"/>
      <c r="C99" s="72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4" t="str">
        <f t="shared" ca="1" si="12"/>
        <v/>
      </c>
      <c r="H99" s="74" t="str">
        <f t="shared" ca="1" si="13"/>
        <v/>
      </c>
      <c r="I99" s="74" t="str">
        <f t="shared" ca="1" si="14"/>
        <v/>
      </c>
      <c r="J99" s="74" t="str">
        <f t="shared" ca="1" si="15"/>
        <v/>
      </c>
    </row>
    <row r="100" spans="1:10" ht="12" customHeight="1" x14ac:dyDescent="0.2">
      <c r="A100" s="22">
        <v>87</v>
      </c>
      <c r="B100" s="71"/>
      <c r="C100" s="72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4" t="str">
        <f t="shared" ca="1" si="12"/>
        <v/>
      </c>
      <c r="H100" s="74" t="str">
        <f t="shared" ca="1" si="13"/>
        <v/>
      </c>
      <c r="I100" s="74" t="str">
        <f t="shared" ca="1" si="14"/>
        <v/>
      </c>
      <c r="J100" s="74" t="str">
        <f t="shared" ca="1" si="15"/>
        <v/>
      </c>
    </row>
    <row r="101" spans="1:10" ht="12" customHeight="1" x14ac:dyDescent="0.2">
      <c r="A101" s="22">
        <v>88</v>
      </c>
      <c r="B101" s="71"/>
      <c r="C101" s="72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4" t="str">
        <f t="shared" ca="1" si="12"/>
        <v/>
      </c>
      <c r="H101" s="74" t="str">
        <f t="shared" ca="1" si="13"/>
        <v/>
      </c>
      <c r="I101" s="74" t="str">
        <f t="shared" ca="1" si="14"/>
        <v/>
      </c>
      <c r="J101" s="74" t="str">
        <f t="shared" ca="1" si="15"/>
        <v/>
      </c>
    </row>
    <row r="102" spans="1:10" ht="12" customHeight="1" x14ac:dyDescent="0.2">
      <c r="A102" s="22">
        <v>89</v>
      </c>
      <c r="B102" s="71"/>
      <c r="C102" s="72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4" t="str">
        <f t="shared" ca="1" si="12"/>
        <v/>
      </c>
      <c r="H102" s="74" t="str">
        <f t="shared" ca="1" si="13"/>
        <v/>
      </c>
      <c r="I102" s="74" t="str">
        <f t="shared" ca="1" si="14"/>
        <v/>
      </c>
      <c r="J102" s="74" t="str">
        <f t="shared" ca="1" si="15"/>
        <v/>
      </c>
    </row>
    <row r="103" spans="1:10" ht="12" customHeight="1" x14ac:dyDescent="0.2">
      <c r="A103" s="22">
        <v>90</v>
      </c>
      <c r="B103" s="71"/>
      <c r="C103" s="72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4" t="str">
        <f t="shared" ca="1" si="12"/>
        <v/>
      </c>
      <c r="H103" s="74" t="str">
        <f t="shared" ca="1" si="13"/>
        <v/>
      </c>
      <c r="I103" s="74" t="str">
        <f t="shared" ca="1" si="14"/>
        <v/>
      </c>
      <c r="J103" s="74" t="str">
        <f t="shared" ca="1" si="15"/>
        <v/>
      </c>
    </row>
    <row r="104" spans="1:10" ht="12" customHeight="1" x14ac:dyDescent="0.2">
      <c r="A104" s="22">
        <v>91</v>
      </c>
      <c r="B104" s="71"/>
      <c r="C104" s="72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4" t="str">
        <f t="shared" ca="1" si="12"/>
        <v/>
      </c>
      <c r="H104" s="74" t="str">
        <f t="shared" ca="1" si="13"/>
        <v/>
      </c>
      <c r="I104" s="74" t="str">
        <f t="shared" ca="1" si="14"/>
        <v/>
      </c>
      <c r="J104" s="74" t="str">
        <f t="shared" ca="1" si="15"/>
        <v/>
      </c>
    </row>
    <row r="105" spans="1:10" ht="12" customHeight="1" x14ac:dyDescent="0.2">
      <c r="A105" s="22">
        <v>92</v>
      </c>
      <c r="B105" s="71"/>
      <c r="C105" s="72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4" t="str">
        <f t="shared" ca="1" si="12"/>
        <v/>
      </c>
      <c r="H105" s="74" t="str">
        <f t="shared" ca="1" si="13"/>
        <v/>
      </c>
      <c r="I105" s="74" t="str">
        <f t="shared" ca="1" si="14"/>
        <v/>
      </c>
      <c r="J105" s="74" t="str">
        <f t="shared" ca="1" si="15"/>
        <v/>
      </c>
    </row>
    <row r="106" spans="1:10" ht="12" customHeight="1" x14ac:dyDescent="0.2">
      <c r="A106" s="22">
        <v>93</v>
      </c>
      <c r="B106" s="71"/>
      <c r="C106" s="72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4" t="str">
        <f t="shared" ca="1" si="12"/>
        <v/>
      </c>
      <c r="H106" s="74" t="str">
        <f t="shared" ca="1" si="13"/>
        <v/>
      </c>
      <c r="I106" s="74" t="str">
        <f t="shared" ca="1" si="14"/>
        <v/>
      </c>
      <c r="J106" s="74" t="str">
        <f t="shared" ca="1" si="15"/>
        <v/>
      </c>
    </row>
    <row r="107" spans="1:10" ht="12" customHeight="1" x14ac:dyDescent="0.2">
      <c r="A107" s="22">
        <v>94</v>
      </c>
      <c r="B107" s="71"/>
      <c r="C107" s="72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4" t="str">
        <f t="shared" ca="1" si="12"/>
        <v/>
      </c>
      <c r="H107" s="74" t="str">
        <f t="shared" ca="1" si="13"/>
        <v/>
      </c>
      <c r="I107" s="74" t="str">
        <f t="shared" ca="1" si="14"/>
        <v/>
      </c>
      <c r="J107" s="74" t="str">
        <f t="shared" ca="1" si="15"/>
        <v/>
      </c>
    </row>
    <row r="108" spans="1:10" ht="12" customHeight="1" x14ac:dyDescent="0.2">
      <c r="A108" s="22">
        <v>95</v>
      </c>
      <c r="B108" s="71"/>
      <c r="C108" s="72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4" t="str">
        <f t="shared" ca="1" si="12"/>
        <v/>
      </c>
      <c r="H108" s="74" t="str">
        <f t="shared" ca="1" si="13"/>
        <v/>
      </c>
      <c r="I108" s="74" t="str">
        <f t="shared" ca="1" si="14"/>
        <v/>
      </c>
      <c r="J108" s="74" t="str">
        <f t="shared" ca="1" si="15"/>
        <v/>
      </c>
    </row>
    <row r="109" spans="1:10" ht="12" customHeight="1" x14ac:dyDescent="0.2">
      <c r="A109" s="22">
        <v>96</v>
      </c>
      <c r="B109" s="71"/>
      <c r="C109" s="72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4" t="str">
        <f t="shared" ca="1" si="12"/>
        <v/>
      </c>
      <c r="H109" s="74" t="str">
        <f t="shared" ca="1" si="13"/>
        <v/>
      </c>
      <c r="I109" s="74" t="str">
        <f t="shared" ca="1" si="14"/>
        <v/>
      </c>
      <c r="J109" s="74" t="str">
        <f t="shared" ca="1" si="15"/>
        <v/>
      </c>
    </row>
    <row r="110" spans="1:10" ht="12" customHeight="1" x14ac:dyDescent="0.2">
      <c r="A110" s="22">
        <v>97</v>
      </c>
      <c r="B110" s="71"/>
      <c r="C110" s="72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4" t="str">
        <f t="shared" ca="1" si="12"/>
        <v/>
      </c>
      <c r="H110" s="74" t="str">
        <f t="shared" ca="1" si="13"/>
        <v/>
      </c>
      <c r="I110" s="74" t="str">
        <f t="shared" ca="1" si="14"/>
        <v/>
      </c>
      <c r="J110" s="74" t="str">
        <f t="shared" ca="1" si="15"/>
        <v/>
      </c>
    </row>
    <row r="111" spans="1:10" ht="12" customHeight="1" x14ac:dyDescent="0.2">
      <c r="A111" s="22">
        <v>98</v>
      </c>
      <c r="B111" s="71"/>
      <c r="C111" s="72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4" t="str">
        <f t="shared" ca="1" si="12"/>
        <v/>
      </c>
      <c r="H111" s="74" t="str">
        <f t="shared" ca="1" si="13"/>
        <v/>
      </c>
      <c r="I111" s="74" t="str">
        <f t="shared" ca="1" si="14"/>
        <v/>
      </c>
      <c r="J111" s="74" t="str">
        <f t="shared" ca="1" si="15"/>
        <v/>
      </c>
    </row>
    <row r="112" spans="1:10" ht="12" customHeight="1" x14ac:dyDescent="0.2">
      <c r="A112" s="22">
        <v>99</v>
      </c>
      <c r="B112" s="71"/>
      <c r="C112" s="72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4" t="str">
        <f t="shared" ca="1" si="12"/>
        <v/>
      </c>
      <c r="H112" s="74" t="str">
        <f t="shared" ca="1" si="13"/>
        <v/>
      </c>
      <c r="I112" s="74" t="str">
        <f t="shared" ca="1" si="14"/>
        <v/>
      </c>
      <c r="J112" s="74" t="str">
        <f t="shared" ca="1" si="15"/>
        <v/>
      </c>
    </row>
    <row r="113" spans="1:10" ht="12" customHeight="1" x14ac:dyDescent="0.2">
      <c r="A113" s="22">
        <v>100</v>
      </c>
      <c r="B113" s="71"/>
      <c r="C113" s="72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4" t="str">
        <f t="shared" ca="1" si="12"/>
        <v/>
      </c>
      <c r="H113" s="74" t="str">
        <f t="shared" ca="1" si="13"/>
        <v/>
      </c>
      <c r="I113" s="74" t="str">
        <f t="shared" ca="1" si="14"/>
        <v/>
      </c>
      <c r="J113" s="74" t="str">
        <f t="shared" ca="1" si="15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4" priority="6">
      <formula>ISERROR(F4)</formula>
    </cfRule>
  </conditionalFormatting>
  <conditionalFormatting sqref="F6:J6">
    <cfRule type="containsErrors" dxfId="3" priority="4">
      <formula>ISERROR(F6)</formula>
    </cfRule>
  </conditionalFormatting>
  <conditionalFormatting sqref="D14:J113">
    <cfRule type="containsErrors" dxfId="2" priority="3">
      <formula>ISERROR(D14)</formula>
    </cfRule>
  </conditionalFormatting>
  <conditionalFormatting sqref="H8:J9">
    <cfRule type="containsErrors" dxfId="1" priority="2">
      <formula>ISERROR(H8)</formula>
    </cfRule>
  </conditionalFormatting>
  <conditionalFormatting sqref="B14:B113">
    <cfRule type="duplicateValues" dxfId="0" priority="1"/>
  </conditionalFormatting>
  <pageMargins left="0.25" right="0.25" top="0.75" bottom="0.75" header="0.3" footer="0.3"/>
  <pageSetup scale="44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1_38KB312315-A01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143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76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2_38KB312316-A01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144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78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3_38KB312317-A01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145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80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4_38KB312318-A01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146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82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5_38KB312319-A01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147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84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6_38KB312320-A01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148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86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7_38KB312323-A01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149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88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8_38KB312324-A01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150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90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9_38KB312325-A01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151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92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10_38KB312328-A01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152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94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11_38KB312329-A01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153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96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12_38KB312330-A01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154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98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13_38KB312331-A01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155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100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14_38KB312332-A01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156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102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15_38KB312333-A01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157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104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16_38KB312334-A01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158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106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17_38KB312336-A01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159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108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18_38KB312338-A01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160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110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19_38KB312339-A01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161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112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20_38KB312340-A01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162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114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21_38KB312341-A01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163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116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22_38KB312342-A01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164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118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23_38KB312343-A01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165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120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24_38KB312344-A01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166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122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25_38KB312345-A01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167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124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26_38KB312346-A01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168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126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27_38KB312348-A01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169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128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28_38KB312350-A01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170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130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29_38KB312352-A01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171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132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30_38KB312353-A01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172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134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31_38KB312354-A01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173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136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5" sqref="A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71</v>
      </c>
      <c r="B1" s="140" t="s">
        <v>142</v>
      </c>
      <c r="C1" s="141"/>
      <c r="D1" s="141"/>
      <c r="E1" s="142"/>
      <c r="F1" s="95"/>
      <c r="G1" s="134" t="str">
        <f xml:space="preserve"> "TGI " &amp; B3 &amp; " SUMMARY "</f>
        <v xml:space="preserve">TGI 32_38KB312355-A01 T01 SUMMARY </v>
      </c>
      <c r="H1" s="135"/>
      <c r="I1" s="135"/>
      <c r="J1" s="135"/>
      <c r="K1" s="135"/>
      <c r="L1" s="136"/>
    </row>
    <row r="2" spans="1:12" ht="18" customHeight="1" x14ac:dyDescent="0.2">
      <c r="A2" s="92" t="s">
        <v>20</v>
      </c>
      <c r="B2" s="140" t="s">
        <v>139</v>
      </c>
      <c r="C2" s="141"/>
      <c r="D2" s="141"/>
      <c r="E2" s="142"/>
      <c r="F2" s="95"/>
      <c r="G2" s="134"/>
      <c r="H2" s="135"/>
      <c r="I2" s="135"/>
      <c r="J2" s="135"/>
      <c r="K2" s="135"/>
      <c r="L2" s="136"/>
    </row>
    <row r="3" spans="1:12" ht="18" customHeight="1" thickBot="1" x14ac:dyDescent="0.25">
      <c r="A3" s="92" t="s">
        <v>21</v>
      </c>
      <c r="B3" s="140" t="s">
        <v>174</v>
      </c>
      <c r="C3" s="141"/>
      <c r="D3" s="141"/>
      <c r="E3" s="142"/>
      <c r="F3" s="95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2" t="s">
        <v>22</v>
      </c>
      <c r="B4" s="143" t="s">
        <v>138</v>
      </c>
      <c r="C4" s="144"/>
      <c r="D4" s="144"/>
      <c r="E4" s="145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37" t="s">
        <v>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51" t="s">
        <v>24</v>
      </c>
      <c r="C23" s="152"/>
      <c r="D23" s="152"/>
      <c r="E23" s="152"/>
      <c r="F23" s="153"/>
      <c r="G23" s="148" t="s">
        <v>30</v>
      </c>
      <c r="H23" s="149"/>
      <c r="I23" s="149"/>
      <c r="J23" s="149"/>
      <c r="K23" s="150"/>
      <c r="L23" s="146" t="s">
        <v>6</v>
      </c>
    </row>
    <row r="24" spans="1:12" s="5" customFormat="1" ht="26.25" thickBot="1" x14ac:dyDescent="0.25">
      <c r="A24" s="139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101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2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2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2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2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2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2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2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2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2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2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2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2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4" t="s">
        <v>7</v>
      </c>
      <c r="B42" s="154"/>
      <c r="C42" s="154"/>
      <c r="D42" s="154"/>
      <c r="E42" s="154"/>
      <c r="F42" s="154"/>
      <c r="G42" s="154"/>
      <c r="H42" s="154"/>
    </row>
    <row r="43" spans="1:12" ht="26.25" thickBot="1" x14ac:dyDescent="0.25">
      <c r="A43" s="97" t="s">
        <v>3</v>
      </c>
      <c r="B43" s="97" t="s">
        <v>4</v>
      </c>
      <c r="C43" s="97" t="s">
        <v>5</v>
      </c>
      <c r="D43" s="97" t="s">
        <v>31</v>
      </c>
      <c r="E43" s="61" t="s">
        <v>32</v>
      </c>
      <c r="F43" s="155" t="s">
        <v>1</v>
      </c>
      <c r="G43" s="155"/>
      <c r="H43" s="155"/>
    </row>
    <row r="44" spans="1:12" ht="15" customHeight="1" thickTop="1" x14ac:dyDescent="0.2">
      <c r="A44" s="66"/>
      <c r="B44" s="100"/>
      <c r="C44" s="100"/>
      <c r="D44" s="89"/>
      <c r="E44" s="68" t="str">
        <f>IF(A44="","",(B44*D44))</f>
        <v/>
      </c>
      <c r="F44" s="156"/>
      <c r="G44" s="156"/>
      <c r="H44" s="156"/>
    </row>
    <row r="45" spans="1:12" ht="15" customHeight="1" x14ac:dyDescent="0.2">
      <c r="A45" s="67"/>
      <c r="B45" s="98"/>
      <c r="C45" s="98"/>
      <c r="D45" s="90"/>
      <c r="E45" s="68" t="str">
        <f t="shared" ref="E45:E58" si="5">IF(A45="","",(B45*D45))</f>
        <v/>
      </c>
      <c r="F45" s="129"/>
      <c r="G45" s="129"/>
      <c r="H45" s="129"/>
    </row>
    <row r="46" spans="1:12" ht="15" customHeight="1" x14ac:dyDescent="0.2">
      <c r="A46" s="67"/>
      <c r="B46" s="98"/>
      <c r="C46" s="98"/>
      <c r="D46" s="90"/>
      <c r="E46" s="68" t="str">
        <f t="shared" si="5"/>
        <v/>
      </c>
      <c r="F46" s="129"/>
      <c r="G46" s="129"/>
      <c r="H46" s="129"/>
    </row>
    <row r="47" spans="1:12" ht="15" customHeight="1" x14ac:dyDescent="0.2">
      <c r="A47" s="67"/>
      <c r="B47" s="98"/>
      <c r="C47" s="98"/>
      <c r="D47" s="90"/>
      <c r="E47" s="68" t="str">
        <f t="shared" si="5"/>
        <v/>
      </c>
      <c r="F47" s="129"/>
      <c r="G47" s="129"/>
      <c r="H47" s="129"/>
    </row>
    <row r="48" spans="1:12" ht="15" customHeight="1" x14ac:dyDescent="0.2">
      <c r="A48" s="67"/>
      <c r="B48" s="98"/>
      <c r="C48" s="98"/>
      <c r="D48" s="90"/>
      <c r="E48" s="68" t="str">
        <f t="shared" si="5"/>
        <v/>
      </c>
      <c r="F48" s="129"/>
      <c r="G48" s="129"/>
      <c r="H48" s="129"/>
    </row>
    <row r="49" spans="1:8" ht="15" customHeight="1" x14ac:dyDescent="0.2">
      <c r="A49" s="67"/>
      <c r="B49" s="98"/>
      <c r="C49" s="98"/>
      <c r="D49" s="90"/>
      <c r="E49" s="68" t="str">
        <f t="shared" si="5"/>
        <v/>
      </c>
      <c r="F49" s="129"/>
      <c r="G49" s="129"/>
      <c r="H49" s="129"/>
    </row>
    <row r="50" spans="1:8" ht="15" customHeight="1" x14ac:dyDescent="0.2">
      <c r="A50" s="67"/>
      <c r="B50" s="98"/>
      <c r="C50" s="98"/>
      <c r="D50" s="90"/>
      <c r="E50" s="68" t="str">
        <f t="shared" si="5"/>
        <v/>
      </c>
      <c r="F50" s="129"/>
      <c r="G50" s="129"/>
      <c r="H50" s="129"/>
    </row>
    <row r="51" spans="1:8" ht="15" customHeight="1" x14ac:dyDescent="0.2">
      <c r="A51" s="67"/>
      <c r="B51" s="98"/>
      <c r="C51" s="98"/>
      <c r="D51" s="90"/>
      <c r="E51" s="68" t="str">
        <f t="shared" si="5"/>
        <v/>
      </c>
      <c r="F51" s="125"/>
      <c r="G51" s="126"/>
      <c r="H51" s="127"/>
    </row>
    <row r="52" spans="1:8" ht="15" customHeight="1" x14ac:dyDescent="0.2">
      <c r="A52" s="67"/>
      <c r="B52" s="98"/>
      <c r="C52" s="98"/>
      <c r="D52" s="90"/>
      <c r="E52" s="68" t="str">
        <f t="shared" si="5"/>
        <v/>
      </c>
      <c r="F52" s="125"/>
      <c r="G52" s="126"/>
      <c r="H52" s="127"/>
    </row>
    <row r="53" spans="1:8" ht="15" customHeight="1" x14ac:dyDescent="0.2">
      <c r="A53" s="67"/>
      <c r="B53" s="98"/>
      <c r="C53" s="98"/>
      <c r="D53" s="90"/>
      <c r="E53" s="68" t="str">
        <f t="shared" si="5"/>
        <v/>
      </c>
      <c r="F53" s="125"/>
      <c r="G53" s="126"/>
      <c r="H53" s="127"/>
    </row>
    <row r="54" spans="1:8" ht="15" customHeight="1" x14ac:dyDescent="0.2">
      <c r="A54" s="67"/>
      <c r="B54" s="98"/>
      <c r="C54" s="98"/>
      <c r="D54" s="90"/>
      <c r="E54" s="68" t="str">
        <f t="shared" si="5"/>
        <v/>
      </c>
      <c r="F54" s="125"/>
      <c r="G54" s="126"/>
      <c r="H54" s="127"/>
    </row>
    <row r="55" spans="1:8" ht="15" customHeight="1" x14ac:dyDescent="0.2">
      <c r="A55" s="67"/>
      <c r="B55" s="98"/>
      <c r="C55" s="98"/>
      <c r="D55" s="90"/>
      <c r="E55" s="68" t="str">
        <f t="shared" si="5"/>
        <v/>
      </c>
      <c r="F55" s="125"/>
      <c r="G55" s="126"/>
      <c r="H55" s="127"/>
    </row>
    <row r="56" spans="1:8" ht="15" customHeight="1" x14ac:dyDescent="0.2">
      <c r="A56" s="67"/>
      <c r="B56" s="98"/>
      <c r="C56" s="98"/>
      <c r="D56" s="90"/>
      <c r="E56" s="68" t="str">
        <f t="shared" si="5"/>
        <v/>
      </c>
      <c r="F56" s="125"/>
      <c r="G56" s="126"/>
      <c r="H56" s="127"/>
    </row>
    <row r="57" spans="1:8" ht="15" customHeight="1" x14ac:dyDescent="0.2">
      <c r="A57" s="67"/>
      <c r="B57" s="98"/>
      <c r="C57" s="98"/>
      <c r="D57" s="90"/>
      <c r="E57" s="68" t="str">
        <f t="shared" si="5"/>
        <v/>
      </c>
      <c r="F57" s="125"/>
      <c r="G57" s="126"/>
      <c r="H57" s="127"/>
    </row>
    <row r="58" spans="1:8" ht="15" customHeight="1" x14ac:dyDescent="0.2">
      <c r="A58" s="67"/>
      <c r="B58" s="98"/>
      <c r="C58" s="98"/>
      <c r="D58" s="90"/>
      <c r="E58" s="68" t="str">
        <f t="shared" si="5"/>
        <v/>
      </c>
      <c r="F58" s="129"/>
      <c r="G58" s="129"/>
      <c r="H58" s="129"/>
    </row>
    <row r="59" spans="1:8" ht="15" customHeight="1" x14ac:dyDescent="0.2">
      <c r="A59" s="128" t="s">
        <v>33</v>
      </c>
      <c r="B59" s="128"/>
      <c r="C59" s="128"/>
      <c r="D59" s="128"/>
      <c r="E59" s="69">
        <f>SUM(E44:E58)</f>
        <v>0</v>
      </c>
      <c r="F59" s="56"/>
      <c r="G59" s="57"/>
      <c r="H59" s="57"/>
    </row>
    <row r="60" spans="1:8" ht="21" customHeight="1" x14ac:dyDescent="0.2">
      <c r="A60" s="91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1" t="s">
        <v>8</v>
      </c>
      <c r="B61" s="131"/>
      <c r="C61" s="131"/>
      <c r="D61" s="131"/>
      <c r="E61" s="131"/>
      <c r="F61" s="131"/>
      <c r="G61" s="131"/>
      <c r="H61" s="131"/>
    </row>
    <row r="62" spans="1:8" s="59" customFormat="1" ht="26.25" thickBot="1" x14ac:dyDescent="0.25">
      <c r="A62" s="99" t="s">
        <v>3</v>
      </c>
      <c r="B62" s="99" t="s">
        <v>4</v>
      </c>
      <c r="C62" s="99" t="s">
        <v>5</v>
      </c>
      <c r="D62" s="99" t="s">
        <v>31</v>
      </c>
      <c r="E62" s="99" t="s">
        <v>32</v>
      </c>
      <c r="F62" s="132" t="s">
        <v>1</v>
      </c>
      <c r="G62" s="132"/>
      <c r="H62" s="132"/>
    </row>
    <row r="63" spans="1:8" ht="15" customHeight="1" thickTop="1" x14ac:dyDescent="0.2">
      <c r="A63" s="66"/>
      <c r="B63" s="100"/>
      <c r="C63" s="100"/>
      <c r="D63" s="89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98"/>
      <c r="C64" s="98"/>
      <c r="D64" s="90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98"/>
      <c r="C65" s="98"/>
      <c r="D65" s="90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98"/>
      <c r="C66" s="98"/>
      <c r="D66" s="90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98"/>
      <c r="C67" s="98"/>
      <c r="D67" s="90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98"/>
      <c r="C68" s="98"/>
      <c r="D68" s="90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98"/>
      <c r="C69" s="98"/>
      <c r="D69" s="90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98"/>
      <c r="C70" s="98"/>
      <c r="D70" s="90"/>
      <c r="E70" s="68" t="str">
        <f t="shared" si="6"/>
        <v/>
      </c>
      <c r="F70" s="125"/>
      <c r="G70" s="126"/>
      <c r="H70" s="127"/>
    </row>
    <row r="71" spans="1:9" ht="15" customHeight="1" x14ac:dyDescent="0.2">
      <c r="A71" s="67"/>
      <c r="B71" s="98"/>
      <c r="C71" s="98"/>
      <c r="D71" s="90"/>
      <c r="E71" s="68" t="str">
        <f t="shared" si="6"/>
        <v/>
      </c>
      <c r="F71" s="125"/>
      <c r="G71" s="126"/>
      <c r="H71" s="127"/>
    </row>
    <row r="72" spans="1:9" ht="15" customHeight="1" x14ac:dyDescent="0.2">
      <c r="A72" s="67"/>
      <c r="B72" s="98"/>
      <c r="C72" s="98"/>
      <c r="D72" s="90"/>
      <c r="E72" s="68" t="str">
        <f t="shared" si="6"/>
        <v/>
      </c>
      <c r="F72" s="125"/>
      <c r="G72" s="126"/>
      <c r="H72" s="127"/>
    </row>
    <row r="73" spans="1:9" ht="15" customHeight="1" x14ac:dyDescent="0.2">
      <c r="A73" s="67"/>
      <c r="B73" s="98"/>
      <c r="C73" s="98"/>
      <c r="D73" s="90"/>
      <c r="E73" s="68" t="str">
        <f t="shared" si="6"/>
        <v/>
      </c>
      <c r="F73" s="125"/>
      <c r="G73" s="126"/>
      <c r="H73" s="127"/>
    </row>
    <row r="74" spans="1:9" ht="15" customHeight="1" x14ac:dyDescent="0.2">
      <c r="A74" s="67"/>
      <c r="B74" s="98"/>
      <c r="C74" s="98"/>
      <c r="D74" s="90"/>
      <c r="E74" s="68" t="str">
        <f t="shared" si="6"/>
        <v/>
      </c>
      <c r="F74" s="125"/>
      <c r="G74" s="126"/>
      <c r="H74" s="127"/>
    </row>
    <row r="75" spans="1:9" ht="15" customHeight="1" x14ac:dyDescent="0.2">
      <c r="A75" s="67"/>
      <c r="B75" s="98"/>
      <c r="C75" s="98"/>
      <c r="D75" s="90"/>
      <c r="E75" s="68" t="str">
        <f t="shared" si="6"/>
        <v/>
      </c>
      <c r="F75" s="125"/>
      <c r="G75" s="126"/>
      <c r="H75" s="127"/>
    </row>
    <row r="76" spans="1:9" ht="15" customHeight="1" x14ac:dyDescent="0.2">
      <c r="A76" s="67"/>
      <c r="B76" s="98"/>
      <c r="C76" s="98"/>
      <c r="D76" s="90"/>
      <c r="E76" s="68" t="str">
        <f t="shared" si="6"/>
        <v/>
      </c>
      <c r="F76" s="125"/>
      <c r="G76" s="126"/>
      <c r="H76" s="127"/>
    </row>
    <row r="77" spans="1:9" ht="15" customHeight="1" x14ac:dyDescent="0.2">
      <c r="A77" s="67"/>
      <c r="B77" s="98"/>
      <c r="C77" s="98"/>
      <c r="D77" s="90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24" t="s">
        <v>33</v>
      </c>
      <c r="B78" s="124"/>
      <c r="C78" s="124"/>
      <c r="D78" s="124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a686b25c94bf20b78690b352192b824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0672a54e8c9e7e77c564c6687646e1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VKVRK5CVM6H2-740939436-756651</_dlc_DocId>
    <_dlc_DocIdUrl xmlns="6520ea01-3ae7-4bfc-af72-eda8dfdf18a7">
      <Url>https://flankspeed.sharepoint-mil.us/sites/NAVSUP_FLCY_C210/_layouts/15/DocIdRedir.aspx?ID=VKVRK5CVM6H2-740939436-756651</Url>
      <Description>VKVRK5CVM6H2-740939436-756651</Description>
    </_dlc_DocIdUrl>
  </documentManagement>
</p:properties>
</file>

<file path=customXml/itemProps1.xml><?xml version="1.0" encoding="utf-8"?>
<ds:datastoreItem xmlns:ds="http://schemas.openxmlformats.org/officeDocument/2006/customXml" ds:itemID="{E62C8326-D29F-46A3-9B3F-3674E11CA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520ea01-3ae7-4bfc-af72-eda8dfdf18a7"/>
    <ds:schemaRef ds:uri="ea3f7778-eea8-4295-9c64-8225b3cf9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9C0BA0-37BF-491F-BEB9-B5D5E11FC7C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AB15349-F721-4E7A-9446-3F7D77CDF2D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F50BEC-BA95-42DE-9505-C1F0BC57959F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ea3f7778-eea8-4295-9c64-8225b3cf9cfd"/>
    <ds:schemaRef ds:uri="6520ea01-3ae7-4bfc-af72-eda8dfdf18a7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SUMMARY</vt:lpstr>
      <vt:lpstr>1_38KB312315-A01</vt:lpstr>
      <vt:lpstr>2_38KB312316-A01</vt:lpstr>
      <vt:lpstr>3_38KB312317-A01</vt:lpstr>
      <vt:lpstr>4_38KB312318-A01</vt:lpstr>
      <vt:lpstr>5_38KB312319-A01</vt:lpstr>
      <vt:lpstr>6_38KB312320-A01</vt:lpstr>
      <vt:lpstr>7_38KB312323-A01</vt:lpstr>
      <vt:lpstr>8_38KB312324-A01</vt:lpstr>
      <vt:lpstr>9_38KB312325-A01</vt:lpstr>
      <vt:lpstr>10_38KB312328-A01</vt:lpstr>
      <vt:lpstr>11_38KB312329-A01</vt:lpstr>
      <vt:lpstr>12_38KB312330-A01</vt:lpstr>
      <vt:lpstr>13_38KB312331-A01</vt:lpstr>
      <vt:lpstr>14_38KB312332-A01</vt:lpstr>
      <vt:lpstr>15_38KB312333-A01</vt:lpstr>
      <vt:lpstr>16_38KB312334-A01</vt:lpstr>
      <vt:lpstr>17_38KB312336-A01</vt:lpstr>
      <vt:lpstr>18_38KB312338-A01</vt:lpstr>
      <vt:lpstr>19_38KB312339-A01</vt:lpstr>
      <vt:lpstr>20_38KB312340-A01</vt:lpstr>
      <vt:lpstr>21_38KB312341-A01</vt:lpstr>
      <vt:lpstr>22_38KB312342-A01</vt:lpstr>
      <vt:lpstr>23_38KB312343-A01</vt:lpstr>
      <vt:lpstr>24_38KB312344-A01</vt:lpstr>
      <vt:lpstr>25_38KB312345-A01</vt:lpstr>
      <vt:lpstr>26_38KB312346-A01</vt:lpstr>
      <vt:lpstr>27_38KB312348-A01</vt:lpstr>
      <vt:lpstr>28_38KB312350-A01</vt:lpstr>
      <vt:lpstr>29_38KB312352-A01</vt:lpstr>
      <vt:lpstr>30_38KB312353-A01</vt:lpstr>
      <vt:lpstr>31_38KB312354-A01</vt:lpstr>
      <vt:lpstr>32_38KB312355-A01 T01</vt:lpstr>
      <vt:lpstr>'1_38KB312315-A01'!Print_Area</vt:lpstr>
      <vt:lpstr>'10_38KB312328-A01'!Print_Area</vt:lpstr>
      <vt:lpstr>'11_38KB312329-A01'!Print_Area</vt:lpstr>
      <vt:lpstr>'12_38KB312330-A01'!Print_Area</vt:lpstr>
      <vt:lpstr>'13_38KB312331-A01'!Print_Area</vt:lpstr>
      <vt:lpstr>'14_38KB312332-A01'!Print_Area</vt:lpstr>
      <vt:lpstr>'15_38KB312333-A01'!Print_Area</vt:lpstr>
      <vt:lpstr>'16_38KB312334-A01'!Print_Area</vt:lpstr>
      <vt:lpstr>'17_38KB312336-A01'!Print_Area</vt:lpstr>
      <vt:lpstr>'18_38KB312338-A01'!Print_Area</vt:lpstr>
      <vt:lpstr>'19_38KB312339-A01'!Print_Area</vt:lpstr>
      <vt:lpstr>'2_38KB312316-A01'!Print_Area</vt:lpstr>
      <vt:lpstr>'20_38KB312340-A01'!Print_Area</vt:lpstr>
      <vt:lpstr>'21_38KB312341-A01'!Print_Area</vt:lpstr>
      <vt:lpstr>'22_38KB312342-A01'!Print_Area</vt:lpstr>
      <vt:lpstr>'23_38KB312343-A01'!Print_Area</vt:lpstr>
      <vt:lpstr>'24_38KB312344-A01'!Print_Area</vt:lpstr>
      <vt:lpstr>'25_38KB312345-A01'!Print_Area</vt:lpstr>
      <vt:lpstr>'26_38KB312346-A01'!Print_Area</vt:lpstr>
      <vt:lpstr>'27_38KB312348-A01'!Print_Area</vt:lpstr>
      <vt:lpstr>'28_38KB312350-A01'!Print_Area</vt:lpstr>
      <vt:lpstr>'29_38KB312352-A01'!Print_Area</vt:lpstr>
      <vt:lpstr>'3_38KB312317-A01'!Print_Area</vt:lpstr>
      <vt:lpstr>'30_38KB312353-A01'!Print_Area</vt:lpstr>
      <vt:lpstr>'31_38KB312354-A01'!Print_Area</vt:lpstr>
      <vt:lpstr>'32_38KB312355-A01 T01'!Print_Area</vt:lpstr>
      <vt:lpstr>'4_38KB312318-A01'!Print_Area</vt:lpstr>
      <vt:lpstr>'5_38KB312319-A01'!Print_Area</vt:lpstr>
      <vt:lpstr>'6_38KB312320-A01'!Print_Area</vt:lpstr>
      <vt:lpstr>'7_38KB312323-A01'!Print_Area</vt:lpstr>
      <vt:lpstr>'8_38KB312324-A01'!Print_Area</vt:lpstr>
      <vt:lpstr>'9_38KB312325-A01'!Print_Area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Sekido, Shouko FORNATL JA USN NAVSUP FLCY</cp:lastModifiedBy>
  <cp:lastPrinted>2024-06-04T23:00:25Z</cp:lastPrinted>
  <dcterms:created xsi:type="dcterms:W3CDTF">2010-02-23T06:36:56Z</dcterms:created>
  <dcterms:modified xsi:type="dcterms:W3CDTF">2026-03-06T04:46:28Z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98374a9b-a8db-43d0-8362-cfeb0a6d723b</vt:lpwstr>
  </property>
</Properties>
</file>