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Wahle\CL26068001\Stack 1\"/>
    </mc:Choice>
  </mc:AlternateContent>
  <xr:revisionPtr revIDLastSave="0" documentId="13_ncr:1_{8835DB6F-E096-4265-9D92-25164F335633}" xr6:coauthVersionLast="47" xr6:coauthVersionMax="47" xr10:uidLastSave="{00000000-0000-0000-0000-000000000000}"/>
  <bookViews>
    <workbookView xWindow="33240" yWindow="2355" windowWidth="21600" windowHeight="14460" xr2:uid="{00000000-000D-0000-FFFF-FFFF00000000}"/>
  </bookViews>
  <sheets>
    <sheet name="NSN INFO" sheetId="1" r:id="rId1"/>
  </sheets>
  <definedNames>
    <definedName name="_xlnm._FilterDatabase" localSheetId="0" hidden="1">'NSN INFO'!$B$1:$B$6</definedName>
    <definedName name="_xlnm.Print_Titles" localSheetId="0">'NSN INFO'!$1:$1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R3" i="1" s="1"/>
  <c r="Q2" i="1"/>
  <c r="R2" i="1" s="1"/>
</calcChain>
</file>

<file path=xl/sharedStrings.xml><?xml version="1.0" encoding="utf-8"?>
<sst xmlns="http://schemas.openxmlformats.org/spreadsheetml/2006/main" count="43" uniqueCount="33">
  <si>
    <t>CLIN</t>
  </si>
  <si>
    <t>NSN</t>
  </si>
  <si>
    <t>ITEM NAME</t>
  </si>
  <si>
    <t>Commercial Off the Shelf Field (COTS)  Y or N?</t>
  </si>
  <si>
    <t>Unit of Issue</t>
  </si>
  <si>
    <t>Estimated Annual Demand Quantity</t>
  </si>
  <si>
    <t>AMC/ AMSC</t>
  </si>
  <si>
    <t>PIC</t>
  </si>
  <si>
    <t>QCC</t>
  </si>
  <si>
    <t>NAIC</t>
  </si>
  <si>
    <t>DPAS  Priority Rating</t>
  </si>
  <si>
    <t>PLT</t>
  </si>
  <si>
    <t>Federal Supply Class</t>
  </si>
  <si>
    <t>Highest Weapon System</t>
  </si>
  <si>
    <t>0001</t>
  </si>
  <si>
    <t>EA</t>
  </si>
  <si>
    <t>2</t>
  </si>
  <si>
    <t>0002</t>
  </si>
  <si>
    <t>DOC9</t>
  </si>
  <si>
    <t>DAA</t>
  </si>
  <si>
    <t xml:space="preserve">Size Standard </t>
  </si>
  <si>
    <t>1,000</t>
  </si>
  <si>
    <t>Required delivery based on PLT</t>
  </si>
  <si>
    <t>Rounded to nearest 10</t>
  </si>
  <si>
    <t>Surge</t>
  </si>
  <si>
    <t>MAGAZINE,CARTRIDGE</t>
  </si>
  <si>
    <t>1005016155169</t>
  </si>
  <si>
    <t>1005016597086</t>
  </si>
  <si>
    <t>3B</t>
  </si>
  <si>
    <t>Y</t>
  </si>
  <si>
    <t>Guns, through 30mm</t>
  </si>
  <si>
    <t>23N - OHIO CLASS SSBN (TRIDENT)</t>
  </si>
  <si>
    <t>DOA3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</si>
</sst>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49" fontId="5" fillId="0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</cellXfs>
  <cellStyles count="4">
    <cellStyle name="Normal" xfId="0" builtinId="0"/>
    <cellStyle name="Normal 4" xfId="3" xr:uid="{00000000-0005-0000-0000-000001000000}"/>
    <cellStyle name="Normal_E-Proc NSNs" xfId="2" xr:uid="{00000000-0005-0000-0000-000002000000}"/>
    <cellStyle name="Normal_LTC Management Data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showWhiteSpace="0" zoomScaleNormal="100" workbookViewId="0">
      <selection activeCell="F17" sqref="F16:F17"/>
    </sheetView>
  </sheetViews>
  <sheetFormatPr defaultRowHeight="20.100000000000001" customHeight="1" x14ac:dyDescent="0.25"/>
  <cols>
    <col min="1" max="1" width="4.7109375" style="16" customWidth="1"/>
    <col min="2" max="2" width="15.7109375" style="23" customWidth="1"/>
    <col min="3" max="3" width="22.85546875" style="24" customWidth="1"/>
    <col min="4" max="4" width="11.28515625" style="24" customWidth="1"/>
    <col min="5" max="5" width="6" style="6" customWidth="1"/>
    <col min="6" max="6" width="8.7109375" style="6" customWidth="1"/>
    <col min="7" max="7" width="6" style="6" customWidth="1"/>
    <col min="8" max="8" width="4.28515625" style="6" customWidth="1"/>
    <col min="9" max="9" width="5.85546875" style="6" customWidth="1"/>
    <col min="10" max="10" width="7.5703125" style="6" customWidth="1"/>
    <col min="11" max="11" width="9.85546875" style="6" customWidth="1"/>
    <col min="12" max="12" width="7.140625" style="6" customWidth="1"/>
    <col min="13" max="13" width="4.7109375" style="6" customWidth="1"/>
    <col min="14" max="14" width="26.140625" style="6" customWidth="1"/>
    <col min="15" max="15" width="25.5703125" style="6" customWidth="1"/>
    <col min="16" max="16" width="23.28515625" style="25" customWidth="1"/>
    <col min="17" max="17" width="10.28515625" style="6" customWidth="1"/>
    <col min="18" max="18" width="10.7109375" style="6" customWidth="1"/>
    <col min="19" max="16384" width="9.140625" style="6"/>
  </cols>
  <sheetData>
    <row r="1" spans="1:18" ht="47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20</v>
      </c>
      <c r="L1" s="3" t="s">
        <v>10</v>
      </c>
      <c r="M1" s="3" t="s">
        <v>11</v>
      </c>
      <c r="N1" s="4" t="s">
        <v>24</v>
      </c>
      <c r="O1" s="4" t="s">
        <v>12</v>
      </c>
      <c r="P1" s="4" t="s">
        <v>13</v>
      </c>
      <c r="Q1" s="3" t="s">
        <v>22</v>
      </c>
      <c r="R1" s="3" t="s">
        <v>23</v>
      </c>
    </row>
    <row r="2" spans="1:18" ht="35.25" customHeight="1" x14ac:dyDescent="0.25">
      <c r="A2" s="7" t="s">
        <v>14</v>
      </c>
      <c r="B2" s="8" t="s">
        <v>26</v>
      </c>
      <c r="C2" s="9" t="s">
        <v>25</v>
      </c>
      <c r="D2" s="10" t="s">
        <v>29</v>
      </c>
      <c r="E2" s="11" t="s">
        <v>15</v>
      </c>
      <c r="F2" s="11">
        <v>80293</v>
      </c>
      <c r="G2" s="11" t="s">
        <v>28</v>
      </c>
      <c r="H2" s="11" t="s">
        <v>16</v>
      </c>
      <c r="I2" s="11" t="s">
        <v>19</v>
      </c>
      <c r="J2" s="11">
        <v>332994</v>
      </c>
      <c r="K2" s="12">
        <v>1000</v>
      </c>
      <c r="L2" s="11" t="s">
        <v>18</v>
      </c>
      <c r="M2" s="11">
        <v>199</v>
      </c>
      <c r="N2" s="11" t="s">
        <v>29</v>
      </c>
      <c r="O2" s="9" t="s">
        <v>30</v>
      </c>
      <c r="P2" s="13" t="s">
        <v>31</v>
      </c>
      <c r="Q2" s="11">
        <f t="shared" ref="Q2:Q3" si="0">ROUNDUP((M2*0.85),0)</f>
        <v>170</v>
      </c>
      <c r="R2" s="11">
        <f t="shared" ref="R2:R3" si="1">CEILING(Q2, 10)</f>
        <v>170</v>
      </c>
    </row>
    <row r="3" spans="1:18" ht="27.75" customHeight="1" x14ac:dyDescent="0.2">
      <c r="A3" s="7" t="s">
        <v>17</v>
      </c>
      <c r="B3" s="8" t="s">
        <v>27</v>
      </c>
      <c r="C3" s="9" t="s">
        <v>25</v>
      </c>
      <c r="D3" s="10" t="s">
        <v>29</v>
      </c>
      <c r="E3" s="11" t="s">
        <v>15</v>
      </c>
      <c r="F3" s="11">
        <v>128226</v>
      </c>
      <c r="G3" s="11" t="s">
        <v>28</v>
      </c>
      <c r="H3" s="11" t="s">
        <v>16</v>
      </c>
      <c r="I3" s="11" t="s">
        <v>19</v>
      </c>
      <c r="J3" s="11">
        <v>332994</v>
      </c>
      <c r="K3" s="14" t="s">
        <v>21</v>
      </c>
      <c r="L3" s="11" t="s">
        <v>32</v>
      </c>
      <c r="M3" s="11">
        <v>199</v>
      </c>
      <c r="N3" s="11" t="s">
        <v>29</v>
      </c>
      <c r="O3" s="15" t="s">
        <v>30</v>
      </c>
      <c r="P3" s="13" t="s">
        <v>31</v>
      </c>
      <c r="Q3" s="11">
        <f t="shared" si="0"/>
        <v>170</v>
      </c>
      <c r="R3" s="11">
        <f t="shared" si="1"/>
        <v>170</v>
      </c>
    </row>
    <row r="4" spans="1:18" ht="20.100000000000001" customHeight="1" x14ac:dyDescent="0.25">
      <c r="B4" s="17"/>
      <c r="C4" s="18"/>
      <c r="D4" s="19"/>
      <c r="E4" s="19"/>
      <c r="F4" s="16"/>
      <c r="G4" s="16"/>
      <c r="H4" s="16"/>
      <c r="I4" s="16"/>
      <c r="J4" s="16"/>
      <c r="K4" s="16"/>
      <c r="L4" s="16"/>
      <c r="M4" s="16"/>
      <c r="N4" s="16"/>
      <c r="O4" s="16"/>
      <c r="P4" s="20"/>
    </row>
    <row r="5" spans="1:18" ht="20.100000000000001" customHeight="1" x14ac:dyDescent="0.25">
      <c r="B5" s="17"/>
      <c r="C5" s="18"/>
      <c r="D5" s="1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6"/>
    </row>
    <row r="6" spans="1:18" ht="20.100000000000001" customHeight="1" x14ac:dyDescent="0.25">
      <c r="B6" s="21"/>
      <c r="C6" s="21"/>
      <c r="D6" s="21"/>
      <c r="E6" s="22"/>
      <c r="F6" s="22"/>
      <c r="G6" s="22"/>
      <c r="H6" s="16"/>
      <c r="I6" s="16"/>
      <c r="J6" s="16"/>
      <c r="K6" s="16"/>
      <c r="L6" s="16"/>
      <c r="M6" s="16"/>
      <c r="N6" s="16"/>
      <c r="O6" s="16"/>
      <c r="P6" s="26"/>
    </row>
  </sheetData>
  <autoFilter ref="B1:B6" xr:uid="{B165B058-4DD8-4561-8C1F-0D53104BEC11}"/>
  <mergeCells count="1">
    <mergeCell ref="P5:P6"/>
  </mergeCells>
  <phoneticPr fontId="3" type="noConversion"/>
  <pageMargins left="0.7" right="0.7" top="1.15625" bottom="0.75" header="0.3" footer="0.3"/>
  <pageSetup scale="90" fitToWidth="0" fitToHeight="0" orientation="landscape" r:id="rId1"/>
  <headerFooter>
    <oddHeader xml:space="preserve">&amp;CNSN INFORMATION 
SOLICITATION 
</oddHeader>
    <oddFooter>&amp;CFOR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NSN INFO</vt:lpstr>
      <vt:lpstr>'NSN INFO'!Print_Titles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Tracy L CIV DLA LAND AND MARITIME (US)</dc:creator>
  <cp:lastModifiedBy>Wahle, Brent A CIV DLA WEAPONS SUPPORT (USA)</cp:lastModifiedBy>
  <dcterms:created xsi:type="dcterms:W3CDTF">2019-04-29T19:37:32Z</dcterms:created>
  <dcterms:modified xsi:type="dcterms:W3CDTF">2026-03-23T19:42:53Z</dcterms:modified>
</cp:coreProperties>
</file>