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0" documentId="8_{CA68F2E3-0AE1-4C18-AAE9-DD6AAB118353}" xr6:coauthVersionLast="47" xr6:coauthVersionMax="47" xr10:uidLastSave="{00000000-0000-0000-0000-000000000000}"/>
  <bookViews>
    <workbookView xWindow="28680" yWindow="150" windowWidth="29040" windowHeight="15450" firstSheet="4" activeTab="9" xr2:uid="{EFDD5629-3731-4596-B97B-8C542E443614}"/>
  </bookViews>
  <sheets>
    <sheet name="1.0 Production Price" sheetId="1" r:id="rId1"/>
    <sheet name="1.1 Volume Range 1" sheetId="2" r:id="rId2"/>
    <sheet name="1.1.1 MK 90 Range 1" sheetId="3" r:id="rId3"/>
    <sheet name="1.2 Volume Range 2" sheetId="4" r:id="rId4"/>
    <sheet name="1.2.1 MK 90 Range 2" sheetId="5" r:id="rId5"/>
    <sheet name="1.3 First Article" sheetId="6" r:id="rId6"/>
    <sheet name="1.4 Summary Production Price" sheetId="7" r:id="rId7"/>
    <sheet name="2.0 PWS Price" sheetId="9" r:id="rId8"/>
    <sheet name="3.0 NC Fines Disposal Price" sheetId="11" r:id="rId9"/>
    <sheet name="4.0 Summary TEP" sheetId="10" r:id="rId10"/>
    <sheet name="EPA's"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0" i="4" l="1"/>
  <c r="W40" i="4"/>
  <c r="S40" i="4"/>
  <c r="O40" i="4"/>
  <c r="K40" i="4"/>
  <c r="AA39" i="4"/>
  <c r="W39" i="4"/>
  <c r="S39" i="4"/>
  <c r="O39" i="4"/>
  <c r="K39" i="4"/>
  <c r="I16" i="10"/>
  <c r="E7" i="10"/>
  <c r="M7" i="10"/>
  <c r="E4" i="12"/>
  <c r="G4" i="12"/>
  <c r="H4" i="12"/>
  <c r="E8" i="11"/>
  <c r="E9" i="11" s="1"/>
  <c r="I7" i="10"/>
  <c r="E9" i="10"/>
  <c r="E8" i="10"/>
  <c r="I8" i="10"/>
  <c r="I9" i="10"/>
  <c r="Q9" i="10" s="1"/>
  <c r="C22" i="9"/>
  <c r="D22" i="9"/>
  <c r="E22" i="9"/>
  <c r="F22" i="9"/>
  <c r="G22" i="9"/>
  <c r="H22" i="9"/>
  <c r="I22" i="9"/>
  <c r="J22" i="9"/>
  <c r="K22" i="9"/>
  <c r="L22" i="9"/>
  <c r="M16" i="7"/>
  <c r="I16" i="7"/>
  <c r="E16" i="7"/>
  <c r="M15" i="7"/>
  <c r="I15" i="7"/>
  <c r="P15" i="7" s="1"/>
  <c r="E15" i="7"/>
  <c r="M14" i="7"/>
  <c r="I14" i="7"/>
  <c r="E14" i="7"/>
  <c r="M13" i="7"/>
  <c r="I13" i="7"/>
  <c r="E13" i="7"/>
  <c r="M12" i="7"/>
  <c r="I12" i="7"/>
  <c r="E12" i="7"/>
  <c r="M11" i="7"/>
  <c r="I11" i="7"/>
  <c r="E11" i="7"/>
  <c r="P11" i="7" s="1"/>
  <c r="M10" i="7"/>
  <c r="I10" i="7"/>
  <c r="E10" i="7"/>
  <c r="P10" i="7" s="1"/>
  <c r="M9" i="7"/>
  <c r="I9" i="7"/>
  <c r="E9" i="7"/>
  <c r="M8" i="7"/>
  <c r="I8" i="7"/>
  <c r="P8" i="7" s="1"/>
  <c r="E8" i="7"/>
  <c r="M7" i="7"/>
  <c r="I7" i="7"/>
  <c r="E7" i="7"/>
  <c r="M45" i="6"/>
  <c r="L45" i="6"/>
  <c r="K45" i="6"/>
  <c r="J45" i="6"/>
  <c r="I45" i="6"/>
  <c r="H45" i="6"/>
  <c r="G45" i="6"/>
  <c r="F45" i="6"/>
  <c r="E45" i="6"/>
  <c r="D45" i="6"/>
  <c r="AI15" i="5"/>
  <c r="AF15" i="5"/>
  <c r="AO45" i="4" s="1"/>
  <c r="AQ45" i="4" s="1"/>
  <c r="AC15" i="5"/>
  <c r="Z15" i="5"/>
  <c r="AG45" i="4" s="1"/>
  <c r="AI45" i="4" s="1"/>
  <c r="W15" i="5"/>
  <c r="AC45" i="4" s="1"/>
  <c r="AE45" i="4" s="1"/>
  <c r="T15" i="5"/>
  <c r="Y45" i="4" s="1"/>
  <c r="AA45" i="4" s="1"/>
  <c r="Q15" i="5"/>
  <c r="N15" i="5"/>
  <c r="Q45" i="4" s="1"/>
  <c r="S45" i="4" s="1"/>
  <c r="K15" i="5"/>
  <c r="M45" i="4" s="1"/>
  <c r="O45" i="4" s="1"/>
  <c r="H15" i="5"/>
  <c r="I45" i="4" s="1"/>
  <c r="K45" i="4" s="1"/>
  <c r="E13" i="5"/>
  <c r="E12" i="5"/>
  <c r="F11" i="5"/>
  <c r="E11" i="5"/>
  <c r="AS45" i="4"/>
  <c r="AU45" i="4" s="1"/>
  <c r="AK45" i="4"/>
  <c r="AM45" i="4" s="1"/>
  <c r="U45" i="4"/>
  <c r="W45" i="4" s="1"/>
  <c r="AU43" i="4"/>
  <c r="AQ43" i="4"/>
  <c r="AM43" i="4"/>
  <c r="AI43" i="4"/>
  <c r="AE43" i="4"/>
  <c r="AA43" i="4"/>
  <c r="W43" i="4"/>
  <c r="S43" i="4"/>
  <c r="O43" i="4"/>
  <c r="K43" i="4"/>
  <c r="AU42" i="4"/>
  <c r="AQ42" i="4"/>
  <c r="AM42" i="4"/>
  <c r="AI42" i="4"/>
  <c r="AE42" i="4"/>
  <c r="AA42" i="4"/>
  <c r="W42" i="4"/>
  <c r="S42" i="4"/>
  <c r="O42" i="4"/>
  <c r="K42" i="4"/>
  <c r="AU41" i="4"/>
  <c r="AQ41" i="4"/>
  <c r="AM41" i="4"/>
  <c r="AI41" i="4"/>
  <c r="AE41" i="4"/>
  <c r="AA41" i="4"/>
  <c r="W41" i="4"/>
  <c r="S41" i="4"/>
  <c r="O41" i="4"/>
  <c r="K41" i="4"/>
  <c r="AU40" i="4"/>
  <c r="AQ40" i="4"/>
  <c r="AM40" i="4"/>
  <c r="AI40" i="4"/>
  <c r="AE40" i="4"/>
  <c r="AU39" i="4"/>
  <c r="AQ39" i="4"/>
  <c r="AM39" i="4"/>
  <c r="AI39" i="4"/>
  <c r="AE39" i="4"/>
  <c r="AU38" i="4"/>
  <c r="AQ38" i="4"/>
  <c r="AM38" i="4"/>
  <c r="AI38" i="4"/>
  <c r="AE38" i="4"/>
  <c r="AA38" i="4"/>
  <c r="W38" i="4"/>
  <c r="S38" i="4"/>
  <c r="O38" i="4"/>
  <c r="K38" i="4"/>
  <c r="AU37" i="4"/>
  <c r="AQ37" i="4"/>
  <c r="AM37" i="4"/>
  <c r="AI37" i="4"/>
  <c r="AE37" i="4"/>
  <c r="AA37" i="4"/>
  <c r="W37" i="4"/>
  <c r="S37" i="4"/>
  <c r="O37" i="4"/>
  <c r="K37" i="4"/>
  <c r="AU36" i="4"/>
  <c r="AQ36" i="4"/>
  <c r="AM36" i="4"/>
  <c r="AI36" i="4"/>
  <c r="AE36" i="4"/>
  <c r="AA36" i="4"/>
  <c r="W36" i="4"/>
  <c r="S36" i="4"/>
  <c r="O36" i="4"/>
  <c r="K36" i="4"/>
  <c r="AU35" i="4"/>
  <c r="AQ35" i="4"/>
  <c r="AM35" i="4"/>
  <c r="AI35" i="4"/>
  <c r="AE35" i="4"/>
  <c r="AA35" i="4"/>
  <c r="W35" i="4"/>
  <c r="S35" i="4"/>
  <c r="O35" i="4"/>
  <c r="K35" i="4"/>
  <c r="AU34" i="4"/>
  <c r="AQ34" i="4"/>
  <c r="AM34" i="4"/>
  <c r="AI34" i="4"/>
  <c r="AE34" i="4"/>
  <c r="AA34" i="4"/>
  <c r="W34" i="4"/>
  <c r="S34" i="4"/>
  <c r="O34" i="4"/>
  <c r="K34" i="4"/>
  <c r="AU33" i="4"/>
  <c r="AQ33" i="4"/>
  <c r="AM33" i="4"/>
  <c r="AI33" i="4"/>
  <c r="AE33" i="4"/>
  <c r="AA33" i="4"/>
  <c r="W33" i="4"/>
  <c r="S33" i="4"/>
  <c r="O33" i="4"/>
  <c r="K33" i="4"/>
  <c r="AU32" i="4"/>
  <c r="AQ32" i="4"/>
  <c r="AM32" i="4"/>
  <c r="AI32" i="4"/>
  <c r="AE32" i="4"/>
  <c r="AA32" i="4"/>
  <c r="W32" i="4"/>
  <c r="S32" i="4"/>
  <c r="O32" i="4"/>
  <c r="K32" i="4"/>
  <c r="AU31" i="4"/>
  <c r="AQ31" i="4"/>
  <c r="AM31" i="4"/>
  <c r="AI31" i="4"/>
  <c r="AE31" i="4"/>
  <c r="AA31" i="4"/>
  <c r="W31" i="4"/>
  <c r="S31" i="4"/>
  <c r="O31" i="4"/>
  <c r="K31" i="4"/>
  <c r="AU30" i="4"/>
  <c r="AQ30" i="4"/>
  <c r="AM30" i="4"/>
  <c r="AI30" i="4"/>
  <c r="AE30" i="4"/>
  <c r="AA30" i="4"/>
  <c r="W30" i="4"/>
  <c r="S30" i="4"/>
  <c r="O30" i="4"/>
  <c r="K30" i="4"/>
  <c r="AU29" i="4"/>
  <c r="AQ29" i="4"/>
  <c r="AM29" i="4"/>
  <c r="AI29" i="4"/>
  <c r="AE29" i="4"/>
  <c r="AA29" i="4"/>
  <c r="W29" i="4"/>
  <c r="S29" i="4"/>
  <c r="O29" i="4"/>
  <c r="K29" i="4"/>
  <c r="AU28" i="4"/>
  <c r="AQ28" i="4"/>
  <c r="AM28" i="4"/>
  <c r="AI28" i="4"/>
  <c r="AE28" i="4"/>
  <c r="AA28" i="4"/>
  <c r="W28" i="4"/>
  <c r="S28" i="4"/>
  <c r="O28" i="4"/>
  <c r="K28" i="4"/>
  <c r="AU27" i="4"/>
  <c r="AQ27" i="4"/>
  <c r="AM27" i="4"/>
  <c r="AI27" i="4"/>
  <c r="AE27" i="4"/>
  <c r="AA27" i="4"/>
  <c r="W27" i="4"/>
  <c r="S27" i="4"/>
  <c r="O27" i="4"/>
  <c r="K27" i="4"/>
  <c r="AU26" i="4"/>
  <c r="AQ26" i="4"/>
  <c r="AM26" i="4"/>
  <c r="AI26" i="4"/>
  <c r="AE26" i="4"/>
  <c r="AA26" i="4"/>
  <c r="W26" i="4"/>
  <c r="S26" i="4"/>
  <c r="O26" i="4"/>
  <c r="K26" i="4"/>
  <c r="AU25" i="4"/>
  <c r="AQ25" i="4"/>
  <c r="AM25" i="4"/>
  <c r="AI25" i="4"/>
  <c r="AE25" i="4"/>
  <c r="AA25" i="4"/>
  <c r="W25" i="4"/>
  <c r="S25" i="4"/>
  <c r="O25" i="4"/>
  <c r="K25" i="4"/>
  <c r="AU24" i="4"/>
  <c r="AQ24" i="4"/>
  <c r="AM24" i="4"/>
  <c r="AI24" i="4"/>
  <c r="AE24" i="4"/>
  <c r="AA24" i="4"/>
  <c r="W24" i="4"/>
  <c r="S24" i="4"/>
  <c r="O24" i="4"/>
  <c r="K24" i="4"/>
  <c r="AU23" i="4"/>
  <c r="AQ23" i="4"/>
  <c r="AM23" i="4"/>
  <c r="AI23" i="4"/>
  <c r="AE23" i="4"/>
  <c r="AA23" i="4"/>
  <c r="W23" i="4"/>
  <c r="S23" i="4"/>
  <c r="O23" i="4"/>
  <c r="K23" i="4"/>
  <c r="AU22" i="4"/>
  <c r="AQ22" i="4"/>
  <c r="AM22" i="4"/>
  <c r="AI22" i="4"/>
  <c r="AE22" i="4"/>
  <c r="AA22" i="4"/>
  <c r="W22" i="4"/>
  <c r="S22" i="4"/>
  <c r="O22" i="4"/>
  <c r="K22" i="4"/>
  <c r="AU21" i="4"/>
  <c r="AQ21" i="4"/>
  <c r="AM21" i="4"/>
  <c r="AI21" i="4"/>
  <c r="AE21" i="4"/>
  <c r="AA21" i="4"/>
  <c r="W21" i="4"/>
  <c r="S21" i="4"/>
  <c r="O21" i="4"/>
  <c r="K21" i="4"/>
  <c r="AU20" i="4"/>
  <c r="AQ20" i="4"/>
  <c r="AM20" i="4"/>
  <c r="AI20" i="4"/>
  <c r="AE20" i="4"/>
  <c r="AA20" i="4"/>
  <c r="W20" i="4"/>
  <c r="S20" i="4"/>
  <c r="O20" i="4"/>
  <c r="K20" i="4"/>
  <c r="AU19" i="4"/>
  <c r="AQ19" i="4"/>
  <c r="AM19" i="4"/>
  <c r="AI19" i="4"/>
  <c r="AE19" i="4"/>
  <c r="AA19" i="4"/>
  <c r="W19" i="4"/>
  <c r="S19" i="4"/>
  <c r="O19" i="4"/>
  <c r="K19" i="4"/>
  <c r="AU18" i="4"/>
  <c r="AQ18" i="4"/>
  <c r="AM18" i="4"/>
  <c r="AI18" i="4"/>
  <c r="AE18" i="4"/>
  <c r="AA18" i="4"/>
  <c r="W18" i="4"/>
  <c r="S18" i="4"/>
  <c r="O18" i="4"/>
  <c r="K18" i="4"/>
  <c r="AU17" i="4"/>
  <c r="AQ17" i="4"/>
  <c r="AM17" i="4"/>
  <c r="AI17" i="4"/>
  <c r="AE17" i="4"/>
  <c r="AA17" i="4"/>
  <c r="W17" i="4"/>
  <c r="S17" i="4"/>
  <c r="O17" i="4"/>
  <c r="K17" i="4"/>
  <c r="AU16" i="4"/>
  <c r="AQ16" i="4"/>
  <c r="AM16" i="4"/>
  <c r="AI16" i="4"/>
  <c r="AE16" i="4"/>
  <c r="AA16" i="4"/>
  <c r="W16" i="4"/>
  <c r="S16" i="4"/>
  <c r="O16" i="4"/>
  <c r="K16" i="4"/>
  <c r="AU15" i="4"/>
  <c r="AQ15" i="4"/>
  <c r="AM15" i="4"/>
  <c r="AI15" i="4"/>
  <c r="AE15" i="4"/>
  <c r="AA15" i="4"/>
  <c r="W15" i="4"/>
  <c r="S15" i="4"/>
  <c r="O15" i="4"/>
  <c r="K15" i="4"/>
  <c r="AU14" i="4"/>
  <c r="AQ14" i="4"/>
  <c r="AM14" i="4"/>
  <c r="AI14" i="4"/>
  <c r="AE14" i="4"/>
  <c r="AA14" i="4"/>
  <c r="W14" i="4"/>
  <c r="S14" i="4"/>
  <c r="O14" i="4"/>
  <c r="K14" i="4"/>
  <c r="AU13" i="4"/>
  <c r="AQ13" i="4"/>
  <c r="AM13" i="4"/>
  <c r="AI13" i="4"/>
  <c r="AE13" i="4"/>
  <c r="AA13" i="4"/>
  <c r="W13" i="4"/>
  <c r="S13" i="4"/>
  <c r="O13" i="4"/>
  <c r="K13" i="4"/>
  <c r="AU12" i="4"/>
  <c r="AQ12" i="4"/>
  <c r="AM12" i="4"/>
  <c r="AI12" i="4"/>
  <c r="AE12" i="4"/>
  <c r="AA12" i="4"/>
  <c r="W12" i="4"/>
  <c r="S12" i="4"/>
  <c r="O12" i="4"/>
  <c r="K12" i="4"/>
  <c r="AU11" i="4"/>
  <c r="AQ11" i="4"/>
  <c r="AM11" i="4"/>
  <c r="AI11" i="4"/>
  <c r="AE11" i="4"/>
  <c r="AA11" i="4"/>
  <c r="W11" i="4"/>
  <c r="S11" i="4"/>
  <c r="O11" i="4"/>
  <c r="K11" i="4"/>
  <c r="AU10" i="4"/>
  <c r="AQ10" i="4"/>
  <c r="AM10" i="4"/>
  <c r="AI10" i="4"/>
  <c r="AE10" i="4"/>
  <c r="AA10" i="4"/>
  <c r="W10" i="4"/>
  <c r="S10" i="4"/>
  <c r="O10" i="4"/>
  <c r="K10" i="4"/>
  <c r="AT9" i="4"/>
  <c r="AU9" i="4" s="1"/>
  <c r="AQ9" i="4"/>
  <c r="AP9" i="4"/>
  <c r="AL9" i="4"/>
  <c r="AM9" i="4" s="1"/>
  <c r="AH9" i="4"/>
  <c r="AI9" i="4" s="1"/>
  <c r="AD9" i="4"/>
  <c r="AE9" i="4" s="1"/>
  <c r="Z9" i="4"/>
  <c r="AA9" i="4" s="1"/>
  <c r="V9" i="4"/>
  <c r="W9" i="4" s="1"/>
  <c r="R9" i="4"/>
  <c r="S9" i="4" s="1"/>
  <c r="N9" i="4"/>
  <c r="O9" i="4" s="1"/>
  <c r="J9" i="4"/>
  <c r="K9" i="4" s="1"/>
  <c r="AU8" i="4"/>
  <c r="AQ8" i="4"/>
  <c r="AM8" i="4"/>
  <c r="AI8" i="4"/>
  <c r="AE8" i="4"/>
  <c r="AA8" i="4"/>
  <c r="W8" i="4"/>
  <c r="S8" i="4"/>
  <c r="O8" i="4"/>
  <c r="K8" i="4"/>
  <c r="AU7" i="4"/>
  <c r="AQ7" i="4"/>
  <c r="AM7" i="4"/>
  <c r="AI7" i="4"/>
  <c r="AE7" i="4"/>
  <c r="AA7" i="4"/>
  <c r="W7" i="4"/>
  <c r="S7" i="4"/>
  <c r="O7" i="4"/>
  <c r="K7" i="4"/>
  <c r="AU6" i="4"/>
  <c r="AQ6" i="4"/>
  <c r="AM6" i="4"/>
  <c r="AI6" i="4"/>
  <c r="AE6" i="4"/>
  <c r="AA6" i="4"/>
  <c r="W6" i="4"/>
  <c r="S6" i="4"/>
  <c r="O6" i="4"/>
  <c r="K6" i="4"/>
  <c r="AI15" i="3"/>
  <c r="AF15" i="3"/>
  <c r="AO45" i="2" s="1"/>
  <c r="AQ45" i="2" s="1"/>
  <c r="AC15" i="3"/>
  <c r="AK45" i="2" s="1"/>
  <c r="AM45" i="2" s="1"/>
  <c r="Z15" i="3"/>
  <c r="AG45" i="2" s="1"/>
  <c r="AI45" i="2" s="1"/>
  <c r="W15" i="3"/>
  <c r="T15" i="3"/>
  <c r="Q15" i="3"/>
  <c r="N15" i="3"/>
  <c r="Q45" i="2" s="1"/>
  <c r="S45" i="2" s="1"/>
  <c r="K15" i="3"/>
  <c r="M45" i="2" s="1"/>
  <c r="O45" i="2" s="1"/>
  <c r="H15" i="3"/>
  <c r="I45" i="2" s="1"/>
  <c r="K45" i="2" s="1"/>
  <c r="E13" i="3"/>
  <c r="E12" i="3"/>
  <c r="F11" i="3"/>
  <c r="E11" i="3"/>
  <c r="AS45" i="2"/>
  <c r="AU45" i="2" s="1"/>
  <c r="AC45" i="2"/>
  <c r="AE45" i="2" s="1"/>
  <c r="Y45" i="2"/>
  <c r="AA45" i="2" s="1"/>
  <c r="U45" i="2"/>
  <c r="W45" i="2" s="1"/>
  <c r="AU43" i="2"/>
  <c r="AQ43" i="2"/>
  <c r="AM43" i="2"/>
  <c r="AI43" i="2"/>
  <c r="AE43" i="2"/>
  <c r="AA43" i="2"/>
  <c r="W43" i="2"/>
  <c r="S43" i="2"/>
  <c r="O43" i="2"/>
  <c r="K43" i="2"/>
  <c r="AU42" i="2"/>
  <c r="AQ42" i="2"/>
  <c r="AM42" i="2"/>
  <c r="AI42" i="2"/>
  <c r="AE42" i="2"/>
  <c r="AA42" i="2"/>
  <c r="W42" i="2"/>
  <c r="S42" i="2"/>
  <c r="O42" i="2"/>
  <c r="K42" i="2"/>
  <c r="AU41" i="2"/>
  <c r="AQ41" i="2"/>
  <c r="AM41" i="2"/>
  <c r="AI41" i="2"/>
  <c r="AE41" i="2"/>
  <c r="AA41" i="2"/>
  <c r="W41" i="2"/>
  <c r="S41" i="2"/>
  <c r="O41" i="2"/>
  <c r="K41" i="2"/>
  <c r="AU40" i="2"/>
  <c r="AQ40" i="2"/>
  <c r="AM40" i="2"/>
  <c r="AI40" i="2"/>
  <c r="AE40" i="2"/>
  <c r="AA40" i="2"/>
  <c r="W40" i="2"/>
  <c r="S40" i="2"/>
  <c r="O40" i="2"/>
  <c r="K40" i="2"/>
  <c r="AU39" i="2"/>
  <c r="AQ39" i="2"/>
  <c r="AM39" i="2"/>
  <c r="AI39" i="2"/>
  <c r="AE39" i="2"/>
  <c r="AA39" i="2"/>
  <c r="W39" i="2"/>
  <c r="S39" i="2"/>
  <c r="O39" i="2"/>
  <c r="K39" i="2"/>
  <c r="AU38" i="2"/>
  <c r="AQ38" i="2"/>
  <c r="AM38" i="2"/>
  <c r="AI38" i="2"/>
  <c r="AE38" i="2"/>
  <c r="AA38" i="2"/>
  <c r="W38" i="2"/>
  <c r="S38" i="2"/>
  <c r="O38" i="2"/>
  <c r="K38" i="2"/>
  <c r="AU37" i="2"/>
  <c r="AQ37" i="2"/>
  <c r="AM37" i="2"/>
  <c r="AI37" i="2"/>
  <c r="AE37" i="2"/>
  <c r="AA37" i="2"/>
  <c r="W37" i="2"/>
  <c r="S37" i="2"/>
  <c r="O37" i="2"/>
  <c r="K37" i="2"/>
  <c r="AU36" i="2"/>
  <c r="AQ36" i="2"/>
  <c r="AM36" i="2"/>
  <c r="AI36" i="2"/>
  <c r="AE36" i="2"/>
  <c r="AA36" i="2"/>
  <c r="W36" i="2"/>
  <c r="S36" i="2"/>
  <c r="O36" i="2"/>
  <c r="K36" i="2"/>
  <c r="AU35" i="2"/>
  <c r="AQ35" i="2"/>
  <c r="AM35" i="2"/>
  <c r="AI35" i="2"/>
  <c r="AE35" i="2"/>
  <c r="AA35" i="2"/>
  <c r="W35" i="2"/>
  <c r="S35" i="2"/>
  <c r="O35" i="2"/>
  <c r="K35" i="2"/>
  <c r="AU34" i="2"/>
  <c r="AQ34" i="2"/>
  <c r="AM34" i="2"/>
  <c r="AI34" i="2"/>
  <c r="AE34" i="2"/>
  <c r="AA34" i="2"/>
  <c r="W34" i="2"/>
  <c r="S34" i="2"/>
  <c r="O34" i="2"/>
  <c r="K34" i="2"/>
  <c r="AU33" i="2"/>
  <c r="AQ33" i="2"/>
  <c r="AM33" i="2"/>
  <c r="AI33" i="2"/>
  <c r="AE33" i="2"/>
  <c r="AA33" i="2"/>
  <c r="W33" i="2"/>
  <c r="S33" i="2"/>
  <c r="O33" i="2"/>
  <c r="K33" i="2"/>
  <c r="AU32" i="2"/>
  <c r="AQ32" i="2"/>
  <c r="AM32" i="2"/>
  <c r="AI32" i="2"/>
  <c r="AE32" i="2"/>
  <c r="AA32" i="2"/>
  <c r="W32" i="2"/>
  <c r="S32" i="2"/>
  <c r="O32" i="2"/>
  <c r="K32" i="2"/>
  <c r="AU31" i="2"/>
  <c r="AQ31" i="2"/>
  <c r="AM31" i="2"/>
  <c r="AI31" i="2"/>
  <c r="AE31" i="2"/>
  <c r="AA31" i="2"/>
  <c r="W31" i="2"/>
  <c r="S31" i="2"/>
  <c r="O31" i="2"/>
  <c r="K31" i="2"/>
  <c r="AU30" i="2"/>
  <c r="AQ30" i="2"/>
  <c r="AM30" i="2"/>
  <c r="AI30" i="2"/>
  <c r="AE30" i="2"/>
  <c r="AA30" i="2"/>
  <c r="W30" i="2"/>
  <c r="S30" i="2"/>
  <c r="O30" i="2"/>
  <c r="K30" i="2"/>
  <c r="AU29" i="2"/>
  <c r="AQ29" i="2"/>
  <c r="AM29" i="2"/>
  <c r="AI29" i="2"/>
  <c r="AE29" i="2"/>
  <c r="AA29" i="2"/>
  <c r="W29" i="2"/>
  <c r="S29" i="2"/>
  <c r="O29" i="2"/>
  <c r="K29" i="2"/>
  <c r="AU28" i="2"/>
  <c r="AQ28" i="2"/>
  <c r="AM28" i="2"/>
  <c r="AI28" i="2"/>
  <c r="AE28" i="2"/>
  <c r="AA28" i="2"/>
  <c r="W28" i="2"/>
  <c r="S28" i="2"/>
  <c r="O28" i="2"/>
  <c r="K28" i="2"/>
  <c r="AU27" i="2"/>
  <c r="AQ27" i="2"/>
  <c r="AM27" i="2"/>
  <c r="AI27" i="2"/>
  <c r="AE27" i="2"/>
  <c r="AA27" i="2"/>
  <c r="W27" i="2"/>
  <c r="S27" i="2"/>
  <c r="O27" i="2"/>
  <c r="K27" i="2"/>
  <c r="AU26" i="2"/>
  <c r="AQ26" i="2"/>
  <c r="AM26" i="2"/>
  <c r="AI26" i="2"/>
  <c r="AE26" i="2"/>
  <c r="AA26" i="2"/>
  <c r="W26" i="2"/>
  <c r="S26" i="2"/>
  <c r="O26" i="2"/>
  <c r="K26" i="2"/>
  <c r="AU25" i="2"/>
  <c r="AQ25" i="2"/>
  <c r="AM25" i="2"/>
  <c r="AI25" i="2"/>
  <c r="AE25" i="2"/>
  <c r="AA25" i="2"/>
  <c r="W25" i="2"/>
  <c r="S25" i="2"/>
  <c r="O25" i="2"/>
  <c r="K25" i="2"/>
  <c r="AU24" i="2"/>
  <c r="AQ24" i="2"/>
  <c r="AM24" i="2"/>
  <c r="AI24" i="2"/>
  <c r="AE24" i="2"/>
  <c r="AA24" i="2"/>
  <c r="W24" i="2"/>
  <c r="S24" i="2"/>
  <c r="O24" i="2"/>
  <c r="K24" i="2"/>
  <c r="AU23" i="2"/>
  <c r="AQ23" i="2"/>
  <c r="AM23" i="2"/>
  <c r="AI23" i="2"/>
  <c r="AE23" i="2"/>
  <c r="AA23" i="2"/>
  <c r="W23" i="2"/>
  <c r="S23" i="2"/>
  <c r="O23" i="2"/>
  <c r="K23" i="2"/>
  <c r="AU22" i="2"/>
  <c r="AQ22" i="2"/>
  <c r="AM22" i="2"/>
  <c r="AI22" i="2"/>
  <c r="AE22" i="2"/>
  <c r="AA22" i="2"/>
  <c r="W22" i="2"/>
  <c r="S22" i="2"/>
  <c r="O22" i="2"/>
  <c r="K22" i="2"/>
  <c r="AU21" i="2"/>
  <c r="AQ21" i="2"/>
  <c r="AM21" i="2"/>
  <c r="AI21" i="2"/>
  <c r="AE21" i="2"/>
  <c r="AA21" i="2"/>
  <c r="W21" i="2"/>
  <c r="S21" i="2"/>
  <c r="O21" i="2"/>
  <c r="K21" i="2"/>
  <c r="AU20" i="2"/>
  <c r="AQ20" i="2"/>
  <c r="AM20" i="2"/>
  <c r="AI20" i="2"/>
  <c r="AE20" i="2"/>
  <c r="AA20" i="2"/>
  <c r="W20" i="2"/>
  <c r="S20" i="2"/>
  <c r="O20" i="2"/>
  <c r="K20" i="2"/>
  <c r="AU19" i="2"/>
  <c r="AQ19" i="2"/>
  <c r="AM19" i="2"/>
  <c r="AI19" i="2"/>
  <c r="AE19" i="2"/>
  <c r="AA19" i="2"/>
  <c r="W19" i="2"/>
  <c r="S19" i="2"/>
  <c r="O19" i="2"/>
  <c r="K19" i="2"/>
  <c r="AU18" i="2"/>
  <c r="AQ18" i="2"/>
  <c r="AM18" i="2"/>
  <c r="AI18" i="2"/>
  <c r="AE18" i="2"/>
  <c r="AA18" i="2"/>
  <c r="W18" i="2"/>
  <c r="S18" i="2"/>
  <c r="O18" i="2"/>
  <c r="K18" i="2"/>
  <c r="AU17" i="2"/>
  <c r="AQ17" i="2"/>
  <c r="AM17" i="2"/>
  <c r="AI17" i="2"/>
  <c r="AE17" i="2"/>
  <c r="AA17" i="2"/>
  <c r="W17" i="2"/>
  <c r="S17" i="2"/>
  <c r="O17" i="2"/>
  <c r="K17" i="2"/>
  <c r="AU16" i="2"/>
  <c r="AQ16" i="2"/>
  <c r="AM16" i="2"/>
  <c r="AI16" i="2"/>
  <c r="AE16" i="2"/>
  <c r="AA16" i="2"/>
  <c r="W16" i="2"/>
  <c r="S16" i="2"/>
  <c r="O16" i="2"/>
  <c r="K16" i="2"/>
  <c r="AU15" i="2"/>
  <c r="AQ15" i="2"/>
  <c r="AM15" i="2"/>
  <c r="AI15" i="2"/>
  <c r="AE15" i="2"/>
  <c r="AA15" i="2"/>
  <c r="W15" i="2"/>
  <c r="S15" i="2"/>
  <c r="O15" i="2"/>
  <c r="K15" i="2"/>
  <c r="AU14" i="2"/>
  <c r="AQ14" i="2"/>
  <c r="AM14" i="2"/>
  <c r="AI14" i="2"/>
  <c r="AE14" i="2"/>
  <c r="AA14" i="2"/>
  <c r="W14" i="2"/>
  <c r="S14" i="2"/>
  <c r="O14" i="2"/>
  <c r="K14" i="2"/>
  <c r="AU13" i="2"/>
  <c r="AQ13" i="2"/>
  <c r="AM13" i="2"/>
  <c r="AI13" i="2"/>
  <c r="AE13" i="2"/>
  <c r="AA13" i="2"/>
  <c r="W13" i="2"/>
  <c r="S13" i="2"/>
  <c r="O13" i="2"/>
  <c r="K13" i="2"/>
  <c r="AU12" i="2"/>
  <c r="AQ12" i="2"/>
  <c r="AM12" i="2"/>
  <c r="AI12" i="2"/>
  <c r="AE12" i="2"/>
  <c r="AA12" i="2"/>
  <c r="W12" i="2"/>
  <c r="S12" i="2"/>
  <c r="O12" i="2"/>
  <c r="K12" i="2"/>
  <c r="AU11" i="2"/>
  <c r="AQ11" i="2"/>
  <c r="AM11" i="2"/>
  <c r="AI11" i="2"/>
  <c r="AE11" i="2"/>
  <c r="AA11" i="2"/>
  <c r="W11" i="2"/>
  <c r="S11" i="2"/>
  <c r="O11" i="2"/>
  <c r="K11" i="2"/>
  <c r="AU10" i="2"/>
  <c r="AQ10" i="2"/>
  <c r="AM10" i="2"/>
  <c r="AI10" i="2"/>
  <c r="AE10" i="2"/>
  <c r="AA10" i="2"/>
  <c r="W10" i="2"/>
  <c r="S10" i="2"/>
  <c r="O10" i="2"/>
  <c r="K10" i="2"/>
  <c r="AT9" i="2"/>
  <c r="AU9" i="2" s="1"/>
  <c r="AP9" i="2"/>
  <c r="AQ9" i="2" s="1"/>
  <c r="AL9" i="2"/>
  <c r="AM9" i="2" s="1"/>
  <c r="AH9" i="2"/>
  <c r="AI9" i="2" s="1"/>
  <c r="AD9" i="2"/>
  <c r="AE9" i="2" s="1"/>
  <c r="Z9" i="2"/>
  <c r="AA9" i="2" s="1"/>
  <c r="V9" i="2"/>
  <c r="W9" i="2" s="1"/>
  <c r="S9" i="2"/>
  <c r="R9" i="2"/>
  <c r="N9" i="2"/>
  <c r="O9" i="2" s="1"/>
  <c r="J9" i="2"/>
  <c r="K9" i="2" s="1"/>
  <c r="AU8" i="2"/>
  <c r="AQ8" i="2"/>
  <c r="AM8" i="2"/>
  <c r="AI8" i="2"/>
  <c r="AE8" i="2"/>
  <c r="AA8" i="2"/>
  <c r="W8" i="2"/>
  <c r="S8" i="2"/>
  <c r="O8" i="2"/>
  <c r="K8" i="2"/>
  <c r="AU7" i="2"/>
  <c r="AQ7" i="2"/>
  <c r="AM7" i="2"/>
  <c r="AI7" i="2"/>
  <c r="AE7" i="2"/>
  <c r="AA7" i="2"/>
  <c r="W7" i="2"/>
  <c r="S7" i="2"/>
  <c r="O7" i="2"/>
  <c r="K7" i="2"/>
  <c r="AU6" i="2"/>
  <c r="AQ6" i="2"/>
  <c r="AM6" i="2"/>
  <c r="AI6" i="2"/>
  <c r="AE6" i="2"/>
  <c r="AA6" i="2"/>
  <c r="W6" i="2"/>
  <c r="S6" i="2"/>
  <c r="O6" i="2"/>
  <c r="K6" i="2"/>
  <c r="P7" i="7" l="1"/>
  <c r="P12" i="7"/>
  <c r="P16" i="7"/>
  <c r="S47" i="2"/>
  <c r="AU47" i="4"/>
  <c r="Q8" i="10"/>
  <c r="AQ47" i="4"/>
  <c r="O47" i="2"/>
  <c r="P14" i="7"/>
  <c r="W47" i="4"/>
  <c r="AI47" i="4"/>
  <c r="O47" i="4"/>
  <c r="AA47" i="4"/>
  <c r="K47" i="4"/>
  <c r="S47" i="4"/>
  <c r="AQ47" i="2"/>
  <c r="K47" i="2"/>
  <c r="P9" i="7"/>
  <c r="P13" i="7"/>
  <c r="Q7" i="10"/>
  <c r="AE47" i="4"/>
  <c r="AM47" i="4"/>
  <c r="AI47" i="2"/>
  <c r="AU47" i="2"/>
  <c r="AE47" i="2"/>
  <c r="AM47" i="2"/>
  <c r="W47" i="2"/>
  <c r="AA47" i="2"/>
  <c r="I10" i="10" l="1"/>
  <c r="E10" i="10"/>
  <c r="Q10" i="10" l="1"/>
  <c r="I11" i="10"/>
  <c r="E11" i="10"/>
  <c r="Q11" i="10" l="1"/>
  <c r="I12" i="10"/>
  <c r="E12" i="10"/>
  <c r="Q12" i="10" l="1"/>
  <c r="I13" i="10"/>
  <c r="E13" i="10"/>
  <c r="Q13" i="10" l="1"/>
  <c r="I14" i="10"/>
  <c r="E14" i="10"/>
  <c r="Q14" i="10" l="1"/>
  <c r="I15" i="10"/>
  <c r="E15" i="10"/>
  <c r="E16" i="10"/>
  <c r="Q16" i="10" l="1"/>
  <c r="Q15" i="10"/>
  <c r="Q19" i="10" s="1"/>
  <c r="Q23" i="10" s="1"/>
</calcChain>
</file>

<file path=xl/sharedStrings.xml><?xml version="1.0" encoding="utf-8"?>
<sst xmlns="http://schemas.openxmlformats.org/spreadsheetml/2006/main" count="661" uniqueCount="196">
  <si>
    <t>This tab intentionally left blank.</t>
  </si>
  <si>
    <t>Radford Army Ammunition Plant</t>
  </si>
  <si>
    <t>Production Price Matrix</t>
  </si>
  <si>
    <t xml:space="preserve">Contractor Fill-In: </t>
  </si>
  <si>
    <t>Ordering Period 1</t>
  </si>
  <si>
    <t>Ordering Period 2</t>
  </si>
  <si>
    <t>Ordering Period 3</t>
  </si>
  <si>
    <t>Ordering Period 4</t>
  </si>
  <si>
    <t>Ordering Period 5</t>
  </si>
  <si>
    <t>Ordering Period 6</t>
  </si>
  <si>
    <t>Ordering Period 7</t>
  </si>
  <si>
    <t>Ordering Period 8</t>
  </si>
  <si>
    <t>Ordering Period 9</t>
  </si>
  <si>
    <t>Ordering Period 10</t>
  </si>
  <si>
    <t>CLIN</t>
  </si>
  <si>
    <t>Product</t>
  </si>
  <si>
    <t>Unit of Measure</t>
  </si>
  <si>
    <t>Minimum Order Size</t>
  </si>
  <si>
    <t>Maximum Order Size</t>
  </si>
  <si>
    <t>Offeror Price</t>
  </si>
  <si>
    <t>Evaluated Quantity</t>
  </si>
  <si>
    <t>Evaluated Price</t>
  </si>
  <si>
    <t>0001</t>
  </si>
  <si>
    <t>COAI-PROP PAP7993 F/CHRG,PROP,155MM,M231</t>
  </si>
  <si>
    <t>Lbs.</t>
  </si>
  <si>
    <t>0002</t>
  </si>
  <si>
    <t>COAI-PRPLT M31A2,CHG,PROP,155MM, M232A1</t>
  </si>
  <si>
    <t>0003</t>
  </si>
  <si>
    <t>COAI-PRPLLANT M30A1 CHG,PROP,155MM, M232</t>
  </si>
  <si>
    <t>0004</t>
  </si>
  <si>
    <t>PROPELLANT, M1 SP</t>
  </si>
  <si>
    <t>0005</t>
  </si>
  <si>
    <t>PROPELLANT, M1 MP</t>
  </si>
  <si>
    <t>0006</t>
  </si>
  <si>
    <t>PROPELLANT M6, CHG,PROP,155MM,M1192A</t>
  </si>
  <si>
    <t>0007</t>
  </si>
  <si>
    <t>PROPELLANT, M10</t>
  </si>
  <si>
    <t>0008</t>
  </si>
  <si>
    <t>COAI - PROPELLANT M64 SINGLE-PERFORATED</t>
  </si>
  <si>
    <t>0009</t>
  </si>
  <si>
    <t>COAI - PROPELLANT M64 MULTI-PERFORATED</t>
  </si>
  <si>
    <t>0010</t>
  </si>
  <si>
    <t>PROPELLANT GRAIN F/MK126 RKT MTR-APOBS</t>
  </si>
  <si>
    <t>Each</t>
  </si>
  <si>
    <t>0011</t>
  </si>
  <si>
    <t>PROPELLANT, DOUBLE-BASE SHEET, TYPE N-5</t>
  </si>
  <si>
    <t>0012</t>
  </si>
  <si>
    <t>PROPELLANT, M9 FLAKE</t>
  </si>
  <si>
    <t>0013</t>
  </si>
  <si>
    <t>PROPELLANT, M5 FOR USE IN SPECIAL APPLI</t>
  </si>
  <si>
    <t>0014</t>
  </si>
  <si>
    <t>PROPELLANT, JA2 7-PERF GRANULAR, CYLINDR</t>
  </si>
  <si>
    <t>0015</t>
  </si>
  <si>
    <t>PROPELLANT, SCDB</t>
  </si>
  <si>
    <t>0016</t>
  </si>
  <si>
    <t>PROPELLANT, STICK, DEGN</t>
  </si>
  <si>
    <t>0017</t>
  </si>
  <si>
    <t>PROPELLANT, RPD-596 M1002</t>
  </si>
  <si>
    <t>0018</t>
  </si>
  <si>
    <t>PROPELLANT, RPD-596  M865A1     </t>
  </si>
  <si>
    <t>0019</t>
  </si>
  <si>
    <t>PROPELLANT, M14 M865 &amp; M724A2</t>
  </si>
  <si>
    <t>0020</t>
  </si>
  <si>
    <t>BENITE STRANDS</t>
  </si>
  <si>
    <t>0021</t>
  </si>
  <si>
    <t>FILM, INHIBITING</t>
  </si>
  <si>
    <t>0022</t>
  </si>
  <si>
    <t>AA-2 NAVY</t>
  </si>
  <si>
    <t>0023</t>
  </si>
  <si>
    <t>MK90 ROCKET GRAIN NAVY</t>
  </si>
  <si>
    <t>0024</t>
  </si>
  <si>
    <t>AA-6, PROPELLANT DOUBLE-BASE</t>
  </si>
  <si>
    <t>0025</t>
  </si>
  <si>
    <t>30MM PROPELLANT FOR THE GAU-8 SERIE</t>
  </si>
  <si>
    <t>0026</t>
  </si>
  <si>
    <t>PROPELLANT MK44, AFP-001</t>
  </si>
  <si>
    <t>0027</t>
  </si>
  <si>
    <t>PROPELLANT, M2</t>
  </si>
  <si>
    <t>0028</t>
  </si>
  <si>
    <t>COAI F/PROPELLANT M9,FLAKE(FOR USE IN 40</t>
  </si>
  <si>
    <t>0029</t>
  </si>
  <si>
    <t>NITROCELLULOSE, GRD A TYPE I</t>
  </si>
  <si>
    <t>0030</t>
  </si>
  <si>
    <t>NITROCELLULOSE, GRD A TYPE II</t>
  </si>
  <si>
    <t>0031</t>
  </si>
  <si>
    <t>NITROCELLULOSE, GRD B TYPE I</t>
  </si>
  <si>
    <t>0032</t>
  </si>
  <si>
    <t>NITROCELLULOSE, GRD B TYPE II</t>
  </si>
  <si>
    <t>0033</t>
  </si>
  <si>
    <t>NITROCELLULOSE, GRD B TYPE III</t>
  </si>
  <si>
    <t>0034</t>
  </si>
  <si>
    <t>NITROCELLULOSE, GRD C TYPE I</t>
  </si>
  <si>
    <t>0035</t>
  </si>
  <si>
    <t>NITROCELLULOSE, GRD C TYPE II</t>
  </si>
  <si>
    <t>0036</t>
  </si>
  <si>
    <t>NITROCELLULOSE, GRD D</t>
  </si>
  <si>
    <t>0037</t>
  </si>
  <si>
    <t>NITROCELLULOSE, GRD E</t>
  </si>
  <si>
    <t>0038</t>
  </si>
  <si>
    <t>NITROCELLULOSE, GRD F</t>
  </si>
  <si>
    <t>MK90 ROCKET GRAIN NAVY (from tab 1.1.1)</t>
  </si>
  <si>
    <t>OP  2 Evaluated Price</t>
  </si>
  <si>
    <t>OP  3 Evaluated Price</t>
  </si>
  <si>
    <t>OP  4 Evaluated Price</t>
  </si>
  <si>
    <t>OP  5 Evaluated Price</t>
  </si>
  <si>
    <t>OP  6 Evaluated Price</t>
  </si>
  <si>
    <t>OP  7 Evaluated Price</t>
  </si>
  <si>
    <t>OP  8 Evaluated Price</t>
  </si>
  <si>
    <t>OP  9 Evaluated Price</t>
  </si>
  <si>
    <t>OP  10 Evaluated Price</t>
  </si>
  <si>
    <t>Contractor will enter each OP Evaluated Price into its corresponding cell in the Summary Production Price tab.</t>
  </si>
  <si>
    <t>Production Price Matrix - MK-90 Weighted</t>
  </si>
  <si>
    <t>EU Volume Range: 1-35,000,000</t>
  </si>
  <si>
    <t>CLIN 0023 MK90 ROCKET GRAIN NAVY</t>
  </si>
  <si>
    <t>Quantity Range</t>
  </si>
  <si>
    <t>Range Weighting</t>
  </si>
  <si>
    <t>Unit Price</t>
  </si>
  <si>
    <t>Weighted Unit Price….........................................................................................................</t>
  </si>
  <si>
    <t>OP  1 Evaluated Price</t>
  </si>
  <si>
    <t>MK90 ROCKET GRAIN NAVY (from tab 1.2.1)</t>
  </si>
  <si>
    <t>Weighted unit prices will populate corresponding cell in the 1.2 Volume Range 2 tab.</t>
  </si>
  <si>
    <t>Weighted unit prices will populate corresponding cell in the 1.1 Volume Range 1 tab.</t>
  </si>
  <si>
    <t>First Article Test Pricing</t>
  </si>
  <si>
    <t>Production Price Matrix - First Article Test</t>
  </si>
  <si>
    <t>Ordering Period Evaluated FAT Price*</t>
  </si>
  <si>
    <t>*Contractor will enter each OP's Evaluated FAT Price into its corresponding cell in the Summary Production Price tab.</t>
  </si>
  <si>
    <t>Summary Production Price</t>
  </si>
  <si>
    <t>Ordering Period</t>
  </si>
  <si>
    <t>Plant Wide Range 1</t>
  </si>
  <si>
    <t>Plant Wide Range 2</t>
  </si>
  <si>
    <t xml:space="preserve"> First Article Test (FAT) </t>
  </si>
  <si>
    <t>Total Ordering Period Weighted Production Price*</t>
  </si>
  <si>
    <t>OP Price</t>
  </si>
  <si>
    <t>Weighting Factor</t>
  </si>
  <si>
    <t>Evaluated Production Price</t>
  </si>
  <si>
    <t>OP 1</t>
  </si>
  <si>
    <t>OP 2</t>
  </si>
  <si>
    <t>OP 3</t>
  </si>
  <si>
    <t>OP 4</t>
  </si>
  <si>
    <t>OP 5</t>
  </si>
  <si>
    <t>OP 6</t>
  </si>
  <si>
    <t>OP 7</t>
  </si>
  <si>
    <t>OP 8</t>
  </si>
  <si>
    <t>OP 9</t>
  </si>
  <si>
    <t>OP 10</t>
  </si>
  <si>
    <t>*Contractor will enter each OP's Total Ordering Period Weighted Production Price into the Summary TEP tab.</t>
  </si>
  <si>
    <t>\</t>
  </si>
  <si>
    <t>OP Evaluated PWS*</t>
  </si>
  <si>
    <t>PWS 18 - Ground Watering &amp; Industrial Restoration</t>
  </si>
  <si>
    <t>PWS 17 - Transition Out</t>
  </si>
  <si>
    <t>PWS 15 - ALTESS</t>
  </si>
  <si>
    <t>PWS 13 - Cyber Security</t>
  </si>
  <si>
    <t>PWS 11 - Facility Operations and Production Reporting</t>
  </si>
  <si>
    <t>PWS 10 - Energy and Utility Service Management</t>
  </si>
  <si>
    <t>PWS 9 - Safety Operations Management</t>
  </si>
  <si>
    <t>PWS 8 - Transition In</t>
  </si>
  <si>
    <t>PWS 7 - Maintenance of Facilities</t>
  </si>
  <si>
    <t>PWS 6 - Installation Security and Antiterrorism</t>
  </si>
  <si>
    <t>PWS 5 - Occupational Health</t>
  </si>
  <si>
    <t>PWS 4 - Government Property in Possession of Contractor</t>
  </si>
  <si>
    <t>PWS 3 - Fire Protection and Emergency Services</t>
  </si>
  <si>
    <t>PWS 2 - Facility Planning</t>
  </si>
  <si>
    <t>PWS 1 - Environmental</t>
  </si>
  <si>
    <t>PWS</t>
  </si>
  <si>
    <t>PWS Price</t>
  </si>
  <si>
    <t>PWS Price Matrix</t>
  </si>
  <si>
    <t>Total Evaluated Price</t>
  </si>
  <si>
    <t>Total Reset Plan Value</t>
  </si>
  <si>
    <t>Interim Total Evaluated Price</t>
  </si>
  <si>
    <t>Weighted OP</t>
  </si>
  <si>
    <t>Evaluated PWS Price</t>
  </si>
  <si>
    <t>OP PWS Price</t>
  </si>
  <si>
    <t>OP Production Price</t>
  </si>
  <si>
    <t>Summary TEP</t>
  </si>
  <si>
    <t>NA</t>
  </si>
  <si>
    <t>OP1</t>
  </si>
  <si>
    <t>Item</t>
  </si>
  <si>
    <t>NC Fines Disposal Price</t>
  </si>
  <si>
    <t>Economic Price Adjustment - General Inflation</t>
  </si>
  <si>
    <t>Natural Gas EPA</t>
  </si>
  <si>
    <t>EPA Adjustment to Total PWS Price</t>
  </si>
  <si>
    <t>Adjusted Natural Gas Cost (Total Value)</t>
  </si>
  <si>
    <t>Ordering Period Adjusted Natural Gas Cost (per MMBTU)</t>
  </si>
  <si>
    <t>Base of Escalation</t>
  </si>
  <si>
    <t>Total Natural Gas Subject to EPA (MMBTU's)</t>
  </si>
  <si>
    <t>Natural Gas Base Reference Cost (per MMBTU)</t>
  </si>
  <si>
    <t>Economic Price Adjustment - Natural Gas</t>
  </si>
  <si>
    <t>OP NC Fines Price</t>
  </si>
  <si>
    <t>Evaluated NC Fines Price</t>
  </si>
  <si>
    <t>NC Fines Price Matrix</t>
  </si>
  <si>
    <t>Contractor will enter each OP value into the PWS section of the 4.0 Summary TEP tab for the corresponding ordering period.</t>
  </si>
  <si>
    <t>Contractor will enter value into the PWS section of the 4.0 Summary TEP tab for the corresponding ordering period.</t>
  </si>
  <si>
    <t>NC Fines Disposal Base Price (up to 2,000,000 lbs.)</t>
  </si>
  <si>
    <t>EU Volume Range: 35,000,001 and Above</t>
  </si>
  <si>
    <t>NC Fines Disposal Price per Pound (Amounts Above 2,000,000 lbs.)</t>
  </si>
  <si>
    <t>OP Evaluated NC Fines Disposal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</si>
</sst>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_(* #,##0_);_(* \(#,##0\);_(* &quot;-&quot;??_);_(@_)"/>
    <numFmt numFmtId="166" formatCode="&quot;$&quot;#,##0.00"/>
    <numFmt numFmtId="167" formatCode="_(&quot;$&quot;* #,##0_);_(&quot;$&quot;* \(#,##0\);_(&quot;$&quot;* &quot;-&quot;??_);_(@_)"/>
    <numFmt numFmtId="168" formatCode="&quot;$&quot;#,##0"/>
  </numFmts>
  <fonts count="24" x14ac:knownFonts="1">
    <font>
      <sz val="11"/>
      <color theme="1"/>
      <name val="Calibri"/>
      <family val="2"/>
      <scheme val="minor"/>
    </font>
    <font>
      <sz val="11"/>
      <color theme="1"/>
      <name val="Calibri"/>
      <family val="2"/>
      <scheme val="minor"/>
    </font>
    <font>
      <sz val="11"/>
      <color rgb="FF3F3F76"/>
      <name val="Calibri"/>
      <family val="2"/>
      <scheme val="minor"/>
    </font>
    <font>
      <i/>
      <sz val="11"/>
      <color theme="1"/>
      <name val="Calibri"/>
      <family val="2"/>
      <scheme val="minor"/>
    </font>
    <font>
      <b/>
      <sz val="12"/>
      <color theme="1"/>
      <name val="Times New Roman"/>
      <family val="1"/>
    </font>
    <font>
      <sz val="12"/>
      <color theme="1"/>
      <name val="Calibri"/>
      <family val="2"/>
      <scheme val="minor"/>
    </font>
    <font>
      <b/>
      <sz val="12"/>
      <color theme="1"/>
      <name val="Calibri"/>
      <family val="2"/>
      <scheme val="minor"/>
    </font>
    <font>
      <sz val="12"/>
      <color theme="1"/>
      <name val="Times New Roman"/>
      <family val="1"/>
    </font>
    <font>
      <sz val="12"/>
      <color rgb="FF3F3F76"/>
      <name val="Times New Roman"/>
      <family val="1"/>
    </font>
    <font>
      <sz val="12"/>
      <name val="Times New Roman"/>
      <family val="1"/>
    </font>
    <font>
      <b/>
      <sz val="12"/>
      <name val="Times New Roman"/>
      <family val="1"/>
    </font>
    <font>
      <b/>
      <sz val="10"/>
      <name val="Times New Roman"/>
      <family val="1"/>
    </font>
    <font>
      <sz val="8"/>
      <name val="Times New Roman"/>
      <family val="1"/>
    </font>
    <font>
      <b/>
      <sz val="10"/>
      <color theme="1"/>
      <name val="Times New Roman"/>
      <family val="1"/>
    </font>
    <font>
      <b/>
      <sz val="11"/>
      <color theme="1"/>
      <name val="Times New Roman"/>
      <family val="1"/>
    </font>
    <font>
      <sz val="11"/>
      <color theme="1"/>
      <name val="Times New Roman"/>
      <family val="1"/>
    </font>
    <font>
      <sz val="11"/>
      <color rgb="FF3F3F76"/>
      <name val="Times New Roman"/>
      <family val="1"/>
    </font>
    <font>
      <sz val="11"/>
      <color rgb="FFC00000"/>
      <name val="Calibri"/>
      <family val="2"/>
      <scheme val="minor"/>
    </font>
    <font>
      <b/>
      <sz val="11"/>
      <color rgb="FFC00000"/>
      <name val="Calibri"/>
      <family val="2"/>
      <scheme val="minor"/>
    </font>
    <font>
      <b/>
      <sz val="11"/>
      <color rgb="FFC00000"/>
      <name val="Times New Roman"/>
      <family val="1"/>
    </font>
    <font>
      <sz val="11"/>
      <color rgb="FFC00000"/>
      <name val="Times New Roman"/>
      <family val="1"/>
    </font>
    <font>
      <b/>
      <i/>
      <sz val="11"/>
      <color theme="1"/>
      <name val="Times New Roman"/>
      <family val="1"/>
    </font>
    <font>
      <i/>
      <sz val="11"/>
      <color theme="1"/>
      <name val="Times New Roman"/>
      <family val="1"/>
    </font>
    <font>
      <i/>
      <sz val="11"/>
      <color rgb="FFC00000"/>
      <name val="Times New Roman"/>
      <family val="1"/>
    </font>
  </fonts>
  <fills count="10">
    <fill>
      <patternFill patternType="none"/>
    </fill>
    <fill>
      <patternFill patternType="gray125"/>
    </fill>
    <fill>
      <patternFill patternType="solid">
        <fgColor rgb="FFFFCC99"/>
      </patternFill>
    </fill>
    <fill>
      <patternFill patternType="solid">
        <fgColor rgb="FFFFFFCC"/>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2" tint="-0.499984740745262"/>
        <bgColor indexed="64"/>
      </patternFill>
    </fill>
    <fill>
      <patternFill patternType="solid">
        <fgColor theme="0" tint="-4.9989318521683403E-2"/>
        <bgColor theme="1" tint="0.499984740745262"/>
      </patternFill>
    </fill>
    <fill>
      <patternFill patternType="solid">
        <fgColor theme="0" tint="-0.14999847407452621"/>
        <bgColor indexed="64"/>
      </patternFill>
    </fill>
    <fill>
      <patternFill patternType="solid">
        <fgColor theme="1" tint="0.249977111117893"/>
        <bgColor indexed="64"/>
      </patternFill>
    </fill>
  </fills>
  <borders count="28">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medium">
        <color indexed="64"/>
      </left>
      <right/>
      <top/>
      <bottom/>
      <diagonal/>
    </border>
    <border>
      <left/>
      <right style="medium">
        <color indexed="64"/>
      </right>
      <top/>
      <bottom style="medium">
        <color indexed="64"/>
      </bottom>
      <diagonal/>
    </border>
    <border>
      <left style="medium">
        <color indexed="64"/>
      </left>
      <right/>
      <top/>
      <bottom style="medium">
        <color indexed="64"/>
      </bottom>
      <diagonal/>
    </border>
    <border>
      <left style="thin">
        <color rgb="FF7F7F7F"/>
      </left>
      <right style="medium">
        <color indexed="64"/>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right/>
      <top/>
      <bottom style="medium">
        <color indexed="64"/>
      </bottom>
      <diagonal/>
    </border>
    <border>
      <left/>
      <right style="medium">
        <color indexed="64"/>
      </right>
      <top/>
      <bottom/>
      <diagonal/>
    </border>
    <border>
      <left/>
      <right/>
      <top/>
      <bottom style="thin">
        <color theme="0" tint="-0.499984740745262"/>
      </bottom>
      <diagonal/>
    </border>
    <border>
      <left style="thin">
        <color rgb="FFB2B2B2"/>
      </left>
      <right style="thin">
        <color rgb="FFB2B2B2"/>
      </right>
      <top style="thin">
        <color rgb="FFB2B2B2"/>
      </top>
      <bottom style="thin">
        <color theme="0" tint="-0.499984740745262"/>
      </bottom>
      <diagonal/>
    </border>
    <border>
      <left style="thin">
        <color theme="0" tint="-0.499984740745262"/>
      </left>
      <right/>
      <top/>
      <bottom style="thin">
        <color theme="0" tint="-0.499984740745262"/>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2" borderId="1" applyNumberFormat="0" applyAlignment="0" applyProtection="0"/>
    <xf numFmtId="0" fontId="1" fillId="3" borderId="2" applyNumberFormat="0" applyFont="0" applyAlignment="0" applyProtection="0"/>
  </cellStyleXfs>
  <cellXfs count="132">
    <xf numFmtId="0" fontId="0" fillId="0" borderId="0" xfId="0"/>
    <xf numFmtId="0" fontId="3" fillId="0" borderId="0" xfId="0" applyFont="1"/>
    <xf numFmtId="0" fontId="4" fillId="0" borderId="0" xfId="0" applyFont="1" applyAlignment="1">
      <alignment vertical="center"/>
    </xf>
    <xf numFmtId="0" fontId="4" fillId="0" borderId="0" xfId="0" applyFont="1" applyAlignment="1">
      <alignment horizontal="center" vertical="center"/>
    </xf>
    <xf numFmtId="0" fontId="5" fillId="0" borderId="0" xfId="0" applyFont="1" applyAlignment="1">
      <alignment vertical="center"/>
    </xf>
    <xf numFmtId="164" fontId="5" fillId="0" borderId="0" xfId="1" applyNumberFormat="1" applyFont="1" applyAlignment="1">
      <alignment vertical="center"/>
    </xf>
    <xf numFmtId="43" fontId="6" fillId="0" borderId="0" xfId="1" applyFont="1" applyBorder="1" applyAlignment="1">
      <alignment vertical="center"/>
    </xf>
    <xf numFmtId="43" fontId="5" fillId="0" borderId="0" xfId="1" applyFont="1" applyAlignment="1">
      <alignment vertical="center"/>
    </xf>
    <xf numFmtId="0" fontId="0" fillId="0" borderId="0" xfId="0" applyAlignment="1">
      <alignment vertical="center"/>
    </xf>
    <xf numFmtId="0" fontId="5" fillId="0" borderId="0" xfId="0" applyFont="1" applyAlignment="1">
      <alignment horizontal="right" vertical="center"/>
    </xf>
    <xf numFmtId="0" fontId="4" fillId="4" borderId="0" xfId="0" applyFont="1" applyFill="1" applyAlignment="1" applyProtection="1">
      <alignment vertical="center"/>
      <protection locked="0"/>
    </xf>
    <xf numFmtId="44" fontId="5" fillId="0" borderId="0" xfId="2" applyFont="1" applyBorder="1" applyAlignment="1">
      <alignment vertical="center"/>
    </xf>
    <xf numFmtId="164" fontId="5" fillId="0" borderId="0" xfId="0" applyNumberFormat="1" applyFont="1" applyAlignment="1">
      <alignment vertical="center"/>
    </xf>
    <xf numFmtId="0" fontId="4" fillId="0" borderId="0" xfId="0" applyFont="1" applyAlignment="1">
      <alignment horizontal="left" vertical="center"/>
    </xf>
    <xf numFmtId="0" fontId="5" fillId="0" borderId="0" xfId="0" applyFont="1"/>
    <xf numFmtId="0" fontId="5" fillId="0" borderId="0" xfId="0" applyFont="1" applyAlignment="1">
      <alignment horizontal="center"/>
    </xf>
    <xf numFmtId="3" fontId="4" fillId="5" borderId="3" xfId="0" applyNumberFormat="1" applyFont="1" applyFill="1" applyBorder="1" applyAlignment="1">
      <alignment horizontal="center" vertical="center" wrapText="1"/>
    </xf>
    <xf numFmtId="164" fontId="5" fillId="0" borderId="0" xfId="0" applyNumberFormat="1" applyFont="1"/>
    <xf numFmtId="3" fontId="4" fillId="5" borderId="3" xfId="0" applyNumberFormat="1" applyFont="1" applyFill="1" applyBorder="1" applyAlignment="1">
      <alignment horizontal="center" wrapText="1"/>
    </xf>
    <xf numFmtId="0" fontId="7" fillId="0" borderId="0" xfId="0" applyFont="1" applyAlignment="1">
      <alignment vertical="center" wrapText="1"/>
    </xf>
    <xf numFmtId="44" fontId="4" fillId="5" borderId="4" xfId="2" applyFont="1" applyFill="1" applyBorder="1" applyAlignment="1">
      <alignment horizontal="center" wrapText="1"/>
    </xf>
    <xf numFmtId="165" fontId="4" fillId="5" borderId="4" xfId="1" applyNumberFormat="1" applyFont="1" applyFill="1" applyBorder="1" applyAlignment="1">
      <alignment horizontal="center" wrapText="1"/>
    </xf>
    <xf numFmtId="44" fontId="4" fillId="5" borderId="3" xfId="2" applyFont="1" applyFill="1" applyBorder="1" applyAlignment="1">
      <alignment horizontal="center" wrapText="1"/>
    </xf>
    <xf numFmtId="165" fontId="4" fillId="5" borderId="3" xfId="1" applyNumberFormat="1" applyFont="1" applyFill="1" applyBorder="1" applyAlignment="1">
      <alignment horizontal="center" wrapText="1"/>
    </xf>
    <xf numFmtId="0" fontId="7" fillId="0" borderId="5" xfId="0" applyFont="1" applyBorder="1" applyAlignment="1">
      <alignment horizontal="center" vertical="center"/>
    </xf>
    <xf numFmtId="0" fontId="7" fillId="0" borderId="5" xfId="0" applyFont="1" applyBorder="1" applyAlignment="1">
      <alignment horizontal="left" vertical="center"/>
    </xf>
    <xf numFmtId="0" fontId="7" fillId="0" borderId="0" xfId="0" applyFont="1" applyAlignment="1">
      <alignment vertical="center"/>
    </xf>
    <xf numFmtId="3" fontId="7" fillId="0" borderId="5" xfId="1" applyNumberFormat="1" applyFont="1" applyFill="1" applyBorder="1" applyAlignment="1">
      <alignment horizontal="center" vertical="center"/>
    </xf>
    <xf numFmtId="44" fontId="8" fillId="2" borderId="5" xfId="4" applyNumberFormat="1" applyFont="1" applyBorder="1" applyAlignment="1">
      <alignment vertical="center"/>
    </xf>
    <xf numFmtId="44" fontId="4" fillId="5" borderId="5" xfId="2" applyFont="1" applyFill="1" applyBorder="1" applyAlignment="1">
      <alignment vertical="center"/>
    </xf>
    <xf numFmtId="164" fontId="5" fillId="0" borderId="0" xfId="3" applyNumberFormat="1" applyFont="1" applyAlignment="1">
      <alignment horizontal="center" vertical="center"/>
    </xf>
    <xf numFmtId="0" fontId="7" fillId="6" borderId="5" xfId="0" applyFont="1" applyFill="1" applyBorder="1" applyAlignment="1">
      <alignment horizontal="center" vertical="center"/>
    </xf>
    <xf numFmtId="0" fontId="7" fillId="6" borderId="5" xfId="0" applyFont="1" applyFill="1" applyBorder="1" applyAlignment="1">
      <alignment horizontal="left" vertical="center"/>
    </xf>
    <xf numFmtId="0" fontId="7" fillId="6" borderId="0" xfId="0" applyFont="1" applyFill="1" applyAlignment="1">
      <alignment vertical="center"/>
    </xf>
    <xf numFmtId="3" fontId="7" fillId="6" borderId="5" xfId="1" applyNumberFormat="1" applyFont="1" applyFill="1" applyBorder="1" applyAlignment="1">
      <alignment horizontal="center" vertical="center"/>
    </xf>
    <xf numFmtId="44" fontId="8" fillId="6" borderId="5" xfId="4" applyNumberFormat="1" applyFont="1" applyFill="1" applyBorder="1" applyAlignment="1">
      <alignment vertical="center"/>
    </xf>
    <xf numFmtId="44" fontId="4" fillId="6" borderId="5" xfId="2" applyFont="1" applyFill="1" applyBorder="1" applyAlignment="1">
      <alignment vertical="center"/>
    </xf>
    <xf numFmtId="164" fontId="5" fillId="6" borderId="0" xfId="3" applyNumberFormat="1" applyFont="1" applyFill="1" applyAlignment="1">
      <alignment horizontal="center" vertical="center"/>
    </xf>
    <xf numFmtId="0" fontId="5" fillId="6" borderId="0" xfId="0" applyFont="1" applyFill="1"/>
    <xf numFmtId="3" fontId="7" fillId="0" borderId="0" xfId="1" applyNumberFormat="1" applyFont="1" applyFill="1" applyBorder="1" applyAlignment="1">
      <alignment horizontal="center" vertical="center"/>
    </xf>
    <xf numFmtId="44" fontId="8" fillId="0" borderId="5" xfId="4" applyNumberFormat="1" applyFont="1" applyFill="1" applyBorder="1" applyAlignment="1">
      <alignment vertical="center"/>
    </xf>
    <xf numFmtId="0" fontId="7" fillId="0" borderId="0" xfId="0" applyFont="1" applyAlignment="1">
      <alignment horizontal="center" vertical="center"/>
    </xf>
    <xf numFmtId="0" fontId="7" fillId="0" borderId="0" xfId="0" applyFont="1" applyAlignment="1">
      <alignment horizontal="left" vertical="center"/>
    </xf>
    <xf numFmtId="44" fontId="4" fillId="0" borderId="0" xfId="2" applyFont="1" applyBorder="1" applyAlignment="1">
      <alignment horizontal="right" vertical="center"/>
    </xf>
    <xf numFmtId="0" fontId="4" fillId="0" borderId="0" xfId="0" applyFont="1" applyAlignment="1">
      <alignment horizontal="right" vertical="center"/>
    </xf>
    <xf numFmtId="44" fontId="4" fillId="5" borderId="3" xfId="2" applyFont="1" applyFill="1" applyBorder="1" applyAlignment="1">
      <alignment vertical="center"/>
    </xf>
    <xf numFmtId="0" fontId="0" fillId="0" borderId="0" xfId="0" applyAlignment="1">
      <alignment horizontal="center"/>
    </xf>
    <xf numFmtId="0" fontId="7" fillId="0" borderId="0" xfId="0" applyFont="1"/>
    <xf numFmtId="166" fontId="9" fillId="0" borderId="0" xfId="0" applyNumberFormat="1" applyFont="1" applyAlignment="1">
      <alignment horizontal="center" vertical="center"/>
    </xf>
    <xf numFmtId="1" fontId="10" fillId="0" borderId="0" xfId="0" applyNumberFormat="1" applyFont="1" applyAlignment="1">
      <alignment horizontal="center" vertical="center"/>
    </xf>
    <xf numFmtId="165" fontId="10" fillId="0" borderId="0" xfId="1" applyNumberFormat="1" applyFont="1" applyAlignment="1">
      <alignment vertical="center"/>
    </xf>
    <xf numFmtId="3" fontId="9" fillId="0" borderId="0" xfId="1" applyNumberFormat="1" applyFont="1" applyBorder="1" applyAlignment="1">
      <alignment horizontal="center" vertical="center"/>
    </xf>
    <xf numFmtId="9" fontId="9" fillId="0" borderId="0" xfId="3" applyFont="1" applyAlignment="1">
      <alignment horizontal="center" vertical="center"/>
    </xf>
    <xf numFmtId="165" fontId="10" fillId="0" borderId="0" xfId="0" applyNumberFormat="1" applyFont="1" applyAlignment="1">
      <alignment horizontal="left" vertical="center"/>
    </xf>
    <xf numFmtId="165" fontId="11" fillId="7" borderId="3" xfId="0" applyNumberFormat="1" applyFont="1" applyFill="1" applyBorder="1" applyAlignment="1">
      <alignment horizontal="center" vertical="center" wrapText="1"/>
    </xf>
    <xf numFmtId="3" fontId="9" fillId="0" borderId="0" xfId="0" applyNumberFormat="1" applyFont="1" applyAlignment="1">
      <alignment horizontal="center" vertical="center"/>
    </xf>
    <xf numFmtId="165" fontId="9" fillId="0" borderId="0" xfId="0" applyNumberFormat="1" applyFont="1" applyAlignment="1">
      <alignment horizontal="center" vertical="center"/>
    </xf>
    <xf numFmtId="166" fontId="12" fillId="4" borderId="3" xfId="0" applyNumberFormat="1" applyFont="1" applyFill="1" applyBorder="1" applyAlignment="1" applyProtection="1">
      <alignment horizontal="center" vertical="center"/>
      <protection locked="0"/>
    </xf>
    <xf numFmtId="166" fontId="10" fillId="7" borderId="3" xfId="0" applyNumberFormat="1" applyFont="1" applyFill="1" applyBorder="1" applyAlignment="1">
      <alignment horizontal="center" vertical="center" wrapText="1"/>
    </xf>
    <xf numFmtId="9" fontId="5" fillId="0" borderId="0" xfId="0" applyNumberFormat="1" applyFont="1"/>
    <xf numFmtId="44" fontId="13" fillId="5" borderId="3" xfId="2" applyFont="1" applyFill="1" applyBorder="1" applyAlignment="1">
      <alignment horizontal="center" wrapText="1"/>
    </xf>
    <xf numFmtId="0" fontId="14" fillId="0" borderId="0" xfId="0" applyFont="1"/>
    <xf numFmtId="44" fontId="15" fillId="0" borderId="0" xfId="0" applyNumberFormat="1" applyFont="1"/>
    <xf numFmtId="0" fontId="15" fillId="0" borderId="0" xfId="0" applyFont="1"/>
    <xf numFmtId="0" fontId="4" fillId="0" borderId="0" xfId="0" applyFont="1" applyAlignment="1">
      <alignment horizontal="right"/>
    </xf>
    <xf numFmtId="0" fontId="4" fillId="4" borderId="0" xfId="0" applyFont="1" applyFill="1" applyProtection="1">
      <protection locked="0"/>
    </xf>
    <xf numFmtId="0" fontId="14" fillId="0" borderId="0" xfId="0" applyFont="1" applyAlignment="1">
      <alignment horizontal="left"/>
    </xf>
    <xf numFmtId="3" fontId="14" fillId="5" borderId="8" xfId="1" applyNumberFormat="1" applyFont="1" applyFill="1" applyBorder="1" applyAlignment="1">
      <alignment horizontal="center" vertical="center" wrapText="1"/>
    </xf>
    <xf numFmtId="44" fontId="14" fillId="5" borderId="8" xfId="1" applyNumberFormat="1" applyFont="1" applyFill="1" applyBorder="1" applyAlignment="1">
      <alignment horizontal="center" vertical="center" wrapText="1"/>
    </xf>
    <xf numFmtId="0" fontId="15" fillId="0" borderId="8" xfId="0" applyFont="1" applyBorder="1"/>
    <xf numFmtId="44" fontId="16" fillId="2" borderId="8" xfId="4" applyNumberFormat="1" applyFont="1" applyBorder="1" applyAlignment="1">
      <alignment vertical="center"/>
    </xf>
    <xf numFmtId="9" fontId="15" fillId="0" borderId="8" xfId="0" applyNumberFormat="1" applyFont="1" applyBorder="1" applyAlignment="1">
      <alignment horizontal="center"/>
    </xf>
    <xf numFmtId="44" fontId="14" fillId="5" borderId="8" xfId="2" applyFont="1" applyFill="1" applyBorder="1"/>
    <xf numFmtId="44" fontId="14" fillId="0" borderId="8" xfId="2" applyFont="1" applyFill="1" applyBorder="1"/>
    <xf numFmtId="44" fontId="14" fillId="8" borderId="8" xfId="2" applyFont="1" applyFill="1" applyBorder="1"/>
    <xf numFmtId="10" fontId="0" fillId="0" borderId="0" xfId="0" applyNumberFormat="1"/>
    <xf numFmtId="0" fontId="15" fillId="0" borderId="0" xfId="0" applyFont="1" applyAlignment="1">
      <alignment vertical="center"/>
    </xf>
    <xf numFmtId="0" fontId="17" fillId="0" borderId="0" xfId="0" applyFont="1"/>
    <xf numFmtId="0" fontId="15" fillId="0" borderId="14" xfId="0" applyFont="1" applyBorder="1" applyAlignment="1">
      <alignment vertical="center"/>
    </xf>
    <xf numFmtId="167" fontId="14" fillId="8" borderId="15" xfId="0" applyNumberFormat="1" applyFont="1" applyFill="1" applyBorder="1" applyAlignment="1">
      <alignment vertical="center"/>
    </xf>
    <xf numFmtId="165" fontId="14" fillId="0" borderId="16" xfId="1" applyNumberFormat="1" applyFont="1" applyBorder="1" applyAlignment="1">
      <alignment horizontal="right" vertical="center"/>
    </xf>
    <xf numFmtId="167" fontId="16" fillId="2" borderId="17" xfId="4" applyNumberFormat="1" applyFont="1" applyBorder="1" applyAlignment="1">
      <alignment vertical="center"/>
    </xf>
    <xf numFmtId="0" fontId="18" fillId="0" borderId="0" xfId="0" applyFont="1"/>
    <xf numFmtId="167" fontId="19" fillId="2" borderId="17" xfId="4" applyNumberFormat="1" applyFont="1" applyBorder="1" applyAlignment="1">
      <alignment vertical="center"/>
    </xf>
    <xf numFmtId="0" fontId="1" fillId="0" borderId="0" xfId="0" applyFont="1"/>
    <xf numFmtId="165" fontId="14" fillId="5" borderId="18" xfId="1" applyNumberFormat="1" applyFont="1" applyFill="1" applyBorder="1" applyAlignment="1">
      <alignment horizontal="center" vertical="center" wrapText="1"/>
    </xf>
    <xf numFmtId="168" fontId="14" fillId="5" borderId="22" xfId="0" applyNumberFormat="1" applyFont="1" applyFill="1" applyBorder="1"/>
    <xf numFmtId="44" fontId="14" fillId="0" borderId="0" xfId="1" applyNumberFormat="1" applyFont="1" applyFill="1" applyBorder="1" applyAlignment="1">
      <alignment horizontal="right" vertical="center"/>
    </xf>
    <xf numFmtId="0" fontId="20" fillId="0" borderId="0" xfId="0" applyFont="1"/>
    <xf numFmtId="167" fontId="21" fillId="0" borderId="0" xfId="2" applyNumberFormat="1" applyFont="1"/>
    <xf numFmtId="44" fontId="21" fillId="0" borderId="0" xfId="1" applyNumberFormat="1" applyFont="1" applyFill="1" applyBorder="1" applyAlignment="1">
      <alignment horizontal="right" vertical="center"/>
    </xf>
    <xf numFmtId="0" fontId="22" fillId="0" borderId="0" xfId="0" applyFont="1"/>
    <xf numFmtId="9" fontId="0" fillId="0" borderId="0" xfId="0" applyNumberFormat="1"/>
    <xf numFmtId="9" fontId="15" fillId="0" borderId="0" xfId="0" applyNumberFormat="1" applyFont="1"/>
    <xf numFmtId="0" fontId="23" fillId="0" borderId="0" xfId="0" applyFont="1" applyAlignment="1">
      <alignment horizontal="center" vertical="center"/>
    </xf>
    <xf numFmtId="0" fontId="4" fillId="0" borderId="0" xfId="0" applyFont="1" applyAlignment="1">
      <alignment horizontal="left"/>
    </xf>
    <xf numFmtId="0" fontId="4" fillId="0" borderId="0" xfId="0" applyFont="1"/>
    <xf numFmtId="44" fontId="14" fillId="5" borderId="5" xfId="2" applyFont="1" applyFill="1" applyBorder="1" applyAlignment="1">
      <alignment vertical="center"/>
    </xf>
    <xf numFmtId="44" fontId="15" fillId="0" borderId="25" xfId="2" applyFont="1" applyBorder="1"/>
    <xf numFmtId="44" fontId="15" fillId="3" borderId="26" xfId="5" applyNumberFormat="1" applyFont="1" applyBorder="1"/>
    <xf numFmtId="165" fontId="15" fillId="0" borderId="25" xfId="1" applyNumberFormat="1" applyFont="1" applyBorder="1"/>
    <xf numFmtId="0" fontId="15" fillId="0" borderId="27" xfId="0" applyFont="1" applyBorder="1"/>
    <xf numFmtId="0" fontId="14" fillId="5" borderId="5" xfId="0" applyFont="1" applyFill="1" applyBorder="1" applyAlignment="1">
      <alignment horizontal="center" vertical="center" wrapText="1"/>
    </xf>
    <xf numFmtId="0" fontId="14" fillId="5" borderId="5" xfId="0" applyFont="1" applyFill="1" applyBorder="1" applyAlignment="1">
      <alignment vertical="center" wrapText="1"/>
    </xf>
    <xf numFmtId="44" fontId="16" fillId="9" borderId="8" xfId="4" applyNumberFormat="1" applyFont="1" applyFill="1" applyBorder="1" applyAlignment="1">
      <alignment vertical="center"/>
    </xf>
    <xf numFmtId="165" fontId="4" fillId="5" borderId="18" xfId="1" applyNumberFormat="1" applyFont="1" applyFill="1" applyBorder="1" applyAlignment="1">
      <alignment horizontal="center" vertical="center" wrapText="1"/>
    </xf>
    <xf numFmtId="0" fontId="7" fillId="0" borderId="14" xfId="0" applyFont="1" applyBorder="1" applyAlignment="1">
      <alignment vertical="center"/>
    </xf>
    <xf numFmtId="0" fontId="7" fillId="0" borderId="24" xfId="0" applyFont="1" applyBorder="1" applyAlignment="1">
      <alignment vertical="center"/>
    </xf>
    <xf numFmtId="44" fontId="8" fillId="2" borderId="17" xfId="4" applyNumberFormat="1" applyFont="1" applyBorder="1" applyAlignment="1">
      <alignment vertical="center"/>
    </xf>
    <xf numFmtId="165" fontId="7" fillId="0" borderId="0" xfId="1" applyNumberFormat="1" applyFont="1" applyBorder="1" applyAlignment="1">
      <alignment vertical="center"/>
    </xf>
    <xf numFmtId="44" fontId="8" fillId="2" borderId="1" xfId="4" applyNumberFormat="1" applyFont="1" applyAlignment="1">
      <alignment vertical="center"/>
    </xf>
    <xf numFmtId="44" fontId="7" fillId="0" borderId="24" xfId="2" applyFont="1" applyBorder="1" applyAlignment="1">
      <alignment vertical="center"/>
    </xf>
    <xf numFmtId="165" fontId="4" fillId="0" borderId="16" xfId="1" applyNumberFormat="1" applyFont="1" applyBorder="1" applyAlignment="1">
      <alignment horizontal="right" vertical="center"/>
    </xf>
    <xf numFmtId="44" fontId="7" fillId="0" borderId="23" xfId="0" applyNumberFormat="1" applyFont="1" applyBorder="1" applyAlignment="1">
      <alignment vertical="center"/>
    </xf>
    <xf numFmtId="165" fontId="4" fillId="0" borderId="23" xfId="1" applyNumberFormat="1" applyFont="1" applyBorder="1" applyAlignment="1">
      <alignment horizontal="right" vertical="center"/>
    </xf>
    <xf numFmtId="44" fontId="4" fillId="8" borderId="15" xfId="0" applyNumberFormat="1" applyFont="1" applyFill="1" applyBorder="1" applyAlignment="1">
      <alignment vertical="center"/>
    </xf>
    <xf numFmtId="3" fontId="4" fillId="5" borderId="3" xfId="0" applyNumberFormat="1" applyFont="1" applyFill="1" applyBorder="1" applyAlignment="1">
      <alignment horizontal="center" vertical="center" wrapText="1"/>
    </xf>
    <xf numFmtId="165" fontId="10" fillId="7" borderId="6" xfId="0" applyNumberFormat="1" applyFont="1" applyFill="1" applyBorder="1" applyAlignment="1">
      <alignment horizontal="center" vertical="center" wrapText="1"/>
    </xf>
    <xf numFmtId="165" fontId="10" fillId="7" borderId="7" xfId="0" applyNumberFormat="1" applyFont="1" applyFill="1" applyBorder="1" applyAlignment="1">
      <alignment horizontal="center" vertical="center" wrapText="1"/>
    </xf>
    <xf numFmtId="165" fontId="10" fillId="7" borderId="3" xfId="0" applyNumberFormat="1" applyFont="1" applyFill="1" applyBorder="1" applyAlignment="1">
      <alignment horizontal="center" vertical="center" wrapText="1"/>
    </xf>
    <xf numFmtId="3" fontId="14" fillId="5" borderId="8" xfId="1" applyNumberFormat="1" applyFont="1" applyFill="1" applyBorder="1" applyAlignment="1">
      <alignment horizontal="center" vertical="center" wrapText="1"/>
    </xf>
    <xf numFmtId="3" fontId="14" fillId="5" borderId="9" xfId="1" applyNumberFormat="1" applyFont="1" applyFill="1" applyBorder="1" applyAlignment="1">
      <alignment horizontal="center" vertical="center" wrapText="1"/>
    </xf>
    <xf numFmtId="3" fontId="14" fillId="5" borderId="10" xfId="1" applyNumberFormat="1" applyFont="1" applyFill="1" applyBorder="1" applyAlignment="1">
      <alignment horizontal="center" vertical="center" wrapText="1"/>
    </xf>
    <xf numFmtId="3" fontId="14" fillId="5" borderId="11" xfId="1" applyNumberFormat="1" applyFont="1" applyFill="1" applyBorder="1" applyAlignment="1">
      <alignment horizontal="center" vertical="center" wrapText="1"/>
    </xf>
    <xf numFmtId="44" fontId="14" fillId="5" borderId="12" xfId="1" applyNumberFormat="1" applyFont="1" applyFill="1" applyBorder="1" applyAlignment="1">
      <alignment horizontal="center" vertical="center" wrapText="1"/>
    </xf>
    <xf numFmtId="44" fontId="14" fillId="5" borderId="13" xfId="1" applyNumberFormat="1" applyFont="1" applyFill="1" applyBorder="1" applyAlignment="1">
      <alignment horizontal="center" vertical="center" wrapText="1"/>
    </xf>
    <xf numFmtId="165" fontId="13" fillId="5" borderId="21" xfId="1" applyNumberFormat="1" applyFont="1" applyFill="1" applyBorder="1" applyAlignment="1">
      <alignment horizontal="center" vertical="center" wrapText="1"/>
    </xf>
    <xf numFmtId="165" fontId="13" fillId="5" borderId="20" xfId="1" applyNumberFormat="1" applyFont="1" applyFill="1" applyBorder="1" applyAlignment="1">
      <alignment horizontal="center" vertical="center" wrapText="1"/>
    </xf>
    <xf numFmtId="165" fontId="13" fillId="5" borderId="19" xfId="1" applyNumberFormat="1" applyFont="1" applyFill="1" applyBorder="1" applyAlignment="1">
      <alignment horizontal="center" vertical="center" wrapText="1"/>
    </xf>
    <xf numFmtId="165" fontId="4" fillId="5" borderId="21" xfId="1" applyNumberFormat="1" applyFont="1" applyFill="1" applyBorder="1" applyAlignment="1">
      <alignment horizontal="center" vertical="center" wrapText="1"/>
    </xf>
    <xf numFmtId="165" fontId="4" fillId="5" borderId="20" xfId="1" applyNumberFormat="1" applyFont="1" applyFill="1" applyBorder="1" applyAlignment="1">
      <alignment horizontal="center" vertical="center" wrapText="1"/>
    </xf>
    <xf numFmtId="165" fontId="4" fillId="5" borderId="19" xfId="1" applyNumberFormat="1" applyFont="1" applyFill="1" applyBorder="1" applyAlignment="1">
      <alignment horizontal="center" vertical="center" wrapText="1"/>
    </xf>
  </cellXfs>
  <cellStyles count="6">
    <cellStyle name="Comma" xfId="1" builtinId="3"/>
    <cellStyle name="Currency" xfId="2" builtinId="4"/>
    <cellStyle name="Input" xfId="4" builtinId="20"/>
    <cellStyle name="Normal" xfId="0" builtinId="0"/>
    <cellStyle name="Note" xfId="5" builtinId="10"/>
    <cellStyle name="Percent" xfId="3" builtinId="5"/>
  </cellStyles>
  <dxfs count="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0</xdr:rowOff>
    </xdr:from>
    <xdr:to>
      <xdr:col>5</xdr:col>
      <xdr:colOff>906780</xdr:colOff>
      <xdr:row>7</xdr:row>
      <xdr:rowOff>160020</xdr:rowOff>
    </xdr:to>
    <xdr:sp macro="" textlink="">
      <xdr:nvSpPr>
        <xdr:cNvPr id="2" name="TextBox 1">
          <a:extLst>
            <a:ext uri="{FF2B5EF4-FFF2-40B4-BE49-F238E27FC236}">
              <a16:creationId xmlns:a16="http://schemas.microsoft.com/office/drawing/2014/main" id="{04D031D3-EC96-4DE0-8513-18FEDC331194}"/>
            </a:ext>
          </a:extLst>
        </xdr:cNvPr>
        <xdr:cNvSpPr txBox="1"/>
      </xdr:nvSpPr>
      <xdr:spPr>
        <a:xfrm>
          <a:off x="609600" y="914400"/>
          <a:ext cx="3048000" cy="52578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EPA will apply to the annual PWS cost only. The</a:t>
          </a:r>
          <a:r>
            <a:rPr lang="en-US" sz="1100" baseline="0"/>
            <a:t> mechanics and timing of the EPA adjustment will be released to industry in a subsequent draft RFP.</a:t>
          </a:r>
          <a:endParaRPr lang="en-US" sz="1100"/>
        </a:p>
      </xdr:txBody>
    </xdr:sp>
    <xdr:clientData/>
  </xdr:twoCellAnchor>
  <xdr:twoCellAnchor>
    <xdr:from>
      <xdr:col>1</xdr:col>
      <xdr:colOff>22860</xdr:colOff>
      <xdr:row>11</xdr:row>
      <xdr:rowOff>68580</xdr:rowOff>
    </xdr:from>
    <xdr:to>
      <xdr:col>5</xdr:col>
      <xdr:colOff>929640</xdr:colOff>
      <xdr:row>15</xdr:row>
      <xdr:rowOff>106680</xdr:rowOff>
    </xdr:to>
    <xdr:sp macro="" textlink="">
      <xdr:nvSpPr>
        <xdr:cNvPr id="3" name="TextBox 2">
          <a:extLst>
            <a:ext uri="{FF2B5EF4-FFF2-40B4-BE49-F238E27FC236}">
              <a16:creationId xmlns:a16="http://schemas.microsoft.com/office/drawing/2014/main" id="{E916B001-693C-483B-B06D-0BBCC83F9C66}"/>
            </a:ext>
          </a:extLst>
        </xdr:cNvPr>
        <xdr:cNvSpPr txBox="1"/>
      </xdr:nvSpPr>
      <xdr:spPr>
        <a:xfrm>
          <a:off x="632460" y="2080260"/>
          <a:ext cx="3025140" cy="76962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USG intends to</a:t>
          </a:r>
          <a:r>
            <a:rPr lang="en-US" sz="1100" baseline="0"/>
            <a:t> provide an adjustment to product pricing using the Producer Price Index and applying the percentage change to product unit prices at the beginning of each ordering period. Additional details will be provided in a subsequent draft RFP.</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71886-356E-4F4A-92E3-96D07C13D0C5}">
  <sheetPr>
    <tabColor theme="0" tint="-4.9989318521683403E-2"/>
  </sheetPr>
  <dimension ref="B2"/>
  <sheetViews>
    <sheetView showGridLines="0" workbookViewId="0">
      <selection activeCell="P21" sqref="P21"/>
    </sheetView>
  </sheetViews>
  <sheetFormatPr defaultRowHeight="14.4" x14ac:dyDescent="0.3"/>
  <sheetData>
    <row r="2" spans="2:2" x14ac:dyDescent="0.3">
      <c r="B2" s="1" t="s">
        <v>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07C67-4BA0-4849-A7CA-E5B2A4E9FB79}">
  <sheetPr>
    <tabColor theme="0" tint="-4.9989318521683403E-2"/>
  </sheetPr>
  <dimension ref="B1:AU50"/>
  <sheetViews>
    <sheetView showGridLines="0" zoomScale="90" zoomScaleNormal="90" workbookViewId="0">
      <pane xSplit="3" ySplit="5" topLeftCell="D22" activePane="bottomRight" state="frozen"/>
      <selection activeCell="P21" sqref="P21"/>
      <selection pane="topRight" activeCell="P21" sqref="P21"/>
      <selection pane="bottomLeft" activeCell="P21" sqref="P21"/>
      <selection pane="bottomRight" activeCell="B3" sqref="B3"/>
    </sheetView>
  </sheetViews>
  <sheetFormatPr defaultRowHeight="14.4" x14ac:dyDescent="0.3"/>
  <cols>
    <col min="1" max="1" width="2" customWidth="1"/>
    <col min="2" max="2" width="7.33203125" customWidth="1"/>
    <col min="3" max="3" width="61.44140625" customWidth="1"/>
    <col min="4" max="4" width="11.21875" style="46" customWidth="1"/>
    <col min="5" max="5" width="4.21875" customWidth="1"/>
    <col min="6" max="6" width="13.44140625" customWidth="1"/>
    <col min="7" max="7" width="13.109375" customWidth="1"/>
    <col min="8" max="8" width="5.33203125" customWidth="1"/>
    <col min="9" max="10" width="11" customWidth="1"/>
    <col min="11" max="11" width="18.109375" customWidth="1"/>
    <col min="12" max="12" width="1.6640625" customWidth="1"/>
    <col min="13" max="13" width="11" customWidth="1"/>
    <col min="14" max="14" width="14.33203125" customWidth="1"/>
    <col min="15" max="15" width="16" customWidth="1"/>
    <col min="16" max="16" width="1.6640625" customWidth="1"/>
    <col min="17" max="18" width="11" customWidth="1"/>
    <col min="19" max="19" width="16" customWidth="1"/>
    <col min="20" max="20" width="1.6640625" customWidth="1"/>
    <col min="21" max="22" width="11" customWidth="1"/>
    <col min="23" max="23" width="16" customWidth="1"/>
    <col min="24" max="24" width="2.33203125" customWidth="1"/>
    <col min="25" max="26" width="11" customWidth="1"/>
    <col min="27" max="27" width="16" customWidth="1"/>
    <col min="28" max="28" width="2.33203125" customWidth="1"/>
    <col min="29" max="30" width="11" customWidth="1"/>
    <col min="31" max="31" width="16" customWidth="1"/>
    <col min="32" max="32" width="2.33203125" customWidth="1"/>
    <col min="33" max="33" width="11" customWidth="1"/>
    <col min="34" max="35" width="16" customWidth="1"/>
    <col min="36" max="36" width="2.33203125" customWidth="1"/>
    <col min="37" max="37" width="11" customWidth="1"/>
    <col min="38" max="39" width="16" customWidth="1"/>
    <col min="40" max="40" width="2.33203125" customWidth="1"/>
    <col min="41" max="41" width="11" customWidth="1"/>
    <col min="42" max="43" width="16" customWidth="1"/>
    <col min="44" max="44" width="2.33203125" customWidth="1"/>
    <col min="45" max="45" width="11" customWidth="1"/>
    <col min="46" max="46" width="16" customWidth="1"/>
    <col min="47" max="47" width="11" customWidth="1"/>
  </cols>
  <sheetData>
    <row r="1" spans="2:47" s="8" customFormat="1" ht="15.6" x14ac:dyDescent="0.3">
      <c r="B1" s="2" t="s">
        <v>1</v>
      </c>
      <c r="C1" s="2"/>
      <c r="D1" s="3"/>
      <c r="E1" s="2"/>
      <c r="F1" s="2" t="s">
        <v>112</v>
      </c>
      <c r="G1" s="4"/>
      <c r="H1" s="4"/>
      <c r="I1" s="4"/>
      <c r="J1" s="4"/>
      <c r="K1" s="4"/>
      <c r="L1" s="5"/>
      <c r="M1" s="6"/>
      <c r="N1" s="6"/>
      <c r="O1" s="6"/>
      <c r="P1" s="5"/>
      <c r="Q1" s="6"/>
      <c r="R1" s="6"/>
      <c r="S1" s="6"/>
      <c r="T1" s="7"/>
      <c r="U1" s="6"/>
      <c r="V1" s="6"/>
      <c r="W1" s="6"/>
      <c r="X1" s="7"/>
      <c r="Y1" s="6"/>
      <c r="Z1" s="6"/>
      <c r="AA1" s="6"/>
      <c r="AB1" s="7"/>
      <c r="AC1" s="6"/>
      <c r="AD1" s="6"/>
      <c r="AE1" s="6"/>
      <c r="AF1" s="7"/>
      <c r="AG1" s="6"/>
      <c r="AH1" s="6"/>
      <c r="AI1" s="6"/>
      <c r="AJ1" s="7"/>
      <c r="AK1" s="6"/>
      <c r="AL1" s="6"/>
      <c r="AM1" s="6"/>
      <c r="AN1" s="7"/>
      <c r="AO1" s="6"/>
      <c r="AP1" s="6"/>
      <c r="AQ1" s="6"/>
      <c r="AR1" s="7"/>
      <c r="AS1" s="6"/>
      <c r="AT1" s="6"/>
      <c r="AU1" s="6"/>
    </row>
    <row r="2" spans="2:47" s="8" customFormat="1" ht="15.6" x14ac:dyDescent="0.3">
      <c r="B2" s="2" t="s">
        <v>2</v>
      </c>
      <c r="C2" s="2"/>
      <c r="D2" s="3"/>
      <c r="E2" s="2"/>
      <c r="F2" s="2" t="s">
        <v>3</v>
      </c>
      <c r="G2" s="9"/>
      <c r="H2" s="10"/>
      <c r="I2" s="11"/>
      <c r="J2" s="4"/>
      <c r="K2" s="11"/>
      <c r="L2" s="12"/>
      <c r="M2" s="4"/>
      <c r="N2" s="4"/>
      <c r="O2" s="4"/>
      <c r="P2" s="12"/>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spans="2:47" s="8" customFormat="1" ht="15.6" x14ac:dyDescent="0.3">
      <c r="B3" s="13"/>
      <c r="C3" s="13"/>
      <c r="D3" s="3"/>
      <c r="E3" s="2"/>
      <c r="F3" s="2"/>
      <c r="G3" s="2"/>
      <c r="H3" s="2"/>
      <c r="I3" s="2"/>
      <c r="J3" s="2"/>
      <c r="K3" s="2"/>
      <c r="L3" s="2"/>
      <c r="M3" s="2"/>
      <c r="N3" s="2"/>
      <c r="O3" s="4"/>
      <c r="P3" s="12"/>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spans="2:47" ht="15.6" customHeight="1" x14ac:dyDescent="0.3">
      <c r="B4" s="14"/>
      <c r="C4" s="14"/>
      <c r="D4" s="15"/>
      <c r="E4" s="14"/>
      <c r="F4" s="14"/>
      <c r="G4" s="14"/>
      <c r="H4" s="14"/>
      <c r="I4" s="116" t="s">
        <v>4</v>
      </c>
      <c r="J4" s="116"/>
      <c r="K4" s="116"/>
      <c r="L4" s="17"/>
      <c r="M4" s="116" t="s">
        <v>5</v>
      </c>
      <c r="N4" s="116"/>
      <c r="O4" s="116"/>
      <c r="P4" s="17"/>
      <c r="Q4" s="116" t="s">
        <v>6</v>
      </c>
      <c r="R4" s="116"/>
      <c r="S4" s="116"/>
      <c r="T4" s="14"/>
      <c r="U4" s="116" t="s">
        <v>7</v>
      </c>
      <c r="V4" s="116"/>
      <c r="W4" s="116"/>
      <c r="X4" s="14"/>
      <c r="Y4" s="116" t="s">
        <v>8</v>
      </c>
      <c r="Z4" s="116"/>
      <c r="AA4" s="116"/>
      <c r="AB4" s="14"/>
      <c r="AC4" s="116" t="s">
        <v>9</v>
      </c>
      <c r="AD4" s="116"/>
      <c r="AE4" s="116"/>
      <c r="AF4" s="14"/>
      <c r="AG4" s="116" t="s">
        <v>10</v>
      </c>
      <c r="AH4" s="116"/>
      <c r="AI4" s="116"/>
      <c r="AJ4" s="14"/>
      <c r="AK4" s="116" t="s">
        <v>11</v>
      </c>
      <c r="AL4" s="116"/>
      <c r="AM4" s="116"/>
      <c r="AN4" s="14"/>
      <c r="AO4" s="116" t="s">
        <v>12</v>
      </c>
      <c r="AP4" s="116"/>
      <c r="AQ4" s="116"/>
      <c r="AR4" s="14"/>
      <c r="AS4" s="116" t="s">
        <v>13</v>
      </c>
      <c r="AT4" s="116"/>
      <c r="AU4" s="116"/>
    </row>
    <row r="5" spans="2:47" s="8" customFormat="1" ht="33" customHeight="1" x14ac:dyDescent="0.3">
      <c r="B5" s="16" t="s">
        <v>14</v>
      </c>
      <c r="C5" s="16" t="s">
        <v>15</v>
      </c>
      <c r="D5" s="18" t="s">
        <v>16</v>
      </c>
      <c r="E5" s="19"/>
      <c r="F5" s="16" t="s">
        <v>17</v>
      </c>
      <c r="G5" s="16" t="s">
        <v>18</v>
      </c>
      <c r="H5" s="19"/>
      <c r="I5" s="20" t="s">
        <v>19</v>
      </c>
      <c r="J5" s="21" t="s">
        <v>20</v>
      </c>
      <c r="K5" s="20" t="s">
        <v>21</v>
      </c>
      <c r="L5" s="17"/>
      <c r="M5" s="22" t="s">
        <v>19</v>
      </c>
      <c r="N5" s="23" t="s">
        <v>20</v>
      </c>
      <c r="O5" s="22" t="s">
        <v>21</v>
      </c>
      <c r="P5" s="17"/>
      <c r="Q5" s="22" t="s">
        <v>19</v>
      </c>
      <c r="R5" s="23" t="s">
        <v>20</v>
      </c>
      <c r="S5" s="22" t="s">
        <v>21</v>
      </c>
      <c r="T5" s="14"/>
      <c r="U5" s="22" t="s">
        <v>19</v>
      </c>
      <c r="V5" s="23" t="s">
        <v>20</v>
      </c>
      <c r="W5" s="22" t="s">
        <v>21</v>
      </c>
      <c r="X5" s="14"/>
      <c r="Y5" s="22" t="s">
        <v>19</v>
      </c>
      <c r="Z5" s="23" t="s">
        <v>20</v>
      </c>
      <c r="AA5" s="22" t="s">
        <v>21</v>
      </c>
      <c r="AB5" s="14"/>
      <c r="AC5" s="22" t="s">
        <v>19</v>
      </c>
      <c r="AD5" s="23" t="s">
        <v>20</v>
      </c>
      <c r="AE5" s="22" t="s">
        <v>21</v>
      </c>
      <c r="AF5" s="14"/>
      <c r="AG5" s="22" t="s">
        <v>19</v>
      </c>
      <c r="AH5" s="23" t="s">
        <v>20</v>
      </c>
      <c r="AI5" s="22" t="s">
        <v>21</v>
      </c>
      <c r="AJ5" s="14"/>
      <c r="AK5" s="22" t="s">
        <v>19</v>
      </c>
      <c r="AL5" s="23" t="s">
        <v>20</v>
      </c>
      <c r="AM5" s="22" t="s">
        <v>21</v>
      </c>
      <c r="AN5" s="14"/>
      <c r="AO5" s="22" t="s">
        <v>19</v>
      </c>
      <c r="AP5" s="23" t="s">
        <v>20</v>
      </c>
      <c r="AQ5" s="22" t="s">
        <v>21</v>
      </c>
      <c r="AR5" s="14"/>
      <c r="AS5" s="22" t="s">
        <v>19</v>
      </c>
      <c r="AT5" s="23" t="s">
        <v>20</v>
      </c>
      <c r="AU5" s="22" t="s">
        <v>21</v>
      </c>
    </row>
    <row r="6" spans="2:47" ht="15.6" x14ac:dyDescent="0.3">
      <c r="B6" s="24" t="s">
        <v>22</v>
      </c>
      <c r="C6" s="25" t="s">
        <v>23</v>
      </c>
      <c r="D6" s="24" t="s">
        <v>24</v>
      </c>
      <c r="E6" s="26"/>
      <c r="F6" s="27">
        <v>1</v>
      </c>
      <c r="G6" s="27">
        <v>2500000</v>
      </c>
      <c r="H6" s="26"/>
      <c r="I6" s="28"/>
      <c r="J6" s="27">
        <v>325000</v>
      </c>
      <c r="K6" s="29">
        <f>I6*J6</f>
        <v>0</v>
      </c>
      <c r="L6" s="30"/>
      <c r="M6" s="28"/>
      <c r="N6" s="27">
        <v>325000</v>
      </c>
      <c r="O6" s="29">
        <f>M6*N6</f>
        <v>0</v>
      </c>
      <c r="P6" s="30"/>
      <c r="Q6" s="28"/>
      <c r="R6" s="27">
        <v>325000</v>
      </c>
      <c r="S6" s="29">
        <f>Q6*R6</f>
        <v>0</v>
      </c>
      <c r="T6" s="30"/>
      <c r="U6" s="28"/>
      <c r="V6" s="27">
        <v>325000</v>
      </c>
      <c r="W6" s="29">
        <f>U6*V6</f>
        <v>0</v>
      </c>
      <c r="X6" s="14"/>
      <c r="Y6" s="28"/>
      <c r="Z6" s="27">
        <v>325000</v>
      </c>
      <c r="AA6" s="29">
        <f>Y6*Z6</f>
        <v>0</v>
      </c>
      <c r="AB6" s="30"/>
      <c r="AC6" s="28"/>
      <c r="AD6" s="27">
        <v>325000</v>
      </c>
      <c r="AE6" s="29">
        <f>AC6*AD6</f>
        <v>0</v>
      </c>
      <c r="AF6" s="30"/>
      <c r="AG6" s="28"/>
      <c r="AH6" s="27">
        <v>325000</v>
      </c>
      <c r="AI6" s="29">
        <f>AG6*AH6</f>
        <v>0</v>
      </c>
      <c r="AJ6" s="30"/>
      <c r="AK6" s="28"/>
      <c r="AL6" s="27">
        <v>325000</v>
      </c>
      <c r="AM6" s="29">
        <f>AK6*AL6</f>
        <v>0</v>
      </c>
      <c r="AN6" s="30"/>
      <c r="AO6" s="28"/>
      <c r="AP6" s="27">
        <v>325000</v>
      </c>
      <c r="AQ6" s="29">
        <f>AO6*AP6</f>
        <v>0</v>
      </c>
      <c r="AR6" s="30"/>
      <c r="AS6" s="28"/>
      <c r="AT6" s="27">
        <v>325000</v>
      </c>
      <c r="AU6" s="29">
        <f>AS6*AT6</f>
        <v>0</v>
      </c>
    </row>
    <row r="7" spans="2:47" ht="15.6" x14ac:dyDescent="0.3">
      <c r="B7" s="24" t="s">
        <v>25</v>
      </c>
      <c r="C7" s="25" t="s">
        <v>26</v>
      </c>
      <c r="D7" s="24" t="s">
        <v>24</v>
      </c>
      <c r="E7" s="26"/>
      <c r="F7" s="27">
        <v>1</v>
      </c>
      <c r="G7" s="27">
        <v>3500000</v>
      </c>
      <c r="H7" s="26"/>
      <c r="I7" s="28"/>
      <c r="J7" s="27">
        <v>22500</v>
      </c>
      <c r="K7" s="29">
        <f t="shared" ref="K7:K43" si="0">I7*J7</f>
        <v>0</v>
      </c>
      <c r="L7" s="30"/>
      <c r="M7" s="28"/>
      <c r="N7" s="27">
        <v>22500</v>
      </c>
      <c r="O7" s="29">
        <f t="shared" ref="O7:O43" si="1">M7*N7</f>
        <v>0</v>
      </c>
      <c r="P7" s="30"/>
      <c r="Q7" s="28"/>
      <c r="R7" s="27">
        <v>22500</v>
      </c>
      <c r="S7" s="29">
        <f t="shared" ref="S7:S43" si="2">Q7*R7</f>
        <v>0</v>
      </c>
      <c r="T7" s="30"/>
      <c r="U7" s="28"/>
      <c r="V7" s="27">
        <v>22500</v>
      </c>
      <c r="W7" s="29">
        <f t="shared" ref="W7:W43" si="3">U7*V7</f>
        <v>0</v>
      </c>
      <c r="X7" s="14"/>
      <c r="Y7" s="28"/>
      <c r="Z7" s="27">
        <v>22500</v>
      </c>
      <c r="AA7" s="29">
        <f t="shared" ref="AA7:AA43" si="4">Y7*Z7</f>
        <v>0</v>
      </c>
      <c r="AB7" s="30"/>
      <c r="AC7" s="28"/>
      <c r="AD7" s="27">
        <v>22500</v>
      </c>
      <c r="AE7" s="29">
        <f t="shared" ref="AE7:AE45" si="5">AC7*AD7</f>
        <v>0</v>
      </c>
      <c r="AF7" s="30"/>
      <c r="AG7" s="28"/>
      <c r="AH7" s="27">
        <v>22500</v>
      </c>
      <c r="AI7" s="29">
        <f t="shared" ref="AI7:AI43" si="6">AG7*AH7</f>
        <v>0</v>
      </c>
      <c r="AJ7" s="30"/>
      <c r="AK7" s="28"/>
      <c r="AL7" s="27">
        <v>22500</v>
      </c>
      <c r="AM7" s="29">
        <f t="shared" ref="AM7:AM43" si="7">AK7*AL7</f>
        <v>0</v>
      </c>
      <c r="AN7" s="30"/>
      <c r="AO7" s="28"/>
      <c r="AP7" s="27">
        <v>22500</v>
      </c>
      <c r="AQ7" s="29">
        <f t="shared" ref="AQ7:AQ43" si="8">AO7*AP7</f>
        <v>0</v>
      </c>
      <c r="AR7" s="30"/>
      <c r="AS7" s="28"/>
      <c r="AT7" s="27">
        <v>22500</v>
      </c>
      <c r="AU7" s="29">
        <f t="shared" ref="AU7:AU43" si="9">AS7*AT7</f>
        <v>0</v>
      </c>
    </row>
    <row r="8" spans="2:47" ht="15.6" x14ac:dyDescent="0.3">
      <c r="B8" s="24" t="s">
        <v>27</v>
      </c>
      <c r="C8" s="25" t="s">
        <v>28</v>
      </c>
      <c r="D8" s="24" t="s">
        <v>24</v>
      </c>
      <c r="E8" s="26"/>
      <c r="F8" s="27">
        <v>1</v>
      </c>
      <c r="G8" s="27">
        <v>3500000</v>
      </c>
      <c r="H8" s="26"/>
      <c r="I8" s="28"/>
      <c r="J8" s="27">
        <v>110000</v>
      </c>
      <c r="K8" s="29">
        <f t="shared" si="0"/>
        <v>0</v>
      </c>
      <c r="L8" s="30"/>
      <c r="M8" s="28"/>
      <c r="N8" s="27">
        <v>150000</v>
      </c>
      <c r="O8" s="29">
        <f t="shared" si="1"/>
        <v>0</v>
      </c>
      <c r="P8" s="30"/>
      <c r="Q8" s="28"/>
      <c r="R8" s="27">
        <v>110000</v>
      </c>
      <c r="S8" s="29">
        <f t="shared" si="2"/>
        <v>0</v>
      </c>
      <c r="T8" s="30"/>
      <c r="U8" s="28"/>
      <c r="V8" s="27">
        <v>150000</v>
      </c>
      <c r="W8" s="29">
        <f t="shared" si="3"/>
        <v>0</v>
      </c>
      <c r="X8" s="14"/>
      <c r="Y8" s="28"/>
      <c r="Z8" s="27">
        <v>110000</v>
      </c>
      <c r="AA8" s="29">
        <f t="shared" si="4"/>
        <v>0</v>
      </c>
      <c r="AB8" s="30"/>
      <c r="AC8" s="28"/>
      <c r="AD8" s="27">
        <v>150000</v>
      </c>
      <c r="AE8" s="29">
        <f t="shared" si="5"/>
        <v>0</v>
      </c>
      <c r="AF8" s="30"/>
      <c r="AG8" s="28"/>
      <c r="AH8" s="27">
        <v>110000</v>
      </c>
      <c r="AI8" s="29">
        <f t="shared" si="6"/>
        <v>0</v>
      </c>
      <c r="AJ8" s="30"/>
      <c r="AK8" s="28"/>
      <c r="AL8" s="27">
        <v>150000</v>
      </c>
      <c r="AM8" s="29">
        <f t="shared" si="7"/>
        <v>0</v>
      </c>
      <c r="AN8" s="30"/>
      <c r="AO8" s="28"/>
      <c r="AP8" s="27">
        <v>110000</v>
      </c>
      <c r="AQ8" s="29">
        <f t="shared" si="8"/>
        <v>0</v>
      </c>
      <c r="AR8" s="30"/>
      <c r="AS8" s="28"/>
      <c r="AT8" s="27">
        <v>150000</v>
      </c>
      <c r="AU8" s="29">
        <f t="shared" si="9"/>
        <v>0</v>
      </c>
    </row>
    <row r="9" spans="2:47" ht="15.6" x14ac:dyDescent="0.3">
      <c r="B9" s="24" t="s">
        <v>29</v>
      </c>
      <c r="C9" s="25" t="s">
        <v>30</v>
      </c>
      <c r="D9" s="24" t="s">
        <v>24</v>
      </c>
      <c r="E9" s="26"/>
      <c r="F9" s="27">
        <v>1</v>
      </c>
      <c r="G9" s="27">
        <v>1000000</v>
      </c>
      <c r="H9" s="26"/>
      <c r="I9" s="28"/>
      <c r="J9" s="27">
        <f>375000*0.4</f>
        <v>150000</v>
      </c>
      <c r="K9" s="29">
        <f t="shared" si="0"/>
        <v>0</v>
      </c>
      <c r="L9" s="30"/>
      <c r="M9" s="28"/>
      <c r="N9" s="27">
        <f>375000*0.6</f>
        <v>225000</v>
      </c>
      <c r="O9" s="29">
        <f t="shared" si="1"/>
        <v>0</v>
      </c>
      <c r="P9" s="30"/>
      <c r="Q9" s="28"/>
      <c r="R9" s="27">
        <f>375000*0.4</f>
        <v>150000</v>
      </c>
      <c r="S9" s="29">
        <f t="shared" si="2"/>
        <v>0</v>
      </c>
      <c r="T9" s="30"/>
      <c r="U9" s="28"/>
      <c r="V9" s="27">
        <f>375000*0.6</f>
        <v>225000</v>
      </c>
      <c r="W9" s="29">
        <f t="shared" si="3"/>
        <v>0</v>
      </c>
      <c r="X9" s="14"/>
      <c r="Y9" s="28"/>
      <c r="Z9" s="27">
        <f>375000*0.4</f>
        <v>150000</v>
      </c>
      <c r="AA9" s="29">
        <f t="shared" si="4"/>
        <v>0</v>
      </c>
      <c r="AB9" s="30"/>
      <c r="AC9" s="28"/>
      <c r="AD9" s="27">
        <f>375000*0.6</f>
        <v>225000</v>
      </c>
      <c r="AE9" s="29">
        <f t="shared" si="5"/>
        <v>0</v>
      </c>
      <c r="AF9" s="30"/>
      <c r="AG9" s="28"/>
      <c r="AH9" s="27">
        <f>375000*0.4</f>
        <v>150000</v>
      </c>
      <c r="AI9" s="29">
        <f t="shared" si="6"/>
        <v>0</v>
      </c>
      <c r="AJ9" s="30"/>
      <c r="AK9" s="28"/>
      <c r="AL9" s="27">
        <f>375000*0.6</f>
        <v>225000</v>
      </c>
      <c r="AM9" s="29">
        <f t="shared" si="7"/>
        <v>0</v>
      </c>
      <c r="AN9" s="30"/>
      <c r="AO9" s="28"/>
      <c r="AP9" s="27">
        <f>375000*0.4</f>
        <v>150000</v>
      </c>
      <c r="AQ9" s="29">
        <f t="shared" si="8"/>
        <v>0</v>
      </c>
      <c r="AR9" s="30"/>
      <c r="AS9" s="28"/>
      <c r="AT9" s="27">
        <f>375000*0.6</f>
        <v>225000</v>
      </c>
      <c r="AU9" s="29">
        <f t="shared" si="9"/>
        <v>0</v>
      </c>
    </row>
    <row r="10" spans="2:47" ht="15.6" x14ac:dyDescent="0.3">
      <c r="B10" s="24" t="s">
        <v>31</v>
      </c>
      <c r="C10" s="25" t="s">
        <v>32</v>
      </c>
      <c r="D10" s="24" t="s">
        <v>24</v>
      </c>
      <c r="E10" s="26"/>
      <c r="F10" s="27">
        <v>1</v>
      </c>
      <c r="G10" s="27">
        <v>2000000</v>
      </c>
      <c r="H10" s="26"/>
      <c r="I10" s="28"/>
      <c r="J10" s="27">
        <v>202500</v>
      </c>
      <c r="K10" s="29">
        <f t="shared" si="0"/>
        <v>0</v>
      </c>
      <c r="L10" s="30"/>
      <c r="M10" s="28"/>
      <c r="N10" s="27">
        <v>262500</v>
      </c>
      <c r="O10" s="29">
        <f t="shared" si="1"/>
        <v>0</v>
      </c>
      <c r="P10" s="30"/>
      <c r="Q10" s="28"/>
      <c r="R10" s="27">
        <v>202500</v>
      </c>
      <c r="S10" s="29">
        <f t="shared" si="2"/>
        <v>0</v>
      </c>
      <c r="T10" s="30"/>
      <c r="U10" s="28"/>
      <c r="V10" s="27">
        <v>262500</v>
      </c>
      <c r="W10" s="29">
        <f t="shared" si="3"/>
        <v>0</v>
      </c>
      <c r="X10" s="14"/>
      <c r="Y10" s="28"/>
      <c r="Z10" s="27">
        <v>202500</v>
      </c>
      <c r="AA10" s="29">
        <f t="shared" si="4"/>
        <v>0</v>
      </c>
      <c r="AB10" s="30"/>
      <c r="AC10" s="28"/>
      <c r="AD10" s="27">
        <v>262500</v>
      </c>
      <c r="AE10" s="29">
        <f t="shared" si="5"/>
        <v>0</v>
      </c>
      <c r="AF10" s="30"/>
      <c r="AG10" s="28"/>
      <c r="AH10" s="27">
        <v>202500</v>
      </c>
      <c r="AI10" s="29">
        <f t="shared" si="6"/>
        <v>0</v>
      </c>
      <c r="AJ10" s="30"/>
      <c r="AK10" s="28"/>
      <c r="AL10" s="27">
        <v>262500</v>
      </c>
      <c r="AM10" s="29">
        <f t="shared" si="7"/>
        <v>0</v>
      </c>
      <c r="AN10" s="30"/>
      <c r="AO10" s="28"/>
      <c r="AP10" s="27">
        <v>202500</v>
      </c>
      <c r="AQ10" s="29">
        <f t="shared" si="8"/>
        <v>0</v>
      </c>
      <c r="AR10" s="30"/>
      <c r="AS10" s="28"/>
      <c r="AT10" s="27">
        <v>262500</v>
      </c>
      <c r="AU10" s="29">
        <f t="shared" si="9"/>
        <v>0</v>
      </c>
    </row>
    <row r="11" spans="2:47" ht="15.6" x14ac:dyDescent="0.3">
      <c r="B11" s="24" t="s">
        <v>33</v>
      </c>
      <c r="C11" s="25" t="s">
        <v>34</v>
      </c>
      <c r="D11" s="24" t="s">
        <v>24</v>
      </c>
      <c r="E11" s="26"/>
      <c r="F11" s="27">
        <v>1</v>
      </c>
      <c r="G11" s="27">
        <v>5000000</v>
      </c>
      <c r="H11" s="26"/>
      <c r="I11" s="28"/>
      <c r="J11" s="27">
        <v>230000</v>
      </c>
      <c r="K11" s="29">
        <f t="shared" si="0"/>
        <v>0</v>
      </c>
      <c r="L11" s="30"/>
      <c r="M11" s="28"/>
      <c r="N11" s="27">
        <v>250000</v>
      </c>
      <c r="O11" s="29">
        <f t="shared" si="1"/>
        <v>0</v>
      </c>
      <c r="P11" s="30"/>
      <c r="Q11" s="28"/>
      <c r="R11" s="27">
        <v>230000</v>
      </c>
      <c r="S11" s="29">
        <f t="shared" si="2"/>
        <v>0</v>
      </c>
      <c r="T11" s="30"/>
      <c r="U11" s="28"/>
      <c r="V11" s="27">
        <v>250000</v>
      </c>
      <c r="W11" s="29">
        <f t="shared" si="3"/>
        <v>0</v>
      </c>
      <c r="X11" s="14"/>
      <c r="Y11" s="28"/>
      <c r="Z11" s="27">
        <v>230000</v>
      </c>
      <c r="AA11" s="29">
        <f t="shared" si="4"/>
        <v>0</v>
      </c>
      <c r="AB11" s="30"/>
      <c r="AC11" s="28"/>
      <c r="AD11" s="27">
        <v>250000</v>
      </c>
      <c r="AE11" s="29">
        <f t="shared" si="5"/>
        <v>0</v>
      </c>
      <c r="AF11" s="30"/>
      <c r="AG11" s="28"/>
      <c r="AH11" s="27">
        <v>230000</v>
      </c>
      <c r="AI11" s="29">
        <f t="shared" si="6"/>
        <v>0</v>
      </c>
      <c r="AJ11" s="30"/>
      <c r="AK11" s="28"/>
      <c r="AL11" s="27">
        <v>250000</v>
      </c>
      <c r="AM11" s="29">
        <f t="shared" si="7"/>
        <v>0</v>
      </c>
      <c r="AN11" s="30"/>
      <c r="AO11" s="28"/>
      <c r="AP11" s="27">
        <v>230000</v>
      </c>
      <c r="AQ11" s="29">
        <f t="shared" si="8"/>
        <v>0</v>
      </c>
      <c r="AR11" s="30"/>
      <c r="AS11" s="28"/>
      <c r="AT11" s="27">
        <v>250000</v>
      </c>
      <c r="AU11" s="29">
        <f t="shared" si="9"/>
        <v>0</v>
      </c>
    </row>
    <row r="12" spans="2:47" ht="15.6" x14ac:dyDescent="0.3">
      <c r="B12" s="24" t="s">
        <v>35</v>
      </c>
      <c r="C12" s="25" t="s">
        <v>36</v>
      </c>
      <c r="D12" s="24" t="s">
        <v>24</v>
      </c>
      <c r="E12" s="26"/>
      <c r="F12" s="27">
        <v>1</v>
      </c>
      <c r="G12" s="27">
        <v>20000</v>
      </c>
      <c r="H12" s="26"/>
      <c r="I12" s="28"/>
      <c r="J12" s="27">
        <v>8500</v>
      </c>
      <c r="K12" s="29">
        <f t="shared" si="0"/>
        <v>0</v>
      </c>
      <c r="L12" s="30"/>
      <c r="M12" s="28"/>
      <c r="N12" s="27">
        <v>8500</v>
      </c>
      <c r="O12" s="29">
        <f t="shared" si="1"/>
        <v>0</v>
      </c>
      <c r="P12" s="30"/>
      <c r="Q12" s="28"/>
      <c r="R12" s="27">
        <v>8500</v>
      </c>
      <c r="S12" s="29">
        <f t="shared" si="2"/>
        <v>0</v>
      </c>
      <c r="T12" s="30"/>
      <c r="U12" s="28"/>
      <c r="V12" s="27">
        <v>8500</v>
      </c>
      <c r="W12" s="29">
        <f t="shared" si="3"/>
        <v>0</v>
      </c>
      <c r="X12" s="14"/>
      <c r="Y12" s="28"/>
      <c r="Z12" s="27">
        <v>8500</v>
      </c>
      <c r="AA12" s="29">
        <f t="shared" si="4"/>
        <v>0</v>
      </c>
      <c r="AB12" s="30"/>
      <c r="AC12" s="28"/>
      <c r="AD12" s="27">
        <v>8500</v>
      </c>
      <c r="AE12" s="29">
        <f t="shared" si="5"/>
        <v>0</v>
      </c>
      <c r="AF12" s="30"/>
      <c r="AG12" s="28"/>
      <c r="AH12" s="27">
        <v>8500</v>
      </c>
      <c r="AI12" s="29">
        <f t="shared" si="6"/>
        <v>0</v>
      </c>
      <c r="AJ12" s="30"/>
      <c r="AK12" s="28"/>
      <c r="AL12" s="27">
        <v>8500</v>
      </c>
      <c r="AM12" s="29">
        <f t="shared" si="7"/>
        <v>0</v>
      </c>
      <c r="AN12" s="30"/>
      <c r="AO12" s="28"/>
      <c r="AP12" s="27">
        <v>8500</v>
      </c>
      <c r="AQ12" s="29">
        <f t="shared" si="8"/>
        <v>0</v>
      </c>
      <c r="AR12" s="30"/>
      <c r="AS12" s="28"/>
      <c r="AT12" s="27">
        <v>8500</v>
      </c>
      <c r="AU12" s="29">
        <f t="shared" si="9"/>
        <v>0</v>
      </c>
    </row>
    <row r="13" spans="2:47" ht="15.6" x14ac:dyDescent="0.3">
      <c r="B13" s="24" t="s">
        <v>37</v>
      </c>
      <c r="C13" s="25" t="s">
        <v>38</v>
      </c>
      <c r="D13" s="24" t="s">
        <v>24</v>
      </c>
      <c r="E13" s="26"/>
      <c r="F13" s="27">
        <v>1</v>
      </c>
      <c r="G13" s="27">
        <v>1000000</v>
      </c>
      <c r="H13" s="26"/>
      <c r="I13" s="28"/>
      <c r="J13" s="27">
        <v>67500</v>
      </c>
      <c r="K13" s="29">
        <f t="shared" si="0"/>
        <v>0</v>
      </c>
      <c r="L13" s="30"/>
      <c r="M13" s="28"/>
      <c r="N13" s="27">
        <v>67500</v>
      </c>
      <c r="O13" s="29">
        <f t="shared" si="1"/>
        <v>0</v>
      </c>
      <c r="P13" s="30"/>
      <c r="Q13" s="28"/>
      <c r="R13" s="27">
        <v>67500</v>
      </c>
      <c r="S13" s="29">
        <f t="shared" si="2"/>
        <v>0</v>
      </c>
      <c r="T13" s="30"/>
      <c r="U13" s="28"/>
      <c r="V13" s="27">
        <v>67500</v>
      </c>
      <c r="W13" s="29">
        <f t="shared" si="3"/>
        <v>0</v>
      </c>
      <c r="X13" s="14"/>
      <c r="Y13" s="28"/>
      <c r="Z13" s="27">
        <v>67500</v>
      </c>
      <c r="AA13" s="29">
        <f t="shared" si="4"/>
        <v>0</v>
      </c>
      <c r="AB13" s="30"/>
      <c r="AC13" s="28"/>
      <c r="AD13" s="27">
        <v>67500</v>
      </c>
      <c r="AE13" s="29">
        <f t="shared" si="5"/>
        <v>0</v>
      </c>
      <c r="AF13" s="30"/>
      <c r="AG13" s="28"/>
      <c r="AH13" s="27">
        <v>67500</v>
      </c>
      <c r="AI13" s="29">
        <f t="shared" si="6"/>
        <v>0</v>
      </c>
      <c r="AJ13" s="30"/>
      <c r="AK13" s="28"/>
      <c r="AL13" s="27">
        <v>67500</v>
      </c>
      <c r="AM13" s="29">
        <f t="shared" si="7"/>
        <v>0</v>
      </c>
      <c r="AN13" s="30"/>
      <c r="AO13" s="28"/>
      <c r="AP13" s="27">
        <v>67500</v>
      </c>
      <c r="AQ13" s="29">
        <f t="shared" si="8"/>
        <v>0</v>
      </c>
      <c r="AR13" s="30"/>
      <c r="AS13" s="28"/>
      <c r="AT13" s="27">
        <v>67500</v>
      </c>
      <c r="AU13" s="29">
        <f t="shared" si="9"/>
        <v>0</v>
      </c>
    </row>
    <row r="14" spans="2:47" ht="15.6" x14ac:dyDescent="0.3">
      <c r="B14" s="24" t="s">
        <v>39</v>
      </c>
      <c r="C14" s="25" t="s">
        <v>40</v>
      </c>
      <c r="D14" s="24" t="s">
        <v>24</v>
      </c>
      <c r="E14" s="26"/>
      <c r="F14" s="27">
        <v>1</v>
      </c>
      <c r="G14" s="27">
        <v>2000000</v>
      </c>
      <c r="H14" s="26"/>
      <c r="I14" s="28"/>
      <c r="J14" s="27">
        <v>120000</v>
      </c>
      <c r="K14" s="29">
        <f t="shared" si="0"/>
        <v>0</v>
      </c>
      <c r="L14" s="30"/>
      <c r="M14" s="28"/>
      <c r="N14" s="27">
        <v>120000</v>
      </c>
      <c r="O14" s="29">
        <f t="shared" si="1"/>
        <v>0</v>
      </c>
      <c r="P14" s="30"/>
      <c r="Q14" s="28"/>
      <c r="R14" s="27">
        <v>120000</v>
      </c>
      <c r="S14" s="29">
        <f t="shared" si="2"/>
        <v>0</v>
      </c>
      <c r="T14" s="30"/>
      <c r="U14" s="28"/>
      <c r="V14" s="27">
        <v>120000</v>
      </c>
      <c r="W14" s="29">
        <f t="shared" si="3"/>
        <v>0</v>
      </c>
      <c r="X14" s="14"/>
      <c r="Y14" s="28"/>
      <c r="Z14" s="27">
        <v>120000</v>
      </c>
      <c r="AA14" s="29">
        <f t="shared" si="4"/>
        <v>0</v>
      </c>
      <c r="AB14" s="30"/>
      <c r="AC14" s="28"/>
      <c r="AD14" s="27">
        <v>120000</v>
      </c>
      <c r="AE14" s="29">
        <f t="shared" si="5"/>
        <v>0</v>
      </c>
      <c r="AF14" s="30"/>
      <c r="AG14" s="28"/>
      <c r="AH14" s="27">
        <v>120000</v>
      </c>
      <c r="AI14" s="29">
        <f t="shared" si="6"/>
        <v>0</v>
      </c>
      <c r="AJ14" s="30"/>
      <c r="AK14" s="28"/>
      <c r="AL14" s="27">
        <v>120000</v>
      </c>
      <c r="AM14" s="29">
        <f t="shared" si="7"/>
        <v>0</v>
      </c>
      <c r="AN14" s="30"/>
      <c r="AO14" s="28"/>
      <c r="AP14" s="27">
        <v>120000</v>
      </c>
      <c r="AQ14" s="29">
        <f t="shared" si="8"/>
        <v>0</v>
      </c>
      <c r="AR14" s="30"/>
      <c r="AS14" s="28"/>
      <c r="AT14" s="27">
        <v>120000</v>
      </c>
      <c r="AU14" s="29">
        <f t="shared" si="9"/>
        <v>0</v>
      </c>
    </row>
    <row r="15" spans="2:47" ht="15.6" x14ac:dyDescent="0.3">
      <c r="B15" s="24" t="s">
        <v>41</v>
      </c>
      <c r="C15" s="25" t="s">
        <v>42</v>
      </c>
      <c r="D15" s="24" t="s">
        <v>43</v>
      </c>
      <c r="E15" s="26"/>
      <c r="F15" s="27">
        <v>1</v>
      </c>
      <c r="G15" s="27">
        <v>5000</v>
      </c>
      <c r="H15" s="26"/>
      <c r="I15" s="28"/>
      <c r="J15" s="27">
        <v>1600</v>
      </c>
      <c r="K15" s="29">
        <f t="shared" si="0"/>
        <v>0</v>
      </c>
      <c r="L15" s="30"/>
      <c r="M15" s="28"/>
      <c r="N15" s="27">
        <v>1600</v>
      </c>
      <c r="O15" s="29">
        <f t="shared" si="1"/>
        <v>0</v>
      </c>
      <c r="P15" s="30"/>
      <c r="Q15" s="28"/>
      <c r="R15" s="27">
        <v>1600</v>
      </c>
      <c r="S15" s="29">
        <f t="shared" si="2"/>
        <v>0</v>
      </c>
      <c r="T15" s="30"/>
      <c r="U15" s="28"/>
      <c r="V15" s="27">
        <v>1600</v>
      </c>
      <c r="W15" s="29">
        <f t="shared" si="3"/>
        <v>0</v>
      </c>
      <c r="X15" s="14"/>
      <c r="Y15" s="28"/>
      <c r="Z15" s="27">
        <v>1600</v>
      </c>
      <c r="AA15" s="29">
        <f t="shared" si="4"/>
        <v>0</v>
      </c>
      <c r="AB15" s="30"/>
      <c r="AC15" s="28"/>
      <c r="AD15" s="27">
        <v>1600</v>
      </c>
      <c r="AE15" s="29">
        <f t="shared" si="5"/>
        <v>0</v>
      </c>
      <c r="AF15" s="30"/>
      <c r="AG15" s="28"/>
      <c r="AH15" s="27">
        <v>1600</v>
      </c>
      <c r="AI15" s="29">
        <f t="shared" si="6"/>
        <v>0</v>
      </c>
      <c r="AJ15" s="30"/>
      <c r="AK15" s="28"/>
      <c r="AL15" s="27">
        <v>1600</v>
      </c>
      <c r="AM15" s="29">
        <f t="shared" si="7"/>
        <v>0</v>
      </c>
      <c r="AN15" s="30"/>
      <c r="AO15" s="28"/>
      <c r="AP15" s="27">
        <v>1600</v>
      </c>
      <c r="AQ15" s="29">
        <f t="shared" si="8"/>
        <v>0</v>
      </c>
      <c r="AR15" s="30"/>
      <c r="AS15" s="28"/>
      <c r="AT15" s="27">
        <v>1600</v>
      </c>
      <c r="AU15" s="29">
        <f t="shared" si="9"/>
        <v>0</v>
      </c>
    </row>
    <row r="16" spans="2:47" ht="15.6" x14ac:dyDescent="0.3">
      <c r="B16" s="24" t="s">
        <v>44</v>
      </c>
      <c r="C16" s="25" t="s">
        <v>45</v>
      </c>
      <c r="D16" s="24" t="s">
        <v>24</v>
      </c>
      <c r="E16" s="26"/>
      <c r="F16" s="27">
        <v>1</v>
      </c>
      <c r="G16" s="27">
        <v>10000</v>
      </c>
      <c r="H16" s="26"/>
      <c r="I16" s="28"/>
      <c r="J16" s="27">
        <v>9500</v>
      </c>
      <c r="K16" s="29">
        <f t="shared" si="0"/>
        <v>0</v>
      </c>
      <c r="L16" s="30"/>
      <c r="M16" s="28"/>
      <c r="N16" s="27">
        <v>7500</v>
      </c>
      <c r="O16" s="29">
        <f t="shared" si="1"/>
        <v>0</v>
      </c>
      <c r="P16" s="30"/>
      <c r="Q16" s="28"/>
      <c r="R16" s="27">
        <v>9500</v>
      </c>
      <c r="S16" s="29">
        <f t="shared" si="2"/>
        <v>0</v>
      </c>
      <c r="T16" s="30"/>
      <c r="U16" s="28"/>
      <c r="V16" s="27">
        <v>7500</v>
      </c>
      <c r="W16" s="29">
        <f t="shared" si="3"/>
        <v>0</v>
      </c>
      <c r="X16" s="14"/>
      <c r="Y16" s="28"/>
      <c r="Z16" s="27">
        <v>9500</v>
      </c>
      <c r="AA16" s="29">
        <f t="shared" si="4"/>
        <v>0</v>
      </c>
      <c r="AB16" s="30"/>
      <c r="AC16" s="28"/>
      <c r="AD16" s="27">
        <v>7500</v>
      </c>
      <c r="AE16" s="29">
        <f t="shared" si="5"/>
        <v>0</v>
      </c>
      <c r="AF16" s="30"/>
      <c r="AG16" s="28"/>
      <c r="AH16" s="27">
        <v>9500</v>
      </c>
      <c r="AI16" s="29">
        <f t="shared" si="6"/>
        <v>0</v>
      </c>
      <c r="AJ16" s="30"/>
      <c r="AK16" s="28"/>
      <c r="AL16" s="27">
        <v>7500</v>
      </c>
      <c r="AM16" s="29">
        <f t="shared" si="7"/>
        <v>0</v>
      </c>
      <c r="AN16" s="30"/>
      <c r="AO16" s="28"/>
      <c r="AP16" s="27">
        <v>9500</v>
      </c>
      <c r="AQ16" s="29">
        <f t="shared" si="8"/>
        <v>0</v>
      </c>
      <c r="AR16" s="30"/>
      <c r="AS16" s="28"/>
      <c r="AT16" s="27">
        <v>7500</v>
      </c>
      <c r="AU16" s="29">
        <f t="shared" si="9"/>
        <v>0</v>
      </c>
    </row>
    <row r="17" spans="2:47" ht="15.6" x14ac:dyDescent="0.3">
      <c r="B17" s="24" t="s">
        <v>46</v>
      </c>
      <c r="C17" s="25" t="s">
        <v>47</v>
      </c>
      <c r="D17" s="24" t="s">
        <v>24</v>
      </c>
      <c r="E17" s="26"/>
      <c r="F17" s="27">
        <v>1</v>
      </c>
      <c r="G17" s="27">
        <v>80000</v>
      </c>
      <c r="H17" s="26"/>
      <c r="I17" s="28"/>
      <c r="J17" s="27">
        <v>10000</v>
      </c>
      <c r="K17" s="29">
        <f t="shared" si="0"/>
        <v>0</v>
      </c>
      <c r="L17" s="30"/>
      <c r="M17" s="28"/>
      <c r="N17" s="27">
        <v>10000</v>
      </c>
      <c r="O17" s="29">
        <f t="shared" si="1"/>
        <v>0</v>
      </c>
      <c r="P17" s="30"/>
      <c r="Q17" s="28"/>
      <c r="R17" s="27">
        <v>10000</v>
      </c>
      <c r="S17" s="29">
        <f t="shared" si="2"/>
        <v>0</v>
      </c>
      <c r="T17" s="30"/>
      <c r="U17" s="28"/>
      <c r="V17" s="27">
        <v>10000</v>
      </c>
      <c r="W17" s="29">
        <f t="shared" si="3"/>
        <v>0</v>
      </c>
      <c r="X17" s="14"/>
      <c r="Y17" s="28"/>
      <c r="Z17" s="27">
        <v>10000</v>
      </c>
      <c r="AA17" s="29">
        <f t="shared" si="4"/>
        <v>0</v>
      </c>
      <c r="AB17" s="30"/>
      <c r="AC17" s="28"/>
      <c r="AD17" s="27">
        <v>10000</v>
      </c>
      <c r="AE17" s="29">
        <f t="shared" si="5"/>
        <v>0</v>
      </c>
      <c r="AF17" s="30"/>
      <c r="AG17" s="28"/>
      <c r="AH17" s="27">
        <v>10000</v>
      </c>
      <c r="AI17" s="29">
        <f t="shared" si="6"/>
        <v>0</v>
      </c>
      <c r="AJ17" s="30"/>
      <c r="AK17" s="28"/>
      <c r="AL17" s="27">
        <v>10000</v>
      </c>
      <c r="AM17" s="29">
        <f t="shared" si="7"/>
        <v>0</v>
      </c>
      <c r="AN17" s="30"/>
      <c r="AO17" s="28"/>
      <c r="AP17" s="27">
        <v>10000</v>
      </c>
      <c r="AQ17" s="29">
        <f t="shared" si="8"/>
        <v>0</v>
      </c>
      <c r="AR17" s="30"/>
      <c r="AS17" s="28"/>
      <c r="AT17" s="27">
        <v>10000</v>
      </c>
      <c r="AU17" s="29">
        <f t="shared" si="9"/>
        <v>0</v>
      </c>
    </row>
    <row r="18" spans="2:47" ht="15.6" x14ac:dyDescent="0.3">
      <c r="B18" s="24" t="s">
        <v>48</v>
      </c>
      <c r="C18" s="25" t="s">
        <v>49</v>
      </c>
      <c r="D18" s="24" t="s">
        <v>24</v>
      </c>
      <c r="E18" s="26"/>
      <c r="F18" s="27">
        <v>1</v>
      </c>
      <c r="G18" s="27">
        <v>30000</v>
      </c>
      <c r="H18" s="26"/>
      <c r="I18" s="28"/>
      <c r="J18" s="27">
        <v>8000</v>
      </c>
      <c r="K18" s="29">
        <f t="shared" si="0"/>
        <v>0</v>
      </c>
      <c r="L18" s="30"/>
      <c r="M18" s="28"/>
      <c r="N18" s="27">
        <v>8000</v>
      </c>
      <c r="O18" s="29">
        <f t="shared" si="1"/>
        <v>0</v>
      </c>
      <c r="P18" s="30"/>
      <c r="Q18" s="28"/>
      <c r="R18" s="27">
        <v>8000</v>
      </c>
      <c r="S18" s="29">
        <f t="shared" si="2"/>
        <v>0</v>
      </c>
      <c r="T18" s="30"/>
      <c r="U18" s="28"/>
      <c r="V18" s="27">
        <v>8000</v>
      </c>
      <c r="W18" s="29">
        <f t="shared" si="3"/>
        <v>0</v>
      </c>
      <c r="X18" s="14"/>
      <c r="Y18" s="28"/>
      <c r="Z18" s="27">
        <v>8000</v>
      </c>
      <c r="AA18" s="29">
        <f t="shared" si="4"/>
        <v>0</v>
      </c>
      <c r="AB18" s="30"/>
      <c r="AC18" s="28"/>
      <c r="AD18" s="27">
        <v>8000</v>
      </c>
      <c r="AE18" s="29">
        <f t="shared" si="5"/>
        <v>0</v>
      </c>
      <c r="AF18" s="30"/>
      <c r="AG18" s="28"/>
      <c r="AH18" s="27">
        <v>8000</v>
      </c>
      <c r="AI18" s="29">
        <f t="shared" si="6"/>
        <v>0</v>
      </c>
      <c r="AJ18" s="30"/>
      <c r="AK18" s="28"/>
      <c r="AL18" s="27">
        <v>8000</v>
      </c>
      <c r="AM18" s="29">
        <f t="shared" si="7"/>
        <v>0</v>
      </c>
      <c r="AN18" s="30"/>
      <c r="AO18" s="28"/>
      <c r="AP18" s="27">
        <v>8000</v>
      </c>
      <c r="AQ18" s="29">
        <f t="shared" si="8"/>
        <v>0</v>
      </c>
      <c r="AR18" s="30"/>
      <c r="AS18" s="28"/>
      <c r="AT18" s="27">
        <v>8000</v>
      </c>
      <c r="AU18" s="29">
        <f t="shared" si="9"/>
        <v>0</v>
      </c>
    </row>
    <row r="19" spans="2:47" ht="15.6" x14ac:dyDescent="0.3">
      <c r="B19" s="24" t="s">
        <v>50</v>
      </c>
      <c r="C19" s="25" t="s">
        <v>51</v>
      </c>
      <c r="D19" s="24" t="s">
        <v>24</v>
      </c>
      <c r="E19" s="26"/>
      <c r="F19" s="27">
        <v>1</v>
      </c>
      <c r="G19" s="27">
        <v>1500000</v>
      </c>
      <c r="H19" s="26"/>
      <c r="I19" s="28"/>
      <c r="J19" s="27">
        <v>140000</v>
      </c>
      <c r="K19" s="29">
        <f t="shared" si="0"/>
        <v>0</v>
      </c>
      <c r="L19" s="30"/>
      <c r="M19" s="28"/>
      <c r="N19" s="27">
        <v>140000</v>
      </c>
      <c r="O19" s="29">
        <f t="shared" si="1"/>
        <v>0</v>
      </c>
      <c r="P19" s="30"/>
      <c r="Q19" s="28"/>
      <c r="R19" s="27">
        <v>140000</v>
      </c>
      <c r="S19" s="29">
        <f t="shared" si="2"/>
        <v>0</v>
      </c>
      <c r="T19" s="30"/>
      <c r="U19" s="28"/>
      <c r="V19" s="27">
        <v>140000</v>
      </c>
      <c r="W19" s="29">
        <f t="shared" si="3"/>
        <v>0</v>
      </c>
      <c r="X19" s="14"/>
      <c r="Y19" s="28"/>
      <c r="Z19" s="27">
        <v>140000</v>
      </c>
      <c r="AA19" s="29">
        <f t="shared" si="4"/>
        <v>0</v>
      </c>
      <c r="AB19" s="30"/>
      <c r="AC19" s="28"/>
      <c r="AD19" s="27">
        <v>140000</v>
      </c>
      <c r="AE19" s="29">
        <f t="shared" si="5"/>
        <v>0</v>
      </c>
      <c r="AF19" s="30"/>
      <c r="AG19" s="28"/>
      <c r="AH19" s="27">
        <v>140000</v>
      </c>
      <c r="AI19" s="29">
        <f t="shared" si="6"/>
        <v>0</v>
      </c>
      <c r="AJ19" s="30"/>
      <c r="AK19" s="28"/>
      <c r="AL19" s="27">
        <v>140000</v>
      </c>
      <c r="AM19" s="29">
        <f t="shared" si="7"/>
        <v>0</v>
      </c>
      <c r="AN19" s="30"/>
      <c r="AO19" s="28"/>
      <c r="AP19" s="27">
        <v>140000</v>
      </c>
      <c r="AQ19" s="29">
        <f t="shared" si="8"/>
        <v>0</v>
      </c>
      <c r="AR19" s="30"/>
      <c r="AS19" s="28"/>
      <c r="AT19" s="27">
        <v>140000</v>
      </c>
      <c r="AU19" s="29">
        <f t="shared" si="9"/>
        <v>0</v>
      </c>
    </row>
    <row r="20" spans="2:47" ht="15.6" x14ac:dyDescent="0.3">
      <c r="B20" s="24" t="s">
        <v>52</v>
      </c>
      <c r="C20" s="25" t="s">
        <v>53</v>
      </c>
      <c r="D20" s="24" t="s">
        <v>24</v>
      </c>
      <c r="E20" s="26"/>
      <c r="F20" s="27">
        <v>1</v>
      </c>
      <c r="G20" s="27">
        <v>1500000</v>
      </c>
      <c r="H20" s="26"/>
      <c r="I20" s="28"/>
      <c r="J20" s="27">
        <v>70000</v>
      </c>
      <c r="K20" s="29">
        <f t="shared" si="0"/>
        <v>0</v>
      </c>
      <c r="L20" s="30"/>
      <c r="M20" s="28"/>
      <c r="N20" s="27">
        <v>70000</v>
      </c>
      <c r="O20" s="29">
        <f t="shared" si="1"/>
        <v>0</v>
      </c>
      <c r="P20" s="30"/>
      <c r="Q20" s="28"/>
      <c r="R20" s="27">
        <v>70000</v>
      </c>
      <c r="S20" s="29">
        <f t="shared" si="2"/>
        <v>0</v>
      </c>
      <c r="T20" s="30"/>
      <c r="U20" s="28"/>
      <c r="V20" s="27">
        <v>70000</v>
      </c>
      <c r="W20" s="29">
        <f t="shared" si="3"/>
        <v>0</v>
      </c>
      <c r="X20" s="14"/>
      <c r="Y20" s="28"/>
      <c r="Z20" s="27">
        <v>70000</v>
      </c>
      <c r="AA20" s="29">
        <f t="shared" si="4"/>
        <v>0</v>
      </c>
      <c r="AB20" s="30"/>
      <c r="AC20" s="28"/>
      <c r="AD20" s="27">
        <v>70000</v>
      </c>
      <c r="AE20" s="29">
        <f t="shared" si="5"/>
        <v>0</v>
      </c>
      <c r="AF20" s="30"/>
      <c r="AG20" s="28"/>
      <c r="AH20" s="27">
        <v>70000</v>
      </c>
      <c r="AI20" s="29">
        <f t="shared" si="6"/>
        <v>0</v>
      </c>
      <c r="AJ20" s="30"/>
      <c r="AK20" s="28"/>
      <c r="AL20" s="27">
        <v>70000</v>
      </c>
      <c r="AM20" s="29">
        <f t="shared" si="7"/>
        <v>0</v>
      </c>
      <c r="AN20" s="30"/>
      <c r="AO20" s="28"/>
      <c r="AP20" s="27">
        <v>70000</v>
      </c>
      <c r="AQ20" s="29">
        <f t="shared" si="8"/>
        <v>0</v>
      </c>
      <c r="AR20" s="30"/>
      <c r="AS20" s="28"/>
      <c r="AT20" s="27">
        <v>70000</v>
      </c>
      <c r="AU20" s="29">
        <f t="shared" si="9"/>
        <v>0</v>
      </c>
    </row>
    <row r="21" spans="2:47" ht="15.6" x14ac:dyDescent="0.3">
      <c r="B21" s="24" t="s">
        <v>54</v>
      </c>
      <c r="C21" s="25" t="s">
        <v>55</v>
      </c>
      <c r="D21" s="24" t="s">
        <v>24</v>
      </c>
      <c r="E21" s="26"/>
      <c r="F21" s="27">
        <v>1</v>
      </c>
      <c r="G21" s="27">
        <v>30000</v>
      </c>
      <c r="H21" s="26"/>
      <c r="I21" s="28"/>
      <c r="J21" s="27">
        <v>2000</v>
      </c>
      <c r="K21" s="29">
        <f t="shared" si="0"/>
        <v>0</v>
      </c>
      <c r="L21" s="30"/>
      <c r="M21" s="28"/>
      <c r="N21" s="27">
        <v>2000</v>
      </c>
      <c r="O21" s="29">
        <f t="shared" si="1"/>
        <v>0</v>
      </c>
      <c r="P21" s="30"/>
      <c r="Q21" s="28"/>
      <c r="R21" s="27">
        <v>2000</v>
      </c>
      <c r="S21" s="29">
        <f t="shared" si="2"/>
        <v>0</v>
      </c>
      <c r="T21" s="30"/>
      <c r="U21" s="28"/>
      <c r="V21" s="27">
        <v>2000</v>
      </c>
      <c r="W21" s="29">
        <f t="shared" si="3"/>
        <v>0</v>
      </c>
      <c r="X21" s="14"/>
      <c r="Y21" s="28"/>
      <c r="Z21" s="27">
        <v>2000</v>
      </c>
      <c r="AA21" s="29">
        <f t="shared" si="4"/>
        <v>0</v>
      </c>
      <c r="AB21" s="30"/>
      <c r="AC21" s="28"/>
      <c r="AD21" s="27">
        <v>2000</v>
      </c>
      <c r="AE21" s="29">
        <f t="shared" si="5"/>
        <v>0</v>
      </c>
      <c r="AF21" s="30"/>
      <c r="AG21" s="28"/>
      <c r="AH21" s="27">
        <v>2000</v>
      </c>
      <c r="AI21" s="29">
        <f t="shared" si="6"/>
        <v>0</v>
      </c>
      <c r="AJ21" s="30"/>
      <c r="AK21" s="28"/>
      <c r="AL21" s="27">
        <v>2000</v>
      </c>
      <c r="AM21" s="29">
        <f t="shared" si="7"/>
        <v>0</v>
      </c>
      <c r="AN21" s="30"/>
      <c r="AO21" s="28"/>
      <c r="AP21" s="27">
        <v>2000</v>
      </c>
      <c r="AQ21" s="29">
        <f t="shared" si="8"/>
        <v>0</v>
      </c>
      <c r="AR21" s="30"/>
      <c r="AS21" s="28"/>
      <c r="AT21" s="27">
        <v>2000</v>
      </c>
      <c r="AU21" s="29">
        <f t="shared" si="9"/>
        <v>0</v>
      </c>
    </row>
    <row r="22" spans="2:47" ht="15.6" x14ac:dyDescent="0.3">
      <c r="B22" s="24" t="s">
        <v>56</v>
      </c>
      <c r="C22" s="25" t="s">
        <v>57</v>
      </c>
      <c r="D22" s="24" t="s">
        <v>24</v>
      </c>
      <c r="E22" s="26"/>
      <c r="F22" s="27">
        <v>1</v>
      </c>
      <c r="G22" s="27">
        <v>3500000</v>
      </c>
      <c r="H22" s="26"/>
      <c r="I22" s="28"/>
      <c r="J22" s="27">
        <v>300000</v>
      </c>
      <c r="K22" s="29">
        <f t="shared" si="0"/>
        <v>0</v>
      </c>
      <c r="L22" s="30"/>
      <c r="M22" s="28"/>
      <c r="N22" s="27">
        <v>430000</v>
      </c>
      <c r="O22" s="29">
        <f t="shared" si="1"/>
        <v>0</v>
      </c>
      <c r="P22" s="30"/>
      <c r="Q22" s="28"/>
      <c r="R22" s="27">
        <v>300000</v>
      </c>
      <c r="S22" s="29">
        <f t="shared" si="2"/>
        <v>0</v>
      </c>
      <c r="T22" s="30"/>
      <c r="U22" s="28"/>
      <c r="V22" s="27">
        <v>430000</v>
      </c>
      <c r="W22" s="29">
        <f t="shared" si="3"/>
        <v>0</v>
      </c>
      <c r="X22" s="14"/>
      <c r="Y22" s="28"/>
      <c r="Z22" s="27">
        <v>300000</v>
      </c>
      <c r="AA22" s="29">
        <f t="shared" si="4"/>
        <v>0</v>
      </c>
      <c r="AB22" s="30"/>
      <c r="AC22" s="28"/>
      <c r="AD22" s="27">
        <v>430000</v>
      </c>
      <c r="AE22" s="29">
        <f t="shared" si="5"/>
        <v>0</v>
      </c>
      <c r="AF22" s="30"/>
      <c r="AG22" s="28"/>
      <c r="AH22" s="27">
        <v>300000</v>
      </c>
      <c r="AI22" s="29">
        <f t="shared" si="6"/>
        <v>0</v>
      </c>
      <c r="AJ22" s="30"/>
      <c r="AK22" s="28"/>
      <c r="AL22" s="27">
        <v>430000</v>
      </c>
      <c r="AM22" s="29">
        <f t="shared" si="7"/>
        <v>0</v>
      </c>
      <c r="AN22" s="30"/>
      <c r="AO22" s="28"/>
      <c r="AP22" s="27">
        <v>300000</v>
      </c>
      <c r="AQ22" s="29">
        <f t="shared" si="8"/>
        <v>0</v>
      </c>
      <c r="AR22" s="30"/>
      <c r="AS22" s="28"/>
      <c r="AT22" s="27">
        <v>430000</v>
      </c>
      <c r="AU22" s="29">
        <f t="shared" si="9"/>
        <v>0</v>
      </c>
    </row>
    <row r="23" spans="2:47" ht="15.6" x14ac:dyDescent="0.3">
      <c r="B23" s="24" t="s">
        <v>58</v>
      </c>
      <c r="C23" s="25" t="s">
        <v>59</v>
      </c>
      <c r="D23" s="24" t="s">
        <v>24</v>
      </c>
      <c r="E23" s="26"/>
      <c r="F23" s="27">
        <v>1</v>
      </c>
      <c r="G23" s="27">
        <v>3500000</v>
      </c>
      <c r="H23" s="26"/>
      <c r="I23" s="28"/>
      <c r="J23" s="27">
        <v>200000</v>
      </c>
      <c r="K23" s="29">
        <f t="shared" si="0"/>
        <v>0</v>
      </c>
      <c r="L23" s="30"/>
      <c r="M23" s="28"/>
      <c r="N23" s="27">
        <v>300000</v>
      </c>
      <c r="O23" s="29">
        <f t="shared" si="1"/>
        <v>0</v>
      </c>
      <c r="P23" s="30"/>
      <c r="Q23" s="28"/>
      <c r="R23" s="27">
        <v>200000</v>
      </c>
      <c r="S23" s="29">
        <f t="shared" si="2"/>
        <v>0</v>
      </c>
      <c r="T23" s="30"/>
      <c r="U23" s="28"/>
      <c r="V23" s="27">
        <v>300000</v>
      </c>
      <c r="W23" s="29">
        <f t="shared" si="3"/>
        <v>0</v>
      </c>
      <c r="X23" s="14"/>
      <c r="Y23" s="28"/>
      <c r="Z23" s="27">
        <v>200000</v>
      </c>
      <c r="AA23" s="29">
        <f t="shared" si="4"/>
        <v>0</v>
      </c>
      <c r="AB23" s="30"/>
      <c r="AC23" s="28"/>
      <c r="AD23" s="27">
        <v>300000</v>
      </c>
      <c r="AE23" s="29">
        <f t="shared" si="5"/>
        <v>0</v>
      </c>
      <c r="AF23" s="30"/>
      <c r="AG23" s="28"/>
      <c r="AH23" s="27">
        <v>200000</v>
      </c>
      <c r="AI23" s="29">
        <f t="shared" si="6"/>
        <v>0</v>
      </c>
      <c r="AJ23" s="30"/>
      <c r="AK23" s="28"/>
      <c r="AL23" s="27">
        <v>300000</v>
      </c>
      <c r="AM23" s="29">
        <f t="shared" si="7"/>
        <v>0</v>
      </c>
      <c r="AN23" s="30"/>
      <c r="AO23" s="28"/>
      <c r="AP23" s="27">
        <v>200000</v>
      </c>
      <c r="AQ23" s="29">
        <f t="shared" si="8"/>
        <v>0</v>
      </c>
      <c r="AR23" s="30"/>
      <c r="AS23" s="28"/>
      <c r="AT23" s="27">
        <v>300000</v>
      </c>
      <c r="AU23" s="29">
        <f t="shared" si="9"/>
        <v>0</v>
      </c>
    </row>
    <row r="24" spans="2:47" ht="15.6" x14ac:dyDescent="0.3">
      <c r="B24" s="24" t="s">
        <v>60</v>
      </c>
      <c r="C24" s="25" t="s">
        <v>61</v>
      </c>
      <c r="D24" s="24" t="s">
        <v>24</v>
      </c>
      <c r="E24" s="26"/>
      <c r="F24" s="27">
        <v>1</v>
      </c>
      <c r="G24" s="27">
        <v>3500000</v>
      </c>
      <c r="H24" s="26"/>
      <c r="I24" s="28"/>
      <c r="J24" s="27">
        <v>250000</v>
      </c>
      <c r="K24" s="29">
        <f t="shared" si="0"/>
        <v>0</v>
      </c>
      <c r="L24" s="30"/>
      <c r="M24" s="28"/>
      <c r="N24" s="27">
        <v>150000</v>
      </c>
      <c r="O24" s="29">
        <f t="shared" si="1"/>
        <v>0</v>
      </c>
      <c r="P24" s="30"/>
      <c r="Q24" s="28"/>
      <c r="R24" s="27">
        <v>250000</v>
      </c>
      <c r="S24" s="29">
        <f t="shared" si="2"/>
        <v>0</v>
      </c>
      <c r="T24" s="30"/>
      <c r="U24" s="28"/>
      <c r="V24" s="27">
        <v>150000</v>
      </c>
      <c r="W24" s="29">
        <f t="shared" si="3"/>
        <v>0</v>
      </c>
      <c r="X24" s="14"/>
      <c r="Y24" s="28"/>
      <c r="Z24" s="27">
        <v>250000</v>
      </c>
      <c r="AA24" s="29">
        <f t="shared" si="4"/>
        <v>0</v>
      </c>
      <c r="AB24" s="30"/>
      <c r="AC24" s="28"/>
      <c r="AD24" s="27">
        <v>150000</v>
      </c>
      <c r="AE24" s="29">
        <f t="shared" si="5"/>
        <v>0</v>
      </c>
      <c r="AF24" s="30"/>
      <c r="AG24" s="28"/>
      <c r="AH24" s="27">
        <v>250000</v>
      </c>
      <c r="AI24" s="29">
        <f t="shared" si="6"/>
        <v>0</v>
      </c>
      <c r="AJ24" s="30"/>
      <c r="AK24" s="28"/>
      <c r="AL24" s="27">
        <v>150000</v>
      </c>
      <c r="AM24" s="29">
        <f t="shared" si="7"/>
        <v>0</v>
      </c>
      <c r="AN24" s="30"/>
      <c r="AO24" s="28"/>
      <c r="AP24" s="27">
        <v>250000</v>
      </c>
      <c r="AQ24" s="29">
        <f t="shared" si="8"/>
        <v>0</v>
      </c>
      <c r="AR24" s="30"/>
      <c r="AS24" s="28"/>
      <c r="AT24" s="27">
        <v>150000</v>
      </c>
      <c r="AU24" s="29">
        <f t="shared" si="9"/>
        <v>0</v>
      </c>
    </row>
    <row r="25" spans="2:47" ht="15.6" x14ac:dyDescent="0.3">
      <c r="B25" s="24" t="s">
        <v>62</v>
      </c>
      <c r="C25" s="25" t="s">
        <v>63</v>
      </c>
      <c r="D25" s="24" t="s">
        <v>24</v>
      </c>
      <c r="E25" s="26"/>
      <c r="F25" s="27">
        <v>1</v>
      </c>
      <c r="G25" s="27">
        <v>20000</v>
      </c>
      <c r="H25" s="26"/>
      <c r="I25" s="28"/>
      <c r="J25" s="27">
        <v>4000</v>
      </c>
      <c r="K25" s="29">
        <f t="shared" si="0"/>
        <v>0</v>
      </c>
      <c r="L25" s="30"/>
      <c r="M25" s="28"/>
      <c r="N25" s="27">
        <v>4000</v>
      </c>
      <c r="O25" s="29">
        <f t="shared" si="1"/>
        <v>0</v>
      </c>
      <c r="P25" s="30"/>
      <c r="Q25" s="28"/>
      <c r="R25" s="27">
        <v>4000</v>
      </c>
      <c r="S25" s="29">
        <f t="shared" si="2"/>
        <v>0</v>
      </c>
      <c r="T25" s="30"/>
      <c r="U25" s="28"/>
      <c r="V25" s="27">
        <v>4000</v>
      </c>
      <c r="W25" s="29">
        <f t="shared" si="3"/>
        <v>0</v>
      </c>
      <c r="X25" s="14"/>
      <c r="Y25" s="28"/>
      <c r="Z25" s="27">
        <v>4000</v>
      </c>
      <c r="AA25" s="29">
        <f t="shared" si="4"/>
        <v>0</v>
      </c>
      <c r="AB25" s="30"/>
      <c r="AC25" s="28"/>
      <c r="AD25" s="27">
        <v>4000</v>
      </c>
      <c r="AE25" s="29">
        <f t="shared" si="5"/>
        <v>0</v>
      </c>
      <c r="AF25" s="30"/>
      <c r="AG25" s="28"/>
      <c r="AH25" s="27">
        <v>4000</v>
      </c>
      <c r="AI25" s="29">
        <f t="shared" si="6"/>
        <v>0</v>
      </c>
      <c r="AJ25" s="30"/>
      <c r="AK25" s="28"/>
      <c r="AL25" s="27">
        <v>4000</v>
      </c>
      <c r="AM25" s="29">
        <f t="shared" si="7"/>
        <v>0</v>
      </c>
      <c r="AN25" s="30"/>
      <c r="AO25" s="28"/>
      <c r="AP25" s="27">
        <v>4000</v>
      </c>
      <c r="AQ25" s="29">
        <f t="shared" si="8"/>
        <v>0</v>
      </c>
      <c r="AR25" s="30"/>
      <c r="AS25" s="28"/>
      <c r="AT25" s="27">
        <v>4000</v>
      </c>
      <c r="AU25" s="29">
        <f t="shared" si="9"/>
        <v>0</v>
      </c>
    </row>
    <row r="26" spans="2:47" ht="15.6" x14ac:dyDescent="0.3">
      <c r="B26" s="24" t="s">
        <v>64</v>
      </c>
      <c r="C26" s="25" t="s">
        <v>65</v>
      </c>
      <c r="D26" s="24" t="s">
        <v>24</v>
      </c>
      <c r="E26" s="26"/>
      <c r="F26" s="27">
        <v>1</v>
      </c>
      <c r="G26" s="27">
        <v>100000</v>
      </c>
      <c r="H26" s="26"/>
      <c r="I26" s="28"/>
      <c r="J26" s="27">
        <v>2000</v>
      </c>
      <c r="K26" s="29">
        <f t="shared" si="0"/>
        <v>0</v>
      </c>
      <c r="L26" s="30"/>
      <c r="M26" s="28"/>
      <c r="N26" s="27">
        <v>600</v>
      </c>
      <c r="O26" s="29">
        <f t="shared" si="1"/>
        <v>0</v>
      </c>
      <c r="P26" s="30"/>
      <c r="Q26" s="28"/>
      <c r="R26" s="27">
        <v>2000</v>
      </c>
      <c r="S26" s="29">
        <f t="shared" si="2"/>
        <v>0</v>
      </c>
      <c r="T26" s="30"/>
      <c r="U26" s="28"/>
      <c r="V26" s="27">
        <v>600</v>
      </c>
      <c r="W26" s="29">
        <f t="shared" si="3"/>
        <v>0</v>
      </c>
      <c r="X26" s="14"/>
      <c r="Y26" s="28"/>
      <c r="Z26" s="27">
        <v>2000</v>
      </c>
      <c r="AA26" s="29">
        <f t="shared" si="4"/>
        <v>0</v>
      </c>
      <c r="AB26" s="30"/>
      <c r="AC26" s="28"/>
      <c r="AD26" s="27">
        <v>600</v>
      </c>
      <c r="AE26" s="29">
        <f t="shared" si="5"/>
        <v>0</v>
      </c>
      <c r="AF26" s="30"/>
      <c r="AG26" s="28"/>
      <c r="AH26" s="27">
        <v>2000</v>
      </c>
      <c r="AI26" s="29">
        <f t="shared" si="6"/>
        <v>0</v>
      </c>
      <c r="AJ26" s="30"/>
      <c r="AK26" s="28"/>
      <c r="AL26" s="27">
        <v>600</v>
      </c>
      <c r="AM26" s="29">
        <f t="shared" si="7"/>
        <v>0</v>
      </c>
      <c r="AN26" s="30"/>
      <c r="AO26" s="28"/>
      <c r="AP26" s="27">
        <v>2000</v>
      </c>
      <c r="AQ26" s="29">
        <f t="shared" si="8"/>
        <v>0</v>
      </c>
      <c r="AR26" s="30"/>
      <c r="AS26" s="28"/>
      <c r="AT26" s="27">
        <v>600</v>
      </c>
      <c r="AU26" s="29">
        <f t="shared" si="9"/>
        <v>0</v>
      </c>
    </row>
    <row r="27" spans="2:47" ht="15.6" x14ac:dyDescent="0.3">
      <c r="B27" s="24" t="s">
        <v>66</v>
      </c>
      <c r="C27" s="25" t="s">
        <v>67</v>
      </c>
      <c r="D27" s="24" t="s">
        <v>24</v>
      </c>
      <c r="E27" s="26"/>
      <c r="F27" s="27">
        <v>1</v>
      </c>
      <c r="G27" s="27">
        <v>2000000</v>
      </c>
      <c r="H27" s="26"/>
      <c r="I27" s="28"/>
      <c r="J27" s="27">
        <v>50000</v>
      </c>
      <c r="K27" s="29">
        <f t="shared" si="0"/>
        <v>0</v>
      </c>
      <c r="L27" s="30"/>
      <c r="M27" s="28"/>
      <c r="N27" s="27">
        <v>50000</v>
      </c>
      <c r="O27" s="29">
        <f t="shared" si="1"/>
        <v>0</v>
      </c>
      <c r="P27" s="30"/>
      <c r="Q27" s="28"/>
      <c r="R27" s="27">
        <v>50000</v>
      </c>
      <c r="S27" s="29">
        <f t="shared" si="2"/>
        <v>0</v>
      </c>
      <c r="T27" s="30"/>
      <c r="U27" s="28"/>
      <c r="V27" s="27">
        <v>50000</v>
      </c>
      <c r="W27" s="29">
        <f t="shared" si="3"/>
        <v>0</v>
      </c>
      <c r="X27" s="14"/>
      <c r="Y27" s="28"/>
      <c r="Z27" s="27">
        <v>50000</v>
      </c>
      <c r="AA27" s="29">
        <f t="shared" si="4"/>
        <v>0</v>
      </c>
      <c r="AB27" s="30"/>
      <c r="AC27" s="28"/>
      <c r="AD27" s="27">
        <v>50000</v>
      </c>
      <c r="AE27" s="29">
        <f t="shared" si="5"/>
        <v>0</v>
      </c>
      <c r="AF27" s="30"/>
      <c r="AG27" s="28"/>
      <c r="AH27" s="27">
        <v>50000</v>
      </c>
      <c r="AI27" s="29">
        <f t="shared" si="6"/>
        <v>0</v>
      </c>
      <c r="AJ27" s="30"/>
      <c r="AK27" s="28"/>
      <c r="AL27" s="27">
        <v>50000</v>
      </c>
      <c r="AM27" s="29">
        <f t="shared" si="7"/>
        <v>0</v>
      </c>
      <c r="AN27" s="30"/>
      <c r="AO27" s="28"/>
      <c r="AP27" s="27">
        <v>50000</v>
      </c>
      <c r="AQ27" s="29">
        <f t="shared" si="8"/>
        <v>0</v>
      </c>
      <c r="AR27" s="30"/>
      <c r="AS27" s="28"/>
      <c r="AT27" s="27">
        <v>50000</v>
      </c>
      <c r="AU27" s="29">
        <f t="shared" si="9"/>
        <v>0</v>
      </c>
    </row>
    <row r="28" spans="2:47" ht="15.6" x14ac:dyDescent="0.3">
      <c r="B28" s="31" t="s">
        <v>68</v>
      </c>
      <c r="C28" s="32" t="s">
        <v>69</v>
      </c>
      <c r="D28" s="31" t="s">
        <v>43</v>
      </c>
      <c r="E28" s="33"/>
      <c r="F28" s="34">
        <v>1</v>
      </c>
      <c r="G28" s="34">
        <v>350000</v>
      </c>
      <c r="H28" s="33"/>
      <c r="I28" s="35"/>
      <c r="J28" s="34">
        <v>130500</v>
      </c>
      <c r="K28" s="36">
        <f t="shared" si="0"/>
        <v>0</v>
      </c>
      <c r="L28" s="37"/>
      <c r="M28" s="35"/>
      <c r="N28" s="34">
        <v>80000</v>
      </c>
      <c r="O28" s="36">
        <f t="shared" si="1"/>
        <v>0</v>
      </c>
      <c r="P28" s="37"/>
      <c r="Q28" s="35"/>
      <c r="R28" s="34">
        <v>130500</v>
      </c>
      <c r="S28" s="36">
        <f t="shared" si="2"/>
        <v>0</v>
      </c>
      <c r="T28" s="37"/>
      <c r="U28" s="35"/>
      <c r="V28" s="34">
        <v>80000</v>
      </c>
      <c r="W28" s="36">
        <f t="shared" si="3"/>
        <v>0</v>
      </c>
      <c r="X28" s="38"/>
      <c r="Y28" s="35"/>
      <c r="Z28" s="34">
        <v>130500</v>
      </c>
      <c r="AA28" s="36">
        <f t="shared" si="4"/>
        <v>0</v>
      </c>
      <c r="AB28" s="37"/>
      <c r="AC28" s="35"/>
      <c r="AD28" s="34">
        <v>80000</v>
      </c>
      <c r="AE28" s="36">
        <f t="shared" si="5"/>
        <v>0</v>
      </c>
      <c r="AF28" s="37"/>
      <c r="AG28" s="35"/>
      <c r="AH28" s="34">
        <v>130500</v>
      </c>
      <c r="AI28" s="36">
        <f t="shared" si="6"/>
        <v>0</v>
      </c>
      <c r="AJ28" s="37"/>
      <c r="AK28" s="35"/>
      <c r="AL28" s="34">
        <v>80000</v>
      </c>
      <c r="AM28" s="36">
        <f t="shared" si="7"/>
        <v>0</v>
      </c>
      <c r="AN28" s="37"/>
      <c r="AO28" s="35"/>
      <c r="AP28" s="34">
        <v>130500</v>
      </c>
      <c r="AQ28" s="36">
        <f t="shared" si="8"/>
        <v>0</v>
      </c>
      <c r="AR28" s="37"/>
      <c r="AS28" s="35"/>
      <c r="AT28" s="34">
        <v>80000</v>
      </c>
      <c r="AU28" s="36">
        <f t="shared" si="9"/>
        <v>0</v>
      </c>
    </row>
    <row r="29" spans="2:47" ht="15.6" x14ac:dyDescent="0.3">
      <c r="B29" s="24" t="s">
        <v>70</v>
      </c>
      <c r="C29" s="25" t="s">
        <v>71</v>
      </c>
      <c r="D29" s="24" t="s">
        <v>24</v>
      </c>
      <c r="E29" s="26"/>
      <c r="F29" s="27">
        <v>1</v>
      </c>
      <c r="G29" s="27">
        <v>300000</v>
      </c>
      <c r="H29" s="26"/>
      <c r="I29" s="28"/>
      <c r="J29" s="27">
        <v>1600</v>
      </c>
      <c r="K29" s="29">
        <f t="shared" si="0"/>
        <v>0</v>
      </c>
      <c r="L29" s="30"/>
      <c r="M29" s="28"/>
      <c r="N29" s="27">
        <v>1600</v>
      </c>
      <c r="O29" s="29">
        <f t="shared" si="1"/>
        <v>0</v>
      </c>
      <c r="P29" s="30"/>
      <c r="Q29" s="28"/>
      <c r="R29" s="27">
        <v>1600</v>
      </c>
      <c r="S29" s="29">
        <f t="shared" si="2"/>
        <v>0</v>
      </c>
      <c r="T29" s="30"/>
      <c r="U29" s="28"/>
      <c r="V29" s="27">
        <v>1600</v>
      </c>
      <c r="W29" s="29">
        <f t="shared" si="3"/>
        <v>0</v>
      </c>
      <c r="X29" s="14"/>
      <c r="Y29" s="28"/>
      <c r="Z29" s="27">
        <v>1600</v>
      </c>
      <c r="AA29" s="29">
        <f t="shared" si="4"/>
        <v>0</v>
      </c>
      <c r="AB29" s="30"/>
      <c r="AC29" s="28"/>
      <c r="AD29" s="27">
        <v>1600</v>
      </c>
      <c r="AE29" s="29">
        <f t="shared" si="5"/>
        <v>0</v>
      </c>
      <c r="AF29" s="30"/>
      <c r="AG29" s="28"/>
      <c r="AH29" s="27">
        <v>1600</v>
      </c>
      <c r="AI29" s="29">
        <f t="shared" si="6"/>
        <v>0</v>
      </c>
      <c r="AJ29" s="30"/>
      <c r="AK29" s="28"/>
      <c r="AL29" s="27">
        <v>1600</v>
      </c>
      <c r="AM29" s="29">
        <f t="shared" si="7"/>
        <v>0</v>
      </c>
      <c r="AN29" s="30"/>
      <c r="AO29" s="28"/>
      <c r="AP29" s="27">
        <v>1600</v>
      </c>
      <c r="AQ29" s="29">
        <f t="shared" si="8"/>
        <v>0</v>
      </c>
      <c r="AR29" s="30"/>
      <c r="AS29" s="28"/>
      <c r="AT29" s="27">
        <v>1600</v>
      </c>
      <c r="AU29" s="29">
        <f t="shared" si="9"/>
        <v>0</v>
      </c>
    </row>
    <row r="30" spans="2:47" ht="15.6" x14ac:dyDescent="0.3">
      <c r="B30" s="24" t="s">
        <v>72</v>
      </c>
      <c r="C30" s="25" t="s">
        <v>73</v>
      </c>
      <c r="D30" s="24" t="s">
        <v>24</v>
      </c>
      <c r="E30" s="26"/>
      <c r="F30" s="27">
        <v>1</v>
      </c>
      <c r="G30" s="27">
        <v>2000000</v>
      </c>
      <c r="H30" s="26"/>
      <c r="I30" s="28"/>
      <c r="J30" s="27">
        <v>200000</v>
      </c>
      <c r="K30" s="29">
        <f t="shared" si="0"/>
        <v>0</v>
      </c>
      <c r="L30" s="30"/>
      <c r="M30" s="28"/>
      <c r="N30" s="27">
        <v>200000</v>
      </c>
      <c r="O30" s="29">
        <f t="shared" si="1"/>
        <v>0</v>
      </c>
      <c r="P30" s="30"/>
      <c r="Q30" s="28"/>
      <c r="R30" s="27">
        <v>200000</v>
      </c>
      <c r="S30" s="29">
        <f t="shared" si="2"/>
        <v>0</v>
      </c>
      <c r="T30" s="30"/>
      <c r="U30" s="28"/>
      <c r="V30" s="27">
        <v>200000</v>
      </c>
      <c r="W30" s="29">
        <f t="shared" si="3"/>
        <v>0</v>
      </c>
      <c r="X30" s="14"/>
      <c r="Y30" s="28"/>
      <c r="Z30" s="27">
        <v>200000</v>
      </c>
      <c r="AA30" s="29">
        <f t="shared" si="4"/>
        <v>0</v>
      </c>
      <c r="AB30" s="30"/>
      <c r="AC30" s="28"/>
      <c r="AD30" s="27">
        <v>200000</v>
      </c>
      <c r="AE30" s="29">
        <f t="shared" si="5"/>
        <v>0</v>
      </c>
      <c r="AF30" s="30"/>
      <c r="AG30" s="28"/>
      <c r="AH30" s="27">
        <v>200000</v>
      </c>
      <c r="AI30" s="29">
        <f t="shared" si="6"/>
        <v>0</v>
      </c>
      <c r="AJ30" s="30"/>
      <c r="AK30" s="28"/>
      <c r="AL30" s="27">
        <v>200000</v>
      </c>
      <c r="AM30" s="29">
        <f t="shared" si="7"/>
        <v>0</v>
      </c>
      <c r="AN30" s="30"/>
      <c r="AO30" s="28"/>
      <c r="AP30" s="27">
        <v>200000</v>
      </c>
      <c r="AQ30" s="29">
        <f t="shared" si="8"/>
        <v>0</v>
      </c>
      <c r="AR30" s="30"/>
      <c r="AS30" s="28"/>
      <c r="AT30" s="27">
        <v>200000</v>
      </c>
      <c r="AU30" s="29">
        <f t="shared" si="9"/>
        <v>0</v>
      </c>
    </row>
    <row r="31" spans="2:47" ht="15.6" x14ac:dyDescent="0.3">
      <c r="B31" s="24" t="s">
        <v>74</v>
      </c>
      <c r="C31" s="25" t="s">
        <v>75</v>
      </c>
      <c r="D31" s="24" t="s">
        <v>24</v>
      </c>
      <c r="E31" s="26"/>
      <c r="F31" s="27">
        <v>1</v>
      </c>
      <c r="G31" s="27">
        <v>2000000</v>
      </c>
      <c r="H31" s="26"/>
      <c r="I31" s="28"/>
      <c r="J31" s="27">
        <v>200000</v>
      </c>
      <c r="K31" s="29">
        <f t="shared" si="0"/>
        <v>0</v>
      </c>
      <c r="L31" s="30"/>
      <c r="M31" s="28"/>
      <c r="N31" s="27">
        <v>200000</v>
      </c>
      <c r="O31" s="29">
        <f t="shared" si="1"/>
        <v>0</v>
      </c>
      <c r="P31" s="30"/>
      <c r="Q31" s="28"/>
      <c r="R31" s="27">
        <v>200000</v>
      </c>
      <c r="S31" s="29">
        <f t="shared" si="2"/>
        <v>0</v>
      </c>
      <c r="T31" s="30"/>
      <c r="U31" s="28"/>
      <c r="V31" s="27">
        <v>200000</v>
      </c>
      <c r="W31" s="29">
        <f t="shared" si="3"/>
        <v>0</v>
      </c>
      <c r="X31" s="14"/>
      <c r="Y31" s="28"/>
      <c r="Z31" s="27">
        <v>200000</v>
      </c>
      <c r="AA31" s="29">
        <f t="shared" si="4"/>
        <v>0</v>
      </c>
      <c r="AB31" s="30"/>
      <c r="AC31" s="28"/>
      <c r="AD31" s="27">
        <v>200000</v>
      </c>
      <c r="AE31" s="29">
        <f t="shared" si="5"/>
        <v>0</v>
      </c>
      <c r="AF31" s="30"/>
      <c r="AG31" s="28"/>
      <c r="AH31" s="27">
        <v>200000</v>
      </c>
      <c r="AI31" s="29">
        <f t="shared" si="6"/>
        <v>0</v>
      </c>
      <c r="AJ31" s="30"/>
      <c r="AK31" s="28"/>
      <c r="AL31" s="27">
        <v>200000</v>
      </c>
      <c r="AM31" s="29">
        <f t="shared" si="7"/>
        <v>0</v>
      </c>
      <c r="AN31" s="30"/>
      <c r="AO31" s="28"/>
      <c r="AP31" s="27">
        <v>200000</v>
      </c>
      <c r="AQ31" s="29">
        <f t="shared" si="8"/>
        <v>0</v>
      </c>
      <c r="AR31" s="30"/>
      <c r="AS31" s="28"/>
      <c r="AT31" s="27">
        <v>200000</v>
      </c>
      <c r="AU31" s="29">
        <f t="shared" si="9"/>
        <v>0</v>
      </c>
    </row>
    <row r="32" spans="2:47" ht="15.6" x14ac:dyDescent="0.3">
      <c r="B32" s="24" t="s">
        <v>76</v>
      </c>
      <c r="C32" s="25" t="s">
        <v>77</v>
      </c>
      <c r="D32" s="24" t="s">
        <v>24</v>
      </c>
      <c r="E32" s="26"/>
      <c r="F32" s="27">
        <v>1</v>
      </c>
      <c r="G32" s="27">
        <v>100000</v>
      </c>
      <c r="H32" s="26"/>
      <c r="I32" s="28"/>
      <c r="J32" s="27">
        <v>15000</v>
      </c>
      <c r="K32" s="29">
        <f t="shared" si="0"/>
        <v>0</v>
      </c>
      <c r="L32" s="30"/>
      <c r="M32" s="28"/>
      <c r="N32" s="27">
        <v>15000</v>
      </c>
      <c r="O32" s="29">
        <f t="shared" si="1"/>
        <v>0</v>
      </c>
      <c r="P32" s="30"/>
      <c r="Q32" s="28"/>
      <c r="R32" s="27">
        <v>15000</v>
      </c>
      <c r="S32" s="29">
        <f t="shared" si="2"/>
        <v>0</v>
      </c>
      <c r="T32" s="30"/>
      <c r="U32" s="28"/>
      <c r="V32" s="27">
        <v>15000</v>
      </c>
      <c r="W32" s="29">
        <f t="shared" si="3"/>
        <v>0</v>
      </c>
      <c r="X32" s="14"/>
      <c r="Y32" s="28"/>
      <c r="Z32" s="27">
        <v>15000</v>
      </c>
      <c r="AA32" s="29">
        <f t="shared" si="4"/>
        <v>0</v>
      </c>
      <c r="AB32" s="30"/>
      <c r="AC32" s="28"/>
      <c r="AD32" s="27">
        <v>15000</v>
      </c>
      <c r="AE32" s="29">
        <f t="shared" si="5"/>
        <v>0</v>
      </c>
      <c r="AF32" s="30"/>
      <c r="AG32" s="28"/>
      <c r="AH32" s="27">
        <v>15000</v>
      </c>
      <c r="AI32" s="29">
        <f t="shared" si="6"/>
        <v>0</v>
      </c>
      <c r="AJ32" s="30"/>
      <c r="AK32" s="28"/>
      <c r="AL32" s="27">
        <v>15000</v>
      </c>
      <c r="AM32" s="29">
        <f t="shared" si="7"/>
        <v>0</v>
      </c>
      <c r="AN32" s="30"/>
      <c r="AO32" s="28"/>
      <c r="AP32" s="27">
        <v>15000</v>
      </c>
      <c r="AQ32" s="29">
        <f t="shared" si="8"/>
        <v>0</v>
      </c>
      <c r="AR32" s="30"/>
      <c r="AS32" s="28"/>
      <c r="AT32" s="27">
        <v>15000</v>
      </c>
      <c r="AU32" s="29">
        <f t="shared" si="9"/>
        <v>0</v>
      </c>
    </row>
    <row r="33" spans="2:47" ht="15.6" x14ac:dyDescent="0.3">
      <c r="B33" s="24" t="s">
        <v>78</v>
      </c>
      <c r="C33" s="25" t="s">
        <v>79</v>
      </c>
      <c r="D33" s="24" t="s">
        <v>24</v>
      </c>
      <c r="E33" s="26"/>
      <c r="F33" s="27">
        <v>1</v>
      </c>
      <c r="G33" s="27">
        <v>80000</v>
      </c>
      <c r="H33" s="26"/>
      <c r="I33" s="28"/>
      <c r="J33" s="27">
        <v>20000</v>
      </c>
      <c r="K33" s="29">
        <f t="shared" si="0"/>
        <v>0</v>
      </c>
      <c r="L33" s="30"/>
      <c r="M33" s="28"/>
      <c r="N33" s="27">
        <v>20000</v>
      </c>
      <c r="O33" s="29">
        <f t="shared" si="1"/>
        <v>0</v>
      </c>
      <c r="P33" s="30"/>
      <c r="Q33" s="28"/>
      <c r="R33" s="27">
        <v>20000</v>
      </c>
      <c r="S33" s="29">
        <f t="shared" si="2"/>
        <v>0</v>
      </c>
      <c r="T33" s="30"/>
      <c r="U33" s="28"/>
      <c r="V33" s="27">
        <v>20000</v>
      </c>
      <c r="W33" s="29">
        <f t="shared" si="3"/>
        <v>0</v>
      </c>
      <c r="X33" s="14"/>
      <c r="Y33" s="28"/>
      <c r="Z33" s="27">
        <v>20000</v>
      </c>
      <c r="AA33" s="29">
        <f t="shared" si="4"/>
        <v>0</v>
      </c>
      <c r="AB33" s="30"/>
      <c r="AC33" s="28"/>
      <c r="AD33" s="27">
        <v>20000</v>
      </c>
      <c r="AE33" s="29">
        <f t="shared" si="5"/>
        <v>0</v>
      </c>
      <c r="AF33" s="30"/>
      <c r="AG33" s="28"/>
      <c r="AH33" s="27">
        <v>20000</v>
      </c>
      <c r="AI33" s="29">
        <f t="shared" si="6"/>
        <v>0</v>
      </c>
      <c r="AJ33" s="30"/>
      <c r="AK33" s="28"/>
      <c r="AL33" s="27">
        <v>20000</v>
      </c>
      <c r="AM33" s="29">
        <f t="shared" si="7"/>
        <v>0</v>
      </c>
      <c r="AN33" s="30"/>
      <c r="AO33" s="28"/>
      <c r="AP33" s="27">
        <v>20000</v>
      </c>
      <c r="AQ33" s="29">
        <f t="shared" si="8"/>
        <v>0</v>
      </c>
      <c r="AR33" s="30"/>
      <c r="AS33" s="28"/>
      <c r="AT33" s="27">
        <v>20000</v>
      </c>
      <c r="AU33" s="29">
        <f t="shared" si="9"/>
        <v>0</v>
      </c>
    </row>
    <row r="34" spans="2:47" ht="15.6" x14ac:dyDescent="0.3">
      <c r="B34" s="24" t="s">
        <v>80</v>
      </c>
      <c r="C34" s="25" t="s">
        <v>81</v>
      </c>
      <c r="D34" s="24" t="s">
        <v>24</v>
      </c>
      <c r="E34" s="26"/>
      <c r="F34" s="27">
        <v>1</v>
      </c>
      <c r="G34" s="27">
        <v>5000000</v>
      </c>
      <c r="H34" s="26"/>
      <c r="I34" s="28"/>
      <c r="J34" s="27">
        <v>750000</v>
      </c>
      <c r="K34" s="29">
        <f t="shared" si="0"/>
        <v>0</v>
      </c>
      <c r="L34" s="30"/>
      <c r="M34" s="28"/>
      <c r="N34" s="27">
        <v>750000</v>
      </c>
      <c r="O34" s="29">
        <f t="shared" si="1"/>
        <v>0</v>
      </c>
      <c r="P34" s="30"/>
      <c r="Q34" s="28"/>
      <c r="R34" s="27">
        <v>750000</v>
      </c>
      <c r="S34" s="29">
        <f t="shared" si="2"/>
        <v>0</v>
      </c>
      <c r="T34" s="30"/>
      <c r="U34" s="28"/>
      <c r="V34" s="27">
        <v>750000</v>
      </c>
      <c r="W34" s="29">
        <f t="shared" si="3"/>
        <v>0</v>
      </c>
      <c r="X34" s="14"/>
      <c r="Y34" s="28"/>
      <c r="Z34" s="27">
        <v>750000</v>
      </c>
      <c r="AA34" s="29">
        <f t="shared" si="4"/>
        <v>0</v>
      </c>
      <c r="AB34" s="30"/>
      <c r="AC34" s="28"/>
      <c r="AD34" s="27">
        <v>750000</v>
      </c>
      <c r="AE34" s="29">
        <f t="shared" si="5"/>
        <v>0</v>
      </c>
      <c r="AF34" s="30"/>
      <c r="AG34" s="28"/>
      <c r="AH34" s="27">
        <v>750000</v>
      </c>
      <c r="AI34" s="29">
        <f t="shared" si="6"/>
        <v>0</v>
      </c>
      <c r="AJ34" s="30"/>
      <c r="AK34" s="28"/>
      <c r="AL34" s="27">
        <v>750000</v>
      </c>
      <c r="AM34" s="29">
        <f t="shared" si="7"/>
        <v>0</v>
      </c>
      <c r="AN34" s="30"/>
      <c r="AO34" s="28"/>
      <c r="AP34" s="27">
        <v>750000</v>
      </c>
      <c r="AQ34" s="29">
        <f t="shared" si="8"/>
        <v>0</v>
      </c>
      <c r="AR34" s="30"/>
      <c r="AS34" s="28"/>
      <c r="AT34" s="27">
        <v>750000</v>
      </c>
      <c r="AU34" s="29">
        <f t="shared" si="9"/>
        <v>0</v>
      </c>
    </row>
    <row r="35" spans="2:47" ht="15.6" x14ac:dyDescent="0.3">
      <c r="B35" s="24" t="s">
        <v>82</v>
      </c>
      <c r="C35" s="25" t="s">
        <v>83</v>
      </c>
      <c r="D35" s="24" t="s">
        <v>24</v>
      </c>
      <c r="E35" s="26"/>
      <c r="F35" s="27">
        <v>1</v>
      </c>
      <c r="G35" s="27">
        <v>5000000</v>
      </c>
      <c r="H35" s="26"/>
      <c r="I35" s="28"/>
      <c r="J35" s="27">
        <v>100000</v>
      </c>
      <c r="K35" s="29">
        <f t="shared" si="0"/>
        <v>0</v>
      </c>
      <c r="L35" s="30"/>
      <c r="M35" s="28"/>
      <c r="N35" s="27">
        <v>100000</v>
      </c>
      <c r="O35" s="29">
        <f t="shared" si="1"/>
        <v>0</v>
      </c>
      <c r="P35" s="30"/>
      <c r="Q35" s="28"/>
      <c r="R35" s="27">
        <v>100000</v>
      </c>
      <c r="S35" s="29">
        <f t="shared" si="2"/>
        <v>0</v>
      </c>
      <c r="T35" s="30"/>
      <c r="U35" s="28"/>
      <c r="V35" s="27">
        <v>100000</v>
      </c>
      <c r="W35" s="29">
        <f t="shared" si="3"/>
        <v>0</v>
      </c>
      <c r="X35" s="14"/>
      <c r="Y35" s="28"/>
      <c r="Z35" s="27">
        <v>100000</v>
      </c>
      <c r="AA35" s="29">
        <f t="shared" si="4"/>
        <v>0</v>
      </c>
      <c r="AB35" s="30"/>
      <c r="AC35" s="28"/>
      <c r="AD35" s="27">
        <v>100000</v>
      </c>
      <c r="AE35" s="29">
        <f t="shared" si="5"/>
        <v>0</v>
      </c>
      <c r="AF35" s="30"/>
      <c r="AG35" s="28"/>
      <c r="AH35" s="27">
        <v>100000</v>
      </c>
      <c r="AI35" s="29">
        <f t="shared" si="6"/>
        <v>0</v>
      </c>
      <c r="AJ35" s="30"/>
      <c r="AK35" s="28"/>
      <c r="AL35" s="27">
        <v>100000</v>
      </c>
      <c r="AM35" s="29">
        <f t="shared" si="7"/>
        <v>0</v>
      </c>
      <c r="AN35" s="30"/>
      <c r="AO35" s="28"/>
      <c r="AP35" s="27">
        <v>100000</v>
      </c>
      <c r="AQ35" s="29">
        <f t="shared" si="8"/>
        <v>0</v>
      </c>
      <c r="AR35" s="30"/>
      <c r="AS35" s="28"/>
      <c r="AT35" s="27">
        <v>100000</v>
      </c>
      <c r="AU35" s="29">
        <f t="shared" si="9"/>
        <v>0</v>
      </c>
    </row>
    <row r="36" spans="2:47" ht="15.6" x14ac:dyDescent="0.3">
      <c r="B36" s="24" t="s">
        <v>84</v>
      </c>
      <c r="C36" s="25" t="s">
        <v>85</v>
      </c>
      <c r="D36" s="24" t="s">
        <v>24</v>
      </c>
      <c r="E36" s="26"/>
      <c r="F36" s="27">
        <v>1</v>
      </c>
      <c r="G36" s="27">
        <v>5000000</v>
      </c>
      <c r="H36" s="26"/>
      <c r="I36" s="28"/>
      <c r="J36" s="27">
        <v>925000</v>
      </c>
      <c r="K36" s="29">
        <f t="shared" si="0"/>
        <v>0</v>
      </c>
      <c r="L36" s="30"/>
      <c r="M36" s="28"/>
      <c r="N36" s="27">
        <v>625000</v>
      </c>
      <c r="O36" s="29">
        <f t="shared" si="1"/>
        <v>0</v>
      </c>
      <c r="P36" s="30"/>
      <c r="Q36" s="28"/>
      <c r="R36" s="27">
        <v>925000</v>
      </c>
      <c r="S36" s="29">
        <f t="shared" si="2"/>
        <v>0</v>
      </c>
      <c r="T36" s="30"/>
      <c r="U36" s="28"/>
      <c r="V36" s="27">
        <v>625000</v>
      </c>
      <c r="W36" s="29">
        <f t="shared" si="3"/>
        <v>0</v>
      </c>
      <c r="X36" s="14"/>
      <c r="Y36" s="28"/>
      <c r="Z36" s="27">
        <v>925000</v>
      </c>
      <c r="AA36" s="29">
        <f t="shared" si="4"/>
        <v>0</v>
      </c>
      <c r="AB36" s="30"/>
      <c r="AC36" s="28"/>
      <c r="AD36" s="27">
        <v>625000</v>
      </c>
      <c r="AE36" s="29">
        <f t="shared" si="5"/>
        <v>0</v>
      </c>
      <c r="AF36" s="30"/>
      <c r="AG36" s="28"/>
      <c r="AH36" s="27">
        <v>925000</v>
      </c>
      <c r="AI36" s="29">
        <f t="shared" si="6"/>
        <v>0</v>
      </c>
      <c r="AJ36" s="30"/>
      <c r="AK36" s="28"/>
      <c r="AL36" s="27">
        <v>625000</v>
      </c>
      <c r="AM36" s="29">
        <f t="shared" si="7"/>
        <v>0</v>
      </c>
      <c r="AN36" s="30"/>
      <c r="AO36" s="28"/>
      <c r="AP36" s="27">
        <v>925000</v>
      </c>
      <c r="AQ36" s="29">
        <f t="shared" si="8"/>
        <v>0</v>
      </c>
      <c r="AR36" s="30"/>
      <c r="AS36" s="28"/>
      <c r="AT36" s="27">
        <v>625000</v>
      </c>
      <c r="AU36" s="29">
        <f t="shared" si="9"/>
        <v>0</v>
      </c>
    </row>
    <row r="37" spans="2:47" ht="15.6" x14ac:dyDescent="0.3">
      <c r="B37" s="24" t="s">
        <v>86</v>
      </c>
      <c r="C37" s="25" t="s">
        <v>87</v>
      </c>
      <c r="D37" s="24" t="s">
        <v>24</v>
      </c>
      <c r="E37" s="26"/>
      <c r="F37" s="27">
        <v>1</v>
      </c>
      <c r="G37" s="27">
        <v>5000000</v>
      </c>
      <c r="H37" s="26"/>
      <c r="I37" s="28"/>
      <c r="J37" s="27">
        <v>300000</v>
      </c>
      <c r="K37" s="29">
        <f t="shared" si="0"/>
        <v>0</v>
      </c>
      <c r="L37" s="30"/>
      <c r="M37" s="28"/>
      <c r="N37" s="27">
        <v>300000</v>
      </c>
      <c r="O37" s="29">
        <f t="shared" si="1"/>
        <v>0</v>
      </c>
      <c r="P37" s="30"/>
      <c r="Q37" s="28"/>
      <c r="R37" s="27">
        <v>300000</v>
      </c>
      <c r="S37" s="29">
        <f t="shared" si="2"/>
        <v>0</v>
      </c>
      <c r="T37" s="30"/>
      <c r="U37" s="28"/>
      <c r="V37" s="27">
        <v>300000</v>
      </c>
      <c r="W37" s="29">
        <f t="shared" si="3"/>
        <v>0</v>
      </c>
      <c r="X37" s="14"/>
      <c r="Y37" s="28"/>
      <c r="Z37" s="27">
        <v>300000</v>
      </c>
      <c r="AA37" s="29">
        <f t="shared" si="4"/>
        <v>0</v>
      </c>
      <c r="AB37" s="30"/>
      <c r="AC37" s="28"/>
      <c r="AD37" s="27">
        <v>300000</v>
      </c>
      <c r="AE37" s="29">
        <f t="shared" si="5"/>
        <v>0</v>
      </c>
      <c r="AF37" s="30"/>
      <c r="AG37" s="28"/>
      <c r="AH37" s="27">
        <v>300000</v>
      </c>
      <c r="AI37" s="29">
        <f t="shared" si="6"/>
        <v>0</v>
      </c>
      <c r="AJ37" s="30"/>
      <c r="AK37" s="28"/>
      <c r="AL37" s="27">
        <v>300000</v>
      </c>
      <c r="AM37" s="29">
        <f t="shared" si="7"/>
        <v>0</v>
      </c>
      <c r="AN37" s="30"/>
      <c r="AO37" s="28"/>
      <c r="AP37" s="27">
        <v>300000</v>
      </c>
      <c r="AQ37" s="29">
        <f t="shared" si="8"/>
        <v>0</v>
      </c>
      <c r="AR37" s="30"/>
      <c r="AS37" s="28"/>
      <c r="AT37" s="27">
        <v>300000</v>
      </c>
      <c r="AU37" s="29">
        <f t="shared" si="9"/>
        <v>0</v>
      </c>
    </row>
    <row r="38" spans="2:47" ht="15.6" x14ac:dyDescent="0.3">
      <c r="B38" s="24" t="s">
        <v>88</v>
      </c>
      <c r="C38" s="25" t="s">
        <v>89</v>
      </c>
      <c r="D38" s="24" t="s">
        <v>24</v>
      </c>
      <c r="E38" s="26"/>
      <c r="F38" s="27">
        <v>1</v>
      </c>
      <c r="G38" s="27">
        <v>5000000</v>
      </c>
      <c r="H38" s="26"/>
      <c r="I38" s="28"/>
      <c r="J38" s="27">
        <v>300000</v>
      </c>
      <c r="K38" s="29">
        <f t="shared" si="0"/>
        <v>0</v>
      </c>
      <c r="L38" s="30"/>
      <c r="M38" s="28"/>
      <c r="N38" s="27">
        <v>300000</v>
      </c>
      <c r="O38" s="29">
        <f t="shared" si="1"/>
        <v>0</v>
      </c>
      <c r="P38" s="30"/>
      <c r="Q38" s="28"/>
      <c r="R38" s="27">
        <v>300000</v>
      </c>
      <c r="S38" s="29">
        <f t="shared" si="2"/>
        <v>0</v>
      </c>
      <c r="T38" s="30"/>
      <c r="U38" s="28"/>
      <c r="V38" s="27">
        <v>300000</v>
      </c>
      <c r="W38" s="29">
        <f t="shared" si="3"/>
        <v>0</v>
      </c>
      <c r="X38" s="14"/>
      <c r="Y38" s="28"/>
      <c r="Z38" s="27">
        <v>300000</v>
      </c>
      <c r="AA38" s="29">
        <f t="shared" si="4"/>
        <v>0</v>
      </c>
      <c r="AB38" s="30"/>
      <c r="AC38" s="28"/>
      <c r="AD38" s="27">
        <v>300000</v>
      </c>
      <c r="AE38" s="29">
        <f t="shared" si="5"/>
        <v>0</v>
      </c>
      <c r="AF38" s="30"/>
      <c r="AG38" s="28"/>
      <c r="AH38" s="27">
        <v>300000</v>
      </c>
      <c r="AI38" s="29">
        <f t="shared" si="6"/>
        <v>0</v>
      </c>
      <c r="AJ38" s="30"/>
      <c r="AK38" s="28"/>
      <c r="AL38" s="27">
        <v>300000</v>
      </c>
      <c r="AM38" s="29">
        <f t="shared" si="7"/>
        <v>0</v>
      </c>
      <c r="AN38" s="30"/>
      <c r="AO38" s="28"/>
      <c r="AP38" s="27">
        <v>300000</v>
      </c>
      <c r="AQ38" s="29">
        <f t="shared" si="8"/>
        <v>0</v>
      </c>
      <c r="AR38" s="30"/>
      <c r="AS38" s="28"/>
      <c r="AT38" s="27">
        <v>300000</v>
      </c>
      <c r="AU38" s="29">
        <f t="shared" si="9"/>
        <v>0</v>
      </c>
    </row>
    <row r="39" spans="2:47" ht="15.6" x14ac:dyDescent="0.3">
      <c r="B39" s="24" t="s">
        <v>90</v>
      </c>
      <c r="C39" s="25" t="s">
        <v>91</v>
      </c>
      <c r="D39" s="24" t="s">
        <v>24</v>
      </c>
      <c r="E39" s="26"/>
      <c r="F39" s="27">
        <v>1</v>
      </c>
      <c r="G39" s="27">
        <v>15000000</v>
      </c>
      <c r="H39" s="26"/>
      <c r="I39" s="28"/>
      <c r="J39" s="27">
        <v>6000000</v>
      </c>
      <c r="K39" s="29">
        <f t="shared" si="0"/>
        <v>0</v>
      </c>
      <c r="L39" s="30"/>
      <c r="M39" s="28"/>
      <c r="N39" s="27">
        <v>13000000</v>
      </c>
      <c r="O39" s="29">
        <f t="shared" si="1"/>
        <v>0</v>
      </c>
      <c r="P39" s="30"/>
      <c r="Q39" s="28"/>
      <c r="R39" s="27">
        <v>9000000</v>
      </c>
      <c r="S39" s="29">
        <f t="shared" si="2"/>
        <v>0</v>
      </c>
      <c r="T39" s="30"/>
      <c r="U39" s="28"/>
      <c r="V39" s="27">
        <v>14000000</v>
      </c>
      <c r="W39" s="29">
        <f t="shared" si="3"/>
        <v>0</v>
      </c>
      <c r="X39" s="14"/>
      <c r="Y39" s="28"/>
      <c r="Z39" s="27">
        <v>6000000</v>
      </c>
      <c r="AA39" s="29">
        <f t="shared" si="4"/>
        <v>0</v>
      </c>
      <c r="AB39" s="30"/>
      <c r="AC39" s="28"/>
      <c r="AD39" s="27">
        <v>10000000</v>
      </c>
      <c r="AE39" s="29">
        <f t="shared" si="5"/>
        <v>0</v>
      </c>
      <c r="AF39" s="30"/>
      <c r="AG39" s="28"/>
      <c r="AH39" s="27">
        <v>6000000</v>
      </c>
      <c r="AI39" s="29">
        <f t="shared" si="6"/>
        <v>0</v>
      </c>
      <c r="AJ39" s="30"/>
      <c r="AK39" s="28"/>
      <c r="AL39" s="27">
        <v>10000000</v>
      </c>
      <c r="AM39" s="29">
        <f t="shared" si="7"/>
        <v>0</v>
      </c>
      <c r="AN39" s="30"/>
      <c r="AO39" s="28"/>
      <c r="AP39" s="27">
        <v>8000000</v>
      </c>
      <c r="AQ39" s="29">
        <f t="shared" si="8"/>
        <v>0</v>
      </c>
      <c r="AR39" s="30"/>
      <c r="AS39" s="28"/>
      <c r="AT39" s="27">
        <v>10000000</v>
      </c>
      <c r="AU39" s="29">
        <f t="shared" si="9"/>
        <v>0</v>
      </c>
    </row>
    <row r="40" spans="2:47" ht="15.6" x14ac:dyDescent="0.3">
      <c r="B40" s="24" t="s">
        <v>92</v>
      </c>
      <c r="C40" s="25" t="s">
        <v>93</v>
      </c>
      <c r="D40" s="24" t="s">
        <v>24</v>
      </c>
      <c r="E40" s="26"/>
      <c r="F40" s="27">
        <v>1</v>
      </c>
      <c r="G40" s="27">
        <v>5000000</v>
      </c>
      <c r="H40" s="26"/>
      <c r="I40" s="28"/>
      <c r="J40" s="27">
        <v>1000000</v>
      </c>
      <c r="K40" s="29">
        <f t="shared" si="0"/>
        <v>0</v>
      </c>
      <c r="L40" s="30"/>
      <c r="M40" s="28"/>
      <c r="N40" s="27">
        <v>2000000</v>
      </c>
      <c r="O40" s="29">
        <f t="shared" si="1"/>
        <v>0</v>
      </c>
      <c r="P40" s="30"/>
      <c r="Q40" s="28"/>
      <c r="R40" s="27">
        <v>1000000</v>
      </c>
      <c r="S40" s="29">
        <f t="shared" si="2"/>
        <v>0</v>
      </c>
      <c r="T40" s="30"/>
      <c r="U40" s="28"/>
      <c r="V40" s="27">
        <v>2000000</v>
      </c>
      <c r="W40" s="29">
        <f t="shared" si="3"/>
        <v>0</v>
      </c>
      <c r="X40" s="14"/>
      <c r="Y40" s="28"/>
      <c r="Z40" s="27">
        <v>1000000</v>
      </c>
      <c r="AA40" s="29">
        <f t="shared" si="4"/>
        <v>0</v>
      </c>
      <c r="AB40" s="30"/>
      <c r="AC40" s="28"/>
      <c r="AD40" s="27">
        <v>1000000</v>
      </c>
      <c r="AE40" s="29">
        <f t="shared" si="5"/>
        <v>0</v>
      </c>
      <c r="AF40" s="30"/>
      <c r="AG40" s="28"/>
      <c r="AH40" s="27">
        <v>1000000</v>
      </c>
      <c r="AI40" s="29">
        <f t="shared" si="6"/>
        <v>0</v>
      </c>
      <c r="AJ40" s="30"/>
      <c r="AK40" s="28"/>
      <c r="AL40" s="27">
        <v>2000000</v>
      </c>
      <c r="AM40" s="29">
        <f t="shared" si="7"/>
        <v>0</v>
      </c>
      <c r="AN40" s="30"/>
      <c r="AO40" s="28"/>
      <c r="AP40" s="27">
        <v>1000000</v>
      </c>
      <c r="AQ40" s="29">
        <f t="shared" si="8"/>
        <v>0</v>
      </c>
      <c r="AR40" s="30"/>
      <c r="AS40" s="28"/>
      <c r="AT40" s="27">
        <v>2000000</v>
      </c>
      <c r="AU40" s="29">
        <f t="shared" si="9"/>
        <v>0</v>
      </c>
    </row>
    <row r="41" spans="2:47" ht="15.6" x14ac:dyDescent="0.3">
      <c r="B41" s="24" t="s">
        <v>94</v>
      </c>
      <c r="C41" s="25" t="s">
        <v>95</v>
      </c>
      <c r="D41" s="24" t="s">
        <v>24</v>
      </c>
      <c r="E41" s="26"/>
      <c r="F41" s="27">
        <v>1</v>
      </c>
      <c r="G41" s="27">
        <v>5000000</v>
      </c>
      <c r="H41" s="26"/>
      <c r="I41" s="28"/>
      <c r="J41" s="27">
        <v>450000</v>
      </c>
      <c r="K41" s="29">
        <f t="shared" si="0"/>
        <v>0</v>
      </c>
      <c r="L41" s="30"/>
      <c r="M41" s="28"/>
      <c r="N41" s="27">
        <v>450000</v>
      </c>
      <c r="O41" s="29">
        <f t="shared" si="1"/>
        <v>0</v>
      </c>
      <c r="P41" s="30"/>
      <c r="Q41" s="28"/>
      <c r="R41" s="27">
        <v>450000</v>
      </c>
      <c r="S41" s="29">
        <f t="shared" si="2"/>
        <v>0</v>
      </c>
      <c r="T41" s="30"/>
      <c r="U41" s="28"/>
      <c r="V41" s="27">
        <v>450000</v>
      </c>
      <c r="W41" s="29">
        <f t="shared" si="3"/>
        <v>0</v>
      </c>
      <c r="X41" s="14"/>
      <c r="Y41" s="28"/>
      <c r="Z41" s="27">
        <v>450000</v>
      </c>
      <c r="AA41" s="29">
        <f t="shared" si="4"/>
        <v>0</v>
      </c>
      <c r="AB41" s="30"/>
      <c r="AC41" s="28"/>
      <c r="AD41" s="27">
        <v>450000</v>
      </c>
      <c r="AE41" s="29">
        <f t="shared" si="5"/>
        <v>0</v>
      </c>
      <c r="AF41" s="30"/>
      <c r="AG41" s="28"/>
      <c r="AH41" s="27">
        <v>450000</v>
      </c>
      <c r="AI41" s="29">
        <f t="shared" si="6"/>
        <v>0</v>
      </c>
      <c r="AJ41" s="30"/>
      <c r="AK41" s="28"/>
      <c r="AL41" s="27">
        <v>450000</v>
      </c>
      <c r="AM41" s="29">
        <f t="shared" si="7"/>
        <v>0</v>
      </c>
      <c r="AN41" s="30"/>
      <c r="AO41" s="28"/>
      <c r="AP41" s="27">
        <v>450000</v>
      </c>
      <c r="AQ41" s="29">
        <f t="shared" si="8"/>
        <v>0</v>
      </c>
      <c r="AR41" s="30"/>
      <c r="AS41" s="28"/>
      <c r="AT41" s="27">
        <v>450000</v>
      </c>
      <c r="AU41" s="29">
        <f t="shared" si="9"/>
        <v>0</v>
      </c>
    </row>
    <row r="42" spans="2:47" ht="15.6" x14ac:dyDescent="0.3">
      <c r="B42" s="24" t="s">
        <v>96</v>
      </c>
      <c r="C42" s="25" t="s">
        <v>97</v>
      </c>
      <c r="D42" s="24" t="s">
        <v>24</v>
      </c>
      <c r="E42" s="26"/>
      <c r="F42" s="27">
        <v>1</v>
      </c>
      <c r="G42" s="27">
        <v>5000000</v>
      </c>
      <c r="H42" s="26"/>
      <c r="I42" s="28"/>
      <c r="J42" s="27">
        <v>450000</v>
      </c>
      <c r="K42" s="29">
        <f t="shared" si="0"/>
        <v>0</v>
      </c>
      <c r="L42" s="30"/>
      <c r="M42" s="28"/>
      <c r="N42" s="27">
        <v>450000</v>
      </c>
      <c r="O42" s="29">
        <f t="shared" si="1"/>
        <v>0</v>
      </c>
      <c r="P42" s="30"/>
      <c r="Q42" s="28"/>
      <c r="R42" s="27">
        <v>450000</v>
      </c>
      <c r="S42" s="29">
        <f t="shared" si="2"/>
        <v>0</v>
      </c>
      <c r="T42" s="30"/>
      <c r="U42" s="28"/>
      <c r="V42" s="27">
        <v>450000</v>
      </c>
      <c r="W42" s="29">
        <f t="shared" si="3"/>
        <v>0</v>
      </c>
      <c r="X42" s="30"/>
      <c r="Y42" s="28"/>
      <c r="Z42" s="27">
        <v>450000</v>
      </c>
      <c r="AA42" s="29">
        <f t="shared" si="4"/>
        <v>0</v>
      </c>
      <c r="AB42" s="30"/>
      <c r="AC42" s="28"/>
      <c r="AD42" s="27">
        <v>450000</v>
      </c>
      <c r="AE42" s="29">
        <f t="shared" si="5"/>
        <v>0</v>
      </c>
      <c r="AF42" s="30"/>
      <c r="AG42" s="28"/>
      <c r="AH42" s="27">
        <v>450000</v>
      </c>
      <c r="AI42" s="29">
        <f t="shared" si="6"/>
        <v>0</v>
      </c>
      <c r="AJ42" s="30"/>
      <c r="AK42" s="28"/>
      <c r="AL42" s="27">
        <v>450000</v>
      </c>
      <c r="AM42" s="29">
        <f t="shared" si="7"/>
        <v>0</v>
      </c>
      <c r="AN42" s="30"/>
      <c r="AO42" s="28"/>
      <c r="AP42" s="27">
        <v>450000</v>
      </c>
      <c r="AQ42" s="29">
        <f t="shared" si="8"/>
        <v>0</v>
      </c>
      <c r="AR42" s="30"/>
      <c r="AS42" s="28"/>
      <c r="AT42" s="27">
        <v>450000</v>
      </c>
      <c r="AU42" s="29">
        <f t="shared" si="9"/>
        <v>0</v>
      </c>
    </row>
    <row r="43" spans="2:47" ht="15.6" x14ac:dyDescent="0.3">
      <c r="B43" s="24" t="s">
        <v>98</v>
      </c>
      <c r="C43" s="25" t="s">
        <v>99</v>
      </c>
      <c r="D43" s="24" t="s">
        <v>24</v>
      </c>
      <c r="E43" s="26"/>
      <c r="F43" s="27">
        <v>1</v>
      </c>
      <c r="G43" s="27">
        <v>5000000</v>
      </c>
      <c r="H43" s="26"/>
      <c r="I43" s="28"/>
      <c r="J43" s="27">
        <v>550000</v>
      </c>
      <c r="K43" s="29">
        <f t="shared" si="0"/>
        <v>0</v>
      </c>
      <c r="L43" s="30"/>
      <c r="M43" s="28"/>
      <c r="N43" s="27">
        <v>550000</v>
      </c>
      <c r="O43" s="29">
        <f t="shared" si="1"/>
        <v>0</v>
      </c>
      <c r="P43" s="30"/>
      <c r="Q43" s="28"/>
      <c r="R43" s="27">
        <v>550000</v>
      </c>
      <c r="S43" s="29">
        <f t="shared" si="2"/>
        <v>0</v>
      </c>
      <c r="T43" s="30"/>
      <c r="U43" s="28"/>
      <c r="V43" s="27">
        <v>550000</v>
      </c>
      <c r="W43" s="29">
        <f t="shared" si="3"/>
        <v>0</v>
      </c>
      <c r="X43" s="30"/>
      <c r="Y43" s="28"/>
      <c r="Z43" s="27">
        <v>550000</v>
      </c>
      <c r="AA43" s="29">
        <f t="shared" si="4"/>
        <v>0</v>
      </c>
      <c r="AB43" s="30"/>
      <c r="AC43" s="28"/>
      <c r="AD43" s="27">
        <v>550000</v>
      </c>
      <c r="AE43" s="29">
        <f t="shared" si="5"/>
        <v>0</v>
      </c>
      <c r="AF43" s="30"/>
      <c r="AG43" s="28"/>
      <c r="AH43" s="27">
        <v>550000</v>
      </c>
      <c r="AI43" s="29">
        <f t="shared" si="6"/>
        <v>0</v>
      </c>
      <c r="AJ43" s="30"/>
      <c r="AK43" s="28"/>
      <c r="AL43" s="27">
        <v>550000</v>
      </c>
      <c r="AM43" s="29">
        <f t="shared" si="7"/>
        <v>0</v>
      </c>
      <c r="AN43" s="30"/>
      <c r="AO43" s="28"/>
      <c r="AP43" s="27">
        <v>550000</v>
      </c>
      <c r="AQ43" s="29">
        <f t="shared" si="8"/>
        <v>0</v>
      </c>
      <c r="AR43" s="30"/>
      <c r="AS43" s="28"/>
      <c r="AT43" s="27">
        <v>550000</v>
      </c>
      <c r="AU43" s="29">
        <f t="shared" si="9"/>
        <v>0</v>
      </c>
    </row>
    <row r="44" spans="2:47" ht="15.6" x14ac:dyDescent="0.3">
      <c r="D44"/>
      <c r="AI44" s="39"/>
      <c r="AJ44" s="39"/>
      <c r="AK44" s="39"/>
      <c r="AL44" s="39"/>
      <c r="AM44" s="39"/>
      <c r="AN44" s="39"/>
      <c r="AO44" s="39"/>
      <c r="AP44" s="39"/>
      <c r="AQ44" s="39"/>
      <c r="AR44" s="39"/>
      <c r="AS44" s="39"/>
      <c r="AT44" s="39"/>
      <c r="AU44" s="39"/>
    </row>
    <row r="45" spans="2:47" ht="15.6" x14ac:dyDescent="0.3">
      <c r="B45" s="24" t="s">
        <v>68</v>
      </c>
      <c r="C45" s="25" t="s">
        <v>100</v>
      </c>
      <c r="D45" s="24" t="s">
        <v>43</v>
      </c>
      <c r="E45" s="26"/>
      <c r="F45" s="27">
        <v>1</v>
      </c>
      <c r="G45" s="27">
        <v>350000</v>
      </c>
      <c r="H45" s="26"/>
      <c r="I45" s="40">
        <f>'1.1.1 MK 90 Range 1'!H15</f>
        <v>0</v>
      </c>
      <c r="J45" s="27">
        <v>190500</v>
      </c>
      <c r="K45" s="29">
        <f t="shared" ref="K45" si="10">I45*J45</f>
        <v>0</v>
      </c>
      <c r="L45" s="30"/>
      <c r="M45" s="40">
        <f>'1.1.1 MK 90 Range 1'!K15</f>
        <v>0</v>
      </c>
      <c r="N45" s="27">
        <v>100000</v>
      </c>
      <c r="O45" s="29">
        <f t="shared" ref="O45" si="11">M45*N45</f>
        <v>0</v>
      </c>
      <c r="P45" s="30"/>
      <c r="Q45" s="40">
        <f>'1.1.1 MK 90 Range 1'!N15</f>
        <v>0</v>
      </c>
      <c r="R45" s="27">
        <v>170500</v>
      </c>
      <c r="S45" s="29">
        <f t="shared" ref="S45" si="12">Q45*R45</f>
        <v>0</v>
      </c>
      <c r="T45" s="30"/>
      <c r="U45" s="40">
        <f>'1.1.1 MK 90 Range 1'!Q15</f>
        <v>0</v>
      </c>
      <c r="V45" s="27">
        <v>80000</v>
      </c>
      <c r="W45" s="29">
        <f t="shared" ref="W45" si="13">U45*V45</f>
        <v>0</v>
      </c>
      <c r="X45" s="14"/>
      <c r="Y45" s="40">
        <f>'1.1.1 MK 90 Range 1'!T15</f>
        <v>0</v>
      </c>
      <c r="Z45" s="27">
        <v>160000</v>
      </c>
      <c r="AA45" s="29">
        <f t="shared" ref="AA45" si="14">Y45*Z45</f>
        <v>0</v>
      </c>
      <c r="AB45" s="30"/>
      <c r="AC45" s="40">
        <f>'1.1.1 MK 90 Range 1'!W15</f>
        <v>0</v>
      </c>
      <c r="AD45" s="27">
        <v>80000</v>
      </c>
      <c r="AE45" s="29">
        <f t="shared" si="5"/>
        <v>0</v>
      </c>
      <c r="AF45" s="30"/>
      <c r="AG45" s="40">
        <f>'1.1.1 MK 90 Range 1'!Z15</f>
        <v>0</v>
      </c>
      <c r="AH45" s="27">
        <v>130500</v>
      </c>
      <c r="AI45" s="29">
        <f t="shared" ref="AI45" si="15">AG45*AH45</f>
        <v>0</v>
      </c>
      <c r="AJ45" s="30"/>
      <c r="AK45" s="40">
        <f>'1.1.1 MK 90 Range 1'!AC15</f>
        <v>0</v>
      </c>
      <c r="AL45" s="27">
        <v>80000</v>
      </c>
      <c r="AM45" s="29">
        <f t="shared" ref="AM45" si="16">AK45*AL45</f>
        <v>0</v>
      </c>
      <c r="AN45" s="30"/>
      <c r="AO45" s="40">
        <f>'1.1.1 MK 90 Range 1'!AF15</f>
        <v>0</v>
      </c>
      <c r="AP45" s="27">
        <v>130500</v>
      </c>
      <c r="AQ45" s="29">
        <f t="shared" ref="AQ45" si="17">AO45*AP45</f>
        <v>0</v>
      </c>
      <c r="AR45" s="30"/>
      <c r="AS45" s="40">
        <f>'1.1.1 MK 90 Range 1'!AI15</f>
        <v>0</v>
      </c>
      <c r="AT45" s="27">
        <v>80000</v>
      </c>
      <c r="AU45" s="29">
        <f t="shared" ref="AU45" si="18">AS45*AT45</f>
        <v>0</v>
      </c>
    </row>
    <row r="46" spans="2:47" ht="15.6" x14ac:dyDescent="0.3">
      <c r="B46" s="26"/>
      <c r="C46" s="26"/>
      <c r="D46" s="41"/>
      <c r="E46" s="26"/>
      <c r="F46" s="39"/>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row>
    <row r="47" spans="2:47" ht="15.6" x14ac:dyDescent="0.3">
      <c r="B47" s="26"/>
      <c r="C47" s="42"/>
      <c r="D47" s="41"/>
      <c r="E47" s="2"/>
      <c r="F47" s="39"/>
      <c r="G47" s="39"/>
      <c r="H47" s="2"/>
      <c r="I47" s="43"/>
      <c r="J47" s="44" t="s">
        <v>118</v>
      </c>
      <c r="K47" s="45">
        <f>SUM(K6:K43)</f>
        <v>0</v>
      </c>
      <c r="L47" s="17"/>
      <c r="M47" s="14"/>
      <c r="N47" s="44" t="s">
        <v>101</v>
      </c>
      <c r="O47" s="45">
        <f>SUM(O6:O43)</f>
        <v>0</v>
      </c>
      <c r="P47" s="17"/>
      <c r="Q47" s="14"/>
      <c r="R47" s="44" t="s">
        <v>102</v>
      </c>
      <c r="S47" s="45">
        <f>SUM(S6:S43)</f>
        <v>0</v>
      </c>
      <c r="T47" s="14"/>
      <c r="U47" s="14"/>
      <c r="V47" s="44" t="s">
        <v>103</v>
      </c>
      <c r="W47" s="45">
        <f>SUM(W6:W43)</f>
        <v>0</v>
      </c>
      <c r="X47" s="14"/>
      <c r="Y47" s="14"/>
      <c r="Z47" s="44" t="s">
        <v>104</v>
      </c>
      <c r="AA47" s="45">
        <f>SUM(AA6:AA43)</f>
        <v>0</v>
      </c>
      <c r="AB47" s="14"/>
      <c r="AC47" s="14"/>
      <c r="AD47" s="44" t="s">
        <v>105</v>
      </c>
      <c r="AE47" s="45">
        <f>SUM(AE6:AE43)</f>
        <v>0</v>
      </c>
      <c r="AF47" s="14"/>
      <c r="AG47" s="14"/>
      <c r="AH47" s="44" t="s">
        <v>106</v>
      </c>
      <c r="AI47" s="45">
        <f>SUM(AI6:AI43)</f>
        <v>0</v>
      </c>
      <c r="AJ47" s="14"/>
      <c r="AK47" s="14"/>
      <c r="AL47" s="44" t="s">
        <v>107</v>
      </c>
      <c r="AM47" s="45">
        <f>SUM(AM6:AM43)</f>
        <v>0</v>
      </c>
      <c r="AN47" s="14"/>
      <c r="AO47" s="14"/>
      <c r="AP47" s="44" t="s">
        <v>108</v>
      </c>
      <c r="AQ47" s="45">
        <f>SUM(AQ6:AQ43)</f>
        <v>0</v>
      </c>
      <c r="AR47" s="14"/>
      <c r="AS47" s="14"/>
      <c r="AT47" s="44" t="s">
        <v>109</v>
      </c>
      <c r="AU47" s="45">
        <f>SUM(AU6:AU43)</f>
        <v>0</v>
      </c>
    </row>
    <row r="49" spans="3:29" ht="15.6" x14ac:dyDescent="0.3">
      <c r="C49" s="42" t="s">
        <v>110</v>
      </c>
      <c r="K49" s="42"/>
      <c r="AC49" s="42"/>
    </row>
    <row r="50" spans="3:29" ht="15.6" x14ac:dyDescent="0.3">
      <c r="K50" s="42"/>
      <c r="AC50" s="42"/>
    </row>
  </sheetData>
  <mergeCells count="10">
    <mergeCell ref="AG4:AI4"/>
    <mergeCell ref="AK4:AM4"/>
    <mergeCell ref="AO4:AQ4"/>
    <mergeCell ref="AS4:AU4"/>
    <mergeCell ref="I4:K4"/>
    <mergeCell ref="M4:O4"/>
    <mergeCell ref="Q4:S4"/>
    <mergeCell ref="U4:W4"/>
    <mergeCell ref="Y4:AA4"/>
    <mergeCell ref="AC4:AE4"/>
  </mergeCells>
  <conditionalFormatting sqref="L6:L43 P6:P43">
    <cfRule type="cellIs" dxfId="27" priority="13" operator="greaterThan">
      <formula>0.03</formula>
    </cfRule>
  </conditionalFormatting>
  <conditionalFormatting sqref="L45 P45">
    <cfRule type="cellIs" dxfId="26" priority="6" operator="greaterThan">
      <formula>0.03</formula>
    </cfRule>
  </conditionalFormatting>
  <conditionalFormatting sqref="T6:T43">
    <cfRule type="cellIs" dxfId="25" priority="10" operator="greaterThan">
      <formula>0.03</formula>
    </cfRule>
  </conditionalFormatting>
  <conditionalFormatting sqref="T45">
    <cfRule type="cellIs" dxfId="24" priority="4" operator="greaterThan">
      <formula>0.03</formula>
    </cfRule>
  </conditionalFormatting>
  <conditionalFormatting sqref="X42:X43">
    <cfRule type="cellIs" dxfId="23" priority="12" operator="greaterThan">
      <formula>0.03</formula>
    </cfRule>
  </conditionalFormatting>
  <conditionalFormatting sqref="AB6:AB43 AF6:AF43">
    <cfRule type="cellIs" dxfId="22" priority="9" operator="greaterThan">
      <formula>0.03</formula>
    </cfRule>
  </conditionalFormatting>
  <conditionalFormatting sqref="AB45 AF45">
    <cfRule type="cellIs" dxfId="21" priority="3" operator="greaterThan">
      <formula>0.03</formula>
    </cfRule>
  </conditionalFormatting>
  <conditionalFormatting sqref="AJ6:AJ43">
    <cfRule type="cellIs" dxfId="20" priority="8" operator="greaterThan">
      <formula>0.03</formula>
    </cfRule>
  </conditionalFormatting>
  <conditionalFormatting sqref="AJ45">
    <cfRule type="cellIs" dxfId="19" priority="2" operator="greaterThan">
      <formula>0.03</formula>
    </cfRule>
  </conditionalFormatting>
  <conditionalFormatting sqref="AN6:AN43">
    <cfRule type="cellIs" dxfId="18" priority="11" operator="greaterThan">
      <formula>0.03</formula>
    </cfRule>
  </conditionalFormatting>
  <conditionalFormatting sqref="AN45">
    <cfRule type="cellIs" dxfId="17" priority="5" operator="greaterThan">
      <formula>0.03</formula>
    </cfRule>
  </conditionalFormatting>
  <conditionalFormatting sqref="AR6:AR43">
    <cfRule type="cellIs" dxfId="16" priority="7" operator="greaterThan">
      <formula>0.03</formula>
    </cfRule>
  </conditionalFormatting>
  <conditionalFormatting sqref="AR45">
    <cfRule type="cellIs" dxfId="15" priority="1" operator="greaterThan">
      <formula>0.03</formula>
    </cfRule>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13D30-82A2-4D87-84E7-071F09E90BD2}">
  <sheetPr>
    <tabColor theme="0" tint="-4.9989318521683403E-2"/>
  </sheetPr>
  <dimension ref="A1:BA22"/>
  <sheetViews>
    <sheetView showGridLines="0" zoomScale="90" zoomScaleNormal="90" workbookViewId="0">
      <selection activeCell="P21" sqref="P21"/>
    </sheetView>
  </sheetViews>
  <sheetFormatPr defaultRowHeight="15.6" x14ac:dyDescent="0.3"/>
  <cols>
    <col min="1" max="1" width="3" style="14" customWidth="1"/>
    <col min="2" max="2" width="4.5546875" style="14" customWidth="1"/>
    <col min="3" max="3" width="1.44140625" style="14" customWidth="1"/>
    <col min="4" max="4" width="9.77734375" style="14" bestFit="1" customWidth="1"/>
    <col min="5" max="5" width="3.109375" style="14" customWidth="1"/>
    <col min="6" max="6" width="10.21875" style="14" customWidth="1"/>
    <col min="7" max="8" width="9.77734375" style="14" customWidth="1"/>
    <col min="9" max="9" width="2.6640625" style="14" customWidth="1"/>
    <col min="10" max="11" width="9.77734375" style="14" customWidth="1"/>
    <col min="12" max="12" width="3.21875" style="14" customWidth="1"/>
    <col min="13" max="14" width="9.77734375" style="14" customWidth="1"/>
    <col min="15" max="15" width="3" style="14" customWidth="1"/>
    <col min="16" max="17" width="9.77734375" style="14" customWidth="1"/>
    <col min="18" max="18" width="4.33203125" style="14" customWidth="1"/>
    <col min="19" max="20" width="9.77734375" style="14" customWidth="1"/>
    <col min="21" max="21" width="2.44140625" style="14" customWidth="1"/>
    <col min="22" max="23" width="9.77734375" style="14" customWidth="1"/>
    <col min="24" max="24" width="2.88671875" style="14" customWidth="1"/>
    <col min="25" max="26" width="9.77734375" style="14" customWidth="1"/>
    <col min="27" max="27" width="2.77734375" style="14" customWidth="1"/>
    <col min="28" max="29" width="9.77734375" style="14" customWidth="1"/>
    <col min="30" max="30" width="2.6640625" style="14" customWidth="1"/>
    <col min="31" max="32" width="9.77734375" style="14" customWidth="1"/>
    <col min="33" max="33" width="2.6640625" style="14" customWidth="1"/>
    <col min="34" max="34" width="9.77734375" style="14" customWidth="1"/>
    <col min="35" max="35" width="10.77734375" style="14" customWidth="1"/>
    <col min="36" max="16384" width="8.88671875" style="14"/>
  </cols>
  <sheetData>
    <row r="1" spans="1:53" s="8" customFormat="1" x14ac:dyDescent="0.3">
      <c r="D1" s="2" t="s">
        <v>1</v>
      </c>
      <c r="E1" s="2"/>
      <c r="F1" s="3"/>
      <c r="G1" s="2"/>
      <c r="H1" s="2"/>
      <c r="I1" s="2"/>
      <c r="J1" s="4"/>
      <c r="K1" s="4"/>
      <c r="L1" s="4"/>
      <c r="M1" s="2" t="s">
        <v>3</v>
      </c>
      <c r="N1" s="6"/>
      <c r="O1" s="6"/>
      <c r="P1" s="10"/>
      <c r="Q1" s="6"/>
      <c r="R1" s="6"/>
      <c r="S1" s="4"/>
      <c r="T1" s="4"/>
      <c r="U1" s="4"/>
      <c r="V1" s="6"/>
      <c r="W1" s="6"/>
      <c r="X1" s="6"/>
      <c r="Y1" s="5"/>
      <c r="Z1" s="6"/>
      <c r="AA1" s="6"/>
      <c r="AB1" s="4"/>
      <c r="AC1" s="4"/>
      <c r="AD1" s="4"/>
      <c r="AE1" s="6"/>
      <c r="AF1" s="6"/>
      <c r="AG1" s="6"/>
      <c r="AH1" s="5"/>
      <c r="AI1" s="6"/>
      <c r="AJ1" s="6"/>
      <c r="AK1" s="6"/>
      <c r="AL1" s="7"/>
      <c r="AM1" s="6"/>
      <c r="AN1" s="6"/>
      <c r="AO1" s="6"/>
      <c r="AP1" s="7"/>
      <c r="AQ1" s="6"/>
      <c r="AR1" s="6"/>
      <c r="AS1" s="6"/>
      <c r="AT1" s="7"/>
      <c r="AU1" s="6"/>
      <c r="AV1" s="6"/>
      <c r="AW1" s="6"/>
      <c r="AX1" s="7"/>
      <c r="AY1" s="6"/>
      <c r="AZ1" s="6"/>
      <c r="BA1" s="6"/>
    </row>
    <row r="2" spans="1:53" s="8" customFormat="1" x14ac:dyDescent="0.3">
      <c r="D2" s="2" t="s">
        <v>111</v>
      </c>
      <c r="E2" s="2"/>
      <c r="F2" s="3"/>
      <c r="K2" s="11"/>
      <c r="L2" s="11"/>
      <c r="M2" s="4"/>
      <c r="N2" s="4"/>
      <c r="O2" s="4"/>
      <c r="P2" s="12"/>
      <c r="Q2" s="4"/>
      <c r="R2" s="4"/>
      <c r="T2" s="11"/>
      <c r="U2" s="11"/>
      <c r="V2" s="4"/>
      <c r="W2" s="4"/>
      <c r="X2" s="4"/>
      <c r="Y2" s="12"/>
      <c r="Z2" s="4"/>
      <c r="AA2" s="4"/>
      <c r="AC2" s="11"/>
      <c r="AD2" s="11"/>
      <c r="AE2" s="4"/>
      <c r="AF2" s="4"/>
      <c r="AG2" s="4"/>
      <c r="AH2" s="12"/>
      <c r="AI2" s="4"/>
      <c r="AJ2" s="4"/>
      <c r="AK2" s="4"/>
      <c r="AL2" s="4"/>
      <c r="AM2" s="4"/>
      <c r="AN2" s="4"/>
      <c r="AO2" s="4"/>
      <c r="AP2" s="4"/>
      <c r="AQ2" s="4"/>
      <c r="AR2" s="4"/>
      <c r="AS2" s="4"/>
      <c r="AT2" s="4"/>
      <c r="AU2" s="4"/>
      <c r="AV2" s="4"/>
      <c r="AW2" s="4"/>
      <c r="AX2" s="4"/>
      <c r="AY2" s="4"/>
      <c r="AZ2" s="4"/>
      <c r="BA2" s="4"/>
    </row>
    <row r="3" spans="1:53" s="8" customFormat="1" x14ac:dyDescent="0.3">
      <c r="D3" s="13"/>
      <c r="E3" s="13"/>
      <c r="F3" s="3"/>
      <c r="G3" s="2"/>
      <c r="H3" s="2"/>
      <c r="I3" s="2"/>
      <c r="J3" s="2"/>
      <c r="K3" s="2"/>
      <c r="L3" s="2"/>
      <c r="M3" s="2"/>
      <c r="N3" s="2"/>
      <c r="O3" s="2"/>
      <c r="P3" s="12"/>
      <c r="Q3" s="4"/>
      <c r="R3" s="4"/>
      <c r="S3" s="2"/>
      <c r="T3" s="2"/>
      <c r="U3" s="2"/>
      <c r="V3" s="2"/>
      <c r="W3" s="2"/>
      <c r="X3" s="2"/>
      <c r="Y3" s="12"/>
      <c r="Z3" s="4"/>
      <c r="AA3" s="4"/>
      <c r="AB3" s="2"/>
      <c r="AC3" s="2"/>
      <c r="AD3" s="2"/>
      <c r="AE3" s="2"/>
      <c r="AF3" s="2"/>
      <c r="AG3" s="2"/>
      <c r="AH3" s="12"/>
      <c r="AI3" s="4"/>
      <c r="AJ3" s="4"/>
      <c r="AK3" s="4"/>
      <c r="AL3" s="4"/>
      <c r="AM3" s="4"/>
      <c r="AN3" s="4"/>
      <c r="AO3" s="4"/>
      <c r="AP3" s="4"/>
      <c r="AQ3" s="4"/>
      <c r="AR3" s="4"/>
      <c r="AS3" s="4"/>
      <c r="AT3" s="4"/>
      <c r="AU3" s="4"/>
      <c r="AV3" s="4"/>
      <c r="AW3" s="4"/>
      <c r="AX3" s="4"/>
      <c r="AY3" s="4"/>
      <c r="AZ3" s="4"/>
      <c r="BA3" s="4"/>
    </row>
    <row r="4" spans="1:53" s="47" customFormat="1" x14ac:dyDescent="0.3">
      <c r="D4" s="2" t="s">
        <v>112</v>
      </c>
      <c r="E4" s="48"/>
      <c r="F4" s="48"/>
      <c r="G4" s="48"/>
      <c r="H4" s="48"/>
      <c r="I4" s="48"/>
      <c r="J4" s="48"/>
      <c r="K4" s="49"/>
      <c r="L4" s="49"/>
      <c r="M4" s="49"/>
      <c r="N4" s="49"/>
      <c r="O4" s="49"/>
      <c r="P4" s="49"/>
      <c r="Q4" s="49"/>
      <c r="R4" s="49"/>
      <c r="S4" s="48"/>
      <c r="T4" s="49"/>
      <c r="U4" s="49"/>
      <c r="V4" s="49"/>
      <c r="W4" s="49"/>
      <c r="X4" s="49"/>
      <c r="Y4" s="49"/>
      <c r="Z4" s="49"/>
      <c r="AA4" s="49"/>
      <c r="AB4" s="48"/>
      <c r="AC4" s="49"/>
      <c r="AD4" s="49"/>
      <c r="AE4" s="49"/>
      <c r="AF4" s="49"/>
      <c r="AG4" s="49"/>
      <c r="AH4" s="49"/>
      <c r="AI4" s="49"/>
    </row>
    <row r="5" spans="1:53" s="47" customFormat="1" x14ac:dyDescent="0.3">
      <c r="A5" s="50"/>
      <c r="B5" s="51"/>
      <c r="C5" s="51"/>
      <c r="D5" s="51"/>
      <c r="E5" s="51"/>
      <c r="F5" s="51"/>
      <c r="G5" s="51"/>
      <c r="H5" s="51"/>
      <c r="I5" s="51"/>
      <c r="J5" s="51"/>
      <c r="K5" s="52"/>
      <c r="L5" s="52"/>
      <c r="M5" s="52"/>
      <c r="N5" s="52"/>
      <c r="O5" s="52"/>
      <c r="P5" s="52"/>
      <c r="Q5" s="52"/>
      <c r="R5" s="49"/>
      <c r="S5" s="52"/>
      <c r="T5" s="52"/>
      <c r="U5" s="52"/>
      <c r="V5" s="52"/>
      <c r="W5" s="52"/>
      <c r="X5" s="52"/>
      <c r="Y5" s="52"/>
      <c r="Z5" s="52"/>
      <c r="AA5" s="52"/>
      <c r="AB5" s="52"/>
      <c r="AC5" s="52"/>
      <c r="AD5" s="52"/>
      <c r="AE5" s="52"/>
      <c r="AF5" s="52"/>
      <c r="AG5" s="52"/>
      <c r="AH5" s="52"/>
      <c r="AI5" s="52"/>
    </row>
    <row r="6" spans="1:53" s="47" customFormat="1" x14ac:dyDescent="0.3">
      <c r="A6" s="50"/>
      <c r="B6" s="51"/>
      <c r="C6" s="51"/>
      <c r="D6" s="51"/>
      <c r="E6" s="51"/>
      <c r="F6" s="51"/>
      <c r="G6" s="51"/>
      <c r="H6" s="51"/>
      <c r="I6" s="51"/>
      <c r="J6" s="51"/>
      <c r="K6" s="52"/>
      <c r="L6" s="52"/>
      <c r="M6" s="52"/>
      <c r="N6" s="52"/>
      <c r="O6" s="52"/>
      <c r="P6" s="52"/>
      <c r="Q6" s="52"/>
      <c r="R6" s="49"/>
      <c r="S6" s="52"/>
      <c r="T6" s="52"/>
      <c r="U6" s="52"/>
      <c r="V6" s="52"/>
      <c r="W6" s="52"/>
      <c r="X6" s="52"/>
      <c r="Y6" s="52"/>
      <c r="Z6" s="52"/>
      <c r="AA6" s="52"/>
      <c r="AB6" s="52"/>
      <c r="AC6" s="52"/>
      <c r="AD6" s="52"/>
      <c r="AE6" s="52"/>
      <c r="AF6" s="52"/>
      <c r="AG6" s="52"/>
      <c r="AH6" s="52"/>
      <c r="AI6" s="52"/>
    </row>
    <row r="7" spans="1:53" x14ac:dyDescent="0.3">
      <c r="A7" s="50"/>
      <c r="D7" s="53" t="s">
        <v>113</v>
      </c>
      <c r="L7" s="52"/>
      <c r="O7" s="52"/>
      <c r="R7" s="49"/>
      <c r="X7" s="52"/>
      <c r="AA7" s="52"/>
      <c r="AD7" s="52"/>
    </row>
    <row r="8" spans="1:53" x14ac:dyDescent="0.3">
      <c r="L8" s="52"/>
      <c r="O8" s="52"/>
      <c r="R8" s="49"/>
      <c r="X8" s="52"/>
      <c r="AA8" s="52"/>
      <c r="AD8" s="52"/>
    </row>
    <row r="9" spans="1:53" x14ac:dyDescent="0.3">
      <c r="D9" s="119" t="s">
        <v>114</v>
      </c>
      <c r="E9" s="119"/>
      <c r="F9" s="119"/>
      <c r="G9" s="117" t="s">
        <v>4</v>
      </c>
      <c r="H9" s="118"/>
      <c r="J9" s="117" t="s">
        <v>5</v>
      </c>
      <c r="K9" s="118"/>
      <c r="L9" s="52"/>
      <c r="M9" s="117" t="s">
        <v>6</v>
      </c>
      <c r="N9" s="118"/>
      <c r="O9" s="52"/>
      <c r="P9" s="117" t="s">
        <v>7</v>
      </c>
      <c r="Q9" s="118"/>
      <c r="R9" s="49"/>
      <c r="S9" s="117" t="s">
        <v>8</v>
      </c>
      <c r="T9" s="118"/>
      <c r="V9" s="117" t="s">
        <v>9</v>
      </c>
      <c r="W9" s="118"/>
      <c r="X9" s="52"/>
      <c r="Y9" s="117" t="s">
        <v>10</v>
      </c>
      <c r="Z9" s="118"/>
      <c r="AA9" s="52"/>
      <c r="AB9" s="117" t="s">
        <v>11</v>
      </c>
      <c r="AC9" s="118"/>
      <c r="AD9" s="52"/>
      <c r="AE9" s="117" t="s">
        <v>12</v>
      </c>
      <c r="AF9" s="118"/>
      <c r="AH9" s="117" t="s">
        <v>13</v>
      </c>
      <c r="AI9" s="118"/>
    </row>
    <row r="10" spans="1:53" ht="26.4" x14ac:dyDescent="0.3">
      <c r="D10" s="119"/>
      <c r="E10" s="119"/>
      <c r="F10" s="119"/>
      <c r="G10" s="54" t="s">
        <v>115</v>
      </c>
      <c r="H10" s="54" t="s">
        <v>116</v>
      </c>
      <c r="J10" s="54" t="s">
        <v>115</v>
      </c>
      <c r="K10" s="54" t="s">
        <v>116</v>
      </c>
      <c r="L10" s="52"/>
      <c r="M10" s="54" t="s">
        <v>115</v>
      </c>
      <c r="N10" s="54" t="s">
        <v>116</v>
      </c>
      <c r="O10" s="52"/>
      <c r="P10" s="54" t="s">
        <v>115</v>
      </c>
      <c r="Q10" s="54" t="s">
        <v>116</v>
      </c>
      <c r="R10" s="49"/>
      <c r="S10" s="54" t="s">
        <v>115</v>
      </c>
      <c r="T10" s="54" t="s">
        <v>116</v>
      </c>
      <c r="V10" s="54" t="s">
        <v>115</v>
      </c>
      <c r="W10" s="54" t="s">
        <v>116</v>
      </c>
      <c r="X10" s="52"/>
      <c r="Y10" s="54" t="s">
        <v>115</v>
      </c>
      <c r="Z10" s="54" t="s">
        <v>116</v>
      </c>
      <c r="AA10" s="52"/>
      <c r="AB10" s="54" t="s">
        <v>115</v>
      </c>
      <c r="AC10" s="54" t="s">
        <v>116</v>
      </c>
      <c r="AD10" s="52"/>
      <c r="AE10" s="54" t="s">
        <v>115</v>
      </c>
      <c r="AF10" s="54" t="s">
        <v>116</v>
      </c>
      <c r="AH10" s="54" t="s">
        <v>115</v>
      </c>
      <c r="AI10" s="54" t="s">
        <v>116</v>
      </c>
    </row>
    <row r="11" spans="1:53" x14ac:dyDescent="0.3">
      <c r="D11" s="55">
        <v>1</v>
      </c>
      <c r="E11" s="48" t="str">
        <f>IF(D11&gt;0,"-","")</f>
        <v>-</v>
      </c>
      <c r="F11" s="56">
        <f>D12-1</f>
        <v>20000</v>
      </c>
      <c r="G11" s="52">
        <v>0.1</v>
      </c>
      <c r="H11" s="57"/>
      <c r="J11" s="52">
        <v>0.1</v>
      </c>
      <c r="K11" s="57"/>
      <c r="L11" s="52"/>
      <c r="M11" s="52">
        <v>0.1</v>
      </c>
      <c r="N11" s="57"/>
      <c r="O11" s="52"/>
      <c r="P11" s="52">
        <v>0.1</v>
      </c>
      <c r="Q11" s="57"/>
      <c r="R11" s="49"/>
      <c r="S11" s="52">
        <v>0.1</v>
      </c>
      <c r="T11" s="57"/>
      <c r="V11" s="52">
        <v>0.1</v>
      </c>
      <c r="W11" s="57"/>
      <c r="X11" s="52"/>
      <c r="Y11" s="52">
        <v>0.1</v>
      </c>
      <c r="Z11" s="57"/>
      <c r="AA11" s="52"/>
      <c r="AB11" s="52">
        <v>0.1</v>
      </c>
      <c r="AC11" s="57"/>
      <c r="AD11" s="52"/>
      <c r="AE11" s="52">
        <v>0.1</v>
      </c>
      <c r="AF11" s="57"/>
      <c r="AH11" s="52">
        <v>0.1</v>
      </c>
      <c r="AI11" s="57"/>
    </row>
    <row r="12" spans="1:53" x14ac:dyDescent="0.3">
      <c r="D12" s="51">
        <v>20001</v>
      </c>
      <c r="E12" s="48" t="str">
        <f t="shared" ref="E12:E13" si="0">IF(D12&gt;0,"-","")</f>
        <v>-</v>
      </c>
      <c r="F12" s="56">
        <v>100000</v>
      </c>
      <c r="G12" s="52">
        <v>0.6</v>
      </c>
      <c r="H12" s="57"/>
      <c r="J12" s="52">
        <v>0.6</v>
      </c>
      <c r="K12" s="57"/>
      <c r="L12" s="52"/>
      <c r="M12" s="52">
        <v>0.6</v>
      </c>
      <c r="N12" s="57"/>
      <c r="O12" s="52"/>
      <c r="P12" s="52">
        <v>0.3</v>
      </c>
      <c r="Q12" s="57"/>
      <c r="R12" s="49"/>
      <c r="S12" s="52">
        <v>0.6</v>
      </c>
      <c r="T12" s="57"/>
      <c r="V12" s="52">
        <v>0.3</v>
      </c>
      <c r="W12" s="57"/>
      <c r="X12" s="52"/>
      <c r="Y12" s="52">
        <v>0.6</v>
      </c>
      <c r="Z12" s="57"/>
      <c r="AA12" s="52"/>
      <c r="AB12" s="52">
        <v>0.3</v>
      </c>
      <c r="AC12" s="57"/>
      <c r="AD12" s="52"/>
      <c r="AE12" s="52">
        <v>0.6</v>
      </c>
      <c r="AF12" s="57"/>
      <c r="AH12" s="52">
        <v>0.6</v>
      </c>
      <c r="AI12" s="57"/>
    </row>
    <row r="13" spans="1:53" x14ac:dyDescent="0.3">
      <c r="D13" s="51">
        <v>100001</v>
      </c>
      <c r="E13" s="48" t="str">
        <f t="shared" si="0"/>
        <v>-</v>
      </c>
      <c r="F13" s="56">
        <v>350000</v>
      </c>
      <c r="G13" s="52">
        <v>0.3</v>
      </c>
      <c r="H13" s="57"/>
      <c r="J13" s="52">
        <v>0.3</v>
      </c>
      <c r="K13" s="57"/>
      <c r="L13" s="52"/>
      <c r="M13" s="52">
        <v>0.3</v>
      </c>
      <c r="N13" s="57"/>
      <c r="O13" s="52"/>
      <c r="P13" s="52">
        <v>0.6</v>
      </c>
      <c r="Q13" s="57"/>
      <c r="R13" s="49"/>
      <c r="S13" s="52">
        <v>0.3</v>
      </c>
      <c r="T13" s="57"/>
      <c r="V13" s="52">
        <v>0.6</v>
      </c>
      <c r="W13" s="57"/>
      <c r="X13" s="52"/>
      <c r="Y13" s="52">
        <v>0.3</v>
      </c>
      <c r="Z13" s="57"/>
      <c r="AA13" s="52"/>
      <c r="AB13" s="52">
        <v>0.6</v>
      </c>
      <c r="AC13" s="57"/>
      <c r="AD13" s="52"/>
      <c r="AE13" s="52">
        <v>0.3</v>
      </c>
      <c r="AF13" s="57"/>
      <c r="AH13" s="52">
        <v>0.3</v>
      </c>
      <c r="AI13" s="57"/>
    </row>
    <row r="14" spans="1:53" x14ac:dyDescent="0.3">
      <c r="L14" s="52"/>
      <c r="O14" s="52"/>
      <c r="R14" s="49"/>
      <c r="X14" s="52"/>
      <c r="AA14" s="52"/>
      <c r="AD14" s="52"/>
    </row>
    <row r="15" spans="1:53" x14ac:dyDescent="0.3">
      <c r="D15" s="50" t="s">
        <v>117</v>
      </c>
      <c r="H15" s="58">
        <f>G11*H11+G12*H12+G13*H13</f>
        <v>0</v>
      </c>
      <c r="K15" s="58">
        <f>J11*K11+J12*K12+J13*K13</f>
        <v>0</v>
      </c>
      <c r="L15" s="52"/>
      <c r="N15" s="58">
        <f>M11*N11+M12*N12+M13*N13</f>
        <v>0</v>
      </c>
      <c r="O15" s="52"/>
      <c r="Q15" s="58">
        <f>P11*Q11+P12*Q12+P13*Q13</f>
        <v>0</v>
      </c>
      <c r="T15" s="58">
        <f>S11*T11+S12*T12+S13*T13</f>
        <v>0</v>
      </c>
      <c r="U15" s="52"/>
      <c r="W15" s="58">
        <f>V11*W11+V12*W12+V13*W13</f>
        <v>0</v>
      </c>
      <c r="X15" s="52"/>
      <c r="Z15" s="58">
        <f>Y11*Z11+Y12*Z12+Y13*Z13</f>
        <v>0</v>
      </c>
      <c r="AC15" s="58">
        <f>AB11*AC11+AB12*AC12+AB13*AC13</f>
        <v>0</v>
      </c>
      <c r="AD15" s="52"/>
      <c r="AF15" s="58">
        <f>AE11*AF11+AE12*AF12+AE13*AF13</f>
        <v>0</v>
      </c>
      <c r="AG15" s="52"/>
      <c r="AI15" s="58">
        <f>AH11*AI11+AH12*AI12+AH13*AI13</f>
        <v>0</v>
      </c>
    </row>
    <row r="16" spans="1:53" x14ac:dyDescent="0.3">
      <c r="L16" s="52"/>
      <c r="R16" s="49"/>
      <c r="X16" s="52"/>
      <c r="AA16" s="52"/>
      <c r="AD16" s="52"/>
    </row>
    <row r="17" spans="4:35" x14ac:dyDescent="0.3">
      <c r="L17" s="52"/>
      <c r="X17" s="52"/>
      <c r="AA17" s="52"/>
      <c r="AD17" s="52"/>
    </row>
    <row r="18" spans="4:35" x14ac:dyDescent="0.3">
      <c r="D18" s="42" t="s">
        <v>121</v>
      </c>
      <c r="H18" s="42"/>
      <c r="I18" s="42"/>
      <c r="X18" s="52"/>
      <c r="AA18" s="52"/>
      <c r="AD18" s="52"/>
    </row>
    <row r="19" spans="4:35" x14ac:dyDescent="0.3">
      <c r="X19" s="52"/>
      <c r="AA19" s="52"/>
      <c r="AD19" s="52"/>
    </row>
    <row r="20" spans="4:35" x14ac:dyDescent="0.3">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row>
    <row r="21" spans="4:35" x14ac:dyDescent="0.3">
      <c r="AA21" s="52"/>
    </row>
    <row r="22" spans="4:35" x14ac:dyDescent="0.3">
      <c r="AA22" s="52"/>
    </row>
  </sheetData>
  <mergeCells count="11">
    <mergeCell ref="S9:T9"/>
    <mergeCell ref="D9:F10"/>
    <mergeCell ref="G9:H9"/>
    <mergeCell ref="J9:K9"/>
    <mergeCell ref="M9:N9"/>
    <mergeCell ref="P9:Q9"/>
    <mergeCell ref="V9:W9"/>
    <mergeCell ref="Y9:Z9"/>
    <mergeCell ref="AB9:AC9"/>
    <mergeCell ref="AE9:AF9"/>
    <mergeCell ref="AH9:AI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367A4-3F7E-4A14-AE26-53CE0732426A}">
  <sheetPr>
    <tabColor theme="0" tint="-4.9989318521683403E-2"/>
  </sheetPr>
  <dimension ref="B1:AU50"/>
  <sheetViews>
    <sheetView showGridLines="0" zoomScale="90" zoomScaleNormal="90" workbookViewId="0">
      <pane xSplit="3" ySplit="5" topLeftCell="D6" activePane="bottomRight" state="frozen"/>
      <selection activeCell="P21" sqref="P21"/>
      <selection pane="topRight" activeCell="P21" sqref="P21"/>
      <selection pane="bottomLeft" activeCell="P21" sqref="P21"/>
      <selection pane="bottomRight" activeCell="P21" sqref="P21"/>
    </sheetView>
  </sheetViews>
  <sheetFormatPr defaultRowHeight="14.4" x14ac:dyDescent="0.3"/>
  <cols>
    <col min="1" max="1" width="2" customWidth="1"/>
    <col min="2" max="2" width="7.33203125" customWidth="1"/>
    <col min="3" max="3" width="48" customWidth="1"/>
    <col min="4" max="4" width="11.21875" style="46" customWidth="1"/>
    <col min="5" max="5" width="4.21875" customWidth="1"/>
    <col min="6" max="6" width="13.44140625" customWidth="1"/>
    <col min="7" max="7" width="13.109375" customWidth="1"/>
    <col min="8" max="8" width="5.33203125" customWidth="1"/>
    <col min="9" max="10" width="11" customWidth="1"/>
    <col min="11" max="11" width="18.109375" customWidth="1"/>
    <col min="12" max="12" width="1.6640625" customWidth="1"/>
    <col min="13" max="13" width="11" customWidth="1"/>
    <col min="14" max="14" width="14.33203125" customWidth="1"/>
    <col min="15" max="15" width="16" customWidth="1"/>
    <col min="16" max="16" width="1.6640625" customWidth="1"/>
    <col min="17" max="18" width="11" customWidth="1"/>
    <col min="19" max="19" width="16" customWidth="1"/>
    <col min="20" max="20" width="1.6640625" customWidth="1"/>
    <col min="21" max="22" width="11" customWidth="1"/>
    <col min="23" max="23" width="16" customWidth="1"/>
    <col min="24" max="24" width="2.33203125" customWidth="1"/>
    <col min="25" max="26" width="11" customWidth="1"/>
    <col min="27" max="27" width="16" customWidth="1"/>
    <col min="28" max="28" width="2.33203125" customWidth="1"/>
    <col min="29" max="30" width="11" customWidth="1"/>
    <col min="31" max="31" width="16" customWidth="1"/>
    <col min="32" max="32" width="2.33203125" customWidth="1"/>
    <col min="33" max="33" width="11" customWidth="1"/>
    <col min="34" max="35" width="16" customWidth="1"/>
    <col min="36" max="36" width="2.33203125" customWidth="1"/>
    <col min="37" max="37" width="11" customWidth="1"/>
    <col min="38" max="39" width="16" customWidth="1"/>
    <col min="40" max="40" width="2.33203125" customWidth="1"/>
    <col min="41" max="41" width="11" customWidth="1"/>
    <col min="42" max="43" width="16" customWidth="1"/>
    <col min="44" max="44" width="2.33203125" customWidth="1"/>
    <col min="45" max="45" width="11" customWidth="1"/>
    <col min="46" max="46" width="16" customWidth="1"/>
    <col min="47" max="47" width="11" customWidth="1"/>
  </cols>
  <sheetData>
    <row r="1" spans="2:47" s="8" customFormat="1" ht="15.6" x14ac:dyDescent="0.3">
      <c r="B1" s="2" t="s">
        <v>1</v>
      </c>
      <c r="C1" s="2"/>
      <c r="D1" s="3"/>
      <c r="E1" s="2"/>
      <c r="F1" s="2" t="s">
        <v>193</v>
      </c>
      <c r="G1" s="4"/>
      <c r="H1" s="4"/>
      <c r="I1" s="4"/>
      <c r="J1" s="4"/>
      <c r="K1" s="4"/>
      <c r="L1" s="5"/>
      <c r="M1" s="6"/>
      <c r="N1" s="6"/>
      <c r="O1" s="6"/>
      <c r="P1" s="5"/>
      <c r="Q1" s="6"/>
      <c r="R1" s="6"/>
      <c r="S1" s="6"/>
      <c r="T1" s="7"/>
      <c r="U1" s="6"/>
      <c r="V1" s="6"/>
      <c r="W1" s="6"/>
      <c r="X1" s="7"/>
      <c r="Y1" s="6"/>
      <c r="Z1" s="6"/>
      <c r="AA1" s="6"/>
      <c r="AB1" s="7"/>
      <c r="AC1" s="6"/>
      <c r="AD1" s="6"/>
      <c r="AE1" s="6"/>
      <c r="AF1" s="7"/>
      <c r="AG1" s="6"/>
      <c r="AH1" s="6"/>
      <c r="AI1" s="6"/>
      <c r="AJ1" s="7"/>
      <c r="AK1" s="6"/>
      <c r="AL1" s="6"/>
      <c r="AM1" s="6"/>
      <c r="AN1" s="7"/>
      <c r="AO1" s="6"/>
      <c r="AP1" s="6"/>
      <c r="AQ1" s="6"/>
      <c r="AR1" s="7"/>
      <c r="AS1" s="6"/>
      <c r="AT1" s="6"/>
      <c r="AU1" s="6"/>
    </row>
    <row r="2" spans="2:47" s="8" customFormat="1" ht="15.6" x14ac:dyDescent="0.3">
      <c r="B2" s="2" t="s">
        <v>2</v>
      </c>
      <c r="C2" s="2"/>
      <c r="D2" s="3"/>
      <c r="E2" s="2"/>
      <c r="F2" s="2" t="s">
        <v>3</v>
      </c>
      <c r="G2" s="9"/>
      <c r="H2" s="10"/>
      <c r="I2" s="11"/>
      <c r="J2" s="4"/>
      <c r="K2" s="11"/>
      <c r="L2" s="12"/>
      <c r="M2" s="4"/>
      <c r="N2" s="4"/>
      <c r="O2" s="4"/>
      <c r="P2" s="12"/>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spans="2:47" s="8" customFormat="1" ht="15.6" x14ac:dyDescent="0.3">
      <c r="B3" s="13"/>
      <c r="C3" s="13"/>
      <c r="D3" s="3"/>
      <c r="E3" s="2"/>
      <c r="F3" s="2"/>
      <c r="G3" s="2"/>
      <c r="H3" s="2"/>
      <c r="I3" s="2"/>
      <c r="J3" s="2"/>
      <c r="K3" s="2"/>
      <c r="L3" s="2"/>
      <c r="M3" s="2"/>
      <c r="N3" s="2"/>
      <c r="O3" s="4"/>
      <c r="P3" s="12"/>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spans="2:47" ht="15.6" customHeight="1" x14ac:dyDescent="0.3">
      <c r="B4" s="14"/>
      <c r="C4" s="14"/>
      <c r="D4" s="15"/>
      <c r="E4" s="14"/>
      <c r="F4" s="14"/>
      <c r="G4" s="14"/>
      <c r="H4" s="14"/>
      <c r="I4" s="116" t="s">
        <v>4</v>
      </c>
      <c r="J4" s="116"/>
      <c r="K4" s="116"/>
      <c r="L4" s="17"/>
      <c r="M4" s="116" t="s">
        <v>5</v>
      </c>
      <c r="N4" s="116"/>
      <c r="O4" s="116"/>
      <c r="P4" s="17"/>
      <c r="Q4" s="116" t="s">
        <v>6</v>
      </c>
      <c r="R4" s="116"/>
      <c r="S4" s="116"/>
      <c r="T4" s="14"/>
      <c r="U4" s="116" t="s">
        <v>7</v>
      </c>
      <c r="V4" s="116"/>
      <c r="W4" s="116"/>
      <c r="X4" s="14"/>
      <c r="Y4" s="116" t="s">
        <v>8</v>
      </c>
      <c r="Z4" s="116"/>
      <c r="AA4" s="116"/>
      <c r="AB4" s="14"/>
      <c r="AC4" s="116" t="s">
        <v>9</v>
      </c>
      <c r="AD4" s="116"/>
      <c r="AE4" s="116"/>
      <c r="AF4" s="14"/>
      <c r="AG4" s="116" t="s">
        <v>10</v>
      </c>
      <c r="AH4" s="116"/>
      <c r="AI4" s="116"/>
      <c r="AJ4" s="14"/>
      <c r="AK4" s="116" t="s">
        <v>11</v>
      </c>
      <c r="AL4" s="116"/>
      <c r="AM4" s="116"/>
      <c r="AN4" s="14"/>
      <c r="AO4" s="116" t="s">
        <v>12</v>
      </c>
      <c r="AP4" s="116"/>
      <c r="AQ4" s="116"/>
      <c r="AR4" s="14"/>
      <c r="AS4" s="116" t="s">
        <v>13</v>
      </c>
      <c r="AT4" s="116"/>
      <c r="AU4" s="116"/>
    </row>
    <row r="5" spans="2:47" s="8" customFormat="1" ht="33" customHeight="1" x14ac:dyDescent="0.3">
      <c r="B5" s="16" t="s">
        <v>14</v>
      </c>
      <c r="C5" s="16" t="s">
        <v>15</v>
      </c>
      <c r="D5" s="18" t="s">
        <v>16</v>
      </c>
      <c r="E5" s="19"/>
      <c r="F5" s="16" t="s">
        <v>17</v>
      </c>
      <c r="G5" s="16" t="s">
        <v>18</v>
      </c>
      <c r="H5" s="19"/>
      <c r="I5" s="20" t="s">
        <v>19</v>
      </c>
      <c r="J5" s="21" t="s">
        <v>20</v>
      </c>
      <c r="K5" s="20" t="s">
        <v>21</v>
      </c>
      <c r="L5" s="17"/>
      <c r="M5" s="22" t="s">
        <v>19</v>
      </c>
      <c r="N5" s="23" t="s">
        <v>20</v>
      </c>
      <c r="O5" s="22" t="s">
        <v>21</v>
      </c>
      <c r="P5" s="17"/>
      <c r="Q5" s="22" t="s">
        <v>19</v>
      </c>
      <c r="R5" s="23" t="s">
        <v>20</v>
      </c>
      <c r="S5" s="22" t="s">
        <v>21</v>
      </c>
      <c r="T5" s="14"/>
      <c r="U5" s="22" t="s">
        <v>19</v>
      </c>
      <c r="V5" s="23" t="s">
        <v>20</v>
      </c>
      <c r="W5" s="22" t="s">
        <v>21</v>
      </c>
      <c r="X5" s="14"/>
      <c r="Y5" s="22" t="s">
        <v>19</v>
      </c>
      <c r="Z5" s="23" t="s">
        <v>20</v>
      </c>
      <c r="AA5" s="22" t="s">
        <v>21</v>
      </c>
      <c r="AB5" s="14"/>
      <c r="AC5" s="22" t="s">
        <v>19</v>
      </c>
      <c r="AD5" s="23" t="s">
        <v>20</v>
      </c>
      <c r="AE5" s="22" t="s">
        <v>21</v>
      </c>
      <c r="AF5" s="14"/>
      <c r="AG5" s="22" t="s">
        <v>19</v>
      </c>
      <c r="AH5" s="23" t="s">
        <v>20</v>
      </c>
      <c r="AI5" s="22" t="s">
        <v>21</v>
      </c>
      <c r="AJ5" s="14"/>
      <c r="AK5" s="22" t="s">
        <v>19</v>
      </c>
      <c r="AL5" s="23" t="s">
        <v>20</v>
      </c>
      <c r="AM5" s="22" t="s">
        <v>21</v>
      </c>
      <c r="AN5" s="14"/>
      <c r="AO5" s="22" t="s">
        <v>19</v>
      </c>
      <c r="AP5" s="23" t="s">
        <v>20</v>
      </c>
      <c r="AQ5" s="22" t="s">
        <v>21</v>
      </c>
      <c r="AR5" s="14"/>
      <c r="AS5" s="22" t="s">
        <v>19</v>
      </c>
      <c r="AT5" s="23" t="s">
        <v>20</v>
      </c>
      <c r="AU5" s="22" t="s">
        <v>21</v>
      </c>
    </row>
    <row r="6" spans="2:47" ht="15.6" x14ac:dyDescent="0.3">
      <c r="B6" s="24" t="s">
        <v>22</v>
      </c>
      <c r="C6" s="25" t="s">
        <v>23</v>
      </c>
      <c r="D6" s="24" t="s">
        <v>24</v>
      </c>
      <c r="E6" s="26"/>
      <c r="F6" s="27">
        <v>1</v>
      </c>
      <c r="G6" s="27">
        <v>2500000</v>
      </c>
      <c r="H6" s="26"/>
      <c r="I6" s="28"/>
      <c r="J6" s="27">
        <v>325000</v>
      </c>
      <c r="K6" s="29">
        <f>I6*J6</f>
        <v>0</v>
      </c>
      <c r="L6" s="30"/>
      <c r="M6" s="28"/>
      <c r="N6" s="27">
        <v>325000</v>
      </c>
      <c r="O6" s="29">
        <f>M6*N6</f>
        <v>0</v>
      </c>
      <c r="P6" s="30"/>
      <c r="Q6" s="28"/>
      <c r="R6" s="27">
        <v>325000</v>
      </c>
      <c r="S6" s="29">
        <f>Q6*R6</f>
        <v>0</v>
      </c>
      <c r="T6" s="30"/>
      <c r="U6" s="28"/>
      <c r="V6" s="27">
        <v>325000</v>
      </c>
      <c r="W6" s="29">
        <f>U6*V6</f>
        <v>0</v>
      </c>
      <c r="X6" s="14"/>
      <c r="Y6" s="28"/>
      <c r="Z6" s="27">
        <v>325000</v>
      </c>
      <c r="AA6" s="29">
        <f>Y6*Z6</f>
        <v>0</v>
      </c>
      <c r="AB6" s="30"/>
      <c r="AC6" s="28"/>
      <c r="AD6" s="27">
        <v>325000</v>
      </c>
      <c r="AE6" s="29">
        <f>AC6*AD6</f>
        <v>0</v>
      </c>
      <c r="AF6" s="30"/>
      <c r="AG6" s="28"/>
      <c r="AH6" s="27">
        <v>325000</v>
      </c>
      <c r="AI6" s="29">
        <f>AG6*AH6</f>
        <v>0</v>
      </c>
      <c r="AJ6" s="30"/>
      <c r="AK6" s="28"/>
      <c r="AL6" s="27">
        <v>325000</v>
      </c>
      <c r="AM6" s="29">
        <f>AK6*AL6</f>
        <v>0</v>
      </c>
      <c r="AN6" s="30"/>
      <c r="AO6" s="28"/>
      <c r="AP6" s="27">
        <v>325000</v>
      </c>
      <c r="AQ6" s="29">
        <f>AO6*AP6</f>
        <v>0</v>
      </c>
      <c r="AR6" s="30"/>
      <c r="AS6" s="28"/>
      <c r="AT6" s="27">
        <v>325000</v>
      </c>
      <c r="AU6" s="29">
        <f>AS6*AT6</f>
        <v>0</v>
      </c>
    </row>
    <row r="7" spans="2:47" ht="15.6" x14ac:dyDescent="0.3">
      <c r="B7" s="24" t="s">
        <v>25</v>
      </c>
      <c r="C7" s="25" t="s">
        <v>26</v>
      </c>
      <c r="D7" s="24" t="s">
        <v>24</v>
      </c>
      <c r="E7" s="26"/>
      <c r="F7" s="27">
        <v>1</v>
      </c>
      <c r="G7" s="27">
        <v>3500000</v>
      </c>
      <c r="H7" s="26"/>
      <c r="I7" s="28"/>
      <c r="J7" s="27">
        <v>22500</v>
      </c>
      <c r="K7" s="29">
        <f t="shared" ref="K7:K43" si="0">I7*J7</f>
        <v>0</v>
      </c>
      <c r="L7" s="30"/>
      <c r="M7" s="28"/>
      <c r="N7" s="27">
        <v>22500</v>
      </c>
      <c r="O7" s="29">
        <f t="shared" ref="O7:O43" si="1">M7*N7</f>
        <v>0</v>
      </c>
      <c r="P7" s="30"/>
      <c r="Q7" s="28"/>
      <c r="R7" s="27">
        <v>22500</v>
      </c>
      <c r="S7" s="29">
        <f t="shared" ref="S7:S43" si="2">Q7*R7</f>
        <v>0</v>
      </c>
      <c r="T7" s="30"/>
      <c r="U7" s="28"/>
      <c r="V7" s="27">
        <v>22500</v>
      </c>
      <c r="W7" s="29">
        <f t="shared" ref="W7:W43" si="3">U7*V7</f>
        <v>0</v>
      </c>
      <c r="X7" s="14"/>
      <c r="Y7" s="28"/>
      <c r="Z7" s="27">
        <v>22500</v>
      </c>
      <c r="AA7" s="29">
        <f t="shared" ref="AA7:AA43" si="4">Y7*Z7</f>
        <v>0</v>
      </c>
      <c r="AB7" s="30"/>
      <c r="AC7" s="28"/>
      <c r="AD7" s="27">
        <v>22500</v>
      </c>
      <c r="AE7" s="29">
        <f t="shared" ref="AE7:AE45" si="5">AC7*AD7</f>
        <v>0</v>
      </c>
      <c r="AF7" s="30"/>
      <c r="AG7" s="28"/>
      <c r="AH7" s="27">
        <v>22500</v>
      </c>
      <c r="AI7" s="29">
        <f t="shared" ref="AI7:AI43" si="6">AG7*AH7</f>
        <v>0</v>
      </c>
      <c r="AJ7" s="30"/>
      <c r="AK7" s="28"/>
      <c r="AL7" s="27">
        <v>22500</v>
      </c>
      <c r="AM7" s="29">
        <f t="shared" ref="AM7:AM43" si="7">AK7*AL7</f>
        <v>0</v>
      </c>
      <c r="AN7" s="30"/>
      <c r="AO7" s="28"/>
      <c r="AP7" s="27">
        <v>22500</v>
      </c>
      <c r="AQ7" s="29">
        <f t="shared" ref="AQ7:AQ43" si="8">AO7*AP7</f>
        <v>0</v>
      </c>
      <c r="AR7" s="30"/>
      <c r="AS7" s="28"/>
      <c r="AT7" s="27">
        <v>22500</v>
      </c>
      <c r="AU7" s="29">
        <f t="shared" ref="AU7:AU43" si="9">AS7*AT7</f>
        <v>0</v>
      </c>
    </row>
    <row r="8" spans="2:47" ht="15.6" x14ac:dyDescent="0.3">
      <c r="B8" s="24" t="s">
        <v>27</v>
      </c>
      <c r="C8" s="25" t="s">
        <v>28</v>
      </c>
      <c r="D8" s="24" t="s">
        <v>24</v>
      </c>
      <c r="E8" s="26"/>
      <c r="F8" s="27">
        <v>1</v>
      </c>
      <c r="G8" s="27">
        <v>3500000</v>
      </c>
      <c r="H8" s="26"/>
      <c r="I8" s="28"/>
      <c r="J8" s="27">
        <v>110000</v>
      </c>
      <c r="K8" s="29">
        <f t="shared" si="0"/>
        <v>0</v>
      </c>
      <c r="L8" s="30"/>
      <c r="M8" s="28"/>
      <c r="N8" s="27">
        <v>150000</v>
      </c>
      <c r="O8" s="29">
        <f t="shared" si="1"/>
        <v>0</v>
      </c>
      <c r="P8" s="30"/>
      <c r="Q8" s="28"/>
      <c r="R8" s="27">
        <v>110000</v>
      </c>
      <c r="S8" s="29">
        <f t="shared" si="2"/>
        <v>0</v>
      </c>
      <c r="T8" s="30"/>
      <c r="U8" s="28"/>
      <c r="V8" s="27">
        <v>150000</v>
      </c>
      <c r="W8" s="29">
        <f t="shared" si="3"/>
        <v>0</v>
      </c>
      <c r="X8" s="14"/>
      <c r="Y8" s="28"/>
      <c r="Z8" s="27">
        <v>110000</v>
      </c>
      <c r="AA8" s="29">
        <f t="shared" si="4"/>
        <v>0</v>
      </c>
      <c r="AB8" s="30"/>
      <c r="AC8" s="28"/>
      <c r="AD8" s="27">
        <v>150000</v>
      </c>
      <c r="AE8" s="29">
        <f t="shared" si="5"/>
        <v>0</v>
      </c>
      <c r="AF8" s="30"/>
      <c r="AG8" s="28"/>
      <c r="AH8" s="27">
        <v>110000</v>
      </c>
      <c r="AI8" s="29">
        <f t="shared" si="6"/>
        <v>0</v>
      </c>
      <c r="AJ8" s="30"/>
      <c r="AK8" s="28"/>
      <c r="AL8" s="27">
        <v>150000</v>
      </c>
      <c r="AM8" s="29">
        <f t="shared" si="7"/>
        <v>0</v>
      </c>
      <c r="AN8" s="30"/>
      <c r="AO8" s="28"/>
      <c r="AP8" s="27">
        <v>110000</v>
      </c>
      <c r="AQ8" s="29">
        <f t="shared" si="8"/>
        <v>0</v>
      </c>
      <c r="AR8" s="30"/>
      <c r="AS8" s="28"/>
      <c r="AT8" s="27">
        <v>150000</v>
      </c>
      <c r="AU8" s="29">
        <f t="shared" si="9"/>
        <v>0</v>
      </c>
    </row>
    <row r="9" spans="2:47" ht="15.6" x14ac:dyDescent="0.3">
      <c r="B9" s="24" t="s">
        <v>29</v>
      </c>
      <c r="C9" s="25" t="s">
        <v>30</v>
      </c>
      <c r="D9" s="24" t="s">
        <v>24</v>
      </c>
      <c r="E9" s="26"/>
      <c r="F9" s="27">
        <v>1</v>
      </c>
      <c r="G9" s="27">
        <v>1000000</v>
      </c>
      <c r="H9" s="26"/>
      <c r="I9" s="28"/>
      <c r="J9" s="27">
        <f>375000*0.4</f>
        <v>150000</v>
      </c>
      <c r="K9" s="29">
        <f t="shared" si="0"/>
        <v>0</v>
      </c>
      <c r="L9" s="30"/>
      <c r="M9" s="28"/>
      <c r="N9" s="27">
        <f>375000*0.6</f>
        <v>225000</v>
      </c>
      <c r="O9" s="29">
        <f t="shared" si="1"/>
        <v>0</v>
      </c>
      <c r="P9" s="30"/>
      <c r="Q9" s="28"/>
      <c r="R9" s="27">
        <f>375000*0.4</f>
        <v>150000</v>
      </c>
      <c r="S9" s="29">
        <f t="shared" si="2"/>
        <v>0</v>
      </c>
      <c r="T9" s="30"/>
      <c r="U9" s="28"/>
      <c r="V9" s="27">
        <f>375000*0.6</f>
        <v>225000</v>
      </c>
      <c r="W9" s="29">
        <f t="shared" si="3"/>
        <v>0</v>
      </c>
      <c r="X9" s="14"/>
      <c r="Y9" s="28"/>
      <c r="Z9" s="27">
        <f>375000*0.4</f>
        <v>150000</v>
      </c>
      <c r="AA9" s="29">
        <f t="shared" si="4"/>
        <v>0</v>
      </c>
      <c r="AB9" s="30"/>
      <c r="AC9" s="28"/>
      <c r="AD9" s="27">
        <f>375000*0.6</f>
        <v>225000</v>
      </c>
      <c r="AE9" s="29">
        <f t="shared" si="5"/>
        <v>0</v>
      </c>
      <c r="AF9" s="30"/>
      <c r="AG9" s="28"/>
      <c r="AH9" s="27">
        <f>375000*0.4</f>
        <v>150000</v>
      </c>
      <c r="AI9" s="29">
        <f t="shared" si="6"/>
        <v>0</v>
      </c>
      <c r="AJ9" s="30"/>
      <c r="AK9" s="28"/>
      <c r="AL9" s="27">
        <f>375000*0.6</f>
        <v>225000</v>
      </c>
      <c r="AM9" s="29">
        <f t="shared" si="7"/>
        <v>0</v>
      </c>
      <c r="AN9" s="30"/>
      <c r="AO9" s="28"/>
      <c r="AP9" s="27">
        <f>375000*0.4</f>
        <v>150000</v>
      </c>
      <c r="AQ9" s="29">
        <f t="shared" si="8"/>
        <v>0</v>
      </c>
      <c r="AR9" s="30"/>
      <c r="AS9" s="28"/>
      <c r="AT9" s="27">
        <f>375000*0.6</f>
        <v>225000</v>
      </c>
      <c r="AU9" s="29">
        <f t="shared" si="9"/>
        <v>0</v>
      </c>
    </row>
    <row r="10" spans="2:47" ht="15.6" x14ac:dyDescent="0.3">
      <c r="B10" s="24" t="s">
        <v>31</v>
      </c>
      <c r="C10" s="25" t="s">
        <v>32</v>
      </c>
      <c r="D10" s="24" t="s">
        <v>24</v>
      </c>
      <c r="E10" s="26"/>
      <c r="F10" s="27">
        <v>1</v>
      </c>
      <c r="G10" s="27">
        <v>2000000</v>
      </c>
      <c r="H10" s="26"/>
      <c r="I10" s="28"/>
      <c r="J10" s="27">
        <v>202500</v>
      </c>
      <c r="K10" s="29">
        <f t="shared" si="0"/>
        <v>0</v>
      </c>
      <c r="L10" s="30"/>
      <c r="M10" s="28"/>
      <c r="N10" s="27">
        <v>262500</v>
      </c>
      <c r="O10" s="29">
        <f t="shared" si="1"/>
        <v>0</v>
      </c>
      <c r="P10" s="30"/>
      <c r="Q10" s="28"/>
      <c r="R10" s="27">
        <v>202500</v>
      </c>
      <c r="S10" s="29">
        <f t="shared" si="2"/>
        <v>0</v>
      </c>
      <c r="T10" s="30"/>
      <c r="U10" s="28"/>
      <c r="V10" s="27">
        <v>262500</v>
      </c>
      <c r="W10" s="29">
        <f t="shared" si="3"/>
        <v>0</v>
      </c>
      <c r="X10" s="14"/>
      <c r="Y10" s="28"/>
      <c r="Z10" s="27">
        <v>202500</v>
      </c>
      <c r="AA10" s="29">
        <f t="shared" si="4"/>
        <v>0</v>
      </c>
      <c r="AB10" s="30"/>
      <c r="AC10" s="28"/>
      <c r="AD10" s="27">
        <v>262500</v>
      </c>
      <c r="AE10" s="29">
        <f t="shared" si="5"/>
        <v>0</v>
      </c>
      <c r="AF10" s="30"/>
      <c r="AG10" s="28"/>
      <c r="AH10" s="27">
        <v>202500</v>
      </c>
      <c r="AI10" s="29">
        <f t="shared" si="6"/>
        <v>0</v>
      </c>
      <c r="AJ10" s="30"/>
      <c r="AK10" s="28"/>
      <c r="AL10" s="27">
        <v>262500</v>
      </c>
      <c r="AM10" s="29">
        <f t="shared" si="7"/>
        <v>0</v>
      </c>
      <c r="AN10" s="30"/>
      <c r="AO10" s="28"/>
      <c r="AP10" s="27">
        <v>202500</v>
      </c>
      <c r="AQ10" s="29">
        <f t="shared" si="8"/>
        <v>0</v>
      </c>
      <c r="AR10" s="30"/>
      <c r="AS10" s="28"/>
      <c r="AT10" s="27">
        <v>262500</v>
      </c>
      <c r="AU10" s="29">
        <f t="shared" si="9"/>
        <v>0</v>
      </c>
    </row>
    <row r="11" spans="2:47" ht="15.6" x14ac:dyDescent="0.3">
      <c r="B11" s="24" t="s">
        <v>33</v>
      </c>
      <c r="C11" s="25" t="s">
        <v>34</v>
      </c>
      <c r="D11" s="24" t="s">
        <v>24</v>
      </c>
      <c r="E11" s="26"/>
      <c r="F11" s="27">
        <v>1</v>
      </c>
      <c r="G11" s="27">
        <v>5000000</v>
      </c>
      <c r="H11" s="26"/>
      <c r="I11" s="28"/>
      <c r="J11" s="27">
        <v>230000</v>
      </c>
      <c r="K11" s="29">
        <f t="shared" si="0"/>
        <v>0</v>
      </c>
      <c r="L11" s="30"/>
      <c r="M11" s="28"/>
      <c r="N11" s="27">
        <v>250000</v>
      </c>
      <c r="O11" s="29">
        <f t="shared" si="1"/>
        <v>0</v>
      </c>
      <c r="P11" s="30"/>
      <c r="Q11" s="28"/>
      <c r="R11" s="27">
        <v>230000</v>
      </c>
      <c r="S11" s="29">
        <f t="shared" si="2"/>
        <v>0</v>
      </c>
      <c r="T11" s="30"/>
      <c r="U11" s="28"/>
      <c r="V11" s="27">
        <v>250000</v>
      </c>
      <c r="W11" s="29">
        <f t="shared" si="3"/>
        <v>0</v>
      </c>
      <c r="X11" s="14"/>
      <c r="Y11" s="28"/>
      <c r="Z11" s="27">
        <v>230000</v>
      </c>
      <c r="AA11" s="29">
        <f t="shared" si="4"/>
        <v>0</v>
      </c>
      <c r="AB11" s="30"/>
      <c r="AC11" s="28"/>
      <c r="AD11" s="27">
        <v>250000</v>
      </c>
      <c r="AE11" s="29">
        <f t="shared" si="5"/>
        <v>0</v>
      </c>
      <c r="AF11" s="30"/>
      <c r="AG11" s="28"/>
      <c r="AH11" s="27">
        <v>230000</v>
      </c>
      <c r="AI11" s="29">
        <f t="shared" si="6"/>
        <v>0</v>
      </c>
      <c r="AJ11" s="30"/>
      <c r="AK11" s="28"/>
      <c r="AL11" s="27">
        <v>250000</v>
      </c>
      <c r="AM11" s="29">
        <f t="shared" si="7"/>
        <v>0</v>
      </c>
      <c r="AN11" s="30"/>
      <c r="AO11" s="28"/>
      <c r="AP11" s="27">
        <v>230000</v>
      </c>
      <c r="AQ11" s="29">
        <f t="shared" si="8"/>
        <v>0</v>
      </c>
      <c r="AR11" s="30"/>
      <c r="AS11" s="28"/>
      <c r="AT11" s="27">
        <v>250000</v>
      </c>
      <c r="AU11" s="29">
        <f t="shared" si="9"/>
        <v>0</v>
      </c>
    </row>
    <row r="12" spans="2:47" ht="15.6" x14ac:dyDescent="0.3">
      <c r="B12" s="24" t="s">
        <v>35</v>
      </c>
      <c r="C12" s="25" t="s">
        <v>36</v>
      </c>
      <c r="D12" s="24" t="s">
        <v>24</v>
      </c>
      <c r="E12" s="26"/>
      <c r="F12" s="27">
        <v>1</v>
      </c>
      <c r="G12" s="27">
        <v>20000</v>
      </c>
      <c r="H12" s="26"/>
      <c r="I12" s="28"/>
      <c r="J12" s="27">
        <v>8500</v>
      </c>
      <c r="K12" s="29">
        <f t="shared" si="0"/>
        <v>0</v>
      </c>
      <c r="L12" s="30"/>
      <c r="M12" s="28"/>
      <c r="N12" s="27">
        <v>8500</v>
      </c>
      <c r="O12" s="29">
        <f t="shared" si="1"/>
        <v>0</v>
      </c>
      <c r="P12" s="30"/>
      <c r="Q12" s="28"/>
      <c r="R12" s="27">
        <v>8500</v>
      </c>
      <c r="S12" s="29">
        <f t="shared" si="2"/>
        <v>0</v>
      </c>
      <c r="T12" s="30"/>
      <c r="U12" s="28"/>
      <c r="V12" s="27">
        <v>8500</v>
      </c>
      <c r="W12" s="29">
        <f t="shared" si="3"/>
        <v>0</v>
      </c>
      <c r="X12" s="14"/>
      <c r="Y12" s="28"/>
      <c r="Z12" s="27">
        <v>8500</v>
      </c>
      <c r="AA12" s="29">
        <f t="shared" si="4"/>
        <v>0</v>
      </c>
      <c r="AB12" s="30"/>
      <c r="AC12" s="28"/>
      <c r="AD12" s="27">
        <v>8500</v>
      </c>
      <c r="AE12" s="29">
        <f t="shared" si="5"/>
        <v>0</v>
      </c>
      <c r="AF12" s="30"/>
      <c r="AG12" s="28"/>
      <c r="AH12" s="27">
        <v>8500</v>
      </c>
      <c r="AI12" s="29">
        <f t="shared" si="6"/>
        <v>0</v>
      </c>
      <c r="AJ12" s="30"/>
      <c r="AK12" s="28"/>
      <c r="AL12" s="27">
        <v>8500</v>
      </c>
      <c r="AM12" s="29">
        <f t="shared" si="7"/>
        <v>0</v>
      </c>
      <c r="AN12" s="30"/>
      <c r="AO12" s="28"/>
      <c r="AP12" s="27">
        <v>8500</v>
      </c>
      <c r="AQ12" s="29">
        <f t="shared" si="8"/>
        <v>0</v>
      </c>
      <c r="AR12" s="30"/>
      <c r="AS12" s="28"/>
      <c r="AT12" s="27">
        <v>8500</v>
      </c>
      <c r="AU12" s="29">
        <f t="shared" si="9"/>
        <v>0</v>
      </c>
    </row>
    <row r="13" spans="2:47" ht="15.6" x14ac:dyDescent="0.3">
      <c r="B13" s="24" t="s">
        <v>37</v>
      </c>
      <c r="C13" s="25" t="s">
        <v>38</v>
      </c>
      <c r="D13" s="24" t="s">
        <v>24</v>
      </c>
      <c r="E13" s="26"/>
      <c r="F13" s="27">
        <v>1</v>
      </c>
      <c r="G13" s="27">
        <v>1000000</v>
      </c>
      <c r="H13" s="26"/>
      <c r="I13" s="28"/>
      <c r="J13" s="27">
        <v>67500</v>
      </c>
      <c r="K13" s="29">
        <f t="shared" si="0"/>
        <v>0</v>
      </c>
      <c r="L13" s="30"/>
      <c r="M13" s="28"/>
      <c r="N13" s="27">
        <v>67500</v>
      </c>
      <c r="O13" s="29">
        <f t="shared" si="1"/>
        <v>0</v>
      </c>
      <c r="P13" s="30"/>
      <c r="Q13" s="28"/>
      <c r="R13" s="27">
        <v>67500</v>
      </c>
      <c r="S13" s="29">
        <f t="shared" si="2"/>
        <v>0</v>
      </c>
      <c r="T13" s="30"/>
      <c r="U13" s="28"/>
      <c r="V13" s="27">
        <v>67500</v>
      </c>
      <c r="W13" s="29">
        <f t="shared" si="3"/>
        <v>0</v>
      </c>
      <c r="X13" s="14"/>
      <c r="Y13" s="28"/>
      <c r="Z13" s="27">
        <v>67500</v>
      </c>
      <c r="AA13" s="29">
        <f t="shared" si="4"/>
        <v>0</v>
      </c>
      <c r="AB13" s="30"/>
      <c r="AC13" s="28"/>
      <c r="AD13" s="27">
        <v>67500</v>
      </c>
      <c r="AE13" s="29">
        <f t="shared" si="5"/>
        <v>0</v>
      </c>
      <c r="AF13" s="30"/>
      <c r="AG13" s="28"/>
      <c r="AH13" s="27">
        <v>67500</v>
      </c>
      <c r="AI13" s="29">
        <f t="shared" si="6"/>
        <v>0</v>
      </c>
      <c r="AJ13" s="30"/>
      <c r="AK13" s="28"/>
      <c r="AL13" s="27">
        <v>67500</v>
      </c>
      <c r="AM13" s="29">
        <f t="shared" si="7"/>
        <v>0</v>
      </c>
      <c r="AN13" s="30"/>
      <c r="AO13" s="28"/>
      <c r="AP13" s="27">
        <v>67500</v>
      </c>
      <c r="AQ13" s="29">
        <f t="shared" si="8"/>
        <v>0</v>
      </c>
      <c r="AR13" s="30"/>
      <c r="AS13" s="28"/>
      <c r="AT13" s="27">
        <v>67500</v>
      </c>
      <c r="AU13" s="29">
        <f t="shared" si="9"/>
        <v>0</v>
      </c>
    </row>
    <row r="14" spans="2:47" ht="15.6" x14ac:dyDescent="0.3">
      <c r="B14" s="24" t="s">
        <v>39</v>
      </c>
      <c r="C14" s="25" t="s">
        <v>40</v>
      </c>
      <c r="D14" s="24" t="s">
        <v>24</v>
      </c>
      <c r="E14" s="26"/>
      <c r="F14" s="27">
        <v>1</v>
      </c>
      <c r="G14" s="27">
        <v>2000000</v>
      </c>
      <c r="H14" s="26"/>
      <c r="I14" s="28"/>
      <c r="J14" s="27">
        <v>120000</v>
      </c>
      <c r="K14" s="29">
        <f t="shared" si="0"/>
        <v>0</v>
      </c>
      <c r="L14" s="30"/>
      <c r="M14" s="28"/>
      <c r="N14" s="27">
        <v>120000</v>
      </c>
      <c r="O14" s="29">
        <f t="shared" si="1"/>
        <v>0</v>
      </c>
      <c r="P14" s="30"/>
      <c r="Q14" s="28"/>
      <c r="R14" s="27">
        <v>120000</v>
      </c>
      <c r="S14" s="29">
        <f t="shared" si="2"/>
        <v>0</v>
      </c>
      <c r="T14" s="30"/>
      <c r="U14" s="28"/>
      <c r="V14" s="27">
        <v>120000</v>
      </c>
      <c r="W14" s="29">
        <f t="shared" si="3"/>
        <v>0</v>
      </c>
      <c r="X14" s="14"/>
      <c r="Y14" s="28"/>
      <c r="Z14" s="27">
        <v>120000</v>
      </c>
      <c r="AA14" s="29">
        <f t="shared" si="4"/>
        <v>0</v>
      </c>
      <c r="AB14" s="30"/>
      <c r="AC14" s="28"/>
      <c r="AD14" s="27">
        <v>120000</v>
      </c>
      <c r="AE14" s="29">
        <f t="shared" si="5"/>
        <v>0</v>
      </c>
      <c r="AF14" s="30"/>
      <c r="AG14" s="28"/>
      <c r="AH14" s="27">
        <v>120000</v>
      </c>
      <c r="AI14" s="29">
        <f t="shared" si="6"/>
        <v>0</v>
      </c>
      <c r="AJ14" s="30"/>
      <c r="AK14" s="28"/>
      <c r="AL14" s="27">
        <v>120000</v>
      </c>
      <c r="AM14" s="29">
        <f t="shared" si="7"/>
        <v>0</v>
      </c>
      <c r="AN14" s="30"/>
      <c r="AO14" s="28"/>
      <c r="AP14" s="27">
        <v>120000</v>
      </c>
      <c r="AQ14" s="29">
        <f t="shared" si="8"/>
        <v>0</v>
      </c>
      <c r="AR14" s="30"/>
      <c r="AS14" s="28"/>
      <c r="AT14" s="27">
        <v>120000</v>
      </c>
      <c r="AU14" s="29">
        <f t="shared" si="9"/>
        <v>0</v>
      </c>
    </row>
    <row r="15" spans="2:47" ht="15.6" x14ac:dyDescent="0.3">
      <c r="B15" s="24" t="s">
        <v>41</v>
      </c>
      <c r="C15" s="25" t="s">
        <v>42</v>
      </c>
      <c r="D15" s="24" t="s">
        <v>43</v>
      </c>
      <c r="E15" s="26"/>
      <c r="F15" s="27">
        <v>1</v>
      </c>
      <c r="G15" s="27">
        <v>5000</v>
      </c>
      <c r="H15" s="26"/>
      <c r="I15" s="28"/>
      <c r="J15" s="27">
        <v>1600</v>
      </c>
      <c r="K15" s="29">
        <f t="shared" si="0"/>
        <v>0</v>
      </c>
      <c r="L15" s="30"/>
      <c r="M15" s="28"/>
      <c r="N15" s="27">
        <v>1600</v>
      </c>
      <c r="O15" s="29">
        <f t="shared" si="1"/>
        <v>0</v>
      </c>
      <c r="P15" s="30"/>
      <c r="Q15" s="28"/>
      <c r="R15" s="27">
        <v>1600</v>
      </c>
      <c r="S15" s="29">
        <f t="shared" si="2"/>
        <v>0</v>
      </c>
      <c r="T15" s="30"/>
      <c r="U15" s="28"/>
      <c r="V15" s="27">
        <v>1600</v>
      </c>
      <c r="W15" s="29">
        <f t="shared" si="3"/>
        <v>0</v>
      </c>
      <c r="X15" s="14"/>
      <c r="Y15" s="28"/>
      <c r="Z15" s="27">
        <v>1600</v>
      </c>
      <c r="AA15" s="29">
        <f t="shared" si="4"/>
        <v>0</v>
      </c>
      <c r="AB15" s="30"/>
      <c r="AC15" s="28"/>
      <c r="AD15" s="27">
        <v>1600</v>
      </c>
      <c r="AE15" s="29">
        <f t="shared" si="5"/>
        <v>0</v>
      </c>
      <c r="AF15" s="30"/>
      <c r="AG15" s="28"/>
      <c r="AH15" s="27">
        <v>1600</v>
      </c>
      <c r="AI15" s="29">
        <f t="shared" si="6"/>
        <v>0</v>
      </c>
      <c r="AJ15" s="30"/>
      <c r="AK15" s="28"/>
      <c r="AL15" s="27">
        <v>1600</v>
      </c>
      <c r="AM15" s="29">
        <f t="shared" si="7"/>
        <v>0</v>
      </c>
      <c r="AN15" s="30"/>
      <c r="AO15" s="28"/>
      <c r="AP15" s="27">
        <v>1600</v>
      </c>
      <c r="AQ15" s="29">
        <f t="shared" si="8"/>
        <v>0</v>
      </c>
      <c r="AR15" s="30"/>
      <c r="AS15" s="28"/>
      <c r="AT15" s="27">
        <v>1600</v>
      </c>
      <c r="AU15" s="29">
        <f t="shared" si="9"/>
        <v>0</v>
      </c>
    </row>
    <row r="16" spans="2:47" ht="15.6" x14ac:dyDescent="0.3">
      <c r="B16" s="24" t="s">
        <v>44</v>
      </c>
      <c r="C16" s="25" t="s">
        <v>45</v>
      </c>
      <c r="D16" s="24" t="s">
        <v>24</v>
      </c>
      <c r="E16" s="26"/>
      <c r="F16" s="27">
        <v>1</v>
      </c>
      <c r="G16" s="27">
        <v>10000</v>
      </c>
      <c r="H16" s="26"/>
      <c r="I16" s="28"/>
      <c r="J16" s="27">
        <v>9500</v>
      </c>
      <c r="K16" s="29">
        <f t="shared" si="0"/>
        <v>0</v>
      </c>
      <c r="L16" s="30"/>
      <c r="M16" s="28"/>
      <c r="N16" s="27">
        <v>7500</v>
      </c>
      <c r="O16" s="29">
        <f t="shared" si="1"/>
        <v>0</v>
      </c>
      <c r="P16" s="30"/>
      <c r="Q16" s="28"/>
      <c r="R16" s="27">
        <v>9500</v>
      </c>
      <c r="S16" s="29">
        <f t="shared" si="2"/>
        <v>0</v>
      </c>
      <c r="T16" s="30"/>
      <c r="U16" s="28"/>
      <c r="V16" s="27">
        <v>7500</v>
      </c>
      <c r="W16" s="29">
        <f t="shared" si="3"/>
        <v>0</v>
      </c>
      <c r="X16" s="14"/>
      <c r="Y16" s="28"/>
      <c r="Z16" s="27">
        <v>9500</v>
      </c>
      <c r="AA16" s="29">
        <f t="shared" si="4"/>
        <v>0</v>
      </c>
      <c r="AB16" s="30"/>
      <c r="AC16" s="28"/>
      <c r="AD16" s="27">
        <v>7500</v>
      </c>
      <c r="AE16" s="29">
        <f t="shared" si="5"/>
        <v>0</v>
      </c>
      <c r="AF16" s="30"/>
      <c r="AG16" s="28"/>
      <c r="AH16" s="27">
        <v>9500</v>
      </c>
      <c r="AI16" s="29">
        <f t="shared" si="6"/>
        <v>0</v>
      </c>
      <c r="AJ16" s="30"/>
      <c r="AK16" s="28"/>
      <c r="AL16" s="27">
        <v>7500</v>
      </c>
      <c r="AM16" s="29">
        <f t="shared" si="7"/>
        <v>0</v>
      </c>
      <c r="AN16" s="30"/>
      <c r="AO16" s="28"/>
      <c r="AP16" s="27">
        <v>9500</v>
      </c>
      <c r="AQ16" s="29">
        <f t="shared" si="8"/>
        <v>0</v>
      </c>
      <c r="AR16" s="30"/>
      <c r="AS16" s="28"/>
      <c r="AT16" s="27">
        <v>7500</v>
      </c>
      <c r="AU16" s="29">
        <f t="shared" si="9"/>
        <v>0</v>
      </c>
    </row>
    <row r="17" spans="2:47" ht="15.6" x14ac:dyDescent="0.3">
      <c r="B17" s="24" t="s">
        <v>46</v>
      </c>
      <c r="C17" s="25" t="s">
        <v>47</v>
      </c>
      <c r="D17" s="24" t="s">
        <v>24</v>
      </c>
      <c r="E17" s="26"/>
      <c r="F17" s="27">
        <v>1</v>
      </c>
      <c r="G17" s="27">
        <v>80000</v>
      </c>
      <c r="H17" s="26"/>
      <c r="I17" s="28"/>
      <c r="J17" s="27">
        <v>10000</v>
      </c>
      <c r="K17" s="29">
        <f t="shared" si="0"/>
        <v>0</v>
      </c>
      <c r="L17" s="30"/>
      <c r="M17" s="28"/>
      <c r="N17" s="27">
        <v>10000</v>
      </c>
      <c r="O17" s="29">
        <f t="shared" si="1"/>
        <v>0</v>
      </c>
      <c r="P17" s="30"/>
      <c r="Q17" s="28"/>
      <c r="R17" s="27">
        <v>10000</v>
      </c>
      <c r="S17" s="29">
        <f t="shared" si="2"/>
        <v>0</v>
      </c>
      <c r="T17" s="30"/>
      <c r="U17" s="28"/>
      <c r="V17" s="27">
        <v>10000</v>
      </c>
      <c r="W17" s="29">
        <f t="shared" si="3"/>
        <v>0</v>
      </c>
      <c r="X17" s="14"/>
      <c r="Y17" s="28"/>
      <c r="Z17" s="27">
        <v>10000</v>
      </c>
      <c r="AA17" s="29">
        <f t="shared" si="4"/>
        <v>0</v>
      </c>
      <c r="AB17" s="30"/>
      <c r="AC17" s="28"/>
      <c r="AD17" s="27">
        <v>10000</v>
      </c>
      <c r="AE17" s="29">
        <f t="shared" si="5"/>
        <v>0</v>
      </c>
      <c r="AF17" s="30"/>
      <c r="AG17" s="28"/>
      <c r="AH17" s="27">
        <v>10000</v>
      </c>
      <c r="AI17" s="29">
        <f t="shared" si="6"/>
        <v>0</v>
      </c>
      <c r="AJ17" s="30"/>
      <c r="AK17" s="28"/>
      <c r="AL17" s="27">
        <v>10000</v>
      </c>
      <c r="AM17" s="29">
        <f t="shared" si="7"/>
        <v>0</v>
      </c>
      <c r="AN17" s="30"/>
      <c r="AO17" s="28"/>
      <c r="AP17" s="27">
        <v>10000</v>
      </c>
      <c r="AQ17" s="29">
        <f t="shared" si="8"/>
        <v>0</v>
      </c>
      <c r="AR17" s="30"/>
      <c r="AS17" s="28"/>
      <c r="AT17" s="27">
        <v>10000</v>
      </c>
      <c r="AU17" s="29">
        <f t="shared" si="9"/>
        <v>0</v>
      </c>
    </row>
    <row r="18" spans="2:47" ht="15.6" x14ac:dyDescent="0.3">
      <c r="B18" s="24" t="s">
        <v>48</v>
      </c>
      <c r="C18" s="25" t="s">
        <v>49</v>
      </c>
      <c r="D18" s="24" t="s">
        <v>24</v>
      </c>
      <c r="E18" s="26"/>
      <c r="F18" s="27">
        <v>1</v>
      </c>
      <c r="G18" s="27">
        <v>30000</v>
      </c>
      <c r="H18" s="26"/>
      <c r="I18" s="28"/>
      <c r="J18" s="27">
        <v>8000</v>
      </c>
      <c r="K18" s="29">
        <f t="shared" si="0"/>
        <v>0</v>
      </c>
      <c r="L18" s="30"/>
      <c r="M18" s="28"/>
      <c r="N18" s="27">
        <v>8000</v>
      </c>
      <c r="O18" s="29">
        <f t="shared" si="1"/>
        <v>0</v>
      </c>
      <c r="P18" s="30"/>
      <c r="Q18" s="28"/>
      <c r="R18" s="27">
        <v>8000</v>
      </c>
      <c r="S18" s="29">
        <f t="shared" si="2"/>
        <v>0</v>
      </c>
      <c r="T18" s="30"/>
      <c r="U18" s="28"/>
      <c r="V18" s="27">
        <v>8000</v>
      </c>
      <c r="W18" s="29">
        <f t="shared" si="3"/>
        <v>0</v>
      </c>
      <c r="X18" s="14"/>
      <c r="Y18" s="28"/>
      <c r="Z18" s="27">
        <v>8000</v>
      </c>
      <c r="AA18" s="29">
        <f t="shared" si="4"/>
        <v>0</v>
      </c>
      <c r="AB18" s="30"/>
      <c r="AC18" s="28"/>
      <c r="AD18" s="27">
        <v>8000</v>
      </c>
      <c r="AE18" s="29">
        <f t="shared" si="5"/>
        <v>0</v>
      </c>
      <c r="AF18" s="30"/>
      <c r="AG18" s="28"/>
      <c r="AH18" s="27">
        <v>8000</v>
      </c>
      <c r="AI18" s="29">
        <f t="shared" si="6"/>
        <v>0</v>
      </c>
      <c r="AJ18" s="30"/>
      <c r="AK18" s="28"/>
      <c r="AL18" s="27">
        <v>8000</v>
      </c>
      <c r="AM18" s="29">
        <f t="shared" si="7"/>
        <v>0</v>
      </c>
      <c r="AN18" s="30"/>
      <c r="AO18" s="28"/>
      <c r="AP18" s="27">
        <v>8000</v>
      </c>
      <c r="AQ18" s="29">
        <f t="shared" si="8"/>
        <v>0</v>
      </c>
      <c r="AR18" s="30"/>
      <c r="AS18" s="28"/>
      <c r="AT18" s="27">
        <v>8000</v>
      </c>
      <c r="AU18" s="29">
        <f t="shared" si="9"/>
        <v>0</v>
      </c>
    </row>
    <row r="19" spans="2:47" ht="15.6" x14ac:dyDescent="0.3">
      <c r="B19" s="24" t="s">
        <v>50</v>
      </c>
      <c r="C19" s="25" t="s">
        <v>51</v>
      </c>
      <c r="D19" s="24" t="s">
        <v>24</v>
      </c>
      <c r="E19" s="26"/>
      <c r="F19" s="27">
        <v>1</v>
      </c>
      <c r="G19" s="27">
        <v>1500000</v>
      </c>
      <c r="H19" s="26"/>
      <c r="I19" s="28"/>
      <c r="J19" s="27">
        <v>140000</v>
      </c>
      <c r="K19" s="29">
        <f t="shared" si="0"/>
        <v>0</v>
      </c>
      <c r="L19" s="30"/>
      <c r="M19" s="28"/>
      <c r="N19" s="27">
        <v>140000</v>
      </c>
      <c r="O19" s="29">
        <f t="shared" si="1"/>
        <v>0</v>
      </c>
      <c r="P19" s="30"/>
      <c r="Q19" s="28"/>
      <c r="R19" s="27">
        <v>140000</v>
      </c>
      <c r="S19" s="29">
        <f t="shared" si="2"/>
        <v>0</v>
      </c>
      <c r="T19" s="30"/>
      <c r="U19" s="28"/>
      <c r="V19" s="27">
        <v>140000</v>
      </c>
      <c r="W19" s="29">
        <f t="shared" si="3"/>
        <v>0</v>
      </c>
      <c r="X19" s="14"/>
      <c r="Y19" s="28"/>
      <c r="Z19" s="27">
        <v>140000</v>
      </c>
      <c r="AA19" s="29">
        <f t="shared" si="4"/>
        <v>0</v>
      </c>
      <c r="AB19" s="30"/>
      <c r="AC19" s="28"/>
      <c r="AD19" s="27">
        <v>140000</v>
      </c>
      <c r="AE19" s="29">
        <f t="shared" si="5"/>
        <v>0</v>
      </c>
      <c r="AF19" s="30"/>
      <c r="AG19" s="28"/>
      <c r="AH19" s="27">
        <v>140000</v>
      </c>
      <c r="AI19" s="29">
        <f t="shared" si="6"/>
        <v>0</v>
      </c>
      <c r="AJ19" s="30"/>
      <c r="AK19" s="28"/>
      <c r="AL19" s="27">
        <v>140000</v>
      </c>
      <c r="AM19" s="29">
        <f t="shared" si="7"/>
        <v>0</v>
      </c>
      <c r="AN19" s="30"/>
      <c r="AO19" s="28"/>
      <c r="AP19" s="27">
        <v>140000</v>
      </c>
      <c r="AQ19" s="29">
        <f t="shared" si="8"/>
        <v>0</v>
      </c>
      <c r="AR19" s="30"/>
      <c r="AS19" s="28"/>
      <c r="AT19" s="27">
        <v>140000</v>
      </c>
      <c r="AU19" s="29">
        <f t="shared" si="9"/>
        <v>0</v>
      </c>
    </row>
    <row r="20" spans="2:47" ht="15.6" x14ac:dyDescent="0.3">
      <c r="B20" s="24" t="s">
        <v>52</v>
      </c>
      <c r="C20" s="25" t="s">
        <v>53</v>
      </c>
      <c r="D20" s="24" t="s">
        <v>24</v>
      </c>
      <c r="E20" s="26"/>
      <c r="F20" s="27">
        <v>1</v>
      </c>
      <c r="G20" s="27">
        <v>1500000</v>
      </c>
      <c r="H20" s="26"/>
      <c r="I20" s="28"/>
      <c r="J20" s="27">
        <v>70000</v>
      </c>
      <c r="K20" s="29">
        <f t="shared" si="0"/>
        <v>0</v>
      </c>
      <c r="L20" s="30"/>
      <c r="M20" s="28"/>
      <c r="N20" s="27">
        <v>70000</v>
      </c>
      <c r="O20" s="29">
        <f t="shared" si="1"/>
        <v>0</v>
      </c>
      <c r="P20" s="30"/>
      <c r="Q20" s="28"/>
      <c r="R20" s="27">
        <v>70000</v>
      </c>
      <c r="S20" s="29">
        <f t="shared" si="2"/>
        <v>0</v>
      </c>
      <c r="T20" s="30"/>
      <c r="U20" s="28"/>
      <c r="V20" s="27">
        <v>70000</v>
      </c>
      <c r="W20" s="29">
        <f t="shared" si="3"/>
        <v>0</v>
      </c>
      <c r="X20" s="14"/>
      <c r="Y20" s="28"/>
      <c r="Z20" s="27">
        <v>70000</v>
      </c>
      <c r="AA20" s="29">
        <f t="shared" si="4"/>
        <v>0</v>
      </c>
      <c r="AB20" s="30"/>
      <c r="AC20" s="28"/>
      <c r="AD20" s="27">
        <v>70000</v>
      </c>
      <c r="AE20" s="29">
        <f t="shared" si="5"/>
        <v>0</v>
      </c>
      <c r="AF20" s="30"/>
      <c r="AG20" s="28"/>
      <c r="AH20" s="27">
        <v>70000</v>
      </c>
      <c r="AI20" s="29">
        <f t="shared" si="6"/>
        <v>0</v>
      </c>
      <c r="AJ20" s="30"/>
      <c r="AK20" s="28"/>
      <c r="AL20" s="27">
        <v>70000</v>
      </c>
      <c r="AM20" s="29">
        <f t="shared" si="7"/>
        <v>0</v>
      </c>
      <c r="AN20" s="30"/>
      <c r="AO20" s="28"/>
      <c r="AP20" s="27">
        <v>70000</v>
      </c>
      <c r="AQ20" s="29">
        <f t="shared" si="8"/>
        <v>0</v>
      </c>
      <c r="AR20" s="30"/>
      <c r="AS20" s="28"/>
      <c r="AT20" s="27">
        <v>70000</v>
      </c>
      <c r="AU20" s="29">
        <f t="shared" si="9"/>
        <v>0</v>
      </c>
    </row>
    <row r="21" spans="2:47" ht="15.6" x14ac:dyDescent="0.3">
      <c r="B21" s="24" t="s">
        <v>54</v>
      </c>
      <c r="C21" s="25" t="s">
        <v>55</v>
      </c>
      <c r="D21" s="24" t="s">
        <v>24</v>
      </c>
      <c r="E21" s="26"/>
      <c r="F21" s="27">
        <v>1</v>
      </c>
      <c r="G21" s="27">
        <v>30000</v>
      </c>
      <c r="H21" s="26"/>
      <c r="I21" s="28"/>
      <c r="J21" s="27">
        <v>2000</v>
      </c>
      <c r="K21" s="29">
        <f t="shared" si="0"/>
        <v>0</v>
      </c>
      <c r="L21" s="30"/>
      <c r="M21" s="28"/>
      <c r="N21" s="27">
        <v>2000</v>
      </c>
      <c r="O21" s="29">
        <f t="shared" si="1"/>
        <v>0</v>
      </c>
      <c r="P21" s="30"/>
      <c r="Q21" s="28"/>
      <c r="R21" s="27">
        <v>2000</v>
      </c>
      <c r="S21" s="29">
        <f t="shared" si="2"/>
        <v>0</v>
      </c>
      <c r="T21" s="30"/>
      <c r="U21" s="28"/>
      <c r="V21" s="27">
        <v>2000</v>
      </c>
      <c r="W21" s="29">
        <f t="shared" si="3"/>
        <v>0</v>
      </c>
      <c r="X21" s="14"/>
      <c r="Y21" s="28"/>
      <c r="Z21" s="27">
        <v>2000</v>
      </c>
      <c r="AA21" s="29">
        <f t="shared" si="4"/>
        <v>0</v>
      </c>
      <c r="AB21" s="30"/>
      <c r="AC21" s="28"/>
      <c r="AD21" s="27">
        <v>2000</v>
      </c>
      <c r="AE21" s="29">
        <f t="shared" si="5"/>
        <v>0</v>
      </c>
      <c r="AF21" s="30"/>
      <c r="AG21" s="28"/>
      <c r="AH21" s="27">
        <v>2000</v>
      </c>
      <c r="AI21" s="29">
        <f t="shared" si="6"/>
        <v>0</v>
      </c>
      <c r="AJ21" s="30"/>
      <c r="AK21" s="28"/>
      <c r="AL21" s="27">
        <v>2000</v>
      </c>
      <c r="AM21" s="29">
        <f t="shared" si="7"/>
        <v>0</v>
      </c>
      <c r="AN21" s="30"/>
      <c r="AO21" s="28"/>
      <c r="AP21" s="27">
        <v>2000</v>
      </c>
      <c r="AQ21" s="29">
        <f t="shared" si="8"/>
        <v>0</v>
      </c>
      <c r="AR21" s="30"/>
      <c r="AS21" s="28"/>
      <c r="AT21" s="27">
        <v>2000</v>
      </c>
      <c r="AU21" s="29">
        <f t="shared" si="9"/>
        <v>0</v>
      </c>
    </row>
    <row r="22" spans="2:47" ht="15.6" x14ac:dyDescent="0.3">
      <c r="B22" s="24" t="s">
        <v>56</v>
      </c>
      <c r="C22" s="25" t="s">
        <v>57</v>
      </c>
      <c r="D22" s="24" t="s">
        <v>24</v>
      </c>
      <c r="E22" s="26"/>
      <c r="F22" s="27">
        <v>1</v>
      </c>
      <c r="G22" s="27">
        <v>3500000</v>
      </c>
      <c r="H22" s="26"/>
      <c r="I22" s="28"/>
      <c r="J22" s="27">
        <v>300000</v>
      </c>
      <c r="K22" s="29">
        <f t="shared" si="0"/>
        <v>0</v>
      </c>
      <c r="L22" s="30"/>
      <c r="M22" s="28"/>
      <c r="N22" s="27">
        <v>430000</v>
      </c>
      <c r="O22" s="29">
        <f t="shared" si="1"/>
        <v>0</v>
      </c>
      <c r="P22" s="30"/>
      <c r="Q22" s="28"/>
      <c r="R22" s="27">
        <v>300000</v>
      </c>
      <c r="S22" s="29">
        <f t="shared" si="2"/>
        <v>0</v>
      </c>
      <c r="T22" s="30"/>
      <c r="U22" s="28"/>
      <c r="V22" s="27">
        <v>300000</v>
      </c>
      <c r="W22" s="29">
        <f t="shared" si="3"/>
        <v>0</v>
      </c>
      <c r="X22" s="14"/>
      <c r="Y22" s="28"/>
      <c r="Z22" s="27">
        <v>300000</v>
      </c>
      <c r="AA22" s="29">
        <f t="shared" si="4"/>
        <v>0</v>
      </c>
      <c r="AB22" s="30"/>
      <c r="AC22" s="28"/>
      <c r="AD22" s="27">
        <v>430000</v>
      </c>
      <c r="AE22" s="29">
        <f t="shared" si="5"/>
        <v>0</v>
      </c>
      <c r="AF22" s="30"/>
      <c r="AG22" s="28"/>
      <c r="AH22" s="27">
        <v>300000</v>
      </c>
      <c r="AI22" s="29">
        <f t="shared" si="6"/>
        <v>0</v>
      </c>
      <c r="AJ22" s="30"/>
      <c r="AK22" s="28"/>
      <c r="AL22" s="27">
        <v>430000</v>
      </c>
      <c r="AM22" s="29">
        <f t="shared" si="7"/>
        <v>0</v>
      </c>
      <c r="AN22" s="30"/>
      <c r="AO22" s="28"/>
      <c r="AP22" s="27">
        <v>300000</v>
      </c>
      <c r="AQ22" s="29">
        <f t="shared" si="8"/>
        <v>0</v>
      </c>
      <c r="AR22" s="30"/>
      <c r="AS22" s="28"/>
      <c r="AT22" s="27">
        <v>430000</v>
      </c>
      <c r="AU22" s="29">
        <f t="shared" si="9"/>
        <v>0</v>
      </c>
    </row>
    <row r="23" spans="2:47" ht="15.6" x14ac:dyDescent="0.3">
      <c r="B23" s="24" t="s">
        <v>58</v>
      </c>
      <c r="C23" s="25" t="s">
        <v>59</v>
      </c>
      <c r="D23" s="24" t="s">
        <v>24</v>
      </c>
      <c r="E23" s="26"/>
      <c r="F23" s="27">
        <v>1</v>
      </c>
      <c r="G23" s="27">
        <v>3500000</v>
      </c>
      <c r="H23" s="26"/>
      <c r="I23" s="28"/>
      <c r="J23" s="27">
        <v>200000</v>
      </c>
      <c r="K23" s="29">
        <f t="shared" si="0"/>
        <v>0</v>
      </c>
      <c r="L23" s="30"/>
      <c r="M23" s="28"/>
      <c r="N23" s="27">
        <v>300000</v>
      </c>
      <c r="O23" s="29">
        <f t="shared" si="1"/>
        <v>0</v>
      </c>
      <c r="P23" s="30"/>
      <c r="Q23" s="28"/>
      <c r="R23" s="27">
        <v>200000</v>
      </c>
      <c r="S23" s="29">
        <f t="shared" si="2"/>
        <v>0</v>
      </c>
      <c r="T23" s="30"/>
      <c r="U23" s="28"/>
      <c r="V23" s="27">
        <v>300000</v>
      </c>
      <c r="W23" s="29">
        <f t="shared" si="3"/>
        <v>0</v>
      </c>
      <c r="X23" s="14"/>
      <c r="Y23" s="28"/>
      <c r="Z23" s="27">
        <v>200000</v>
      </c>
      <c r="AA23" s="29">
        <f t="shared" si="4"/>
        <v>0</v>
      </c>
      <c r="AB23" s="30"/>
      <c r="AC23" s="28"/>
      <c r="AD23" s="27">
        <v>300000</v>
      </c>
      <c r="AE23" s="29">
        <f t="shared" si="5"/>
        <v>0</v>
      </c>
      <c r="AF23" s="30"/>
      <c r="AG23" s="28"/>
      <c r="AH23" s="27">
        <v>200000</v>
      </c>
      <c r="AI23" s="29">
        <f t="shared" si="6"/>
        <v>0</v>
      </c>
      <c r="AJ23" s="30"/>
      <c r="AK23" s="28"/>
      <c r="AL23" s="27">
        <v>300000</v>
      </c>
      <c r="AM23" s="29">
        <f t="shared" si="7"/>
        <v>0</v>
      </c>
      <c r="AN23" s="30"/>
      <c r="AO23" s="28"/>
      <c r="AP23" s="27">
        <v>200000</v>
      </c>
      <c r="AQ23" s="29">
        <f t="shared" si="8"/>
        <v>0</v>
      </c>
      <c r="AR23" s="30"/>
      <c r="AS23" s="28"/>
      <c r="AT23" s="27">
        <v>300000</v>
      </c>
      <c r="AU23" s="29">
        <f t="shared" si="9"/>
        <v>0</v>
      </c>
    </row>
    <row r="24" spans="2:47" ht="15.6" x14ac:dyDescent="0.3">
      <c r="B24" s="24" t="s">
        <v>60</v>
      </c>
      <c r="C24" s="25" t="s">
        <v>61</v>
      </c>
      <c r="D24" s="24" t="s">
        <v>24</v>
      </c>
      <c r="E24" s="26"/>
      <c r="F24" s="27">
        <v>1</v>
      </c>
      <c r="G24" s="27">
        <v>3500000</v>
      </c>
      <c r="H24" s="26"/>
      <c r="I24" s="28"/>
      <c r="J24" s="27">
        <v>250000</v>
      </c>
      <c r="K24" s="29">
        <f t="shared" si="0"/>
        <v>0</v>
      </c>
      <c r="L24" s="30"/>
      <c r="M24" s="28"/>
      <c r="N24" s="27">
        <v>150000</v>
      </c>
      <c r="O24" s="29">
        <f t="shared" si="1"/>
        <v>0</v>
      </c>
      <c r="P24" s="30"/>
      <c r="Q24" s="28"/>
      <c r="R24" s="27">
        <v>250000</v>
      </c>
      <c r="S24" s="29">
        <f t="shared" si="2"/>
        <v>0</v>
      </c>
      <c r="T24" s="30"/>
      <c r="U24" s="28"/>
      <c r="V24" s="27">
        <v>150000</v>
      </c>
      <c r="W24" s="29">
        <f t="shared" si="3"/>
        <v>0</v>
      </c>
      <c r="X24" s="14"/>
      <c r="Y24" s="28"/>
      <c r="Z24" s="27">
        <v>250000</v>
      </c>
      <c r="AA24" s="29">
        <f t="shared" si="4"/>
        <v>0</v>
      </c>
      <c r="AB24" s="30"/>
      <c r="AC24" s="28"/>
      <c r="AD24" s="27">
        <v>150000</v>
      </c>
      <c r="AE24" s="29">
        <f t="shared" si="5"/>
        <v>0</v>
      </c>
      <c r="AF24" s="30"/>
      <c r="AG24" s="28"/>
      <c r="AH24" s="27">
        <v>250000</v>
      </c>
      <c r="AI24" s="29">
        <f t="shared" si="6"/>
        <v>0</v>
      </c>
      <c r="AJ24" s="30"/>
      <c r="AK24" s="28"/>
      <c r="AL24" s="27">
        <v>150000</v>
      </c>
      <c r="AM24" s="29">
        <f t="shared" si="7"/>
        <v>0</v>
      </c>
      <c r="AN24" s="30"/>
      <c r="AO24" s="28"/>
      <c r="AP24" s="27">
        <v>250000</v>
      </c>
      <c r="AQ24" s="29">
        <f t="shared" si="8"/>
        <v>0</v>
      </c>
      <c r="AR24" s="30"/>
      <c r="AS24" s="28"/>
      <c r="AT24" s="27">
        <v>150000</v>
      </c>
      <c r="AU24" s="29">
        <f t="shared" si="9"/>
        <v>0</v>
      </c>
    </row>
    <row r="25" spans="2:47" ht="15.6" x14ac:dyDescent="0.3">
      <c r="B25" s="24" t="s">
        <v>62</v>
      </c>
      <c r="C25" s="25" t="s">
        <v>63</v>
      </c>
      <c r="D25" s="24" t="s">
        <v>24</v>
      </c>
      <c r="E25" s="26"/>
      <c r="F25" s="27">
        <v>1</v>
      </c>
      <c r="G25" s="27">
        <v>20000</v>
      </c>
      <c r="H25" s="26"/>
      <c r="I25" s="28"/>
      <c r="J25" s="27">
        <v>4000</v>
      </c>
      <c r="K25" s="29">
        <f t="shared" si="0"/>
        <v>0</v>
      </c>
      <c r="L25" s="30"/>
      <c r="M25" s="28"/>
      <c r="N25" s="27">
        <v>4000</v>
      </c>
      <c r="O25" s="29">
        <f t="shared" si="1"/>
        <v>0</v>
      </c>
      <c r="P25" s="30"/>
      <c r="Q25" s="28"/>
      <c r="R25" s="27">
        <v>4000</v>
      </c>
      <c r="S25" s="29">
        <f t="shared" si="2"/>
        <v>0</v>
      </c>
      <c r="T25" s="30"/>
      <c r="U25" s="28"/>
      <c r="V25" s="27">
        <v>4000</v>
      </c>
      <c r="W25" s="29">
        <f t="shared" si="3"/>
        <v>0</v>
      </c>
      <c r="X25" s="14"/>
      <c r="Y25" s="28"/>
      <c r="Z25" s="27">
        <v>4000</v>
      </c>
      <c r="AA25" s="29">
        <f t="shared" si="4"/>
        <v>0</v>
      </c>
      <c r="AB25" s="30"/>
      <c r="AC25" s="28"/>
      <c r="AD25" s="27">
        <v>4000</v>
      </c>
      <c r="AE25" s="29">
        <f t="shared" si="5"/>
        <v>0</v>
      </c>
      <c r="AF25" s="30"/>
      <c r="AG25" s="28"/>
      <c r="AH25" s="27">
        <v>4000</v>
      </c>
      <c r="AI25" s="29">
        <f t="shared" si="6"/>
        <v>0</v>
      </c>
      <c r="AJ25" s="30"/>
      <c r="AK25" s="28"/>
      <c r="AL25" s="27">
        <v>4000</v>
      </c>
      <c r="AM25" s="29">
        <f t="shared" si="7"/>
        <v>0</v>
      </c>
      <c r="AN25" s="30"/>
      <c r="AO25" s="28"/>
      <c r="AP25" s="27">
        <v>4000</v>
      </c>
      <c r="AQ25" s="29">
        <f t="shared" si="8"/>
        <v>0</v>
      </c>
      <c r="AR25" s="30"/>
      <c r="AS25" s="28"/>
      <c r="AT25" s="27">
        <v>4000</v>
      </c>
      <c r="AU25" s="29">
        <f t="shared" si="9"/>
        <v>0</v>
      </c>
    </row>
    <row r="26" spans="2:47" ht="15.6" x14ac:dyDescent="0.3">
      <c r="B26" s="24" t="s">
        <v>64</v>
      </c>
      <c r="C26" s="25" t="s">
        <v>65</v>
      </c>
      <c r="D26" s="24" t="s">
        <v>24</v>
      </c>
      <c r="E26" s="26"/>
      <c r="F26" s="27">
        <v>1</v>
      </c>
      <c r="G26" s="27">
        <v>100000</v>
      </c>
      <c r="H26" s="26"/>
      <c r="I26" s="28"/>
      <c r="J26" s="27">
        <v>2000</v>
      </c>
      <c r="K26" s="29">
        <f t="shared" si="0"/>
        <v>0</v>
      </c>
      <c r="L26" s="30"/>
      <c r="M26" s="28"/>
      <c r="N26" s="27">
        <v>600</v>
      </c>
      <c r="O26" s="29">
        <f t="shared" si="1"/>
        <v>0</v>
      </c>
      <c r="P26" s="30"/>
      <c r="Q26" s="28"/>
      <c r="R26" s="27">
        <v>2000</v>
      </c>
      <c r="S26" s="29">
        <f t="shared" si="2"/>
        <v>0</v>
      </c>
      <c r="T26" s="30"/>
      <c r="U26" s="28"/>
      <c r="V26" s="27">
        <v>600</v>
      </c>
      <c r="W26" s="29">
        <f t="shared" si="3"/>
        <v>0</v>
      </c>
      <c r="X26" s="14"/>
      <c r="Y26" s="28"/>
      <c r="Z26" s="27">
        <v>2000</v>
      </c>
      <c r="AA26" s="29">
        <f t="shared" si="4"/>
        <v>0</v>
      </c>
      <c r="AB26" s="30"/>
      <c r="AC26" s="28"/>
      <c r="AD26" s="27">
        <v>600</v>
      </c>
      <c r="AE26" s="29">
        <f t="shared" si="5"/>
        <v>0</v>
      </c>
      <c r="AF26" s="30"/>
      <c r="AG26" s="28"/>
      <c r="AH26" s="27">
        <v>2000</v>
      </c>
      <c r="AI26" s="29">
        <f t="shared" si="6"/>
        <v>0</v>
      </c>
      <c r="AJ26" s="30"/>
      <c r="AK26" s="28"/>
      <c r="AL26" s="27">
        <v>600</v>
      </c>
      <c r="AM26" s="29">
        <f t="shared" si="7"/>
        <v>0</v>
      </c>
      <c r="AN26" s="30"/>
      <c r="AO26" s="28"/>
      <c r="AP26" s="27">
        <v>2000</v>
      </c>
      <c r="AQ26" s="29">
        <f t="shared" si="8"/>
        <v>0</v>
      </c>
      <c r="AR26" s="30"/>
      <c r="AS26" s="28"/>
      <c r="AT26" s="27">
        <v>600</v>
      </c>
      <c r="AU26" s="29">
        <f t="shared" si="9"/>
        <v>0</v>
      </c>
    </row>
    <row r="27" spans="2:47" ht="15.6" x14ac:dyDescent="0.3">
      <c r="B27" s="24" t="s">
        <v>66</v>
      </c>
      <c r="C27" s="25" t="s">
        <v>67</v>
      </c>
      <c r="D27" s="24" t="s">
        <v>24</v>
      </c>
      <c r="E27" s="26"/>
      <c r="F27" s="27">
        <v>1</v>
      </c>
      <c r="G27" s="27">
        <v>2000000</v>
      </c>
      <c r="H27" s="26"/>
      <c r="I27" s="28"/>
      <c r="J27" s="27">
        <v>50000</v>
      </c>
      <c r="K27" s="29">
        <f t="shared" si="0"/>
        <v>0</v>
      </c>
      <c r="L27" s="30"/>
      <c r="M27" s="28"/>
      <c r="N27" s="27">
        <v>50000</v>
      </c>
      <c r="O27" s="29">
        <f t="shared" si="1"/>
        <v>0</v>
      </c>
      <c r="P27" s="30"/>
      <c r="Q27" s="28"/>
      <c r="R27" s="27">
        <v>50000</v>
      </c>
      <c r="S27" s="29">
        <f t="shared" si="2"/>
        <v>0</v>
      </c>
      <c r="T27" s="30"/>
      <c r="U27" s="28"/>
      <c r="V27" s="27">
        <v>50000</v>
      </c>
      <c r="W27" s="29">
        <f t="shared" si="3"/>
        <v>0</v>
      </c>
      <c r="X27" s="14"/>
      <c r="Y27" s="28"/>
      <c r="Z27" s="27">
        <v>50000</v>
      </c>
      <c r="AA27" s="29">
        <f t="shared" si="4"/>
        <v>0</v>
      </c>
      <c r="AB27" s="30"/>
      <c r="AC27" s="28"/>
      <c r="AD27" s="27">
        <v>50000</v>
      </c>
      <c r="AE27" s="29">
        <f t="shared" si="5"/>
        <v>0</v>
      </c>
      <c r="AF27" s="30"/>
      <c r="AG27" s="28"/>
      <c r="AH27" s="27">
        <v>50000</v>
      </c>
      <c r="AI27" s="29">
        <f t="shared" si="6"/>
        <v>0</v>
      </c>
      <c r="AJ27" s="30"/>
      <c r="AK27" s="28"/>
      <c r="AL27" s="27">
        <v>50000</v>
      </c>
      <c r="AM27" s="29">
        <f t="shared" si="7"/>
        <v>0</v>
      </c>
      <c r="AN27" s="30"/>
      <c r="AO27" s="28"/>
      <c r="AP27" s="27">
        <v>50000</v>
      </c>
      <c r="AQ27" s="29">
        <f t="shared" si="8"/>
        <v>0</v>
      </c>
      <c r="AR27" s="30"/>
      <c r="AS27" s="28"/>
      <c r="AT27" s="27">
        <v>50000</v>
      </c>
      <c r="AU27" s="29">
        <f t="shared" si="9"/>
        <v>0</v>
      </c>
    </row>
    <row r="28" spans="2:47" ht="15.6" x14ac:dyDescent="0.3">
      <c r="B28" s="31" t="s">
        <v>68</v>
      </c>
      <c r="C28" s="32" t="s">
        <v>69</v>
      </c>
      <c r="D28" s="31" t="s">
        <v>43</v>
      </c>
      <c r="E28" s="33"/>
      <c r="F28" s="34">
        <v>1</v>
      </c>
      <c r="G28" s="34">
        <v>350000</v>
      </c>
      <c r="H28" s="33"/>
      <c r="I28" s="35"/>
      <c r="J28" s="34">
        <v>130500</v>
      </c>
      <c r="K28" s="36">
        <f t="shared" si="0"/>
        <v>0</v>
      </c>
      <c r="L28" s="37"/>
      <c r="M28" s="35"/>
      <c r="N28" s="34">
        <v>80000</v>
      </c>
      <c r="O28" s="36">
        <f t="shared" si="1"/>
        <v>0</v>
      </c>
      <c r="P28" s="37"/>
      <c r="Q28" s="35"/>
      <c r="R28" s="34">
        <v>130500</v>
      </c>
      <c r="S28" s="36">
        <f t="shared" si="2"/>
        <v>0</v>
      </c>
      <c r="T28" s="37"/>
      <c r="U28" s="35"/>
      <c r="V28" s="34">
        <v>80000</v>
      </c>
      <c r="W28" s="36">
        <f t="shared" si="3"/>
        <v>0</v>
      </c>
      <c r="X28" s="38"/>
      <c r="Y28" s="35"/>
      <c r="Z28" s="34">
        <v>130500</v>
      </c>
      <c r="AA28" s="36">
        <f t="shared" si="4"/>
        <v>0</v>
      </c>
      <c r="AB28" s="37"/>
      <c r="AC28" s="35"/>
      <c r="AD28" s="34">
        <v>80000</v>
      </c>
      <c r="AE28" s="36">
        <f t="shared" si="5"/>
        <v>0</v>
      </c>
      <c r="AF28" s="37"/>
      <c r="AG28" s="35"/>
      <c r="AH28" s="34">
        <v>130500</v>
      </c>
      <c r="AI28" s="36">
        <f t="shared" si="6"/>
        <v>0</v>
      </c>
      <c r="AJ28" s="37"/>
      <c r="AK28" s="35"/>
      <c r="AL28" s="34">
        <v>80000</v>
      </c>
      <c r="AM28" s="36">
        <f t="shared" si="7"/>
        <v>0</v>
      </c>
      <c r="AN28" s="37"/>
      <c r="AO28" s="35"/>
      <c r="AP28" s="34">
        <v>130500</v>
      </c>
      <c r="AQ28" s="36">
        <f t="shared" si="8"/>
        <v>0</v>
      </c>
      <c r="AR28" s="37"/>
      <c r="AS28" s="35"/>
      <c r="AT28" s="34">
        <v>80000</v>
      </c>
      <c r="AU28" s="36">
        <f t="shared" si="9"/>
        <v>0</v>
      </c>
    </row>
    <row r="29" spans="2:47" ht="15.6" x14ac:dyDescent="0.3">
      <c r="B29" s="24" t="s">
        <v>70</v>
      </c>
      <c r="C29" s="25" t="s">
        <v>71</v>
      </c>
      <c r="D29" s="24" t="s">
        <v>24</v>
      </c>
      <c r="E29" s="26"/>
      <c r="F29" s="27">
        <v>1</v>
      </c>
      <c r="G29" s="27">
        <v>300000</v>
      </c>
      <c r="H29" s="26"/>
      <c r="I29" s="28"/>
      <c r="J29" s="27">
        <v>1600</v>
      </c>
      <c r="K29" s="29">
        <f t="shared" si="0"/>
        <v>0</v>
      </c>
      <c r="L29" s="30"/>
      <c r="M29" s="28"/>
      <c r="N29" s="27">
        <v>1600</v>
      </c>
      <c r="O29" s="29">
        <f t="shared" si="1"/>
        <v>0</v>
      </c>
      <c r="P29" s="30"/>
      <c r="Q29" s="28"/>
      <c r="R29" s="27">
        <v>1600</v>
      </c>
      <c r="S29" s="29">
        <f t="shared" si="2"/>
        <v>0</v>
      </c>
      <c r="T29" s="30"/>
      <c r="U29" s="28"/>
      <c r="V29" s="27">
        <v>1600</v>
      </c>
      <c r="W29" s="29">
        <f t="shared" si="3"/>
        <v>0</v>
      </c>
      <c r="X29" s="14"/>
      <c r="Y29" s="28"/>
      <c r="Z29" s="27">
        <v>1600</v>
      </c>
      <c r="AA29" s="29">
        <f t="shared" si="4"/>
        <v>0</v>
      </c>
      <c r="AB29" s="30"/>
      <c r="AC29" s="28"/>
      <c r="AD29" s="27">
        <v>1600</v>
      </c>
      <c r="AE29" s="29">
        <f t="shared" si="5"/>
        <v>0</v>
      </c>
      <c r="AF29" s="30"/>
      <c r="AG29" s="28"/>
      <c r="AH29" s="27">
        <v>1600</v>
      </c>
      <c r="AI29" s="29">
        <f t="shared" si="6"/>
        <v>0</v>
      </c>
      <c r="AJ29" s="30"/>
      <c r="AK29" s="28"/>
      <c r="AL29" s="27">
        <v>1600</v>
      </c>
      <c r="AM29" s="29">
        <f t="shared" si="7"/>
        <v>0</v>
      </c>
      <c r="AN29" s="30"/>
      <c r="AO29" s="28"/>
      <c r="AP29" s="27">
        <v>1600</v>
      </c>
      <c r="AQ29" s="29">
        <f t="shared" si="8"/>
        <v>0</v>
      </c>
      <c r="AR29" s="30"/>
      <c r="AS29" s="28"/>
      <c r="AT29" s="27">
        <v>1600</v>
      </c>
      <c r="AU29" s="29">
        <f t="shared" si="9"/>
        <v>0</v>
      </c>
    </row>
    <row r="30" spans="2:47" ht="15.6" x14ac:dyDescent="0.3">
      <c r="B30" s="24" t="s">
        <v>72</v>
      </c>
      <c r="C30" s="25" t="s">
        <v>73</v>
      </c>
      <c r="D30" s="24" t="s">
        <v>24</v>
      </c>
      <c r="E30" s="26"/>
      <c r="F30" s="27">
        <v>1</v>
      </c>
      <c r="G30" s="27">
        <v>2000000</v>
      </c>
      <c r="H30" s="26"/>
      <c r="I30" s="28"/>
      <c r="J30" s="27">
        <v>200000</v>
      </c>
      <c r="K30" s="29">
        <f t="shared" si="0"/>
        <v>0</v>
      </c>
      <c r="L30" s="30"/>
      <c r="M30" s="28"/>
      <c r="N30" s="27">
        <v>200000</v>
      </c>
      <c r="O30" s="29">
        <f t="shared" si="1"/>
        <v>0</v>
      </c>
      <c r="P30" s="30"/>
      <c r="Q30" s="28"/>
      <c r="R30" s="27">
        <v>200000</v>
      </c>
      <c r="S30" s="29">
        <f t="shared" si="2"/>
        <v>0</v>
      </c>
      <c r="T30" s="30"/>
      <c r="U30" s="28"/>
      <c r="V30" s="27">
        <v>200000</v>
      </c>
      <c r="W30" s="29">
        <f t="shared" si="3"/>
        <v>0</v>
      </c>
      <c r="X30" s="14"/>
      <c r="Y30" s="28"/>
      <c r="Z30" s="27">
        <v>200000</v>
      </c>
      <c r="AA30" s="29">
        <f t="shared" si="4"/>
        <v>0</v>
      </c>
      <c r="AB30" s="30"/>
      <c r="AC30" s="28"/>
      <c r="AD30" s="27">
        <v>200000</v>
      </c>
      <c r="AE30" s="29">
        <f t="shared" si="5"/>
        <v>0</v>
      </c>
      <c r="AF30" s="30"/>
      <c r="AG30" s="28"/>
      <c r="AH30" s="27">
        <v>200000</v>
      </c>
      <c r="AI30" s="29">
        <f t="shared" si="6"/>
        <v>0</v>
      </c>
      <c r="AJ30" s="30"/>
      <c r="AK30" s="28"/>
      <c r="AL30" s="27">
        <v>200000</v>
      </c>
      <c r="AM30" s="29">
        <f t="shared" si="7"/>
        <v>0</v>
      </c>
      <c r="AN30" s="30"/>
      <c r="AO30" s="28"/>
      <c r="AP30" s="27">
        <v>200000</v>
      </c>
      <c r="AQ30" s="29">
        <f t="shared" si="8"/>
        <v>0</v>
      </c>
      <c r="AR30" s="30"/>
      <c r="AS30" s="28"/>
      <c r="AT30" s="27">
        <v>200000</v>
      </c>
      <c r="AU30" s="29">
        <f t="shared" si="9"/>
        <v>0</v>
      </c>
    </row>
    <row r="31" spans="2:47" ht="15.6" x14ac:dyDescent="0.3">
      <c r="B31" s="24" t="s">
        <v>74</v>
      </c>
      <c r="C31" s="25" t="s">
        <v>75</v>
      </c>
      <c r="D31" s="24" t="s">
        <v>24</v>
      </c>
      <c r="E31" s="26"/>
      <c r="F31" s="27">
        <v>1</v>
      </c>
      <c r="G31" s="27">
        <v>2000000</v>
      </c>
      <c r="H31" s="26"/>
      <c r="I31" s="28"/>
      <c r="J31" s="27">
        <v>200000</v>
      </c>
      <c r="K31" s="29">
        <f t="shared" si="0"/>
        <v>0</v>
      </c>
      <c r="L31" s="30"/>
      <c r="M31" s="28"/>
      <c r="N31" s="27">
        <v>200000</v>
      </c>
      <c r="O31" s="29">
        <f t="shared" si="1"/>
        <v>0</v>
      </c>
      <c r="P31" s="30"/>
      <c r="Q31" s="28"/>
      <c r="R31" s="27">
        <v>200000</v>
      </c>
      <c r="S31" s="29">
        <f t="shared" si="2"/>
        <v>0</v>
      </c>
      <c r="T31" s="30"/>
      <c r="U31" s="28"/>
      <c r="V31" s="27">
        <v>200000</v>
      </c>
      <c r="W31" s="29">
        <f t="shared" si="3"/>
        <v>0</v>
      </c>
      <c r="X31" s="14"/>
      <c r="Y31" s="28"/>
      <c r="Z31" s="27">
        <v>200000</v>
      </c>
      <c r="AA31" s="29">
        <f t="shared" si="4"/>
        <v>0</v>
      </c>
      <c r="AB31" s="30"/>
      <c r="AC31" s="28"/>
      <c r="AD31" s="27">
        <v>200000</v>
      </c>
      <c r="AE31" s="29">
        <f t="shared" si="5"/>
        <v>0</v>
      </c>
      <c r="AF31" s="30"/>
      <c r="AG31" s="28"/>
      <c r="AH31" s="27">
        <v>200000</v>
      </c>
      <c r="AI31" s="29">
        <f t="shared" si="6"/>
        <v>0</v>
      </c>
      <c r="AJ31" s="30"/>
      <c r="AK31" s="28"/>
      <c r="AL31" s="27">
        <v>200000</v>
      </c>
      <c r="AM31" s="29">
        <f t="shared" si="7"/>
        <v>0</v>
      </c>
      <c r="AN31" s="30"/>
      <c r="AO31" s="28"/>
      <c r="AP31" s="27">
        <v>200000</v>
      </c>
      <c r="AQ31" s="29">
        <f t="shared" si="8"/>
        <v>0</v>
      </c>
      <c r="AR31" s="30"/>
      <c r="AS31" s="28"/>
      <c r="AT31" s="27">
        <v>200000</v>
      </c>
      <c r="AU31" s="29">
        <f t="shared" si="9"/>
        <v>0</v>
      </c>
    </row>
    <row r="32" spans="2:47" ht="15.6" x14ac:dyDescent="0.3">
      <c r="B32" s="24" t="s">
        <v>76</v>
      </c>
      <c r="C32" s="25" t="s">
        <v>77</v>
      </c>
      <c r="D32" s="24" t="s">
        <v>24</v>
      </c>
      <c r="E32" s="26"/>
      <c r="F32" s="27">
        <v>1</v>
      </c>
      <c r="G32" s="27">
        <v>100000</v>
      </c>
      <c r="H32" s="26"/>
      <c r="I32" s="28"/>
      <c r="J32" s="27">
        <v>15000</v>
      </c>
      <c r="K32" s="29">
        <f t="shared" si="0"/>
        <v>0</v>
      </c>
      <c r="L32" s="30"/>
      <c r="M32" s="28"/>
      <c r="N32" s="27">
        <v>15000</v>
      </c>
      <c r="O32" s="29">
        <f t="shared" si="1"/>
        <v>0</v>
      </c>
      <c r="P32" s="30"/>
      <c r="Q32" s="28"/>
      <c r="R32" s="27">
        <v>15000</v>
      </c>
      <c r="S32" s="29">
        <f t="shared" si="2"/>
        <v>0</v>
      </c>
      <c r="T32" s="30"/>
      <c r="U32" s="28"/>
      <c r="V32" s="27">
        <v>15000</v>
      </c>
      <c r="W32" s="29">
        <f t="shared" si="3"/>
        <v>0</v>
      </c>
      <c r="X32" s="14"/>
      <c r="Y32" s="28"/>
      <c r="Z32" s="27">
        <v>15000</v>
      </c>
      <c r="AA32" s="29">
        <f t="shared" si="4"/>
        <v>0</v>
      </c>
      <c r="AB32" s="30"/>
      <c r="AC32" s="28"/>
      <c r="AD32" s="27">
        <v>15000</v>
      </c>
      <c r="AE32" s="29">
        <f t="shared" si="5"/>
        <v>0</v>
      </c>
      <c r="AF32" s="30"/>
      <c r="AG32" s="28"/>
      <c r="AH32" s="27">
        <v>15000</v>
      </c>
      <c r="AI32" s="29">
        <f t="shared" si="6"/>
        <v>0</v>
      </c>
      <c r="AJ32" s="30"/>
      <c r="AK32" s="28"/>
      <c r="AL32" s="27">
        <v>15000</v>
      </c>
      <c r="AM32" s="29">
        <f t="shared" si="7"/>
        <v>0</v>
      </c>
      <c r="AN32" s="30"/>
      <c r="AO32" s="28"/>
      <c r="AP32" s="27">
        <v>15000</v>
      </c>
      <c r="AQ32" s="29">
        <f t="shared" si="8"/>
        <v>0</v>
      </c>
      <c r="AR32" s="30"/>
      <c r="AS32" s="28"/>
      <c r="AT32" s="27">
        <v>15000</v>
      </c>
      <c r="AU32" s="29">
        <f t="shared" si="9"/>
        <v>0</v>
      </c>
    </row>
    <row r="33" spans="2:47" ht="15.6" x14ac:dyDescent="0.3">
      <c r="B33" s="24" t="s">
        <v>78</v>
      </c>
      <c r="C33" s="25" t="s">
        <v>79</v>
      </c>
      <c r="D33" s="24" t="s">
        <v>24</v>
      </c>
      <c r="E33" s="26"/>
      <c r="F33" s="27">
        <v>1</v>
      </c>
      <c r="G33" s="27">
        <v>80000</v>
      </c>
      <c r="H33" s="26"/>
      <c r="I33" s="28"/>
      <c r="J33" s="27">
        <v>20000</v>
      </c>
      <c r="K33" s="29">
        <f t="shared" si="0"/>
        <v>0</v>
      </c>
      <c r="L33" s="30"/>
      <c r="M33" s="28"/>
      <c r="N33" s="27">
        <v>20000</v>
      </c>
      <c r="O33" s="29">
        <f t="shared" si="1"/>
        <v>0</v>
      </c>
      <c r="P33" s="30"/>
      <c r="Q33" s="28"/>
      <c r="R33" s="27">
        <v>20000</v>
      </c>
      <c r="S33" s="29">
        <f t="shared" si="2"/>
        <v>0</v>
      </c>
      <c r="T33" s="30"/>
      <c r="U33" s="28"/>
      <c r="V33" s="27">
        <v>20000</v>
      </c>
      <c r="W33" s="29">
        <f t="shared" si="3"/>
        <v>0</v>
      </c>
      <c r="X33" s="14"/>
      <c r="Y33" s="28"/>
      <c r="Z33" s="27">
        <v>20000</v>
      </c>
      <c r="AA33" s="29">
        <f t="shared" si="4"/>
        <v>0</v>
      </c>
      <c r="AB33" s="30"/>
      <c r="AC33" s="28"/>
      <c r="AD33" s="27">
        <v>20000</v>
      </c>
      <c r="AE33" s="29">
        <f t="shared" si="5"/>
        <v>0</v>
      </c>
      <c r="AF33" s="30"/>
      <c r="AG33" s="28"/>
      <c r="AH33" s="27">
        <v>20000</v>
      </c>
      <c r="AI33" s="29">
        <f t="shared" si="6"/>
        <v>0</v>
      </c>
      <c r="AJ33" s="30"/>
      <c r="AK33" s="28"/>
      <c r="AL33" s="27">
        <v>20000</v>
      </c>
      <c r="AM33" s="29">
        <f t="shared" si="7"/>
        <v>0</v>
      </c>
      <c r="AN33" s="30"/>
      <c r="AO33" s="28"/>
      <c r="AP33" s="27">
        <v>20000</v>
      </c>
      <c r="AQ33" s="29">
        <f t="shared" si="8"/>
        <v>0</v>
      </c>
      <c r="AR33" s="30"/>
      <c r="AS33" s="28"/>
      <c r="AT33" s="27">
        <v>20000</v>
      </c>
      <c r="AU33" s="29">
        <f t="shared" si="9"/>
        <v>0</v>
      </c>
    </row>
    <row r="34" spans="2:47" ht="15.6" x14ac:dyDescent="0.3">
      <c r="B34" s="24" t="s">
        <v>80</v>
      </c>
      <c r="C34" s="25" t="s">
        <v>81</v>
      </c>
      <c r="D34" s="24" t="s">
        <v>24</v>
      </c>
      <c r="E34" s="26"/>
      <c r="F34" s="27">
        <v>1</v>
      </c>
      <c r="G34" s="27">
        <v>5000000</v>
      </c>
      <c r="H34" s="26"/>
      <c r="I34" s="28"/>
      <c r="J34" s="27">
        <v>750000</v>
      </c>
      <c r="K34" s="29">
        <f t="shared" si="0"/>
        <v>0</v>
      </c>
      <c r="L34" s="30"/>
      <c r="M34" s="28"/>
      <c r="N34" s="27">
        <v>750000</v>
      </c>
      <c r="O34" s="29">
        <f t="shared" si="1"/>
        <v>0</v>
      </c>
      <c r="P34" s="30"/>
      <c r="Q34" s="28"/>
      <c r="R34" s="27">
        <v>750000</v>
      </c>
      <c r="S34" s="29">
        <f t="shared" si="2"/>
        <v>0</v>
      </c>
      <c r="T34" s="30"/>
      <c r="U34" s="28"/>
      <c r="V34" s="27">
        <v>750000</v>
      </c>
      <c r="W34" s="29">
        <f t="shared" si="3"/>
        <v>0</v>
      </c>
      <c r="X34" s="14"/>
      <c r="Y34" s="28"/>
      <c r="Z34" s="27">
        <v>750000</v>
      </c>
      <c r="AA34" s="29">
        <f t="shared" si="4"/>
        <v>0</v>
      </c>
      <c r="AB34" s="30"/>
      <c r="AC34" s="28"/>
      <c r="AD34" s="27">
        <v>750000</v>
      </c>
      <c r="AE34" s="29">
        <f t="shared" si="5"/>
        <v>0</v>
      </c>
      <c r="AF34" s="30"/>
      <c r="AG34" s="28"/>
      <c r="AH34" s="27">
        <v>750000</v>
      </c>
      <c r="AI34" s="29">
        <f t="shared" si="6"/>
        <v>0</v>
      </c>
      <c r="AJ34" s="30"/>
      <c r="AK34" s="28"/>
      <c r="AL34" s="27">
        <v>750000</v>
      </c>
      <c r="AM34" s="29">
        <f t="shared" si="7"/>
        <v>0</v>
      </c>
      <c r="AN34" s="30"/>
      <c r="AO34" s="28"/>
      <c r="AP34" s="27">
        <v>750000</v>
      </c>
      <c r="AQ34" s="29">
        <f t="shared" si="8"/>
        <v>0</v>
      </c>
      <c r="AR34" s="30"/>
      <c r="AS34" s="28"/>
      <c r="AT34" s="27">
        <v>750000</v>
      </c>
      <c r="AU34" s="29">
        <f t="shared" si="9"/>
        <v>0</v>
      </c>
    </row>
    <row r="35" spans="2:47" ht="15.6" x14ac:dyDescent="0.3">
      <c r="B35" s="24" t="s">
        <v>82</v>
      </c>
      <c r="C35" s="25" t="s">
        <v>83</v>
      </c>
      <c r="D35" s="24" t="s">
        <v>24</v>
      </c>
      <c r="E35" s="26"/>
      <c r="F35" s="27">
        <v>1</v>
      </c>
      <c r="G35" s="27">
        <v>5000000</v>
      </c>
      <c r="H35" s="26"/>
      <c r="I35" s="28"/>
      <c r="J35" s="27">
        <v>100000</v>
      </c>
      <c r="K35" s="29">
        <f t="shared" si="0"/>
        <v>0</v>
      </c>
      <c r="L35" s="30"/>
      <c r="M35" s="28"/>
      <c r="N35" s="27">
        <v>100000</v>
      </c>
      <c r="O35" s="29">
        <f t="shared" si="1"/>
        <v>0</v>
      </c>
      <c r="P35" s="30"/>
      <c r="Q35" s="28"/>
      <c r="R35" s="27">
        <v>100000</v>
      </c>
      <c r="S35" s="29">
        <f t="shared" si="2"/>
        <v>0</v>
      </c>
      <c r="T35" s="30"/>
      <c r="U35" s="28"/>
      <c r="V35" s="27">
        <v>100000</v>
      </c>
      <c r="W35" s="29">
        <f t="shared" si="3"/>
        <v>0</v>
      </c>
      <c r="X35" s="14"/>
      <c r="Y35" s="28"/>
      <c r="Z35" s="27">
        <v>100000</v>
      </c>
      <c r="AA35" s="29">
        <f t="shared" si="4"/>
        <v>0</v>
      </c>
      <c r="AB35" s="30"/>
      <c r="AC35" s="28"/>
      <c r="AD35" s="27">
        <v>100000</v>
      </c>
      <c r="AE35" s="29">
        <f t="shared" si="5"/>
        <v>0</v>
      </c>
      <c r="AF35" s="30"/>
      <c r="AG35" s="28"/>
      <c r="AH35" s="27">
        <v>100000</v>
      </c>
      <c r="AI35" s="29">
        <f t="shared" si="6"/>
        <v>0</v>
      </c>
      <c r="AJ35" s="30"/>
      <c r="AK35" s="28"/>
      <c r="AL35" s="27">
        <v>100000</v>
      </c>
      <c r="AM35" s="29">
        <f t="shared" si="7"/>
        <v>0</v>
      </c>
      <c r="AN35" s="30"/>
      <c r="AO35" s="28"/>
      <c r="AP35" s="27">
        <v>100000</v>
      </c>
      <c r="AQ35" s="29">
        <f t="shared" si="8"/>
        <v>0</v>
      </c>
      <c r="AR35" s="30"/>
      <c r="AS35" s="28"/>
      <c r="AT35" s="27">
        <v>100000</v>
      </c>
      <c r="AU35" s="29">
        <f t="shared" si="9"/>
        <v>0</v>
      </c>
    </row>
    <row r="36" spans="2:47" ht="15.6" x14ac:dyDescent="0.3">
      <c r="B36" s="24" t="s">
        <v>84</v>
      </c>
      <c r="C36" s="25" t="s">
        <v>85</v>
      </c>
      <c r="D36" s="24" t="s">
        <v>24</v>
      </c>
      <c r="E36" s="26"/>
      <c r="F36" s="27">
        <v>1</v>
      </c>
      <c r="G36" s="27">
        <v>5000000</v>
      </c>
      <c r="H36" s="26"/>
      <c r="I36" s="28"/>
      <c r="J36" s="27">
        <v>925000</v>
      </c>
      <c r="K36" s="29">
        <f t="shared" si="0"/>
        <v>0</v>
      </c>
      <c r="L36" s="30"/>
      <c r="M36" s="28"/>
      <c r="N36" s="27">
        <v>625000</v>
      </c>
      <c r="O36" s="29">
        <f t="shared" si="1"/>
        <v>0</v>
      </c>
      <c r="P36" s="30"/>
      <c r="Q36" s="28"/>
      <c r="R36" s="27">
        <v>925000</v>
      </c>
      <c r="S36" s="29">
        <f t="shared" si="2"/>
        <v>0</v>
      </c>
      <c r="T36" s="30"/>
      <c r="U36" s="28"/>
      <c r="V36" s="27">
        <v>625000</v>
      </c>
      <c r="W36" s="29">
        <f t="shared" si="3"/>
        <v>0</v>
      </c>
      <c r="X36" s="14"/>
      <c r="Y36" s="28"/>
      <c r="Z36" s="27">
        <v>925000</v>
      </c>
      <c r="AA36" s="29">
        <f t="shared" si="4"/>
        <v>0</v>
      </c>
      <c r="AB36" s="30"/>
      <c r="AC36" s="28"/>
      <c r="AD36" s="27">
        <v>625000</v>
      </c>
      <c r="AE36" s="29">
        <f t="shared" si="5"/>
        <v>0</v>
      </c>
      <c r="AF36" s="30"/>
      <c r="AG36" s="28"/>
      <c r="AH36" s="27">
        <v>925000</v>
      </c>
      <c r="AI36" s="29">
        <f t="shared" si="6"/>
        <v>0</v>
      </c>
      <c r="AJ36" s="30"/>
      <c r="AK36" s="28"/>
      <c r="AL36" s="27">
        <v>625000</v>
      </c>
      <c r="AM36" s="29">
        <f t="shared" si="7"/>
        <v>0</v>
      </c>
      <c r="AN36" s="30"/>
      <c r="AO36" s="28"/>
      <c r="AP36" s="27">
        <v>925000</v>
      </c>
      <c r="AQ36" s="29">
        <f t="shared" si="8"/>
        <v>0</v>
      </c>
      <c r="AR36" s="30"/>
      <c r="AS36" s="28"/>
      <c r="AT36" s="27">
        <v>625000</v>
      </c>
      <c r="AU36" s="29">
        <f t="shared" si="9"/>
        <v>0</v>
      </c>
    </row>
    <row r="37" spans="2:47" ht="15.6" x14ac:dyDescent="0.3">
      <c r="B37" s="24" t="s">
        <v>86</v>
      </c>
      <c r="C37" s="25" t="s">
        <v>87</v>
      </c>
      <c r="D37" s="24" t="s">
        <v>24</v>
      </c>
      <c r="E37" s="26"/>
      <c r="F37" s="27">
        <v>1</v>
      </c>
      <c r="G37" s="27">
        <v>5000000</v>
      </c>
      <c r="H37" s="26"/>
      <c r="I37" s="28"/>
      <c r="J37" s="27">
        <v>300000</v>
      </c>
      <c r="K37" s="29">
        <f t="shared" si="0"/>
        <v>0</v>
      </c>
      <c r="L37" s="30"/>
      <c r="M37" s="28"/>
      <c r="N37" s="27">
        <v>300000</v>
      </c>
      <c r="O37" s="29">
        <f t="shared" si="1"/>
        <v>0</v>
      </c>
      <c r="P37" s="30"/>
      <c r="Q37" s="28"/>
      <c r="R37" s="27">
        <v>300000</v>
      </c>
      <c r="S37" s="29">
        <f t="shared" si="2"/>
        <v>0</v>
      </c>
      <c r="T37" s="30"/>
      <c r="U37" s="28"/>
      <c r="V37" s="27">
        <v>300000</v>
      </c>
      <c r="W37" s="29">
        <f t="shared" si="3"/>
        <v>0</v>
      </c>
      <c r="X37" s="14"/>
      <c r="Y37" s="28"/>
      <c r="Z37" s="27">
        <v>300000</v>
      </c>
      <c r="AA37" s="29">
        <f t="shared" si="4"/>
        <v>0</v>
      </c>
      <c r="AB37" s="30"/>
      <c r="AC37" s="28"/>
      <c r="AD37" s="27">
        <v>300000</v>
      </c>
      <c r="AE37" s="29">
        <f t="shared" si="5"/>
        <v>0</v>
      </c>
      <c r="AF37" s="30"/>
      <c r="AG37" s="28"/>
      <c r="AH37" s="27">
        <v>300000</v>
      </c>
      <c r="AI37" s="29">
        <f t="shared" si="6"/>
        <v>0</v>
      </c>
      <c r="AJ37" s="30"/>
      <c r="AK37" s="28"/>
      <c r="AL37" s="27">
        <v>300000</v>
      </c>
      <c r="AM37" s="29">
        <f t="shared" si="7"/>
        <v>0</v>
      </c>
      <c r="AN37" s="30"/>
      <c r="AO37" s="28"/>
      <c r="AP37" s="27">
        <v>300000</v>
      </c>
      <c r="AQ37" s="29">
        <f t="shared" si="8"/>
        <v>0</v>
      </c>
      <c r="AR37" s="30"/>
      <c r="AS37" s="28"/>
      <c r="AT37" s="27">
        <v>300000</v>
      </c>
      <c r="AU37" s="29">
        <f t="shared" si="9"/>
        <v>0</v>
      </c>
    </row>
    <row r="38" spans="2:47" ht="15.6" x14ac:dyDescent="0.3">
      <c r="B38" s="24" t="s">
        <v>88</v>
      </c>
      <c r="C38" s="25" t="s">
        <v>89</v>
      </c>
      <c r="D38" s="24" t="s">
        <v>24</v>
      </c>
      <c r="E38" s="26"/>
      <c r="F38" s="27">
        <v>1</v>
      </c>
      <c r="G38" s="27">
        <v>5000000</v>
      </c>
      <c r="H38" s="26"/>
      <c r="I38" s="28"/>
      <c r="J38" s="27">
        <v>300000</v>
      </c>
      <c r="K38" s="29">
        <f t="shared" si="0"/>
        <v>0</v>
      </c>
      <c r="L38" s="30"/>
      <c r="M38" s="28"/>
      <c r="N38" s="27">
        <v>300000</v>
      </c>
      <c r="O38" s="29">
        <f t="shared" si="1"/>
        <v>0</v>
      </c>
      <c r="P38" s="30"/>
      <c r="Q38" s="28"/>
      <c r="R38" s="27">
        <v>300000</v>
      </c>
      <c r="S38" s="29">
        <f t="shared" si="2"/>
        <v>0</v>
      </c>
      <c r="T38" s="30"/>
      <c r="U38" s="28"/>
      <c r="V38" s="27">
        <v>300000</v>
      </c>
      <c r="W38" s="29">
        <f t="shared" si="3"/>
        <v>0</v>
      </c>
      <c r="X38" s="14"/>
      <c r="Y38" s="28"/>
      <c r="Z38" s="27">
        <v>300000</v>
      </c>
      <c r="AA38" s="29">
        <f t="shared" si="4"/>
        <v>0</v>
      </c>
      <c r="AB38" s="30"/>
      <c r="AC38" s="28"/>
      <c r="AD38" s="27">
        <v>300000</v>
      </c>
      <c r="AE38" s="29">
        <f t="shared" si="5"/>
        <v>0</v>
      </c>
      <c r="AF38" s="30"/>
      <c r="AG38" s="28"/>
      <c r="AH38" s="27">
        <v>300000</v>
      </c>
      <c r="AI38" s="29">
        <f t="shared" si="6"/>
        <v>0</v>
      </c>
      <c r="AJ38" s="30"/>
      <c r="AK38" s="28"/>
      <c r="AL38" s="27">
        <v>300000</v>
      </c>
      <c r="AM38" s="29">
        <f t="shared" si="7"/>
        <v>0</v>
      </c>
      <c r="AN38" s="30"/>
      <c r="AO38" s="28"/>
      <c r="AP38" s="27">
        <v>300000</v>
      </c>
      <c r="AQ38" s="29">
        <f t="shared" si="8"/>
        <v>0</v>
      </c>
      <c r="AR38" s="30"/>
      <c r="AS38" s="28"/>
      <c r="AT38" s="27">
        <v>300000</v>
      </c>
      <c r="AU38" s="29">
        <f t="shared" si="9"/>
        <v>0</v>
      </c>
    </row>
    <row r="39" spans="2:47" ht="15.6" x14ac:dyDescent="0.3">
      <c r="B39" s="24" t="s">
        <v>90</v>
      </c>
      <c r="C39" s="25" t="s">
        <v>91</v>
      </c>
      <c r="D39" s="24" t="s">
        <v>24</v>
      </c>
      <c r="E39" s="26"/>
      <c r="F39" s="27">
        <v>1</v>
      </c>
      <c r="G39" s="27">
        <v>15000000</v>
      </c>
      <c r="H39" s="26"/>
      <c r="I39" s="28"/>
      <c r="J39" s="27">
        <v>8000000</v>
      </c>
      <c r="K39" s="29">
        <f t="shared" si="0"/>
        <v>0</v>
      </c>
      <c r="L39" s="30"/>
      <c r="M39" s="28"/>
      <c r="N39" s="27">
        <v>7000000</v>
      </c>
      <c r="O39" s="29">
        <f t="shared" si="1"/>
        <v>0</v>
      </c>
      <c r="P39" s="30"/>
      <c r="Q39" s="28"/>
      <c r="R39" s="27">
        <v>10000000</v>
      </c>
      <c r="S39" s="29">
        <f t="shared" si="2"/>
        <v>0</v>
      </c>
      <c r="T39" s="30"/>
      <c r="U39" s="28"/>
      <c r="V39" s="27">
        <v>8000000</v>
      </c>
      <c r="W39" s="29">
        <f t="shared" si="3"/>
        <v>0</v>
      </c>
      <c r="X39" s="30"/>
      <c r="Y39" s="28"/>
      <c r="Z39" s="27">
        <v>10000000</v>
      </c>
      <c r="AA39" s="29">
        <f t="shared" si="4"/>
        <v>0</v>
      </c>
      <c r="AB39" s="30"/>
      <c r="AC39" s="28"/>
      <c r="AD39" s="27">
        <v>10000000</v>
      </c>
      <c r="AE39" s="29">
        <f t="shared" si="5"/>
        <v>0</v>
      </c>
      <c r="AF39" s="30"/>
      <c r="AG39" s="28"/>
      <c r="AH39" s="27">
        <v>8000000</v>
      </c>
      <c r="AI39" s="29">
        <f t="shared" si="6"/>
        <v>0</v>
      </c>
      <c r="AJ39" s="30"/>
      <c r="AK39" s="28"/>
      <c r="AL39" s="27">
        <v>10000000</v>
      </c>
      <c r="AM39" s="29">
        <f t="shared" si="7"/>
        <v>0</v>
      </c>
      <c r="AN39" s="30"/>
      <c r="AO39" s="28"/>
      <c r="AP39" s="27">
        <v>6000000</v>
      </c>
      <c r="AQ39" s="29">
        <f t="shared" si="8"/>
        <v>0</v>
      </c>
      <c r="AR39" s="30"/>
      <c r="AS39" s="28"/>
      <c r="AT39" s="27">
        <v>10000000</v>
      </c>
      <c r="AU39" s="29">
        <f t="shared" si="9"/>
        <v>0</v>
      </c>
    </row>
    <row r="40" spans="2:47" ht="15.6" x14ac:dyDescent="0.3">
      <c r="B40" s="24" t="s">
        <v>92</v>
      </c>
      <c r="C40" s="25" t="s">
        <v>93</v>
      </c>
      <c r="D40" s="24" t="s">
        <v>24</v>
      </c>
      <c r="E40" s="26"/>
      <c r="F40" s="27">
        <v>1</v>
      </c>
      <c r="G40" s="27">
        <v>15000000</v>
      </c>
      <c r="H40" s="26"/>
      <c r="I40" s="28"/>
      <c r="J40" s="27">
        <v>500000</v>
      </c>
      <c r="K40" s="29">
        <f t="shared" si="0"/>
        <v>0</v>
      </c>
      <c r="L40" s="30"/>
      <c r="M40" s="28"/>
      <c r="N40" s="27">
        <v>100000</v>
      </c>
      <c r="O40" s="29">
        <f t="shared" si="1"/>
        <v>0</v>
      </c>
      <c r="P40" s="30"/>
      <c r="Q40" s="28"/>
      <c r="R40" s="27">
        <v>200000</v>
      </c>
      <c r="S40" s="29">
        <f t="shared" si="2"/>
        <v>0</v>
      </c>
      <c r="T40" s="30"/>
      <c r="U40" s="28"/>
      <c r="V40" s="27">
        <v>1000000</v>
      </c>
      <c r="W40" s="29">
        <f t="shared" si="3"/>
        <v>0</v>
      </c>
      <c r="X40" s="30"/>
      <c r="Y40" s="28"/>
      <c r="Z40" s="27">
        <v>1000000</v>
      </c>
      <c r="AA40" s="29">
        <f t="shared" si="4"/>
        <v>0</v>
      </c>
      <c r="AB40" s="30"/>
      <c r="AC40" s="28"/>
      <c r="AD40" s="27">
        <v>2000000</v>
      </c>
      <c r="AE40" s="29">
        <f t="shared" si="5"/>
        <v>0</v>
      </c>
      <c r="AF40" s="30"/>
      <c r="AG40" s="28"/>
      <c r="AH40" s="27">
        <v>1000000</v>
      </c>
      <c r="AI40" s="29">
        <f t="shared" si="6"/>
        <v>0</v>
      </c>
      <c r="AJ40" s="30"/>
      <c r="AK40" s="28"/>
      <c r="AL40" s="27">
        <v>2000000</v>
      </c>
      <c r="AM40" s="29">
        <f t="shared" si="7"/>
        <v>0</v>
      </c>
      <c r="AN40" s="30"/>
      <c r="AO40" s="28"/>
      <c r="AP40" s="27">
        <v>3000000</v>
      </c>
      <c r="AQ40" s="29">
        <f t="shared" si="8"/>
        <v>0</v>
      </c>
      <c r="AR40" s="30"/>
      <c r="AS40" s="28"/>
      <c r="AT40" s="27">
        <v>2000000</v>
      </c>
      <c r="AU40" s="29">
        <f t="shared" si="9"/>
        <v>0</v>
      </c>
    </row>
    <row r="41" spans="2:47" ht="15.6" x14ac:dyDescent="0.3">
      <c r="B41" s="24" t="s">
        <v>94</v>
      </c>
      <c r="C41" s="25" t="s">
        <v>95</v>
      </c>
      <c r="D41" s="24" t="s">
        <v>24</v>
      </c>
      <c r="E41" s="26"/>
      <c r="F41" s="27">
        <v>1</v>
      </c>
      <c r="G41" s="27">
        <v>5000000</v>
      </c>
      <c r="H41" s="26"/>
      <c r="I41" s="28"/>
      <c r="J41" s="27">
        <v>450000</v>
      </c>
      <c r="K41" s="29">
        <f t="shared" si="0"/>
        <v>0</v>
      </c>
      <c r="L41" s="30"/>
      <c r="M41" s="28"/>
      <c r="N41" s="27">
        <v>450000</v>
      </c>
      <c r="O41" s="29">
        <f t="shared" si="1"/>
        <v>0</v>
      </c>
      <c r="P41" s="30"/>
      <c r="Q41" s="28"/>
      <c r="R41" s="27">
        <v>450000</v>
      </c>
      <c r="S41" s="29">
        <f t="shared" si="2"/>
        <v>0</v>
      </c>
      <c r="T41" s="30"/>
      <c r="U41" s="28"/>
      <c r="V41" s="27">
        <v>450000</v>
      </c>
      <c r="W41" s="29">
        <f t="shared" si="3"/>
        <v>0</v>
      </c>
      <c r="X41" s="14"/>
      <c r="Y41" s="28"/>
      <c r="Z41" s="27">
        <v>450000</v>
      </c>
      <c r="AA41" s="29">
        <f t="shared" si="4"/>
        <v>0</v>
      </c>
      <c r="AB41" s="30"/>
      <c r="AC41" s="28"/>
      <c r="AD41" s="27">
        <v>450000</v>
      </c>
      <c r="AE41" s="29">
        <f t="shared" si="5"/>
        <v>0</v>
      </c>
      <c r="AF41" s="30"/>
      <c r="AG41" s="28"/>
      <c r="AH41" s="27">
        <v>450000</v>
      </c>
      <c r="AI41" s="29">
        <f t="shared" si="6"/>
        <v>0</v>
      </c>
      <c r="AJ41" s="30"/>
      <c r="AK41" s="28"/>
      <c r="AL41" s="27">
        <v>450000</v>
      </c>
      <c r="AM41" s="29">
        <f t="shared" si="7"/>
        <v>0</v>
      </c>
      <c r="AN41" s="30"/>
      <c r="AO41" s="28"/>
      <c r="AP41" s="27">
        <v>450000</v>
      </c>
      <c r="AQ41" s="29">
        <f t="shared" si="8"/>
        <v>0</v>
      </c>
      <c r="AR41" s="30"/>
      <c r="AS41" s="28"/>
      <c r="AT41" s="27">
        <v>450000</v>
      </c>
      <c r="AU41" s="29">
        <f t="shared" si="9"/>
        <v>0</v>
      </c>
    </row>
    <row r="42" spans="2:47" ht="15.6" x14ac:dyDescent="0.3">
      <c r="B42" s="24" t="s">
        <v>96</v>
      </c>
      <c r="C42" s="25" t="s">
        <v>97</v>
      </c>
      <c r="D42" s="24" t="s">
        <v>24</v>
      </c>
      <c r="E42" s="26"/>
      <c r="F42" s="27">
        <v>1</v>
      </c>
      <c r="G42" s="27">
        <v>5000000</v>
      </c>
      <c r="H42" s="26"/>
      <c r="I42" s="28"/>
      <c r="J42" s="27">
        <v>450000</v>
      </c>
      <c r="K42" s="29">
        <f t="shared" si="0"/>
        <v>0</v>
      </c>
      <c r="L42" s="30"/>
      <c r="M42" s="28"/>
      <c r="N42" s="27">
        <v>450000</v>
      </c>
      <c r="O42" s="29">
        <f t="shared" si="1"/>
        <v>0</v>
      </c>
      <c r="P42" s="30"/>
      <c r="Q42" s="28"/>
      <c r="R42" s="27">
        <v>450000</v>
      </c>
      <c r="S42" s="29">
        <f t="shared" si="2"/>
        <v>0</v>
      </c>
      <c r="T42" s="30"/>
      <c r="U42" s="28"/>
      <c r="V42" s="27">
        <v>450000</v>
      </c>
      <c r="W42" s="29">
        <f t="shared" si="3"/>
        <v>0</v>
      </c>
      <c r="X42" s="30"/>
      <c r="Y42" s="28"/>
      <c r="Z42" s="27">
        <v>450000</v>
      </c>
      <c r="AA42" s="29">
        <f t="shared" si="4"/>
        <v>0</v>
      </c>
      <c r="AB42" s="30"/>
      <c r="AC42" s="28"/>
      <c r="AD42" s="27">
        <v>450000</v>
      </c>
      <c r="AE42" s="29">
        <f t="shared" si="5"/>
        <v>0</v>
      </c>
      <c r="AF42" s="30"/>
      <c r="AG42" s="28"/>
      <c r="AH42" s="27">
        <v>450000</v>
      </c>
      <c r="AI42" s="29">
        <f t="shared" si="6"/>
        <v>0</v>
      </c>
      <c r="AJ42" s="30"/>
      <c r="AK42" s="28"/>
      <c r="AL42" s="27">
        <v>450000</v>
      </c>
      <c r="AM42" s="29">
        <f t="shared" si="7"/>
        <v>0</v>
      </c>
      <c r="AN42" s="30"/>
      <c r="AO42" s="28"/>
      <c r="AP42" s="27">
        <v>450000</v>
      </c>
      <c r="AQ42" s="29">
        <f t="shared" si="8"/>
        <v>0</v>
      </c>
      <c r="AR42" s="30"/>
      <c r="AS42" s="28"/>
      <c r="AT42" s="27">
        <v>450000</v>
      </c>
      <c r="AU42" s="29">
        <f t="shared" si="9"/>
        <v>0</v>
      </c>
    </row>
    <row r="43" spans="2:47" ht="15.6" x14ac:dyDescent="0.3">
      <c r="B43" s="24" t="s">
        <v>98</v>
      </c>
      <c r="C43" s="25" t="s">
        <v>99</v>
      </c>
      <c r="D43" s="24" t="s">
        <v>24</v>
      </c>
      <c r="E43" s="26"/>
      <c r="F43" s="27">
        <v>1</v>
      </c>
      <c r="G43" s="27">
        <v>5000000</v>
      </c>
      <c r="H43" s="26"/>
      <c r="I43" s="28"/>
      <c r="J43" s="27">
        <v>550000</v>
      </c>
      <c r="K43" s="29">
        <f t="shared" si="0"/>
        <v>0</v>
      </c>
      <c r="L43" s="30"/>
      <c r="M43" s="28"/>
      <c r="N43" s="27">
        <v>550000</v>
      </c>
      <c r="O43" s="29">
        <f t="shared" si="1"/>
        <v>0</v>
      </c>
      <c r="P43" s="30"/>
      <c r="Q43" s="28"/>
      <c r="R43" s="27">
        <v>550000</v>
      </c>
      <c r="S43" s="29">
        <f t="shared" si="2"/>
        <v>0</v>
      </c>
      <c r="T43" s="30"/>
      <c r="U43" s="28"/>
      <c r="V43" s="27">
        <v>550000</v>
      </c>
      <c r="W43" s="29">
        <f t="shared" si="3"/>
        <v>0</v>
      </c>
      <c r="X43" s="30"/>
      <c r="Y43" s="28"/>
      <c r="Z43" s="27">
        <v>550000</v>
      </c>
      <c r="AA43" s="29">
        <f t="shared" si="4"/>
        <v>0</v>
      </c>
      <c r="AB43" s="30"/>
      <c r="AC43" s="28"/>
      <c r="AD43" s="27">
        <v>550000</v>
      </c>
      <c r="AE43" s="29">
        <f t="shared" si="5"/>
        <v>0</v>
      </c>
      <c r="AF43" s="30"/>
      <c r="AG43" s="28"/>
      <c r="AH43" s="27">
        <v>550000</v>
      </c>
      <c r="AI43" s="29">
        <f t="shared" si="6"/>
        <v>0</v>
      </c>
      <c r="AJ43" s="30"/>
      <c r="AK43" s="28"/>
      <c r="AL43" s="27">
        <v>550000</v>
      </c>
      <c r="AM43" s="29">
        <f t="shared" si="7"/>
        <v>0</v>
      </c>
      <c r="AN43" s="30"/>
      <c r="AO43" s="28"/>
      <c r="AP43" s="27">
        <v>550000</v>
      </c>
      <c r="AQ43" s="29">
        <f t="shared" si="8"/>
        <v>0</v>
      </c>
      <c r="AR43" s="30"/>
      <c r="AS43" s="28"/>
      <c r="AT43" s="27">
        <v>550000</v>
      </c>
      <c r="AU43" s="29">
        <f t="shared" si="9"/>
        <v>0</v>
      </c>
    </row>
    <row r="44" spans="2:47" ht="15.6" x14ac:dyDescent="0.3">
      <c r="D44"/>
      <c r="AI44" s="39"/>
      <c r="AJ44" s="39"/>
      <c r="AK44" s="39"/>
      <c r="AL44" s="39"/>
      <c r="AM44" s="39"/>
      <c r="AN44" s="39"/>
      <c r="AO44" s="39"/>
      <c r="AP44" s="39"/>
      <c r="AQ44" s="39"/>
      <c r="AR44" s="39"/>
      <c r="AS44" s="39"/>
      <c r="AT44" s="39"/>
      <c r="AU44" s="39"/>
    </row>
    <row r="45" spans="2:47" ht="15.6" x14ac:dyDescent="0.3">
      <c r="B45" s="24" t="s">
        <v>68</v>
      </c>
      <c r="C45" s="25" t="s">
        <v>119</v>
      </c>
      <c r="D45" s="24" t="s">
        <v>43</v>
      </c>
      <c r="E45" s="26"/>
      <c r="F45" s="27">
        <v>1</v>
      </c>
      <c r="G45" s="27">
        <v>350000</v>
      </c>
      <c r="H45" s="26"/>
      <c r="I45" s="40">
        <f>'1.2.1 MK 90 Range 2'!H15</f>
        <v>0</v>
      </c>
      <c r="J45" s="27">
        <v>190500</v>
      </c>
      <c r="K45" s="29">
        <f t="shared" ref="K45" si="10">I45*J45</f>
        <v>0</v>
      </c>
      <c r="L45" s="30"/>
      <c r="M45" s="40">
        <f>'1.2.1 MK 90 Range 2'!K15</f>
        <v>0</v>
      </c>
      <c r="N45" s="27">
        <v>130500</v>
      </c>
      <c r="O45" s="29">
        <f t="shared" ref="O45" si="11">M45*N45</f>
        <v>0</v>
      </c>
      <c r="P45" s="30"/>
      <c r="Q45" s="40">
        <f>'1.2.1 MK 90 Range 2'!N15</f>
        <v>0</v>
      </c>
      <c r="R45" s="27">
        <v>120500</v>
      </c>
      <c r="S45" s="29">
        <f t="shared" ref="S45" si="12">Q45*R45</f>
        <v>0</v>
      </c>
      <c r="T45" s="30"/>
      <c r="U45" s="40">
        <f>'1.2.1 MK 90 Range 2'!Q15</f>
        <v>0</v>
      </c>
      <c r="V45" s="27">
        <v>210000</v>
      </c>
      <c r="W45" s="29">
        <f t="shared" ref="W45" si="13">U45*V45</f>
        <v>0</v>
      </c>
      <c r="X45" s="14"/>
      <c r="Y45" s="40">
        <f>'1.2.1 MK 90 Range 2'!T15</f>
        <v>0</v>
      </c>
      <c r="Z45" s="27">
        <v>90000</v>
      </c>
      <c r="AA45" s="29">
        <f t="shared" ref="AA45" si="14">Y45*Z45</f>
        <v>0</v>
      </c>
      <c r="AB45" s="30"/>
      <c r="AC45" s="40">
        <f>'1.2.1 MK 90 Range 2'!W15</f>
        <v>0</v>
      </c>
      <c r="AD45" s="27">
        <v>80000</v>
      </c>
      <c r="AE45" s="29">
        <f t="shared" si="5"/>
        <v>0</v>
      </c>
      <c r="AF45" s="30"/>
      <c r="AG45" s="40">
        <f>'1.2.1 MK 90 Range 2'!Z15</f>
        <v>0</v>
      </c>
      <c r="AH45" s="27">
        <v>130500</v>
      </c>
      <c r="AI45" s="29">
        <f t="shared" ref="AI45" si="15">AG45*AH45</f>
        <v>0</v>
      </c>
      <c r="AJ45" s="30"/>
      <c r="AK45" s="40">
        <f>'1.2.1 MK 90 Range 2'!AC15</f>
        <v>0</v>
      </c>
      <c r="AL45" s="27">
        <v>80000</v>
      </c>
      <c r="AM45" s="29">
        <f t="shared" ref="AM45" si="16">AK45*AL45</f>
        <v>0</v>
      </c>
      <c r="AN45" s="30"/>
      <c r="AO45" s="40">
        <f>'1.2.1 MK 90 Range 2'!AF15</f>
        <v>0</v>
      </c>
      <c r="AP45" s="27">
        <v>130500</v>
      </c>
      <c r="AQ45" s="29">
        <f t="shared" ref="AQ45" si="17">AO45*AP45</f>
        <v>0</v>
      </c>
      <c r="AR45" s="30"/>
      <c r="AS45" s="40">
        <f>'1.2.1 MK 90 Range 2'!AI15</f>
        <v>0</v>
      </c>
      <c r="AT45" s="27">
        <v>80000</v>
      </c>
      <c r="AU45" s="29">
        <f t="shared" ref="AU45" si="18">AS45*AT45</f>
        <v>0</v>
      </c>
    </row>
    <row r="46" spans="2:47" ht="15.6" x14ac:dyDescent="0.3">
      <c r="B46" s="26"/>
      <c r="C46" s="26"/>
      <c r="D46" s="41"/>
      <c r="E46" s="26"/>
      <c r="F46" s="39"/>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row>
    <row r="47" spans="2:47" ht="15.6" x14ac:dyDescent="0.3">
      <c r="B47" s="26"/>
      <c r="C47" s="42"/>
      <c r="D47" s="41"/>
      <c r="E47" s="2"/>
      <c r="F47" s="39"/>
      <c r="G47" s="39"/>
      <c r="H47" s="2"/>
      <c r="I47" s="43"/>
      <c r="J47" s="44" t="s">
        <v>118</v>
      </c>
      <c r="K47" s="45">
        <f>SUM(K6:K43)</f>
        <v>0</v>
      </c>
      <c r="L47" s="17"/>
      <c r="M47" s="14"/>
      <c r="N47" s="44" t="s">
        <v>101</v>
      </c>
      <c r="O47" s="45">
        <f>SUM(O6:O43)</f>
        <v>0</v>
      </c>
      <c r="P47" s="17"/>
      <c r="Q47" s="14"/>
      <c r="R47" s="44" t="s">
        <v>102</v>
      </c>
      <c r="S47" s="45">
        <f>SUM(S6:S43)</f>
        <v>0</v>
      </c>
      <c r="T47" s="14"/>
      <c r="U47" s="14"/>
      <c r="V47" s="44" t="s">
        <v>103</v>
      </c>
      <c r="W47" s="45">
        <f>SUM(W6:W43)</f>
        <v>0</v>
      </c>
      <c r="X47" s="14"/>
      <c r="Y47" s="14"/>
      <c r="Z47" s="44" t="s">
        <v>104</v>
      </c>
      <c r="AA47" s="45">
        <f>SUM(AA6:AA43)</f>
        <v>0</v>
      </c>
      <c r="AB47" s="14"/>
      <c r="AC47" s="14"/>
      <c r="AD47" s="44" t="s">
        <v>105</v>
      </c>
      <c r="AE47" s="45">
        <f>SUM(AE6:AE43)</f>
        <v>0</v>
      </c>
      <c r="AF47" s="14"/>
      <c r="AG47" s="14"/>
      <c r="AH47" s="44" t="s">
        <v>106</v>
      </c>
      <c r="AI47" s="45">
        <f>SUM(AI6:AI43)</f>
        <v>0</v>
      </c>
      <c r="AJ47" s="14"/>
      <c r="AK47" s="14"/>
      <c r="AL47" s="44" t="s">
        <v>107</v>
      </c>
      <c r="AM47" s="45">
        <f>SUM(AM6:AM43)</f>
        <v>0</v>
      </c>
      <c r="AN47" s="14"/>
      <c r="AO47" s="14"/>
      <c r="AP47" s="44" t="s">
        <v>108</v>
      </c>
      <c r="AQ47" s="45">
        <f>SUM(AQ6:AQ43)</f>
        <v>0</v>
      </c>
      <c r="AR47" s="14"/>
      <c r="AS47" s="14"/>
      <c r="AT47" s="44" t="s">
        <v>109</v>
      </c>
      <c r="AU47" s="45">
        <f>SUM(AU6:AU43)</f>
        <v>0</v>
      </c>
    </row>
    <row r="49" spans="3:29" ht="15.6" x14ac:dyDescent="0.3">
      <c r="C49" s="42" t="s">
        <v>110</v>
      </c>
      <c r="K49" s="42"/>
      <c r="AC49" s="42"/>
    </row>
    <row r="50" spans="3:29" ht="15.6" x14ac:dyDescent="0.3">
      <c r="K50" s="42"/>
      <c r="AC50" s="42"/>
    </row>
  </sheetData>
  <mergeCells count="10">
    <mergeCell ref="AG4:AI4"/>
    <mergeCell ref="AK4:AM4"/>
    <mergeCell ref="AO4:AQ4"/>
    <mergeCell ref="AS4:AU4"/>
    <mergeCell ref="I4:K4"/>
    <mergeCell ref="M4:O4"/>
    <mergeCell ref="Q4:S4"/>
    <mergeCell ref="U4:W4"/>
    <mergeCell ref="Y4:AA4"/>
    <mergeCell ref="AC4:AE4"/>
  </mergeCells>
  <conditionalFormatting sqref="L6:L43">
    <cfRule type="cellIs" dxfId="14" priority="3" operator="greaterThan">
      <formula>0.03</formula>
    </cfRule>
  </conditionalFormatting>
  <conditionalFormatting sqref="L45 P45">
    <cfRule type="cellIs" dxfId="13" priority="10" operator="greaterThan">
      <formula>0.03</formula>
    </cfRule>
  </conditionalFormatting>
  <conditionalFormatting sqref="P6:P43">
    <cfRule type="cellIs" dxfId="12" priority="2" operator="greaterThan">
      <formula>0.03</formula>
    </cfRule>
  </conditionalFormatting>
  <conditionalFormatting sqref="T6:T43">
    <cfRule type="cellIs" dxfId="11" priority="4" operator="greaterThan">
      <formula>0.03</formula>
    </cfRule>
  </conditionalFormatting>
  <conditionalFormatting sqref="T45">
    <cfRule type="cellIs" dxfId="10" priority="8" operator="greaterThan">
      <formula>0.03</formula>
    </cfRule>
  </conditionalFormatting>
  <conditionalFormatting sqref="X39:X40">
    <cfRule type="cellIs" dxfId="9" priority="1" operator="greaterThan">
      <formula>0.03</formula>
    </cfRule>
  </conditionalFormatting>
  <conditionalFormatting sqref="X42:X43">
    <cfRule type="cellIs" dxfId="8" priority="16" operator="greaterThan">
      <formula>0.03</formula>
    </cfRule>
  </conditionalFormatting>
  <conditionalFormatting sqref="AB6:AB43 AF6:AF43">
    <cfRule type="cellIs" dxfId="7" priority="13" operator="greaterThan">
      <formula>0.03</formula>
    </cfRule>
  </conditionalFormatting>
  <conditionalFormatting sqref="AB45 AF45">
    <cfRule type="cellIs" dxfId="6" priority="7" operator="greaterThan">
      <formula>0.03</formula>
    </cfRule>
  </conditionalFormatting>
  <conditionalFormatting sqref="AJ6:AJ43">
    <cfRule type="cellIs" dxfId="5" priority="12" operator="greaterThan">
      <formula>0.03</formula>
    </cfRule>
  </conditionalFormatting>
  <conditionalFormatting sqref="AJ45">
    <cfRule type="cellIs" dxfId="4" priority="6" operator="greaterThan">
      <formula>0.03</formula>
    </cfRule>
  </conditionalFormatting>
  <conditionalFormatting sqref="AN6:AN43">
    <cfRule type="cellIs" dxfId="3" priority="15" operator="greaterThan">
      <formula>0.03</formula>
    </cfRule>
  </conditionalFormatting>
  <conditionalFormatting sqref="AN45">
    <cfRule type="cellIs" dxfId="2" priority="9" operator="greaterThan">
      <formula>0.03</formula>
    </cfRule>
  </conditionalFormatting>
  <conditionalFormatting sqref="AR6:AR43">
    <cfRule type="cellIs" dxfId="1" priority="11" operator="greaterThan">
      <formula>0.03</formula>
    </cfRule>
  </conditionalFormatting>
  <conditionalFormatting sqref="AR45">
    <cfRule type="cellIs" dxfId="0" priority="5" operator="greaterThan">
      <formula>0.03</formula>
    </cfRule>
  </conditionalFormatting>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AE644-4E1F-4F16-B647-F9ECB38B4361}">
  <sheetPr>
    <tabColor theme="0" tint="-4.9989318521683403E-2"/>
  </sheetPr>
  <dimension ref="A1:BA22"/>
  <sheetViews>
    <sheetView showGridLines="0" zoomScale="90" zoomScaleNormal="90" workbookViewId="0">
      <selection activeCell="P21" sqref="P21"/>
    </sheetView>
  </sheetViews>
  <sheetFormatPr defaultRowHeight="15.6" x14ac:dyDescent="0.3"/>
  <cols>
    <col min="1" max="2" width="3.21875" style="14" customWidth="1"/>
    <col min="3" max="3" width="1.44140625" style="14" customWidth="1"/>
    <col min="4" max="4" width="9.77734375" style="14" bestFit="1" customWidth="1"/>
    <col min="5" max="5" width="3.109375" style="14" customWidth="1"/>
    <col min="6" max="6" width="10.21875" style="14" customWidth="1"/>
    <col min="7" max="8" width="9.77734375" style="14" customWidth="1"/>
    <col min="9" max="9" width="2.6640625" style="14" customWidth="1"/>
    <col min="10" max="11" width="9.77734375" style="14" customWidth="1"/>
    <col min="12" max="12" width="3.21875" style="14" customWidth="1"/>
    <col min="13" max="14" width="9.77734375" style="14" customWidth="1"/>
    <col min="15" max="15" width="3" style="14" customWidth="1"/>
    <col min="16" max="17" width="9.77734375" style="14" customWidth="1"/>
    <col min="18" max="18" width="4.33203125" style="14" customWidth="1"/>
    <col min="19" max="20" width="9.77734375" style="14" customWidth="1"/>
    <col min="21" max="21" width="2.44140625" style="14" customWidth="1"/>
    <col min="22" max="23" width="9.77734375" style="14" customWidth="1"/>
    <col min="24" max="24" width="2.88671875" style="14" customWidth="1"/>
    <col min="25" max="26" width="9.77734375" style="14" customWidth="1"/>
    <col min="27" max="27" width="2.77734375" style="14" customWidth="1"/>
    <col min="28" max="29" width="9.77734375" style="14" customWidth="1"/>
    <col min="30" max="30" width="2.6640625" style="14" customWidth="1"/>
    <col min="31" max="32" width="9.77734375" style="14" customWidth="1"/>
    <col min="33" max="33" width="2.6640625" style="14" customWidth="1"/>
    <col min="34" max="34" width="9.77734375" style="14" customWidth="1"/>
    <col min="35" max="35" width="10.77734375" style="14" customWidth="1"/>
    <col min="36" max="16384" width="8.88671875" style="14"/>
  </cols>
  <sheetData>
    <row r="1" spans="1:53" s="8" customFormat="1" x14ac:dyDescent="0.3">
      <c r="D1" s="2" t="s">
        <v>1</v>
      </c>
      <c r="E1" s="2"/>
      <c r="F1" s="3"/>
      <c r="G1" s="2"/>
      <c r="H1" s="2"/>
      <c r="I1" s="2"/>
      <c r="J1" s="4"/>
      <c r="K1" s="4"/>
      <c r="L1" s="4"/>
      <c r="M1" s="2" t="s">
        <v>3</v>
      </c>
      <c r="N1" s="6"/>
      <c r="O1" s="6"/>
      <c r="P1" s="10"/>
      <c r="Q1" s="6"/>
      <c r="R1" s="6"/>
      <c r="S1" s="4"/>
      <c r="T1" s="4"/>
      <c r="U1" s="4"/>
      <c r="V1" s="6"/>
      <c r="W1" s="6"/>
      <c r="X1" s="6"/>
      <c r="Y1" s="5"/>
      <c r="Z1" s="6"/>
      <c r="AA1" s="6"/>
      <c r="AB1" s="4"/>
      <c r="AC1" s="4"/>
      <c r="AD1" s="4"/>
      <c r="AE1" s="6"/>
      <c r="AF1" s="6"/>
      <c r="AG1" s="6"/>
      <c r="AH1" s="5"/>
      <c r="AI1" s="6"/>
      <c r="AJ1" s="6"/>
      <c r="AK1" s="6"/>
      <c r="AL1" s="7"/>
      <c r="AM1" s="6"/>
      <c r="AN1" s="6"/>
      <c r="AO1" s="6"/>
      <c r="AP1" s="7"/>
      <c r="AQ1" s="6"/>
      <c r="AR1" s="6"/>
      <c r="AS1" s="6"/>
      <c r="AT1" s="7"/>
      <c r="AU1" s="6"/>
      <c r="AV1" s="6"/>
      <c r="AW1" s="6"/>
      <c r="AX1" s="7"/>
      <c r="AY1" s="6"/>
      <c r="AZ1" s="6"/>
      <c r="BA1" s="6"/>
    </row>
    <row r="2" spans="1:53" s="8" customFormat="1" x14ac:dyDescent="0.3">
      <c r="D2" s="2" t="s">
        <v>111</v>
      </c>
      <c r="E2" s="2"/>
      <c r="F2" s="3"/>
      <c r="K2" s="11"/>
      <c r="L2" s="11"/>
      <c r="M2" s="4"/>
      <c r="N2" s="4"/>
      <c r="O2" s="4"/>
      <c r="P2" s="12"/>
      <c r="Q2" s="4"/>
      <c r="R2" s="4"/>
      <c r="T2" s="11"/>
      <c r="U2" s="11"/>
      <c r="V2" s="4"/>
      <c r="W2" s="4"/>
      <c r="X2" s="4"/>
      <c r="Y2" s="12"/>
      <c r="Z2" s="4"/>
      <c r="AA2" s="4"/>
      <c r="AC2" s="11"/>
      <c r="AD2" s="11"/>
      <c r="AE2" s="4"/>
      <c r="AF2" s="4"/>
      <c r="AG2" s="4"/>
      <c r="AH2" s="12"/>
      <c r="AI2" s="4"/>
      <c r="AJ2" s="4"/>
      <c r="AK2" s="4"/>
      <c r="AL2" s="4"/>
      <c r="AM2" s="4"/>
      <c r="AN2" s="4"/>
      <c r="AO2" s="4"/>
      <c r="AP2" s="4"/>
      <c r="AQ2" s="4"/>
      <c r="AR2" s="4"/>
      <c r="AS2" s="4"/>
      <c r="AT2" s="4"/>
      <c r="AU2" s="4"/>
      <c r="AV2" s="4"/>
      <c r="AW2" s="4"/>
      <c r="AX2" s="4"/>
      <c r="AY2" s="4"/>
      <c r="AZ2" s="4"/>
      <c r="BA2" s="4"/>
    </row>
    <row r="3" spans="1:53" s="8" customFormat="1" x14ac:dyDescent="0.3">
      <c r="D3" s="13"/>
      <c r="E3" s="13"/>
      <c r="F3" s="3"/>
      <c r="G3" s="2"/>
      <c r="H3" s="2"/>
      <c r="I3" s="2"/>
      <c r="J3" s="2"/>
      <c r="K3" s="2"/>
      <c r="L3" s="2"/>
      <c r="M3" s="2"/>
      <c r="N3" s="2"/>
      <c r="O3" s="2"/>
      <c r="P3" s="12"/>
      <c r="Q3" s="4"/>
      <c r="R3" s="4"/>
      <c r="S3" s="2"/>
      <c r="T3" s="2"/>
      <c r="U3" s="2"/>
      <c r="V3" s="2"/>
      <c r="W3" s="2"/>
      <c r="X3" s="2"/>
      <c r="Y3" s="12"/>
      <c r="Z3" s="4"/>
      <c r="AA3" s="4"/>
      <c r="AB3" s="2"/>
      <c r="AC3" s="2"/>
      <c r="AD3" s="2"/>
      <c r="AE3" s="2"/>
      <c r="AF3" s="2"/>
      <c r="AG3" s="2"/>
      <c r="AH3" s="12"/>
      <c r="AI3" s="4"/>
      <c r="AJ3" s="4"/>
      <c r="AK3" s="4"/>
      <c r="AL3" s="4"/>
      <c r="AM3" s="4"/>
      <c r="AN3" s="4"/>
      <c r="AO3" s="4"/>
      <c r="AP3" s="4"/>
      <c r="AQ3" s="4"/>
      <c r="AR3" s="4"/>
      <c r="AS3" s="4"/>
      <c r="AT3" s="4"/>
      <c r="AU3" s="4"/>
      <c r="AV3" s="4"/>
      <c r="AW3" s="4"/>
      <c r="AX3" s="4"/>
      <c r="AY3" s="4"/>
      <c r="AZ3" s="4"/>
      <c r="BA3" s="4"/>
    </row>
    <row r="4" spans="1:53" s="47" customFormat="1" x14ac:dyDescent="0.3">
      <c r="D4" s="2" t="s">
        <v>193</v>
      </c>
      <c r="E4" s="48"/>
      <c r="F4" s="48"/>
      <c r="G4" s="48"/>
      <c r="H4" s="48"/>
      <c r="I4" s="48"/>
      <c r="J4" s="48"/>
      <c r="K4" s="49"/>
      <c r="L4" s="49"/>
      <c r="M4" s="49"/>
      <c r="N4" s="49"/>
      <c r="O4" s="49"/>
      <c r="P4" s="49"/>
      <c r="Q4" s="49"/>
      <c r="R4" s="49"/>
      <c r="S4" s="48"/>
      <c r="T4" s="49"/>
      <c r="U4" s="49"/>
      <c r="V4" s="49"/>
      <c r="W4" s="49"/>
      <c r="X4" s="49"/>
      <c r="Y4" s="49"/>
      <c r="Z4" s="49"/>
      <c r="AA4" s="49"/>
      <c r="AB4" s="48"/>
      <c r="AC4" s="49"/>
      <c r="AD4" s="49"/>
      <c r="AE4" s="49"/>
      <c r="AF4" s="49"/>
      <c r="AG4" s="49"/>
      <c r="AH4" s="49"/>
      <c r="AI4" s="49"/>
    </row>
    <row r="5" spans="1:53" s="47" customFormat="1" x14ac:dyDescent="0.3">
      <c r="A5" s="50"/>
      <c r="B5" s="51"/>
      <c r="C5" s="51"/>
      <c r="D5" s="51"/>
      <c r="E5" s="51"/>
      <c r="F5" s="51"/>
      <c r="G5" s="51"/>
      <c r="H5" s="51"/>
      <c r="I5" s="51"/>
      <c r="J5" s="51"/>
      <c r="K5" s="52"/>
      <c r="L5" s="52"/>
      <c r="M5" s="52"/>
      <c r="N5" s="52"/>
      <c r="O5" s="52"/>
      <c r="P5" s="52"/>
      <c r="Q5" s="52"/>
      <c r="R5" s="49"/>
      <c r="S5" s="52"/>
      <c r="T5" s="52"/>
      <c r="U5" s="52"/>
      <c r="V5" s="52"/>
      <c r="W5" s="52"/>
      <c r="X5" s="52"/>
      <c r="Y5" s="52"/>
      <c r="Z5" s="52"/>
      <c r="AA5" s="52"/>
      <c r="AB5" s="52"/>
      <c r="AC5" s="52"/>
      <c r="AD5" s="52"/>
      <c r="AE5" s="52"/>
      <c r="AF5" s="52"/>
      <c r="AG5" s="52"/>
      <c r="AH5" s="52"/>
      <c r="AI5" s="52"/>
    </row>
    <row r="6" spans="1:53" s="47" customFormat="1" x14ac:dyDescent="0.3">
      <c r="A6" s="50"/>
      <c r="B6" s="51"/>
      <c r="C6" s="51"/>
      <c r="D6" s="51"/>
      <c r="E6" s="51"/>
      <c r="F6" s="51"/>
      <c r="G6" s="51"/>
      <c r="H6" s="51"/>
      <c r="I6" s="51"/>
      <c r="J6" s="51"/>
      <c r="K6" s="52"/>
      <c r="L6" s="52"/>
      <c r="M6" s="52"/>
      <c r="N6" s="52"/>
      <c r="O6" s="52"/>
      <c r="P6" s="52"/>
      <c r="Q6" s="52"/>
      <c r="R6" s="49"/>
      <c r="S6" s="52"/>
      <c r="T6" s="52"/>
      <c r="U6" s="52"/>
      <c r="V6" s="52"/>
      <c r="W6" s="52"/>
      <c r="X6" s="52"/>
      <c r="Y6" s="52"/>
      <c r="Z6" s="52"/>
      <c r="AA6" s="52"/>
      <c r="AB6" s="52"/>
      <c r="AC6" s="52"/>
      <c r="AD6" s="52"/>
      <c r="AE6" s="52"/>
      <c r="AF6" s="52"/>
      <c r="AG6" s="52"/>
      <c r="AH6" s="52"/>
      <c r="AI6" s="52"/>
    </row>
    <row r="7" spans="1:53" x14ac:dyDescent="0.3">
      <c r="A7" s="50"/>
      <c r="D7" s="53" t="s">
        <v>113</v>
      </c>
      <c r="L7" s="52"/>
      <c r="O7" s="52"/>
      <c r="R7" s="49"/>
      <c r="X7" s="52"/>
      <c r="AA7" s="52"/>
      <c r="AD7" s="52"/>
    </row>
    <row r="8" spans="1:53" x14ac:dyDescent="0.3">
      <c r="L8" s="52"/>
      <c r="O8" s="52"/>
      <c r="R8" s="49"/>
      <c r="X8" s="52"/>
      <c r="AA8" s="52"/>
      <c r="AD8" s="52"/>
    </row>
    <row r="9" spans="1:53" x14ac:dyDescent="0.3">
      <c r="D9" s="119" t="s">
        <v>114</v>
      </c>
      <c r="E9" s="119"/>
      <c r="F9" s="119"/>
      <c r="G9" s="117" t="s">
        <v>4</v>
      </c>
      <c r="H9" s="118"/>
      <c r="J9" s="117" t="s">
        <v>5</v>
      </c>
      <c r="K9" s="118"/>
      <c r="L9" s="52"/>
      <c r="M9" s="117" t="s">
        <v>6</v>
      </c>
      <c r="N9" s="118"/>
      <c r="O9" s="52"/>
      <c r="P9" s="117" t="s">
        <v>7</v>
      </c>
      <c r="Q9" s="118"/>
      <c r="R9" s="49"/>
      <c r="S9" s="117" t="s">
        <v>8</v>
      </c>
      <c r="T9" s="118"/>
      <c r="V9" s="117" t="s">
        <v>9</v>
      </c>
      <c r="W9" s="118"/>
      <c r="X9" s="52"/>
      <c r="Y9" s="117" t="s">
        <v>10</v>
      </c>
      <c r="Z9" s="118"/>
      <c r="AA9" s="52"/>
      <c r="AB9" s="117" t="s">
        <v>11</v>
      </c>
      <c r="AC9" s="118"/>
      <c r="AD9" s="52"/>
      <c r="AE9" s="117" t="s">
        <v>12</v>
      </c>
      <c r="AF9" s="118"/>
      <c r="AH9" s="117" t="s">
        <v>13</v>
      </c>
      <c r="AI9" s="118"/>
    </row>
    <row r="10" spans="1:53" ht="26.4" x14ac:dyDescent="0.3">
      <c r="D10" s="119"/>
      <c r="E10" s="119"/>
      <c r="F10" s="119"/>
      <c r="G10" s="54" t="s">
        <v>115</v>
      </c>
      <c r="H10" s="54" t="s">
        <v>116</v>
      </c>
      <c r="J10" s="54" t="s">
        <v>115</v>
      </c>
      <c r="K10" s="54" t="s">
        <v>116</v>
      </c>
      <c r="L10" s="52"/>
      <c r="M10" s="54" t="s">
        <v>115</v>
      </c>
      <c r="N10" s="54" t="s">
        <v>116</v>
      </c>
      <c r="O10" s="52"/>
      <c r="P10" s="54" t="s">
        <v>115</v>
      </c>
      <c r="Q10" s="54" t="s">
        <v>116</v>
      </c>
      <c r="R10" s="49"/>
      <c r="S10" s="54" t="s">
        <v>115</v>
      </c>
      <c r="T10" s="54" t="s">
        <v>116</v>
      </c>
      <c r="V10" s="54" t="s">
        <v>115</v>
      </c>
      <c r="W10" s="54" t="s">
        <v>116</v>
      </c>
      <c r="X10" s="52"/>
      <c r="Y10" s="54" t="s">
        <v>115</v>
      </c>
      <c r="Z10" s="54" t="s">
        <v>116</v>
      </c>
      <c r="AA10" s="52"/>
      <c r="AB10" s="54" t="s">
        <v>115</v>
      </c>
      <c r="AC10" s="54" t="s">
        <v>116</v>
      </c>
      <c r="AD10" s="52"/>
      <c r="AE10" s="54" t="s">
        <v>115</v>
      </c>
      <c r="AF10" s="54" t="s">
        <v>116</v>
      </c>
      <c r="AH10" s="54" t="s">
        <v>115</v>
      </c>
      <c r="AI10" s="54" t="s">
        <v>116</v>
      </c>
    </row>
    <row r="11" spans="1:53" x14ac:dyDescent="0.3">
      <c r="D11" s="55">
        <v>1</v>
      </c>
      <c r="E11" s="48" t="str">
        <f>IF(D11&gt;0,"-","")</f>
        <v>-</v>
      </c>
      <c r="F11" s="56">
        <f>D12-1</f>
        <v>20000</v>
      </c>
      <c r="G11" s="52">
        <v>0.1</v>
      </c>
      <c r="H11" s="57"/>
      <c r="J11" s="52">
        <v>0.1</v>
      </c>
      <c r="K11" s="57"/>
      <c r="L11" s="52"/>
      <c r="M11" s="52">
        <v>0.1</v>
      </c>
      <c r="N11" s="57"/>
      <c r="O11" s="52"/>
      <c r="P11" s="52">
        <v>0.1</v>
      </c>
      <c r="Q11" s="57"/>
      <c r="R11" s="49"/>
      <c r="S11" s="52">
        <v>0.1</v>
      </c>
      <c r="T11" s="57"/>
      <c r="V11" s="52">
        <v>0.1</v>
      </c>
      <c r="W11" s="57"/>
      <c r="X11" s="52"/>
      <c r="Y11" s="52">
        <v>0.1</v>
      </c>
      <c r="Z11" s="57"/>
      <c r="AA11" s="52"/>
      <c r="AB11" s="52">
        <v>0.1</v>
      </c>
      <c r="AC11" s="57"/>
      <c r="AD11" s="52"/>
      <c r="AE11" s="52">
        <v>0.1</v>
      </c>
      <c r="AF11" s="57"/>
      <c r="AH11" s="52">
        <v>0.1</v>
      </c>
      <c r="AI11" s="57"/>
    </row>
    <row r="12" spans="1:53" x14ac:dyDescent="0.3">
      <c r="D12" s="51">
        <v>20001</v>
      </c>
      <c r="E12" s="48" t="str">
        <f t="shared" ref="E12:E13" si="0">IF(D12&gt;0,"-","")</f>
        <v>-</v>
      </c>
      <c r="F12" s="56">
        <v>100000</v>
      </c>
      <c r="G12" s="52">
        <v>0.6</v>
      </c>
      <c r="H12" s="57"/>
      <c r="J12" s="52">
        <v>0.6</v>
      </c>
      <c r="K12" s="57"/>
      <c r="L12" s="52"/>
      <c r="M12" s="52">
        <v>0.6</v>
      </c>
      <c r="N12" s="57"/>
      <c r="O12" s="52"/>
      <c r="P12" s="52">
        <v>0.3</v>
      </c>
      <c r="Q12" s="57"/>
      <c r="R12" s="49"/>
      <c r="S12" s="52">
        <v>0.6</v>
      </c>
      <c r="T12" s="57"/>
      <c r="V12" s="52">
        <v>0.3</v>
      </c>
      <c r="W12" s="57"/>
      <c r="X12" s="52"/>
      <c r="Y12" s="52">
        <v>0.6</v>
      </c>
      <c r="Z12" s="57"/>
      <c r="AA12" s="52"/>
      <c r="AB12" s="52">
        <v>0.3</v>
      </c>
      <c r="AC12" s="57"/>
      <c r="AD12" s="52"/>
      <c r="AE12" s="52">
        <v>0.6</v>
      </c>
      <c r="AF12" s="57"/>
      <c r="AH12" s="52">
        <v>0.6</v>
      </c>
      <c r="AI12" s="57"/>
    </row>
    <row r="13" spans="1:53" x14ac:dyDescent="0.3">
      <c r="D13" s="51">
        <v>100001</v>
      </c>
      <c r="E13" s="48" t="str">
        <f t="shared" si="0"/>
        <v>-</v>
      </c>
      <c r="F13" s="56">
        <v>350000</v>
      </c>
      <c r="G13" s="52">
        <v>0.3</v>
      </c>
      <c r="H13" s="57"/>
      <c r="J13" s="52">
        <v>0.3</v>
      </c>
      <c r="K13" s="57"/>
      <c r="L13" s="52"/>
      <c r="M13" s="52">
        <v>0.3</v>
      </c>
      <c r="N13" s="57"/>
      <c r="O13" s="52"/>
      <c r="P13" s="52">
        <v>0.6</v>
      </c>
      <c r="Q13" s="57"/>
      <c r="R13" s="49"/>
      <c r="S13" s="52">
        <v>0.3</v>
      </c>
      <c r="T13" s="57"/>
      <c r="V13" s="52">
        <v>0.6</v>
      </c>
      <c r="W13" s="57"/>
      <c r="X13" s="52"/>
      <c r="Y13" s="52">
        <v>0.3</v>
      </c>
      <c r="Z13" s="57"/>
      <c r="AA13" s="52"/>
      <c r="AB13" s="52">
        <v>0.6</v>
      </c>
      <c r="AC13" s="57"/>
      <c r="AD13" s="52"/>
      <c r="AE13" s="52">
        <v>0.3</v>
      </c>
      <c r="AF13" s="57"/>
      <c r="AH13" s="52">
        <v>0.3</v>
      </c>
      <c r="AI13" s="57"/>
    </row>
    <row r="14" spans="1:53" x14ac:dyDescent="0.3">
      <c r="L14" s="52"/>
      <c r="O14" s="52"/>
      <c r="R14" s="49"/>
      <c r="X14" s="52"/>
      <c r="AA14" s="52"/>
      <c r="AD14" s="52"/>
    </row>
    <row r="15" spans="1:53" x14ac:dyDescent="0.3">
      <c r="D15" s="50" t="s">
        <v>117</v>
      </c>
      <c r="H15" s="58">
        <f>G11*H11+G12*H12+G13*H13</f>
        <v>0</v>
      </c>
      <c r="K15" s="58">
        <f>J11*K11+J12*K12+J13*K13</f>
        <v>0</v>
      </c>
      <c r="L15" s="52"/>
      <c r="N15" s="58">
        <f>M11*N11+M12*N12+M13*N13</f>
        <v>0</v>
      </c>
      <c r="O15" s="52"/>
      <c r="Q15" s="58">
        <f>P11*Q11+P12*Q12+P13*Q13</f>
        <v>0</v>
      </c>
      <c r="T15" s="58">
        <f>S11*T11+S12*T12+S13*T13</f>
        <v>0</v>
      </c>
      <c r="U15" s="52"/>
      <c r="W15" s="58">
        <f>V11*W11+V12*W12+V13*W13</f>
        <v>0</v>
      </c>
      <c r="X15" s="52"/>
      <c r="Z15" s="58">
        <f>Y11*Z11+Y12*Z12+Y13*Z13</f>
        <v>0</v>
      </c>
      <c r="AC15" s="58">
        <f>AB11*AC11+AB12*AC12+AB13*AC13</f>
        <v>0</v>
      </c>
      <c r="AD15" s="52"/>
      <c r="AF15" s="58">
        <f>AE11*AF11+AE12*AF12+AE13*AF13</f>
        <v>0</v>
      </c>
      <c r="AG15" s="52"/>
      <c r="AI15" s="58">
        <f>AH11*AI11+AH12*AI12+AH13*AI13</f>
        <v>0</v>
      </c>
    </row>
    <row r="16" spans="1:53" x14ac:dyDescent="0.3">
      <c r="L16" s="52"/>
      <c r="R16" s="49"/>
      <c r="X16" s="52"/>
      <c r="AA16" s="52"/>
      <c r="AD16" s="52"/>
    </row>
    <row r="17" spans="4:35" x14ac:dyDescent="0.3">
      <c r="L17" s="52"/>
      <c r="X17" s="52"/>
      <c r="AA17" s="52"/>
      <c r="AD17" s="52"/>
    </row>
    <row r="18" spans="4:35" x14ac:dyDescent="0.3">
      <c r="D18" s="42" t="s">
        <v>120</v>
      </c>
      <c r="H18" s="42"/>
      <c r="I18" s="42"/>
      <c r="X18" s="52"/>
      <c r="AA18" s="52"/>
      <c r="AD18" s="52"/>
    </row>
    <row r="19" spans="4:35" x14ac:dyDescent="0.3">
      <c r="X19" s="52"/>
      <c r="AA19" s="52"/>
      <c r="AD19" s="52"/>
    </row>
    <row r="20" spans="4:35" x14ac:dyDescent="0.3">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row>
    <row r="21" spans="4:35" x14ac:dyDescent="0.3">
      <c r="AA21" s="52"/>
    </row>
    <row r="22" spans="4:35" x14ac:dyDescent="0.3">
      <c r="AA22" s="52"/>
    </row>
  </sheetData>
  <mergeCells count="11">
    <mergeCell ref="S9:T9"/>
    <mergeCell ref="D9:F10"/>
    <mergeCell ref="G9:H9"/>
    <mergeCell ref="J9:K9"/>
    <mergeCell ref="M9:N9"/>
    <mergeCell ref="P9:Q9"/>
    <mergeCell ref="V9:W9"/>
    <mergeCell ref="Y9:Z9"/>
    <mergeCell ref="AB9:AC9"/>
    <mergeCell ref="AE9:AF9"/>
    <mergeCell ref="AH9:AI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21CBC-7908-4757-85DB-8DF3080156DB}">
  <sheetPr>
    <tabColor theme="0" tint="-4.9989318521683403E-2"/>
  </sheetPr>
  <dimension ref="B1:M47"/>
  <sheetViews>
    <sheetView showGridLines="0" zoomScale="90" zoomScaleNormal="90" workbookViewId="0">
      <pane xSplit="3" ySplit="5" topLeftCell="D6" activePane="bottomRight" state="frozen"/>
      <selection activeCell="P21" sqref="P21"/>
      <selection pane="topRight" activeCell="P21" sqref="P21"/>
      <selection pane="bottomLeft" activeCell="P21" sqref="P21"/>
      <selection pane="bottomRight" activeCell="C6" sqref="C6"/>
    </sheetView>
  </sheetViews>
  <sheetFormatPr defaultRowHeight="14.4" x14ac:dyDescent="0.3"/>
  <cols>
    <col min="1" max="1" width="2" customWidth="1"/>
    <col min="2" max="2" width="9.109375" customWidth="1"/>
    <col min="3" max="3" width="57" customWidth="1"/>
    <col min="4" max="4" width="13.109375" style="46" customWidth="1"/>
    <col min="5" max="13" width="13.109375" customWidth="1"/>
  </cols>
  <sheetData>
    <row r="1" spans="2:13" s="8" customFormat="1" ht="15.6" x14ac:dyDescent="0.3">
      <c r="B1" s="2" t="s">
        <v>1</v>
      </c>
      <c r="C1" s="2"/>
      <c r="D1" s="3"/>
      <c r="E1" s="2"/>
      <c r="F1" s="2" t="s">
        <v>122</v>
      </c>
      <c r="G1" s="4"/>
      <c r="H1" s="4"/>
      <c r="I1" s="4"/>
      <c r="J1" s="4"/>
      <c r="K1" s="4"/>
      <c r="L1" s="5"/>
      <c r="M1" s="6"/>
    </row>
    <row r="2" spans="2:13" s="8" customFormat="1" ht="15.6" x14ac:dyDescent="0.3">
      <c r="B2" s="2" t="s">
        <v>123</v>
      </c>
      <c r="C2" s="2"/>
      <c r="D2" s="3"/>
      <c r="E2" s="2"/>
      <c r="F2" s="2" t="s">
        <v>3</v>
      </c>
      <c r="G2" s="9"/>
      <c r="H2" s="10"/>
      <c r="I2" s="11"/>
      <c r="J2" s="4"/>
      <c r="K2" s="11"/>
      <c r="L2" s="12"/>
      <c r="M2" s="4"/>
    </row>
    <row r="3" spans="2:13" s="8" customFormat="1" ht="15.6" x14ac:dyDescent="0.3">
      <c r="B3" s="13"/>
      <c r="C3" s="13"/>
      <c r="D3" s="3"/>
      <c r="E3" s="2"/>
      <c r="F3" s="2"/>
      <c r="G3" s="2"/>
      <c r="H3" s="2"/>
      <c r="I3" s="2"/>
      <c r="J3" s="2"/>
      <c r="K3" s="2"/>
      <c r="L3" s="2"/>
      <c r="M3" s="2"/>
    </row>
    <row r="4" spans="2:13" ht="15.6" customHeight="1" x14ac:dyDescent="0.3">
      <c r="B4" s="14"/>
      <c r="C4" s="14"/>
      <c r="D4" s="15"/>
      <c r="E4" s="14"/>
      <c r="F4" s="14"/>
      <c r="G4" s="14"/>
      <c r="H4" s="14"/>
      <c r="I4" s="14"/>
      <c r="J4" s="14"/>
      <c r="K4" s="14"/>
      <c r="L4" s="14"/>
      <c r="M4" s="14"/>
    </row>
    <row r="5" spans="2:13" s="8" customFormat="1" ht="33" customHeight="1" x14ac:dyDescent="0.25">
      <c r="B5" s="16" t="s">
        <v>14</v>
      </c>
      <c r="C5" s="16" t="s">
        <v>15</v>
      </c>
      <c r="D5" s="60" t="s">
        <v>4</v>
      </c>
      <c r="E5" s="60" t="s">
        <v>5</v>
      </c>
      <c r="F5" s="60" t="s">
        <v>6</v>
      </c>
      <c r="G5" s="60" t="s">
        <v>7</v>
      </c>
      <c r="H5" s="60" t="s">
        <v>8</v>
      </c>
      <c r="I5" s="60" t="s">
        <v>9</v>
      </c>
      <c r="J5" s="60" t="s">
        <v>10</v>
      </c>
      <c r="K5" s="60" t="s">
        <v>11</v>
      </c>
      <c r="L5" s="60" t="s">
        <v>12</v>
      </c>
      <c r="M5" s="60" t="s">
        <v>13</v>
      </c>
    </row>
    <row r="6" spans="2:13" ht="15.6" x14ac:dyDescent="0.3">
      <c r="B6" s="24" t="s">
        <v>22</v>
      </c>
      <c r="C6" s="25" t="s">
        <v>23</v>
      </c>
      <c r="D6" s="28"/>
      <c r="E6" s="28"/>
      <c r="F6" s="28"/>
      <c r="G6" s="28"/>
      <c r="H6" s="28"/>
      <c r="I6" s="28"/>
      <c r="J6" s="28"/>
      <c r="K6" s="28"/>
      <c r="L6" s="28"/>
      <c r="M6" s="28"/>
    </row>
    <row r="7" spans="2:13" ht="15.6" x14ac:dyDescent="0.3">
      <c r="B7" s="24" t="s">
        <v>25</v>
      </c>
      <c r="C7" s="25" t="s">
        <v>26</v>
      </c>
      <c r="D7" s="28"/>
      <c r="E7" s="28"/>
      <c r="F7" s="28"/>
      <c r="G7" s="28"/>
      <c r="H7" s="28"/>
      <c r="I7" s="28"/>
      <c r="J7" s="28"/>
      <c r="K7" s="28"/>
      <c r="L7" s="28"/>
      <c r="M7" s="28"/>
    </row>
    <row r="8" spans="2:13" ht="15.6" x14ac:dyDescent="0.3">
      <c r="B8" s="24" t="s">
        <v>27</v>
      </c>
      <c r="C8" s="25" t="s">
        <v>28</v>
      </c>
      <c r="D8" s="28"/>
      <c r="E8" s="28"/>
      <c r="F8" s="28"/>
      <c r="G8" s="28"/>
      <c r="H8" s="28"/>
      <c r="I8" s="28"/>
      <c r="J8" s="28"/>
      <c r="K8" s="28"/>
      <c r="L8" s="28"/>
      <c r="M8" s="28"/>
    </row>
    <row r="9" spans="2:13" ht="15.6" x14ac:dyDescent="0.3">
      <c r="B9" s="24" t="s">
        <v>29</v>
      </c>
      <c r="C9" s="25" t="s">
        <v>30</v>
      </c>
      <c r="D9" s="28"/>
      <c r="E9" s="28"/>
      <c r="F9" s="28"/>
      <c r="G9" s="28"/>
      <c r="H9" s="28"/>
      <c r="I9" s="28"/>
      <c r="J9" s="28"/>
      <c r="K9" s="28"/>
      <c r="L9" s="28"/>
      <c r="M9" s="28"/>
    </row>
    <row r="10" spans="2:13" ht="15.6" x14ac:dyDescent="0.3">
      <c r="B10" s="24" t="s">
        <v>31</v>
      </c>
      <c r="C10" s="25" t="s">
        <v>32</v>
      </c>
      <c r="D10" s="28"/>
      <c r="E10" s="28"/>
      <c r="F10" s="28"/>
      <c r="G10" s="28"/>
      <c r="H10" s="28"/>
      <c r="I10" s="28"/>
      <c r="J10" s="28"/>
      <c r="K10" s="28"/>
      <c r="L10" s="28"/>
      <c r="M10" s="28"/>
    </row>
    <row r="11" spans="2:13" ht="15.6" x14ac:dyDescent="0.3">
      <c r="B11" s="24" t="s">
        <v>33</v>
      </c>
      <c r="C11" s="25" t="s">
        <v>34</v>
      </c>
      <c r="D11" s="28"/>
      <c r="E11" s="28"/>
      <c r="F11" s="28"/>
      <c r="G11" s="28"/>
      <c r="H11" s="28"/>
      <c r="I11" s="28"/>
      <c r="J11" s="28"/>
      <c r="K11" s="28"/>
      <c r="L11" s="28"/>
      <c r="M11" s="28"/>
    </row>
    <row r="12" spans="2:13" ht="15.6" x14ac:dyDescent="0.3">
      <c r="B12" s="24" t="s">
        <v>35</v>
      </c>
      <c r="C12" s="25" t="s">
        <v>36</v>
      </c>
      <c r="D12" s="28"/>
      <c r="E12" s="28"/>
      <c r="F12" s="28"/>
      <c r="G12" s="28"/>
      <c r="H12" s="28"/>
      <c r="I12" s="28"/>
      <c r="J12" s="28"/>
      <c r="K12" s="28"/>
      <c r="L12" s="28"/>
      <c r="M12" s="28"/>
    </row>
    <row r="13" spans="2:13" ht="15.6" x14ac:dyDescent="0.3">
      <c r="B13" s="24" t="s">
        <v>37</v>
      </c>
      <c r="C13" s="25" t="s">
        <v>38</v>
      </c>
      <c r="D13" s="28"/>
      <c r="E13" s="28"/>
      <c r="F13" s="28"/>
      <c r="G13" s="28"/>
      <c r="H13" s="28"/>
      <c r="I13" s="28"/>
      <c r="J13" s="28"/>
      <c r="K13" s="28"/>
      <c r="L13" s="28"/>
      <c r="M13" s="28"/>
    </row>
    <row r="14" spans="2:13" ht="15.6" x14ac:dyDescent="0.3">
      <c r="B14" s="24" t="s">
        <v>39</v>
      </c>
      <c r="C14" s="25" t="s">
        <v>40</v>
      </c>
      <c r="D14" s="28"/>
      <c r="E14" s="28"/>
      <c r="F14" s="28"/>
      <c r="G14" s="28"/>
      <c r="H14" s="28"/>
      <c r="I14" s="28"/>
      <c r="J14" s="28"/>
      <c r="K14" s="28"/>
      <c r="L14" s="28"/>
      <c r="M14" s="28"/>
    </row>
    <row r="15" spans="2:13" ht="15.6" x14ac:dyDescent="0.3">
      <c r="B15" s="24" t="s">
        <v>41</v>
      </c>
      <c r="C15" s="25" t="s">
        <v>42</v>
      </c>
      <c r="D15" s="28"/>
      <c r="E15" s="28"/>
      <c r="F15" s="28"/>
      <c r="G15" s="28"/>
      <c r="H15" s="28"/>
      <c r="I15" s="28"/>
      <c r="J15" s="28"/>
      <c r="K15" s="28"/>
      <c r="L15" s="28"/>
      <c r="M15" s="28"/>
    </row>
    <row r="16" spans="2:13" ht="15.6" x14ac:dyDescent="0.3">
      <c r="B16" s="24" t="s">
        <v>44</v>
      </c>
      <c r="C16" s="25" t="s">
        <v>45</v>
      </c>
      <c r="D16" s="28"/>
      <c r="E16" s="28"/>
      <c r="F16" s="28"/>
      <c r="G16" s="28"/>
      <c r="H16" s="28"/>
      <c r="I16" s="28"/>
      <c r="J16" s="28"/>
      <c r="K16" s="28"/>
      <c r="L16" s="28"/>
      <c r="M16" s="28"/>
    </row>
    <row r="17" spans="2:13" ht="15.6" x14ac:dyDescent="0.3">
      <c r="B17" s="24" t="s">
        <v>46</v>
      </c>
      <c r="C17" s="25" t="s">
        <v>47</v>
      </c>
      <c r="D17" s="28"/>
      <c r="E17" s="28"/>
      <c r="F17" s="28"/>
      <c r="G17" s="28"/>
      <c r="H17" s="28"/>
      <c r="I17" s="28"/>
      <c r="J17" s="28"/>
      <c r="K17" s="28"/>
      <c r="L17" s="28"/>
      <c r="M17" s="28"/>
    </row>
    <row r="18" spans="2:13" ht="15.6" x14ac:dyDescent="0.3">
      <c r="B18" s="24" t="s">
        <v>48</v>
      </c>
      <c r="C18" s="25" t="s">
        <v>49</v>
      </c>
      <c r="D18" s="28"/>
      <c r="E18" s="28"/>
      <c r="F18" s="28"/>
      <c r="G18" s="28"/>
      <c r="H18" s="28"/>
      <c r="I18" s="28"/>
      <c r="J18" s="28"/>
      <c r="K18" s="28"/>
      <c r="L18" s="28"/>
      <c r="M18" s="28"/>
    </row>
    <row r="19" spans="2:13" ht="15.6" x14ac:dyDescent="0.3">
      <c r="B19" s="24" t="s">
        <v>50</v>
      </c>
      <c r="C19" s="25" t="s">
        <v>51</v>
      </c>
      <c r="D19" s="28"/>
      <c r="E19" s="28"/>
      <c r="F19" s="28"/>
      <c r="G19" s="28"/>
      <c r="H19" s="28"/>
      <c r="I19" s="28"/>
      <c r="J19" s="28"/>
      <c r="K19" s="28"/>
      <c r="L19" s="28"/>
      <c r="M19" s="28"/>
    </row>
    <row r="20" spans="2:13" ht="15.6" x14ac:dyDescent="0.3">
      <c r="B20" s="24" t="s">
        <v>52</v>
      </c>
      <c r="C20" s="25" t="s">
        <v>53</v>
      </c>
      <c r="D20" s="28"/>
      <c r="E20" s="28"/>
      <c r="F20" s="28"/>
      <c r="G20" s="28"/>
      <c r="H20" s="28"/>
      <c r="I20" s="28"/>
      <c r="J20" s="28"/>
      <c r="K20" s="28"/>
      <c r="L20" s="28"/>
      <c r="M20" s="28"/>
    </row>
    <row r="21" spans="2:13" ht="15.6" x14ac:dyDescent="0.3">
      <c r="B21" s="24" t="s">
        <v>54</v>
      </c>
      <c r="C21" s="25" t="s">
        <v>55</v>
      </c>
      <c r="D21" s="28"/>
      <c r="E21" s="28"/>
      <c r="F21" s="28"/>
      <c r="G21" s="28"/>
      <c r="H21" s="28"/>
      <c r="I21" s="28"/>
      <c r="J21" s="28"/>
      <c r="K21" s="28"/>
      <c r="L21" s="28"/>
      <c r="M21" s="28"/>
    </row>
    <row r="22" spans="2:13" ht="15.6" x14ac:dyDescent="0.3">
      <c r="B22" s="24" t="s">
        <v>56</v>
      </c>
      <c r="C22" s="25" t="s">
        <v>57</v>
      </c>
      <c r="D22" s="28"/>
      <c r="E22" s="28"/>
      <c r="F22" s="28"/>
      <c r="G22" s="28"/>
      <c r="H22" s="28"/>
      <c r="I22" s="28"/>
      <c r="J22" s="28"/>
      <c r="K22" s="28"/>
      <c r="L22" s="28"/>
      <c r="M22" s="28"/>
    </row>
    <row r="23" spans="2:13" ht="15.6" x14ac:dyDescent="0.3">
      <c r="B23" s="24" t="s">
        <v>58</v>
      </c>
      <c r="C23" s="25" t="s">
        <v>59</v>
      </c>
      <c r="D23" s="28"/>
      <c r="E23" s="28"/>
      <c r="F23" s="28"/>
      <c r="G23" s="28"/>
      <c r="H23" s="28"/>
      <c r="I23" s="28"/>
      <c r="J23" s="28"/>
      <c r="K23" s="28"/>
      <c r="L23" s="28"/>
      <c r="M23" s="28"/>
    </row>
    <row r="24" spans="2:13" ht="15.6" x14ac:dyDescent="0.3">
      <c r="B24" s="24" t="s">
        <v>60</v>
      </c>
      <c r="C24" s="25" t="s">
        <v>61</v>
      </c>
      <c r="D24" s="28"/>
      <c r="E24" s="28"/>
      <c r="F24" s="28"/>
      <c r="G24" s="28"/>
      <c r="H24" s="28"/>
      <c r="I24" s="28"/>
      <c r="J24" s="28"/>
      <c r="K24" s="28"/>
      <c r="L24" s="28"/>
      <c r="M24" s="28"/>
    </row>
    <row r="25" spans="2:13" ht="15.6" x14ac:dyDescent="0.3">
      <c r="B25" s="24" t="s">
        <v>62</v>
      </c>
      <c r="C25" s="25" t="s">
        <v>63</v>
      </c>
      <c r="D25" s="28"/>
      <c r="E25" s="28"/>
      <c r="F25" s="28"/>
      <c r="G25" s="28"/>
      <c r="H25" s="28"/>
      <c r="I25" s="28"/>
      <c r="J25" s="28"/>
      <c r="K25" s="28"/>
      <c r="L25" s="28"/>
      <c r="M25" s="28"/>
    </row>
    <row r="26" spans="2:13" ht="15.6" x14ac:dyDescent="0.3">
      <c r="B26" s="24" t="s">
        <v>64</v>
      </c>
      <c r="C26" s="25" t="s">
        <v>65</v>
      </c>
      <c r="D26" s="28"/>
      <c r="E26" s="28"/>
      <c r="F26" s="28"/>
      <c r="G26" s="28"/>
      <c r="H26" s="28"/>
      <c r="I26" s="28"/>
      <c r="J26" s="28"/>
      <c r="K26" s="28"/>
      <c r="L26" s="28"/>
      <c r="M26" s="28"/>
    </row>
    <row r="27" spans="2:13" ht="15.6" x14ac:dyDescent="0.3">
      <c r="B27" s="24" t="s">
        <v>66</v>
      </c>
      <c r="C27" s="25" t="s">
        <v>67</v>
      </c>
      <c r="D27" s="28"/>
      <c r="E27" s="28"/>
      <c r="F27" s="28"/>
      <c r="G27" s="28"/>
      <c r="H27" s="28"/>
      <c r="I27" s="28"/>
      <c r="J27" s="28"/>
      <c r="K27" s="28"/>
      <c r="L27" s="28"/>
      <c r="M27" s="28"/>
    </row>
    <row r="28" spans="2:13" ht="15.6" x14ac:dyDescent="0.3">
      <c r="B28" s="24" t="s">
        <v>68</v>
      </c>
      <c r="C28" s="25" t="s">
        <v>69</v>
      </c>
      <c r="D28" s="28"/>
      <c r="E28" s="28"/>
      <c r="F28" s="28"/>
      <c r="G28" s="28"/>
      <c r="H28" s="28"/>
      <c r="I28" s="28"/>
      <c r="J28" s="28"/>
      <c r="K28" s="28"/>
      <c r="L28" s="28"/>
      <c r="M28" s="28"/>
    </row>
    <row r="29" spans="2:13" ht="15.6" x14ac:dyDescent="0.3">
      <c r="B29" s="24" t="s">
        <v>70</v>
      </c>
      <c r="C29" s="25" t="s">
        <v>71</v>
      </c>
      <c r="D29" s="28"/>
      <c r="E29" s="28"/>
      <c r="F29" s="28"/>
      <c r="G29" s="28"/>
      <c r="H29" s="28"/>
      <c r="I29" s="28"/>
      <c r="J29" s="28"/>
      <c r="K29" s="28"/>
      <c r="L29" s="28"/>
      <c r="M29" s="28"/>
    </row>
    <row r="30" spans="2:13" ht="15.6" x14ac:dyDescent="0.3">
      <c r="B30" s="24" t="s">
        <v>72</v>
      </c>
      <c r="C30" s="25" t="s">
        <v>73</v>
      </c>
      <c r="D30" s="28"/>
      <c r="E30" s="28"/>
      <c r="F30" s="28"/>
      <c r="G30" s="28"/>
      <c r="H30" s="28"/>
      <c r="I30" s="28"/>
      <c r="J30" s="28"/>
      <c r="K30" s="28"/>
      <c r="L30" s="28"/>
      <c r="M30" s="28"/>
    </row>
    <row r="31" spans="2:13" ht="15.6" x14ac:dyDescent="0.3">
      <c r="B31" s="24" t="s">
        <v>74</v>
      </c>
      <c r="C31" s="25" t="s">
        <v>75</v>
      </c>
      <c r="D31" s="28"/>
      <c r="E31" s="28"/>
      <c r="F31" s="28"/>
      <c r="G31" s="28"/>
      <c r="H31" s="28"/>
      <c r="I31" s="28"/>
      <c r="J31" s="28"/>
      <c r="K31" s="28"/>
      <c r="L31" s="28"/>
      <c r="M31" s="28"/>
    </row>
    <row r="32" spans="2:13" ht="15.6" x14ac:dyDescent="0.3">
      <c r="B32" s="24" t="s">
        <v>76</v>
      </c>
      <c r="C32" s="25" t="s">
        <v>77</v>
      </c>
      <c r="D32" s="28"/>
      <c r="E32" s="28"/>
      <c r="F32" s="28"/>
      <c r="G32" s="28"/>
      <c r="H32" s="28"/>
      <c r="I32" s="28"/>
      <c r="J32" s="28"/>
      <c r="K32" s="28"/>
      <c r="L32" s="28"/>
      <c r="M32" s="28"/>
    </row>
    <row r="33" spans="2:13" ht="15.6" x14ac:dyDescent="0.3">
      <c r="B33" s="24" t="s">
        <v>78</v>
      </c>
      <c r="C33" s="25" t="s">
        <v>79</v>
      </c>
      <c r="D33" s="28"/>
      <c r="E33" s="28"/>
      <c r="F33" s="28"/>
      <c r="G33" s="28"/>
      <c r="H33" s="28"/>
      <c r="I33" s="28"/>
      <c r="J33" s="28"/>
      <c r="K33" s="28"/>
      <c r="L33" s="28"/>
      <c r="M33" s="28"/>
    </row>
    <row r="34" spans="2:13" ht="15.6" x14ac:dyDescent="0.3">
      <c r="B34" s="24" t="s">
        <v>80</v>
      </c>
      <c r="C34" s="25" t="s">
        <v>81</v>
      </c>
      <c r="D34" s="28"/>
      <c r="E34" s="28"/>
      <c r="F34" s="28"/>
      <c r="G34" s="28"/>
      <c r="H34" s="28"/>
      <c r="I34" s="28"/>
      <c r="J34" s="28"/>
      <c r="K34" s="28"/>
      <c r="L34" s="28"/>
      <c r="M34" s="28"/>
    </row>
    <row r="35" spans="2:13" ht="15.6" x14ac:dyDescent="0.3">
      <c r="B35" s="24" t="s">
        <v>82</v>
      </c>
      <c r="C35" s="25" t="s">
        <v>83</v>
      </c>
      <c r="D35" s="28"/>
      <c r="E35" s="28"/>
      <c r="F35" s="28"/>
      <c r="G35" s="28"/>
      <c r="H35" s="28"/>
      <c r="I35" s="28"/>
      <c r="J35" s="28"/>
      <c r="K35" s="28"/>
      <c r="L35" s="28"/>
      <c r="M35" s="28"/>
    </row>
    <row r="36" spans="2:13" ht="15.6" x14ac:dyDescent="0.3">
      <c r="B36" s="24" t="s">
        <v>84</v>
      </c>
      <c r="C36" s="25" t="s">
        <v>85</v>
      </c>
      <c r="D36" s="28"/>
      <c r="E36" s="28"/>
      <c r="F36" s="28"/>
      <c r="G36" s="28"/>
      <c r="H36" s="28"/>
      <c r="I36" s="28"/>
      <c r="J36" s="28"/>
      <c r="K36" s="28"/>
      <c r="L36" s="28"/>
      <c r="M36" s="28"/>
    </row>
    <row r="37" spans="2:13" ht="15.6" x14ac:dyDescent="0.3">
      <c r="B37" s="24" t="s">
        <v>86</v>
      </c>
      <c r="C37" s="25" t="s">
        <v>87</v>
      </c>
      <c r="D37" s="28"/>
      <c r="E37" s="28"/>
      <c r="F37" s="28"/>
      <c r="G37" s="28"/>
      <c r="H37" s="28"/>
      <c r="I37" s="28"/>
      <c r="J37" s="28"/>
      <c r="K37" s="28"/>
      <c r="L37" s="28"/>
      <c r="M37" s="28"/>
    </row>
    <row r="38" spans="2:13" ht="15.6" x14ac:dyDescent="0.3">
      <c r="B38" s="24" t="s">
        <v>88</v>
      </c>
      <c r="C38" s="25" t="s">
        <v>89</v>
      </c>
      <c r="D38" s="28"/>
      <c r="E38" s="28"/>
      <c r="F38" s="28"/>
      <c r="G38" s="28"/>
      <c r="H38" s="28"/>
      <c r="I38" s="28"/>
      <c r="J38" s="28"/>
      <c r="K38" s="28"/>
      <c r="L38" s="28"/>
      <c r="M38" s="28"/>
    </row>
    <row r="39" spans="2:13" ht="15.6" x14ac:dyDescent="0.3">
      <c r="B39" s="24" t="s">
        <v>90</v>
      </c>
      <c r="C39" s="25" t="s">
        <v>91</v>
      </c>
      <c r="D39" s="28"/>
      <c r="E39" s="28"/>
      <c r="F39" s="28"/>
      <c r="G39" s="28"/>
      <c r="H39" s="28"/>
      <c r="I39" s="28"/>
      <c r="J39" s="28"/>
      <c r="K39" s="28"/>
      <c r="L39" s="28"/>
      <c r="M39" s="28"/>
    </row>
    <row r="40" spans="2:13" ht="15.6" x14ac:dyDescent="0.3">
      <c r="B40" s="24" t="s">
        <v>92</v>
      </c>
      <c r="C40" s="25" t="s">
        <v>93</v>
      </c>
      <c r="D40" s="28"/>
      <c r="E40" s="28"/>
      <c r="F40" s="28"/>
      <c r="G40" s="28"/>
      <c r="H40" s="28"/>
      <c r="I40" s="28"/>
      <c r="J40" s="28"/>
      <c r="K40" s="28"/>
      <c r="L40" s="28"/>
      <c r="M40" s="28"/>
    </row>
    <row r="41" spans="2:13" ht="15.6" x14ac:dyDescent="0.3">
      <c r="B41" s="24" t="s">
        <v>94</v>
      </c>
      <c r="C41" s="25" t="s">
        <v>95</v>
      </c>
      <c r="D41" s="28"/>
      <c r="E41" s="28"/>
      <c r="F41" s="28"/>
      <c r="G41" s="28"/>
      <c r="H41" s="28"/>
      <c r="I41" s="28"/>
      <c r="J41" s="28"/>
      <c r="K41" s="28"/>
      <c r="L41" s="28"/>
      <c r="M41" s="28"/>
    </row>
    <row r="42" spans="2:13" ht="15.6" x14ac:dyDescent="0.3">
      <c r="B42" s="24" t="s">
        <v>96</v>
      </c>
      <c r="C42" s="25" t="s">
        <v>97</v>
      </c>
      <c r="D42" s="28"/>
      <c r="E42" s="28"/>
      <c r="F42" s="28"/>
      <c r="G42" s="28"/>
      <c r="H42" s="28"/>
      <c r="I42" s="28"/>
      <c r="J42" s="28"/>
      <c r="K42" s="28"/>
      <c r="L42" s="28"/>
      <c r="M42" s="28"/>
    </row>
    <row r="43" spans="2:13" ht="15.6" x14ac:dyDescent="0.3">
      <c r="B43" s="24" t="s">
        <v>98</v>
      </c>
      <c r="C43" s="25" t="s">
        <v>99</v>
      </c>
      <c r="D43" s="28"/>
      <c r="E43" s="28"/>
      <c r="F43" s="28"/>
      <c r="G43" s="28"/>
      <c r="H43" s="28"/>
      <c r="I43" s="28"/>
      <c r="J43" s="28"/>
      <c r="K43" s="28"/>
      <c r="L43" s="28"/>
      <c r="M43" s="28"/>
    </row>
    <row r="44" spans="2:13" ht="15.6" x14ac:dyDescent="0.3">
      <c r="B44" s="26"/>
      <c r="C44" s="26"/>
      <c r="D44"/>
    </row>
    <row r="45" spans="2:13" ht="15.6" x14ac:dyDescent="0.3">
      <c r="B45" s="26"/>
      <c r="C45" s="44" t="s">
        <v>124</v>
      </c>
      <c r="D45" s="45">
        <f>SUM(D6:D43)</f>
        <v>0</v>
      </c>
      <c r="E45" s="45">
        <f t="shared" ref="E45:M45" si="0">SUM(E6:E43)</f>
        <v>0</v>
      </c>
      <c r="F45" s="45">
        <f t="shared" si="0"/>
        <v>0</v>
      </c>
      <c r="G45" s="45">
        <f t="shared" si="0"/>
        <v>0</v>
      </c>
      <c r="H45" s="45">
        <f t="shared" si="0"/>
        <v>0</v>
      </c>
      <c r="I45" s="45">
        <f t="shared" si="0"/>
        <v>0</v>
      </c>
      <c r="J45" s="45">
        <f t="shared" si="0"/>
        <v>0</v>
      </c>
      <c r="K45" s="45">
        <f t="shared" si="0"/>
        <v>0</v>
      </c>
      <c r="L45" s="45">
        <f t="shared" si="0"/>
        <v>0</v>
      </c>
      <c r="M45" s="45">
        <f t="shared" si="0"/>
        <v>0</v>
      </c>
    </row>
    <row r="47" spans="2:13" ht="15.6" x14ac:dyDescent="0.3">
      <c r="D47" s="42" t="s">
        <v>125</v>
      </c>
      <c r="F47" s="42"/>
      <c r="K47" s="42"/>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51CED-193C-4808-95B1-36E682E713AA}">
  <sheetPr>
    <tabColor theme="0" tint="-4.9989318521683403E-2"/>
  </sheetPr>
  <dimension ref="B1:Q22"/>
  <sheetViews>
    <sheetView showGridLines="0" zoomScale="90" zoomScaleNormal="90" workbookViewId="0">
      <selection activeCell="P21" sqref="P21"/>
    </sheetView>
  </sheetViews>
  <sheetFormatPr defaultRowHeight="14.4" x14ac:dyDescent="0.3"/>
  <cols>
    <col min="1" max="1" width="4.109375" customWidth="1"/>
    <col min="2" max="2" width="12.6640625" customWidth="1"/>
    <col min="3" max="3" width="18.77734375" style="62" customWidth="1"/>
    <col min="4" max="4" width="10.5546875" customWidth="1"/>
    <col min="5" max="5" width="16.5546875" style="62" customWidth="1"/>
    <col min="6" max="6" width="2" customWidth="1"/>
    <col min="7" max="7" width="20.44140625" style="62" customWidth="1"/>
    <col min="8" max="8" width="15.109375" customWidth="1"/>
    <col min="9" max="9" width="16.5546875" style="62" customWidth="1"/>
    <col min="10" max="10" width="4.109375" style="62" customWidth="1"/>
    <col min="11" max="11" width="17.6640625" style="62" customWidth="1"/>
    <col min="12" max="12" width="16.21875" customWidth="1"/>
    <col min="13" max="13" width="17.21875" customWidth="1"/>
    <col min="14" max="14" width="8.21875" customWidth="1"/>
    <col min="15" max="15" width="13.21875" customWidth="1"/>
    <col min="16" max="16" width="19.21875" style="62" customWidth="1"/>
  </cols>
  <sheetData>
    <row r="1" spans="2:17" x14ac:dyDescent="0.3">
      <c r="B1" s="61" t="s">
        <v>1</v>
      </c>
      <c r="D1" s="63"/>
      <c r="F1" s="63"/>
      <c r="H1" s="63"/>
      <c r="L1" s="63"/>
      <c r="M1" s="63"/>
      <c r="N1" s="63"/>
      <c r="O1" s="63"/>
    </row>
    <row r="2" spans="2:17" ht="15.6" x14ac:dyDescent="0.3">
      <c r="B2" s="61" t="s">
        <v>126</v>
      </c>
      <c r="D2" s="63"/>
      <c r="F2" s="63"/>
      <c r="G2" s="64" t="s">
        <v>3</v>
      </c>
      <c r="H2" s="65"/>
      <c r="L2" s="63"/>
      <c r="M2" s="63"/>
      <c r="N2" s="63"/>
      <c r="O2" s="63"/>
    </row>
    <row r="3" spans="2:17" x14ac:dyDescent="0.3">
      <c r="B3" s="66"/>
      <c r="D3" s="63"/>
      <c r="F3" s="63"/>
      <c r="H3" s="63"/>
      <c r="L3" s="63"/>
      <c r="M3" s="63"/>
      <c r="N3" s="63"/>
      <c r="O3" s="63"/>
    </row>
    <row r="4" spans="2:17" x14ac:dyDescent="0.3">
      <c r="B4" s="63"/>
      <c r="D4" s="63"/>
      <c r="F4" s="63"/>
      <c r="H4" s="63"/>
      <c r="L4" s="63"/>
      <c r="M4" s="63"/>
      <c r="N4" s="63"/>
      <c r="O4" s="63"/>
    </row>
    <row r="5" spans="2:17" ht="15" customHeight="1" x14ac:dyDescent="0.3">
      <c r="B5" s="120" t="s">
        <v>127</v>
      </c>
      <c r="C5" s="120" t="s">
        <v>128</v>
      </c>
      <c r="D5" s="120"/>
      <c r="E5" s="120"/>
      <c r="G5" s="120" t="s">
        <v>129</v>
      </c>
      <c r="H5" s="120"/>
      <c r="I5" s="120"/>
      <c r="K5" s="121" t="s">
        <v>130</v>
      </c>
      <c r="L5" s="122"/>
      <c r="M5" s="123"/>
      <c r="N5" s="63"/>
      <c r="O5" s="124" t="s">
        <v>127</v>
      </c>
      <c r="P5" s="124" t="s">
        <v>131</v>
      </c>
    </row>
    <row r="6" spans="2:17" ht="45.75" customHeight="1" x14ac:dyDescent="0.3">
      <c r="B6" s="120"/>
      <c r="C6" s="68" t="s">
        <v>132</v>
      </c>
      <c r="D6" s="67" t="s">
        <v>133</v>
      </c>
      <c r="E6" s="68" t="s">
        <v>134</v>
      </c>
      <c r="G6" s="68" t="s">
        <v>132</v>
      </c>
      <c r="H6" s="67" t="s">
        <v>133</v>
      </c>
      <c r="I6" s="68" t="s">
        <v>134</v>
      </c>
      <c r="K6" s="68" t="s">
        <v>132</v>
      </c>
      <c r="L6" s="67" t="s">
        <v>133</v>
      </c>
      <c r="M6" s="68" t="s">
        <v>134</v>
      </c>
      <c r="N6" s="63"/>
      <c r="O6" s="125"/>
      <c r="P6" s="125"/>
    </row>
    <row r="7" spans="2:17" x14ac:dyDescent="0.3">
      <c r="B7" s="69" t="s">
        <v>135</v>
      </c>
      <c r="C7" s="70"/>
      <c r="D7" s="71">
        <v>0.17</v>
      </c>
      <c r="E7" s="72">
        <f>C7*D7</f>
        <v>0</v>
      </c>
      <c r="G7" s="70"/>
      <c r="H7" s="71">
        <v>0.8</v>
      </c>
      <c r="I7" s="72">
        <f>G7*H7</f>
        <v>0</v>
      </c>
      <c r="K7" s="70"/>
      <c r="L7" s="71">
        <v>3.0000000000000027E-2</v>
      </c>
      <c r="M7" s="72">
        <f>K7*L7</f>
        <v>0</v>
      </c>
      <c r="N7" s="63"/>
      <c r="O7" s="73" t="s">
        <v>135</v>
      </c>
      <c r="P7" s="74">
        <f>SUM(I7,E7)</f>
        <v>0</v>
      </c>
      <c r="Q7" s="75"/>
    </row>
    <row r="8" spans="2:17" x14ac:dyDescent="0.3">
      <c r="B8" s="69" t="s">
        <v>136</v>
      </c>
      <c r="C8" s="70"/>
      <c r="D8" s="71">
        <v>0.17</v>
      </c>
      <c r="E8" s="72">
        <f t="shared" ref="E8:E16" si="0">C8*D8</f>
        <v>0</v>
      </c>
      <c r="G8" s="70"/>
      <c r="H8" s="71">
        <v>0.8</v>
      </c>
      <c r="I8" s="72">
        <f t="shared" ref="I8:I16" si="1">G8*H8</f>
        <v>0</v>
      </c>
      <c r="K8" s="70"/>
      <c r="L8" s="71">
        <v>3.0000000000000027E-2</v>
      </c>
      <c r="M8" s="72">
        <f t="shared" ref="M8:M16" si="2">K8*L8</f>
        <v>0</v>
      </c>
      <c r="N8" s="63"/>
      <c r="O8" s="73" t="s">
        <v>136</v>
      </c>
      <c r="P8" s="74">
        <f t="shared" ref="P8:P16" si="3">SUM(I8,E8)</f>
        <v>0</v>
      </c>
      <c r="Q8" s="75"/>
    </row>
    <row r="9" spans="2:17" x14ac:dyDescent="0.3">
      <c r="B9" s="69" t="s">
        <v>137</v>
      </c>
      <c r="C9" s="70"/>
      <c r="D9" s="71">
        <v>0.17</v>
      </c>
      <c r="E9" s="72">
        <f t="shared" si="0"/>
        <v>0</v>
      </c>
      <c r="G9" s="70"/>
      <c r="H9" s="71">
        <v>0.8</v>
      </c>
      <c r="I9" s="72">
        <f t="shared" si="1"/>
        <v>0</v>
      </c>
      <c r="K9" s="70"/>
      <c r="L9" s="71">
        <v>3.0000000000000027E-2</v>
      </c>
      <c r="M9" s="72">
        <f t="shared" si="2"/>
        <v>0</v>
      </c>
      <c r="N9" s="63"/>
      <c r="O9" s="73" t="s">
        <v>137</v>
      </c>
      <c r="P9" s="74">
        <f t="shared" si="3"/>
        <v>0</v>
      </c>
      <c r="Q9" s="75"/>
    </row>
    <row r="10" spans="2:17" x14ac:dyDescent="0.3">
      <c r="B10" s="69" t="s">
        <v>138</v>
      </c>
      <c r="C10" s="70"/>
      <c r="D10" s="71">
        <v>0.17</v>
      </c>
      <c r="E10" s="72">
        <f t="shared" si="0"/>
        <v>0</v>
      </c>
      <c r="G10" s="70"/>
      <c r="H10" s="71">
        <v>0.8</v>
      </c>
      <c r="I10" s="72">
        <f t="shared" si="1"/>
        <v>0</v>
      </c>
      <c r="K10" s="70"/>
      <c r="L10" s="71">
        <v>3.0000000000000027E-2</v>
      </c>
      <c r="M10" s="72">
        <f t="shared" si="2"/>
        <v>0</v>
      </c>
      <c r="N10" s="63"/>
      <c r="O10" s="73" t="s">
        <v>138</v>
      </c>
      <c r="P10" s="74">
        <f t="shared" si="3"/>
        <v>0</v>
      </c>
      <c r="Q10" s="75"/>
    </row>
    <row r="11" spans="2:17" x14ac:dyDescent="0.3">
      <c r="B11" s="69" t="s">
        <v>139</v>
      </c>
      <c r="C11" s="70"/>
      <c r="D11" s="71">
        <v>0.17</v>
      </c>
      <c r="E11" s="72">
        <f t="shared" si="0"/>
        <v>0</v>
      </c>
      <c r="G11" s="70"/>
      <c r="H11" s="71">
        <v>0.8</v>
      </c>
      <c r="I11" s="72">
        <f t="shared" si="1"/>
        <v>0</v>
      </c>
      <c r="K11" s="70"/>
      <c r="L11" s="71">
        <v>3.0000000000000027E-2</v>
      </c>
      <c r="M11" s="72">
        <f t="shared" si="2"/>
        <v>0</v>
      </c>
      <c r="N11" s="63"/>
      <c r="O11" s="73" t="s">
        <v>139</v>
      </c>
      <c r="P11" s="74">
        <f t="shared" si="3"/>
        <v>0</v>
      </c>
      <c r="Q11" s="75"/>
    </row>
    <row r="12" spans="2:17" x14ac:dyDescent="0.3">
      <c r="B12" s="69" t="s">
        <v>140</v>
      </c>
      <c r="C12" s="70"/>
      <c r="D12" s="71">
        <v>0.17</v>
      </c>
      <c r="E12" s="72">
        <f t="shared" si="0"/>
        <v>0</v>
      </c>
      <c r="G12" s="70"/>
      <c r="H12" s="71">
        <v>0.8</v>
      </c>
      <c r="I12" s="72">
        <f t="shared" si="1"/>
        <v>0</v>
      </c>
      <c r="K12" s="70"/>
      <c r="L12" s="71">
        <v>3.0000000000000027E-2</v>
      </c>
      <c r="M12" s="72">
        <f t="shared" si="2"/>
        <v>0</v>
      </c>
      <c r="N12" s="63"/>
      <c r="O12" s="73" t="s">
        <v>140</v>
      </c>
      <c r="P12" s="74">
        <f t="shared" si="3"/>
        <v>0</v>
      </c>
      <c r="Q12" s="75"/>
    </row>
    <row r="13" spans="2:17" x14ac:dyDescent="0.3">
      <c r="B13" s="69" t="s">
        <v>141</v>
      </c>
      <c r="C13" s="70"/>
      <c r="D13" s="71">
        <v>0.17</v>
      </c>
      <c r="E13" s="72">
        <f t="shared" si="0"/>
        <v>0</v>
      </c>
      <c r="G13" s="70"/>
      <c r="H13" s="71">
        <v>0.8</v>
      </c>
      <c r="I13" s="72">
        <f t="shared" si="1"/>
        <v>0</v>
      </c>
      <c r="K13" s="70"/>
      <c r="L13" s="71">
        <v>3.0000000000000027E-2</v>
      </c>
      <c r="M13" s="72">
        <f t="shared" si="2"/>
        <v>0</v>
      </c>
      <c r="N13" s="63"/>
      <c r="O13" s="73" t="s">
        <v>141</v>
      </c>
      <c r="P13" s="74">
        <f t="shared" si="3"/>
        <v>0</v>
      </c>
      <c r="Q13" s="75"/>
    </row>
    <row r="14" spans="2:17" x14ac:dyDescent="0.3">
      <c r="B14" s="69" t="s">
        <v>142</v>
      </c>
      <c r="C14" s="70"/>
      <c r="D14" s="71">
        <v>0.17</v>
      </c>
      <c r="E14" s="72">
        <f t="shared" si="0"/>
        <v>0</v>
      </c>
      <c r="G14" s="70"/>
      <c r="H14" s="71">
        <v>0.8</v>
      </c>
      <c r="I14" s="72">
        <f t="shared" si="1"/>
        <v>0</v>
      </c>
      <c r="K14" s="70"/>
      <c r="L14" s="71">
        <v>3.0000000000000027E-2</v>
      </c>
      <c r="M14" s="72">
        <f t="shared" si="2"/>
        <v>0</v>
      </c>
      <c r="N14" s="63"/>
      <c r="O14" s="73" t="s">
        <v>142</v>
      </c>
      <c r="P14" s="74">
        <f t="shared" si="3"/>
        <v>0</v>
      </c>
      <c r="Q14" s="75"/>
    </row>
    <row r="15" spans="2:17" x14ac:dyDescent="0.3">
      <c r="B15" s="69" t="s">
        <v>143</v>
      </c>
      <c r="C15" s="70"/>
      <c r="D15" s="71">
        <v>0.17</v>
      </c>
      <c r="E15" s="72">
        <f t="shared" si="0"/>
        <v>0</v>
      </c>
      <c r="G15" s="70"/>
      <c r="H15" s="71">
        <v>0.8</v>
      </c>
      <c r="I15" s="72">
        <f t="shared" si="1"/>
        <v>0</v>
      </c>
      <c r="K15" s="70"/>
      <c r="L15" s="71">
        <v>3.0000000000000027E-2</v>
      </c>
      <c r="M15" s="72">
        <f t="shared" si="2"/>
        <v>0</v>
      </c>
      <c r="N15" s="63"/>
      <c r="O15" s="73" t="s">
        <v>143</v>
      </c>
      <c r="P15" s="74">
        <f t="shared" si="3"/>
        <v>0</v>
      </c>
      <c r="Q15" s="75"/>
    </row>
    <row r="16" spans="2:17" x14ac:dyDescent="0.3">
      <c r="B16" s="69" t="s">
        <v>144</v>
      </c>
      <c r="C16" s="70"/>
      <c r="D16" s="71">
        <v>0.17</v>
      </c>
      <c r="E16" s="72">
        <f t="shared" si="0"/>
        <v>0</v>
      </c>
      <c r="G16" s="70"/>
      <c r="H16" s="71">
        <v>0.8</v>
      </c>
      <c r="I16" s="72">
        <f t="shared" si="1"/>
        <v>0</v>
      </c>
      <c r="K16" s="70"/>
      <c r="L16" s="71">
        <v>3.0000000000000027E-2</v>
      </c>
      <c r="M16" s="72">
        <f t="shared" si="2"/>
        <v>0</v>
      </c>
      <c r="N16" s="63"/>
      <c r="O16" s="73" t="s">
        <v>144</v>
      </c>
      <c r="P16" s="74">
        <f t="shared" si="3"/>
        <v>0</v>
      </c>
      <c r="Q16" s="75"/>
    </row>
    <row r="17" spans="2:15" x14ac:dyDescent="0.3">
      <c r="N17" s="63"/>
      <c r="O17" s="63"/>
    </row>
    <row r="18" spans="2:15" ht="15.6" x14ac:dyDescent="0.3">
      <c r="B18" s="42" t="s">
        <v>145</v>
      </c>
      <c r="N18" s="63"/>
    </row>
    <row r="19" spans="2:15" x14ac:dyDescent="0.3">
      <c r="N19" s="63"/>
    </row>
    <row r="20" spans="2:15" x14ac:dyDescent="0.3">
      <c r="N20" s="63"/>
    </row>
    <row r="21" spans="2:15" x14ac:dyDescent="0.3">
      <c r="N21" s="63"/>
    </row>
    <row r="22" spans="2:15" x14ac:dyDescent="0.3">
      <c r="N22" s="63"/>
    </row>
  </sheetData>
  <mergeCells count="6">
    <mergeCell ref="P5:P6"/>
    <mergeCell ref="B5:B6"/>
    <mergeCell ref="C5:E5"/>
    <mergeCell ref="G5:I5"/>
    <mergeCell ref="K5:M5"/>
    <mergeCell ref="O5:O6"/>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196AE-C365-421F-B49E-C352120020CC}">
  <sheetPr>
    <tabColor theme="2" tint="-0.249977111117893"/>
  </sheetPr>
  <dimension ref="B1:L28"/>
  <sheetViews>
    <sheetView showGridLines="0" zoomScale="90" zoomScaleNormal="90" workbookViewId="0">
      <selection activeCell="B20" sqref="B20"/>
    </sheetView>
  </sheetViews>
  <sheetFormatPr defaultRowHeight="14.4" x14ac:dyDescent="0.3"/>
  <cols>
    <col min="2" max="2" width="53.88671875" customWidth="1"/>
    <col min="3" max="12" width="16.33203125" customWidth="1"/>
  </cols>
  <sheetData>
    <row r="1" spans="2:12" x14ac:dyDescent="0.3">
      <c r="B1" s="61" t="s">
        <v>1</v>
      </c>
      <c r="C1" s="63"/>
      <c r="D1" s="63"/>
      <c r="E1" s="63"/>
      <c r="F1" s="63"/>
      <c r="G1" s="63"/>
      <c r="H1" s="63"/>
      <c r="I1" s="63"/>
      <c r="J1" s="63"/>
      <c r="K1" s="63"/>
      <c r="L1" s="63"/>
    </row>
    <row r="2" spans="2:12" x14ac:dyDescent="0.3">
      <c r="B2" s="61" t="s">
        <v>165</v>
      </c>
      <c r="C2" s="63"/>
      <c r="D2" s="63"/>
      <c r="E2" s="63"/>
      <c r="F2" s="63"/>
      <c r="G2" s="63"/>
      <c r="H2" s="63"/>
      <c r="I2" s="63"/>
      <c r="J2" s="63"/>
      <c r="K2" s="63"/>
      <c r="L2" s="63"/>
    </row>
    <row r="3" spans="2:12" x14ac:dyDescent="0.3">
      <c r="B3" s="66"/>
      <c r="C3" s="63"/>
      <c r="D3" s="63"/>
      <c r="E3" s="63"/>
      <c r="F3" s="63"/>
      <c r="G3" s="63"/>
      <c r="H3" s="63"/>
      <c r="I3" s="63"/>
      <c r="J3" s="63"/>
      <c r="K3" s="63"/>
      <c r="L3" s="63"/>
    </row>
    <row r="4" spans="2:12" ht="15" thickBot="1" x14ac:dyDescent="0.35">
      <c r="B4" s="63"/>
      <c r="C4" s="63"/>
      <c r="D4" s="63"/>
      <c r="E4" s="63"/>
      <c r="F4" s="63"/>
      <c r="G4" s="63"/>
      <c r="H4" s="63"/>
      <c r="I4" s="63"/>
      <c r="J4" s="63"/>
      <c r="K4" s="63"/>
      <c r="L4" s="63"/>
    </row>
    <row r="5" spans="2:12" ht="15" thickBot="1" x14ac:dyDescent="0.35">
      <c r="B5" s="126" t="s">
        <v>164</v>
      </c>
      <c r="C5" s="127"/>
      <c r="D5" s="127"/>
      <c r="E5" s="127"/>
      <c r="F5" s="127"/>
      <c r="G5" s="127"/>
      <c r="H5" s="127"/>
      <c r="I5" s="127"/>
      <c r="J5" s="127"/>
      <c r="K5" s="127"/>
      <c r="L5" s="128"/>
    </row>
    <row r="6" spans="2:12" s="84" customFormat="1" ht="39" customHeight="1" thickBot="1" x14ac:dyDescent="0.35">
      <c r="B6" s="85" t="s">
        <v>163</v>
      </c>
      <c r="C6" s="85" t="s">
        <v>4</v>
      </c>
      <c r="D6" s="85" t="s">
        <v>5</v>
      </c>
      <c r="E6" s="85" t="s">
        <v>6</v>
      </c>
      <c r="F6" s="85" t="s">
        <v>7</v>
      </c>
      <c r="G6" s="85" t="s">
        <v>8</v>
      </c>
      <c r="H6" s="85" t="s">
        <v>9</v>
      </c>
      <c r="I6" s="85" t="s">
        <v>10</v>
      </c>
      <c r="J6" s="85" t="s">
        <v>11</v>
      </c>
      <c r="K6" s="85" t="s">
        <v>12</v>
      </c>
      <c r="L6" s="85" t="s">
        <v>13</v>
      </c>
    </row>
    <row r="7" spans="2:12" ht="16.95" customHeight="1" x14ac:dyDescent="0.3">
      <c r="B7" s="78" t="s">
        <v>162</v>
      </c>
      <c r="C7" s="81"/>
      <c r="D7" s="81"/>
      <c r="E7" s="81"/>
      <c r="F7" s="81"/>
      <c r="G7" s="81"/>
      <c r="H7" s="81"/>
      <c r="I7" s="81"/>
      <c r="J7" s="81"/>
      <c r="K7" s="81"/>
      <c r="L7" s="81"/>
    </row>
    <row r="8" spans="2:12" ht="16.95" customHeight="1" x14ac:dyDescent="0.3">
      <c r="B8" s="78" t="s">
        <v>161</v>
      </c>
      <c r="C8" s="81"/>
      <c r="D8" s="81"/>
      <c r="E8" s="81"/>
      <c r="F8" s="81"/>
      <c r="G8" s="81"/>
      <c r="H8" s="81"/>
      <c r="I8" s="81"/>
      <c r="J8" s="81"/>
      <c r="K8" s="81"/>
      <c r="L8" s="81"/>
    </row>
    <row r="9" spans="2:12" ht="16.95" customHeight="1" x14ac:dyDescent="0.3">
      <c r="B9" s="78" t="s">
        <v>160</v>
      </c>
      <c r="C9" s="81"/>
      <c r="D9" s="81"/>
      <c r="E9" s="81"/>
      <c r="F9" s="81"/>
      <c r="G9" s="81"/>
      <c r="H9" s="81"/>
      <c r="I9" s="81"/>
      <c r="J9" s="81"/>
      <c r="K9" s="81"/>
      <c r="L9" s="81"/>
    </row>
    <row r="10" spans="2:12" ht="16.95" customHeight="1" x14ac:dyDescent="0.3">
      <c r="B10" s="78" t="s">
        <v>159</v>
      </c>
      <c r="C10" s="81"/>
      <c r="D10" s="81"/>
      <c r="E10" s="81"/>
      <c r="F10" s="81"/>
      <c r="G10" s="81"/>
      <c r="H10" s="81"/>
      <c r="I10" s="81"/>
      <c r="J10" s="81"/>
      <c r="K10" s="81"/>
      <c r="L10" s="81"/>
    </row>
    <row r="11" spans="2:12" ht="16.95" customHeight="1" x14ac:dyDescent="0.3">
      <c r="B11" s="78" t="s">
        <v>158</v>
      </c>
      <c r="C11" s="81"/>
      <c r="D11" s="81"/>
      <c r="E11" s="81"/>
      <c r="F11" s="81"/>
      <c r="G11" s="81"/>
      <c r="H11" s="81"/>
      <c r="I11" s="81"/>
      <c r="J11" s="81"/>
      <c r="K11" s="81"/>
      <c r="L11" s="81"/>
    </row>
    <row r="12" spans="2:12" ht="16.95" customHeight="1" x14ac:dyDescent="0.3">
      <c r="B12" s="78" t="s">
        <v>157</v>
      </c>
      <c r="C12" s="81"/>
      <c r="D12" s="81"/>
      <c r="E12" s="81"/>
      <c r="F12" s="81"/>
      <c r="G12" s="81"/>
      <c r="H12" s="81"/>
      <c r="I12" s="81"/>
      <c r="J12" s="81"/>
      <c r="K12" s="81"/>
      <c r="L12" s="81"/>
    </row>
    <row r="13" spans="2:12" ht="16.95" customHeight="1" x14ac:dyDescent="0.3">
      <c r="B13" s="78" t="s">
        <v>156</v>
      </c>
      <c r="C13" s="81"/>
      <c r="D13" s="81"/>
      <c r="E13" s="81"/>
      <c r="F13" s="81"/>
      <c r="G13" s="81"/>
      <c r="H13" s="81"/>
      <c r="I13" s="81"/>
      <c r="J13" s="81"/>
      <c r="K13" s="81"/>
      <c r="L13" s="81"/>
    </row>
    <row r="14" spans="2:12" ht="16.95" customHeight="1" x14ac:dyDescent="0.3">
      <c r="B14" s="78" t="s">
        <v>155</v>
      </c>
      <c r="C14" s="81"/>
      <c r="D14" s="81"/>
      <c r="E14" s="81"/>
      <c r="F14" s="81"/>
      <c r="G14" s="81"/>
      <c r="H14" s="81"/>
      <c r="I14" s="81"/>
      <c r="J14" s="81"/>
      <c r="K14" s="81"/>
      <c r="L14" s="81"/>
    </row>
    <row r="15" spans="2:12" ht="16.95" customHeight="1" x14ac:dyDescent="0.3">
      <c r="B15" s="78" t="s">
        <v>154</v>
      </c>
      <c r="C15" s="81"/>
      <c r="D15" s="81"/>
      <c r="E15" s="81"/>
      <c r="F15" s="81"/>
      <c r="G15" s="81"/>
      <c r="H15" s="81"/>
      <c r="I15" s="81"/>
      <c r="J15" s="81"/>
      <c r="K15" s="81"/>
      <c r="L15" s="81"/>
    </row>
    <row r="16" spans="2:12" ht="16.95" customHeight="1" x14ac:dyDescent="0.3">
      <c r="B16" s="78" t="s">
        <v>153</v>
      </c>
      <c r="C16" s="81"/>
      <c r="D16" s="81"/>
      <c r="E16" s="81"/>
      <c r="F16" s="81"/>
      <c r="G16" s="81"/>
      <c r="H16" s="81"/>
      <c r="I16" s="81"/>
      <c r="J16" s="81"/>
      <c r="K16" s="81"/>
      <c r="L16" s="81"/>
    </row>
    <row r="17" spans="2:12" ht="16.95" customHeight="1" x14ac:dyDescent="0.3">
      <c r="B17" s="78" t="s">
        <v>152</v>
      </c>
      <c r="C17" s="81"/>
      <c r="D17" s="81"/>
      <c r="E17" s="81"/>
      <c r="F17" s="81"/>
      <c r="G17" s="81"/>
      <c r="H17" s="81"/>
      <c r="I17" s="81"/>
      <c r="J17" s="81"/>
      <c r="K17" s="81"/>
      <c r="L17" s="81"/>
    </row>
    <row r="18" spans="2:12" ht="16.95" customHeight="1" x14ac:dyDescent="0.3">
      <c r="B18" s="78" t="s">
        <v>151</v>
      </c>
      <c r="C18" s="81"/>
      <c r="D18" s="81"/>
      <c r="E18" s="81"/>
      <c r="F18" s="81"/>
      <c r="G18" s="81"/>
      <c r="H18" s="81"/>
      <c r="I18" s="81"/>
      <c r="J18" s="81"/>
      <c r="K18" s="81"/>
      <c r="L18" s="81"/>
    </row>
    <row r="19" spans="2:12" ht="16.95" customHeight="1" x14ac:dyDescent="0.3">
      <c r="B19" s="78" t="s">
        <v>150</v>
      </c>
      <c r="C19" s="81"/>
      <c r="D19" s="81"/>
      <c r="E19" s="81"/>
      <c r="F19" s="81"/>
      <c r="G19" s="81"/>
      <c r="H19" s="81"/>
      <c r="I19" s="81"/>
      <c r="J19" s="81"/>
      <c r="K19" s="81"/>
      <c r="L19" s="81"/>
    </row>
    <row r="20" spans="2:12" s="82" customFormat="1" ht="16.95" customHeight="1" x14ac:dyDescent="0.3">
      <c r="B20" s="78" t="s">
        <v>149</v>
      </c>
      <c r="C20" s="83"/>
      <c r="D20" s="83"/>
      <c r="E20" s="83"/>
      <c r="F20" s="83"/>
      <c r="G20" s="83"/>
      <c r="H20" s="83"/>
      <c r="I20" s="83"/>
      <c r="J20" s="83"/>
      <c r="K20" s="83"/>
      <c r="L20" s="83"/>
    </row>
    <row r="21" spans="2:12" ht="16.95" customHeight="1" x14ac:dyDescent="0.3">
      <c r="B21" s="78" t="s">
        <v>148</v>
      </c>
      <c r="C21" s="81"/>
      <c r="D21" s="81"/>
      <c r="E21" s="81"/>
      <c r="F21" s="81"/>
      <c r="G21" s="81"/>
      <c r="H21" s="81"/>
      <c r="I21" s="81"/>
      <c r="J21" s="81"/>
      <c r="K21" s="81"/>
      <c r="L21" s="81"/>
    </row>
    <row r="22" spans="2:12" ht="15" thickBot="1" x14ac:dyDescent="0.35">
      <c r="B22" s="80" t="s">
        <v>147</v>
      </c>
      <c r="C22" s="79">
        <f t="shared" ref="C22:L22" si="0">SUM(C7:C21)</f>
        <v>0</v>
      </c>
      <c r="D22" s="79">
        <f t="shared" si="0"/>
        <v>0</v>
      </c>
      <c r="E22" s="79">
        <f t="shared" si="0"/>
        <v>0</v>
      </c>
      <c r="F22" s="79">
        <f t="shared" si="0"/>
        <v>0</v>
      </c>
      <c r="G22" s="79">
        <f t="shared" si="0"/>
        <v>0</v>
      </c>
      <c r="H22" s="79">
        <f t="shared" si="0"/>
        <v>0</v>
      </c>
      <c r="I22" s="79">
        <f t="shared" si="0"/>
        <v>0</v>
      </c>
      <c r="J22" s="79">
        <f t="shared" si="0"/>
        <v>0</v>
      </c>
      <c r="K22" s="79">
        <f t="shared" si="0"/>
        <v>0</v>
      </c>
      <c r="L22" s="79">
        <f t="shared" si="0"/>
        <v>0</v>
      </c>
    </row>
    <row r="23" spans="2:12" x14ac:dyDescent="0.3">
      <c r="B23" s="78"/>
    </row>
    <row r="24" spans="2:12" x14ac:dyDescent="0.3">
      <c r="B24" s="78" t="s">
        <v>190</v>
      </c>
    </row>
    <row r="25" spans="2:12" x14ac:dyDescent="0.3">
      <c r="B25" s="78" t="s">
        <v>146</v>
      </c>
    </row>
    <row r="26" spans="2:12" x14ac:dyDescent="0.3">
      <c r="B26" s="77"/>
    </row>
    <row r="28" spans="2:12" x14ac:dyDescent="0.3">
      <c r="B28" s="76"/>
    </row>
  </sheetData>
  <mergeCells count="1">
    <mergeCell ref="B5:L5"/>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FEB44-6B84-404F-B504-DF69CA970D58}">
  <sheetPr>
    <tabColor theme="2" tint="-0.499984740745262"/>
  </sheetPr>
  <dimension ref="A1:K12"/>
  <sheetViews>
    <sheetView showGridLines="0" zoomScale="90" zoomScaleNormal="90" workbookViewId="0">
      <selection activeCell="E21" sqref="E21"/>
    </sheetView>
  </sheetViews>
  <sheetFormatPr defaultRowHeight="14.4" x14ac:dyDescent="0.3"/>
  <cols>
    <col min="2" max="2" width="63.88671875" customWidth="1"/>
    <col min="3" max="3" width="13.6640625" customWidth="1"/>
    <col min="4" max="4" width="14.5546875" customWidth="1"/>
    <col min="5" max="5" width="13" customWidth="1"/>
  </cols>
  <sheetData>
    <row r="1" spans="1:11" ht="15.6" x14ac:dyDescent="0.3">
      <c r="A1" s="61"/>
      <c r="B1" s="61" t="s">
        <v>1</v>
      </c>
      <c r="C1" s="95" t="s">
        <v>3</v>
      </c>
      <c r="D1" s="63"/>
      <c r="E1" s="110"/>
      <c r="F1" s="63"/>
      <c r="G1" s="63"/>
      <c r="H1" s="63"/>
      <c r="I1" s="63"/>
      <c r="J1" s="63"/>
      <c r="K1" s="63"/>
    </row>
    <row r="2" spans="1:11" x14ac:dyDescent="0.3">
      <c r="A2" s="61"/>
      <c r="B2" s="61" t="s">
        <v>189</v>
      </c>
      <c r="C2" s="63"/>
      <c r="D2" s="63"/>
      <c r="E2" s="63"/>
      <c r="F2" s="63"/>
      <c r="G2" s="63"/>
      <c r="H2" s="63"/>
      <c r="I2" s="63"/>
      <c r="J2" s="63"/>
      <c r="K2" s="63"/>
    </row>
    <row r="3" spans="1:11" ht="15" thickBot="1" x14ac:dyDescent="0.35"/>
    <row r="4" spans="1:11" ht="16.2" thickBot="1" x14ac:dyDescent="0.35">
      <c r="B4" s="129" t="s">
        <v>177</v>
      </c>
      <c r="C4" s="130"/>
      <c r="D4" s="130"/>
      <c r="E4" s="131"/>
    </row>
    <row r="5" spans="1:11" ht="29.4" customHeight="1" thickBot="1" x14ac:dyDescent="0.35">
      <c r="B5" s="105" t="s">
        <v>176</v>
      </c>
      <c r="C5" s="105" t="s">
        <v>20</v>
      </c>
      <c r="D5" s="105" t="s">
        <v>116</v>
      </c>
      <c r="E5" s="105" t="s">
        <v>175</v>
      </c>
    </row>
    <row r="6" spans="1:11" ht="15.6" x14ac:dyDescent="0.3">
      <c r="B6" s="106"/>
      <c r="C6" s="26"/>
      <c r="D6" s="26"/>
      <c r="E6" s="107"/>
    </row>
    <row r="7" spans="1:11" ht="16.8" customHeight="1" x14ac:dyDescent="0.3">
      <c r="B7" s="106" t="s">
        <v>192</v>
      </c>
      <c r="C7" s="41" t="s">
        <v>174</v>
      </c>
      <c r="D7" s="41" t="s">
        <v>174</v>
      </c>
      <c r="E7" s="108"/>
    </row>
    <row r="8" spans="1:11" ht="16.8" customHeight="1" x14ac:dyDescent="0.3">
      <c r="B8" s="106" t="s">
        <v>194</v>
      </c>
      <c r="C8" s="109">
        <v>1000000</v>
      </c>
      <c r="D8" s="110"/>
      <c r="E8" s="111">
        <f>C8*D8</f>
        <v>0</v>
      </c>
    </row>
    <row r="9" spans="1:11" ht="16.8" customHeight="1" thickBot="1" x14ac:dyDescent="0.35">
      <c r="B9" s="112"/>
      <c r="C9" s="113"/>
      <c r="D9" s="114" t="s">
        <v>195</v>
      </c>
      <c r="E9" s="115">
        <f>SUM(E7:E8)</f>
        <v>0</v>
      </c>
    </row>
    <row r="10" spans="1:11" ht="15.6" x14ac:dyDescent="0.3">
      <c r="B10" s="14"/>
      <c r="C10" s="14"/>
      <c r="D10" s="14"/>
      <c r="E10" s="14"/>
    </row>
    <row r="11" spans="1:11" ht="15.6" x14ac:dyDescent="0.3">
      <c r="B11" s="26" t="s">
        <v>191</v>
      </c>
      <c r="C11" s="14"/>
      <c r="D11" s="14"/>
      <c r="E11" s="14"/>
    </row>
    <row r="12" spans="1:11" ht="15.6" x14ac:dyDescent="0.3">
      <c r="B12" s="14"/>
      <c r="C12" s="14"/>
      <c r="D12" s="14"/>
      <c r="E12" s="14"/>
    </row>
  </sheetData>
  <mergeCells count="1">
    <mergeCell ref="B4:E4"/>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827FC-F7BD-4C9C-8A8F-6169A3D1AADA}">
  <sheetPr>
    <tabColor theme="1"/>
  </sheetPr>
  <dimension ref="A1:S23"/>
  <sheetViews>
    <sheetView showGridLines="0" tabSelected="1" zoomScale="90" zoomScaleNormal="90" workbookViewId="0">
      <selection activeCell="L30" sqref="L30"/>
    </sheetView>
  </sheetViews>
  <sheetFormatPr defaultRowHeight="14.4" x14ac:dyDescent="0.3"/>
  <cols>
    <col min="1" max="1" width="3" customWidth="1"/>
    <col min="2" max="2" width="11.44140625" customWidth="1"/>
    <col min="3" max="3" width="18.109375" customWidth="1"/>
    <col min="4" max="4" width="12" customWidth="1"/>
    <col min="5" max="5" width="21.109375" customWidth="1"/>
    <col min="6" max="6" width="1.5546875" customWidth="1"/>
    <col min="7" max="7" width="17.44140625" customWidth="1"/>
    <col min="8" max="8" width="11.88671875" customWidth="1"/>
    <col min="9" max="9" width="19.5546875" customWidth="1"/>
    <col min="10" max="10" width="2.77734375" customWidth="1"/>
    <col min="11" max="11" width="17.109375" customWidth="1"/>
    <col min="12" max="12" width="12.44140625" customWidth="1"/>
    <col min="13" max="13" width="19.5546875" customWidth="1"/>
    <col min="14" max="14" width="2.6640625" customWidth="1"/>
    <col min="15" max="15" width="3.6640625" customWidth="1"/>
    <col min="16" max="16" width="11.6640625" customWidth="1"/>
    <col min="17" max="17" width="18.33203125" customWidth="1"/>
  </cols>
  <sheetData>
    <row r="1" spans="1:19" ht="15.6" x14ac:dyDescent="0.3">
      <c r="A1" s="96" t="s">
        <v>1</v>
      </c>
      <c r="B1" s="63"/>
      <c r="C1" s="63"/>
      <c r="D1" s="96"/>
      <c r="G1" s="44" t="s">
        <v>3</v>
      </c>
      <c r="H1" s="70"/>
      <c r="I1" s="63"/>
      <c r="J1" s="63"/>
      <c r="K1" s="63"/>
      <c r="L1" s="63"/>
      <c r="M1" s="63"/>
      <c r="N1" s="63"/>
      <c r="O1" s="63"/>
      <c r="P1" s="63"/>
      <c r="Q1" s="61"/>
    </row>
    <row r="2" spans="1:19" ht="15.6" x14ac:dyDescent="0.3">
      <c r="A2" s="96" t="s">
        <v>173</v>
      </c>
      <c r="B2" s="63"/>
      <c r="C2" s="63"/>
      <c r="D2" s="63"/>
      <c r="E2" s="63"/>
      <c r="F2" s="63"/>
      <c r="G2" s="63"/>
      <c r="H2" s="63"/>
      <c r="I2" s="63"/>
      <c r="J2" s="63"/>
      <c r="K2" s="63"/>
      <c r="L2" s="63"/>
      <c r="M2" s="63"/>
      <c r="N2" s="63"/>
      <c r="O2" s="63"/>
      <c r="P2" s="63"/>
      <c r="Q2" s="61"/>
    </row>
    <row r="3" spans="1:19" ht="15.6" x14ac:dyDescent="0.3">
      <c r="A3" s="95"/>
      <c r="B3" s="63"/>
      <c r="C3" s="63"/>
      <c r="D3" s="63"/>
      <c r="E3" s="63"/>
      <c r="F3" s="63"/>
      <c r="G3" s="63"/>
      <c r="H3" s="63"/>
      <c r="I3" s="63"/>
      <c r="J3" s="63"/>
      <c r="K3" s="63"/>
      <c r="L3" s="63"/>
      <c r="M3" s="63"/>
      <c r="N3" s="63"/>
      <c r="O3" s="63"/>
      <c r="P3" s="63"/>
      <c r="Q3" s="61"/>
    </row>
    <row r="4" spans="1:19" ht="15.6" x14ac:dyDescent="0.3">
      <c r="A4" s="95"/>
      <c r="B4" s="63"/>
      <c r="C4" s="63"/>
      <c r="D4" s="63"/>
      <c r="E4" s="63"/>
      <c r="F4" s="63"/>
      <c r="G4" s="63"/>
      <c r="H4" s="63"/>
      <c r="I4" s="63"/>
      <c r="J4" s="63"/>
      <c r="K4" s="63"/>
      <c r="L4" s="63"/>
      <c r="M4" s="63"/>
      <c r="N4" s="63"/>
      <c r="O4" s="63"/>
      <c r="P4" s="63"/>
      <c r="Q4" s="61"/>
    </row>
    <row r="5" spans="1:19" ht="15" customHeight="1" x14ac:dyDescent="0.3">
      <c r="A5" s="63"/>
      <c r="B5" s="120" t="s">
        <v>127</v>
      </c>
      <c r="C5" s="120" t="s">
        <v>134</v>
      </c>
      <c r="D5" s="120"/>
      <c r="E5" s="120"/>
      <c r="F5" s="63"/>
      <c r="G5" s="120" t="s">
        <v>170</v>
      </c>
      <c r="H5" s="120"/>
      <c r="I5" s="120"/>
      <c r="J5" s="63"/>
      <c r="K5" s="120" t="s">
        <v>188</v>
      </c>
      <c r="L5" s="120"/>
      <c r="M5" s="120"/>
      <c r="N5" s="63"/>
      <c r="O5" s="63"/>
      <c r="P5" s="122" t="s">
        <v>166</v>
      </c>
      <c r="Q5" s="123"/>
      <c r="R5" s="63"/>
    </row>
    <row r="6" spans="1:19" ht="27.6" x14ac:dyDescent="0.3">
      <c r="A6" s="88"/>
      <c r="B6" s="120"/>
      <c r="C6" s="68" t="s">
        <v>172</v>
      </c>
      <c r="D6" s="67" t="s">
        <v>133</v>
      </c>
      <c r="E6" s="68" t="s">
        <v>134</v>
      </c>
      <c r="F6" s="63"/>
      <c r="G6" s="68" t="s">
        <v>171</v>
      </c>
      <c r="H6" s="67" t="s">
        <v>133</v>
      </c>
      <c r="I6" s="68" t="s">
        <v>170</v>
      </c>
      <c r="J6" s="63"/>
      <c r="K6" s="68" t="s">
        <v>187</v>
      </c>
      <c r="L6" s="67" t="s">
        <v>133</v>
      </c>
      <c r="M6" s="68" t="s">
        <v>170</v>
      </c>
      <c r="N6" s="63"/>
      <c r="O6" s="63"/>
      <c r="P6" s="67" t="s">
        <v>127</v>
      </c>
      <c r="Q6" s="68" t="s">
        <v>169</v>
      </c>
    </row>
    <row r="7" spans="1:19" x14ac:dyDescent="0.3">
      <c r="A7" s="88"/>
      <c r="B7" s="69" t="s">
        <v>135</v>
      </c>
      <c r="C7" s="70"/>
      <c r="D7" s="71">
        <v>0.4</v>
      </c>
      <c r="E7" s="72">
        <f t="shared" ref="E7:E16" si="0">C7*D7</f>
        <v>0</v>
      </c>
      <c r="F7" s="63"/>
      <c r="G7" s="70"/>
      <c r="H7" s="71">
        <v>0.45</v>
      </c>
      <c r="I7" s="72">
        <f t="shared" ref="I7:I16" si="1">G7*H7</f>
        <v>0</v>
      </c>
      <c r="J7" s="63"/>
      <c r="K7" s="70"/>
      <c r="L7" s="71">
        <v>0.15</v>
      </c>
      <c r="M7" s="72">
        <f>K7*L7</f>
        <v>0</v>
      </c>
      <c r="N7" s="63"/>
      <c r="O7" s="93"/>
      <c r="P7" s="71" t="s">
        <v>135</v>
      </c>
      <c r="Q7" s="72">
        <f>SUM(M7,I7,E7)</f>
        <v>0</v>
      </c>
      <c r="R7" s="92"/>
      <c r="S7" s="92"/>
    </row>
    <row r="8" spans="1:19" x14ac:dyDescent="0.3">
      <c r="A8" s="94"/>
      <c r="B8" s="69" t="s">
        <v>136</v>
      </c>
      <c r="C8" s="70"/>
      <c r="D8" s="71">
        <v>0.5</v>
      </c>
      <c r="E8" s="72">
        <f t="shared" si="0"/>
        <v>0</v>
      </c>
      <c r="F8" s="63"/>
      <c r="G8" s="70"/>
      <c r="H8" s="71">
        <v>0.5</v>
      </c>
      <c r="I8" s="72">
        <f t="shared" si="1"/>
        <v>0</v>
      </c>
      <c r="J8" s="63"/>
      <c r="K8" s="104"/>
      <c r="L8" s="71"/>
      <c r="M8" s="72"/>
      <c r="N8" s="63"/>
      <c r="O8" s="93"/>
      <c r="P8" s="71" t="s">
        <v>136</v>
      </c>
      <c r="Q8" s="72">
        <f t="shared" ref="Q8:Q16" si="2">SUM(M8,I8,E8)</f>
        <v>0</v>
      </c>
      <c r="R8" s="92"/>
      <c r="S8" s="92"/>
    </row>
    <row r="9" spans="1:19" x14ac:dyDescent="0.3">
      <c r="A9" s="94"/>
      <c r="B9" s="69" t="s">
        <v>137</v>
      </c>
      <c r="C9" s="70"/>
      <c r="D9" s="71">
        <v>0.44999999999999996</v>
      </c>
      <c r="E9" s="72">
        <f t="shared" si="0"/>
        <v>0</v>
      </c>
      <c r="F9" s="63"/>
      <c r="G9" s="70"/>
      <c r="H9" s="71">
        <v>0.55000000000000004</v>
      </c>
      <c r="I9" s="72">
        <f t="shared" si="1"/>
        <v>0</v>
      </c>
      <c r="J9" s="63"/>
      <c r="K9" s="104"/>
      <c r="L9" s="71"/>
      <c r="M9" s="72"/>
      <c r="N9" s="63"/>
      <c r="O9" s="93"/>
      <c r="P9" s="71" t="s">
        <v>137</v>
      </c>
      <c r="Q9" s="72">
        <f t="shared" si="2"/>
        <v>0</v>
      </c>
      <c r="R9" s="92"/>
      <c r="S9" s="92"/>
    </row>
    <row r="10" spans="1:19" x14ac:dyDescent="0.3">
      <c r="A10" s="94"/>
      <c r="B10" s="69" t="s">
        <v>138</v>
      </c>
      <c r="C10" s="70"/>
      <c r="D10" s="71">
        <v>0.44999999999999996</v>
      </c>
      <c r="E10" s="72">
        <f t="shared" si="0"/>
        <v>0</v>
      </c>
      <c r="F10" s="63"/>
      <c r="G10" s="70"/>
      <c r="H10" s="71">
        <v>0.55000000000000004</v>
      </c>
      <c r="I10" s="72">
        <f t="shared" si="1"/>
        <v>0</v>
      </c>
      <c r="J10" s="63"/>
      <c r="K10" s="104"/>
      <c r="L10" s="71"/>
      <c r="M10" s="72"/>
      <c r="N10" s="63"/>
      <c r="O10" s="93"/>
      <c r="P10" s="71" t="s">
        <v>138</v>
      </c>
      <c r="Q10" s="72">
        <f t="shared" si="2"/>
        <v>0</v>
      </c>
      <c r="R10" s="92"/>
      <c r="S10" s="92"/>
    </row>
    <row r="11" spans="1:19" x14ac:dyDescent="0.3">
      <c r="A11" s="94"/>
      <c r="B11" s="69" t="s">
        <v>139</v>
      </c>
      <c r="C11" s="70"/>
      <c r="D11" s="71">
        <v>0.44999999999999996</v>
      </c>
      <c r="E11" s="72">
        <f t="shared" si="0"/>
        <v>0</v>
      </c>
      <c r="F11" s="63"/>
      <c r="G11" s="70"/>
      <c r="H11" s="71">
        <v>0.55000000000000004</v>
      </c>
      <c r="I11" s="72">
        <f t="shared" si="1"/>
        <v>0</v>
      </c>
      <c r="J11" s="63"/>
      <c r="K11" s="104"/>
      <c r="L11" s="71"/>
      <c r="M11" s="72"/>
      <c r="N11" s="63"/>
      <c r="O11" s="93"/>
      <c r="P11" s="71" t="s">
        <v>139</v>
      </c>
      <c r="Q11" s="72">
        <f t="shared" si="2"/>
        <v>0</v>
      </c>
      <c r="R11" s="92"/>
      <c r="S11" s="92"/>
    </row>
    <row r="12" spans="1:19" x14ac:dyDescent="0.3">
      <c r="A12" s="94"/>
      <c r="B12" s="69" t="s">
        <v>140</v>
      </c>
      <c r="C12" s="70"/>
      <c r="D12" s="71">
        <v>0.44999999999999996</v>
      </c>
      <c r="E12" s="72">
        <f t="shared" si="0"/>
        <v>0</v>
      </c>
      <c r="F12" s="63"/>
      <c r="G12" s="70"/>
      <c r="H12" s="71">
        <v>0.55000000000000004</v>
      </c>
      <c r="I12" s="72">
        <f t="shared" si="1"/>
        <v>0</v>
      </c>
      <c r="J12" s="63"/>
      <c r="K12" s="104"/>
      <c r="L12" s="71"/>
      <c r="M12" s="72"/>
      <c r="N12" s="63"/>
      <c r="O12" s="93"/>
      <c r="P12" s="71" t="s">
        <v>140</v>
      </c>
      <c r="Q12" s="72">
        <f t="shared" si="2"/>
        <v>0</v>
      </c>
      <c r="R12" s="92"/>
      <c r="S12" s="92"/>
    </row>
    <row r="13" spans="1:19" x14ac:dyDescent="0.3">
      <c r="A13" s="94"/>
      <c r="B13" s="69" t="s">
        <v>141</v>
      </c>
      <c r="C13" s="70"/>
      <c r="D13" s="71">
        <v>0.4</v>
      </c>
      <c r="E13" s="72">
        <f t="shared" si="0"/>
        <v>0</v>
      </c>
      <c r="F13" s="63"/>
      <c r="G13" s="70"/>
      <c r="H13" s="71">
        <v>0.6</v>
      </c>
      <c r="I13" s="72">
        <f t="shared" si="1"/>
        <v>0</v>
      </c>
      <c r="J13" s="63"/>
      <c r="K13" s="104"/>
      <c r="L13" s="71"/>
      <c r="M13" s="72"/>
      <c r="N13" s="63"/>
      <c r="O13" s="93"/>
      <c r="P13" s="71" t="s">
        <v>141</v>
      </c>
      <c r="Q13" s="72">
        <f t="shared" si="2"/>
        <v>0</v>
      </c>
      <c r="R13" s="92"/>
      <c r="S13" s="92"/>
    </row>
    <row r="14" spans="1:19" x14ac:dyDescent="0.3">
      <c r="A14" s="94"/>
      <c r="B14" s="69" t="s">
        <v>142</v>
      </c>
      <c r="C14" s="70"/>
      <c r="D14" s="71">
        <v>0.4</v>
      </c>
      <c r="E14" s="72">
        <f t="shared" si="0"/>
        <v>0</v>
      </c>
      <c r="F14" s="63"/>
      <c r="G14" s="70"/>
      <c r="H14" s="71">
        <v>0.6</v>
      </c>
      <c r="I14" s="72">
        <f t="shared" si="1"/>
        <v>0</v>
      </c>
      <c r="J14" s="63"/>
      <c r="K14" s="104"/>
      <c r="L14" s="71"/>
      <c r="M14" s="72"/>
      <c r="N14" s="63"/>
      <c r="O14" s="93"/>
      <c r="P14" s="71" t="s">
        <v>142</v>
      </c>
      <c r="Q14" s="72">
        <f t="shared" si="2"/>
        <v>0</v>
      </c>
      <c r="R14" s="92"/>
      <c r="S14" s="92"/>
    </row>
    <row r="15" spans="1:19" x14ac:dyDescent="0.3">
      <c r="A15" s="94"/>
      <c r="B15" s="69" t="s">
        <v>143</v>
      </c>
      <c r="C15" s="70"/>
      <c r="D15" s="71">
        <v>0.4</v>
      </c>
      <c r="E15" s="72">
        <f t="shared" si="0"/>
        <v>0</v>
      </c>
      <c r="F15" s="63"/>
      <c r="G15" s="70"/>
      <c r="H15" s="71">
        <v>0.6</v>
      </c>
      <c r="I15" s="72">
        <f t="shared" si="1"/>
        <v>0</v>
      </c>
      <c r="J15" s="63"/>
      <c r="K15" s="104"/>
      <c r="L15" s="71"/>
      <c r="M15" s="72"/>
      <c r="N15" s="63"/>
      <c r="O15" s="93"/>
      <c r="P15" s="71" t="s">
        <v>143</v>
      </c>
      <c r="Q15" s="72">
        <f t="shared" si="2"/>
        <v>0</v>
      </c>
      <c r="R15" s="92"/>
      <c r="S15" s="92"/>
    </row>
    <row r="16" spans="1:19" x14ac:dyDescent="0.3">
      <c r="A16" s="94"/>
      <c r="B16" s="69" t="s">
        <v>144</v>
      </c>
      <c r="C16" s="70"/>
      <c r="D16" s="71">
        <v>0.4</v>
      </c>
      <c r="E16" s="72">
        <f t="shared" si="0"/>
        <v>0</v>
      </c>
      <c r="F16" s="63"/>
      <c r="G16" s="70"/>
      <c r="H16" s="71">
        <v>0.6</v>
      </c>
      <c r="I16" s="72">
        <f t="shared" si="1"/>
        <v>0</v>
      </c>
      <c r="J16" s="63"/>
      <c r="K16" s="104"/>
      <c r="L16" s="71"/>
      <c r="M16" s="72"/>
      <c r="N16" s="63"/>
      <c r="O16" s="93"/>
      <c r="P16" s="71" t="s">
        <v>144</v>
      </c>
      <c r="Q16" s="72">
        <f t="shared" si="2"/>
        <v>0</v>
      </c>
      <c r="R16" s="92"/>
      <c r="S16" s="92"/>
    </row>
    <row r="17" spans="1:17" x14ac:dyDescent="0.3">
      <c r="A17" s="88"/>
      <c r="B17" s="63"/>
      <c r="C17" s="63"/>
      <c r="D17" s="63"/>
      <c r="E17" s="63"/>
      <c r="F17" s="63"/>
      <c r="G17" s="63"/>
      <c r="H17" s="63"/>
      <c r="I17" s="63"/>
      <c r="J17" s="63"/>
      <c r="K17" s="63"/>
      <c r="L17" s="63"/>
      <c r="M17" s="63"/>
      <c r="N17" s="63"/>
      <c r="O17" s="63"/>
      <c r="P17" s="63"/>
      <c r="Q17" s="61"/>
    </row>
    <row r="18" spans="1:17" x14ac:dyDescent="0.3">
      <c r="A18" s="88"/>
      <c r="B18" s="63"/>
      <c r="C18" s="63"/>
      <c r="D18" s="63"/>
      <c r="E18" s="62"/>
      <c r="F18" s="63"/>
      <c r="G18" s="63"/>
      <c r="H18" s="63"/>
      <c r="I18" s="62"/>
      <c r="J18" s="62"/>
      <c r="K18" s="62"/>
      <c r="L18" s="62"/>
      <c r="M18" s="62"/>
      <c r="N18" s="63"/>
      <c r="O18" s="63"/>
      <c r="P18" s="63"/>
      <c r="Q18" s="61"/>
    </row>
    <row r="19" spans="1:17" x14ac:dyDescent="0.3">
      <c r="A19" s="88"/>
      <c r="B19" s="63"/>
      <c r="C19" s="63"/>
      <c r="D19" s="63"/>
      <c r="E19" s="63"/>
      <c r="F19" s="63"/>
      <c r="G19" s="63"/>
      <c r="H19" s="63"/>
      <c r="I19" s="63"/>
      <c r="J19" s="63"/>
      <c r="K19" s="63"/>
      <c r="L19" s="63"/>
      <c r="M19" s="63"/>
      <c r="N19" s="63"/>
      <c r="O19" s="63"/>
      <c r="P19" s="87" t="s">
        <v>168</v>
      </c>
      <c r="Q19" s="72">
        <f>SUM(Q7:Q16)</f>
        <v>0</v>
      </c>
    </row>
    <row r="20" spans="1:17" x14ac:dyDescent="0.3">
      <c r="A20" s="88"/>
      <c r="B20" s="63"/>
      <c r="C20" s="63"/>
      <c r="D20" s="63"/>
      <c r="E20" s="63"/>
      <c r="F20" s="63"/>
      <c r="G20" s="63"/>
      <c r="H20" s="63"/>
      <c r="I20" s="91"/>
      <c r="J20" s="91"/>
      <c r="K20" s="91"/>
      <c r="L20" s="91"/>
      <c r="M20" s="91"/>
      <c r="N20" s="91"/>
      <c r="O20" s="91"/>
    </row>
    <row r="21" spans="1:17" x14ac:dyDescent="0.3">
      <c r="A21" s="88"/>
      <c r="B21" s="63"/>
      <c r="C21" s="63"/>
      <c r="D21" s="63"/>
      <c r="E21" s="63"/>
      <c r="F21" s="63"/>
      <c r="G21" s="63"/>
      <c r="H21" s="63"/>
      <c r="I21" s="63"/>
      <c r="J21" s="63"/>
      <c r="K21" s="63"/>
      <c r="L21" s="63"/>
      <c r="M21" s="63"/>
      <c r="N21" s="63"/>
      <c r="P21" s="90" t="s">
        <v>167</v>
      </c>
      <c r="Q21" s="89">
        <v>660000000</v>
      </c>
    </row>
    <row r="22" spans="1:17" ht="15" thickBot="1" x14ac:dyDescent="0.35">
      <c r="A22" s="88"/>
      <c r="B22" s="63"/>
      <c r="C22" s="63"/>
      <c r="D22" s="63"/>
      <c r="E22" s="63"/>
      <c r="F22" s="63"/>
      <c r="G22" s="63"/>
      <c r="H22" s="63"/>
      <c r="I22" s="63"/>
      <c r="J22" s="63"/>
      <c r="K22" s="63"/>
      <c r="L22" s="63"/>
      <c r="M22" s="63"/>
      <c r="N22" s="63"/>
      <c r="O22" s="63"/>
      <c r="P22" s="63"/>
      <c r="Q22" s="61"/>
    </row>
    <row r="23" spans="1:17" ht="15" thickBot="1" x14ac:dyDescent="0.35">
      <c r="A23" s="63"/>
      <c r="B23" s="63"/>
      <c r="C23" s="63"/>
      <c r="D23" s="63"/>
      <c r="E23" s="63"/>
      <c r="F23" s="63"/>
      <c r="G23" s="63"/>
      <c r="H23" s="63"/>
      <c r="I23" s="63"/>
      <c r="J23" s="63"/>
      <c r="K23" s="63"/>
      <c r="L23" s="63"/>
      <c r="M23" s="63"/>
      <c r="N23" s="63"/>
      <c r="O23" s="63"/>
      <c r="P23" s="87" t="s">
        <v>166</v>
      </c>
      <c r="Q23" s="86">
        <f>SUM(Q19:Q21)</f>
        <v>660000000</v>
      </c>
    </row>
  </sheetData>
  <mergeCells count="5">
    <mergeCell ref="B5:B6"/>
    <mergeCell ref="C5:E5"/>
    <mergeCell ref="G5:I5"/>
    <mergeCell ref="P5:Q5"/>
    <mergeCell ref="K5:M5"/>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B5A52-0DDB-4B05-BD87-8776421A526E}">
  <sheetPr>
    <tabColor theme="0" tint="-4.9989318521683403E-2"/>
  </sheetPr>
  <dimension ref="A1:J21"/>
  <sheetViews>
    <sheetView workbookViewId="0">
      <selection activeCell="F24" sqref="F24"/>
    </sheetView>
  </sheetViews>
  <sheetFormatPr defaultRowHeight="14.4" x14ac:dyDescent="0.3"/>
  <cols>
    <col min="3" max="8" width="20.109375" customWidth="1"/>
  </cols>
  <sheetData>
    <row r="1" spans="1:10" x14ac:dyDescent="0.3">
      <c r="A1" s="63"/>
      <c r="B1" s="61" t="s">
        <v>186</v>
      </c>
      <c r="C1" s="63"/>
      <c r="D1" s="63"/>
      <c r="E1" s="63"/>
      <c r="F1" s="63"/>
      <c r="G1" s="63"/>
      <c r="H1" s="63"/>
      <c r="I1" s="63"/>
      <c r="J1" s="63"/>
    </row>
    <row r="2" spans="1:10" x14ac:dyDescent="0.3">
      <c r="A2" s="63"/>
      <c r="B2" s="63"/>
      <c r="C2" s="63"/>
      <c r="D2" s="63"/>
      <c r="E2" s="63"/>
      <c r="F2" s="63"/>
      <c r="G2" s="63"/>
      <c r="H2" s="63"/>
      <c r="I2" s="63"/>
      <c r="J2" s="63"/>
    </row>
    <row r="3" spans="1:10" ht="54.75" customHeight="1" x14ac:dyDescent="0.3">
      <c r="A3" s="63"/>
      <c r="B3" s="103"/>
      <c r="C3" s="102" t="s">
        <v>185</v>
      </c>
      <c r="D3" s="102" t="s">
        <v>184</v>
      </c>
      <c r="E3" s="102" t="s">
        <v>183</v>
      </c>
      <c r="F3" s="102" t="s">
        <v>182</v>
      </c>
      <c r="G3" s="102" t="s">
        <v>181</v>
      </c>
      <c r="H3" s="102" t="s">
        <v>180</v>
      </c>
      <c r="I3" s="63"/>
      <c r="J3" s="63"/>
    </row>
    <row r="4" spans="1:10" x14ac:dyDescent="0.3">
      <c r="A4" s="63"/>
      <c r="B4" s="101" t="s">
        <v>179</v>
      </c>
      <c r="C4" s="98">
        <v>3.4</v>
      </c>
      <c r="D4" s="100">
        <v>2000000</v>
      </c>
      <c r="E4" s="100">
        <f>C4*D4</f>
        <v>6800000</v>
      </c>
      <c r="F4" s="99">
        <v>6</v>
      </c>
      <c r="G4" s="98">
        <f>F4*D4</f>
        <v>12000000</v>
      </c>
      <c r="H4" s="97">
        <f>G4-E4</f>
        <v>5200000</v>
      </c>
      <c r="I4" s="63"/>
      <c r="J4" s="63"/>
    </row>
    <row r="5" spans="1:10" x14ac:dyDescent="0.3">
      <c r="A5" s="63"/>
      <c r="B5" s="63"/>
      <c r="C5" s="63"/>
      <c r="D5" s="63"/>
      <c r="E5" s="63"/>
      <c r="F5" s="63"/>
      <c r="G5" s="63"/>
      <c r="H5" s="63"/>
      <c r="I5" s="63"/>
      <c r="J5" s="63"/>
    </row>
    <row r="6" spans="1:10" x14ac:dyDescent="0.3">
      <c r="A6" s="63"/>
      <c r="B6" s="63"/>
      <c r="C6" s="63"/>
      <c r="D6" s="63"/>
      <c r="E6" s="63"/>
      <c r="F6" s="63"/>
      <c r="G6" s="63"/>
      <c r="H6" s="63"/>
      <c r="I6" s="63"/>
      <c r="J6" s="63"/>
    </row>
    <row r="7" spans="1:10" x14ac:dyDescent="0.3">
      <c r="A7" s="63"/>
      <c r="B7" s="63"/>
      <c r="C7" s="63"/>
      <c r="D7" s="63"/>
      <c r="E7" s="63"/>
      <c r="F7" s="63"/>
      <c r="G7" s="63"/>
      <c r="H7" s="63"/>
      <c r="I7" s="63"/>
      <c r="J7" s="63"/>
    </row>
    <row r="8" spans="1:10" x14ac:dyDescent="0.3">
      <c r="A8" s="63"/>
      <c r="B8" s="63"/>
      <c r="C8" s="63"/>
      <c r="D8" s="63"/>
      <c r="E8" s="63"/>
      <c r="F8" s="63"/>
      <c r="G8" s="63"/>
      <c r="H8" s="63"/>
      <c r="I8" s="63"/>
      <c r="J8" s="63"/>
    </row>
    <row r="9" spans="1:10" x14ac:dyDescent="0.3">
      <c r="A9" s="63"/>
      <c r="B9" s="63"/>
      <c r="C9" s="63"/>
      <c r="D9" s="63"/>
      <c r="E9" s="63"/>
      <c r="F9" s="63"/>
      <c r="G9" s="63"/>
      <c r="H9" s="63"/>
      <c r="I9" s="63"/>
      <c r="J9" s="63"/>
    </row>
    <row r="10" spans="1:10" x14ac:dyDescent="0.3">
      <c r="A10" s="63"/>
      <c r="B10" s="63"/>
      <c r="C10" s="63"/>
      <c r="D10" s="63"/>
      <c r="E10" s="63"/>
      <c r="F10" s="63"/>
      <c r="G10" s="63"/>
      <c r="H10" s="63"/>
      <c r="I10" s="63"/>
      <c r="J10" s="63"/>
    </row>
    <row r="11" spans="1:10" x14ac:dyDescent="0.3">
      <c r="A11" s="63"/>
      <c r="B11" s="61" t="s">
        <v>178</v>
      </c>
      <c r="C11" s="63"/>
      <c r="D11" s="63"/>
      <c r="E11" s="63"/>
      <c r="F11" s="63"/>
      <c r="G11" s="63"/>
      <c r="H11" s="63"/>
      <c r="I11" s="63"/>
      <c r="J11" s="63"/>
    </row>
    <row r="12" spans="1:10" x14ac:dyDescent="0.3">
      <c r="A12" s="63"/>
      <c r="B12" s="63"/>
      <c r="C12" s="63"/>
      <c r="D12" s="63"/>
      <c r="E12" s="63"/>
      <c r="F12" s="63"/>
      <c r="G12" s="63"/>
      <c r="H12" s="63"/>
      <c r="I12" s="63"/>
      <c r="J12" s="63"/>
    </row>
    <row r="13" spans="1:10" x14ac:dyDescent="0.3">
      <c r="A13" s="63"/>
      <c r="B13" s="63"/>
      <c r="C13" s="63"/>
      <c r="D13" s="63"/>
      <c r="E13" s="63"/>
      <c r="F13" s="63"/>
      <c r="G13" s="63"/>
      <c r="H13" s="63"/>
      <c r="I13" s="63"/>
      <c r="J13" s="63"/>
    </row>
    <row r="14" spans="1:10" x14ac:dyDescent="0.3">
      <c r="A14" s="63"/>
      <c r="B14" s="63"/>
      <c r="C14" s="63"/>
      <c r="D14" s="63"/>
      <c r="E14" s="63"/>
      <c r="F14" s="63"/>
      <c r="G14" s="63"/>
      <c r="H14" s="63"/>
      <c r="I14" s="63"/>
      <c r="J14" s="63"/>
    </row>
    <row r="15" spans="1:10" x14ac:dyDescent="0.3">
      <c r="A15" s="63"/>
      <c r="B15" s="63"/>
      <c r="C15" s="63"/>
      <c r="D15" s="63"/>
      <c r="E15" s="63"/>
      <c r="F15" s="63"/>
      <c r="G15" s="63"/>
      <c r="H15" s="63"/>
      <c r="I15" s="63"/>
      <c r="J15" s="63"/>
    </row>
    <row r="16" spans="1:10" x14ac:dyDescent="0.3">
      <c r="A16" s="63"/>
      <c r="B16" s="63"/>
      <c r="C16" s="63"/>
      <c r="D16" s="63"/>
      <c r="E16" s="63"/>
      <c r="F16" s="63"/>
      <c r="G16" s="63"/>
      <c r="H16" s="63"/>
      <c r="I16" s="63"/>
      <c r="J16" s="63"/>
    </row>
    <row r="17" spans="1:10" x14ac:dyDescent="0.3">
      <c r="A17" s="63"/>
      <c r="B17" s="63"/>
      <c r="C17" s="63"/>
      <c r="D17" s="63"/>
      <c r="E17" s="63"/>
      <c r="F17" s="63"/>
      <c r="G17" s="63"/>
      <c r="H17" s="63"/>
      <c r="I17" s="63"/>
      <c r="J17" s="63"/>
    </row>
    <row r="18" spans="1:10" x14ac:dyDescent="0.3">
      <c r="A18" s="63"/>
      <c r="B18" s="63"/>
      <c r="C18" s="63"/>
      <c r="D18" s="63"/>
      <c r="E18" s="63"/>
      <c r="F18" s="63"/>
      <c r="G18" s="63"/>
      <c r="H18" s="63"/>
      <c r="I18" s="63"/>
      <c r="J18" s="63"/>
    </row>
    <row r="19" spans="1:10" x14ac:dyDescent="0.3">
      <c r="A19" s="63"/>
      <c r="B19" s="63"/>
      <c r="C19" s="63"/>
      <c r="D19" s="63"/>
      <c r="E19" s="63"/>
      <c r="F19" s="63"/>
      <c r="G19" s="63"/>
      <c r="H19" s="63"/>
      <c r="I19" s="63"/>
      <c r="J19" s="63"/>
    </row>
    <row r="20" spans="1:10" x14ac:dyDescent="0.3">
      <c r="A20" s="63"/>
      <c r="B20" s="63"/>
      <c r="C20" s="63"/>
      <c r="D20" s="63"/>
      <c r="E20" s="63"/>
      <c r="F20" s="63"/>
      <c r="G20" s="63"/>
      <c r="H20" s="63"/>
      <c r="I20" s="63"/>
      <c r="J20" s="63"/>
    </row>
    <row r="21" spans="1:10" x14ac:dyDescent="0.3">
      <c r="A21" s="63"/>
      <c r="B21" s="63"/>
      <c r="C21" s="63"/>
      <c r="D21" s="63"/>
      <c r="E21" s="63"/>
      <c r="F21" s="63"/>
      <c r="G21" s="63"/>
      <c r="H21" s="63"/>
      <c r="I21" s="63"/>
      <c r="J21" s="63"/>
    </row>
  </sheetData>
  <pageMargins left="0.7" right="0.7" top="0.75" bottom="0.75" header="0.3" footer="0.3"/>
  <pageSetup orientation="portrait" horizontalDpi="1200" verticalDpi="1200" r:id="rId1"/>
  <drawing r:id="rId2"/>
</worksheet>
</file>

<file path=docMetadata/LabelInfo.xml><?xml version="1.0" encoding="utf-8"?>
<clbl:labelList xmlns:clbl="http://schemas.microsoft.com/office/2020/mipLabelMetadata">
  <clbl:label id="{554eecc5-e26c-4620-b240-5a8bb326c33d}"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1.0 Production Price</vt:lpstr>
      <vt:lpstr>1.1 Volume Range 1</vt:lpstr>
      <vt:lpstr>1.1.1 MK 90 Range 1</vt:lpstr>
      <vt:lpstr>1.2 Volume Range 2</vt:lpstr>
      <vt:lpstr>1.2.1 MK 90 Range 2</vt:lpstr>
      <vt:lpstr>1.3 First Article</vt:lpstr>
      <vt:lpstr>1.4 Summary Production Price</vt:lpstr>
      <vt:lpstr>2.0 PWS Price</vt:lpstr>
      <vt:lpstr>3.0 NC Fines Disposal Price</vt:lpstr>
      <vt:lpstr>4.0 Summary TEP</vt:lpstr>
      <vt:lpstr>EPA's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2026-04-14T14:44:59Z</dcterms:created>
  <dcterms:modified xsi:type="dcterms:W3CDTF">2026-04-14T17:37:31Z</dcterms:modified>
</cp:coreProperties>
</file>