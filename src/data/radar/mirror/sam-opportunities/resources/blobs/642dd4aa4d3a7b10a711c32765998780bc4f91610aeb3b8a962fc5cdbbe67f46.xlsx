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ll.joscelyn\OneDrive - US Navy-flankspeed\JHJ\TBD CNAL ACRS\"/>
    </mc:Choice>
  </mc:AlternateContent>
  <bookViews>
    <workbookView xWindow="-120" yWindow="300" windowWidth="29040" windowHeight="15510"/>
  </bookViews>
  <sheets>
    <sheet name="Labor Rates" sheetId="1" r:id="rId1"/>
    <sheet name="Data Validation_Labor Categori" sheetId="2" r:id="rId2"/>
  </sheets>
  <definedNames>
    <definedName name="LaborCategorie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71" i="1"/>
  <c r="B61" i="1"/>
  <c r="B49" i="1"/>
</calcChain>
</file>

<file path=xl/sharedStrings.xml><?xml version="1.0" encoding="utf-8"?>
<sst xmlns="http://schemas.openxmlformats.org/spreadsheetml/2006/main" count="122" uniqueCount="45">
  <si>
    <r>
      <t>CNAL Labor</t>
    </r>
    <r>
      <rPr>
        <sz val="18"/>
        <rFont val="Aptos Display"/>
        <family val="2"/>
      </rPr>
      <t xml:space="preserve"> (Norfolk, VA)</t>
    </r>
  </si>
  <si>
    <r>
      <t xml:space="preserve">CNAP Labor </t>
    </r>
    <r>
      <rPr>
        <sz val="18"/>
        <rFont val="Aptos Display"/>
        <family val="2"/>
      </rPr>
      <t>(San Diego, CA)</t>
    </r>
  </si>
  <si>
    <r>
      <t xml:space="preserve">CNAP Labor </t>
    </r>
    <r>
      <rPr>
        <sz val="18"/>
        <rFont val="Aptos Display"/>
        <family val="2"/>
      </rPr>
      <t>(Washington)</t>
    </r>
  </si>
  <si>
    <r>
      <t xml:space="preserve">CNAP Labor </t>
    </r>
    <r>
      <rPr>
        <sz val="18"/>
        <rFont val="Aptos Display"/>
        <family val="2"/>
      </rPr>
      <t>(Japan)</t>
    </r>
  </si>
  <si>
    <t>Labor Rates</t>
  </si>
  <si>
    <t>Ordering Period 1</t>
  </si>
  <si>
    <t>Ordering Period 2</t>
  </si>
  <si>
    <t>Ordering Period 3</t>
  </si>
  <si>
    <t>Ordering Period 4</t>
  </si>
  <si>
    <t>Ordering Period 5</t>
  </si>
  <si>
    <t>FAR 52.217-8</t>
  </si>
  <si>
    <t xml:space="preserve"> </t>
  </si>
  <si>
    <t>A. Program Manager (GS-14)</t>
  </si>
  <si>
    <t>B. Project Manager (GS-13)</t>
  </si>
  <si>
    <t>C. Project Engineer (GS-13)</t>
  </si>
  <si>
    <t>D. Senior Engineer (GS-13)</t>
  </si>
  <si>
    <t>E. Engineer (GS-12)</t>
  </si>
  <si>
    <t>F. Engineer (Environmental)  (GS-12)</t>
  </si>
  <si>
    <t>J. Field Engineer (Electronics)  (GS-12)</t>
  </si>
  <si>
    <t>K. Marine Mechanical Engineer  (GS-12)</t>
  </si>
  <si>
    <t>M. Ship's Systems Analyst (Non-Nuclear) (GS-13)</t>
  </si>
  <si>
    <t>N. Overhaul Specialist (GS-12)</t>
  </si>
  <si>
    <t>O. Assessment Specialist (GS-13)</t>
  </si>
  <si>
    <t>G. Senior Field Engineer (Electronics) (GS-13)</t>
  </si>
  <si>
    <t>H. Field Engineer (Mechanical)  (GS-12)</t>
  </si>
  <si>
    <t>I. Field Engineer (Electrical)  (GS-12)</t>
  </si>
  <si>
    <t>This is not a Level Of Effort Contract.</t>
  </si>
  <si>
    <t>Hours Are Provided As Historical Information Only and Do Not Bind the Government.</t>
  </si>
  <si>
    <t>CNAL LABOR HOURS PER YEAR:</t>
  </si>
  <si>
    <t>LABOR CATEGORIES</t>
  </si>
  <si>
    <t>Data Validation: Labor Categories</t>
  </si>
  <si>
    <t>ESTIMATED TOTAL HOURS</t>
  </si>
  <si>
    <t>L. Ship's Systems Analyst (Nuclear) (GS-14)</t>
  </si>
  <si>
    <t>R. Senior Engineering Technician (GS-13)</t>
  </si>
  <si>
    <t>T. Junior Analyst (GS-11)</t>
  </si>
  <si>
    <t>U. Senior Logistic Management Specialist (GS-13)</t>
  </si>
  <si>
    <t>V. Logistic Management Specialist (GS-13)</t>
  </si>
  <si>
    <t>W. Supply Management Specialist (GS-12)</t>
  </si>
  <si>
    <t>X. Material Specialist (GS-11)</t>
  </si>
  <si>
    <t>Y. Warehouseman (GS-10)</t>
  </si>
  <si>
    <t>Q. Program Analyst (GS-12)</t>
  </si>
  <si>
    <t>S. Engineering Technician (GS-12)</t>
  </si>
  <si>
    <t>P. Computer Programmer/Analyst (GS-13)</t>
  </si>
  <si>
    <t>Total 5-Year Ordering Period</t>
  </si>
  <si>
    <t>Total FAR 52.217-8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</si>
</sst>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ptos Display"/>
      <family val="2"/>
    </font>
    <font>
      <sz val="12"/>
      <name val="Aptos Display"/>
      <family val="2"/>
    </font>
    <font>
      <b/>
      <sz val="18"/>
      <name val="Aptos Display"/>
      <family val="2"/>
    </font>
    <font>
      <sz val="18"/>
      <name val="Aptos Display"/>
      <family val="2"/>
    </font>
    <font>
      <i/>
      <sz val="12"/>
      <name val="Aptos Display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2"/>
      <color theme="1"/>
      <name val="Aptos"/>
      <family val="2"/>
    </font>
    <font>
      <b/>
      <sz val="14"/>
      <color theme="1"/>
      <name val="Aptos"/>
      <family val="2"/>
    </font>
    <font>
      <b/>
      <sz val="12"/>
      <name val="Aptos Display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49" fontId="3" fillId="3" borderId="5" xfId="0" applyNumberFormat="1" applyFont="1" applyFill="1" applyBorder="1" applyAlignment="1" applyProtection="1">
      <alignment horizontal="left" vertical="center" wrapText="1" indent="1"/>
      <protection locked="0"/>
    </xf>
    <xf numFmtId="0" fontId="3" fillId="3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4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44" fontId="3" fillId="0" borderId="0" xfId="0" applyNumberFormat="1" applyFont="1" applyAlignment="1">
      <alignment horizontal="left" vertical="center" indent="1"/>
    </xf>
    <xf numFmtId="0" fontId="0" fillId="0" borderId="2" xfId="0" applyBorder="1"/>
    <xf numFmtId="0" fontId="0" fillId="0" borderId="7" xfId="0" applyBorder="1"/>
    <xf numFmtId="0" fontId="11" fillId="0" borderId="0" xfId="0" applyFont="1"/>
    <xf numFmtId="0" fontId="12" fillId="0" borderId="0" xfId="0" applyFont="1" applyAlignment="1">
      <alignment horizontal="left" indent="1"/>
    </xf>
    <xf numFmtId="0" fontId="2" fillId="0" borderId="2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9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49" fontId="3" fillId="3" borderId="2" xfId="0" applyNumberFormat="1" applyFont="1" applyFill="1" applyBorder="1" applyAlignment="1" applyProtection="1">
      <alignment horizontal="left" vertical="center" wrapText="1" indent="1"/>
      <protection locked="0"/>
    </xf>
    <xf numFmtId="0" fontId="3" fillId="3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left" vertical="center" indent="1"/>
    </xf>
    <xf numFmtId="0" fontId="7" fillId="5" borderId="6" xfId="0" applyFont="1" applyFill="1" applyBorder="1" applyAlignment="1">
      <alignment horizontal="centerContinuous"/>
    </xf>
    <xf numFmtId="0" fontId="8" fillId="5" borderId="7" xfId="0" applyFont="1" applyFill="1" applyBorder="1" applyAlignment="1">
      <alignment horizontal="centerContinuous"/>
    </xf>
    <xf numFmtId="0" fontId="8" fillId="5" borderId="8" xfId="0" applyFont="1" applyFill="1" applyBorder="1" applyAlignment="1">
      <alignment horizontal="centerContinuous"/>
    </xf>
    <xf numFmtId="0" fontId="13" fillId="5" borderId="0" xfId="0" applyFont="1" applyFill="1" applyAlignment="1">
      <alignment horizontal="left" vertical="center" indent="1"/>
    </xf>
    <xf numFmtId="0" fontId="12" fillId="3" borderId="0" xfId="0" applyFont="1" applyFill="1" applyAlignment="1">
      <alignment horizontal="left" indent="1"/>
    </xf>
    <xf numFmtId="0" fontId="2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Continuous" vertical="center"/>
    </xf>
    <xf numFmtId="0" fontId="8" fillId="5" borderId="2" xfId="0" applyFont="1" applyFill="1" applyBorder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7" fillId="5" borderId="6" xfId="0" applyFont="1" applyFill="1" applyBorder="1" applyAlignment="1">
      <alignment horizontal="centerContinuous" vertical="center"/>
    </xf>
    <xf numFmtId="0" fontId="8" fillId="5" borderId="7" xfId="0" applyFont="1" applyFill="1" applyBorder="1" applyAlignment="1">
      <alignment horizontal="centerContinuous" vertical="center"/>
    </xf>
    <xf numFmtId="0" fontId="8" fillId="5" borderId="8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left" vertical="center" indent="1"/>
    </xf>
    <xf numFmtId="0" fontId="14" fillId="6" borderId="11" xfId="0" applyFont="1" applyFill="1" applyBorder="1" applyAlignment="1">
      <alignment horizontal="left" vertical="center" indent="1"/>
    </xf>
    <xf numFmtId="0" fontId="3" fillId="6" borderId="12" xfId="0" applyFont="1" applyFill="1" applyBorder="1" applyAlignment="1">
      <alignment horizontal="left" vertical="center" indent="1"/>
    </xf>
    <xf numFmtId="0" fontId="14" fillId="4" borderId="11" xfId="0" applyFont="1" applyFill="1" applyBorder="1" applyAlignment="1">
      <alignment horizontal="left" vertical="center" indent="1"/>
    </xf>
    <xf numFmtId="0" fontId="3" fillId="4" borderId="12" xfId="0" applyFont="1" applyFill="1" applyBorder="1" applyAlignment="1">
      <alignment horizontal="left" vertical="center" indent="1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74"/>
  <sheetViews>
    <sheetView tabSelected="1" workbookViewId="0">
      <selection activeCell="D84" sqref="D84"/>
    </sheetView>
  </sheetViews>
  <sheetFormatPr defaultColWidth="8.7109375" defaultRowHeight="15"/>
  <cols>
    <col min="1" max="1" width="56.28515625" style="1" customWidth="1"/>
    <col min="2" max="2" width="17.28515625" style="1" customWidth="1"/>
    <col min="3" max="3" width="14.28515625" customWidth="1"/>
    <col min="4" max="8" width="12.7109375" customWidth="1"/>
    <col min="9" max="16384" width="8.7109375" style="1"/>
  </cols>
  <sheetData>
    <row r="2" spans="1:48" ht="25.5" customHeight="1">
      <c r="A2" s="25" t="s">
        <v>26</v>
      </c>
    </row>
    <row r="3" spans="1:48" ht="31.5" customHeight="1">
      <c r="A3" s="26" t="s">
        <v>27</v>
      </c>
    </row>
    <row r="4" spans="1:48" ht="15.75">
      <c r="A4" s="12"/>
    </row>
    <row r="5" spans="1:48" ht="16.5" thickBot="1"/>
    <row r="6" spans="1:48" ht="12.75" customHeight="1">
      <c r="A6" s="43" t="s">
        <v>0</v>
      </c>
    </row>
    <row r="7" spans="1:48" s="39" customFormat="1" ht="19.5" customHeight="1" thickBot="1">
      <c r="A7" s="44"/>
      <c r="B7" s="36" t="s">
        <v>11</v>
      </c>
      <c r="C7" s="37" t="s">
        <v>4</v>
      </c>
      <c r="D7" s="38"/>
      <c r="E7" s="38"/>
      <c r="F7" s="38"/>
      <c r="G7" s="38"/>
      <c r="H7" s="38"/>
    </row>
    <row r="8" spans="1:48" s="19" customFormat="1" ht="42" customHeight="1">
      <c r="A8" s="15" t="s">
        <v>29</v>
      </c>
      <c r="B8" s="27" t="s">
        <v>31</v>
      </c>
      <c r="C8" s="16" t="s">
        <v>5</v>
      </c>
      <c r="D8" s="17" t="s">
        <v>6</v>
      </c>
      <c r="E8" s="18" t="s">
        <v>7</v>
      </c>
      <c r="F8" s="17" t="s">
        <v>8</v>
      </c>
      <c r="G8" s="18" t="s">
        <v>9</v>
      </c>
      <c r="H8" s="17" t="s">
        <v>10</v>
      </c>
    </row>
    <row r="9" spans="1:48" s="7" customFormat="1" ht="18.95" customHeight="1">
      <c r="A9" s="28" t="s">
        <v>12</v>
      </c>
      <c r="B9" s="29">
        <v>2868</v>
      </c>
      <c r="C9" s="10"/>
      <c r="D9" s="10"/>
      <c r="E9" s="10"/>
      <c r="F9" s="10"/>
      <c r="G9" s="10"/>
      <c r="H9" s="1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s="7" customFormat="1" ht="18.95" customHeight="1">
      <c r="A10" s="28" t="s">
        <v>13</v>
      </c>
      <c r="B10" s="29">
        <v>1250</v>
      </c>
      <c r="C10" s="10"/>
      <c r="D10" s="10"/>
      <c r="E10" s="10"/>
      <c r="F10" s="10"/>
      <c r="G10" s="10"/>
      <c r="H10" s="1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s="7" customFormat="1" ht="18.95" customHeight="1">
      <c r="A11" s="28" t="s">
        <v>15</v>
      </c>
      <c r="B11" s="29">
        <v>1912</v>
      </c>
      <c r="C11" s="10"/>
      <c r="D11" s="10"/>
      <c r="E11" s="10"/>
      <c r="F11" s="10"/>
      <c r="G11" s="10"/>
      <c r="H11" s="1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s="7" customFormat="1" ht="18.95" customHeight="1">
      <c r="A12" s="28" t="s">
        <v>17</v>
      </c>
      <c r="B12" s="29">
        <v>500</v>
      </c>
      <c r="C12" s="10"/>
      <c r="D12" s="10"/>
      <c r="E12" s="10"/>
      <c r="F12" s="10"/>
      <c r="G12" s="10"/>
      <c r="H12" s="1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s="7" customFormat="1" ht="18.95" customHeight="1">
      <c r="A13" s="28" t="s">
        <v>23</v>
      </c>
      <c r="B13" s="29">
        <v>1912</v>
      </c>
      <c r="C13" s="10"/>
      <c r="D13" s="10"/>
      <c r="E13" s="10"/>
      <c r="F13" s="10"/>
      <c r="G13" s="10"/>
      <c r="H13" s="1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s="7" customFormat="1" ht="18.95" customHeight="1">
      <c r="A14" s="28" t="s">
        <v>24</v>
      </c>
      <c r="B14" s="29">
        <v>1912</v>
      </c>
      <c r="C14" s="10"/>
      <c r="D14" s="10"/>
      <c r="E14" s="10"/>
      <c r="F14" s="10"/>
      <c r="G14" s="10"/>
      <c r="H14" s="1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s="7" customFormat="1" ht="18.95" customHeight="1">
      <c r="A15" s="28" t="s">
        <v>25</v>
      </c>
      <c r="B15" s="29">
        <v>1912</v>
      </c>
      <c r="C15" s="10"/>
      <c r="D15" s="10"/>
      <c r="E15" s="10"/>
      <c r="F15" s="10"/>
      <c r="G15" s="10"/>
      <c r="H15" s="1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s="7" customFormat="1" ht="18.95" customHeight="1">
      <c r="A16" s="28" t="s">
        <v>18</v>
      </c>
      <c r="B16" s="29">
        <v>5736</v>
      </c>
      <c r="C16" s="10"/>
      <c r="D16" s="10"/>
      <c r="E16" s="10"/>
      <c r="F16" s="10"/>
      <c r="G16" s="10"/>
      <c r="H16" s="1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s="7" customFormat="1" ht="18.95" customHeight="1">
      <c r="A17" s="28" t="s">
        <v>19</v>
      </c>
      <c r="B17" s="29">
        <v>1912</v>
      </c>
      <c r="C17" s="10"/>
      <c r="D17" s="10"/>
      <c r="E17" s="10"/>
      <c r="F17" s="10"/>
      <c r="G17" s="10"/>
      <c r="H17" s="1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s="7" customFormat="1" ht="18.95" customHeight="1">
      <c r="A18" s="28" t="s">
        <v>32</v>
      </c>
      <c r="B18" s="29">
        <v>9148</v>
      </c>
      <c r="C18" s="10"/>
      <c r="D18" s="10"/>
      <c r="E18" s="10"/>
      <c r="F18" s="10"/>
      <c r="G18" s="10"/>
      <c r="H18" s="1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s="7" customFormat="1" ht="18.95" customHeight="1">
      <c r="A19" s="28" t="s">
        <v>20</v>
      </c>
      <c r="B19" s="29">
        <v>64496</v>
      </c>
      <c r="C19" s="10"/>
      <c r="D19" s="10"/>
      <c r="E19" s="10"/>
      <c r="F19" s="10"/>
      <c r="G19" s="10"/>
      <c r="H19" s="1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s="7" customFormat="1" ht="18.95" customHeight="1">
      <c r="A20" s="28" t="s">
        <v>21</v>
      </c>
      <c r="B20" s="29">
        <v>5736</v>
      </c>
      <c r="C20" s="10"/>
      <c r="D20" s="10"/>
      <c r="E20" s="10"/>
      <c r="F20" s="10"/>
      <c r="G20" s="10"/>
      <c r="H20" s="1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s="7" customFormat="1" ht="18.95" customHeight="1">
      <c r="A21" s="28" t="s">
        <v>40</v>
      </c>
      <c r="B21" s="29">
        <v>7648</v>
      </c>
      <c r="C21" s="10"/>
      <c r="D21" s="10"/>
      <c r="E21" s="10"/>
      <c r="F21" s="10"/>
      <c r="G21" s="10"/>
      <c r="H21" s="1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s="7" customFormat="1" ht="18.95" customHeight="1">
      <c r="A22" s="28" t="s">
        <v>34</v>
      </c>
      <c r="B22" s="29">
        <v>1912</v>
      </c>
      <c r="C22" s="10"/>
      <c r="D22" s="10"/>
      <c r="E22" s="10"/>
      <c r="F22" s="10"/>
      <c r="G22" s="10"/>
      <c r="H22" s="1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s="7" customFormat="1" ht="18.95" customHeight="1">
      <c r="A23" s="28" t="s">
        <v>33</v>
      </c>
      <c r="B23" s="29">
        <v>17958</v>
      </c>
      <c r="C23" s="10"/>
      <c r="D23" s="10"/>
      <c r="E23" s="10"/>
      <c r="F23" s="10"/>
      <c r="G23" s="10"/>
      <c r="H23" s="1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s="7" customFormat="1" ht="18.95" customHeight="1">
      <c r="A24" s="28" t="s">
        <v>41</v>
      </c>
      <c r="B24" s="29">
        <v>13434</v>
      </c>
      <c r="C24" s="10"/>
      <c r="D24" s="10"/>
      <c r="E24" s="10"/>
      <c r="F24" s="10"/>
      <c r="G24" s="10"/>
      <c r="H24" s="10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s="7" customFormat="1" ht="18.95" customHeight="1">
      <c r="A25" s="28" t="s">
        <v>22</v>
      </c>
      <c r="B25" s="29">
        <v>15696</v>
      </c>
      <c r="C25" s="10"/>
      <c r="D25" s="10"/>
      <c r="E25" s="10"/>
      <c r="F25" s="10"/>
      <c r="G25" s="10"/>
      <c r="H25" s="1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s="7" customFormat="1" ht="18.95" customHeight="1">
      <c r="A26" s="28" t="s">
        <v>35</v>
      </c>
      <c r="B26" s="29">
        <v>10560</v>
      </c>
      <c r="C26" s="10"/>
      <c r="D26" s="10"/>
      <c r="E26" s="10"/>
      <c r="F26" s="10"/>
      <c r="G26" s="10"/>
      <c r="H26" s="10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s="7" customFormat="1" ht="18.95" customHeight="1">
      <c r="A27" s="28" t="s">
        <v>36</v>
      </c>
      <c r="B27" s="29">
        <v>1912</v>
      </c>
      <c r="C27" s="10"/>
      <c r="D27" s="10"/>
      <c r="E27" s="10"/>
      <c r="F27" s="10"/>
      <c r="G27" s="10"/>
      <c r="H27" s="1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s="7" customFormat="1" ht="18.95" customHeight="1">
      <c r="A28" s="28" t="s">
        <v>37</v>
      </c>
      <c r="B28" s="29">
        <v>9560</v>
      </c>
      <c r="C28" s="10"/>
      <c r="D28" s="10"/>
      <c r="E28" s="10"/>
      <c r="F28" s="10"/>
      <c r="G28" s="10"/>
      <c r="H28" s="1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s="7" customFormat="1" ht="18.95" customHeight="1">
      <c r="A29" s="28" t="s">
        <v>38</v>
      </c>
      <c r="B29" s="29">
        <v>9560</v>
      </c>
      <c r="C29" s="10"/>
      <c r="D29" s="10"/>
      <c r="E29" s="10"/>
      <c r="F29" s="10"/>
      <c r="G29" s="10"/>
      <c r="H29" s="1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s="7" customFormat="1" ht="18.95" customHeight="1">
      <c r="A30" s="28" t="s">
        <v>39</v>
      </c>
      <c r="B30" s="29">
        <v>1912</v>
      </c>
      <c r="C30" s="10"/>
      <c r="D30" s="10"/>
      <c r="E30" s="10"/>
      <c r="F30" s="10"/>
      <c r="G30" s="10"/>
      <c r="H30" s="10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19.5" customHeight="1">
      <c r="A31" s="23" t="s">
        <v>28</v>
      </c>
      <c r="B31" s="14">
        <f>SUM(B9:B30)</f>
        <v>189446</v>
      </c>
      <c r="C31" s="10"/>
      <c r="D31" s="10"/>
      <c r="E31" s="10"/>
      <c r="F31" s="10"/>
      <c r="G31" s="10"/>
      <c r="H31" s="10"/>
    </row>
    <row r="32" spans="1:48" ht="15.75" thickBot="1">
      <c r="A32" s="8"/>
      <c r="B32" s="9"/>
    </row>
    <row r="33" spans="1:48" ht="18.600000000000001" customHeight="1">
      <c r="A33" s="43" t="s">
        <v>1</v>
      </c>
    </row>
    <row r="34" spans="1:48" s="39" customFormat="1" ht="24" customHeight="1" thickBot="1">
      <c r="A34" s="44"/>
      <c r="B34" s="36"/>
      <c r="C34" s="40" t="s">
        <v>4</v>
      </c>
      <c r="D34" s="41"/>
      <c r="E34" s="41"/>
      <c r="F34" s="41"/>
      <c r="G34" s="41"/>
      <c r="H34" s="42"/>
    </row>
    <row r="35" spans="1:48" s="19" customFormat="1" ht="42" customHeight="1">
      <c r="A35" s="15" t="s">
        <v>29</v>
      </c>
      <c r="B35" s="27" t="s">
        <v>31</v>
      </c>
      <c r="C35" s="16" t="s">
        <v>5</v>
      </c>
      <c r="D35" s="17" t="s">
        <v>6</v>
      </c>
      <c r="E35" s="18" t="s">
        <v>7</v>
      </c>
      <c r="F35" s="17" t="s">
        <v>8</v>
      </c>
      <c r="G35" s="18" t="s">
        <v>9</v>
      </c>
      <c r="H35" s="17" t="s">
        <v>10</v>
      </c>
    </row>
    <row r="36" spans="1:48" s="7" customFormat="1" ht="18.95" customHeight="1">
      <c r="A36" s="4" t="s">
        <v>12</v>
      </c>
      <c r="B36" s="29">
        <v>720</v>
      </c>
      <c r="C36" s="10"/>
      <c r="D36" s="10"/>
      <c r="E36" s="10"/>
      <c r="F36" s="10"/>
      <c r="G36" s="10"/>
      <c r="H36" s="1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s="7" customFormat="1" ht="18.95" customHeight="1">
      <c r="A37" s="4" t="s">
        <v>13</v>
      </c>
      <c r="B37" s="29">
        <v>360</v>
      </c>
      <c r="C37" s="10"/>
      <c r="D37" s="10"/>
      <c r="E37" s="10"/>
      <c r="F37" s="10"/>
      <c r="G37" s="10"/>
      <c r="H37" s="1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s="7" customFormat="1" ht="18.95" customHeight="1">
      <c r="A38" s="4" t="s">
        <v>14</v>
      </c>
      <c r="B38" s="29">
        <v>4324</v>
      </c>
      <c r="C38" s="10"/>
      <c r="D38" s="10"/>
      <c r="E38" s="10"/>
      <c r="F38" s="10"/>
      <c r="G38" s="10"/>
      <c r="H38" s="1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s="7" customFormat="1" ht="18.95" customHeight="1">
      <c r="A39" s="4" t="s">
        <v>16</v>
      </c>
      <c r="B39" s="29">
        <v>1912</v>
      </c>
      <c r="C39" s="10"/>
      <c r="D39" s="10"/>
      <c r="E39" s="10"/>
      <c r="F39" s="10"/>
      <c r="G39" s="10"/>
      <c r="H39" s="1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s="7" customFormat="1" ht="18.95" customHeight="1">
      <c r="A40" s="4" t="s">
        <v>19</v>
      </c>
      <c r="B40" s="29">
        <v>1912</v>
      </c>
      <c r="C40" s="10"/>
      <c r="D40" s="10"/>
      <c r="E40" s="10"/>
      <c r="F40" s="10"/>
      <c r="G40" s="10"/>
      <c r="H40" s="10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s="7" customFormat="1" ht="18.95" customHeight="1">
      <c r="A41" s="4" t="s">
        <v>40</v>
      </c>
      <c r="B41" s="29">
        <v>1912</v>
      </c>
      <c r="C41" s="10"/>
      <c r="D41" s="10"/>
      <c r="E41" s="10"/>
      <c r="F41" s="10"/>
      <c r="G41" s="10"/>
      <c r="H41" s="1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s="7" customFormat="1" ht="18.95" customHeight="1">
      <c r="A42" s="4" t="s">
        <v>32</v>
      </c>
      <c r="B42" s="29">
        <v>12072</v>
      </c>
      <c r="C42" s="10"/>
      <c r="D42" s="10"/>
      <c r="E42" s="10"/>
      <c r="F42" s="10"/>
      <c r="G42" s="10"/>
      <c r="H42" s="10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s="7" customFormat="1" ht="18.95" customHeight="1">
      <c r="A43" s="4" t="s">
        <v>20</v>
      </c>
      <c r="B43" s="29">
        <v>27044</v>
      </c>
      <c r="C43" s="10"/>
      <c r="D43" s="10"/>
      <c r="E43" s="10"/>
      <c r="F43" s="10"/>
      <c r="G43" s="10"/>
      <c r="H43" s="1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s="7" customFormat="1" ht="18.95" customHeight="1">
      <c r="A44" s="4" t="s">
        <v>33</v>
      </c>
      <c r="B44" s="29">
        <v>12072</v>
      </c>
      <c r="C44" s="10"/>
      <c r="D44" s="10"/>
      <c r="E44" s="10"/>
      <c r="F44" s="10"/>
      <c r="G44" s="10"/>
      <c r="H44" s="1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s="7" customFormat="1" ht="18.95" customHeight="1">
      <c r="A45" s="4" t="s">
        <v>37</v>
      </c>
      <c r="B45" s="29">
        <v>22532</v>
      </c>
      <c r="C45" s="10"/>
      <c r="D45" s="10"/>
      <c r="E45" s="10"/>
      <c r="F45" s="10"/>
      <c r="G45" s="10"/>
      <c r="H45" s="10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s="7" customFormat="1" ht="18.95" customHeight="1">
      <c r="A46" s="4" t="s">
        <v>38</v>
      </c>
      <c r="B46" s="29">
        <v>1912</v>
      </c>
      <c r="C46" s="10"/>
      <c r="D46" s="10"/>
      <c r="E46" s="10"/>
      <c r="F46" s="10"/>
      <c r="G46" s="10"/>
      <c r="H46" s="10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s="7" customFormat="1" ht="18.95" customHeight="1">
      <c r="A47" s="4" t="s">
        <v>35</v>
      </c>
      <c r="B47" s="29">
        <v>22432</v>
      </c>
      <c r="C47" s="10"/>
      <c r="D47" s="10"/>
      <c r="E47" s="10"/>
      <c r="F47" s="10"/>
      <c r="G47" s="10"/>
      <c r="H47" s="10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s="7" customFormat="1" ht="18.95" customHeight="1">
      <c r="A48" s="4" t="s">
        <v>36</v>
      </c>
      <c r="B48" s="29">
        <v>1912</v>
      </c>
      <c r="C48"/>
      <c r="D48"/>
      <c r="E48"/>
      <c r="F48"/>
      <c r="G48"/>
      <c r="H4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ht="19.5" customHeight="1">
      <c r="A49" s="23" t="s">
        <v>28</v>
      </c>
      <c r="B49" s="14">
        <f>SUM(B36:B48)</f>
        <v>111116</v>
      </c>
    </row>
    <row r="50" spans="1:48" ht="15.75" thickBot="1">
      <c r="A50" s="8"/>
      <c r="B50" s="9"/>
    </row>
    <row r="51" spans="1:48" ht="18.600000000000001" customHeight="1">
      <c r="A51" s="43" t="s">
        <v>2</v>
      </c>
    </row>
    <row r="52" spans="1:48" ht="23.25" customHeight="1" thickBot="1">
      <c r="A52" s="44"/>
      <c r="B52" s="30"/>
      <c r="C52" s="31" t="s">
        <v>4</v>
      </c>
      <c r="D52" s="32"/>
      <c r="E52" s="32"/>
      <c r="F52" s="32"/>
      <c r="G52" s="32"/>
      <c r="H52" s="33"/>
    </row>
    <row r="53" spans="1:48" s="19" customFormat="1" ht="42" customHeight="1">
      <c r="A53" s="15" t="s">
        <v>29</v>
      </c>
      <c r="B53" s="27" t="s">
        <v>31</v>
      </c>
      <c r="C53" s="16" t="s">
        <v>5</v>
      </c>
      <c r="D53" s="17" t="s">
        <v>6</v>
      </c>
      <c r="E53" s="18" t="s">
        <v>7</v>
      </c>
      <c r="F53" s="17" t="s">
        <v>8</v>
      </c>
      <c r="G53" s="18" t="s">
        <v>9</v>
      </c>
      <c r="H53" s="17" t="s">
        <v>10</v>
      </c>
    </row>
    <row r="54" spans="1:48" s="7" customFormat="1" ht="18.95" customHeight="1">
      <c r="A54" s="4" t="s">
        <v>12</v>
      </c>
      <c r="B54" s="5">
        <v>400</v>
      </c>
      <c r="C54" s="10"/>
      <c r="D54" s="10"/>
      <c r="E54" s="10"/>
      <c r="F54" s="10"/>
      <c r="G54" s="10"/>
      <c r="H54" s="1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s="7" customFormat="1" ht="18.95" customHeight="1">
      <c r="A55" s="4" t="s">
        <v>13</v>
      </c>
      <c r="B55" s="5">
        <v>240</v>
      </c>
      <c r="C55" s="10"/>
      <c r="D55" s="10"/>
      <c r="E55" s="10"/>
      <c r="F55" s="10"/>
      <c r="G55" s="10"/>
      <c r="H55" s="1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s="7" customFormat="1" ht="18.95" customHeight="1">
      <c r="A56" s="4" t="s">
        <v>32</v>
      </c>
      <c r="B56" s="5">
        <v>4824</v>
      </c>
      <c r="C56" s="10"/>
      <c r="D56" s="10"/>
      <c r="E56" s="10"/>
      <c r="F56" s="10"/>
      <c r="G56" s="10"/>
      <c r="H56" s="10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s="7" customFormat="1" ht="18.95" customHeight="1">
      <c r="A57" s="4" t="s">
        <v>20</v>
      </c>
      <c r="B57" s="5">
        <v>14572</v>
      </c>
      <c r="C57" s="10"/>
      <c r="D57" s="10"/>
      <c r="E57" s="10"/>
      <c r="F57" s="10"/>
      <c r="G57" s="10"/>
      <c r="H57" s="10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s="7" customFormat="1" ht="18.95" customHeight="1">
      <c r="A58" s="4" t="s">
        <v>38</v>
      </c>
      <c r="B58" s="5">
        <v>25944</v>
      </c>
      <c r="C58" s="10"/>
      <c r="D58" s="10"/>
      <c r="E58" s="10"/>
      <c r="F58" s="10"/>
      <c r="G58" s="10"/>
      <c r="H58" s="10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s="7" customFormat="1" ht="18.95" customHeight="1">
      <c r="A59" s="4" t="s">
        <v>35</v>
      </c>
      <c r="B59" s="5">
        <v>4824</v>
      </c>
      <c r="C59" s="10"/>
      <c r="D59" s="10"/>
      <c r="E59" s="10"/>
      <c r="F59" s="10"/>
      <c r="G59" s="10"/>
      <c r="H59" s="1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s="7" customFormat="1" ht="18.95" customHeight="1">
      <c r="A60" s="4" t="s">
        <v>42</v>
      </c>
      <c r="B60" s="5">
        <v>4424</v>
      </c>
      <c r="C60" s="10"/>
      <c r="D60" s="10"/>
      <c r="E60" s="10"/>
      <c r="F60" s="10"/>
      <c r="G60" s="10"/>
      <c r="H60" s="1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ht="19.5" customHeight="1">
      <c r="A61" s="23" t="s">
        <v>28</v>
      </c>
      <c r="B61" s="14">
        <f>SUM(B54:B60)</f>
        <v>55228</v>
      </c>
    </row>
    <row r="62" spans="1:48" ht="15.75" thickBot="1">
      <c r="A62" s="8"/>
      <c r="B62" s="9"/>
    </row>
    <row r="63" spans="1:48" ht="18.600000000000001" customHeight="1">
      <c r="A63" s="43" t="s">
        <v>3</v>
      </c>
    </row>
    <row r="64" spans="1:48" ht="24.75" customHeight="1" thickBot="1">
      <c r="A64" s="44"/>
      <c r="B64" s="30"/>
      <c r="C64" s="31" t="s">
        <v>4</v>
      </c>
      <c r="D64" s="32"/>
      <c r="E64" s="32"/>
      <c r="F64" s="32"/>
      <c r="G64" s="32"/>
      <c r="H64" s="33"/>
    </row>
    <row r="65" spans="1:48" s="3" customFormat="1" ht="42" customHeight="1">
      <c r="A65" s="2" t="s">
        <v>29</v>
      </c>
      <c r="B65" s="27" t="s">
        <v>31</v>
      </c>
      <c r="C65" s="20" t="s">
        <v>5</v>
      </c>
      <c r="D65" s="21" t="s">
        <v>6</v>
      </c>
      <c r="E65" s="22" t="s">
        <v>7</v>
      </c>
      <c r="F65" s="21" t="s">
        <v>8</v>
      </c>
      <c r="G65" s="22" t="s">
        <v>9</v>
      </c>
      <c r="H65" s="21" t="s">
        <v>10</v>
      </c>
    </row>
    <row r="66" spans="1:48" s="7" customFormat="1" ht="18.95" customHeight="1">
      <c r="A66" s="4" t="s">
        <v>12</v>
      </c>
      <c r="B66" s="5">
        <v>240</v>
      </c>
      <c r="C66" s="10"/>
      <c r="D66" s="10"/>
      <c r="E66" s="11"/>
      <c r="F66" s="10"/>
      <c r="G66" s="11"/>
      <c r="H66" s="10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s="7" customFormat="1" ht="18.95" customHeight="1">
      <c r="A67" s="4" t="s">
        <v>13</v>
      </c>
      <c r="B67" s="5">
        <v>120</v>
      </c>
      <c r="C67" s="10"/>
      <c r="D67" s="10"/>
      <c r="E67" s="11"/>
      <c r="F67" s="10"/>
      <c r="G67" s="11"/>
      <c r="H67" s="10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s="7" customFormat="1" ht="18.95" customHeight="1">
      <c r="A68" s="4" t="s">
        <v>21</v>
      </c>
      <c r="B68" s="5">
        <v>4824</v>
      </c>
      <c r="C68" s="10"/>
      <c r="D68" s="10"/>
      <c r="E68" s="11"/>
      <c r="F68" s="10"/>
      <c r="G68" s="11"/>
      <c r="H68" s="10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s="7" customFormat="1" ht="18.95" customHeight="1">
      <c r="A69" s="4" t="s">
        <v>33</v>
      </c>
      <c r="B69" s="5">
        <v>4824</v>
      </c>
      <c r="C69" s="10"/>
      <c r="D69" s="10"/>
      <c r="E69" s="11"/>
      <c r="F69" s="10"/>
      <c r="G69" s="11"/>
      <c r="H69" s="10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s="7" customFormat="1" ht="18.95" customHeight="1">
      <c r="A70" s="4" t="s">
        <v>38</v>
      </c>
      <c r="B70" s="5">
        <v>4824</v>
      </c>
      <c r="C70" s="10"/>
      <c r="D70" s="10"/>
      <c r="E70" s="11"/>
      <c r="F70" s="10"/>
      <c r="G70" s="11"/>
      <c r="H70" s="1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ht="19.5" customHeight="1">
      <c r="A71" s="23" t="s">
        <v>28</v>
      </c>
      <c r="B71" s="14">
        <f>SUM(B66:B70)</f>
        <v>14832</v>
      </c>
    </row>
    <row r="72" spans="1:48" ht="15.75" thickBot="1">
      <c r="A72" s="8"/>
      <c r="B72" s="9"/>
    </row>
    <row r="73" spans="1:48" ht="26.1" customHeight="1" thickBot="1">
      <c r="A73" s="45" t="s">
        <v>43</v>
      </c>
      <c r="B73" s="46"/>
    </row>
    <row r="74" spans="1:48" ht="16.5" thickBot="1">
      <c r="A74" s="47" t="s">
        <v>44</v>
      </c>
      <c r="B74" s="48"/>
    </row>
  </sheetData>
  <mergeCells count="4">
    <mergeCell ref="A63:A64"/>
    <mergeCell ref="A51:A52"/>
    <mergeCell ref="A33:A34"/>
    <mergeCell ref="A6:A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Validation_Labor Categori'!$A$4:$A$28</xm:f>
          </x14:formula1>
          <xm:sqref>A66:A70 A9:A30 A36:A48 A54:A60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8"/>
  <sheetViews>
    <sheetView workbookViewId="0">
      <selection activeCell="D30" sqref="D30"/>
    </sheetView>
  </sheetViews>
  <sheetFormatPr defaultRowHeight="15"/>
  <cols>
    <col min="1" max="1" width="71.7109375" style="13" customWidth="1"/>
    <col min="2" max="16384" width="9.140625" style="13"/>
  </cols>
  <sheetData>
    <row r="3" spans="1:1" s="24" customFormat="1" ht="24.75" customHeight="1">
      <c r="A3" s="34" t="s">
        <v>30</v>
      </c>
    </row>
    <row r="4" spans="1:1">
      <c r="A4" s="35" t="s">
        <v>12</v>
      </c>
    </row>
    <row r="5" spans="1:1">
      <c r="A5" s="35" t="s">
        <v>13</v>
      </c>
    </row>
    <row r="6" spans="1:1">
      <c r="A6" s="35" t="s">
        <v>14</v>
      </c>
    </row>
    <row r="7" spans="1:1">
      <c r="A7" s="35" t="s">
        <v>15</v>
      </c>
    </row>
    <row r="8" spans="1:1">
      <c r="A8" s="35" t="s">
        <v>16</v>
      </c>
    </row>
    <row r="9" spans="1:1">
      <c r="A9" s="35" t="s">
        <v>17</v>
      </c>
    </row>
    <row r="10" spans="1:1">
      <c r="A10" s="35" t="s">
        <v>23</v>
      </c>
    </row>
    <row r="11" spans="1:1">
      <c r="A11" s="35" t="s">
        <v>24</v>
      </c>
    </row>
    <row r="12" spans="1:1">
      <c r="A12" s="35" t="s">
        <v>25</v>
      </c>
    </row>
    <row r="13" spans="1:1">
      <c r="A13" s="35" t="s">
        <v>18</v>
      </c>
    </row>
    <row r="14" spans="1:1">
      <c r="A14" s="35" t="s">
        <v>19</v>
      </c>
    </row>
    <row r="15" spans="1:1">
      <c r="A15" s="35" t="s">
        <v>32</v>
      </c>
    </row>
    <row r="16" spans="1:1">
      <c r="A16" s="35" t="s">
        <v>20</v>
      </c>
    </row>
    <row r="17" spans="1:1">
      <c r="A17" s="35" t="s">
        <v>21</v>
      </c>
    </row>
    <row r="18" spans="1:1">
      <c r="A18" s="35" t="s">
        <v>22</v>
      </c>
    </row>
    <row r="19" spans="1:1">
      <c r="A19" s="35" t="s">
        <v>42</v>
      </c>
    </row>
    <row r="20" spans="1:1">
      <c r="A20" s="35" t="s">
        <v>40</v>
      </c>
    </row>
    <row r="21" spans="1:1">
      <c r="A21" s="35" t="s">
        <v>33</v>
      </c>
    </row>
    <row r="22" spans="1:1">
      <c r="A22" s="35" t="s">
        <v>41</v>
      </c>
    </row>
    <row r="23" spans="1:1">
      <c r="A23" s="35" t="s">
        <v>34</v>
      </c>
    </row>
    <row r="24" spans="1:1">
      <c r="A24" s="35" t="s">
        <v>35</v>
      </c>
    </row>
    <row r="25" spans="1:1">
      <c r="A25" s="35" t="s">
        <v>36</v>
      </c>
    </row>
    <row r="26" spans="1:1">
      <c r="A26" s="35" t="s">
        <v>37</v>
      </c>
    </row>
    <row r="27" spans="1:1">
      <c r="A27" s="35" t="s">
        <v>38</v>
      </c>
    </row>
    <row r="28" spans="1:1">
      <c r="A28" s="35" t="s">
        <v>39</v>
      </c>
    </row>
  </sheetData>
  <dataValidations count="1">
    <dataValidation type="list" allowBlank="1" showInputMessage="1" showErrorMessage="1" sqref="A4:A28">
      <formula1>$A$4:$A$28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 Rates</vt:lpstr>
      <vt:lpstr>Data Validation_Labor Categori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jill.joscelyn</dc:creator>
  <cp:lastModifiedBy>jill.joscelyn</cp:lastModifiedBy>
  <dcterms:created xsi:type="dcterms:W3CDTF">2026-02-12T19:28:35Z</dcterms:created>
  <dcterms:modified xsi:type="dcterms:W3CDTF">2026-02-24T11:46:35Z</dcterms:modified>
</cp:coreProperties>
</file>