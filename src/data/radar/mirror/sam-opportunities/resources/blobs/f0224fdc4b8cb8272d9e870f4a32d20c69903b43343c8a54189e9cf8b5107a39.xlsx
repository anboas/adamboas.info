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marcos_diaz_va_gov/Documents/Desktop/1 649 Siemens/"/>
    </mc:Choice>
  </mc:AlternateContent>
  <xr:revisionPtr revIDLastSave="766" documentId="13_ncr:1_{25309648-13C1-4E98-BFB0-65B904DC3CA1}" xr6:coauthVersionLast="47" xr6:coauthVersionMax="47" xr10:uidLastSave="{BD8AACF6-F4F3-4405-8682-591B87FF0144}"/>
  <bookViews>
    <workbookView xWindow="5865" yWindow="1320" windowWidth="32055" windowHeight="18525" xr2:uid="{D31AFFB8-1CDE-4389-82FF-3CBF3C3644B5}"/>
  </bookViews>
  <sheets>
    <sheet name="Base" sheetId="1" r:id="rId1"/>
    <sheet name="Separately Priced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" i="1"/>
  <c r="X3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" i="1"/>
  <c r="U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" i="1"/>
  <c r="R3" i="1"/>
  <c r="L31" i="1"/>
  <c r="L32" i="1"/>
  <c r="O3" i="1"/>
  <c r="O8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" i="1"/>
  <c r="L3" i="1"/>
  <c r="K48" i="1" s="1"/>
  <c r="W48" i="1" l="1"/>
  <c r="T48" i="1"/>
  <c r="Q48" i="1"/>
  <c r="N48" i="1"/>
  <c r="Y28" i="1"/>
  <c r="Y12" i="1"/>
  <c r="Y33" i="1"/>
  <c r="Y25" i="1"/>
  <c r="Y24" i="1"/>
  <c r="Y16" i="1"/>
  <c r="Y9" i="1"/>
  <c r="Y32" i="1"/>
  <c r="Y36" i="1"/>
  <c r="Y20" i="1"/>
  <c r="Y17" i="1"/>
  <c r="Y38" i="1"/>
  <c r="Y30" i="1"/>
  <c r="Y22" i="1"/>
  <c r="Y14" i="1"/>
  <c r="Y37" i="1"/>
  <c r="Y29" i="1"/>
  <c r="Y21" i="1"/>
  <c r="Y13" i="1"/>
  <c r="Y35" i="1"/>
  <c r="Y27" i="1"/>
  <c r="Y19" i="1"/>
  <c r="Y11" i="1"/>
  <c r="Y34" i="1"/>
  <c r="Y26" i="1"/>
  <c r="Y18" i="1"/>
  <c r="Y10" i="1"/>
  <c r="Y8" i="1"/>
  <c r="Y31" i="1"/>
  <c r="Y23" i="1"/>
  <c r="Y15" i="1"/>
  <c r="Y7" i="1"/>
  <c r="Y39" i="1"/>
  <c r="Y4" i="1"/>
  <c r="Y47" i="1"/>
  <c r="Y5" i="1"/>
  <c r="Y41" i="1"/>
  <c r="Y40" i="1"/>
  <c r="Y6" i="1"/>
  <c r="Y3" i="1"/>
  <c r="X51" i="1" l="1"/>
  <c r="D51" i="2" l="1"/>
  <c r="X53" i="1" s="1"/>
  <c r="X55" i="1" s="1"/>
</calcChain>
</file>

<file path=xl/sharedStrings.xml><?xml version="1.0" encoding="utf-8"?>
<sst xmlns="http://schemas.openxmlformats.org/spreadsheetml/2006/main" count="161" uniqueCount="80">
  <si>
    <t>CLIN</t>
  </si>
  <si>
    <t>Brand Name Nomenclature</t>
  </si>
  <si>
    <t>Manufacturer Part Number</t>
  </si>
  <si>
    <t>Unit Price</t>
  </si>
  <si>
    <t>Extended Price</t>
  </si>
  <si>
    <t>Brand Name</t>
  </si>
  <si>
    <t>TOTAL</t>
  </si>
  <si>
    <t>BASE</t>
  </si>
  <si>
    <t>OPTION 1</t>
  </si>
  <si>
    <t>OPTION 2</t>
  </si>
  <si>
    <t>OPTION 3</t>
  </si>
  <si>
    <t>OPTION 4</t>
  </si>
  <si>
    <t>GRAND TOTAL</t>
  </si>
  <si>
    <t>BASE TOTALS</t>
  </si>
  <si>
    <t>OPTION 2 TOTALS</t>
  </si>
  <si>
    <t>OPTION 1 TOTALS</t>
  </si>
  <si>
    <t>OPTION 3 TOTALS</t>
  </si>
  <si>
    <t>OPTION 4 TOTALS</t>
  </si>
  <si>
    <t>Service EPOC</t>
  </si>
  <si>
    <t>Service RAPIDPoint 500</t>
  </si>
  <si>
    <t>Service RAPIDPoint 500e</t>
  </si>
  <si>
    <t>Analyzer EPOC</t>
  </si>
  <si>
    <t>Analyzer RAPIDPoint 500e</t>
  </si>
  <si>
    <t>EPOCBGEM Test Cards BUN 25 Tests</t>
  </si>
  <si>
    <t>Eurotrol Gas - ISE Control Level 1 (10 x 2.5 mL) BUN</t>
  </si>
  <si>
    <t>Eurotrol Gas - ISE Control Level 2 (10 x 2.5 mL) BUN</t>
  </si>
  <si>
    <t>Eurotrol Gas - ISE Control Level 3 (10 x 2.5 mL) BUN</t>
  </si>
  <si>
    <t>Eurotrol Calibration Verification Fluid (4 Pack) BUN</t>
  </si>
  <si>
    <t>Eurotrol EPOC Hct Control Level A (10 x 2.5 mL)</t>
  </si>
  <si>
    <t>Eurotrol EPOC Hct Control Level C (10 x 2.5 mL)</t>
  </si>
  <si>
    <t>Martel Label Roll</t>
  </si>
  <si>
    <t>Blunt Needles for QC transfer (50 Pack)</t>
  </si>
  <si>
    <t>AQC CTL</t>
  </si>
  <si>
    <t>Meas Cart BG-COOX 400</t>
  </si>
  <si>
    <t>Wash Waste Cartridge</t>
  </si>
  <si>
    <t>CMV CTL</t>
  </si>
  <si>
    <t>Air Filter</t>
  </si>
  <si>
    <t>Paper Printer</t>
  </si>
  <si>
    <t>Luer Capillary</t>
  </si>
  <si>
    <t>Proficiency Survey Quick Adapter</t>
  </si>
  <si>
    <t>WASH/WASTE CART 4 PK</t>
  </si>
  <si>
    <t>MCART LAC 250 TEST</t>
  </si>
  <si>
    <t>LAMP ASSY RP405/500-CON</t>
  </si>
  <si>
    <t>RAPID QC 1 CTL</t>
  </si>
  <si>
    <t>RAPID QC 2 CTL</t>
  </si>
  <si>
    <t>RAPID QC 3 CTL</t>
  </si>
  <si>
    <t>Quick Adapter</t>
  </si>
  <si>
    <t>EPOC EDM SW_POC Inform Support</t>
  </si>
  <si>
    <t>EPOC HL7/HIS SW_POC Inform Support</t>
  </si>
  <si>
    <t>epoc PREMIUM Reader Agreement</t>
  </si>
  <si>
    <t>epoc PREMIUM NXS Host Agreement</t>
  </si>
  <si>
    <t>epoc consultancy Package</t>
  </si>
  <si>
    <t>epocReader Blanket Service contract</t>
  </si>
  <si>
    <t>Equivalent Brand</t>
  </si>
  <si>
    <t>Equivalent Nomenclature</t>
  </si>
  <si>
    <t>Equivalent Description Matching Salient Characteristics and or location of information regarding equal capability</t>
  </si>
  <si>
    <t>Minimum System Requirements</t>
  </si>
  <si>
    <t>Quantity required</t>
  </si>
  <si>
    <t xml:space="preserve">Quantity required </t>
  </si>
  <si>
    <t>Unit of MFR</t>
  </si>
  <si>
    <t>Units / Year</t>
  </si>
  <si>
    <t>BX</t>
  </si>
  <si>
    <t>PKG</t>
  </si>
  <si>
    <t>EA</t>
  </si>
  <si>
    <t>epocNXS Host Blanket Service Contrct</t>
  </si>
  <si>
    <t>Item / Reagent / Consumables / Supplies</t>
  </si>
  <si>
    <t>Item number 
OEM</t>
  </si>
  <si>
    <t>Unit of Measure</t>
  </si>
  <si>
    <t>Comments</t>
  </si>
  <si>
    <t>COST PER YEAR</t>
  </si>
  <si>
    <t>GRAND TOTAL INCLUDING SEPARATELY PRICED ITEMS</t>
  </si>
  <si>
    <t>THIS SHEET GRAND TOTAL</t>
  </si>
  <si>
    <t>TOTAL FROM SEPRATELY PRICED ITEMS</t>
  </si>
  <si>
    <t>EPOC HOST_Expanded Warranty</t>
  </si>
  <si>
    <t>EPOC READER_Expanded Warranty</t>
  </si>
  <si>
    <t>EPOC NXS HOST_Expanded Warranty</t>
  </si>
  <si>
    <t>YR</t>
  </si>
  <si>
    <t xml:space="preserve">SEE ATTACHMENT: "P02 - RFI Attachment B SOW Blood Gas"  FOR DETAILS </t>
  </si>
  <si>
    <t xml:space="preserve">ANNUAL PREVENTIVE MAINTENANCE AND SERVICE AGREEMENT FOR EACH INSTRUMENT.  SEE SOW FOR INSTRUMENT DETAILS.  </t>
  </si>
  <si>
    <t>SIEMENS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</si>
</sst>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/>
      <top/>
      <bottom style="thick">
        <color theme="4"/>
      </bottom>
      <diagonal/>
    </border>
    <border>
      <left/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theme="4"/>
      </bottom>
      <diagonal/>
    </border>
    <border>
      <left/>
      <right/>
      <top style="thin">
        <color indexed="6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left" wrapText="1"/>
    </xf>
    <xf numFmtId="0" fontId="2" fillId="0" borderId="2" xfId="2" applyAlignment="1">
      <alignment horizontal="center" wrapText="1"/>
    </xf>
    <xf numFmtId="44" fontId="0" fillId="0" borderId="0" xfId="1" applyFont="1" applyAlignment="1">
      <alignment horizontal="left" wrapText="1"/>
    </xf>
    <xf numFmtId="0" fontId="2" fillId="0" borderId="2" xfId="2" applyAlignment="1">
      <alignment horizontal="left" wrapText="1"/>
    </xf>
    <xf numFmtId="0" fontId="4" fillId="0" borderId="4" xfId="4" applyAlignment="1">
      <alignment horizontal="left" wrapText="1"/>
    </xf>
    <xf numFmtId="0" fontId="0" fillId="0" borderId="0" xfId="0" applyAlignment="1">
      <alignment horizontal="left"/>
    </xf>
    <xf numFmtId="44" fontId="0" fillId="0" borderId="6" xfId="1" applyFont="1" applyBorder="1" applyAlignment="1">
      <alignment horizontal="left" wrapText="1"/>
    </xf>
    <xf numFmtId="44" fontId="0" fillId="0" borderId="8" xfId="1" applyFont="1" applyBorder="1" applyAlignment="1">
      <alignment horizontal="left" wrapText="1"/>
    </xf>
    <xf numFmtId="44" fontId="0" fillId="0" borderId="10" xfId="1" applyFont="1" applyBorder="1" applyAlignment="1">
      <alignment horizontal="left" wrapText="1"/>
    </xf>
    <xf numFmtId="44" fontId="0" fillId="0" borderId="17" xfId="1" applyFont="1" applyBorder="1" applyAlignment="1">
      <alignment horizontal="left" wrapText="1"/>
    </xf>
    <xf numFmtId="44" fontId="0" fillId="0" borderId="5" xfId="1" applyFont="1" applyBorder="1" applyAlignment="1">
      <alignment horizontal="left" wrapText="1"/>
    </xf>
    <xf numFmtId="44" fontId="2" fillId="0" borderId="2" xfId="2" applyNumberFormat="1" applyAlignment="1">
      <alignment horizontal="center" wrapText="1"/>
    </xf>
    <xf numFmtId="44" fontId="2" fillId="0" borderId="19" xfId="2" applyNumberFormat="1" applyBorder="1" applyAlignment="1">
      <alignment horizontal="center" wrapText="1"/>
    </xf>
    <xf numFmtId="44" fontId="2" fillId="0" borderId="20" xfId="2" applyNumberFormat="1" applyBorder="1" applyAlignment="1">
      <alignment horizontal="center" wrapText="1"/>
    </xf>
    <xf numFmtId="44" fontId="5" fillId="0" borderId="0" xfId="1" applyFont="1" applyBorder="1" applyAlignment="1">
      <alignment horizontal="left" wrapText="1"/>
    </xf>
    <xf numFmtId="44" fontId="5" fillId="0" borderId="13" xfId="1" applyFont="1" applyBorder="1" applyAlignment="1">
      <alignment horizontal="left" wrapText="1"/>
    </xf>
    <xf numFmtId="0" fontId="3" fillId="2" borderId="3" xfId="3" applyFill="1" applyAlignment="1">
      <alignment horizontal="left"/>
    </xf>
    <xf numFmtId="44" fontId="3" fillId="2" borderId="3" xfId="3" applyNumberFormat="1" applyFill="1" applyAlignment="1">
      <alignment horizontal="center"/>
    </xf>
    <xf numFmtId="0" fontId="3" fillId="2" borderId="3" xfId="3" applyFill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5" xfId="4" applyBorder="1" applyAlignment="1">
      <alignment horizontal="center" wrapText="1"/>
    </xf>
    <xf numFmtId="0" fontId="4" fillId="0" borderId="16" xfId="4" applyBorder="1" applyAlignment="1">
      <alignment horizontal="center" wrapText="1"/>
    </xf>
    <xf numFmtId="0" fontId="4" fillId="0" borderId="18" xfId="4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0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 vertical="center" wrapTex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0" fillId="0" borderId="6" xfId="0" applyFont="1" applyBorder="1" applyAlignment="1">
      <alignment horizontal="right"/>
    </xf>
    <xf numFmtId="0" fontId="7" fillId="0" borderId="6" xfId="0" applyFont="1" applyBorder="1" applyAlignment="1">
      <alignment horizontal="right" vertical="center" wrapText="1"/>
    </xf>
    <xf numFmtId="1" fontId="2" fillId="0" borderId="2" xfId="2" applyNumberFormat="1" applyAlignment="1">
      <alignment horizontal="center" wrapText="1"/>
    </xf>
    <xf numFmtId="1" fontId="0" fillId="0" borderId="24" xfId="1" applyNumberFormat="1" applyFont="1" applyBorder="1" applyAlignment="1" applyProtection="1">
      <alignment horizontal="center" wrapText="1"/>
      <protection locked="0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25" xfId="1" applyNumberFormat="1" applyFont="1" applyBorder="1" applyAlignment="1">
      <alignment horizontal="center" wrapText="1"/>
    </xf>
    <xf numFmtId="1" fontId="0" fillId="0" borderId="24" xfId="1" applyNumberFormat="1" applyFont="1" applyBorder="1" applyAlignment="1">
      <alignment horizontal="center" wrapText="1"/>
    </xf>
    <xf numFmtId="1" fontId="3" fillId="2" borderId="3" xfId="3" applyNumberFormat="1" applyFill="1" applyAlignment="1">
      <alignment horizontal="center"/>
    </xf>
    <xf numFmtId="164" fontId="0" fillId="0" borderId="1" xfId="5" applyNumberFormat="1" applyFont="1" applyFill="1" applyBorder="1" applyAlignment="1">
      <alignment horizontal="left" wrapText="1"/>
    </xf>
    <xf numFmtId="1" fontId="0" fillId="0" borderId="23" xfId="5" applyNumberFormat="1" applyFont="1" applyFill="1" applyBorder="1" applyAlignment="1" applyProtection="1">
      <alignment horizontal="center" wrapText="1"/>
    </xf>
    <xf numFmtId="1" fontId="0" fillId="0" borderId="23" xfId="5" applyNumberFormat="1" applyFont="1" applyFill="1" applyBorder="1" applyAlignment="1" applyProtection="1">
      <alignment horizontal="center" wrapText="1"/>
      <protection locked="0"/>
    </xf>
    <xf numFmtId="0" fontId="0" fillId="0" borderId="0" xfId="0" applyFont="1" applyAlignment="1">
      <alignment horizontal="left"/>
    </xf>
    <xf numFmtId="0" fontId="5" fillId="0" borderId="30" xfId="3" applyFont="1" applyBorder="1" applyAlignment="1">
      <alignment horizontal="center" wrapText="1"/>
    </xf>
    <xf numFmtId="44" fontId="5" fillId="0" borderId="28" xfId="3" applyNumberFormat="1" applyFont="1" applyBorder="1" applyAlignment="1">
      <alignment wrapText="1"/>
    </xf>
    <xf numFmtId="44" fontId="5" fillId="0" borderId="29" xfId="3" applyNumberFormat="1" applyFont="1" applyBorder="1" applyAlignment="1">
      <alignment horizontal="center" wrapText="1"/>
    </xf>
    <xf numFmtId="44" fontId="5" fillId="0" borderId="31" xfId="1" applyFont="1" applyBorder="1" applyAlignment="1">
      <alignment horizontal="center" wrapText="1"/>
    </xf>
    <xf numFmtId="44" fontId="5" fillId="0" borderId="32" xfId="1" applyFont="1" applyBorder="1" applyAlignment="1">
      <alignment horizontal="center" wrapText="1"/>
    </xf>
    <xf numFmtId="44" fontId="0" fillId="4" borderId="7" xfId="1" applyFont="1" applyFill="1" applyBorder="1" applyAlignment="1">
      <alignment horizontal="left" wrapText="1"/>
    </xf>
    <xf numFmtId="44" fontId="0" fillId="4" borderId="9" xfId="1" applyFont="1" applyFill="1" applyBorder="1" applyAlignment="1">
      <alignment horizontal="left" wrapText="1"/>
    </xf>
    <xf numFmtId="44" fontId="0" fillId="4" borderId="14" xfId="1" applyFont="1" applyFill="1" applyBorder="1" applyAlignment="1">
      <alignment horizontal="left" wrapText="1"/>
    </xf>
    <xf numFmtId="44" fontId="0" fillId="4" borderId="6" xfId="1" applyFont="1" applyFill="1" applyBorder="1" applyAlignment="1">
      <alignment horizontal="left" wrapText="1"/>
    </xf>
    <xf numFmtId="44" fontId="0" fillId="4" borderId="7" xfId="1" applyFont="1" applyFill="1" applyBorder="1" applyAlignment="1" applyProtection="1">
      <alignment horizontal="left" wrapText="1"/>
      <protection locked="0"/>
    </xf>
    <xf numFmtId="44" fontId="0" fillId="4" borderId="9" xfId="1" applyFont="1" applyFill="1" applyBorder="1" applyAlignment="1" applyProtection="1">
      <alignment horizontal="left" wrapText="1"/>
      <protection locked="0"/>
    </xf>
    <xf numFmtId="0" fontId="8" fillId="3" borderId="1" xfId="0" applyFont="1" applyFill="1" applyBorder="1" applyProtection="1">
      <protection locked="0"/>
    </xf>
    <xf numFmtId="0" fontId="8" fillId="3" borderId="1" xfId="0" applyFont="1" applyFill="1" applyBorder="1" applyAlignment="1">
      <alignment wrapText="1"/>
    </xf>
    <xf numFmtId="0" fontId="8" fillId="0" borderId="1" xfId="0" applyFont="1" applyFill="1" applyBorder="1" applyProtection="1">
      <protection locked="0"/>
    </xf>
    <xf numFmtId="0" fontId="8" fillId="0" borderId="1" xfId="0" applyFont="1" applyFill="1" applyBorder="1" applyAlignment="1">
      <alignment wrapText="1"/>
    </xf>
    <xf numFmtId="44" fontId="8" fillId="0" borderId="1" xfId="1" applyFont="1" applyFill="1" applyBorder="1" applyProtection="1">
      <protection locked="0"/>
    </xf>
    <xf numFmtId="44" fontId="0" fillId="0" borderId="0" xfId="1" applyFont="1"/>
    <xf numFmtId="0" fontId="6" fillId="4" borderId="1" xfId="6" applyFill="1" applyBorder="1" applyAlignment="1">
      <alignment horizontal="center" vertical="center"/>
    </xf>
    <xf numFmtId="0" fontId="6" fillId="4" borderId="1" xfId="6" applyFill="1" applyBorder="1" applyAlignment="1">
      <alignment horizontal="center" vertical="center" wrapText="1"/>
    </xf>
    <xf numFmtId="44" fontId="6" fillId="4" borderId="1" xfId="6" applyNumberFormat="1" applyFill="1" applyBorder="1" applyAlignment="1">
      <alignment horizontal="center" vertical="center" wrapText="1"/>
    </xf>
    <xf numFmtId="44" fontId="8" fillId="3" borderId="1" xfId="1" applyFont="1" applyFill="1" applyBorder="1" applyProtection="1">
      <protection locked="0"/>
    </xf>
    <xf numFmtId="0" fontId="9" fillId="0" borderId="3" xfId="3" applyFont="1" applyAlignment="1">
      <alignment horizontal="center"/>
    </xf>
    <xf numFmtId="44" fontId="9" fillId="0" borderId="3" xfId="3" applyNumberFormat="1" applyFont="1"/>
    <xf numFmtId="0" fontId="3" fillId="5" borderId="3" xfId="3" applyFill="1" applyAlignment="1">
      <alignment horizontal="center" wrapText="1"/>
    </xf>
    <xf numFmtId="44" fontId="3" fillId="5" borderId="3" xfId="3" applyNumberFormat="1" applyFill="1" applyAlignment="1">
      <alignment horizontal="center" wrapText="1"/>
    </xf>
    <xf numFmtId="0" fontId="3" fillId="2" borderId="3" xfId="3" applyFill="1" applyAlignment="1">
      <alignment horizontal="center" wrapText="1"/>
    </xf>
    <xf numFmtId="44" fontId="3" fillId="2" borderId="3" xfId="3" applyNumberFormat="1" applyFill="1" applyAlignment="1">
      <alignment horizont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</cellXfs>
  <cellStyles count="7">
    <cellStyle name="Comma" xfId="5" builtinId="3"/>
    <cellStyle name="Currency" xfId="1" builtinId="4"/>
    <cellStyle name="Heading 1" xfId="2" builtinId="16"/>
    <cellStyle name="Heading 2" xfId="4" builtinId="17"/>
    <cellStyle name="Heading 4" xfId="6" builtinId="19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D30-29D0-45B8-9D2D-2E9EAA875EC3}">
  <dimension ref="A1:Y56"/>
  <sheetViews>
    <sheetView tabSelected="1" zoomScale="60" zoomScaleNormal="60" workbookViewId="0">
      <selection activeCell="V3" sqref="V3:V29"/>
    </sheetView>
  </sheetViews>
  <sheetFormatPr defaultColWidth="9.140625" defaultRowHeight="15" x14ac:dyDescent="0.25"/>
  <cols>
    <col min="1" max="1" width="6.5703125" style="1" bestFit="1" customWidth="1"/>
    <col min="2" max="2" width="9.140625" style="1" customWidth="1"/>
    <col min="3" max="3" width="53" style="1" bestFit="1" customWidth="1"/>
    <col min="4" max="6" width="20.7109375" style="1" customWidth="1"/>
    <col min="7" max="7" width="48" style="1" customWidth="1"/>
    <col min="8" max="8" width="18" style="1" bestFit="1" customWidth="1"/>
    <col min="9" max="9" width="8" style="1" customWidth="1"/>
    <col min="10" max="10" width="9.7109375" style="1" customWidth="1"/>
    <col min="11" max="11" width="11.85546875" style="41" customWidth="1"/>
    <col min="12" max="12" width="12.7109375" style="1" customWidth="1"/>
    <col min="13" max="13" width="9.7109375" style="1" customWidth="1"/>
    <col min="14" max="14" width="11.85546875" style="41" customWidth="1"/>
    <col min="15" max="15" width="12.7109375" style="1" customWidth="1"/>
    <col min="16" max="16" width="9.7109375" style="1" customWidth="1"/>
    <col min="17" max="17" width="11.85546875" style="41" customWidth="1"/>
    <col min="18" max="18" width="12.7109375" style="1" customWidth="1"/>
    <col min="19" max="19" width="9.7109375" style="1" customWidth="1"/>
    <col min="20" max="20" width="11.85546875" style="41" customWidth="1"/>
    <col min="21" max="21" width="12.7109375" style="1" customWidth="1"/>
    <col min="22" max="22" width="9.7109375" style="1" customWidth="1"/>
    <col min="23" max="23" width="11.85546875" style="41" customWidth="1"/>
    <col min="24" max="24" width="12.7109375" style="1" customWidth="1"/>
    <col min="25" max="25" width="20.7109375" style="1" customWidth="1"/>
    <col min="26" max="16384" width="9.140625" style="1"/>
  </cols>
  <sheetData>
    <row r="1" spans="1:25" ht="30" customHeight="1" thickBot="1" x14ac:dyDescent="0.35">
      <c r="A1" s="5"/>
      <c r="B1" s="5"/>
      <c r="C1" s="5"/>
      <c r="D1" s="5"/>
      <c r="E1" s="5"/>
      <c r="F1" s="5"/>
      <c r="G1" s="5"/>
      <c r="H1" s="5"/>
      <c r="I1" s="5"/>
      <c r="J1" s="24" t="s">
        <v>7</v>
      </c>
      <c r="K1" s="26"/>
      <c r="L1" s="25"/>
      <c r="M1" s="26" t="s">
        <v>8</v>
      </c>
      <c r="N1" s="26"/>
      <c r="O1" s="26"/>
      <c r="P1" s="24" t="s">
        <v>9</v>
      </c>
      <c r="Q1" s="26"/>
      <c r="R1" s="25"/>
      <c r="S1" s="26" t="s">
        <v>10</v>
      </c>
      <c r="T1" s="26"/>
      <c r="U1" s="26"/>
      <c r="V1" s="24" t="s">
        <v>11</v>
      </c>
      <c r="W1" s="26"/>
      <c r="X1" s="25"/>
      <c r="Y1" s="5" t="s">
        <v>6</v>
      </c>
    </row>
    <row r="2" spans="1:25" ht="79.5" thickTop="1" thickBot="1" x14ac:dyDescent="0.35">
      <c r="A2" s="2" t="s">
        <v>0</v>
      </c>
      <c r="B2" s="2" t="s">
        <v>5</v>
      </c>
      <c r="C2" s="2" t="s">
        <v>1</v>
      </c>
      <c r="D2" s="2" t="s">
        <v>56</v>
      </c>
      <c r="E2" s="2" t="s">
        <v>53</v>
      </c>
      <c r="F2" s="2" t="s">
        <v>54</v>
      </c>
      <c r="G2" s="2" t="s">
        <v>55</v>
      </c>
      <c r="H2" s="2" t="s">
        <v>2</v>
      </c>
      <c r="I2" s="2" t="s">
        <v>59</v>
      </c>
      <c r="J2" s="13" t="s">
        <v>3</v>
      </c>
      <c r="K2" s="38" t="s">
        <v>57</v>
      </c>
      <c r="L2" s="14" t="s">
        <v>4</v>
      </c>
      <c r="M2" s="12" t="s">
        <v>3</v>
      </c>
      <c r="N2" s="38" t="s">
        <v>58</v>
      </c>
      <c r="O2" s="12" t="s">
        <v>4</v>
      </c>
      <c r="P2" s="13" t="s">
        <v>3</v>
      </c>
      <c r="Q2" s="38" t="s">
        <v>57</v>
      </c>
      <c r="R2" s="14" t="s">
        <v>4</v>
      </c>
      <c r="S2" s="12" t="s">
        <v>3</v>
      </c>
      <c r="T2" s="38" t="s">
        <v>57</v>
      </c>
      <c r="U2" s="12" t="s">
        <v>4</v>
      </c>
      <c r="V2" s="13" t="s">
        <v>3</v>
      </c>
      <c r="W2" s="38" t="s">
        <v>57</v>
      </c>
      <c r="X2" s="14" t="s">
        <v>4</v>
      </c>
      <c r="Y2" s="4"/>
    </row>
    <row r="3" spans="1:25" s="29" customFormat="1" ht="30.75" thickTop="1" x14ac:dyDescent="0.25">
      <c r="A3" s="27">
        <v>1</v>
      </c>
      <c r="B3" s="28" t="s">
        <v>79</v>
      </c>
      <c r="C3" s="30" t="s">
        <v>18</v>
      </c>
      <c r="D3" s="78" t="s">
        <v>77</v>
      </c>
      <c r="E3" s="30"/>
      <c r="F3" s="30"/>
      <c r="G3" s="30"/>
      <c r="H3" s="32"/>
      <c r="I3" s="45" t="s">
        <v>60</v>
      </c>
      <c r="J3" s="58"/>
      <c r="K3" s="46">
        <v>5</v>
      </c>
      <c r="L3" s="8">
        <f>SUM(K3*J3)</f>
        <v>0</v>
      </c>
      <c r="M3" s="56"/>
      <c r="N3" s="42">
        <v>5</v>
      </c>
      <c r="O3" s="10">
        <f>SUM(N3*M3)</f>
        <v>0</v>
      </c>
      <c r="P3" s="54"/>
      <c r="Q3" s="42">
        <v>5</v>
      </c>
      <c r="R3" s="8">
        <f>SUM(Q3*P3)</f>
        <v>0</v>
      </c>
      <c r="S3" s="56"/>
      <c r="T3" s="42">
        <v>5</v>
      </c>
      <c r="U3" s="10">
        <f>SUM(T3*S3)</f>
        <v>0</v>
      </c>
      <c r="V3" s="54"/>
      <c r="W3" s="42">
        <v>5</v>
      </c>
      <c r="X3" s="8">
        <f>SUM(W3*V3)</f>
        <v>0</v>
      </c>
      <c r="Y3" s="7">
        <f>SUM(L3+O3+R3+U3+X3)</f>
        <v>0</v>
      </c>
    </row>
    <row r="4" spans="1:25" s="29" customFormat="1" ht="30" x14ac:dyDescent="0.25">
      <c r="A4" s="27">
        <v>2</v>
      </c>
      <c r="B4" s="28" t="s">
        <v>79</v>
      </c>
      <c r="C4" s="30" t="s">
        <v>19</v>
      </c>
      <c r="D4" s="76"/>
      <c r="E4" s="30"/>
      <c r="F4" s="30"/>
      <c r="G4" s="30"/>
      <c r="H4" s="32"/>
      <c r="I4" s="45" t="s">
        <v>60</v>
      </c>
      <c r="J4" s="59"/>
      <c r="K4" s="46">
        <v>2</v>
      </c>
      <c r="L4" s="9">
        <f>SUM(K4*J4)</f>
        <v>0</v>
      </c>
      <c r="M4" s="57"/>
      <c r="N4" s="43">
        <v>2</v>
      </c>
      <c r="O4" s="11">
        <f>SUM(N4*M4)</f>
        <v>0</v>
      </c>
      <c r="P4" s="55"/>
      <c r="Q4" s="43">
        <v>2</v>
      </c>
      <c r="R4" s="9">
        <f>SUM(Q4*P4)</f>
        <v>0</v>
      </c>
      <c r="S4" s="57"/>
      <c r="T4" s="43">
        <v>2</v>
      </c>
      <c r="U4" s="11">
        <f>SUM(T4*S4)</f>
        <v>0</v>
      </c>
      <c r="V4" s="55"/>
      <c r="W4" s="43">
        <v>2</v>
      </c>
      <c r="X4" s="9">
        <f>SUM(W4*V4)</f>
        <v>0</v>
      </c>
      <c r="Y4" s="7">
        <f t="shared" ref="Y4:Y47" si="0">SUM(L4+O4+R4+U4+X4)</f>
        <v>0</v>
      </c>
    </row>
    <row r="5" spans="1:25" s="29" customFormat="1" ht="30" x14ac:dyDescent="0.25">
      <c r="A5" s="27">
        <v>3</v>
      </c>
      <c r="B5" s="28" t="s">
        <v>79</v>
      </c>
      <c r="C5" s="30" t="s">
        <v>20</v>
      </c>
      <c r="D5" s="76"/>
      <c r="E5" s="30"/>
      <c r="F5" s="30"/>
      <c r="G5" s="30"/>
      <c r="H5" s="32"/>
      <c r="I5" s="45" t="s">
        <v>60</v>
      </c>
      <c r="J5" s="59"/>
      <c r="K5" s="46">
        <v>11</v>
      </c>
      <c r="L5" s="9">
        <f t="shared" ref="L5:L47" si="1">SUM(K5*J5)</f>
        <v>0</v>
      </c>
      <c r="M5" s="57"/>
      <c r="N5" s="43">
        <v>11</v>
      </c>
      <c r="O5" s="11">
        <f t="shared" ref="O5:O47" si="2">SUM(N5*M5)</f>
        <v>0</v>
      </c>
      <c r="P5" s="55"/>
      <c r="Q5" s="43">
        <v>11</v>
      </c>
      <c r="R5" s="9">
        <f t="shared" ref="R5:R47" si="3">SUM(Q5*P5)</f>
        <v>0</v>
      </c>
      <c r="S5" s="57"/>
      <c r="T5" s="43">
        <v>11</v>
      </c>
      <c r="U5" s="11">
        <f t="shared" ref="U5:U47" si="4">SUM(T5*S5)</f>
        <v>0</v>
      </c>
      <c r="V5" s="55"/>
      <c r="W5" s="43">
        <v>11</v>
      </c>
      <c r="X5" s="9">
        <f t="shared" ref="X5:X47" si="5">SUM(W5*V5)</f>
        <v>0</v>
      </c>
      <c r="Y5" s="7">
        <f t="shared" si="0"/>
        <v>0</v>
      </c>
    </row>
    <row r="6" spans="1:25" s="29" customFormat="1" x14ac:dyDescent="0.25">
      <c r="A6" s="27">
        <v>4</v>
      </c>
      <c r="B6" s="28" t="s">
        <v>79</v>
      </c>
      <c r="C6" s="30" t="s">
        <v>21</v>
      </c>
      <c r="D6" s="76"/>
      <c r="E6" s="30"/>
      <c r="F6" s="30"/>
      <c r="G6" s="30"/>
      <c r="H6" s="32"/>
      <c r="I6" s="36"/>
      <c r="J6" s="59"/>
      <c r="K6" s="46">
        <v>0</v>
      </c>
      <c r="L6" s="9">
        <f t="shared" si="1"/>
        <v>0</v>
      </c>
      <c r="M6" s="57"/>
      <c r="N6" s="43">
        <v>0</v>
      </c>
      <c r="O6" s="11">
        <f t="shared" si="2"/>
        <v>0</v>
      </c>
      <c r="P6" s="55"/>
      <c r="Q6" s="43">
        <v>0</v>
      </c>
      <c r="R6" s="9">
        <f t="shared" si="3"/>
        <v>0</v>
      </c>
      <c r="S6" s="57"/>
      <c r="T6" s="43">
        <v>0</v>
      </c>
      <c r="U6" s="11">
        <f t="shared" si="4"/>
        <v>0</v>
      </c>
      <c r="V6" s="55"/>
      <c r="W6" s="43">
        <v>0</v>
      </c>
      <c r="X6" s="9">
        <f t="shared" si="5"/>
        <v>0</v>
      </c>
      <c r="Y6" s="7">
        <f t="shared" si="0"/>
        <v>0</v>
      </c>
    </row>
    <row r="7" spans="1:25" s="29" customFormat="1" x14ac:dyDescent="0.25">
      <c r="A7" s="27">
        <v>5</v>
      </c>
      <c r="B7" s="28" t="s">
        <v>79</v>
      </c>
      <c r="C7" s="30" t="s">
        <v>22</v>
      </c>
      <c r="D7" s="76"/>
      <c r="E7" s="30"/>
      <c r="F7" s="30"/>
      <c r="G7" s="30"/>
      <c r="H7" s="32"/>
      <c r="I7" s="36"/>
      <c r="J7" s="59"/>
      <c r="K7" s="46">
        <v>0</v>
      </c>
      <c r="L7" s="9">
        <f t="shared" si="1"/>
        <v>0</v>
      </c>
      <c r="M7" s="57"/>
      <c r="N7" s="43">
        <v>0</v>
      </c>
      <c r="O7" s="11">
        <f t="shared" si="2"/>
        <v>0</v>
      </c>
      <c r="P7" s="55"/>
      <c r="Q7" s="43">
        <v>0</v>
      </c>
      <c r="R7" s="9">
        <f t="shared" si="3"/>
        <v>0</v>
      </c>
      <c r="S7" s="57"/>
      <c r="T7" s="43">
        <v>0</v>
      </c>
      <c r="U7" s="11">
        <f t="shared" si="4"/>
        <v>0</v>
      </c>
      <c r="V7" s="55"/>
      <c r="W7" s="43">
        <v>0</v>
      </c>
      <c r="X7" s="9">
        <f t="shared" si="5"/>
        <v>0</v>
      </c>
      <c r="Y7" s="7">
        <f t="shared" si="0"/>
        <v>0</v>
      </c>
    </row>
    <row r="8" spans="1:25" s="29" customFormat="1" x14ac:dyDescent="0.25">
      <c r="A8" s="27">
        <v>6</v>
      </c>
      <c r="B8" s="28" t="s">
        <v>79</v>
      </c>
      <c r="C8" s="30" t="s">
        <v>23</v>
      </c>
      <c r="D8" s="76"/>
      <c r="E8" s="30"/>
      <c r="F8" s="30"/>
      <c r="G8" s="30"/>
      <c r="H8" s="32">
        <v>10736515</v>
      </c>
      <c r="I8" s="36" t="s">
        <v>61</v>
      </c>
      <c r="J8" s="59"/>
      <c r="K8" s="46">
        <v>36</v>
      </c>
      <c r="L8" s="9">
        <f t="shared" si="1"/>
        <v>0</v>
      </c>
      <c r="M8" s="57"/>
      <c r="N8" s="43">
        <v>40</v>
      </c>
      <c r="O8" s="11">
        <f t="shared" si="2"/>
        <v>0</v>
      </c>
      <c r="P8" s="55"/>
      <c r="Q8" s="43">
        <v>44</v>
      </c>
      <c r="R8" s="9">
        <f t="shared" si="3"/>
        <v>0</v>
      </c>
      <c r="S8" s="57"/>
      <c r="T8" s="43">
        <v>48</v>
      </c>
      <c r="U8" s="11">
        <f t="shared" si="4"/>
        <v>0</v>
      </c>
      <c r="V8" s="55"/>
      <c r="W8" s="43">
        <v>52</v>
      </c>
      <c r="X8" s="9">
        <f t="shared" si="5"/>
        <v>0</v>
      </c>
      <c r="Y8" s="7">
        <f t="shared" si="0"/>
        <v>0</v>
      </c>
    </row>
    <row r="9" spans="1:25" s="29" customFormat="1" x14ac:dyDescent="0.25">
      <c r="A9" s="27">
        <v>7</v>
      </c>
      <c r="B9" s="28" t="s">
        <v>79</v>
      </c>
      <c r="C9" s="30" t="s">
        <v>24</v>
      </c>
      <c r="D9" s="76"/>
      <c r="E9" s="30"/>
      <c r="F9" s="30"/>
      <c r="G9" s="30"/>
      <c r="H9" s="32">
        <v>10736510</v>
      </c>
      <c r="I9" s="36" t="s">
        <v>61</v>
      </c>
      <c r="J9" s="59"/>
      <c r="K9" s="47">
        <v>6</v>
      </c>
      <c r="L9" s="9">
        <f t="shared" si="1"/>
        <v>0</v>
      </c>
      <c r="M9" s="57"/>
      <c r="N9" s="43">
        <v>10</v>
      </c>
      <c r="O9" s="11">
        <f t="shared" si="2"/>
        <v>0</v>
      </c>
      <c r="P9" s="55"/>
      <c r="Q9" s="43">
        <v>12</v>
      </c>
      <c r="R9" s="9">
        <f t="shared" si="3"/>
        <v>0</v>
      </c>
      <c r="S9" s="57"/>
      <c r="T9" s="43">
        <v>14</v>
      </c>
      <c r="U9" s="11">
        <f t="shared" si="4"/>
        <v>0</v>
      </c>
      <c r="V9" s="55"/>
      <c r="W9" s="43">
        <v>16</v>
      </c>
      <c r="X9" s="9">
        <f t="shared" si="5"/>
        <v>0</v>
      </c>
      <c r="Y9" s="7">
        <f t="shared" si="0"/>
        <v>0</v>
      </c>
    </row>
    <row r="10" spans="1:25" s="29" customFormat="1" x14ac:dyDescent="0.25">
      <c r="A10" s="27">
        <v>8</v>
      </c>
      <c r="B10" s="28" t="s">
        <v>79</v>
      </c>
      <c r="C10" s="30" t="s">
        <v>25</v>
      </c>
      <c r="D10" s="76"/>
      <c r="E10" s="30"/>
      <c r="F10" s="30"/>
      <c r="G10" s="30"/>
      <c r="H10" s="32">
        <v>10736511</v>
      </c>
      <c r="I10" s="36" t="s">
        <v>61</v>
      </c>
      <c r="J10" s="59"/>
      <c r="K10" s="47">
        <v>6</v>
      </c>
      <c r="L10" s="9">
        <f t="shared" si="1"/>
        <v>0</v>
      </c>
      <c r="M10" s="57"/>
      <c r="N10" s="43">
        <v>10</v>
      </c>
      <c r="O10" s="11">
        <f t="shared" si="2"/>
        <v>0</v>
      </c>
      <c r="P10" s="55"/>
      <c r="Q10" s="43">
        <v>12</v>
      </c>
      <c r="R10" s="9">
        <f t="shared" si="3"/>
        <v>0</v>
      </c>
      <c r="S10" s="57"/>
      <c r="T10" s="43">
        <v>14</v>
      </c>
      <c r="U10" s="11">
        <f t="shared" si="4"/>
        <v>0</v>
      </c>
      <c r="V10" s="55"/>
      <c r="W10" s="43">
        <v>16</v>
      </c>
      <c r="X10" s="9">
        <f t="shared" si="5"/>
        <v>0</v>
      </c>
      <c r="Y10" s="7">
        <f t="shared" si="0"/>
        <v>0</v>
      </c>
    </row>
    <row r="11" spans="1:25" s="29" customFormat="1" x14ac:dyDescent="0.25">
      <c r="A11" s="27">
        <v>9</v>
      </c>
      <c r="B11" s="28" t="s">
        <v>79</v>
      </c>
      <c r="C11" s="30" t="s">
        <v>26</v>
      </c>
      <c r="D11" s="76"/>
      <c r="E11" s="30"/>
      <c r="F11" s="30"/>
      <c r="G11" s="30"/>
      <c r="H11" s="32">
        <v>10736512</v>
      </c>
      <c r="I11" s="36" t="s">
        <v>61</v>
      </c>
      <c r="J11" s="59"/>
      <c r="K11" s="47">
        <v>6</v>
      </c>
      <c r="L11" s="9">
        <f t="shared" si="1"/>
        <v>0</v>
      </c>
      <c r="M11" s="57"/>
      <c r="N11" s="43">
        <v>10</v>
      </c>
      <c r="O11" s="11">
        <f t="shared" si="2"/>
        <v>0</v>
      </c>
      <c r="P11" s="55"/>
      <c r="Q11" s="43">
        <v>12</v>
      </c>
      <c r="R11" s="9">
        <f t="shared" si="3"/>
        <v>0</v>
      </c>
      <c r="S11" s="57"/>
      <c r="T11" s="43">
        <v>14</v>
      </c>
      <c r="U11" s="11">
        <f t="shared" si="4"/>
        <v>0</v>
      </c>
      <c r="V11" s="55"/>
      <c r="W11" s="43">
        <v>16</v>
      </c>
      <c r="X11" s="9">
        <f t="shared" si="5"/>
        <v>0</v>
      </c>
      <c r="Y11" s="7">
        <f t="shared" si="0"/>
        <v>0</v>
      </c>
    </row>
    <row r="12" spans="1:25" s="29" customFormat="1" x14ac:dyDescent="0.25">
      <c r="A12" s="27">
        <v>10</v>
      </c>
      <c r="B12" s="28" t="s">
        <v>79</v>
      </c>
      <c r="C12" s="30" t="s">
        <v>27</v>
      </c>
      <c r="D12" s="76"/>
      <c r="E12" s="30"/>
      <c r="F12" s="30"/>
      <c r="G12" s="30"/>
      <c r="H12" s="32">
        <v>10736514</v>
      </c>
      <c r="I12" s="36" t="s">
        <v>62</v>
      </c>
      <c r="J12" s="59"/>
      <c r="K12" s="47">
        <v>1</v>
      </c>
      <c r="L12" s="9">
        <f t="shared" si="1"/>
        <v>0</v>
      </c>
      <c r="M12" s="57"/>
      <c r="N12" s="43">
        <v>2</v>
      </c>
      <c r="O12" s="11">
        <f t="shared" si="2"/>
        <v>0</v>
      </c>
      <c r="P12" s="55"/>
      <c r="Q12" s="43">
        <v>4</v>
      </c>
      <c r="R12" s="9">
        <f t="shared" si="3"/>
        <v>0</v>
      </c>
      <c r="S12" s="57"/>
      <c r="T12" s="43">
        <v>6</v>
      </c>
      <c r="U12" s="11">
        <f t="shared" si="4"/>
        <v>0</v>
      </c>
      <c r="V12" s="55"/>
      <c r="W12" s="43">
        <v>8</v>
      </c>
      <c r="X12" s="9">
        <f t="shared" si="5"/>
        <v>0</v>
      </c>
      <c r="Y12" s="7">
        <f t="shared" si="0"/>
        <v>0</v>
      </c>
    </row>
    <row r="13" spans="1:25" s="29" customFormat="1" x14ac:dyDescent="0.25">
      <c r="A13" s="27">
        <v>11</v>
      </c>
      <c r="B13" s="28" t="s">
        <v>79</v>
      </c>
      <c r="C13" s="30" t="s">
        <v>28</v>
      </c>
      <c r="D13" s="76"/>
      <c r="E13" s="30"/>
      <c r="F13" s="30"/>
      <c r="G13" s="30"/>
      <c r="H13" s="32">
        <v>10736359</v>
      </c>
      <c r="I13" s="36" t="s">
        <v>61</v>
      </c>
      <c r="J13" s="59"/>
      <c r="K13" s="47">
        <v>6</v>
      </c>
      <c r="L13" s="9">
        <f t="shared" si="1"/>
        <v>0</v>
      </c>
      <c r="M13" s="57"/>
      <c r="N13" s="43">
        <v>10</v>
      </c>
      <c r="O13" s="11">
        <f t="shared" si="2"/>
        <v>0</v>
      </c>
      <c r="P13" s="55"/>
      <c r="Q13" s="43">
        <v>12</v>
      </c>
      <c r="R13" s="9">
        <f t="shared" si="3"/>
        <v>0</v>
      </c>
      <c r="S13" s="57"/>
      <c r="T13" s="43">
        <v>14</v>
      </c>
      <c r="U13" s="11">
        <f t="shared" si="4"/>
        <v>0</v>
      </c>
      <c r="V13" s="55"/>
      <c r="W13" s="43">
        <v>16</v>
      </c>
      <c r="X13" s="9">
        <f t="shared" si="5"/>
        <v>0</v>
      </c>
      <c r="Y13" s="7">
        <f t="shared" si="0"/>
        <v>0</v>
      </c>
    </row>
    <row r="14" spans="1:25" s="29" customFormat="1" x14ac:dyDescent="0.25">
      <c r="A14" s="27">
        <v>12</v>
      </c>
      <c r="B14" s="28" t="s">
        <v>79</v>
      </c>
      <c r="C14" s="30" t="s">
        <v>29</v>
      </c>
      <c r="D14" s="76"/>
      <c r="E14" s="30"/>
      <c r="F14" s="30"/>
      <c r="G14" s="30"/>
      <c r="H14" s="32">
        <v>10736360</v>
      </c>
      <c r="I14" s="36" t="s">
        <v>61</v>
      </c>
      <c r="J14" s="59"/>
      <c r="K14" s="47">
        <v>6</v>
      </c>
      <c r="L14" s="9">
        <f t="shared" si="1"/>
        <v>0</v>
      </c>
      <c r="M14" s="57"/>
      <c r="N14" s="43">
        <v>10</v>
      </c>
      <c r="O14" s="11">
        <f t="shared" si="2"/>
        <v>0</v>
      </c>
      <c r="P14" s="55"/>
      <c r="Q14" s="43">
        <v>12</v>
      </c>
      <c r="R14" s="9">
        <f t="shared" si="3"/>
        <v>0</v>
      </c>
      <c r="S14" s="57"/>
      <c r="T14" s="43">
        <v>14</v>
      </c>
      <c r="U14" s="11">
        <f t="shared" si="4"/>
        <v>0</v>
      </c>
      <c r="V14" s="55"/>
      <c r="W14" s="43">
        <v>16</v>
      </c>
      <c r="X14" s="9">
        <f t="shared" si="5"/>
        <v>0</v>
      </c>
      <c r="Y14" s="7">
        <f t="shared" si="0"/>
        <v>0</v>
      </c>
    </row>
    <row r="15" spans="1:25" s="29" customFormat="1" x14ac:dyDescent="0.25">
      <c r="A15" s="27">
        <v>13</v>
      </c>
      <c r="B15" s="28" t="s">
        <v>79</v>
      </c>
      <c r="C15" s="30" t="s">
        <v>30</v>
      </c>
      <c r="D15" s="76"/>
      <c r="E15" s="30"/>
      <c r="F15" s="30"/>
      <c r="G15" s="30"/>
      <c r="H15" s="32">
        <v>10736408</v>
      </c>
      <c r="I15" s="36" t="s">
        <v>63</v>
      </c>
      <c r="J15" s="59"/>
      <c r="K15" s="47">
        <v>8</v>
      </c>
      <c r="L15" s="9">
        <f t="shared" si="1"/>
        <v>0</v>
      </c>
      <c r="M15" s="57"/>
      <c r="N15" s="43">
        <v>10</v>
      </c>
      <c r="O15" s="11">
        <f t="shared" si="2"/>
        <v>0</v>
      </c>
      <c r="P15" s="55"/>
      <c r="Q15" s="43">
        <v>12</v>
      </c>
      <c r="R15" s="9">
        <f t="shared" si="3"/>
        <v>0</v>
      </c>
      <c r="S15" s="57"/>
      <c r="T15" s="43">
        <v>14</v>
      </c>
      <c r="U15" s="11">
        <f t="shared" si="4"/>
        <v>0</v>
      </c>
      <c r="V15" s="55"/>
      <c r="W15" s="43">
        <v>16</v>
      </c>
      <c r="X15" s="9">
        <f t="shared" si="5"/>
        <v>0</v>
      </c>
      <c r="Y15" s="7">
        <f t="shared" si="0"/>
        <v>0</v>
      </c>
    </row>
    <row r="16" spans="1:25" s="29" customFormat="1" x14ac:dyDescent="0.25">
      <c r="A16" s="27">
        <v>14</v>
      </c>
      <c r="B16" s="28" t="s">
        <v>79</v>
      </c>
      <c r="C16" s="30" t="s">
        <v>31</v>
      </c>
      <c r="D16" s="76"/>
      <c r="E16" s="30"/>
      <c r="F16" s="30"/>
      <c r="G16" s="30"/>
      <c r="H16" s="32">
        <v>10736384</v>
      </c>
      <c r="I16" s="36" t="s">
        <v>62</v>
      </c>
      <c r="J16" s="59"/>
      <c r="K16" s="47">
        <v>4</v>
      </c>
      <c r="L16" s="9">
        <f t="shared" si="1"/>
        <v>0</v>
      </c>
      <c r="M16" s="57"/>
      <c r="N16" s="43">
        <v>8</v>
      </c>
      <c r="O16" s="11">
        <f t="shared" si="2"/>
        <v>0</v>
      </c>
      <c r="P16" s="55"/>
      <c r="Q16" s="43">
        <v>10</v>
      </c>
      <c r="R16" s="9">
        <f t="shared" si="3"/>
        <v>0</v>
      </c>
      <c r="S16" s="57"/>
      <c r="T16" s="43">
        <v>12</v>
      </c>
      <c r="U16" s="11">
        <f t="shared" si="4"/>
        <v>0</v>
      </c>
      <c r="V16" s="55"/>
      <c r="W16" s="43">
        <v>14</v>
      </c>
      <c r="X16" s="9">
        <f t="shared" si="5"/>
        <v>0</v>
      </c>
      <c r="Y16" s="7">
        <f t="shared" si="0"/>
        <v>0</v>
      </c>
    </row>
    <row r="17" spans="1:25" s="29" customFormat="1" x14ac:dyDescent="0.25">
      <c r="A17" s="27">
        <v>15</v>
      </c>
      <c r="B17" s="28" t="s">
        <v>79</v>
      </c>
      <c r="C17" s="30" t="s">
        <v>32</v>
      </c>
      <c r="D17" s="76"/>
      <c r="E17" s="30"/>
      <c r="F17" s="30"/>
      <c r="G17" s="30"/>
      <c r="H17" s="32">
        <v>10310323</v>
      </c>
      <c r="I17" s="36" t="s">
        <v>63</v>
      </c>
      <c r="J17" s="59"/>
      <c r="K17" s="47">
        <v>220</v>
      </c>
      <c r="L17" s="9">
        <f t="shared" si="1"/>
        <v>0</v>
      </c>
      <c r="M17" s="57"/>
      <c r="N17" s="43">
        <v>242</v>
      </c>
      <c r="O17" s="11">
        <f t="shared" si="2"/>
        <v>0</v>
      </c>
      <c r="P17" s="55"/>
      <c r="Q17" s="43">
        <v>266</v>
      </c>
      <c r="R17" s="9">
        <f t="shared" si="3"/>
        <v>0</v>
      </c>
      <c r="S17" s="57"/>
      <c r="T17" s="43">
        <v>292</v>
      </c>
      <c r="U17" s="11">
        <f t="shared" si="4"/>
        <v>0</v>
      </c>
      <c r="V17" s="55"/>
      <c r="W17" s="43">
        <v>321</v>
      </c>
      <c r="X17" s="9">
        <f t="shared" si="5"/>
        <v>0</v>
      </c>
      <c r="Y17" s="7">
        <f t="shared" si="0"/>
        <v>0</v>
      </c>
    </row>
    <row r="18" spans="1:25" s="29" customFormat="1" x14ac:dyDescent="0.25">
      <c r="A18" s="27">
        <v>16</v>
      </c>
      <c r="B18" s="28" t="s">
        <v>79</v>
      </c>
      <c r="C18" s="30" t="s">
        <v>33</v>
      </c>
      <c r="D18" s="76"/>
      <c r="E18" s="30"/>
      <c r="F18" s="30"/>
      <c r="G18" s="30"/>
      <c r="H18" s="32">
        <v>10327073</v>
      </c>
      <c r="I18" s="36" t="s">
        <v>63</v>
      </c>
      <c r="J18" s="59"/>
      <c r="K18" s="47">
        <v>30</v>
      </c>
      <c r="L18" s="9">
        <f t="shared" si="1"/>
        <v>0</v>
      </c>
      <c r="M18" s="57"/>
      <c r="N18" s="43">
        <v>33</v>
      </c>
      <c r="O18" s="11">
        <f t="shared" si="2"/>
        <v>0</v>
      </c>
      <c r="P18" s="55"/>
      <c r="Q18" s="43">
        <v>37</v>
      </c>
      <c r="R18" s="9">
        <f t="shared" si="3"/>
        <v>0</v>
      </c>
      <c r="S18" s="57"/>
      <c r="T18" s="43">
        <v>40</v>
      </c>
      <c r="U18" s="11">
        <f t="shared" si="4"/>
        <v>0</v>
      </c>
      <c r="V18" s="55"/>
      <c r="W18" s="43">
        <v>44</v>
      </c>
      <c r="X18" s="9">
        <f t="shared" si="5"/>
        <v>0</v>
      </c>
      <c r="Y18" s="7">
        <f t="shared" si="0"/>
        <v>0</v>
      </c>
    </row>
    <row r="19" spans="1:25" s="29" customFormat="1" x14ac:dyDescent="0.25">
      <c r="A19" s="27">
        <v>17</v>
      </c>
      <c r="B19" s="28" t="s">
        <v>79</v>
      </c>
      <c r="C19" s="30" t="s">
        <v>34</v>
      </c>
      <c r="D19" s="76"/>
      <c r="E19" s="30"/>
      <c r="F19" s="30"/>
      <c r="G19" s="30"/>
      <c r="H19" s="32">
        <v>10341179</v>
      </c>
      <c r="I19" s="36" t="s">
        <v>63</v>
      </c>
      <c r="J19" s="59"/>
      <c r="K19" s="47">
        <v>25</v>
      </c>
      <c r="L19" s="9">
        <f t="shared" si="1"/>
        <v>0</v>
      </c>
      <c r="M19" s="57"/>
      <c r="N19" s="43">
        <v>28</v>
      </c>
      <c r="O19" s="11">
        <f t="shared" si="2"/>
        <v>0</v>
      </c>
      <c r="P19" s="55"/>
      <c r="Q19" s="43">
        <v>31</v>
      </c>
      <c r="R19" s="9">
        <f t="shared" si="3"/>
        <v>0</v>
      </c>
      <c r="S19" s="57"/>
      <c r="T19" s="43">
        <v>34</v>
      </c>
      <c r="U19" s="11">
        <f t="shared" si="4"/>
        <v>0</v>
      </c>
      <c r="V19" s="55"/>
      <c r="W19" s="43">
        <v>37</v>
      </c>
      <c r="X19" s="9">
        <f t="shared" si="5"/>
        <v>0</v>
      </c>
      <c r="Y19" s="7">
        <f t="shared" si="0"/>
        <v>0</v>
      </c>
    </row>
    <row r="20" spans="1:25" s="29" customFormat="1" x14ac:dyDescent="0.25">
      <c r="A20" s="27">
        <v>18</v>
      </c>
      <c r="B20" s="28" t="s">
        <v>79</v>
      </c>
      <c r="C20" s="30" t="s">
        <v>35</v>
      </c>
      <c r="D20" s="76"/>
      <c r="E20" s="30"/>
      <c r="F20" s="30"/>
      <c r="G20" s="30"/>
      <c r="H20" s="32">
        <v>10316535</v>
      </c>
      <c r="I20" s="36" t="s">
        <v>63</v>
      </c>
      <c r="J20" s="59"/>
      <c r="K20" s="47">
        <v>25</v>
      </c>
      <c r="L20" s="9">
        <f t="shared" si="1"/>
        <v>0</v>
      </c>
      <c r="M20" s="57"/>
      <c r="N20" s="43">
        <v>28</v>
      </c>
      <c r="O20" s="11">
        <f t="shared" si="2"/>
        <v>0</v>
      </c>
      <c r="P20" s="55"/>
      <c r="Q20" s="43">
        <v>31</v>
      </c>
      <c r="R20" s="9">
        <f t="shared" si="3"/>
        <v>0</v>
      </c>
      <c r="S20" s="57"/>
      <c r="T20" s="43">
        <v>34</v>
      </c>
      <c r="U20" s="11">
        <f t="shared" si="4"/>
        <v>0</v>
      </c>
      <c r="V20" s="55"/>
      <c r="W20" s="43">
        <v>37</v>
      </c>
      <c r="X20" s="9">
        <f t="shared" si="5"/>
        <v>0</v>
      </c>
      <c r="Y20" s="7">
        <f t="shared" si="0"/>
        <v>0</v>
      </c>
    </row>
    <row r="21" spans="1:25" s="29" customFormat="1" x14ac:dyDescent="0.25">
      <c r="A21" s="27">
        <v>19</v>
      </c>
      <c r="B21" s="28" t="s">
        <v>79</v>
      </c>
      <c r="C21" s="30" t="s">
        <v>36</v>
      </c>
      <c r="D21" s="76"/>
      <c r="E21" s="30"/>
      <c r="F21" s="30"/>
      <c r="G21" s="30"/>
      <c r="H21" s="32">
        <v>10322638</v>
      </c>
      <c r="I21" s="36" t="s">
        <v>63</v>
      </c>
      <c r="J21" s="59"/>
      <c r="K21" s="47">
        <v>25</v>
      </c>
      <c r="L21" s="9">
        <f t="shared" si="1"/>
        <v>0</v>
      </c>
      <c r="M21" s="57"/>
      <c r="N21" s="43">
        <v>28</v>
      </c>
      <c r="O21" s="11">
        <f t="shared" si="2"/>
        <v>0</v>
      </c>
      <c r="P21" s="55"/>
      <c r="Q21" s="43">
        <v>31</v>
      </c>
      <c r="R21" s="9">
        <f t="shared" si="3"/>
        <v>0</v>
      </c>
      <c r="S21" s="57"/>
      <c r="T21" s="43">
        <v>34</v>
      </c>
      <c r="U21" s="11">
        <f t="shared" si="4"/>
        <v>0</v>
      </c>
      <c r="V21" s="55"/>
      <c r="W21" s="43">
        <v>37</v>
      </c>
      <c r="X21" s="9">
        <f t="shared" si="5"/>
        <v>0</v>
      </c>
      <c r="Y21" s="7">
        <f t="shared" si="0"/>
        <v>0</v>
      </c>
    </row>
    <row r="22" spans="1:25" s="29" customFormat="1" x14ac:dyDescent="0.25">
      <c r="A22" s="27">
        <v>20</v>
      </c>
      <c r="B22" s="28" t="s">
        <v>79</v>
      </c>
      <c r="C22" s="30" t="s">
        <v>37</v>
      </c>
      <c r="D22" s="76"/>
      <c r="E22" s="30"/>
      <c r="F22" s="30"/>
      <c r="G22" s="30"/>
      <c r="H22" s="32">
        <v>10315772</v>
      </c>
      <c r="I22" s="36" t="s">
        <v>63</v>
      </c>
      <c r="J22" s="59"/>
      <c r="K22" s="47">
        <v>130</v>
      </c>
      <c r="L22" s="9">
        <f t="shared" si="1"/>
        <v>0</v>
      </c>
      <c r="M22" s="57"/>
      <c r="N22" s="43">
        <v>143</v>
      </c>
      <c r="O22" s="11">
        <f t="shared" si="2"/>
        <v>0</v>
      </c>
      <c r="P22" s="55"/>
      <c r="Q22" s="43">
        <v>157</v>
      </c>
      <c r="R22" s="9">
        <f t="shared" si="3"/>
        <v>0</v>
      </c>
      <c r="S22" s="57"/>
      <c r="T22" s="43">
        <v>172</v>
      </c>
      <c r="U22" s="11">
        <f t="shared" si="4"/>
        <v>0</v>
      </c>
      <c r="V22" s="55"/>
      <c r="W22" s="43">
        <v>189</v>
      </c>
      <c r="X22" s="9">
        <f t="shared" si="5"/>
        <v>0</v>
      </c>
      <c r="Y22" s="7">
        <f t="shared" si="0"/>
        <v>0</v>
      </c>
    </row>
    <row r="23" spans="1:25" s="29" customFormat="1" x14ac:dyDescent="0.25">
      <c r="A23" s="27">
        <v>21</v>
      </c>
      <c r="B23" s="28" t="s">
        <v>79</v>
      </c>
      <c r="C23" s="30" t="s">
        <v>38</v>
      </c>
      <c r="D23" s="76"/>
      <c r="E23" s="30"/>
      <c r="F23" s="30"/>
      <c r="G23" s="30"/>
      <c r="H23" s="32">
        <v>10309073</v>
      </c>
      <c r="I23" s="36" t="s">
        <v>63</v>
      </c>
      <c r="J23" s="59"/>
      <c r="K23" s="46">
        <v>10</v>
      </c>
      <c r="L23" s="9">
        <f t="shared" si="1"/>
        <v>0</v>
      </c>
      <c r="M23" s="57"/>
      <c r="N23" s="43">
        <v>12</v>
      </c>
      <c r="O23" s="11">
        <f t="shared" si="2"/>
        <v>0</v>
      </c>
      <c r="P23" s="55"/>
      <c r="Q23" s="43">
        <v>14</v>
      </c>
      <c r="R23" s="9">
        <f t="shared" si="3"/>
        <v>0</v>
      </c>
      <c r="S23" s="57"/>
      <c r="T23" s="43">
        <v>16</v>
      </c>
      <c r="U23" s="11">
        <f t="shared" si="4"/>
        <v>0</v>
      </c>
      <c r="V23" s="55"/>
      <c r="W23" s="43">
        <v>18</v>
      </c>
      <c r="X23" s="9">
        <f t="shared" si="5"/>
        <v>0</v>
      </c>
      <c r="Y23" s="7">
        <f t="shared" si="0"/>
        <v>0</v>
      </c>
    </row>
    <row r="24" spans="1:25" s="29" customFormat="1" x14ac:dyDescent="0.25">
      <c r="A24" s="27">
        <v>22</v>
      </c>
      <c r="B24" s="28" t="s">
        <v>79</v>
      </c>
      <c r="C24" s="30" t="s">
        <v>39</v>
      </c>
      <c r="D24" s="76"/>
      <c r="E24" s="30"/>
      <c r="F24" s="30"/>
      <c r="G24" s="30"/>
      <c r="H24" s="32">
        <v>10492250</v>
      </c>
      <c r="I24" s="36" t="s">
        <v>63</v>
      </c>
      <c r="J24" s="59"/>
      <c r="K24" s="47">
        <v>35</v>
      </c>
      <c r="L24" s="9">
        <f t="shared" si="1"/>
        <v>0</v>
      </c>
      <c r="M24" s="57"/>
      <c r="N24" s="43">
        <v>39</v>
      </c>
      <c r="O24" s="11">
        <f t="shared" si="2"/>
        <v>0</v>
      </c>
      <c r="P24" s="55"/>
      <c r="Q24" s="43">
        <v>43</v>
      </c>
      <c r="R24" s="9">
        <f t="shared" si="3"/>
        <v>0</v>
      </c>
      <c r="S24" s="57"/>
      <c r="T24" s="43">
        <v>47</v>
      </c>
      <c r="U24" s="11">
        <f t="shared" si="4"/>
        <v>0</v>
      </c>
      <c r="V24" s="55"/>
      <c r="W24" s="43">
        <v>51</v>
      </c>
      <c r="X24" s="9">
        <f t="shared" si="5"/>
        <v>0</v>
      </c>
      <c r="Y24" s="7">
        <f t="shared" si="0"/>
        <v>0</v>
      </c>
    </row>
    <row r="25" spans="1:25" s="29" customFormat="1" x14ac:dyDescent="0.25">
      <c r="A25" s="27">
        <v>23</v>
      </c>
      <c r="B25" s="28" t="s">
        <v>79</v>
      </c>
      <c r="C25" s="30" t="s">
        <v>40</v>
      </c>
      <c r="D25" s="76"/>
      <c r="E25" s="30"/>
      <c r="F25" s="30"/>
      <c r="G25" s="30"/>
      <c r="H25" s="32">
        <v>10329097</v>
      </c>
      <c r="I25" s="36" t="s">
        <v>63</v>
      </c>
      <c r="J25" s="59"/>
      <c r="K25" s="47">
        <v>150</v>
      </c>
      <c r="L25" s="9">
        <f t="shared" si="1"/>
        <v>0</v>
      </c>
      <c r="M25" s="57"/>
      <c r="N25" s="43">
        <v>165</v>
      </c>
      <c r="O25" s="11">
        <f t="shared" si="2"/>
        <v>0</v>
      </c>
      <c r="P25" s="55"/>
      <c r="Q25" s="43">
        <v>181</v>
      </c>
      <c r="R25" s="9">
        <f t="shared" si="3"/>
        <v>0</v>
      </c>
      <c r="S25" s="57"/>
      <c r="T25" s="43">
        <v>199</v>
      </c>
      <c r="U25" s="11">
        <f t="shared" si="4"/>
        <v>0</v>
      </c>
      <c r="V25" s="55"/>
      <c r="W25" s="43">
        <v>218</v>
      </c>
      <c r="X25" s="9">
        <f t="shared" si="5"/>
        <v>0</v>
      </c>
      <c r="Y25" s="7">
        <f t="shared" si="0"/>
        <v>0</v>
      </c>
    </row>
    <row r="26" spans="1:25" s="29" customFormat="1" x14ac:dyDescent="0.25">
      <c r="A26" s="27">
        <v>24</v>
      </c>
      <c r="B26" s="28" t="s">
        <v>79</v>
      </c>
      <c r="C26" s="30" t="s">
        <v>41</v>
      </c>
      <c r="D26" s="76"/>
      <c r="E26" s="30"/>
      <c r="F26" s="30"/>
      <c r="G26" s="30"/>
      <c r="H26" s="32">
        <v>10491447</v>
      </c>
      <c r="I26" s="36" t="s">
        <v>63</v>
      </c>
      <c r="J26" s="59"/>
      <c r="K26" s="47">
        <v>175</v>
      </c>
      <c r="L26" s="9">
        <f t="shared" si="1"/>
        <v>0</v>
      </c>
      <c r="M26" s="57"/>
      <c r="N26" s="43">
        <v>193</v>
      </c>
      <c r="O26" s="11">
        <f t="shared" si="2"/>
        <v>0</v>
      </c>
      <c r="P26" s="55"/>
      <c r="Q26" s="43">
        <v>212</v>
      </c>
      <c r="R26" s="9">
        <f t="shared" si="3"/>
        <v>0</v>
      </c>
      <c r="S26" s="57"/>
      <c r="T26" s="43">
        <v>233</v>
      </c>
      <c r="U26" s="11">
        <f t="shared" si="4"/>
        <v>0</v>
      </c>
      <c r="V26" s="55"/>
      <c r="W26" s="43">
        <v>256</v>
      </c>
      <c r="X26" s="9">
        <f t="shared" si="5"/>
        <v>0</v>
      </c>
      <c r="Y26" s="7">
        <f t="shared" si="0"/>
        <v>0</v>
      </c>
    </row>
    <row r="27" spans="1:25" s="29" customFormat="1" x14ac:dyDescent="0.25">
      <c r="A27" s="27">
        <v>25</v>
      </c>
      <c r="B27" s="28" t="s">
        <v>79</v>
      </c>
      <c r="C27" s="30" t="s">
        <v>42</v>
      </c>
      <c r="D27" s="76"/>
      <c r="E27" s="30"/>
      <c r="F27" s="30"/>
      <c r="G27" s="30"/>
      <c r="H27" s="32">
        <v>10310472</v>
      </c>
      <c r="I27" s="36" t="s">
        <v>63</v>
      </c>
      <c r="J27" s="59"/>
      <c r="K27" s="47">
        <v>10</v>
      </c>
      <c r="L27" s="9">
        <f t="shared" si="1"/>
        <v>0</v>
      </c>
      <c r="M27" s="57"/>
      <c r="N27" s="43">
        <v>12</v>
      </c>
      <c r="O27" s="11">
        <f t="shared" si="2"/>
        <v>0</v>
      </c>
      <c r="P27" s="55"/>
      <c r="Q27" s="43">
        <v>14</v>
      </c>
      <c r="R27" s="9">
        <f t="shared" si="3"/>
        <v>0</v>
      </c>
      <c r="S27" s="57"/>
      <c r="T27" s="43">
        <v>16</v>
      </c>
      <c r="U27" s="11">
        <f t="shared" si="4"/>
        <v>0</v>
      </c>
      <c r="V27" s="55"/>
      <c r="W27" s="43">
        <v>18</v>
      </c>
      <c r="X27" s="9">
        <f t="shared" si="5"/>
        <v>0</v>
      </c>
      <c r="Y27" s="7">
        <f t="shared" si="0"/>
        <v>0</v>
      </c>
    </row>
    <row r="28" spans="1:25" s="29" customFormat="1" x14ac:dyDescent="0.25">
      <c r="A28" s="27">
        <v>26</v>
      </c>
      <c r="B28" s="28" t="s">
        <v>79</v>
      </c>
      <c r="C28" s="30" t="s">
        <v>43</v>
      </c>
      <c r="D28" s="76"/>
      <c r="E28" s="30"/>
      <c r="F28" s="30"/>
      <c r="G28" s="30"/>
      <c r="H28" s="32">
        <v>10309925</v>
      </c>
      <c r="I28" s="36" t="s">
        <v>63</v>
      </c>
      <c r="J28" s="59"/>
      <c r="K28" s="47">
        <v>65</v>
      </c>
      <c r="L28" s="9">
        <f t="shared" si="1"/>
        <v>0</v>
      </c>
      <c r="M28" s="57"/>
      <c r="N28" s="43">
        <v>72</v>
      </c>
      <c r="O28" s="11">
        <f t="shared" si="2"/>
        <v>0</v>
      </c>
      <c r="P28" s="55"/>
      <c r="Q28" s="43">
        <v>79</v>
      </c>
      <c r="R28" s="9">
        <f t="shared" si="3"/>
        <v>0</v>
      </c>
      <c r="S28" s="57"/>
      <c r="T28" s="43">
        <v>86</v>
      </c>
      <c r="U28" s="11">
        <f t="shared" si="4"/>
        <v>0</v>
      </c>
      <c r="V28" s="55"/>
      <c r="W28" s="43">
        <v>94</v>
      </c>
      <c r="X28" s="9">
        <f t="shared" si="5"/>
        <v>0</v>
      </c>
      <c r="Y28" s="7">
        <f t="shared" si="0"/>
        <v>0</v>
      </c>
    </row>
    <row r="29" spans="1:25" s="29" customFormat="1" x14ac:dyDescent="0.25">
      <c r="A29" s="27">
        <v>27</v>
      </c>
      <c r="B29" s="28" t="s">
        <v>79</v>
      </c>
      <c r="C29" s="30" t="s">
        <v>44</v>
      </c>
      <c r="D29" s="76"/>
      <c r="E29" s="30"/>
      <c r="F29" s="30"/>
      <c r="G29" s="30"/>
      <c r="H29" s="32">
        <v>10309926</v>
      </c>
      <c r="I29" s="36" t="s">
        <v>63</v>
      </c>
      <c r="J29" s="59"/>
      <c r="K29" s="47">
        <v>65</v>
      </c>
      <c r="L29" s="9">
        <f t="shared" si="1"/>
        <v>0</v>
      </c>
      <c r="M29" s="57"/>
      <c r="N29" s="43">
        <v>72</v>
      </c>
      <c r="O29" s="11">
        <f t="shared" si="2"/>
        <v>0</v>
      </c>
      <c r="P29" s="55"/>
      <c r="Q29" s="43">
        <v>79</v>
      </c>
      <c r="R29" s="9">
        <f t="shared" si="3"/>
        <v>0</v>
      </c>
      <c r="S29" s="57"/>
      <c r="T29" s="43">
        <v>86</v>
      </c>
      <c r="U29" s="11">
        <f t="shared" si="4"/>
        <v>0</v>
      </c>
      <c r="V29" s="55"/>
      <c r="W29" s="43">
        <v>94</v>
      </c>
      <c r="X29" s="9">
        <f t="shared" si="5"/>
        <v>0</v>
      </c>
      <c r="Y29" s="7">
        <f t="shared" si="0"/>
        <v>0</v>
      </c>
    </row>
    <row r="30" spans="1:25" s="29" customFormat="1" x14ac:dyDescent="0.25">
      <c r="A30" s="27">
        <v>28</v>
      </c>
      <c r="B30" s="28" t="s">
        <v>79</v>
      </c>
      <c r="C30" s="30" t="s">
        <v>45</v>
      </c>
      <c r="D30" s="76"/>
      <c r="E30" s="30"/>
      <c r="F30" s="30"/>
      <c r="G30" s="30"/>
      <c r="H30" s="32">
        <v>10309927</v>
      </c>
      <c r="I30" s="36" t="s">
        <v>63</v>
      </c>
      <c r="J30" s="59"/>
      <c r="K30" s="47">
        <v>65</v>
      </c>
      <c r="L30" s="9">
        <f t="shared" si="1"/>
        <v>0</v>
      </c>
      <c r="M30" s="57"/>
      <c r="N30" s="43">
        <v>72</v>
      </c>
      <c r="O30" s="11">
        <f t="shared" si="2"/>
        <v>0</v>
      </c>
      <c r="P30" s="55"/>
      <c r="Q30" s="43">
        <v>79</v>
      </c>
      <c r="R30" s="9">
        <f t="shared" si="3"/>
        <v>0</v>
      </c>
      <c r="S30" s="57"/>
      <c r="T30" s="43">
        <v>86</v>
      </c>
      <c r="U30" s="11">
        <f t="shared" si="4"/>
        <v>0</v>
      </c>
      <c r="V30" s="55"/>
      <c r="W30" s="43">
        <v>94</v>
      </c>
      <c r="X30" s="9">
        <f t="shared" si="5"/>
        <v>0</v>
      </c>
      <c r="Y30" s="7">
        <f t="shared" si="0"/>
        <v>0</v>
      </c>
    </row>
    <row r="31" spans="1:25" s="29" customFormat="1" ht="15.75" thickBot="1" x14ac:dyDescent="0.3">
      <c r="A31" s="27">
        <v>29</v>
      </c>
      <c r="B31" s="28" t="s">
        <v>79</v>
      </c>
      <c r="C31" s="30" t="s">
        <v>46</v>
      </c>
      <c r="D31" s="79"/>
      <c r="E31" s="30"/>
      <c r="F31" s="30"/>
      <c r="G31" s="30"/>
      <c r="H31" s="32">
        <v>10329817</v>
      </c>
      <c r="I31" s="36" t="s">
        <v>63</v>
      </c>
      <c r="J31" s="59"/>
      <c r="K31" s="47">
        <v>16</v>
      </c>
      <c r="L31" s="9">
        <f t="shared" si="1"/>
        <v>0</v>
      </c>
      <c r="M31" s="57"/>
      <c r="N31" s="43">
        <v>18</v>
      </c>
      <c r="O31" s="11">
        <f t="shared" si="2"/>
        <v>0</v>
      </c>
      <c r="P31" s="55"/>
      <c r="Q31" s="43">
        <v>20</v>
      </c>
      <c r="R31" s="9">
        <f t="shared" si="3"/>
        <v>0</v>
      </c>
      <c r="S31" s="57"/>
      <c r="T31" s="43">
        <v>22</v>
      </c>
      <c r="U31" s="11">
        <f t="shared" si="4"/>
        <v>0</v>
      </c>
      <c r="V31" s="55"/>
      <c r="W31" s="43">
        <v>24</v>
      </c>
      <c r="X31" s="9">
        <f t="shared" si="5"/>
        <v>0</v>
      </c>
      <c r="Y31" s="7">
        <f t="shared" si="0"/>
        <v>0</v>
      </c>
    </row>
    <row r="32" spans="1:25" s="29" customFormat="1" x14ac:dyDescent="0.25">
      <c r="A32" s="27">
        <v>30</v>
      </c>
      <c r="B32" s="28" t="s">
        <v>79</v>
      </c>
      <c r="C32" s="30" t="s">
        <v>73</v>
      </c>
      <c r="D32" s="76" t="s">
        <v>78</v>
      </c>
      <c r="E32" s="30"/>
      <c r="F32" s="30"/>
      <c r="G32" s="30"/>
      <c r="H32" s="32">
        <v>10973904</v>
      </c>
      <c r="I32" s="36" t="s">
        <v>76</v>
      </c>
      <c r="J32" s="59"/>
      <c r="K32" s="39"/>
      <c r="L32" s="9">
        <f t="shared" si="1"/>
        <v>0</v>
      </c>
      <c r="M32" s="57"/>
      <c r="N32" s="43"/>
      <c r="O32" s="11">
        <f t="shared" si="2"/>
        <v>0</v>
      </c>
      <c r="P32" s="55"/>
      <c r="Q32" s="43"/>
      <c r="R32" s="9">
        <f t="shared" si="3"/>
        <v>0</v>
      </c>
      <c r="S32" s="57"/>
      <c r="T32" s="43"/>
      <c r="U32" s="11">
        <f t="shared" si="4"/>
        <v>0</v>
      </c>
      <c r="V32" s="55"/>
      <c r="W32" s="43"/>
      <c r="X32" s="9">
        <f t="shared" si="5"/>
        <v>0</v>
      </c>
      <c r="Y32" s="7">
        <f t="shared" si="0"/>
        <v>0</v>
      </c>
    </row>
    <row r="33" spans="1:25" s="29" customFormat="1" x14ac:dyDescent="0.25">
      <c r="A33" s="27">
        <v>31</v>
      </c>
      <c r="B33" s="28" t="s">
        <v>79</v>
      </c>
      <c r="C33" s="30" t="s">
        <v>74</v>
      </c>
      <c r="D33" s="76"/>
      <c r="E33" s="30"/>
      <c r="F33" s="30"/>
      <c r="G33" s="30"/>
      <c r="H33" s="32">
        <v>10973909</v>
      </c>
      <c r="I33" s="36" t="s">
        <v>76</v>
      </c>
      <c r="J33" s="59"/>
      <c r="K33" s="39"/>
      <c r="L33" s="9">
        <f t="shared" si="1"/>
        <v>0</v>
      </c>
      <c r="M33" s="57"/>
      <c r="N33" s="43"/>
      <c r="O33" s="11">
        <f t="shared" si="2"/>
        <v>0</v>
      </c>
      <c r="P33" s="55"/>
      <c r="Q33" s="43"/>
      <c r="R33" s="9">
        <f t="shared" si="3"/>
        <v>0</v>
      </c>
      <c r="S33" s="57"/>
      <c r="T33" s="43"/>
      <c r="U33" s="11">
        <f t="shared" si="4"/>
        <v>0</v>
      </c>
      <c r="V33" s="55"/>
      <c r="W33" s="43"/>
      <c r="X33" s="9">
        <f t="shared" si="5"/>
        <v>0</v>
      </c>
      <c r="Y33" s="7">
        <f t="shared" si="0"/>
        <v>0</v>
      </c>
    </row>
    <row r="34" spans="1:25" s="29" customFormat="1" x14ac:dyDescent="0.25">
      <c r="A34" s="27">
        <v>32</v>
      </c>
      <c r="B34" s="28" t="s">
        <v>79</v>
      </c>
      <c r="C34" s="30" t="s">
        <v>47</v>
      </c>
      <c r="D34" s="76"/>
      <c r="E34" s="30"/>
      <c r="F34" s="30"/>
      <c r="G34" s="30"/>
      <c r="H34" s="32">
        <v>10973918</v>
      </c>
      <c r="I34" s="36" t="s">
        <v>76</v>
      </c>
      <c r="J34" s="59"/>
      <c r="K34" s="39"/>
      <c r="L34" s="9">
        <f t="shared" si="1"/>
        <v>0</v>
      </c>
      <c r="M34" s="57"/>
      <c r="N34" s="43"/>
      <c r="O34" s="11">
        <f t="shared" si="2"/>
        <v>0</v>
      </c>
      <c r="P34" s="55"/>
      <c r="Q34" s="43"/>
      <c r="R34" s="9">
        <f t="shared" si="3"/>
        <v>0</v>
      </c>
      <c r="S34" s="57"/>
      <c r="T34" s="43"/>
      <c r="U34" s="11">
        <f t="shared" si="4"/>
        <v>0</v>
      </c>
      <c r="V34" s="55"/>
      <c r="W34" s="43"/>
      <c r="X34" s="9">
        <f t="shared" si="5"/>
        <v>0</v>
      </c>
      <c r="Y34" s="7">
        <f t="shared" si="0"/>
        <v>0</v>
      </c>
    </row>
    <row r="35" spans="1:25" s="29" customFormat="1" x14ac:dyDescent="0.25">
      <c r="A35" s="27">
        <v>33</v>
      </c>
      <c r="B35" s="28" t="s">
        <v>79</v>
      </c>
      <c r="C35" s="30" t="s">
        <v>48</v>
      </c>
      <c r="D35" s="76"/>
      <c r="E35" s="30"/>
      <c r="F35" s="30"/>
      <c r="G35" s="30"/>
      <c r="H35" s="32">
        <v>10973919</v>
      </c>
      <c r="I35" s="36" t="s">
        <v>76</v>
      </c>
      <c r="J35" s="59"/>
      <c r="K35" s="39"/>
      <c r="L35" s="9">
        <f t="shared" si="1"/>
        <v>0</v>
      </c>
      <c r="M35" s="57"/>
      <c r="N35" s="43"/>
      <c r="O35" s="11">
        <f t="shared" si="2"/>
        <v>0</v>
      </c>
      <c r="P35" s="55"/>
      <c r="Q35" s="43"/>
      <c r="R35" s="9">
        <f t="shared" si="3"/>
        <v>0</v>
      </c>
      <c r="S35" s="57"/>
      <c r="T35" s="43"/>
      <c r="U35" s="11">
        <f t="shared" si="4"/>
        <v>0</v>
      </c>
      <c r="V35" s="55"/>
      <c r="W35" s="43"/>
      <c r="X35" s="9">
        <f t="shared" si="5"/>
        <v>0</v>
      </c>
      <c r="Y35" s="7">
        <f t="shared" si="0"/>
        <v>0</v>
      </c>
    </row>
    <row r="36" spans="1:25" s="29" customFormat="1" x14ac:dyDescent="0.25">
      <c r="A36" s="27">
        <v>34</v>
      </c>
      <c r="B36" s="28" t="s">
        <v>79</v>
      </c>
      <c r="C36" s="30" t="s">
        <v>75</v>
      </c>
      <c r="D36" s="76"/>
      <c r="E36" s="30"/>
      <c r="F36" s="30"/>
      <c r="G36" s="30"/>
      <c r="H36" s="32">
        <v>10973922</v>
      </c>
      <c r="I36" s="36" t="s">
        <v>76</v>
      </c>
      <c r="J36" s="59"/>
      <c r="K36" s="39"/>
      <c r="L36" s="9">
        <f t="shared" si="1"/>
        <v>0</v>
      </c>
      <c r="M36" s="57"/>
      <c r="N36" s="43"/>
      <c r="O36" s="11">
        <f t="shared" si="2"/>
        <v>0</v>
      </c>
      <c r="P36" s="55"/>
      <c r="Q36" s="43"/>
      <c r="R36" s="9">
        <f t="shared" si="3"/>
        <v>0</v>
      </c>
      <c r="S36" s="57"/>
      <c r="T36" s="43"/>
      <c r="U36" s="11">
        <f t="shared" si="4"/>
        <v>0</v>
      </c>
      <c r="V36" s="55"/>
      <c r="W36" s="43"/>
      <c r="X36" s="9">
        <f t="shared" si="5"/>
        <v>0</v>
      </c>
      <c r="Y36" s="7">
        <f t="shared" si="0"/>
        <v>0</v>
      </c>
    </row>
    <row r="37" spans="1:25" s="29" customFormat="1" x14ac:dyDescent="0.25">
      <c r="A37" s="27">
        <v>35</v>
      </c>
      <c r="B37" s="28" t="s">
        <v>79</v>
      </c>
      <c r="C37" s="30" t="s">
        <v>49</v>
      </c>
      <c r="D37" s="76"/>
      <c r="E37" s="30"/>
      <c r="F37" s="30"/>
      <c r="G37" s="30"/>
      <c r="H37" s="32">
        <v>10979050</v>
      </c>
      <c r="I37" s="36" t="s">
        <v>76</v>
      </c>
      <c r="J37" s="59"/>
      <c r="K37" s="39"/>
      <c r="L37" s="9">
        <f t="shared" si="1"/>
        <v>0</v>
      </c>
      <c r="M37" s="57"/>
      <c r="N37" s="43"/>
      <c r="O37" s="11">
        <f t="shared" si="2"/>
        <v>0</v>
      </c>
      <c r="P37" s="55"/>
      <c r="Q37" s="43"/>
      <c r="R37" s="9">
        <f t="shared" si="3"/>
        <v>0</v>
      </c>
      <c r="S37" s="57"/>
      <c r="T37" s="43"/>
      <c r="U37" s="11">
        <f t="shared" si="4"/>
        <v>0</v>
      </c>
      <c r="V37" s="55"/>
      <c r="W37" s="43"/>
      <c r="X37" s="9">
        <f t="shared" si="5"/>
        <v>0</v>
      </c>
      <c r="Y37" s="7">
        <f t="shared" si="0"/>
        <v>0</v>
      </c>
    </row>
    <row r="38" spans="1:25" s="29" customFormat="1" x14ac:dyDescent="0.25">
      <c r="A38" s="27">
        <v>36</v>
      </c>
      <c r="B38" s="28" t="s">
        <v>79</v>
      </c>
      <c r="C38" s="30" t="s">
        <v>50</v>
      </c>
      <c r="D38" s="76"/>
      <c r="E38" s="30"/>
      <c r="F38" s="30"/>
      <c r="G38" s="30"/>
      <c r="H38" s="32">
        <v>10979051</v>
      </c>
      <c r="I38" s="36" t="s">
        <v>76</v>
      </c>
      <c r="J38" s="59"/>
      <c r="K38" s="39"/>
      <c r="L38" s="9">
        <f t="shared" si="1"/>
        <v>0</v>
      </c>
      <c r="M38" s="57"/>
      <c r="N38" s="43"/>
      <c r="O38" s="11">
        <f t="shared" si="2"/>
        <v>0</v>
      </c>
      <c r="P38" s="55"/>
      <c r="Q38" s="43"/>
      <c r="R38" s="9">
        <f t="shared" si="3"/>
        <v>0</v>
      </c>
      <c r="S38" s="57"/>
      <c r="T38" s="43"/>
      <c r="U38" s="11">
        <f t="shared" si="4"/>
        <v>0</v>
      </c>
      <c r="V38" s="55"/>
      <c r="W38" s="43"/>
      <c r="X38" s="9">
        <f t="shared" si="5"/>
        <v>0</v>
      </c>
      <c r="Y38" s="7">
        <f t="shared" si="0"/>
        <v>0</v>
      </c>
    </row>
    <row r="39" spans="1:25" s="29" customFormat="1" x14ac:dyDescent="0.25">
      <c r="A39" s="27">
        <v>37</v>
      </c>
      <c r="B39" s="28" t="s">
        <v>79</v>
      </c>
      <c r="C39" s="30" t="s">
        <v>51</v>
      </c>
      <c r="D39" s="76"/>
      <c r="E39" s="30"/>
      <c r="F39" s="30"/>
      <c r="G39" s="30"/>
      <c r="H39" s="32">
        <v>10985255</v>
      </c>
      <c r="I39" s="36" t="s">
        <v>76</v>
      </c>
      <c r="J39" s="59"/>
      <c r="K39" s="39"/>
      <c r="L39" s="9">
        <f t="shared" si="1"/>
        <v>0</v>
      </c>
      <c r="M39" s="57"/>
      <c r="N39" s="43"/>
      <c r="O39" s="11">
        <f t="shared" si="2"/>
        <v>0</v>
      </c>
      <c r="P39" s="55"/>
      <c r="Q39" s="43"/>
      <c r="R39" s="9">
        <f t="shared" si="3"/>
        <v>0</v>
      </c>
      <c r="S39" s="57"/>
      <c r="T39" s="43"/>
      <c r="U39" s="11">
        <f t="shared" si="4"/>
        <v>0</v>
      </c>
      <c r="V39" s="55"/>
      <c r="W39" s="43"/>
      <c r="X39" s="9">
        <f t="shared" si="5"/>
        <v>0</v>
      </c>
      <c r="Y39" s="7">
        <f t="shared" si="0"/>
        <v>0</v>
      </c>
    </row>
    <row r="40" spans="1:25" s="29" customFormat="1" x14ac:dyDescent="0.25">
      <c r="A40" s="27">
        <v>38</v>
      </c>
      <c r="B40" s="28" t="s">
        <v>79</v>
      </c>
      <c r="C40" s="30" t="s">
        <v>52</v>
      </c>
      <c r="D40" s="76"/>
      <c r="E40" s="30"/>
      <c r="F40" s="30"/>
      <c r="G40" s="30"/>
      <c r="H40" s="32">
        <v>10985686</v>
      </c>
      <c r="I40" s="36" t="s">
        <v>76</v>
      </c>
      <c r="J40" s="59"/>
      <c r="K40" s="39"/>
      <c r="L40" s="9">
        <f t="shared" si="1"/>
        <v>0</v>
      </c>
      <c r="M40" s="57"/>
      <c r="N40" s="43"/>
      <c r="O40" s="11">
        <f t="shared" si="2"/>
        <v>0</v>
      </c>
      <c r="P40" s="55"/>
      <c r="Q40" s="43"/>
      <c r="R40" s="9">
        <f t="shared" si="3"/>
        <v>0</v>
      </c>
      <c r="S40" s="57"/>
      <c r="T40" s="43"/>
      <c r="U40" s="11">
        <f t="shared" si="4"/>
        <v>0</v>
      </c>
      <c r="V40" s="55"/>
      <c r="W40" s="43"/>
      <c r="X40" s="9">
        <f t="shared" si="5"/>
        <v>0</v>
      </c>
      <c r="Y40" s="7">
        <f t="shared" si="0"/>
        <v>0</v>
      </c>
    </row>
    <row r="41" spans="1:25" s="29" customFormat="1" x14ac:dyDescent="0.25">
      <c r="A41" s="27">
        <v>39</v>
      </c>
      <c r="B41" s="28" t="s">
        <v>79</v>
      </c>
      <c r="C41" s="30" t="s">
        <v>64</v>
      </c>
      <c r="D41" s="77"/>
      <c r="E41" s="30"/>
      <c r="F41" s="30"/>
      <c r="G41" s="30"/>
      <c r="H41" s="33">
        <v>10985687</v>
      </c>
      <c r="I41" s="37" t="s">
        <v>76</v>
      </c>
      <c r="J41" s="59"/>
      <c r="K41" s="39"/>
      <c r="L41" s="9">
        <f t="shared" si="1"/>
        <v>0</v>
      </c>
      <c r="M41" s="57"/>
      <c r="N41" s="43"/>
      <c r="O41" s="11">
        <f t="shared" si="2"/>
        <v>0</v>
      </c>
      <c r="P41" s="55"/>
      <c r="Q41" s="43"/>
      <c r="R41" s="9">
        <f t="shared" si="3"/>
        <v>0</v>
      </c>
      <c r="S41" s="57"/>
      <c r="T41" s="43"/>
      <c r="U41" s="11">
        <f t="shared" si="4"/>
        <v>0</v>
      </c>
      <c r="V41" s="55"/>
      <c r="W41" s="43"/>
      <c r="X41" s="9">
        <f t="shared" si="5"/>
        <v>0</v>
      </c>
      <c r="Y41" s="7">
        <f t="shared" si="0"/>
        <v>0</v>
      </c>
    </row>
    <row r="42" spans="1:25" s="29" customFormat="1" x14ac:dyDescent="0.25">
      <c r="A42" s="27">
        <v>40</v>
      </c>
      <c r="B42" s="28"/>
      <c r="C42" s="30"/>
      <c r="D42" s="30"/>
      <c r="E42" s="30"/>
      <c r="F42" s="30"/>
      <c r="G42" s="30"/>
      <c r="H42" s="33"/>
      <c r="I42" s="37"/>
      <c r="J42" s="59"/>
      <c r="K42" s="39"/>
      <c r="L42" s="9">
        <f t="shared" si="1"/>
        <v>0</v>
      </c>
      <c r="M42" s="57"/>
      <c r="N42" s="43"/>
      <c r="O42" s="11">
        <f t="shared" si="2"/>
        <v>0</v>
      </c>
      <c r="P42" s="55"/>
      <c r="Q42" s="43"/>
      <c r="R42" s="9">
        <f t="shared" si="3"/>
        <v>0</v>
      </c>
      <c r="S42" s="57"/>
      <c r="T42" s="43"/>
      <c r="U42" s="11">
        <f t="shared" si="4"/>
        <v>0</v>
      </c>
      <c r="V42" s="55"/>
      <c r="W42" s="43"/>
      <c r="X42" s="9">
        <f t="shared" si="5"/>
        <v>0</v>
      </c>
      <c r="Y42" s="7"/>
    </row>
    <row r="43" spans="1:25" s="29" customFormat="1" x14ac:dyDescent="0.25">
      <c r="A43" s="27">
        <v>41</v>
      </c>
      <c r="B43" s="28"/>
      <c r="C43" s="30"/>
      <c r="D43" s="30"/>
      <c r="E43" s="30"/>
      <c r="F43" s="30"/>
      <c r="G43" s="30"/>
      <c r="H43" s="33"/>
      <c r="I43" s="37"/>
      <c r="J43" s="59"/>
      <c r="K43" s="39"/>
      <c r="L43" s="9">
        <f t="shared" si="1"/>
        <v>0</v>
      </c>
      <c r="M43" s="57"/>
      <c r="N43" s="43"/>
      <c r="O43" s="11">
        <f t="shared" si="2"/>
        <v>0</v>
      </c>
      <c r="P43" s="55"/>
      <c r="Q43" s="43"/>
      <c r="R43" s="9">
        <f t="shared" si="3"/>
        <v>0</v>
      </c>
      <c r="S43" s="57"/>
      <c r="T43" s="43"/>
      <c r="U43" s="11">
        <f t="shared" si="4"/>
        <v>0</v>
      </c>
      <c r="V43" s="55"/>
      <c r="W43" s="43"/>
      <c r="X43" s="9">
        <f t="shared" si="5"/>
        <v>0</v>
      </c>
      <c r="Y43" s="7"/>
    </row>
    <row r="44" spans="1:25" s="29" customFormat="1" x14ac:dyDescent="0.25">
      <c r="A44" s="27">
        <v>42</v>
      </c>
      <c r="B44" s="28"/>
      <c r="C44" s="30"/>
      <c r="D44" s="30"/>
      <c r="E44" s="30"/>
      <c r="F44" s="30"/>
      <c r="G44" s="30"/>
      <c r="H44" s="33"/>
      <c r="I44" s="37"/>
      <c r="J44" s="59"/>
      <c r="K44" s="39"/>
      <c r="L44" s="9">
        <f t="shared" si="1"/>
        <v>0</v>
      </c>
      <c r="M44" s="57"/>
      <c r="N44" s="43"/>
      <c r="O44" s="11">
        <f t="shared" si="2"/>
        <v>0</v>
      </c>
      <c r="P44" s="55"/>
      <c r="Q44" s="43"/>
      <c r="R44" s="9">
        <f t="shared" si="3"/>
        <v>0</v>
      </c>
      <c r="S44" s="57"/>
      <c r="T44" s="43"/>
      <c r="U44" s="11">
        <f t="shared" si="4"/>
        <v>0</v>
      </c>
      <c r="V44" s="55"/>
      <c r="W44" s="43"/>
      <c r="X44" s="9">
        <f t="shared" si="5"/>
        <v>0</v>
      </c>
      <c r="Y44" s="7"/>
    </row>
    <row r="45" spans="1:25" s="29" customFormat="1" x14ac:dyDescent="0.25">
      <c r="A45" s="27">
        <v>43</v>
      </c>
      <c r="B45" s="28"/>
      <c r="C45" s="30"/>
      <c r="D45" s="30"/>
      <c r="E45" s="30"/>
      <c r="F45" s="30"/>
      <c r="G45" s="30"/>
      <c r="H45" s="33"/>
      <c r="I45" s="37"/>
      <c r="J45" s="59"/>
      <c r="K45" s="39"/>
      <c r="L45" s="9">
        <f t="shared" si="1"/>
        <v>0</v>
      </c>
      <c r="M45" s="57"/>
      <c r="N45" s="43"/>
      <c r="O45" s="11">
        <f t="shared" si="2"/>
        <v>0</v>
      </c>
      <c r="P45" s="55"/>
      <c r="Q45" s="43"/>
      <c r="R45" s="9">
        <f t="shared" si="3"/>
        <v>0</v>
      </c>
      <c r="S45" s="57"/>
      <c r="T45" s="43"/>
      <c r="U45" s="11">
        <f t="shared" si="4"/>
        <v>0</v>
      </c>
      <c r="V45" s="55"/>
      <c r="W45" s="43"/>
      <c r="X45" s="9">
        <f t="shared" si="5"/>
        <v>0</v>
      </c>
      <c r="Y45" s="7"/>
    </row>
    <row r="46" spans="1:25" s="29" customFormat="1" x14ac:dyDescent="0.25">
      <c r="A46" s="27">
        <v>44</v>
      </c>
      <c r="B46" s="28"/>
      <c r="C46" s="30"/>
      <c r="D46" s="30"/>
      <c r="E46" s="30"/>
      <c r="F46" s="30"/>
      <c r="G46" s="30"/>
      <c r="H46" s="33"/>
      <c r="I46" s="37"/>
      <c r="J46" s="59"/>
      <c r="K46" s="39"/>
      <c r="L46" s="9">
        <f t="shared" si="1"/>
        <v>0</v>
      </c>
      <c r="M46" s="57"/>
      <c r="N46" s="43"/>
      <c r="O46" s="11">
        <f t="shared" si="2"/>
        <v>0</v>
      </c>
      <c r="P46" s="55"/>
      <c r="Q46" s="43"/>
      <c r="R46" s="9">
        <f t="shared" si="3"/>
        <v>0</v>
      </c>
      <c r="S46" s="57"/>
      <c r="T46" s="43"/>
      <c r="U46" s="11">
        <f t="shared" si="4"/>
        <v>0</v>
      </c>
      <c r="V46" s="55"/>
      <c r="W46" s="43"/>
      <c r="X46" s="9">
        <f t="shared" si="5"/>
        <v>0</v>
      </c>
      <c r="Y46" s="7"/>
    </row>
    <row r="47" spans="1:25" s="29" customFormat="1" x14ac:dyDescent="0.25">
      <c r="A47" s="27">
        <v>45</v>
      </c>
      <c r="B47" s="28"/>
      <c r="C47" s="31"/>
      <c r="D47" s="31"/>
      <c r="E47" s="31"/>
      <c r="F47" s="31"/>
      <c r="G47" s="31"/>
      <c r="H47" s="33"/>
      <c r="I47" s="37"/>
      <c r="J47" s="59"/>
      <c r="K47" s="39"/>
      <c r="L47" s="9">
        <f t="shared" si="1"/>
        <v>0</v>
      </c>
      <c r="M47" s="57"/>
      <c r="N47" s="43"/>
      <c r="O47" s="11">
        <f t="shared" si="2"/>
        <v>0</v>
      </c>
      <c r="P47" s="55"/>
      <c r="Q47" s="43"/>
      <c r="R47" s="9">
        <f t="shared" si="3"/>
        <v>0</v>
      </c>
      <c r="S47" s="57"/>
      <c r="T47" s="43"/>
      <c r="U47" s="11">
        <f t="shared" si="4"/>
        <v>0</v>
      </c>
      <c r="V47" s="55"/>
      <c r="W47" s="43"/>
      <c r="X47" s="9">
        <f t="shared" si="5"/>
        <v>0</v>
      </c>
      <c r="Y47" s="7">
        <f t="shared" si="0"/>
        <v>0</v>
      </c>
    </row>
    <row r="48" spans="1:25" s="29" customFormat="1" ht="15.75" thickBot="1" x14ac:dyDescent="0.3">
      <c r="J48" s="50"/>
      <c r="K48" s="51">
        <f>SUM(L3:L47)</f>
        <v>0</v>
      </c>
      <c r="L48" s="49"/>
      <c r="M48" s="15"/>
      <c r="N48" s="52">
        <f>SUM(O3:O47)</f>
        <v>0</v>
      </c>
      <c r="O48" s="53"/>
      <c r="P48" s="16"/>
      <c r="Q48" s="52">
        <f>SUM(R3:R47)</f>
        <v>0</v>
      </c>
      <c r="R48" s="53"/>
      <c r="S48" s="15"/>
      <c r="T48" s="52">
        <f>SUM(U3:U47)</f>
        <v>0</v>
      </c>
      <c r="U48" s="53"/>
      <c r="V48" s="16"/>
      <c r="W48" s="52">
        <f>SUM(X3:X47)</f>
        <v>0</v>
      </c>
      <c r="X48" s="53"/>
      <c r="Y48" s="3"/>
    </row>
    <row r="49" spans="10:25" s="48" customFormat="1" ht="16.5" thickTop="1" thickBot="1" x14ac:dyDescent="0.3">
      <c r="J49" s="20" t="s">
        <v>13</v>
      </c>
      <c r="K49" s="34"/>
      <c r="L49" s="21"/>
      <c r="M49" s="22" t="s">
        <v>15</v>
      </c>
      <c r="N49" s="35"/>
      <c r="O49" s="23"/>
      <c r="P49" s="22" t="s">
        <v>14</v>
      </c>
      <c r="Q49" s="35"/>
      <c r="R49" s="23"/>
      <c r="S49" s="22" t="s">
        <v>16</v>
      </c>
      <c r="T49" s="35"/>
      <c r="U49" s="23"/>
      <c r="V49" s="22" t="s">
        <v>17</v>
      </c>
      <c r="W49" s="35"/>
      <c r="X49" s="23"/>
    </row>
    <row r="50" spans="10:25" s="6" customFormat="1" x14ac:dyDescent="0.25">
      <c r="K50" s="40"/>
      <c r="N50" s="40"/>
      <c r="Q50" s="40"/>
      <c r="T50" s="40"/>
      <c r="W50" s="40"/>
    </row>
    <row r="51" spans="10:25" ht="15.75" thickBot="1" x14ac:dyDescent="0.3">
      <c r="U51" s="17" t="s">
        <v>71</v>
      </c>
      <c r="V51" s="17"/>
      <c r="W51" s="44"/>
      <c r="X51" s="18">
        <f>SUM(Y3:Y47)</f>
        <v>0</v>
      </c>
      <c r="Y51" s="19"/>
    </row>
    <row r="52" spans="10:25" ht="15.75" thickTop="1" x14ac:dyDescent="0.25"/>
    <row r="53" spans="10:25" ht="30.75" customHeight="1" thickBot="1" x14ac:dyDescent="0.3">
      <c r="U53" s="74" t="s">
        <v>72</v>
      </c>
      <c r="V53" s="74"/>
      <c r="W53" s="74"/>
      <c r="X53" s="75">
        <f>'Separately Priced Items'!D51</f>
        <v>0</v>
      </c>
      <c r="Y53" s="75"/>
    </row>
    <row r="54" spans="10:25" ht="15.75" thickTop="1" x14ac:dyDescent="0.25"/>
    <row r="55" spans="10:25" ht="31.5" customHeight="1" thickBot="1" x14ac:dyDescent="0.3">
      <c r="U55" s="72" t="s">
        <v>70</v>
      </c>
      <c r="V55" s="72"/>
      <c r="W55" s="72"/>
      <c r="X55" s="73">
        <f>SUM(X51+X53)</f>
        <v>0</v>
      </c>
      <c r="Y55" s="72"/>
    </row>
    <row r="56" spans="10:25" ht="15.75" thickTop="1" x14ac:dyDescent="0.25"/>
  </sheetData>
  <mergeCells count="22">
    <mergeCell ref="D32:D41"/>
    <mergeCell ref="D3:D31"/>
    <mergeCell ref="W48:X48"/>
    <mergeCell ref="U55:W55"/>
    <mergeCell ref="X55:Y55"/>
    <mergeCell ref="U53:W53"/>
    <mergeCell ref="X53:Y53"/>
    <mergeCell ref="K48:L48"/>
    <mergeCell ref="N48:O48"/>
    <mergeCell ref="Q48:R48"/>
    <mergeCell ref="T48:U48"/>
    <mergeCell ref="J1:L1"/>
    <mergeCell ref="M1:O1"/>
    <mergeCell ref="P1:R1"/>
    <mergeCell ref="S1:U1"/>
    <mergeCell ref="V1:X1"/>
    <mergeCell ref="X51:Y51"/>
    <mergeCell ref="J49:L49"/>
    <mergeCell ref="M49:O49"/>
    <mergeCell ref="P49:R49"/>
    <mergeCell ref="S49:U49"/>
    <mergeCell ref="V49:X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2229-8A1F-459A-B1AD-3B678AAFF3B0}">
  <dimension ref="A1:E52"/>
  <sheetViews>
    <sheetView workbookViewId="0">
      <selection activeCell="D2" sqref="D2"/>
    </sheetView>
  </sheetViews>
  <sheetFormatPr defaultRowHeight="15" x14ac:dyDescent="0.25"/>
  <cols>
    <col min="1" max="1" width="38" bestFit="1" customWidth="1"/>
    <col min="2" max="2" width="11.7109375" customWidth="1"/>
    <col min="4" max="4" width="21.140625" style="65" customWidth="1"/>
    <col min="5" max="5" width="90.140625" customWidth="1"/>
  </cols>
  <sheetData>
    <row r="1" spans="1:5" ht="45" x14ac:dyDescent="0.25">
      <c r="A1" s="66" t="s">
        <v>65</v>
      </c>
      <c r="B1" s="67" t="s">
        <v>66</v>
      </c>
      <c r="C1" s="67" t="s">
        <v>67</v>
      </c>
      <c r="D1" s="68" t="s">
        <v>69</v>
      </c>
      <c r="E1" s="67" t="s">
        <v>68</v>
      </c>
    </row>
    <row r="2" spans="1:5" x14ac:dyDescent="0.25">
      <c r="A2" s="62"/>
      <c r="B2" s="62"/>
      <c r="C2" s="62"/>
      <c r="D2" s="64"/>
      <c r="E2" s="63"/>
    </row>
    <row r="3" spans="1:5" x14ac:dyDescent="0.25">
      <c r="A3" s="62"/>
      <c r="B3" s="62"/>
      <c r="C3" s="62"/>
      <c r="D3" s="64"/>
      <c r="E3" s="63"/>
    </row>
    <row r="4" spans="1:5" x14ac:dyDescent="0.25">
      <c r="A4" s="60"/>
      <c r="B4" s="60"/>
      <c r="C4" s="60"/>
      <c r="D4" s="69"/>
      <c r="E4" s="61"/>
    </row>
    <row r="5" spans="1:5" x14ac:dyDescent="0.25">
      <c r="A5" s="60"/>
      <c r="B5" s="60"/>
      <c r="C5" s="60"/>
      <c r="D5" s="69"/>
      <c r="E5" s="61"/>
    </row>
    <row r="6" spans="1:5" x14ac:dyDescent="0.25">
      <c r="A6" s="62"/>
      <c r="B6" s="62"/>
      <c r="C6" s="62"/>
      <c r="D6" s="64"/>
      <c r="E6" s="63"/>
    </row>
    <row r="7" spans="1:5" x14ac:dyDescent="0.25">
      <c r="A7" s="62"/>
      <c r="B7" s="62"/>
      <c r="C7" s="62"/>
      <c r="D7" s="64"/>
      <c r="E7" s="63"/>
    </row>
    <row r="8" spans="1:5" x14ac:dyDescent="0.25">
      <c r="A8" s="60"/>
      <c r="B8" s="60"/>
      <c r="C8" s="60"/>
      <c r="D8" s="69"/>
      <c r="E8" s="69"/>
    </row>
    <row r="9" spans="1:5" x14ac:dyDescent="0.25">
      <c r="A9" s="60"/>
      <c r="B9" s="60"/>
      <c r="C9" s="60"/>
      <c r="D9" s="69"/>
      <c r="E9" s="69"/>
    </row>
    <row r="10" spans="1:5" x14ac:dyDescent="0.25">
      <c r="A10" s="62"/>
      <c r="B10" s="62"/>
      <c r="C10" s="62"/>
      <c r="D10" s="64"/>
      <c r="E10" s="63"/>
    </row>
    <row r="11" spans="1:5" x14ac:dyDescent="0.25">
      <c r="A11" s="62"/>
      <c r="B11" s="62"/>
      <c r="C11" s="62"/>
      <c r="D11" s="64"/>
      <c r="E11" s="63"/>
    </row>
    <row r="12" spans="1:5" x14ac:dyDescent="0.25">
      <c r="A12" s="60"/>
      <c r="B12" s="60"/>
      <c r="C12" s="60"/>
      <c r="D12" s="69"/>
      <c r="E12" s="61"/>
    </row>
    <row r="13" spans="1:5" x14ac:dyDescent="0.25">
      <c r="A13" s="60"/>
      <c r="B13" s="60"/>
      <c r="C13" s="60"/>
      <c r="D13" s="69"/>
      <c r="E13" s="61"/>
    </row>
    <row r="14" spans="1:5" x14ac:dyDescent="0.25">
      <c r="A14" s="62"/>
      <c r="B14" s="62"/>
      <c r="C14" s="62"/>
      <c r="D14" s="64"/>
      <c r="E14" s="63"/>
    </row>
    <row r="15" spans="1:5" x14ac:dyDescent="0.25">
      <c r="A15" s="62"/>
      <c r="B15" s="62"/>
      <c r="C15" s="62"/>
      <c r="D15" s="64"/>
      <c r="E15" s="63"/>
    </row>
    <row r="16" spans="1:5" x14ac:dyDescent="0.25">
      <c r="A16" s="60"/>
      <c r="B16" s="60"/>
      <c r="C16" s="60"/>
      <c r="D16" s="69"/>
      <c r="E16" s="61"/>
    </row>
    <row r="17" spans="1:5" x14ac:dyDescent="0.25">
      <c r="A17" s="60"/>
      <c r="B17" s="60"/>
      <c r="C17" s="60"/>
      <c r="D17" s="69"/>
      <c r="E17" s="61"/>
    </row>
    <row r="18" spans="1:5" x14ac:dyDescent="0.25">
      <c r="A18" s="62"/>
      <c r="B18" s="62"/>
      <c r="C18" s="62"/>
      <c r="D18" s="64"/>
      <c r="E18" s="63"/>
    </row>
    <row r="19" spans="1:5" x14ac:dyDescent="0.25">
      <c r="A19" s="62"/>
      <c r="B19" s="62"/>
      <c r="C19" s="62"/>
      <c r="D19" s="64"/>
      <c r="E19" s="63"/>
    </row>
    <row r="20" spans="1:5" x14ac:dyDescent="0.25">
      <c r="A20" s="60"/>
      <c r="B20" s="60"/>
      <c r="C20" s="60"/>
      <c r="D20" s="69"/>
      <c r="E20" s="61"/>
    </row>
    <row r="21" spans="1:5" x14ac:dyDescent="0.25">
      <c r="A21" s="60"/>
      <c r="B21" s="60"/>
      <c r="C21" s="60"/>
      <c r="D21" s="69"/>
      <c r="E21" s="61"/>
    </row>
    <row r="22" spans="1:5" x14ac:dyDescent="0.25">
      <c r="A22" s="62"/>
      <c r="B22" s="62"/>
      <c r="C22" s="62"/>
      <c r="D22" s="64"/>
      <c r="E22" s="63"/>
    </row>
    <row r="23" spans="1:5" x14ac:dyDescent="0.25">
      <c r="A23" s="62"/>
      <c r="B23" s="62"/>
      <c r="C23" s="62"/>
      <c r="D23" s="64"/>
      <c r="E23" s="63"/>
    </row>
    <row r="24" spans="1:5" x14ac:dyDescent="0.25">
      <c r="A24" s="60"/>
      <c r="B24" s="60"/>
      <c r="C24" s="60"/>
      <c r="D24" s="69"/>
      <c r="E24" s="61"/>
    </row>
    <row r="25" spans="1:5" x14ac:dyDescent="0.25">
      <c r="A25" s="60"/>
      <c r="B25" s="60"/>
      <c r="C25" s="60"/>
      <c r="D25" s="69"/>
      <c r="E25" s="61"/>
    </row>
    <row r="26" spans="1:5" x14ac:dyDescent="0.25">
      <c r="A26" s="62"/>
      <c r="B26" s="62"/>
      <c r="C26" s="62"/>
      <c r="D26" s="64"/>
      <c r="E26" s="63"/>
    </row>
    <row r="27" spans="1:5" x14ac:dyDescent="0.25">
      <c r="A27" s="62"/>
      <c r="B27" s="62"/>
      <c r="C27" s="62"/>
      <c r="D27" s="64"/>
      <c r="E27" s="63"/>
    </row>
    <row r="28" spans="1:5" x14ac:dyDescent="0.25">
      <c r="A28" s="60"/>
      <c r="B28" s="60"/>
      <c r="C28" s="60"/>
      <c r="D28" s="69"/>
      <c r="E28" s="61"/>
    </row>
    <row r="29" spans="1:5" x14ac:dyDescent="0.25">
      <c r="A29" s="60"/>
      <c r="B29" s="60"/>
      <c r="C29" s="60"/>
      <c r="D29" s="69"/>
      <c r="E29" s="61"/>
    </row>
    <row r="30" spans="1:5" x14ac:dyDescent="0.25">
      <c r="A30" s="62"/>
      <c r="B30" s="62"/>
      <c r="C30" s="62"/>
      <c r="D30" s="64"/>
      <c r="E30" s="63"/>
    </row>
    <row r="31" spans="1:5" x14ac:dyDescent="0.25">
      <c r="A31" s="62"/>
      <c r="B31" s="62"/>
      <c r="C31" s="62"/>
      <c r="D31" s="64"/>
      <c r="E31" s="63"/>
    </row>
    <row r="32" spans="1:5" x14ac:dyDescent="0.25">
      <c r="A32" s="60"/>
      <c r="B32" s="60"/>
      <c r="C32" s="60"/>
      <c r="D32" s="69"/>
      <c r="E32" s="61"/>
    </row>
    <row r="33" spans="1:5" x14ac:dyDescent="0.25">
      <c r="A33" s="60"/>
      <c r="B33" s="60"/>
      <c r="C33" s="60"/>
      <c r="D33" s="69"/>
      <c r="E33" s="61"/>
    </row>
    <row r="34" spans="1:5" x14ac:dyDescent="0.25">
      <c r="A34" s="62"/>
      <c r="B34" s="62"/>
      <c r="C34" s="62"/>
      <c r="D34" s="64"/>
      <c r="E34" s="63"/>
    </row>
    <row r="35" spans="1:5" x14ac:dyDescent="0.25">
      <c r="A35" s="62"/>
      <c r="B35" s="62"/>
      <c r="C35" s="62"/>
      <c r="D35" s="64"/>
      <c r="E35" s="63"/>
    </row>
    <row r="36" spans="1:5" x14ac:dyDescent="0.25">
      <c r="A36" s="60"/>
      <c r="B36" s="60"/>
      <c r="C36" s="60"/>
      <c r="D36" s="69"/>
      <c r="E36" s="61"/>
    </row>
    <row r="37" spans="1:5" x14ac:dyDescent="0.25">
      <c r="A37" s="60"/>
      <c r="B37" s="60"/>
      <c r="C37" s="60"/>
      <c r="D37" s="69"/>
      <c r="E37" s="61"/>
    </row>
    <row r="38" spans="1:5" x14ac:dyDescent="0.25">
      <c r="A38" s="62"/>
      <c r="B38" s="62"/>
      <c r="C38" s="62"/>
      <c r="D38" s="64"/>
      <c r="E38" s="63"/>
    </row>
    <row r="39" spans="1:5" x14ac:dyDescent="0.25">
      <c r="A39" s="62"/>
      <c r="B39" s="62"/>
      <c r="C39" s="62"/>
      <c r="D39" s="64"/>
      <c r="E39" s="63"/>
    </row>
    <row r="40" spans="1:5" x14ac:dyDescent="0.25">
      <c r="A40" s="60"/>
      <c r="B40" s="60"/>
      <c r="C40" s="60"/>
      <c r="D40" s="69"/>
      <c r="E40" s="61"/>
    </row>
    <row r="41" spans="1:5" x14ac:dyDescent="0.25">
      <c r="A41" s="60"/>
      <c r="B41" s="60"/>
      <c r="C41" s="60"/>
      <c r="D41" s="69"/>
      <c r="E41" s="61"/>
    </row>
    <row r="42" spans="1:5" x14ac:dyDescent="0.25">
      <c r="A42" s="62"/>
      <c r="B42" s="62"/>
      <c r="C42" s="62"/>
      <c r="D42" s="64"/>
      <c r="E42" s="63"/>
    </row>
    <row r="43" spans="1:5" x14ac:dyDescent="0.25">
      <c r="A43" s="62"/>
      <c r="B43" s="62"/>
      <c r="C43" s="62"/>
      <c r="D43" s="64"/>
      <c r="E43" s="63"/>
    </row>
    <row r="44" spans="1:5" x14ac:dyDescent="0.25">
      <c r="A44" s="60"/>
      <c r="B44" s="60"/>
      <c r="C44" s="60"/>
      <c r="D44" s="69"/>
      <c r="E44" s="61"/>
    </row>
    <row r="45" spans="1:5" x14ac:dyDescent="0.25">
      <c r="A45" s="60"/>
      <c r="B45" s="60"/>
      <c r="C45" s="60"/>
      <c r="D45" s="69"/>
      <c r="E45" s="61"/>
    </row>
    <row r="46" spans="1:5" x14ac:dyDescent="0.25">
      <c r="A46" s="62"/>
      <c r="B46" s="62"/>
      <c r="C46" s="62"/>
      <c r="D46" s="64"/>
      <c r="E46" s="63"/>
    </row>
    <row r="47" spans="1:5" x14ac:dyDescent="0.25">
      <c r="A47" s="62"/>
      <c r="B47" s="62"/>
      <c r="C47" s="62"/>
      <c r="D47" s="64"/>
      <c r="E47" s="63"/>
    </row>
    <row r="48" spans="1:5" x14ac:dyDescent="0.25">
      <c r="A48" s="60"/>
      <c r="B48" s="60"/>
      <c r="C48" s="60"/>
      <c r="D48" s="69"/>
      <c r="E48" s="61"/>
    </row>
    <row r="49" spans="1:5" x14ac:dyDescent="0.25">
      <c r="A49" s="60"/>
      <c r="B49" s="60"/>
      <c r="C49" s="60"/>
      <c r="D49" s="69"/>
      <c r="E49" s="61"/>
    </row>
    <row r="50" spans="1:5" x14ac:dyDescent="0.25">
      <c r="A50" s="62"/>
      <c r="B50" s="62"/>
      <c r="C50" s="62"/>
      <c r="D50" s="64"/>
      <c r="E50" s="63"/>
    </row>
    <row r="51" spans="1:5" ht="19.5" thickBot="1" x14ac:dyDescent="0.35">
      <c r="B51" s="70" t="s">
        <v>12</v>
      </c>
      <c r="C51" s="70"/>
      <c r="D51" s="71">
        <f>SUM(D2:D50)</f>
        <v>0</v>
      </c>
    </row>
    <row r="52" spans="1:5" ht="15.75" thickTop="1" x14ac:dyDescent="0.25"/>
  </sheetData>
  <protectedRanges>
    <protectedRange sqref="A2:E50" name="Tab 8. Ind Item Cost_1"/>
  </protectedRanges>
  <mergeCells count="1">
    <mergeCell ref="B51:C5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Separately Priced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Diaz, Marcos A.</cp:lastModifiedBy>
  <dcterms:created xsi:type="dcterms:W3CDTF">2020-01-27T23:53:43Z</dcterms:created>
  <dcterms:modified xsi:type="dcterms:W3CDTF">2026-03-27T15:09:00Z</dcterms:modified>
</cp:coreProperties>
</file>