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Sarah Schaff\CM25303002 Headset (8 NSNs)\Stack 1\Tab 13 Statement as to Synopsis\"/>
    </mc:Choice>
  </mc:AlternateContent>
  <xr:revisionPtr revIDLastSave="0" documentId="8_{53E6A3DD-182A-44A2-890B-658BC02517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ty. Range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8" i="1"/>
  <c r="G7" i="1" l="1"/>
  <c r="E10" i="1"/>
  <c r="G11" i="1" s="1"/>
  <c r="E15" i="1"/>
  <c r="G16" i="1" s="1"/>
  <c r="E20" i="1"/>
  <c r="E25" i="1"/>
  <c r="H28" i="1" s="1"/>
  <c r="E30" i="1"/>
  <c r="E35" i="1"/>
  <c r="H38" i="1" s="1"/>
  <c r="E40" i="1"/>
  <c r="E45" i="1"/>
  <c r="E50" i="1"/>
  <c r="G50" i="1" s="1"/>
  <c r="E55" i="1"/>
  <c r="H55" i="1" s="1"/>
  <c r="G56" i="1" s="1"/>
  <c r="E60" i="1"/>
  <c r="E65" i="1"/>
  <c r="E70" i="1"/>
  <c r="H72" i="1" s="1"/>
  <c r="G73" i="1" s="1"/>
  <c r="E75" i="1"/>
  <c r="H76" i="1" s="1"/>
  <c r="G77" i="1" s="1"/>
  <c r="E80" i="1"/>
  <c r="E85" i="1"/>
  <c r="E90" i="1"/>
  <c r="H91" i="1" s="1"/>
  <c r="G92" i="1" s="1"/>
  <c r="E95" i="1"/>
  <c r="G95" i="1" s="1"/>
  <c r="E100" i="1"/>
  <c r="E105" i="1"/>
  <c r="E110" i="1"/>
  <c r="H112" i="1" s="1"/>
  <c r="G113" i="1" s="1"/>
  <c r="E115" i="1"/>
  <c r="H118" i="1" s="1"/>
  <c r="E120" i="1"/>
  <c r="H121" i="1" s="1"/>
  <c r="G122" i="1" s="1"/>
  <c r="E125" i="1"/>
  <c r="E130" i="1"/>
  <c r="G130" i="1" s="1"/>
  <c r="E135" i="1"/>
  <c r="H136" i="1" s="1"/>
  <c r="G137" i="1" s="1"/>
  <c r="E140" i="1"/>
  <c r="H143" i="1" s="1"/>
  <c r="E145" i="1"/>
  <c r="E150" i="1"/>
  <c r="H153" i="1" s="1"/>
  <c r="E155" i="1"/>
  <c r="H158" i="1" s="1"/>
  <c r="E160" i="1"/>
  <c r="E165" i="1"/>
  <c r="E170" i="1"/>
  <c r="H172" i="1" s="1"/>
  <c r="G173" i="1" s="1"/>
  <c r="E175" i="1"/>
  <c r="H177" i="1" s="1"/>
  <c r="G178" i="1" s="1"/>
  <c r="E180" i="1"/>
  <c r="E185" i="1"/>
  <c r="E190" i="1"/>
  <c r="H192" i="1" s="1"/>
  <c r="G193" i="1" s="1"/>
  <c r="E195" i="1"/>
  <c r="H195" i="1" s="1"/>
  <c r="G196" i="1" s="1"/>
  <c r="E200" i="1"/>
  <c r="H201" i="1" s="1"/>
  <c r="G202" i="1" s="1"/>
  <c r="E205" i="1"/>
  <c r="E210" i="1"/>
  <c r="G210" i="1" s="1"/>
  <c r="E215" i="1"/>
  <c r="H218" i="1" s="1"/>
  <c r="E220" i="1"/>
  <c r="H223" i="1" s="1"/>
  <c r="E225" i="1"/>
  <c r="E230" i="1"/>
  <c r="G230" i="1" s="1"/>
  <c r="E235" i="1"/>
  <c r="G235" i="1" s="1"/>
  <c r="E240" i="1"/>
  <c r="E245" i="1"/>
  <c r="E250" i="1"/>
  <c r="H253" i="1" s="1"/>
  <c r="E255" i="1"/>
  <c r="H258" i="1" s="1"/>
  <c r="E260" i="1"/>
  <c r="E265" i="1"/>
  <c r="E270" i="1"/>
  <c r="G270" i="1" s="1"/>
  <c r="E275" i="1"/>
  <c r="H277" i="1" s="1"/>
  <c r="G278" i="1" s="1"/>
  <c r="E280" i="1"/>
  <c r="E285" i="1"/>
  <c r="E290" i="1"/>
  <c r="E295" i="1"/>
  <c r="G295" i="1" s="1"/>
  <c r="E300" i="1"/>
  <c r="H303" i="1" s="1"/>
  <c r="E305" i="1"/>
  <c r="E310" i="1"/>
  <c r="H311" i="1" s="1"/>
  <c r="G312" i="1" s="1"/>
  <c r="E315" i="1"/>
  <c r="H316" i="1" s="1"/>
  <c r="G317" i="1" s="1"/>
  <c r="E320" i="1"/>
  <c r="E325" i="1"/>
  <c r="E330" i="1"/>
  <c r="G330" i="1" s="1"/>
  <c r="E335" i="1"/>
  <c r="H335" i="1" s="1"/>
  <c r="G336" i="1" s="1"/>
  <c r="E340" i="1"/>
  <c r="E345" i="1"/>
  <c r="E350" i="1"/>
  <c r="H352" i="1" s="1"/>
  <c r="G353" i="1" s="1"/>
  <c r="E355" i="1"/>
  <c r="H357" i="1" s="1"/>
  <c r="G358" i="1" s="1"/>
  <c r="E360" i="1"/>
  <c r="E365" i="1"/>
  <c r="E370" i="1"/>
  <c r="H371" i="1" s="1"/>
  <c r="G372" i="1" s="1"/>
  <c r="E375" i="1"/>
  <c r="H375" i="1" s="1"/>
  <c r="G376" i="1" s="1"/>
  <c r="E380" i="1"/>
  <c r="G380" i="1" s="1"/>
  <c r="E385" i="1"/>
  <c r="H385" i="1" s="1"/>
  <c r="G386" i="1" s="1"/>
  <c r="E390" i="1"/>
  <c r="G390" i="1" s="1"/>
  <c r="E395" i="1"/>
  <c r="H396" i="1" s="1"/>
  <c r="G397" i="1" s="1"/>
  <c r="E400" i="1"/>
  <c r="G400" i="1" s="1"/>
  <c r="E405" i="1"/>
  <c r="E410" i="1"/>
  <c r="G410" i="1" s="1"/>
  <c r="E415" i="1"/>
  <c r="H418" i="1" s="1"/>
  <c r="E420" i="1"/>
  <c r="H422" i="1" s="1"/>
  <c r="G423" i="1" s="1"/>
  <c r="E425" i="1"/>
  <c r="H425" i="1" s="1"/>
  <c r="G426" i="1" s="1"/>
  <c r="E430" i="1"/>
  <c r="H432" i="1" s="1"/>
  <c r="G433" i="1" s="1"/>
  <c r="E435" i="1"/>
  <c r="G435" i="1" s="1"/>
  <c r="E440" i="1"/>
  <c r="H441" i="1" s="1"/>
  <c r="G442" i="1" s="1"/>
  <c r="E445" i="1"/>
  <c r="E450" i="1"/>
  <c r="E455" i="1"/>
  <c r="G455" i="1" s="1"/>
  <c r="E460" i="1"/>
  <c r="H461" i="1" s="1"/>
  <c r="G462" i="1" s="1"/>
  <c r="E465" i="1"/>
  <c r="H466" i="1" s="1"/>
  <c r="G467" i="1" s="1"/>
  <c r="E470" i="1"/>
  <c r="G470" i="1" s="1"/>
  <c r="E475" i="1"/>
  <c r="G475" i="1" s="1"/>
  <c r="E480" i="1"/>
  <c r="H481" i="1" s="1"/>
  <c r="G482" i="1" s="1"/>
  <c r="E485" i="1"/>
  <c r="E490" i="1"/>
  <c r="H492" i="1" s="1"/>
  <c r="G493" i="1" s="1"/>
  <c r="E495" i="1"/>
  <c r="H496" i="1" s="1"/>
  <c r="G497" i="1" s="1"/>
  <c r="E500" i="1"/>
  <c r="H503" i="1" s="1"/>
  <c r="E505" i="1"/>
  <c r="H508" i="1" s="1"/>
  <c r="E510" i="1"/>
  <c r="H510" i="1" s="1"/>
  <c r="G511" i="1" s="1"/>
  <c r="E515" i="1"/>
  <c r="H517" i="1" s="1"/>
  <c r="G518" i="1" s="1"/>
  <c r="E520" i="1"/>
  <c r="H521" i="1" s="1"/>
  <c r="G522" i="1" s="1"/>
  <c r="E525" i="1"/>
  <c r="E530" i="1"/>
  <c r="G530" i="1" s="1"/>
  <c r="E535" i="1"/>
  <c r="H536" i="1" s="1"/>
  <c r="G537" i="1" s="1"/>
  <c r="E540" i="1"/>
  <c r="G540" i="1" s="1"/>
  <c r="E545" i="1"/>
  <c r="E550" i="1"/>
  <c r="H552" i="1" s="1"/>
  <c r="G553" i="1" s="1"/>
  <c r="E555" i="1"/>
  <c r="G555" i="1" s="1"/>
  <c r="E560" i="1"/>
  <c r="H563" i="1" s="1"/>
  <c r="E565" i="1"/>
  <c r="E570" i="1"/>
  <c r="H573" i="1" s="1"/>
  <c r="E575" i="1"/>
  <c r="H578" i="1" s="1"/>
  <c r="E580" i="1"/>
  <c r="H581" i="1" s="1"/>
  <c r="G582" i="1" s="1"/>
  <c r="E585" i="1"/>
  <c r="E590" i="1"/>
  <c r="H591" i="1" s="1"/>
  <c r="G592" i="1" s="1"/>
  <c r="E595" i="1"/>
  <c r="G595" i="1" s="1"/>
  <c r="E600" i="1"/>
  <c r="E605" i="1"/>
  <c r="E610" i="1"/>
  <c r="G610" i="1" s="1"/>
  <c r="E615" i="1"/>
  <c r="H615" i="1" s="1"/>
  <c r="G616" i="1" s="1"/>
  <c r="E620" i="1"/>
  <c r="H623" i="1" s="1"/>
  <c r="E625" i="1"/>
  <c r="G625" i="1" s="1"/>
  <c r="E630" i="1"/>
  <c r="H631" i="1" s="1"/>
  <c r="G632" i="1" s="1"/>
  <c r="E635" i="1"/>
  <c r="G635" i="1" s="1"/>
  <c r="E640" i="1"/>
  <c r="H641" i="1" s="1"/>
  <c r="G642" i="1" s="1"/>
  <c r="E645" i="1"/>
  <c r="G645" i="1" s="1"/>
  <c r="E650" i="1"/>
  <c r="H650" i="1" s="1"/>
  <c r="G651" i="1" s="1"/>
  <c r="E655" i="1"/>
  <c r="E660" i="1"/>
  <c r="H661" i="1" s="1"/>
  <c r="G662" i="1" s="1"/>
  <c r="E665" i="1"/>
  <c r="G665" i="1" s="1"/>
  <c r="E670" i="1"/>
  <c r="H673" i="1" s="1"/>
  <c r="E675" i="1"/>
  <c r="G675" i="1" s="1"/>
  <c r="E680" i="1"/>
  <c r="H680" i="1" s="1"/>
  <c r="G681" i="1" s="1"/>
  <c r="E685" i="1"/>
  <c r="G685" i="1" s="1"/>
  <c r="E690" i="1"/>
  <c r="H693" i="1" s="1"/>
  <c r="E695" i="1"/>
  <c r="H696" i="1" s="1"/>
  <c r="G697" i="1" s="1"/>
  <c r="E700" i="1"/>
  <c r="H700" i="1" s="1"/>
  <c r="G701" i="1" s="1"/>
  <c r="E705" i="1"/>
  <c r="G705" i="1" s="1"/>
  <c r="E710" i="1"/>
  <c r="H713" i="1" s="1"/>
  <c r="E715" i="1"/>
  <c r="H716" i="1" s="1"/>
  <c r="G717" i="1" s="1"/>
  <c r="E720" i="1"/>
  <c r="H722" i="1" s="1"/>
  <c r="G723" i="1" s="1"/>
  <c r="E725" i="1"/>
  <c r="G725" i="1" s="1"/>
  <c r="E730" i="1"/>
  <c r="H731" i="1" s="1"/>
  <c r="G732" i="1" s="1"/>
  <c r="E735" i="1"/>
  <c r="H736" i="1" s="1"/>
  <c r="G737" i="1" s="1"/>
  <c r="E740" i="1"/>
  <c r="G740" i="1" s="1"/>
  <c r="E745" i="1"/>
  <c r="G745" i="1" s="1"/>
  <c r="E750" i="1"/>
  <c r="H752" i="1" s="1"/>
  <c r="G753" i="1" s="1"/>
  <c r="E755" i="1"/>
  <c r="H757" i="1" s="1"/>
  <c r="G758" i="1" s="1"/>
  <c r="E760" i="1"/>
  <c r="H760" i="1" s="1"/>
  <c r="G761" i="1" s="1"/>
  <c r="E765" i="1"/>
  <c r="G765" i="1" s="1"/>
  <c r="E770" i="1"/>
  <c r="G770" i="1" s="1"/>
  <c r="E775" i="1"/>
  <c r="H778" i="1" s="1"/>
  <c r="H13" i="1"/>
  <c r="H51" i="1"/>
  <c r="G52" i="1" s="1"/>
  <c r="H52" i="1"/>
  <c r="G53" i="1" s="1"/>
  <c r="H53" i="1"/>
  <c r="H56" i="1"/>
  <c r="G57" i="1" s="1"/>
  <c r="H57" i="1"/>
  <c r="G58" i="1" s="1"/>
  <c r="H58" i="1"/>
  <c r="H63" i="1"/>
  <c r="G90" i="1"/>
  <c r="H90" i="1"/>
  <c r="G91" i="1" s="1"/>
  <c r="H92" i="1"/>
  <c r="G93" i="1" s="1"/>
  <c r="H93" i="1"/>
  <c r="H95" i="1"/>
  <c r="G96" i="1" s="1"/>
  <c r="H96" i="1"/>
  <c r="G97" i="1" s="1"/>
  <c r="H97" i="1"/>
  <c r="G98" i="1" s="1"/>
  <c r="H98" i="1"/>
  <c r="G115" i="1"/>
  <c r="H115" i="1"/>
  <c r="G116" i="1" s="1"/>
  <c r="H117" i="1"/>
  <c r="G118" i="1" s="1"/>
  <c r="H170" i="1"/>
  <c r="G171" i="1" s="1"/>
  <c r="H171" i="1"/>
  <c r="G172" i="1" s="1"/>
  <c r="H173" i="1"/>
  <c r="G175" i="1"/>
  <c r="H178" i="1"/>
  <c r="H197" i="1"/>
  <c r="G198" i="1" s="1"/>
  <c r="H212" i="1"/>
  <c r="G213" i="1" s="1"/>
  <c r="H213" i="1"/>
  <c r="G250" i="1"/>
  <c r="H250" i="1"/>
  <c r="G251" i="1" s="1"/>
  <c r="H251" i="1"/>
  <c r="G252" i="1" s="1"/>
  <c r="H252" i="1"/>
  <c r="G253" i="1" s="1"/>
  <c r="H255" i="1"/>
  <c r="G256" i="1"/>
  <c r="H256" i="1"/>
  <c r="G257" i="1" s="1"/>
  <c r="H257" i="1"/>
  <c r="G258" i="1" s="1"/>
  <c r="H278" i="1"/>
  <c r="H281" i="1"/>
  <c r="G282" i="1" s="1"/>
  <c r="G290" i="1"/>
  <c r="H290" i="1"/>
  <c r="G291" i="1" s="1"/>
  <c r="H291" i="1"/>
  <c r="G292" i="1" s="1"/>
  <c r="H292" i="1"/>
  <c r="G293" i="1" s="1"/>
  <c r="H293" i="1"/>
  <c r="H330" i="1"/>
  <c r="G331" i="1" s="1"/>
  <c r="H331" i="1"/>
  <c r="G332" i="1" s="1"/>
  <c r="H332" i="1"/>
  <c r="G333" i="1" s="1"/>
  <c r="H333" i="1"/>
  <c r="H338" i="1"/>
  <c r="H353" i="1"/>
  <c r="H355" i="1"/>
  <c r="G356" i="1" s="1"/>
  <c r="H356" i="1"/>
  <c r="G357" i="1" s="1"/>
  <c r="G360" i="1"/>
  <c r="H362" i="1"/>
  <c r="G363" i="1" s="1"/>
  <c r="G370" i="1"/>
  <c r="H370" i="1"/>
  <c r="G371" i="1" s="1"/>
  <c r="H411" i="1"/>
  <c r="G412" i="1" s="1"/>
  <c r="H412" i="1"/>
  <c r="G413" i="1" s="1"/>
  <c r="G415" i="1"/>
  <c r="H415" i="1"/>
  <c r="G416" i="1" s="1"/>
  <c r="H416" i="1"/>
  <c r="G417" i="1" s="1"/>
  <c r="H417" i="1"/>
  <c r="G418" i="1" s="1"/>
  <c r="H435" i="1"/>
  <c r="G436" i="1" s="1"/>
  <c r="H436" i="1"/>
  <c r="G437" i="1" s="1"/>
  <c r="H437" i="1"/>
  <c r="G438" i="1" s="1"/>
  <c r="H438" i="1"/>
  <c r="H443" i="1"/>
  <c r="H446" i="1"/>
  <c r="G447" i="1" s="1"/>
  <c r="G450" i="1"/>
  <c r="H450" i="1"/>
  <c r="G451" i="1"/>
  <c r="H451" i="1"/>
  <c r="G452" i="1" s="1"/>
  <c r="H452" i="1"/>
  <c r="G453" i="1" s="1"/>
  <c r="H453" i="1"/>
  <c r="H478" i="1"/>
  <c r="H486" i="1"/>
  <c r="G487" i="1" s="1"/>
  <c r="G490" i="1"/>
  <c r="H490" i="1"/>
  <c r="G491" i="1" s="1"/>
  <c r="H491" i="1"/>
  <c r="G492" i="1" s="1"/>
  <c r="H493" i="1"/>
  <c r="H495" i="1"/>
  <c r="G496" i="1" s="1"/>
  <c r="H497" i="1"/>
  <c r="G498" i="1" s="1"/>
  <c r="H498" i="1"/>
  <c r="H513" i="1"/>
  <c r="G515" i="1"/>
  <c r="H516" i="1"/>
  <c r="G517" i="1" s="1"/>
  <c r="H523" i="1"/>
  <c r="H532" i="1"/>
  <c r="G533" i="1" s="1"/>
  <c r="H541" i="1"/>
  <c r="G542" i="1" s="1"/>
  <c r="H543" i="1"/>
  <c r="G570" i="1"/>
  <c r="H570" i="1"/>
  <c r="G571" i="1" s="1"/>
  <c r="H571" i="1"/>
  <c r="G572" i="1" s="1"/>
  <c r="H572" i="1"/>
  <c r="G573" i="1" s="1"/>
  <c r="H575" i="1"/>
  <c r="G576" i="1" s="1"/>
  <c r="H576" i="1"/>
  <c r="G577" i="1" s="1"/>
  <c r="H577" i="1"/>
  <c r="G578" i="1" s="1"/>
  <c r="H583" i="1"/>
  <c r="G590" i="1"/>
  <c r="H590" i="1"/>
  <c r="G591" i="1" s="1"/>
  <c r="H595" i="1"/>
  <c r="G596" i="1" s="1"/>
  <c r="H597" i="1"/>
  <c r="G598" i="1" s="1"/>
  <c r="H598" i="1"/>
  <c r="G600" i="1"/>
  <c r="H601" i="1"/>
  <c r="G602" i="1" s="1"/>
  <c r="H603" i="1"/>
  <c r="H612" i="1"/>
  <c r="G613" i="1" s="1"/>
  <c r="H613" i="1"/>
  <c r="G620" i="1"/>
  <c r="H640" i="1"/>
  <c r="G641" i="1" s="1"/>
  <c r="H645" i="1"/>
  <c r="G646" i="1" s="1"/>
  <c r="H647" i="1"/>
  <c r="G648" i="1" s="1"/>
  <c r="G650" i="1"/>
  <c r="H651" i="1"/>
  <c r="G652" i="1" s="1"/>
  <c r="H652" i="1"/>
  <c r="G653" i="1" s="1"/>
  <c r="H653" i="1"/>
  <c r="G655" i="1"/>
  <c r="H655" i="1"/>
  <c r="G656" i="1" s="1"/>
  <c r="H656" i="1"/>
  <c r="G657" i="1" s="1"/>
  <c r="H657" i="1"/>
  <c r="G658" i="1" s="1"/>
  <c r="H658" i="1"/>
  <c r="H668" i="1"/>
  <c r="H675" i="1"/>
  <c r="G676" i="1" s="1"/>
  <c r="H676" i="1"/>
  <c r="G677" i="1" s="1"/>
  <c r="H677" i="1"/>
  <c r="G678" i="1" s="1"/>
  <c r="H678" i="1"/>
  <c r="G680" i="1"/>
  <c r="H681" i="1"/>
  <c r="G682" i="1" s="1"/>
  <c r="H682" i="1"/>
  <c r="G683" i="1" s="1"/>
  <c r="H683" i="1"/>
  <c r="H685" i="1"/>
  <c r="G686" i="1" s="1"/>
  <c r="H687" i="1"/>
  <c r="G688" i="1" s="1"/>
  <c r="G690" i="1"/>
  <c r="H690" i="1"/>
  <c r="G691" i="1" s="1"/>
  <c r="H691" i="1"/>
  <c r="G692" i="1" s="1"/>
  <c r="H692" i="1"/>
  <c r="G693" i="1" s="1"/>
  <c r="G730" i="1"/>
  <c r="H730" i="1"/>
  <c r="G731" i="1" s="1"/>
  <c r="H732" i="1"/>
  <c r="G733" i="1"/>
  <c r="H733" i="1"/>
  <c r="G735" i="1"/>
  <c r="H735" i="1"/>
  <c r="G736" i="1" s="1"/>
  <c r="H738" i="1"/>
  <c r="H742" i="1"/>
  <c r="G743" i="1" s="1"/>
  <c r="H743" i="1"/>
  <c r="G755" i="1"/>
  <c r="H755" i="1"/>
  <c r="G756" i="1" s="1"/>
  <c r="H756" i="1"/>
  <c r="G757" i="1" s="1"/>
  <c r="H758" i="1"/>
  <c r="G760" i="1"/>
  <c r="H761" i="1"/>
  <c r="G762" i="1" s="1"/>
  <c r="H762" i="1"/>
  <c r="G763" i="1" s="1"/>
  <c r="H763" i="1"/>
  <c r="H770" i="1"/>
  <c r="G771" i="1" s="1"/>
  <c r="H773" i="1"/>
  <c r="G775" i="1"/>
  <c r="H777" i="1"/>
  <c r="G778" i="1" s="1"/>
  <c r="E5" i="1"/>
  <c r="G170" i="1" l="1"/>
  <c r="H133" i="1"/>
  <c r="H725" i="1"/>
  <c r="G726" i="1" s="1"/>
  <c r="G430" i="1"/>
  <c r="H727" i="1"/>
  <c r="G728" i="1" s="1"/>
  <c r="H413" i="1"/>
  <c r="H198" i="1"/>
  <c r="H410" i="1"/>
  <c r="G411" i="1" s="1"/>
  <c r="H512" i="1"/>
  <c r="G513" i="1" s="1"/>
  <c r="G36" i="1"/>
  <c r="G13" i="1"/>
  <c r="G560" i="1"/>
  <c r="H721" i="1"/>
  <c r="G722" i="1" s="1"/>
  <c r="H538" i="1"/>
  <c r="H720" i="1"/>
  <c r="G721" i="1" s="1"/>
  <c r="H611" i="1"/>
  <c r="G612" i="1" s="1"/>
  <c r="H537" i="1"/>
  <c r="G538" i="1" s="1"/>
  <c r="H273" i="1"/>
  <c r="H211" i="1"/>
  <c r="G212" i="1" s="1"/>
  <c r="H157" i="1"/>
  <c r="G158" i="1" s="1"/>
  <c r="H50" i="1"/>
  <c r="G51" i="1" s="1"/>
  <c r="H772" i="1"/>
  <c r="G773" i="1" s="1"/>
  <c r="H737" i="1"/>
  <c r="G738" i="1" s="1"/>
  <c r="G720" i="1"/>
  <c r="H610" i="1"/>
  <c r="G611" i="1" s="1"/>
  <c r="G575" i="1"/>
  <c r="H533" i="1"/>
  <c r="H337" i="1"/>
  <c r="G338" i="1" s="1"/>
  <c r="H272" i="1"/>
  <c r="G273" i="1" s="1"/>
  <c r="H210" i="1"/>
  <c r="G211" i="1" s="1"/>
  <c r="H156" i="1"/>
  <c r="G157" i="1" s="1"/>
  <c r="H771" i="1"/>
  <c r="G772" i="1" s="1"/>
  <c r="H715" i="1"/>
  <c r="G716" i="1" s="1"/>
  <c r="H336" i="1"/>
  <c r="G337" i="1" s="1"/>
  <c r="H271" i="1"/>
  <c r="G272" i="1" s="1"/>
  <c r="H561" i="1"/>
  <c r="G562" i="1" s="1"/>
  <c r="H402" i="1"/>
  <c r="G403" i="1" s="1"/>
  <c r="H636" i="1"/>
  <c r="G637" i="1" s="1"/>
  <c r="H131" i="1"/>
  <c r="G132" i="1" s="1"/>
  <c r="H637" i="1"/>
  <c r="G638" i="1" s="1"/>
  <c r="G715" i="1"/>
  <c r="G710" i="1"/>
  <c r="G375" i="1"/>
  <c r="G640" i="1"/>
  <c r="H531" i="1"/>
  <c r="G532" i="1" s="1"/>
  <c r="H78" i="1"/>
  <c r="H723" i="1"/>
  <c r="H232" i="1"/>
  <c r="G233" i="1" s="1"/>
  <c r="H132" i="1"/>
  <c r="G133" i="1" s="1"/>
  <c r="H703" i="1"/>
  <c r="H530" i="1"/>
  <c r="G531" i="1" s="1"/>
  <c r="H702" i="1"/>
  <c r="G703" i="1" s="1"/>
  <c r="H643" i="1"/>
  <c r="H373" i="1"/>
  <c r="H191" i="1"/>
  <c r="G192" i="1" s="1"/>
  <c r="H130" i="1"/>
  <c r="G131" i="1" s="1"/>
  <c r="H75" i="1"/>
  <c r="G76" i="1" s="1"/>
  <c r="H698" i="1"/>
  <c r="H642" i="1"/>
  <c r="G643" i="1" s="1"/>
  <c r="H483" i="1"/>
  <c r="H431" i="1"/>
  <c r="G432" i="1" s="1"/>
  <c r="H372" i="1"/>
  <c r="G373" i="1" s="1"/>
  <c r="G255" i="1"/>
  <c r="H190" i="1"/>
  <c r="G191" i="1" s="1"/>
  <c r="G75" i="1"/>
  <c r="G670" i="1"/>
  <c r="H430" i="1"/>
  <c r="G431" i="1" s="1"/>
  <c r="H318" i="1"/>
  <c r="G190" i="1"/>
  <c r="H73" i="1"/>
  <c r="H776" i="1"/>
  <c r="G777" i="1" s="1"/>
  <c r="H630" i="1"/>
  <c r="G631" i="1" s="1"/>
  <c r="H535" i="1"/>
  <c r="G536" i="1" s="1"/>
  <c r="H476" i="1"/>
  <c r="G477" i="1" s="1"/>
  <c r="H237" i="1"/>
  <c r="G238" i="1" s="1"/>
  <c r="G155" i="1"/>
  <c r="H775" i="1"/>
  <c r="G776" i="1" s="1"/>
  <c r="G630" i="1"/>
  <c r="H596" i="1"/>
  <c r="G597" i="1" s="1"/>
  <c r="G535" i="1"/>
  <c r="H501" i="1"/>
  <c r="G502" i="1" s="1"/>
  <c r="H475" i="1"/>
  <c r="G476" i="1" s="1"/>
  <c r="G275" i="1"/>
  <c r="H236" i="1"/>
  <c r="G237" i="1" s="1"/>
  <c r="H196" i="1"/>
  <c r="G197" i="1" s="1"/>
  <c r="G150" i="1"/>
  <c r="H238" i="1"/>
  <c r="H155" i="1"/>
  <c r="G156" i="1" s="1"/>
  <c r="H231" i="1"/>
  <c r="G232" i="1" s="1"/>
  <c r="H137" i="1"/>
  <c r="G138" i="1" s="1"/>
  <c r="H695" i="1"/>
  <c r="G696" i="1" s="1"/>
  <c r="H398" i="1"/>
  <c r="H313" i="1"/>
  <c r="H217" i="1"/>
  <c r="G218" i="1" s="1"/>
  <c r="H697" i="1"/>
  <c r="G698" i="1" s="1"/>
  <c r="H618" i="1"/>
  <c r="H617" i="1"/>
  <c r="G618" i="1" s="1"/>
  <c r="H477" i="1"/>
  <c r="G478" i="1" s="1"/>
  <c r="H230" i="1"/>
  <c r="G231" i="1" s="1"/>
  <c r="G615" i="1"/>
  <c r="H558" i="1"/>
  <c r="H397" i="1"/>
  <c r="G398" i="1" s="1"/>
  <c r="H741" i="1"/>
  <c r="G742" i="1" s="1"/>
  <c r="H557" i="1"/>
  <c r="G558" i="1" s="1"/>
  <c r="H457" i="1"/>
  <c r="G458" i="1" s="1"/>
  <c r="H395" i="1"/>
  <c r="G396" i="1" s="1"/>
  <c r="G355" i="1"/>
  <c r="H297" i="1"/>
  <c r="G298" i="1" s="1"/>
  <c r="H215" i="1"/>
  <c r="G216" i="1" s="1"/>
  <c r="H471" i="1"/>
  <c r="G472" i="1" s="1"/>
  <c r="H616" i="1"/>
  <c r="G617" i="1" s="1"/>
  <c r="H458" i="1"/>
  <c r="G695" i="1"/>
  <c r="H298" i="1"/>
  <c r="H216" i="1"/>
  <c r="G217" i="1" s="1"/>
  <c r="H556" i="1"/>
  <c r="G557" i="1" s="1"/>
  <c r="H456" i="1"/>
  <c r="G457" i="1" s="1"/>
  <c r="H392" i="1"/>
  <c r="G393" i="1" s="1"/>
  <c r="H296" i="1"/>
  <c r="G297" i="1" s="1"/>
  <c r="G215" i="1"/>
  <c r="H472" i="1"/>
  <c r="G473" i="1" s="1"/>
  <c r="H315" i="1"/>
  <c r="G316" i="1" s="1"/>
  <c r="G315" i="1"/>
  <c r="H768" i="1"/>
  <c r="H555" i="1"/>
  <c r="G556" i="1" s="1"/>
  <c r="H455" i="1"/>
  <c r="G456" i="1" s="1"/>
  <c r="H391" i="1"/>
  <c r="G392" i="1" s="1"/>
  <c r="H295" i="1"/>
  <c r="G296" i="1" s="1"/>
  <c r="H767" i="1"/>
  <c r="G768" i="1" s="1"/>
  <c r="H718" i="1"/>
  <c r="H663" i="1"/>
  <c r="H518" i="1"/>
  <c r="H378" i="1"/>
  <c r="G18" i="1"/>
  <c r="H635" i="1"/>
  <c r="G636" i="1" s="1"/>
  <c r="H138" i="1"/>
  <c r="H717" i="1"/>
  <c r="G718" i="1" s="1"/>
  <c r="H377" i="1"/>
  <c r="G378" i="1" s="1"/>
  <c r="H638" i="1"/>
  <c r="H515" i="1"/>
  <c r="G516" i="1" s="1"/>
  <c r="H376" i="1"/>
  <c r="G377" i="1" s="1"/>
  <c r="H116" i="1"/>
  <c r="G117" i="1" s="1"/>
  <c r="G700" i="1"/>
  <c r="H593" i="1"/>
  <c r="H433" i="1"/>
  <c r="G420" i="1"/>
  <c r="H358" i="1"/>
  <c r="H351" i="1"/>
  <c r="G352" i="1" s="1"/>
  <c r="G335" i="1"/>
  <c r="H317" i="1"/>
  <c r="G318" i="1" s="1"/>
  <c r="H310" i="1"/>
  <c r="G311" i="1" s="1"/>
  <c r="H276" i="1"/>
  <c r="G277" i="1" s="1"/>
  <c r="H235" i="1"/>
  <c r="G236" i="1" s="1"/>
  <c r="G195" i="1"/>
  <c r="H176" i="1"/>
  <c r="G177" i="1" s="1"/>
  <c r="H152" i="1"/>
  <c r="G153" i="1" s="1"/>
  <c r="H135" i="1"/>
  <c r="G136" i="1" s="1"/>
  <c r="H111" i="1"/>
  <c r="G112" i="1" s="1"/>
  <c r="H77" i="1"/>
  <c r="G78" i="1" s="1"/>
  <c r="H71" i="1"/>
  <c r="G72" i="1" s="1"/>
  <c r="G55" i="1"/>
  <c r="G31" i="1"/>
  <c r="H628" i="1"/>
  <c r="H753" i="1"/>
  <c r="H712" i="1"/>
  <c r="G713" i="1" s="1"/>
  <c r="H633" i="1"/>
  <c r="H622" i="1"/>
  <c r="G623" i="1" s="1"/>
  <c r="G580" i="1"/>
  <c r="H551" i="1"/>
  <c r="G552" i="1" s="1"/>
  <c r="G510" i="1"/>
  <c r="H750" i="1"/>
  <c r="G751" i="1" s="1"/>
  <c r="H711" i="1"/>
  <c r="G712" i="1" s="1"/>
  <c r="H671" i="1"/>
  <c r="G672" i="1" s="1"/>
  <c r="G660" i="1"/>
  <c r="H632" i="1"/>
  <c r="G633" i="1" s="1"/>
  <c r="H621" i="1"/>
  <c r="G622" i="1" s="1"/>
  <c r="H592" i="1"/>
  <c r="G593" i="1" s="1"/>
  <c r="H550" i="1"/>
  <c r="G551" i="1" s="1"/>
  <c r="G495" i="1"/>
  <c r="H463" i="1"/>
  <c r="G395" i="1"/>
  <c r="H382" i="1"/>
  <c r="G383" i="1" s="1"/>
  <c r="H350" i="1"/>
  <c r="G351" i="1" s="1"/>
  <c r="G310" i="1"/>
  <c r="H275" i="1"/>
  <c r="G276" i="1" s="1"/>
  <c r="H193" i="1"/>
  <c r="H175" i="1"/>
  <c r="G176" i="1" s="1"/>
  <c r="H151" i="1"/>
  <c r="G152" i="1" s="1"/>
  <c r="G135" i="1"/>
  <c r="H110" i="1"/>
  <c r="G111" i="1" s="1"/>
  <c r="H70" i="1"/>
  <c r="G71" i="1" s="1"/>
  <c r="G38" i="1"/>
  <c r="H751" i="1"/>
  <c r="G752" i="1" s="1"/>
  <c r="H672" i="1"/>
  <c r="G673" i="1" s="1"/>
  <c r="H660" i="1"/>
  <c r="G661" i="1" s="1"/>
  <c r="G750" i="1"/>
  <c r="H710" i="1"/>
  <c r="G711" i="1" s="1"/>
  <c r="H670" i="1"/>
  <c r="G671" i="1" s="1"/>
  <c r="H620" i="1"/>
  <c r="G621" i="1" s="1"/>
  <c r="G550" i="1"/>
  <c r="H473" i="1"/>
  <c r="H393" i="1"/>
  <c r="G350" i="1"/>
  <c r="H233" i="1"/>
  <c r="H150" i="1"/>
  <c r="G151" i="1" s="1"/>
  <c r="G110" i="1"/>
  <c r="G70" i="1"/>
  <c r="H740" i="1"/>
  <c r="G741" i="1" s="1"/>
  <c r="H701" i="1"/>
  <c r="G702" i="1" s="1"/>
  <c r="H662" i="1"/>
  <c r="G663" i="1" s="1"/>
  <c r="H626" i="1"/>
  <c r="G627" i="1" s="1"/>
  <c r="H553" i="1"/>
  <c r="H511" i="1"/>
  <c r="G512" i="1" s="1"/>
  <c r="H470" i="1"/>
  <c r="G471" i="1" s="1"/>
  <c r="H390" i="1"/>
  <c r="G391" i="1" s="1"/>
  <c r="H312" i="1"/>
  <c r="G313" i="1" s="1"/>
  <c r="H270" i="1"/>
  <c r="G271" i="1" s="1"/>
  <c r="H113" i="1"/>
  <c r="H746" i="1"/>
  <c r="G747" i="1" s="1"/>
  <c r="H666" i="1"/>
  <c r="G667" i="1" s="1"/>
  <c r="G6" i="1"/>
  <c r="H745" i="1"/>
  <c r="G746" i="1" s="1"/>
  <c r="G8" i="1"/>
  <c r="H708" i="1"/>
  <c r="H706" i="1"/>
  <c r="G707" i="1" s="1"/>
  <c r="H605" i="1"/>
  <c r="G606" i="1" s="1"/>
  <c r="H607" i="1"/>
  <c r="G608" i="1" s="1"/>
  <c r="H606" i="1"/>
  <c r="G607" i="1" s="1"/>
  <c r="G605" i="1"/>
  <c r="H585" i="1"/>
  <c r="G586" i="1" s="1"/>
  <c r="H587" i="1"/>
  <c r="G588" i="1" s="1"/>
  <c r="H586" i="1"/>
  <c r="G587" i="1" s="1"/>
  <c r="G585" i="1"/>
  <c r="H565" i="1"/>
  <c r="G566" i="1" s="1"/>
  <c r="H567" i="1"/>
  <c r="G568" i="1" s="1"/>
  <c r="H566" i="1"/>
  <c r="G567" i="1" s="1"/>
  <c r="G565" i="1"/>
  <c r="H545" i="1"/>
  <c r="G546" i="1" s="1"/>
  <c r="H547" i="1"/>
  <c r="G548" i="1" s="1"/>
  <c r="H546" i="1"/>
  <c r="G547" i="1" s="1"/>
  <c r="G545" i="1"/>
  <c r="H525" i="1"/>
  <c r="G526" i="1" s="1"/>
  <c r="H527" i="1"/>
  <c r="G528" i="1" s="1"/>
  <c r="H526" i="1"/>
  <c r="G527" i="1" s="1"/>
  <c r="G525" i="1"/>
  <c r="H505" i="1"/>
  <c r="G506" i="1" s="1"/>
  <c r="H507" i="1"/>
  <c r="G508" i="1" s="1"/>
  <c r="H506" i="1"/>
  <c r="G507" i="1" s="1"/>
  <c r="G505" i="1"/>
  <c r="G485" i="1"/>
  <c r="H485" i="1"/>
  <c r="G486" i="1" s="1"/>
  <c r="H487" i="1"/>
  <c r="G488" i="1" s="1"/>
  <c r="G465" i="1"/>
  <c r="H465" i="1"/>
  <c r="G466" i="1" s="1"/>
  <c r="H467" i="1"/>
  <c r="G468" i="1" s="1"/>
  <c r="G445" i="1"/>
  <c r="H445" i="1"/>
  <c r="G446" i="1" s="1"/>
  <c r="H447" i="1"/>
  <c r="G448" i="1" s="1"/>
  <c r="H428" i="1"/>
  <c r="H426" i="1"/>
  <c r="G427" i="1" s="1"/>
  <c r="H427" i="1"/>
  <c r="G428" i="1" s="1"/>
  <c r="G425" i="1"/>
  <c r="H408" i="1"/>
  <c r="H406" i="1"/>
  <c r="G407" i="1" s="1"/>
  <c r="H407" i="1"/>
  <c r="G408" i="1" s="1"/>
  <c r="G405" i="1"/>
  <c r="H388" i="1"/>
  <c r="H386" i="1"/>
  <c r="G387" i="1" s="1"/>
  <c r="H387" i="1"/>
  <c r="G388" i="1" s="1"/>
  <c r="G385" i="1"/>
  <c r="H368" i="1"/>
  <c r="H366" i="1"/>
  <c r="G367" i="1" s="1"/>
  <c r="H367" i="1"/>
  <c r="G368" i="1" s="1"/>
  <c r="G365" i="1"/>
  <c r="H345" i="1"/>
  <c r="G346" i="1" s="1"/>
  <c r="H348" i="1"/>
  <c r="H347" i="1"/>
  <c r="G348" i="1" s="1"/>
  <c r="G345" i="1"/>
  <c r="H346" i="1"/>
  <c r="G347" i="1" s="1"/>
  <c r="H325" i="1"/>
  <c r="G326" i="1" s="1"/>
  <c r="H328" i="1"/>
  <c r="H326" i="1"/>
  <c r="G327" i="1" s="1"/>
  <c r="H327" i="1"/>
  <c r="G328" i="1" s="1"/>
  <c r="G325" i="1"/>
  <c r="H305" i="1"/>
  <c r="G306" i="1" s="1"/>
  <c r="H308" i="1"/>
  <c r="G305" i="1"/>
  <c r="H306" i="1"/>
  <c r="G307" i="1" s="1"/>
  <c r="H307" i="1"/>
  <c r="G308" i="1" s="1"/>
  <c r="H285" i="1"/>
  <c r="G286" i="1" s="1"/>
  <c r="H288" i="1"/>
  <c r="G285" i="1"/>
  <c r="H287" i="1"/>
  <c r="G288" i="1" s="1"/>
  <c r="H265" i="1"/>
  <c r="G266" i="1" s="1"/>
  <c r="H268" i="1"/>
  <c r="H267" i="1"/>
  <c r="G268" i="1" s="1"/>
  <c r="G265" i="1"/>
  <c r="H266" i="1"/>
  <c r="G267" i="1" s="1"/>
  <c r="H245" i="1"/>
  <c r="G246" i="1" s="1"/>
  <c r="H248" i="1"/>
  <c r="H246" i="1"/>
  <c r="G247" i="1" s="1"/>
  <c r="H247" i="1"/>
  <c r="G248" i="1" s="1"/>
  <c r="G245" i="1"/>
  <c r="H225" i="1"/>
  <c r="G226" i="1" s="1"/>
  <c r="H228" i="1"/>
  <c r="G225" i="1"/>
  <c r="H226" i="1"/>
  <c r="G227" i="1" s="1"/>
  <c r="H227" i="1"/>
  <c r="G228" i="1" s="1"/>
  <c r="H205" i="1"/>
  <c r="G206" i="1" s="1"/>
  <c r="H208" i="1"/>
  <c r="G205" i="1"/>
  <c r="H207" i="1"/>
  <c r="G208" i="1" s="1"/>
  <c r="H185" i="1"/>
  <c r="G186" i="1" s="1"/>
  <c r="H188" i="1"/>
  <c r="H187" i="1"/>
  <c r="G188" i="1" s="1"/>
  <c r="G185" i="1"/>
  <c r="H186" i="1"/>
  <c r="G187" i="1" s="1"/>
  <c r="H165" i="1"/>
  <c r="G166" i="1" s="1"/>
  <c r="H168" i="1"/>
  <c r="H166" i="1"/>
  <c r="G167" i="1" s="1"/>
  <c r="H167" i="1"/>
  <c r="G168" i="1" s="1"/>
  <c r="G165" i="1"/>
  <c r="H145" i="1"/>
  <c r="G146" i="1" s="1"/>
  <c r="H148" i="1"/>
  <c r="G145" i="1"/>
  <c r="H146" i="1"/>
  <c r="G147" i="1" s="1"/>
  <c r="H147" i="1"/>
  <c r="G148" i="1" s="1"/>
  <c r="H125" i="1"/>
  <c r="G126" i="1" s="1"/>
  <c r="H128" i="1"/>
  <c r="G125" i="1"/>
  <c r="H127" i="1"/>
  <c r="G128" i="1" s="1"/>
  <c r="H105" i="1"/>
  <c r="G106" i="1" s="1"/>
  <c r="H108" i="1"/>
  <c r="H107" i="1"/>
  <c r="G108" i="1" s="1"/>
  <c r="G105" i="1"/>
  <c r="H106" i="1"/>
  <c r="G107" i="1" s="1"/>
  <c r="H85" i="1"/>
  <c r="G86" i="1" s="1"/>
  <c r="H88" i="1"/>
  <c r="H86" i="1"/>
  <c r="G87" i="1" s="1"/>
  <c r="H87" i="1"/>
  <c r="G88" i="1" s="1"/>
  <c r="G85" i="1"/>
  <c r="H65" i="1"/>
  <c r="G66" i="1" s="1"/>
  <c r="H68" i="1"/>
  <c r="G65" i="1"/>
  <c r="H66" i="1"/>
  <c r="G67" i="1" s="1"/>
  <c r="H67" i="1"/>
  <c r="G68" i="1" s="1"/>
  <c r="H45" i="1"/>
  <c r="G46" i="1" s="1"/>
  <c r="H48" i="1"/>
  <c r="G45" i="1"/>
  <c r="H47" i="1"/>
  <c r="G48" i="1" s="1"/>
  <c r="G26" i="1"/>
  <c r="G28" i="1"/>
  <c r="H766" i="1"/>
  <c r="G767" i="1" s="1"/>
  <c r="H748" i="1"/>
  <c r="H726" i="1"/>
  <c r="G727" i="1" s="1"/>
  <c r="H705" i="1"/>
  <c r="G706" i="1" s="1"/>
  <c r="H688" i="1"/>
  <c r="H667" i="1"/>
  <c r="G668" i="1" s="1"/>
  <c r="H646" i="1"/>
  <c r="G647" i="1" s="1"/>
  <c r="H625" i="1"/>
  <c r="G626" i="1" s="1"/>
  <c r="H608" i="1"/>
  <c r="H568" i="1"/>
  <c r="H528" i="1"/>
  <c r="H468" i="1"/>
  <c r="H365" i="1"/>
  <c r="G366" i="1" s="1"/>
  <c r="H765" i="1"/>
  <c r="G766" i="1" s="1"/>
  <c r="H747" i="1"/>
  <c r="G748" i="1" s="1"/>
  <c r="H728" i="1"/>
  <c r="H707" i="1"/>
  <c r="G708" i="1" s="1"/>
  <c r="H686" i="1"/>
  <c r="G687" i="1" s="1"/>
  <c r="H665" i="1"/>
  <c r="G666" i="1" s="1"/>
  <c r="H648" i="1"/>
  <c r="H627" i="1"/>
  <c r="G628" i="1" s="1"/>
  <c r="H588" i="1"/>
  <c r="H548" i="1"/>
  <c r="H488" i="1"/>
  <c r="H448" i="1"/>
  <c r="H405" i="1"/>
  <c r="G406" i="1" s="1"/>
  <c r="H286" i="1"/>
  <c r="G287" i="1" s="1"/>
  <c r="H206" i="1"/>
  <c r="G207" i="1" s="1"/>
  <c r="H126" i="1"/>
  <c r="G127" i="1" s="1"/>
  <c r="H46" i="1"/>
  <c r="G47" i="1" s="1"/>
  <c r="H600" i="1"/>
  <c r="G601" i="1" s="1"/>
  <c r="H602" i="1"/>
  <c r="G603" i="1" s="1"/>
  <c r="H580" i="1"/>
  <c r="G581" i="1" s="1"/>
  <c r="H582" i="1"/>
  <c r="G583" i="1" s="1"/>
  <c r="H560" i="1"/>
  <c r="G561" i="1" s="1"/>
  <c r="H562" i="1"/>
  <c r="G563" i="1" s="1"/>
  <c r="H540" i="1"/>
  <c r="G541" i="1" s="1"/>
  <c r="H542" i="1"/>
  <c r="G543" i="1" s="1"/>
  <c r="H520" i="1"/>
  <c r="G521" i="1" s="1"/>
  <c r="H522" i="1"/>
  <c r="G523" i="1" s="1"/>
  <c r="H500" i="1"/>
  <c r="G501" i="1" s="1"/>
  <c r="H502" i="1"/>
  <c r="G503" i="1" s="1"/>
  <c r="G480" i="1"/>
  <c r="H480" i="1"/>
  <c r="G481" i="1" s="1"/>
  <c r="H482" i="1"/>
  <c r="G483" i="1" s="1"/>
  <c r="G460" i="1"/>
  <c r="H460" i="1"/>
  <c r="G461" i="1" s="1"/>
  <c r="H462" i="1"/>
  <c r="G463" i="1" s="1"/>
  <c r="G440" i="1"/>
  <c r="H440" i="1"/>
  <c r="G441" i="1" s="1"/>
  <c r="H442" i="1"/>
  <c r="G443" i="1" s="1"/>
  <c r="H420" i="1"/>
  <c r="G421" i="1" s="1"/>
  <c r="H423" i="1"/>
  <c r="H400" i="1"/>
  <c r="G401" i="1" s="1"/>
  <c r="H403" i="1"/>
  <c r="H380" i="1"/>
  <c r="G381" i="1" s="1"/>
  <c r="H383" i="1"/>
  <c r="H360" i="1"/>
  <c r="G361" i="1" s="1"/>
  <c r="H363" i="1"/>
  <c r="G340" i="1"/>
  <c r="H342" i="1"/>
  <c r="G343" i="1" s="1"/>
  <c r="H340" i="1"/>
  <c r="G341" i="1" s="1"/>
  <c r="H341" i="1"/>
  <c r="G342" i="1" s="1"/>
  <c r="H343" i="1"/>
  <c r="G320" i="1"/>
  <c r="H322" i="1"/>
  <c r="G323" i="1" s="1"/>
  <c r="H320" i="1"/>
  <c r="G321" i="1" s="1"/>
  <c r="H321" i="1"/>
  <c r="G322" i="1" s="1"/>
  <c r="G300" i="1"/>
  <c r="H302" i="1"/>
  <c r="G303" i="1" s="1"/>
  <c r="H300" i="1"/>
  <c r="G301" i="1" s="1"/>
  <c r="G280" i="1"/>
  <c r="H282" i="1"/>
  <c r="G283" i="1" s="1"/>
  <c r="H280" i="1"/>
  <c r="G281" i="1" s="1"/>
  <c r="H283" i="1"/>
  <c r="G260" i="1"/>
  <c r="H262" i="1"/>
  <c r="G263" i="1" s="1"/>
  <c r="H260" i="1"/>
  <c r="G261" i="1" s="1"/>
  <c r="H261" i="1"/>
  <c r="G262" i="1" s="1"/>
  <c r="H263" i="1"/>
  <c r="G240" i="1"/>
  <c r="H242" i="1"/>
  <c r="G243" i="1" s="1"/>
  <c r="H240" i="1"/>
  <c r="G241" i="1" s="1"/>
  <c r="H241" i="1"/>
  <c r="G242" i="1" s="1"/>
  <c r="G220" i="1"/>
  <c r="H222" i="1"/>
  <c r="G223" i="1" s="1"/>
  <c r="H220" i="1"/>
  <c r="G221" i="1" s="1"/>
  <c r="G200" i="1"/>
  <c r="H202" i="1"/>
  <c r="G203" i="1" s="1"/>
  <c r="H200" i="1"/>
  <c r="G201" i="1" s="1"/>
  <c r="H203" i="1"/>
  <c r="G180" i="1"/>
  <c r="H182" i="1"/>
  <c r="G183" i="1" s="1"/>
  <c r="H180" i="1"/>
  <c r="G181" i="1" s="1"/>
  <c r="H181" i="1"/>
  <c r="G182" i="1" s="1"/>
  <c r="H183" i="1"/>
  <c r="G160" i="1"/>
  <c r="H162" i="1"/>
  <c r="G163" i="1" s="1"/>
  <c r="H160" i="1"/>
  <c r="G161" i="1" s="1"/>
  <c r="H161" i="1"/>
  <c r="G162" i="1" s="1"/>
  <c r="G140" i="1"/>
  <c r="H142" i="1"/>
  <c r="G143" i="1" s="1"/>
  <c r="H140" i="1"/>
  <c r="G141" i="1" s="1"/>
  <c r="G120" i="1"/>
  <c r="H122" i="1"/>
  <c r="G123" i="1" s="1"/>
  <c r="H120" i="1"/>
  <c r="G121" i="1" s="1"/>
  <c r="H123" i="1"/>
  <c r="G100" i="1"/>
  <c r="H102" i="1"/>
  <c r="G103" i="1" s="1"/>
  <c r="H100" i="1"/>
  <c r="G101" i="1" s="1"/>
  <c r="H101" i="1"/>
  <c r="G102" i="1" s="1"/>
  <c r="H103" i="1"/>
  <c r="G80" i="1"/>
  <c r="H82" i="1"/>
  <c r="G83" i="1" s="1"/>
  <c r="H80" i="1"/>
  <c r="G81" i="1" s="1"/>
  <c r="H81" i="1"/>
  <c r="G82" i="1" s="1"/>
  <c r="G60" i="1"/>
  <c r="H62" i="1"/>
  <c r="G63" i="1" s="1"/>
  <c r="H60" i="1"/>
  <c r="G61" i="1" s="1"/>
  <c r="G43" i="1"/>
  <c r="G41" i="1"/>
  <c r="G20" i="1"/>
  <c r="H22" i="1"/>
  <c r="G23" i="1" s="1"/>
  <c r="H20" i="1"/>
  <c r="G21" i="1" s="1"/>
  <c r="H21" i="1"/>
  <c r="G22" i="1" s="1"/>
  <c r="H23" i="1"/>
  <c r="G520" i="1"/>
  <c r="G500" i="1"/>
  <c r="H421" i="1"/>
  <c r="G422" i="1" s="1"/>
  <c r="H401" i="1"/>
  <c r="G402" i="1" s="1"/>
  <c r="H381" i="1"/>
  <c r="G382" i="1" s="1"/>
  <c r="H361" i="1"/>
  <c r="G362" i="1" s="1"/>
  <c r="H323" i="1"/>
  <c r="H301" i="1"/>
  <c r="G302" i="1" s="1"/>
  <c r="H243" i="1"/>
  <c r="H221" i="1"/>
  <c r="G222" i="1" s="1"/>
  <c r="H163" i="1"/>
  <c r="H141" i="1"/>
  <c r="G142" i="1" s="1"/>
  <c r="H83" i="1"/>
  <c r="H61" i="1"/>
  <c r="G62" i="1" s="1"/>
</calcChain>
</file>

<file path=xl/sharedStrings.xml><?xml version="1.0" encoding="utf-8"?>
<sst xmlns="http://schemas.openxmlformats.org/spreadsheetml/2006/main" count="1405" uniqueCount="175">
  <si>
    <t>Offeror Name</t>
  </si>
  <si>
    <t>CLIN</t>
  </si>
  <si>
    <t>NSN</t>
  </si>
  <si>
    <t>QFD or NSO</t>
  </si>
  <si>
    <t>ADQ</t>
  </si>
  <si>
    <t>QFD</t>
  </si>
  <si>
    <t>NSO</t>
  </si>
  <si>
    <t xml:space="preserve">Quantity Range From </t>
  </si>
  <si>
    <t>Quantity Range To</t>
  </si>
  <si>
    <t>0001</t>
  </si>
  <si>
    <t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</si>
  <si>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</si>
  <si>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</si>
  <si>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</si>
  <si>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</si>
  <si>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</si>
  <si>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</si>
  <si>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</si>
  <si>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</si>
  <si>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</si>
  <si>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</si>
  <si>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</si>
  <si>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</si>
  <si>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</si>
  <si>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</si>
  <si>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</si>
  <si>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</si>
  <si>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</si>
  <si>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</si>
  <si>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</si>
  <si>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</si>
  <si>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</si>
  <si>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</si>
  <si>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</si>
  <si>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</si>
  <si>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</si>
  <si>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</si>
  <si>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</si>
  <si>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</si>
  <si>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</si>
  <si>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</si>
  <si>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</si>
  <si>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</si>
  <si>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</si>
  <si>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</si>
  <si>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</si>
  <si>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</si>
  <si>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</si>
  <si>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</si>
  <si>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</si>
  <si>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</si>
  <si>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</si>
  <si>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</si>
  <si>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</si>
  <si>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</si>
  <si>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</si>
  <si>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</si>
  <si>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</si>
  <si>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</si>
  <si>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</si>
  <si>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</si>
  <si>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</si>
  <si>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</si>
  <si>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</si>
  <si>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</si>
  <si>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</si>
  <si>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</si>
  <si>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</si>
  <si>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</si>
  <si>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</si>
  <si>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</si>
  <si>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</si>
  <si>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</si>
  <si>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</si>
  <si>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</si>
  <si>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</si>
  <si>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</si>
  <si>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</si>
  <si>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</si>
  <si>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</si>
  <si>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</si>
  <si>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</si>
  <si>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</si>
  <si>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</si>
  <si>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</si>
  <si>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</si>
  <si>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</si>
  <si>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</si>
  <si>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</si>
  <si>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</si>
  <si>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</si>
  <si>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</si>
  <si>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</si>
  <si>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</si>
  <si>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</si>
  <si>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</si>
  <si>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</si>
  <si>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</si>
  <si>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</si>
  <si>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</si>
  <si>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</si>
  <si>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</si>
  <si>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</si>
  <si>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</si>
  <si>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</si>
  <si>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</si>
  <si>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</si>
  <si>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</si>
  <si>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</si>
  <si>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</si>
  <si>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</si>
  <si>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</si>
  <si>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</si>
  <si>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</si>
  <si>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</si>
  <si>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</si>
  <si>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</si>
  <si>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</si>
  <si>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</si>
  <si>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</si>
  <si>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</si>
  <si>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</si>
  <si>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</si>
  <si>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</si>
  <si>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</si>
  <si>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</si>
  <si>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</si>
  <si>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</si>
  <si>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</si>
  <si>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</si>
  <si>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</si>
  <si>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</si>
  <si>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</si>
  <si>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</si>
  <si>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</si>
  <si>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</si>
  <si>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</si>
  <si>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</si>
  <si>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</si>
  <si>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</si>
  <si>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</si>
  <si>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</si>
  <si>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</si>
  <si>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</si>
  <si>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</si>
  <si>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</si>
  <si>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</si>
  <si>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</si>
  <si>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</si>
  <si>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</si>
  <si>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</si>
  <si>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</si>
  <si>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</si>
  <si>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</si>
  <si>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</si>
  <si>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</si>
  <si>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</si>
  <si>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</si>
  <si>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</si>
  <si>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</si>
  <si>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</si>
  <si>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</si>
  <si>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</si>
  <si>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</si>
  <si>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</si>
  <si>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 xml:space="preserve">QFD    </t>
  </si>
  <si>
    <t>SPE7MX26R0034</t>
  </si>
  <si>
    <t>5965015978695</t>
  </si>
  <si>
    <t>5965015978718</t>
  </si>
  <si>
    <t>5965015978749</t>
  </si>
  <si>
    <t>5965200068177</t>
  </si>
  <si>
    <t>5965200068178</t>
  </si>
  <si>
    <t>5965200089840</t>
  </si>
  <si>
    <t>5935200095435</t>
  </si>
  <si>
    <t>5935200109491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</si>
</sst>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9" fillId="0" borderId="5" applyNumberFormat="0" applyAlignment="0" applyProtection="0">
      <alignment horizontal="left" vertical="center"/>
    </xf>
    <xf numFmtId="0" fontId="9" fillId="0" borderId="4">
      <alignment horizontal="left" vertical="center"/>
    </xf>
  </cellStyleXfs>
  <cellXfs count="35">
    <xf numFmtId="0" fontId="0" fillId="0" borderId="0" xfId="0"/>
    <xf numFmtId="0" fontId="6" fillId="0" borderId="3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/>
    </xf>
    <xf numFmtId="49" fontId="7" fillId="0" borderId="2" xfId="3" applyNumberFormat="1" applyFont="1" applyFill="1" applyBorder="1" applyAlignment="1">
      <alignment horizontal="center"/>
    </xf>
    <xf numFmtId="0" fontId="8" fillId="0" borderId="2" xfId="5" applyFont="1" applyFill="1" applyBorder="1" applyAlignment="1"/>
    <xf numFmtId="3" fontId="7" fillId="0" borderId="2" xfId="3" applyNumberFormat="1" applyFont="1" applyFill="1" applyBorder="1" applyAlignment="1">
      <alignment horizontal="center"/>
    </xf>
    <xf numFmtId="1" fontId="7" fillId="0" borderId="2" xfId="2" applyNumberFormat="1" applyFont="1" applyBorder="1" applyAlignment="1">
      <alignment horizontal="center"/>
    </xf>
    <xf numFmtId="49" fontId="7" fillId="0" borderId="1" xfId="3" applyNumberFormat="1" applyFont="1" applyFill="1" applyBorder="1" applyAlignment="1">
      <alignment horizontal="center"/>
    </xf>
    <xf numFmtId="0" fontId="8" fillId="0" borderId="1" xfId="5" applyFont="1" applyFill="1" applyBorder="1" applyAlignment="1"/>
    <xf numFmtId="3" fontId="8" fillId="0" borderId="1" xfId="5" applyNumberFormat="1" applyFont="1" applyFill="1" applyBorder="1" applyAlignment="1"/>
    <xf numFmtId="3" fontId="7" fillId="0" borderId="1" xfId="3" applyNumberFormat="1" applyFont="1" applyFill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49" fontId="7" fillId="2" borderId="1" xfId="3" applyNumberFormat="1" applyFont="1" applyFill="1" applyBorder="1" applyAlignment="1">
      <alignment horizontal="center"/>
    </xf>
    <xf numFmtId="0" fontId="8" fillId="2" borderId="1" xfId="5" applyFont="1" applyFill="1" applyBorder="1" applyAlignment="1"/>
    <xf numFmtId="3" fontId="8" fillId="2" borderId="1" xfId="5" applyNumberFormat="1" applyFont="1" applyFill="1" applyBorder="1" applyAlignment="1"/>
    <xf numFmtId="3" fontId="7" fillId="2" borderId="1" xfId="3" applyNumberFormat="1" applyFont="1" applyFill="1" applyBorder="1" applyAlignment="1">
      <alignment horizontal="center"/>
    </xf>
    <xf numFmtId="1" fontId="7" fillId="2" borderId="1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3" fontId="7" fillId="0" borderId="1" xfId="2" applyNumberFormat="1" applyFont="1" applyFill="1" applyBorder="1" applyAlignment="1">
      <alignment horizontal="center"/>
    </xf>
    <xf numFmtId="49" fontId="6" fillId="0" borderId="3" xfId="2" applyNumberFormat="1" applyFont="1" applyFill="1" applyBorder="1" applyAlignment="1">
      <alignment horizontal="center"/>
    </xf>
    <xf numFmtId="49" fontId="8" fillId="0" borderId="1" xfId="5" applyNumberFormat="1" applyFont="1" applyFill="1" applyBorder="1" applyAlignment="1"/>
    <xf numFmtId="49" fontId="8" fillId="2" borderId="1" xfId="5" applyNumberFormat="1" applyFont="1" applyFill="1" applyBorder="1" applyAlignment="1"/>
    <xf numFmtId="49" fontId="7" fillId="0" borderId="1" xfId="2" applyNumberFormat="1" applyFont="1" applyFill="1" applyBorder="1" applyAlignment="1">
      <alignment horizontal="center"/>
    </xf>
    <xf numFmtId="0" fontId="1" fillId="0" borderId="0" xfId="2" applyFont="1" applyAlignment="1">
      <alignment horizontal="center"/>
    </xf>
    <xf numFmtId="1" fontId="6" fillId="0" borderId="6" xfId="4" applyNumberFormat="1" applyFont="1" applyFill="1" applyBorder="1" applyAlignment="1">
      <alignment horizontal="center" wrapText="1"/>
    </xf>
    <xf numFmtId="0" fontId="2" fillId="0" borderId="7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1" fontId="7" fillId="0" borderId="2" xfId="2" applyNumberFormat="1" applyFont="1" applyFill="1" applyBorder="1" applyAlignment="1">
      <alignment horizontal="center"/>
    </xf>
    <xf numFmtId="1" fontId="7" fillId="0" borderId="1" xfId="2" applyNumberFormat="1" applyFont="1" applyFill="1" applyBorder="1" applyAlignment="1">
      <alignment horizontal="center"/>
    </xf>
    <xf numFmtId="0" fontId="10" fillId="0" borderId="0" xfId="2" applyFont="1" applyFill="1" applyAlignment="1"/>
    <xf numFmtId="0" fontId="1" fillId="0" borderId="0" xfId="2" applyFont="1" applyFill="1" applyAlignment="1">
      <alignment horizontal="center"/>
    </xf>
    <xf numFmtId="49" fontId="8" fillId="0" borderId="2" xfId="5" applyNumberFormat="1" applyFont="1" applyFill="1" applyBorder="1" applyAlignment="1"/>
    <xf numFmtId="3" fontId="8" fillId="0" borderId="2" xfId="5" applyNumberFormat="1" applyFont="1" applyFill="1" applyBorder="1" applyAlignment="1"/>
    <xf numFmtId="0" fontId="2" fillId="0" borderId="1" xfId="2" applyFont="1" applyBorder="1" applyAlignment="1">
      <alignment horizontal="center"/>
    </xf>
  </cellXfs>
  <cellStyles count="9">
    <cellStyle name="Header1" xfId="7" xr:uid="{00000000-0005-0000-0000-000000000000}"/>
    <cellStyle name="Header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Normal 5" xfId="1" xr:uid="{00000000-0005-0000-0000-000006000000}"/>
    <cellStyle name="Normal_Mike Special (BSM)" xfId="4" xr:uid="{00000000-0005-0000-0000-000007000000}"/>
    <cellStyle name="Normal_Special_1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9"/>
  <sheetViews>
    <sheetView tabSelected="1" workbookViewId="0">
      <selection activeCell="J22" sqref="J22"/>
    </sheetView>
  </sheetViews>
  <sheetFormatPr defaultRowHeight="14.5" x14ac:dyDescent="0.35"/>
  <cols>
    <col min="2" max="2" width="16.54296875" customWidth="1"/>
    <col min="6" max="6" width="8.7265625" hidden="1" customWidth="1"/>
    <col min="7" max="7" width="13.453125" bestFit="1" customWidth="1"/>
    <col min="8" max="8" width="19.26953125" customWidth="1"/>
  </cols>
  <sheetData>
    <row r="1" spans="1:8" ht="15.5" x14ac:dyDescent="0.35">
      <c r="A1" s="30" t="s">
        <v>166</v>
      </c>
      <c r="B1" s="31"/>
      <c r="C1" s="24"/>
      <c r="D1" s="24"/>
      <c r="E1" s="24"/>
      <c r="F1" s="24"/>
      <c r="G1" s="24"/>
      <c r="H1" s="24"/>
    </row>
    <row r="2" spans="1:8" x14ac:dyDescent="0.35">
      <c r="A2" s="24"/>
      <c r="B2" s="24"/>
      <c r="C2" s="24"/>
      <c r="D2" s="24"/>
      <c r="E2" s="24"/>
      <c r="F2" s="24"/>
      <c r="G2" s="24"/>
      <c r="H2" s="24"/>
    </row>
    <row r="3" spans="1:8" x14ac:dyDescent="0.35">
      <c r="A3" s="34"/>
      <c r="B3" s="34"/>
      <c r="C3" s="34"/>
      <c r="D3" s="34"/>
      <c r="E3" s="34"/>
      <c r="F3" s="34"/>
      <c r="G3" s="26" t="s">
        <v>0</v>
      </c>
      <c r="H3" s="27"/>
    </row>
    <row r="4" spans="1:8" ht="22.5" thickBot="1" x14ac:dyDescent="0.4">
      <c r="A4" s="1" t="s">
        <v>1</v>
      </c>
      <c r="B4" s="20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25" t="s">
        <v>7</v>
      </c>
      <c r="H4" s="25" t="s">
        <v>8</v>
      </c>
    </row>
    <row r="5" spans="1:8" x14ac:dyDescent="0.35">
      <c r="A5" s="4" t="s">
        <v>9</v>
      </c>
      <c r="B5" s="32" t="s">
        <v>167</v>
      </c>
      <c r="C5" s="5" t="s">
        <v>165</v>
      </c>
      <c r="D5" s="33">
        <v>216</v>
      </c>
      <c r="E5" s="6">
        <f>D5/4</f>
        <v>54</v>
      </c>
      <c r="F5" s="6"/>
      <c r="G5" s="28">
        <v>1</v>
      </c>
      <c r="H5" s="28">
        <v>74</v>
      </c>
    </row>
    <row r="6" spans="1:8" x14ac:dyDescent="0.35">
      <c r="A6" s="8"/>
      <c r="B6" s="21"/>
      <c r="C6" s="9" t="s">
        <v>10</v>
      </c>
      <c r="D6" s="10" t="s">
        <v>10</v>
      </c>
      <c r="E6" s="11"/>
      <c r="F6" s="11"/>
      <c r="G6" s="29">
        <f>H5+1</f>
        <v>75</v>
      </c>
      <c r="H6" s="29">
        <v>110</v>
      </c>
    </row>
    <row r="7" spans="1:8" x14ac:dyDescent="0.35">
      <c r="A7" s="8"/>
      <c r="B7" s="21"/>
      <c r="C7" s="9" t="s">
        <v>10</v>
      </c>
      <c r="D7" s="10" t="s">
        <v>10</v>
      </c>
      <c r="E7" s="11"/>
      <c r="F7" s="11"/>
      <c r="G7" s="29">
        <f>H6+1</f>
        <v>111</v>
      </c>
      <c r="H7" s="29">
        <v>499</v>
      </c>
    </row>
    <row r="8" spans="1:8" x14ac:dyDescent="0.35">
      <c r="A8" s="8"/>
      <c r="B8" s="21"/>
      <c r="C8" s="9" t="s">
        <v>10</v>
      </c>
      <c r="D8" s="10" t="s">
        <v>10</v>
      </c>
      <c r="E8" s="11"/>
      <c r="F8" s="11"/>
      <c r="G8" s="29">
        <f>H7+1</f>
        <v>500</v>
      </c>
      <c r="H8" s="29">
        <f>D5*6</f>
        <v>1296</v>
      </c>
    </row>
    <row r="9" spans="1:8" x14ac:dyDescent="0.35">
      <c r="A9" s="13"/>
      <c r="B9" s="22"/>
      <c r="C9" s="14"/>
      <c r="D9" s="15"/>
      <c r="E9" s="16"/>
      <c r="F9" s="16"/>
      <c r="G9" s="17"/>
      <c r="H9" s="17"/>
    </row>
    <row r="10" spans="1:8" x14ac:dyDescent="0.35">
      <c r="A10" s="8" t="s">
        <v>11</v>
      </c>
      <c r="B10" s="21" t="s">
        <v>168</v>
      </c>
      <c r="C10" s="9" t="s">
        <v>5</v>
      </c>
      <c r="D10" s="10">
        <v>857</v>
      </c>
      <c r="E10" s="6">
        <f t="shared" ref="E10" si="0">D10/4</f>
        <v>214.25</v>
      </c>
      <c r="F10" s="11"/>
      <c r="G10" s="7">
        <v>1</v>
      </c>
      <c r="H10" s="7">
        <v>79</v>
      </c>
    </row>
    <row r="11" spans="1:8" x14ac:dyDescent="0.35">
      <c r="A11" s="8"/>
      <c r="B11" s="21"/>
      <c r="C11" s="9" t="s">
        <v>10</v>
      </c>
      <c r="D11" s="10" t="s">
        <v>10</v>
      </c>
      <c r="E11" s="11"/>
      <c r="F11" s="11"/>
      <c r="G11" s="12">
        <f t="shared" ref="G11" si="1">H10+1</f>
        <v>80</v>
      </c>
      <c r="H11" s="12">
        <v>119</v>
      </c>
    </row>
    <row r="12" spans="1:8" x14ac:dyDescent="0.35">
      <c r="A12" s="8"/>
      <c r="B12" s="21"/>
      <c r="C12" s="9" t="s">
        <v>10</v>
      </c>
      <c r="D12" s="10" t="s">
        <v>10</v>
      </c>
      <c r="E12" s="11"/>
      <c r="F12" s="11"/>
      <c r="G12" s="12">
        <v>120</v>
      </c>
      <c r="H12" s="12">
        <v>499</v>
      </c>
    </row>
    <row r="13" spans="1:8" x14ac:dyDescent="0.35">
      <c r="A13" s="8"/>
      <c r="B13" s="21"/>
      <c r="C13" s="9" t="s">
        <v>10</v>
      </c>
      <c r="D13" s="10" t="s">
        <v>10</v>
      </c>
      <c r="E13" s="11"/>
      <c r="F13" s="11"/>
      <c r="G13" s="12">
        <f t="shared" ref="G13" si="2">H12+1</f>
        <v>500</v>
      </c>
      <c r="H13" s="12">
        <f t="shared" ref="H13" si="3">E10*6</f>
        <v>1285.5</v>
      </c>
    </row>
    <row r="14" spans="1:8" x14ac:dyDescent="0.35">
      <c r="A14" s="13"/>
      <c r="B14" s="22"/>
      <c r="C14" s="14"/>
      <c r="D14" s="15"/>
      <c r="E14" s="16"/>
      <c r="F14" s="16"/>
      <c r="G14" s="17"/>
      <c r="H14" s="17"/>
    </row>
    <row r="15" spans="1:8" x14ac:dyDescent="0.35">
      <c r="A15" s="8" t="s">
        <v>12</v>
      </c>
      <c r="B15" s="21" t="s">
        <v>169</v>
      </c>
      <c r="C15" s="9" t="s">
        <v>5</v>
      </c>
      <c r="D15" s="10">
        <v>6</v>
      </c>
      <c r="E15" s="6">
        <f t="shared" ref="E15" si="4">D15/4</f>
        <v>1.5</v>
      </c>
      <c r="F15" s="11"/>
      <c r="G15" s="7">
        <v>1</v>
      </c>
      <c r="H15" s="7">
        <v>9</v>
      </c>
    </row>
    <row r="16" spans="1:8" x14ac:dyDescent="0.35">
      <c r="A16" s="8"/>
      <c r="B16" s="21"/>
      <c r="C16" s="9" t="s">
        <v>10</v>
      </c>
      <c r="D16" s="10" t="s">
        <v>10</v>
      </c>
      <c r="E16" s="11"/>
      <c r="F16" s="11"/>
      <c r="G16" s="12">
        <f t="shared" ref="G16" si="5">H15+1</f>
        <v>10</v>
      </c>
      <c r="H16" s="12">
        <v>59</v>
      </c>
    </row>
    <row r="17" spans="1:8" x14ac:dyDescent="0.35">
      <c r="A17" s="8"/>
      <c r="B17" s="21"/>
      <c r="C17" s="9" t="s">
        <v>10</v>
      </c>
      <c r="D17" s="10" t="s">
        <v>10</v>
      </c>
      <c r="E17" s="11"/>
      <c r="F17" s="11"/>
      <c r="G17" s="12">
        <v>60</v>
      </c>
      <c r="H17" s="12">
        <v>99</v>
      </c>
    </row>
    <row r="18" spans="1:8" x14ac:dyDescent="0.35">
      <c r="A18" s="8"/>
      <c r="B18" s="21"/>
      <c r="C18" s="9" t="s">
        <v>10</v>
      </c>
      <c r="D18" s="10" t="s">
        <v>10</v>
      </c>
      <c r="E18" s="11"/>
      <c r="F18" s="11"/>
      <c r="G18" s="12">
        <f t="shared" ref="G18" si="6">H17+1</f>
        <v>100</v>
      </c>
      <c r="H18" s="12">
        <v>150</v>
      </c>
    </row>
    <row r="19" spans="1:8" x14ac:dyDescent="0.35">
      <c r="A19" s="13"/>
      <c r="B19" s="22"/>
      <c r="C19" s="14"/>
      <c r="D19" s="15"/>
      <c r="E19" s="16"/>
      <c r="F19" s="16"/>
      <c r="G19" s="17"/>
      <c r="H19" s="17"/>
    </row>
    <row r="20" spans="1:8" x14ac:dyDescent="0.35">
      <c r="A20" s="8" t="s">
        <v>13</v>
      </c>
      <c r="B20" s="21" t="s">
        <v>170</v>
      </c>
      <c r="C20" s="9" t="s">
        <v>5</v>
      </c>
      <c r="D20" s="10">
        <v>17</v>
      </c>
      <c r="E20" s="6">
        <f t="shared" ref="E20" si="7">D20/4</f>
        <v>4.25</v>
      </c>
      <c r="F20" s="11"/>
      <c r="G20" s="7">
        <f t="shared" ref="G20" si="8">E20*0.25</f>
        <v>1.0625</v>
      </c>
      <c r="H20" s="7">
        <f t="shared" ref="H20" si="9">E20*0.5</f>
        <v>2.125</v>
      </c>
    </row>
    <row r="21" spans="1:8" x14ac:dyDescent="0.35">
      <c r="A21" s="8"/>
      <c r="B21" s="21"/>
      <c r="C21" s="9" t="s">
        <v>10</v>
      </c>
      <c r="D21" s="10" t="s">
        <v>10</v>
      </c>
      <c r="E21" s="11"/>
      <c r="F21" s="11"/>
      <c r="G21" s="12">
        <f t="shared" ref="G21" si="10">H20+1</f>
        <v>3.125</v>
      </c>
      <c r="H21" s="12">
        <f t="shared" ref="H21" si="11">E20*1.5</f>
        <v>6.375</v>
      </c>
    </row>
    <row r="22" spans="1:8" x14ac:dyDescent="0.35">
      <c r="A22" s="8"/>
      <c r="B22" s="21"/>
      <c r="C22" s="9" t="s">
        <v>10</v>
      </c>
      <c r="D22" s="10" t="s">
        <v>10</v>
      </c>
      <c r="E22" s="11"/>
      <c r="F22" s="11"/>
      <c r="G22" s="12">
        <f t="shared" ref="G22" si="12">H21*1</f>
        <v>6.375</v>
      </c>
      <c r="H22" s="12">
        <f t="shared" ref="H22" si="13">E20*2.5</f>
        <v>10.625</v>
      </c>
    </row>
    <row r="23" spans="1:8" x14ac:dyDescent="0.35">
      <c r="A23" s="8"/>
      <c r="B23" s="21"/>
      <c r="C23" s="9" t="s">
        <v>10</v>
      </c>
      <c r="D23" s="10" t="s">
        <v>10</v>
      </c>
      <c r="E23" s="11"/>
      <c r="F23" s="11"/>
      <c r="G23" s="12">
        <f t="shared" ref="G23" si="14">H22+1</f>
        <v>11.625</v>
      </c>
      <c r="H23" s="12">
        <f t="shared" ref="H23" si="15">E20*6</f>
        <v>25.5</v>
      </c>
    </row>
    <row r="24" spans="1:8" x14ac:dyDescent="0.35">
      <c r="A24" s="13"/>
      <c r="B24" s="22"/>
      <c r="C24" s="14"/>
      <c r="D24" s="15"/>
      <c r="E24" s="16"/>
      <c r="F24" s="16"/>
      <c r="G24" s="17"/>
      <c r="H24" s="17"/>
    </row>
    <row r="25" spans="1:8" x14ac:dyDescent="0.35">
      <c r="A25" s="8" t="s">
        <v>14</v>
      </c>
      <c r="B25" s="21" t="s">
        <v>171</v>
      </c>
      <c r="C25" s="9" t="s">
        <v>5</v>
      </c>
      <c r="D25" s="10">
        <v>27</v>
      </c>
      <c r="E25" s="6">
        <f t="shared" ref="E25" si="16">D25/4</f>
        <v>6.75</v>
      </c>
      <c r="F25" s="11"/>
      <c r="G25" s="7">
        <v>1</v>
      </c>
      <c r="H25" s="7">
        <v>29</v>
      </c>
    </row>
    <row r="26" spans="1:8" x14ac:dyDescent="0.35">
      <c r="A26" s="8"/>
      <c r="B26" s="21"/>
      <c r="C26" s="9" t="s">
        <v>10</v>
      </c>
      <c r="D26" s="10" t="s">
        <v>10</v>
      </c>
      <c r="E26" s="11"/>
      <c r="F26" s="11"/>
      <c r="G26" s="12">
        <f t="shared" ref="G26" si="17">H25+1</f>
        <v>30</v>
      </c>
      <c r="H26" s="12">
        <v>19</v>
      </c>
    </row>
    <row r="27" spans="1:8" x14ac:dyDescent="0.35">
      <c r="A27" s="8"/>
      <c r="B27" s="21"/>
      <c r="C27" s="9" t="s">
        <v>10</v>
      </c>
      <c r="D27" s="10" t="s">
        <v>10</v>
      </c>
      <c r="E27" s="11"/>
      <c r="F27" s="11"/>
      <c r="G27" s="12">
        <v>20</v>
      </c>
      <c r="H27" s="12">
        <v>29</v>
      </c>
    </row>
    <row r="28" spans="1:8" x14ac:dyDescent="0.35">
      <c r="A28" s="8"/>
      <c r="B28" s="21"/>
      <c r="C28" s="9" t="s">
        <v>10</v>
      </c>
      <c r="D28" s="10" t="s">
        <v>10</v>
      </c>
      <c r="E28" s="11"/>
      <c r="F28" s="11"/>
      <c r="G28" s="12">
        <f t="shared" ref="G28" si="18">H27+1</f>
        <v>30</v>
      </c>
      <c r="H28" s="12">
        <f t="shared" ref="H28" si="19">E25*6</f>
        <v>40.5</v>
      </c>
    </row>
    <row r="29" spans="1:8" x14ac:dyDescent="0.35">
      <c r="A29" s="13"/>
      <c r="B29" s="22"/>
      <c r="C29" s="14"/>
      <c r="D29" s="15"/>
      <c r="E29" s="16"/>
      <c r="F29" s="16"/>
      <c r="G29" s="17"/>
      <c r="H29" s="17"/>
    </row>
    <row r="30" spans="1:8" x14ac:dyDescent="0.35">
      <c r="A30" s="8" t="s">
        <v>15</v>
      </c>
      <c r="B30" s="21" t="s">
        <v>172</v>
      </c>
      <c r="C30" s="9" t="s">
        <v>5</v>
      </c>
      <c r="D30" s="10">
        <v>296</v>
      </c>
      <c r="E30" s="6">
        <f t="shared" ref="E30" si="20">D30/4</f>
        <v>74</v>
      </c>
      <c r="F30" s="11"/>
      <c r="G30" s="7">
        <v>1</v>
      </c>
      <c r="H30" s="7">
        <v>29</v>
      </c>
    </row>
    <row r="31" spans="1:8" x14ac:dyDescent="0.35">
      <c r="A31" s="8"/>
      <c r="B31" s="21"/>
      <c r="C31" s="9" t="s">
        <v>10</v>
      </c>
      <c r="D31" s="10" t="s">
        <v>10</v>
      </c>
      <c r="E31" s="11"/>
      <c r="F31" s="11"/>
      <c r="G31" s="12">
        <f t="shared" ref="G31" si="21">H30+1</f>
        <v>30</v>
      </c>
      <c r="H31" s="12">
        <v>64</v>
      </c>
    </row>
    <row r="32" spans="1:8" x14ac:dyDescent="0.35">
      <c r="A32" s="8"/>
      <c r="B32" s="21"/>
      <c r="C32" s="9" t="s">
        <v>10</v>
      </c>
      <c r="D32" s="10" t="s">
        <v>10</v>
      </c>
      <c r="E32" s="11"/>
      <c r="F32" s="11"/>
      <c r="G32" s="12">
        <v>65</v>
      </c>
      <c r="H32" s="12">
        <v>169</v>
      </c>
    </row>
    <row r="33" spans="1:8" x14ac:dyDescent="0.35">
      <c r="A33" s="8"/>
      <c r="B33" s="21"/>
      <c r="C33" s="9" t="s">
        <v>10</v>
      </c>
      <c r="D33" s="10" t="s">
        <v>10</v>
      </c>
      <c r="E33" s="11"/>
      <c r="F33" s="11"/>
      <c r="G33" s="12">
        <f>H32+1</f>
        <v>170</v>
      </c>
      <c r="H33" s="12">
        <v>350</v>
      </c>
    </row>
    <row r="34" spans="1:8" x14ac:dyDescent="0.35">
      <c r="A34" s="13"/>
      <c r="B34" s="22"/>
      <c r="C34" s="14"/>
      <c r="D34" s="15"/>
      <c r="E34" s="16"/>
      <c r="F34" s="16"/>
      <c r="G34" s="17"/>
      <c r="H34" s="17"/>
    </row>
    <row r="35" spans="1:8" x14ac:dyDescent="0.35">
      <c r="A35" s="8" t="s">
        <v>16</v>
      </c>
      <c r="B35" s="21" t="s">
        <v>173</v>
      </c>
      <c r="C35" s="9" t="s">
        <v>5</v>
      </c>
      <c r="D35" s="10">
        <v>1400</v>
      </c>
      <c r="E35" s="6">
        <f t="shared" ref="E35" si="22">D35/4</f>
        <v>350</v>
      </c>
      <c r="F35" s="11"/>
      <c r="G35" s="7">
        <v>1</v>
      </c>
      <c r="H35" s="7">
        <v>3</v>
      </c>
    </row>
    <row r="36" spans="1:8" x14ac:dyDescent="0.35">
      <c r="A36" s="8"/>
      <c r="B36" s="21"/>
      <c r="C36" s="9" t="s">
        <v>10</v>
      </c>
      <c r="D36" s="10" t="s">
        <v>10</v>
      </c>
      <c r="E36" s="11"/>
      <c r="F36" s="11"/>
      <c r="G36" s="12">
        <f t="shared" ref="G36" si="23">H35+1</f>
        <v>4</v>
      </c>
      <c r="H36" s="12">
        <v>9</v>
      </c>
    </row>
    <row r="37" spans="1:8" x14ac:dyDescent="0.35">
      <c r="A37" s="8"/>
      <c r="B37" s="21"/>
      <c r="C37" s="9" t="s">
        <v>10</v>
      </c>
      <c r="D37" s="10" t="s">
        <v>10</v>
      </c>
      <c r="E37" s="11"/>
      <c r="F37" s="11"/>
      <c r="G37" s="12">
        <v>10</v>
      </c>
      <c r="H37" s="12">
        <v>49</v>
      </c>
    </row>
    <row r="38" spans="1:8" x14ac:dyDescent="0.35">
      <c r="A38" s="8"/>
      <c r="B38" s="21"/>
      <c r="C38" s="9" t="s">
        <v>10</v>
      </c>
      <c r="D38" s="10" t="s">
        <v>10</v>
      </c>
      <c r="E38" s="11"/>
      <c r="F38" s="11"/>
      <c r="G38" s="12">
        <f t="shared" ref="G38" si="24">H37+1</f>
        <v>50</v>
      </c>
      <c r="H38" s="12">
        <f t="shared" ref="H38" si="25">E35*6</f>
        <v>2100</v>
      </c>
    </row>
    <row r="39" spans="1:8" x14ac:dyDescent="0.35">
      <c r="A39" s="13"/>
      <c r="B39" s="22"/>
      <c r="C39" s="14"/>
      <c r="D39" s="15"/>
      <c r="E39" s="16"/>
      <c r="F39" s="16"/>
      <c r="G39" s="17"/>
      <c r="H39" s="17"/>
    </row>
    <row r="40" spans="1:8" x14ac:dyDescent="0.35">
      <c r="A40" s="8" t="s">
        <v>17</v>
      </c>
      <c r="B40" s="21" t="s">
        <v>174</v>
      </c>
      <c r="C40" s="9" t="s">
        <v>5</v>
      </c>
      <c r="D40" s="10">
        <v>56</v>
      </c>
      <c r="E40" s="6">
        <f t="shared" ref="E40" si="26">D40/4</f>
        <v>14</v>
      </c>
      <c r="F40" s="11"/>
      <c r="G40" s="7">
        <v>1</v>
      </c>
      <c r="H40" s="7">
        <v>5</v>
      </c>
    </row>
    <row r="41" spans="1:8" x14ac:dyDescent="0.35">
      <c r="A41" s="8"/>
      <c r="B41" s="21"/>
      <c r="C41" s="9" t="s">
        <v>10</v>
      </c>
      <c r="D41" s="10" t="s">
        <v>10</v>
      </c>
      <c r="E41" s="11"/>
      <c r="F41" s="11"/>
      <c r="G41" s="12">
        <f t="shared" ref="G41" si="27">H40+1</f>
        <v>6</v>
      </c>
      <c r="H41" s="12">
        <v>39</v>
      </c>
    </row>
    <row r="42" spans="1:8" x14ac:dyDescent="0.35">
      <c r="A42" s="8"/>
      <c r="B42" s="21"/>
      <c r="C42" s="9" t="s">
        <v>10</v>
      </c>
      <c r="D42" s="10" t="s">
        <v>10</v>
      </c>
      <c r="E42" s="11"/>
      <c r="F42" s="11"/>
      <c r="G42" s="12">
        <v>40</v>
      </c>
      <c r="H42" s="12">
        <v>99</v>
      </c>
    </row>
    <row r="43" spans="1:8" x14ac:dyDescent="0.35">
      <c r="A43" s="8"/>
      <c r="B43" s="21"/>
      <c r="C43" s="9" t="s">
        <v>10</v>
      </c>
      <c r="D43" s="10" t="s">
        <v>10</v>
      </c>
      <c r="E43" s="11"/>
      <c r="F43" s="11"/>
      <c r="G43" s="12">
        <f t="shared" ref="G43" si="28">H42+1</f>
        <v>100</v>
      </c>
      <c r="H43" s="12">
        <v>175</v>
      </c>
    </row>
    <row r="44" spans="1:8" x14ac:dyDescent="0.35">
      <c r="A44" s="13"/>
      <c r="B44" s="22"/>
      <c r="C44" s="14"/>
      <c r="D44" s="15"/>
      <c r="E44" s="16"/>
      <c r="F44" s="16"/>
      <c r="G44" s="17"/>
      <c r="H44" s="17"/>
    </row>
    <row r="45" spans="1:8" hidden="1" x14ac:dyDescent="0.35">
      <c r="A45" s="8" t="s">
        <v>18</v>
      </c>
      <c r="B45" s="21"/>
      <c r="C45" s="9" t="s">
        <v>10</v>
      </c>
      <c r="D45" s="10" t="s">
        <v>10</v>
      </c>
      <c r="E45" s="6" t="e">
        <f t="shared" ref="E45" si="29">D45/4</f>
        <v>#VALUE!</v>
      </c>
      <c r="F45" s="11"/>
      <c r="G45" s="7" t="e">
        <f t="shared" ref="G45" si="30">E45*0.25</f>
        <v>#VALUE!</v>
      </c>
      <c r="H45" s="7" t="e">
        <f t="shared" ref="H45" si="31">E45*0.5</f>
        <v>#VALUE!</v>
      </c>
    </row>
    <row r="46" spans="1:8" hidden="1" x14ac:dyDescent="0.35">
      <c r="A46" s="8"/>
      <c r="B46" s="21"/>
      <c r="C46" s="9" t="s">
        <v>10</v>
      </c>
      <c r="D46" s="10" t="s">
        <v>10</v>
      </c>
      <c r="E46" s="11"/>
      <c r="F46" s="11"/>
      <c r="G46" s="12" t="e">
        <f t="shared" ref="G46" si="32">H45+1</f>
        <v>#VALUE!</v>
      </c>
      <c r="H46" s="12" t="e">
        <f t="shared" ref="H46" si="33">E45*1.5</f>
        <v>#VALUE!</v>
      </c>
    </row>
    <row r="47" spans="1:8" hidden="1" x14ac:dyDescent="0.35">
      <c r="A47" s="8"/>
      <c r="B47" s="21"/>
      <c r="C47" s="9" t="s">
        <v>10</v>
      </c>
      <c r="D47" s="10" t="s">
        <v>10</v>
      </c>
      <c r="E47" s="11"/>
      <c r="F47" s="11"/>
      <c r="G47" s="12" t="e">
        <f t="shared" ref="G47" si="34">H46*1</f>
        <v>#VALUE!</v>
      </c>
      <c r="H47" s="12" t="e">
        <f t="shared" ref="H47" si="35">E45*2.5</f>
        <v>#VALUE!</v>
      </c>
    </row>
    <row r="48" spans="1:8" hidden="1" x14ac:dyDescent="0.35">
      <c r="A48" s="8"/>
      <c r="B48" s="21"/>
      <c r="C48" s="9" t="s">
        <v>10</v>
      </c>
      <c r="D48" s="10" t="s">
        <v>10</v>
      </c>
      <c r="E48" s="11"/>
      <c r="F48" s="11"/>
      <c r="G48" s="12" t="e">
        <f t="shared" ref="G48" si="36">H47+1</f>
        <v>#VALUE!</v>
      </c>
      <c r="H48" s="12" t="e">
        <f t="shared" ref="H48" si="37">E45*6</f>
        <v>#VALUE!</v>
      </c>
    </row>
    <row r="49" spans="1:8" hidden="1" x14ac:dyDescent="0.35">
      <c r="A49" s="13"/>
      <c r="B49" s="22"/>
      <c r="C49" s="14"/>
      <c r="D49" s="15"/>
      <c r="E49" s="16"/>
      <c r="F49" s="16"/>
      <c r="G49" s="17"/>
      <c r="H49" s="17"/>
    </row>
    <row r="50" spans="1:8" hidden="1" x14ac:dyDescent="0.35">
      <c r="A50" s="8" t="s">
        <v>19</v>
      </c>
      <c r="B50" s="21"/>
      <c r="C50" s="9" t="s">
        <v>10</v>
      </c>
      <c r="D50" s="10" t="s">
        <v>10</v>
      </c>
      <c r="E50" s="6" t="e">
        <f t="shared" ref="E50" si="38">D50/4</f>
        <v>#VALUE!</v>
      </c>
      <c r="F50" s="11"/>
      <c r="G50" s="7" t="e">
        <f t="shared" ref="G50" si="39">E50*0.25</f>
        <v>#VALUE!</v>
      </c>
      <c r="H50" s="7" t="e">
        <f t="shared" ref="H50" si="40">E50*0.5</f>
        <v>#VALUE!</v>
      </c>
    </row>
    <row r="51" spans="1:8" hidden="1" x14ac:dyDescent="0.35">
      <c r="A51" s="8"/>
      <c r="B51" s="21"/>
      <c r="C51" s="9" t="s">
        <v>10</v>
      </c>
      <c r="D51" s="10" t="s">
        <v>10</v>
      </c>
      <c r="E51" s="11"/>
      <c r="F51" s="11"/>
      <c r="G51" s="12" t="e">
        <f t="shared" ref="G51" si="41">H50+1</f>
        <v>#VALUE!</v>
      </c>
      <c r="H51" s="12" t="e">
        <f t="shared" ref="H51" si="42">E50*1.5</f>
        <v>#VALUE!</v>
      </c>
    </row>
    <row r="52" spans="1:8" hidden="1" x14ac:dyDescent="0.35">
      <c r="A52" s="8"/>
      <c r="B52" s="21"/>
      <c r="C52" s="9" t="s">
        <v>10</v>
      </c>
      <c r="D52" s="10" t="s">
        <v>10</v>
      </c>
      <c r="E52" s="11"/>
      <c r="F52" s="11"/>
      <c r="G52" s="12" t="e">
        <f t="shared" ref="G52" si="43">H51*1</f>
        <v>#VALUE!</v>
      </c>
      <c r="H52" s="12" t="e">
        <f t="shared" ref="H52" si="44">E50*2.5</f>
        <v>#VALUE!</v>
      </c>
    </row>
    <row r="53" spans="1:8" hidden="1" x14ac:dyDescent="0.35">
      <c r="A53" s="8"/>
      <c r="B53" s="21"/>
      <c r="C53" s="9" t="s">
        <v>10</v>
      </c>
      <c r="D53" s="10" t="s">
        <v>10</v>
      </c>
      <c r="E53" s="11"/>
      <c r="F53" s="11"/>
      <c r="G53" s="12" t="e">
        <f t="shared" ref="G53" si="45">H52+1</f>
        <v>#VALUE!</v>
      </c>
      <c r="H53" s="12" t="e">
        <f t="shared" ref="H53" si="46">E50*6</f>
        <v>#VALUE!</v>
      </c>
    </row>
    <row r="54" spans="1:8" hidden="1" x14ac:dyDescent="0.35">
      <c r="A54" s="13"/>
      <c r="B54" s="22"/>
      <c r="C54" s="14"/>
      <c r="D54" s="15"/>
      <c r="E54" s="16"/>
      <c r="F54" s="16"/>
      <c r="G54" s="17"/>
      <c r="H54" s="17"/>
    </row>
    <row r="55" spans="1:8" hidden="1" x14ac:dyDescent="0.35">
      <c r="A55" s="8" t="s">
        <v>20</v>
      </c>
      <c r="B55" s="21"/>
      <c r="C55" s="9" t="s">
        <v>10</v>
      </c>
      <c r="D55" s="10" t="s">
        <v>10</v>
      </c>
      <c r="E55" s="6" t="e">
        <f t="shared" ref="E55" si="47">D55/4</f>
        <v>#VALUE!</v>
      </c>
      <c r="F55" s="11"/>
      <c r="G55" s="7" t="e">
        <f t="shared" ref="G55" si="48">E55*0.25</f>
        <v>#VALUE!</v>
      </c>
      <c r="H55" s="7" t="e">
        <f t="shared" ref="H55" si="49">E55*0.5</f>
        <v>#VALUE!</v>
      </c>
    </row>
    <row r="56" spans="1:8" hidden="1" x14ac:dyDescent="0.35">
      <c r="A56" s="8"/>
      <c r="B56" s="21"/>
      <c r="C56" s="9" t="s">
        <v>10</v>
      </c>
      <c r="D56" s="10" t="s">
        <v>10</v>
      </c>
      <c r="E56" s="11"/>
      <c r="F56" s="11"/>
      <c r="G56" s="12" t="e">
        <f t="shared" ref="G56" si="50">H55+1</f>
        <v>#VALUE!</v>
      </c>
      <c r="H56" s="12" t="e">
        <f t="shared" ref="H56" si="51">E55*1.5</f>
        <v>#VALUE!</v>
      </c>
    </row>
    <row r="57" spans="1:8" hidden="1" x14ac:dyDescent="0.35">
      <c r="A57" s="8"/>
      <c r="B57" s="21"/>
      <c r="C57" s="9" t="s">
        <v>10</v>
      </c>
      <c r="D57" s="10" t="s">
        <v>10</v>
      </c>
      <c r="E57" s="11"/>
      <c r="F57" s="11"/>
      <c r="G57" s="12" t="e">
        <f t="shared" ref="G57" si="52">H56*1</f>
        <v>#VALUE!</v>
      </c>
      <c r="H57" s="12" t="e">
        <f t="shared" ref="H57" si="53">E55*2.5</f>
        <v>#VALUE!</v>
      </c>
    </row>
    <row r="58" spans="1:8" hidden="1" x14ac:dyDescent="0.35">
      <c r="A58" s="8"/>
      <c r="B58" s="21"/>
      <c r="C58" s="9" t="s">
        <v>10</v>
      </c>
      <c r="D58" s="10" t="s">
        <v>10</v>
      </c>
      <c r="E58" s="11"/>
      <c r="F58" s="11"/>
      <c r="G58" s="12" t="e">
        <f t="shared" ref="G58" si="54">H57+1</f>
        <v>#VALUE!</v>
      </c>
      <c r="H58" s="12" t="e">
        <f t="shared" ref="H58" si="55">E55*6</f>
        <v>#VALUE!</v>
      </c>
    </row>
    <row r="59" spans="1:8" hidden="1" x14ac:dyDescent="0.35">
      <c r="A59" s="13"/>
      <c r="B59" s="22"/>
      <c r="C59" s="14"/>
      <c r="D59" s="15"/>
      <c r="E59" s="16"/>
      <c r="F59" s="16"/>
      <c r="G59" s="17"/>
      <c r="H59" s="17"/>
    </row>
    <row r="60" spans="1:8" hidden="1" x14ac:dyDescent="0.35">
      <c r="A60" s="8" t="s">
        <v>21</v>
      </c>
      <c r="B60" s="21"/>
      <c r="C60" s="9" t="s">
        <v>10</v>
      </c>
      <c r="D60" s="10" t="s">
        <v>10</v>
      </c>
      <c r="E60" s="6" t="e">
        <f t="shared" ref="E60" si="56">D60/4</f>
        <v>#VALUE!</v>
      </c>
      <c r="F60" s="11"/>
      <c r="G60" s="7" t="e">
        <f t="shared" ref="G60" si="57">E60*0.25</f>
        <v>#VALUE!</v>
      </c>
      <c r="H60" s="7" t="e">
        <f t="shared" ref="H60" si="58">E60*0.5</f>
        <v>#VALUE!</v>
      </c>
    </row>
    <row r="61" spans="1:8" hidden="1" x14ac:dyDescent="0.35">
      <c r="A61" s="8"/>
      <c r="B61" s="21"/>
      <c r="C61" s="9" t="s">
        <v>10</v>
      </c>
      <c r="D61" s="10" t="s">
        <v>10</v>
      </c>
      <c r="E61" s="11"/>
      <c r="F61" s="11"/>
      <c r="G61" s="12" t="e">
        <f t="shared" ref="G61" si="59">H60+1</f>
        <v>#VALUE!</v>
      </c>
      <c r="H61" s="12" t="e">
        <f t="shared" ref="H61" si="60">E60*1.5</f>
        <v>#VALUE!</v>
      </c>
    </row>
    <row r="62" spans="1:8" hidden="1" x14ac:dyDescent="0.35">
      <c r="A62" s="8"/>
      <c r="B62" s="21"/>
      <c r="C62" s="9" t="s">
        <v>10</v>
      </c>
      <c r="D62" s="10" t="s">
        <v>10</v>
      </c>
      <c r="E62" s="11"/>
      <c r="F62" s="11"/>
      <c r="G62" s="12" t="e">
        <f t="shared" ref="G62" si="61">H61*1</f>
        <v>#VALUE!</v>
      </c>
      <c r="H62" s="12" t="e">
        <f t="shared" ref="H62" si="62">E60*2.5</f>
        <v>#VALUE!</v>
      </c>
    </row>
    <row r="63" spans="1:8" hidden="1" x14ac:dyDescent="0.35">
      <c r="A63" s="8"/>
      <c r="B63" s="21"/>
      <c r="C63" s="9" t="s">
        <v>10</v>
      </c>
      <c r="D63" s="10" t="s">
        <v>10</v>
      </c>
      <c r="E63" s="11"/>
      <c r="F63" s="11"/>
      <c r="G63" s="12" t="e">
        <f t="shared" ref="G63" si="63">H62+1</f>
        <v>#VALUE!</v>
      </c>
      <c r="H63" s="12" t="e">
        <f t="shared" ref="H63" si="64">E60*6</f>
        <v>#VALUE!</v>
      </c>
    </row>
    <row r="64" spans="1:8" hidden="1" x14ac:dyDescent="0.35">
      <c r="A64" s="13"/>
      <c r="B64" s="22"/>
      <c r="C64" s="14"/>
      <c r="D64" s="15"/>
      <c r="E64" s="16"/>
      <c r="F64" s="16"/>
      <c r="G64" s="17"/>
      <c r="H64" s="17"/>
    </row>
    <row r="65" spans="1:8" hidden="1" x14ac:dyDescent="0.35">
      <c r="A65" s="8" t="s">
        <v>22</v>
      </c>
      <c r="B65" s="21"/>
      <c r="C65" s="9" t="s">
        <v>10</v>
      </c>
      <c r="D65" s="10" t="s">
        <v>10</v>
      </c>
      <c r="E65" s="6" t="e">
        <f t="shared" ref="E65" si="65">D65/4</f>
        <v>#VALUE!</v>
      </c>
      <c r="F65" s="11"/>
      <c r="G65" s="7" t="e">
        <f t="shared" ref="G65" si="66">E65*0.25</f>
        <v>#VALUE!</v>
      </c>
      <c r="H65" s="7" t="e">
        <f t="shared" ref="H65" si="67">E65*0.5</f>
        <v>#VALUE!</v>
      </c>
    </row>
    <row r="66" spans="1:8" hidden="1" x14ac:dyDescent="0.35">
      <c r="A66" s="8"/>
      <c r="B66" s="21"/>
      <c r="C66" s="9" t="s">
        <v>10</v>
      </c>
      <c r="D66" s="10" t="s">
        <v>10</v>
      </c>
      <c r="E66" s="11"/>
      <c r="F66" s="11"/>
      <c r="G66" s="12" t="e">
        <f t="shared" ref="G66" si="68">H65+1</f>
        <v>#VALUE!</v>
      </c>
      <c r="H66" s="12" t="e">
        <f t="shared" ref="H66" si="69">E65*1.5</f>
        <v>#VALUE!</v>
      </c>
    </row>
    <row r="67" spans="1:8" hidden="1" x14ac:dyDescent="0.35">
      <c r="A67" s="8"/>
      <c r="B67" s="21"/>
      <c r="C67" s="9" t="s">
        <v>10</v>
      </c>
      <c r="D67" s="10" t="s">
        <v>10</v>
      </c>
      <c r="E67" s="11"/>
      <c r="F67" s="11"/>
      <c r="G67" s="12" t="e">
        <f t="shared" ref="G67" si="70">H66*1</f>
        <v>#VALUE!</v>
      </c>
      <c r="H67" s="12" t="e">
        <f t="shared" ref="H67" si="71">E65*2.5</f>
        <v>#VALUE!</v>
      </c>
    </row>
    <row r="68" spans="1:8" hidden="1" x14ac:dyDescent="0.35">
      <c r="A68" s="8"/>
      <c r="B68" s="21"/>
      <c r="C68" s="9" t="s">
        <v>10</v>
      </c>
      <c r="D68" s="10" t="s">
        <v>10</v>
      </c>
      <c r="E68" s="11"/>
      <c r="F68" s="11"/>
      <c r="G68" s="12" t="e">
        <f t="shared" ref="G68" si="72">H67+1</f>
        <v>#VALUE!</v>
      </c>
      <c r="H68" s="12" t="e">
        <f t="shared" ref="H68" si="73">E65*6</f>
        <v>#VALUE!</v>
      </c>
    </row>
    <row r="69" spans="1:8" hidden="1" x14ac:dyDescent="0.35">
      <c r="A69" s="13"/>
      <c r="B69" s="22"/>
      <c r="C69" s="14"/>
      <c r="D69" s="15"/>
      <c r="E69" s="16"/>
      <c r="F69" s="16"/>
      <c r="G69" s="17"/>
      <c r="H69" s="17"/>
    </row>
    <row r="70" spans="1:8" hidden="1" x14ac:dyDescent="0.35">
      <c r="A70" s="8" t="s">
        <v>23</v>
      </c>
      <c r="B70" s="21"/>
      <c r="C70" s="9" t="s">
        <v>10</v>
      </c>
      <c r="D70" s="10" t="s">
        <v>10</v>
      </c>
      <c r="E70" s="6" t="e">
        <f t="shared" ref="E70" si="74">D70/4</f>
        <v>#VALUE!</v>
      </c>
      <c r="F70" s="11"/>
      <c r="G70" s="7" t="e">
        <f t="shared" ref="G70" si="75">E70*0.25</f>
        <v>#VALUE!</v>
      </c>
      <c r="H70" s="7" t="e">
        <f t="shared" ref="H70" si="76">E70*0.5</f>
        <v>#VALUE!</v>
      </c>
    </row>
    <row r="71" spans="1:8" hidden="1" x14ac:dyDescent="0.35">
      <c r="A71" s="8"/>
      <c r="B71" s="21"/>
      <c r="C71" s="9" t="s">
        <v>10</v>
      </c>
      <c r="D71" s="10" t="s">
        <v>10</v>
      </c>
      <c r="E71" s="11"/>
      <c r="F71" s="11"/>
      <c r="G71" s="12" t="e">
        <f t="shared" ref="G71" si="77">H70+1</f>
        <v>#VALUE!</v>
      </c>
      <c r="H71" s="12" t="e">
        <f t="shared" ref="H71" si="78">E70*1.5</f>
        <v>#VALUE!</v>
      </c>
    </row>
    <row r="72" spans="1:8" hidden="1" x14ac:dyDescent="0.35">
      <c r="A72" s="8"/>
      <c r="B72" s="21"/>
      <c r="C72" s="9" t="s">
        <v>10</v>
      </c>
      <c r="D72" s="10" t="s">
        <v>10</v>
      </c>
      <c r="E72" s="11"/>
      <c r="F72" s="11"/>
      <c r="G72" s="12" t="e">
        <f t="shared" ref="G72" si="79">H71*1</f>
        <v>#VALUE!</v>
      </c>
      <c r="H72" s="12" t="e">
        <f t="shared" ref="H72" si="80">E70*2.5</f>
        <v>#VALUE!</v>
      </c>
    </row>
    <row r="73" spans="1:8" hidden="1" x14ac:dyDescent="0.35">
      <c r="A73" s="8"/>
      <c r="B73" s="21"/>
      <c r="C73" s="9" t="s">
        <v>10</v>
      </c>
      <c r="D73" s="10" t="s">
        <v>10</v>
      </c>
      <c r="E73" s="11"/>
      <c r="F73" s="11"/>
      <c r="G73" s="12" t="e">
        <f t="shared" ref="G73" si="81">H72+1</f>
        <v>#VALUE!</v>
      </c>
      <c r="H73" s="12" t="e">
        <f t="shared" ref="H73" si="82">E70*6</f>
        <v>#VALUE!</v>
      </c>
    </row>
    <row r="74" spans="1:8" hidden="1" x14ac:dyDescent="0.35">
      <c r="A74" s="13"/>
      <c r="B74" s="22"/>
      <c r="C74" s="14"/>
      <c r="D74" s="15"/>
      <c r="E74" s="16"/>
      <c r="F74" s="16"/>
      <c r="G74" s="17"/>
      <c r="H74" s="17"/>
    </row>
    <row r="75" spans="1:8" hidden="1" x14ac:dyDescent="0.35">
      <c r="A75" s="8" t="s">
        <v>24</v>
      </c>
      <c r="B75" s="21"/>
      <c r="C75" s="9" t="s">
        <v>10</v>
      </c>
      <c r="D75" s="10" t="s">
        <v>10</v>
      </c>
      <c r="E75" s="6" t="e">
        <f t="shared" ref="E75" si="83">D75/4</f>
        <v>#VALUE!</v>
      </c>
      <c r="F75" s="11"/>
      <c r="G75" s="7" t="e">
        <f t="shared" ref="G75" si="84">E75*0.25</f>
        <v>#VALUE!</v>
      </c>
      <c r="H75" s="7" t="e">
        <f t="shared" ref="H75" si="85">E75*0.5</f>
        <v>#VALUE!</v>
      </c>
    </row>
    <row r="76" spans="1:8" hidden="1" x14ac:dyDescent="0.35">
      <c r="A76" s="8"/>
      <c r="B76" s="21"/>
      <c r="C76" s="9" t="s">
        <v>10</v>
      </c>
      <c r="D76" s="10" t="s">
        <v>10</v>
      </c>
      <c r="E76" s="11"/>
      <c r="F76" s="11"/>
      <c r="G76" s="12" t="e">
        <f t="shared" ref="G76" si="86">H75+1</f>
        <v>#VALUE!</v>
      </c>
      <c r="H76" s="12" t="e">
        <f t="shared" ref="H76" si="87">E75*1.5</f>
        <v>#VALUE!</v>
      </c>
    </row>
    <row r="77" spans="1:8" hidden="1" x14ac:dyDescent="0.35">
      <c r="A77" s="8"/>
      <c r="B77" s="21"/>
      <c r="C77" s="9" t="s">
        <v>10</v>
      </c>
      <c r="D77" s="10" t="s">
        <v>10</v>
      </c>
      <c r="E77" s="11"/>
      <c r="F77" s="11"/>
      <c r="G77" s="12" t="e">
        <f t="shared" ref="G77" si="88">H76*1</f>
        <v>#VALUE!</v>
      </c>
      <c r="H77" s="12" t="e">
        <f t="shared" ref="H77" si="89">E75*2.5</f>
        <v>#VALUE!</v>
      </c>
    </row>
    <row r="78" spans="1:8" hidden="1" x14ac:dyDescent="0.35">
      <c r="A78" s="8"/>
      <c r="B78" s="21"/>
      <c r="C78" s="9" t="s">
        <v>10</v>
      </c>
      <c r="D78" s="10" t="s">
        <v>10</v>
      </c>
      <c r="E78" s="11"/>
      <c r="F78" s="11"/>
      <c r="G78" s="12" t="e">
        <f t="shared" ref="G78" si="90">H77+1</f>
        <v>#VALUE!</v>
      </c>
      <c r="H78" s="12" t="e">
        <f t="shared" ref="H78" si="91">E75*6</f>
        <v>#VALUE!</v>
      </c>
    </row>
    <row r="79" spans="1:8" hidden="1" x14ac:dyDescent="0.35">
      <c r="A79" s="13"/>
      <c r="B79" s="22"/>
      <c r="C79" s="14"/>
      <c r="D79" s="15"/>
      <c r="E79" s="16"/>
      <c r="F79" s="16"/>
      <c r="G79" s="17"/>
      <c r="H79" s="17"/>
    </row>
    <row r="80" spans="1:8" hidden="1" x14ac:dyDescent="0.35">
      <c r="A80" s="8" t="s">
        <v>25</v>
      </c>
      <c r="B80" s="21"/>
      <c r="C80" s="9" t="s">
        <v>10</v>
      </c>
      <c r="D80" s="10" t="s">
        <v>10</v>
      </c>
      <c r="E80" s="6" t="e">
        <f t="shared" ref="E80" si="92">D80/4</f>
        <v>#VALUE!</v>
      </c>
      <c r="F80" s="11"/>
      <c r="G80" s="7" t="e">
        <f t="shared" ref="G80" si="93">E80*0.25</f>
        <v>#VALUE!</v>
      </c>
      <c r="H80" s="7" t="e">
        <f t="shared" ref="H80" si="94">E80*0.5</f>
        <v>#VALUE!</v>
      </c>
    </row>
    <row r="81" spans="1:8" hidden="1" x14ac:dyDescent="0.35">
      <c r="A81" s="8"/>
      <c r="B81" s="21"/>
      <c r="C81" s="9" t="s">
        <v>10</v>
      </c>
      <c r="D81" s="10" t="s">
        <v>10</v>
      </c>
      <c r="E81" s="11"/>
      <c r="F81" s="11"/>
      <c r="G81" s="12" t="e">
        <f t="shared" ref="G81" si="95">H80+1</f>
        <v>#VALUE!</v>
      </c>
      <c r="H81" s="12" t="e">
        <f t="shared" ref="H81" si="96">E80*1.5</f>
        <v>#VALUE!</v>
      </c>
    </row>
    <row r="82" spans="1:8" hidden="1" x14ac:dyDescent="0.35">
      <c r="A82" s="8"/>
      <c r="B82" s="21"/>
      <c r="C82" s="9" t="s">
        <v>10</v>
      </c>
      <c r="D82" s="10" t="s">
        <v>10</v>
      </c>
      <c r="E82" s="11"/>
      <c r="F82" s="11"/>
      <c r="G82" s="12" t="e">
        <f t="shared" ref="G82" si="97">H81*1</f>
        <v>#VALUE!</v>
      </c>
      <c r="H82" s="12" t="e">
        <f t="shared" ref="H82" si="98">E80*2.5</f>
        <v>#VALUE!</v>
      </c>
    </row>
    <row r="83" spans="1:8" hidden="1" x14ac:dyDescent="0.35">
      <c r="A83" s="8"/>
      <c r="B83" s="21"/>
      <c r="C83" s="9" t="s">
        <v>10</v>
      </c>
      <c r="D83" s="10" t="s">
        <v>10</v>
      </c>
      <c r="E83" s="11"/>
      <c r="F83" s="11"/>
      <c r="G83" s="12" t="e">
        <f t="shared" ref="G83" si="99">H82+1</f>
        <v>#VALUE!</v>
      </c>
      <c r="H83" s="12" t="e">
        <f t="shared" ref="H83" si="100">E80*6</f>
        <v>#VALUE!</v>
      </c>
    </row>
    <row r="84" spans="1:8" hidden="1" x14ac:dyDescent="0.35">
      <c r="A84" s="13"/>
      <c r="B84" s="22"/>
      <c r="C84" s="14"/>
      <c r="D84" s="15"/>
      <c r="E84" s="16"/>
      <c r="F84" s="16"/>
      <c r="G84" s="17"/>
      <c r="H84" s="17"/>
    </row>
    <row r="85" spans="1:8" hidden="1" x14ac:dyDescent="0.35">
      <c r="A85" s="8" t="s">
        <v>26</v>
      </c>
      <c r="B85" s="21"/>
      <c r="C85" s="9" t="s">
        <v>10</v>
      </c>
      <c r="D85" s="10" t="s">
        <v>10</v>
      </c>
      <c r="E85" s="6" t="e">
        <f t="shared" ref="E85" si="101">D85/4</f>
        <v>#VALUE!</v>
      </c>
      <c r="F85" s="11"/>
      <c r="G85" s="7" t="e">
        <f t="shared" ref="G85" si="102">E85*0.25</f>
        <v>#VALUE!</v>
      </c>
      <c r="H85" s="7" t="e">
        <f t="shared" ref="H85" si="103">E85*0.5</f>
        <v>#VALUE!</v>
      </c>
    </row>
    <row r="86" spans="1:8" hidden="1" x14ac:dyDescent="0.35">
      <c r="A86" s="8"/>
      <c r="B86" s="21"/>
      <c r="C86" s="9" t="s">
        <v>10</v>
      </c>
      <c r="D86" s="10" t="s">
        <v>10</v>
      </c>
      <c r="E86" s="11"/>
      <c r="F86" s="11"/>
      <c r="G86" s="12" t="e">
        <f t="shared" ref="G86" si="104">H85+1</f>
        <v>#VALUE!</v>
      </c>
      <c r="H86" s="12" t="e">
        <f t="shared" ref="H86" si="105">E85*1.5</f>
        <v>#VALUE!</v>
      </c>
    </row>
    <row r="87" spans="1:8" hidden="1" x14ac:dyDescent="0.35">
      <c r="A87" s="8"/>
      <c r="B87" s="21"/>
      <c r="C87" s="9" t="s">
        <v>10</v>
      </c>
      <c r="D87" s="10" t="s">
        <v>10</v>
      </c>
      <c r="E87" s="11"/>
      <c r="F87" s="11"/>
      <c r="G87" s="12" t="e">
        <f t="shared" ref="G87" si="106">H86*1</f>
        <v>#VALUE!</v>
      </c>
      <c r="H87" s="12" t="e">
        <f t="shared" ref="H87" si="107">E85*2.5</f>
        <v>#VALUE!</v>
      </c>
    </row>
    <row r="88" spans="1:8" hidden="1" x14ac:dyDescent="0.35">
      <c r="A88" s="8"/>
      <c r="B88" s="21"/>
      <c r="C88" s="9" t="s">
        <v>10</v>
      </c>
      <c r="D88" s="10" t="s">
        <v>10</v>
      </c>
      <c r="E88" s="11"/>
      <c r="F88" s="11"/>
      <c r="G88" s="12" t="e">
        <f t="shared" ref="G88" si="108">H87+1</f>
        <v>#VALUE!</v>
      </c>
      <c r="H88" s="12" t="e">
        <f t="shared" ref="H88" si="109">E85*6</f>
        <v>#VALUE!</v>
      </c>
    </row>
    <row r="89" spans="1:8" hidden="1" x14ac:dyDescent="0.35">
      <c r="A89" s="13"/>
      <c r="B89" s="22"/>
      <c r="C89" s="14"/>
      <c r="D89" s="15"/>
      <c r="E89" s="16"/>
      <c r="F89" s="16"/>
      <c r="G89" s="17"/>
      <c r="H89" s="17"/>
    </row>
    <row r="90" spans="1:8" hidden="1" x14ac:dyDescent="0.35">
      <c r="A90" s="8" t="s">
        <v>27</v>
      </c>
      <c r="B90" s="21"/>
      <c r="C90" s="9" t="s">
        <v>10</v>
      </c>
      <c r="D90" s="10" t="s">
        <v>10</v>
      </c>
      <c r="E90" s="6" t="e">
        <f t="shared" ref="E90" si="110">D90/4</f>
        <v>#VALUE!</v>
      </c>
      <c r="F90" s="11"/>
      <c r="G90" s="7" t="e">
        <f t="shared" ref="G90" si="111">E90*0.25</f>
        <v>#VALUE!</v>
      </c>
      <c r="H90" s="7" t="e">
        <f t="shared" ref="H90" si="112">E90*0.5</f>
        <v>#VALUE!</v>
      </c>
    </row>
    <row r="91" spans="1:8" hidden="1" x14ac:dyDescent="0.35">
      <c r="A91" s="8"/>
      <c r="B91" s="21"/>
      <c r="C91" s="9" t="s">
        <v>10</v>
      </c>
      <c r="D91" s="10" t="s">
        <v>10</v>
      </c>
      <c r="E91" s="11"/>
      <c r="F91" s="11"/>
      <c r="G91" s="12" t="e">
        <f t="shared" ref="G91" si="113">H90+1</f>
        <v>#VALUE!</v>
      </c>
      <c r="H91" s="12" t="e">
        <f t="shared" ref="H91" si="114">E90*1.5</f>
        <v>#VALUE!</v>
      </c>
    </row>
    <row r="92" spans="1:8" hidden="1" x14ac:dyDescent="0.35">
      <c r="A92" s="8"/>
      <c r="B92" s="21"/>
      <c r="C92" s="9" t="s">
        <v>10</v>
      </c>
      <c r="D92" s="10" t="s">
        <v>10</v>
      </c>
      <c r="E92" s="11"/>
      <c r="F92" s="11"/>
      <c r="G92" s="12" t="e">
        <f t="shared" ref="G92" si="115">H91*1</f>
        <v>#VALUE!</v>
      </c>
      <c r="H92" s="12" t="e">
        <f t="shared" ref="H92" si="116">E90*2.5</f>
        <v>#VALUE!</v>
      </c>
    </row>
    <row r="93" spans="1:8" hidden="1" x14ac:dyDescent="0.35">
      <c r="A93" s="8"/>
      <c r="B93" s="21"/>
      <c r="C93" s="9" t="s">
        <v>10</v>
      </c>
      <c r="D93" s="10" t="s">
        <v>10</v>
      </c>
      <c r="E93" s="11"/>
      <c r="F93" s="11"/>
      <c r="G93" s="12" t="e">
        <f t="shared" ref="G93" si="117">H92+1</f>
        <v>#VALUE!</v>
      </c>
      <c r="H93" s="12" t="e">
        <f t="shared" ref="H93" si="118">E90*6</f>
        <v>#VALUE!</v>
      </c>
    </row>
    <row r="94" spans="1:8" hidden="1" x14ac:dyDescent="0.35">
      <c r="A94" s="13"/>
      <c r="B94" s="22"/>
      <c r="C94" s="14"/>
      <c r="D94" s="15"/>
      <c r="E94" s="16"/>
      <c r="F94" s="16"/>
      <c r="G94" s="17"/>
      <c r="H94" s="17"/>
    </row>
    <row r="95" spans="1:8" hidden="1" x14ac:dyDescent="0.35">
      <c r="A95" s="8" t="s">
        <v>28</v>
      </c>
      <c r="B95" s="21"/>
      <c r="C95" s="9" t="s">
        <v>10</v>
      </c>
      <c r="D95" s="10" t="s">
        <v>10</v>
      </c>
      <c r="E95" s="6" t="e">
        <f t="shared" ref="E95" si="119">D95/4</f>
        <v>#VALUE!</v>
      </c>
      <c r="F95" s="11"/>
      <c r="G95" s="7" t="e">
        <f t="shared" ref="G95" si="120">E95*0.25</f>
        <v>#VALUE!</v>
      </c>
      <c r="H95" s="7" t="e">
        <f t="shared" ref="H95" si="121">E95*0.5</f>
        <v>#VALUE!</v>
      </c>
    </row>
    <row r="96" spans="1:8" hidden="1" x14ac:dyDescent="0.35">
      <c r="A96" s="8"/>
      <c r="B96" s="21"/>
      <c r="C96" s="9" t="s">
        <v>10</v>
      </c>
      <c r="D96" s="10" t="s">
        <v>10</v>
      </c>
      <c r="E96" s="11"/>
      <c r="F96" s="11"/>
      <c r="G96" s="12" t="e">
        <f t="shared" ref="G96" si="122">H95+1</f>
        <v>#VALUE!</v>
      </c>
      <c r="H96" s="12" t="e">
        <f t="shared" ref="H96" si="123">E95*1.5</f>
        <v>#VALUE!</v>
      </c>
    </row>
    <row r="97" spans="1:8" hidden="1" x14ac:dyDescent="0.35">
      <c r="A97" s="8"/>
      <c r="B97" s="21"/>
      <c r="C97" s="9" t="s">
        <v>10</v>
      </c>
      <c r="D97" s="10" t="s">
        <v>10</v>
      </c>
      <c r="E97" s="11"/>
      <c r="F97" s="11"/>
      <c r="G97" s="12" t="e">
        <f t="shared" ref="G97" si="124">H96*1</f>
        <v>#VALUE!</v>
      </c>
      <c r="H97" s="12" t="e">
        <f t="shared" ref="H97" si="125">E95*2.5</f>
        <v>#VALUE!</v>
      </c>
    </row>
    <row r="98" spans="1:8" hidden="1" x14ac:dyDescent="0.35">
      <c r="A98" s="8"/>
      <c r="B98" s="21"/>
      <c r="C98" s="9" t="s">
        <v>10</v>
      </c>
      <c r="D98" s="10" t="s">
        <v>10</v>
      </c>
      <c r="E98" s="11"/>
      <c r="F98" s="11"/>
      <c r="G98" s="12" t="e">
        <f t="shared" ref="G98" si="126">H97+1</f>
        <v>#VALUE!</v>
      </c>
      <c r="H98" s="12" t="e">
        <f t="shared" ref="H98" si="127">E95*6</f>
        <v>#VALUE!</v>
      </c>
    </row>
    <row r="99" spans="1:8" hidden="1" x14ac:dyDescent="0.35">
      <c r="A99" s="13"/>
      <c r="B99" s="22"/>
      <c r="C99" s="14"/>
      <c r="D99" s="15"/>
      <c r="E99" s="16"/>
      <c r="F99" s="16"/>
      <c r="G99" s="17"/>
      <c r="H99" s="17"/>
    </row>
    <row r="100" spans="1:8" hidden="1" x14ac:dyDescent="0.35">
      <c r="A100" s="8" t="s">
        <v>29</v>
      </c>
      <c r="B100" s="21"/>
      <c r="C100" s="9" t="s">
        <v>10</v>
      </c>
      <c r="D100" s="10" t="s">
        <v>10</v>
      </c>
      <c r="E100" s="6" t="e">
        <f t="shared" ref="E100" si="128">D100/4</f>
        <v>#VALUE!</v>
      </c>
      <c r="F100" s="11"/>
      <c r="G100" s="7" t="e">
        <f t="shared" ref="G100" si="129">E100*0.25</f>
        <v>#VALUE!</v>
      </c>
      <c r="H100" s="7" t="e">
        <f t="shared" ref="H100" si="130">E100*0.5</f>
        <v>#VALUE!</v>
      </c>
    </row>
    <row r="101" spans="1:8" hidden="1" x14ac:dyDescent="0.35">
      <c r="A101" s="8"/>
      <c r="B101" s="21"/>
      <c r="C101" s="9" t="s">
        <v>10</v>
      </c>
      <c r="D101" s="10" t="s">
        <v>10</v>
      </c>
      <c r="E101" s="11"/>
      <c r="F101" s="11"/>
      <c r="G101" s="12" t="e">
        <f t="shared" ref="G101" si="131">H100+1</f>
        <v>#VALUE!</v>
      </c>
      <c r="H101" s="12" t="e">
        <f t="shared" ref="H101" si="132">E100*1.5</f>
        <v>#VALUE!</v>
      </c>
    </row>
    <row r="102" spans="1:8" hidden="1" x14ac:dyDescent="0.35">
      <c r="A102" s="8"/>
      <c r="B102" s="21"/>
      <c r="C102" s="9" t="s">
        <v>10</v>
      </c>
      <c r="D102" s="10" t="s">
        <v>10</v>
      </c>
      <c r="E102" s="11"/>
      <c r="F102" s="11"/>
      <c r="G102" s="12" t="e">
        <f t="shared" ref="G102" si="133">H101*1</f>
        <v>#VALUE!</v>
      </c>
      <c r="H102" s="12" t="e">
        <f t="shared" ref="H102" si="134">E100*2.5</f>
        <v>#VALUE!</v>
      </c>
    </row>
    <row r="103" spans="1:8" hidden="1" x14ac:dyDescent="0.35">
      <c r="A103" s="8"/>
      <c r="B103" s="21"/>
      <c r="C103" s="9" t="s">
        <v>10</v>
      </c>
      <c r="D103" s="10" t="s">
        <v>10</v>
      </c>
      <c r="E103" s="11"/>
      <c r="F103" s="11"/>
      <c r="G103" s="12" t="e">
        <f t="shared" ref="G103" si="135">H102+1</f>
        <v>#VALUE!</v>
      </c>
      <c r="H103" s="12" t="e">
        <f t="shared" ref="H103" si="136">E100*6</f>
        <v>#VALUE!</v>
      </c>
    </row>
    <row r="104" spans="1:8" hidden="1" x14ac:dyDescent="0.35">
      <c r="A104" s="13"/>
      <c r="B104" s="22"/>
      <c r="C104" s="14"/>
      <c r="D104" s="15"/>
      <c r="E104" s="16"/>
      <c r="F104" s="16"/>
      <c r="G104" s="17"/>
      <c r="H104" s="17"/>
    </row>
    <row r="105" spans="1:8" hidden="1" x14ac:dyDescent="0.35">
      <c r="A105" s="8" t="s">
        <v>30</v>
      </c>
      <c r="B105" s="21"/>
      <c r="C105" s="9" t="s">
        <v>10</v>
      </c>
      <c r="D105" s="10" t="s">
        <v>10</v>
      </c>
      <c r="E105" s="6" t="e">
        <f t="shared" ref="E105" si="137">D105/4</f>
        <v>#VALUE!</v>
      </c>
      <c r="F105" s="11"/>
      <c r="G105" s="7" t="e">
        <f t="shared" ref="G105" si="138">E105*0.25</f>
        <v>#VALUE!</v>
      </c>
      <c r="H105" s="7" t="e">
        <f t="shared" ref="H105" si="139">E105*0.5</f>
        <v>#VALUE!</v>
      </c>
    </row>
    <row r="106" spans="1:8" hidden="1" x14ac:dyDescent="0.35">
      <c r="A106" s="8"/>
      <c r="B106" s="21"/>
      <c r="C106" s="9" t="s">
        <v>10</v>
      </c>
      <c r="D106" s="10" t="s">
        <v>10</v>
      </c>
      <c r="E106" s="11"/>
      <c r="F106" s="11"/>
      <c r="G106" s="12" t="e">
        <f t="shared" ref="G106" si="140">H105+1</f>
        <v>#VALUE!</v>
      </c>
      <c r="H106" s="12" t="e">
        <f t="shared" ref="H106" si="141">E105*1.5</f>
        <v>#VALUE!</v>
      </c>
    </row>
    <row r="107" spans="1:8" hidden="1" x14ac:dyDescent="0.35">
      <c r="A107" s="8"/>
      <c r="B107" s="21"/>
      <c r="C107" s="9" t="s">
        <v>10</v>
      </c>
      <c r="D107" s="10" t="s">
        <v>10</v>
      </c>
      <c r="E107" s="11"/>
      <c r="F107" s="11"/>
      <c r="G107" s="12" t="e">
        <f t="shared" ref="G107" si="142">H106*1</f>
        <v>#VALUE!</v>
      </c>
      <c r="H107" s="12" t="e">
        <f t="shared" ref="H107" si="143">E105*2.5</f>
        <v>#VALUE!</v>
      </c>
    </row>
    <row r="108" spans="1:8" hidden="1" x14ac:dyDescent="0.35">
      <c r="A108" s="8"/>
      <c r="B108" s="21"/>
      <c r="C108" s="9" t="s">
        <v>10</v>
      </c>
      <c r="D108" s="10" t="s">
        <v>10</v>
      </c>
      <c r="E108" s="11"/>
      <c r="F108" s="11"/>
      <c r="G108" s="12" t="e">
        <f t="shared" ref="G108" si="144">H107+1</f>
        <v>#VALUE!</v>
      </c>
      <c r="H108" s="12" t="e">
        <f t="shared" ref="H108" si="145">E105*6</f>
        <v>#VALUE!</v>
      </c>
    </row>
    <row r="109" spans="1:8" hidden="1" x14ac:dyDescent="0.35">
      <c r="A109" s="13"/>
      <c r="B109" s="22"/>
      <c r="C109" s="14"/>
      <c r="D109" s="15"/>
      <c r="E109" s="16"/>
      <c r="F109" s="16"/>
      <c r="G109" s="17"/>
      <c r="H109" s="17"/>
    </row>
    <row r="110" spans="1:8" hidden="1" x14ac:dyDescent="0.35">
      <c r="A110" s="8" t="s">
        <v>31</v>
      </c>
      <c r="B110" s="21"/>
      <c r="C110" s="9" t="s">
        <v>10</v>
      </c>
      <c r="D110" s="10" t="s">
        <v>10</v>
      </c>
      <c r="E110" s="6" t="e">
        <f t="shared" ref="E110" si="146">D110/4</f>
        <v>#VALUE!</v>
      </c>
      <c r="F110" s="11"/>
      <c r="G110" s="7" t="e">
        <f t="shared" ref="G110" si="147">E110*0.25</f>
        <v>#VALUE!</v>
      </c>
      <c r="H110" s="7" t="e">
        <f t="shared" ref="H110" si="148">E110*0.5</f>
        <v>#VALUE!</v>
      </c>
    </row>
    <row r="111" spans="1:8" hidden="1" x14ac:dyDescent="0.35">
      <c r="A111" s="8"/>
      <c r="B111" s="21"/>
      <c r="C111" s="9" t="s">
        <v>10</v>
      </c>
      <c r="D111" s="10" t="s">
        <v>10</v>
      </c>
      <c r="E111" s="11"/>
      <c r="F111" s="11"/>
      <c r="G111" s="12" t="e">
        <f t="shared" ref="G111" si="149">H110+1</f>
        <v>#VALUE!</v>
      </c>
      <c r="H111" s="12" t="e">
        <f t="shared" ref="H111" si="150">E110*1.5</f>
        <v>#VALUE!</v>
      </c>
    </row>
    <row r="112" spans="1:8" hidden="1" x14ac:dyDescent="0.35">
      <c r="A112" s="8"/>
      <c r="B112" s="21"/>
      <c r="C112" s="9" t="s">
        <v>10</v>
      </c>
      <c r="D112" s="10" t="s">
        <v>10</v>
      </c>
      <c r="E112" s="11"/>
      <c r="F112" s="11"/>
      <c r="G112" s="12" t="e">
        <f t="shared" ref="G112" si="151">H111*1</f>
        <v>#VALUE!</v>
      </c>
      <c r="H112" s="12" t="e">
        <f t="shared" ref="H112" si="152">E110*2.5</f>
        <v>#VALUE!</v>
      </c>
    </row>
    <row r="113" spans="1:8" hidden="1" x14ac:dyDescent="0.35">
      <c r="A113" s="8"/>
      <c r="B113" s="21"/>
      <c r="C113" s="9" t="s">
        <v>10</v>
      </c>
      <c r="D113" s="10" t="s">
        <v>10</v>
      </c>
      <c r="E113" s="11"/>
      <c r="F113" s="11"/>
      <c r="G113" s="12" t="e">
        <f t="shared" ref="G113" si="153">H112+1</f>
        <v>#VALUE!</v>
      </c>
      <c r="H113" s="12" t="e">
        <f t="shared" ref="H113" si="154">E110*6</f>
        <v>#VALUE!</v>
      </c>
    </row>
    <row r="114" spans="1:8" hidden="1" x14ac:dyDescent="0.35">
      <c r="A114" s="13"/>
      <c r="B114" s="22"/>
      <c r="C114" s="14"/>
      <c r="D114" s="15"/>
      <c r="E114" s="16"/>
      <c r="F114" s="16"/>
      <c r="G114" s="17"/>
      <c r="H114" s="17"/>
    </row>
    <row r="115" spans="1:8" hidden="1" x14ac:dyDescent="0.35">
      <c r="A115" s="8" t="s">
        <v>32</v>
      </c>
      <c r="B115" s="21"/>
      <c r="C115" s="9" t="s">
        <v>10</v>
      </c>
      <c r="D115" s="10" t="s">
        <v>10</v>
      </c>
      <c r="E115" s="6" t="e">
        <f t="shared" ref="E115" si="155">D115/4</f>
        <v>#VALUE!</v>
      </c>
      <c r="F115" s="11"/>
      <c r="G115" s="7" t="e">
        <f t="shared" ref="G115" si="156">E115*0.25</f>
        <v>#VALUE!</v>
      </c>
      <c r="H115" s="7" t="e">
        <f t="shared" ref="H115" si="157">E115*0.5</f>
        <v>#VALUE!</v>
      </c>
    </row>
    <row r="116" spans="1:8" hidden="1" x14ac:dyDescent="0.35">
      <c r="A116" s="8"/>
      <c r="B116" s="21"/>
      <c r="C116" s="9" t="s">
        <v>10</v>
      </c>
      <c r="D116" s="10" t="s">
        <v>10</v>
      </c>
      <c r="E116" s="11"/>
      <c r="F116" s="11"/>
      <c r="G116" s="12" t="e">
        <f t="shared" ref="G116" si="158">H115+1</f>
        <v>#VALUE!</v>
      </c>
      <c r="H116" s="12" t="e">
        <f t="shared" ref="H116" si="159">E115*1.5</f>
        <v>#VALUE!</v>
      </c>
    </row>
    <row r="117" spans="1:8" hidden="1" x14ac:dyDescent="0.35">
      <c r="A117" s="8"/>
      <c r="B117" s="21"/>
      <c r="C117" s="9" t="s">
        <v>10</v>
      </c>
      <c r="D117" s="10" t="s">
        <v>10</v>
      </c>
      <c r="E117" s="11"/>
      <c r="F117" s="11"/>
      <c r="G117" s="12" t="e">
        <f t="shared" ref="G117" si="160">H116*1</f>
        <v>#VALUE!</v>
      </c>
      <c r="H117" s="12" t="e">
        <f t="shared" ref="H117" si="161">E115*2.5</f>
        <v>#VALUE!</v>
      </c>
    </row>
    <row r="118" spans="1:8" hidden="1" x14ac:dyDescent="0.35">
      <c r="A118" s="8"/>
      <c r="B118" s="21"/>
      <c r="C118" s="9" t="s">
        <v>10</v>
      </c>
      <c r="D118" s="10" t="s">
        <v>10</v>
      </c>
      <c r="E118" s="11"/>
      <c r="F118" s="11"/>
      <c r="G118" s="12" t="e">
        <f t="shared" ref="G118" si="162">H117+1</f>
        <v>#VALUE!</v>
      </c>
      <c r="H118" s="12" t="e">
        <f t="shared" ref="H118" si="163">E115*6</f>
        <v>#VALUE!</v>
      </c>
    </row>
    <row r="119" spans="1:8" hidden="1" x14ac:dyDescent="0.35">
      <c r="A119" s="13"/>
      <c r="B119" s="22"/>
      <c r="C119" s="14"/>
      <c r="D119" s="15"/>
      <c r="E119" s="16"/>
      <c r="F119" s="16"/>
      <c r="G119" s="17"/>
      <c r="H119" s="17"/>
    </row>
    <row r="120" spans="1:8" hidden="1" x14ac:dyDescent="0.35">
      <c r="A120" s="8" t="s">
        <v>33</v>
      </c>
      <c r="B120" s="21"/>
      <c r="C120" s="9" t="s">
        <v>10</v>
      </c>
      <c r="D120" s="10" t="s">
        <v>10</v>
      </c>
      <c r="E120" s="6" t="e">
        <f t="shared" ref="E120" si="164">D120/4</f>
        <v>#VALUE!</v>
      </c>
      <c r="F120" s="11"/>
      <c r="G120" s="7" t="e">
        <f t="shared" ref="G120" si="165">E120*0.25</f>
        <v>#VALUE!</v>
      </c>
      <c r="H120" s="7" t="e">
        <f t="shared" ref="H120" si="166">E120*0.5</f>
        <v>#VALUE!</v>
      </c>
    </row>
    <row r="121" spans="1:8" hidden="1" x14ac:dyDescent="0.35">
      <c r="A121" s="8"/>
      <c r="B121" s="21"/>
      <c r="C121" s="9" t="s">
        <v>10</v>
      </c>
      <c r="D121" s="10" t="s">
        <v>10</v>
      </c>
      <c r="E121" s="11"/>
      <c r="F121" s="11"/>
      <c r="G121" s="12" t="e">
        <f t="shared" ref="G121" si="167">H120+1</f>
        <v>#VALUE!</v>
      </c>
      <c r="H121" s="12" t="e">
        <f t="shared" ref="H121" si="168">E120*1.5</f>
        <v>#VALUE!</v>
      </c>
    </row>
    <row r="122" spans="1:8" hidden="1" x14ac:dyDescent="0.35">
      <c r="A122" s="8"/>
      <c r="B122" s="21"/>
      <c r="C122" s="9" t="s">
        <v>10</v>
      </c>
      <c r="D122" s="10" t="s">
        <v>10</v>
      </c>
      <c r="E122" s="11"/>
      <c r="F122" s="11"/>
      <c r="G122" s="12" t="e">
        <f t="shared" ref="G122" si="169">H121*1</f>
        <v>#VALUE!</v>
      </c>
      <c r="H122" s="12" t="e">
        <f t="shared" ref="H122" si="170">E120*2.5</f>
        <v>#VALUE!</v>
      </c>
    </row>
    <row r="123" spans="1:8" hidden="1" x14ac:dyDescent="0.35">
      <c r="A123" s="8"/>
      <c r="B123" s="21"/>
      <c r="C123" s="9" t="s">
        <v>10</v>
      </c>
      <c r="D123" s="10" t="s">
        <v>10</v>
      </c>
      <c r="E123" s="11"/>
      <c r="F123" s="11"/>
      <c r="G123" s="12" t="e">
        <f t="shared" ref="G123" si="171">H122+1</f>
        <v>#VALUE!</v>
      </c>
      <c r="H123" s="12" t="e">
        <f t="shared" ref="H123" si="172">E120*6</f>
        <v>#VALUE!</v>
      </c>
    </row>
    <row r="124" spans="1:8" hidden="1" x14ac:dyDescent="0.35">
      <c r="A124" s="13"/>
      <c r="B124" s="22"/>
      <c r="C124" s="14"/>
      <c r="D124" s="15"/>
      <c r="E124" s="16"/>
      <c r="F124" s="16"/>
      <c r="G124" s="17"/>
      <c r="H124" s="17"/>
    </row>
    <row r="125" spans="1:8" hidden="1" x14ac:dyDescent="0.35">
      <c r="A125" s="8" t="s">
        <v>34</v>
      </c>
      <c r="B125" s="21"/>
      <c r="C125" s="9" t="s">
        <v>10</v>
      </c>
      <c r="D125" s="10" t="s">
        <v>10</v>
      </c>
      <c r="E125" s="6" t="e">
        <f t="shared" ref="E125" si="173">D125/4</f>
        <v>#VALUE!</v>
      </c>
      <c r="F125" s="11"/>
      <c r="G125" s="7" t="e">
        <f t="shared" ref="G125" si="174">E125*0.25</f>
        <v>#VALUE!</v>
      </c>
      <c r="H125" s="7" t="e">
        <f t="shared" ref="H125" si="175">E125*0.5</f>
        <v>#VALUE!</v>
      </c>
    </row>
    <row r="126" spans="1:8" hidden="1" x14ac:dyDescent="0.35">
      <c r="A126" s="8"/>
      <c r="B126" s="21"/>
      <c r="C126" s="9" t="s">
        <v>10</v>
      </c>
      <c r="D126" s="10" t="s">
        <v>10</v>
      </c>
      <c r="E126" s="11"/>
      <c r="F126" s="11"/>
      <c r="G126" s="12" t="e">
        <f t="shared" ref="G126" si="176">H125+1</f>
        <v>#VALUE!</v>
      </c>
      <c r="H126" s="12" t="e">
        <f t="shared" ref="H126" si="177">E125*1.5</f>
        <v>#VALUE!</v>
      </c>
    </row>
    <row r="127" spans="1:8" hidden="1" x14ac:dyDescent="0.35">
      <c r="A127" s="8"/>
      <c r="B127" s="21"/>
      <c r="C127" s="9" t="s">
        <v>10</v>
      </c>
      <c r="D127" s="10" t="s">
        <v>10</v>
      </c>
      <c r="E127" s="11"/>
      <c r="F127" s="11"/>
      <c r="G127" s="12" t="e">
        <f t="shared" ref="G127" si="178">H126*1</f>
        <v>#VALUE!</v>
      </c>
      <c r="H127" s="12" t="e">
        <f t="shared" ref="H127" si="179">E125*2.5</f>
        <v>#VALUE!</v>
      </c>
    </row>
    <row r="128" spans="1:8" hidden="1" x14ac:dyDescent="0.35">
      <c r="A128" s="8"/>
      <c r="B128" s="21"/>
      <c r="C128" s="9" t="s">
        <v>10</v>
      </c>
      <c r="D128" s="10" t="s">
        <v>10</v>
      </c>
      <c r="E128" s="11"/>
      <c r="F128" s="11"/>
      <c r="G128" s="12" t="e">
        <f t="shared" ref="G128" si="180">H127+1</f>
        <v>#VALUE!</v>
      </c>
      <c r="H128" s="12" t="e">
        <f t="shared" ref="H128" si="181">E125*6</f>
        <v>#VALUE!</v>
      </c>
    </row>
    <row r="129" spans="1:8" hidden="1" x14ac:dyDescent="0.35">
      <c r="A129" s="13"/>
      <c r="B129" s="22"/>
      <c r="C129" s="14"/>
      <c r="D129" s="15"/>
      <c r="E129" s="16"/>
      <c r="F129" s="16"/>
      <c r="G129" s="17"/>
      <c r="H129" s="17"/>
    </row>
    <row r="130" spans="1:8" hidden="1" x14ac:dyDescent="0.35">
      <c r="A130" s="8" t="s">
        <v>35</v>
      </c>
      <c r="B130" s="21"/>
      <c r="C130" s="9" t="s">
        <v>10</v>
      </c>
      <c r="D130" s="10" t="s">
        <v>10</v>
      </c>
      <c r="E130" s="6" t="e">
        <f t="shared" ref="E130" si="182">D130/4</f>
        <v>#VALUE!</v>
      </c>
      <c r="F130" s="11"/>
      <c r="G130" s="7" t="e">
        <f t="shared" ref="G130" si="183">E130*0.25</f>
        <v>#VALUE!</v>
      </c>
      <c r="H130" s="7" t="e">
        <f t="shared" ref="H130" si="184">E130*0.5</f>
        <v>#VALUE!</v>
      </c>
    </row>
    <row r="131" spans="1:8" hidden="1" x14ac:dyDescent="0.35">
      <c r="A131" s="8"/>
      <c r="B131" s="21"/>
      <c r="C131" s="9" t="s">
        <v>10</v>
      </c>
      <c r="D131" s="10" t="s">
        <v>10</v>
      </c>
      <c r="E131" s="11"/>
      <c r="F131" s="11"/>
      <c r="G131" s="12" t="e">
        <f t="shared" ref="G131" si="185">H130+1</f>
        <v>#VALUE!</v>
      </c>
      <c r="H131" s="12" t="e">
        <f t="shared" ref="H131" si="186">E130*1.5</f>
        <v>#VALUE!</v>
      </c>
    </row>
    <row r="132" spans="1:8" hidden="1" x14ac:dyDescent="0.35">
      <c r="A132" s="8"/>
      <c r="B132" s="21"/>
      <c r="C132" s="9" t="s">
        <v>10</v>
      </c>
      <c r="D132" s="10" t="s">
        <v>10</v>
      </c>
      <c r="E132" s="11"/>
      <c r="F132" s="11"/>
      <c r="G132" s="12" t="e">
        <f t="shared" ref="G132" si="187">H131*1</f>
        <v>#VALUE!</v>
      </c>
      <c r="H132" s="12" t="e">
        <f t="shared" ref="H132" si="188">E130*2.5</f>
        <v>#VALUE!</v>
      </c>
    </row>
    <row r="133" spans="1:8" hidden="1" x14ac:dyDescent="0.35">
      <c r="A133" s="8"/>
      <c r="B133" s="21"/>
      <c r="C133" s="9" t="s">
        <v>10</v>
      </c>
      <c r="D133" s="10" t="s">
        <v>10</v>
      </c>
      <c r="E133" s="11"/>
      <c r="F133" s="11"/>
      <c r="G133" s="12" t="e">
        <f t="shared" ref="G133" si="189">H132+1</f>
        <v>#VALUE!</v>
      </c>
      <c r="H133" s="12" t="e">
        <f t="shared" ref="H133" si="190">E130*6</f>
        <v>#VALUE!</v>
      </c>
    </row>
    <row r="134" spans="1:8" hidden="1" x14ac:dyDescent="0.35">
      <c r="A134" s="13"/>
      <c r="B134" s="22"/>
      <c r="C134" s="14"/>
      <c r="D134" s="15"/>
      <c r="E134" s="16"/>
      <c r="F134" s="16"/>
      <c r="G134" s="17"/>
      <c r="H134" s="17"/>
    </row>
    <row r="135" spans="1:8" hidden="1" x14ac:dyDescent="0.35">
      <c r="A135" s="8" t="s">
        <v>36</v>
      </c>
      <c r="B135" s="21"/>
      <c r="C135" s="9" t="s">
        <v>10</v>
      </c>
      <c r="D135" s="10" t="s">
        <v>10</v>
      </c>
      <c r="E135" s="6" t="e">
        <f t="shared" ref="E135" si="191">D135/4</f>
        <v>#VALUE!</v>
      </c>
      <c r="F135" s="11"/>
      <c r="G135" s="7" t="e">
        <f t="shared" ref="G135" si="192">E135*0.25</f>
        <v>#VALUE!</v>
      </c>
      <c r="H135" s="7" t="e">
        <f t="shared" ref="H135" si="193">E135*0.5</f>
        <v>#VALUE!</v>
      </c>
    </row>
    <row r="136" spans="1:8" hidden="1" x14ac:dyDescent="0.35">
      <c r="A136" s="8"/>
      <c r="B136" s="21"/>
      <c r="C136" s="9" t="s">
        <v>10</v>
      </c>
      <c r="D136" s="10" t="s">
        <v>10</v>
      </c>
      <c r="E136" s="11"/>
      <c r="F136" s="11"/>
      <c r="G136" s="12" t="e">
        <f t="shared" ref="G136" si="194">H135+1</f>
        <v>#VALUE!</v>
      </c>
      <c r="H136" s="12" t="e">
        <f t="shared" ref="H136" si="195">E135*1.5</f>
        <v>#VALUE!</v>
      </c>
    </row>
    <row r="137" spans="1:8" hidden="1" x14ac:dyDescent="0.35">
      <c r="A137" s="8"/>
      <c r="B137" s="21"/>
      <c r="C137" s="9" t="s">
        <v>10</v>
      </c>
      <c r="D137" s="10" t="s">
        <v>10</v>
      </c>
      <c r="E137" s="11"/>
      <c r="F137" s="11"/>
      <c r="G137" s="12" t="e">
        <f t="shared" ref="G137" si="196">H136*1</f>
        <v>#VALUE!</v>
      </c>
      <c r="H137" s="12" t="e">
        <f t="shared" ref="H137" si="197">E135*2.5</f>
        <v>#VALUE!</v>
      </c>
    </row>
    <row r="138" spans="1:8" hidden="1" x14ac:dyDescent="0.35">
      <c r="A138" s="8"/>
      <c r="B138" s="21"/>
      <c r="C138" s="9" t="s">
        <v>10</v>
      </c>
      <c r="D138" s="10" t="s">
        <v>10</v>
      </c>
      <c r="E138" s="11"/>
      <c r="F138" s="11"/>
      <c r="G138" s="12" t="e">
        <f t="shared" ref="G138" si="198">H137+1</f>
        <v>#VALUE!</v>
      </c>
      <c r="H138" s="12" t="e">
        <f t="shared" ref="H138" si="199">E135*6</f>
        <v>#VALUE!</v>
      </c>
    </row>
    <row r="139" spans="1:8" hidden="1" x14ac:dyDescent="0.35">
      <c r="A139" s="13"/>
      <c r="B139" s="22"/>
      <c r="C139" s="14"/>
      <c r="D139" s="15"/>
      <c r="E139" s="16"/>
      <c r="F139" s="16"/>
      <c r="G139" s="17"/>
      <c r="H139" s="17"/>
    </row>
    <row r="140" spans="1:8" hidden="1" x14ac:dyDescent="0.35">
      <c r="A140" s="8" t="s">
        <v>37</v>
      </c>
      <c r="B140" s="21"/>
      <c r="C140" s="9" t="s">
        <v>10</v>
      </c>
      <c r="D140" s="10" t="s">
        <v>10</v>
      </c>
      <c r="E140" s="6" t="e">
        <f t="shared" ref="E140" si="200">D140/4</f>
        <v>#VALUE!</v>
      </c>
      <c r="F140" s="11"/>
      <c r="G140" s="7" t="e">
        <f t="shared" ref="G140" si="201">E140*0.25</f>
        <v>#VALUE!</v>
      </c>
      <c r="H140" s="7" t="e">
        <f t="shared" ref="H140" si="202">E140*0.5</f>
        <v>#VALUE!</v>
      </c>
    </row>
    <row r="141" spans="1:8" hidden="1" x14ac:dyDescent="0.35">
      <c r="A141" s="8"/>
      <c r="B141" s="21"/>
      <c r="C141" s="9" t="s">
        <v>10</v>
      </c>
      <c r="D141" s="10" t="s">
        <v>10</v>
      </c>
      <c r="E141" s="11"/>
      <c r="F141" s="11"/>
      <c r="G141" s="12" t="e">
        <f t="shared" ref="G141" si="203">H140+1</f>
        <v>#VALUE!</v>
      </c>
      <c r="H141" s="12" t="e">
        <f t="shared" ref="H141" si="204">E140*1.5</f>
        <v>#VALUE!</v>
      </c>
    </row>
    <row r="142" spans="1:8" hidden="1" x14ac:dyDescent="0.35">
      <c r="A142" s="8"/>
      <c r="B142" s="21"/>
      <c r="C142" s="9" t="s">
        <v>10</v>
      </c>
      <c r="D142" s="10" t="s">
        <v>10</v>
      </c>
      <c r="E142" s="11"/>
      <c r="F142" s="11"/>
      <c r="G142" s="12" t="e">
        <f t="shared" ref="G142" si="205">H141*1</f>
        <v>#VALUE!</v>
      </c>
      <c r="H142" s="12" t="e">
        <f t="shared" ref="H142" si="206">E140*2.5</f>
        <v>#VALUE!</v>
      </c>
    </row>
    <row r="143" spans="1:8" hidden="1" x14ac:dyDescent="0.35">
      <c r="A143" s="8"/>
      <c r="B143" s="21"/>
      <c r="C143" s="9" t="s">
        <v>10</v>
      </c>
      <c r="D143" s="10" t="s">
        <v>10</v>
      </c>
      <c r="E143" s="11"/>
      <c r="F143" s="11"/>
      <c r="G143" s="12" t="e">
        <f t="shared" ref="G143" si="207">H142+1</f>
        <v>#VALUE!</v>
      </c>
      <c r="H143" s="12" t="e">
        <f t="shared" ref="H143" si="208">E140*6</f>
        <v>#VALUE!</v>
      </c>
    </row>
    <row r="144" spans="1:8" hidden="1" x14ac:dyDescent="0.35">
      <c r="A144" s="13"/>
      <c r="B144" s="22"/>
      <c r="C144" s="14"/>
      <c r="D144" s="15"/>
      <c r="E144" s="16"/>
      <c r="F144" s="16"/>
      <c r="G144" s="17"/>
      <c r="H144" s="17"/>
    </row>
    <row r="145" spans="1:8" hidden="1" x14ac:dyDescent="0.35">
      <c r="A145" s="8" t="s">
        <v>38</v>
      </c>
      <c r="B145" s="21"/>
      <c r="C145" s="9" t="s">
        <v>10</v>
      </c>
      <c r="D145" s="10" t="s">
        <v>10</v>
      </c>
      <c r="E145" s="6" t="e">
        <f t="shared" ref="E145" si="209">D145/4</f>
        <v>#VALUE!</v>
      </c>
      <c r="F145" s="11"/>
      <c r="G145" s="7" t="e">
        <f t="shared" ref="G145" si="210">E145*0.25</f>
        <v>#VALUE!</v>
      </c>
      <c r="H145" s="7" t="e">
        <f t="shared" ref="H145" si="211">E145*0.5</f>
        <v>#VALUE!</v>
      </c>
    </row>
    <row r="146" spans="1:8" hidden="1" x14ac:dyDescent="0.35">
      <c r="A146" s="8"/>
      <c r="B146" s="21"/>
      <c r="C146" s="9" t="s">
        <v>10</v>
      </c>
      <c r="D146" s="10" t="s">
        <v>10</v>
      </c>
      <c r="E146" s="11"/>
      <c r="F146" s="11"/>
      <c r="G146" s="12" t="e">
        <f t="shared" ref="G146" si="212">H145+1</f>
        <v>#VALUE!</v>
      </c>
      <c r="H146" s="12" t="e">
        <f t="shared" ref="H146" si="213">E145*1.5</f>
        <v>#VALUE!</v>
      </c>
    </row>
    <row r="147" spans="1:8" hidden="1" x14ac:dyDescent="0.35">
      <c r="A147" s="8"/>
      <c r="B147" s="21"/>
      <c r="C147" s="9" t="s">
        <v>10</v>
      </c>
      <c r="D147" s="10" t="s">
        <v>10</v>
      </c>
      <c r="E147" s="11"/>
      <c r="F147" s="11"/>
      <c r="G147" s="12" t="e">
        <f t="shared" ref="G147" si="214">H146*1</f>
        <v>#VALUE!</v>
      </c>
      <c r="H147" s="12" t="e">
        <f t="shared" ref="H147" si="215">E145*2.5</f>
        <v>#VALUE!</v>
      </c>
    </row>
    <row r="148" spans="1:8" hidden="1" x14ac:dyDescent="0.35">
      <c r="A148" s="8"/>
      <c r="B148" s="21"/>
      <c r="C148" s="9" t="s">
        <v>10</v>
      </c>
      <c r="D148" s="10" t="s">
        <v>10</v>
      </c>
      <c r="E148" s="11"/>
      <c r="F148" s="11"/>
      <c r="G148" s="12" t="e">
        <f t="shared" ref="G148" si="216">H147+1</f>
        <v>#VALUE!</v>
      </c>
      <c r="H148" s="12" t="e">
        <f t="shared" ref="H148" si="217">E145*6</f>
        <v>#VALUE!</v>
      </c>
    </row>
    <row r="149" spans="1:8" hidden="1" x14ac:dyDescent="0.35">
      <c r="A149" s="13"/>
      <c r="B149" s="22"/>
      <c r="C149" s="14"/>
      <c r="D149" s="15"/>
      <c r="E149" s="16"/>
      <c r="F149" s="16"/>
      <c r="G149" s="17"/>
      <c r="H149" s="17"/>
    </row>
    <row r="150" spans="1:8" hidden="1" x14ac:dyDescent="0.35">
      <c r="A150" s="8" t="s">
        <v>39</v>
      </c>
      <c r="B150" s="21"/>
      <c r="C150" s="9" t="s">
        <v>10</v>
      </c>
      <c r="D150" s="10" t="s">
        <v>10</v>
      </c>
      <c r="E150" s="6" t="e">
        <f t="shared" ref="E150" si="218">D150/4</f>
        <v>#VALUE!</v>
      </c>
      <c r="F150" s="11"/>
      <c r="G150" s="7" t="e">
        <f t="shared" ref="G150" si="219">E150*0.25</f>
        <v>#VALUE!</v>
      </c>
      <c r="H150" s="7" t="e">
        <f t="shared" ref="H150" si="220">E150*0.5</f>
        <v>#VALUE!</v>
      </c>
    </row>
    <row r="151" spans="1:8" hidden="1" x14ac:dyDescent="0.35">
      <c r="A151" s="8"/>
      <c r="B151" s="21"/>
      <c r="C151" s="9" t="s">
        <v>10</v>
      </c>
      <c r="D151" s="10" t="s">
        <v>10</v>
      </c>
      <c r="E151" s="11"/>
      <c r="F151" s="11"/>
      <c r="G151" s="12" t="e">
        <f t="shared" ref="G151" si="221">H150+1</f>
        <v>#VALUE!</v>
      </c>
      <c r="H151" s="12" t="e">
        <f t="shared" ref="H151" si="222">E150*1.5</f>
        <v>#VALUE!</v>
      </c>
    </row>
    <row r="152" spans="1:8" hidden="1" x14ac:dyDescent="0.35">
      <c r="A152" s="8"/>
      <c r="B152" s="21"/>
      <c r="C152" s="9" t="s">
        <v>10</v>
      </c>
      <c r="D152" s="10" t="s">
        <v>10</v>
      </c>
      <c r="E152" s="11"/>
      <c r="F152" s="11"/>
      <c r="G152" s="12" t="e">
        <f t="shared" ref="G152" si="223">H151*1</f>
        <v>#VALUE!</v>
      </c>
      <c r="H152" s="12" t="e">
        <f t="shared" ref="H152" si="224">E150*2.5</f>
        <v>#VALUE!</v>
      </c>
    </row>
    <row r="153" spans="1:8" hidden="1" x14ac:dyDescent="0.35">
      <c r="A153" s="8"/>
      <c r="B153" s="21"/>
      <c r="C153" s="9" t="s">
        <v>10</v>
      </c>
      <c r="D153" s="10" t="s">
        <v>10</v>
      </c>
      <c r="E153" s="11"/>
      <c r="F153" s="11"/>
      <c r="G153" s="12" t="e">
        <f t="shared" ref="G153" si="225">H152+1</f>
        <v>#VALUE!</v>
      </c>
      <c r="H153" s="12" t="e">
        <f t="shared" ref="H153" si="226">E150*6</f>
        <v>#VALUE!</v>
      </c>
    </row>
    <row r="154" spans="1:8" hidden="1" x14ac:dyDescent="0.35">
      <c r="A154" s="13"/>
      <c r="B154" s="22"/>
      <c r="C154" s="14"/>
      <c r="D154" s="15"/>
      <c r="E154" s="16"/>
      <c r="F154" s="16"/>
      <c r="G154" s="17"/>
      <c r="H154" s="17"/>
    </row>
    <row r="155" spans="1:8" hidden="1" x14ac:dyDescent="0.35">
      <c r="A155" s="8" t="s">
        <v>40</v>
      </c>
      <c r="B155" s="21"/>
      <c r="C155" s="9" t="s">
        <v>10</v>
      </c>
      <c r="D155" s="10" t="s">
        <v>10</v>
      </c>
      <c r="E155" s="6" t="e">
        <f t="shared" ref="E155" si="227">D155/4</f>
        <v>#VALUE!</v>
      </c>
      <c r="F155" s="11"/>
      <c r="G155" s="7" t="e">
        <f t="shared" ref="G155" si="228">E155*0.25</f>
        <v>#VALUE!</v>
      </c>
      <c r="H155" s="7" t="e">
        <f t="shared" ref="H155" si="229">E155*0.5</f>
        <v>#VALUE!</v>
      </c>
    </row>
    <row r="156" spans="1:8" hidden="1" x14ac:dyDescent="0.35">
      <c r="A156" s="8"/>
      <c r="B156" s="21"/>
      <c r="C156" s="9" t="s">
        <v>10</v>
      </c>
      <c r="D156" s="10" t="s">
        <v>10</v>
      </c>
      <c r="E156" s="11"/>
      <c r="F156" s="11"/>
      <c r="G156" s="12" t="e">
        <f t="shared" ref="G156" si="230">H155+1</f>
        <v>#VALUE!</v>
      </c>
      <c r="H156" s="12" t="e">
        <f t="shared" ref="H156" si="231">E155*1.5</f>
        <v>#VALUE!</v>
      </c>
    </row>
    <row r="157" spans="1:8" hidden="1" x14ac:dyDescent="0.35">
      <c r="A157" s="8"/>
      <c r="B157" s="21"/>
      <c r="C157" s="9" t="s">
        <v>10</v>
      </c>
      <c r="D157" s="10" t="s">
        <v>10</v>
      </c>
      <c r="E157" s="11"/>
      <c r="F157" s="11"/>
      <c r="G157" s="12" t="e">
        <f t="shared" ref="G157" si="232">H156*1</f>
        <v>#VALUE!</v>
      </c>
      <c r="H157" s="12" t="e">
        <f t="shared" ref="H157" si="233">E155*2.5</f>
        <v>#VALUE!</v>
      </c>
    </row>
    <row r="158" spans="1:8" hidden="1" x14ac:dyDescent="0.35">
      <c r="A158" s="8"/>
      <c r="B158" s="21"/>
      <c r="C158" s="9" t="s">
        <v>10</v>
      </c>
      <c r="D158" s="10" t="s">
        <v>10</v>
      </c>
      <c r="E158" s="11"/>
      <c r="F158" s="11"/>
      <c r="G158" s="12" t="e">
        <f t="shared" ref="G158" si="234">H157+1</f>
        <v>#VALUE!</v>
      </c>
      <c r="H158" s="12" t="e">
        <f t="shared" ref="H158" si="235">E155*6</f>
        <v>#VALUE!</v>
      </c>
    </row>
    <row r="159" spans="1:8" hidden="1" x14ac:dyDescent="0.35">
      <c r="A159" s="13"/>
      <c r="B159" s="22"/>
      <c r="C159" s="14"/>
      <c r="D159" s="15"/>
      <c r="E159" s="16"/>
      <c r="F159" s="16"/>
      <c r="G159" s="17"/>
      <c r="H159" s="17"/>
    </row>
    <row r="160" spans="1:8" hidden="1" x14ac:dyDescent="0.35">
      <c r="A160" s="8" t="s">
        <v>41</v>
      </c>
      <c r="B160" s="21"/>
      <c r="C160" s="9" t="s">
        <v>10</v>
      </c>
      <c r="D160" s="10" t="s">
        <v>10</v>
      </c>
      <c r="E160" s="6" t="e">
        <f t="shared" ref="E160" si="236">D160/4</f>
        <v>#VALUE!</v>
      </c>
      <c r="F160" s="11"/>
      <c r="G160" s="7" t="e">
        <f t="shared" ref="G160" si="237">E160*0.25</f>
        <v>#VALUE!</v>
      </c>
      <c r="H160" s="7" t="e">
        <f t="shared" ref="H160" si="238">E160*0.5</f>
        <v>#VALUE!</v>
      </c>
    </row>
    <row r="161" spans="1:8" hidden="1" x14ac:dyDescent="0.35">
      <c r="A161" s="8"/>
      <c r="B161" s="21"/>
      <c r="C161" s="9" t="s">
        <v>10</v>
      </c>
      <c r="D161" s="10" t="s">
        <v>10</v>
      </c>
      <c r="E161" s="11"/>
      <c r="F161" s="11"/>
      <c r="G161" s="12" t="e">
        <f t="shared" ref="G161" si="239">H160+1</f>
        <v>#VALUE!</v>
      </c>
      <c r="H161" s="12" t="e">
        <f t="shared" ref="H161" si="240">E160*1.5</f>
        <v>#VALUE!</v>
      </c>
    </row>
    <row r="162" spans="1:8" hidden="1" x14ac:dyDescent="0.35">
      <c r="A162" s="8"/>
      <c r="B162" s="21"/>
      <c r="C162" s="9" t="s">
        <v>10</v>
      </c>
      <c r="D162" s="10" t="s">
        <v>10</v>
      </c>
      <c r="E162" s="11"/>
      <c r="F162" s="11"/>
      <c r="G162" s="12" t="e">
        <f t="shared" ref="G162" si="241">H161*1</f>
        <v>#VALUE!</v>
      </c>
      <c r="H162" s="12" t="e">
        <f t="shared" ref="H162" si="242">E160*2.5</f>
        <v>#VALUE!</v>
      </c>
    </row>
    <row r="163" spans="1:8" hidden="1" x14ac:dyDescent="0.35">
      <c r="A163" s="8"/>
      <c r="B163" s="21"/>
      <c r="C163" s="9" t="s">
        <v>10</v>
      </c>
      <c r="D163" s="10" t="s">
        <v>10</v>
      </c>
      <c r="E163" s="11"/>
      <c r="F163" s="11"/>
      <c r="G163" s="12" t="e">
        <f t="shared" ref="G163" si="243">H162+1</f>
        <v>#VALUE!</v>
      </c>
      <c r="H163" s="12" t="e">
        <f t="shared" ref="H163" si="244">E160*6</f>
        <v>#VALUE!</v>
      </c>
    </row>
    <row r="164" spans="1:8" hidden="1" x14ac:dyDescent="0.35">
      <c r="A164" s="13"/>
      <c r="B164" s="22"/>
      <c r="C164" s="14"/>
      <c r="D164" s="15"/>
      <c r="E164" s="16"/>
      <c r="F164" s="16"/>
      <c r="G164" s="17"/>
      <c r="H164" s="17"/>
    </row>
    <row r="165" spans="1:8" hidden="1" x14ac:dyDescent="0.35">
      <c r="A165" s="8" t="s">
        <v>42</v>
      </c>
      <c r="B165" s="21"/>
      <c r="C165" s="9" t="s">
        <v>10</v>
      </c>
      <c r="D165" s="10" t="s">
        <v>10</v>
      </c>
      <c r="E165" s="6" t="e">
        <f t="shared" ref="E165" si="245">D165/4</f>
        <v>#VALUE!</v>
      </c>
      <c r="F165" s="11"/>
      <c r="G165" s="7" t="e">
        <f t="shared" ref="G165" si="246">E165*0.25</f>
        <v>#VALUE!</v>
      </c>
      <c r="H165" s="7" t="e">
        <f t="shared" ref="H165" si="247">E165*0.5</f>
        <v>#VALUE!</v>
      </c>
    </row>
    <row r="166" spans="1:8" hidden="1" x14ac:dyDescent="0.35">
      <c r="A166" s="8"/>
      <c r="B166" s="21"/>
      <c r="C166" s="9" t="s">
        <v>10</v>
      </c>
      <c r="D166" s="10" t="s">
        <v>10</v>
      </c>
      <c r="E166" s="11"/>
      <c r="F166" s="11"/>
      <c r="G166" s="12" t="e">
        <f t="shared" ref="G166" si="248">H165+1</f>
        <v>#VALUE!</v>
      </c>
      <c r="H166" s="12" t="e">
        <f t="shared" ref="H166" si="249">E165*1.5</f>
        <v>#VALUE!</v>
      </c>
    </row>
    <row r="167" spans="1:8" hidden="1" x14ac:dyDescent="0.35">
      <c r="A167" s="8"/>
      <c r="B167" s="21"/>
      <c r="C167" s="9" t="s">
        <v>10</v>
      </c>
      <c r="D167" s="10" t="s">
        <v>10</v>
      </c>
      <c r="E167" s="11"/>
      <c r="F167" s="11"/>
      <c r="G167" s="12" t="e">
        <f t="shared" ref="G167" si="250">H166*1</f>
        <v>#VALUE!</v>
      </c>
      <c r="H167" s="12" t="e">
        <f t="shared" ref="H167" si="251">E165*2.5</f>
        <v>#VALUE!</v>
      </c>
    </row>
    <row r="168" spans="1:8" hidden="1" x14ac:dyDescent="0.35">
      <c r="A168" s="8"/>
      <c r="B168" s="21"/>
      <c r="C168" s="9" t="s">
        <v>10</v>
      </c>
      <c r="D168" s="10" t="s">
        <v>10</v>
      </c>
      <c r="E168" s="11"/>
      <c r="F168" s="11"/>
      <c r="G168" s="12" t="e">
        <f t="shared" ref="G168" si="252">H167+1</f>
        <v>#VALUE!</v>
      </c>
      <c r="H168" s="12" t="e">
        <f t="shared" ref="H168" si="253">E165*6</f>
        <v>#VALUE!</v>
      </c>
    </row>
    <row r="169" spans="1:8" hidden="1" x14ac:dyDescent="0.35">
      <c r="A169" s="13"/>
      <c r="B169" s="22"/>
      <c r="C169" s="14"/>
      <c r="D169" s="15"/>
      <c r="E169" s="16"/>
      <c r="F169" s="16"/>
      <c r="G169" s="17"/>
      <c r="H169" s="17"/>
    </row>
    <row r="170" spans="1:8" hidden="1" x14ac:dyDescent="0.35">
      <c r="A170" s="8" t="s">
        <v>43</v>
      </c>
      <c r="B170" s="21"/>
      <c r="C170" s="9" t="s">
        <v>10</v>
      </c>
      <c r="D170" s="10" t="s">
        <v>10</v>
      </c>
      <c r="E170" s="6" t="e">
        <f t="shared" ref="E170" si="254">D170/4</f>
        <v>#VALUE!</v>
      </c>
      <c r="F170" s="11"/>
      <c r="G170" s="7" t="e">
        <f t="shared" ref="G170" si="255">E170*0.25</f>
        <v>#VALUE!</v>
      </c>
      <c r="H170" s="7" t="e">
        <f t="shared" ref="H170" si="256">E170*0.5</f>
        <v>#VALUE!</v>
      </c>
    </row>
    <row r="171" spans="1:8" hidden="1" x14ac:dyDescent="0.35">
      <c r="A171" s="8"/>
      <c r="B171" s="21"/>
      <c r="C171" s="9" t="s">
        <v>10</v>
      </c>
      <c r="D171" s="10" t="s">
        <v>10</v>
      </c>
      <c r="E171" s="11"/>
      <c r="F171" s="11"/>
      <c r="G171" s="12" t="e">
        <f t="shared" ref="G171" si="257">H170+1</f>
        <v>#VALUE!</v>
      </c>
      <c r="H171" s="12" t="e">
        <f t="shared" ref="H171" si="258">E170*1.5</f>
        <v>#VALUE!</v>
      </c>
    </row>
    <row r="172" spans="1:8" hidden="1" x14ac:dyDescent="0.35">
      <c r="A172" s="8"/>
      <c r="B172" s="21"/>
      <c r="C172" s="9" t="s">
        <v>10</v>
      </c>
      <c r="D172" s="10" t="s">
        <v>10</v>
      </c>
      <c r="E172" s="11"/>
      <c r="F172" s="11"/>
      <c r="G172" s="12" t="e">
        <f t="shared" ref="G172" si="259">H171*1</f>
        <v>#VALUE!</v>
      </c>
      <c r="H172" s="12" t="e">
        <f t="shared" ref="H172" si="260">E170*2.5</f>
        <v>#VALUE!</v>
      </c>
    </row>
    <row r="173" spans="1:8" hidden="1" x14ac:dyDescent="0.35">
      <c r="A173" s="8"/>
      <c r="B173" s="21"/>
      <c r="C173" s="9" t="s">
        <v>10</v>
      </c>
      <c r="D173" s="10" t="s">
        <v>10</v>
      </c>
      <c r="E173" s="11"/>
      <c r="F173" s="11"/>
      <c r="G173" s="12" t="e">
        <f t="shared" ref="G173" si="261">H172+1</f>
        <v>#VALUE!</v>
      </c>
      <c r="H173" s="12" t="e">
        <f t="shared" ref="H173" si="262">E170*6</f>
        <v>#VALUE!</v>
      </c>
    </row>
    <row r="174" spans="1:8" hidden="1" x14ac:dyDescent="0.35">
      <c r="A174" s="13"/>
      <c r="B174" s="22"/>
      <c r="C174" s="14"/>
      <c r="D174" s="15"/>
      <c r="E174" s="16"/>
      <c r="F174" s="16"/>
      <c r="G174" s="17"/>
      <c r="H174" s="17"/>
    </row>
    <row r="175" spans="1:8" hidden="1" x14ac:dyDescent="0.35">
      <c r="A175" s="8" t="s">
        <v>44</v>
      </c>
      <c r="B175" s="21"/>
      <c r="C175" s="9" t="s">
        <v>10</v>
      </c>
      <c r="D175" s="10" t="s">
        <v>10</v>
      </c>
      <c r="E175" s="6" t="e">
        <f t="shared" ref="E175" si="263">D175/4</f>
        <v>#VALUE!</v>
      </c>
      <c r="F175" s="11"/>
      <c r="G175" s="7" t="e">
        <f t="shared" ref="G175" si="264">E175*0.25</f>
        <v>#VALUE!</v>
      </c>
      <c r="H175" s="7" t="e">
        <f t="shared" ref="H175" si="265">E175*0.5</f>
        <v>#VALUE!</v>
      </c>
    </row>
    <row r="176" spans="1:8" hidden="1" x14ac:dyDescent="0.35">
      <c r="A176" s="8"/>
      <c r="B176" s="21"/>
      <c r="C176" s="9" t="s">
        <v>10</v>
      </c>
      <c r="D176" s="10" t="s">
        <v>10</v>
      </c>
      <c r="E176" s="11"/>
      <c r="F176" s="11"/>
      <c r="G176" s="12" t="e">
        <f t="shared" ref="G176" si="266">H175+1</f>
        <v>#VALUE!</v>
      </c>
      <c r="H176" s="12" t="e">
        <f t="shared" ref="H176" si="267">E175*1.5</f>
        <v>#VALUE!</v>
      </c>
    </row>
    <row r="177" spans="1:8" hidden="1" x14ac:dyDescent="0.35">
      <c r="A177" s="8"/>
      <c r="B177" s="21"/>
      <c r="C177" s="9" t="s">
        <v>10</v>
      </c>
      <c r="D177" s="10" t="s">
        <v>10</v>
      </c>
      <c r="E177" s="11"/>
      <c r="F177" s="11"/>
      <c r="G177" s="12" t="e">
        <f t="shared" ref="G177" si="268">H176*1</f>
        <v>#VALUE!</v>
      </c>
      <c r="H177" s="12" t="e">
        <f t="shared" ref="H177" si="269">E175*2.5</f>
        <v>#VALUE!</v>
      </c>
    </row>
    <row r="178" spans="1:8" hidden="1" x14ac:dyDescent="0.35">
      <c r="A178" s="8"/>
      <c r="B178" s="21"/>
      <c r="C178" s="9" t="s">
        <v>10</v>
      </c>
      <c r="D178" s="10" t="s">
        <v>10</v>
      </c>
      <c r="E178" s="11"/>
      <c r="F178" s="11"/>
      <c r="G178" s="12" t="e">
        <f t="shared" ref="G178" si="270">H177+1</f>
        <v>#VALUE!</v>
      </c>
      <c r="H178" s="12" t="e">
        <f t="shared" ref="H178" si="271">E175*6</f>
        <v>#VALUE!</v>
      </c>
    </row>
    <row r="179" spans="1:8" hidden="1" x14ac:dyDescent="0.35">
      <c r="A179" s="13"/>
      <c r="B179" s="22"/>
      <c r="C179" s="14"/>
      <c r="D179" s="15"/>
      <c r="E179" s="16"/>
      <c r="F179" s="16"/>
      <c r="G179" s="17"/>
      <c r="H179" s="17"/>
    </row>
    <row r="180" spans="1:8" hidden="1" x14ac:dyDescent="0.35">
      <c r="A180" s="8" t="s">
        <v>45</v>
      </c>
      <c r="B180" s="21"/>
      <c r="C180" s="9" t="s">
        <v>10</v>
      </c>
      <c r="D180" s="10" t="s">
        <v>10</v>
      </c>
      <c r="E180" s="6" t="e">
        <f t="shared" ref="E180" si="272">D180/4</f>
        <v>#VALUE!</v>
      </c>
      <c r="F180" s="11"/>
      <c r="G180" s="7" t="e">
        <f t="shared" ref="G180" si="273">E180*0.25</f>
        <v>#VALUE!</v>
      </c>
      <c r="H180" s="7" t="e">
        <f t="shared" ref="H180" si="274">E180*0.5</f>
        <v>#VALUE!</v>
      </c>
    </row>
    <row r="181" spans="1:8" hidden="1" x14ac:dyDescent="0.35">
      <c r="A181" s="8"/>
      <c r="B181" s="21"/>
      <c r="C181" s="9" t="s">
        <v>10</v>
      </c>
      <c r="D181" s="10" t="s">
        <v>10</v>
      </c>
      <c r="E181" s="11"/>
      <c r="F181" s="11"/>
      <c r="G181" s="12" t="e">
        <f t="shared" ref="G181" si="275">H180+1</f>
        <v>#VALUE!</v>
      </c>
      <c r="H181" s="12" t="e">
        <f t="shared" ref="H181" si="276">E180*1.5</f>
        <v>#VALUE!</v>
      </c>
    </row>
    <row r="182" spans="1:8" hidden="1" x14ac:dyDescent="0.35">
      <c r="A182" s="8"/>
      <c r="B182" s="21"/>
      <c r="C182" s="9" t="s">
        <v>10</v>
      </c>
      <c r="D182" s="10" t="s">
        <v>10</v>
      </c>
      <c r="E182" s="11"/>
      <c r="F182" s="11"/>
      <c r="G182" s="12" t="e">
        <f t="shared" ref="G182" si="277">H181*1</f>
        <v>#VALUE!</v>
      </c>
      <c r="H182" s="12" t="e">
        <f t="shared" ref="H182" si="278">E180*2.5</f>
        <v>#VALUE!</v>
      </c>
    </row>
    <row r="183" spans="1:8" hidden="1" x14ac:dyDescent="0.35">
      <c r="A183" s="8"/>
      <c r="B183" s="21"/>
      <c r="C183" s="9" t="s">
        <v>10</v>
      </c>
      <c r="D183" s="10" t="s">
        <v>10</v>
      </c>
      <c r="E183" s="11"/>
      <c r="F183" s="11"/>
      <c r="G183" s="12" t="e">
        <f t="shared" ref="G183" si="279">H182+1</f>
        <v>#VALUE!</v>
      </c>
      <c r="H183" s="12" t="e">
        <f t="shared" ref="H183" si="280">E180*6</f>
        <v>#VALUE!</v>
      </c>
    </row>
    <row r="184" spans="1:8" hidden="1" x14ac:dyDescent="0.35">
      <c r="A184" s="13"/>
      <c r="B184" s="22"/>
      <c r="C184" s="14"/>
      <c r="D184" s="15"/>
      <c r="E184" s="16"/>
      <c r="F184" s="16"/>
      <c r="G184" s="17"/>
      <c r="H184" s="17"/>
    </row>
    <row r="185" spans="1:8" hidden="1" x14ac:dyDescent="0.35">
      <c r="A185" s="8" t="s">
        <v>46</v>
      </c>
      <c r="B185" s="21"/>
      <c r="C185" s="9" t="s">
        <v>10</v>
      </c>
      <c r="D185" s="10" t="s">
        <v>10</v>
      </c>
      <c r="E185" s="6" t="e">
        <f t="shared" ref="E185" si="281">D185/4</f>
        <v>#VALUE!</v>
      </c>
      <c r="F185" s="11"/>
      <c r="G185" s="7" t="e">
        <f t="shared" ref="G185" si="282">E185*0.25</f>
        <v>#VALUE!</v>
      </c>
      <c r="H185" s="7" t="e">
        <f t="shared" ref="H185" si="283">E185*0.5</f>
        <v>#VALUE!</v>
      </c>
    </row>
    <row r="186" spans="1:8" hidden="1" x14ac:dyDescent="0.35">
      <c r="A186" s="8"/>
      <c r="B186" s="21"/>
      <c r="C186" s="9" t="s">
        <v>10</v>
      </c>
      <c r="D186" s="10" t="s">
        <v>10</v>
      </c>
      <c r="E186" s="11"/>
      <c r="F186" s="11"/>
      <c r="G186" s="12" t="e">
        <f t="shared" ref="G186" si="284">H185+1</f>
        <v>#VALUE!</v>
      </c>
      <c r="H186" s="12" t="e">
        <f t="shared" ref="H186" si="285">E185*1.5</f>
        <v>#VALUE!</v>
      </c>
    </row>
    <row r="187" spans="1:8" hidden="1" x14ac:dyDescent="0.35">
      <c r="A187" s="8"/>
      <c r="B187" s="21"/>
      <c r="C187" s="9" t="s">
        <v>10</v>
      </c>
      <c r="D187" s="10" t="s">
        <v>10</v>
      </c>
      <c r="E187" s="11"/>
      <c r="F187" s="11"/>
      <c r="G187" s="12" t="e">
        <f t="shared" ref="G187" si="286">H186*1</f>
        <v>#VALUE!</v>
      </c>
      <c r="H187" s="12" t="e">
        <f t="shared" ref="H187" si="287">E185*2.5</f>
        <v>#VALUE!</v>
      </c>
    </row>
    <row r="188" spans="1:8" hidden="1" x14ac:dyDescent="0.35">
      <c r="A188" s="8"/>
      <c r="B188" s="21"/>
      <c r="C188" s="9" t="s">
        <v>10</v>
      </c>
      <c r="D188" s="10" t="s">
        <v>10</v>
      </c>
      <c r="E188" s="11"/>
      <c r="F188" s="11"/>
      <c r="G188" s="12" t="e">
        <f t="shared" ref="G188" si="288">H187+1</f>
        <v>#VALUE!</v>
      </c>
      <c r="H188" s="12" t="e">
        <f t="shared" ref="H188" si="289">E185*6</f>
        <v>#VALUE!</v>
      </c>
    </row>
    <row r="189" spans="1:8" hidden="1" x14ac:dyDescent="0.35">
      <c r="A189" s="13"/>
      <c r="B189" s="22"/>
      <c r="C189" s="14"/>
      <c r="D189" s="15"/>
      <c r="E189" s="16"/>
      <c r="F189" s="16"/>
      <c r="G189" s="17"/>
      <c r="H189" s="17"/>
    </row>
    <row r="190" spans="1:8" hidden="1" x14ac:dyDescent="0.35">
      <c r="A190" s="8" t="s">
        <v>47</v>
      </c>
      <c r="B190" s="21"/>
      <c r="C190" s="9" t="s">
        <v>10</v>
      </c>
      <c r="D190" s="10" t="s">
        <v>10</v>
      </c>
      <c r="E190" s="6" t="e">
        <f t="shared" ref="E190" si="290">D190/4</f>
        <v>#VALUE!</v>
      </c>
      <c r="F190" s="11"/>
      <c r="G190" s="7" t="e">
        <f t="shared" ref="G190" si="291">E190*0.25</f>
        <v>#VALUE!</v>
      </c>
      <c r="H190" s="7" t="e">
        <f t="shared" ref="H190" si="292">E190*0.5</f>
        <v>#VALUE!</v>
      </c>
    </row>
    <row r="191" spans="1:8" hidden="1" x14ac:dyDescent="0.35">
      <c r="A191" s="8"/>
      <c r="B191" s="21"/>
      <c r="C191" s="9" t="s">
        <v>10</v>
      </c>
      <c r="D191" s="10" t="s">
        <v>10</v>
      </c>
      <c r="E191" s="11"/>
      <c r="F191" s="11"/>
      <c r="G191" s="12" t="e">
        <f t="shared" ref="G191" si="293">H190+1</f>
        <v>#VALUE!</v>
      </c>
      <c r="H191" s="12" t="e">
        <f t="shared" ref="H191" si="294">E190*1.5</f>
        <v>#VALUE!</v>
      </c>
    </row>
    <row r="192" spans="1:8" hidden="1" x14ac:dyDescent="0.35">
      <c r="A192" s="8"/>
      <c r="B192" s="21"/>
      <c r="C192" s="9" t="s">
        <v>10</v>
      </c>
      <c r="D192" s="10" t="s">
        <v>10</v>
      </c>
      <c r="E192" s="11"/>
      <c r="F192" s="11"/>
      <c r="G192" s="12" t="e">
        <f t="shared" ref="G192" si="295">H191*1</f>
        <v>#VALUE!</v>
      </c>
      <c r="H192" s="12" t="e">
        <f t="shared" ref="H192" si="296">E190*2.5</f>
        <v>#VALUE!</v>
      </c>
    </row>
    <row r="193" spans="1:8" hidden="1" x14ac:dyDescent="0.35">
      <c r="A193" s="8"/>
      <c r="B193" s="21"/>
      <c r="C193" s="9" t="s">
        <v>10</v>
      </c>
      <c r="D193" s="10" t="s">
        <v>10</v>
      </c>
      <c r="E193" s="11"/>
      <c r="F193" s="11"/>
      <c r="G193" s="12" t="e">
        <f t="shared" ref="G193" si="297">H192+1</f>
        <v>#VALUE!</v>
      </c>
      <c r="H193" s="12" t="e">
        <f t="shared" ref="H193" si="298">E190*6</f>
        <v>#VALUE!</v>
      </c>
    </row>
    <row r="194" spans="1:8" hidden="1" x14ac:dyDescent="0.35">
      <c r="A194" s="13"/>
      <c r="B194" s="22"/>
      <c r="C194" s="14"/>
      <c r="D194" s="15"/>
      <c r="E194" s="16"/>
      <c r="F194" s="16"/>
      <c r="G194" s="17"/>
      <c r="H194" s="17"/>
    </row>
    <row r="195" spans="1:8" hidden="1" x14ac:dyDescent="0.35">
      <c r="A195" s="8" t="s">
        <v>48</v>
      </c>
      <c r="B195" s="21"/>
      <c r="C195" s="9" t="s">
        <v>10</v>
      </c>
      <c r="D195" s="10" t="s">
        <v>10</v>
      </c>
      <c r="E195" s="6" t="e">
        <f t="shared" ref="E195" si="299">D195/4</f>
        <v>#VALUE!</v>
      </c>
      <c r="F195" s="11"/>
      <c r="G195" s="7" t="e">
        <f t="shared" ref="G195" si="300">E195*0.25</f>
        <v>#VALUE!</v>
      </c>
      <c r="H195" s="7" t="e">
        <f t="shared" ref="H195" si="301">E195*0.5</f>
        <v>#VALUE!</v>
      </c>
    </row>
    <row r="196" spans="1:8" hidden="1" x14ac:dyDescent="0.35">
      <c r="A196" s="8"/>
      <c r="B196" s="21"/>
      <c r="C196" s="9" t="s">
        <v>10</v>
      </c>
      <c r="D196" s="10" t="s">
        <v>10</v>
      </c>
      <c r="E196" s="11"/>
      <c r="F196" s="11"/>
      <c r="G196" s="12" t="e">
        <f t="shared" ref="G196" si="302">H195+1</f>
        <v>#VALUE!</v>
      </c>
      <c r="H196" s="12" t="e">
        <f t="shared" ref="H196" si="303">E195*1.5</f>
        <v>#VALUE!</v>
      </c>
    </row>
    <row r="197" spans="1:8" hidden="1" x14ac:dyDescent="0.35">
      <c r="A197" s="8"/>
      <c r="B197" s="21"/>
      <c r="C197" s="9" t="s">
        <v>10</v>
      </c>
      <c r="D197" s="10" t="s">
        <v>10</v>
      </c>
      <c r="E197" s="11"/>
      <c r="F197" s="11"/>
      <c r="G197" s="12" t="e">
        <f t="shared" ref="G197" si="304">H196*1</f>
        <v>#VALUE!</v>
      </c>
      <c r="H197" s="12" t="e">
        <f t="shared" ref="H197" si="305">E195*2.5</f>
        <v>#VALUE!</v>
      </c>
    </row>
    <row r="198" spans="1:8" hidden="1" x14ac:dyDescent="0.35">
      <c r="A198" s="8"/>
      <c r="B198" s="21"/>
      <c r="C198" s="9" t="s">
        <v>10</v>
      </c>
      <c r="D198" s="10" t="s">
        <v>10</v>
      </c>
      <c r="E198" s="11"/>
      <c r="F198" s="11"/>
      <c r="G198" s="12" t="e">
        <f t="shared" ref="G198" si="306">H197+1</f>
        <v>#VALUE!</v>
      </c>
      <c r="H198" s="12" t="e">
        <f t="shared" ref="H198" si="307">E195*6</f>
        <v>#VALUE!</v>
      </c>
    </row>
    <row r="199" spans="1:8" hidden="1" x14ac:dyDescent="0.35">
      <c r="A199" s="13"/>
      <c r="B199" s="22"/>
      <c r="C199" s="14"/>
      <c r="D199" s="15"/>
      <c r="E199" s="16"/>
      <c r="F199" s="16"/>
      <c r="G199" s="17"/>
      <c r="H199" s="17"/>
    </row>
    <row r="200" spans="1:8" hidden="1" x14ac:dyDescent="0.35">
      <c r="A200" s="8" t="s">
        <v>49</v>
      </c>
      <c r="B200" s="21"/>
      <c r="C200" s="9" t="s">
        <v>10</v>
      </c>
      <c r="D200" s="10" t="s">
        <v>10</v>
      </c>
      <c r="E200" s="6" t="e">
        <f t="shared" ref="E200" si="308">D200/4</f>
        <v>#VALUE!</v>
      </c>
      <c r="F200" s="11"/>
      <c r="G200" s="7" t="e">
        <f t="shared" ref="G200" si="309">E200*0.25</f>
        <v>#VALUE!</v>
      </c>
      <c r="H200" s="7" t="e">
        <f t="shared" ref="H200" si="310">E200*0.5</f>
        <v>#VALUE!</v>
      </c>
    </row>
    <row r="201" spans="1:8" hidden="1" x14ac:dyDescent="0.35">
      <c r="A201" s="8"/>
      <c r="B201" s="21"/>
      <c r="C201" s="9" t="s">
        <v>10</v>
      </c>
      <c r="D201" s="10" t="s">
        <v>10</v>
      </c>
      <c r="E201" s="11"/>
      <c r="F201" s="11"/>
      <c r="G201" s="12" t="e">
        <f t="shared" ref="G201" si="311">H200+1</f>
        <v>#VALUE!</v>
      </c>
      <c r="H201" s="12" t="e">
        <f t="shared" ref="H201" si="312">E200*1.5</f>
        <v>#VALUE!</v>
      </c>
    </row>
    <row r="202" spans="1:8" hidden="1" x14ac:dyDescent="0.35">
      <c r="A202" s="8"/>
      <c r="B202" s="21"/>
      <c r="C202" s="9" t="s">
        <v>10</v>
      </c>
      <c r="D202" s="10" t="s">
        <v>10</v>
      </c>
      <c r="E202" s="11"/>
      <c r="F202" s="11"/>
      <c r="G202" s="12" t="e">
        <f t="shared" ref="G202" si="313">H201*1</f>
        <v>#VALUE!</v>
      </c>
      <c r="H202" s="12" t="e">
        <f t="shared" ref="H202" si="314">E200*2.5</f>
        <v>#VALUE!</v>
      </c>
    </row>
    <row r="203" spans="1:8" hidden="1" x14ac:dyDescent="0.35">
      <c r="A203" s="8"/>
      <c r="B203" s="21"/>
      <c r="C203" s="9" t="s">
        <v>10</v>
      </c>
      <c r="D203" s="10" t="s">
        <v>10</v>
      </c>
      <c r="E203" s="11"/>
      <c r="F203" s="11"/>
      <c r="G203" s="12" t="e">
        <f t="shared" ref="G203" si="315">H202+1</f>
        <v>#VALUE!</v>
      </c>
      <c r="H203" s="12" t="e">
        <f t="shared" ref="H203" si="316">E200*6</f>
        <v>#VALUE!</v>
      </c>
    </row>
    <row r="204" spans="1:8" hidden="1" x14ac:dyDescent="0.35">
      <c r="A204" s="13"/>
      <c r="B204" s="22"/>
      <c r="C204" s="14"/>
      <c r="D204" s="15"/>
      <c r="E204" s="16"/>
      <c r="F204" s="16"/>
      <c r="G204" s="17"/>
      <c r="H204" s="17"/>
    </row>
    <row r="205" spans="1:8" hidden="1" x14ac:dyDescent="0.35">
      <c r="A205" s="8" t="s">
        <v>50</v>
      </c>
      <c r="B205" s="21"/>
      <c r="C205" s="9" t="s">
        <v>10</v>
      </c>
      <c r="D205" s="10" t="s">
        <v>10</v>
      </c>
      <c r="E205" s="6" t="e">
        <f t="shared" ref="E205" si="317">D205/4</f>
        <v>#VALUE!</v>
      </c>
      <c r="F205" s="11"/>
      <c r="G205" s="7" t="e">
        <f t="shared" ref="G205" si="318">E205*0.25</f>
        <v>#VALUE!</v>
      </c>
      <c r="H205" s="7" t="e">
        <f t="shared" ref="H205" si="319">E205*0.5</f>
        <v>#VALUE!</v>
      </c>
    </row>
    <row r="206" spans="1:8" hidden="1" x14ac:dyDescent="0.35">
      <c r="A206" s="8"/>
      <c r="B206" s="21"/>
      <c r="C206" s="9" t="s">
        <v>10</v>
      </c>
      <c r="D206" s="10" t="s">
        <v>10</v>
      </c>
      <c r="E206" s="11"/>
      <c r="F206" s="11"/>
      <c r="G206" s="12" t="e">
        <f t="shared" ref="G206" si="320">H205+1</f>
        <v>#VALUE!</v>
      </c>
      <c r="H206" s="12" t="e">
        <f t="shared" ref="H206" si="321">E205*1.5</f>
        <v>#VALUE!</v>
      </c>
    </row>
    <row r="207" spans="1:8" hidden="1" x14ac:dyDescent="0.35">
      <c r="A207" s="8"/>
      <c r="B207" s="21"/>
      <c r="C207" s="9" t="s">
        <v>10</v>
      </c>
      <c r="D207" s="10" t="s">
        <v>10</v>
      </c>
      <c r="E207" s="11"/>
      <c r="F207" s="11"/>
      <c r="G207" s="12" t="e">
        <f t="shared" ref="G207" si="322">H206*1</f>
        <v>#VALUE!</v>
      </c>
      <c r="H207" s="12" t="e">
        <f t="shared" ref="H207" si="323">E205*2.5</f>
        <v>#VALUE!</v>
      </c>
    </row>
    <row r="208" spans="1:8" hidden="1" x14ac:dyDescent="0.35">
      <c r="A208" s="8"/>
      <c r="B208" s="21"/>
      <c r="C208" s="9" t="s">
        <v>10</v>
      </c>
      <c r="D208" s="10" t="s">
        <v>10</v>
      </c>
      <c r="E208" s="11"/>
      <c r="F208" s="11"/>
      <c r="G208" s="12" t="e">
        <f t="shared" ref="G208" si="324">H207+1</f>
        <v>#VALUE!</v>
      </c>
      <c r="H208" s="12" t="e">
        <f t="shared" ref="H208" si="325">E205*6</f>
        <v>#VALUE!</v>
      </c>
    </row>
    <row r="209" spans="1:8" hidden="1" x14ac:dyDescent="0.35">
      <c r="A209" s="13"/>
      <c r="B209" s="22"/>
      <c r="C209" s="14"/>
      <c r="D209" s="15"/>
      <c r="E209" s="16"/>
      <c r="F209" s="16"/>
      <c r="G209" s="17"/>
      <c r="H209" s="17"/>
    </row>
    <row r="210" spans="1:8" hidden="1" x14ac:dyDescent="0.35">
      <c r="A210" s="8" t="s">
        <v>51</v>
      </c>
      <c r="B210" s="21"/>
      <c r="C210" s="9" t="s">
        <v>10</v>
      </c>
      <c r="D210" s="10" t="s">
        <v>10</v>
      </c>
      <c r="E210" s="6" t="e">
        <f t="shared" ref="E210" si="326">D210/4</f>
        <v>#VALUE!</v>
      </c>
      <c r="F210" s="11"/>
      <c r="G210" s="7" t="e">
        <f t="shared" ref="G210" si="327">E210*0.25</f>
        <v>#VALUE!</v>
      </c>
      <c r="H210" s="7" t="e">
        <f t="shared" ref="H210" si="328">E210*0.5</f>
        <v>#VALUE!</v>
      </c>
    </row>
    <row r="211" spans="1:8" hidden="1" x14ac:dyDescent="0.35">
      <c r="A211" s="8"/>
      <c r="B211" s="21"/>
      <c r="C211" s="9" t="s">
        <v>10</v>
      </c>
      <c r="D211" s="10" t="s">
        <v>10</v>
      </c>
      <c r="E211" s="11"/>
      <c r="F211" s="11"/>
      <c r="G211" s="12" t="e">
        <f t="shared" ref="G211" si="329">H210+1</f>
        <v>#VALUE!</v>
      </c>
      <c r="H211" s="12" t="e">
        <f t="shared" ref="H211" si="330">E210*1.5</f>
        <v>#VALUE!</v>
      </c>
    </row>
    <row r="212" spans="1:8" hidden="1" x14ac:dyDescent="0.35">
      <c r="A212" s="8"/>
      <c r="B212" s="21"/>
      <c r="C212" s="9" t="s">
        <v>10</v>
      </c>
      <c r="D212" s="10" t="s">
        <v>10</v>
      </c>
      <c r="E212" s="11"/>
      <c r="F212" s="11"/>
      <c r="G212" s="12" t="e">
        <f t="shared" ref="G212" si="331">H211*1</f>
        <v>#VALUE!</v>
      </c>
      <c r="H212" s="12" t="e">
        <f t="shared" ref="H212" si="332">E210*2.5</f>
        <v>#VALUE!</v>
      </c>
    </row>
    <row r="213" spans="1:8" hidden="1" x14ac:dyDescent="0.35">
      <c r="A213" s="8"/>
      <c r="B213" s="21"/>
      <c r="C213" s="9" t="s">
        <v>10</v>
      </c>
      <c r="D213" s="10" t="s">
        <v>10</v>
      </c>
      <c r="E213" s="11"/>
      <c r="F213" s="11"/>
      <c r="G213" s="12" t="e">
        <f t="shared" ref="G213" si="333">H212+1</f>
        <v>#VALUE!</v>
      </c>
      <c r="H213" s="12" t="e">
        <f t="shared" ref="H213" si="334">E210*6</f>
        <v>#VALUE!</v>
      </c>
    </row>
    <row r="214" spans="1:8" hidden="1" x14ac:dyDescent="0.35">
      <c r="A214" s="13"/>
      <c r="B214" s="22"/>
      <c r="C214" s="14"/>
      <c r="D214" s="15"/>
      <c r="E214" s="16"/>
      <c r="F214" s="16"/>
      <c r="G214" s="17"/>
      <c r="H214" s="17"/>
    </row>
    <row r="215" spans="1:8" hidden="1" x14ac:dyDescent="0.35">
      <c r="A215" s="8" t="s">
        <v>52</v>
      </c>
      <c r="B215" s="21"/>
      <c r="C215" s="9" t="s">
        <v>10</v>
      </c>
      <c r="D215" s="10" t="s">
        <v>10</v>
      </c>
      <c r="E215" s="6" t="e">
        <f t="shared" ref="E215" si="335">D215/4</f>
        <v>#VALUE!</v>
      </c>
      <c r="F215" s="11"/>
      <c r="G215" s="7" t="e">
        <f t="shared" ref="G215" si="336">E215*0.25</f>
        <v>#VALUE!</v>
      </c>
      <c r="H215" s="7" t="e">
        <f t="shared" ref="H215" si="337">E215*0.5</f>
        <v>#VALUE!</v>
      </c>
    </row>
    <row r="216" spans="1:8" hidden="1" x14ac:dyDescent="0.35">
      <c r="A216" s="8"/>
      <c r="B216" s="21"/>
      <c r="C216" s="9" t="s">
        <v>10</v>
      </c>
      <c r="D216" s="10" t="s">
        <v>10</v>
      </c>
      <c r="E216" s="11"/>
      <c r="F216" s="11"/>
      <c r="G216" s="12" t="e">
        <f t="shared" ref="G216" si="338">H215+1</f>
        <v>#VALUE!</v>
      </c>
      <c r="H216" s="12" t="e">
        <f t="shared" ref="H216" si="339">E215*1.5</f>
        <v>#VALUE!</v>
      </c>
    </row>
    <row r="217" spans="1:8" hidden="1" x14ac:dyDescent="0.35">
      <c r="A217" s="8"/>
      <c r="B217" s="21"/>
      <c r="C217" s="9" t="s">
        <v>10</v>
      </c>
      <c r="D217" s="10" t="s">
        <v>10</v>
      </c>
      <c r="E217" s="11"/>
      <c r="F217" s="11"/>
      <c r="G217" s="12" t="e">
        <f t="shared" ref="G217" si="340">H216*1</f>
        <v>#VALUE!</v>
      </c>
      <c r="H217" s="12" t="e">
        <f t="shared" ref="H217" si="341">E215*2.5</f>
        <v>#VALUE!</v>
      </c>
    </row>
    <row r="218" spans="1:8" hidden="1" x14ac:dyDescent="0.35">
      <c r="A218" s="8"/>
      <c r="B218" s="21"/>
      <c r="C218" s="9" t="s">
        <v>10</v>
      </c>
      <c r="D218" s="10" t="s">
        <v>10</v>
      </c>
      <c r="E218" s="11"/>
      <c r="F218" s="11"/>
      <c r="G218" s="12" t="e">
        <f t="shared" ref="G218" si="342">H217+1</f>
        <v>#VALUE!</v>
      </c>
      <c r="H218" s="12" t="e">
        <f t="shared" ref="H218" si="343">E215*6</f>
        <v>#VALUE!</v>
      </c>
    </row>
    <row r="219" spans="1:8" hidden="1" x14ac:dyDescent="0.35">
      <c r="A219" s="13"/>
      <c r="B219" s="22"/>
      <c r="C219" s="14"/>
      <c r="D219" s="15"/>
      <c r="E219" s="16"/>
      <c r="F219" s="16"/>
      <c r="G219" s="17"/>
      <c r="H219" s="17"/>
    </row>
    <row r="220" spans="1:8" hidden="1" x14ac:dyDescent="0.35">
      <c r="A220" s="8" t="s">
        <v>53</v>
      </c>
      <c r="B220" s="21"/>
      <c r="C220" s="9" t="s">
        <v>10</v>
      </c>
      <c r="D220" s="10" t="s">
        <v>10</v>
      </c>
      <c r="E220" s="6" t="e">
        <f t="shared" ref="E220" si="344">D220/4</f>
        <v>#VALUE!</v>
      </c>
      <c r="F220" s="11"/>
      <c r="G220" s="7" t="e">
        <f t="shared" ref="G220" si="345">E220*0.25</f>
        <v>#VALUE!</v>
      </c>
      <c r="H220" s="7" t="e">
        <f t="shared" ref="H220" si="346">E220*0.5</f>
        <v>#VALUE!</v>
      </c>
    </row>
    <row r="221" spans="1:8" hidden="1" x14ac:dyDescent="0.35">
      <c r="A221" s="8"/>
      <c r="B221" s="21"/>
      <c r="C221" s="9" t="s">
        <v>10</v>
      </c>
      <c r="D221" s="10" t="s">
        <v>10</v>
      </c>
      <c r="E221" s="11"/>
      <c r="F221" s="11"/>
      <c r="G221" s="12" t="e">
        <f t="shared" ref="G221" si="347">H220+1</f>
        <v>#VALUE!</v>
      </c>
      <c r="H221" s="12" t="e">
        <f t="shared" ref="H221" si="348">E220*1.5</f>
        <v>#VALUE!</v>
      </c>
    </row>
    <row r="222" spans="1:8" hidden="1" x14ac:dyDescent="0.35">
      <c r="A222" s="8"/>
      <c r="B222" s="21"/>
      <c r="C222" s="9" t="s">
        <v>10</v>
      </c>
      <c r="D222" s="10" t="s">
        <v>10</v>
      </c>
      <c r="E222" s="11"/>
      <c r="F222" s="11"/>
      <c r="G222" s="12" t="e">
        <f t="shared" ref="G222" si="349">H221*1</f>
        <v>#VALUE!</v>
      </c>
      <c r="H222" s="12" t="e">
        <f t="shared" ref="H222" si="350">E220*2.5</f>
        <v>#VALUE!</v>
      </c>
    </row>
    <row r="223" spans="1:8" hidden="1" x14ac:dyDescent="0.35">
      <c r="A223" s="8"/>
      <c r="B223" s="21"/>
      <c r="C223" s="9" t="s">
        <v>10</v>
      </c>
      <c r="D223" s="10" t="s">
        <v>10</v>
      </c>
      <c r="E223" s="11"/>
      <c r="F223" s="11"/>
      <c r="G223" s="12" t="e">
        <f t="shared" ref="G223" si="351">H222+1</f>
        <v>#VALUE!</v>
      </c>
      <c r="H223" s="12" t="e">
        <f t="shared" ref="H223" si="352">E220*6</f>
        <v>#VALUE!</v>
      </c>
    </row>
    <row r="224" spans="1:8" hidden="1" x14ac:dyDescent="0.35">
      <c r="A224" s="13"/>
      <c r="B224" s="22"/>
      <c r="C224" s="14"/>
      <c r="D224" s="15"/>
      <c r="E224" s="16"/>
      <c r="F224" s="16"/>
      <c r="G224" s="17"/>
      <c r="H224" s="17"/>
    </row>
    <row r="225" spans="1:8" hidden="1" x14ac:dyDescent="0.35">
      <c r="A225" s="8" t="s">
        <v>54</v>
      </c>
      <c r="B225" s="21"/>
      <c r="C225" s="9" t="s">
        <v>10</v>
      </c>
      <c r="D225" s="10" t="s">
        <v>10</v>
      </c>
      <c r="E225" s="6" t="e">
        <f t="shared" ref="E225" si="353">D225/4</f>
        <v>#VALUE!</v>
      </c>
      <c r="F225" s="11"/>
      <c r="G225" s="7" t="e">
        <f t="shared" ref="G225" si="354">E225*0.25</f>
        <v>#VALUE!</v>
      </c>
      <c r="H225" s="7" t="e">
        <f t="shared" ref="H225" si="355">E225*0.5</f>
        <v>#VALUE!</v>
      </c>
    </row>
    <row r="226" spans="1:8" hidden="1" x14ac:dyDescent="0.35">
      <c r="A226" s="8"/>
      <c r="B226" s="21"/>
      <c r="C226" s="9" t="s">
        <v>10</v>
      </c>
      <c r="D226" s="10" t="s">
        <v>10</v>
      </c>
      <c r="E226" s="11"/>
      <c r="F226" s="11"/>
      <c r="G226" s="12" t="e">
        <f t="shared" ref="G226" si="356">H225+1</f>
        <v>#VALUE!</v>
      </c>
      <c r="H226" s="12" t="e">
        <f t="shared" ref="H226" si="357">E225*1.5</f>
        <v>#VALUE!</v>
      </c>
    </row>
    <row r="227" spans="1:8" hidden="1" x14ac:dyDescent="0.35">
      <c r="A227" s="8"/>
      <c r="B227" s="21"/>
      <c r="C227" s="9" t="s">
        <v>10</v>
      </c>
      <c r="D227" s="10" t="s">
        <v>10</v>
      </c>
      <c r="E227" s="11"/>
      <c r="F227" s="11"/>
      <c r="G227" s="12" t="e">
        <f t="shared" ref="G227" si="358">H226*1</f>
        <v>#VALUE!</v>
      </c>
      <c r="H227" s="12" t="e">
        <f t="shared" ref="H227" si="359">E225*2.5</f>
        <v>#VALUE!</v>
      </c>
    </row>
    <row r="228" spans="1:8" hidden="1" x14ac:dyDescent="0.35">
      <c r="A228" s="8"/>
      <c r="B228" s="21"/>
      <c r="C228" s="9" t="s">
        <v>10</v>
      </c>
      <c r="D228" s="10" t="s">
        <v>10</v>
      </c>
      <c r="E228" s="11"/>
      <c r="F228" s="11"/>
      <c r="G228" s="12" t="e">
        <f t="shared" ref="G228" si="360">H227+1</f>
        <v>#VALUE!</v>
      </c>
      <c r="H228" s="12" t="e">
        <f t="shared" ref="H228" si="361">E225*6</f>
        <v>#VALUE!</v>
      </c>
    </row>
    <row r="229" spans="1:8" hidden="1" x14ac:dyDescent="0.35">
      <c r="A229" s="13"/>
      <c r="B229" s="22"/>
      <c r="C229" s="14"/>
      <c r="D229" s="15"/>
      <c r="E229" s="16"/>
      <c r="F229" s="16"/>
      <c r="G229" s="17"/>
      <c r="H229" s="17"/>
    </row>
    <row r="230" spans="1:8" hidden="1" x14ac:dyDescent="0.35">
      <c r="A230" s="8" t="s">
        <v>55</v>
      </c>
      <c r="B230" s="21"/>
      <c r="C230" s="9" t="s">
        <v>10</v>
      </c>
      <c r="D230" s="10" t="s">
        <v>10</v>
      </c>
      <c r="E230" s="6" t="e">
        <f t="shared" ref="E230" si="362">D230/4</f>
        <v>#VALUE!</v>
      </c>
      <c r="F230" s="11"/>
      <c r="G230" s="7" t="e">
        <f t="shared" ref="G230" si="363">E230*0.25</f>
        <v>#VALUE!</v>
      </c>
      <c r="H230" s="7" t="e">
        <f t="shared" ref="H230" si="364">E230*0.5</f>
        <v>#VALUE!</v>
      </c>
    </row>
    <row r="231" spans="1:8" hidden="1" x14ac:dyDescent="0.35">
      <c r="A231" s="8"/>
      <c r="B231" s="21"/>
      <c r="C231" s="9" t="s">
        <v>10</v>
      </c>
      <c r="D231" s="10" t="s">
        <v>10</v>
      </c>
      <c r="E231" s="11"/>
      <c r="F231" s="11"/>
      <c r="G231" s="12" t="e">
        <f t="shared" ref="G231" si="365">H230+1</f>
        <v>#VALUE!</v>
      </c>
      <c r="H231" s="12" t="e">
        <f t="shared" ref="H231" si="366">E230*1.5</f>
        <v>#VALUE!</v>
      </c>
    </row>
    <row r="232" spans="1:8" hidden="1" x14ac:dyDescent="0.35">
      <c r="A232" s="8"/>
      <c r="B232" s="21"/>
      <c r="C232" s="9" t="s">
        <v>10</v>
      </c>
      <c r="D232" s="10" t="s">
        <v>10</v>
      </c>
      <c r="E232" s="11"/>
      <c r="F232" s="11"/>
      <c r="G232" s="12" t="e">
        <f t="shared" ref="G232" si="367">H231*1</f>
        <v>#VALUE!</v>
      </c>
      <c r="H232" s="12" t="e">
        <f t="shared" ref="H232" si="368">E230*2.5</f>
        <v>#VALUE!</v>
      </c>
    </row>
    <row r="233" spans="1:8" hidden="1" x14ac:dyDescent="0.35">
      <c r="A233" s="8"/>
      <c r="B233" s="21"/>
      <c r="C233" s="9" t="s">
        <v>10</v>
      </c>
      <c r="D233" s="10" t="s">
        <v>10</v>
      </c>
      <c r="E233" s="11"/>
      <c r="F233" s="11"/>
      <c r="G233" s="12" t="e">
        <f t="shared" ref="G233" si="369">H232+1</f>
        <v>#VALUE!</v>
      </c>
      <c r="H233" s="12" t="e">
        <f t="shared" ref="H233" si="370">E230*6</f>
        <v>#VALUE!</v>
      </c>
    </row>
    <row r="234" spans="1:8" hidden="1" x14ac:dyDescent="0.35">
      <c r="A234" s="13"/>
      <c r="B234" s="22"/>
      <c r="C234" s="14"/>
      <c r="D234" s="15"/>
      <c r="E234" s="16"/>
      <c r="F234" s="16"/>
      <c r="G234" s="17"/>
      <c r="H234" s="17"/>
    </row>
    <row r="235" spans="1:8" hidden="1" x14ac:dyDescent="0.35">
      <c r="A235" s="8" t="s">
        <v>56</v>
      </c>
      <c r="B235" s="21"/>
      <c r="C235" s="9" t="s">
        <v>10</v>
      </c>
      <c r="D235" s="10" t="s">
        <v>10</v>
      </c>
      <c r="E235" s="6" t="e">
        <f t="shared" ref="E235" si="371">D235/4</f>
        <v>#VALUE!</v>
      </c>
      <c r="F235" s="11"/>
      <c r="G235" s="7" t="e">
        <f t="shared" ref="G235" si="372">E235*0.25</f>
        <v>#VALUE!</v>
      </c>
      <c r="H235" s="7" t="e">
        <f t="shared" ref="H235" si="373">E235*0.5</f>
        <v>#VALUE!</v>
      </c>
    </row>
    <row r="236" spans="1:8" hidden="1" x14ac:dyDescent="0.35">
      <c r="A236" s="8"/>
      <c r="B236" s="21"/>
      <c r="C236" s="9" t="s">
        <v>10</v>
      </c>
      <c r="D236" s="10" t="s">
        <v>10</v>
      </c>
      <c r="E236" s="11"/>
      <c r="F236" s="11"/>
      <c r="G236" s="12" t="e">
        <f t="shared" ref="G236" si="374">H235+1</f>
        <v>#VALUE!</v>
      </c>
      <c r="H236" s="12" t="e">
        <f t="shared" ref="H236" si="375">E235*1.5</f>
        <v>#VALUE!</v>
      </c>
    </row>
    <row r="237" spans="1:8" hidden="1" x14ac:dyDescent="0.35">
      <c r="A237" s="8"/>
      <c r="B237" s="21"/>
      <c r="C237" s="9" t="s">
        <v>10</v>
      </c>
      <c r="D237" s="10" t="s">
        <v>10</v>
      </c>
      <c r="E237" s="11"/>
      <c r="F237" s="11"/>
      <c r="G237" s="12" t="e">
        <f t="shared" ref="G237" si="376">H236*1</f>
        <v>#VALUE!</v>
      </c>
      <c r="H237" s="12" t="e">
        <f t="shared" ref="H237" si="377">E235*2.5</f>
        <v>#VALUE!</v>
      </c>
    </row>
    <row r="238" spans="1:8" hidden="1" x14ac:dyDescent="0.35">
      <c r="A238" s="8"/>
      <c r="B238" s="21"/>
      <c r="C238" s="9" t="s">
        <v>10</v>
      </c>
      <c r="D238" s="10" t="s">
        <v>10</v>
      </c>
      <c r="E238" s="11"/>
      <c r="F238" s="11"/>
      <c r="G238" s="12" t="e">
        <f t="shared" ref="G238" si="378">H237+1</f>
        <v>#VALUE!</v>
      </c>
      <c r="H238" s="12" t="e">
        <f t="shared" ref="H238" si="379">E235*6</f>
        <v>#VALUE!</v>
      </c>
    </row>
    <row r="239" spans="1:8" hidden="1" x14ac:dyDescent="0.35">
      <c r="A239" s="13"/>
      <c r="B239" s="22"/>
      <c r="C239" s="14"/>
      <c r="D239" s="15"/>
      <c r="E239" s="16"/>
      <c r="F239" s="16"/>
      <c r="G239" s="17"/>
      <c r="H239" s="17"/>
    </row>
    <row r="240" spans="1:8" hidden="1" x14ac:dyDescent="0.35">
      <c r="A240" s="8" t="s">
        <v>57</v>
      </c>
      <c r="B240" s="21"/>
      <c r="C240" s="9" t="s">
        <v>10</v>
      </c>
      <c r="D240" s="10" t="s">
        <v>10</v>
      </c>
      <c r="E240" s="6" t="e">
        <f t="shared" ref="E240" si="380">D240/4</f>
        <v>#VALUE!</v>
      </c>
      <c r="F240" s="11"/>
      <c r="G240" s="7" t="e">
        <f t="shared" ref="G240" si="381">E240*0.25</f>
        <v>#VALUE!</v>
      </c>
      <c r="H240" s="7" t="e">
        <f t="shared" ref="H240" si="382">E240*0.5</f>
        <v>#VALUE!</v>
      </c>
    </row>
    <row r="241" spans="1:8" hidden="1" x14ac:dyDescent="0.35">
      <c r="A241" s="8"/>
      <c r="B241" s="21"/>
      <c r="C241" s="9" t="s">
        <v>10</v>
      </c>
      <c r="D241" s="10" t="s">
        <v>10</v>
      </c>
      <c r="E241" s="11"/>
      <c r="F241" s="11"/>
      <c r="G241" s="12" t="e">
        <f t="shared" ref="G241" si="383">H240+1</f>
        <v>#VALUE!</v>
      </c>
      <c r="H241" s="12" t="e">
        <f t="shared" ref="H241" si="384">E240*1.5</f>
        <v>#VALUE!</v>
      </c>
    </row>
    <row r="242" spans="1:8" hidden="1" x14ac:dyDescent="0.35">
      <c r="A242" s="8"/>
      <c r="B242" s="21"/>
      <c r="C242" s="9" t="s">
        <v>10</v>
      </c>
      <c r="D242" s="10" t="s">
        <v>10</v>
      </c>
      <c r="E242" s="11"/>
      <c r="F242" s="11"/>
      <c r="G242" s="12" t="e">
        <f t="shared" ref="G242" si="385">H241*1</f>
        <v>#VALUE!</v>
      </c>
      <c r="H242" s="12" t="e">
        <f t="shared" ref="H242" si="386">E240*2.5</f>
        <v>#VALUE!</v>
      </c>
    </row>
    <row r="243" spans="1:8" hidden="1" x14ac:dyDescent="0.35">
      <c r="A243" s="8"/>
      <c r="B243" s="21"/>
      <c r="C243" s="9" t="s">
        <v>10</v>
      </c>
      <c r="D243" s="10" t="s">
        <v>10</v>
      </c>
      <c r="E243" s="11"/>
      <c r="F243" s="11"/>
      <c r="G243" s="12" t="e">
        <f t="shared" ref="G243" si="387">H242+1</f>
        <v>#VALUE!</v>
      </c>
      <c r="H243" s="12" t="e">
        <f t="shared" ref="H243" si="388">E240*6</f>
        <v>#VALUE!</v>
      </c>
    </row>
    <row r="244" spans="1:8" hidden="1" x14ac:dyDescent="0.35">
      <c r="A244" s="13"/>
      <c r="B244" s="22"/>
      <c r="C244" s="14"/>
      <c r="D244" s="15"/>
      <c r="E244" s="16"/>
      <c r="F244" s="16"/>
      <c r="G244" s="17"/>
      <c r="H244" s="17"/>
    </row>
    <row r="245" spans="1:8" hidden="1" x14ac:dyDescent="0.35">
      <c r="A245" s="8" t="s">
        <v>58</v>
      </c>
      <c r="B245" s="21"/>
      <c r="C245" s="9" t="s">
        <v>10</v>
      </c>
      <c r="D245" s="10" t="s">
        <v>10</v>
      </c>
      <c r="E245" s="6" t="e">
        <f t="shared" ref="E245" si="389">D245/4</f>
        <v>#VALUE!</v>
      </c>
      <c r="F245" s="11"/>
      <c r="G245" s="7" t="e">
        <f t="shared" ref="G245" si="390">E245*0.25</f>
        <v>#VALUE!</v>
      </c>
      <c r="H245" s="7" t="e">
        <f t="shared" ref="H245" si="391">E245*0.5</f>
        <v>#VALUE!</v>
      </c>
    </row>
    <row r="246" spans="1:8" hidden="1" x14ac:dyDescent="0.35">
      <c r="A246" s="8"/>
      <c r="B246" s="21"/>
      <c r="C246" s="9" t="s">
        <v>10</v>
      </c>
      <c r="D246" s="10" t="s">
        <v>10</v>
      </c>
      <c r="E246" s="11"/>
      <c r="F246" s="11"/>
      <c r="G246" s="12" t="e">
        <f t="shared" ref="G246" si="392">H245+1</f>
        <v>#VALUE!</v>
      </c>
      <c r="H246" s="12" t="e">
        <f t="shared" ref="H246" si="393">E245*1.5</f>
        <v>#VALUE!</v>
      </c>
    </row>
    <row r="247" spans="1:8" hidden="1" x14ac:dyDescent="0.35">
      <c r="A247" s="8"/>
      <c r="B247" s="21"/>
      <c r="C247" s="9" t="s">
        <v>10</v>
      </c>
      <c r="D247" s="10" t="s">
        <v>10</v>
      </c>
      <c r="E247" s="11"/>
      <c r="F247" s="11"/>
      <c r="G247" s="12" t="e">
        <f t="shared" ref="G247" si="394">H246*1</f>
        <v>#VALUE!</v>
      </c>
      <c r="H247" s="12" t="e">
        <f t="shared" ref="H247" si="395">E245*2.5</f>
        <v>#VALUE!</v>
      </c>
    </row>
    <row r="248" spans="1:8" hidden="1" x14ac:dyDescent="0.35">
      <c r="A248" s="8"/>
      <c r="B248" s="21"/>
      <c r="C248" s="9" t="s">
        <v>10</v>
      </c>
      <c r="D248" s="10" t="s">
        <v>10</v>
      </c>
      <c r="E248" s="11"/>
      <c r="F248" s="11"/>
      <c r="G248" s="12" t="e">
        <f t="shared" ref="G248" si="396">H247+1</f>
        <v>#VALUE!</v>
      </c>
      <c r="H248" s="12" t="e">
        <f t="shared" ref="H248" si="397">E245*6</f>
        <v>#VALUE!</v>
      </c>
    </row>
    <row r="249" spans="1:8" hidden="1" x14ac:dyDescent="0.35">
      <c r="A249" s="13"/>
      <c r="B249" s="22"/>
      <c r="C249" s="14"/>
      <c r="D249" s="15"/>
      <c r="E249" s="16"/>
      <c r="F249" s="16"/>
      <c r="G249" s="17"/>
      <c r="H249" s="17"/>
    </row>
    <row r="250" spans="1:8" hidden="1" x14ac:dyDescent="0.35">
      <c r="A250" s="8" t="s">
        <v>59</v>
      </c>
      <c r="B250" s="21"/>
      <c r="C250" s="9" t="s">
        <v>10</v>
      </c>
      <c r="D250" s="10" t="s">
        <v>10</v>
      </c>
      <c r="E250" s="6" t="e">
        <f t="shared" ref="E250" si="398">D250/4</f>
        <v>#VALUE!</v>
      </c>
      <c r="F250" s="11"/>
      <c r="G250" s="7" t="e">
        <f t="shared" ref="G250" si="399">E250*0.25</f>
        <v>#VALUE!</v>
      </c>
      <c r="H250" s="7" t="e">
        <f t="shared" ref="H250" si="400">E250*0.5</f>
        <v>#VALUE!</v>
      </c>
    </row>
    <row r="251" spans="1:8" hidden="1" x14ac:dyDescent="0.35">
      <c r="A251" s="8"/>
      <c r="B251" s="21"/>
      <c r="C251" s="9" t="s">
        <v>10</v>
      </c>
      <c r="D251" s="10" t="s">
        <v>10</v>
      </c>
      <c r="E251" s="11"/>
      <c r="F251" s="11"/>
      <c r="G251" s="12" t="e">
        <f t="shared" ref="G251" si="401">H250+1</f>
        <v>#VALUE!</v>
      </c>
      <c r="H251" s="12" t="e">
        <f t="shared" ref="H251" si="402">E250*1.5</f>
        <v>#VALUE!</v>
      </c>
    </row>
    <row r="252" spans="1:8" hidden="1" x14ac:dyDescent="0.35">
      <c r="A252" s="8"/>
      <c r="B252" s="21"/>
      <c r="C252" s="9" t="s">
        <v>10</v>
      </c>
      <c r="D252" s="10" t="s">
        <v>10</v>
      </c>
      <c r="E252" s="11"/>
      <c r="F252" s="11"/>
      <c r="G252" s="12" t="e">
        <f t="shared" ref="G252" si="403">H251*1</f>
        <v>#VALUE!</v>
      </c>
      <c r="H252" s="12" t="e">
        <f t="shared" ref="H252" si="404">E250*2.5</f>
        <v>#VALUE!</v>
      </c>
    </row>
    <row r="253" spans="1:8" hidden="1" x14ac:dyDescent="0.35">
      <c r="A253" s="8"/>
      <c r="B253" s="21"/>
      <c r="C253" s="9" t="s">
        <v>10</v>
      </c>
      <c r="D253" s="10" t="s">
        <v>10</v>
      </c>
      <c r="E253" s="11"/>
      <c r="F253" s="11"/>
      <c r="G253" s="12" t="e">
        <f t="shared" ref="G253" si="405">H252+1</f>
        <v>#VALUE!</v>
      </c>
      <c r="H253" s="12" t="e">
        <f t="shared" ref="H253" si="406">E250*6</f>
        <v>#VALUE!</v>
      </c>
    </row>
    <row r="254" spans="1:8" hidden="1" x14ac:dyDescent="0.35">
      <c r="A254" s="13"/>
      <c r="B254" s="22"/>
      <c r="C254" s="14"/>
      <c r="D254" s="15"/>
      <c r="E254" s="16"/>
      <c r="F254" s="16"/>
      <c r="G254" s="17"/>
      <c r="H254" s="17"/>
    </row>
    <row r="255" spans="1:8" hidden="1" x14ac:dyDescent="0.35">
      <c r="A255" s="8" t="s">
        <v>60</v>
      </c>
      <c r="B255" s="21"/>
      <c r="C255" s="9" t="s">
        <v>10</v>
      </c>
      <c r="D255" s="10" t="s">
        <v>10</v>
      </c>
      <c r="E255" s="6" t="e">
        <f t="shared" ref="E255" si="407">D255/4</f>
        <v>#VALUE!</v>
      </c>
      <c r="F255" s="11"/>
      <c r="G255" s="7" t="e">
        <f t="shared" ref="G255" si="408">E255*0.25</f>
        <v>#VALUE!</v>
      </c>
      <c r="H255" s="7" t="e">
        <f t="shared" ref="H255" si="409">E255*0.5</f>
        <v>#VALUE!</v>
      </c>
    </row>
    <row r="256" spans="1:8" hidden="1" x14ac:dyDescent="0.35">
      <c r="A256" s="8"/>
      <c r="B256" s="21"/>
      <c r="C256" s="9" t="s">
        <v>10</v>
      </c>
      <c r="D256" s="10" t="s">
        <v>10</v>
      </c>
      <c r="E256" s="11"/>
      <c r="F256" s="11"/>
      <c r="G256" s="12" t="e">
        <f t="shared" ref="G256" si="410">H255+1</f>
        <v>#VALUE!</v>
      </c>
      <c r="H256" s="12" t="e">
        <f t="shared" ref="H256" si="411">E255*1.5</f>
        <v>#VALUE!</v>
      </c>
    </row>
    <row r="257" spans="1:8" hidden="1" x14ac:dyDescent="0.35">
      <c r="A257" s="8"/>
      <c r="B257" s="21"/>
      <c r="C257" s="9" t="s">
        <v>10</v>
      </c>
      <c r="D257" s="10" t="s">
        <v>10</v>
      </c>
      <c r="E257" s="11"/>
      <c r="F257" s="11"/>
      <c r="G257" s="12" t="e">
        <f t="shared" ref="G257" si="412">H256*1</f>
        <v>#VALUE!</v>
      </c>
      <c r="H257" s="12" t="e">
        <f t="shared" ref="H257" si="413">E255*2.5</f>
        <v>#VALUE!</v>
      </c>
    </row>
    <row r="258" spans="1:8" hidden="1" x14ac:dyDescent="0.35">
      <c r="A258" s="8"/>
      <c r="B258" s="21"/>
      <c r="C258" s="9" t="s">
        <v>10</v>
      </c>
      <c r="D258" s="10" t="s">
        <v>10</v>
      </c>
      <c r="E258" s="11"/>
      <c r="F258" s="11"/>
      <c r="G258" s="12" t="e">
        <f t="shared" ref="G258" si="414">H257+1</f>
        <v>#VALUE!</v>
      </c>
      <c r="H258" s="12" t="e">
        <f t="shared" ref="H258" si="415">E255*6</f>
        <v>#VALUE!</v>
      </c>
    </row>
    <row r="259" spans="1:8" hidden="1" x14ac:dyDescent="0.35">
      <c r="A259" s="13"/>
      <c r="B259" s="22"/>
      <c r="C259" s="14"/>
      <c r="D259" s="15"/>
      <c r="E259" s="16"/>
      <c r="F259" s="16"/>
      <c r="G259" s="17"/>
      <c r="H259" s="17"/>
    </row>
    <row r="260" spans="1:8" hidden="1" x14ac:dyDescent="0.35">
      <c r="A260" s="8" t="s">
        <v>61</v>
      </c>
      <c r="B260" s="21"/>
      <c r="C260" s="9" t="s">
        <v>10</v>
      </c>
      <c r="D260" s="10" t="s">
        <v>10</v>
      </c>
      <c r="E260" s="6" t="e">
        <f t="shared" ref="E260" si="416">D260/4</f>
        <v>#VALUE!</v>
      </c>
      <c r="F260" s="11"/>
      <c r="G260" s="7" t="e">
        <f t="shared" ref="G260" si="417">E260*0.25</f>
        <v>#VALUE!</v>
      </c>
      <c r="H260" s="7" t="e">
        <f t="shared" ref="H260" si="418">E260*0.5</f>
        <v>#VALUE!</v>
      </c>
    </row>
    <row r="261" spans="1:8" hidden="1" x14ac:dyDescent="0.35">
      <c r="A261" s="8"/>
      <c r="B261" s="21"/>
      <c r="C261" s="9" t="s">
        <v>10</v>
      </c>
      <c r="D261" s="10" t="s">
        <v>10</v>
      </c>
      <c r="E261" s="11"/>
      <c r="F261" s="11"/>
      <c r="G261" s="12" t="e">
        <f t="shared" ref="G261" si="419">H260+1</f>
        <v>#VALUE!</v>
      </c>
      <c r="H261" s="12" t="e">
        <f t="shared" ref="H261" si="420">E260*1.5</f>
        <v>#VALUE!</v>
      </c>
    </row>
    <row r="262" spans="1:8" hidden="1" x14ac:dyDescent="0.35">
      <c r="A262" s="8"/>
      <c r="B262" s="21"/>
      <c r="C262" s="9" t="s">
        <v>10</v>
      </c>
      <c r="D262" s="10" t="s">
        <v>10</v>
      </c>
      <c r="E262" s="11"/>
      <c r="F262" s="11"/>
      <c r="G262" s="12" t="e">
        <f t="shared" ref="G262" si="421">H261*1</f>
        <v>#VALUE!</v>
      </c>
      <c r="H262" s="12" t="e">
        <f t="shared" ref="H262" si="422">E260*2.5</f>
        <v>#VALUE!</v>
      </c>
    </row>
    <row r="263" spans="1:8" hidden="1" x14ac:dyDescent="0.35">
      <c r="A263" s="8"/>
      <c r="B263" s="21"/>
      <c r="C263" s="9" t="s">
        <v>10</v>
      </c>
      <c r="D263" s="10" t="s">
        <v>10</v>
      </c>
      <c r="E263" s="11"/>
      <c r="F263" s="11"/>
      <c r="G263" s="12" t="e">
        <f t="shared" ref="G263" si="423">H262+1</f>
        <v>#VALUE!</v>
      </c>
      <c r="H263" s="12" t="e">
        <f t="shared" ref="H263" si="424">E260*6</f>
        <v>#VALUE!</v>
      </c>
    </row>
    <row r="264" spans="1:8" hidden="1" x14ac:dyDescent="0.35">
      <c r="A264" s="13"/>
      <c r="B264" s="22"/>
      <c r="C264" s="14"/>
      <c r="D264" s="15"/>
      <c r="E264" s="16"/>
      <c r="F264" s="16"/>
      <c r="G264" s="17"/>
      <c r="H264" s="17"/>
    </row>
    <row r="265" spans="1:8" hidden="1" x14ac:dyDescent="0.35">
      <c r="A265" s="8" t="s">
        <v>62</v>
      </c>
      <c r="B265" s="21"/>
      <c r="C265" s="9" t="s">
        <v>10</v>
      </c>
      <c r="D265" s="10" t="s">
        <v>10</v>
      </c>
      <c r="E265" s="6" t="e">
        <f t="shared" ref="E265" si="425">D265/4</f>
        <v>#VALUE!</v>
      </c>
      <c r="F265" s="11"/>
      <c r="G265" s="7" t="e">
        <f t="shared" ref="G265" si="426">E265*0.25</f>
        <v>#VALUE!</v>
      </c>
      <c r="H265" s="7" t="e">
        <f t="shared" ref="H265" si="427">E265*0.5</f>
        <v>#VALUE!</v>
      </c>
    </row>
    <row r="266" spans="1:8" hidden="1" x14ac:dyDescent="0.35">
      <c r="A266" s="8"/>
      <c r="B266" s="21"/>
      <c r="C266" s="9" t="s">
        <v>10</v>
      </c>
      <c r="D266" s="10" t="s">
        <v>10</v>
      </c>
      <c r="E266" s="11"/>
      <c r="F266" s="11"/>
      <c r="G266" s="12" t="e">
        <f t="shared" ref="G266" si="428">H265+1</f>
        <v>#VALUE!</v>
      </c>
      <c r="H266" s="12" t="e">
        <f t="shared" ref="H266" si="429">E265*1.5</f>
        <v>#VALUE!</v>
      </c>
    </row>
    <row r="267" spans="1:8" hidden="1" x14ac:dyDescent="0.35">
      <c r="A267" s="8"/>
      <c r="B267" s="21"/>
      <c r="C267" s="9" t="s">
        <v>10</v>
      </c>
      <c r="D267" s="10" t="s">
        <v>10</v>
      </c>
      <c r="E267" s="11"/>
      <c r="F267" s="11"/>
      <c r="G267" s="12" t="e">
        <f t="shared" ref="G267" si="430">H266*1</f>
        <v>#VALUE!</v>
      </c>
      <c r="H267" s="12" t="e">
        <f t="shared" ref="H267" si="431">E265*2.5</f>
        <v>#VALUE!</v>
      </c>
    </row>
    <row r="268" spans="1:8" hidden="1" x14ac:dyDescent="0.35">
      <c r="A268" s="8"/>
      <c r="B268" s="21"/>
      <c r="C268" s="9" t="s">
        <v>10</v>
      </c>
      <c r="D268" s="10" t="s">
        <v>10</v>
      </c>
      <c r="E268" s="11"/>
      <c r="F268" s="11"/>
      <c r="G268" s="12" t="e">
        <f t="shared" ref="G268" si="432">H267+1</f>
        <v>#VALUE!</v>
      </c>
      <c r="H268" s="12" t="e">
        <f t="shared" ref="H268" si="433">E265*6</f>
        <v>#VALUE!</v>
      </c>
    </row>
    <row r="269" spans="1:8" hidden="1" x14ac:dyDescent="0.35">
      <c r="A269" s="13"/>
      <c r="B269" s="22"/>
      <c r="C269" s="14"/>
      <c r="D269" s="15"/>
      <c r="E269" s="16"/>
      <c r="F269" s="16"/>
      <c r="G269" s="17"/>
      <c r="H269" s="17"/>
    </row>
    <row r="270" spans="1:8" hidden="1" x14ac:dyDescent="0.35">
      <c r="A270" s="8" t="s">
        <v>63</v>
      </c>
      <c r="B270" s="21"/>
      <c r="C270" s="9" t="s">
        <v>10</v>
      </c>
      <c r="D270" s="10" t="s">
        <v>10</v>
      </c>
      <c r="E270" s="6" t="e">
        <f t="shared" ref="E270" si="434">D270/4</f>
        <v>#VALUE!</v>
      </c>
      <c r="F270" s="11"/>
      <c r="G270" s="7" t="e">
        <f t="shared" ref="G270" si="435">E270*0.25</f>
        <v>#VALUE!</v>
      </c>
      <c r="H270" s="7" t="e">
        <f t="shared" ref="H270" si="436">E270*0.5</f>
        <v>#VALUE!</v>
      </c>
    </row>
    <row r="271" spans="1:8" hidden="1" x14ac:dyDescent="0.35">
      <c r="A271" s="8"/>
      <c r="B271" s="21"/>
      <c r="C271" s="9" t="s">
        <v>10</v>
      </c>
      <c r="D271" s="10" t="s">
        <v>10</v>
      </c>
      <c r="E271" s="11"/>
      <c r="F271" s="11"/>
      <c r="G271" s="12" t="e">
        <f t="shared" ref="G271" si="437">H270+1</f>
        <v>#VALUE!</v>
      </c>
      <c r="H271" s="12" t="e">
        <f t="shared" ref="H271" si="438">E270*1.5</f>
        <v>#VALUE!</v>
      </c>
    </row>
    <row r="272" spans="1:8" hidden="1" x14ac:dyDescent="0.35">
      <c r="A272" s="8"/>
      <c r="B272" s="21"/>
      <c r="C272" s="9" t="s">
        <v>10</v>
      </c>
      <c r="D272" s="10" t="s">
        <v>10</v>
      </c>
      <c r="E272" s="11"/>
      <c r="F272" s="11"/>
      <c r="G272" s="12" t="e">
        <f t="shared" ref="G272" si="439">H271*1</f>
        <v>#VALUE!</v>
      </c>
      <c r="H272" s="12" t="e">
        <f t="shared" ref="H272" si="440">E270*2.5</f>
        <v>#VALUE!</v>
      </c>
    </row>
    <row r="273" spans="1:8" hidden="1" x14ac:dyDescent="0.35">
      <c r="A273" s="8"/>
      <c r="B273" s="21"/>
      <c r="C273" s="9" t="s">
        <v>10</v>
      </c>
      <c r="D273" s="10" t="s">
        <v>10</v>
      </c>
      <c r="E273" s="11"/>
      <c r="F273" s="11"/>
      <c r="G273" s="12" t="e">
        <f t="shared" ref="G273" si="441">H272+1</f>
        <v>#VALUE!</v>
      </c>
      <c r="H273" s="12" t="e">
        <f t="shared" ref="H273" si="442">E270*6</f>
        <v>#VALUE!</v>
      </c>
    </row>
    <row r="274" spans="1:8" hidden="1" x14ac:dyDescent="0.35">
      <c r="A274" s="13"/>
      <c r="B274" s="22"/>
      <c r="C274" s="14"/>
      <c r="D274" s="15"/>
      <c r="E274" s="16"/>
      <c r="F274" s="16"/>
      <c r="G274" s="17"/>
      <c r="H274" s="17"/>
    </row>
    <row r="275" spans="1:8" hidden="1" x14ac:dyDescent="0.35">
      <c r="A275" s="8" t="s">
        <v>64</v>
      </c>
      <c r="B275" s="21"/>
      <c r="C275" s="9" t="s">
        <v>10</v>
      </c>
      <c r="D275" s="10" t="s">
        <v>10</v>
      </c>
      <c r="E275" s="6" t="e">
        <f t="shared" ref="E275" si="443">D275/4</f>
        <v>#VALUE!</v>
      </c>
      <c r="F275" s="11"/>
      <c r="G275" s="7" t="e">
        <f t="shared" ref="G275" si="444">E275*0.25</f>
        <v>#VALUE!</v>
      </c>
      <c r="H275" s="7" t="e">
        <f t="shared" ref="H275" si="445">E275*0.5</f>
        <v>#VALUE!</v>
      </c>
    </row>
    <row r="276" spans="1:8" hidden="1" x14ac:dyDescent="0.35">
      <c r="A276" s="8"/>
      <c r="B276" s="21"/>
      <c r="C276" s="9" t="s">
        <v>10</v>
      </c>
      <c r="D276" s="10" t="s">
        <v>10</v>
      </c>
      <c r="E276" s="11"/>
      <c r="F276" s="11"/>
      <c r="G276" s="12" t="e">
        <f t="shared" ref="G276" si="446">H275+1</f>
        <v>#VALUE!</v>
      </c>
      <c r="H276" s="12" t="e">
        <f t="shared" ref="H276" si="447">E275*1.5</f>
        <v>#VALUE!</v>
      </c>
    </row>
    <row r="277" spans="1:8" hidden="1" x14ac:dyDescent="0.35">
      <c r="A277" s="8"/>
      <c r="B277" s="21"/>
      <c r="C277" s="9" t="s">
        <v>10</v>
      </c>
      <c r="D277" s="10" t="s">
        <v>10</v>
      </c>
      <c r="E277" s="11"/>
      <c r="F277" s="11"/>
      <c r="G277" s="12" t="e">
        <f t="shared" ref="G277" si="448">H276*1</f>
        <v>#VALUE!</v>
      </c>
      <c r="H277" s="12" t="e">
        <f t="shared" ref="H277" si="449">E275*2.5</f>
        <v>#VALUE!</v>
      </c>
    </row>
    <row r="278" spans="1:8" hidden="1" x14ac:dyDescent="0.35">
      <c r="A278" s="8"/>
      <c r="B278" s="21"/>
      <c r="C278" s="9" t="s">
        <v>10</v>
      </c>
      <c r="D278" s="10" t="s">
        <v>10</v>
      </c>
      <c r="E278" s="11"/>
      <c r="F278" s="11"/>
      <c r="G278" s="12" t="e">
        <f t="shared" ref="G278" si="450">H277+1</f>
        <v>#VALUE!</v>
      </c>
      <c r="H278" s="12" t="e">
        <f t="shared" ref="H278" si="451">E275*6</f>
        <v>#VALUE!</v>
      </c>
    </row>
    <row r="279" spans="1:8" hidden="1" x14ac:dyDescent="0.35">
      <c r="A279" s="13"/>
      <c r="B279" s="22"/>
      <c r="C279" s="14"/>
      <c r="D279" s="15"/>
      <c r="E279" s="16"/>
      <c r="F279" s="16"/>
      <c r="G279" s="17"/>
      <c r="H279" s="17"/>
    </row>
    <row r="280" spans="1:8" hidden="1" x14ac:dyDescent="0.35">
      <c r="A280" s="8" t="s">
        <v>65</v>
      </c>
      <c r="B280" s="21"/>
      <c r="C280" s="9" t="s">
        <v>10</v>
      </c>
      <c r="D280" s="10" t="s">
        <v>10</v>
      </c>
      <c r="E280" s="6" t="e">
        <f t="shared" ref="E280" si="452">D280/4</f>
        <v>#VALUE!</v>
      </c>
      <c r="F280" s="11"/>
      <c r="G280" s="7" t="e">
        <f t="shared" ref="G280" si="453">E280*0.25</f>
        <v>#VALUE!</v>
      </c>
      <c r="H280" s="7" t="e">
        <f t="shared" ref="H280" si="454">E280*0.5</f>
        <v>#VALUE!</v>
      </c>
    </row>
    <row r="281" spans="1:8" hidden="1" x14ac:dyDescent="0.35">
      <c r="A281" s="8"/>
      <c r="B281" s="21"/>
      <c r="C281" s="9" t="s">
        <v>10</v>
      </c>
      <c r="D281" s="10" t="s">
        <v>10</v>
      </c>
      <c r="E281" s="11"/>
      <c r="F281" s="11"/>
      <c r="G281" s="12" t="e">
        <f t="shared" ref="G281" si="455">H280+1</f>
        <v>#VALUE!</v>
      </c>
      <c r="H281" s="12" t="e">
        <f t="shared" ref="H281" si="456">E280*1.5</f>
        <v>#VALUE!</v>
      </c>
    </row>
    <row r="282" spans="1:8" hidden="1" x14ac:dyDescent="0.35">
      <c r="A282" s="8"/>
      <c r="B282" s="21"/>
      <c r="C282" s="9" t="s">
        <v>10</v>
      </c>
      <c r="D282" s="10" t="s">
        <v>10</v>
      </c>
      <c r="E282" s="11"/>
      <c r="F282" s="11"/>
      <c r="G282" s="12" t="e">
        <f t="shared" ref="G282" si="457">H281*1</f>
        <v>#VALUE!</v>
      </c>
      <c r="H282" s="12" t="e">
        <f t="shared" ref="H282" si="458">E280*2.5</f>
        <v>#VALUE!</v>
      </c>
    </row>
    <row r="283" spans="1:8" hidden="1" x14ac:dyDescent="0.35">
      <c r="A283" s="8"/>
      <c r="B283" s="21"/>
      <c r="C283" s="9" t="s">
        <v>10</v>
      </c>
      <c r="D283" s="10" t="s">
        <v>10</v>
      </c>
      <c r="E283" s="11"/>
      <c r="F283" s="11"/>
      <c r="G283" s="12" t="e">
        <f t="shared" ref="G283" si="459">H282+1</f>
        <v>#VALUE!</v>
      </c>
      <c r="H283" s="12" t="e">
        <f t="shared" ref="H283" si="460">E280*6</f>
        <v>#VALUE!</v>
      </c>
    </row>
    <row r="284" spans="1:8" hidden="1" x14ac:dyDescent="0.35">
      <c r="A284" s="13"/>
      <c r="B284" s="22"/>
      <c r="C284" s="14"/>
      <c r="D284" s="15"/>
      <c r="E284" s="16"/>
      <c r="F284" s="16"/>
      <c r="G284" s="17"/>
      <c r="H284" s="17"/>
    </row>
    <row r="285" spans="1:8" hidden="1" x14ac:dyDescent="0.35">
      <c r="A285" s="8" t="s">
        <v>66</v>
      </c>
      <c r="B285" s="21"/>
      <c r="C285" s="9" t="s">
        <v>10</v>
      </c>
      <c r="D285" s="10" t="s">
        <v>10</v>
      </c>
      <c r="E285" s="6" t="e">
        <f t="shared" ref="E285" si="461">D285/4</f>
        <v>#VALUE!</v>
      </c>
      <c r="F285" s="11"/>
      <c r="G285" s="7" t="e">
        <f t="shared" ref="G285" si="462">E285*0.25</f>
        <v>#VALUE!</v>
      </c>
      <c r="H285" s="7" t="e">
        <f t="shared" ref="H285" si="463">E285*0.5</f>
        <v>#VALUE!</v>
      </c>
    </row>
    <row r="286" spans="1:8" hidden="1" x14ac:dyDescent="0.35">
      <c r="A286" s="8"/>
      <c r="B286" s="21"/>
      <c r="C286" s="9" t="s">
        <v>10</v>
      </c>
      <c r="D286" s="10" t="s">
        <v>10</v>
      </c>
      <c r="E286" s="11"/>
      <c r="F286" s="11"/>
      <c r="G286" s="12" t="e">
        <f t="shared" ref="G286" si="464">H285+1</f>
        <v>#VALUE!</v>
      </c>
      <c r="H286" s="12" t="e">
        <f t="shared" ref="H286" si="465">E285*1.5</f>
        <v>#VALUE!</v>
      </c>
    </row>
    <row r="287" spans="1:8" hidden="1" x14ac:dyDescent="0.35">
      <c r="A287" s="8"/>
      <c r="B287" s="21"/>
      <c r="C287" s="9" t="s">
        <v>10</v>
      </c>
      <c r="D287" s="10" t="s">
        <v>10</v>
      </c>
      <c r="E287" s="11"/>
      <c r="F287" s="11"/>
      <c r="G287" s="12" t="e">
        <f t="shared" ref="G287" si="466">H286*1</f>
        <v>#VALUE!</v>
      </c>
      <c r="H287" s="12" t="e">
        <f t="shared" ref="H287" si="467">E285*2.5</f>
        <v>#VALUE!</v>
      </c>
    </row>
    <row r="288" spans="1:8" hidden="1" x14ac:dyDescent="0.35">
      <c r="A288" s="8"/>
      <c r="B288" s="21"/>
      <c r="C288" s="9" t="s">
        <v>10</v>
      </c>
      <c r="D288" s="10" t="s">
        <v>10</v>
      </c>
      <c r="E288" s="11"/>
      <c r="F288" s="11"/>
      <c r="G288" s="12" t="e">
        <f t="shared" ref="G288" si="468">H287+1</f>
        <v>#VALUE!</v>
      </c>
      <c r="H288" s="12" t="e">
        <f t="shared" ref="H288" si="469">E285*6</f>
        <v>#VALUE!</v>
      </c>
    </row>
    <row r="289" spans="1:8" hidden="1" x14ac:dyDescent="0.35">
      <c r="A289" s="13"/>
      <c r="B289" s="22"/>
      <c r="C289" s="14"/>
      <c r="D289" s="15"/>
      <c r="E289" s="16"/>
      <c r="F289" s="16"/>
      <c r="G289" s="17"/>
      <c r="H289" s="17"/>
    </row>
    <row r="290" spans="1:8" hidden="1" x14ac:dyDescent="0.35">
      <c r="A290" s="8" t="s">
        <v>67</v>
      </c>
      <c r="B290" s="21"/>
      <c r="C290" s="9" t="s">
        <v>10</v>
      </c>
      <c r="D290" s="10" t="s">
        <v>10</v>
      </c>
      <c r="E290" s="6" t="e">
        <f t="shared" ref="E290" si="470">D290/4</f>
        <v>#VALUE!</v>
      </c>
      <c r="F290" s="11"/>
      <c r="G290" s="7" t="e">
        <f t="shared" ref="G290" si="471">E290*0.25</f>
        <v>#VALUE!</v>
      </c>
      <c r="H290" s="7" t="e">
        <f t="shared" ref="H290" si="472">E290*0.5</f>
        <v>#VALUE!</v>
      </c>
    </row>
    <row r="291" spans="1:8" hidden="1" x14ac:dyDescent="0.35">
      <c r="A291" s="8"/>
      <c r="B291" s="21"/>
      <c r="C291" s="9" t="s">
        <v>10</v>
      </c>
      <c r="D291" s="10" t="s">
        <v>10</v>
      </c>
      <c r="E291" s="11"/>
      <c r="F291" s="11"/>
      <c r="G291" s="12" t="e">
        <f t="shared" ref="G291" si="473">H290+1</f>
        <v>#VALUE!</v>
      </c>
      <c r="H291" s="12" t="e">
        <f t="shared" ref="H291" si="474">E290*1.5</f>
        <v>#VALUE!</v>
      </c>
    </row>
    <row r="292" spans="1:8" hidden="1" x14ac:dyDescent="0.35">
      <c r="A292" s="8"/>
      <c r="B292" s="21"/>
      <c r="C292" s="9" t="s">
        <v>10</v>
      </c>
      <c r="D292" s="10" t="s">
        <v>10</v>
      </c>
      <c r="E292" s="11"/>
      <c r="F292" s="11"/>
      <c r="G292" s="12" t="e">
        <f t="shared" ref="G292" si="475">H291*1</f>
        <v>#VALUE!</v>
      </c>
      <c r="H292" s="12" t="e">
        <f t="shared" ref="H292" si="476">E290*2.5</f>
        <v>#VALUE!</v>
      </c>
    </row>
    <row r="293" spans="1:8" hidden="1" x14ac:dyDescent="0.35">
      <c r="A293" s="8"/>
      <c r="B293" s="21"/>
      <c r="C293" s="9" t="s">
        <v>10</v>
      </c>
      <c r="D293" s="10" t="s">
        <v>10</v>
      </c>
      <c r="E293" s="11"/>
      <c r="F293" s="11"/>
      <c r="G293" s="12" t="e">
        <f t="shared" ref="G293" si="477">H292+1</f>
        <v>#VALUE!</v>
      </c>
      <c r="H293" s="12" t="e">
        <f t="shared" ref="H293" si="478">E290*6</f>
        <v>#VALUE!</v>
      </c>
    </row>
    <row r="294" spans="1:8" hidden="1" x14ac:dyDescent="0.35">
      <c r="A294" s="13"/>
      <c r="B294" s="22"/>
      <c r="C294" s="14"/>
      <c r="D294" s="15"/>
      <c r="E294" s="16"/>
      <c r="F294" s="16"/>
      <c r="G294" s="17"/>
      <c r="H294" s="17"/>
    </row>
    <row r="295" spans="1:8" hidden="1" x14ac:dyDescent="0.35">
      <c r="A295" s="8" t="s">
        <v>68</v>
      </c>
      <c r="B295" s="21"/>
      <c r="C295" s="9" t="s">
        <v>10</v>
      </c>
      <c r="D295" s="10" t="s">
        <v>10</v>
      </c>
      <c r="E295" s="6" t="e">
        <f t="shared" ref="E295" si="479">D295/4</f>
        <v>#VALUE!</v>
      </c>
      <c r="F295" s="11"/>
      <c r="G295" s="7" t="e">
        <f t="shared" ref="G295" si="480">E295*0.25</f>
        <v>#VALUE!</v>
      </c>
      <c r="H295" s="7" t="e">
        <f t="shared" ref="H295" si="481">E295*0.5</f>
        <v>#VALUE!</v>
      </c>
    </row>
    <row r="296" spans="1:8" hidden="1" x14ac:dyDescent="0.35">
      <c r="A296" s="8"/>
      <c r="B296" s="21"/>
      <c r="C296" s="9" t="s">
        <v>10</v>
      </c>
      <c r="D296" s="10" t="s">
        <v>10</v>
      </c>
      <c r="E296" s="11"/>
      <c r="F296" s="11"/>
      <c r="G296" s="12" t="e">
        <f t="shared" ref="G296" si="482">H295+1</f>
        <v>#VALUE!</v>
      </c>
      <c r="H296" s="12" t="e">
        <f t="shared" ref="H296" si="483">E295*1.5</f>
        <v>#VALUE!</v>
      </c>
    </row>
    <row r="297" spans="1:8" hidden="1" x14ac:dyDescent="0.35">
      <c r="A297" s="8"/>
      <c r="B297" s="21"/>
      <c r="C297" s="9" t="s">
        <v>10</v>
      </c>
      <c r="D297" s="10" t="s">
        <v>10</v>
      </c>
      <c r="E297" s="11"/>
      <c r="F297" s="11"/>
      <c r="G297" s="12" t="e">
        <f t="shared" ref="G297" si="484">H296*1</f>
        <v>#VALUE!</v>
      </c>
      <c r="H297" s="12" t="e">
        <f t="shared" ref="H297" si="485">E295*2.5</f>
        <v>#VALUE!</v>
      </c>
    </row>
    <row r="298" spans="1:8" hidden="1" x14ac:dyDescent="0.35">
      <c r="A298" s="8"/>
      <c r="B298" s="21"/>
      <c r="C298" s="9" t="s">
        <v>10</v>
      </c>
      <c r="D298" s="10" t="s">
        <v>10</v>
      </c>
      <c r="E298" s="11"/>
      <c r="F298" s="11"/>
      <c r="G298" s="12" t="e">
        <f t="shared" ref="G298" si="486">H297+1</f>
        <v>#VALUE!</v>
      </c>
      <c r="H298" s="12" t="e">
        <f t="shared" ref="H298" si="487">E295*6</f>
        <v>#VALUE!</v>
      </c>
    </row>
    <row r="299" spans="1:8" hidden="1" x14ac:dyDescent="0.35">
      <c r="A299" s="13"/>
      <c r="B299" s="22"/>
      <c r="C299" s="14"/>
      <c r="D299" s="15"/>
      <c r="E299" s="16"/>
      <c r="F299" s="16"/>
      <c r="G299" s="17"/>
      <c r="H299" s="17"/>
    </row>
    <row r="300" spans="1:8" hidden="1" x14ac:dyDescent="0.35">
      <c r="A300" s="8" t="s">
        <v>69</v>
      </c>
      <c r="B300" s="21"/>
      <c r="C300" s="9" t="s">
        <v>10</v>
      </c>
      <c r="D300" s="10" t="s">
        <v>10</v>
      </c>
      <c r="E300" s="6" t="e">
        <f t="shared" ref="E300" si="488">D300/4</f>
        <v>#VALUE!</v>
      </c>
      <c r="F300" s="11"/>
      <c r="G300" s="7" t="e">
        <f t="shared" ref="G300" si="489">E300*0.25</f>
        <v>#VALUE!</v>
      </c>
      <c r="H300" s="7" t="e">
        <f t="shared" ref="H300" si="490">E300*0.5</f>
        <v>#VALUE!</v>
      </c>
    </row>
    <row r="301" spans="1:8" hidden="1" x14ac:dyDescent="0.35">
      <c r="A301" s="8"/>
      <c r="B301" s="21"/>
      <c r="C301" s="9" t="s">
        <v>10</v>
      </c>
      <c r="D301" s="10" t="s">
        <v>10</v>
      </c>
      <c r="E301" s="11"/>
      <c r="F301" s="11"/>
      <c r="G301" s="12" t="e">
        <f t="shared" ref="G301" si="491">H300+1</f>
        <v>#VALUE!</v>
      </c>
      <c r="H301" s="12" t="e">
        <f t="shared" ref="H301" si="492">E300*1.5</f>
        <v>#VALUE!</v>
      </c>
    </row>
    <row r="302" spans="1:8" hidden="1" x14ac:dyDescent="0.35">
      <c r="A302" s="8"/>
      <c r="B302" s="21"/>
      <c r="C302" s="9" t="s">
        <v>10</v>
      </c>
      <c r="D302" s="10" t="s">
        <v>10</v>
      </c>
      <c r="E302" s="11"/>
      <c r="F302" s="11"/>
      <c r="G302" s="12" t="e">
        <f t="shared" ref="G302" si="493">H301*1</f>
        <v>#VALUE!</v>
      </c>
      <c r="H302" s="12" t="e">
        <f t="shared" ref="H302" si="494">E300*2.5</f>
        <v>#VALUE!</v>
      </c>
    </row>
    <row r="303" spans="1:8" hidden="1" x14ac:dyDescent="0.35">
      <c r="A303" s="8"/>
      <c r="B303" s="21"/>
      <c r="C303" s="9" t="s">
        <v>10</v>
      </c>
      <c r="D303" s="10" t="s">
        <v>10</v>
      </c>
      <c r="E303" s="11"/>
      <c r="F303" s="11"/>
      <c r="G303" s="12" t="e">
        <f t="shared" ref="G303" si="495">H302+1</f>
        <v>#VALUE!</v>
      </c>
      <c r="H303" s="12" t="e">
        <f t="shared" ref="H303" si="496">E300*6</f>
        <v>#VALUE!</v>
      </c>
    </row>
    <row r="304" spans="1:8" hidden="1" x14ac:dyDescent="0.35">
      <c r="A304" s="13"/>
      <c r="B304" s="22"/>
      <c r="C304" s="14"/>
      <c r="D304" s="15"/>
      <c r="E304" s="16"/>
      <c r="F304" s="16"/>
      <c r="G304" s="17"/>
      <c r="H304" s="17"/>
    </row>
    <row r="305" spans="1:8" hidden="1" x14ac:dyDescent="0.35">
      <c r="A305" s="8" t="s">
        <v>70</v>
      </c>
      <c r="B305" s="21"/>
      <c r="C305" s="9" t="s">
        <v>10</v>
      </c>
      <c r="D305" s="10" t="s">
        <v>10</v>
      </c>
      <c r="E305" s="6" t="e">
        <f t="shared" ref="E305" si="497">D305/4</f>
        <v>#VALUE!</v>
      </c>
      <c r="F305" s="11"/>
      <c r="G305" s="7" t="e">
        <f t="shared" ref="G305" si="498">E305*0.25</f>
        <v>#VALUE!</v>
      </c>
      <c r="H305" s="7" t="e">
        <f t="shared" ref="H305" si="499">E305*0.5</f>
        <v>#VALUE!</v>
      </c>
    </row>
    <row r="306" spans="1:8" hidden="1" x14ac:dyDescent="0.35">
      <c r="A306" s="8"/>
      <c r="B306" s="21"/>
      <c r="C306" s="9" t="s">
        <v>10</v>
      </c>
      <c r="D306" s="10" t="s">
        <v>10</v>
      </c>
      <c r="E306" s="11"/>
      <c r="F306" s="11"/>
      <c r="G306" s="12" t="e">
        <f t="shared" ref="G306" si="500">H305+1</f>
        <v>#VALUE!</v>
      </c>
      <c r="H306" s="12" t="e">
        <f t="shared" ref="H306" si="501">E305*1.5</f>
        <v>#VALUE!</v>
      </c>
    </row>
    <row r="307" spans="1:8" hidden="1" x14ac:dyDescent="0.35">
      <c r="A307" s="8"/>
      <c r="B307" s="21"/>
      <c r="C307" s="9" t="s">
        <v>10</v>
      </c>
      <c r="D307" s="10" t="s">
        <v>10</v>
      </c>
      <c r="E307" s="11"/>
      <c r="F307" s="11"/>
      <c r="G307" s="12" t="e">
        <f t="shared" ref="G307" si="502">H306*1</f>
        <v>#VALUE!</v>
      </c>
      <c r="H307" s="12" t="e">
        <f t="shared" ref="H307" si="503">E305*2.5</f>
        <v>#VALUE!</v>
      </c>
    </row>
    <row r="308" spans="1:8" hidden="1" x14ac:dyDescent="0.35">
      <c r="A308" s="8"/>
      <c r="B308" s="21"/>
      <c r="C308" s="9" t="s">
        <v>10</v>
      </c>
      <c r="D308" s="10" t="s">
        <v>10</v>
      </c>
      <c r="E308" s="11"/>
      <c r="F308" s="11"/>
      <c r="G308" s="12" t="e">
        <f t="shared" ref="G308" si="504">H307+1</f>
        <v>#VALUE!</v>
      </c>
      <c r="H308" s="12" t="e">
        <f t="shared" ref="H308" si="505">E305*6</f>
        <v>#VALUE!</v>
      </c>
    </row>
    <row r="309" spans="1:8" hidden="1" x14ac:dyDescent="0.35">
      <c r="A309" s="13"/>
      <c r="B309" s="22"/>
      <c r="C309" s="14"/>
      <c r="D309" s="15"/>
      <c r="E309" s="16"/>
      <c r="F309" s="16"/>
      <c r="G309" s="17"/>
      <c r="H309" s="17"/>
    </row>
    <row r="310" spans="1:8" hidden="1" x14ac:dyDescent="0.35">
      <c r="A310" s="8" t="s">
        <v>71</v>
      </c>
      <c r="B310" s="21"/>
      <c r="C310" s="9" t="s">
        <v>10</v>
      </c>
      <c r="D310" s="10" t="s">
        <v>10</v>
      </c>
      <c r="E310" s="6" t="e">
        <f t="shared" ref="E310" si="506">D310/4</f>
        <v>#VALUE!</v>
      </c>
      <c r="F310" s="11"/>
      <c r="G310" s="7" t="e">
        <f t="shared" ref="G310" si="507">E310*0.25</f>
        <v>#VALUE!</v>
      </c>
      <c r="H310" s="7" t="e">
        <f t="shared" ref="H310" si="508">E310*0.5</f>
        <v>#VALUE!</v>
      </c>
    </row>
    <row r="311" spans="1:8" hidden="1" x14ac:dyDescent="0.35">
      <c r="A311" s="8"/>
      <c r="B311" s="21"/>
      <c r="C311" s="9" t="s">
        <v>10</v>
      </c>
      <c r="D311" s="10" t="s">
        <v>10</v>
      </c>
      <c r="E311" s="11"/>
      <c r="F311" s="11"/>
      <c r="G311" s="12" t="e">
        <f t="shared" ref="G311" si="509">H310+1</f>
        <v>#VALUE!</v>
      </c>
      <c r="H311" s="12" t="e">
        <f t="shared" ref="H311" si="510">E310*1.5</f>
        <v>#VALUE!</v>
      </c>
    </row>
    <row r="312" spans="1:8" hidden="1" x14ac:dyDescent="0.35">
      <c r="A312" s="8"/>
      <c r="B312" s="21"/>
      <c r="C312" s="9" t="s">
        <v>10</v>
      </c>
      <c r="D312" s="10" t="s">
        <v>10</v>
      </c>
      <c r="E312" s="11"/>
      <c r="F312" s="11"/>
      <c r="G312" s="12" t="e">
        <f t="shared" ref="G312" si="511">H311*1</f>
        <v>#VALUE!</v>
      </c>
      <c r="H312" s="12" t="e">
        <f t="shared" ref="H312" si="512">E310*2.5</f>
        <v>#VALUE!</v>
      </c>
    </row>
    <row r="313" spans="1:8" hidden="1" x14ac:dyDescent="0.35">
      <c r="A313" s="8"/>
      <c r="B313" s="21"/>
      <c r="C313" s="9" t="s">
        <v>10</v>
      </c>
      <c r="D313" s="10" t="s">
        <v>10</v>
      </c>
      <c r="E313" s="11"/>
      <c r="F313" s="11"/>
      <c r="G313" s="12" t="e">
        <f t="shared" ref="G313" si="513">H312+1</f>
        <v>#VALUE!</v>
      </c>
      <c r="H313" s="12" t="e">
        <f t="shared" ref="H313" si="514">E310*6</f>
        <v>#VALUE!</v>
      </c>
    </row>
    <row r="314" spans="1:8" hidden="1" x14ac:dyDescent="0.35">
      <c r="A314" s="13"/>
      <c r="B314" s="22"/>
      <c r="C314" s="14"/>
      <c r="D314" s="15"/>
      <c r="E314" s="16"/>
      <c r="F314" s="16"/>
      <c r="G314" s="17"/>
      <c r="H314" s="17"/>
    </row>
    <row r="315" spans="1:8" hidden="1" x14ac:dyDescent="0.35">
      <c r="A315" s="8" t="s">
        <v>72</v>
      </c>
      <c r="B315" s="21"/>
      <c r="C315" s="9" t="s">
        <v>10</v>
      </c>
      <c r="D315" s="10" t="s">
        <v>10</v>
      </c>
      <c r="E315" s="6" t="e">
        <f t="shared" ref="E315" si="515">D315/4</f>
        <v>#VALUE!</v>
      </c>
      <c r="F315" s="11"/>
      <c r="G315" s="7" t="e">
        <f t="shared" ref="G315" si="516">E315*0.25</f>
        <v>#VALUE!</v>
      </c>
      <c r="H315" s="7" t="e">
        <f t="shared" ref="H315" si="517">E315*0.5</f>
        <v>#VALUE!</v>
      </c>
    </row>
    <row r="316" spans="1:8" hidden="1" x14ac:dyDescent="0.35">
      <c r="A316" s="8"/>
      <c r="B316" s="21"/>
      <c r="C316" s="9" t="s">
        <v>10</v>
      </c>
      <c r="D316" s="10" t="s">
        <v>10</v>
      </c>
      <c r="E316" s="11"/>
      <c r="F316" s="11"/>
      <c r="G316" s="12" t="e">
        <f t="shared" ref="G316" si="518">H315+1</f>
        <v>#VALUE!</v>
      </c>
      <c r="H316" s="12" t="e">
        <f t="shared" ref="H316" si="519">E315*1.5</f>
        <v>#VALUE!</v>
      </c>
    </row>
    <row r="317" spans="1:8" hidden="1" x14ac:dyDescent="0.35">
      <c r="A317" s="8"/>
      <c r="B317" s="21"/>
      <c r="C317" s="9" t="s">
        <v>10</v>
      </c>
      <c r="D317" s="10" t="s">
        <v>10</v>
      </c>
      <c r="E317" s="11"/>
      <c r="F317" s="11"/>
      <c r="G317" s="12" t="e">
        <f t="shared" ref="G317" si="520">H316*1</f>
        <v>#VALUE!</v>
      </c>
      <c r="H317" s="12" t="e">
        <f t="shared" ref="H317" si="521">E315*2.5</f>
        <v>#VALUE!</v>
      </c>
    </row>
    <row r="318" spans="1:8" hidden="1" x14ac:dyDescent="0.35">
      <c r="A318" s="8"/>
      <c r="B318" s="21"/>
      <c r="C318" s="9" t="s">
        <v>10</v>
      </c>
      <c r="D318" s="10" t="s">
        <v>10</v>
      </c>
      <c r="E318" s="11"/>
      <c r="F318" s="11"/>
      <c r="G318" s="12" t="e">
        <f t="shared" ref="G318" si="522">H317+1</f>
        <v>#VALUE!</v>
      </c>
      <c r="H318" s="12" t="e">
        <f t="shared" ref="H318" si="523">E315*6</f>
        <v>#VALUE!</v>
      </c>
    </row>
    <row r="319" spans="1:8" hidden="1" x14ac:dyDescent="0.35">
      <c r="A319" s="13"/>
      <c r="B319" s="22"/>
      <c r="C319" s="14"/>
      <c r="D319" s="15"/>
      <c r="E319" s="16"/>
      <c r="F319" s="16"/>
      <c r="G319" s="17"/>
      <c r="H319" s="17"/>
    </row>
    <row r="320" spans="1:8" hidden="1" x14ac:dyDescent="0.35">
      <c r="A320" s="8" t="s">
        <v>73</v>
      </c>
      <c r="B320" s="21"/>
      <c r="C320" s="9" t="s">
        <v>10</v>
      </c>
      <c r="D320" s="10" t="s">
        <v>10</v>
      </c>
      <c r="E320" s="6" t="e">
        <f t="shared" ref="E320" si="524">D320/4</f>
        <v>#VALUE!</v>
      </c>
      <c r="F320" s="11"/>
      <c r="G320" s="7" t="e">
        <f t="shared" ref="G320" si="525">E320*0.25</f>
        <v>#VALUE!</v>
      </c>
      <c r="H320" s="7" t="e">
        <f t="shared" ref="H320" si="526">E320*0.5</f>
        <v>#VALUE!</v>
      </c>
    </row>
    <row r="321" spans="1:8" hidden="1" x14ac:dyDescent="0.35">
      <c r="A321" s="8"/>
      <c r="B321" s="21"/>
      <c r="C321" s="9" t="s">
        <v>10</v>
      </c>
      <c r="D321" s="10" t="s">
        <v>10</v>
      </c>
      <c r="E321" s="11"/>
      <c r="F321" s="11"/>
      <c r="G321" s="12" t="e">
        <f t="shared" ref="G321" si="527">H320+1</f>
        <v>#VALUE!</v>
      </c>
      <c r="H321" s="12" t="e">
        <f t="shared" ref="H321" si="528">E320*1.5</f>
        <v>#VALUE!</v>
      </c>
    </row>
    <row r="322" spans="1:8" hidden="1" x14ac:dyDescent="0.35">
      <c r="A322" s="8"/>
      <c r="B322" s="21"/>
      <c r="C322" s="9" t="s">
        <v>10</v>
      </c>
      <c r="D322" s="10" t="s">
        <v>10</v>
      </c>
      <c r="E322" s="11"/>
      <c r="F322" s="11"/>
      <c r="G322" s="12" t="e">
        <f t="shared" ref="G322" si="529">H321*1</f>
        <v>#VALUE!</v>
      </c>
      <c r="H322" s="12" t="e">
        <f t="shared" ref="H322" si="530">E320*2.5</f>
        <v>#VALUE!</v>
      </c>
    </row>
    <row r="323" spans="1:8" hidden="1" x14ac:dyDescent="0.35">
      <c r="A323" s="8"/>
      <c r="B323" s="21"/>
      <c r="C323" s="9" t="s">
        <v>10</v>
      </c>
      <c r="D323" s="10" t="s">
        <v>10</v>
      </c>
      <c r="E323" s="11"/>
      <c r="F323" s="11"/>
      <c r="G323" s="12" t="e">
        <f t="shared" ref="G323" si="531">H322+1</f>
        <v>#VALUE!</v>
      </c>
      <c r="H323" s="12" t="e">
        <f t="shared" ref="H323" si="532">E320*6</f>
        <v>#VALUE!</v>
      </c>
    </row>
    <row r="324" spans="1:8" hidden="1" x14ac:dyDescent="0.35">
      <c r="A324" s="13"/>
      <c r="B324" s="22"/>
      <c r="C324" s="14"/>
      <c r="D324" s="15"/>
      <c r="E324" s="16"/>
      <c r="F324" s="16"/>
      <c r="G324" s="17"/>
      <c r="H324" s="17"/>
    </row>
    <row r="325" spans="1:8" hidden="1" x14ac:dyDescent="0.35">
      <c r="A325" s="8" t="s">
        <v>74</v>
      </c>
      <c r="B325" s="21"/>
      <c r="C325" s="9" t="s">
        <v>10</v>
      </c>
      <c r="D325" s="10" t="s">
        <v>10</v>
      </c>
      <c r="E325" s="6" t="e">
        <f t="shared" ref="E325" si="533">D325/4</f>
        <v>#VALUE!</v>
      </c>
      <c r="F325" s="11"/>
      <c r="G325" s="7" t="e">
        <f t="shared" ref="G325" si="534">E325*0.25</f>
        <v>#VALUE!</v>
      </c>
      <c r="H325" s="7" t="e">
        <f t="shared" ref="H325" si="535">E325*0.5</f>
        <v>#VALUE!</v>
      </c>
    </row>
    <row r="326" spans="1:8" hidden="1" x14ac:dyDescent="0.35">
      <c r="A326" s="8"/>
      <c r="B326" s="21"/>
      <c r="C326" s="9" t="s">
        <v>10</v>
      </c>
      <c r="D326" s="10" t="s">
        <v>10</v>
      </c>
      <c r="E326" s="11"/>
      <c r="F326" s="11"/>
      <c r="G326" s="12" t="e">
        <f t="shared" ref="G326" si="536">H325+1</f>
        <v>#VALUE!</v>
      </c>
      <c r="H326" s="12" t="e">
        <f t="shared" ref="H326" si="537">E325*1.5</f>
        <v>#VALUE!</v>
      </c>
    </row>
    <row r="327" spans="1:8" hidden="1" x14ac:dyDescent="0.35">
      <c r="A327" s="8"/>
      <c r="B327" s="21"/>
      <c r="C327" s="9" t="s">
        <v>10</v>
      </c>
      <c r="D327" s="10" t="s">
        <v>10</v>
      </c>
      <c r="E327" s="11"/>
      <c r="F327" s="11"/>
      <c r="G327" s="12" t="e">
        <f t="shared" ref="G327" si="538">H326*1</f>
        <v>#VALUE!</v>
      </c>
      <c r="H327" s="12" t="e">
        <f t="shared" ref="H327" si="539">E325*2.5</f>
        <v>#VALUE!</v>
      </c>
    </row>
    <row r="328" spans="1:8" hidden="1" x14ac:dyDescent="0.35">
      <c r="A328" s="8"/>
      <c r="B328" s="21"/>
      <c r="C328" s="9" t="s">
        <v>10</v>
      </c>
      <c r="D328" s="10" t="s">
        <v>10</v>
      </c>
      <c r="E328" s="11"/>
      <c r="F328" s="11"/>
      <c r="G328" s="12" t="e">
        <f t="shared" ref="G328" si="540">H327+1</f>
        <v>#VALUE!</v>
      </c>
      <c r="H328" s="12" t="e">
        <f t="shared" ref="H328" si="541">E325*6</f>
        <v>#VALUE!</v>
      </c>
    </row>
    <row r="329" spans="1:8" hidden="1" x14ac:dyDescent="0.35">
      <c r="A329" s="13"/>
      <c r="B329" s="22"/>
      <c r="C329" s="14"/>
      <c r="D329" s="15"/>
      <c r="E329" s="16"/>
      <c r="F329" s="16"/>
      <c r="G329" s="17"/>
      <c r="H329" s="17"/>
    </row>
    <row r="330" spans="1:8" hidden="1" x14ac:dyDescent="0.35">
      <c r="A330" s="8" t="s">
        <v>75</v>
      </c>
      <c r="B330" s="21"/>
      <c r="C330" s="9" t="s">
        <v>10</v>
      </c>
      <c r="D330" s="10" t="s">
        <v>10</v>
      </c>
      <c r="E330" s="6" t="e">
        <f t="shared" ref="E330" si="542">D330/4</f>
        <v>#VALUE!</v>
      </c>
      <c r="F330" s="11"/>
      <c r="G330" s="7" t="e">
        <f t="shared" ref="G330" si="543">E330*0.25</f>
        <v>#VALUE!</v>
      </c>
      <c r="H330" s="7" t="e">
        <f t="shared" ref="H330" si="544">E330*0.5</f>
        <v>#VALUE!</v>
      </c>
    </row>
    <row r="331" spans="1:8" hidden="1" x14ac:dyDescent="0.35">
      <c r="A331" s="8"/>
      <c r="B331" s="21"/>
      <c r="C331" s="9" t="s">
        <v>10</v>
      </c>
      <c r="D331" s="10" t="s">
        <v>10</v>
      </c>
      <c r="E331" s="11"/>
      <c r="F331" s="11"/>
      <c r="G331" s="12" t="e">
        <f t="shared" ref="G331" si="545">H330+1</f>
        <v>#VALUE!</v>
      </c>
      <c r="H331" s="12" t="e">
        <f t="shared" ref="H331" si="546">E330*1.5</f>
        <v>#VALUE!</v>
      </c>
    </row>
    <row r="332" spans="1:8" hidden="1" x14ac:dyDescent="0.35">
      <c r="A332" s="8"/>
      <c r="B332" s="21"/>
      <c r="C332" s="9" t="s">
        <v>10</v>
      </c>
      <c r="D332" s="10" t="s">
        <v>10</v>
      </c>
      <c r="E332" s="11"/>
      <c r="F332" s="11"/>
      <c r="G332" s="12" t="e">
        <f t="shared" ref="G332" si="547">H331*1</f>
        <v>#VALUE!</v>
      </c>
      <c r="H332" s="12" t="e">
        <f t="shared" ref="H332" si="548">E330*2.5</f>
        <v>#VALUE!</v>
      </c>
    </row>
    <row r="333" spans="1:8" hidden="1" x14ac:dyDescent="0.35">
      <c r="A333" s="8"/>
      <c r="B333" s="21"/>
      <c r="C333" s="9" t="s">
        <v>10</v>
      </c>
      <c r="D333" s="10" t="s">
        <v>10</v>
      </c>
      <c r="E333" s="11"/>
      <c r="F333" s="11"/>
      <c r="G333" s="12" t="e">
        <f t="shared" ref="G333" si="549">H332+1</f>
        <v>#VALUE!</v>
      </c>
      <c r="H333" s="12" t="e">
        <f t="shared" ref="H333" si="550">E330*6</f>
        <v>#VALUE!</v>
      </c>
    </row>
    <row r="334" spans="1:8" hidden="1" x14ac:dyDescent="0.35">
      <c r="A334" s="13"/>
      <c r="B334" s="22"/>
      <c r="C334" s="14"/>
      <c r="D334" s="15"/>
      <c r="E334" s="16"/>
      <c r="F334" s="16"/>
      <c r="G334" s="17"/>
      <c r="H334" s="17"/>
    </row>
    <row r="335" spans="1:8" hidden="1" x14ac:dyDescent="0.35">
      <c r="A335" s="8" t="s">
        <v>76</v>
      </c>
      <c r="B335" s="21"/>
      <c r="C335" s="9" t="s">
        <v>10</v>
      </c>
      <c r="D335" s="10" t="s">
        <v>10</v>
      </c>
      <c r="E335" s="6" t="e">
        <f t="shared" ref="E335" si="551">D335/4</f>
        <v>#VALUE!</v>
      </c>
      <c r="F335" s="11"/>
      <c r="G335" s="7" t="e">
        <f t="shared" ref="G335" si="552">E335*0.25</f>
        <v>#VALUE!</v>
      </c>
      <c r="H335" s="7" t="e">
        <f t="shared" ref="H335" si="553">E335*0.5</f>
        <v>#VALUE!</v>
      </c>
    </row>
    <row r="336" spans="1:8" hidden="1" x14ac:dyDescent="0.35">
      <c r="A336" s="8"/>
      <c r="B336" s="21"/>
      <c r="C336" s="9" t="s">
        <v>10</v>
      </c>
      <c r="D336" s="10" t="s">
        <v>10</v>
      </c>
      <c r="E336" s="11"/>
      <c r="F336" s="11"/>
      <c r="G336" s="12" t="e">
        <f t="shared" ref="G336" si="554">H335+1</f>
        <v>#VALUE!</v>
      </c>
      <c r="H336" s="12" t="e">
        <f t="shared" ref="H336" si="555">E335*1.5</f>
        <v>#VALUE!</v>
      </c>
    </row>
    <row r="337" spans="1:8" hidden="1" x14ac:dyDescent="0.35">
      <c r="A337" s="8"/>
      <c r="B337" s="21"/>
      <c r="C337" s="9" t="s">
        <v>10</v>
      </c>
      <c r="D337" s="10" t="s">
        <v>10</v>
      </c>
      <c r="E337" s="11"/>
      <c r="F337" s="11"/>
      <c r="G337" s="12" t="e">
        <f t="shared" ref="G337" si="556">H336*1</f>
        <v>#VALUE!</v>
      </c>
      <c r="H337" s="12" t="e">
        <f t="shared" ref="H337" si="557">E335*2.5</f>
        <v>#VALUE!</v>
      </c>
    </row>
    <row r="338" spans="1:8" hidden="1" x14ac:dyDescent="0.35">
      <c r="A338" s="8"/>
      <c r="B338" s="21"/>
      <c r="C338" s="9" t="s">
        <v>10</v>
      </c>
      <c r="D338" s="10" t="s">
        <v>10</v>
      </c>
      <c r="E338" s="11"/>
      <c r="F338" s="11"/>
      <c r="G338" s="12" t="e">
        <f t="shared" ref="G338" si="558">H337+1</f>
        <v>#VALUE!</v>
      </c>
      <c r="H338" s="12" t="e">
        <f t="shared" ref="H338" si="559">E335*6</f>
        <v>#VALUE!</v>
      </c>
    </row>
    <row r="339" spans="1:8" hidden="1" x14ac:dyDescent="0.35">
      <c r="A339" s="13"/>
      <c r="B339" s="22"/>
      <c r="C339" s="14"/>
      <c r="D339" s="15"/>
      <c r="E339" s="16"/>
      <c r="F339" s="16"/>
      <c r="G339" s="17"/>
      <c r="H339" s="17"/>
    </row>
    <row r="340" spans="1:8" hidden="1" x14ac:dyDescent="0.35">
      <c r="A340" s="8" t="s">
        <v>77</v>
      </c>
      <c r="B340" s="21"/>
      <c r="C340" s="9" t="s">
        <v>10</v>
      </c>
      <c r="D340" s="10" t="s">
        <v>10</v>
      </c>
      <c r="E340" s="6" t="e">
        <f t="shared" ref="E340" si="560">D340/4</f>
        <v>#VALUE!</v>
      </c>
      <c r="F340" s="11"/>
      <c r="G340" s="7" t="e">
        <f t="shared" ref="G340" si="561">E340*0.25</f>
        <v>#VALUE!</v>
      </c>
      <c r="H340" s="7" t="e">
        <f t="shared" ref="H340" si="562">E340*0.5</f>
        <v>#VALUE!</v>
      </c>
    </row>
    <row r="341" spans="1:8" hidden="1" x14ac:dyDescent="0.35">
      <c r="A341" s="8"/>
      <c r="B341" s="21"/>
      <c r="C341" s="9" t="s">
        <v>10</v>
      </c>
      <c r="D341" s="10" t="s">
        <v>10</v>
      </c>
      <c r="E341" s="11"/>
      <c r="F341" s="11"/>
      <c r="G341" s="12" t="e">
        <f t="shared" ref="G341" si="563">H340+1</f>
        <v>#VALUE!</v>
      </c>
      <c r="H341" s="12" t="e">
        <f t="shared" ref="H341" si="564">E340*1.5</f>
        <v>#VALUE!</v>
      </c>
    </row>
    <row r="342" spans="1:8" hidden="1" x14ac:dyDescent="0.35">
      <c r="A342" s="8"/>
      <c r="B342" s="21"/>
      <c r="C342" s="9" t="s">
        <v>10</v>
      </c>
      <c r="D342" s="10" t="s">
        <v>10</v>
      </c>
      <c r="E342" s="11"/>
      <c r="F342" s="11"/>
      <c r="G342" s="12" t="e">
        <f t="shared" ref="G342" si="565">H341*1</f>
        <v>#VALUE!</v>
      </c>
      <c r="H342" s="12" t="e">
        <f t="shared" ref="H342" si="566">E340*2.5</f>
        <v>#VALUE!</v>
      </c>
    </row>
    <row r="343" spans="1:8" hidden="1" x14ac:dyDescent="0.35">
      <c r="A343" s="8"/>
      <c r="B343" s="21"/>
      <c r="C343" s="9" t="s">
        <v>10</v>
      </c>
      <c r="D343" s="10" t="s">
        <v>10</v>
      </c>
      <c r="E343" s="11"/>
      <c r="F343" s="11"/>
      <c r="G343" s="12" t="e">
        <f t="shared" ref="G343" si="567">H342+1</f>
        <v>#VALUE!</v>
      </c>
      <c r="H343" s="12" t="e">
        <f t="shared" ref="H343" si="568">E340*6</f>
        <v>#VALUE!</v>
      </c>
    </row>
    <row r="344" spans="1:8" hidden="1" x14ac:dyDescent="0.35">
      <c r="A344" s="13"/>
      <c r="B344" s="22"/>
      <c r="C344" s="14"/>
      <c r="D344" s="15"/>
      <c r="E344" s="16"/>
      <c r="F344" s="16"/>
      <c r="G344" s="17"/>
      <c r="H344" s="17"/>
    </row>
    <row r="345" spans="1:8" hidden="1" x14ac:dyDescent="0.35">
      <c r="A345" s="8" t="s">
        <v>78</v>
      </c>
      <c r="B345" s="21"/>
      <c r="C345" s="9" t="s">
        <v>10</v>
      </c>
      <c r="D345" s="10" t="s">
        <v>10</v>
      </c>
      <c r="E345" s="6" t="e">
        <f t="shared" ref="E345" si="569">D345/4</f>
        <v>#VALUE!</v>
      </c>
      <c r="F345" s="11"/>
      <c r="G345" s="7" t="e">
        <f t="shared" ref="G345" si="570">E345*0.25</f>
        <v>#VALUE!</v>
      </c>
      <c r="H345" s="7" t="e">
        <f t="shared" ref="H345" si="571">E345*0.5</f>
        <v>#VALUE!</v>
      </c>
    </row>
    <row r="346" spans="1:8" hidden="1" x14ac:dyDescent="0.35">
      <c r="A346" s="8"/>
      <c r="B346" s="21"/>
      <c r="C346" s="9" t="s">
        <v>10</v>
      </c>
      <c r="D346" s="10" t="s">
        <v>10</v>
      </c>
      <c r="E346" s="11"/>
      <c r="F346" s="11"/>
      <c r="G346" s="12" t="e">
        <f t="shared" ref="G346" si="572">H345+1</f>
        <v>#VALUE!</v>
      </c>
      <c r="H346" s="12" t="e">
        <f t="shared" ref="H346" si="573">E345*1.5</f>
        <v>#VALUE!</v>
      </c>
    </row>
    <row r="347" spans="1:8" hidden="1" x14ac:dyDescent="0.35">
      <c r="A347" s="8"/>
      <c r="B347" s="21"/>
      <c r="C347" s="9" t="s">
        <v>10</v>
      </c>
      <c r="D347" s="10" t="s">
        <v>10</v>
      </c>
      <c r="E347" s="11"/>
      <c r="F347" s="11"/>
      <c r="G347" s="12" t="e">
        <f t="shared" ref="G347" si="574">H346*1</f>
        <v>#VALUE!</v>
      </c>
      <c r="H347" s="12" t="e">
        <f t="shared" ref="H347" si="575">E345*2.5</f>
        <v>#VALUE!</v>
      </c>
    </row>
    <row r="348" spans="1:8" hidden="1" x14ac:dyDescent="0.35">
      <c r="A348" s="8"/>
      <c r="B348" s="21"/>
      <c r="C348" s="9" t="s">
        <v>10</v>
      </c>
      <c r="D348" s="10" t="s">
        <v>10</v>
      </c>
      <c r="E348" s="11"/>
      <c r="F348" s="11"/>
      <c r="G348" s="12" t="e">
        <f t="shared" ref="G348" si="576">H347+1</f>
        <v>#VALUE!</v>
      </c>
      <c r="H348" s="12" t="e">
        <f t="shared" ref="H348" si="577">E345*6</f>
        <v>#VALUE!</v>
      </c>
    </row>
    <row r="349" spans="1:8" hidden="1" x14ac:dyDescent="0.35">
      <c r="A349" s="13"/>
      <c r="B349" s="22"/>
      <c r="C349" s="14"/>
      <c r="D349" s="15"/>
      <c r="E349" s="16"/>
      <c r="F349" s="16"/>
      <c r="G349" s="17"/>
      <c r="H349" s="17"/>
    </row>
    <row r="350" spans="1:8" hidden="1" x14ac:dyDescent="0.35">
      <c r="A350" s="8" t="s">
        <v>79</v>
      </c>
      <c r="B350" s="21"/>
      <c r="C350" s="9" t="s">
        <v>10</v>
      </c>
      <c r="D350" s="10" t="s">
        <v>10</v>
      </c>
      <c r="E350" s="6" t="e">
        <f t="shared" ref="E350" si="578">D350/4</f>
        <v>#VALUE!</v>
      </c>
      <c r="F350" s="11"/>
      <c r="G350" s="7" t="e">
        <f t="shared" ref="G350" si="579">E350*0.25</f>
        <v>#VALUE!</v>
      </c>
      <c r="H350" s="7" t="e">
        <f t="shared" ref="H350" si="580">E350*0.5</f>
        <v>#VALUE!</v>
      </c>
    </row>
    <row r="351" spans="1:8" hidden="1" x14ac:dyDescent="0.35">
      <c r="A351" s="8"/>
      <c r="B351" s="21"/>
      <c r="C351" s="9" t="s">
        <v>10</v>
      </c>
      <c r="D351" s="10" t="s">
        <v>10</v>
      </c>
      <c r="E351" s="11"/>
      <c r="F351" s="11"/>
      <c r="G351" s="12" t="e">
        <f t="shared" ref="G351" si="581">H350+1</f>
        <v>#VALUE!</v>
      </c>
      <c r="H351" s="12" t="e">
        <f t="shared" ref="H351" si="582">E350*1.5</f>
        <v>#VALUE!</v>
      </c>
    </row>
    <row r="352" spans="1:8" hidden="1" x14ac:dyDescent="0.35">
      <c r="A352" s="8"/>
      <c r="B352" s="21"/>
      <c r="C352" s="9" t="s">
        <v>10</v>
      </c>
      <c r="D352" s="10" t="s">
        <v>10</v>
      </c>
      <c r="E352" s="11"/>
      <c r="F352" s="11"/>
      <c r="G352" s="12" t="e">
        <f t="shared" ref="G352" si="583">H351*1</f>
        <v>#VALUE!</v>
      </c>
      <c r="H352" s="12" t="e">
        <f t="shared" ref="H352" si="584">E350*2.5</f>
        <v>#VALUE!</v>
      </c>
    </row>
    <row r="353" spans="1:8" hidden="1" x14ac:dyDescent="0.35">
      <c r="A353" s="8"/>
      <c r="B353" s="21"/>
      <c r="C353" s="9" t="s">
        <v>10</v>
      </c>
      <c r="D353" s="10" t="s">
        <v>10</v>
      </c>
      <c r="E353" s="11"/>
      <c r="F353" s="11"/>
      <c r="G353" s="12" t="e">
        <f t="shared" ref="G353" si="585">H352+1</f>
        <v>#VALUE!</v>
      </c>
      <c r="H353" s="12" t="e">
        <f t="shared" ref="H353" si="586">E350*6</f>
        <v>#VALUE!</v>
      </c>
    </row>
    <row r="354" spans="1:8" hidden="1" x14ac:dyDescent="0.35">
      <c r="A354" s="13"/>
      <c r="B354" s="22"/>
      <c r="C354" s="14"/>
      <c r="D354" s="15"/>
      <c r="E354" s="16"/>
      <c r="F354" s="16"/>
      <c r="G354" s="17"/>
      <c r="H354" s="17"/>
    </row>
    <row r="355" spans="1:8" hidden="1" x14ac:dyDescent="0.35">
      <c r="A355" s="8" t="s">
        <v>80</v>
      </c>
      <c r="B355" s="21"/>
      <c r="C355" s="9" t="s">
        <v>10</v>
      </c>
      <c r="D355" s="10" t="s">
        <v>10</v>
      </c>
      <c r="E355" s="6" t="e">
        <f t="shared" ref="E355" si="587">D355/4</f>
        <v>#VALUE!</v>
      </c>
      <c r="F355" s="11"/>
      <c r="G355" s="7" t="e">
        <f t="shared" ref="G355" si="588">E355*0.25</f>
        <v>#VALUE!</v>
      </c>
      <c r="H355" s="7" t="e">
        <f t="shared" ref="H355" si="589">E355*0.5</f>
        <v>#VALUE!</v>
      </c>
    </row>
    <row r="356" spans="1:8" hidden="1" x14ac:dyDescent="0.35">
      <c r="A356" s="8"/>
      <c r="B356" s="21"/>
      <c r="C356" s="9" t="s">
        <v>10</v>
      </c>
      <c r="D356" s="10" t="s">
        <v>10</v>
      </c>
      <c r="E356" s="11"/>
      <c r="F356" s="11"/>
      <c r="G356" s="12" t="e">
        <f t="shared" ref="G356" si="590">H355+1</f>
        <v>#VALUE!</v>
      </c>
      <c r="H356" s="12" t="e">
        <f t="shared" ref="H356" si="591">E355*1.5</f>
        <v>#VALUE!</v>
      </c>
    </row>
    <row r="357" spans="1:8" hidden="1" x14ac:dyDescent="0.35">
      <c r="A357" s="8"/>
      <c r="B357" s="21"/>
      <c r="C357" s="9" t="s">
        <v>10</v>
      </c>
      <c r="D357" s="10" t="s">
        <v>10</v>
      </c>
      <c r="E357" s="11"/>
      <c r="F357" s="11"/>
      <c r="G357" s="12" t="e">
        <f t="shared" ref="G357" si="592">H356*1</f>
        <v>#VALUE!</v>
      </c>
      <c r="H357" s="12" t="e">
        <f t="shared" ref="H357" si="593">E355*2.5</f>
        <v>#VALUE!</v>
      </c>
    </row>
    <row r="358" spans="1:8" hidden="1" x14ac:dyDescent="0.35">
      <c r="A358" s="8"/>
      <c r="B358" s="21"/>
      <c r="C358" s="9" t="s">
        <v>10</v>
      </c>
      <c r="D358" s="10" t="s">
        <v>10</v>
      </c>
      <c r="E358" s="11"/>
      <c r="F358" s="11"/>
      <c r="G358" s="12" t="e">
        <f t="shared" ref="G358" si="594">H357+1</f>
        <v>#VALUE!</v>
      </c>
      <c r="H358" s="12" t="e">
        <f t="shared" ref="H358" si="595">E355*6</f>
        <v>#VALUE!</v>
      </c>
    </row>
    <row r="359" spans="1:8" hidden="1" x14ac:dyDescent="0.35">
      <c r="A359" s="13"/>
      <c r="B359" s="22"/>
      <c r="C359" s="14"/>
      <c r="D359" s="15"/>
      <c r="E359" s="16"/>
      <c r="F359" s="16"/>
      <c r="G359" s="17"/>
      <c r="H359" s="17"/>
    </row>
    <row r="360" spans="1:8" hidden="1" x14ac:dyDescent="0.35">
      <c r="A360" s="8" t="s">
        <v>81</v>
      </c>
      <c r="B360" s="21"/>
      <c r="C360" s="9" t="s">
        <v>10</v>
      </c>
      <c r="D360" s="10" t="s">
        <v>10</v>
      </c>
      <c r="E360" s="6" t="e">
        <f t="shared" ref="E360" si="596">D360/4</f>
        <v>#VALUE!</v>
      </c>
      <c r="F360" s="11"/>
      <c r="G360" s="7" t="e">
        <f t="shared" ref="G360" si="597">E360*0.25</f>
        <v>#VALUE!</v>
      </c>
      <c r="H360" s="7" t="e">
        <f t="shared" ref="H360" si="598">E360*0.5</f>
        <v>#VALUE!</v>
      </c>
    </row>
    <row r="361" spans="1:8" hidden="1" x14ac:dyDescent="0.35">
      <c r="A361" s="8"/>
      <c r="B361" s="21"/>
      <c r="C361" s="9" t="s">
        <v>10</v>
      </c>
      <c r="D361" s="10" t="s">
        <v>10</v>
      </c>
      <c r="E361" s="11"/>
      <c r="F361" s="11"/>
      <c r="G361" s="12" t="e">
        <f t="shared" ref="G361" si="599">H360+1</f>
        <v>#VALUE!</v>
      </c>
      <c r="H361" s="12" t="e">
        <f t="shared" ref="H361" si="600">E360*1.5</f>
        <v>#VALUE!</v>
      </c>
    </row>
    <row r="362" spans="1:8" hidden="1" x14ac:dyDescent="0.35">
      <c r="A362" s="8"/>
      <c r="B362" s="21"/>
      <c r="C362" s="9" t="s">
        <v>10</v>
      </c>
      <c r="D362" s="10" t="s">
        <v>10</v>
      </c>
      <c r="E362" s="11"/>
      <c r="F362" s="11"/>
      <c r="G362" s="12" t="e">
        <f t="shared" ref="G362" si="601">H361*1</f>
        <v>#VALUE!</v>
      </c>
      <c r="H362" s="12" t="e">
        <f t="shared" ref="H362" si="602">E360*2.5</f>
        <v>#VALUE!</v>
      </c>
    </row>
    <row r="363" spans="1:8" hidden="1" x14ac:dyDescent="0.35">
      <c r="A363" s="8"/>
      <c r="B363" s="21"/>
      <c r="C363" s="9" t="s">
        <v>10</v>
      </c>
      <c r="D363" s="10" t="s">
        <v>10</v>
      </c>
      <c r="E363" s="11"/>
      <c r="F363" s="11"/>
      <c r="G363" s="12" t="e">
        <f t="shared" ref="G363" si="603">H362+1</f>
        <v>#VALUE!</v>
      </c>
      <c r="H363" s="12" t="e">
        <f t="shared" ref="H363" si="604">E360*6</f>
        <v>#VALUE!</v>
      </c>
    </row>
    <row r="364" spans="1:8" hidden="1" x14ac:dyDescent="0.35">
      <c r="A364" s="13"/>
      <c r="B364" s="22"/>
      <c r="C364" s="14"/>
      <c r="D364" s="15"/>
      <c r="E364" s="16"/>
      <c r="F364" s="16"/>
      <c r="G364" s="17"/>
      <c r="H364" s="17"/>
    </row>
    <row r="365" spans="1:8" hidden="1" x14ac:dyDescent="0.35">
      <c r="A365" s="8" t="s">
        <v>82</v>
      </c>
      <c r="B365" s="21"/>
      <c r="C365" s="9" t="s">
        <v>10</v>
      </c>
      <c r="D365" s="10" t="s">
        <v>10</v>
      </c>
      <c r="E365" s="6" t="e">
        <f t="shared" ref="E365" si="605">D365/4</f>
        <v>#VALUE!</v>
      </c>
      <c r="F365" s="11"/>
      <c r="G365" s="7" t="e">
        <f t="shared" ref="G365" si="606">E365*0.25</f>
        <v>#VALUE!</v>
      </c>
      <c r="H365" s="7" t="e">
        <f t="shared" ref="H365" si="607">E365*0.5</f>
        <v>#VALUE!</v>
      </c>
    </row>
    <row r="366" spans="1:8" hidden="1" x14ac:dyDescent="0.35">
      <c r="A366" s="8"/>
      <c r="B366" s="21"/>
      <c r="C366" s="9" t="s">
        <v>10</v>
      </c>
      <c r="D366" s="10" t="s">
        <v>10</v>
      </c>
      <c r="E366" s="11"/>
      <c r="F366" s="11"/>
      <c r="G366" s="12" t="e">
        <f t="shared" ref="G366" si="608">H365+1</f>
        <v>#VALUE!</v>
      </c>
      <c r="H366" s="12" t="e">
        <f t="shared" ref="H366" si="609">E365*1.5</f>
        <v>#VALUE!</v>
      </c>
    </row>
    <row r="367" spans="1:8" hidden="1" x14ac:dyDescent="0.35">
      <c r="A367" s="8"/>
      <c r="B367" s="21"/>
      <c r="C367" s="9" t="s">
        <v>10</v>
      </c>
      <c r="D367" s="10" t="s">
        <v>10</v>
      </c>
      <c r="E367" s="11"/>
      <c r="F367" s="11"/>
      <c r="G367" s="12" t="e">
        <f t="shared" ref="G367" si="610">H366*1</f>
        <v>#VALUE!</v>
      </c>
      <c r="H367" s="12" t="e">
        <f t="shared" ref="H367" si="611">E365*2.5</f>
        <v>#VALUE!</v>
      </c>
    </row>
    <row r="368" spans="1:8" hidden="1" x14ac:dyDescent="0.35">
      <c r="A368" s="8"/>
      <c r="B368" s="21"/>
      <c r="C368" s="9" t="s">
        <v>10</v>
      </c>
      <c r="D368" s="10" t="s">
        <v>10</v>
      </c>
      <c r="E368" s="11"/>
      <c r="F368" s="11"/>
      <c r="G368" s="12" t="e">
        <f t="shared" ref="G368" si="612">H367+1</f>
        <v>#VALUE!</v>
      </c>
      <c r="H368" s="12" t="e">
        <f t="shared" ref="H368" si="613">E365*6</f>
        <v>#VALUE!</v>
      </c>
    </row>
    <row r="369" spans="1:8" hidden="1" x14ac:dyDescent="0.35">
      <c r="A369" s="13"/>
      <c r="B369" s="22"/>
      <c r="C369" s="14"/>
      <c r="D369" s="15"/>
      <c r="E369" s="16"/>
      <c r="F369" s="16"/>
      <c r="G369" s="17"/>
      <c r="H369" s="17"/>
    </row>
    <row r="370" spans="1:8" hidden="1" x14ac:dyDescent="0.35">
      <c r="A370" s="8" t="s">
        <v>83</v>
      </c>
      <c r="B370" s="21"/>
      <c r="C370" s="9" t="s">
        <v>10</v>
      </c>
      <c r="D370" s="10" t="s">
        <v>10</v>
      </c>
      <c r="E370" s="6" t="e">
        <f t="shared" ref="E370" si="614">D370/4</f>
        <v>#VALUE!</v>
      </c>
      <c r="F370" s="11"/>
      <c r="G370" s="7" t="e">
        <f t="shared" ref="G370" si="615">E370*0.25</f>
        <v>#VALUE!</v>
      </c>
      <c r="H370" s="7" t="e">
        <f t="shared" ref="H370" si="616">E370*0.5</f>
        <v>#VALUE!</v>
      </c>
    </row>
    <row r="371" spans="1:8" hidden="1" x14ac:dyDescent="0.35">
      <c r="A371" s="8"/>
      <c r="B371" s="21"/>
      <c r="C371" s="9" t="s">
        <v>10</v>
      </c>
      <c r="D371" s="10" t="s">
        <v>10</v>
      </c>
      <c r="E371" s="11"/>
      <c r="F371" s="11"/>
      <c r="G371" s="12" t="e">
        <f t="shared" ref="G371" si="617">H370+1</f>
        <v>#VALUE!</v>
      </c>
      <c r="H371" s="12" t="e">
        <f t="shared" ref="H371" si="618">E370*1.5</f>
        <v>#VALUE!</v>
      </c>
    </row>
    <row r="372" spans="1:8" hidden="1" x14ac:dyDescent="0.35">
      <c r="A372" s="8"/>
      <c r="B372" s="21"/>
      <c r="C372" s="9" t="s">
        <v>10</v>
      </c>
      <c r="D372" s="10" t="s">
        <v>10</v>
      </c>
      <c r="E372" s="11"/>
      <c r="F372" s="11"/>
      <c r="G372" s="12" t="e">
        <f t="shared" ref="G372" si="619">H371*1</f>
        <v>#VALUE!</v>
      </c>
      <c r="H372" s="12" t="e">
        <f t="shared" ref="H372" si="620">E370*2.5</f>
        <v>#VALUE!</v>
      </c>
    </row>
    <row r="373" spans="1:8" hidden="1" x14ac:dyDescent="0.35">
      <c r="A373" s="8"/>
      <c r="B373" s="21"/>
      <c r="C373" s="9" t="s">
        <v>10</v>
      </c>
      <c r="D373" s="10" t="s">
        <v>10</v>
      </c>
      <c r="E373" s="11"/>
      <c r="F373" s="11"/>
      <c r="G373" s="12" t="e">
        <f t="shared" ref="G373" si="621">H372+1</f>
        <v>#VALUE!</v>
      </c>
      <c r="H373" s="12" t="e">
        <f t="shared" ref="H373" si="622">E370*6</f>
        <v>#VALUE!</v>
      </c>
    </row>
    <row r="374" spans="1:8" hidden="1" x14ac:dyDescent="0.35">
      <c r="A374" s="13"/>
      <c r="B374" s="22"/>
      <c r="C374" s="14"/>
      <c r="D374" s="15"/>
      <c r="E374" s="16"/>
      <c r="F374" s="16"/>
      <c r="G374" s="17"/>
      <c r="H374" s="17"/>
    </row>
    <row r="375" spans="1:8" hidden="1" x14ac:dyDescent="0.35">
      <c r="A375" s="8" t="s">
        <v>84</v>
      </c>
      <c r="B375" s="21"/>
      <c r="C375" s="9" t="s">
        <v>10</v>
      </c>
      <c r="D375" s="10" t="s">
        <v>10</v>
      </c>
      <c r="E375" s="6" t="e">
        <f t="shared" ref="E375" si="623">D375/4</f>
        <v>#VALUE!</v>
      </c>
      <c r="F375" s="11"/>
      <c r="G375" s="7" t="e">
        <f t="shared" ref="G375" si="624">E375*0.25</f>
        <v>#VALUE!</v>
      </c>
      <c r="H375" s="7" t="e">
        <f t="shared" ref="H375" si="625">E375*0.5</f>
        <v>#VALUE!</v>
      </c>
    </row>
    <row r="376" spans="1:8" hidden="1" x14ac:dyDescent="0.35">
      <c r="A376" s="8"/>
      <c r="B376" s="21"/>
      <c r="C376" s="9" t="s">
        <v>10</v>
      </c>
      <c r="D376" s="10" t="s">
        <v>10</v>
      </c>
      <c r="E376" s="11"/>
      <c r="F376" s="11"/>
      <c r="G376" s="12" t="e">
        <f t="shared" ref="G376" si="626">H375+1</f>
        <v>#VALUE!</v>
      </c>
      <c r="H376" s="12" t="e">
        <f t="shared" ref="H376" si="627">E375*1.5</f>
        <v>#VALUE!</v>
      </c>
    </row>
    <row r="377" spans="1:8" hidden="1" x14ac:dyDescent="0.35">
      <c r="A377" s="8"/>
      <c r="B377" s="21"/>
      <c r="C377" s="9" t="s">
        <v>10</v>
      </c>
      <c r="D377" s="10" t="s">
        <v>10</v>
      </c>
      <c r="E377" s="11"/>
      <c r="F377" s="11"/>
      <c r="G377" s="12" t="e">
        <f t="shared" ref="G377" si="628">H376*1</f>
        <v>#VALUE!</v>
      </c>
      <c r="H377" s="12" t="e">
        <f t="shared" ref="H377" si="629">E375*2.5</f>
        <v>#VALUE!</v>
      </c>
    </row>
    <row r="378" spans="1:8" hidden="1" x14ac:dyDescent="0.35">
      <c r="A378" s="8"/>
      <c r="B378" s="21"/>
      <c r="C378" s="9" t="s">
        <v>10</v>
      </c>
      <c r="D378" s="10" t="s">
        <v>10</v>
      </c>
      <c r="E378" s="11"/>
      <c r="F378" s="11"/>
      <c r="G378" s="12" t="e">
        <f t="shared" ref="G378" si="630">H377+1</f>
        <v>#VALUE!</v>
      </c>
      <c r="H378" s="12" t="e">
        <f t="shared" ref="H378" si="631">E375*6</f>
        <v>#VALUE!</v>
      </c>
    </row>
    <row r="379" spans="1:8" hidden="1" x14ac:dyDescent="0.35">
      <c r="A379" s="13"/>
      <c r="B379" s="22"/>
      <c r="C379" s="14"/>
      <c r="D379" s="15"/>
      <c r="E379" s="16"/>
      <c r="F379" s="16"/>
      <c r="G379" s="17"/>
      <c r="H379" s="17"/>
    </row>
    <row r="380" spans="1:8" hidden="1" x14ac:dyDescent="0.35">
      <c r="A380" s="8" t="s">
        <v>85</v>
      </c>
      <c r="B380" s="21"/>
      <c r="C380" s="9" t="s">
        <v>10</v>
      </c>
      <c r="D380" s="10" t="s">
        <v>10</v>
      </c>
      <c r="E380" s="6" t="e">
        <f t="shared" ref="E380" si="632">D380/4</f>
        <v>#VALUE!</v>
      </c>
      <c r="F380" s="11"/>
      <c r="G380" s="7" t="e">
        <f t="shared" ref="G380" si="633">E380*0.25</f>
        <v>#VALUE!</v>
      </c>
      <c r="H380" s="7" t="e">
        <f t="shared" ref="H380" si="634">E380*0.5</f>
        <v>#VALUE!</v>
      </c>
    </row>
    <row r="381" spans="1:8" hidden="1" x14ac:dyDescent="0.35">
      <c r="A381" s="8"/>
      <c r="B381" s="21"/>
      <c r="C381" s="9" t="s">
        <v>10</v>
      </c>
      <c r="D381" s="10" t="s">
        <v>10</v>
      </c>
      <c r="E381" s="11"/>
      <c r="F381" s="11"/>
      <c r="G381" s="12" t="e">
        <f t="shared" ref="G381" si="635">H380+1</f>
        <v>#VALUE!</v>
      </c>
      <c r="H381" s="12" t="e">
        <f t="shared" ref="H381" si="636">E380*1.5</f>
        <v>#VALUE!</v>
      </c>
    </row>
    <row r="382" spans="1:8" hidden="1" x14ac:dyDescent="0.35">
      <c r="A382" s="8"/>
      <c r="B382" s="21"/>
      <c r="C382" s="9" t="s">
        <v>10</v>
      </c>
      <c r="D382" s="10" t="s">
        <v>10</v>
      </c>
      <c r="E382" s="11"/>
      <c r="F382" s="11"/>
      <c r="G382" s="12" t="e">
        <f t="shared" ref="G382" si="637">H381*1</f>
        <v>#VALUE!</v>
      </c>
      <c r="H382" s="12" t="e">
        <f t="shared" ref="H382" si="638">E380*2.5</f>
        <v>#VALUE!</v>
      </c>
    </row>
    <row r="383" spans="1:8" hidden="1" x14ac:dyDescent="0.35">
      <c r="A383" s="8"/>
      <c r="B383" s="21"/>
      <c r="C383" s="9" t="s">
        <v>10</v>
      </c>
      <c r="D383" s="10" t="s">
        <v>10</v>
      </c>
      <c r="E383" s="11"/>
      <c r="F383" s="11"/>
      <c r="G383" s="12" t="e">
        <f t="shared" ref="G383" si="639">H382+1</f>
        <v>#VALUE!</v>
      </c>
      <c r="H383" s="12" t="e">
        <f t="shared" ref="H383" si="640">E380*6</f>
        <v>#VALUE!</v>
      </c>
    </row>
    <row r="384" spans="1:8" hidden="1" x14ac:dyDescent="0.35">
      <c r="A384" s="13"/>
      <c r="B384" s="22"/>
      <c r="C384" s="14"/>
      <c r="D384" s="15"/>
      <c r="E384" s="16"/>
      <c r="F384" s="16"/>
      <c r="G384" s="17"/>
      <c r="H384" s="17"/>
    </row>
    <row r="385" spans="1:8" hidden="1" x14ac:dyDescent="0.35">
      <c r="A385" s="8" t="s">
        <v>86</v>
      </c>
      <c r="B385" s="21"/>
      <c r="C385" s="9" t="s">
        <v>10</v>
      </c>
      <c r="D385" s="10" t="s">
        <v>10</v>
      </c>
      <c r="E385" s="6" t="e">
        <f t="shared" ref="E385" si="641">D385/4</f>
        <v>#VALUE!</v>
      </c>
      <c r="F385" s="11"/>
      <c r="G385" s="7" t="e">
        <f t="shared" ref="G385" si="642">E385*0.25</f>
        <v>#VALUE!</v>
      </c>
      <c r="H385" s="7" t="e">
        <f t="shared" ref="H385" si="643">E385*0.5</f>
        <v>#VALUE!</v>
      </c>
    </row>
    <row r="386" spans="1:8" hidden="1" x14ac:dyDescent="0.35">
      <c r="A386" s="8"/>
      <c r="B386" s="21"/>
      <c r="C386" s="9" t="s">
        <v>10</v>
      </c>
      <c r="D386" s="10" t="s">
        <v>10</v>
      </c>
      <c r="E386" s="11"/>
      <c r="F386" s="11"/>
      <c r="G386" s="12" t="e">
        <f t="shared" ref="G386" si="644">H385+1</f>
        <v>#VALUE!</v>
      </c>
      <c r="H386" s="12" t="e">
        <f t="shared" ref="H386" si="645">E385*1.5</f>
        <v>#VALUE!</v>
      </c>
    </row>
    <row r="387" spans="1:8" hidden="1" x14ac:dyDescent="0.35">
      <c r="A387" s="8"/>
      <c r="B387" s="21"/>
      <c r="C387" s="9" t="s">
        <v>10</v>
      </c>
      <c r="D387" s="10" t="s">
        <v>10</v>
      </c>
      <c r="E387" s="11"/>
      <c r="F387" s="11"/>
      <c r="G387" s="12" t="e">
        <f t="shared" ref="G387" si="646">H386*1</f>
        <v>#VALUE!</v>
      </c>
      <c r="H387" s="12" t="e">
        <f t="shared" ref="H387" si="647">E385*2.5</f>
        <v>#VALUE!</v>
      </c>
    </row>
    <row r="388" spans="1:8" hidden="1" x14ac:dyDescent="0.35">
      <c r="A388" s="8"/>
      <c r="B388" s="21"/>
      <c r="C388" s="9" t="s">
        <v>10</v>
      </c>
      <c r="D388" s="10" t="s">
        <v>10</v>
      </c>
      <c r="E388" s="11"/>
      <c r="F388" s="11"/>
      <c r="G388" s="12" t="e">
        <f t="shared" ref="G388" si="648">H387+1</f>
        <v>#VALUE!</v>
      </c>
      <c r="H388" s="12" t="e">
        <f t="shared" ref="H388" si="649">E385*6</f>
        <v>#VALUE!</v>
      </c>
    </row>
    <row r="389" spans="1:8" hidden="1" x14ac:dyDescent="0.35">
      <c r="A389" s="13"/>
      <c r="B389" s="22"/>
      <c r="C389" s="14"/>
      <c r="D389" s="15"/>
      <c r="E389" s="16"/>
      <c r="F389" s="16"/>
      <c r="G389" s="17"/>
      <c r="H389" s="17"/>
    </row>
    <row r="390" spans="1:8" hidden="1" x14ac:dyDescent="0.35">
      <c r="A390" s="8" t="s">
        <v>87</v>
      </c>
      <c r="B390" s="21"/>
      <c r="C390" s="9" t="s">
        <v>10</v>
      </c>
      <c r="D390" s="10" t="s">
        <v>10</v>
      </c>
      <c r="E390" s="6" t="e">
        <f t="shared" ref="E390" si="650">D390/4</f>
        <v>#VALUE!</v>
      </c>
      <c r="F390" s="11"/>
      <c r="G390" s="7" t="e">
        <f t="shared" ref="G390" si="651">E390*0.25</f>
        <v>#VALUE!</v>
      </c>
      <c r="H390" s="7" t="e">
        <f t="shared" ref="H390" si="652">E390*0.5</f>
        <v>#VALUE!</v>
      </c>
    </row>
    <row r="391" spans="1:8" hidden="1" x14ac:dyDescent="0.35">
      <c r="A391" s="8"/>
      <c r="B391" s="21"/>
      <c r="C391" s="9" t="s">
        <v>10</v>
      </c>
      <c r="D391" s="10" t="s">
        <v>10</v>
      </c>
      <c r="E391" s="11"/>
      <c r="F391" s="11"/>
      <c r="G391" s="12" t="e">
        <f t="shared" ref="G391" si="653">H390+1</f>
        <v>#VALUE!</v>
      </c>
      <c r="H391" s="12" t="e">
        <f t="shared" ref="H391" si="654">E390*1.5</f>
        <v>#VALUE!</v>
      </c>
    </row>
    <row r="392" spans="1:8" hidden="1" x14ac:dyDescent="0.35">
      <c r="A392" s="8"/>
      <c r="B392" s="21"/>
      <c r="C392" s="9" t="s">
        <v>10</v>
      </c>
      <c r="D392" s="10" t="s">
        <v>10</v>
      </c>
      <c r="E392" s="11"/>
      <c r="F392" s="11"/>
      <c r="G392" s="12" t="e">
        <f t="shared" ref="G392" si="655">H391*1</f>
        <v>#VALUE!</v>
      </c>
      <c r="H392" s="12" t="e">
        <f t="shared" ref="H392" si="656">E390*2.5</f>
        <v>#VALUE!</v>
      </c>
    </row>
    <row r="393" spans="1:8" hidden="1" x14ac:dyDescent="0.35">
      <c r="A393" s="8"/>
      <c r="B393" s="21"/>
      <c r="C393" s="9" t="s">
        <v>10</v>
      </c>
      <c r="D393" s="10" t="s">
        <v>10</v>
      </c>
      <c r="E393" s="11"/>
      <c r="F393" s="11"/>
      <c r="G393" s="12" t="e">
        <f t="shared" ref="G393" si="657">H392+1</f>
        <v>#VALUE!</v>
      </c>
      <c r="H393" s="12" t="e">
        <f t="shared" ref="H393" si="658">E390*6</f>
        <v>#VALUE!</v>
      </c>
    </row>
    <row r="394" spans="1:8" hidden="1" x14ac:dyDescent="0.35">
      <c r="A394" s="13"/>
      <c r="B394" s="22"/>
      <c r="C394" s="14"/>
      <c r="D394" s="15"/>
      <c r="E394" s="16"/>
      <c r="F394" s="16"/>
      <c r="G394" s="17"/>
      <c r="H394" s="17"/>
    </row>
    <row r="395" spans="1:8" hidden="1" x14ac:dyDescent="0.35">
      <c r="A395" s="8" t="s">
        <v>88</v>
      </c>
      <c r="B395" s="21"/>
      <c r="C395" s="9" t="s">
        <v>10</v>
      </c>
      <c r="D395" s="10" t="s">
        <v>10</v>
      </c>
      <c r="E395" s="6" t="e">
        <f t="shared" ref="E395" si="659">D395/4</f>
        <v>#VALUE!</v>
      </c>
      <c r="F395" s="11"/>
      <c r="G395" s="7" t="e">
        <f t="shared" ref="G395" si="660">E395*0.25</f>
        <v>#VALUE!</v>
      </c>
      <c r="H395" s="7" t="e">
        <f t="shared" ref="H395" si="661">E395*0.5</f>
        <v>#VALUE!</v>
      </c>
    </row>
    <row r="396" spans="1:8" hidden="1" x14ac:dyDescent="0.35">
      <c r="A396" s="8"/>
      <c r="B396" s="21"/>
      <c r="C396" s="9" t="s">
        <v>10</v>
      </c>
      <c r="D396" s="10" t="s">
        <v>10</v>
      </c>
      <c r="E396" s="11"/>
      <c r="F396" s="11"/>
      <c r="G396" s="12" t="e">
        <f t="shared" ref="G396" si="662">H395+1</f>
        <v>#VALUE!</v>
      </c>
      <c r="H396" s="12" t="e">
        <f t="shared" ref="H396" si="663">E395*1.5</f>
        <v>#VALUE!</v>
      </c>
    </row>
    <row r="397" spans="1:8" hidden="1" x14ac:dyDescent="0.35">
      <c r="A397" s="8"/>
      <c r="B397" s="21"/>
      <c r="C397" s="9" t="s">
        <v>10</v>
      </c>
      <c r="D397" s="10" t="s">
        <v>10</v>
      </c>
      <c r="E397" s="11"/>
      <c r="F397" s="11"/>
      <c r="G397" s="12" t="e">
        <f t="shared" ref="G397" si="664">H396*1</f>
        <v>#VALUE!</v>
      </c>
      <c r="H397" s="12" t="e">
        <f t="shared" ref="H397" si="665">E395*2.5</f>
        <v>#VALUE!</v>
      </c>
    </row>
    <row r="398" spans="1:8" hidden="1" x14ac:dyDescent="0.35">
      <c r="A398" s="8"/>
      <c r="B398" s="21"/>
      <c r="C398" s="9" t="s">
        <v>10</v>
      </c>
      <c r="D398" s="10" t="s">
        <v>10</v>
      </c>
      <c r="E398" s="11"/>
      <c r="F398" s="11"/>
      <c r="G398" s="12" t="e">
        <f t="shared" ref="G398" si="666">H397+1</f>
        <v>#VALUE!</v>
      </c>
      <c r="H398" s="12" t="e">
        <f t="shared" ref="H398" si="667">E395*6</f>
        <v>#VALUE!</v>
      </c>
    </row>
    <row r="399" spans="1:8" hidden="1" x14ac:dyDescent="0.35">
      <c r="A399" s="13"/>
      <c r="B399" s="22"/>
      <c r="C399" s="14"/>
      <c r="D399" s="15"/>
      <c r="E399" s="16"/>
      <c r="F399" s="16"/>
      <c r="G399" s="17"/>
      <c r="H399" s="17"/>
    </row>
    <row r="400" spans="1:8" hidden="1" x14ac:dyDescent="0.35">
      <c r="A400" s="8" t="s">
        <v>89</v>
      </c>
      <c r="B400" s="21"/>
      <c r="C400" s="9" t="s">
        <v>10</v>
      </c>
      <c r="D400" s="10" t="s">
        <v>10</v>
      </c>
      <c r="E400" s="6" t="e">
        <f t="shared" ref="E400" si="668">D400/4</f>
        <v>#VALUE!</v>
      </c>
      <c r="F400" s="11"/>
      <c r="G400" s="7" t="e">
        <f t="shared" ref="G400" si="669">E400*0.25</f>
        <v>#VALUE!</v>
      </c>
      <c r="H400" s="7" t="e">
        <f t="shared" ref="H400" si="670">E400*0.5</f>
        <v>#VALUE!</v>
      </c>
    </row>
    <row r="401" spans="1:8" hidden="1" x14ac:dyDescent="0.35">
      <c r="A401" s="8"/>
      <c r="B401" s="21"/>
      <c r="C401" s="9" t="s">
        <v>10</v>
      </c>
      <c r="D401" s="10" t="s">
        <v>10</v>
      </c>
      <c r="E401" s="11"/>
      <c r="F401" s="11"/>
      <c r="G401" s="12" t="e">
        <f t="shared" ref="G401" si="671">H400+1</f>
        <v>#VALUE!</v>
      </c>
      <c r="H401" s="12" t="e">
        <f t="shared" ref="H401" si="672">E400*1.5</f>
        <v>#VALUE!</v>
      </c>
    </row>
    <row r="402" spans="1:8" hidden="1" x14ac:dyDescent="0.35">
      <c r="A402" s="8"/>
      <c r="B402" s="21"/>
      <c r="C402" s="9" t="s">
        <v>10</v>
      </c>
      <c r="D402" s="10" t="s">
        <v>10</v>
      </c>
      <c r="E402" s="11"/>
      <c r="F402" s="11"/>
      <c r="G402" s="12" t="e">
        <f t="shared" ref="G402" si="673">H401*1</f>
        <v>#VALUE!</v>
      </c>
      <c r="H402" s="12" t="e">
        <f t="shared" ref="H402" si="674">E400*2.5</f>
        <v>#VALUE!</v>
      </c>
    </row>
    <row r="403" spans="1:8" hidden="1" x14ac:dyDescent="0.35">
      <c r="A403" s="8"/>
      <c r="B403" s="21"/>
      <c r="C403" s="9" t="s">
        <v>10</v>
      </c>
      <c r="D403" s="10" t="s">
        <v>10</v>
      </c>
      <c r="E403" s="11"/>
      <c r="F403" s="11"/>
      <c r="G403" s="12" t="e">
        <f t="shared" ref="G403" si="675">H402+1</f>
        <v>#VALUE!</v>
      </c>
      <c r="H403" s="12" t="e">
        <f t="shared" ref="H403" si="676">E400*6</f>
        <v>#VALUE!</v>
      </c>
    </row>
    <row r="404" spans="1:8" hidden="1" x14ac:dyDescent="0.35">
      <c r="A404" s="13"/>
      <c r="B404" s="22"/>
      <c r="C404" s="14"/>
      <c r="D404" s="15"/>
      <c r="E404" s="16"/>
      <c r="F404" s="16"/>
      <c r="G404" s="17"/>
      <c r="H404" s="17"/>
    </row>
    <row r="405" spans="1:8" hidden="1" x14ac:dyDescent="0.35">
      <c r="A405" s="8" t="s">
        <v>90</v>
      </c>
      <c r="B405" s="21"/>
      <c r="C405" s="9" t="s">
        <v>10</v>
      </c>
      <c r="D405" s="10" t="s">
        <v>10</v>
      </c>
      <c r="E405" s="6" t="e">
        <f t="shared" ref="E405" si="677">D405/4</f>
        <v>#VALUE!</v>
      </c>
      <c r="F405" s="11"/>
      <c r="G405" s="7" t="e">
        <f t="shared" ref="G405" si="678">E405*0.25</f>
        <v>#VALUE!</v>
      </c>
      <c r="H405" s="7" t="e">
        <f t="shared" ref="H405" si="679">E405*0.5</f>
        <v>#VALUE!</v>
      </c>
    </row>
    <row r="406" spans="1:8" hidden="1" x14ac:dyDescent="0.35">
      <c r="A406" s="8"/>
      <c r="B406" s="21"/>
      <c r="C406" s="9" t="s">
        <v>10</v>
      </c>
      <c r="D406" s="10" t="s">
        <v>10</v>
      </c>
      <c r="E406" s="11"/>
      <c r="F406" s="11"/>
      <c r="G406" s="12" t="e">
        <f t="shared" ref="G406" si="680">H405+1</f>
        <v>#VALUE!</v>
      </c>
      <c r="H406" s="12" t="e">
        <f t="shared" ref="H406" si="681">E405*1.5</f>
        <v>#VALUE!</v>
      </c>
    </row>
    <row r="407" spans="1:8" hidden="1" x14ac:dyDescent="0.35">
      <c r="A407" s="8"/>
      <c r="B407" s="21"/>
      <c r="C407" s="9" t="s">
        <v>10</v>
      </c>
      <c r="D407" s="10" t="s">
        <v>10</v>
      </c>
      <c r="E407" s="11"/>
      <c r="F407" s="11"/>
      <c r="G407" s="12" t="e">
        <f t="shared" ref="G407" si="682">H406*1</f>
        <v>#VALUE!</v>
      </c>
      <c r="H407" s="12" t="e">
        <f t="shared" ref="H407" si="683">E405*2.5</f>
        <v>#VALUE!</v>
      </c>
    </row>
    <row r="408" spans="1:8" hidden="1" x14ac:dyDescent="0.35">
      <c r="A408" s="8"/>
      <c r="B408" s="21"/>
      <c r="C408" s="9" t="s">
        <v>10</v>
      </c>
      <c r="D408" s="10" t="s">
        <v>10</v>
      </c>
      <c r="E408" s="11"/>
      <c r="F408" s="11"/>
      <c r="G408" s="12" t="e">
        <f t="shared" ref="G408" si="684">H407+1</f>
        <v>#VALUE!</v>
      </c>
      <c r="H408" s="12" t="e">
        <f t="shared" ref="H408" si="685">E405*6</f>
        <v>#VALUE!</v>
      </c>
    </row>
    <row r="409" spans="1:8" hidden="1" x14ac:dyDescent="0.35">
      <c r="A409" s="13"/>
      <c r="B409" s="22"/>
      <c r="C409" s="14"/>
      <c r="D409" s="15"/>
      <c r="E409" s="16"/>
      <c r="F409" s="16"/>
      <c r="G409" s="17"/>
      <c r="H409" s="17"/>
    </row>
    <row r="410" spans="1:8" hidden="1" x14ac:dyDescent="0.35">
      <c r="A410" s="8" t="s">
        <v>91</v>
      </c>
      <c r="B410" s="21"/>
      <c r="C410" s="9" t="s">
        <v>10</v>
      </c>
      <c r="D410" s="10" t="s">
        <v>10</v>
      </c>
      <c r="E410" s="6" t="e">
        <f t="shared" ref="E410" si="686">D410/4</f>
        <v>#VALUE!</v>
      </c>
      <c r="F410" s="11"/>
      <c r="G410" s="7" t="e">
        <f t="shared" ref="G410" si="687">E410*0.25</f>
        <v>#VALUE!</v>
      </c>
      <c r="H410" s="7" t="e">
        <f t="shared" ref="H410" si="688">E410*0.5</f>
        <v>#VALUE!</v>
      </c>
    </row>
    <row r="411" spans="1:8" hidden="1" x14ac:dyDescent="0.35">
      <c r="A411" s="8"/>
      <c r="B411" s="21"/>
      <c r="C411" s="9" t="s">
        <v>10</v>
      </c>
      <c r="D411" s="10" t="s">
        <v>10</v>
      </c>
      <c r="E411" s="11"/>
      <c r="F411" s="11"/>
      <c r="G411" s="12" t="e">
        <f t="shared" ref="G411" si="689">H410+1</f>
        <v>#VALUE!</v>
      </c>
      <c r="H411" s="12" t="e">
        <f t="shared" ref="H411" si="690">E410*1.5</f>
        <v>#VALUE!</v>
      </c>
    </row>
    <row r="412" spans="1:8" hidden="1" x14ac:dyDescent="0.35">
      <c r="A412" s="8"/>
      <c r="B412" s="21"/>
      <c r="C412" s="9" t="s">
        <v>10</v>
      </c>
      <c r="D412" s="10" t="s">
        <v>10</v>
      </c>
      <c r="E412" s="11"/>
      <c r="F412" s="11"/>
      <c r="G412" s="12" t="e">
        <f t="shared" ref="G412" si="691">H411*1</f>
        <v>#VALUE!</v>
      </c>
      <c r="H412" s="12" t="e">
        <f t="shared" ref="H412" si="692">E410*2.5</f>
        <v>#VALUE!</v>
      </c>
    </row>
    <row r="413" spans="1:8" hidden="1" x14ac:dyDescent="0.35">
      <c r="A413" s="8"/>
      <c r="B413" s="21"/>
      <c r="C413" s="9" t="s">
        <v>10</v>
      </c>
      <c r="D413" s="10" t="s">
        <v>10</v>
      </c>
      <c r="E413" s="11"/>
      <c r="F413" s="11"/>
      <c r="G413" s="12" t="e">
        <f t="shared" ref="G413" si="693">H412+1</f>
        <v>#VALUE!</v>
      </c>
      <c r="H413" s="12" t="e">
        <f t="shared" ref="H413" si="694">E410*6</f>
        <v>#VALUE!</v>
      </c>
    </row>
    <row r="414" spans="1:8" hidden="1" x14ac:dyDescent="0.35">
      <c r="A414" s="13"/>
      <c r="B414" s="22"/>
      <c r="C414" s="14"/>
      <c r="D414" s="15"/>
      <c r="E414" s="16"/>
      <c r="F414" s="16"/>
      <c r="G414" s="17"/>
      <c r="H414" s="17"/>
    </row>
    <row r="415" spans="1:8" hidden="1" x14ac:dyDescent="0.35">
      <c r="A415" s="8" t="s">
        <v>92</v>
      </c>
      <c r="B415" s="21"/>
      <c r="C415" s="9" t="s">
        <v>10</v>
      </c>
      <c r="D415" s="10" t="s">
        <v>10</v>
      </c>
      <c r="E415" s="6" t="e">
        <f t="shared" ref="E415" si="695">D415/4</f>
        <v>#VALUE!</v>
      </c>
      <c r="F415" s="11"/>
      <c r="G415" s="7" t="e">
        <f t="shared" ref="G415" si="696">E415*0.25</f>
        <v>#VALUE!</v>
      </c>
      <c r="H415" s="7" t="e">
        <f t="shared" ref="H415" si="697">E415*0.5</f>
        <v>#VALUE!</v>
      </c>
    </row>
    <row r="416" spans="1:8" hidden="1" x14ac:dyDescent="0.35">
      <c r="A416" s="8"/>
      <c r="B416" s="21"/>
      <c r="C416" s="9" t="s">
        <v>10</v>
      </c>
      <c r="D416" s="10" t="s">
        <v>10</v>
      </c>
      <c r="E416" s="11"/>
      <c r="F416" s="11"/>
      <c r="G416" s="12" t="e">
        <f t="shared" ref="G416" si="698">H415+1</f>
        <v>#VALUE!</v>
      </c>
      <c r="H416" s="12" t="e">
        <f t="shared" ref="H416" si="699">E415*1.5</f>
        <v>#VALUE!</v>
      </c>
    </row>
    <row r="417" spans="1:8" hidden="1" x14ac:dyDescent="0.35">
      <c r="A417" s="8"/>
      <c r="B417" s="21"/>
      <c r="C417" s="9" t="s">
        <v>10</v>
      </c>
      <c r="D417" s="10" t="s">
        <v>10</v>
      </c>
      <c r="E417" s="11"/>
      <c r="F417" s="11"/>
      <c r="G417" s="12" t="e">
        <f t="shared" ref="G417" si="700">H416*1</f>
        <v>#VALUE!</v>
      </c>
      <c r="H417" s="12" t="e">
        <f t="shared" ref="H417" si="701">E415*2.5</f>
        <v>#VALUE!</v>
      </c>
    </row>
    <row r="418" spans="1:8" hidden="1" x14ac:dyDescent="0.35">
      <c r="A418" s="8"/>
      <c r="B418" s="21"/>
      <c r="C418" s="9" t="s">
        <v>10</v>
      </c>
      <c r="D418" s="10" t="s">
        <v>10</v>
      </c>
      <c r="E418" s="11"/>
      <c r="F418" s="11"/>
      <c r="G418" s="12" t="e">
        <f t="shared" ref="G418" si="702">H417+1</f>
        <v>#VALUE!</v>
      </c>
      <c r="H418" s="12" t="e">
        <f t="shared" ref="H418" si="703">E415*6</f>
        <v>#VALUE!</v>
      </c>
    </row>
    <row r="419" spans="1:8" hidden="1" x14ac:dyDescent="0.35">
      <c r="A419" s="13"/>
      <c r="B419" s="22"/>
      <c r="C419" s="14"/>
      <c r="D419" s="15"/>
      <c r="E419" s="16"/>
      <c r="F419" s="16"/>
      <c r="G419" s="17"/>
      <c r="H419" s="17"/>
    </row>
    <row r="420" spans="1:8" hidden="1" x14ac:dyDescent="0.35">
      <c r="A420" s="8" t="s">
        <v>93</v>
      </c>
      <c r="B420" s="21"/>
      <c r="C420" s="9" t="s">
        <v>10</v>
      </c>
      <c r="D420" s="10" t="s">
        <v>10</v>
      </c>
      <c r="E420" s="6" t="e">
        <f t="shared" ref="E420" si="704">D420/4</f>
        <v>#VALUE!</v>
      </c>
      <c r="F420" s="11"/>
      <c r="G420" s="7" t="e">
        <f t="shared" ref="G420" si="705">E420*0.25</f>
        <v>#VALUE!</v>
      </c>
      <c r="H420" s="7" t="e">
        <f t="shared" ref="H420" si="706">E420*0.5</f>
        <v>#VALUE!</v>
      </c>
    </row>
    <row r="421" spans="1:8" hidden="1" x14ac:dyDescent="0.35">
      <c r="A421" s="8"/>
      <c r="B421" s="21"/>
      <c r="C421" s="9" t="s">
        <v>10</v>
      </c>
      <c r="D421" s="10" t="s">
        <v>10</v>
      </c>
      <c r="E421" s="11"/>
      <c r="F421" s="11"/>
      <c r="G421" s="12" t="e">
        <f t="shared" ref="G421" si="707">H420+1</f>
        <v>#VALUE!</v>
      </c>
      <c r="H421" s="12" t="e">
        <f t="shared" ref="H421" si="708">E420*1.5</f>
        <v>#VALUE!</v>
      </c>
    </row>
    <row r="422" spans="1:8" hidden="1" x14ac:dyDescent="0.35">
      <c r="A422" s="8"/>
      <c r="B422" s="21"/>
      <c r="C422" s="9" t="s">
        <v>10</v>
      </c>
      <c r="D422" s="10" t="s">
        <v>10</v>
      </c>
      <c r="E422" s="11"/>
      <c r="F422" s="11"/>
      <c r="G422" s="12" t="e">
        <f t="shared" ref="G422" si="709">H421*1</f>
        <v>#VALUE!</v>
      </c>
      <c r="H422" s="12" t="e">
        <f t="shared" ref="H422" si="710">E420*2.5</f>
        <v>#VALUE!</v>
      </c>
    </row>
    <row r="423" spans="1:8" hidden="1" x14ac:dyDescent="0.35">
      <c r="A423" s="8"/>
      <c r="B423" s="21"/>
      <c r="C423" s="9" t="s">
        <v>10</v>
      </c>
      <c r="D423" s="10" t="s">
        <v>10</v>
      </c>
      <c r="E423" s="11"/>
      <c r="F423" s="11"/>
      <c r="G423" s="12" t="e">
        <f t="shared" ref="G423" si="711">H422+1</f>
        <v>#VALUE!</v>
      </c>
      <c r="H423" s="12" t="e">
        <f t="shared" ref="H423" si="712">E420*6</f>
        <v>#VALUE!</v>
      </c>
    </row>
    <row r="424" spans="1:8" hidden="1" x14ac:dyDescent="0.35">
      <c r="A424" s="13"/>
      <c r="B424" s="22"/>
      <c r="C424" s="14"/>
      <c r="D424" s="15"/>
      <c r="E424" s="16"/>
      <c r="F424" s="16"/>
      <c r="G424" s="17"/>
      <c r="H424" s="17"/>
    </row>
    <row r="425" spans="1:8" hidden="1" x14ac:dyDescent="0.35">
      <c r="A425" s="8" t="s">
        <v>94</v>
      </c>
      <c r="B425" s="21"/>
      <c r="C425" s="9" t="s">
        <v>10</v>
      </c>
      <c r="D425" s="10" t="s">
        <v>10</v>
      </c>
      <c r="E425" s="6" t="e">
        <f t="shared" ref="E425" si="713">D425/4</f>
        <v>#VALUE!</v>
      </c>
      <c r="F425" s="11"/>
      <c r="G425" s="7" t="e">
        <f t="shared" ref="G425" si="714">E425*0.25</f>
        <v>#VALUE!</v>
      </c>
      <c r="H425" s="7" t="e">
        <f t="shared" ref="H425" si="715">E425*0.5</f>
        <v>#VALUE!</v>
      </c>
    </row>
    <row r="426" spans="1:8" hidden="1" x14ac:dyDescent="0.35">
      <c r="A426" s="8"/>
      <c r="B426" s="21"/>
      <c r="C426" s="9" t="s">
        <v>10</v>
      </c>
      <c r="D426" s="10" t="s">
        <v>10</v>
      </c>
      <c r="E426" s="11"/>
      <c r="F426" s="11"/>
      <c r="G426" s="12" t="e">
        <f t="shared" ref="G426" si="716">H425+1</f>
        <v>#VALUE!</v>
      </c>
      <c r="H426" s="12" t="e">
        <f t="shared" ref="H426" si="717">E425*1.5</f>
        <v>#VALUE!</v>
      </c>
    </row>
    <row r="427" spans="1:8" hidden="1" x14ac:dyDescent="0.35">
      <c r="A427" s="8"/>
      <c r="B427" s="21"/>
      <c r="C427" s="9" t="s">
        <v>10</v>
      </c>
      <c r="D427" s="10" t="s">
        <v>10</v>
      </c>
      <c r="E427" s="11"/>
      <c r="F427" s="11"/>
      <c r="G427" s="12" t="e">
        <f t="shared" ref="G427" si="718">H426*1</f>
        <v>#VALUE!</v>
      </c>
      <c r="H427" s="12" t="e">
        <f t="shared" ref="H427" si="719">E425*2.5</f>
        <v>#VALUE!</v>
      </c>
    </row>
    <row r="428" spans="1:8" hidden="1" x14ac:dyDescent="0.35">
      <c r="A428" s="8"/>
      <c r="B428" s="21"/>
      <c r="C428" s="9" t="s">
        <v>10</v>
      </c>
      <c r="D428" s="10" t="s">
        <v>10</v>
      </c>
      <c r="E428" s="11"/>
      <c r="F428" s="11"/>
      <c r="G428" s="12" t="e">
        <f t="shared" ref="G428" si="720">H427+1</f>
        <v>#VALUE!</v>
      </c>
      <c r="H428" s="12" t="e">
        <f t="shared" ref="H428" si="721">E425*6</f>
        <v>#VALUE!</v>
      </c>
    </row>
    <row r="429" spans="1:8" hidden="1" x14ac:dyDescent="0.35">
      <c r="A429" s="13"/>
      <c r="B429" s="22"/>
      <c r="C429" s="14"/>
      <c r="D429" s="15"/>
      <c r="E429" s="16"/>
      <c r="F429" s="16"/>
      <c r="G429" s="17"/>
      <c r="H429" s="17"/>
    </row>
    <row r="430" spans="1:8" hidden="1" x14ac:dyDescent="0.35">
      <c r="A430" s="8" t="s">
        <v>95</v>
      </c>
      <c r="B430" s="21"/>
      <c r="C430" s="9" t="s">
        <v>10</v>
      </c>
      <c r="D430" s="10" t="s">
        <v>10</v>
      </c>
      <c r="E430" s="6" t="e">
        <f t="shared" ref="E430" si="722">D430/4</f>
        <v>#VALUE!</v>
      </c>
      <c r="F430" s="11"/>
      <c r="G430" s="7" t="e">
        <f t="shared" ref="G430" si="723">E430*0.25</f>
        <v>#VALUE!</v>
      </c>
      <c r="H430" s="7" t="e">
        <f t="shared" ref="H430" si="724">E430*0.5</f>
        <v>#VALUE!</v>
      </c>
    </row>
    <row r="431" spans="1:8" hidden="1" x14ac:dyDescent="0.35">
      <c r="A431" s="8"/>
      <c r="B431" s="21"/>
      <c r="C431" s="9" t="s">
        <v>10</v>
      </c>
      <c r="D431" s="10" t="s">
        <v>10</v>
      </c>
      <c r="E431" s="11"/>
      <c r="F431" s="11"/>
      <c r="G431" s="12" t="e">
        <f t="shared" ref="G431" si="725">H430+1</f>
        <v>#VALUE!</v>
      </c>
      <c r="H431" s="12" t="e">
        <f t="shared" ref="H431" si="726">E430*1.5</f>
        <v>#VALUE!</v>
      </c>
    </row>
    <row r="432" spans="1:8" hidden="1" x14ac:dyDescent="0.35">
      <c r="A432" s="8"/>
      <c r="B432" s="21"/>
      <c r="C432" s="9" t="s">
        <v>10</v>
      </c>
      <c r="D432" s="10" t="s">
        <v>10</v>
      </c>
      <c r="E432" s="11"/>
      <c r="F432" s="11"/>
      <c r="G432" s="12" t="e">
        <f t="shared" ref="G432" si="727">H431*1</f>
        <v>#VALUE!</v>
      </c>
      <c r="H432" s="12" t="e">
        <f t="shared" ref="H432" si="728">E430*2.5</f>
        <v>#VALUE!</v>
      </c>
    </row>
    <row r="433" spans="1:8" hidden="1" x14ac:dyDescent="0.35">
      <c r="A433" s="8"/>
      <c r="B433" s="21"/>
      <c r="C433" s="9" t="s">
        <v>10</v>
      </c>
      <c r="D433" s="10" t="s">
        <v>10</v>
      </c>
      <c r="E433" s="11"/>
      <c r="F433" s="11"/>
      <c r="G433" s="12" t="e">
        <f t="shared" ref="G433" si="729">H432+1</f>
        <v>#VALUE!</v>
      </c>
      <c r="H433" s="12" t="e">
        <f t="shared" ref="H433" si="730">E430*6</f>
        <v>#VALUE!</v>
      </c>
    </row>
    <row r="434" spans="1:8" hidden="1" x14ac:dyDescent="0.35">
      <c r="A434" s="13"/>
      <c r="B434" s="22"/>
      <c r="C434" s="14"/>
      <c r="D434" s="15"/>
      <c r="E434" s="16"/>
      <c r="F434" s="16"/>
      <c r="G434" s="17"/>
      <c r="H434" s="17"/>
    </row>
    <row r="435" spans="1:8" hidden="1" x14ac:dyDescent="0.35">
      <c r="A435" s="8" t="s">
        <v>96</v>
      </c>
      <c r="B435" s="21"/>
      <c r="C435" s="9" t="s">
        <v>10</v>
      </c>
      <c r="D435" s="10" t="s">
        <v>10</v>
      </c>
      <c r="E435" s="6" t="e">
        <f t="shared" ref="E435" si="731">D435/4</f>
        <v>#VALUE!</v>
      </c>
      <c r="F435" s="11"/>
      <c r="G435" s="7" t="e">
        <f t="shared" ref="G435" si="732">E435*0.25</f>
        <v>#VALUE!</v>
      </c>
      <c r="H435" s="7" t="e">
        <f t="shared" ref="H435" si="733">E435*0.5</f>
        <v>#VALUE!</v>
      </c>
    </row>
    <row r="436" spans="1:8" hidden="1" x14ac:dyDescent="0.35">
      <c r="A436" s="8"/>
      <c r="B436" s="21"/>
      <c r="C436" s="9" t="s">
        <v>10</v>
      </c>
      <c r="D436" s="10" t="s">
        <v>10</v>
      </c>
      <c r="E436" s="11"/>
      <c r="F436" s="11"/>
      <c r="G436" s="12" t="e">
        <f t="shared" ref="G436" si="734">H435+1</f>
        <v>#VALUE!</v>
      </c>
      <c r="H436" s="12" t="e">
        <f t="shared" ref="H436" si="735">E435*1.5</f>
        <v>#VALUE!</v>
      </c>
    </row>
    <row r="437" spans="1:8" hidden="1" x14ac:dyDescent="0.35">
      <c r="A437" s="8"/>
      <c r="B437" s="21"/>
      <c r="C437" s="9" t="s">
        <v>10</v>
      </c>
      <c r="D437" s="10" t="s">
        <v>10</v>
      </c>
      <c r="E437" s="11"/>
      <c r="F437" s="11"/>
      <c r="G437" s="12" t="e">
        <f t="shared" ref="G437" si="736">H436*1</f>
        <v>#VALUE!</v>
      </c>
      <c r="H437" s="12" t="e">
        <f t="shared" ref="H437" si="737">E435*2.5</f>
        <v>#VALUE!</v>
      </c>
    </row>
    <row r="438" spans="1:8" hidden="1" x14ac:dyDescent="0.35">
      <c r="A438" s="8"/>
      <c r="B438" s="21"/>
      <c r="C438" s="9" t="s">
        <v>10</v>
      </c>
      <c r="D438" s="10" t="s">
        <v>10</v>
      </c>
      <c r="E438" s="11"/>
      <c r="F438" s="11"/>
      <c r="G438" s="12" t="e">
        <f t="shared" ref="G438" si="738">H437+1</f>
        <v>#VALUE!</v>
      </c>
      <c r="H438" s="12" t="e">
        <f t="shared" ref="H438" si="739">E435*6</f>
        <v>#VALUE!</v>
      </c>
    </row>
    <row r="439" spans="1:8" hidden="1" x14ac:dyDescent="0.35">
      <c r="A439" s="13"/>
      <c r="B439" s="22"/>
      <c r="C439" s="14"/>
      <c r="D439" s="15"/>
      <c r="E439" s="16"/>
      <c r="F439" s="16"/>
      <c r="G439" s="17"/>
      <c r="H439" s="17"/>
    </row>
    <row r="440" spans="1:8" hidden="1" x14ac:dyDescent="0.35">
      <c r="A440" s="8" t="s">
        <v>97</v>
      </c>
      <c r="B440" s="21"/>
      <c r="C440" s="9" t="s">
        <v>10</v>
      </c>
      <c r="D440" s="10" t="s">
        <v>10</v>
      </c>
      <c r="E440" s="6" t="e">
        <f t="shared" ref="E440" si="740">D440/4</f>
        <v>#VALUE!</v>
      </c>
      <c r="F440" s="11"/>
      <c r="G440" s="7" t="e">
        <f t="shared" ref="G440" si="741">E440*0.25</f>
        <v>#VALUE!</v>
      </c>
      <c r="H440" s="7" t="e">
        <f t="shared" ref="H440" si="742">E440*0.5</f>
        <v>#VALUE!</v>
      </c>
    </row>
    <row r="441" spans="1:8" hidden="1" x14ac:dyDescent="0.35">
      <c r="A441" s="8"/>
      <c r="B441" s="21"/>
      <c r="C441" s="9" t="s">
        <v>10</v>
      </c>
      <c r="D441" s="10" t="s">
        <v>10</v>
      </c>
      <c r="E441" s="11"/>
      <c r="F441" s="11"/>
      <c r="G441" s="12" t="e">
        <f t="shared" ref="G441" si="743">H440+1</f>
        <v>#VALUE!</v>
      </c>
      <c r="H441" s="12" t="e">
        <f t="shared" ref="H441" si="744">E440*1.5</f>
        <v>#VALUE!</v>
      </c>
    </row>
    <row r="442" spans="1:8" hidden="1" x14ac:dyDescent="0.35">
      <c r="A442" s="8"/>
      <c r="B442" s="21"/>
      <c r="C442" s="9" t="s">
        <v>10</v>
      </c>
      <c r="D442" s="10" t="s">
        <v>10</v>
      </c>
      <c r="E442" s="11"/>
      <c r="F442" s="11"/>
      <c r="G442" s="12" t="e">
        <f t="shared" ref="G442" si="745">H441*1</f>
        <v>#VALUE!</v>
      </c>
      <c r="H442" s="12" t="e">
        <f t="shared" ref="H442" si="746">E440*2.5</f>
        <v>#VALUE!</v>
      </c>
    </row>
    <row r="443" spans="1:8" hidden="1" x14ac:dyDescent="0.35">
      <c r="A443" s="8"/>
      <c r="B443" s="21"/>
      <c r="C443" s="9" t="s">
        <v>10</v>
      </c>
      <c r="D443" s="10" t="s">
        <v>10</v>
      </c>
      <c r="E443" s="11"/>
      <c r="F443" s="11"/>
      <c r="G443" s="12" t="e">
        <f t="shared" ref="G443" si="747">H442+1</f>
        <v>#VALUE!</v>
      </c>
      <c r="H443" s="12" t="e">
        <f t="shared" ref="H443" si="748">E440*6</f>
        <v>#VALUE!</v>
      </c>
    </row>
    <row r="444" spans="1:8" hidden="1" x14ac:dyDescent="0.35">
      <c r="A444" s="13"/>
      <c r="B444" s="22"/>
      <c r="C444" s="14"/>
      <c r="D444" s="15"/>
      <c r="E444" s="16"/>
      <c r="F444" s="16"/>
      <c r="G444" s="17"/>
      <c r="H444" s="17"/>
    </row>
    <row r="445" spans="1:8" hidden="1" x14ac:dyDescent="0.35">
      <c r="A445" s="8" t="s">
        <v>98</v>
      </c>
      <c r="B445" s="21"/>
      <c r="C445" s="9" t="s">
        <v>10</v>
      </c>
      <c r="D445" s="10" t="s">
        <v>10</v>
      </c>
      <c r="E445" s="6" t="e">
        <f t="shared" ref="E445" si="749">D445/4</f>
        <v>#VALUE!</v>
      </c>
      <c r="F445" s="11"/>
      <c r="G445" s="7" t="e">
        <f t="shared" ref="G445" si="750">E445*0.25</f>
        <v>#VALUE!</v>
      </c>
      <c r="H445" s="7" t="e">
        <f t="shared" ref="H445" si="751">E445*0.5</f>
        <v>#VALUE!</v>
      </c>
    </row>
    <row r="446" spans="1:8" hidden="1" x14ac:dyDescent="0.35">
      <c r="A446" s="8"/>
      <c r="B446" s="21"/>
      <c r="C446" s="9" t="s">
        <v>10</v>
      </c>
      <c r="D446" s="10" t="s">
        <v>10</v>
      </c>
      <c r="E446" s="11"/>
      <c r="F446" s="11"/>
      <c r="G446" s="12" t="e">
        <f t="shared" ref="G446" si="752">H445+1</f>
        <v>#VALUE!</v>
      </c>
      <c r="H446" s="12" t="e">
        <f t="shared" ref="H446" si="753">E445*1.5</f>
        <v>#VALUE!</v>
      </c>
    </row>
    <row r="447" spans="1:8" hidden="1" x14ac:dyDescent="0.35">
      <c r="A447" s="8"/>
      <c r="B447" s="21"/>
      <c r="C447" s="9" t="s">
        <v>10</v>
      </c>
      <c r="D447" s="10" t="s">
        <v>10</v>
      </c>
      <c r="E447" s="11"/>
      <c r="F447" s="11"/>
      <c r="G447" s="12" t="e">
        <f t="shared" ref="G447" si="754">H446*1</f>
        <v>#VALUE!</v>
      </c>
      <c r="H447" s="12" t="e">
        <f t="shared" ref="H447" si="755">E445*2.5</f>
        <v>#VALUE!</v>
      </c>
    </row>
    <row r="448" spans="1:8" hidden="1" x14ac:dyDescent="0.35">
      <c r="A448" s="8"/>
      <c r="B448" s="21"/>
      <c r="C448" s="9" t="s">
        <v>10</v>
      </c>
      <c r="D448" s="10" t="s">
        <v>10</v>
      </c>
      <c r="E448" s="11"/>
      <c r="F448" s="11"/>
      <c r="G448" s="12" t="e">
        <f t="shared" ref="G448" si="756">H447+1</f>
        <v>#VALUE!</v>
      </c>
      <c r="H448" s="12" t="e">
        <f t="shared" ref="H448" si="757">E445*6</f>
        <v>#VALUE!</v>
      </c>
    </row>
    <row r="449" spans="1:8" hidden="1" x14ac:dyDescent="0.35">
      <c r="A449" s="13"/>
      <c r="B449" s="22"/>
      <c r="C449" s="14"/>
      <c r="D449" s="15"/>
      <c r="E449" s="16"/>
      <c r="F449" s="16"/>
      <c r="G449" s="17"/>
      <c r="H449" s="17"/>
    </row>
    <row r="450" spans="1:8" hidden="1" x14ac:dyDescent="0.35">
      <c r="A450" s="8" t="s">
        <v>99</v>
      </c>
      <c r="B450" s="21"/>
      <c r="C450" s="9" t="s">
        <v>10</v>
      </c>
      <c r="D450" s="10" t="s">
        <v>10</v>
      </c>
      <c r="E450" s="6" t="e">
        <f t="shared" ref="E450" si="758">D450/4</f>
        <v>#VALUE!</v>
      </c>
      <c r="F450" s="11"/>
      <c r="G450" s="7" t="e">
        <f t="shared" ref="G450" si="759">E450*0.25</f>
        <v>#VALUE!</v>
      </c>
      <c r="H450" s="7" t="e">
        <f t="shared" ref="H450" si="760">E450*0.5</f>
        <v>#VALUE!</v>
      </c>
    </row>
    <row r="451" spans="1:8" hidden="1" x14ac:dyDescent="0.35">
      <c r="A451" s="8"/>
      <c r="B451" s="21"/>
      <c r="C451" s="9" t="s">
        <v>10</v>
      </c>
      <c r="D451" s="10" t="s">
        <v>10</v>
      </c>
      <c r="E451" s="11"/>
      <c r="F451" s="11"/>
      <c r="G451" s="12" t="e">
        <f t="shared" ref="G451" si="761">H450+1</f>
        <v>#VALUE!</v>
      </c>
      <c r="H451" s="12" t="e">
        <f t="shared" ref="H451" si="762">E450*1.5</f>
        <v>#VALUE!</v>
      </c>
    </row>
    <row r="452" spans="1:8" hidden="1" x14ac:dyDescent="0.35">
      <c r="A452" s="8"/>
      <c r="B452" s="21"/>
      <c r="C452" s="9" t="s">
        <v>10</v>
      </c>
      <c r="D452" s="10" t="s">
        <v>10</v>
      </c>
      <c r="E452" s="11"/>
      <c r="F452" s="11"/>
      <c r="G452" s="12" t="e">
        <f t="shared" ref="G452" si="763">H451*1</f>
        <v>#VALUE!</v>
      </c>
      <c r="H452" s="12" t="e">
        <f t="shared" ref="H452" si="764">E450*2.5</f>
        <v>#VALUE!</v>
      </c>
    </row>
    <row r="453" spans="1:8" hidden="1" x14ac:dyDescent="0.35">
      <c r="A453" s="8"/>
      <c r="B453" s="21"/>
      <c r="C453" s="9" t="s">
        <v>10</v>
      </c>
      <c r="D453" s="10" t="s">
        <v>10</v>
      </c>
      <c r="E453" s="11"/>
      <c r="F453" s="11"/>
      <c r="G453" s="12" t="e">
        <f t="shared" ref="G453" si="765">H452+1</f>
        <v>#VALUE!</v>
      </c>
      <c r="H453" s="12" t="e">
        <f t="shared" ref="H453" si="766">E450*6</f>
        <v>#VALUE!</v>
      </c>
    </row>
    <row r="454" spans="1:8" hidden="1" x14ac:dyDescent="0.35">
      <c r="A454" s="13"/>
      <c r="B454" s="22"/>
      <c r="C454" s="14"/>
      <c r="D454" s="15"/>
      <c r="E454" s="16"/>
      <c r="F454" s="16"/>
      <c r="G454" s="17"/>
      <c r="H454" s="17"/>
    </row>
    <row r="455" spans="1:8" hidden="1" x14ac:dyDescent="0.35">
      <c r="A455" s="8" t="s">
        <v>100</v>
      </c>
      <c r="B455" s="21"/>
      <c r="C455" s="9" t="s">
        <v>10</v>
      </c>
      <c r="D455" s="10" t="s">
        <v>10</v>
      </c>
      <c r="E455" s="6" t="e">
        <f t="shared" ref="E455" si="767">D455/4</f>
        <v>#VALUE!</v>
      </c>
      <c r="F455" s="11"/>
      <c r="G455" s="7" t="e">
        <f t="shared" ref="G455" si="768">E455*0.25</f>
        <v>#VALUE!</v>
      </c>
      <c r="H455" s="7" t="e">
        <f t="shared" ref="H455" si="769">E455*0.5</f>
        <v>#VALUE!</v>
      </c>
    </row>
    <row r="456" spans="1:8" hidden="1" x14ac:dyDescent="0.35">
      <c r="A456" s="8"/>
      <c r="B456" s="21"/>
      <c r="C456" s="9" t="s">
        <v>10</v>
      </c>
      <c r="D456" s="10" t="s">
        <v>10</v>
      </c>
      <c r="E456" s="11"/>
      <c r="F456" s="11"/>
      <c r="G456" s="12" t="e">
        <f t="shared" ref="G456" si="770">H455+1</f>
        <v>#VALUE!</v>
      </c>
      <c r="H456" s="12" t="e">
        <f t="shared" ref="H456" si="771">E455*1.5</f>
        <v>#VALUE!</v>
      </c>
    </row>
    <row r="457" spans="1:8" hidden="1" x14ac:dyDescent="0.35">
      <c r="A457" s="8"/>
      <c r="B457" s="21"/>
      <c r="C457" s="9" t="s">
        <v>10</v>
      </c>
      <c r="D457" s="10" t="s">
        <v>10</v>
      </c>
      <c r="E457" s="11"/>
      <c r="F457" s="11"/>
      <c r="G457" s="12" t="e">
        <f t="shared" ref="G457" si="772">H456*1</f>
        <v>#VALUE!</v>
      </c>
      <c r="H457" s="12" t="e">
        <f t="shared" ref="H457" si="773">E455*2.5</f>
        <v>#VALUE!</v>
      </c>
    </row>
    <row r="458" spans="1:8" hidden="1" x14ac:dyDescent="0.35">
      <c r="A458" s="8"/>
      <c r="B458" s="21"/>
      <c r="C458" s="9" t="s">
        <v>10</v>
      </c>
      <c r="D458" s="10" t="s">
        <v>10</v>
      </c>
      <c r="E458" s="11"/>
      <c r="F458" s="11"/>
      <c r="G458" s="12" t="e">
        <f t="shared" ref="G458" si="774">H457+1</f>
        <v>#VALUE!</v>
      </c>
      <c r="H458" s="12" t="e">
        <f t="shared" ref="H458" si="775">E455*6</f>
        <v>#VALUE!</v>
      </c>
    </row>
    <row r="459" spans="1:8" hidden="1" x14ac:dyDescent="0.35">
      <c r="A459" s="13"/>
      <c r="B459" s="22"/>
      <c r="C459" s="14"/>
      <c r="D459" s="15"/>
      <c r="E459" s="16"/>
      <c r="F459" s="16"/>
      <c r="G459" s="17"/>
      <c r="H459" s="17"/>
    </row>
    <row r="460" spans="1:8" hidden="1" x14ac:dyDescent="0.35">
      <c r="A460" s="8" t="s">
        <v>101</v>
      </c>
      <c r="B460" s="21"/>
      <c r="C460" s="9" t="s">
        <v>10</v>
      </c>
      <c r="D460" s="10" t="s">
        <v>10</v>
      </c>
      <c r="E460" s="6" t="e">
        <f t="shared" ref="E460" si="776">D460/4</f>
        <v>#VALUE!</v>
      </c>
      <c r="F460" s="11"/>
      <c r="G460" s="7" t="e">
        <f t="shared" ref="G460" si="777">E460*0.25</f>
        <v>#VALUE!</v>
      </c>
      <c r="H460" s="7" t="e">
        <f t="shared" ref="H460" si="778">E460*0.5</f>
        <v>#VALUE!</v>
      </c>
    </row>
    <row r="461" spans="1:8" hidden="1" x14ac:dyDescent="0.35">
      <c r="A461" s="8"/>
      <c r="B461" s="21"/>
      <c r="C461" s="9" t="s">
        <v>10</v>
      </c>
      <c r="D461" s="10" t="s">
        <v>10</v>
      </c>
      <c r="E461" s="11"/>
      <c r="F461" s="11"/>
      <c r="G461" s="12" t="e">
        <f t="shared" ref="G461" si="779">H460+1</f>
        <v>#VALUE!</v>
      </c>
      <c r="H461" s="12" t="e">
        <f t="shared" ref="H461" si="780">E460*1.5</f>
        <v>#VALUE!</v>
      </c>
    </row>
    <row r="462" spans="1:8" hidden="1" x14ac:dyDescent="0.35">
      <c r="A462" s="8"/>
      <c r="B462" s="21"/>
      <c r="C462" s="9" t="s">
        <v>10</v>
      </c>
      <c r="D462" s="10" t="s">
        <v>10</v>
      </c>
      <c r="E462" s="11"/>
      <c r="F462" s="11"/>
      <c r="G462" s="12" t="e">
        <f t="shared" ref="G462" si="781">H461*1</f>
        <v>#VALUE!</v>
      </c>
      <c r="H462" s="12" t="e">
        <f t="shared" ref="H462" si="782">E460*2.5</f>
        <v>#VALUE!</v>
      </c>
    </row>
    <row r="463" spans="1:8" hidden="1" x14ac:dyDescent="0.35">
      <c r="A463" s="8"/>
      <c r="B463" s="21"/>
      <c r="C463" s="9" t="s">
        <v>10</v>
      </c>
      <c r="D463" s="10" t="s">
        <v>10</v>
      </c>
      <c r="E463" s="11"/>
      <c r="F463" s="11"/>
      <c r="G463" s="12" t="e">
        <f t="shared" ref="G463" si="783">H462+1</f>
        <v>#VALUE!</v>
      </c>
      <c r="H463" s="12" t="e">
        <f t="shared" ref="H463" si="784">E460*6</f>
        <v>#VALUE!</v>
      </c>
    </row>
    <row r="464" spans="1:8" hidden="1" x14ac:dyDescent="0.35">
      <c r="A464" s="13"/>
      <c r="B464" s="22"/>
      <c r="C464" s="14"/>
      <c r="D464" s="15"/>
      <c r="E464" s="16"/>
      <c r="F464" s="16"/>
      <c r="G464" s="17"/>
      <c r="H464" s="17"/>
    </row>
    <row r="465" spans="1:8" hidden="1" x14ac:dyDescent="0.35">
      <c r="A465" s="8" t="s">
        <v>102</v>
      </c>
      <c r="B465" s="21"/>
      <c r="C465" s="9" t="s">
        <v>10</v>
      </c>
      <c r="D465" s="10" t="s">
        <v>10</v>
      </c>
      <c r="E465" s="6" t="e">
        <f t="shared" ref="E465" si="785">D465/4</f>
        <v>#VALUE!</v>
      </c>
      <c r="F465" s="11"/>
      <c r="G465" s="7" t="e">
        <f t="shared" ref="G465" si="786">E465*0.25</f>
        <v>#VALUE!</v>
      </c>
      <c r="H465" s="7" t="e">
        <f t="shared" ref="H465" si="787">E465*0.5</f>
        <v>#VALUE!</v>
      </c>
    </row>
    <row r="466" spans="1:8" hidden="1" x14ac:dyDescent="0.35">
      <c r="A466" s="8"/>
      <c r="B466" s="21"/>
      <c r="C466" s="9" t="s">
        <v>10</v>
      </c>
      <c r="D466" s="10" t="s">
        <v>10</v>
      </c>
      <c r="E466" s="11"/>
      <c r="F466" s="11"/>
      <c r="G466" s="12" t="e">
        <f t="shared" ref="G466" si="788">H465+1</f>
        <v>#VALUE!</v>
      </c>
      <c r="H466" s="12" t="e">
        <f t="shared" ref="H466" si="789">E465*1.5</f>
        <v>#VALUE!</v>
      </c>
    </row>
    <row r="467" spans="1:8" hidden="1" x14ac:dyDescent="0.35">
      <c r="A467" s="8"/>
      <c r="B467" s="21"/>
      <c r="C467" s="9" t="s">
        <v>10</v>
      </c>
      <c r="D467" s="10" t="s">
        <v>10</v>
      </c>
      <c r="E467" s="11"/>
      <c r="F467" s="11"/>
      <c r="G467" s="12" t="e">
        <f t="shared" ref="G467" si="790">H466*1</f>
        <v>#VALUE!</v>
      </c>
      <c r="H467" s="12" t="e">
        <f t="shared" ref="H467" si="791">E465*2.5</f>
        <v>#VALUE!</v>
      </c>
    </row>
    <row r="468" spans="1:8" hidden="1" x14ac:dyDescent="0.35">
      <c r="A468" s="8"/>
      <c r="B468" s="21"/>
      <c r="C468" s="9" t="s">
        <v>10</v>
      </c>
      <c r="D468" s="10" t="s">
        <v>10</v>
      </c>
      <c r="E468" s="11"/>
      <c r="F468" s="11"/>
      <c r="G468" s="12" t="e">
        <f t="shared" ref="G468" si="792">H467+1</f>
        <v>#VALUE!</v>
      </c>
      <c r="H468" s="12" t="e">
        <f t="shared" ref="H468" si="793">E465*6</f>
        <v>#VALUE!</v>
      </c>
    </row>
    <row r="469" spans="1:8" hidden="1" x14ac:dyDescent="0.35">
      <c r="A469" s="13"/>
      <c r="B469" s="22"/>
      <c r="C469" s="14"/>
      <c r="D469" s="15"/>
      <c r="E469" s="16"/>
      <c r="F469" s="16"/>
      <c r="G469" s="17"/>
      <c r="H469" s="17"/>
    </row>
    <row r="470" spans="1:8" hidden="1" x14ac:dyDescent="0.35">
      <c r="A470" s="8" t="s">
        <v>103</v>
      </c>
      <c r="B470" s="21"/>
      <c r="C470" s="9" t="s">
        <v>10</v>
      </c>
      <c r="D470" s="10" t="s">
        <v>10</v>
      </c>
      <c r="E470" s="6" t="e">
        <f t="shared" ref="E470" si="794">D470/4</f>
        <v>#VALUE!</v>
      </c>
      <c r="F470" s="11"/>
      <c r="G470" s="7" t="e">
        <f t="shared" ref="G470" si="795">E470*0.25</f>
        <v>#VALUE!</v>
      </c>
      <c r="H470" s="7" t="e">
        <f t="shared" ref="H470" si="796">E470*0.5</f>
        <v>#VALUE!</v>
      </c>
    </row>
    <row r="471" spans="1:8" hidden="1" x14ac:dyDescent="0.35">
      <c r="A471" s="8"/>
      <c r="B471" s="21"/>
      <c r="C471" s="9" t="s">
        <v>10</v>
      </c>
      <c r="D471" s="10" t="s">
        <v>10</v>
      </c>
      <c r="E471" s="11"/>
      <c r="F471" s="11"/>
      <c r="G471" s="12" t="e">
        <f t="shared" ref="G471" si="797">H470+1</f>
        <v>#VALUE!</v>
      </c>
      <c r="H471" s="12" t="e">
        <f t="shared" ref="H471" si="798">E470*1.5</f>
        <v>#VALUE!</v>
      </c>
    </row>
    <row r="472" spans="1:8" hidden="1" x14ac:dyDescent="0.35">
      <c r="A472" s="8"/>
      <c r="B472" s="21"/>
      <c r="C472" s="9" t="s">
        <v>10</v>
      </c>
      <c r="D472" s="10" t="s">
        <v>10</v>
      </c>
      <c r="E472" s="11"/>
      <c r="F472" s="11"/>
      <c r="G472" s="12" t="e">
        <f t="shared" ref="G472" si="799">H471*1</f>
        <v>#VALUE!</v>
      </c>
      <c r="H472" s="12" t="e">
        <f t="shared" ref="H472" si="800">E470*2.5</f>
        <v>#VALUE!</v>
      </c>
    </row>
    <row r="473" spans="1:8" hidden="1" x14ac:dyDescent="0.35">
      <c r="A473" s="8"/>
      <c r="B473" s="21"/>
      <c r="C473" s="9" t="s">
        <v>10</v>
      </c>
      <c r="D473" s="10" t="s">
        <v>10</v>
      </c>
      <c r="E473" s="11"/>
      <c r="F473" s="11"/>
      <c r="G473" s="12" t="e">
        <f t="shared" ref="G473" si="801">H472+1</f>
        <v>#VALUE!</v>
      </c>
      <c r="H473" s="12" t="e">
        <f t="shared" ref="H473" si="802">E470*6</f>
        <v>#VALUE!</v>
      </c>
    </row>
    <row r="474" spans="1:8" hidden="1" x14ac:dyDescent="0.35">
      <c r="A474" s="13"/>
      <c r="B474" s="22"/>
      <c r="C474" s="14"/>
      <c r="D474" s="15"/>
      <c r="E474" s="16"/>
      <c r="F474" s="16"/>
      <c r="G474" s="17"/>
      <c r="H474" s="17"/>
    </row>
    <row r="475" spans="1:8" hidden="1" x14ac:dyDescent="0.35">
      <c r="A475" s="8" t="s">
        <v>104</v>
      </c>
      <c r="B475" s="21"/>
      <c r="C475" s="9" t="s">
        <v>10</v>
      </c>
      <c r="D475" s="10" t="s">
        <v>10</v>
      </c>
      <c r="E475" s="6" t="e">
        <f t="shared" ref="E475" si="803">D475/4</f>
        <v>#VALUE!</v>
      </c>
      <c r="F475" s="11"/>
      <c r="G475" s="7" t="e">
        <f t="shared" ref="G475" si="804">E475*0.25</f>
        <v>#VALUE!</v>
      </c>
      <c r="H475" s="7" t="e">
        <f t="shared" ref="H475" si="805">E475*0.5</f>
        <v>#VALUE!</v>
      </c>
    </row>
    <row r="476" spans="1:8" hidden="1" x14ac:dyDescent="0.35">
      <c r="A476" s="8"/>
      <c r="B476" s="21"/>
      <c r="C476" s="9" t="s">
        <v>10</v>
      </c>
      <c r="D476" s="10" t="s">
        <v>10</v>
      </c>
      <c r="E476" s="11"/>
      <c r="F476" s="11"/>
      <c r="G476" s="12" t="e">
        <f t="shared" ref="G476" si="806">H475+1</f>
        <v>#VALUE!</v>
      </c>
      <c r="H476" s="12" t="e">
        <f t="shared" ref="H476" si="807">E475*1.5</f>
        <v>#VALUE!</v>
      </c>
    </row>
    <row r="477" spans="1:8" hidden="1" x14ac:dyDescent="0.35">
      <c r="A477" s="8"/>
      <c r="B477" s="21"/>
      <c r="C477" s="9" t="s">
        <v>10</v>
      </c>
      <c r="D477" s="10" t="s">
        <v>10</v>
      </c>
      <c r="E477" s="11"/>
      <c r="F477" s="11"/>
      <c r="G477" s="12" t="e">
        <f t="shared" ref="G477" si="808">H476*1</f>
        <v>#VALUE!</v>
      </c>
      <c r="H477" s="12" t="e">
        <f t="shared" ref="H477" si="809">E475*2.5</f>
        <v>#VALUE!</v>
      </c>
    </row>
    <row r="478" spans="1:8" hidden="1" x14ac:dyDescent="0.35">
      <c r="A478" s="8"/>
      <c r="B478" s="21"/>
      <c r="C478" s="9" t="s">
        <v>10</v>
      </c>
      <c r="D478" s="10" t="s">
        <v>10</v>
      </c>
      <c r="E478" s="11"/>
      <c r="F478" s="11"/>
      <c r="G478" s="12" t="e">
        <f t="shared" ref="G478" si="810">H477+1</f>
        <v>#VALUE!</v>
      </c>
      <c r="H478" s="12" t="e">
        <f t="shared" ref="H478" si="811">E475*6</f>
        <v>#VALUE!</v>
      </c>
    </row>
    <row r="479" spans="1:8" hidden="1" x14ac:dyDescent="0.35">
      <c r="A479" s="13"/>
      <c r="B479" s="22"/>
      <c r="C479" s="14"/>
      <c r="D479" s="15"/>
      <c r="E479" s="16"/>
      <c r="F479" s="16"/>
      <c r="G479" s="17"/>
      <c r="H479" s="17"/>
    </row>
    <row r="480" spans="1:8" hidden="1" x14ac:dyDescent="0.35">
      <c r="A480" s="8" t="s">
        <v>105</v>
      </c>
      <c r="B480" s="21"/>
      <c r="C480" s="9" t="s">
        <v>10</v>
      </c>
      <c r="D480" s="10" t="s">
        <v>10</v>
      </c>
      <c r="E480" s="6" t="e">
        <f t="shared" ref="E480" si="812">D480/4</f>
        <v>#VALUE!</v>
      </c>
      <c r="F480" s="11"/>
      <c r="G480" s="7" t="e">
        <f t="shared" ref="G480" si="813">E480*0.25</f>
        <v>#VALUE!</v>
      </c>
      <c r="H480" s="7" t="e">
        <f t="shared" ref="H480" si="814">E480*0.5</f>
        <v>#VALUE!</v>
      </c>
    </row>
    <row r="481" spans="1:8" hidden="1" x14ac:dyDescent="0.35">
      <c r="A481" s="8"/>
      <c r="B481" s="21"/>
      <c r="C481" s="9" t="s">
        <v>10</v>
      </c>
      <c r="D481" s="10" t="s">
        <v>10</v>
      </c>
      <c r="E481" s="11"/>
      <c r="F481" s="11"/>
      <c r="G481" s="12" t="e">
        <f t="shared" ref="G481" si="815">H480+1</f>
        <v>#VALUE!</v>
      </c>
      <c r="H481" s="12" t="e">
        <f t="shared" ref="H481" si="816">E480*1.5</f>
        <v>#VALUE!</v>
      </c>
    </row>
    <row r="482" spans="1:8" hidden="1" x14ac:dyDescent="0.35">
      <c r="A482" s="8"/>
      <c r="B482" s="21"/>
      <c r="C482" s="9" t="s">
        <v>10</v>
      </c>
      <c r="D482" s="10" t="s">
        <v>10</v>
      </c>
      <c r="E482" s="11"/>
      <c r="F482" s="11"/>
      <c r="G482" s="12" t="e">
        <f t="shared" ref="G482" si="817">H481*1</f>
        <v>#VALUE!</v>
      </c>
      <c r="H482" s="12" t="e">
        <f t="shared" ref="H482" si="818">E480*2.5</f>
        <v>#VALUE!</v>
      </c>
    </row>
    <row r="483" spans="1:8" hidden="1" x14ac:dyDescent="0.35">
      <c r="A483" s="8"/>
      <c r="B483" s="21"/>
      <c r="C483" s="9" t="s">
        <v>10</v>
      </c>
      <c r="D483" s="10" t="s">
        <v>10</v>
      </c>
      <c r="E483" s="11"/>
      <c r="F483" s="11"/>
      <c r="G483" s="12" t="e">
        <f t="shared" ref="G483" si="819">H482+1</f>
        <v>#VALUE!</v>
      </c>
      <c r="H483" s="12" t="e">
        <f t="shared" ref="H483" si="820">E480*6</f>
        <v>#VALUE!</v>
      </c>
    </row>
    <row r="484" spans="1:8" hidden="1" x14ac:dyDescent="0.35">
      <c r="A484" s="13"/>
      <c r="B484" s="22"/>
      <c r="C484" s="14"/>
      <c r="D484" s="15"/>
      <c r="E484" s="16"/>
      <c r="F484" s="16"/>
      <c r="G484" s="17"/>
      <c r="H484" s="17"/>
    </row>
    <row r="485" spans="1:8" hidden="1" x14ac:dyDescent="0.35">
      <c r="A485" s="8" t="s">
        <v>106</v>
      </c>
      <c r="B485" s="21"/>
      <c r="C485" s="9" t="s">
        <v>10</v>
      </c>
      <c r="D485" s="10" t="s">
        <v>10</v>
      </c>
      <c r="E485" s="6" t="e">
        <f t="shared" ref="E485" si="821">D485/4</f>
        <v>#VALUE!</v>
      </c>
      <c r="F485" s="11"/>
      <c r="G485" s="7" t="e">
        <f t="shared" ref="G485" si="822">E485*0.25</f>
        <v>#VALUE!</v>
      </c>
      <c r="H485" s="7" t="e">
        <f t="shared" ref="H485" si="823">E485*0.5</f>
        <v>#VALUE!</v>
      </c>
    </row>
    <row r="486" spans="1:8" hidden="1" x14ac:dyDescent="0.35">
      <c r="A486" s="8"/>
      <c r="B486" s="21"/>
      <c r="C486" s="9" t="s">
        <v>10</v>
      </c>
      <c r="D486" s="10" t="s">
        <v>10</v>
      </c>
      <c r="E486" s="11"/>
      <c r="F486" s="11"/>
      <c r="G486" s="12" t="e">
        <f t="shared" ref="G486" si="824">H485+1</f>
        <v>#VALUE!</v>
      </c>
      <c r="H486" s="12" t="e">
        <f t="shared" ref="H486" si="825">E485*1.5</f>
        <v>#VALUE!</v>
      </c>
    </row>
    <row r="487" spans="1:8" hidden="1" x14ac:dyDescent="0.35">
      <c r="A487" s="8"/>
      <c r="B487" s="21"/>
      <c r="C487" s="9" t="s">
        <v>10</v>
      </c>
      <c r="D487" s="10" t="s">
        <v>10</v>
      </c>
      <c r="E487" s="11"/>
      <c r="F487" s="11"/>
      <c r="G487" s="12" t="e">
        <f t="shared" ref="G487" si="826">H486*1</f>
        <v>#VALUE!</v>
      </c>
      <c r="H487" s="12" t="e">
        <f t="shared" ref="H487" si="827">E485*2.5</f>
        <v>#VALUE!</v>
      </c>
    </row>
    <row r="488" spans="1:8" hidden="1" x14ac:dyDescent="0.35">
      <c r="A488" s="8"/>
      <c r="B488" s="21"/>
      <c r="C488" s="9" t="s">
        <v>10</v>
      </c>
      <c r="D488" s="10" t="s">
        <v>10</v>
      </c>
      <c r="E488" s="11"/>
      <c r="F488" s="11"/>
      <c r="G488" s="12" t="e">
        <f t="shared" ref="G488" si="828">H487+1</f>
        <v>#VALUE!</v>
      </c>
      <c r="H488" s="12" t="e">
        <f t="shared" ref="H488" si="829">E485*6</f>
        <v>#VALUE!</v>
      </c>
    </row>
    <row r="489" spans="1:8" hidden="1" x14ac:dyDescent="0.35">
      <c r="A489" s="13"/>
      <c r="B489" s="22"/>
      <c r="C489" s="14"/>
      <c r="D489" s="15"/>
      <c r="E489" s="16"/>
      <c r="F489" s="16"/>
      <c r="G489" s="17"/>
      <c r="H489" s="17"/>
    </row>
    <row r="490" spans="1:8" hidden="1" x14ac:dyDescent="0.35">
      <c r="A490" s="8" t="s">
        <v>107</v>
      </c>
      <c r="B490" s="21"/>
      <c r="C490" s="9" t="s">
        <v>10</v>
      </c>
      <c r="D490" s="10" t="s">
        <v>10</v>
      </c>
      <c r="E490" s="6" t="e">
        <f t="shared" ref="E490" si="830">D490/4</f>
        <v>#VALUE!</v>
      </c>
      <c r="F490" s="11"/>
      <c r="G490" s="7" t="e">
        <f t="shared" ref="G490" si="831">E490*0.25</f>
        <v>#VALUE!</v>
      </c>
      <c r="H490" s="7" t="e">
        <f t="shared" ref="H490" si="832">E490*0.5</f>
        <v>#VALUE!</v>
      </c>
    </row>
    <row r="491" spans="1:8" hidden="1" x14ac:dyDescent="0.35">
      <c r="A491" s="8"/>
      <c r="B491" s="21"/>
      <c r="C491" s="9" t="s">
        <v>10</v>
      </c>
      <c r="D491" s="10" t="s">
        <v>10</v>
      </c>
      <c r="E491" s="11"/>
      <c r="F491" s="11"/>
      <c r="G491" s="12" t="e">
        <f t="shared" ref="G491" si="833">H490+1</f>
        <v>#VALUE!</v>
      </c>
      <c r="H491" s="12" t="e">
        <f t="shared" ref="H491" si="834">E490*1.5</f>
        <v>#VALUE!</v>
      </c>
    </row>
    <row r="492" spans="1:8" hidden="1" x14ac:dyDescent="0.35">
      <c r="A492" s="8"/>
      <c r="B492" s="21"/>
      <c r="C492" s="9" t="s">
        <v>10</v>
      </c>
      <c r="D492" s="10" t="s">
        <v>10</v>
      </c>
      <c r="E492" s="11"/>
      <c r="F492" s="11"/>
      <c r="G492" s="12" t="e">
        <f t="shared" ref="G492" si="835">H491*1</f>
        <v>#VALUE!</v>
      </c>
      <c r="H492" s="12" t="e">
        <f t="shared" ref="H492" si="836">E490*2.5</f>
        <v>#VALUE!</v>
      </c>
    </row>
    <row r="493" spans="1:8" hidden="1" x14ac:dyDescent="0.35">
      <c r="A493" s="8"/>
      <c r="B493" s="21"/>
      <c r="C493" s="9" t="s">
        <v>10</v>
      </c>
      <c r="D493" s="10" t="s">
        <v>10</v>
      </c>
      <c r="E493" s="11"/>
      <c r="F493" s="11"/>
      <c r="G493" s="12" t="e">
        <f t="shared" ref="G493" si="837">H492+1</f>
        <v>#VALUE!</v>
      </c>
      <c r="H493" s="12" t="e">
        <f t="shared" ref="H493" si="838">E490*6</f>
        <v>#VALUE!</v>
      </c>
    </row>
    <row r="494" spans="1:8" hidden="1" x14ac:dyDescent="0.35">
      <c r="A494" s="13"/>
      <c r="B494" s="22"/>
      <c r="C494" s="14"/>
      <c r="D494" s="15"/>
      <c r="E494" s="16"/>
      <c r="F494" s="16"/>
      <c r="G494" s="17"/>
      <c r="H494" s="17"/>
    </row>
    <row r="495" spans="1:8" hidden="1" x14ac:dyDescent="0.35">
      <c r="A495" s="8" t="s">
        <v>108</v>
      </c>
      <c r="B495" s="21"/>
      <c r="C495" s="9" t="s">
        <v>10</v>
      </c>
      <c r="D495" s="10" t="s">
        <v>10</v>
      </c>
      <c r="E495" s="6" t="e">
        <f t="shared" ref="E495" si="839">D495/4</f>
        <v>#VALUE!</v>
      </c>
      <c r="F495" s="11"/>
      <c r="G495" s="7" t="e">
        <f t="shared" ref="G495" si="840">E495*0.25</f>
        <v>#VALUE!</v>
      </c>
      <c r="H495" s="7" t="e">
        <f t="shared" ref="H495" si="841">E495*0.5</f>
        <v>#VALUE!</v>
      </c>
    </row>
    <row r="496" spans="1:8" hidden="1" x14ac:dyDescent="0.35">
      <c r="A496" s="8"/>
      <c r="B496" s="21"/>
      <c r="C496" s="9" t="s">
        <v>10</v>
      </c>
      <c r="D496" s="10" t="s">
        <v>10</v>
      </c>
      <c r="E496" s="11"/>
      <c r="F496" s="11"/>
      <c r="G496" s="12" t="e">
        <f t="shared" ref="G496" si="842">H495+1</f>
        <v>#VALUE!</v>
      </c>
      <c r="H496" s="12" t="e">
        <f t="shared" ref="H496" si="843">E495*1.5</f>
        <v>#VALUE!</v>
      </c>
    </row>
    <row r="497" spans="1:8" hidden="1" x14ac:dyDescent="0.35">
      <c r="A497" s="8"/>
      <c r="B497" s="21"/>
      <c r="C497" s="9" t="s">
        <v>10</v>
      </c>
      <c r="D497" s="10" t="s">
        <v>10</v>
      </c>
      <c r="E497" s="11"/>
      <c r="F497" s="11"/>
      <c r="G497" s="12" t="e">
        <f t="shared" ref="G497" si="844">H496*1</f>
        <v>#VALUE!</v>
      </c>
      <c r="H497" s="12" t="e">
        <f t="shared" ref="H497" si="845">E495*2.5</f>
        <v>#VALUE!</v>
      </c>
    </row>
    <row r="498" spans="1:8" hidden="1" x14ac:dyDescent="0.35">
      <c r="A498" s="8"/>
      <c r="B498" s="21"/>
      <c r="C498" s="9" t="s">
        <v>10</v>
      </c>
      <c r="D498" s="10" t="s">
        <v>10</v>
      </c>
      <c r="E498" s="11"/>
      <c r="F498" s="11"/>
      <c r="G498" s="12" t="e">
        <f t="shared" ref="G498" si="846">H497+1</f>
        <v>#VALUE!</v>
      </c>
      <c r="H498" s="12" t="e">
        <f t="shared" ref="H498" si="847">E495*6</f>
        <v>#VALUE!</v>
      </c>
    </row>
    <row r="499" spans="1:8" hidden="1" x14ac:dyDescent="0.35">
      <c r="A499" s="13"/>
      <c r="B499" s="22"/>
      <c r="C499" s="14"/>
      <c r="D499" s="15"/>
      <c r="E499" s="16"/>
      <c r="F499" s="16"/>
      <c r="G499" s="17"/>
      <c r="H499" s="17"/>
    </row>
    <row r="500" spans="1:8" hidden="1" x14ac:dyDescent="0.35">
      <c r="A500" s="8" t="s">
        <v>109</v>
      </c>
      <c r="B500" s="21"/>
      <c r="C500" s="9" t="s">
        <v>10</v>
      </c>
      <c r="D500" s="10" t="s">
        <v>10</v>
      </c>
      <c r="E500" s="6" t="e">
        <f t="shared" ref="E500" si="848">D500/4</f>
        <v>#VALUE!</v>
      </c>
      <c r="F500" s="11"/>
      <c r="G500" s="7" t="e">
        <f t="shared" ref="G500" si="849">E500*0.25</f>
        <v>#VALUE!</v>
      </c>
      <c r="H500" s="7" t="e">
        <f t="shared" ref="H500" si="850">E500*0.5</f>
        <v>#VALUE!</v>
      </c>
    </row>
    <row r="501" spans="1:8" hidden="1" x14ac:dyDescent="0.35">
      <c r="A501" s="8"/>
      <c r="B501" s="21"/>
      <c r="C501" s="9" t="s">
        <v>10</v>
      </c>
      <c r="D501" s="10" t="s">
        <v>10</v>
      </c>
      <c r="E501" s="11"/>
      <c r="F501" s="11"/>
      <c r="G501" s="12" t="e">
        <f t="shared" ref="G501" si="851">H500+1</f>
        <v>#VALUE!</v>
      </c>
      <c r="H501" s="12" t="e">
        <f t="shared" ref="H501" si="852">E500*1.5</f>
        <v>#VALUE!</v>
      </c>
    </row>
    <row r="502" spans="1:8" hidden="1" x14ac:dyDescent="0.35">
      <c r="A502" s="8"/>
      <c r="B502" s="21"/>
      <c r="C502" s="9" t="s">
        <v>10</v>
      </c>
      <c r="D502" s="10" t="s">
        <v>10</v>
      </c>
      <c r="E502" s="11"/>
      <c r="F502" s="11"/>
      <c r="G502" s="12" t="e">
        <f t="shared" ref="G502" si="853">H501*1</f>
        <v>#VALUE!</v>
      </c>
      <c r="H502" s="12" t="e">
        <f t="shared" ref="H502" si="854">E500*2.5</f>
        <v>#VALUE!</v>
      </c>
    </row>
    <row r="503" spans="1:8" hidden="1" x14ac:dyDescent="0.35">
      <c r="A503" s="8"/>
      <c r="B503" s="21"/>
      <c r="C503" s="9" t="s">
        <v>10</v>
      </c>
      <c r="D503" s="10" t="s">
        <v>10</v>
      </c>
      <c r="E503" s="11"/>
      <c r="F503" s="11"/>
      <c r="G503" s="12" t="e">
        <f t="shared" ref="G503" si="855">H502+1</f>
        <v>#VALUE!</v>
      </c>
      <c r="H503" s="12" t="e">
        <f t="shared" ref="H503" si="856">E500*6</f>
        <v>#VALUE!</v>
      </c>
    </row>
    <row r="504" spans="1:8" hidden="1" x14ac:dyDescent="0.35">
      <c r="A504" s="13"/>
      <c r="B504" s="22"/>
      <c r="C504" s="14"/>
      <c r="D504" s="15"/>
      <c r="E504" s="16"/>
      <c r="F504" s="16"/>
      <c r="G504" s="17"/>
      <c r="H504" s="17"/>
    </row>
    <row r="505" spans="1:8" hidden="1" x14ac:dyDescent="0.35">
      <c r="A505" s="8" t="s">
        <v>110</v>
      </c>
      <c r="B505" s="21"/>
      <c r="C505" s="9" t="s">
        <v>10</v>
      </c>
      <c r="D505" s="10" t="s">
        <v>10</v>
      </c>
      <c r="E505" s="6" t="e">
        <f t="shared" ref="E505" si="857">D505/4</f>
        <v>#VALUE!</v>
      </c>
      <c r="F505" s="11"/>
      <c r="G505" s="7" t="e">
        <f t="shared" ref="G505" si="858">E505*0.25</f>
        <v>#VALUE!</v>
      </c>
      <c r="H505" s="7" t="e">
        <f t="shared" ref="H505" si="859">E505*0.5</f>
        <v>#VALUE!</v>
      </c>
    </row>
    <row r="506" spans="1:8" hidden="1" x14ac:dyDescent="0.35">
      <c r="A506" s="8"/>
      <c r="B506" s="21"/>
      <c r="C506" s="9" t="s">
        <v>10</v>
      </c>
      <c r="D506" s="10" t="s">
        <v>10</v>
      </c>
      <c r="E506" s="11"/>
      <c r="F506" s="11"/>
      <c r="G506" s="12" t="e">
        <f t="shared" ref="G506" si="860">H505+1</f>
        <v>#VALUE!</v>
      </c>
      <c r="H506" s="12" t="e">
        <f t="shared" ref="H506" si="861">E505*1.5</f>
        <v>#VALUE!</v>
      </c>
    </row>
    <row r="507" spans="1:8" hidden="1" x14ac:dyDescent="0.35">
      <c r="A507" s="8"/>
      <c r="B507" s="21"/>
      <c r="C507" s="9" t="s">
        <v>10</v>
      </c>
      <c r="D507" s="10" t="s">
        <v>10</v>
      </c>
      <c r="E507" s="11"/>
      <c r="F507" s="11"/>
      <c r="G507" s="12" t="e">
        <f t="shared" ref="G507" si="862">H506*1</f>
        <v>#VALUE!</v>
      </c>
      <c r="H507" s="12" t="e">
        <f t="shared" ref="H507" si="863">E505*2.5</f>
        <v>#VALUE!</v>
      </c>
    </row>
    <row r="508" spans="1:8" hidden="1" x14ac:dyDescent="0.35">
      <c r="A508" s="8"/>
      <c r="B508" s="21"/>
      <c r="C508" s="9" t="s">
        <v>10</v>
      </c>
      <c r="D508" s="10" t="s">
        <v>10</v>
      </c>
      <c r="E508" s="11"/>
      <c r="F508" s="11"/>
      <c r="G508" s="12" t="e">
        <f t="shared" ref="G508" si="864">H507+1</f>
        <v>#VALUE!</v>
      </c>
      <c r="H508" s="12" t="e">
        <f t="shared" ref="H508" si="865">E505*6</f>
        <v>#VALUE!</v>
      </c>
    </row>
    <row r="509" spans="1:8" hidden="1" x14ac:dyDescent="0.35">
      <c r="A509" s="13"/>
      <c r="B509" s="22"/>
      <c r="C509" s="14"/>
      <c r="D509" s="15"/>
      <c r="E509" s="16"/>
      <c r="F509" s="16"/>
      <c r="G509" s="17"/>
      <c r="H509" s="17"/>
    </row>
    <row r="510" spans="1:8" hidden="1" x14ac:dyDescent="0.35">
      <c r="A510" s="8" t="s">
        <v>111</v>
      </c>
      <c r="B510" s="21"/>
      <c r="C510" s="9" t="s">
        <v>10</v>
      </c>
      <c r="D510" s="10" t="s">
        <v>10</v>
      </c>
      <c r="E510" s="6" t="e">
        <f t="shared" ref="E510" si="866">D510/4</f>
        <v>#VALUE!</v>
      </c>
      <c r="F510" s="11"/>
      <c r="G510" s="7" t="e">
        <f t="shared" ref="G510" si="867">E510*0.25</f>
        <v>#VALUE!</v>
      </c>
      <c r="H510" s="7" t="e">
        <f t="shared" ref="H510" si="868">E510*0.5</f>
        <v>#VALUE!</v>
      </c>
    </row>
    <row r="511" spans="1:8" hidden="1" x14ac:dyDescent="0.35">
      <c r="A511" s="8"/>
      <c r="B511" s="21"/>
      <c r="C511" s="9" t="s">
        <v>10</v>
      </c>
      <c r="D511" s="10" t="s">
        <v>10</v>
      </c>
      <c r="E511" s="11"/>
      <c r="F511" s="11"/>
      <c r="G511" s="12" t="e">
        <f t="shared" ref="G511" si="869">H510+1</f>
        <v>#VALUE!</v>
      </c>
      <c r="H511" s="12" t="e">
        <f t="shared" ref="H511" si="870">E510*1.5</f>
        <v>#VALUE!</v>
      </c>
    </row>
    <row r="512" spans="1:8" hidden="1" x14ac:dyDescent="0.35">
      <c r="A512" s="8"/>
      <c r="B512" s="21"/>
      <c r="C512" s="9" t="s">
        <v>10</v>
      </c>
      <c r="D512" s="10" t="s">
        <v>10</v>
      </c>
      <c r="E512" s="11"/>
      <c r="F512" s="11"/>
      <c r="G512" s="12" t="e">
        <f t="shared" ref="G512" si="871">H511*1</f>
        <v>#VALUE!</v>
      </c>
      <c r="H512" s="12" t="e">
        <f t="shared" ref="H512" si="872">E510*2.5</f>
        <v>#VALUE!</v>
      </c>
    </row>
    <row r="513" spans="1:8" hidden="1" x14ac:dyDescent="0.35">
      <c r="A513" s="8"/>
      <c r="B513" s="21"/>
      <c r="C513" s="9" t="s">
        <v>10</v>
      </c>
      <c r="D513" s="10" t="s">
        <v>10</v>
      </c>
      <c r="E513" s="11"/>
      <c r="F513" s="11"/>
      <c r="G513" s="12" t="e">
        <f t="shared" ref="G513" si="873">H512+1</f>
        <v>#VALUE!</v>
      </c>
      <c r="H513" s="12" t="e">
        <f t="shared" ref="H513" si="874">E510*6</f>
        <v>#VALUE!</v>
      </c>
    </row>
    <row r="514" spans="1:8" hidden="1" x14ac:dyDescent="0.35">
      <c r="A514" s="13"/>
      <c r="B514" s="22"/>
      <c r="C514" s="14"/>
      <c r="D514" s="15"/>
      <c r="E514" s="16"/>
      <c r="F514" s="16"/>
      <c r="G514" s="17"/>
      <c r="H514" s="17"/>
    </row>
    <row r="515" spans="1:8" hidden="1" x14ac:dyDescent="0.35">
      <c r="A515" s="8" t="s">
        <v>112</v>
      </c>
      <c r="B515" s="21"/>
      <c r="C515" s="9" t="s">
        <v>10</v>
      </c>
      <c r="D515" s="10" t="s">
        <v>10</v>
      </c>
      <c r="E515" s="6" t="e">
        <f t="shared" ref="E515" si="875">D515/4</f>
        <v>#VALUE!</v>
      </c>
      <c r="F515" s="11"/>
      <c r="G515" s="7" t="e">
        <f t="shared" ref="G515" si="876">E515*0.25</f>
        <v>#VALUE!</v>
      </c>
      <c r="H515" s="7" t="e">
        <f t="shared" ref="H515" si="877">E515*0.5</f>
        <v>#VALUE!</v>
      </c>
    </row>
    <row r="516" spans="1:8" hidden="1" x14ac:dyDescent="0.35">
      <c r="A516" s="8"/>
      <c r="B516" s="21"/>
      <c r="C516" s="9" t="s">
        <v>10</v>
      </c>
      <c r="D516" s="10" t="s">
        <v>10</v>
      </c>
      <c r="E516" s="11"/>
      <c r="F516" s="11"/>
      <c r="G516" s="12" t="e">
        <f t="shared" ref="G516" si="878">H515+1</f>
        <v>#VALUE!</v>
      </c>
      <c r="H516" s="12" t="e">
        <f t="shared" ref="H516" si="879">E515*1.5</f>
        <v>#VALUE!</v>
      </c>
    </row>
    <row r="517" spans="1:8" hidden="1" x14ac:dyDescent="0.35">
      <c r="A517" s="8"/>
      <c r="B517" s="21"/>
      <c r="C517" s="9" t="s">
        <v>10</v>
      </c>
      <c r="D517" s="10" t="s">
        <v>10</v>
      </c>
      <c r="E517" s="11"/>
      <c r="F517" s="11"/>
      <c r="G517" s="12" t="e">
        <f t="shared" ref="G517" si="880">H516*1</f>
        <v>#VALUE!</v>
      </c>
      <c r="H517" s="12" t="e">
        <f t="shared" ref="H517" si="881">E515*2.5</f>
        <v>#VALUE!</v>
      </c>
    </row>
    <row r="518" spans="1:8" hidden="1" x14ac:dyDescent="0.35">
      <c r="A518" s="8"/>
      <c r="B518" s="21"/>
      <c r="C518" s="9" t="s">
        <v>10</v>
      </c>
      <c r="D518" s="10" t="s">
        <v>10</v>
      </c>
      <c r="E518" s="11"/>
      <c r="F518" s="11"/>
      <c r="G518" s="12" t="e">
        <f t="shared" ref="G518" si="882">H517+1</f>
        <v>#VALUE!</v>
      </c>
      <c r="H518" s="12" t="e">
        <f t="shared" ref="H518" si="883">E515*6</f>
        <v>#VALUE!</v>
      </c>
    </row>
    <row r="519" spans="1:8" hidden="1" x14ac:dyDescent="0.35">
      <c r="A519" s="13"/>
      <c r="B519" s="22"/>
      <c r="C519" s="14"/>
      <c r="D519" s="15"/>
      <c r="E519" s="16"/>
      <c r="F519" s="16"/>
      <c r="G519" s="17"/>
      <c r="H519" s="17"/>
    </row>
    <row r="520" spans="1:8" hidden="1" x14ac:dyDescent="0.35">
      <c r="A520" s="8" t="s">
        <v>113</v>
      </c>
      <c r="B520" s="21"/>
      <c r="C520" s="9" t="s">
        <v>10</v>
      </c>
      <c r="D520" s="10" t="s">
        <v>10</v>
      </c>
      <c r="E520" s="6" t="e">
        <f t="shared" ref="E520" si="884">D520/4</f>
        <v>#VALUE!</v>
      </c>
      <c r="F520" s="11"/>
      <c r="G520" s="7" t="e">
        <f t="shared" ref="G520" si="885">E520*0.25</f>
        <v>#VALUE!</v>
      </c>
      <c r="H520" s="7" t="e">
        <f t="shared" ref="H520" si="886">E520*0.5</f>
        <v>#VALUE!</v>
      </c>
    </row>
    <row r="521" spans="1:8" hidden="1" x14ac:dyDescent="0.35">
      <c r="A521" s="8"/>
      <c r="B521" s="21"/>
      <c r="C521" s="9" t="s">
        <v>10</v>
      </c>
      <c r="D521" s="10" t="s">
        <v>10</v>
      </c>
      <c r="E521" s="11"/>
      <c r="F521" s="11"/>
      <c r="G521" s="12" t="e">
        <f t="shared" ref="G521" si="887">H520+1</f>
        <v>#VALUE!</v>
      </c>
      <c r="H521" s="12" t="e">
        <f t="shared" ref="H521" si="888">E520*1.5</f>
        <v>#VALUE!</v>
      </c>
    </row>
    <row r="522" spans="1:8" hidden="1" x14ac:dyDescent="0.35">
      <c r="A522" s="8"/>
      <c r="B522" s="21"/>
      <c r="C522" s="9" t="s">
        <v>10</v>
      </c>
      <c r="D522" s="10" t="s">
        <v>10</v>
      </c>
      <c r="E522" s="11"/>
      <c r="F522" s="11"/>
      <c r="G522" s="12" t="e">
        <f t="shared" ref="G522" si="889">H521*1</f>
        <v>#VALUE!</v>
      </c>
      <c r="H522" s="12" t="e">
        <f t="shared" ref="H522" si="890">E520*2.5</f>
        <v>#VALUE!</v>
      </c>
    </row>
    <row r="523" spans="1:8" hidden="1" x14ac:dyDescent="0.35">
      <c r="A523" s="8"/>
      <c r="B523" s="21"/>
      <c r="C523" s="9" t="s">
        <v>10</v>
      </c>
      <c r="D523" s="10" t="s">
        <v>10</v>
      </c>
      <c r="E523" s="11"/>
      <c r="F523" s="11"/>
      <c r="G523" s="12" t="e">
        <f t="shared" ref="G523" si="891">H522+1</f>
        <v>#VALUE!</v>
      </c>
      <c r="H523" s="12" t="e">
        <f t="shared" ref="H523" si="892">E520*6</f>
        <v>#VALUE!</v>
      </c>
    </row>
    <row r="524" spans="1:8" hidden="1" x14ac:dyDescent="0.35">
      <c r="A524" s="13"/>
      <c r="B524" s="22"/>
      <c r="C524" s="14"/>
      <c r="D524" s="15"/>
      <c r="E524" s="16"/>
      <c r="F524" s="16"/>
      <c r="G524" s="17"/>
      <c r="H524" s="17"/>
    </row>
    <row r="525" spans="1:8" hidden="1" x14ac:dyDescent="0.35">
      <c r="A525" s="8" t="s">
        <v>114</v>
      </c>
      <c r="B525" s="21"/>
      <c r="C525" s="9" t="s">
        <v>10</v>
      </c>
      <c r="D525" s="10" t="s">
        <v>10</v>
      </c>
      <c r="E525" s="6" t="e">
        <f t="shared" ref="E525" si="893">D525/4</f>
        <v>#VALUE!</v>
      </c>
      <c r="F525" s="11"/>
      <c r="G525" s="7" t="e">
        <f t="shared" ref="G525" si="894">E525*0.25</f>
        <v>#VALUE!</v>
      </c>
      <c r="H525" s="7" t="e">
        <f t="shared" ref="H525" si="895">E525*0.5</f>
        <v>#VALUE!</v>
      </c>
    </row>
    <row r="526" spans="1:8" hidden="1" x14ac:dyDescent="0.35">
      <c r="A526" s="8"/>
      <c r="B526" s="21"/>
      <c r="C526" s="9" t="s">
        <v>10</v>
      </c>
      <c r="D526" s="10" t="s">
        <v>10</v>
      </c>
      <c r="E526" s="11"/>
      <c r="F526" s="11"/>
      <c r="G526" s="12" t="e">
        <f t="shared" ref="G526" si="896">H525+1</f>
        <v>#VALUE!</v>
      </c>
      <c r="H526" s="12" t="e">
        <f t="shared" ref="H526" si="897">E525*1.5</f>
        <v>#VALUE!</v>
      </c>
    </row>
    <row r="527" spans="1:8" hidden="1" x14ac:dyDescent="0.35">
      <c r="A527" s="8"/>
      <c r="B527" s="21"/>
      <c r="C527" s="9" t="s">
        <v>10</v>
      </c>
      <c r="D527" s="10" t="s">
        <v>10</v>
      </c>
      <c r="E527" s="11"/>
      <c r="F527" s="11"/>
      <c r="G527" s="12" t="e">
        <f t="shared" ref="G527" si="898">H526*1</f>
        <v>#VALUE!</v>
      </c>
      <c r="H527" s="12" t="e">
        <f t="shared" ref="H527" si="899">E525*2.5</f>
        <v>#VALUE!</v>
      </c>
    </row>
    <row r="528" spans="1:8" hidden="1" x14ac:dyDescent="0.35">
      <c r="A528" s="8"/>
      <c r="B528" s="21"/>
      <c r="C528" s="9" t="s">
        <v>10</v>
      </c>
      <c r="D528" s="10" t="s">
        <v>10</v>
      </c>
      <c r="E528" s="11"/>
      <c r="F528" s="11"/>
      <c r="G528" s="12" t="e">
        <f t="shared" ref="G528" si="900">H527+1</f>
        <v>#VALUE!</v>
      </c>
      <c r="H528" s="12" t="e">
        <f t="shared" ref="H528" si="901">E525*6</f>
        <v>#VALUE!</v>
      </c>
    </row>
    <row r="529" spans="1:8" hidden="1" x14ac:dyDescent="0.35">
      <c r="A529" s="13"/>
      <c r="B529" s="22"/>
      <c r="C529" s="14"/>
      <c r="D529" s="15"/>
      <c r="E529" s="16"/>
      <c r="F529" s="16"/>
      <c r="G529" s="17"/>
      <c r="H529" s="17"/>
    </row>
    <row r="530" spans="1:8" hidden="1" x14ac:dyDescent="0.35">
      <c r="A530" s="8" t="s">
        <v>115</v>
      </c>
      <c r="B530" s="21"/>
      <c r="C530" s="9" t="s">
        <v>10</v>
      </c>
      <c r="D530" s="10" t="s">
        <v>10</v>
      </c>
      <c r="E530" s="6" t="e">
        <f t="shared" ref="E530" si="902">D530/4</f>
        <v>#VALUE!</v>
      </c>
      <c r="F530" s="11"/>
      <c r="G530" s="7" t="e">
        <f t="shared" ref="G530" si="903">E530*0.25</f>
        <v>#VALUE!</v>
      </c>
      <c r="H530" s="7" t="e">
        <f t="shared" ref="H530" si="904">E530*0.5</f>
        <v>#VALUE!</v>
      </c>
    </row>
    <row r="531" spans="1:8" hidden="1" x14ac:dyDescent="0.35">
      <c r="A531" s="8"/>
      <c r="B531" s="21"/>
      <c r="C531" s="9" t="s">
        <v>10</v>
      </c>
      <c r="D531" s="10" t="s">
        <v>10</v>
      </c>
      <c r="E531" s="11"/>
      <c r="F531" s="11"/>
      <c r="G531" s="12" t="e">
        <f t="shared" ref="G531" si="905">H530+1</f>
        <v>#VALUE!</v>
      </c>
      <c r="H531" s="12" t="e">
        <f t="shared" ref="H531" si="906">E530*1.5</f>
        <v>#VALUE!</v>
      </c>
    </row>
    <row r="532" spans="1:8" hidden="1" x14ac:dyDescent="0.35">
      <c r="A532" s="8"/>
      <c r="B532" s="21"/>
      <c r="C532" s="9" t="s">
        <v>10</v>
      </c>
      <c r="D532" s="10" t="s">
        <v>10</v>
      </c>
      <c r="E532" s="11"/>
      <c r="F532" s="11"/>
      <c r="G532" s="12" t="e">
        <f t="shared" ref="G532" si="907">H531*1</f>
        <v>#VALUE!</v>
      </c>
      <c r="H532" s="12" t="e">
        <f t="shared" ref="H532" si="908">E530*2.5</f>
        <v>#VALUE!</v>
      </c>
    </row>
    <row r="533" spans="1:8" hidden="1" x14ac:dyDescent="0.35">
      <c r="A533" s="8"/>
      <c r="B533" s="21"/>
      <c r="C533" s="9" t="s">
        <v>10</v>
      </c>
      <c r="D533" s="10" t="s">
        <v>10</v>
      </c>
      <c r="E533" s="11"/>
      <c r="F533" s="11"/>
      <c r="G533" s="12" t="e">
        <f t="shared" ref="G533" si="909">H532+1</f>
        <v>#VALUE!</v>
      </c>
      <c r="H533" s="12" t="e">
        <f t="shared" ref="H533" si="910">E530*6</f>
        <v>#VALUE!</v>
      </c>
    </row>
    <row r="534" spans="1:8" hidden="1" x14ac:dyDescent="0.35">
      <c r="A534" s="13"/>
      <c r="B534" s="22"/>
      <c r="C534" s="14"/>
      <c r="D534" s="15"/>
      <c r="E534" s="16"/>
      <c r="F534" s="16"/>
      <c r="G534" s="17"/>
      <c r="H534" s="17"/>
    </row>
    <row r="535" spans="1:8" hidden="1" x14ac:dyDescent="0.35">
      <c r="A535" s="8" t="s">
        <v>116</v>
      </c>
      <c r="B535" s="21"/>
      <c r="C535" s="9" t="s">
        <v>10</v>
      </c>
      <c r="D535" s="10" t="s">
        <v>10</v>
      </c>
      <c r="E535" s="6" t="e">
        <f t="shared" ref="E535" si="911">D535/4</f>
        <v>#VALUE!</v>
      </c>
      <c r="F535" s="11"/>
      <c r="G535" s="7" t="e">
        <f t="shared" ref="G535" si="912">E535*0.25</f>
        <v>#VALUE!</v>
      </c>
      <c r="H535" s="7" t="e">
        <f t="shared" ref="H535" si="913">E535*0.5</f>
        <v>#VALUE!</v>
      </c>
    </row>
    <row r="536" spans="1:8" hidden="1" x14ac:dyDescent="0.35">
      <c r="A536" s="8"/>
      <c r="B536" s="21"/>
      <c r="C536" s="9" t="s">
        <v>10</v>
      </c>
      <c r="D536" s="10" t="s">
        <v>10</v>
      </c>
      <c r="E536" s="11"/>
      <c r="F536" s="11"/>
      <c r="G536" s="12" t="e">
        <f t="shared" ref="G536" si="914">H535+1</f>
        <v>#VALUE!</v>
      </c>
      <c r="H536" s="12" t="e">
        <f t="shared" ref="H536" si="915">E535*1.5</f>
        <v>#VALUE!</v>
      </c>
    </row>
    <row r="537" spans="1:8" hidden="1" x14ac:dyDescent="0.35">
      <c r="A537" s="8"/>
      <c r="B537" s="21"/>
      <c r="C537" s="9" t="s">
        <v>10</v>
      </c>
      <c r="D537" s="10" t="s">
        <v>10</v>
      </c>
      <c r="E537" s="11"/>
      <c r="F537" s="11"/>
      <c r="G537" s="12" t="e">
        <f t="shared" ref="G537" si="916">H536*1</f>
        <v>#VALUE!</v>
      </c>
      <c r="H537" s="12" t="e">
        <f t="shared" ref="H537" si="917">E535*2.5</f>
        <v>#VALUE!</v>
      </c>
    </row>
    <row r="538" spans="1:8" hidden="1" x14ac:dyDescent="0.35">
      <c r="A538" s="8"/>
      <c r="B538" s="21"/>
      <c r="C538" s="9" t="s">
        <v>10</v>
      </c>
      <c r="D538" s="10" t="s">
        <v>10</v>
      </c>
      <c r="E538" s="11"/>
      <c r="F538" s="11"/>
      <c r="G538" s="12" t="e">
        <f t="shared" ref="G538" si="918">H537+1</f>
        <v>#VALUE!</v>
      </c>
      <c r="H538" s="12" t="e">
        <f t="shared" ref="H538" si="919">E535*6</f>
        <v>#VALUE!</v>
      </c>
    </row>
    <row r="539" spans="1:8" hidden="1" x14ac:dyDescent="0.35">
      <c r="A539" s="13"/>
      <c r="B539" s="22"/>
      <c r="C539" s="14"/>
      <c r="D539" s="15"/>
      <c r="E539" s="16"/>
      <c r="F539" s="16"/>
      <c r="G539" s="17"/>
      <c r="H539" s="17"/>
    </row>
    <row r="540" spans="1:8" hidden="1" x14ac:dyDescent="0.35">
      <c r="A540" s="8" t="s">
        <v>117</v>
      </c>
      <c r="B540" s="21"/>
      <c r="C540" s="9" t="s">
        <v>10</v>
      </c>
      <c r="D540" s="10" t="s">
        <v>10</v>
      </c>
      <c r="E540" s="6" t="e">
        <f t="shared" ref="E540" si="920">D540/4</f>
        <v>#VALUE!</v>
      </c>
      <c r="F540" s="11"/>
      <c r="G540" s="7" t="e">
        <f t="shared" ref="G540" si="921">E540*0.25</f>
        <v>#VALUE!</v>
      </c>
      <c r="H540" s="7" t="e">
        <f t="shared" ref="H540" si="922">E540*0.5</f>
        <v>#VALUE!</v>
      </c>
    </row>
    <row r="541" spans="1:8" hidden="1" x14ac:dyDescent="0.35">
      <c r="A541" s="8"/>
      <c r="B541" s="21"/>
      <c r="C541" s="9" t="s">
        <v>10</v>
      </c>
      <c r="D541" s="10" t="s">
        <v>10</v>
      </c>
      <c r="E541" s="11"/>
      <c r="F541" s="11"/>
      <c r="G541" s="12" t="e">
        <f t="shared" ref="G541" si="923">H540+1</f>
        <v>#VALUE!</v>
      </c>
      <c r="H541" s="12" t="e">
        <f t="shared" ref="H541" si="924">E540*1.5</f>
        <v>#VALUE!</v>
      </c>
    </row>
    <row r="542" spans="1:8" hidden="1" x14ac:dyDescent="0.35">
      <c r="A542" s="8"/>
      <c r="B542" s="21"/>
      <c r="C542" s="9" t="s">
        <v>10</v>
      </c>
      <c r="D542" s="10" t="s">
        <v>10</v>
      </c>
      <c r="E542" s="11"/>
      <c r="F542" s="11"/>
      <c r="G542" s="12" t="e">
        <f t="shared" ref="G542" si="925">H541*1</f>
        <v>#VALUE!</v>
      </c>
      <c r="H542" s="12" t="e">
        <f t="shared" ref="H542" si="926">E540*2.5</f>
        <v>#VALUE!</v>
      </c>
    </row>
    <row r="543" spans="1:8" hidden="1" x14ac:dyDescent="0.35">
      <c r="A543" s="8"/>
      <c r="B543" s="21"/>
      <c r="C543" s="9" t="s">
        <v>10</v>
      </c>
      <c r="D543" s="10" t="s">
        <v>10</v>
      </c>
      <c r="E543" s="11"/>
      <c r="F543" s="11"/>
      <c r="G543" s="12" t="e">
        <f t="shared" ref="G543" si="927">H542+1</f>
        <v>#VALUE!</v>
      </c>
      <c r="H543" s="12" t="e">
        <f t="shared" ref="H543" si="928">E540*6</f>
        <v>#VALUE!</v>
      </c>
    </row>
    <row r="544" spans="1:8" hidden="1" x14ac:dyDescent="0.35">
      <c r="A544" s="13"/>
      <c r="B544" s="22"/>
      <c r="C544" s="14"/>
      <c r="D544" s="15"/>
      <c r="E544" s="16"/>
      <c r="F544" s="16"/>
      <c r="G544" s="17"/>
      <c r="H544" s="17"/>
    </row>
    <row r="545" spans="1:8" hidden="1" x14ac:dyDescent="0.35">
      <c r="A545" s="8" t="s">
        <v>118</v>
      </c>
      <c r="B545" s="21"/>
      <c r="C545" s="9" t="s">
        <v>10</v>
      </c>
      <c r="D545" s="10" t="s">
        <v>10</v>
      </c>
      <c r="E545" s="6" t="e">
        <f t="shared" ref="E545" si="929">D545/4</f>
        <v>#VALUE!</v>
      </c>
      <c r="F545" s="11"/>
      <c r="G545" s="7" t="e">
        <f t="shared" ref="G545" si="930">E545*0.25</f>
        <v>#VALUE!</v>
      </c>
      <c r="H545" s="7" t="e">
        <f t="shared" ref="H545" si="931">E545*0.5</f>
        <v>#VALUE!</v>
      </c>
    </row>
    <row r="546" spans="1:8" hidden="1" x14ac:dyDescent="0.35">
      <c r="A546" s="8"/>
      <c r="B546" s="21"/>
      <c r="C546" s="9" t="s">
        <v>10</v>
      </c>
      <c r="D546" s="10" t="s">
        <v>10</v>
      </c>
      <c r="E546" s="11"/>
      <c r="F546" s="11"/>
      <c r="G546" s="12" t="e">
        <f t="shared" ref="G546" si="932">H545+1</f>
        <v>#VALUE!</v>
      </c>
      <c r="H546" s="12" t="e">
        <f t="shared" ref="H546" si="933">E545*1.5</f>
        <v>#VALUE!</v>
      </c>
    </row>
    <row r="547" spans="1:8" hidden="1" x14ac:dyDescent="0.35">
      <c r="A547" s="8"/>
      <c r="B547" s="21"/>
      <c r="C547" s="9" t="s">
        <v>10</v>
      </c>
      <c r="D547" s="10" t="s">
        <v>10</v>
      </c>
      <c r="E547" s="11"/>
      <c r="F547" s="11"/>
      <c r="G547" s="12" t="e">
        <f t="shared" ref="G547" si="934">H546*1</f>
        <v>#VALUE!</v>
      </c>
      <c r="H547" s="12" t="e">
        <f t="shared" ref="H547" si="935">E545*2.5</f>
        <v>#VALUE!</v>
      </c>
    </row>
    <row r="548" spans="1:8" hidden="1" x14ac:dyDescent="0.35">
      <c r="A548" s="8"/>
      <c r="B548" s="21"/>
      <c r="C548" s="9" t="s">
        <v>10</v>
      </c>
      <c r="D548" s="10" t="s">
        <v>10</v>
      </c>
      <c r="E548" s="11"/>
      <c r="F548" s="11"/>
      <c r="G548" s="12" t="e">
        <f t="shared" ref="G548" si="936">H547+1</f>
        <v>#VALUE!</v>
      </c>
      <c r="H548" s="12" t="e">
        <f t="shared" ref="H548" si="937">E545*6</f>
        <v>#VALUE!</v>
      </c>
    </row>
    <row r="549" spans="1:8" hidden="1" x14ac:dyDescent="0.35">
      <c r="A549" s="13"/>
      <c r="B549" s="22"/>
      <c r="C549" s="14"/>
      <c r="D549" s="15"/>
      <c r="E549" s="16"/>
      <c r="F549" s="16"/>
      <c r="G549" s="17"/>
      <c r="H549" s="17"/>
    </row>
    <row r="550" spans="1:8" hidden="1" x14ac:dyDescent="0.35">
      <c r="A550" s="8" t="s">
        <v>119</v>
      </c>
      <c r="B550" s="21"/>
      <c r="C550" s="9" t="s">
        <v>10</v>
      </c>
      <c r="D550" s="10" t="s">
        <v>10</v>
      </c>
      <c r="E550" s="6" t="e">
        <f t="shared" ref="E550" si="938">D550/4</f>
        <v>#VALUE!</v>
      </c>
      <c r="F550" s="11"/>
      <c r="G550" s="7" t="e">
        <f t="shared" ref="G550" si="939">E550*0.25</f>
        <v>#VALUE!</v>
      </c>
      <c r="H550" s="7" t="e">
        <f t="shared" ref="H550" si="940">E550*0.5</f>
        <v>#VALUE!</v>
      </c>
    </row>
    <row r="551" spans="1:8" hidden="1" x14ac:dyDescent="0.35">
      <c r="A551" s="8"/>
      <c r="B551" s="21"/>
      <c r="C551" s="9" t="s">
        <v>10</v>
      </c>
      <c r="D551" s="10" t="s">
        <v>10</v>
      </c>
      <c r="E551" s="11"/>
      <c r="F551" s="11"/>
      <c r="G551" s="12" t="e">
        <f t="shared" ref="G551" si="941">H550+1</f>
        <v>#VALUE!</v>
      </c>
      <c r="H551" s="12" t="e">
        <f t="shared" ref="H551" si="942">E550*1.5</f>
        <v>#VALUE!</v>
      </c>
    </row>
    <row r="552" spans="1:8" hidden="1" x14ac:dyDescent="0.35">
      <c r="A552" s="8"/>
      <c r="B552" s="21"/>
      <c r="C552" s="9" t="s">
        <v>10</v>
      </c>
      <c r="D552" s="10" t="s">
        <v>10</v>
      </c>
      <c r="E552" s="11"/>
      <c r="F552" s="11"/>
      <c r="G552" s="12" t="e">
        <f t="shared" ref="G552" si="943">H551*1</f>
        <v>#VALUE!</v>
      </c>
      <c r="H552" s="12" t="e">
        <f t="shared" ref="H552" si="944">E550*2.5</f>
        <v>#VALUE!</v>
      </c>
    </row>
    <row r="553" spans="1:8" hidden="1" x14ac:dyDescent="0.35">
      <c r="A553" s="8"/>
      <c r="B553" s="21"/>
      <c r="C553" s="9" t="s">
        <v>10</v>
      </c>
      <c r="D553" s="10" t="s">
        <v>10</v>
      </c>
      <c r="E553" s="11"/>
      <c r="F553" s="11"/>
      <c r="G553" s="12" t="e">
        <f t="shared" ref="G553" si="945">H552+1</f>
        <v>#VALUE!</v>
      </c>
      <c r="H553" s="12" t="e">
        <f t="shared" ref="H553" si="946">E550*6</f>
        <v>#VALUE!</v>
      </c>
    </row>
    <row r="554" spans="1:8" hidden="1" x14ac:dyDescent="0.35">
      <c r="A554" s="13"/>
      <c r="B554" s="22"/>
      <c r="C554" s="14"/>
      <c r="D554" s="15"/>
      <c r="E554" s="16"/>
      <c r="F554" s="16"/>
      <c r="G554" s="17"/>
      <c r="H554" s="17"/>
    </row>
    <row r="555" spans="1:8" hidden="1" x14ac:dyDescent="0.35">
      <c r="A555" s="8" t="s">
        <v>120</v>
      </c>
      <c r="B555" s="21"/>
      <c r="C555" s="9" t="s">
        <v>10</v>
      </c>
      <c r="D555" s="10" t="s">
        <v>10</v>
      </c>
      <c r="E555" s="6" t="e">
        <f t="shared" ref="E555" si="947">D555/4</f>
        <v>#VALUE!</v>
      </c>
      <c r="F555" s="11"/>
      <c r="G555" s="7" t="e">
        <f t="shared" ref="G555" si="948">E555*0.25</f>
        <v>#VALUE!</v>
      </c>
      <c r="H555" s="7" t="e">
        <f t="shared" ref="H555" si="949">E555*0.5</f>
        <v>#VALUE!</v>
      </c>
    </row>
    <row r="556" spans="1:8" hidden="1" x14ac:dyDescent="0.35">
      <c r="A556" s="8"/>
      <c r="B556" s="21"/>
      <c r="C556" s="9" t="s">
        <v>10</v>
      </c>
      <c r="D556" s="10" t="s">
        <v>10</v>
      </c>
      <c r="E556" s="11"/>
      <c r="F556" s="11"/>
      <c r="G556" s="12" t="e">
        <f t="shared" ref="G556" si="950">H555+1</f>
        <v>#VALUE!</v>
      </c>
      <c r="H556" s="12" t="e">
        <f t="shared" ref="H556" si="951">E555*1.5</f>
        <v>#VALUE!</v>
      </c>
    </row>
    <row r="557" spans="1:8" hidden="1" x14ac:dyDescent="0.35">
      <c r="A557" s="8"/>
      <c r="B557" s="21"/>
      <c r="C557" s="9" t="s">
        <v>10</v>
      </c>
      <c r="D557" s="10" t="s">
        <v>10</v>
      </c>
      <c r="E557" s="11"/>
      <c r="F557" s="11"/>
      <c r="G557" s="12" t="e">
        <f t="shared" ref="G557" si="952">H556*1</f>
        <v>#VALUE!</v>
      </c>
      <c r="H557" s="12" t="e">
        <f t="shared" ref="H557" si="953">E555*2.5</f>
        <v>#VALUE!</v>
      </c>
    </row>
    <row r="558" spans="1:8" hidden="1" x14ac:dyDescent="0.35">
      <c r="A558" s="8"/>
      <c r="B558" s="21"/>
      <c r="C558" s="9" t="s">
        <v>10</v>
      </c>
      <c r="D558" s="10" t="s">
        <v>10</v>
      </c>
      <c r="E558" s="11"/>
      <c r="F558" s="11"/>
      <c r="G558" s="12" t="e">
        <f t="shared" ref="G558" si="954">H557+1</f>
        <v>#VALUE!</v>
      </c>
      <c r="H558" s="12" t="e">
        <f t="shared" ref="H558" si="955">E555*6</f>
        <v>#VALUE!</v>
      </c>
    </row>
    <row r="559" spans="1:8" hidden="1" x14ac:dyDescent="0.35">
      <c r="A559" s="13"/>
      <c r="B559" s="22"/>
      <c r="C559" s="14"/>
      <c r="D559" s="15"/>
      <c r="E559" s="16"/>
      <c r="F559" s="16"/>
      <c r="G559" s="17"/>
      <c r="H559" s="17"/>
    </row>
    <row r="560" spans="1:8" hidden="1" x14ac:dyDescent="0.35">
      <c r="A560" s="8" t="s">
        <v>121</v>
      </c>
      <c r="B560" s="21"/>
      <c r="C560" s="9" t="s">
        <v>10</v>
      </c>
      <c r="D560" s="10" t="s">
        <v>10</v>
      </c>
      <c r="E560" s="6" t="e">
        <f t="shared" ref="E560" si="956">D560/4</f>
        <v>#VALUE!</v>
      </c>
      <c r="F560" s="11"/>
      <c r="G560" s="7" t="e">
        <f t="shared" ref="G560" si="957">E560*0.25</f>
        <v>#VALUE!</v>
      </c>
      <c r="H560" s="7" t="e">
        <f t="shared" ref="H560" si="958">E560*0.5</f>
        <v>#VALUE!</v>
      </c>
    </row>
    <row r="561" spans="1:8" hidden="1" x14ac:dyDescent="0.35">
      <c r="A561" s="8"/>
      <c r="B561" s="21"/>
      <c r="C561" s="9" t="s">
        <v>10</v>
      </c>
      <c r="D561" s="10" t="s">
        <v>10</v>
      </c>
      <c r="E561" s="11"/>
      <c r="F561" s="11"/>
      <c r="G561" s="12" t="e">
        <f t="shared" ref="G561" si="959">H560+1</f>
        <v>#VALUE!</v>
      </c>
      <c r="H561" s="12" t="e">
        <f t="shared" ref="H561" si="960">E560*1.5</f>
        <v>#VALUE!</v>
      </c>
    </row>
    <row r="562" spans="1:8" hidden="1" x14ac:dyDescent="0.35">
      <c r="A562" s="8"/>
      <c r="B562" s="21"/>
      <c r="C562" s="9" t="s">
        <v>10</v>
      </c>
      <c r="D562" s="10" t="s">
        <v>10</v>
      </c>
      <c r="E562" s="11"/>
      <c r="F562" s="11"/>
      <c r="G562" s="12" t="e">
        <f t="shared" ref="G562" si="961">H561*1</f>
        <v>#VALUE!</v>
      </c>
      <c r="H562" s="12" t="e">
        <f t="shared" ref="H562" si="962">E560*2.5</f>
        <v>#VALUE!</v>
      </c>
    </row>
    <row r="563" spans="1:8" hidden="1" x14ac:dyDescent="0.35">
      <c r="A563" s="8"/>
      <c r="B563" s="21"/>
      <c r="C563" s="9" t="s">
        <v>10</v>
      </c>
      <c r="D563" s="10" t="s">
        <v>10</v>
      </c>
      <c r="E563" s="11"/>
      <c r="F563" s="11"/>
      <c r="G563" s="12" t="e">
        <f t="shared" ref="G563" si="963">H562+1</f>
        <v>#VALUE!</v>
      </c>
      <c r="H563" s="12" t="e">
        <f t="shared" ref="H563" si="964">E560*6</f>
        <v>#VALUE!</v>
      </c>
    </row>
    <row r="564" spans="1:8" hidden="1" x14ac:dyDescent="0.35">
      <c r="A564" s="13"/>
      <c r="B564" s="22"/>
      <c r="C564" s="14"/>
      <c r="D564" s="15"/>
      <c r="E564" s="16"/>
      <c r="F564" s="16"/>
      <c r="G564" s="17"/>
      <c r="H564" s="17"/>
    </row>
    <row r="565" spans="1:8" hidden="1" x14ac:dyDescent="0.35">
      <c r="A565" s="8" t="s">
        <v>122</v>
      </c>
      <c r="B565" s="21"/>
      <c r="C565" s="9" t="s">
        <v>10</v>
      </c>
      <c r="D565" s="10" t="s">
        <v>10</v>
      </c>
      <c r="E565" s="6" t="e">
        <f t="shared" ref="E565" si="965">D565/4</f>
        <v>#VALUE!</v>
      </c>
      <c r="F565" s="11"/>
      <c r="G565" s="7" t="e">
        <f t="shared" ref="G565" si="966">E565*0.25</f>
        <v>#VALUE!</v>
      </c>
      <c r="H565" s="7" t="e">
        <f t="shared" ref="H565" si="967">E565*0.5</f>
        <v>#VALUE!</v>
      </c>
    </row>
    <row r="566" spans="1:8" hidden="1" x14ac:dyDescent="0.35">
      <c r="A566" s="8"/>
      <c r="B566" s="21"/>
      <c r="C566" s="9" t="s">
        <v>10</v>
      </c>
      <c r="D566" s="10" t="s">
        <v>10</v>
      </c>
      <c r="E566" s="11"/>
      <c r="F566" s="11"/>
      <c r="G566" s="12" t="e">
        <f t="shared" ref="G566" si="968">H565+1</f>
        <v>#VALUE!</v>
      </c>
      <c r="H566" s="12" t="e">
        <f t="shared" ref="H566" si="969">E565*1.5</f>
        <v>#VALUE!</v>
      </c>
    </row>
    <row r="567" spans="1:8" hidden="1" x14ac:dyDescent="0.35">
      <c r="A567" s="8"/>
      <c r="B567" s="21"/>
      <c r="C567" s="9" t="s">
        <v>10</v>
      </c>
      <c r="D567" s="10" t="s">
        <v>10</v>
      </c>
      <c r="E567" s="11"/>
      <c r="F567" s="11"/>
      <c r="G567" s="12" t="e">
        <f t="shared" ref="G567" si="970">H566*1</f>
        <v>#VALUE!</v>
      </c>
      <c r="H567" s="12" t="e">
        <f t="shared" ref="H567" si="971">E565*2.5</f>
        <v>#VALUE!</v>
      </c>
    </row>
    <row r="568" spans="1:8" hidden="1" x14ac:dyDescent="0.35">
      <c r="A568" s="8"/>
      <c r="B568" s="21"/>
      <c r="C568" s="9" t="s">
        <v>10</v>
      </c>
      <c r="D568" s="10" t="s">
        <v>10</v>
      </c>
      <c r="E568" s="11"/>
      <c r="F568" s="11"/>
      <c r="G568" s="12" t="e">
        <f t="shared" ref="G568" si="972">H567+1</f>
        <v>#VALUE!</v>
      </c>
      <c r="H568" s="12" t="e">
        <f t="shared" ref="H568" si="973">E565*6</f>
        <v>#VALUE!</v>
      </c>
    </row>
    <row r="569" spans="1:8" hidden="1" x14ac:dyDescent="0.35">
      <c r="A569" s="13"/>
      <c r="B569" s="22"/>
      <c r="C569" s="14"/>
      <c r="D569" s="15"/>
      <c r="E569" s="16"/>
      <c r="F569" s="16"/>
      <c r="G569" s="17"/>
      <c r="H569" s="17"/>
    </row>
    <row r="570" spans="1:8" hidden="1" x14ac:dyDescent="0.35">
      <c r="A570" s="8" t="s">
        <v>123</v>
      </c>
      <c r="B570" s="21"/>
      <c r="C570" s="9" t="s">
        <v>10</v>
      </c>
      <c r="D570" s="10" t="s">
        <v>10</v>
      </c>
      <c r="E570" s="6" t="e">
        <f t="shared" ref="E570" si="974">D570/4</f>
        <v>#VALUE!</v>
      </c>
      <c r="F570" s="11"/>
      <c r="G570" s="7" t="e">
        <f t="shared" ref="G570" si="975">E570*0.25</f>
        <v>#VALUE!</v>
      </c>
      <c r="H570" s="7" t="e">
        <f t="shared" ref="H570" si="976">E570*0.5</f>
        <v>#VALUE!</v>
      </c>
    </row>
    <row r="571" spans="1:8" hidden="1" x14ac:dyDescent="0.35">
      <c r="A571" s="8"/>
      <c r="B571" s="21"/>
      <c r="C571" s="9" t="s">
        <v>10</v>
      </c>
      <c r="D571" s="10" t="s">
        <v>10</v>
      </c>
      <c r="E571" s="11"/>
      <c r="F571" s="11"/>
      <c r="G571" s="12" t="e">
        <f t="shared" ref="G571" si="977">H570+1</f>
        <v>#VALUE!</v>
      </c>
      <c r="H571" s="12" t="e">
        <f t="shared" ref="H571" si="978">E570*1.5</f>
        <v>#VALUE!</v>
      </c>
    </row>
    <row r="572" spans="1:8" hidden="1" x14ac:dyDescent="0.35">
      <c r="A572" s="8"/>
      <c r="B572" s="21"/>
      <c r="C572" s="9" t="s">
        <v>10</v>
      </c>
      <c r="D572" s="10" t="s">
        <v>10</v>
      </c>
      <c r="E572" s="11"/>
      <c r="F572" s="11"/>
      <c r="G572" s="12" t="e">
        <f t="shared" ref="G572" si="979">H571*1</f>
        <v>#VALUE!</v>
      </c>
      <c r="H572" s="12" t="e">
        <f t="shared" ref="H572" si="980">E570*2.5</f>
        <v>#VALUE!</v>
      </c>
    </row>
    <row r="573" spans="1:8" hidden="1" x14ac:dyDescent="0.35">
      <c r="A573" s="8"/>
      <c r="B573" s="21"/>
      <c r="C573" s="9" t="s">
        <v>10</v>
      </c>
      <c r="D573" s="10" t="s">
        <v>10</v>
      </c>
      <c r="E573" s="11"/>
      <c r="F573" s="11"/>
      <c r="G573" s="12" t="e">
        <f t="shared" ref="G573" si="981">H572+1</f>
        <v>#VALUE!</v>
      </c>
      <c r="H573" s="12" t="e">
        <f t="shared" ref="H573" si="982">E570*6</f>
        <v>#VALUE!</v>
      </c>
    </row>
    <row r="574" spans="1:8" hidden="1" x14ac:dyDescent="0.35">
      <c r="A574" s="13"/>
      <c r="B574" s="22"/>
      <c r="C574" s="14"/>
      <c r="D574" s="15"/>
      <c r="E574" s="16"/>
      <c r="F574" s="16"/>
      <c r="G574" s="17"/>
      <c r="H574" s="17"/>
    </row>
    <row r="575" spans="1:8" hidden="1" x14ac:dyDescent="0.35">
      <c r="A575" s="8" t="s">
        <v>124</v>
      </c>
      <c r="B575" s="21"/>
      <c r="C575" s="9" t="s">
        <v>10</v>
      </c>
      <c r="D575" s="10" t="s">
        <v>10</v>
      </c>
      <c r="E575" s="6" t="e">
        <f t="shared" ref="E575" si="983">D575/4</f>
        <v>#VALUE!</v>
      </c>
      <c r="F575" s="11"/>
      <c r="G575" s="7" t="e">
        <f t="shared" ref="G575" si="984">E575*0.25</f>
        <v>#VALUE!</v>
      </c>
      <c r="H575" s="7" t="e">
        <f t="shared" ref="H575" si="985">E575*0.5</f>
        <v>#VALUE!</v>
      </c>
    </row>
    <row r="576" spans="1:8" hidden="1" x14ac:dyDescent="0.35">
      <c r="A576" s="8"/>
      <c r="B576" s="21"/>
      <c r="C576" s="9" t="s">
        <v>10</v>
      </c>
      <c r="D576" s="10" t="s">
        <v>10</v>
      </c>
      <c r="E576" s="11"/>
      <c r="F576" s="11"/>
      <c r="G576" s="12" t="e">
        <f t="shared" ref="G576" si="986">H575+1</f>
        <v>#VALUE!</v>
      </c>
      <c r="H576" s="12" t="e">
        <f t="shared" ref="H576" si="987">E575*1.5</f>
        <v>#VALUE!</v>
      </c>
    </row>
    <row r="577" spans="1:8" hidden="1" x14ac:dyDescent="0.35">
      <c r="A577" s="8"/>
      <c r="B577" s="21"/>
      <c r="C577" s="9" t="s">
        <v>10</v>
      </c>
      <c r="D577" s="10" t="s">
        <v>10</v>
      </c>
      <c r="E577" s="11"/>
      <c r="F577" s="11"/>
      <c r="G577" s="12" t="e">
        <f t="shared" ref="G577" si="988">H576*1</f>
        <v>#VALUE!</v>
      </c>
      <c r="H577" s="12" t="e">
        <f t="shared" ref="H577" si="989">E575*2.5</f>
        <v>#VALUE!</v>
      </c>
    </row>
    <row r="578" spans="1:8" hidden="1" x14ac:dyDescent="0.35">
      <c r="A578" s="8"/>
      <c r="B578" s="21"/>
      <c r="C578" s="9" t="s">
        <v>10</v>
      </c>
      <c r="D578" s="10" t="s">
        <v>10</v>
      </c>
      <c r="E578" s="11"/>
      <c r="F578" s="11"/>
      <c r="G578" s="12" t="e">
        <f t="shared" ref="G578" si="990">H577+1</f>
        <v>#VALUE!</v>
      </c>
      <c r="H578" s="12" t="e">
        <f t="shared" ref="H578" si="991">E575*6</f>
        <v>#VALUE!</v>
      </c>
    </row>
    <row r="579" spans="1:8" hidden="1" x14ac:dyDescent="0.35">
      <c r="A579" s="13"/>
      <c r="B579" s="22"/>
      <c r="C579" s="14"/>
      <c r="D579" s="15"/>
      <c r="E579" s="16"/>
      <c r="F579" s="16"/>
      <c r="G579" s="17"/>
      <c r="H579" s="17"/>
    </row>
    <row r="580" spans="1:8" hidden="1" x14ac:dyDescent="0.35">
      <c r="A580" s="8" t="s">
        <v>125</v>
      </c>
      <c r="B580" s="21"/>
      <c r="C580" s="9" t="s">
        <v>10</v>
      </c>
      <c r="D580" s="10" t="s">
        <v>10</v>
      </c>
      <c r="E580" s="6" t="e">
        <f t="shared" ref="E580" si="992">D580/4</f>
        <v>#VALUE!</v>
      </c>
      <c r="F580" s="11"/>
      <c r="G580" s="7" t="e">
        <f t="shared" ref="G580" si="993">E580*0.25</f>
        <v>#VALUE!</v>
      </c>
      <c r="H580" s="7" t="e">
        <f t="shared" ref="H580" si="994">E580*0.5</f>
        <v>#VALUE!</v>
      </c>
    </row>
    <row r="581" spans="1:8" hidden="1" x14ac:dyDescent="0.35">
      <c r="A581" s="8"/>
      <c r="B581" s="21"/>
      <c r="C581" s="9" t="s">
        <v>10</v>
      </c>
      <c r="D581" s="10" t="s">
        <v>10</v>
      </c>
      <c r="E581" s="11"/>
      <c r="F581" s="11"/>
      <c r="G581" s="12" t="e">
        <f t="shared" ref="G581" si="995">H580+1</f>
        <v>#VALUE!</v>
      </c>
      <c r="H581" s="12" t="e">
        <f t="shared" ref="H581" si="996">E580*1.5</f>
        <v>#VALUE!</v>
      </c>
    </row>
    <row r="582" spans="1:8" hidden="1" x14ac:dyDescent="0.35">
      <c r="A582" s="8"/>
      <c r="B582" s="21"/>
      <c r="C582" s="9" t="s">
        <v>10</v>
      </c>
      <c r="D582" s="10" t="s">
        <v>10</v>
      </c>
      <c r="E582" s="11"/>
      <c r="F582" s="11"/>
      <c r="G582" s="12" t="e">
        <f t="shared" ref="G582" si="997">H581*1</f>
        <v>#VALUE!</v>
      </c>
      <c r="H582" s="12" t="e">
        <f t="shared" ref="H582" si="998">E580*2.5</f>
        <v>#VALUE!</v>
      </c>
    </row>
    <row r="583" spans="1:8" hidden="1" x14ac:dyDescent="0.35">
      <c r="A583" s="8"/>
      <c r="B583" s="21"/>
      <c r="C583" s="9" t="s">
        <v>10</v>
      </c>
      <c r="D583" s="10" t="s">
        <v>10</v>
      </c>
      <c r="E583" s="11"/>
      <c r="F583" s="11"/>
      <c r="G583" s="12" t="e">
        <f t="shared" ref="G583" si="999">H582+1</f>
        <v>#VALUE!</v>
      </c>
      <c r="H583" s="12" t="e">
        <f t="shared" ref="H583" si="1000">E580*6</f>
        <v>#VALUE!</v>
      </c>
    </row>
    <row r="584" spans="1:8" hidden="1" x14ac:dyDescent="0.35">
      <c r="A584" s="13"/>
      <c r="B584" s="22"/>
      <c r="C584" s="14"/>
      <c r="D584" s="15"/>
      <c r="E584" s="16"/>
      <c r="F584" s="16"/>
      <c r="G584" s="17"/>
      <c r="H584" s="17"/>
    </row>
    <row r="585" spans="1:8" hidden="1" x14ac:dyDescent="0.35">
      <c r="A585" s="8" t="s">
        <v>126</v>
      </c>
      <c r="B585" s="21"/>
      <c r="C585" s="9" t="s">
        <v>10</v>
      </c>
      <c r="D585" s="10" t="s">
        <v>10</v>
      </c>
      <c r="E585" s="6" t="e">
        <f t="shared" ref="E585" si="1001">D585/4</f>
        <v>#VALUE!</v>
      </c>
      <c r="F585" s="11"/>
      <c r="G585" s="7" t="e">
        <f t="shared" ref="G585" si="1002">E585*0.25</f>
        <v>#VALUE!</v>
      </c>
      <c r="H585" s="7" t="e">
        <f t="shared" ref="H585" si="1003">E585*0.5</f>
        <v>#VALUE!</v>
      </c>
    </row>
    <row r="586" spans="1:8" hidden="1" x14ac:dyDescent="0.35">
      <c r="A586" s="8"/>
      <c r="B586" s="21"/>
      <c r="C586" s="9" t="s">
        <v>10</v>
      </c>
      <c r="D586" s="10" t="s">
        <v>10</v>
      </c>
      <c r="E586" s="11"/>
      <c r="F586" s="11"/>
      <c r="G586" s="12" t="e">
        <f t="shared" ref="G586" si="1004">H585+1</f>
        <v>#VALUE!</v>
      </c>
      <c r="H586" s="12" t="e">
        <f t="shared" ref="H586" si="1005">E585*1.5</f>
        <v>#VALUE!</v>
      </c>
    </row>
    <row r="587" spans="1:8" hidden="1" x14ac:dyDescent="0.35">
      <c r="A587" s="8"/>
      <c r="B587" s="21"/>
      <c r="C587" s="9" t="s">
        <v>10</v>
      </c>
      <c r="D587" s="10" t="s">
        <v>10</v>
      </c>
      <c r="E587" s="11"/>
      <c r="F587" s="11"/>
      <c r="G587" s="12" t="e">
        <f t="shared" ref="G587" si="1006">H586*1</f>
        <v>#VALUE!</v>
      </c>
      <c r="H587" s="12" t="e">
        <f t="shared" ref="H587" si="1007">E585*2.5</f>
        <v>#VALUE!</v>
      </c>
    </row>
    <row r="588" spans="1:8" hidden="1" x14ac:dyDescent="0.35">
      <c r="A588" s="8"/>
      <c r="B588" s="21"/>
      <c r="C588" s="9" t="s">
        <v>10</v>
      </c>
      <c r="D588" s="10" t="s">
        <v>10</v>
      </c>
      <c r="E588" s="11"/>
      <c r="F588" s="11"/>
      <c r="G588" s="12" t="e">
        <f t="shared" ref="G588" si="1008">H587+1</f>
        <v>#VALUE!</v>
      </c>
      <c r="H588" s="12" t="e">
        <f t="shared" ref="H588" si="1009">E585*6</f>
        <v>#VALUE!</v>
      </c>
    </row>
    <row r="589" spans="1:8" hidden="1" x14ac:dyDescent="0.35">
      <c r="A589" s="13"/>
      <c r="B589" s="22"/>
      <c r="C589" s="14"/>
      <c r="D589" s="15"/>
      <c r="E589" s="16"/>
      <c r="F589" s="16"/>
      <c r="G589" s="17"/>
      <c r="H589" s="17"/>
    </row>
    <row r="590" spans="1:8" hidden="1" x14ac:dyDescent="0.35">
      <c r="A590" s="8" t="s">
        <v>127</v>
      </c>
      <c r="B590" s="21"/>
      <c r="C590" s="9" t="s">
        <v>10</v>
      </c>
      <c r="D590" s="10" t="s">
        <v>10</v>
      </c>
      <c r="E590" s="6" t="e">
        <f t="shared" ref="E590" si="1010">D590/4</f>
        <v>#VALUE!</v>
      </c>
      <c r="F590" s="11"/>
      <c r="G590" s="7" t="e">
        <f t="shared" ref="G590" si="1011">E590*0.25</f>
        <v>#VALUE!</v>
      </c>
      <c r="H590" s="7" t="e">
        <f t="shared" ref="H590" si="1012">E590*0.5</f>
        <v>#VALUE!</v>
      </c>
    </row>
    <row r="591" spans="1:8" hidden="1" x14ac:dyDescent="0.35">
      <c r="A591" s="8"/>
      <c r="B591" s="21"/>
      <c r="C591" s="9" t="s">
        <v>10</v>
      </c>
      <c r="D591" s="10" t="s">
        <v>10</v>
      </c>
      <c r="E591" s="11"/>
      <c r="F591" s="11"/>
      <c r="G591" s="12" t="e">
        <f t="shared" ref="G591" si="1013">H590+1</f>
        <v>#VALUE!</v>
      </c>
      <c r="H591" s="12" t="e">
        <f t="shared" ref="H591" si="1014">E590*1.5</f>
        <v>#VALUE!</v>
      </c>
    </row>
    <row r="592" spans="1:8" hidden="1" x14ac:dyDescent="0.35">
      <c r="A592" s="8"/>
      <c r="B592" s="21"/>
      <c r="C592" s="9" t="s">
        <v>10</v>
      </c>
      <c r="D592" s="10" t="s">
        <v>10</v>
      </c>
      <c r="E592" s="11"/>
      <c r="F592" s="11"/>
      <c r="G592" s="12" t="e">
        <f t="shared" ref="G592" si="1015">H591*1</f>
        <v>#VALUE!</v>
      </c>
      <c r="H592" s="12" t="e">
        <f t="shared" ref="H592" si="1016">E590*2.5</f>
        <v>#VALUE!</v>
      </c>
    </row>
    <row r="593" spans="1:8" hidden="1" x14ac:dyDescent="0.35">
      <c r="A593" s="8"/>
      <c r="B593" s="21"/>
      <c r="C593" s="9" t="s">
        <v>10</v>
      </c>
      <c r="D593" s="10" t="s">
        <v>10</v>
      </c>
      <c r="E593" s="11"/>
      <c r="F593" s="11"/>
      <c r="G593" s="12" t="e">
        <f t="shared" ref="G593" si="1017">H592+1</f>
        <v>#VALUE!</v>
      </c>
      <c r="H593" s="12" t="e">
        <f t="shared" ref="H593" si="1018">E590*6</f>
        <v>#VALUE!</v>
      </c>
    </row>
    <row r="594" spans="1:8" hidden="1" x14ac:dyDescent="0.35">
      <c r="A594" s="13"/>
      <c r="B594" s="22"/>
      <c r="C594" s="14"/>
      <c r="D594" s="15"/>
      <c r="E594" s="16"/>
      <c r="F594" s="16"/>
      <c r="G594" s="17"/>
      <c r="H594" s="17"/>
    </row>
    <row r="595" spans="1:8" hidden="1" x14ac:dyDescent="0.35">
      <c r="A595" s="8" t="s">
        <v>128</v>
      </c>
      <c r="B595" s="21"/>
      <c r="C595" s="9" t="s">
        <v>10</v>
      </c>
      <c r="D595" s="10" t="s">
        <v>10</v>
      </c>
      <c r="E595" s="6" t="e">
        <f t="shared" ref="E595" si="1019">D595/4</f>
        <v>#VALUE!</v>
      </c>
      <c r="F595" s="11"/>
      <c r="G595" s="7" t="e">
        <f t="shared" ref="G595" si="1020">E595*0.25</f>
        <v>#VALUE!</v>
      </c>
      <c r="H595" s="7" t="e">
        <f t="shared" ref="H595" si="1021">E595*0.5</f>
        <v>#VALUE!</v>
      </c>
    </row>
    <row r="596" spans="1:8" hidden="1" x14ac:dyDescent="0.35">
      <c r="A596" s="8"/>
      <c r="B596" s="21"/>
      <c r="C596" s="9" t="s">
        <v>10</v>
      </c>
      <c r="D596" s="10" t="s">
        <v>10</v>
      </c>
      <c r="E596" s="11"/>
      <c r="F596" s="11"/>
      <c r="G596" s="12" t="e">
        <f t="shared" ref="G596" si="1022">H595+1</f>
        <v>#VALUE!</v>
      </c>
      <c r="H596" s="12" t="e">
        <f t="shared" ref="H596" si="1023">E595*1.5</f>
        <v>#VALUE!</v>
      </c>
    </row>
    <row r="597" spans="1:8" hidden="1" x14ac:dyDescent="0.35">
      <c r="A597" s="8"/>
      <c r="B597" s="21"/>
      <c r="C597" s="9" t="s">
        <v>10</v>
      </c>
      <c r="D597" s="10" t="s">
        <v>10</v>
      </c>
      <c r="E597" s="11"/>
      <c r="F597" s="11"/>
      <c r="G597" s="12" t="e">
        <f t="shared" ref="G597" si="1024">H596*1</f>
        <v>#VALUE!</v>
      </c>
      <c r="H597" s="12" t="e">
        <f t="shared" ref="H597" si="1025">E595*2.5</f>
        <v>#VALUE!</v>
      </c>
    </row>
    <row r="598" spans="1:8" hidden="1" x14ac:dyDescent="0.35">
      <c r="A598" s="8"/>
      <c r="B598" s="21"/>
      <c r="C598" s="9" t="s">
        <v>10</v>
      </c>
      <c r="D598" s="10" t="s">
        <v>10</v>
      </c>
      <c r="E598" s="11"/>
      <c r="F598" s="11"/>
      <c r="G598" s="12" t="e">
        <f t="shared" ref="G598" si="1026">H597+1</f>
        <v>#VALUE!</v>
      </c>
      <c r="H598" s="12" t="e">
        <f t="shared" ref="H598" si="1027">E595*6</f>
        <v>#VALUE!</v>
      </c>
    </row>
    <row r="599" spans="1:8" hidden="1" x14ac:dyDescent="0.35">
      <c r="A599" s="13"/>
      <c r="B599" s="22"/>
      <c r="C599" s="14"/>
      <c r="D599" s="15"/>
      <c r="E599" s="16"/>
      <c r="F599" s="16"/>
      <c r="G599" s="17"/>
      <c r="H599" s="17"/>
    </row>
    <row r="600" spans="1:8" hidden="1" x14ac:dyDescent="0.35">
      <c r="A600" s="8" t="s">
        <v>129</v>
      </c>
      <c r="B600" s="21"/>
      <c r="C600" s="9" t="s">
        <v>10</v>
      </c>
      <c r="D600" s="10" t="s">
        <v>10</v>
      </c>
      <c r="E600" s="6" t="e">
        <f t="shared" ref="E600" si="1028">D600/4</f>
        <v>#VALUE!</v>
      </c>
      <c r="F600" s="11"/>
      <c r="G600" s="7" t="e">
        <f t="shared" ref="G600" si="1029">E600*0.25</f>
        <v>#VALUE!</v>
      </c>
      <c r="H600" s="7" t="e">
        <f t="shared" ref="H600" si="1030">E600*0.5</f>
        <v>#VALUE!</v>
      </c>
    </row>
    <row r="601" spans="1:8" hidden="1" x14ac:dyDescent="0.35">
      <c r="A601" s="8"/>
      <c r="B601" s="21"/>
      <c r="C601" s="9" t="s">
        <v>10</v>
      </c>
      <c r="D601" s="10" t="s">
        <v>10</v>
      </c>
      <c r="E601" s="11"/>
      <c r="F601" s="11"/>
      <c r="G601" s="12" t="e">
        <f t="shared" ref="G601" si="1031">H600+1</f>
        <v>#VALUE!</v>
      </c>
      <c r="H601" s="12" t="e">
        <f t="shared" ref="H601" si="1032">E600*1.5</f>
        <v>#VALUE!</v>
      </c>
    </row>
    <row r="602" spans="1:8" hidden="1" x14ac:dyDescent="0.35">
      <c r="A602" s="8"/>
      <c r="B602" s="21"/>
      <c r="C602" s="9" t="s">
        <v>10</v>
      </c>
      <c r="D602" s="10" t="s">
        <v>10</v>
      </c>
      <c r="E602" s="11"/>
      <c r="F602" s="11"/>
      <c r="G602" s="12" t="e">
        <f t="shared" ref="G602" si="1033">H601*1</f>
        <v>#VALUE!</v>
      </c>
      <c r="H602" s="12" t="e">
        <f t="shared" ref="H602" si="1034">E600*2.5</f>
        <v>#VALUE!</v>
      </c>
    </row>
    <row r="603" spans="1:8" hidden="1" x14ac:dyDescent="0.35">
      <c r="A603" s="8"/>
      <c r="B603" s="21"/>
      <c r="C603" s="9" t="s">
        <v>10</v>
      </c>
      <c r="D603" s="10" t="s">
        <v>10</v>
      </c>
      <c r="E603" s="11"/>
      <c r="F603" s="11"/>
      <c r="G603" s="12" t="e">
        <f t="shared" ref="G603" si="1035">H602+1</f>
        <v>#VALUE!</v>
      </c>
      <c r="H603" s="12" t="e">
        <f t="shared" ref="H603" si="1036">E600*6</f>
        <v>#VALUE!</v>
      </c>
    </row>
    <row r="604" spans="1:8" hidden="1" x14ac:dyDescent="0.35">
      <c r="A604" s="13"/>
      <c r="B604" s="22"/>
      <c r="C604" s="14"/>
      <c r="D604" s="15"/>
      <c r="E604" s="16"/>
      <c r="F604" s="16"/>
      <c r="G604" s="17"/>
      <c r="H604" s="17"/>
    </row>
    <row r="605" spans="1:8" hidden="1" x14ac:dyDescent="0.35">
      <c r="A605" s="8" t="s">
        <v>130</v>
      </c>
      <c r="B605" s="21"/>
      <c r="C605" s="9" t="s">
        <v>10</v>
      </c>
      <c r="D605" s="10" t="s">
        <v>10</v>
      </c>
      <c r="E605" s="6" t="e">
        <f t="shared" ref="E605" si="1037">D605/4</f>
        <v>#VALUE!</v>
      </c>
      <c r="F605" s="11"/>
      <c r="G605" s="7" t="e">
        <f t="shared" ref="G605" si="1038">E605*0.25</f>
        <v>#VALUE!</v>
      </c>
      <c r="H605" s="7" t="e">
        <f t="shared" ref="H605" si="1039">E605*0.5</f>
        <v>#VALUE!</v>
      </c>
    </row>
    <row r="606" spans="1:8" hidden="1" x14ac:dyDescent="0.35">
      <c r="A606" s="8"/>
      <c r="B606" s="21"/>
      <c r="C606" s="9" t="s">
        <v>10</v>
      </c>
      <c r="D606" s="10" t="s">
        <v>10</v>
      </c>
      <c r="E606" s="11"/>
      <c r="F606" s="11"/>
      <c r="G606" s="12" t="e">
        <f t="shared" ref="G606" si="1040">H605+1</f>
        <v>#VALUE!</v>
      </c>
      <c r="H606" s="12" t="e">
        <f t="shared" ref="H606" si="1041">E605*1.5</f>
        <v>#VALUE!</v>
      </c>
    </row>
    <row r="607" spans="1:8" hidden="1" x14ac:dyDescent="0.35">
      <c r="A607" s="8"/>
      <c r="B607" s="21"/>
      <c r="C607" s="9" t="s">
        <v>10</v>
      </c>
      <c r="D607" s="10" t="s">
        <v>10</v>
      </c>
      <c r="E607" s="11"/>
      <c r="F607" s="11"/>
      <c r="G607" s="12" t="e">
        <f t="shared" ref="G607" si="1042">H606*1</f>
        <v>#VALUE!</v>
      </c>
      <c r="H607" s="12" t="e">
        <f t="shared" ref="H607" si="1043">E605*2.5</f>
        <v>#VALUE!</v>
      </c>
    </row>
    <row r="608" spans="1:8" hidden="1" x14ac:dyDescent="0.35">
      <c r="A608" s="8"/>
      <c r="B608" s="21"/>
      <c r="C608" s="9" t="s">
        <v>10</v>
      </c>
      <c r="D608" s="10" t="s">
        <v>10</v>
      </c>
      <c r="E608" s="11"/>
      <c r="F608" s="11"/>
      <c r="G608" s="12" t="e">
        <f t="shared" ref="G608" si="1044">H607+1</f>
        <v>#VALUE!</v>
      </c>
      <c r="H608" s="12" t="e">
        <f t="shared" ref="H608" si="1045">E605*6</f>
        <v>#VALUE!</v>
      </c>
    </row>
    <row r="609" spans="1:8" hidden="1" x14ac:dyDescent="0.35">
      <c r="A609" s="13"/>
      <c r="B609" s="22"/>
      <c r="C609" s="14"/>
      <c r="D609" s="15"/>
      <c r="E609" s="16"/>
      <c r="F609" s="16"/>
      <c r="G609" s="17"/>
      <c r="H609" s="17"/>
    </row>
    <row r="610" spans="1:8" hidden="1" x14ac:dyDescent="0.35">
      <c r="A610" s="8" t="s">
        <v>131</v>
      </c>
      <c r="B610" s="21"/>
      <c r="C610" s="9" t="s">
        <v>10</v>
      </c>
      <c r="D610" s="10" t="s">
        <v>10</v>
      </c>
      <c r="E610" s="6" t="e">
        <f t="shared" ref="E610" si="1046">D610/4</f>
        <v>#VALUE!</v>
      </c>
      <c r="F610" s="11"/>
      <c r="G610" s="7" t="e">
        <f t="shared" ref="G610" si="1047">E610*0.25</f>
        <v>#VALUE!</v>
      </c>
      <c r="H610" s="7" t="e">
        <f t="shared" ref="H610" si="1048">E610*0.5</f>
        <v>#VALUE!</v>
      </c>
    </row>
    <row r="611" spans="1:8" hidden="1" x14ac:dyDescent="0.35">
      <c r="A611" s="8"/>
      <c r="B611" s="21"/>
      <c r="C611" s="9" t="s">
        <v>10</v>
      </c>
      <c r="D611" s="10" t="s">
        <v>10</v>
      </c>
      <c r="E611" s="11"/>
      <c r="F611" s="11"/>
      <c r="G611" s="12" t="e">
        <f t="shared" ref="G611" si="1049">H610+1</f>
        <v>#VALUE!</v>
      </c>
      <c r="H611" s="12" t="e">
        <f t="shared" ref="H611" si="1050">E610*1.5</f>
        <v>#VALUE!</v>
      </c>
    </row>
    <row r="612" spans="1:8" hidden="1" x14ac:dyDescent="0.35">
      <c r="A612" s="8"/>
      <c r="B612" s="21"/>
      <c r="C612" s="9" t="s">
        <v>10</v>
      </c>
      <c r="D612" s="10" t="s">
        <v>10</v>
      </c>
      <c r="E612" s="11"/>
      <c r="F612" s="11"/>
      <c r="G612" s="12" t="e">
        <f t="shared" ref="G612" si="1051">H611*1</f>
        <v>#VALUE!</v>
      </c>
      <c r="H612" s="12" t="e">
        <f t="shared" ref="H612" si="1052">E610*2.5</f>
        <v>#VALUE!</v>
      </c>
    </row>
    <row r="613" spans="1:8" hidden="1" x14ac:dyDescent="0.35">
      <c r="A613" s="8"/>
      <c r="B613" s="21"/>
      <c r="C613" s="9" t="s">
        <v>10</v>
      </c>
      <c r="D613" s="10" t="s">
        <v>10</v>
      </c>
      <c r="E613" s="11"/>
      <c r="F613" s="11"/>
      <c r="G613" s="12" t="e">
        <f t="shared" ref="G613" si="1053">H612+1</f>
        <v>#VALUE!</v>
      </c>
      <c r="H613" s="12" t="e">
        <f t="shared" ref="H613" si="1054">E610*6</f>
        <v>#VALUE!</v>
      </c>
    </row>
    <row r="614" spans="1:8" hidden="1" x14ac:dyDescent="0.35">
      <c r="A614" s="13"/>
      <c r="B614" s="22"/>
      <c r="C614" s="14"/>
      <c r="D614" s="15"/>
      <c r="E614" s="16"/>
      <c r="F614" s="16"/>
      <c r="G614" s="17"/>
      <c r="H614" s="17"/>
    </row>
    <row r="615" spans="1:8" hidden="1" x14ac:dyDescent="0.35">
      <c r="A615" s="8" t="s">
        <v>132</v>
      </c>
      <c r="B615" s="21"/>
      <c r="C615" s="9" t="s">
        <v>10</v>
      </c>
      <c r="D615" s="10" t="s">
        <v>10</v>
      </c>
      <c r="E615" s="6" t="e">
        <f t="shared" ref="E615" si="1055">D615/4</f>
        <v>#VALUE!</v>
      </c>
      <c r="F615" s="11"/>
      <c r="G615" s="7" t="e">
        <f t="shared" ref="G615" si="1056">E615*0.25</f>
        <v>#VALUE!</v>
      </c>
      <c r="H615" s="7" t="e">
        <f t="shared" ref="H615" si="1057">E615*0.5</f>
        <v>#VALUE!</v>
      </c>
    </row>
    <row r="616" spans="1:8" hidden="1" x14ac:dyDescent="0.35">
      <c r="A616" s="8"/>
      <c r="B616" s="21"/>
      <c r="C616" s="9" t="s">
        <v>10</v>
      </c>
      <c r="D616" s="10" t="s">
        <v>10</v>
      </c>
      <c r="E616" s="11"/>
      <c r="F616" s="11"/>
      <c r="G616" s="12" t="e">
        <f t="shared" ref="G616" si="1058">H615+1</f>
        <v>#VALUE!</v>
      </c>
      <c r="H616" s="12" t="e">
        <f t="shared" ref="H616" si="1059">E615*1.5</f>
        <v>#VALUE!</v>
      </c>
    </row>
    <row r="617" spans="1:8" hidden="1" x14ac:dyDescent="0.35">
      <c r="A617" s="8"/>
      <c r="B617" s="21"/>
      <c r="C617" s="9" t="s">
        <v>10</v>
      </c>
      <c r="D617" s="10" t="s">
        <v>10</v>
      </c>
      <c r="E617" s="11"/>
      <c r="F617" s="11"/>
      <c r="G617" s="12" t="e">
        <f t="shared" ref="G617" si="1060">H616*1</f>
        <v>#VALUE!</v>
      </c>
      <c r="H617" s="12" t="e">
        <f t="shared" ref="H617" si="1061">E615*2.5</f>
        <v>#VALUE!</v>
      </c>
    </row>
    <row r="618" spans="1:8" hidden="1" x14ac:dyDescent="0.35">
      <c r="A618" s="8"/>
      <c r="B618" s="21"/>
      <c r="C618" s="9" t="s">
        <v>10</v>
      </c>
      <c r="D618" s="10" t="s">
        <v>10</v>
      </c>
      <c r="E618" s="11"/>
      <c r="F618" s="11"/>
      <c r="G618" s="12" t="e">
        <f t="shared" ref="G618" si="1062">H617+1</f>
        <v>#VALUE!</v>
      </c>
      <c r="H618" s="12" t="e">
        <f t="shared" ref="H618" si="1063">E615*6</f>
        <v>#VALUE!</v>
      </c>
    </row>
    <row r="619" spans="1:8" hidden="1" x14ac:dyDescent="0.35">
      <c r="A619" s="13"/>
      <c r="B619" s="22"/>
      <c r="C619" s="14"/>
      <c r="D619" s="15"/>
      <c r="E619" s="16"/>
      <c r="F619" s="16"/>
      <c r="G619" s="17"/>
      <c r="H619" s="17"/>
    </row>
    <row r="620" spans="1:8" hidden="1" x14ac:dyDescent="0.35">
      <c r="A620" s="8" t="s">
        <v>133</v>
      </c>
      <c r="B620" s="21"/>
      <c r="C620" s="9" t="s">
        <v>10</v>
      </c>
      <c r="D620" s="10" t="s">
        <v>10</v>
      </c>
      <c r="E620" s="6" t="e">
        <f t="shared" ref="E620" si="1064">D620/4</f>
        <v>#VALUE!</v>
      </c>
      <c r="F620" s="11"/>
      <c r="G620" s="7" t="e">
        <f t="shared" ref="G620" si="1065">E620*0.25</f>
        <v>#VALUE!</v>
      </c>
      <c r="H620" s="7" t="e">
        <f t="shared" ref="H620" si="1066">E620*0.5</f>
        <v>#VALUE!</v>
      </c>
    </row>
    <row r="621" spans="1:8" hidden="1" x14ac:dyDescent="0.35">
      <c r="A621" s="8"/>
      <c r="B621" s="21"/>
      <c r="C621" s="9" t="s">
        <v>10</v>
      </c>
      <c r="D621" s="10" t="s">
        <v>10</v>
      </c>
      <c r="E621" s="11"/>
      <c r="F621" s="11"/>
      <c r="G621" s="12" t="e">
        <f t="shared" ref="G621" si="1067">H620+1</f>
        <v>#VALUE!</v>
      </c>
      <c r="H621" s="12" t="e">
        <f t="shared" ref="H621" si="1068">E620*1.5</f>
        <v>#VALUE!</v>
      </c>
    </row>
    <row r="622" spans="1:8" hidden="1" x14ac:dyDescent="0.35">
      <c r="A622" s="8"/>
      <c r="B622" s="21"/>
      <c r="C622" s="9" t="s">
        <v>10</v>
      </c>
      <c r="D622" s="10" t="s">
        <v>10</v>
      </c>
      <c r="E622" s="11"/>
      <c r="F622" s="11"/>
      <c r="G622" s="12" t="e">
        <f t="shared" ref="G622" si="1069">H621*1</f>
        <v>#VALUE!</v>
      </c>
      <c r="H622" s="12" t="e">
        <f t="shared" ref="H622" si="1070">E620*2.5</f>
        <v>#VALUE!</v>
      </c>
    </row>
    <row r="623" spans="1:8" hidden="1" x14ac:dyDescent="0.35">
      <c r="A623" s="8"/>
      <c r="B623" s="21"/>
      <c r="C623" s="9" t="s">
        <v>10</v>
      </c>
      <c r="D623" s="10" t="s">
        <v>10</v>
      </c>
      <c r="E623" s="11"/>
      <c r="F623" s="11"/>
      <c r="G623" s="12" t="e">
        <f t="shared" ref="G623" si="1071">H622+1</f>
        <v>#VALUE!</v>
      </c>
      <c r="H623" s="12" t="e">
        <f t="shared" ref="H623" si="1072">E620*6</f>
        <v>#VALUE!</v>
      </c>
    </row>
    <row r="624" spans="1:8" hidden="1" x14ac:dyDescent="0.35">
      <c r="A624" s="13"/>
      <c r="B624" s="22"/>
      <c r="C624" s="14"/>
      <c r="D624" s="15"/>
      <c r="E624" s="16"/>
      <c r="F624" s="16"/>
      <c r="G624" s="17"/>
      <c r="H624" s="17"/>
    </row>
    <row r="625" spans="1:8" hidden="1" x14ac:dyDescent="0.35">
      <c r="A625" s="8" t="s">
        <v>134</v>
      </c>
      <c r="B625" s="21"/>
      <c r="C625" s="9" t="s">
        <v>10</v>
      </c>
      <c r="D625" s="10" t="s">
        <v>10</v>
      </c>
      <c r="E625" s="6" t="e">
        <f t="shared" ref="E625" si="1073">D625/4</f>
        <v>#VALUE!</v>
      </c>
      <c r="F625" s="11"/>
      <c r="G625" s="7" t="e">
        <f t="shared" ref="G625" si="1074">E625*0.25</f>
        <v>#VALUE!</v>
      </c>
      <c r="H625" s="7" t="e">
        <f t="shared" ref="H625" si="1075">E625*0.5</f>
        <v>#VALUE!</v>
      </c>
    </row>
    <row r="626" spans="1:8" hidden="1" x14ac:dyDescent="0.35">
      <c r="A626" s="8"/>
      <c r="B626" s="21"/>
      <c r="C626" s="9" t="s">
        <v>10</v>
      </c>
      <c r="D626" s="10" t="s">
        <v>10</v>
      </c>
      <c r="E626" s="11"/>
      <c r="F626" s="11"/>
      <c r="G626" s="12" t="e">
        <f t="shared" ref="G626" si="1076">H625+1</f>
        <v>#VALUE!</v>
      </c>
      <c r="H626" s="12" t="e">
        <f t="shared" ref="H626" si="1077">E625*1.5</f>
        <v>#VALUE!</v>
      </c>
    </row>
    <row r="627" spans="1:8" hidden="1" x14ac:dyDescent="0.35">
      <c r="A627" s="8"/>
      <c r="B627" s="21"/>
      <c r="C627" s="9" t="s">
        <v>10</v>
      </c>
      <c r="D627" s="10" t="s">
        <v>10</v>
      </c>
      <c r="E627" s="11"/>
      <c r="F627" s="11"/>
      <c r="G627" s="12" t="e">
        <f t="shared" ref="G627" si="1078">H626*1</f>
        <v>#VALUE!</v>
      </c>
      <c r="H627" s="12" t="e">
        <f t="shared" ref="H627" si="1079">E625*2.5</f>
        <v>#VALUE!</v>
      </c>
    </row>
    <row r="628" spans="1:8" hidden="1" x14ac:dyDescent="0.35">
      <c r="A628" s="8"/>
      <c r="B628" s="21"/>
      <c r="C628" s="9" t="s">
        <v>10</v>
      </c>
      <c r="D628" s="10" t="s">
        <v>10</v>
      </c>
      <c r="E628" s="11"/>
      <c r="F628" s="11"/>
      <c r="G628" s="12" t="e">
        <f t="shared" ref="G628" si="1080">H627+1</f>
        <v>#VALUE!</v>
      </c>
      <c r="H628" s="12" t="e">
        <f t="shared" ref="H628" si="1081">E625*6</f>
        <v>#VALUE!</v>
      </c>
    </row>
    <row r="629" spans="1:8" hidden="1" x14ac:dyDescent="0.35">
      <c r="A629" s="13"/>
      <c r="B629" s="22"/>
      <c r="C629" s="14"/>
      <c r="D629" s="15"/>
      <c r="E629" s="16"/>
      <c r="F629" s="16"/>
      <c r="G629" s="17"/>
      <c r="H629" s="17"/>
    </row>
    <row r="630" spans="1:8" hidden="1" x14ac:dyDescent="0.35">
      <c r="A630" s="8" t="s">
        <v>135</v>
      </c>
      <c r="B630" s="21"/>
      <c r="C630" s="9" t="s">
        <v>10</v>
      </c>
      <c r="D630" s="10" t="s">
        <v>10</v>
      </c>
      <c r="E630" s="6" t="e">
        <f t="shared" ref="E630" si="1082">D630/4</f>
        <v>#VALUE!</v>
      </c>
      <c r="F630" s="11"/>
      <c r="G630" s="7" t="e">
        <f t="shared" ref="G630" si="1083">E630*0.25</f>
        <v>#VALUE!</v>
      </c>
      <c r="H630" s="7" t="e">
        <f t="shared" ref="H630" si="1084">E630*0.5</f>
        <v>#VALUE!</v>
      </c>
    </row>
    <row r="631" spans="1:8" hidden="1" x14ac:dyDescent="0.35">
      <c r="A631" s="8"/>
      <c r="B631" s="21"/>
      <c r="C631" s="9" t="s">
        <v>10</v>
      </c>
      <c r="D631" s="10" t="s">
        <v>10</v>
      </c>
      <c r="E631" s="11"/>
      <c r="F631" s="11"/>
      <c r="G631" s="12" t="e">
        <f t="shared" ref="G631" si="1085">H630+1</f>
        <v>#VALUE!</v>
      </c>
      <c r="H631" s="12" t="e">
        <f t="shared" ref="H631" si="1086">E630*1.5</f>
        <v>#VALUE!</v>
      </c>
    </row>
    <row r="632" spans="1:8" hidden="1" x14ac:dyDescent="0.35">
      <c r="A632" s="8"/>
      <c r="B632" s="21"/>
      <c r="C632" s="9" t="s">
        <v>10</v>
      </c>
      <c r="D632" s="10" t="s">
        <v>10</v>
      </c>
      <c r="E632" s="11"/>
      <c r="F632" s="11"/>
      <c r="G632" s="12" t="e">
        <f t="shared" ref="G632" si="1087">H631*1</f>
        <v>#VALUE!</v>
      </c>
      <c r="H632" s="12" t="e">
        <f t="shared" ref="H632" si="1088">E630*2.5</f>
        <v>#VALUE!</v>
      </c>
    </row>
    <row r="633" spans="1:8" hidden="1" x14ac:dyDescent="0.35">
      <c r="A633" s="8"/>
      <c r="B633" s="21"/>
      <c r="C633" s="9" t="s">
        <v>10</v>
      </c>
      <c r="D633" s="10" t="s">
        <v>10</v>
      </c>
      <c r="E633" s="11"/>
      <c r="F633" s="11"/>
      <c r="G633" s="12" t="e">
        <f t="shared" ref="G633" si="1089">H632+1</f>
        <v>#VALUE!</v>
      </c>
      <c r="H633" s="12" t="e">
        <f t="shared" ref="H633" si="1090">E630*6</f>
        <v>#VALUE!</v>
      </c>
    </row>
    <row r="634" spans="1:8" hidden="1" x14ac:dyDescent="0.35">
      <c r="A634" s="13"/>
      <c r="B634" s="22"/>
      <c r="C634" s="14"/>
      <c r="D634" s="15"/>
      <c r="E634" s="16"/>
      <c r="F634" s="16"/>
      <c r="G634" s="17"/>
      <c r="H634" s="17"/>
    </row>
    <row r="635" spans="1:8" hidden="1" x14ac:dyDescent="0.35">
      <c r="A635" s="8" t="s">
        <v>136</v>
      </c>
      <c r="B635" s="21"/>
      <c r="C635" s="9" t="s">
        <v>10</v>
      </c>
      <c r="D635" s="10" t="s">
        <v>10</v>
      </c>
      <c r="E635" s="6" t="e">
        <f t="shared" ref="E635" si="1091">D635/4</f>
        <v>#VALUE!</v>
      </c>
      <c r="F635" s="11"/>
      <c r="G635" s="7" t="e">
        <f t="shared" ref="G635" si="1092">E635*0.25</f>
        <v>#VALUE!</v>
      </c>
      <c r="H635" s="7" t="e">
        <f t="shared" ref="H635" si="1093">E635*0.5</f>
        <v>#VALUE!</v>
      </c>
    </row>
    <row r="636" spans="1:8" hidden="1" x14ac:dyDescent="0.35">
      <c r="A636" s="8"/>
      <c r="B636" s="21"/>
      <c r="C636" s="9" t="s">
        <v>10</v>
      </c>
      <c r="D636" s="10" t="s">
        <v>10</v>
      </c>
      <c r="E636" s="11"/>
      <c r="F636" s="11"/>
      <c r="G636" s="12" t="e">
        <f t="shared" ref="G636" si="1094">H635+1</f>
        <v>#VALUE!</v>
      </c>
      <c r="H636" s="12" t="e">
        <f t="shared" ref="H636" si="1095">E635*1.5</f>
        <v>#VALUE!</v>
      </c>
    </row>
    <row r="637" spans="1:8" hidden="1" x14ac:dyDescent="0.35">
      <c r="A637" s="8"/>
      <c r="B637" s="21"/>
      <c r="C637" s="9" t="s">
        <v>10</v>
      </c>
      <c r="D637" s="10" t="s">
        <v>10</v>
      </c>
      <c r="E637" s="11"/>
      <c r="F637" s="11"/>
      <c r="G637" s="12" t="e">
        <f t="shared" ref="G637" si="1096">H636*1</f>
        <v>#VALUE!</v>
      </c>
      <c r="H637" s="12" t="e">
        <f t="shared" ref="H637" si="1097">E635*2.5</f>
        <v>#VALUE!</v>
      </c>
    </row>
    <row r="638" spans="1:8" hidden="1" x14ac:dyDescent="0.35">
      <c r="A638" s="8"/>
      <c r="B638" s="21"/>
      <c r="C638" s="9" t="s">
        <v>10</v>
      </c>
      <c r="D638" s="10" t="s">
        <v>10</v>
      </c>
      <c r="E638" s="11"/>
      <c r="F638" s="11"/>
      <c r="G638" s="12" t="e">
        <f t="shared" ref="G638" si="1098">H637+1</f>
        <v>#VALUE!</v>
      </c>
      <c r="H638" s="12" t="e">
        <f t="shared" ref="H638" si="1099">E635*6</f>
        <v>#VALUE!</v>
      </c>
    </row>
    <row r="639" spans="1:8" hidden="1" x14ac:dyDescent="0.35">
      <c r="A639" s="13"/>
      <c r="B639" s="22"/>
      <c r="C639" s="14"/>
      <c r="D639" s="15"/>
      <c r="E639" s="16"/>
      <c r="F639" s="16"/>
      <c r="G639" s="17"/>
      <c r="H639" s="17"/>
    </row>
    <row r="640" spans="1:8" hidden="1" x14ac:dyDescent="0.35">
      <c r="A640" s="8" t="s">
        <v>137</v>
      </c>
      <c r="B640" s="21"/>
      <c r="C640" s="9" t="s">
        <v>10</v>
      </c>
      <c r="D640" s="10" t="s">
        <v>10</v>
      </c>
      <c r="E640" s="6" t="e">
        <f t="shared" ref="E640" si="1100">D640/4</f>
        <v>#VALUE!</v>
      </c>
      <c r="F640" s="11"/>
      <c r="G640" s="7" t="e">
        <f t="shared" ref="G640" si="1101">E640*0.25</f>
        <v>#VALUE!</v>
      </c>
      <c r="H640" s="7" t="e">
        <f t="shared" ref="H640" si="1102">E640*0.5</f>
        <v>#VALUE!</v>
      </c>
    </row>
    <row r="641" spans="1:8" hidden="1" x14ac:dyDescent="0.35">
      <c r="A641" s="8"/>
      <c r="B641" s="21"/>
      <c r="C641" s="9" t="s">
        <v>10</v>
      </c>
      <c r="D641" s="10" t="s">
        <v>10</v>
      </c>
      <c r="E641" s="11"/>
      <c r="F641" s="11"/>
      <c r="G641" s="12" t="e">
        <f t="shared" ref="G641" si="1103">H640+1</f>
        <v>#VALUE!</v>
      </c>
      <c r="H641" s="12" t="e">
        <f t="shared" ref="H641" si="1104">E640*1.5</f>
        <v>#VALUE!</v>
      </c>
    </row>
    <row r="642" spans="1:8" hidden="1" x14ac:dyDescent="0.35">
      <c r="A642" s="8"/>
      <c r="B642" s="21"/>
      <c r="C642" s="9" t="s">
        <v>10</v>
      </c>
      <c r="D642" s="10" t="s">
        <v>10</v>
      </c>
      <c r="E642" s="11"/>
      <c r="F642" s="11"/>
      <c r="G642" s="12" t="e">
        <f t="shared" ref="G642" si="1105">H641*1</f>
        <v>#VALUE!</v>
      </c>
      <c r="H642" s="12" t="e">
        <f t="shared" ref="H642" si="1106">E640*2.5</f>
        <v>#VALUE!</v>
      </c>
    </row>
    <row r="643" spans="1:8" hidden="1" x14ac:dyDescent="0.35">
      <c r="A643" s="8"/>
      <c r="B643" s="21"/>
      <c r="C643" s="9" t="s">
        <v>10</v>
      </c>
      <c r="D643" s="10" t="s">
        <v>10</v>
      </c>
      <c r="E643" s="11"/>
      <c r="F643" s="11"/>
      <c r="G643" s="12" t="e">
        <f t="shared" ref="G643" si="1107">H642+1</f>
        <v>#VALUE!</v>
      </c>
      <c r="H643" s="12" t="e">
        <f t="shared" ref="H643" si="1108">E640*6</f>
        <v>#VALUE!</v>
      </c>
    </row>
    <row r="644" spans="1:8" hidden="1" x14ac:dyDescent="0.35">
      <c r="A644" s="13"/>
      <c r="B644" s="22"/>
      <c r="C644" s="14"/>
      <c r="D644" s="15"/>
      <c r="E644" s="16"/>
      <c r="F644" s="16"/>
      <c r="G644" s="17"/>
      <c r="H644" s="17"/>
    </row>
    <row r="645" spans="1:8" hidden="1" x14ac:dyDescent="0.35">
      <c r="A645" s="8" t="s">
        <v>138</v>
      </c>
      <c r="B645" s="21"/>
      <c r="C645" s="9" t="s">
        <v>10</v>
      </c>
      <c r="D645" s="10" t="s">
        <v>10</v>
      </c>
      <c r="E645" s="6" t="e">
        <f t="shared" ref="E645" si="1109">D645/4</f>
        <v>#VALUE!</v>
      </c>
      <c r="F645" s="11"/>
      <c r="G645" s="7" t="e">
        <f t="shared" ref="G645" si="1110">E645*0.25</f>
        <v>#VALUE!</v>
      </c>
      <c r="H645" s="7" t="e">
        <f t="shared" ref="H645" si="1111">E645*0.5</f>
        <v>#VALUE!</v>
      </c>
    </row>
    <row r="646" spans="1:8" hidden="1" x14ac:dyDescent="0.35">
      <c r="A646" s="8"/>
      <c r="B646" s="21"/>
      <c r="C646" s="9" t="s">
        <v>10</v>
      </c>
      <c r="D646" s="10" t="s">
        <v>10</v>
      </c>
      <c r="E646" s="11"/>
      <c r="F646" s="11"/>
      <c r="G646" s="12" t="e">
        <f t="shared" ref="G646" si="1112">H645+1</f>
        <v>#VALUE!</v>
      </c>
      <c r="H646" s="12" t="e">
        <f t="shared" ref="H646" si="1113">E645*1.5</f>
        <v>#VALUE!</v>
      </c>
    </row>
    <row r="647" spans="1:8" hidden="1" x14ac:dyDescent="0.35">
      <c r="A647" s="8"/>
      <c r="B647" s="21"/>
      <c r="C647" s="9" t="s">
        <v>10</v>
      </c>
      <c r="D647" s="10" t="s">
        <v>10</v>
      </c>
      <c r="E647" s="11"/>
      <c r="F647" s="11"/>
      <c r="G647" s="12" t="e">
        <f t="shared" ref="G647" si="1114">H646*1</f>
        <v>#VALUE!</v>
      </c>
      <c r="H647" s="12" t="e">
        <f t="shared" ref="H647" si="1115">E645*2.5</f>
        <v>#VALUE!</v>
      </c>
    </row>
    <row r="648" spans="1:8" hidden="1" x14ac:dyDescent="0.35">
      <c r="A648" s="8"/>
      <c r="B648" s="21"/>
      <c r="C648" s="9" t="s">
        <v>10</v>
      </c>
      <c r="D648" s="10" t="s">
        <v>10</v>
      </c>
      <c r="E648" s="11"/>
      <c r="F648" s="11"/>
      <c r="G648" s="12" t="e">
        <f t="shared" ref="G648" si="1116">H647+1</f>
        <v>#VALUE!</v>
      </c>
      <c r="H648" s="12" t="e">
        <f t="shared" ref="H648" si="1117">E645*6</f>
        <v>#VALUE!</v>
      </c>
    </row>
    <row r="649" spans="1:8" hidden="1" x14ac:dyDescent="0.35">
      <c r="A649" s="13"/>
      <c r="B649" s="22"/>
      <c r="C649" s="14"/>
      <c r="D649" s="15"/>
      <c r="E649" s="16"/>
      <c r="F649" s="16"/>
      <c r="G649" s="17"/>
      <c r="H649" s="17"/>
    </row>
    <row r="650" spans="1:8" hidden="1" x14ac:dyDescent="0.35">
      <c r="A650" s="8" t="s">
        <v>139</v>
      </c>
      <c r="B650" s="21"/>
      <c r="C650" s="9" t="s">
        <v>10</v>
      </c>
      <c r="D650" s="10" t="s">
        <v>10</v>
      </c>
      <c r="E650" s="6" t="e">
        <f t="shared" ref="E650" si="1118">D650/4</f>
        <v>#VALUE!</v>
      </c>
      <c r="F650" s="11"/>
      <c r="G650" s="7" t="e">
        <f t="shared" ref="G650" si="1119">E650*0.25</f>
        <v>#VALUE!</v>
      </c>
      <c r="H650" s="7" t="e">
        <f t="shared" ref="H650" si="1120">E650*0.5</f>
        <v>#VALUE!</v>
      </c>
    </row>
    <row r="651" spans="1:8" hidden="1" x14ac:dyDescent="0.35">
      <c r="A651" s="8"/>
      <c r="B651" s="21"/>
      <c r="C651" s="9" t="s">
        <v>10</v>
      </c>
      <c r="D651" s="10" t="s">
        <v>10</v>
      </c>
      <c r="E651" s="11"/>
      <c r="F651" s="11"/>
      <c r="G651" s="12" t="e">
        <f t="shared" ref="G651" si="1121">H650+1</f>
        <v>#VALUE!</v>
      </c>
      <c r="H651" s="12" t="e">
        <f t="shared" ref="H651" si="1122">E650*1.5</f>
        <v>#VALUE!</v>
      </c>
    </row>
    <row r="652" spans="1:8" hidden="1" x14ac:dyDescent="0.35">
      <c r="A652" s="8"/>
      <c r="B652" s="21"/>
      <c r="C652" s="9" t="s">
        <v>10</v>
      </c>
      <c r="D652" s="10" t="s">
        <v>10</v>
      </c>
      <c r="E652" s="11"/>
      <c r="F652" s="11"/>
      <c r="G652" s="12" t="e">
        <f t="shared" ref="G652" si="1123">H651*1</f>
        <v>#VALUE!</v>
      </c>
      <c r="H652" s="12" t="e">
        <f t="shared" ref="H652" si="1124">E650*2.5</f>
        <v>#VALUE!</v>
      </c>
    </row>
    <row r="653" spans="1:8" hidden="1" x14ac:dyDescent="0.35">
      <c r="A653" s="8"/>
      <c r="B653" s="21"/>
      <c r="C653" s="9" t="s">
        <v>10</v>
      </c>
      <c r="D653" s="10" t="s">
        <v>10</v>
      </c>
      <c r="E653" s="11"/>
      <c r="F653" s="11"/>
      <c r="G653" s="12" t="e">
        <f t="shared" ref="G653" si="1125">H652+1</f>
        <v>#VALUE!</v>
      </c>
      <c r="H653" s="12" t="e">
        <f t="shared" ref="H653" si="1126">E650*6</f>
        <v>#VALUE!</v>
      </c>
    </row>
    <row r="654" spans="1:8" hidden="1" x14ac:dyDescent="0.35">
      <c r="A654" s="13"/>
      <c r="B654" s="22"/>
      <c r="C654" s="14"/>
      <c r="D654" s="15"/>
      <c r="E654" s="16"/>
      <c r="F654" s="16"/>
      <c r="G654" s="17"/>
      <c r="H654" s="17"/>
    </row>
    <row r="655" spans="1:8" hidden="1" x14ac:dyDescent="0.35">
      <c r="A655" s="8" t="s">
        <v>140</v>
      </c>
      <c r="B655" s="21"/>
      <c r="C655" s="9" t="s">
        <v>10</v>
      </c>
      <c r="D655" s="10" t="s">
        <v>10</v>
      </c>
      <c r="E655" s="6" t="e">
        <f t="shared" ref="E655" si="1127">D655/4</f>
        <v>#VALUE!</v>
      </c>
      <c r="F655" s="11"/>
      <c r="G655" s="7" t="e">
        <f t="shared" ref="G655" si="1128">E655*0.25</f>
        <v>#VALUE!</v>
      </c>
      <c r="H655" s="7" t="e">
        <f t="shared" ref="H655" si="1129">E655*0.5</f>
        <v>#VALUE!</v>
      </c>
    </row>
    <row r="656" spans="1:8" hidden="1" x14ac:dyDescent="0.35">
      <c r="A656" s="8"/>
      <c r="B656" s="21"/>
      <c r="C656" s="9" t="s">
        <v>10</v>
      </c>
      <c r="D656" s="10" t="s">
        <v>10</v>
      </c>
      <c r="E656" s="11"/>
      <c r="F656" s="11"/>
      <c r="G656" s="12" t="e">
        <f t="shared" ref="G656" si="1130">H655+1</f>
        <v>#VALUE!</v>
      </c>
      <c r="H656" s="12" t="e">
        <f t="shared" ref="H656" si="1131">E655*1.5</f>
        <v>#VALUE!</v>
      </c>
    </row>
    <row r="657" spans="1:8" hidden="1" x14ac:dyDescent="0.35">
      <c r="A657" s="8"/>
      <c r="B657" s="21"/>
      <c r="C657" s="9" t="s">
        <v>10</v>
      </c>
      <c r="D657" s="10" t="s">
        <v>10</v>
      </c>
      <c r="E657" s="11"/>
      <c r="F657" s="11"/>
      <c r="G657" s="12" t="e">
        <f t="shared" ref="G657" si="1132">H656*1</f>
        <v>#VALUE!</v>
      </c>
      <c r="H657" s="12" t="e">
        <f t="shared" ref="H657" si="1133">E655*2.5</f>
        <v>#VALUE!</v>
      </c>
    </row>
    <row r="658" spans="1:8" hidden="1" x14ac:dyDescent="0.35">
      <c r="A658" s="8"/>
      <c r="B658" s="21"/>
      <c r="C658" s="9" t="s">
        <v>10</v>
      </c>
      <c r="D658" s="10" t="s">
        <v>10</v>
      </c>
      <c r="E658" s="11"/>
      <c r="F658" s="11"/>
      <c r="G658" s="12" t="e">
        <f t="shared" ref="G658" si="1134">H657+1</f>
        <v>#VALUE!</v>
      </c>
      <c r="H658" s="12" t="e">
        <f t="shared" ref="H658" si="1135">E655*6</f>
        <v>#VALUE!</v>
      </c>
    </row>
    <row r="659" spans="1:8" hidden="1" x14ac:dyDescent="0.35">
      <c r="A659" s="13"/>
      <c r="B659" s="22"/>
      <c r="C659" s="14"/>
      <c r="D659" s="15"/>
      <c r="E659" s="16"/>
      <c r="F659" s="16"/>
      <c r="G659" s="17"/>
      <c r="H659" s="17"/>
    </row>
    <row r="660" spans="1:8" hidden="1" x14ac:dyDescent="0.35">
      <c r="A660" s="8" t="s">
        <v>141</v>
      </c>
      <c r="B660" s="21"/>
      <c r="C660" s="9" t="s">
        <v>10</v>
      </c>
      <c r="D660" s="10" t="s">
        <v>10</v>
      </c>
      <c r="E660" s="6" t="e">
        <f t="shared" ref="E660" si="1136">D660/4</f>
        <v>#VALUE!</v>
      </c>
      <c r="F660" s="11"/>
      <c r="G660" s="7" t="e">
        <f t="shared" ref="G660" si="1137">E660*0.25</f>
        <v>#VALUE!</v>
      </c>
      <c r="H660" s="7" t="e">
        <f t="shared" ref="H660" si="1138">E660*0.5</f>
        <v>#VALUE!</v>
      </c>
    </row>
    <row r="661" spans="1:8" hidden="1" x14ac:dyDescent="0.35">
      <c r="A661" s="8"/>
      <c r="B661" s="21"/>
      <c r="C661" s="9" t="s">
        <v>10</v>
      </c>
      <c r="D661" s="10" t="s">
        <v>10</v>
      </c>
      <c r="E661" s="11"/>
      <c r="F661" s="11"/>
      <c r="G661" s="12" t="e">
        <f t="shared" ref="G661" si="1139">H660+1</f>
        <v>#VALUE!</v>
      </c>
      <c r="H661" s="12" t="e">
        <f t="shared" ref="H661" si="1140">E660*1.5</f>
        <v>#VALUE!</v>
      </c>
    </row>
    <row r="662" spans="1:8" hidden="1" x14ac:dyDescent="0.35">
      <c r="A662" s="8"/>
      <c r="B662" s="21"/>
      <c r="C662" s="9" t="s">
        <v>10</v>
      </c>
      <c r="D662" s="10" t="s">
        <v>10</v>
      </c>
      <c r="E662" s="11"/>
      <c r="F662" s="11"/>
      <c r="G662" s="12" t="e">
        <f t="shared" ref="G662" si="1141">H661*1</f>
        <v>#VALUE!</v>
      </c>
      <c r="H662" s="12" t="e">
        <f t="shared" ref="H662" si="1142">E660*2.5</f>
        <v>#VALUE!</v>
      </c>
    </row>
    <row r="663" spans="1:8" hidden="1" x14ac:dyDescent="0.35">
      <c r="A663" s="8"/>
      <c r="B663" s="21"/>
      <c r="C663" s="9" t="s">
        <v>10</v>
      </c>
      <c r="D663" s="10" t="s">
        <v>10</v>
      </c>
      <c r="E663" s="11"/>
      <c r="F663" s="11"/>
      <c r="G663" s="12" t="e">
        <f t="shared" ref="G663" si="1143">H662+1</f>
        <v>#VALUE!</v>
      </c>
      <c r="H663" s="12" t="e">
        <f t="shared" ref="H663" si="1144">E660*6</f>
        <v>#VALUE!</v>
      </c>
    </row>
    <row r="664" spans="1:8" hidden="1" x14ac:dyDescent="0.35">
      <c r="A664" s="13"/>
      <c r="B664" s="22"/>
      <c r="C664" s="14"/>
      <c r="D664" s="15"/>
      <c r="E664" s="16"/>
      <c r="F664" s="16"/>
      <c r="G664" s="17"/>
      <c r="H664" s="17"/>
    </row>
    <row r="665" spans="1:8" hidden="1" x14ac:dyDescent="0.35">
      <c r="A665" s="8" t="s">
        <v>142</v>
      </c>
      <c r="B665" s="21"/>
      <c r="C665" s="9" t="s">
        <v>10</v>
      </c>
      <c r="D665" s="10" t="s">
        <v>10</v>
      </c>
      <c r="E665" s="6" t="e">
        <f t="shared" ref="E665" si="1145">D665/4</f>
        <v>#VALUE!</v>
      </c>
      <c r="F665" s="11"/>
      <c r="G665" s="7" t="e">
        <f t="shared" ref="G665" si="1146">E665*0.25</f>
        <v>#VALUE!</v>
      </c>
      <c r="H665" s="7" t="e">
        <f t="shared" ref="H665" si="1147">E665*0.5</f>
        <v>#VALUE!</v>
      </c>
    </row>
    <row r="666" spans="1:8" hidden="1" x14ac:dyDescent="0.35">
      <c r="A666" s="8"/>
      <c r="B666" s="21"/>
      <c r="C666" s="9" t="s">
        <v>10</v>
      </c>
      <c r="D666" s="10" t="s">
        <v>10</v>
      </c>
      <c r="E666" s="11"/>
      <c r="F666" s="11"/>
      <c r="G666" s="12" t="e">
        <f t="shared" ref="G666" si="1148">H665+1</f>
        <v>#VALUE!</v>
      </c>
      <c r="H666" s="12" t="e">
        <f t="shared" ref="H666" si="1149">E665*1.5</f>
        <v>#VALUE!</v>
      </c>
    </row>
    <row r="667" spans="1:8" hidden="1" x14ac:dyDescent="0.35">
      <c r="A667" s="8"/>
      <c r="B667" s="21"/>
      <c r="C667" s="9" t="s">
        <v>10</v>
      </c>
      <c r="D667" s="10" t="s">
        <v>10</v>
      </c>
      <c r="E667" s="11"/>
      <c r="F667" s="11"/>
      <c r="G667" s="12" t="e">
        <f t="shared" ref="G667" si="1150">H666*1</f>
        <v>#VALUE!</v>
      </c>
      <c r="H667" s="12" t="e">
        <f t="shared" ref="H667" si="1151">E665*2.5</f>
        <v>#VALUE!</v>
      </c>
    </row>
    <row r="668" spans="1:8" hidden="1" x14ac:dyDescent="0.35">
      <c r="A668" s="8"/>
      <c r="B668" s="21"/>
      <c r="C668" s="9" t="s">
        <v>10</v>
      </c>
      <c r="D668" s="10" t="s">
        <v>10</v>
      </c>
      <c r="E668" s="11"/>
      <c r="F668" s="11"/>
      <c r="G668" s="12" t="e">
        <f t="shared" ref="G668" si="1152">H667+1</f>
        <v>#VALUE!</v>
      </c>
      <c r="H668" s="12" t="e">
        <f t="shared" ref="H668" si="1153">E665*6</f>
        <v>#VALUE!</v>
      </c>
    </row>
    <row r="669" spans="1:8" hidden="1" x14ac:dyDescent="0.35">
      <c r="A669" s="13"/>
      <c r="B669" s="22"/>
      <c r="C669" s="14"/>
      <c r="D669" s="15"/>
      <c r="E669" s="16"/>
      <c r="F669" s="16"/>
      <c r="G669" s="17"/>
      <c r="H669" s="17"/>
    </row>
    <row r="670" spans="1:8" hidden="1" x14ac:dyDescent="0.35">
      <c r="A670" s="8" t="s">
        <v>143</v>
      </c>
      <c r="B670" s="21"/>
      <c r="C670" s="9" t="s">
        <v>10</v>
      </c>
      <c r="D670" s="10" t="s">
        <v>10</v>
      </c>
      <c r="E670" s="6" t="e">
        <f t="shared" ref="E670" si="1154">D670/4</f>
        <v>#VALUE!</v>
      </c>
      <c r="F670" s="11"/>
      <c r="G670" s="7" t="e">
        <f t="shared" ref="G670" si="1155">E670*0.25</f>
        <v>#VALUE!</v>
      </c>
      <c r="H670" s="7" t="e">
        <f t="shared" ref="H670" si="1156">E670*0.5</f>
        <v>#VALUE!</v>
      </c>
    </row>
    <row r="671" spans="1:8" hidden="1" x14ac:dyDescent="0.35">
      <c r="A671" s="8"/>
      <c r="B671" s="21"/>
      <c r="C671" s="9" t="s">
        <v>10</v>
      </c>
      <c r="D671" s="10" t="s">
        <v>10</v>
      </c>
      <c r="E671" s="11"/>
      <c r="F671" s="11"/>
      <c r="G671" s="12" t="e">
        <f t="shared" ref="G671" si="1157">H670+1</f>
        <v>#VALUE!</v>
      </c>
      <c r="H671" s="12" t="e">
        <f t="shared" ref="H671" si="1158">E670*1.5</f>
        <v>#VALUE!</v>
      </c>
    </row>
    <row r="672" spans="1:8" hidden="1" x14ac:dyDescent="0.35">
      <c r="A672" s="8"/>
      <c r="B672" s="21"/>
      <c r="C672" s="9" t="s">
        <v>10</v>
      </c>
      <c r="D672" s="10" t="s">
        <v>10</v>
      </c>
      <c r="E672" s="11"/>
      <c r="F672" s="11"/>
      <c r="G672" s="12" t="e">
        <f t="shared" ref="G672" si="1159">H671*1</f>
        <v>#VALUE!</v>
      </c>
      <c r="H672" s="12" t="e">
        <f t="shared" ref="H672" si="1160">E670*2.5</f>
        <v>#VALUE!</v>
      </c>
    </row>
    <row r="673" spans="1:8" hidden="1" x14ac:dyDescent="0.35">
      <c r="A673" s="8"/>
      <c r="B673" s="21"/>
      <c r="C673" s="9" t="s">
        <v>10</v>
      </c>
      <c r="D673" s="10" t="s">
        <v>10</v>
      </c>
      <c r="E673" s="11"/>
      <c r="F673" s="11"/>
      <c r="G673" s="12" t="e">
        <f t="shared" ref="G673" si="1161">H672+1</f>
        <v>#VALUE!</v>
      </c>
      <c r="H673" s="12" t="e">
        <f t="shared" ref="H673" si="1162">E670*6</f>
        <v>#VALUE!</v>
      </c>
    </row>
    <row r="674" spans="1:8" hidden="1" x14ac:dyDescent="0.35">
      <c r="A674" s="13"/>
      <c r="B674" s="22"/>
      <c r="C674" s="14"/>
      <c r="D674" s="15"/>
      <c r="E674" s="16"/>
      <c r="F674" s="16"/>
      <c r="G674" s="17"/>
      <c r="H674" s="17"/>
    </row>
    <row r="675" spans="1:8" hidden="1" x14ac:dyDescent="0.35">
      <c r="A675" s="8" t="s">
        <v>144</v>
      </c>
      <c r="B675" s="21"/>
      <c r="C675" s="9" t="s">
        <v>10</v>
      </c>
      <c r="D675" s="10" t="s">
        <v>10</v>
      </c>
      <c r="E675" s="6" t="e">
        <f t="shared" ref="E675" si="1163">D675/4</f>
        <v>#VALUE!</v>
      </c>
      <c r="F675" s="11"/>
      <c r="G675" s="7" t="e">
        <f t="shared" ref="G675" si="1164">E675*0.25</f>
        <v>#VALUE!</v>
      </c>
      <c r="H675" s="7" t="e">
        <f t="shared" ref="H675" si="1165">E675*0.5</f>
        <v>#VALUE!</v>
      </c>
    </row>
    <row r="676" spans="1:8" hidden="1" x14ac:dyDescent="0.35">
      <c r="A676" s="8"/>
      <c r="B676" s="21"/>
      <c r="C676" s="9" t="s">
        <v>10</v>
      </c>
      <c r="D676" s="10" t="s">
        <v>10</v>
      </c>
      <c r="E676" s="11"/>
      <c r="F676" s="11"/>
      <c r="G676" s="12" t="e">
        <f t="shared" ref="G676" si="1166">H675+1</f>
        <v>#VALUE!</v>
      </c>
      <c r="H676" s="12" t="e">
        <f t="shared" ref="H676" si="1167">E675*1.5</f>
        <v>#VALUE!</v>
      </c>
    </row>
    <row r="677" spans="1:8" hidden="1" x14ac:dyDescent="0.35">
      <c r="A677" s="8"/>
      <c r="B677" s="21"/>
      <c r="C677" s="9" t="s">
        <v>10</v>
      </c>
      <c r="D677" s="10" t="s">
        <v>10</v>
      </c>
      <c r="E677" s="11"/>
      <c r="F677" s="11"/>
      <c r="G677" s="12" t="e">
        <f t="shared" ref="G677" si="1168">H676*1</f>
        <v>#VALUE!</v>
      </c>
      <c r="H677" s="12" t="e">
        <f t="shared" ref="H677" si="1169">E675*2.5</f>
        <v>#VALUE!</v>
      </c>
    </row>
    <row r="678" spans="1:8" hidden="1" x14ac:dyDescent="0.35">
      <c r="A678" s="8"/>
      <c r="B678" s="21"/>
      <c r="C678" s="9" t="s">
        <v>10</v>
      </c>
      <c r="D678" s="10" t="s">
        <v>10</v>
      </c>
      <c r="E678" s="11"/>
      <c r="F678" s="11"/>
      <c r="G678" s="12" t="e">
        <f t="shared" ref="G678" si="1170">H677+1</f>
        <v>#VALUE!</v>
      </c>
      <c r="H678" s="12" t="e">
        <f t="shared" ref="H678" si="1171">E675*6</f>
        <v>#VALUE!</v>
      </c>
    </row>
    <row r="679" spans="1:8" hidden="1" x14ac:dyDescent="0.35">
      <c r="A679" s="13"/>
      <c r="B679" s="22"/>
      <c r="C679" s="14"/>
      <c r="D679" s="15"/>
      <c r="E679" s="16"/>
      <c r="F679" s="16"/>
      <c r="G679" s="17"/>
      <c r="H679" s="17"/>
    </row>
    <row r="680" spans="1:8" hidden="1" x14ac:dyDescent="0.35">
      <c r="A680" s="8" t="s">
        <v>145</v>
      </c>
      <c r="B680" s="21"/>
      <c r="C680" s="9" t="s">
        <v>10</v>
      </c>
      <c r="D680" s="10" t="s">
        <v>10</v>
      </c>
      <c r="E680" s="6" t="e">
        <f t="shared" ref="E680" si="1172">D680/4</f>
        <v>#VALUE!</v>
      </c>
      <c r="F680" s="11"/>
      <c r="G680" s="7" t="e">
        <f t="shared" ref="G680" si="1173">E680*0.25</f>
        <v>#VALUE!</v>
      </c>
      <c r="H680" s="7" t="e">
        <f t="shared" ref="H680" si="1174">E680*0.5</f>
        <v>#VALUE!</v>
      </c>
    </row>
    <row r="681" spans="1:8" hidden="1" x14ac:dyDescent="0.35">
      <c r="A681" s="8"/>
      <c r="B681" s="21"/>
      <c r="C681" s="9" t="s">
        <v>10</v>
      </c>
      <c r="D681" s="10" t="s">
        <v>10</v>
      </c>
      <c r="E681" s="11"/>
      <c r="F681" s="11"/>
      <c r="G681" s="12" t="e">
        <f t="shared" ref="G681" si="1175">H680+1</f>
        <v>#VALUE!</v>
      </c>
      <c r="H681" s="12" t="e">
        <f t="shared" ref="H681" si="1176">E680*1.5</f>
        <v>#VALUE!</v>
      </c>
    </row>
    <row r="682" spans="1:8" hidden="1" x14ac:dyDescent="0.35">
      <c r="A682" s="8"/>
      <c r="B682" s="21"/>
      <c r="C682" s="9" t="s">
        <v>10</v>
      </c>
      <c r="D682" s="10" t="s">
        <v>10</v>
      </c>
      <c r="E682" s="11"/>
      <c r="F682" s="11"/>
      <c r="G682" s="12" t="e">
        <f t="shared" ref="G682" si="1177">H681*1</f>
        <v>#VALUE!</v>
      </c>
      <c r="H682" s="12" t="e">
        <f t="shared" ref="H682" si="1178">E680*2.5</f>
        <v>#VALUE!</v>
      </c>
    </row>
    <row r="683" spans="1:8" hidden="1" x14ac:dyDescent="0.35">
      <c r="A683" s="8"/>
      <c r="B683" s="21"/>
      <c r="C683" s="9" t="s">
        <v>10</v>
      </c>
      <c r="D683" s="10" t="s">
        <v>10</v>
      </c>
      <c r="E683" s="11"/>
      <c r="F683" s="11"/>
      <c r="G683" s="12" t="e">
        <f t="shared" ref="G683" si="1179">H682+1</f>
        <v>#VALUE!</v>
      </c>
      <c r="H683" s="12" t="e">
        <f t="shared" ref="H683" si="1180">E680*6</f>
        <v>#VALUE!</v>
      </c>
    </row>
    <row r="684" spans="1:8" hidden="1" x14ac:dyDescent="0.35">
      <c r="A684" s="13"/>
      <c r="B684" s="22"/>
      <c r="C684" s="14"/>
      <c r="D684" s="15"/>
      <c r="E684" s="16"/>
      <c r="F684" s="16"/>
      <c r="G684" s="17"/>
      <c r="H684" s="17"/>
    </row>
    <row r="685" spans="1:8" hidden="1" x14ac:dyDescent="0.35">
      <c r="A685" s="8" t="s">
        <v>146</v>
      </c>
      <c r="B685" s="21"/>
      <c r="C685" s="9" t="s">
        <v>10</v>
      </c>
      <c r="D685" s="10" t="s">
        <v>10</v>
      </c>
      <c r="E685" s="6" t="e">
        <f t="shared" ref="E685" si="1181">D685/4</f>
        <v>#VALUE!</v>
      </c>
      <c r="F685" s="11"/>
      <c r="G685" s="7" t="e">
        <f t="shared" ref="G685" si="1182">E685*0.25</f>
        <v>#VALUE!</v>
      </c>
      <c r="H685" s="7" t="e">
        <f t="shared" ref="H685" si="1183">E685*0.5</f>
        <v>#VALUE!</v>
      </c>
    </row>
    <row r="686" spans="1:8" hidden="1" x14ac:dyDescent="0.35">
      <c r="A686" s="8"/>
      <c r="B686" s="21"/>
      <c r="C686" s="9" t="s">
        <v>10</v>
      </c>
      <c r="D686" s="10" t="s">
        <v>10</v>
      </c>
      <c r="E686" s="11"/>
      <c r="F686" s="11"/>
      <c r="G686" s="12" t="e">
        <f t="shared" ref="G686" si="1184">H685+1</f>
        <v>#VALUE!</v>
      </c>
      <c r="H686" s="12" t="e">
        <f t="shared" ref="H686" si="1185">E685*1.5</f>
        <v>#VALUE!</v>
      </c>
    </row>
    <row r="687" spans="1:8" hidden="1" x14ac:dyDescent="0.35">
      <c r="A687" s="8"/>
      <c r="B687" s="21"/>
      <c r="C687" s="9" t="s">
        <v>10</v>
      </c>
      <c r="D687" s="10" t="s">
        <v>10</v>
      </c>
      <c r="E687" s="11"/>
      <c r="F687" s="11"/>
      <c r="G687" s="12" t="e">
        <f t="shared" ref="G687" si="1186">H686*1</f>
        <v>#VALUE!</v>
      </c>
      <c r="H687" s="12" t="e">
        <f t="shared" ref="H687" si="1187">E685*2.5</f>
        <v>#VALUE!</v>
      </c>
    </row>
    <row r="688" spans="1:8" hidden="1" x14ac:dyDescent="0.35">
      <c r="A688" s="8"/>
      <c r="B688" s="21"/>
      <c r="C688" s="9" t="s">
        <v>10</v>
      </c>
      <c r="D688" s="10" t="s">
        <v>10</v>
      </c>
      <c r="E688" s="11"/>
      <c r="F688" s="11"/>
      <c r="G688" s="12" t="e">
        <f t="shared" ref="G688" si="1188">H687+1</f>
        <v>#VALUE!</v>
      </c>
      <c r="H688" s="12" t="e">
        <f t="shared" ref="H688" si="1189">E685*6</f>
        <v>#VALUE!</v>
      </c>
    </row>
    <row r="689" spans="1:8" hidden="1" x14ac:dyDescent="0.35">
      <c r="A689" s="13"/>
      <c r="B689" s="22"/>
      <c r="C689" s="14"/>
      <c r="D689" s="15"/>
      <c r="E689" s="16"/>
      <c r="F689" s="16"/>
      <c r="G689" s="17"/>
      <c r="H689" s="17"/>
    </row>
    <row r="690" spans="1:8" hidden="1" x14ac:dyDescent="0.35">
      <c r="A690" s="8" t="s">
        <v>147</v>
      </c>
      <c r="B690" s="21"/>
      <c r="C690" s="9" t="s">
        <v>10</v>
      </c>
      <c r="D690" s="10" t="s">
        <v>10</v>
      </c>
      <c r="E690" s="6" t="e">
        <f t="shared" ref="E690" si="1190">D690/4</f>
        <v>#VALUE!</v>
      </c>
      <c r="F690" s="11"/>
      <c r="G690" s="7" t="e">
        <f t="shared" ref="G690" si="1191">E690*0.25</f>
        <v>#VALUE!</v>
      </c>
      <c r="H690" s="7" t="e">
        <f t="shared" ref="H690" si="1192">E690*0.5</f>
        <v>#VALUE!</v>
      </c>
    </row>
    <row r="691" spans="1:8" hidden="1" x14ac:dyDescent="0.35">
      <c r="A691" s="8"/>
      <c r="B691" s="21"/>
      <c r="C691" s="9" t="s">
        <v>10</v>
      </c>
      <c r="D691" s="10" t="s">
        <v>10</v>
      </c>
      <c r="E691" s="11"/>
      <c r="F691" s="11"/>
      <c r="G691" s="12" t="e">
        <f t="shared" ref="G691" si="1193">H690+1</f>
        <v>#VALUE!</v>
      </c>
      <c r="H691" s="12" t="e">
        <f t="shared" ref="H691" si="1194">E690*1.5</f>
        <v>#VALUE!</v>
      </c>
    </row>
    <row r="692" spans="1:8" hidden="1" x14ac:dyDescent="0.35">
      <c r="A692" s="8"/>
      <c r="B692" s="21"/>
      <c r="C692" s="9" t="s">
        <v>10</v>
      </c>
      <c r="D692" s="10" t="s">
        <v>10</v>
      </c>
      <c r="E692" s="11"/>
      <c r="F692" s="11"/>
      <c r="G692" s="12" t="e">
        <f t="shared" ref="G692" si="1195">H691*1</f>
        <v>#VALUE!</v>
      </c>
      <c r="H692" s="12" t="e">
        <f t="shared" ref="H692" si="1196">E690*2.5</f>
        <v>#VALUE!</v>
      </c>
    </row>
    <row r="693" spans="1:8" hidden="1" x14ac:dyDescent="0.35">
      <c r="A693" s="8"/>
      <c r="B693" s="21"/>
      <c r="C693" s="9" t="s">
        <v>10</v>
      </c>
      <c r="D693" s="10" t="s">
        <v>10</v>
      </c>
      <c r="E693" s="11"/>
      <c r="F693" s="11"/>
      <c r="G693" s="12" t="e">
        <f t="shared" ref="G693" si="1197">H692+1</f>
        <v>#VALUE!</v>
      </c>
      <c r="H693" s="12" t="e">
        <f t="shared" ref="H693" si="1198">E690*6</f>
        <v>#VALUE!</v>
      </c>
    </row>
    <row r="694" spans="1:8" hidden="1" x14ac:dyDescent="0.35">
      <c r="A694" s="13"/>
      <c r="B694" s="22"/>
      <c r="C694" s="14"/>
      <c r="D694" s="15"/>
      <c r="E694" s="16"/>
      <c r="F694" s="16"/>
      <c r="G694" s="17"/>
      <c r="H694" s="17"/>
    </row>
    <row r="695" spans="1:8" hidden="1" x14ac:dyDescent="0.35">
      <c r="A695" s="8" t="s">
        <v>148</v>
      </c>
      <c r="B695" s="21"/>
      <c r="C695" s="9" t="s">
        <v>10</v>
      </c>
      <c r="D695" s="10" t="s">
        <v>10</v>
      </c>
      <c r="E695" s="6" t="e">
        <f t="shared" ref="E695" si="1199">D695/4</f>
        <v>#VALUE!</v>
      </c>
      <c r="F695" s="11"/>
      <c r="G695" s="7" t="e">
        <f t="shared" ref="G695" si="1200">E695*0.25</f>
        <v>#VALUE!</v>
      </c>
      <c r="H695" s="7" t="e">
        <f t="shared" ref="H695" si="1201">E695*0.5</f>
        <v>#VALUE!</v>
      </c>
    </row>
    <row r="696" spans="1:8" hidden="1" x14ac:dyDescent="0.35">
      <c r="A696" s="8"/>
      <c r="B696" s="21"/>
      <c r="C696" s="9" t="s">
        <v>10</v>
      </c>
      <c r="D696" s="10" t="s">
        <v>10</v>
      </c>
      <c r="E696" s="11"/>
      <c r="F696" s="11"/>
      <c r="G696" s="12" t="e">
        <f t="shared" ref="G696" si="1202">H695+1</f>
        <v>#VALUE!</v>
      </c>
      <c r="H696" s="12" t="e">
        <f t="shared" ref="H696" si="1203">E695*1.5</f>
        <v>#VALUE!</v>
      </c>
    </row>
    <row r="697" spans="1:8" hidden="1" x14ac:dyDescent="0.35">
      <c r="A697" s="8"/>
      <c r="B697" s="21"/>
      <c r="C697" s="9" t="s">
        <v>10</v>
      </c>
      <c r="D697" s="10" t="s">
        <v>10</v>
      </c>
      <c r="E697" s="11"/>
      <c r="F697" s="11"/>
      <c r="G697" s="12" t="e">
        <f t="shared" ref="G697" si="1204">H696*1</f>
        <v>#VALUE!</v>
      </c>
      <c r="H697" s="12" t="e">
        <f t="shared" ref="H697" si="1205">E695*2.5</f>
        <v>#VALUE!</v>
      </c>
    </row>
    <row r="698" spans="1:8" hidden="1" x14ac:dyDescent="0.35">
      <c r="A698" s="8"/>
      <c r="B698" s="21"/>
      <c r="C698" s="9" t="s">
        <v>10</v>
      </c>
      <c r="D698" s="10" t="s">
        <v>10</v>
      </c>
      <c r="E698" s="11"/>
      <c r="F698" s="11"/>
      <c r="G698" s="12" t="e">
        <f t="shared" ref="G698" si="1206">H697+1</f>
        <v>#VALUE!</v>
      </c>
      <c r="H698" s="12" t="e">
        <f t="shared" ref="H698" si="1207">E695*6</f>
        <v>#VALUE!</v>
      </c>
    </row>
    <row r="699" spans="1:8" hidden="1" x14ac:dyDescent="0.35">
      <c r="A699" s="13"/>
      <c r="B699" s="22"/>
      <c r="C699" s="14"/>
      <c r="D699" s="15"/>
      <c r="E699" s="16"/>
      <c r="F699" s="16"/>
      <c r="G699" s="17"/>
      <c r="H699" s="17"/>
    </row>
    <row r="700" spans="1:8" hidden="1" x14ac:dyDescent="0.35">
      <c r="A700" s="8" t="s">
        <v>149</v>
      </c>
      <c r="B700" s="21"/>
      <c r="C700" s="9" t="s">
        <v>10</v>
      </c>
      <c r="D700" s="10" t="s">
        <v>10</v>
      </c>
      <c r="E700" s="6" t="e">
        <f t="shared" ref="E700" si="1208">D700/4</f>
        <v>#VALUE!</v>
      </c>
      <c r="F700" s="11"/>
      <c r="G700" s="7" t="e">
        <f t="shared" ref="G700" si="1209">E700*0.25</f>
        <v>#VALUE!</v>
      </c>
      <c r="H700" s="7" t="e">
        <f t="shared" ref="H700" si="1210">E700*0.5</f>
        <v>#VALUE!</v>
      </c>
    </row>
    <row r="701" spans="1:8" hidden="1" x14ac:dyDescent="0.35">
      <c r="A701" s="8"/>
      <c r="B701" s="21"/>
      <c r="C701" s="9" t="s">
        <v>10</v>
      </c>
      <c r="D701" s="10" t="s">
        <v>10</v>
      </c>
      <c r="E701" s="11"/>
      <c r="F701" s="11"/>
      <c r="G701" s="12" t="e">
        <f t="shared" ref="G701" si="1211">H700+1</f>
        <v>#VALUE!</v>
      </c>
      <c r="H701" s="12" t="e">
        <f t="shared" ref="H701" si="1212">E700*1.5</f>
        <v>#VALUE!</v>
      </c>
    </row>
    <row r="702" spans="1:8" hidden="1" x14ac:dyDescent="0.35">
      <c r="A702" s="8"/>
      <c r="B702" s="21"/>
      <c r="C702" s="9" t="s">
        <v>10</v>
      </c>
      <c r="D702" s="10" t="s">
        <v>10</v>
      </c>
      <c r="E702" s="11"/>
      <c r="F702" s="11"/>
      <c r="G702" s="12" t="e">
        <f t="shared" ref="G702" si="1213">H701*1</f>
        <v>#VALUE!</v>
      </c>
      <c r="H702" s="12" t="e">
        <f t="shared" ref="H702" si="1214">E700*2.5</f>
        <v>#VALUE!</v>
      </c>
    </row>
    <row r="703" spans="1:8" hidden="1" x14ac:dyDescent="0.35">
      <c r="A703" s="8"/>
      <c r="B703" s="21"/>
      <c r="C703" s="9" t="s">
        <v>10</v>
      </c>
      <c r="D703" s="10" t="s">
        <v>10</v>
      </c>
      <c r="E703" s="11"/>
      <c r="F703" s="11"/>
      <c r="G703" s="12" t="e">
        <f t="shared" ref="G703" si="1215">H702+1</f>
        <v>#VALUE!</v>
      </c>
      <c r="H703" s="12" t="e">
        <f t="shared" ref="H703" si="1216">E700*6</f>
        <v>#VALUE!</v>
      </c>
    </row>
    <row r="704" spans="1:8" hidden="1" x14ac:dyDescent="0.35">
      <c r="A704" s="13"/>
      <c r="B704" s="22"/>
      <c r="C704" s="14"/>
      <c r="D704" s="15"/>
      <c r="E704" s="16"/>
      <c r="F704" s="16"/>
      <c r="G704" s="17"/>
      <c r="H704" s="17"/>
    </row>
    <row r="705" spans="1:8" hidden="1" x14ac:dyDescent="0.35">
      <c r="A705" s="8" t="s">
        <v>150</v>
      </c>
      <c r="B705" s="21"/>
      <c r="C705" s="9" t="s">
        <v>10</v>
      </c>
      <c r="D705" s="10" t="s">
        <v>10</v>
      </c>
      <c r="E705" s="6" t="e">
        <f t="shared" ref="E705" si="1217">D705/4</f>
        <v>#VALUE!</v>
      </c>
      <c r="F705" s="11"/>
      <c r="G705" s="7" t="e">
        <f t="shared" ref="G705" si="1218">E705*0.25</f>
        <v>#VALUE!</v>
      </c>
      <c r="H705" s="7" t="e">
        <f t="shared" ref="H705" si="1219">E705*0.5</f>
        <v>#VALUE!</v>
      </c>
    </row>
    <row r="706" spans="1:8" hidden="1" x14ac:dyDescent="0.35">
      <c r="A706" s="8"/>
      <c r="B706" s="21"/>
      <c r="C706" s="9" t="s">
        <v>10</v>
      </c>
      <c r="D706" s="10" t="s">
        <v>10</v>
      </c>
      <c r="E706" s="11"/>
      <c r="F706" s="11"/>
      <c r="G706" s="12" t="e">
        <f t="shared" ref="G706" si="1220">H705+1</f>
        <v>#VALUE!</v>
      </c>
      <c r="H706" s="12" t="e">
        <f t="shared" ref="H706" si="1221">E705*1.5</f>
        <v>#VALUE!</v>
      </c>
    </row>
    <row r="707" spans="1:8" hidden="1" x14ac:dyDescent="0.35">
      <c r="A707" s="8"/>
      <c r="B707" s="21"/>
      <c r="C707" s="9" t="s">
        <v>10</v>
      </c>
      <c r="D707" s="10" t="s">
        <v>10</v>
      </c>
      <c r="E707" s="11"/>
      <c r="F707" s="11"/>
      <c r="G707" s="12" t="e">
        <f t="shared" ref="G707" si="1222">H706*1</f>
        <v>#VALUE!</v>
      </c>
      <c r="H707" s="12" t="e">
        <f t="shared" ref="H707" si="1223">E705*2.5</f>
        <v>#VALUE!</v>
      </c>
    </row>
    <row r="708" spans="1:8" hidden="1" x14ac:dyDescent="0.35">
      <c r="A708" s="8"/>
      <c r="B708" s="21"/>
      <c r="C708" s="9" t="s">
        <v>10</v>
      </c>
      <c r="D708" s="10" t="s">
        <v>10</v>
      </c>
      <c r="E708" s="11"/>
      <c r="F708" s="11"/>
      <c r="G708" s="12" t="e">
        <f t="shared" ref="G708" si="1224">H707+1</f>
        <v>#VALUE!</v>
      </c>
      <c r="H708" s="12" t="e">
        <f t="shared" ref="H708" si="1225">E705*6</f>
        <v>#VALUE!</v>
      </c>
    </row>
    <row r="709" spans="1:8" hidden="1" x14ac:dyDescent="0.35">
      <c r="A709" s="13"/>
      <c r="B709" s="22"/>
      <c r="C709" s="14"/>
      <c r="D709" s="15"/>
      <c r="E709" s="16"/>
      <c r="F709" s="16"/>
      <c r="G709" s="17"/>
      <c r="H709" s="17"/>
    </row>
    <row r="710" spans="1:8" hidden="1" x14ac:dyDescent="0.35">
      <c r="A710" s="8" t="s">
        <v>151</v>
      </c>
      <c r="B710" s="21"/>
      <c r="C710" s="9" t="s">
        <v>10</v>
      </c>
      <c r="D710" s="10" t="s">
        <v>10</v>
      </c>
      <c r="E710" s="6" t="e">
        <f t="shared" ref="E710" si="1226">D710/4</f>
        <v>#VALUE!</v>
      </c>
      <c r="F710" s="11"/>
      <c r="G710" s="7" t="e">
        <f t="shared" ref="G710" si="1227">E710*0.25</f>
        <v>#VALUE!</v>
      </c>
      <c r="H710" s="7" t="e">
        <f t="shared" ref="H710" si="1228">E710*0.5</f>
        <v>#VALUE!</v>
      </c>
    </row>
    <row r="711" spans="1:8" hidden="1" x14ac:dyDescent="0.35">
      <c r="A711" s="8"/>
      <c r="B711" s="21"/>
      <c r="C711" s="9" t="s">
        <v>10</v>
      </c>
      <c r="D711" s="10" t="s">
        <v>10</v>
      </c>
      <c r="E711" s="11"/>
      <c r="F711" s="11"/>
      <c r="G711" s="12" t="e">
        <f t="shared" ref="G711" si="1229">H710+1</f>
        <v>#VALUE!</v>
      </c>
      <c r="H711" s="12" t="e">
        <f t="shared" ref="H711" si="1230">E710*1.5</f>
        <v>#VALUE!</v>
      </c>
    </row>
    <row r="712" spans="1:8" hidden="1" x14ac:dyDescent="0.35">
      <c r="A712" s="8"/>
      <c r="B712" s="21"/>
      <c r="C712" s="9" t="s">
        <v>10</v>
      </c>
      <c r="D712" s="10" t="s">
        <v>10</v>
      </c>
      <c r="E712" s="11"/>
      <c r="F712" s="11"/>
      <c r="G712" s="12" t="e">
        <f t="shared" ref="G712" si="1231">H711*1</f>
        <v>#VALUE!</v>
      </c>
      <c r="H712" s="12" t="e">
        <f t="shared" ref="H712" si="1232">E710*2.5</f>
        <v>#VALUE!</v>
      </c>
    </row>
    <row r="713" spans="1:8" hidden="1" x14ac:dyDescent="0.35">
      <c r="A713" s="8"/>
      <c r="B713" s="21"/>
      <c r="C713" s="9" t="s">
        <v>10</v>
      </c>
      <c r="D713" s="10" t="s">
        <v>10</v>
      </c>
      <c r="E713" s="11"/>
      <c r="F713" s="11"/>
      <c r="G713" s="12" t="e">
        <f t="shared" ref="G713" si="1233">H712+1</f>
        <v>#VALUE!</v>
      </c>
      <c r="H713" s="12" t="e">
        <f t="shared" ref="H713" si="1234">E710*6</f>
        <v>#VALUE!</v>
      </c>
    </row>
    <row r="714" spans="1:8" hidden="1" x14ac:dyDescent="0.35">
      <c r="A714" s="13"/>
      <c r="B714" s="22"/>
      <c r="C714" s="14"/>
      <c r="D714" s="15"/>
      <c r="E714" s="16"/>
      <c r="F714" s="16"/>
      <c r="G714" s="17"/>
      <c r="H714" s="17"/>
    </row>
    <row r="715" spans="1:8" hidden="1" x14ac:dyDescent="0.35">
      <c r="A715" s="8" t="s">
        <v>152</v>
      </c>
      <c r="B715" s="21"/>
      <c r="C715" s="9" t="s">
        <v>10</v>
      </c>
      <c r="D715" s="10" t="s">
        <v>10</v>
      </c>
      <c r="E715" s="6" t="e">
        <f t="shared" ref="E715" si="1235">D715/4</f>
        <v>#VALUE!</v>
      </c>
      <c r="F715" s="11"/>
      <c r="G715" s="7" t="e">
        <f t="shared" ref="G715" si="1236">E715*0.25</f>
        <v>#VALUE!</v>
      </c>
      <c r="H715" s="7" t="e">
        <f t="shared" ref="H715" si="1237">E715*0.5</f>
        <v>#VALUE!</v>
      </c>
    </row>
    <row r="716" spans="1:8" hidden="1" x14ac:dyDescent="0.35">
      <c r="A716" s="8"/>
      <c r="B716" s="21"/>
      <c r="C716" s="9" t="s">
        <v>10</v>
      </c>
      <c r="D716" s="10" t="s">
        <v>10</v>
      </c>
      <c r="E716" s="11"/>
      <c r="F716" s="11"/>
      <c r="G716" s="12" t="e">
        <f t="shared" ref="G716" si="1238">H715+1</f>
        <v>#VALUE!</v>
      </c>
      <c r="H716" s="12" t="e">
        <f t="shared" ref="H716" si="1239">E715*1.5</f>
        <v>#VALUE!</v>
      </c>
    </row>
    <row r="717" spans="1:8" hidden="1" x14ac:dyDescent="0.35">
      <c r="A717" s="8"/>
      <c r="B717" s="21"/>
      <c r="C717" s="9" t="s">
        <v>10</v>
      </c>
      <c r="D717" s="10" t="s">
        <v>10</v>
      </c>
      <c r="E717" s="11"/>
      <c r="F717" s="11"/>
      <c r="G717" s="12" t="e">
        <f t="shared" ref="G717" si="1240">H716*1</f>
        <v>#VALUE!</v>
      </c>
      <c r="H717" s="12" t="e">
        <f t="shared" ref="H717" si="1241">E715*2.5</f>
        <v>#VALUE!</v>
      </c>
    </row>
    <row r="718" spans="1:8" hidden="1" x14ac:dyDescent="0.35">
      <c r="A718" s="8"/>
      <c r="B718" s="21"/>
      <c r="C718" s="9" t="s">
        <v>10</v>
      </c>
      <c r="D718" s="10" t="s">
        <v>10</v>
      </c>
      <c r="E718" s="11"/>
      <c r="F718" s="11"/>
      <c r="G718" s="12" t="e">
        <f t="shared" ref="G718" si="1242">H717+1</f>
        <v>#VALUE!</v>
      </c>
      <c r="H718" s="12" t="e">
        <f t="shared" ref="H718" si="1243">E715*6</f>
        <v>#VALUE!</v>
      </c>
    </row>
    <row r="719" spans="1:8" hidden="1" x14ac:dyDescent="0.35">
      <c r="A719" s="13"/>
      <c r="B719" s="22"/>
      <c r="C719" s="14"/>
      <c r="D719" s="15"/>
      <c r="E719" s="16"/>
      <c r="F719" s="16"/>
      <c r="G719" s="17"/>
      <c r="H719" s="17"/>
    </row>
    <row r="720" spans="1:8" hidden="1" x14ac:dyDescent="0.35">
      <c r="A720" s="8" t="s">
        <v>153</v>
      </c>
      <c r="B720" s="21"/>
      <c r="C720" s="9" t="s">
        <v>10</v>
      </c>
      <c r="D720" s="10" t="s">
        <v>10</v>
      </c>
      <c r="E720" s="6" t="e">
        <f t="shared" ref="E720" si="1244">D720/4</f>
        <v>#VALUE!</v>
      </c>
      <c r="F720" s="11"/>
      <c r="G720" s="7" t="e">
        <f t="shared" ref="G720" si="1245">E720*0.25</f>
        <v>#VALUE!</v>
      </c>
      <c r="H720" s="7" t="e">
        <f t="shared" ref="H720" si="1246">E720*0.5</f>
        <v>#VALUE!</v>
      </c>
    </row>
    <row r="721" spans="1:8" hidden="1" x14ac:dyDescent="0.35">
      <c r="A721" s="8"/>
      <c r="B721" s="21"/>
      <c r="C721" s="9" t="s">
        <v>10</v>
      </c>
      <c r="D721" s="10" t="s">
        <v>10</v>
      </c>
      <c r="E721" s="11"/>
      <c r="F721" s="11"/>
      <c r="G721" s="12" t="e">
        <f t="shared" ref="G721" si="1247">H720+1</f>
        <v>#VALUE!</v>
      </c>
      <c r="H721" s="12" t="e">
        <f t="shared" ref="H721" si="1248">E720*1.5</f>
        <v>#VALUE!</v>
      </c>
    </row>
    <row r="722" spans="1:8" hidden="1" x14ac:dyDescent="0.35">
      <c r="A722" s="8"/>
      <c r="B722" s="21"/>
      <c r="C722" s="9" t="s">
        <v>10</v>
      </c>
      <c r="D722" s="10" t="s">
        <v>10</v>
      </c>
      <c r="E722" s="11"/>
      <c r="F722" s="11"/>
      <c r="G722" s="12" t="e">
        <f t="shared" ref="G722" si="1249">H721*1</f>
        <v>#VALUE!</v>
      </c>
      <c r="H722" s="12" t="e">
        <f t="shared" ref="H722" si="1250">E720*2.5</f>
        <v>#VALUE!</v>
      </c>
    </row>
    <row r="723" spans="1:8" hidden="1" x14ac:dyDescent="0.35">
      <c r="A723" s="8"/>
      <c r="B723" s="21"/>
      <c r="C723" s="9" t="s">
        <v>10</v>
      </c>
      <c r="D723" s="10" t="s">
        <v>10</v>
      </c>
      <c r="E723" s="11"/>
      <c r="F723" s="11"/>
      <c r="G723" s="12" t="e">
        <f t="shared" ref="G723" si="1251">H722+1</f>
        <v>#VALUE!</v>
      </c>
      <c r="H723" s="12" t="e">
        <f t="shared" ref="H723" si="1252">E720*6</f>
        <v>#VALUE!</v>
      </c>
    </row>
    <row r="724" spans="1:8" hidden="1" x14ac:dyDescent="0.35">
      <c r="A724" s="13"/>
      <c r="B724" s="22"/>
      <c r="C724" s="14"/>
      <c r="D724" s="15"/>
      <c r="E724" s="16"/>
      <c r="F724" s="16"/>
      <c r="G724" s="17"/>
      <c r="H724" s="17"/>
    </row>
    <row r="725" spans="1:8" hidden="1" x14ac:dyDescent="0.35">
      <c r="A725" s="8" t="s">
        <v>154</v>
      </c>
      <c r="B725" s="21"/>
      <c r="C725" s="9" t="s">
        <v>10</v>
      </c>
      <c r="D725" s="10" t="s">
        <v>10</v>
      </c>
      <c r="E725" s="6" t="e">
        <f t="shared" ref="E725" si="1253">D725/4</f>
        <v>#VALUE!</v>
      </c>
      <c r="F725" s="11"/>
      <c r="G725" s="7" t="e">
        <f t="shared" ref="G725" si="1254">E725*0.25</f>
        <v>#VALUE!</v>
      </c>
      <c r="H725" s="7" t="e">
        <f t="shared" ref="H725" si="1255">E725*0.5</f>
        <v>#VALUE!</v>
      </c>
    </row>
    <row r="726" spans="1:8" hidden="1" x14ac:dyDescent="0.35">
      <c r="A726" s="8"/>
      <c r="B726" s="21"/>
      <c r="C726" s="9" t="s">
        <v>10</v>
      </c>
      <c r="D726" s="10" t="s">
        <v>10</v>
      </c>
      <c r="E726" s="11"/>
      <c r="F726" s="11"/>
      <c r="G726" s="12" t="e">
        <f t="shared" ref="G726" si="1256">H725+1</f>
        <v>#VALUE!</v>
      </c>
      <c r="H726" s="12" t="e">
        <f t="shared" ref="H726" si="1257">E725*1.5</f>
        <v>#VALUE!</v>
      </c>
    </row>
    <row r="727" spans="1:8" hidden="1" x14ac:dyDescent="0.35">
      <c r="A727" s="8"/>
      <c r="B727" s="21"/>
      <c r="C727" s="9" t="s">
        <v>10</v>
      </c>
      <c r="D727" s="10" t="s">
        <v>10</v>
      </c>
      <c r="E727" s="11"/>
      <c r="F727" s="11"/>
      <c r="G727" s="12" t="e">
        <f t="shared" ref="G727" si="1258">H726*1</f>
        <v>#VALUE!</v>
      </c>
      <c r="H727" s="12" t="e">
        <f t="shared" ref="H727" si="1259">E725*2.5</f>
        <v>#VALUE!</v>
      </c>
    </row>
    <row r="728" spans="1:8" hidden="1" x14ac:dyDescent="0.35">
      <c r="A728" s="8"/>
      <c r="B728" s="21"/>
      <c r="C728" s="9" t="s">
        <v>10</v>
      </c>
      <c r="D728" s="10" t="s">
        <v>10</v>
      </c>
      <c r="E728" s="11"/>
      <c r="F728" s="11"/>
      <c r="G728" s="12" t="e">
        <f t="shared" ref="G728" si="1260">H727+1</f>
        <v>#VALUE!</v>
      </c>
      <c r="H728" s="12" t="e">
        <f t="shared" ref="H728" si="1261">E725*6</f>
        <v>#VALUE!</v>
      </c>
    </row>
    <row r="729" spans="1:8" hidden="1" x14ac:dyDescent="0.35">
      <c r="A729" s="13"/>
      <c r="B729" s="22"/>
      <c r="C729" s="14"/>
      <c r="D729" s="15"/>
      <c r="E729" s="16"/>
      <c r="F729" s="16"/>
      <c r="G729" s="17"/>
      <c r="H729" s="17"/>
    </row>
    <row r="730" spans="1:8" hidden="1" x14ac:dyDescent="0.35">
      <c r="A730" s="8" t="s">
        <v>155</v>
      </c>
      <c r="B730" s="21"/>
      <c r="C730" s="9" t="s">
        <v>10</v>
      </c>
      <c r="D730" s="10" t="s">
        <v>10</v>
      </c>
      <c r="E730" s="6" t="e">
        <f t="shared" ref="E730" si="1262">D730/4</f>
        <v>#VALUE!</v>
      </c>
      <c r="F730" s="11"/>
      <c r="G730" s="7" t="e">
        <f t="shared" ref="G730" si="1263">E730*0.25</f>
        <v>#VALUE!</v>
      </c>
      <c r="H730" s="7" t="e">
        <f t="shared" ref="H730" si="1264">E730*0.5</f>
        <v>#VALUE!</v>
      </c>
    </row>
    <row r="731" spans="1:8" hidden="1" x14ac:dyDescent="0.35">
      <c r="A731" s="8"/>
      <c r="B731" s="21"/>
      <c r="C731" s="9" t="s">
        <v>10</v>
      </c>
      <c r="D731" s="10" t="s">
        <v>10</v>
      </c>
      <c r="E731" s="11"/>
      <c r="F731" s="11"/>
      <c r="G731" s="12" t="e">
        <f t="shared" ref="G731" si="1265">H730+1</f>
        <v>#VALUE!</v>
      </c>
      <c r="H731" s="12" t="e">
        <f t="shared" ref="H731" si="1266">E730*1.5</f>
        <v>#VALUE!</v>
      </c>
    </row>
    <row r="732" spans="1:8" hidden="1" x14ac:dyDescent="0.35">
      <c r="A732" s="8"/>
      <c r="B732" s="21"/>
      <c r="C732" s="9" t="s">
        <v>10</v>
      </c>
      <c r="D732" s="10" t="s">
        <v>10</v>
      </c>
      <c r="E732" s="11"/>
      <c r="F732" s="11"/>
      <c r="G732" s="12" t="e">
        <f t="shared" ref="G732" si="1267">H731*1</f>
        <v>#VALUE!</v>
      </c>
      <c r="H732" s="12" t="e">
        <f t="shared" ref="H732" si="1268">E730*2.5</f>
        <v>#VALUE!</v>
      </c>
    </row>
    <row r="733" spans="1:8" hidden="1" x14ac:dyDescent="0.35">
      <c r="A733" s="8"/>
      <c r="B733" s="21"/>
      <c r="C733" s="9" t="s">
        <v>10</v>
      </c>
      <c r="D733" s="10" t="s">
        <v>10</v>
      </c>
      <c r="E733" s="11"/>
      <c r="F733" s="11"/>
      <c r="G733" s="12" t="e">
        <f t="shared" ref="G733" si="1269">H732+1</f>
        <v>#VALUE!</v>
      </c>
      <c r="H733" s="12" t="e">
        <f t="shared" ref="H733" si="1270">E730*6</f>
        <v>#VALUE!</v>
      </c>
    </row>
    <row r="734" spans="1:8" hidden="1" x14ac:dyDescent="0.35">
      <c r="A734" s="13"/>
      <c r="B734" s="22"/>
      <c r="C734" s="14"/>
      <c r="D734" s="15"/>
      <c r="E734" s="16"/>
      <c r="F734" s="16"/>
      <c r="G734" s="17"/>
      <c r="H734" s="17"/>
    </row>
    <row r="735" spans="1:8" hidden="1" x14ac:dyDescent="0.35">
      <c r="A735" s="8" t="s">
        <v>156</v>
      </c>
      <c r="B735" s="21"/>
      <c r="C735" s="9" t="s">
        <v>10</v>
      </c>
      <c r="D735" s="10" t="s">
        <v>10</v>
      </c>
      <c r="E735" s="6" t="e">
        <f t="shared" ref="E735" si="1271">D735/4</f>
        <v>#VALUE!</v>
      </c>
      <c r="F735" s="11"/>
      <c r="G735" s="7" t="e">
        <f t="shared" ref="G735" si="1272">E735*0.25</f>
        <v>#VALUE!</v>
      </c>
      <c r="H735" s="7" t="e">
        <f t="shared" ref="H735" si="1273">E735*0.5</f>
        <v>#VALUE!</v>
      </c>
    </row>
    <row r="736" spans="1:8" hidden="1" x14ac:dyDescent="0.35">
      <c r="A736" s="8"/>
      <c r="B736" s="21"/>
      <c r="C736" s="9" t="s">
        <v>10</v>
      </c>
      <c r="D736" s="10" t="s">
        <v>10</v>
      </c>
      <c r="E736" s="11"/>
      <c r="F736" s="11"/>
      <c r="G736" s="12" t="e">
        <f t="shared" ref="G736" si="1274">H735+1</f>
        <v>#VALUE!</v>
      </c>
      <c r="H736" s="12" t="e">
        <f t="shared" ref="H736" si="1275">E735*1.5</f>
        <v>#VALUE!</v>
      </c>
    </row>
    <row r="737" spans="1:8" hidden="1" x14ac:dyDescent="0.35">
      <c r="A737" s="8"/>
      <c r="B737" s="21"/>
      <c r="C737" s="9" t="s">
        <v>10</v>
      </c>
      <c r="D737" s="10" t="s">
        <v>10</v>
      </c>
      <c r="E737" s="11"/>
      <c r="F737" s="11"/>
      <c r="G737" s="12" t="e">
        <f t="shared" ref="G737" si="1276">H736*1</f>
        <v>#VALUE!</v>
      </c>
      <c r="H737" s="12" t="e">
        <f t="shared" ref="H737" si="1277">E735*2.5</f>
        <v>#VALUE!</v>
      </c>
    </row>
    <row r="738" spans="1:8" hidden="1" x14ac:dyDescent="0.35">
      <c r="A738" s="8"/>
      <c r="B738" s="21"/>
      <c r="C738" s="9" t="s">
        <v>10</v>
      </c>
      <c r="D738" s="10" t="s">
        <v>10</v>
      </c>
      <c r="E738" s="11"/>
      <c r="F738" s="11"/>
      <c r="G738" s="12" t="e">
        <f t="shared" ref="G738" si="1278">H737+1</f>
        <v>#VALUE!</v>
      </c>
      <c r="H738" s="12" t="e">
        <f t="shared" ref="H738" si="1279">E735*6</f>
        <v>#VALUE!</v>
      </c>
    </row>
    <row r="739" spans="1:8" hidden="1" x14ac:dyDescent="0.35">
      <c r="A739" s="13"/>
      <c r="B739" s="22"/>
      <c r="C739" s="14"/>
      <c r="D739" s="15"/>
      <c r="E739" s="16"/>
      <c r="F739" s="16"/>
      <c r="G739" s="17"/>
      <c r="H739" s="17"/>
    </row>
    <row r="740" spans="1:8" hidden="1" x14ac:dyDescent="0.35">
      <c r="A740" s="8" t="s">
        <v>157</v>
      </c>
      <c r="B740" s="21"/>
      <c r="C740" s="9" t="s">
        <v>10</v>
      </c>
      <c r="D740" s="10" t="s">
        <v>10</v>
      </c>
      <c r="E740" s="6" t="e">
        <f t="shared" ref="E740" si="1280">D740/4</f>
        <v>#VALUE!</v>
      </c>
      <c r="F740" s="11"/>
      <c r="G740" s="7" t="e">
        <f t="shared" ref="G740" si="1281">E740*0.25</f>
        <v>#VALUE!</v>
      </c>
      <c r="H740" s="7" t="e">
        <f t="shared" ref="H740" si="1282">E740*0.5</f>
        <v>#VALUE!</v>
      </c>
    </row>
    <row r="741" spans="1:8" hidden="1" x14ac:dyDescent="0.35">
      <c r="A741" s="8"/>
      <c r="B741" s="21"/>
      <c r="C741" s="9" t="s">
        <v>10</v>
      </c>
      <c r="D741" s="10" t="s">
        <v>10</v>
      </c>
      <c r="E741" s="11"/>
      <c r="F741" s="11"/>
      <c r="G741" s="12" t="e">
        <f t="shared" ref="G741" si="1283">H740+1</f>
        <v>#VALUE!</v>
      </c>
      <c r="H741" s="12" t="e">
        <f t="shared" ref="H741" si="1284">E740*1.5</f>
        <v>#VALUE!</v>
      </c>
    </row>
    <row r="742" spans="1:8" hidden="1" x14ac:dyDescent="0.35">
      <c r="A742" s="8"/>
      <c r="B742" s="21"/>
      <c r="C742" s="9" t="s">
        <v>10</v>
      </c>
      <c r="D742" s="10" t="s">
        <v>10</v>
      </c>
      <c r="E742" s="11"/>
      <c r="F742" s="11"/>
      <c r="G742" s="12" t="e">
        <f t="shared" ref="G742" si="1285">H741*1</f>
        <v>#VALUE!</v>
      </c>
      <c r="H742" s="12" t="e">
        <f t="shared" ref="H742" si="1286">E740*2.5</f>
        <v>#VALUE!</v>
      </c>
    </row>
    <row r="743" spans="1:8" hidden="1" x14ac:dyDescent="0.35">
      <c r="A743" s="8"/>
      <c r="B743" s="21"/>
      <c r="C743" s="9" t="s">
        <v>10</v>
      </c>
      <c r="D743" s="10" t="s">
        <v>10</v>
      </c>
      <c r="E743" s="11"/>
      <c r="F743" s="11"/>
      <c r="G743" s="12" t="e">
        <f t="shared" ref="G743" si="1287">H742+1</f>
        <v>#VALUE!</v>
      </c>
      <c r="H743" s="12" t="e">
        <f t="shared" ref="H743" si="1288">E740*6</f>
        <v>#VALUE!</v>
      </c>
    </row>
    <row r="744" spans="1:8" hidden="1" x14ac:dyDescent="0.35">
      <c r="A744" s="13"/>
      <c r="B744" s="22"/>
      <c r="C744" s="14"/>
      <c r="D744" s="15"/>
      <c r="E744" s="16"/>
      <c r="F744" s="16"/>
      <c r="G744" s="17"/>
      <c r="H744" s="17"/>
    </row>
    <row r="745" spans="1:8" hidden="1" x14ac:dyDescent="0.35">
      <c r="A745" s="8" t="s">
        <v>158</v>
      </c>
      <c r="B745" s="21"/>
      <c r="C745" s="9" t="s">
        <v>10</v>
      </c>
      <c r="D745" s="10" t="s">
        <v>10</v>
      </c>
      <c r="E745" s="6" t="e">
        <f t="shared" ref="E745" si="1289">D745/4</f>
        <v>#VALUE!</v>
      </c>
      <c r="F745" s="11"/>
      <c r="G745" s="7" t="e">
        <f t="shared" ref="G745" si="1290">E745*0.25</f>
        <v>#VALUE!</v>
      </c>
      <c r="H745" s="7" t="e">
        <f t="shared" ref="H745" si="1291">E745*0.5</f>
        <v>#VALUE!</v>
      </c>
    </row>
    <row r="746" spans="1:8" hidden="1" x14ac:dyDescent="0.35">
      <c r="A746" s="8"/>
      <c r="B746" s="21"/>
      <c r="C746" s="9" t="s">
        <v>10</v>
      </c>
      <c r="D746" s="10" t="s">
        <v>10</v>
      </c>
      <c r="E746" s="11"/>
      <c r="F746" s="11"/>
      <c r="G746" s="12" t="e">
        <f t="shared" ref="G746" si="1292">H745+1</f>
        <v>#VALUE!</v>
      </c>
      <c r="H746" s="12" t="e">
        <f t="shared" ref="H746" si="1293">E745*1.5</f>
        <v>#VALUE!</v>
      </c>
    </row>
    <row r="747" spans="1:8" hidden="1" x14ac:dyDescent="0.35">
      <c r="A747" s="8"/>
      <c r="B747" s="21"/>
      <c r="C747" s="9" t="s">
        <v>10</v>
      </c>
      <c r="D747" s="10" t="s">
        <v>10</v>
      </c>
      <c r="E747" s="11"/>
      <c r="F747" s="11"/>
      <c r="G747" s="12" t="e">
        <f t="shared" ref="G747" si="1294">H746*1</f>
        <v>#VALUE!</v>
      </c>
      <c r="H747" s="12" t="e">
        <f t="shared" ref="H747" si="1295">E745*2.5</f>
        <v>#VALUE!</v>
      </c>
    </row>
    <row r="748" spans="1:8" hidden="1" x14ac:dyDescent="0.35">
      <c r="A748" s="8"/>
      <c r="B748" s="21"/>
      <c r="C748" s="9" t="s">
        <v>10</v>
      </c>
      <c r="D748" s="10" t="s">
        <v>10</v>
      </c>
      <c r="E748" s="11"/>
      <c r="F748" s="11"/>
      <c r="G748" s="12" t="e">
        <f t="shared" ref="G748" si="1296">H747+1</f>
        <v>#VALUE!</v>
      </c>
      <c r="H748" s="12" t="e">
        <f t="shared" ref="H748" si="1297">E745*6</f>
        <v>#VALUE!</v>
      </c>
    </row>
    <row r="749" spans="1:8" hidden="1" x14ac:dyDescent="0.35">
      <c r="A749" s="13"/>
      <c r="B749" s="22"/>
      <c r="C749" s="14"/>
      <c r="D749" s="15"/>
      <c r="E749" s="16"/>
      <c r="F749" s="16"/>
      <c r="G749" s="17"/>
      <c r="H749" s="17"/>
    </row>
    <row r="750" spans="1:8" hidden="1" x14ac:dyDescent="0.35">
      <c r="A750" s="8" t="s">
        <v>159</v>
      </c>
      <c r="B750" s="21"/>
      <c r="C750" s="9" t="s">
        <v>10</v>
      </c>
      <c r="D750" s="10" t="s">
        <v>10</v>
      </c>
      <c r="E750" s="6" t="e">
        <f t="shared" ref="E750" si="1298">D750/4</f>
        <v>#VALUE!</v>
      </c>
      <c r="F750" s="11"/>
      <c r="G750" s="7" t="e">
        <f t="shared" ref="G750" si="1299">E750*0.25</f>
        <v>#VALUE!</v>
      </c>
      <c r="H750" s="7" t="e">
        <f t="shared" ref="H750" si="1300">E750*0.5</f>
        <v>#VALUE!</v>
      </c>
    </row>
    <row r="751" spans="1:8" hidden="1" x14ac:dyDescent="0.35">
      <c r="A751" s="8"/>
      <c r="B751" s="21"/>
      <c r="C751" s="9" t="s">
        <v>10</v>
      </c>
      <c r="D751" s="10" t="s">
        <v>10</v>
      </c>
      <c r="E751" s="11"/>
      <c r="F751" s="11"/>
      <c r="G751" s="12" t="e">
        <f t="shared" ref="G751" si="1301">H750+1</f>
        <v>#VALUE!</v>
      </c>
      <c r="H751" s="12" t="e">
        <f t="shared" ref="H751" si="1302">E750*1.5</f>
        <v>#VALUE!</v>
      </c>
    </row>
    <row r="752" spans="1:8" hidden="1" x14ac:dyDescent="0.35">
      <c r="A752" s="8"/>
      <c r="B752" s="21"/>
      <c r="C752" s="9" t="s">
        <v>10</v>
      </c>
      <c r="D752" s="10" t="s">
        <v>10</v>
      </c>
      <c r="E752" s="11"/>
      <c r="F752" s="11"/>
      <c r="G752" s="12" t="e">
        <f t="shared" ref="G752" si="1303">H751*1</f>
        <v>#VALUE!</v>
      </c>
      <c r="H752" s="12" t="e">
        <f t="shared" ref="H752" si="1304">E750*2.5</f>
        <v>#VALUE!</v>
      </c>
    </row>
    <row r="753" spans="1:8" hidden="1" x14ac:dyDescent="0.35">
      <c r="A753" s="8"/>
      <c r="B753" s="21"/>
      <c r="C753" s="9" t="s">
        <v>10</v>
      </c>
      <c r="D753" s="10" t="s">
        <v>10</v>
      </c>
      <c r="E753" s="11"/>
      <c r="F753" s="11"/>
      <c r="G753" s="12" t="e">
        <f t="shared" ref="G753" si="1305">H752+1</f>
        <v>#VALUE!</v>
      </c>
      <c r="H753" s="12" t="e">
        <f t="shared" ref="H753" si="1306">E750*6</f>
        <v>#VALUE!</v>
      </c>
    </row>
    <row r="754" spans="1:8" hidden="1" x14ac:dyDescent="0.35">
      <c r="A754" s="13"/>
      <c r="B754" s="22"/>
      <c r="C754" s="14"/>
      <c r="D754" s="15"/>
      <c r="E754" s="16"/>
      <c r="F754" s="16"/>
      <c r="G754" s="17"/>
      <c r="H754" s="17"/>
    </row>
    <row r="755" spans="1:8" hidden="1" x14ac:dyDescent="0.35">
      <c r="A755" s="8" t="s">
        <v>160</v>
      </c>
      <c r="B755" s="21"/>
      <c r="C755" s="9" t="s">
        <v>10</v>
      </c>
      <c r="D755" s="10" t="s">
        <v>10</v>
      </c>
      <c r="E755" s="6" t="e">
        <f t="shared" ref="E755" si="1307">D755/4</f>
        <v>#VALUE!</v>
      </c>
      <c r="F755" s="11"/>
      <c r="G755" s="7" t="e">
        <f t="shared" ref="G755" si="1308">E755*0.25</f>
        <v>#VALUE!</v>
      </c>
      <c r="H755" s="7" t="e">
        <f t="shared" ref="H755" si="1309">E755*0.5</f>
        <v>#VALUE!</v>
      </c>
    </row>
    <row r="756" spans="1:8" hidden="1" x14ac:dyDescent="0.35">
      <c r="A756" s="8"/>
      <c r="B756" s="21"/>
      <c r="C756" s="9" t="s">
        <v>10</v>
      </c>
      <c r="D756" s="10" t="s">
        <v>10</v>
      </c>
      <c r="E756" s="11"/>
      <c r="F756" s="11"/>
      <c r="G756" s="12" t="e">
        <f t="shared" ref="G756" si="1310">H755+1</f>
        <v>#VALUE!</v>
      </c>
      <c r="H756" s="12" t="e">
        <f t="shared" ref="H756" si="1311">E755*1.5</f>
        <v>#VALUE!</v>
      </c>
    </row>
    <row r="757" spans="1:8" hidden="1" x14ac:dyDescent="0.35">
      <c r="A757" s="8"/>
      <c r="B757" s="21"/>
      <c r="C757" s="9" t="s">
        <v>10</v>
      </c>
      <c r="D757" s="10" t="s">
        <v>10</v>
      </c>
      <c r="E757" s="11"/>
      <c r="F757" s="11"/>
      <c r="G757" s="12" t="e">
        <f t="shared" ref="G757" si="1312">H756*1</f>
        <v>#VALUE!</v>
      </c>
      <c r="H757" s="12" t="e">
        <f t="shared" ref="H757" si="1313">E755*2.5</f>
        <v>#VALUE!</v>
      </c>
    </row>
    <row r="758" spans="1:8" hidden="1" x14ac:dyDescent="0.35">
      <c r="A758" s="8"/>
      <c r="B758" s="21"/>
      <c r="C758" s="9" t="s">
        <v>10</v>
      </c>
      <c r="D758" s="10" t="s">
        <v>10</v>
      </c>
      <c r="E758" s="11"/>
      <c r="F758" s="11"/>
      <c r="G758" s="12" t="e">
        <f t="shared" ref="G758" si="1314">H757+1</f>
        <v>#VALUE!</v>
      </c>
      <c r="H758" s="12" t="e">
        <f t="shared" ref="H758" si="1315">E755*6</f>
        <v>#VALUE!</v>
      </c>
    </row>
    <row r="759" spans="1:8" hidden="1" x14ac:dyDescent="0.35">
      <c r="A759" s="13"/>
      <c r="B759" s="22"/>
      <c r="C759" s="14"/>
      <c r="D759" s="15"/>
      <c r="E759" s="16"/>
      <c r="F759" s="16"/>
      <c r="G759" s="17"/>
      <c r="H759" s="17"/>
    </row>
    <row r="760" spans="1:8" hidden="1" x14ac:dyDescent="0.35">
      <c r="A760" s="8" t="s">
        <v>161</v>
      </c>
      <c r="B760" s="21"/>
      <c r="C760" s="9" t="s">
        <v>10</v>
      </c>
      <c r="D760" s="10" t="s">
        <v>10</v>
      </c>
      <c r="E760" s="6" t="e">
        <f t="shared" ref="E760" si="1316">D760/4</f>
        <v>#VALUE!</v>
      </c>
      <c r="F760" s="11"/>
      <c r="G760" s="7" t="e">
        <f t="shared" ref="G760" si="1317">E760*0.25</f>
        <v>#VALUE!</v>
      </c>
      <c r="H760" s="7" t="e">
        <f t="shared" ref="H760" si="1318">E760*0.5</f>
        <v>#VALUE!</v>
      </c>
    </row>
    <row r="761" spans="1:8" hidden="1" x14ac:dyDescent="0.35">
      <c r="A761" s="8"/>
      <c r="B761" s="21"/>
      <c r="C761" s="9" t="s">
        <v>10</v>
      </c>
      <c r="D761" s="10" t="s">
        <v>10</v>
      </c>
      <c r="E761" s="11"/>
      <c r="F761" s="11"/>
      <c r="G761" s="12" t="e">
        <f t="shared" ref="G761" si="1319">H760+1</f>
        <v>#VALUE!</v>
      </c>
      <c r="H761" s="12" t="e">
        <f t="shared" ref="H761" si="1320">E760*1.5</f>
        <v>#VALUE!</v>
      </c>
    </row>
    <row r="762" spans="1:8" hidden="1" x14ac:dyDescent="0.35">
      <c r="A762" s="8"/>
      <c r="B762" s="21"/>
      <c r="C762" s="9" t="s">
        <v>10</v>
      </c>
      <c r="D762" s="10" t="s">
        <v>10</v>
      </c>
      <c r="E762" s="11"/>
      <c r="F762" s="11"/>
      <c r="G762" s="12" t="e">
        <f t="shared" ref="G762" si="1321">H761*1</f>
        <v>#VALUE!</v>
      </c>
      <c r="H762" s="12" t="e">
        <f t="shared" ref="H762" si="1322">E760*2.5</f>
        <v>#VALUE!</v>
      </c>
    </row>
    <row r="763" spans="1:8" hidden="1" x14ac:dyDescent="0.35">
      <c r="A763" s="8"/>
      <c r="B763" s="21"/>
      <c r="C763" s="9" t="s">
        <v>10</v>
      </c>
      <c r="D763" s="10" t="s">
        <v>10</v>
      </c>
      <c r="E763" s="11"/>
      <c r="F763" s="11"/>
      <c r="G763" s="12" t="e">
        <f t="shared" ref="G763" si="1323">H762+1</f>
        <v>#VALUE!</v>
      </c>
      <c r="H763" s="12" t="e">
        <f t="shared" ref="H763" si="1324">E760*6</f>
        <v>#VALUE!</v>
      </c>
    </row>
    <row r="764" spans="1:8" hidden="1" x14ac:dyDescent="0.35">
      <c r="A764" s="13"/>
      <c r="B764" s="22"/>
      <c r="C764" s="14"/>
      <c r="D764" s="15"/>
      <c r="E764" s="16"/>
      <c r="F764" s="16"/>
      <c r="G764" s="17"/>
      <c r="H764" s="17"/>
    </row>
    <row r="765" spans="1:8" hidden="1" x14ac:dyDescent="0.35">
      <c r="A765" s="8" t="s">
        <v>162</v>
      </c>
      <c r="B765" s="21"/>
      <c r="C765" s="9" t="s">
        <v>10</v>
      </c>
      <c r="D765" s="10" t="s">
        <v>10</v>
      </c>
      <c r="E765" s="6" t="e">
        <f t="shared" ref="E765" si="1325">D765/4</f>
        <v>#VALUE!</v>
      </c>
      <c r="F765" s="11"/>
      <c r="G765" s="7" t="e">
        <f t="shared" ref="G765" si="1326">E765*0.25</f>
        <v>#VALUE!</v>
      </c>
      <c r="H765" s="7" t="e">
        <f t="shared" ref="H765" si="1327">E765*0.5</f>
        <v>#VALUE!</v>
      </c>
    </row>
    <row r="766" spans="1:8" hidden="1" x14ac:dyDescent="0.35">
      <c r="A766" s="8"/>
      <c r="B766" s="21"/>
      <c r="C766" s="9" t="s">
        <v>10</v>
      </c>
      <c r="D766" s="10" t="s">
        <v>10</v>
      </c>
      <c r="E766" s="11"/>
      <c r="F766" s="11"/>
      <c r="G766" s="12" t="e">
        <f t="shared" ref="G766" si="1328">H765+1</f>
        <v>#VALUE!</v>
      </c>
      <c r="H766" s="12" t="e">
        <f t="shared" ref="H766" si="1329">E765*1.5</f>
        <v>#VALUE!</v>
      </c>
    </row>
    <row r="767" spans="1:8" hidden="1" x14ac:dyDescent="0.35">
      <c r="A767" s="8"/>
      <c r="B767" s="21"/>
      <c r="C767" s="9" t="s">
        <v>10</v>
      </c>
      <c r="D767" s="10" t="s">
        <v>10</v>
      </c>
      <c r="E767" s="11"/>
      <c r="F767" s="11"/>
      <c r="G767" s="12" t="e">
        <f t="shared" ref="G767" si="1330">H766*1</f>
        <v>#VALUE!</v>
      </c>
      <c r="H767" s="12" t="e">
        <f t="shared" ref="H767" si="1331">E765*2.5</f>
        <v>#VALUE!</v>
      </c>
    </row>
    <row r="768" spans="1:8" hidden="1" x14ac:dyDescent="0.35">
      <c r="A768" s="8"/>
      <c r="B768" s="21"/>
      <c r="C768" s="9" t="s">
        <v>10</v>
      </c>
      <c r="D768" s="10" t="s">
        <v>10</v>
      </c>
      <c r="E768" s="11"/>
      <c r="F768" s="11"/>
      <c r="G768" s="12" t="e">
        <f t="shared" ref="G768" si="1332">H767+1</f>
        <v>#VALUE!</v>
      </c>
      <c r="H768" s="12" t="e">
        <f t="shared" ref="H768" si="1333">E765*6</f>
        <v>#VALUE!</v>
      </c>
    </row>
    <row r="769" spans="1:8" hidden="1" x14ac:dyDescent="0.35">
      <c r="A769" s="13"/>
      <c r="B769" s="22"/>
      <c r="C769" s="14"/>
      <c r="D769" s="15"/>
      <c r="E769" s="16"/>
      <c r="F769" s="16"/>
      <c r="G769" s="17"/>
      <c r="H769" s="17"/>
    </row>
    <row r="770" spans="1:8" hidden="1" x14ac:dyDescent="0.35">
      <c r="A770" s="8" t="s">
        <v>163</v>
      </c>
      <c r="B770" s="21"/>
      <c r="C770" s="9" t="s">
        <v>10</v>
      </c>
      <c r="D770" s="10" t="s">
        <v>10</v>
      </c>
      <c r="E770" s="6" t="e">
        <f t="shared" ref="E770" si="1334">D770/4</f>
        <v>#VALUE!</v>
      </c>
      <c r="F770" s="11"/>
      <c r="G770" s="7" t="e">
        <f t="shared" ref="G770" si="1335">E770*0.25</f>
        <v>#VALUE!</v>
      </c>
      <c r="H770" s="7" t="e">
        <f t="shared" ref="H770" si="1336">E770*0.5</f>
        <v>#VALUE!</v>
      </c>
    </row>
    <row r="771" spans="1:8" hidden="1" x14ac:dyDescent="0.35">
      <c r="A771" s="8"/>
      <c r="B771" s="21"/>
      <c r="C771" s="9" t="s">
        <v>10</v>
      </c>
      <c r="D771" s="10" t="s">
        <v>10</v>
      </c>
      <c r="E771" s="11"/>
      <c r="F771" s="11"/>
      <c r="G771" s="12" t="e">
        <f t="shared" ref="G771" si="1337">H770+1</f>
        <v>#VALUE!</v>
      </c>
      <c r="H771" s="12" t="e">
        <f t="shared" ref="H771" si="1338">E770*1.5</f>
        <v>#VALUE!</v>
      </c>
    </row>
    <row r="772" spans="1:8" hidden="1" x14ac:dyDescent="0.35">
      <c r="A772" s="8"/>
      <c r="B772" s="21"/>
      <c r="C772" s="9" t="s">
        <v>10</v>
      </c>
      <c r="D772" s="10" t="s">
        <v>10</v>
      </c>
      <c r="E772" s="11"/>
      <c r="F772" s="11"/>
      <c r="G772" s="12" t="e">
        <f t="shared" ref="G772" si="1339">H771*1</f>
        <v>#VALUE!</v>
      </c>
      <c r="H772" s="12" t="e">
        <f t="shared" ref="H772" si="1340">E770*2.5</f>
        <v>#VALUE!</v>
      </c>
    </row>
    <row r="773" spans="1:8" hidden="1" x14ac:dyDescent="0.35">
      <c r="A773" s="8"/>
      <c r="B773" s="21"/>
      <c r="C773" s="9" t="s">
        <v>10</v>
      </c>
      <c r="D773" s="10" t="s">
        <v>10</v>
      </c>
      <c r="E773" s="11"/>
      <c r="F773" s="11"/>
      <c r="G773" s="12" t="e">
        <f t="shared" ref="G773" si="1341">H772+1</f>
        <v>#VALUE!</v>
      </c>
      <c r="H773" s="12" t="e">
        <f t="shared" ref="H773" si="1342">E770*6</f>
        <v>#VALUE!</v>
      </c>
    </row>
    <row r="774" spans="1:8" hidden="1" x14ac:dyDescent="0.35">
      <c r="A774" s="13"/>
      <c r="B774" s="22"/>
      <c r="C774" s="14"/>
      <c r="D774" s="15"/>
      <c r="E774" s="16"/>
      <c r="F774" s="16"/>
      <c r="G774" s="17"/>
      <c r="H774" s="17"/>
    </row>
    <row r="775" spans="1:8" hidden="1" x14ac:dyDescent="0.35">
      <c r="A775" s="8" t="s">
        <v>164</v>
      </c>
      <c r="B775" s="21"/>
      <c r="C775" s="9" t="s">
        <v>10</v>
      </c>
      <c r="D775" s="10" t="s">
        <v>10</v>
      </c>
      <c r="E775" s="6" t="e">
        <f t="shared" ref="E775" si="1343">D775/4</f>
        <v>#VALUE!</v>
      </c>
      <c r="F775" s="11"/>
      <c r="G775" s="7" t="e">
        <f t="shared" ref="G775" si="1344">E775*0.25</f>
        <v>#VALUE!</v>
      </c>
      <c r="H775" s="7" t="e">
        <f t="shared" ref="H775" si="1345">E775*0.5</f>
        <v>#VALUE!</v>
      </c>
    </row>
    <row r="776" spans="1:8" hidden="1" x14ac:dyDescent="0.35">
      <c r="A776" s="18"/>
      <c r="B776" s="23"/>
      <c r="C776" s="9" t="s">
        <v>10</v>
      </c>
      <c r="D776" s="10" t="s">
        <v>10</v>
      </c>
      <c r="E776" s="11"/>
      <c r="F776" s="19"/>
      <c r="G776" s="12" t="e">
        <f t="shared" ref="G776" si="1346">H775+1</f>
        <v>#VALUE!</v>
      </c>
      <c r="H776" s="12" t="e">
        <f t="shared" ref="H776" si="1347">E775*1.5</f>
        <v>#VALUE!</v>
      </c>
    </row>
    <row r="777" spans="1:8" hidden="1" x14ac:dyDescent="0.35">
      <c r="A777" s="18"/>
      <c r="B777" s="23"/>
      <c r="C777" s="9" t="s">
        <v>10</v>
      </c>
      <c r="D777" s="10" t="s">
        <v>10</v>
      </c>
      <c r="E777" s="11"/>
      <c r="F777" s="19"/>
      <c r="G777" s="12" t="e">
        <f t="shared" ref="G777" si="1348">H776*1</f>
        <v>#VALUE!</v>
      </c>
      <c r="H777" s="12" t="e">
        <f t="shared" ref="H777" si="1349">E775*2.5</f>
        <v>#VALUE!</v>
      </c>
    </row>
    <row r="778" spans="1:8" hidden="1" x14ac:dyDescent="0.35">
      <c r="A778" s="18"/>
      <c r="B778" s="23"/>
      <c r="C778" s="9" t="s">
        <v>10</v>
      </c>
      <c r="D778" s="10" t="s">
        <v>10</v>
      </c>
      <c r="E778" s="11"/>
      <c r="F778" s="19"/>
      <c r="G778" s="12" t="e">
        <f t="shared" ref="G778" si="1350">H777+1</f>
        <v>#VALUE!</v>
      </c>
      <c r="H778" s="12" t="e">
        <f t="shared" ref="H778" si="1351">E775*6</f>
        <v>#VALUE!</v>
      </c>
    </row>
    <row r="779" spans="1:8" hidden="1" x14ac:dyDescent="0.35">
      <c r="A779" s="13"/>
      <c r="B779" s="22"/>
      <c r="C779" s="14"/>
      <c r="D779" s="15"/>
      <c r="E779" s="16"/>
      <c r="F779" s="16"/>
      <c r="G779" s="17"/>
      <c r="H779" s="17"/>
    </row>
  </sheetData>
  <mergeCells count="1"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Qty. Ranges</vt:lpstr>
      <vt:lpstr>Sheet2</vt:lpstr>
      <vt:lpstr>Sheet3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Archibald, Lori A DLA CIV LAND AND MARITIME</dc:creator>
  <cp:lastModifiedBy>Schaff, Sarah T CIV DLA WEAPONS SUPPORT (USA)</cp:lastModifiedBy>
  <dcterms:created xsi:type="dcterms:W3CDTF">2011-10-31T16:38:24Z</dcterms:created>
  <dcterms:modified xsi:type="dcterms:W3CDTF">2026-02-24T22:25:50Z</dcterms:modified>
</cp:coreProperties>
</file>