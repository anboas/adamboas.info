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flankspeed-my.sharepoint-mil.us/personal/sarah_n_celestin_civ_us_navy_mil/Documents/NAVSUP_FLCN_C200_eFiles - SC-NLNRFK048055/Active/COTF DIV 80/"/>
    </mc:Choice>
  </mc:AlternateContent>
  <xr:revisionPtr revIDLastSave="1" documentId="8_{5656C49D-2DF5-4BB2-A7BA-B5DED741CD13}" xr6:coauthVersionLast="47" xr6:coauthVersionMax="47" xr10:uidLastSave="{47DAFD94-1467-4F0F-B04A-07FB01C8C6E6}"/>
  <bookViews>
    <workbookView xWindow="-108" yWindow="-108" windowWidth="23256" windowHeight="12456" xr2:uid="{00000000-000D-0000-FFFF-FFFF00000000}"/>
  </bookViews>
  <sheets>
    <sheet name="Attachment 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D11" i="1"/>
  <c r="D9" i="1"/>
  <c r="D86" i="1"/>
  <c r="D93" i="1"/>
  <c r="D92" i="1"/>
  <c r="D89" i="1"/>
  <c r="D88" i="1"/>
  <c r="D87" i="1"/>
  <c r="D85" i="1"/>
  <c r="D77" i="1"/>
  <c r="D76" i="1"/>
  <c r="D73" i="1"/>
  <c r="D72" i="1"/>
  <c r="D71" i="1"/>
  <c r="D70" i="1"/>
  <c r="D69" i="1"/>
  <c r="D61" i="1"/>
  <c r="D60" i="1"/>
  <c r="D57" i="1"/>
  <c r="D56" i="1"/>
  <c r="D55" i="1"/>
  <c r="D54" i="1"/>
  <c r="D53" i="1"/>
  <c r="D45" i="1"/>
  <c r="D42" i="1"/>
  <c r="D41" i="1"/>
  <c r="D40" i="1"/>
  <c r="D39" i="1"/>
  <c r="D38" i="1"/>
  <c r="D37" i="1"/>
  <c r="D28" i="1"/>
  <c r="D25" i="1"/>
  <c r="D24" i="1"/>
  <c r="D23" i="1"/>
  <c r="D22" i="1"/>
  <c r="D21" i="1"/>
  <c r="D20" i="1"/>
  <c r="D4" i="1"/>
  <c r="D5" i="1"/>
  <c r="D6" i="1"/>
  <c r="D7" i="1"/>
  <c r="D8" i="1"/>
  <c r="D10" i="1"/>
  <c r="D3" i="1"/>
  <c r="D12" i="1" l="1"/>
  <c r="D46" i="1"/>
  <c r="D50" i="1" s="1"/>
  <c r="D94" i="1"/>
  <c r="D98" i="1" s="1"/>
  <c r="D16" i="1"/>
  <c r="D29" i="1"/>
  <c r="D33" i="1" s="1"/>
  <c r="D78" i="1"/>
  <c r="D82" i="1" s="1"/>
  <c r="D62" i="1"/>
  <c r="D66" i="1" s="1"/>
  <c r="B100" i="1" l="1"/>
</calcChain>
</file>

<file path=xl/sharedStrings.xml><?xml version="1.0" encoding="utf-8"?>
<sst xmlns="http://schemas.openxmlformats.org/spreadsheetml/2006/main" count="116" uniqueCount="51">
  <si>
    <t>Program Manager</t>
  </si>
  <si>
    <t>Year 1 Hours</t>
  </si>
  <si>
    <t>Year 1 Rate</t>
  </si>
  <si>
    <t>Year 1 Extended Price</t>
  </si>
  <si>
    <t>Year 2 Hours</t>
  </si>
  <si>
    <t>Year 2 Rate</t>
  </si>
  <si>
    <t>Year 2 Extended Price</t>
  </si>
  <si>
    <t>FAR clause 52.217-8 (6 month) Categories</t>
  </si>
  <si>
    <t>52.217-8 Hours</t>
  </si>
  <si>
    <t>52.217-8 Rate</t>
  </si>
  <si>
    <t>52.217-8 Extended Price</t>
  </si>
  <si>
    <t>Year 3 Hours</t>
  </si>
  <si>
    <t>Year 3 Rate</t>
  </si>
  <si>
    <t>Year 3 Extended Price</t>
  </si>
  <si>
    <t>Year 4 Hours</t>
  </si>
  <si>
    <t>Year 4 Rate</t>
  </si>
  <si>
    <t>Year 4 Extended Price</t>
  </si>
  <si>
    <t>Total - 5 years + 52.217-8</t>
  </si>
  <si>
    <t>Year 1 Travel</t>
  </si>
  <si>
    <t>Year 1 Labor + Travel</t>
  </si>
  <si>
    <t>Unburdened</t>
  </si>
  <si>
    <t>Burdens (if any)</t>
  </si>
  <si>
    <t>Burdened Travel</t>
  </si>
  <si>
    <t>Year 1 Labor Categories</t>
  </si>
  <si>
    <t>Year 2 Labor Categories</t>
  </si>
  <si>
    <t>Year 3 Labor Categories</t>
  </si>
  <si>
    <t>Year 4 Labor Categories</t>
  </si>
  <si>
    <t>Year 2 Travel</t>
  </si>
  <si>
    <t>Year 2 Labor + Travel</t>
  </si>
  <si>
    <t>FAR clause 52.217-8 Travel</t>
  </si>
  <si>
    <t>FAR clause 52.217-8 Labor + Travel</t>
  </si>
  <si>
    <t>Year 4 Labor + Travel</t>
  </si>
  <si>
    <t>Year 4 Travel</t>
  </si>
  <si>
    <t>Year 3 Labor + Travel</t>
  </si>
  <si>
    <t>Year 3 Travel</t>
  </si>
  <si>
    <r>
      <rPr>
        <b/>
        <sz val="10"/>
        <color theme="1"/>
        <rFont val="Times New Roman"/>
        <family val="1"/>
      </rPr>
      <t>Instructions:</t>
    </r>
    <r>
      <rPr>
        <sz val="10"/>
        <color theme="1"/>
        <rFont val="Times New Roman"/>
        <family val="1"/>
      </rPr>
      <t xml:space="preserve">  Provide the fully burdened hourly rate for each labor category for each performance period.  Complete the extended price and the labor subtotals for each performance period  Apply burdens, if any, to the Government-provided travel amount and complete the fully burdened travel amount for each performance period.  Provide the sum of the labor and travel for each performance period.  Provide the total for the entire five-year and FAR clause 52.217-8 ordering period.</t>
    </r>
  </si>
  <si>
    <t>BASE Year Labor Categories</t>
  </si>
  <si>
    <t>BASE Year  Hours</t>
  </si>
  <si>
    <t>BASE Year  Rate</t>
  </si>
  <si>
    <t>BASE Year Extended Price</t>
  </si>
  <si>
    <t>BASE Year Labor Subtotal</t>
  </si>
  <si>
    <t>BASE Year Travel</t>
  </si>
  <si>
    <t>BASE Year Labor + Travel</t>
  </si>
  <si>
    <t>Senior Test and Evaluation Specialist</t>
  </si>
  <si>
    <t>Junior Test and Evaluation Specialist</t>
  </si>
  <si>
    <t>NSW Test Specialist</t>
  </si>
  <si>
    <t>CBRD Test Specialist</t>
  </si>
  <si>
    <t>EOD Test Specialist</t>
  </si>
  <si>
    <t>Info System T&amp;E Specialst</t>
  </si>
  <si>
    <t>Cyber Systems Test Engineer</t>
  </si>
  <si>
    <t>Small Boat/Craft Test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</si>
</sst>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8" x14ac:knownFonts="1">
    <font>
      <sz val="11"/>
      <color theme="1"/>
      <name val="Calibri"/>
      <family val="2"/>
      <scheme val="minor"/>
    </font>
    <font>
      <sz val="10"/>
      <color theme="1"/>
      <name val="Times New Roman"/>
      <family val="1"/>
    </font>
    <font>
      <sz val="11"/>
      <color theme="1"/>
      <name val="Calibri"/>
      <family val="2"/>
      <scheme val="minor"/>
    </font>
    <font>
      <sz val="11"/>
      <color theme="1"/>
      <name val="Times New Roman"/>
      <family val="1"/>
    </font>
    <font>
      <b/>
      <sz val="10"/>
      <color theme="1"/>
      <name val="Times New Roman"/>
      <family val="1"/>
    </font>
    <font>
      <b/>
      <sz val="10"/>
      <color theme="0"/>
      <name val="Times New Roman"/>
      <family val="1"/>
    </font>
    <font>
      <b/>
      <sz val="12"/>
      <color theme="0"/>
      <name val="Times New Roman"/>
      <family val="1"/>
    </font>
    <font>
      <b/>
      <sz val="12"/>
      <color theme="1"/>
      <name val="Times New Roman"/>
      <family val="1"/>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5" tint="0.39997558519241921"/>
        <bgColor indexed="64"/>
      </patternFill>
    </fill>
  </fills>
  <borders count="6">
    <border>
      <left/>
      <right/>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33">
    <xf numFmtId="0" fontId="0" fillId="0" borderId="0" xfId="0"/>
    <xf numFmtId="0" fontId="1" fillId="0" borderId="0" xfId="0" applyFont="1" applyBorder="1" applyAlignment="1">
      <alignment vertical="center"/>
    </xf>
    <xf numFmtId="0" fontId="1" fillId="0" borderId="0" xfId="0" applyFont="1" applyBorder="1" applyAlignment="1">
      <alignment horizontal="center" vertical="center"/>
    </xf>
    <xf numFmtId="0" fontId="4" fillId="0" borderId="0" xfId="0" applyFont="1" applyBorder="1" applyAlignment="1">
      <alignment vertical="center"/>
    </xf>
    <xf numFmtId="3" fontId="1" fillId="0" borderId="0" xfId="1" applyNumberFormat="1" applyFont="1" applyBorder="1" applyAlignment="1">
      <alignment horizontal="center" vertical="center"/>
    </xf>
    <xf numFmtId="0" fontId="4" fillId="0" borderId="0" xfId="0" applyFont="1" applyFill="1" applyBorder="1" applyAlignment="1">
      <alignment vertical="center"/>
    </xf>
    <xf numFmtId="3" fontId="4" fillId="0" borderId="0" xfId="1" applyNumberFormat="1" applyFont="1" applyFill="1" applyBorder="1" applyAlignment="1">
      <alignment horizontal="center" vertical="center"/>
    </xf>
    <xf numFmtId="164" fontId="4" fillId="0" borderId="0" xfId="0" applyNumberFormat="1" applyFont="1" applyFill="1" applyBorder="1" applyAlignment="1">
      <alignment horizontal="center" vertical="center"/>
    </xf>
    <xf numFmtId="0" fontId="1" fillId="0" borderId="0" xfId="0" applyFont="1" applyFill="1" applyBorder="1" applyAlignment="1">
      <alignment vertical="center"/>
    </xf>
    <xf numFmtId="49" fontId="3" fillId="0" borderId="4" xfId="0" applyNumberFormat="1" applyFont="1" applyBorder="1"/>
    <xf numFmtId="3" fontId="3" fillId="0" borderId="4" xfId="1" applyNumberFormat="1" applyFont="1" applyBorder="1" applyAlignment="1">
      <alignment horizontal="center" vertical="center"/>
    </xf>
    <xf numFmtId="44" fontId="3" fillId="0" borderId="4" xfId="2" applyFont="1" applyBorder="1" applyAlignment="1">
      <alignment horizontal="center" vertical="center"/>
    </xf>
    <xf numFmtId="44" fontId="1" fillId="0" borderId="4" xfId="2" applyFont="1" applyBorder="1" applyAlignment="1">
      <alignment horizontal="center" vertical="center"/>
    </xf>
    <xf numFmtId="3" fontId="1" fillId="0" borderId="4" xfId="1" applyNumberFormat="1" applyFont="1" applyBorder="1" applyAlignment="1">
      <alignment horizontal="center" vertical="center"/>
    </xf>
    <xf numFmtId="0" fontId="4" fillId="3" borderId="4" xfId="0" applyFont="1" applyFill="1" applyBorder="1" applyAlignment="1">
      <alignment vertical="center"/>
    </xf>
    <xf numFmtId="3" fontId="4" fillId="3" borderId="4" xfId="1" applyNumberFormat="1" applyFont="1" applyFill="1" applyBorder="1" applyAlignment="1">
      <alignment horizontal="center" vertical="center"/>
    </xf>
    <xf numFmtId="44" fontId="4" fillId="3" borderId="4" xfId="2" applyFont="1" applyFill="1" applyBorder="1" applyAlignment="1">
      <alignment horizontal="center" vertical="center"/>
    </xf>
    <xf numFmtId="0" fontId="4" fillId="0" borderId="4" xfId="0" applyFont="1" applyFill="1" applyBorder="1" applyAlignment="1">
      <alignment vertical="center"/>
    </xf>
    <xf numFmtId="3" fontId="4" fillId="0" borderId="4" xfId="1" applyNumberFormat="1" applyFont="1" applyFill="1" applyBorder="1" applyAlignment="1">
      <alignment horizontal="center" vertical="center"/>
    </xf>
    <xf numFmtId="164" fontId="4" fillId="0" borderId="4" xfId="0" applyNumberFormat="1" applyFont="1" applyFill="1" applyBorder="1" applyAlignment="1">
      <alignment horizontal="center" vertical="center"/>
    </xf>
    <xf numFmtId="0" fontId="5" fillId="2" borderId="4" xfId="0" applyFont="1" applyFill="1" applyBorder="1" applyAlignment="1">
      <alignment horizontal="center" vertical="center"/>
    </xf>
    <xf numFmtId="3" fontId="5" fillId="2" borderId="4" xfId="1"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0" fontId="6" fillId="2" borderId="1" xfId="0" applyFont="1" applyFill="1" applyBorder="1" applyAlignment="1">
      <alignment vertical="center"/>
    </xf>
    <xf numFmtId="0" fontId="7" fillId="0" borderId="0" xfId="0" applyFont="1" applyBorder="1" applyAlignment="1">
      <alignment vertical="center"/>
    </xf>
    <xf numFmtId="44" fontId="4" fillId="3" borderId="4" xfId="2" applyFont="1" applyFill="1" applyBorder="1" applyAlignment="1">
      <alignment vertical="center"/>
    </xf>
    <xf numFmtId="0" fontId="1" fillId="0" borderId="2" xfId="0" applyFont="1" applyBorder="1" applyAlignment="1">
      <alignment horizontal="left" vertical="center" wrapText="1"/>
    </xf>
    <xf numFmtId="0" fontId="4" fillId="0" borderId="4" xfId="0" applyFont="1" applyFill="1" applyBorder="1" applyAlignment="1">
      <alignment horizontal="center" vertical="center"/>
    </xf>
    <xf numFmtId="164" fontId="6" fillId="2" borderId="3" xfId="2" applyNumberFormat="1" applyFont="1" applyFill="1" applyBorder="1" applyAlignment="1">
      <alignment horizontal="center" vertical="center"/>
    </xf>
    <xf numFmtId="44" fontId="6" fillId="2" borderId="3" xfId="2" applyFont="1" applyFill="1" applyBorder="1" applyAlignment="1">
      <alignment horizontal="center" vertical="center"/>
    </xf>
    <xf numFmtId="0" fontId="4" fillId="4" borderId="1" xfId="0" applyFont="1" applyFill="1" applyBorder="1" applyAlignment="1">
      <alignment horizontal="left" vertical="center"/>
    </xf>
    <xf numFmtId="0" fontId="4" fillId="4" borderId="3" xfId="0" applyFont="1" applyFill="1" applyBorder="1" applyAlignment="1">
      <alignment horizontal="left" vertical="center"/>
    </xf>
    <xf numFmtId="0" fontId="4" fillId="4" borderId="5" xfId="0" applyFont="1" applyFill="1" applyBorder="1" applyAlignment="1">
      <alignment horizontal="left" vertical="center"/>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showGridLines="0" tabSelected="1" topLeftCell="A74" zoomScaleNormal="100" workbookViewId="0">
      <selection activeCell="H97" sqref="H97"/>
    </sheetView>
  </sheetViews>
  <sheetFormatPr defaultColWidth="18.6640625" defaultRowHeight="13.2" x14ac:dyDescent="0.3"/>
  <cols>
    <col min="1" max="1" width="35.109375" style="1" bestFit="1" customWidth="1"/>
    <col min="2" max="2" width="18.6640625" style="4"/>
    <col min="3" max="3" width="18.6640625" style="2"/>
    <col min="4" max="4" width="22.33203125" style="2" bestFit="1" customWidth="1"/>
    <col min="5" max="16384" width="18.6640625" style="1"/>
  </cols>
  <sheetData>
    <row r="1" spans="1:4" ht="76.95" customHeight="1" x14ac:dyDescent="0.3">
      <c r="A1" s="26" t="s">
        <v>35</v>
      </c>
      <c r="B1" s="26"/>
      <c r="C1" s="26"/>
      <c r="D1" s="26"/>
    </row>
    <row r="2" spans="1:4" x14ac:dyDescent="0.3">
      <c r="A2" s="20" t="s">
        <v>36</v>
      </c>
      <c r="B2" s="21" t="s">
        <v>37</v>
      </c>
      <c r="C2" s="20" t="s">
        <v>38</v>
      </c>
      <c r="D2" s="20" t="s">
        <v>39</v>
      </c>
    </row>
    <row r="3" spans="1:4" ht="13.8" x14ac:dyDescent="0.25">
      <c r="A3" s="9" t="s">
        <v>0</v>
      </c>
      <c r="B3" s="10">
        <v>384</v>
      </c>
      <c r="C3" s="11"/>
      <c r="D3" s="12">
        <f>C3*B3</f>
        <v>0</v>
      </c>
    </row>
    <row r="4" spans="1:4" ht="13.8" x14ac:dyDescent="0.25">
      <c r="A4" s="9" t="s">
        <v>43</v>
      </c>
      <c r="B4" s="10">
        <v>11520</v>
      </c>
      <c r="C4" s="11"/>
      <c r="D4" s="12">
        <f t="shared" ref="D4:D11" si="0">C4*B4</f>
        <v>0</v>
      </c>
    </row>
    <row r="5" spans="1:4" ht="13.8" x14ac:dyDescent="0.25">
      <c r="A5" s="9" t="s">
        <v>44</v>
      </c>
      <c r="B5" s="10">
        <v>1920</v>
      </c>
      <c r="C5" s="11"/>
      <c r="D5" s="12">
        <f t="shared" si="0"/>
        <v>0</v>
      </c>
    </row>
    <row r="6" spans="1:4" ht="13.8" x14ac:dyDescent="0.25">
      <c r="A6" s="9" t="s">
        <v>45</v>
      </c>
      <c r="B6" s="10">
        <v>1344</v>
      </c>
      <c r="C6" s="11"/>
      <c r="D6" s="12">
        <f t="shared" si="0"/>
        <v>0</v>
      </c>
    </row>
    <row r="7" spans="1:4" ht="13.8" x14ac:dyDescent="0.25">
      <c r="A7" s="9" t="s">
        <v>46</v>
      </c>
      <c r="B7" s="10">
        <v>7872</v>
      </c>
      <c r="C7" s="11"/>
      <c r="D7" s="12">
        <f t="shared" si="0"/>
        <v>0</v>
      </c>
    </row>
    <row r="8" spans="1:4" ht="13.8" x14ac:dyDescent="0.25">
      <c r="A8" s="9" t="s">
        <v>47</v>
      </c>
      <c r="B8" s="10">
        <v>1728</v>
      </c>
      <c r="C8" s="11"/>
      <c r="D8" s="12">
        <f t="shared" si="0"/>
        <v>0</v>
      </c>
    </row>
    <row r="9" spans="1:4" ht="13.8" x14ac:dyDescent="0.25">
      <c r="A9" s="9" t="s">
        <v>48</v>
      </c>
      <c r="B9" s="10">
        <v>768</v>
      </c>
      <c r="C9" s="11"/>
      <c r="D9" s="12">
        <f t="shared" si="0"/>
        <v>0</v>
      </c>
    </row>
    <row r="10" spans="1:4" ht="13.8" x14ac:dyDescent="0.25">
      <c r="A10" s="9" t="s">
        <v>49</v>
      </c>
      <c r="B10" s="13">
        <v>1728</v>
      </c>
      <c r="C10" s="12"/>
      <c r="D10" s="12">
        <f t="shared" si="0"/>
        <v>0</v>
      </c>
    </row>
    <row r="11" spans="1:4" ht="13.8" x14ac:dyDescent="0.25">
      <c r="A11" s="9" t="s">
        <v>50</v>
      </c>
      <c r="B11" s="13">
        <v>384</v>
      </c>
      <c r="C11" s="12"/>
      <c r="D11" s="12">
        <f t="shared" si="0"/>
        <v>0</v>
      </c>
    </row>
    <row r="12" spans="1:4" s="3" customFormat="1" x14ac:dyDescent="0.3">
      <c r="A12" s="14" t="s">
        <v>40</v>
      </c>
      <c r="B12" s="15">
        <f>SUM(B3:B11)</f>
        <v>27648</v>
      </c>
      <c r="C12" s="16"/>
      <c r="D12" s="16">
        <f>SUM(D3:D11)</f>
        <v>0</v>
      </c>
    </row>
    <row r="13" spans="1:4" x14ac:dyDescent="0.3">
      <c r="A13" s="17"/>
      <c r="B13" s="18" t="s">
        <v>20</v>
      </c>
      <c r="C13" s="19" t="s">
        <v>21</v>
      </c>
      <c r="D13" s="19" t="s">
        <v>22</v>
      </c>
    </row>
    <row r="14" spans="1:4" s="5" customFormat="1" x14ac:dyDescent="0.3">
      <c r="A14" s="14" t="s">
        <v>41</v>
      </c>
      <c r="B14" s="16">
        <v>483578.38</v>
      </c>
      <c r="C14" s="16"/>
      <c r="D14" s="16"/>
    </row>
    <row r="15" spans="1:4" s="8" customFormat="1" x14ac:dyDescent="0.3">
      <c r="A15" s="27"/>
      <c r="B15" s="27"/>
      <c r="C15" s="27"/>
      <c r="D15" s="27"/>
    </row>
    <row r="16" spans="1:4" s="8" customFormat="1" x14ac:dyDescent="0.3">
      <c r="A16" s="30" t="s">
        <v>42</v>
      </c>
      <c r="B16" s="31"/>
      <c r="C16" s="32"/>
      <c r="D16" s="22">
        <f>D12+D14</f>
        <v>0</v>
      </c>
    </row>
    <row r="17" spans="1:4" s="8" customFormat="1" x14ac:dyDescent="0.3">
      <c r="A17" s="5"/>
      <c r="B17" s="6"/>
      <c r="C17" s="7"/>
      <c r="D17" s="7"/>
    </row>
    <row r="19" spans="1:4" x14ac:dyDescent="0.3">
      <c r="A19" s="20" t="s">
        <v>23</v>
      </c>
      <c r="B19" s="21" t="s">
        <v>1</v>
      </c>
      <c r="C19" s="20" t="s">
        <v>2</v>
      </c>
      <c r="D19" s="20" t="s">
        <v>3</v>
      </c>
    </row>
    <row r="20" spans="1:4" ht="13.8" x14ac:dyDescent="0.25">
      <c r="A20" s="9" t="s">
        <v>0</v>
      </c>
      <c r="B20" s="10">
        <v>384</v>
      </c>
      <c r="C20" s="11"/>
      <c r="D20" s="12">
        <f>C20*B20</f>
        <v>0</v>
      </c>
    </row>
    <row r="21" spans="1:4" ht="13.8" x14ac:dyDescent="0.25">
      <c r="A21" s="9" t="s">
        <v>43</v>
      </c>
      <c r="B21" s="10">
        <v>11520</v>
      </c>
      <c r="C21" s="11"/>
      <c r="D21" s="12">
        <f t="shared" ref="D21:D28" si="1">C21*B21</f>
        <v>0</v>
      </c>
    </row>
    <row r="22" spans="1:4" ht="13.8" x14ac:dyDescent="0.25">
      <c r="A22" s="9" t="s">
        <v>44</v>
      </c>
      <c r="B22" s="10">
        <v>1920</v>
      </c>
      <c r="C22" s="11"/>
      <c r="D22" s="12">
        <f t="shared" si="1"/>
        <v>0</v>
      </c>
    </row>
    <row r="23" spans="1:4" ht="13.8" x14ac:dyDescent="0.25">
      <c r="A23" s="9" t="s">
        <v>45</v>
      </c>
      <c r="B23" s="10">
        <v>1344</v>
      </c>
      <c r="C23" s="11"/>
      <c r="D23" s="12">
        <f t="shared" si="1"/>
        <v>0</v>
      </c>
    </row>
    <row r="24" spans="1:4" ht="13.8" x14ac:dyDescent="0.25">
      <c r="A24" s="9" t="s">
        <v>46</v>
      </c>
      <c r="B24" s="10">
        <v>7872</v>
      </c>
      <c r="C24" s="11"/>
      <c r="D24" s="12">
        <f t="shared" si="1"/>
        <v>0</v>
      </c>
    </row>
    <row r="25" spans="1:4" ht="13.8" x14ac:dyDescent="0.25">
      <c r="A25" s="9" t="s">
        <v>47</v>
      </c>
      <c r="B25" s="10">
        <v>1728</v>
      </c>
      <c r="C25" s="11"/>
      <c r="D25" s="12">
        <f t="shared" si="1"/>
        <v>0</v>
      </c>
    </row>
    <row r="26" spans="1:4" ht="13.8" x14ac:dyDescent="0.25">
      <c r="A26" s="9" t="s">
        <v>48</v>
      </c>
      <c r="B26" s="10">
        <v>768</v>
      </c>
      <c r="C26" s="11"/>
      <c r="D26" s="12"/>
    </row>
    <row r="27" spans="1:4" ht="13.8" x14ac:dyDescent="0.25">
      <c r="A27" s="9" t="s">
        <v>49</v>
      </c>
      <c r="B27" s="10">
        <v>1728</v>
      </c>
      <c r="C27" s="11"/>
      <c r="D27" s="12"/>
    </row>
    <row r="28" spans="1:4" ht="13.8" x14ac:dyDescent="0.25">
      <c r="A28" s="9" t="s">
        <v>50</v>
      </c>
      <c r="B28" s="13">
        <v>384</v>
      </c>
      <c r="C28" s="12"/>
      <c r="D28" s="12">
        <f t="shared" si="1"/>
        <v>0</v>
      </c>
    </row>
    <row r="29" spans="1:4" x14ac:dyDescent="0.3">
      <c r="A29" s="14" t="s">
        <v>40</v>
      </c>
      <c r="B29" s="15">
        <v>27648</v>
      </c>
      <c r="C29" s="16"/>
      <c r="D29" s="16">
        <f>SUM(D20:D28)</f>
        <v>0</v>
      </c>
    </row>
    <row r="30" spans="1:4" x14ac:dyDescent="0.3">
      <c r="A30" s="17"/>
      <c r="B30" s="18" t="s">
        <v>20</v>
      </c>
      <c r="C30" s="19" t="s">
        <v>21</v>
      </c>
      <c r="D30" s="19" t="s">
        <v>22</v>
      </c>
    </row>
    <row r="31" spans="1:4" s="5" customFormat="1" x14ac:dyDescent="0.3">
      <c r="A31" s="14" t="s">
        <v>18</v>
      </c>
      <c r="B31" s="16">
        <v>498085.73</v>
      </c>
      <c r="C31" s="16"/>
      <c r="D31" s="16"/>
    </row>
    <row r="32" spans="1:4" x14ac:dyDescent="0.3">
      <c r="A32" s="27"/>
      <c r="B32" s="27"/>
      <c r="C32" s="27"/>
      <c r="D32" s="27"/>
    </row>
    <row r="33" spans="1:4" x14ac:dyDescent="0.3">
      <c r="A33" s="30" t="s">
        <v>19</v>
      </c>
      <c r="B33" s="31"/>
      <c r="C33" s="32"/>
      <c r="D33" s="22">
        <f>D29+D31</f>
        <v>0</v>
      </c>
    </row>
    <row r="34" spans="1:4" s="8" customFormat="1" x14ac:dyDescent="0.3">
      <c r="A34" s="5"/>
      <c r="B34" s="6"/>
      <c r="C34" s="7"/>
      <c r="D34" s="7"/>
    </row>
    <row r="36" spans="1:4" x14ac:dyDescent="0.3">
      <c r="A36" s="20" t="s">
        <v>24</v>
      </c>
      <c r="B36" s="21" t="s">
        <v>4</v>
      </c>
      <c r="C36" s="20" t="s">
        <v>5</v>
      </c>
      <c r="D36" s="20" t="s">
        <v>6</v>
      </c>
    </row>
    <row r="37" spans="1:4" ht="13.8" x14ac:dyDescent="0.25">
      <c r="A37" s="9" t="s">
        <v>0</v>
      </c>
      <c r="B37" s="10">
        <v>384</v>
      </c>
      <c r="C37" s="11"/>
      <c r="D37" s="12">
        <f>C37*B37</f>
        <v>0</v>
      </c>
    </row>
    <row r="38" spans="1:4" ht="13.8" x14ac:dyDescent="0.25">
      <c r="A38" s="9" t="s">
        <v>43</v>
      </c>
      <c r="B38" s="10">
        <v>11520</v>
      </c>
      <c r="C38" s="11"/>
      <c r="D38" s="12">
        <f t="shared" ref="D38:D45" si="2">C38*B38</f>
        <v>0</v>
      </c>
    </row>
    <row r="39" spans="1:4" ht="13.8" x14ac:dyDescent="0.25">
      <c r="A39" s="9" t="s">
        <v>44</v>
      </c>
      <c r="B39" s="10">
        <v>1920</v>
      </c>
      <c r="C39" s="11"/>
      <c r="D39" s="12">
        <f t="shared" si="2"/>
        <v>0</v>
      </c>
    </row>
    <row r="40" spans="1:4" ht="13.8" x14ac:dyDescent="0.25">
      <c r="A40" s="9" t="s">
        <v>45</v>
      </c>
      <c r="B40" s="10">
        <v>1344</v>
      </c>
      <c r="C40" s="11"/>
      <c r="D40" s="12">
        <f t="shared" si="2"/>
        <v>0</v>
      </c>
    </row>
    <row r="41" spans="1:4" ht="13.8" x14ac:dyDescent="0.25">
      <c r="A41" s="9" t="s">
        <v>46</v>
      </c>
      <c r="B41" s="10">
        <v>7872</v>
      </c>
      <c r="C41" s="11"/>
      <c r="D41" s="12">
        <f t="shared" si="2"/>
        <v>0</v>
      </c>
    </row>
    <row r="42" spans="1:4" ht="13.8" x14ac:dyDescent="0.25">
      <c r="A42" s="9" t="s">
        <v>47</v>
      </c>
      <c r="B42" s="10">
        <v>1728</v>
      </c>
      <c r="C42" s="11"/>
      <c r="D42" s="12">
        <f t="shared" si="2"/>
        <v>0</v>
      </c>
    </row>
    <row r="43" spans="1:4" ht="13.8" x14ac:dyDescent="0.25">
      <c r="A43" s="9" t="s">
        <v>48</v>
      </c>
      <c r="B43" s="10">
        <v>768</v>
      </c>
      <c r="C43" s="11"/>
      <c r="D43" s="12"/>
    </row>
    <row r="44" spans="1:4" ht="13.8" x14ac:dyDescent="0.25">
      <c r="A44" s="9" t="s">
        <v>49</v>
      </c>
      <c r="B44" s="10">
        <v>1728</v>
      </c>
      <c r="C44" s="11"/>
      <c r="D44" s="12"/>
    </row>
    <row r="45" spans="1:4" ht="13.8" x14ac:dyDescent="0.25">
      <c r="A45" s="9" t="s">
        <v>50</v>
      </c>
      <c r="B45" s="13">
        <v>384</v>
      </c>
      <c r="C45" s="12"/>
      <c r="D45" s="12">
        <f t="shared" si="2"/>
        <v>0</v>
      </c>
    </row>
    <row r="46" spans="1:4" x14ac:dyDescent="0.3">
      <c r="A46" s="14" t="s">
        <v>40</v>
      </c>
      <c r="B46" s="15">
        <v>27648</v>
      </c>
      <c r="C46" s="16"/>
      <c r="D46" s="16">
        <f>SUM(D37:D45)</f>
        <v>0</v>
      </c>
    </row>
    <row r="47" spans="1:4" x14ac:dyDescent="0.3">
      <c r="A47" s="17"/>
      <c r="B47" s="18" t="s">
        <v>20</v>
      </c>
      <c r="C47" s="19" t="s">
        <v>21</v>
      </c>
      <c r="D47" s="19" t="s">
        <v>22</v>
      </c>
    </row>
    <row r="48" spans="1:4" s="5" customFormat="1" x14ac:dyDescent="0.3">
      <c r="A48" s="14" t="s">
        <v>27</v>
      </c>
      <c r="B48" s="16">
        <v>513028.3</v>
      </c>
      <c r="C48" s="16"/>
      <c r="D48" s="16"/>
    </row>
    <row r="49" spans="1:4" x14ac:dyDescent="0.3">
      <c r="A49" s="27"/>
      <c r="B49" s="27"/>
      <c r="C49" s="27"/>
      <c r="D49" s="27"/>
    </row>
    <row r="50" spans="1:4" x14ac:dyDescent="0.3">
      <c r="A50" s="30" t="s">
        <v>28</v>
      </c>
      <c r="B50" s="31"/>
      <c r="C50" s="32"/>
      <c r="D50" s="22">
        <f>D46+D48</f>
        <v>0</v>
      </c>
    </row>
    <row r="52" spans="1:4" x14ac:dyDescent="0.3">
      <c r="A52" s="20" t="s">
        <v>25</v>
      </c>
      <c r="B52" s="21" t="s">
        <v>11</v>
      </c>
      <c r="C52" s="20" t="s">
        <v>12</v>
      </c>
      <c r="D52" s="20" t="s">
        <v>13</v>
      </c>
    </row>
    <row r="53" spans="1:4" ht="13.8" x14ac:dyDescent="0.25">
      <c r="A53" s="9" t="s">
        <v>0</v>
      </c>
      <c r="B53" s="10">
        <v>384</v>
      </c>
      <c r="C53" s="11"/>
      <c r="D53" s="12">
        <f>C53*B53</f>
        <v>0</v>
      </c>
    </row>
    <row r="54" spans="1:4" ht="13.8" x14ac:dyDescent="0.25">
      <c r="A54" s="9" t="s">
        <v>43</v>
      </c>
      <c r="B54" s="10">
        <v>11520</v>
      </c>
      <c r="C54" s="11"/>
      <c r="D54" s="12">
        <f t="shared" ref="D54:D61" si="3">C54*B54</f>
        <v>0</v>
      </c>
    </row>
    <row r="55" spans="1:4" ht="13.8" x14ac:dyDescent="0.25">
      <c r="A55" s="9" t="s">
        <v>44</v>
      </c>
      <c r="B55" s="10">
        <v>1920</v>
      </c>
      <c r="C55" s="11"/>
      <c r="D55" s="12">
        <f t="shared" si="3"/>
        <v>0</v>
      </c>
    </row>
    <row r="56" spans="1:4" ht="13.8" x14ac:dyDescent="0.25">
      <c r="A56" s="9" t="s">
        <v>45</v>
      </c>
      <c r="B56" s="10">
        <v>1344</v>
      </c>
      <c r="C56" s="11"/>
      <c r="D56" s="12">
        <f t="shared" si="3"/>
        <v>0</v>
      </c>
    </row>
    <row r="57" spans="1:4" ht="13.8" x14ac:dyDescent="0.25">
      <c r="A57" s="9" t="s">
        <v>46</v>
      </c>
      <c r="B57" s="10">
        <v>7872</v>
      </c>
      <c r="C57" s="11"/>
      <c r="D57" s="12">
        <f t="shared" si="3"/>
        <v>0</v>
      </c>
    </row>
    <row r="58" spans="1:4" ht="13.8" x14ac:dyDescent="0.25">
      <c r="A58" s="9" t="s">
        <v>47</v>
      </c>
      <c r="B58" s="10">
        <v>1728</v>
      </c>
      <c r="C58" s="11"/>
      <c r="D58" s="12"/>
    </row>
    <row r="59" spans="1:4" ht="13.8" x14ac:dyDescent="0.25">
      <c r="A59" s="9" t="s">
        <v>48</v>
      </c>
      <c r="B59" s="10">
        <v>768</v>
      </c>
      <c r="C59" s="11"/>
      <c r="D59" s="12"/>
    </row>
    <row r="60" spans="1:4" ht="13.8" x14ac:dyDescent="0.25">
      <c r="A60" s="9" t="s">
        <v>49</v>
      </c>
      <c r="B60" s="10">
        <v>1728</v>
      </c>
      <c r="C60" s="11"/>
      <c r="D60" s="12">
        <f t="shared" si="3"/>
        <v>0</v>
      </c>
    </row>
    <row r="61" spans="1:4" ht="13.8" x14ac:dyDescent="0.25">
      <c r="A61" s="9" t="s">
        <v>50</v>
      </c>
      <c r="B61" s="13">
        <v>384</v>
      </c>
      <c r="C61" s="12"/>
      <c r="D61" s="12">
        <f t="shared" si="3"/>
        <v>0</v>
      </c>
    </row>
    <row r="62" spans="1:4" x14ac:dyDescent="0.3">
      <c r="A62" s="14" t="s">
        <v>40</v>
      </c>
      <c r="B62" s="15">
        <v>27648</v>
      </c>
      <c r="C62" s="16"/>
      <c r="D62" s="16">
        <f>SUM(D53:D61)</f>
        <v>0</v>
      </c>
    </row>
    <row r="63" spans="1:4" x14ac:dyDescent="0.3">
      <c r="A63" s="17"/>
      <c r="B63" s="18" t="s">
        <v>20</v>
      </c>
      <c r="C63" s="19" t="s">
        <v>21</v>
      </c>
      <c r="D63" s="19" t="s">
        <v>22</v>
      </c>
    </row>
    <row r="64" spans="1:4" s="5" customFormat="1" x14ac:dyDescent="0.3">
      <c r="A64" s="14" t="s">
        <v>34</v>
      </c>
      <c r="B64" s="16">
        <v>528419.15</v>
      </c>
      <c r="C64" s="16"/>
      <c r="D64" s="16"/>
    </row>
    <row r="65" spans="1:4" x14ac:dyDescent="0.3">
      <c r="A65" s="27"/>
      <c r="B65" s="27"/>
      <c r="C65" s="27"/>
      <c r="D65" s="27"/>
    </row>
    <row r="66" spans="1:4" x14ac:dyDescent="0.3">
      <c r="A66" s="30" t="s">
        <v>33</v>
      </c>
      <c r="B66" s="31"/>
      <c r="C66" s="32"/>
      <c r="D66" s="22">
        <f>D62+D64</f>
        <v>0</v>
      </c>
    </row>
    <row r="68" spans="1:4" x14ac:dyDescent="0.3">
      <c r="A68" s="20" t="s">
        <v>26</v>
      </c>
      <c r="B68" s="21" t="s">
        <v>14</v>
      </c>
      <c r="C68" s="20" t="s">
        <v>15</v>
      </c>
      <c r="D68" s="20" t="s">
        <v>16</v>
      </c>
    </row>
    <row r="69" spans="1:4" ht="13.8" x14ac:dyDescent="0.25">
      <c r="A69" s="9" t="s">
        <v>0</v>
      </c>
      <c r="B69" s="10">
        <v>384</v>
      </c>
      <c r="C69" s="11"/>
      <c r="D69" s="12">
        <f>C69*B69</f>
        <v>0</v>
      </c>
    </row>
    <row r="70" spans="1:4" ht="13.8" x14ac:dyDescent="0.25">
      <c r="A70" s="9" t="s">
        <v>43</v>
      </c>
      <c r="B70" s="10">
        <v>11520</v>
      </c>
      <c r="C70" s="11"/>
      <c r="D70" s="12">
        <f t="shared" ref="D70:D77" si="4">C70*B70</f>
        <v>0</v>
      </c>
    </row>
    <row r="71" spans="1:4" ht="13.8" x14ac:dyDescent="0.25">
      <c r="A71" s="9" t="s">
        <v>44</v>
      </c>
      <c r="B71" s="10">
        <v>1920</v>
      </c>
      <c r="C71" s="11"/>
      <c r="D71" s="12">
        <f t="shared" si="4"/>
        <v>0</v>
      </c>
    </row>
    <row r="72" spans="1:4" ht="13.8" x14ac:dyDescent="0.25">
      <c r="A72" s="9" t="s">
        <v>45</v>
      </c>
      <c r="B72" s="10">
        <v>1344</v>
      </c>
      <c r="C72" s="11"/>
      <c r="D72" s="12">
        <f t="shared" si="4"/>
        <v>0</v>
      </c>
    </row>
    <row r="73" spans="1:4" ht="13.8" x14ac:dyDescent="0.25">
      <c r="A73" s="9" t="s">
        <v>46</v>
      </c>
      <c r="B73" s="10">
        <v>7872</v>
      </c>
      <c r="C73" s="11"/>
      <c r="D73" s="12">
        <f t="shared" si="4"/>
        <v>0</v>
      </c>
    </row>
    <row r="74" spans="1:4" ht="13.8" x14ac:dyDescent="0.25">
      <c r="A74" s="9" t="s">
        <v>47</v>
      </c>
      <c r="B74" s="10">
        <v>1728</v>
      </c>
      <c r="C74" s="11"/>
      <c r="D74" s="12"/>
    </row>
    <row r="75" spans="1:4" ht="13.8" x14ac:dyDescent="0.25">
      <c r="A75" s="9" t="s">
        <v>48</v>
      </c>
      <c r="B75" s="10">
        <v>768</v>
      </c>
      <c r="C75" s="11"/>
      <c r="D75" s="12"/>
    </row>
    <row r="76" spans="1:4" ht="13.8" x14ac:dyDescent="0.25">
      <c r="A76" s="9" t="s">
        <v>49</v>
      </c>
      <c r="B76" s="10">
        <v>1728</v>
      </c>
      <c r="C76" s="11"/>
      <c r="D76" s="12">
        <f t="shared" si="4"/>
        <v>0</v>
      </c>
    </row>
    <row r="77" spans="1:4" ht="13.8" x14ac:dyDescent="0.25">
      <c r="A77" s="9" t="s">
        <v>50</v>
      </c>
      <c r="B77" s="13">
        <v>384</v>
      </c>
      <c r="C77" s="12"/>
      <c r="D77" s="12">
        <f t="shared" si="4"/>
        <v>0</v>
      </c>
    </row>
    <row r="78" spans="1:4" x14ac:dyDescent="0.3">
      <c r="A78" s="14" t="s">
        <v>40</v>
      </c>
      <c r="B78" s="15">
        <v>27648</v>
      </c>
      <c r="C78" s="16"/>
      <c r="D78" s="16">
        <f>SUM(D69:D77)</f>
        <v>0</v>
      </c>
    </row>
    <row r="79" spans="1:4" x14ac:dyDescent="0.3">
      <c r="A79" s="17"/>
      <c r="B79" s="18" t="s">
        <v>20</v>
      </c>
      <c r="C79" s="19" t="s">
        <v>21</v>
      </c>
      <c r="D79" s="19" t="s">
        <v>22</v>
      </c>
    </row>
    <row r="80" spans="1:4" s="5" customFormat="1" x14ac:dyDescent="0.3">
      <c r="A80" s="14" t="s">
        <v>32</v>
      </c>
      <c r="B80" s="16">
        <v>544271.72</v>
      </c>
      <c r="C80" s="16"/>
      <c r="D80" s="16"/>
    </row>
    <row r="81" spans="1:4" x14ac:dyDescent="0.3">
      <c r="A81" s="27"/>
      <c r="B81" s="27"/>
      <c r="C81" s="27"/>
      <c r="D81" s="27"/>
    </row>
    <row r="82" spans="1:4" x14ac:dyDescent="0.3">
      <c r="A82" s="30" t="s">
        <v>31</v>
      </c>
      <c r="B82" s="31"/>
      <c r="C82" s="32"/>
      <c r="D82" s="22">
        <f>D78+D80</f>
        <v>0</v>
      </c>
    </row>
    <row r="84" spans="1:4" x14ac:dyDescent="0.3">
      <c r="A84" s="20" t="s">
        <v>7</v>
      </c>
      <c r="B84" s="21" t="s">
        <v>8</v>
      </c>
      <c r="C84" s="20" t="s">
        <v>9</v>
      </c>
      <c r="D84" s="20" t="s">
        <v>10</v>
      </c>
    </row>
    <row r="85" spans="1:4" ht="13.8" x14ac:dyDescent="0.25">
      <c r="A85" s="9" t="s">
        <v>0</v>
      </c>
      <c r="B85" s="10">
        <v>192</v>
      </c>
      <c r="C85" s="11"/>
      <c r="D85" s="12" t="e">
        <f>C85*#REF!</f>
        <v>#REF!</v>
      </c>
    </row>
    <row r="86" spans="1:4" ht="13.8" x14ac:dyDescent="0.25">
      <c r="A86" s="9" t="s">
        <v>43</v>
      </c>
      <c r="B86" s="4">
        <v>5760</v>
      </c>
      <c r="C86" s="11"/>
      <c r="D86" s="12">
        <f>C86*B85</f>
        <v>0</v>
      </c>
    </row>
    <row r="87" spans="1:4" ht="13.8" x14ac:dyDescent="0.25">
      <c r="A87" s="9" t="s">
        <v>44</v>
      </c>
      <c r="B87" s="10">
        <v>960</v>
      </c>
      <c r="C87" s="11"/>
      <c r="D87" s="12">
        <f t="shared" ref="D87:D93" si="5">C87*B87</f>
        <v>0</v>
      </c>
    </row>
    <row r="88" spans="1:4" ht="13.8" x14ac:dyDescent="0.25">
      <c r="A88" s="9" t="s">
        <v>45</v>
      </c>
      <c r="B88" s="10">
        <v>672</v>
      </c>
      <c r="C88" s="11"/>
      <c r="D88" s="12">
        <f t="shared" si="5"/>
        <v>0</v>
      </c>
    </row>
    <row r="89" spans="1:4" ht="13.8" x14ac:dyDescent="0.25">
      <c r="A89" s="9" t="s">
        <v>46</v>
      </c>
      <c r="B89" s="10">
        <v>3936</v>
      </c>
      <c r="C89" s="11"/>
      <c r="D89" s="12">
        <f t="shared" si="5"/>
        <v>0</v>
      </c>
    </row>
    <row r="90" spans="1:4" ht="13.8" x14ac:dyDescent="0.25">
      <c r="A90" s="9" t="s">
        <v>47</v>
      </c>
      <c r="B90" s="10">
        <v>864</v>
      </c>
      <c r="C90" s="11"/>
      <c r="D90" s="12"/>
    </row>
    <row r="91" spans="1:4" ht="13.8" x14ac:dyDescent="0.25">
      <c r="A91" s="9" t="s">
        <v>48</v>
      </c>
      <c r="B91" s="10">
        <v>432</v>
      </c>
      <c r="C91" s="11"/>
      <c r="D91" s="12"/>
    </row>
    <row r="92" spans="1:4" ht="13.8" x14ac:dyDescent="0.25">
      <c r="A92" s="9" t="s">
        <v>49</v>
      </c>
      <c r="B92" s="10">
        <v>864</v>
      </c>
      <c r="C92" s="11"/>
      <c r="D92" s="12">
        <f t="shared" si="5"/>
        <v>0</v>
      </c>
    </row>
    <row r="93" spans="1:4" ht="13.8" x14ac:dyDescent="0.25">
      <c r="A93" s="9" t="s">
        <v>50</v>
      </c>
      <c r="B93" s="13">
        <v>192</v>
      </c>
      <c r="C93" s="12"/>
      <c r="D93" s="12">
        <f t="shared" si="5"/>
        <v>0</v>
      </c>
    </row>
    <row r="94" spans="1:4" x14ac:dyDescent="0.3">
      <c r="A94" s="14" t="s">
        <v>40</v>
      </c>
      <c r="B94" s="15">
        <v>27648</v>
      </c>
      <c r="C94" s="16"/>
      <c r="D94" s="16" t="e">
        <f>SUM(D85:D93)</f>
        <v>#REF!</v>
      </c>
    </row>
    <row r="95" spans="1:4" x14ac:dyDescent="0.3">
      <c r="A95" s="17"/>
      <c r="B95" s="18" t="s">
        <v>20</v>
      </c>
      <c r="C95" s="19" t="s">
        <v>21</v>
      </c>
      <c r="D95" s="19" t="s">
        <v>22</v>
      </c>
    </row>
    <row r="96" spans="1:4" s="3" customFormat="1" x14ac:dyDescent="0.3">
      <c r="A96" s="14" t="s">
        <v>29</v>
      </c>
      <c r="B96" s="25">
        <v>280299.94</v>
      </c>
      <c r="C96" s="25"/>
      <c r="D96" s="25"/>
    </row>
    <row r="97" spans="1:4" x14ac:dyDescent="0.3">
      <c r="A97" s="27"/>
      <c r="B97" s="27"/>
      <c r="C97" s="27"/>
      <c r="D97" s="27"/>
    </row>
    <row r="98" spans="1:4" x14ac:dyDescent="0.3">
      <c r="A98" s="30" t="s">
        <v>30</v>
      </c>
      <c r="B98" s="31"/>
      <c r="C98" s="32"/>
      <c r="D98" s="22" t="e">
        <f>D94+D96</f>
        <v>#REF!</v>
      </c>
    </row>
    <row r="100" spans="1:4" s="24" customFormat="1" ht="15.6" x14ac:dyDescent="0.3">
      <c r="A100" s="23" t="s">
        <v>17</v>
      </c>
      <c r="B100" s="28" t="e">
        <f>SUM(D16,D33,D50,D66,D82,D98)</f>
        <v>#REF!</v>
      </c>
      <c r="C100" s="29"/>
      <c r="D100" s="29"/>
    </row>
  </sheetData>
  <mergeCells count="14">
    <mergeCell ref="B100:D100"/>
    <mergeCell ref="A81:D81"/>
    <mergeCell ref="A97:D97"/>
    <mergeCell ref="A16:C16"/>
    <mergeCell ref="A33:C33"/>
    <mergeCell ref="A98:C98"/>
    <mergeCell ref="A82:C82"/>
    <mergeCell ref="A66:C66"/>
    <mergeCell ref="A50:C50"/>
    <mergeCell ref="A1:D1"/>
    <mergeCell ref="A32:D32"/>
    <mergeCell ref="A15:D15"/>
    <mergeCell ref="A49:D49"/>
    <mergeCell ref="A65:D6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5730763b-7215-4ed6-8bb9-c13c86676fc2" xsi:nil="true"/>
    <lcf76f155ced4ddcb4097134ff3c332f xmlns="0206ac7d-c322-4bfe-b617-ef06d387d177">
      <Terms xmlns="http://schemas.microsoft.com/office/infopath/2007/PartnerControls"/>
    </lcf76f155ced4ddcb4097134ff3c332f>
    <_dlc_DocId xmlns="5730763b-7215-4ed6-8bb9-c13c86676fc2">4M46DH3RNQFE-549379846-659004</_dlc_DocId>
    <_dlc_DocIdUrl xmlns="5730763b-7215-4ed6-8bb9-c13c86676fc2">
      <Url>https://flankspeed.sharepoint-mil.us/sites/NAVSUP_FLCN_C200_eFiles/_layouts/15/DocIdRedir.aspx?ID=4M46DH3RNQFE-549379846-659004</Url>
      <Description>4M46DH3RNQFE-549379846-659004</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0A530DFAC5A464AB51274D2CF24C15D" ma:contentTypeVersion="25" ma:contentTypeDescription="Create a new document." ma:contentTypeScope="" ma:versionID="a279e61a34403a933d72cb9a79424c8a">
  <xsd:schema xmlns:xsd="http://www.w3.org/2001/XMLSchema" xmlns:xs="http://www.w3.org/2001/XMLSchema" xmlns:p="http://schemas.microsoft.com/office/2006/metadata/properties" xmlns:ns1="http://schemas.microsoft.com/sharepoint/v3" xmlns:ns2="5730763b-7215-4ed6-8bb9-c13c86676fc2" xmlns:ns3="0206ac7d-c322-4bfe-b617-ef06d387d177" targetNamespace="http://schemas.microsoft.com/office/2006/metadata/properties" ma:root="true" ma:fieldsID="69b0e8fc801a63a31fe32cf2cfeb84f0" ns1:_="" ns2:_="" ns3:_="">
    <xsd:import namespace="http://schemas.microsoft.com/sharepoint/v3"/>
    <xsd:import namespace="5730763b-7215-4ed6-8bb9-c13c86676fc2"/>
    <xsd:import namespace="0206ac7d-c322-4bfe-b617-ef06d387d177"/>
    <xsd:element name="properties">
      <xsd:complexType>
        <xsd:sequence>
          <xsd:element name="documentManagement">
            <xsd:complexType>
              <xsd:all>
                <xsd:element ref="ns2:_dlc_DocId" minOccurs="0"/>
                <xsd:element ref="ns2:_dlc_DocIdUrl" minOccurs="0"/>
                <xsd:element ref="ns2:_dlc_DocIdPersistId" minOccurs="0"/>
                <xsd:element ref="ns2:TaxCatchAll"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ServiceLocation"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30763b-7215-4ed6-8bb9-c13c86676fc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hidden="true" ma:list="{001e0b25-0ed6-4ebf-aec9-2a83a76e26ef}" ma:internalName="TaxCatchAll" ma:showField="CatchAllData" ma:web="5730763b-7215-4ed6-8bb9-c13c86676f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206ac7d-c322-4bfe-b617-ef06d387d177"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AD048A0-755E-4F8B-8867-CC7D727B0332}">
  <ds:schemaRefs>
    <ds:schemaRef ds:uri="http://schemas.microsoft.com/sharepoint/v3/contenttype/forms"/>
  </ds:schemaRefs>
</ds:datastoreItem>
</file>

<file path=customXml/itemProps2.xml><?xml version="1.0" encoding="utf-8"?>
<ds:datastoreItem xmlns:ds="http://schemas.openxmlformats.org/officeDocument/2006/customXml" ds:itemID="{4137BB2C-2A37-4E8C-AEAA-96374518DF1A}">
  <ds:schemaRefs>
    <ds:schemaRef ds:uri="http://schemas.microsoft.com/office/infopath/2007/PartnerControls"/>
    <ds:schemaRef ds:uri="http://purl.org/dc/dcmitype/"/>
    <ds:schemaRef ds:uri="http://schemas.microsoft.com/office/2006/documentManagement/types"/>
    <ds:schemaRef ds:uri="0206ac7d-c322-4bfe-b617-ef06d387d177"/>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5730763b-7215-4ed6-8bb9-c13c86676fc2"/>
    <ds:schemaRef ds:uri="http://schemas.microsoft.com/sharepoint/v3"/>
  </ds:schemaRefs>
</ds:datastoreItem>
</file>

<file path=customXml/itemProps3.xml><?xml version="1.0" encoding="utf-8"?>
<ds:datastoreItem xmlns:ds="http://schemas.openxmlformats.org/officeDocument/2006/customXml" ds:itemID="{4AA1D742-532C-4B9E-8DEA-A081036F79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730763b-7215-4ed6-8bb9-c13c86676fc2"/>
    <ds:schemaRef ds:uri="0206ac7d-c322-4bfe-b617-ef06d387d1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80BE64E-0845-4B61-B120-92E17F9751CB}">
  <ds:schemaRefs>
    <ds:schemaRef ds:uri="http://schemas.microsoft.com/sharepoint/events"/>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Attachment 4</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Lafferty, Danielle V CIV NAVSUP FLC Norfolk, 245.1</dc:creator>
  <cp:lastModifiedBy>Celestin, Sarah N CIV USN NAVSUP FLCN (USA)</cp:lastModifiedBy>
  <dcterms:created xsi:type="dcterms:W3CDTF">2019-12-23T16:05:21Z</dcterms:created>
  <dcterms:modified xsi:type="dcterms:W3CDTF">2026-03-25T00:17:29Z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0x010100F0A530DFAC5A464AB51274D2CF24C15D</vt:lpwstr>
  </property>
  <property fmtid="{D5CDD505-2E9C-101B-9397-08002B2CF9AE}" pid="3" name="_dlc_DocIdItemGuid">
    <vt:lpwstr>5f2ab432-c41c-455e-a798-8ca36f2c0e9c</vt:lpwstr>
  </property>
</Properties>
</file>