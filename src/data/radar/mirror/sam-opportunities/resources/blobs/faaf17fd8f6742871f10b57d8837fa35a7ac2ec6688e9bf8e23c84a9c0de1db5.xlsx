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annah_r_farrell_civ_us_navy_mil/Documents/Documents/WOLF/SENSS RFO/SENSS RFO in PIEE/AMD 0002/"/>
    </mc:Choice>
  </mc:AlternateContent>
  <xr:revisionPtr revIDLastSave="24" documentId="8_{CA0A8D1D-2CA1-4799-ABB7-41083348CFB1}" xr6:coauthVersionLast="47" xr6:coauthVersionMax="47" xr10:uidLastSave="{1C41E211-7CD7-4729-8344-B7DA903F4214}"/>
  <bookViews>
    <workbookView xWindow="-110" yWindow="-110" windowWidth="19420" windowHeight="11500" xr2:uid="{00000000-000D-0000-FFFF-FFFF00000000}"/>
  </bookViews>
  <sheets>
    <sheet name="Total Hours" sheetId="2" r:id="rId1"/>
    <sheet name="On Site Hours" sheetId="4" r:id="rId2"/>
    <sheet name="Off Site Hours" sheetId="5" r:id="rId3"/>
  </sheets>
  <definedNames>
    <definedName name="_xlnm._FilterDatabase" localSheetId="0" hidden="1">'Total Hours'!$A$5:$I$100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7" i="2"/>
  <c r="I6" i="2"/>
  <c r="D61" i="5" l="1"/>
  <c r="E61" i="5"/>
  <c r="F61" i="5"/>
  <c r="G61" i="5"/>
  <c r="H61" i="5"/>
  <c r="I61" i="5"/>
  <c r="C61" i="5"/>
  <c r="D45" i="4"/>
  <c r="E45" i="4"/>
  <c r="F45" i="4"/>
  <c r="I45" i="4" s="1"/>
  <c r="G45" i="4"/>
  <c r="H45" i="4"/>
  <c r="C45" i="4"/>
  <c r="H22" i="2"/>
  <c r="H100" i="2" l="1"/>
  <c r="G100" i="2" l="1"/>
  <c r="F100" i="2"/>
  <c r="E100" i="2"/>
  <c r="D100" i="2"/>
  <c r="C100" i="2"/>
</calcChain>
</file>

<file path=xl/sharedStrings.xml><?xml version="1.0" encoding="utf-8"?>
<sst xmlns="http://schemas.openxmlformats.org/spreadsheetml/2006/main" count="416" uniqueCount="91">
  <si>
    <r>
      <t>Labor Category</t>
    </r>
    <r>
      <rPr>
        <sz val="12"/>
        <color rgb="FF000000"/>
        <rFont val="Times New Roman"/>
        <family val="1"/>
      </rPr>
      <t> </t>
    </r>
  </si>
  <si>
    <r>
      <t>Location</t>
    </r>
    <r>
      <rPr>
        <sz val="12"/>
        <color rgb="FF000000"/>
        <rFont val="Times New Roman"/>
        <family val="1"/>
      </rPr>
      <t> </t>
    </r>
  </si>
  <si>
    <r>
      <t>Year I</t>
    </r>
    <r>
      <rPr>
        <sz val="12"/>
        <color rgb="FF000000"/>
        <rFont val="Times New Roman"/>
        <family val="1"/>
      </rPr>
      <t> </t>
    </r>
  </si>
  <si>
    <r>
      <t>Year II</t>
    </r>
    <r>
      <rPr>
        <sz val="12"/>
        <color rgb="FF000000"/>
        <rFont val="Times New Roman"/>
        <family val="1"/>
      </rPr>
      <t> </t>
    </r>
  </si>
  <si>
    <r>
      <t>Year III</t>
    </r>
    <r>
      <rPr>
        <sz val="12"/>
        <color rgb="FF000000"/>
        <rFont val="Times New Roman"/>
        <family val="1"/>
      </rPr>
      <t> </t>
    </r>
  </si>
  <si>
    <r>
      <t>Year IV</t>
    </r>
    <r>
      <rPr>
        <sz val="12"/>
        <color rgb="FF000000"/>
        <rFont val="Times New Roman"/>
        <family val="1"/>
      </rPr>
      <t> </t>
    </r>
  </si>
  <si>
    <r>
      <t>Year V</t>
    </r>
    <r>
      <rPr>
        <sz val="12"/>
        <color rgb="FF000000"/>
        <rFont val="Times New Roman"/>
        <family val="1"/>
      </rPr>
      <t> </t>
    </r>
  </si>
  <si>
    <t>TOTAL </t>
  </si>
  <si>
    <t>Aerospace Engineers, Journeyman, 17-2011</t>
  </si>
  <si>
    <t>Avionics Technicians, Junior, 49-2091</t>
  </si>
  <si>
    <t>Avionics Technicians, Journeyman, 49-2091</t>
  </si>
  <si>
    <t>Avionics Technicians, Senior, 49-2091</t>
  </si>
  <si>
    <t>Computer Network Architects, Intermediate, 15-1241</t>
  </si>
  <si>
    <t>Drafters, All Other, (MBSE), Junior, 17-3019</t>
  </si>
  <si>
    <t>Drafters, All Other (MBSE), Journeyman, 17-3019</t>
  </si>
  <si>
    <t>Drafters, All Other (MBSE), Senior, 17-3019</t>
  </si>
  <si>
    <t>Drafter/CAD Operator I, 30061 (SCA)</t>
  </si>
  <si>
    <t>Drafter/CAD Operator II, 30062 (SCA)</t>
  </si>
  <si>
    <t>Drafter/CAD Operator III, 30063 (SCA)</t>
  </si>
  <si>
    <t>Drafter/CAD Operator IV, 30064 (SCA)</t>
  </si>
  <si>
    <t>Electrical Engineers, Junior, 17-2071</t>
  </si>
  <si>
    <t>Electrical Engineers, Journeyman, 17-2071</t>
  </si>
  <si>
    <t>Electronics Engineers, Except Computers, Junior, 17-2072</t>
  </si>
  <si>
    <t>Electronics Engineers, Except Computers, Journeyman, 17-2072</t>
  </si>
  <si>
    <t>Electronics Engineers, Except Computers, Senior, 17-2072</t>
  </si>
  <si>
    <t>Electronics Technician Maintenance II, 23182 (SCA)</t>
  </si>
  <si>
    <t>Electronics Technician Maintenance III, 23183 (SCA)</t>
  </si>
  <si>
    <t>Engineering Technician II, 30082 (SCA)</t>
  </si>
  <si>
    <t>Engineering Technician III, 30083 (SCA)</t>
  </si>
  <si>
    <t>Engineering Technician IV, 30084 (SCA)</t>
  </si>
  <si>
    <t>Engineering Technician V, 30085 (SCA)</t>
  </si>
  <si>
    <t>Engineers, All Other (Systems Engineer), Junior, 17-2199</t>
  </si>
  <si>
    <t>Engineers, All Other (Systems Engineer), Journeyman, 17-2199</t>
  </si>
  <si>
    <t>Engineers, All Other (Systems Engineer), Senior, 17-2199 *1 KEY*</t>
  </si>
  <si>
    <t>Financial Specialists, All Other, Junior, 13-2099</t>
  </si>
  <si>
    <t>Financial Specialists, All Other, Journeyman, 13-2099</t>
  </si>
  <si>
    <t>Information Security Analyst, Intermediate, 15-1212</t>
  </si>
  <si>
    <t>Logisticians, Junior, 13-1081</t>
  </si>
  <si>
    <t>Logisticians, Journeyman, 13-1081</t>
  </si>
  <si>
    <t>Mechanical Engineers, Junior, 17-2141</t>
  </si>
  <si>
    <t>Mechanical Engineers, Journeyman, 17-2141</t>
  </si>
  <si>
    <t>Mechanical Engineers, Senior, 17-2141</t>
  </si>
  <si>
    <t>Network &amp; Computer Systems Administrators, Basic, 15-1244</t>
  </si>
  <si>
    <t>Network &amp; Computer Systems Administrators, Intermediate, 15-1244</t>
  </si>
  <si>
    <t>Order Clerk II, 01192 (SCA)</t>
  </si>
  <si>
    <t>Project Management Specialists, Junior, 13-1082</t>
  </si>
  <si>
    <t>Project Management Specialists, Journeyman, 13-1082</t>
  </si>
  <si>
    <t>Project Management Specialists, Senior, 13-1082</t>
  </si>
  <si>
    <t>Technical Writer I, 30461 (SCA)</t>
  </si>
  <si>
    <t>Technical Writer II, 30462 (SCA)</t>
  </si>
  <si>
    <t>Warehouse Specialist, 21410 (SCA)</t>
  </si>
  <si>
    <t>Govt</t>
  </si>
  <si>
    <t>KTR</t>
  </si>
  <si>
    <r>
      <t>Total</t>
    </r>
    <r>
      <rPr>
        <sz val="12"/>
        <rFont val="Times New Roman"/>
        <family val="1"/>
      </rPr>
      <t> </t>
    </r>
  </si>
  <si>
    <t>Note: The location is either Patuxent River, MD or St. Inigoes, MD (Govt) (On-Site) or Contractor (KTR) (Off-Site)</t>
  </si>
  <si>
    <t>Aerospace Engineers, Senior, 17-2011</t>
  </si>
  <si>
    <t>Computer and Information Research Scientists, Intermediate, 15-1221</t>
  </si>
  <si>
    <t>Computer and Information Research Scientists, Advanced, 15-1221</t>
  </si>
  <si>
    <t>Computer Hardware Engineers, Intermediate, 17-2061</t>
  </si>
  <si>
    <t>Computer Hardware Engineers, Advanced, 17-2061</t>
  </si>
  <si>
    <t>Computer Programmers, Intermediate, 15-1251</t>
  </si>
  <si>
    <t>Computer Programmers, Advanced, 15-1251</t>
  </si>
  <si>
    <t>Computer Systems Analysts, Intermediate, 15-1211</t>
  </si>
  <si>
    <t>Computer Systems Analysts, Advanced, 15-1211</t>
  </si>
  <si>
    <t>Electrical Engineers, Senior, 17-2071</t>
  </si>
  <si>
    <t>General and Operations Managers (Tactical Network and Computer Systems Administrator), Intermediate, 11-1021</t>
  </si>
  <si>
    <t>General and Operations Managers (Tactical Network and Computer Systems Architect), Advanced, 11-1021</t>
  </si>
  <si>
    <t>General and Operations Managers (Program Manager), Senior, 11-1021 *1 KEY</t>
  </si>
  <si>
    <t>Information Security Analyst, Advanced, 15-1212</t>
  </si>
  <si>
    <t>Logisticians, Senior, 13-1081</t>
  </si>
  <si>
    <t>Operations Research Analysts (Cyber Analyst/Modeler), Intermediate, 15-2031</t>
  </si>
  <si>
    <t>Operations Research Analysts (Cyber Analyst/Modeler), Advanced, 15-2031</t>
  </si>
  <si>
    <t>Operations Research Analysts, Senior, 15-2031</t>
  </si>
  <si>
    <t>Software Developers, Advanced, 15-1252</t>
  </si>
  <si>
    <t>Software Developers, Intermediate, 15-1252</t>
  </si>
  <si>
    <t>Software Developers, Advanced, 15-1252 *1 KEY</t>
  </si>
  <si>
    <t>Software Quality Assurance Analysts and Testers, Intermediate, 15-1253</t>
  </si>
  <si>
    <t>Software Quality Assurance Analysts and Testers, Advanced, 15-1253</t>
  </si>
  <si>
    <t>Web and Digital Interface Designers, Intermediate, 15-1255</t>
  </si>
  <si>
    <t>Computer Based Training Specialist/Instructor, 15050 (SCA)</t>
  </si>
  <si>
    <t>Computer Systems Analyst III, 14103 (SCA)</t>
  </si>
  <si>
    <t>Computer Systems Analyst II, 14102 (SCA)</t>
  </si>
  <si>
    <r>
      <t xml:space="preserve">Section L, Part B, Paragraph </t>
    </r>
    <r>
      <rPr>
        <b/>
        <sz val="12"/>
        <rFont val="Times New Roman"/>
        <family val="1"/>
      </rPr>
      <t>2.5.1</t>
    </r>
  </si>
  <si>
    <t>Attachment 11</t>
  </si>
  <si>
    <t>FAR 52.217-8</t>
  </si>
  <si>
    <t>The location is either Patuxent River, MD or St. Inigoes, MD (Govt) (On-Site)</t>
  </si>
  <si>
    <t>Location</t>
  </si>
  <si>
    <t>The location is  Contractor (KTR) (Off-Site)</t>
  </si>
  <si>
    <t>SENSS Government Labor Hours - N00421-26-R-3005</t>
  </si>
  <si>
    <r>
      <t>Section L, Part B, Paragraph 3</t>
    </r>
    <r>
      <rPr>
        <b/>
        <sz val="12"/>
        <rFont val="Times New Roman"/>
        <family val="1"/>
      </rPr>
      <t>.5.1</t>
    </r>
  </si>
  <si>
    <t>Attachment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</si>
</sst>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164" fontId="6" fillId="0" borderId="1" xfId="1" applyNumberFormat="1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right" vertical="center" wrapText="1"/>
    </xf>
    <xf numFmtId="0" fontId="8" fillId="0" borderId="0" xfId="0" applyFont="1"/>
    <xf numFmtId="164" fontId="7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164" fontId="7" fillId="0" borderId="1" xfId="1" applyNumberFormat="1" applyFont="1" applyFill="1" applyBorder="1"/>
    <xf numFmtId="0" fontId="7" fillId="0" borderId="1" xfId="0" applyFont="1" applyBorder="1" applyAlignment="1">
      <alignment vertical="center"/>
    </xf>
    <xf numFmtId="0" fontId="9" fillId="0" borderId="0" xfId="0" applyFont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2" fillId="0" borderId="0" xfId="0" applyFont="1"/>
    <xf numFmtId="0" fontId="6" fillId="0" borderId="0" xfId="0" applyFont="1" applyAlignment="1">
      <alignment horizontal="right"/>
    </xf>
    <xf numFmtId="0" fontId="10" fillId="0" borderId="0" xfId="0" applyFont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164" fontId="10" fillId="0" borderId="1" xfId="1" applyNumberFormat="1" applyFont="1" applyBorder="1"/>
    <xf numFmtId="164" fontId="11" fillId="0" borderId="1" xfId="1" applyNumberFormat="1" applyFont="1" applyBorder="1"/>
    <xf numFmtId="0" fontId="10" fillId="0" borderId="0" xfId="0" applyFont="1" applyAlignment="1">
      <alignment wrapText="1"/>
    </xf>
    <xf numFmtId="164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B22B-2B1E-4BB7-99F3-442F740DDD2C}">
  <dimension ref="A1:I100"/>
  <sheetViews>
    <sheetView tabSelected="1" zoomScale="77" workbookViewId="0">
      <selection activeCell="I3" sqref="I3"/>
    </sheetView>
  </sheetViews>
  <sheetFormatPr defaultRowHeight="14.5" x14ac:dyDescent="0.35"/>
  <cols>
    <col min="1" max="1" width="78.1796875" customWidth="1"/>
    <col min="2" max="7" width="11.54296875" customWidth="1"/>
    <col min="8" max="8" width="11.54296875" hidden="1" customWidth="1"/>
    <col min="9" max="9" width="11.54296875" style="18" customWidth="1"/>
  </cols>
  <sheetData>
    <row r="1" spans="1:9" ht="15.5" x14ac:dyDescent="0.35">
      <c r="A1" s="29" t="s">
        <v>88</v>
      </c>
      <c r="B1" s="7"/>
      <c r="C1" s="1"/>
      <c r="D1" s="1"/>
      <c r="E1" s="1"/>
      <c r="F1" s="1"/>
      <c r="G1" s="1"/>
      <c r="H1" s="1"/>
      <c r="I1" s="30"/>
    </row>
    <row r="2" spans="1:9" ht="15.5" x14ac:dyDescent="0.35">
      <c r="A2" s="2" t="s">
        <v>89</v>
      </c>
      <c r="B2" s="7"/>
      <c r="C2" s="1"/>
      <c r="D2" s="1"/>
      <c r="E2" s="1"/>
      <c r="F2" s="1"/>
      <c r="G2" s="1"/>
      <c r="H2" s="1"/>
      <c r="I2" s="30" t="s">
        <v>90</v>
      </c>
    </row>
    <row r="3" spans="1:9" ht="15.5" x14ac:dyDescent="0.35">
      <c r="A3" s="2" t="s">
        <v>54</v>
      </c>
      <c r="B3" s="7"/>
      <c r="C3" s="1"/>
      <c r="D3" s="1"/>
      <c r="E3" s="1"/>
      <c r="F3" s="1"/>
      <c r="G3" s="1"/>
      <c r="H3" s="1"/>
      <c r="I3" s="16"/>
    </row>
    <row r="4" spans="1:9" ht="15.5" x14ac:dyDescent="0.35">
      <c r="A4" s="2"/>
      <c r="B4" s="7"/>
      <c r="C4" s="1"/>
      <c r="D4" s="1"/>
      <c r="E4" s="1"/>
      <c r="F4" s="1"/>
      <c r="G4" s="1"/>
      <c r="H4" s="1"/>
      <c r="I4" s="16"/>
    </row>
    <row r="5" spans="1:9" ht="30" x14ac:dyDescent="0.35">
      <c r="A5" s="3" t="s">
        <v>0</v>
      </c>
      <c r="B5" s="4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4" t="s">
        <v>84</v>
      </c>
      <c r="I5" s="17" t="s">
        <v>53</v>
      </c>
    </row>
    <row r="6" spans="1:9" ht="15.5" x14ac:dyDescent="0.35">
      <c r="A6" s="9" t="s">
        <v>8</v>
      </c>
      <c r="B6" s="10" t="s">
        <v>51</v>
      </c>
      <c r="C6" s="8">
        <v>480</v>
      </c>
      <c r="D6" s="8">
        <v>480</v>
      </c>
      <c r="E6" s="8">
        <v>480</v>
      </c>
      <c r="F6" s="8">
        <v>480</v>
      </c>
      <c r="G6" s="8">
        <v>480</v>
      </c>
      <c r="H6" s="8">
        <v>240</v>
      </c>
      <c r="I6" s="8">
        <f>C6+D6+E6+F6+G6</f>
        <v>2400</v>
      </c>
    </row>
    <row r="7" spans="1:9" ht="15.5" x14ac:dyDescent="0.35">
      <c r="A7" s="14" t="s">
        <v>8</v>
      </c>
      <c r="B7" s="11" t="s">
        <v>52</v>
      </c>
      <c r="C7" s="8">
        <v>960</v>
      </c>
      <c r="D7" s="8">
        <v>960</v>
      </c>
      <c r="E7" s="8">
        <v>960</v>
      </c>
      <c r="F7" s="8">
        <v>960</v>
      </c>
      <c r="G7" s="8">
        <v>960</v>
      </c>
      <c r="H7" s="8">
        <v>480</v>
      </c>
      <c r="I7" s="8">
        <f>C7+D7+E7+F7+G7</f>
        <v>4800</v>
      </c>
    </row>
    <row r="8" spans="1:9" ht="15.5" x14ac:dyDescent="0.35">
      <c r="A8" s="14" t="s">
        <v>55</v>
      </c>
      <c r="B8" s="11" t="s">
        <v>51</v>
      </c>
      <c r="C8" s="8">
        <v>480</v>
      </c>
      <c r="D8" s="8">
        <v>480</v>
      </c>
      <c r="E8" s="8">
        <v>480</v>
      </c>
      <c r="F8" s="8">
        <v>480</v>
      </c>
      <c r="G8" s="8">
        <v>480</v>
      </c>
      <c r="H8" s="8">
        <v>240</v>
      </c>
      <c r="I8" s="8">
        <f t="shared" ref="I8:I71" si="0">C8+D8+E8+F8+G8</f>
        <v>2400</v>
      </c>
    </row>
    <row r="9" spans="1:9" ht="15.5" x14ac:dyDescent="0.35">
      <c r="A9" s="14" t="s">
        <v>55</v>
      </c>
      <c r="B9" s="11" t="s">
        <v>52</v>
      </c>
      <c r="C9" s="8">
        <v>960</v>
      </c>
      <c r="D9" s="8">
        <v>960</v>
      </c>
      <c r="E9" s="8">
        <v>960</v>
      </c>
      <c r="F9" s="8">
        <v>960</v>
      </c>
      <c r="G9" s="8">
        <v>960</v>
      </c>
      <c r="H9" s="8">
        <v>480</v>
      </c>
      <c r="I9" s="8">
        <f t="shared" si="0"/>
        <v>4800</v>
      </c>
    </row>
    <row r="10" spans="1:9" ht="15.5" x14ac:dyDescent="0.35">
      <c r="A10" s="14" t="s">
        <v>9</v>
      </c>
      <c r="B10" s="10" t="s">
        <v>52</v>
      </c>
      <c r="C10" s="8">
        <v>960</v>
      </c>
      <c r="D10" s="8">
        <v>960</v>
      </c>
      <c r="E10" s="8">
        <v>960</v>
      </c>
      <c r="F10" s="8">
        <v>960</v>
      </c>
      <c r="G10" s="8">
        <v>960</v>
      </c>
      <c r="H10" s="8">
        <v>480</v>
      </c>
      <c r="I10" s="8">
        <f t="shared" si="0"/>
        <v>4800</v>
      </c>
    </row>
    <row r="11" spans="1:9" ht="15.5" x14ac:dyDescent="0.35">
      <c r="A11" s="14" t="s">
        <v>10</v>
      </c>
      <c r="B11" s="11" t="s">
        <v>52</v>
      </c>
      <c r="C11" s="8">
        <v>960</v>
      </c>
      <c r="D11" s="8">
        <v>960</v>
      </c>
      <c r="E11" s="8">
        <v>960</v>
      </c>
      <c r="F11" s="8">
        <v>960</v>
      </c>
      <c r="G11" s="8">
        <v>960</v>
      </c>
      <c r="H11" s="8">
        <v>480</v>
      </c>
      <c r="I11" s="8">
        <f t="shared" si="0"/>
        <v>4800</v>
      </c>
    </row>
    <row r="12" spans="1:9" ht="15.5" x14ac:dyDescent="0.35">
      <c r="A12" s="14" t="s">
        <v>11</v>
      </c>
      <c r="B12" s="10" t="s">
        <v>52</v>
      </c>
      <c r="C12" s="8">
        <v>960</v>
      </c>
      <c r="D12" s="8">
        <v>960</v>
      </c>
      <c r="E12" s="8">
        <v>960</v>
      </c>
      <c r="F12" s="8">
        <v>960</v>
      </c>
      <c r="G12" s="8">
        <v>960</v>
      </c>
      <c r="H12" s="8">
        <v>480</v>
      </c>
      <c r="I12" s="8">
        <f t="shared" si="0"/>
        <v>4800</v>
      </c>
    </row>
    <row r="13" spans="1:9" ht="15.5" x14ac:dyDescent="0.35">
      <c r="A13" s="21" t="s">
        <v>56</v>
      </c>
      <c r="B13" s="11" t="s">
        <v>51</v>
      </c>
      <c r="C13" s="8">
        <v>1300</v>
      </c>
      <c r="D13" s="8">
        <v>1300</v>
      </c>
      <c r="E13" s="8">
        <v>1300</v>
      </c>
      <c r="F13" s="8">
        <v>1300</v>
      </c>
      <c r="G13" s="8">
        <v>1300</v>
      </c>
      <c r="H13" s="8">
        <v>650</v>
      </c>
      <c r="I13" s="8">
        <f t="shared" si="0"/>
        <v>6500</v>
      </c>
    </row>
    <row r="14" spans="1:9" ht="15.5" x14ac:dyDescent="0.35">
      <c r="A14" s="21" t="s">
        <v>56</v>
      </c>
      <c r="B14" s="11" t="s">
        <v>52</v>
      </c>
      <c r="C14" s="8">
        <v>960</v>
      </c>
      <c r="D14" s="8">
        <v>960</v>
      </c>
      <c r="E14" s="8">
        <v>960</v>
      </c>
      <c r="F14" s="8">
        <v>960</v>
      </c>
      <c r="G14" s="8">
        <v>960</v>
      </c>
      <c r="H14" s="8">
        <v>480</v>
      </c>
      <c r="I14" s="8">
        <f t="shared" si="0"/>
        <v>4800</v>
      </c>
    </row>
    <row r="15" spans="1:9" ht="15.5" x14ac:dyDescent="0.35">
      <c r="A15" s="21" t="s">
        <v>57</v>
      </c>
      <c r="B15" s="11" t="s">
        <v>51</v>
      </c>
      <c r="C15" s="8">
        <v>1440</v>
      </c>
      <c r="D15" s="8">
        <v>1440</v>
      </c>
      <c r="E15" s="8">
        <v>1440</v>
      </c>
      <c r="F15" s="8">
        <v>1440</v>
      </c>
      <c r="G15" s="8">
        <v>1440</v>
      </c>
      <c r="H15" s="8">
        <v>720</v>
      </c>
      <c r="I15" s="8">
        <f t="shared" si="0"/>
        <v>7200</v>
      </c>
    </row>
    <row r="16" spans="1:9" ht="15.5" x14ac:dyDescent="0.35">
      <c r="A16" s="14" t="s">
        <v>58</v>
      </c>
      <c r="B16" s="11" t="s">
        <v>52</v>
      </c>
      <c r="C16" s="8">
        <v>960</v>
      </c>
      <c r="D16" s="8">
        <v>960</v>
      </c>
      <c r="E16" s="8">
        <v>960</v>
      </c>
      <c r="F16" s="8">
        <v>960</v>
      </c>
      <c r="G16" s="8">
        <v>960</v>
      </c>
      <c r="H16" s="8">
        <v>480</v>
      </c>
      <c r="I16" s="8">
        <f t="shared" si="0"/>
        <v>4800</v>
      </c>
    </row>
    <row r="17" spans="1:9" ht="15.5" x14ac:dyDescent="0.35">
      <c r="A17" s="14" t="s">
        <v>59</v>
      </c>
      <c r="B17" s="10" t="s">
        <v>52</v>
      </c>
      <c r="C17" s="8">
        <v>960</v>
      </c>
      <c r="D17" s="8">
        <v>960</v>
      </c>
      <c r="E17" s="8">
        <v>960</v>
      </c>
      <c r="F17" s="8">
        <v>960</v>
      </c>
      <c r="G17" s="8">
        <v>960</v>
      </c>
      <c r="H17" s="8">
        <v>480</v>
      </c>
      <c r="I17" s="8">
        <f t="shared" si="0"/>
        <v>4800</v>
      </c>
    </row>
    <row r="18" spans="1:9" ht="15.5" x14ac:dyDescent="0.35">
      <c r="A18" s="14" t="s">
        <v>12</v>
      </c>
      <c r="B18" s="10" t="s">
        <v>51</v>
      </c>
      <c r="C18" s="8">
        <v>1920</v>
      </c>
      <c r="D18" s="8">
        <v>1920</v>
      </c>
      <c r="E18" s="8">
        <v>1920</v>
      </c>
      <c r="F18" s="8">
        <v>1920</v>
      </c>
      <c r="G18" s="8">
        <v>1920</v>
      </c>
      <c r="H18" s="8">
        <v>960</v>
      </c>
      <c r="I18" s="8">
        <f t="shared" si="0"/>
        <v>9600</v>
      </c>
    </row>
    <row r="19" spans="1:9" ht="15.5" x14ac:dyDescent="0.35">
      <c r="A19" s="14" t="s">
        <v>60</v>
      </c>
      <c r="B19" s="10" t="s">
        <v>51</v>
      </c>
      <c r="C19" s="8">
        <v>1920</v>
      </c>
      <c r="D19" s="8">
        <v>1920</v>
      </c>
      <c r="E19" s="8">
        <v>1920</v>
      </c>
      <c r="F19" s="8">
        <v>1920</v>
      </c>
      <c r="G19" s="8">
        <v>1920</v>
      </c>
      <c r="H19" s="8">
        <v>960</v>
      </c>
      <c r="I19" s="8">
        <f t="shared" si="0"/>
        <v>9600</v>
      </c>
    </row>
    <row r="20" spans="1:9" ht="15.5" x14ac:dyDescent="0.35">
      <c r="A20" s="14" t="s">
        <v>60</v>
      </c>
      <c r="B20" s="10" t="s">
        <v>52</v>
      </c>
      <c r="C20" s="8">
        <v>2880</v>
      </c>
      <c r="D20" s="8">
        <v>2880</v>
      </c>
      <c r="E20" s="8">
        <v>2880</v>
      </c>
      <c r="F20" s="8">
        <v>2880</v>
      </c>
      <c r="G20" s="8">
        <v>2880</v>
      </c>
      <c r="H20" s="8">
        <v>1440</v>
      </c>
      <c r="I20" s="8">
        <f t="shared" si="0"/>
        <v>14400</v>
      </c>
    </row>
    <row r="21" spans="1:9" ht="15.5" x14ac:dyDescent="0.35">
      <c r="A21" s="14" t="s">
        <v>61</v>
      </c>
      <c r="B21" s="10" t="s">
        <v>51</v>
      </c>
      <c r="C21" s="8">
        <v>3840</v>
      </c>
      <c r="D21" s="8">
        <v>3840</v>
      </c>
      <c r="E21" s="8">
        <v>3840</v>
      </c>
      <c r="F21" s="8">
        <v>3840</v>
      </c>
      <c r="G21" s="8">
        <v>3840</v>
      </c>
      <c r="H21" s="8">
        <v>1920</v>
      </c>
      <c r="I21" s="8">
        <f t="shared" si="0"/>
        <v>19200</v>
      </c>
    </row>
    <row r="22" spans="1:9" ht="15.5" x14ac:dyDescent="0.35">
      <c r="A22" s="14" t="s">
        <v>61</v>
      </c>
      <c r="B22" s="10" t="s">
        <v>52</v>
      </c>
      <c r="C22" s="22">
        <v>5760</v>
      </c>
      <c r="D22" s="22">
        <v>5760</v>
      </c>
      <c r="E22" s="22">
        <v>5760</v>
      </c>
      <c r="F22" s="22">
        <v>5760</v>
      </c>
      <c r="G22" s="22">
        <v>5760</v>
      </c>
      <c r="H22" s="22">
        <f>C22/2</f>
        <v>2880</v>
      </c>
      <c r="I22" s="8">
        <f t="shared" si="0"/>
        <v>28800</v>
      </c>
    </row>
    <row r="23" spans="1:9" ht="15.5" x14ac:dyDescent="0.35">
      <c r="A23" s="14" t="s">
        <v>62</v>
      </c>
      <c r="B23" s="10" t="s">
        <v>52</v>
      </c>
      <c r="C23" s="22">
        <v>2880</v>
      </c>
      <c r="D23" s="22">
        <v>2880</v>
      </c>
      <c r="E23" s="22">
        <v>2880</v>
      </c>
      <c r="F23" s="22">
        <v>2880</v>
      </c>
      <c r="G23" s="22">
        <v>2880</v>
      </c>
      <c r="H23" s="22">
        <v>1440</v>
      </c>
      <c r="I23" s="8">
        <f t="shared" si="0"/>
        <v>14400</v>
      </c>
    </row>
    <row r="24" spans="1:9" ht="15.5" x14ac:dyDescent="0.35">
      <c r="A24" s="14" t="s">
        <v>63</v>
      </c>
      <c r="B24" s="10" t="s">
        <v>51</v>
      </c>
      <c r="C24" s="8">
        <v>1920</v>
      </c>
      <c r="D24" s="8">
        <v>1920</v>
      </c>
      <c r="E24" s="8">
        <v>1920</v>
      </c>
      <c r="F24" s="8">
        <v>1920</v>
      </c>
      <c r="G24" s="8">
        <v>1920</v>
      </c>
      <c r="H24" s="22">
        <v>960</v>
      </c>
      <c r="I24" s="8">
        <f t="shared" si="0"/>
        <v>9600</v>
      </c>
    </row>
    <row r="25" spans="1:9" ht="15.5" x14ac:dyDescent="0.35">
      <c r="A25" s="14" t="s">
        <v>13</v>
      </c>
      <c r="B25" s="11" t="s">
        <v>52</v>
      </c>
      <c r="C25" s="8">
        <v>960</v>
      </c>
      <c r="D25" s="8">
        <v>960</v>
      </c>
      <c r="E25" s="8">
        <v>960</v>
      </c>
      <c r="F25" s="8">
        <v>960</v>
      </c>
      <c r="G25" s="8">
        <v>960</v>
      </c>
      <c r="H25" s="8">
        <v>480</v>
      </c>
      <c r="I25" s="8">
        <f t="shared" si="0"/>
        <v>4800</v>
      </c>
    </row>
    <row r="26" spans="1:9" ht="15.5" x14ac:dyDescent="0.35">
      <c r="A26" s="14" t="s">
        <v>14</v>
      </c>
      <c r="B26" s="11" t="s">
        <v>51</v>
      </c>
      <c r="C26" s="8">
        <v>1920</v>
      </c>
      <c r="D26" s="8">
        <v>1920</v>
      </c>
      <c r="E26" s="8">
        <v>1920</v>
      </c>
      <c r="F26" s="8">
        <v>1920</v>
      </c>
      <c r="G26" s="8">
        <v>1920</v>
      </c>
      <c r="H26" s="8">
        <v>960</v>
      </c>
      <c r="I26" s="8">
        <f t="shared" si="0"/>
        <v>9600</v>
      </c>
    </row>
    <row r="27" spans="1:9" ht="15.5" x14ac:dyDescent="0.35">
      <c r="A27" s="14" t="s">
        <v>14</v>
      </c>
      <c r="B27" s="11" t="s">
        <v>52</v>
      </c>
      <c r="C27" s="8">
        <v>960</v>
      </c>
      <c r="D27" s="8">
        <v>960</v>
      </c>
      <c r="E27" s="8">
        <v>960</v>
      </c>
      <c r="F27" s="8">
        <v>960</v>
      </c>
      <c r="G27" s="8">
        <v>960</v>
      </c>
      <c r="H27" s="8">
        <v>480</v>
      </c>
      <c r="I27" s="8">
        <f t="shared" si="0"/>
        <v>4800</v>
      </c>
    </row>
    <row r="28" spans="1:9" ht="15.5" x14ac:dyDescent="0.35">
      <c r="A28" s="14" t="s">
        <v>15</v>
      </c>
      <c r="B28" s="11" t="s">
        <v>51</v>
      </c>
      <c r="C28" s="8">
        <v>960</v>
      </c>
      <c r="D28" s="8">
        <v>960</v>
      </c>
      <c r="E28" s="8">
        <v>960</v>
      </c>
      <c r="F28" s="8">
        <v>960</v>
      </c>
      <c r="G28" s="8">
        <v>960</v>
      </c>
      <c r="H28" s="8">
        <v>480</v>
      </c>
      <c r="I28" s="8">
        <f t="shared" si="0"/>
        <v>4800</v>
      </c>
    </row>
    <row r="29" spans="1:9" ht="15.5" x14ac:dyDescent="0.35">
      <c r="A29" s="14" t="s">
        <v>15</v>
      </c>
      <c r="B29" s="11" t="s">
        <v>52</v>
      </c>
      <c r="C29" s="8">
        <v>960</v>
      </c>
      <c r="D29" s="8">
        <v>960</v>
      </c>
      <c r="E29" s="8">
        <v>960</v>
      </c>
      <c r="F29" s="8">
        <v>960</v>
      </c>
      <c r="G29" s="8">
        <v>960</v>
      </c>
      <c r="H29" s="8">
        <v>480</v>
      </c>
      <c r="I29" s="8">
        <f t="shared" si="0"/>
        <v>4800</v>
      </c>
    </row>
    <row r="30" spans="1:9" ht="15.5" x14ac:dyDescent="0.35">
      <c r="A30" s="14" t="s">
        <v>20</v>
      </c>
      <c r="B30" s="11" t="s">
        <v>52</v>
      </c>
      <c r="C30" s="8">
        <v>960</v>
      </c>
      <c r="D30" s="8">
        <v>960</v>
      </c>
      <c r="E30" s="8">
        <v>960</v>
      </c>
      <c r="F30" s="8">
        <v>960</v>
      </c>
      <c r="G30" s="8">
        <v>960</v>
      </c>
      <c r="H30" s="8">
        <v>480</v>
      </c>
      <c r="I30" s="8">
        <f t="shared" si="0"/>
        <v>4800</v>
      </c>
    </row>
    <row r="31" spans="1:9" ht="15.5" x14ac:dyDescent="0.35">
      <c r="A31" s="23" t="s">
        <v>21</v>
      </c>
      <c r="B31" s="10" t="s">
        <v>51</v>
      </c>
      <c r="C31" s="8">
        <v>1920</v>
      </c>
      <c r="D31" s="8">
        <v>1920</v>
      </c>
      <c r="E31" s="8">
        <v>1920</v>
      </c>
      <c r="F31" s="8">
        <v>1920</v>
      </c>
      <c r="G31" s="8">
        <v>1920</v>
      </c>
      <c r="H31" s="8">
        <v>960</v>
      </c>
      <c r="I31" s="8">
        <f t="shared" si="0"/>
        <v>9600</v>
      </c>
    </row>
    <row r="32" spans="1:9" ht="15.5" x14ac:dyDescent="0.35">
      <c r="A32" s="14" t="s">
        <v>21</v>
      </c>
      <c r="B32" s="11" t="s">
        <v>52</v>
      </c>
      <c r="C32" s="8">
        <v>960</v>
      </c>
      <c r="D32" s="8">
        <v>960</v>
      </c>
      <c r="E32" s="8">
        <v>960</v>
      </c>
      <c r="F32" s="8">
        <v>960</v>
      </c>
      <c r="G32" s="8">
        <v>960</v>
      </c>
      <c r="H32" s="8">
        <v>480</v>
      </c>
      <c r="I32" s="8">
        <f t="shared" si="0"/>
        <v>4800</v>
      </c>
    </row>
    <row r="33" spans="1:9" ht="15.5" x14ac:dyDescent="0.35">
      <c r="A33" s="14" t="s">
        <v>64</v>
      </c>
      <c r="B33" s="11" t="s">
        <v>51</v>
      </c>
      <c r="C33" s="8">
        <v>480</v>
      </c>
      <c r="D33" s="8">
        <v>480</v>
      </c>
      <c r="E33" s="8">
        <v>480</v>
      </c>
      <c r="F33" s="8">
        <v>480</v>
      </c>
      <c r="G33" s="8">
        <v>480</v>
      </c>
      <c r="H33" s="8">
        <v>240</v>
      </c>
      <c r="I33" s="8">
        <f t="shared" si="0"/>
        <v>2400</v>
      </c>
    </row>
    <row r="34" spans="1:9" ht="15.5" x14ac:dyDescent="0.35">
      <c r="A34" s="14" t="s">
        <v>22</v>
      </c>
      <c r="B34" s="11" t="s">
        <v>52</v>
      </c>
      <c r="C34" s="8">
        <v>480</v>
      </c>
      <c r="D34" s="8">
        <v>480</v>
      </c>
      <c r="E34" s="8">
        <v>480</v>
      </c>
      <c r="F34" s="8">
        <v>480</v>
      </c>
      <c r="G34" s="8">
        <v>480</v>
      </c>
      <c r="H34" s="8">
        <v>240</v>
      </c>
      <c r="I34" s="8">
        <f t="shared" si="0"/>
        <v>2400</v>
      </c>
    </row>
    <row r="35" spans="1:9" ht="15.5" x14ac:dyDescent="0.35">
      <c r="A35" s="14" t="s">
        <v>23</v>
      </c>
      <c r="B35" s="11" t="s">
        <v>52</v>
      </c>
      <c r="C35" s="8">
        <v>480</v>
      </c>
      <c r="D35" s="8">
        <v>480</v>
      </c>
      <c r="E35" s="8">
        <v>480</v>
      </c>
      <c r="F35" s="8">
        <v>480</v>
      </c>
      <c r="G35" s="8">
        <v>480</v>
      </c>
      <c r="H35" s="8">
        <v>240</v>
      </c>
      <c r="I35" s="8">
        <f t="shared" si="0"/>
        <v>2400</v>
      </c>
    </row>
    <row r="36" spans="1:9" ht="15.5" x14ac:dyDescent="0.35">
      <c r="A36" s="14" t="s">
        <v>24</v>
      </c>
      <c r="B36" s="11" t="s">
        <v>52</v>
      </c>
      <c r="C36" s="8">
        <v>480</v>
      </c>
      <c r="D36" s="8">
        <v>480</v>
      </c>
      <c r="E36" s="8">
        <v>480</v>
      </c>
      <c r="F36" s="8">
        <v>480</v>
      </c>
      <c r="G36" s="8">
        <v>480</v>
      </c>
      <c r="H36" s="8">
        <v>240</v>
      </c>
      <c r="I36" s="8">
        <f t="shared" si="0"/>
        <v>2400</v>
      </c>
    </row>
    <row r="37" spans="1:9" ht="15.5" x14ac:dyDescent="0.35">
      <c r="A37" s="14" t="s">
        <v>31</v>
      </c>
      <c r="B37" s="10" t="s">
        <v>51</v>
      </c>
      <c r="C37" s="8">
        <v>1920</v>
      </c>
      <c r="D37" s="8">
        <v>1920</v>
      </c>
      <c r="E37" s="8">
        <v>1920</v>
      </c>
      <c r="F37" s="8">
        <v>1920</v>
      </c>
      <c r="G37" s="8">
        <v>1920</v>
      </c>
      <c r="H37" s="8">
        <v>960</v>
      </c>
      <c r="I37" s="8">
        <f t="shared" si="0"/>
        <v>9600</v>
      </c>
    </row>
    <row r="38" spans="1:9" ht="15.5" x14ac:dyDescent="0.35">
      <c r="A38" s="14" t="s">
        <v>31</v>
      </c>
      <c r="B38" s="11" t="s">
        <v>52</v>
      </c>
      <c r="C38" s="8">
        <v>960</v>
      </c>
      <c r="D38" s="8">
        <v>960</v>
      </c>
      <c r="E38" s="8">
        <v>960</v>
      </c>
      <c r="F38" s="8">
        <v>960</v>
      </c>
      <c r="G38" s="8">
        <v>960</v>
      </c>
      <c r="H38" s="8">
        <v>480</v>
      </c>
      <c r="I38" s="8">
        <f t="shared" si="0"/>
        <v>4800</v>
      </c>
    </row>
    <row r="39" spans="1:9" ht="15.5" x14ac:dyDescent="0.35">
      <c r="A39" s="14" t="s">
        <v>32</v>
      </c>
      <c r="B39" s="10" t="s">
        <v>51</v>
      </c>
      <c r="C39" s="8">
        <v>1920</v>
      </c>
      <c r="D39" s="8">
        <v>1920</v>
      </c>
      <c r="E39" s="8">
        <v>1920</v>
      </c>
      <c r="F39" s="8">
        <v>1920</v>
      </c>
      <c r="G39" s="8">
        <v>1920</v>
      </c>
      <c r="H39" s="8">
        <v>960</v>
      </c>
      <c r="I39" s="8">
        <f t="shared" si="0"/>
        <v>9600</v>
      </c>
    </row>
    <row r="40" spans="1:9" ht="15.5" x14ac:dyDescent="0.35">
      <c r="A40" s="14" t="s">
        <v>32</v>
      </c>
      <c r="B40" s="11" t="s">
        <v>52</v>
      </c>
      <c r="C40" s="8">
        <v>1440</v>
      </c>
      <c r="D40" s="8">
        <v>1440</v>
      </c>
      <c r="E40" s="8">
        <v>1440</v>
      </c>
      <c r="F40" s="8">
        <v>1440</v>
      </c>
      <c r="G40" s="8">
        <v>1440</v>
      </c>
      <c r="H40" s="8">
        <v>720</v>
      </c>
      <c r="I40" s="8">
        <f t="shared" si="0"/>
        <v>7200</v>
      </c>
    </row>
    <row r="41" spans="1:9" s="24" customFormat="1" ht="15.5" x14ac:dyDescent="0.35">
      <c r="A41" s="20" t="s">
        <v>33</v>
      </c>
      <c r="B41" s="13" t="s">
        <v>51</v>
      </c>
      <c r="C41" s="5">
        <v>960</v>
      </c>
      <c r="D41" s="5">
        <v>960</v>
      </c>
      <c r="E41" s="5">
        <v>960</v>
      </c>
      <c r="F41" s="5">
        <v>960</v>
      </c>
      <c r="G41" s="5">
        <v>960</v>
      </c>
      <c r="H41" s="5">
        <v>480</v>
      </c>
      <c r="I41" s="8">
        <f t="shared" si="0"/>
        <v>4800</v>
      </c>
    </row>
    <row r="42" spans="1:9" s="24" customFormat="1" ht="15.5" x14ac:dyDescent="0.35">
      <c r="A42" s="20" t="s">
        <v>33</v>
      </c>
      <c r="B42" s="13" t="s">
        <v>52</v>
      </c>
      <c r="C42" s="5">
        <v>960</v>
      </c>
      <c r="D42" s="5">
        <v>960</v>
      </c>
      <c r="E42" s="5">
        <v>960</v>
      </c>
      <c r="F42" s="5">
        <v>960</v>
      </c>
      <c r="G42" s="5">
        <v>960</v>
      </c>
      <c r="H42" s="5">
        <v>480</v>
      </c>
      <c r="I42" s="8">
        <f t="shared" si="0"/>
        <v>4800</v>
      </c>
    </row>
    <row r="43" spans="1:9" ht="15.5" x14ac:dyDescent="0.35">
      <c r="A43" s="14" t="s">
        <v>34</v>
      </c>
      <c r="B43" s="11" t="s">
        <v>52</v>
      </c>
      <c r="C43" s="8">
        <v>480</v>
      </c>
      <c r="D43" s="8">
        <v>480</v>
      </c>
      <c r="E43" s="8">
        <v>480</v>
      </c>
      <c r="F43" s="8">
        <v>480</v>
      </c>
      <c r="G43" s="8">
        <v>480</v>
      </c>
      <c r="H43" s="8">
        <v>240</v>
      </c>
      <c r="I43" s="8">
        <f t="shared" si="0"/>
        <v>2400</v>
      </c>
    </row>
    <row r="44" spans="1:9" ht="15.5" x14ac:dyDescent="0.35">
      <c r="A44" s="14" t="s">
        <v>35</v>
      </c>
      <c r="B44" s="11" t="s">
        <v>52</v>
      </c>
      <c r="C44" s="8">
        <v>1536</v>
      </c>
      <c r="D44" s="8">
        <v>1536</v>
      </c>
      <c r="E44" s="8">
        <v>1536</v>
      </c>
      <c r="F44" s="8">
        <v>1536</v>
      </c>
      <c r="G44" s="8">
        <v>1536</v>
      </c>
      <c r="H44" s="8">
        <v>768</v>
      </c>
      <c r="I44" s="8">
        <f t="shared" si="0"/>
        <v>7680</v>
      </c>
    </row>
    <row r="45" spans="1:9" ht="15.5" x14ac:dyDescent="0.35">
      <c r="A45" s="14" t="s">
        <v>65</v>
      </c>
      <c r="B45" s="11" t="s">
        <v>51</v>
      </c>
      <c r="C45" s="8">
        <v>1920</v>
      </c>
      <c r="D45" s="8">
        <v>1920</v>
      </c>
      <c r="E45" s="8">
        <v>1920</v>
      </c>
      <c r="F45" s="8">
        <v>1920</v>
      </c>
      <c r="G45" s="8">
        <v>1920</v>
      </c>
      <c r="H45" s="8">
        <v>960</v>
      </c>
      <c r="I45" s="8">
        <f t="shared" si="0"/>
        <v>9600</v>
      </c>
    </row>
    <row r="46" spans="1:9" ht="15.5" x14ac:dyDescent="0.35">
      <c r="A46" s="14" t="s">
        <v>65</v>
      </c>
      <c r="B46" s="11" t="s">
        <v>52</v>
      </c>
      <c r="C46" s="8">
        <v>1920</v>
      </c>
      <c r="D46" s="8">
        <v>1920</v>
      </c>
      <c r="E46" s="8">
        <v>1920</v>
      </c>
      <c r="F46" s="8">
        <v>1920</v>
      </c>
      <c r="G46" s="8">
        <v>1920</v>
      </c>
      <c r="H46" s="8">
        <v>960</v>
      </c>
      <c r="I46" s="8">
        <f t="shared" si="0"/>
        <v>9600</v>
      </c>
    </row>
    <row r="47" spans="1:9" ht="15.5" x14ac:dyDescent="0.35">
      <c r="A47" s="14" t="s">
        <v>66</v>
      </c>
      <c r="B47" s="11" t="s">
        <v>52</v>
      </c>
      <c r="C47" s="8">
        <v>960</v>
      </c>
      <c r="D47" s="8">
        <v>960</v>
      </c>
      <c r="E47" s="8">
        <v>960</v>
      </c>
      <c r="F47" s="8">
        <v>960</v>
      </c>
      <c r="G47" s="8">
        <v>960</v>
      </c>
      <c r="H47" s="8">
        <v>480</v>
      </c>
      <c r="I47" s="8">
        <f t="shared" si="0"/>
        <v>4800</v>
      </c>
    </row>
    <row r="48" spans="1:9" s="24" customFormat="1" ht="15.5" x14ac:dyDescent="0.35">
      <c r="A48" s="20" t="s">
        <v>67</v>
      </c>
      <c r="B48" s="12" t="s">
        <v>51</v>
      </c>
      <c r="C48" s="5">
        <v>960</v>
      </c>
      <c r="D48" s="5">
        <v>960</v>
      </c>
      <c r="E48" s="5">
        <v>960</v>
      </c>
      <c r="F48" s="5">
        <v>960</v>
      </c>
      <c r="G48" s="5">
        <v>960</v>
      </c>
      <c r="H48" s="5">
        <v>480</v>
      </c>
      <c r="I48" s="8">
        <f t="shared" si="0"/>
        <v>4800</v>
      </c>
    </row>
    <row r="49" spans="1:9" s="24" customFormat="1" ht="15.5" x14ac:dyDescent="0.35">
      <c r="A49" s="20" t="s">
        <v>67</v>
      </c>
      <c r="B49" s="12" t="s">
        <v>52</v>
      </c>
      <c r="C49" s="5">
        <v>960</v>
      </c>
      <c r="D49" s="5">
        <v>960</v>
      </c>
      <c r="E49" s="5">
        <v>960</v>
      </c>
      <c r="F49" s="5">
        <v>960</v>
      </c>
      <c r="G49" s="5">
        <v>960</v>
      </c>
      <c r="H49" s="5">
        <v>480</v>
      </c>
      <c r="I49" s="8">
        <f t="shared" si="0"/>
        <v>4800</v>
      </c>
    </row>
    <row r="50" spans="1:9" ht="15.5" x14ac:dyDescent="0.35">
      <c r="A50" s="14" t="s">
        <v>36</v>
      </c>
      <c r="B50" s="10" t="s">
        <v>52</v>
      </c>
      <c r="C50" s="8">
        <v>2880</v>
      </c>
      <c r="D50" s="8">
        <v>2880</v>
      </c>
      <c r="E50" s="8">
        <v>2880</v>
      </c>
      <c r="F50" s="8">
        <v>2880</v>
      </c>
      <c r="G50" s="8">
        <v>3120</v>
      </c>
      <c r="H50" s="8">
        <v>1560</v>
      </c>
      <c r="I50" s="8">
        <f t="shared" si="0"/>
        <v>14640</v>
      </c>
    </row>
    <row r="51" spans="1:9" ht="15.5" x14ac:dyDescent="0.35">
      <c r="A51" s="14" t="s">
        <v>68</v>
      </c>
      <c r="B51" s="11" t="s">
        <v>51</v>
      </c>
      <c r="C51" s="8">
        <v>3840</v>
      </c>
      <c r="D51" s="8">
        <v>3840</v>
      </c>
      <c r="E51" s="8">
        <v>3840</v>
      </c>
      <c r="F51" s="8">
        <v>3840</v>
      </c>
      <c r="G51" s="8">
        <v>3840</v>
      </c>
      <c r="H51" s="8">
        <v>1920</v>
      </c>
      <c r="I51" s="8">
        <f t="shared" si="0"/>
        <v>19200</v>
      </c>
    </row>
    <row r="52" spans="1:9" ht="15.5" x14ac:dyDescent="0.35">
      <c r="A52" s="14" t="s">
        <v>68</v>
      </c>
      <c r="B52" s="11" t="s">
        <v>52</v>
      </c>
      <c r="C52" s="8">
        <v>960</v>
      </c>
      <c r="D52" s="8">
        <v>960</v>
      </c>
      <c r="E52" s="8">
        <v>960</v>
      </c>
      <c r="F52" s="8">
        <v>960</v>
      </c>
      <c r="G52" s="8">
        <v>960</v>
      </c>
      <c r="H52" s="8">
        <v>480</v>
      </c>
      <c r="I52" s="8">
        <f t="shared" si="0"/>
        <v>4800</v>
      </c>
    </row>
    <row r="53" spans="1:9" ht="15.5" x14ac:dyDescent="0.35">
      <c r="A53" s="14" t="s">
        <v>37</v>
      </c>
      <c r="B53" s="11" t="s">
        <v>52</v>
      </c>
      <c r="C53" s="8">
        <v>480</v>
      </c>
      <c r="D53" s="8">
        <v>480</v>
      </c>
      <c r="E53" s="8">
        <v>480</v>
      </c>
      <c r="F53" s="8">
        <v>480</v>
      </c>
      <c r="G53" s="8">
        <v>480</v>
      </c>
      <c r="H53" s="8">
        <v>240</v>
      </c>
      <c r="I53" s="8">
        <f t="shared" si="0"/>
        <v>2400</v>
      </c>
    </row>
    <row r="54" spans="1:9" ht="15.5" x14ac:dyDescent="0.35">
      <c r="A54" s="14" t="s">
        <v>38</v>
      </c>
      <c r="B54" s="10" t="s">
        <v>51</v>
      </c>
      <c r="C54" s="8">
        <v>960</v>
      </c>
      <c r="D54" s="8">
        <v>960</v>
      </c>
      <c r="E54" s="8">
        <v>960</v>
      </c>
      <c r="F54" s="8">
        <v>960</v>
      </c>
      <c r="G54" s="8">
        <v>960</v>
      </c>
      <c r="H54" s="8">
        <v>480</v>
      </c>
      <c r="I54" s="8">
        <f t="shared" si="0"/>
        <v>4800</v>
      </c>
    </row>
    <row r="55" spans="1:9" ht="15.5" x14ac:dyDescent="0.35">
      <c r="A55" s="14" t="s">
        <v>69</v>
      </c>
      <c r="B55" s="11" t="s">
        <v>52</v>
      </c>
      <c r="C55" s="8">
        <v>480</v>
      </c>
      <c r="D55" s="8">
        <v>480</v>
      </c>
      <c r="E55" s="8">
        <v>480</v>
      </c>
      <c r="F55" s="8">
        <v>480</v>
      </c>
      <c r="G55" s="8">
        <v>480</v>
      </c>
      <c r="H55" s="8">
        <v>240</v>
      </c>
      <c r="I55" s="8">
        <f t="shared" si="0"/>
        <v>2400</v>
      </c>
    </row>
    <row r="56" spans="1:9" ht="15.5" x14ac:dyDescent="0.35">
      <c r="A56" s="14" t="s">
        <v>39</v>
      </c>
      <c r="B56" s="11" t="s">
        <v>51</v>
      </c>
      <c r="C56" s="8">
        <v>1920</v>
      </c>
      <c r="D56" s="8">
        <v>1920</v>
      </c>
      <c r="E56" s="8">
        <v>1920</v>
      </c>
      <c r="F56" s="8">
        <v>1920</v>
      </c>
      <c r="G56" s="8">
        <v>1920</v>
      </c>
      <c r="H56" s="8">
        <v>960</v>
      </c>
      <c r="I56" s="8">
        <f t="shared" si="0"/>
        <v>9600</v>
      </c>
    </row>
    <row r="57" spans="1:9" ht="15.5" x14ac:dyDescent="0.35">
      <c r="A57" s="14" t="s">
        <v>40</v>
      </c>
      <c r="B57" s="11" t="s">
        <v>52</v>
      </c>
      <c r="C57" s="8">
        <v>960</v>
      </c>
      <c r="D57" s="8">
        <v>960</v>
      </c>
      <c r="E57" s="8">
        <v>960</v>
      </c>
      <c r="F57" s="8">
        <v>960</v>
      </c>
      <c r="G57" s="8">
        <v>960</v>
      </c>
      <c r="H57" s="8">
        <v>480</v>
      </c>
      <c r="I57" s="8">
        <f t="shared" si="0"/>
        <v>4800</v>
      </c>
    </row>
    <row r="58" spans="1:9" ht="15.5" x14ac:dyDescent="0.35">
      <c r="A58" s="14" t="s">
        <v>41</v>
      </c>
      <c r="B58" s="11" t="s">
        <v>52</v>
      </c>
      <c r="C58" s="8">
        <v>480</v>
      </c>
      <c r="D58" s="8">
        <v>480</v>
      </c>
      <c r="E58" s="8">
        <v>480</v>
      </c>
      <c r="F58" s="8">
        <v>480</v>
      </c>
      <c r="G58" s="8">
        <v>480</v>
      </c>
      <c r="H58" s="8">
        <v>240</v>
      </c>
      <c r="I58" s="8">
        <f t="shared" si="0"/>
        <v>2400</v>
      </c>
    </row>
    <row r="59" spans="1:9" ht="15.5" x14ac:dyDescent="0.35">
      <c r="A59" s="14" t="s">
        <v>42</v>
      </c>
      <c r="B59" s="11" t="s">
        <v>52</v>
      </c>
      <c r="C59" s="8">
        <v>960</v>
      </c>
      <c r="D59" s="8">
        <v>960</v>
      </c>
      <c r="E59" s="8">
        <v>960</v>
      </c>
      <c r="F59" s="8">
        <v>960</v>
      </c>
      <c r="G59" s="8">
        <v>960</v>
      </c>
      <c r="H59" s="8">
        <v>480</v>
      </c>
      <c r="I59" s="8">
        <f t="shared" si="0"/>
        <v>4800</v>
      </c>
    </row>
    <row r="60" spans="1:9" ht="15.5" x14ac:dyDescent="0.35">
      <c r="A60" s="14" t="s">
        <v>43</v>
      </c>
      <c r="B60" s="10" t="s">
        <v>51</v>
      </c>
      <c r="C60" s="8">
        <v>960</v>
      </c>
      <c r="D60" s="8">
        <v>960</v>
      </c>
      <c r="E60" s="8">
        <v>960</v>
      </c>
      <c r="F60" s="8">
        <v>960</v>
      </c>
      <c r="G60" s="8">
        <v>960</v>
      </c>
      <c r="H60" s="8">
        <v>480</v>
      </c>
      <c r="I60" s="8">
        <f t="shared" si="0"/>
        <v>4800</v>
      </c>
    </row>
    <row r="61" spans="1:9" ht="15.5" x14ac:dyDescent="0.35">
      <c r="A61" s="14" t="s">
        <v>43</v>
      </c>
      <c r="B61" s="11" t="s">
        <v>52</v>
      </c>
      <c r="C61" s="8">
        <v>1920</v>
      </c>
      <c r="D61" s="8">
        <v>1920</v>
      </c>
      <c r="E61" s="8">
        <v>1920</v>
      </c>
      <c r="F61" s="8">
        <v>1920</v>
      </c>
      <c r="G61" s="8">
        <v>1920</v>
      </c>
      <c r="H61" s="8">
        <v>960</v>
      </c>
      <c r="I61" s="8">
        <f t="shared" si="0"/>
        <v>9600</v>
      </c>
    </row>
    <row r="62" spans="1:9" ht="15.5" x14ac:dyDescent="0.35">
      <c r="A62" s="14" t="s">
        <v>70</v>
      </c>
      <c r="B62" s="11" t="s">
        <v>52</v>
      </c>
      <c r="C62" s="8">
        <v>960</v>
      </c>
      <c r="D62" s="8">
        <v>960</v>
      </c>
      <c r="E62" s="8">
        <v>960</v>
      </c>
      <c r="F62" s="8">
        <v>960</v>
      </c>
      <c r="G62" s="8">
        <v>960</v>
      </c>
      <c r="H62" s="8">
        <v>480</v>
      </c>
      <c r="I62" s="8">
        <f t="shared" si="0"/>
        <v>4800</v>
      </c>
    </row>
    <row r="63" spans="1:9" ht="15.5" x14ac:dyDescent="0.35">
      <c r="A63" s="14" t="s">
        <v>71</v>
      </c>
      <c r="B63" s="11" t="s">
        <v>51</v>
      </c>
      <c r="C63" s="8">
        <v>960</v>
      </c>
      <c r="D63" s="8">
        <v>960</v>
      </c>
      <c r="E63" s="8">
        <v>960</v>
      </c>
      <c r="F63" s="8">
        <v>960</v>
      </c>
      <c r="G63" s="8">
        <v>960</v>
      </c>
      <c r="H63" s="8">
        <v>480</v>
      </c>
      <c r="I63" s="8">
        <f t="shared" si="0"/>
        <v>4800</v>
      </c>
    </row>
    <row r="64" spans="1:9" ht="15.5" x14ac:dyDescent="0.35">
      <c r="A64" s="14" t="s">
        <v>71</v>
      </c>
      <c r="B64" s="11" t="s">
        <v>52</v>
      </c>
      <c r="C64" s="8">
        <v>960</v>
      </c>
      <c r="D64" s="8">
        <v>960</v>
      </c>
      <c r="E64" s="8">
        <v>960</v>
      </c>
      <c r="F64" s="8">
        <v>960</v>
      </c>
      <c r="G64" s="8">
        <v>960</v>
      </c>
      <c r="H64" s="8">
        <v>480</v>
      </c>
      <c r="I64" s="8">
        <f t="shared" si="0"/>
        <v>4800</v>
      </c>
    </row>
    <row r="65" spans="1:9" ht="15.5" x14ac:dyDescent="0.35">
      <c r="A65" s="14" t="s">
        <v>72</v>
      </c>
      <c r="B65" s="10" t="s">
        <v>51</v>
      </c>
      <c r="C65" s="8">
        <v>960</v>
      </c>
      <c r="D65" s="8">
        <v>960</v>
      </c>
      <c r="E65" s="8">
        <v>960</v>
      </c>
      <c r="F65" s="8">
        <v>1920</v>
      </c>
      <c r="G65" s="8">
        <v>2000</v>
      </c>
      <c r="H65" s="8">
        <v>1000</v>
      </c>
      <c r="I65" s="8">
        <f t="shared" si="0"/>
        <v>6800</v>
      </c>
    </row>
    <row r="66" spans="1:9" ht="15.5" x14ac:dyDescent="0.35">
      <c r="A66" s="14" t="s">
        <v>72</v>
      </c>
      <c r="B66" s="11" t="s">
        <v>52</v>
      </c>
      <c r="C66" s="8">
        <v>2880</v>
      </c>
      <c r="D66" s="8">
        <v>2880</v>
      </c>
      <c r="E66" s="8">
        <v>2880</v>
      </c>
      <c r="F66" s="8">
        <v>2880</v>
      </c>
      <c r="G66" s="8">
        <v>2880</v>
      </c>
      <c r="H66" s="8">
        <v>1440</v>
      </c>
      <c r="I66" s="8">
        <f t="shared" si="0"/>
        <v>14400</v>
      </c>
    </row>
    <row r="67" spans="1:9" ht="15.5" x14ac:dyDescent="0.35">
      <c r="A67" s="14" t="s">
        <v>45</v>
      </c>
      <c r="B67" s="11" t="s">
        <v>51</v>
      </c>
      <c r="C67" s="8">
        <v>1920</v>
      </c>
      <c r="D67" s="8">
        <v>1920</v>
      </c>
      <c r="E67" s="8">
        <v>1920</v>
      </c>
      <c r="F67" s="8">
        <v>1920</v>
      </c>
      <c r="G67" s="8">
        <v>1920</v>
      </c>
      <c r="H67" s="8">
        <v>960</v>
      </c>
      <c r="I67" s="8">
        <f t="shared" si="0"/>
        <v>9600</v>
      </c>
    </row>
    <row r="68" spans="1:9" ht="15.5" x14ac:dyDescent="0.35">
      <c r="A68" s="14" t="s">
        <v>46</v>
      </c>
      <c r="B68" s="11" t="s">
        <v>51</v>
      </c>
      <c r="C68" s="8">
        <v>1920</v>
      </c>
      <c r="D68" s="8">
        <v>1920</v>
      </c>
      <c r="E68" s="8">
        <v>1920</v>
      </c>
      <c r="F68" s="8">
        <v>1920</v>
      </c>
      <c r="G68" s="8">
        <v>1920</v>
      </c>
      <c r="H68" s="8">
        <v>960</v>
      </c>
      <c r="I68" s="8">
        <f t="shared" si="0"/>
        <v>9600</v>
      </c>
    </row>
    <row r="69" spans="1:9" ht="15.5" x14ac:dyDescent="0.35">
      <c r="A69" s="14" t="s">
        <v>47</v>
      </c>
      <c r="B69" s="10" t="s">
        <v>51</v>
      </c>
      <c r="C69" s="8">
        <v>1920</v>
      </c>
      <c r="D69" s="8">
        <v>1920</v>
      </c>
      <c r="E69" s="8">
        <v>1920</v>
      </c>
      <c r="F69" s="8">
        <v>1920</v>
      </c>
      <c r="G69" s="8">
        <v>1920</v>
      </c>
      <c r="H69" s="8">
        <v>960</v>
      </c>
      <c r="I69" s="8">
        <f t="shared" si="0"/>
        <v>9600</v>
      </c>
    </row>
    <row r="70" spans="1:9" ht="15.5" x14ac:dyDescent="0.35">
      <c r="A70" s="14" t="s">
        <v>74</v>
      </c>
      <c r="B70" s="10" t="s">
        <v>51</v>
      </c>
      <c r="C70" s="8">
        <v>7680</v>
      </c>
      <c r="D70" s="8">
        <v>7680</v>
      </c>
      <c r="E70" s="8">
        <v>7680</v>
      </c>
      <c r="F70" s="8">
        <v>7680</v>
      </c>
      <c r="G70" s="8">
        <v>7680</v>
      </c>
      <c r="H70" s="8">
        <v>3840</v>
      </c>
      <c r="I70" s="8">
        <f t="shared" si="0"/>
        <v>38400</v>
      </c>
    </row>
    <row r="71" spans="1:9" ht="15.5" x14ac:dyDescent="0.35">
      <c r="A71" s="14" t="s">
        <v>74</v>
      </c>
      <c r="B71" s="10" t="s">
        <v>52</v>
      </c>
      <c r="C71" s="8">
        <v>1920</v>
      </c>
      <c r="D71" s="8">
        <v>1920</v>
      </c>
      <c r="E71" s="8">
        <v>2400</v>
      </c>
      <c r="F71" s="8">
        <v>2880</v>
      </c>
      <c r="G71" s="8">
        <v>2880</v>
      </c>
      <c r="H71" s="8">
        <v>1440</v>
      </c>
      <c r="I71" s="8">
        <f t="shared" si="0"/>
        <v>12000</v>
      </c>
    </row>
    <row r="72" spans="1:9" s="24" customFormat="1" ht="15.5" x14ac:dyDescent="0.35">
      <c r="A72" s="20" t="s">
        <v>75</v>
      </c>
      <c r="B72" s="13" t="s">
        <v>51</v>
      </c>
      <c r="C72" s="5">
        <v>1820</v>
      </c>
      <c r="D72" s="5">
        <v>1820</v>
      </c>
      <c r="E72" s="5">
        <v>1820</v>
      </c>
      <c r="F72" s="5">
        <v>1820</v>
      </c>
      <c r="G72" s="5">
        <v>1820</v>
      </c>
      <c r="H72" s="5">
        <v>910</v>
      </c>
      <c r="I72" s="8">
        <f t="shared" ref="I72:I100" si="1">C72+D72+E72+F72+G72</f>
        <v>9100</v>
      </c>
    </row>
    <row r="73" spans="1:9" s="24" customFormat="1" ht="15.5" x14ac:dyDescent="0.35">
      <c r="A73" s="20" t="s">
        <v>75</v>
      </c>
      <c r="B73" s="13" t="s">
        <v>52</v>
      </c>
      <c r="C73" s="5">
        <v>100</v>
      </c>
      <c r="D73" s="5">
        <v>100</v>
      </c>
      <c r="E73" s="5">
        <v>100</v>
      </c>
      <c r="F73" s="5">
        <v>100</v>
      </c>
      <c r="G73" s="5">
        <v>100</v>
      </c>
      <c r="H73" s="5">
        <v>50</v>
      </c>
      <c r="I73" s="8">
        <f t="shared" si="1"/>
        <v>500</v>
      </c>
    </row>
    <row r="74" spans="1:9" ht="15.5" x14ac:dyDescent="0.35">
      <c r="A74" s="14" t="s">
        <v>73</v>
      </c>
      <c r="B74" s="10" t="s">
        <v>51</v>
      </c>
      <c r="C74" s="8">
        <v>1680</v>
      </c>
      <c r="D74" s="8">
        <v>1680</v>
      </c>
      <c r="E74" s="8">
        <v>1680</v>
      </c>
      <c r="F74" s="8">
        <v>1680</v>
      </c>
      <c r="G74" s="8">
        <v>1680</v>
      </c>
      <c r="H74" s="8">
        <v>840</v>
      </c>
      <c r="I74" s="8">
        <f t="shared" si="1"/>
        <v>8400</v>
      </c>
    </row>
    <row r="75" spans="1:9" ht="15.5" x14ac:dyDescent="0.35">
      <c r="A75" s="14" t="s">
        <v>73</v>
      </c>
      <c r="B75" s="10" t="s">
        <v>52</v>
      </c>
      <c r="C75" s="8">
        <v>2880</v>
      </c>
      <c r="D75" s="8">
        <v>2880</v>
      </c>
      <c r="E75" s="8">
        <v>2400</v>
      </c>
      <c r="F75" s="8">
        <v>2400</v>
      </c>
      <c r="G75" s="8">
        <v>2400</v>
      </c>
      <c r="H75" s="8">
        <v>1200</v>
      </c>
      <c r="I75" s="8">
        <f t="shared" si="1"/>
        <v>12960</v>
      </c>
    </row>
    <row r="76" spans="1:9" ht="15.5" x14ac:dyDescent="0.35">
      <c r="A76" s="14" t="s">
        <v>76</v>
      </c>
      <c r="B76" s="10" t="s">
        <v>51</v>
      </c>
      <c r="C76" s="8">
        <v>3800</v>
      </c>
      <c r="D76" s="8">
        <v>3800</v>
      </c>
      <c r="E76" s="8">
        <v>3800</v>
      </c>
      <c r="F76" s="8">
        <v>3800</v>
      </c>
      <c r="G76" s="8">
        <v>3800</v>
      </c>
      <c r="H76" s="8">
        <v>1900</v>
      </c>
      <c r="I76" s="8">
        <f t="shared" si="1"/>
        <v>19000</v>
      </c>
    </row>
    <row r="77" spans="1:9" ht="15.5" x14ac:dyDescent="0.35">
      <c r="A77" s="14" t="s">
        <v>76</v>
      </c>
      <c r="B77" s="10" t="s">
        <v>52</v>
      </c>
      <c r="C77" s="8">
        <v>1900</v>
      </c>
      <c r="D77" s="8">
        <v>1900</v>
      </c>
      <c r="E77" s="8">
        <v>1900</v>
      </c>
      <c r="F77" s="8">
        <v>1900</v>
      </c>
      <c r="G77" s="8">
        <v>1900</v>
      </c>
      <c r="H77" s="8">
        <v>950</v>
      </c>
      <c r="I77" s="8">
        <f t="shared" si="1"/>
        <v>9500</v>
      </c>
    </row>
    <row r="78" spans="1:9" ht="15.5" x14ac:dyDescent="0.35">
      <c r="A78" s="14" t="s">
        <v>77</v>
      </c>
      <c r="B78" s="10" t="s">
        <v>51</v>
      </c>
      <c r="C78" s="8">
        <v>1920</v>
      </c>
      <c r="D78" s="8">
        <v>1920</v>
      </c>
      <c r="E78" s="8">
        <v>1920</v>
      </c>
      <c r="F78" s="8">
        <v>1920</v>
      </c>
      <c r="G78" s="8">
        <v>1920</v>
      </c>
      <c r="H78" s="8">
        <v>960</v>
      </c>
      <c r="I78" s="8">
        <f t="shared" si="1"/>
        <v>9600</v>
      </c>
    </row>
    <row r="79" spans="1:9" ht="15.5" x14ac:dyDescent="0.35">
      <c r="A79" s="14" t="s">
        <v>78</v>
      </c>
      <c r="B79" s="10" t="s">
        <v>51</v>
      </c>
      <c r="C79" s="8">
        <v>1920</v>
      </c>
      <c r="D79" s="8">
        <v>1920</v>
      </c>
      <c r="E79" s="8">
        <v>1920</v>
      </c>
      <c r="F79" s="8">
        <v>1920</v>
      </c>
      <c r="G79" s="8">
        <v>1920</v>
      </c>
      <c r="H79" s="8">
        <v>960</v>
      </c>
      <c r="I79" s="8">
        <f t="shared" si="1"/>
        <v>9600</v>
      </c>
    </row>
    <row r="80" spans="1:9" ht="15.5" x14ac:dyDescent="0.35">
      <c r="A80" s="14" t="s">
        <v>78</v>
      </c>
      <c r="B80" s="10" t="s">
        <v>52</v>
      </c>
      <c r="C80" s="8">
        <v>1920</v>
      </c>
      <c r="D80" s="8">
        <v>1920</v>
      </c>
      <c r="E80" s="8">
        <v>1920</v>
      </c>
      <c r="F80" s="8">
        <v>1920</v>
      </c>
      <c r="G80" s="8">
        <v>1920</v>
      </c>
      <c r="H80" s="8">
        <v>960</v>
      </c>
      <c r="I80" s="8">
        <f t="shared" si="1"/>
        <v>9600</v>
      </c>
    </row>
    <row r="81" spans="1:9" ht="15.5" x14ac:dyDescent="0.35">
      <c r="A81" s="14" t="s">
        <v>79</v>
      </c>
      <c r="B81" s="11" t="s">
        <v>52</v>
      </c>
      <c r="C81" s="8">
        <v>960</v>
      </c>
      <c r="D81" s="8">
        <v>960</v>
      </c>
      <c r="E81" s="8">
        <v>960</v>
      </c>
      <c r="F81" s="8">
        <v>960</v>
      </c>
      <c r="G81" s="8">
        <v>960</v>
      </c>
      <c r="H81" s="8">
        <v>480</v>
      </c>
      <c r="I81" s="8">
        <f t="shared" si="1"/>
        <v>4800</v>
      </c>
    </row>
    <row r="82" spans="1:9" ht="15.5" x14ac:dyDescent="0.35">
      <c r="A82" s="14" t="s">
        <v>81</v>
      </c>
      <c r="B82" s="11" t="s">
        <v>52</v>
      </c>
      <c r="C82" s="8">
        <v>480</v>
      </c>
      <c r="D82" s="8">
        <v>480</v>
      </c>
      <c r="E82" s="8">
        <v>480</v>
      </c>
      <c r="F82" s="8">
        <v>480</v>
      </c>
      <c r="G82" s="8">
        <v>480</v>
      </c>
      <c r="H82" s="8">
        <v>240</v>
      </c>
      <c r="I82" s="8">
        <f t="shared" si="1"/>
        <v>2400</v>
      </c>
    </row>
    <row r="83" spans="1:9" ht="15.5" x14ac:dyDescent="0.35">
      <c r="A83" s="14" t="s">
        <v>80</v>
      </c>
      <c r="B83" s="11" t="s">
        <v>51</v>
      </c>
      <c r="C83" s="19">
        <v>192</v>
      </c>
      <c r="D83" s="19">
        <v>192</v>
      </c>
      <c r="E83" s="19">
        <v>192</v>
      </c>
      <c r="F83" s="19">
        <v>192</v>
      </c>
      <c r="G83" s="19">
        <v>192</v>
      </c>
      <c r="H83" s="19">
        <v>96</v>
      </c>
      <c r="I83" s="8">
        <f t="shared" si="1"/>
        <v>960</v>
      </c>
    </row>
    <row r="84" spans="1:9" ht="15.5" x14ac:dyDescent="0.35">
      <c r="A84" s="14" t="s">
        <v>16</v>
      </c>
      <c r="B84" s="11" t="s">
        <v>51</v>
      </c>
      <c r="C84" s="8">
        <v>960</v>
      </c>
      <c r="D84" s="8">
        <v>960</v>
      </c>
      <c r="E84" s="8">
        <v>960</v>
      </c>
      <c r="F84" s="8">
        <v>960</v>
      </c>
      <c r="G84" s="8">
        <v>960</v>
      </c>
      <c r="H84" s="8">
        <v>480</v>
      </c>
      <c r="I84" s="8">
        <f t="shared" si="1"/>
        <v>4800</v>
      </c>
    </row>
    <row r="85" spans="1:9" ht="15.5" x14ac:dyDescent="0.35">
      <c r="A85" s="14" t="s">
        <v>17</v>
      </c>
      <c r="B85" s="11" t="s">
        <v>52</v>
      </c>
      <c r="C85" s="8">
        <v>480</v>
      </c>
      <c r="D85" s="8">
        <v>480</v>
      </c>
      <c r="E85" s="8">
        <v>480</v>
      </c>
      <c r="F85" s="8">
        <v>480</v>
      </c>
      <c r="G85" s="8">
        <v>480</v>
      </c>
      <c r="H85" s="8">
        <v>240</v>
      </c>
      <c r="I85" s="8">
        <f t="shared" si="1"/>
        <v>2400</v>
      </c>
    </row>
    <row r="86" spans="1:9" ht="15.5" x14ac:dyDescent="0.35">
      <c r="A86" s="14" t="s">
        <v>18</v>
      </c>
      <c r="B86" s="10" t="s">
        <v>52</v>
      </c>
      <c r="C86" s="8">
        <v>480</v>
      </c>
      <c r="D86" s="8">
        <v>480</v>
      </c>
      <c r="E86" s="8">
        <v>480</v>
      </c>
      <c r="F86" s="8">
        <v>480</v>
      </c>
      <c r="G86" s="8">
        <v>480</v>
      </c>
      <c r="H86" s="8">
        <v>240</v>
      </c>
      <c r="I86" s="8">
        <f t="shared" si="1"/>
        <v>2400</v>
      </c>
    </row>
    <row r="87" spans="1:9" ht="15.5" x14ac:dyDescent="0.35">
      <c r="A87" s="14" t="s">
        <v>19</v>
      </c>
      <c r="B87" s="11" t="s">
        <v>52</v>
      </c>
      <c r="C87" s="8">
        <v>480</v>
      </c>
      <c r="D87" s="8">
        <v>480</v>
      </c>
      <c r="E87" s="8">
        <v>480</v>
      </c>
      <c r="F87" s="8">
        <v>480</v>
      </c>
      <c r="G87" s="8">
        <v>480</v>
      </c>
      <c r="H87" s="8">
        <v>240</v>
      </c>
      <c r="I87" s="8">
        <f t="shared" si="1"/>
        <v>2400</v>
      </c>
    </row>
    <row r="88" spans="1:9" ht="15.5" x14ac:dyDescent="0.35">
      <c r="A88" s="14" t="s">
        <v>25</v>
      </c>
      <c r="B88" s="10" t="s">
        <v>51</v>
      </c>
      <c r="C88" s="8">
        <v>1920</v>
      </c>
      <c r="D88" s="8">
        <v>1920</v>
      </c>
      <c r="E88" s="8">
        <v>1920</v>
      </c>
      <c r="F88" s="8">
        <v>1920</v>
      </c>
      <c r="G88" s="8">
        <v>1920</v>
      </c>
      <c r="H88" s="8">
        <v>960</v>
      </c>
      <c r="I88" s="8">
        <f t="shared" si="1"/>
        <v>9600</v>
      </c>
    </row>
    <row r="89" spans="1:9" ht="15.5" x14ac:dyDescent="0.35">
      <c r="A89" s="14" t="s">
        <v>26</v>
      </c>
      <c r="B89" s="10" t="s">
        <v>52</v>
      </c>
      <c r="C89" s="8">
        <v>1920</v>
      </c>
      <c r="D89" s="8">
        <v>1920</v>
      </c>
      <c r="E89" s="8">
        <v>1920</v>
      </c>
      <c r="F89" s="8">
        <v>1920</v>
      </c>
      <c r="G89" s="8">
        <v>1920</v>
      </c>
      <c r="H89" s="8">
        <v>960</v>
      </c>
      <c r="I89" s="8">
        <f t="shared" si="1"/>
        <v>9600</v>
      </c>
    </row>
    <row r="90" spans="1:9" ht="15.5" x14ac:dyDescent="0.35">
      <c r="A90" s="14" t="s">
        <v>27</v>
      </c>
      <c r="B90" s="11" t="s">
        <v>52</v>
      </c>
      <c r="C90" s="8">
        <v>1920</v>
      </c>
      <c r="D90" s="8">
        <v>1920</v>
      </c>
      <c r="E90" s="8">
        <v>1920</v>
      </c>
      <c r="F90" s="8">
        <v>1920</v>
      </c>
      <c r="G90" s="8">
        <v>1920</v>
      </c>
      <c r="H90" s="8">
        <v>960</v>
      </c>
      <c r="I90" s="8">
        <f t="shared" si="1"/>
        <v>9600</v>
      </c>
    </row>
    <row r="91" spans="1:9" ht="15.5" x14ac:dyDescent="0.35">
      <c r="A91" s="14" t="s">
        <v>28</v>
      </c>
      <c r="B91" s="10" t="s">
        <v>51</v>
      </c>
      <c r="C91" s="8">
        <v>4800</v>
      </c>
      <c r="D91" s="8">
        <v>4800</v>
      </c>
      <c r="E91" s="8">
        <v>4800</v>
      </c>
      <c r="F91" s="8">
        <v>4800</v>
      </c>
      <c r="G91" s="8">
        <v>4800</v>
      </c>
      <c r="H91" s="8">
        <v>2400</v>
      </c>
      <c r="I91" s="8">
        <f t="shared" si="1"/>
        <v>24000</v>
      </c>
    </row>
    <row r="92" spans="1:9" ht="15.5" x14ac:dyDescent="0.35">
      <c r="A92" s="14" t="s">
        <v>29</v>
      </c>
      <c r="B92" s="10" t="s">
        <v>52</v>
      </c>
      <c r="C92" s="8">
        <v>3840</v>
      </c>
      <c r="D92" s="8">
        <v>3840</v>
      </c>
      <c r="E92" s="8">
        <v>3840</v>
      </c>
      <c r="F92" s="8">
        <v>3840</v>
      </c>
      <c r="G92" s="8">
        <v>3840</v>
      </c>
      <c r="H92" s="8">
        <v>1920</v>
      </c>
      <c r="I92" s="8">
        <f t="shared" si="1"/>
        <v>19200</v>
      </c>
    </row>
    <row r="93" spans="1:9" ht="15.5" x14ac:dyDescent="0.35">
      <c r="A93" s="14" t="s">
        <v>30</v>
      </c>
      <c r="B93" s="10" t="s">
        <v>51</v>
      </c>
      <c r="C93" s="8">
        <v>3840</v>
      </c>
      <c r="D93" s="8">
        <v>3840</v>
      </c>
      <c r="E93" s="8">
        <v>3840</v>
      </c>
      <c r="F93" s="8">
        <v>3840</v>
      </c>
      <c r="G93" s="8">
        <v>3840</v>
      </c>
      <c r="H93" s="8">
        <v>1920</v>
      </c>
      <c r="I93" s="8">
        <f t="shared" si="1"/>
        <v>19200</v>
      </c>
    </row>
    <row r="94" spans="1:9" ht="15.5" x14ac:dyDescent="0.35">
      <c r="A94" s="14" t="s">
        <v>44</v>
      </c>
      <c r="B94" s="11" t="s">
        <v>52</v>
      </c>
      <c r="C94" s="8">
        <v>192</v>
      </c>
      <c r="D94" s="8">
        <v>192</v>
      </c>
      <c r="E94" s="8">
        <v>192</v>
      </c>
      <c r="F94" s="8">
        <v>192</v>
      </c>
      <c r="G94" s="8">
        <v>192</v>
      </c>
      <c r="H94" s="8">
        <v>96</v>
      </c>
      <c r="I94" s="8">
        <f t="shared" si="1"/>
        <v>960</v>
      </c>
    </row>
    <row r="95" spans="1:9" ht="15.5" x14ac:dyDescent="0.35">
      <c r="A95" s="14" t="s">
        <v>48</v>
      </c>
      <c r="B95" s="11" t="s">
        <v>52</v>
      </c>
      <c r="C95" s="8">
        <v>960</v>
      </c>
      <c r="D95" s="8">
        <v>960</v>
      </c>
      <c r="E95" s="8">
        <v>960</v>
      </c>
      <c r="F95" s="8">
        <v>960</v>
      </c>
      <c r="G95" s="8">
        <v>960</v>
      </c>
      <c r="H95" s="8">
        <v>480</v>
      </c>
      <c r="I95" s="8">
        <f t="shared" si="1"/>
        <v>4800</v>
      </c>
    </row>
    <row r="96" spans="1:9" ht="15.5" x14ac:dyDescent="0.35">
      <c r="A96" s="14" t="s">
        <v>49</v>
      </c>
      <c r="B96" s="11" t="s">
        <v>51</v>
      </c>
      <c r="C96" s="8">
        <v>480</v>
      </c>
      <c r="D96" s="8">
        <v>480</v>
      </c>
      <c r="E96" s="8">
        <v>480</v>
      </c>
      <c r="F96" s="8">
        <v>480</v>
      </c>
      <c r="G96" s="8">
        <v>480</v>
      </c>
      <c r="H96" s="8">
        <v>240</v>
      </c>
      <c r="I96" s="8">
        <f t="shared" si="1"/>
        <v>2400</v>
      </c>
    </row>
    <row r="97" spans="1:9" ht="15.5" x14ac:dyDescent="0.35">
      <c r="A97" s="14" t="s">
        <v>49</v>
      </c>
      <c r="B97" s="11" t="s">
        <v>52</v>
      </c>
      <c r="C97" s="8">
        <v>1920</v>
      </c>
      <c r="D97" s="8">
        <v>1920</v>
      </c>
      <c r="E97" s="8">
        <v>1920</v>
      </c>
      <c r="F97" s="8">
        <v>1920</v>
      </c>
      <c r="G97" s="8">
        <v>1920</v>
      </c>
      <c r="H97" s="8">
        <v>960</v>
      </c>
      <c r="I97" s="8">
        <f t="shared" si="1"/>
        <v>9600</v>
      </c>
    </row>
    <row r="98" spans="1:9" ht="15.5" x14ac:dyDescent="0.35">
      <c r="A98" s="14" t="s">
        <v>50</v>
      </c>
      <c r="B98" s="10" t="s">
        <v>51</v>
      </c>
      <c r="C98" s="8">
        <v>384</v>
      </c>
      <c r="D98" s="8">
        <v>384</v>
      </c>
      <c r="E98" s="8">
        <v>384</v>
      </c>
      <c r="F98" s="8">
        <v>384</v>
      </c>
      <c r="G98" s="8">
        <v>384</v>
      </c>
      <c r="H98" s="8">
        <v>192</v>
      </c>
      <c r="I98" s="8">
        <f t="shared" si="1"/>
        <v>1920</v>
      </c>
    </row>
    <row r="99" spans="1:9" ht="15.5" x14ac:dyDescent="0.35">
      <c r="A99" s="14" t="s">
        <v>50</v>
      </c>
      <c r="B99" s="11" t="s">
        <v>52</v>
      </c>
      <c r="C99" s="8">
        <v>192</v>
      </c>
      <c r="D99" s="8">
        <v>192</v>
      </c>
      <c r="E99" s="8">
        <v>192</v>
      </c>
      <c r="F99" s="8">
        <v>192</v>
      </c>
      <c r="G99" s="8">
        <v>192</v>
      </c>
      <c r="H99" s="8">
        <v>96</v>
      </c>
      <c r="I99" s="8">
        <f t="shared" si="1"/>
        <v>960</v>
      </c>
    </row>
    <row r="100" spans="1:9" ht="15.5" x14ac:dyDescent="0.35">
      <c r="A100" s="25" t="s">
        <v>7</v>
      </c>
      <c r="B100" s="11"/>
      <c r="C100" s="15">
        <f t="shared" ref="C100:H100" si="2">SUM(C6:C99)</f>
        <v>144136</v>
      </c>
      <c r="D100" s="15">
        <f t="shared" si="2"/>
        <v>144136</v>
      </c>
      <c r="E100" s="15">
        <f t="shared" si="2"/>
        <v>144136</v>
      </c>
      <c r="F100" s="15">
        <f t="shared" si="2"/>
        <v>145576</v>
      </c>
      <c r="G100" s="15">
        <f t="shared" si="2"/>
        <v>145896</v>
      </c>
      <c r="H100" s="15">
        <f t="shared" si="2"/>
        <v>72948</v>
      </c>
      <c r="I100" s="5">
        <f t="shared" si="1"/>
        <v>723880</v>
      </c>
    </row>
  </sheetData>
  <autoFilter ref="A5:I100" xr:uid="{BF6BB22B-2B1E-4BB7-99F3-442F740DDD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647E-C2EC-4A78-9B5B-73991FE0F40C}">
  <dimension ref="A1:I45"/>
  <sheetViews>
    <sheetView topLeftCell="A3" workbookViewId="0">
      <selection activeCell="A33" sqref="A33:XFD33"/>
    </sheetView>
  </sheetViews>
  <sheetFormatPr defaultColWidth="9.1796875" defaultRowHeight="14" x14ac:dyDescent="0.3"/>
  <cols>
    <col min="1" max="1" width="70" style="36" customWidth="1"/>
    <col min="2" max="8" width="9.453125" style="31" customWidth="1"/>
    <col min="9" max="9" width="10.81640625" style="31" customWidth="1"/>
    <col min="10" max="16384" width="9.1796875" style="31"/>
  </cols>
  <sheetData>
    <row r="1" spans="1:9" ht="15.5" x14ac:dyDescent="0.35">
      <c r="A1" s="29" t="s">
        <v>88</v>
      </c>
      <c r="B1" s="7"/>
      <c r="C1" s="1"/>
      <c r="D1" s="1"/>
      <c r="E1" s="1"/>
      <c r="F1" s="1"/>
      <c r="G1" s="1"/>
      <c r="H1" s="1"/>
      <c r="I1" s="30"/>
    </row>
    <row r="2" spans="1:9" ht="15.5" x14ac:dyDescent="0.35">
      <c r="A2" s="2" t="s">
        <v>82</v>
      </c>
      <c r="B2" s="7"/>
      <c r="C2" s="1"/>
      <c r="D2" s="1"/>
      <c r="E2" s="1"/>
      <c r="F2" s="1"/>
      <c r="G2" s="1"/>
      <c r="H2" s="1"/>
      <c r="I2" s="30" t="s">
        <v>83</v>
      </c>
    </row>
    <row r="3" spans="1:9" ht="15.5" x14ac:dyDescent="0.35">
      <c r="A3" s="2" t="s">
        <v>85</v>
      </c>
      <c r="B3" s="7"/>
      <c r="C3" s="1"/>
      <c r="D3" s="1"/>
      <c r="E3" s="1"/>
      <c r="F3" s="1"/>
      <c r="G3" s="1"/>
      <c r="H3" s="1"/>
      <c r="I3" s="16"/>
    </row>
    <row r="4" spans="1:9" ht="15.5" x14ac:dyDescent="0.35">
      <c r="A4" s="2"/>
      <c r="B4" s="7"/>
      <c r="C4" s="1"/>
      <c r="D4" s="1"/>
      <c r="E4" s="1"/>
      <c r="F4" s="1"/>
      <c r="G4" s="1"/>
      <c r="H4" s="1"/>
      <c r="I4" s="16"/>
    </row>
    <row r="5" spans="1:9" ht="30" x14ac:dyDescent="0.3">
      <c r="A5" s="3" t="s">
        <v>0</v>
      </c>
      <c r="B5" s="4" t="s">
        <v>86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84</v>
      </c>
      <c r="I5" s="12" t="s">
        <v>53</v>
      </c>
    </row>
    <row r="6" spans="1:9" x14ac:dyDescent="0.3">
      <c r="A6" s="32" t="s">
        <v>8</v>
      </c>
      <c r="B6" s="33" t="s">
        <v>51</v>
      </c>
      <c r="C6" s="34">
        <v>480</v>
      </c>
      <c r="D6" s="34">
        <v>480</v>
      </c>
      <c r="E6" s="34">
        <v>480</v>
      </c>
      <c r="F6" s="34">
        <v>480</v>
      </c>
      <c r="G6" s="34">
        <v>480</v>
      </c>
      <c r="H6" s="34">
        <v>240</v>
      </c>
      <c r="I6" s="34">
        <v>2640</v>
      </c>
    </row>
    <row r="7" spans="1:9" x14ac:dyDescent="0.3">
      <c r="A7" s="32" t="s">
        <v>55</v>
      </c>
      <c r="B7" s="33" t="s">
        <v>51</v>
      </c>
      <c r="C7" s="34">
        <v>480</v>
      </c>
      <c r="D7" s="34">
        <v>480</v>
      </c>
      <c r="E7" s="34">
        <v>480</v>
      </c>
      <c r="F7" s="34">
        <v>480</v>
      </c>
      <c r="G7" s="34">
        <v>480</v>
      </c>
      <c r="H7" s="34">
        <v>240</v>
      </c>
      <c r="I7" s="34">
        <v>2640</v>
      </c>
    </row>
    <row r="8" spans="1:9" x14ac:dyDescent="0.3">
      <c r="A8" s="32" t="s">
        <v>56</v>
      </c>
      <c r="B8" s="33" t="s">
        <v>51</v>
      </c>
      <c r="C8" s="34">
        <v>1300</v>
      </c>
      <c r="D8" s="34">
        <v>1300</v>
      </c>
      <c r="E8" s="34">
        <v>1300</v>
      </c>
      <c r="F8" s="34">
        <v>1300</v>
      </c>
      <c r="G8" s="34">
        <v>1300</v>
      </c>
      <c r="H8" s="34">
        <v>650</v>
      </c>
      <c r="I8" s="34">
        <v>7150</v>
      </c>
    </row>
    <row r="9" spans="1:9" x14ac:dyDescent="0.3">
      <c r="A9" s="32" t="s">
        <v>57</v>
      </c>
      <c r="B9" s="33" t="s">
        <v>51</v>
      </c>
      <c r="C9" s="34">
        <v>1440</v>
      </c>
      <c r="D9" s="34">
        <v>1440</v>
      </c>
      <c r="E9" s="34">
        <v>1440</v>
      </c>
      <c r="F9" s="34">
        <v>1440</v>
      </c>
      <c r="G9" s="34">
        <v>1440</v>
      </c>
      <c r="H9" s="34">
        <v>720</v>
      </c>
      <c r="I9" s="34">
        <v>7920</v>
      </c>
    </row>
    <row r="10" spans="1:9" x14ac:dyDescent="0.3">
      <c r="A10" s="32" t="s">
        <v>12</v>
      </c>
      <c r="B10" s="33" t="s">
        <v>51</v>
      </c>
      <c r="C10" s="34">
        <v>1920</v>
      </c>
      <c r="D10" s="34">
        <v>1920</v>
      </c>
      <c r="E10" s="34">
        <v>1920</v>
      </c>
      <c r="F10" s="34">
        <v>1920</v>
      </c>
      <c r="G10" s="34">
        <v>1920</v>
      </c>
      <c r="H10" s="34">
        <v>960</v>
      </c>
      <c r="I10" s="34">
        <v>10560</v>
      </c>
    </row>
    <row r="11" spans="1:9" x14ac:dyDescent="0.3">
      <c r="A11" s="32" t="s">
        <v>60</v>
      </c>
      <c r="B11" s="33" t="s">
        <v>51</v>
      </c>
      <c r="C11" s="34">
        <v>1920</v>
      </c>
      <c r="D11" s="34">
        <v>1920</v>
      </c>
      <c r="E11" s="34">
        <v>1920</v>
      </c>
      <c r="F11" s="34">
        <v>1920</v>
      </c>
      <c r="G11" s="34">
        <v>1920</v>
      </c>
      <c r="H11" s="34">
        <v>960</v>
      </c>
      <c r="I11" s="34">
        <v>10560</v>
      </c>
    </row>
    <row r="12" spans="1:9" x14ac:dyDescent="0.3">
      <c r="A12" s="32" t="s">
        <v>61</v>
      </c>
      <c r="B12" s="33" t="s">
        <v>51</v>
      </c>
      <c r="C12" s="34">
        <v>3840</v>
      </c>
      <c r="D12" s="34">
        <v>3840</v>
      </c>
      <c r="E12" s="34">
        <v>3840</v>
      </c>
      <c r="F12" s="34">
        <v>3840</v>
      </c>
      <c r="G12" s="34">
        <v>3840</v>
      </c>
      <c r="H12" s="34">
        <v>1920</v>
      </c>
      <c r="I12" s="34">
        <v>21120</v>
      </c>
    </row>
    <row r="13" spans="1:9" x14ac:dyDescent="0.3">
      <c r="A13" s="32" t="s">
        <v>63</v>
      </c>
      <c r="B13" s="33" t="s">
        <v>51</v>
      </c>
      <c r="C13" s="34">
        <v>1920</v>
      </c>
      <c r="D13" s="34">
        <v>1920</v>
      </c>
      <c r="E13" s="34">
        <v>1920</v>
      </c>
      <c r="F13" s="34">
        <v>1920</v>
      </c>
      <c r="G13" s="34">
        <v>1920</v>
      </c>
      <c r="H13" s="34">
        <v>960</v>
      </c>
      <c r="I13" s="34">
        <v>10560</v>
      </c>
    </row>
    <row r="14" spans="1:9" x14ac:dyDescent="0.3">
      <c r="A14" s="32" t="s">
        <v>14</v>
      </c>
      <c r="B14" s="33" t="s">
        <v>51</v>
      </c>
      <c r="C14" s="34">
        <v>1920</v>
      </c>
      <c r="D14" s="34">
        <v>1920</v>
      </c>
      <c r="E14" s="34">
        <v>1920</v>
      </c>
      <c r="F14" s="34">
        <v>1920</v>
      </c>
      <c r="G14" s="34">
        <v>1920</v>
      </c>
      <c r="H14" s="34">
        <v>960</v>
      </c>
      <c r="I14" s="34">
        <v>10560</v>
      </c>
    </row>
    <row r="15" spans="1:9" x14ac:dyDescent="0.3">
      <c r="A15" s="32" t="s">
        <v>15</v>
      </c>
      <c r="B15" s="33" t="s">
        <v>51</v>
      </c>
      <c r="C15" s="34">
        <v>960</v>
      </c>
      <c r="D15" s="34">
        <v>960</v>
      </c>
      <c r="E15" s="34">
        <v>960</v>
      </c>
      <c r="F15" s="34">
        <v>960</v>
      </c>
      <c r="G15" s="34">
        <v>960</v>
      </c>
      <c r="H15" s="34">
        <v>480</v>
      </c>
      <c r="I15" s="34">
        <v>5280</v>
      </c>
    </row>
    <row r="16" spans="1:9" x14ac:dyDescent="0.3">
      <c r="A16" s="32" t="s">
        <v>21</v>
      </c>
      <c r="B16" s="33" t="s">
        <v>51</v>
      </c>
      <c r="C16" s="34">
        <v>1920</v>
      </c>
      <c r="D16" s="34">
        <v>1920</v>
      </c>
      <c r="E16" s="34">
        <v>1920</v>
      </c>
      <c r="F16" s="34">
        <v>1920</v>
      </c>
      <c r="G16" s="34">
        <v>1920</v>
      </c>
      <c r="H16" s="34">
        <v>960</v>
      </c>
      <c r="I16" s="34">
        <v>10560</v>
      </c>
    </row>
    <row r="17" spans="1:9" x14ac:dyDescent="0.3">
      <c r="A17" s="32" t="s">
        <v>64</v>
      </c>
      <c r="B17" s="33" t="s">
        <v>51</v>
      </c>
      <c r="C17" s="34">
        <v>480</v>
      </c>
      <c r="D17" s="34">
        <v>480</v>
      </c>
      <c r="E17" s="34">
        <v>480</v>
      </c>
      <c r="F17" s="34">
        <v>480</v>
      </c>
      <c r="G17" s="34">
        <v>480</v>
      </c>
      <c r="H17" s="34">
        <v>240</v>
      </c>
      <c r="I17" s="34">
        <v>2640</v>
      </c>
    </row>
    <row r="18" spans="1:9" x14ac:dyDescent="0.3">
      <c r="A18" s="32" t="s">
        <v>31</v>
      </c>
      <c r="B18" s="33" t="s">
        <v>51</v>
      </c>
      <c r="C18" s="34">
        <v>1920</v>
      </c>
      <c r="D18" s="34">
        <v>1920</v>
      </c>
      <c r="E18" s="34">
        <v>1920</v>
      </c>
      <c r="F18" s="34">
        <v>1920</v>
      </c>
      <c r="G18" s="34">
        <v>1920</v>
      </c>
      <c r="H18" s="34">
        <v>960</v>
      </c>
      <c r="I18" s="34">
        <v>10560</v>
      </c>
    </row>
    <row r="19" spans="1:9" x14ac:dyDescent="0.3">
      <c r="A19" s="32" t="s">
        <v>32</v>
      </c>
      <c r="B19" s="33" t="s">
        <v>51</v>
      </c>
      <c r="C19" s="34">
        <v>1920</v>
      </c>
      <c r="D19" s="34">
        <v>1920</v>
      </c>
      <c r="E19" s="34">
        <v>1920</v>
      </c>
      <c r="F19" s="34">
        <v>1920</v>
      </c>
      <c r="G19" s="34">
        <v>1920</v>
      </c>
      <c r="H19" s="34">
        <v>960</v>
      </c>
      <c r="I19" s="34">
        <v>10560</v>
      </c>
    </row>
    <row r="20" spans="1:9" x14ac:dyDescent="0.3">
      <c r="A20" s="32" t="s">
        <v>33</v>
      </c>
      <c r="B20" s="33" t="s">
        <v>51</v>
      </c>
      <c r="C20" s="34">
        <v>960</v>
      </c>
      <c r="D20" s="34">
        <v>960</v>
      </c>
      <c r="E20" s="34">
        <v>960</v>
      </c>
      <c r="F20" s="34">
        <v>960</v>
      </c>
      <c r="G20" s="34">
        <v>960</v>
      </c>
      <c r="H20" s="34">
        <v>480</v>
      </c>
      <c r="I20" s="34">
        <v>5280</v>
      </c>
    </row>
    <row r="21" spans="1:9" ht="28" x14ac:dyDescent="0.3">
      <c r="A21" s="32" t="s">
        <v>65</v>
      </c>
      <c r="B21" s="33" t="s">
        <v>51</v>
      </c>
      <c r="C21" s="34">
        <v>1920</v>
      </c>
      <c r="D21" s="34">
        <v>1920</v>
      </c>
      <c r="E21" s="34">
        <v>1920</v>
      </c>
      <c r="F21" s="34">
        <v>1920</v>
      </c>
      <c r="G21" s="34">
        <v>1920</v>
      </c>
      <c r="H21" s="34">
        <v>960</v>
      </c>
      <c r="I21" s="34">
        <v>10560</v>
      </c>
    </row>
    <row r="22" spans="1:9" x14ac:dyDescent="0.3">
      <c r="A22" s="32" t="s">
        <v>67</v>
      </c>
      <c r="B22" s="33" t="s">
        <v>51</v>
      </c>
      <c r="C22" s="34">
        <v>960</v>
      </c>
      <c r="D22" s="34">
        <v>960</v>
      </c>
      <c r="E22" s="34">
        <v>960</v>
      </c>
      <c r="F22" s="34">
        <v>960</v>
      </c>
      <c r="G22" s="34">
        <v>960</v>
      </c>
      <c r="H22" s="34">
        <v>480</v>
      </c>
      <c r="I22" s="34">
        <v>5280</v>
      </c>
    </row>
    <row r="23" spans="1:9" x14ac:dyDescent="0.3">
      <c r="A23" s="32" t="s">
        <v>68</v>
      </c>
      <c r="B23" s="33" t="s">
        <v>51</v>
      </c>
      <c r="C23" s="34">
        <v>3840</v>
      </c>
      <c r="D23" s="34">
        <v>3840</v>
      </c>
      <c r="E23" s="34">
        <v>3840</v>
      </c>
      <c r="F23" s="34">
        <v>3840</v>
      </c>
      <c r="G23" s="34">
        <v>3840</v>
      </c>
      <c r="H23" s="34">
        <v>1920</v>
      </c>
      <c r="I23" s="34">
        <v>21120</v>
      </c>
    </row>
    <row r="24" spans="1:9" x14ac:dyDescent="0.3">
      <c r="A24" s="32" t="s">
        <v>38</v>
      </c>
      <c r="B24" s="33" t="s">
        <v>51</v>
      </c>
      <c r="C24" s="34">
        <v>960</v>
      </c>
      <c r="D24" s="34">
        <v>960</v>
      </c>
      <c r="E24" s="34">
        <v>960</v>
      </c>
      <c r="F24" s="34">
        <v>960</v>
      </c>
      <c r="G24" s="34">
        <v>960</v>
      </c>
      <c r="H24" s="34">
        <v>480</v>
      </c>
      <c r="I24" s="34">
        <v>5280</v>
      </c>
    </row>
    <row r="25" spans="1:9" x14ac:dyDescent="0.3">
      <c r="A25" s="32" t="s">
        <v>39</v>
      </c>
      <c r="B25" s="33" t="s">
        <v>51</v>
      </c>
      <c r="C25" s="34">
        <v>1920</v>
      </c>
      <c r="D25" s="34">
        <v>1920</v>
      </c>
      <c r="E25" s="34">
        <v>1920</v>
      </c>
      <c r="F25" s="34">
        <v>1920</v>
      </c>
      <c r="G25" s="34">
        <v>1920</v>
      </c>
      <c r="H25" s="34">
        <v>960</v>
      </c>
      <c r="I25" s="34">
        <v>10560</v>
      </c>
    </row>
    <row r="26" spans="1:9" x14ac:dyDescent="0.3">
      <c r="A26" s="32" t="s">
        <v>43</v>
      </c>
      <c r="B26" s="33" t="s">
        <v>51</v>
      </c>
      <c r="C26" s="34">
        <v>960</v>
      </c>
      <c r="D26" s="34">
        <v>960</v>
      </c>
      <c r="E26" s="34">
        <v>960</v>
      </c>
      <c r="F26" s="34">
        <v>960</v>
      </c>
      <c r="G26" s="34">
        <v>960</v>
      </c>
      <c r="H26" s="34">
        <v>480</v>
      </c>
      <c r="I26" s="34">
        <v>5280</v>
      </c>
    </row>
    <row r="27" spans="1:9" x14ac:dyDescent="0.3">
      <c r="A27" s="32" t="s">
        <v>71</v>
      </c>
      <c r="B27" s="33" t="s">
        <v>51</v>
      </c>
      <c r="C27" s="34">
        <v>960</v>
      </c>
      <c r="D27" s="34">
        <v>960</v>
      </c>
      <c r="E27" s="34">
        <v>960</v>
      </c>
      <c r="F27" s="34">
        <v>960</v>
      </c>
      <c r="G27" s="34">
        <v>960</v>
      </c>
      <c r="H27" s="34">
        <v>480</v>
      </c>
      <c r="I27" s="34">
        <v>5280</v>
      </c>
    </row>
    <row r="28" spans="1:9" x14ac:dyDescent="0.3">
      <c r="A28" s="32" t="s">
        <v>72</v>
      </c>
      <c r="B28" s="33" t="s">
        <v>51</v>
      </c>
      <c r="C28" s="34">
        <v>960</v>
      </c>
      <c r="D28" s="34">
        <v>960</v>
      </c>
      <c r="E28" s="34">
        <v>960</v>
      </c>
      <c r="F28" s="34">
        <v>1920</v>
      </c>
      <c r="G28" s="34">
        <v>2000</v>
      </c>
      <c r="H28" s="34">
        <v>1000</v>
      </c>
      <c r="I28" s="34">
        <v>7800</v>
      </c>
    </row>
    <row r="29" spans="1:9" x14ac:dyDescent="0.3">
      <c r="A29" s="32" t="s">
        <v>45</v>
      </c>
      <c r="B29" s="33" t="s">
        <v>51</v>
      </c>
      <c r="C29" s="34">
        <v>1920</v>
      </c>
      <c r="D29" s="34">
        <v>1920</v>
      </c>
      <c r="E29" s="34">
        <v>1920</v>
      </c>
      <c r="F29" s="34">
        <v>1920</v>
      </c>
      <c r="G29" s="34">
        <v>1920</v>
      </c>
      <c r="H29" s="34">
        <v>960</v>
      </c>
      <c r="I29" s="34">
        <v>10560</v>
      </c>
    </row>
    <row r="30" spans="1:9" x14ac:dyDescent="0.3">
      <c r="A30" s="32" t="s">
        <v>46</v>
      </c>
      <c r="B30" s="33" t="s">
        <v>51</v>
      </c>
      <c r="C30" s="34">
        <v>1920</v>
      </c>
      <c r="D30" s="34">
        <v>1920</v>
      </c>
      <c r="E30" s="34">
        <v>1920</v>
      </c>
      <c r="F30" s="34">
        <v>1920</v>
      </c>
      <c r="G30" s="34">
        <v>1920</v>
      </c>
      <c r="H30" s="34">
        <v>960</v>
      </c>
      <c r="I30" s="34">
        <v>10560</v>
      </c>
    </row>
    <row r="31" spans="1:9" x14ac:dyDescent="0.3">
      <c r="A31" s="32" t="s">
        <v>47</v>
      </c>
      <c r="B31" s="33" t="s">
        <v>51</v>
      </c>
      <c r="C31" s="34">
        <v>1920</v>
      </c>
      <c r="D31" s="34">
        <v>1920</v>
      </c>
      <c r="E31" s="34">
        <v>1920</v>
      </c>
      <c r="F31" s="34">
        <v>1920</v>
      </c>
      <c r="G31" s="34">
        <v>1920</v>
      </c>
      <c r="H31" s="34">
        <v>960</v>
      </c>
      <c r="I31" s="34">
        <v>10560</v>
      </c>
    </row>
    <row r="32" spans="1:9" x14ac:dyDescent="0.3">
      <c r="A32" s="32" t="s">
        <v>74</v>
      </c>
      <c r="B32" s="33" t="s">
        <v>51</v>
      </c>
      <c r="C32" s="34">
        <v>7680</v>
      </c>
      <c r="D32" s="34">
        <v>7680</v>
      </c>
      <c r="E32" s="34">
        <v>7680</v>
      </c>
      <c r="F32" s="34">
        <v>7680</v>
      </c>
      <c r="G32" s="34">
        <v>7680</v>
      </c>
      <c r="H32" s="34">
        <v>3840</v>
      </c>
      <c r="I32" s="34">
        <v>42240</v>
      </c>
    </row>
    <row r="33" spans="1:9" x14ac:dyDescent="0.3">
      <c r="A33" s="32" t="s">
        <v>75</v>
      </c>
      <c r="B33" s="33" t="s">
        <v>51</v>
      </c>
      <c r="C33" s="34">
        <v>1820</v>
      </c>
      <c r="D33" s="34">
        <v>800</v>
      </c>
      <c r="E33" s="34">
        <v>800</v>
      </c>
      <c r="F33" s="34">
        <v>800</v>
      </c>
      <c r="G33" s="34">
        <v>800</v>
      </c>
      <c r="H33" s="34">
        <v>400</v>
      </c>
      <c r="I33" s="34">
        <v>5420</v>
      </c>
    </row>
    <row r="34" spans="1:9" x14ac:dyDescent="0.3">
      <c r="A34" s="32" t="s">
        <v>73</v>
      </c>
      <c r="B34" s="33" t="s">
        <v>51</v>
      </c>
      <c r="C34" s="34">
        <v>1680</v>
      </c>
      <c r="D34" s="34">
        <v>2700</v>
      </c>
      <c r="E34" s="34">
        <v>2700</v>
      </c>
      <c r="F34" s="34">
        <v>2700</v>
      </c>
      <c r="G34" s="34">
        <v>2700</v>
      </c>
      <c r="H34" s="34">
        <v>1350</v>
      </c>
      <c r="I34" s="34">
        <v>13830</v>
      </c>
    </row>
    <row r="35" spans="1:9" x14ac:dyDescent="0.3">
      <c r="A35" s="32" t="s">
        <v>76</v>
      </c>
      <c r="B35" s="33" t="s">
        <v>51</v>
      </c>
      <c r="C35" s="34">
        <v>3800</v>
      </c>
      <c r="D35" s="34">
        <v>3800</v>
      </c>
      <c r="E35" s="34">
        <v>3800</v>
      </c>
      <c r="F35" s="34">
        <v>3800</v>
      </c>
      <c r="G35" s="34">
        <v>3800</v>
      </c>
      <c r="H35" s="34">
        <v>1900</v>
      </c>
      <c r="I35" s="34">
        <v>20900</v>
      </c>
    </row>
    <row r="36" spans="1:9" x14ac:dyDescent="0.3">
      <c r="A36" s="32" t="s">
        <v>77</v>
      </c>
      <c r="B36" s="33" t="s">
        <v>51</v>
      </c>
      <c r="C36" s="34">
        <v>1920</v>
      </c>
      <c r="D36" s="34">
        <v>1920</v>
      </c>
      <c r="E36" s="34">
        <v>1920</v>
      </c>
      <c r="F36" s="34">
        <v>1920</v>
      </c>
      <c r="G36" s="34">
        <v>1920</v>
      </c>
      <c r="H36" s="34">
        <v>960</v>
      </c>
      <c r="I36" s="34">
        <v>10560</v>
      </c>
    </row>
    <row r="37" spans="1:9" x14ac:dyDescent="0.3">
      <c r="A37" s="32" t="s">
        <v>78</v>
      </c>
      <c r="B37" s="33" t="s">
        <v>51</v>
      </c>
      <c r="C37" s="34">
        <v>1920</v>
      </c>
      <c r="D37" s="34">
        <v>1920</v>
      </c>
      <c r="E37" s="34">
        <v>1920</v>
      </c>
      <c r="F37" s="34">
        <v>1920</v>
      </c>
      <c r="G37" s="34">
        <v>1920</v>
      </c>
      <c r="H37" s="34">
        <v>960</v>
      </c>
      <c r="I37" s="34">
        <v>10560</v>
      </c>
    </row>
    <row r="38" spans="1:9" x14ac:dyDescent="0.3">
      <c r="A38" s="32" t="s">
        <v>80</v>
      </c>
      <c r="B38" s="33" t="s">
        <v>51</v>
      </c>
      <c r="C38" s="34">
        <v>192</v>
      </c>
      <c r="D38" s="34">
        <v>192</v>
      </c>
      <c r="E38" s="34">
        <v>192</v>
      </c>
      <c r="F38" s="34">
        <v>192</v>
      </c>
      <c r="G38" s="34">
        <v>192</v>
      </c>
      <c r="H38" s="34">
        <v>96</v>
      </c>
      <c r="I38" s="34">
        <v>1056</v>
      </c>
    </row>
    <row r="39" spans="1:9" x14ac:dyDescent="0.3">
      <c r="A39" s="32" t="s">
        <v>16</v>
      </c>
      <c r="B39" s="33" t="s">
        <v>51</v>
      </c>
      <c r="C39" s="34">
        <v>960</v>
      </c>
      <c r="D39" s="34">
        <v>960</v>
      </c>
      <c r="E39" s="34">
        <v>960</v>
      </c>
      <c r="F39" s="34">
        <v>960</v>
      </c>
      <c r="G39" s="34">
        <v>960</v>
      </c>
      <c r="H39" s="34">
        <v>480</v>
      </c>
      <c r="I39" s="34">
        <v>5280</v>
      </c>
    </row>
    <row r="40" spans="1:9" x14ac:dyDescent="0.3">
      <c r="A40" s="32" t="s">
        <v>25</v>
      </c>
      <c r="B40" s="33" t="s">
        <v>51</v>
      </c>
      <c r="C40" s="34">
        <v>1920</v>
      </c>
      <c r="D40" s="34">
        <v>1920</v>
      </c>
      <c r="E40" s="34">
        <v>1920</v>
      </c>
      <c r="F40" s="34">
        <v>1920</v>
      </c>
      <c r="G40" s="34">
        <v>1920</v>
      </c>
      <c r="H40" s="34">
        <v>960</v>
      </c>
      <c r="I40" s="34">
        <v>10560</v>
      </c>
    </row>
    <row r="41" spans="1:9" x14ac:dyDescent="0.3">
      <c r="A41" s="32" t="s">
        <v>28</v>
      </c>
      <c r="B41" s="33" t="s">
        <v>51</v>
      </c>
      <c r="C41" s="34">
        <v>4800</v>
      </c>
      <c r="D41" s="34">
        <v>4800</v>
      </c>
      <c r="E41" s="34">
        <v>4800</v>
      </c>
      <c r="F41" s="34">
        <v>4800</v>
      </c>
      <c r="G41" s="34">
        <v>4800</v>
      </c>
      <c r="H41" s="34">
        <v>2400</v>
      </c>
      <c r="I41" s="34">
        <v>26400</v>
      </c>
    </row>
    <row r="42" spans="1:9" x14ac:dyDescent="0.3">
      <c r="A42" s="32" t="s">
        <v>30</v>
      </c>
      <c r="B42" s="33" t="s">
        <v>51</v>
      </c>
      <c r="C42" s="34">
        <v>3840</v>
      </c>
      <c r="D42" s="34">
        <v>3840</v>
      </c>
      <c r="E42" s="34">
        <v>3840</v>
      </c>
      <c r="F42" s="34">
        <v>3840</v>
      </c>
      <c r="G42" s="34">
        <v>3840</v>
      </c>
      <c r="H42" s="34">
        <v>1920</v>
      </c>
      <c r="I42" s="34">
        <v>21120</v>
      </c>
    </row>
    <row r="43" spans="1:9" x14ac:dyDescent="0.3">
      <c r="A43" s="32" t="s">
        <v>49</v>
      </c>
      <c r="B43" s="33" t="s">
        <v>51</v>
      </c>
      <c r="C43" s="34">
        <v>480</v>
      </c>
      <c r="D43" s="34">
        <v>480</v>
      </c>
      <c r="E43" s="34">
        <v>480</v>
      </c>
      <c r="F43" s="34">
        <v>480</v>
      </c>
      <c r="G43" s="34">
        <v>480</v>
      </c>
      <c r="H43" s="34">
        <v>240</v>
      </c>
      <c r="I43" s="34">
        <v>2640</v>
      </c>
    </row>
    <row r="44" spans="1:9" x14ac:dyDescent="0.3">
      <c r="A44" s="32" t="s">
        <v>50</v>
      </c>
      <c r="B44" s="33" t="s">
        <v>51</v>
      </c>
      <c r="C44" s="34">
        <v>384</v>
      </c>
      <c r="D44" s="34">
        <v>384</v>
      </c>
      <c r="E44" s="34">
        <v>384</v>
      </c>
      <c r="F44" s="34">
        <v>384</v>
      </c>
      <c r="G44" s="34">
        <v>384</v>
      </c>
      <c r="H44" s="34">
        <v>192</v>
      </c>
      <c r="I44" s="34">
        <v>2112</v>
      </c>
    </row>
    <row r="45" spans="1:9" x14ac:dyDescent="0.3">
      <c r="A45" s="32"/>
      <c r="B45" s="33"/>
      <c r="C45" s="35">
        <f>SUM(C6:C44)</f>
        <v>73016</v>
      </c>
      <c r="D45" s="35">
        <f t="shared" ref="D45:H45" si="0">SUM(D6:D44)</f>
        <v>73016</v>
      </c>
      <c r="E45" s="35">
        <f t="shared" si="0"/>
        <v>73016</v>
      </c>
      <c r="F45" s="35">
        <f t="shared" si="0"/>
        <v>73976</v>
      </c>
      <c r="G45" s="35">
        <f t="shared" si="0"/>
        <v>74056</v>
      </c>
      <c r="H45" s="35">
        <f t="shared" si="0"/>
        <v>37028</v>
      </c>
      <c r="I45" s="35">
        <f>SUM(C45:H45)</f>
        <v>404108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0AA6-8FA9-405D-A665-C0C8D9EF141F}">
  <dimension ref="A1:I61"/>
  <sheetViews>
    <sheetView topLeftCell="A30" workbookViewId="0">
      <selection activeCell="A45" sqref="A45"/>
    </sheetView>
  </sheetViews>
  <sheetFormatPr defaultColWidth="9.1796875" defaultRowHeight="14" x14ac:dyDescent="0.3"/>
  <cols>
    <col min="1" max="1" width="76" style="36" customWidth="1"/>
    <col min="2" max="2" width="9.1796875" style="31"/>
    <col min="3" max="8" width="9.26953125" style="31" bestFit="1" customWidth="1"/>
    <col min="9" max="9" width="9.81640625" style="31" bestFit="1" customWidth="1"/>
    <col min="10" max="16384" width="9.1796875" style="31"/>
  </cols>
  <sheetData>
    <row r="1" spans="1:9" ht="15.5" x14ac:dyDescent="0.35">
      <c r="A1" s="29" t="s">
        <v>88</v>
      </c>
      <c r="B1" s="7"/>
      <c r="C1" s="1"/>
      <c r="D1" s="1"/>
      <c r="E1" s="1"/>
      <c r="F1" s="1"/>
      <c r="G1" s="1"/>
      <c r="H1" s="1"/>
      <c r="I1" s="30"/>
    </row>
    <row r="2" spans="1:9" ht="15.5" x14ac:dyDescent="0.35">
      <c r="A2" s="2" t="s">
        <v>82</v>
      </c>
      <c r="B2" s="7"/>
      <c r="C2" s="1"/>
      <c r="D2" s="1"/>
      <c r="E2" s="1"/>
      <c r="F2" s="1"/>
      <c r="G2" s="1"/>
      <c r="H2" s="1"/>
      <c r="I2" s="30" t="s">
        <v>83</v>
      </c>
    </row>
    <row r="3" spans="1:9" ht="15.5" x14ac:dyDescent="0.35">
      <c r="A3" s="2" t="s">
        <v>87</v>
      </c>
      <c r="B3" s="7"/>
      <c r="C3" s="1"/>
      <c r="D3" s="1"/>
      <c r="E3" s="1"/>
      <c r="F3" s="1"/>
      <c r="G3" s="1"/>
      <c r="H3" s="1"/>
      <c r="I3" s="16"/>
    </row>
    <row r="4" spans="1:9" ht="15.5" x14ac:dyDescent="0.35">
      <c r="A4" s="2"/>
      <c r="B4" s="7"/>
      <c r="C4" s="1"/>
      <c r="D4" s="1"/>
      <c r="E4" s="1"/>
      <c r="F4" s="1"/>
      <c r="G4" s="1"/>
      <c r="H4" s="1"/>
      <c r="I4" s="16"/>
    </row>
    <row r="5" spans="1:9" ht="30" x14ac:dyDescent="0.3">
      <c r="A5" s="3" t="s">
        <v>0</v>
      </c>
      <c r="B5" s="4" t="s">
        <v>86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84</v>
      </c>
      <c r="I5" s="12" t="s">
        <v>53</v>
      </c>
    </row>
    <row r="6" spans="1:9" ht="15.5" x14ac:dyDescent="0.35">
      <c r="A6" s="26" t="s">
        <v>8</v>
      </c>
      <c r="B6" s="11" t="s">
        <v>52</v>
      </c>
      <c r="C6" s="8">
        <v>960</v>
      </c>
      <c r="D6" s="8">
        <v>960</v>
      </c>
      <c r="E6" s="8">
        <v>960</v>
      </c>
      <c r="F6" s="8">
        <v>960</v>
      </c>
      <c r="G6" s="8">
        <v>960</v>
      </c>
      <c r="H6" s="8">
        <v>480</v>
      </c>
      <c r="I6" s="8">
        <v>5280</v>
      </c>
    </row>
    <row r="7" spans="1:9" ht="15.5" x14ac:dyDescent="0.35">
      <c r="A7" s="26" t="s">
        <v>55</v>
      </c>
      <c r="B7" s="11" t="s">
        <v>52</v>
      </c>
      <c r="C7" s="8">
        <v>960</v>
      </c>
      <c r="D7" s="8">
        <v>960</v>
      </c>
      <c r="E7" s="8">
        <v>960</v>
      </c>
      <c r="F7" s="8">
        <v>960</v>
      </c>
      <c r="G7" s="8">
        <v>960</v>
      </c>
      <c r="H7" s="8">
        <v>480</v>
      </c>
      <c r="I7" s="8">
        <v>5280</v>
      </c>
    </row>
    <row r="8" spans="1:9" ht="15.5" x14ac:dyDescent="0.35">
      <c r="A8" s="26" t="s">
        <v>9</v>
      </c>
      <c r="B8" s="10" t="s">
        <v>52</v>
      </c>
      <c r="C8" s="8">
        <v>960</v>
      </c>
      <c r="D8" s="8">
        <v>960</v>
      </c>
      <c r="E8" s="8">
        <v>960</v>
      </c>
      <c r="F8" s="8">
        <v>960</v>
      </c>
      <c r="G8" s="8">
        <v>960</v>
      </c>
      <c r="H8" s="8">
        <v>480</v>
      </c>
      <c r="I8" s="8">
        <v>5280</v>
      </c>
    </row>
    <row r="9" spans="1:9" ht="15.5" x14ac:dyDescent="0.35">
      <c r="A9" s="26" t="s">
        <v>10</v>
      </c>
      <c r="B9" s="11" t="s">
        <v>52</v>
      </c>
      <c r="C9" s="8">
        <v>960</v>
      </c>
      <c r="D9" s="8">
        <v>960</v>
      </c>
      <c r="E9" s="8">
        <v>960</v>
      </c>
      <c r="F9" s="8">
        <v>960</v>
      </c>
      <c r="G9" s="8">
        <v>960</v>
      </c>
      <c r="H9" s="8">
        <v>480</v>
      </c>
      <c r="I9" s="8">
        <v>5280</v>
      </c>
    </row>
    <row r="10" spans="1:9" ht="15.5" x14ac:dyDescent="0.35">
      <c r="A10" s="26" t="s">
        <v>11</v>
      </c>
      <c r="B10" s="10" t="s">
        <v>52</v>
      </c>
      <c r="C10" s="8">
        <v>960</v>
      </c>
      <c r="D10" s="8">
        <v>960</v>
      </c>
      <c r="E10" s="8">
        <v>960</v>
      </c>
      <c r="F10" s="8">
        <v>960</v>
      </c>
      <c r="G10" s="8">
        <v>960</v>
      </c>
      <c r="H10" s="8">
        <v>480</v>
      </c>
      <c r="I10" s="8">
        <v>5280</v>
      </c>
    </row>
    <row r="11" spans="1:9" ht="15.5" x14ac:dyDescent="0.35">
      <c r="A11" s="27" t="s">
        <v>56</v>
      </c>
      <c r="B11" s="11" t="s">
        <v>52</v>
      </c>
      <c r="C11" s="8">
        <v>960</v>
      </c>
      <c r="D11" s="8">
        <v>960</v>
      </c>
      <c r="E11" s="8">
        <v>960</v>
      </c>
      <c r="F11" s="8">
        <v>960</v>
      </c>
      <c r="G11" s="8">
        <v>960</v>
      </c>
      <c r="H11" s="8">
        <v>480</v>
      </c>
      <c r="I11" s="8">
        <v>5280</v>
      </c>
    </row>
    <row r="12" spans="1:9" ht="15.5" x14ac:dyDescent="0.35">
      <c r="A12" s="26" t="s">
        <v>58</v>
      </c>
      <c r="B12" s="11" t="s">
        <v>52</v>
      </c>
      <c r="C12" s="8">
        <v>960</v>
      </c>
      <c r="D12" s="8">
        <v>960</v>
      </c>
      <c r="E12" s="8">
        <v>960</v>
      </c>
      <c r="F12" s="8">
        <v>960</v>
      </c>
      <c r="G12" s="8">
        <v>960</v>
      </c>
      <c r="H12" s="8">
        <v>480</v>
      </c>
      <c r="I12" s="8">
        <v>5280</v>
      </c>
    </row>
    <row r="13" spans="1:9" ht="15.5" x14ac:dyDescent="0.35">
      <c r="A13" s="26" t="s">
        <v>59</v>
      </c>
      <c r="B13" s="10" t="s">
        <v>52</v>
      </c>
      <c r="C13" s="8">
        <v>960</v>
      </c>
      <c r="D13" s="8">
        <v>960</v>
      </c>
      <c r="E13" s="8">
        <v>960</v>
      </c>
      <c r="F13" s="8">
        <v>960</v>
      </c>
      <c r="G13" s="8">
        <v>960</v>
      </c>
      <c r="H13" s="8">
        <v>480</v>
      </c>
      <c r="I13" s="8">
        <v>5280</v>
      </c>
    </row>
    <row r="14" spans="1:9" ht="15.5" x14ac:dyDescent="0.35">
      <c r="A14" s="26" t="s">
        <v>60</v>
      </c>
      <c r="B14" s="10" t="s">
        <v>52</v>
      </c>
      <c r="C14" s="8">
        <v>2880</v>
      </c>
      <c r="D14" s="8">
        <v>2880</v>
      </c>
      <c r="E14" s="8">
        <v>2880</v>
      </c>
      <c r="F14" s="8">
        <v>2880</v>
      </c>
      <c r="G14" s="8">
        <v>2880</v>
      </c>
      <c r="H14" s="8">
        <v>1440</v>
      </c>
      <c r="I14" s="8">
        <v>15840</v>
      </c>
    </row>
    <row r="15" spans="1:9" ht="15.5" x14ac:dyDescent="0.35">
      <c r="A15" s="26" t="s">
        <v>61</v>
      </c>
      <c r="B15" s="10" t="s">
        <v>52</v>
      </c>
      <c r="C15" s="22">
        <v>5760</v>
      </c>
      <c r="D15" s="22">
        <v>5760</v>
      </c>
      <c r="E15" s="22">
        <v>5760</v>
      </c>
      <c r="F15" s="22">
        <v>5760</v>
      </c>
      <c r="G15" s="22">
        <v>5760</v>
      </c>
      <c r="H15" s="22">
        <v>2880</v>
      </c>
      <c r="I15" s="8">
        <v>31680</v>
      </c>
    </row>
    <row r="16" spans="1:9" ht="15.5" x14ac:dyDescent="0.35">
      <c r="A16" s="26" t="s">
        <v>62</v>
      </c>
      <c r="B16" s="10" t="s">
        <v>52</v>
      </c>
      <c r="C16" s="22">
        <v>2880</v>
      </c>
      <c r="D16" s="22">
        <v>2880</v>
      </c>
      <c r="E16" s="22">
        <v>2880</v>
      </c>
      <c r="F16" s="22">
        <v>2880</v>
      </c>
      <c r="G16" s="22">
        <v>2880</v>
      </c>
      <c r="H16" s="22">
        <v>1440</v>
      </c>
      <c r="I16" s="8">
        <v>15840</v>
      </c>
    </row>
    <row r="17" spans="1:9" ht="15.5" x14ac:dyDescent="0.35">
      <c r="A17" s="26" t="s">
        <v>13</v>
      </c>
      <c r="B17" s="11" t="s">
        <v>52</v>
      </c>
      <c r="C17" s="8">
        <v>960</v>
      </c>
      <c r="D17" s="8">
        <v>960</v>
      </c>
      <c r="E17" s="8">
        <v>960</v>
      </c>
      <c r="F17" s="8">
        <v>960</v>
      </c>
      <c r="G17" s="8">
        <v>960</v>
      </c>
      <c r="H17" s="8">
        <v>480</v>
      </c>
      <c r="I17" s="8">
        <v>5280</v>
      </c>
    </row>
    <row r="18" spans="1:9" ht="15.5" x14ac:dyDescent="0.35">
      <c r="A18" s="26" t="s">
        <v>14</v>
      </c>
      <c r="B18" s="11" t="s">
        <v>52</v>
      </c>
      <c r="C18" s="8">
        <v>960</v>
      </c>
      <c r="D18" s="8">
        <v>960</v>
      </c>
      <c r="E18" s="8">
        <v>960</v>
      </c>
      <c r="F18" s="8">
        <v>960</v>
      </c>
      <c r="G18" s="8">
        <v>960</v>
      </c>
      <c r="H18" s="8">
        <v>480</v>
      </c>
      <c r="I18" s="8">
        <v>5280</v>
      </c>
    </row>
    <row r="19" spans="1:9" ht="15.5" x14ac:dyDescent="0.35">
      <c r="A19" s="26" t="s">
        <v>15</v>
      </c>
      <c r="B19" s="11" t="s">
        <v>52</v>
      </c>
      <c r="C19" s="8">
        <v>960</v>
      </c>
      <c r="D19" s="8">
        <v>960</v>
      </c>
      <c r="E19" s="8">
        <v>960</v>
      </c>
      <c r="F19" s="8">
        <v>960</v>
      </c>
      <c r="G19" s="8">
        <v>960</v>
      </c>
      <c r="H19" s="8">
        <v>480</v>
      </c>
      <c r="I19" s="8">
        <v>5280</v>
      </c>
    </row>
    <row r="20" spans="1:9" ht="15.5" x14ac:dyDescent="0.35">
      <c r="A20" s="26" t="s">
        <v>20</v>
      </c>
      <c r="B20" s="11" t="s">
        <v>52</v>
      </c>
      <c r="C20" s="8">
        <v>960</v>
      </c>
      <c r="D20" s="8">
        <v>960</v>
      </c>
      <c r="E20" s="8">
        <v>960</v>
      </c>
      <c r="F20" s="8">
        <v>960</v>
      </c>
      <c r="G20" s="8">
        <v>960</v>
      </c>
      <c r="H20" s="8">
        <v>480</v>
      </c>
      <c r="I20" s="8">
        <v>5280</v>
      </c>
    </row>
    <row r="21" spans="1:9" ht="15.5" x14ac:dyDescent="0.35">
      <c r="A21" s="26" t="s">
        <v>21</v>
      </c>
      <c r="B21" s="11" t="s">
        <v>52</v>
      </c>
      <c r="C21" s="8">
        <v>960</v>
      </c>
      <c r="D21" s="8">
        <v>960</v>
      </c>
      <c r="E21" s="8">
        <v>960</v>
      </c>
      <c r="F21" s="8">
        <v>960</v>
      </c>
      <c r="G21" s="8">
        <v>960</v>
      </c>
      <c r="H21" s="8">
        <v>480</v>
      </c>
      <c r="I21" s="8">
        <v>5280</v>
      </c>
    </row>
    <row r="22" spans="1:9" ht="15.5" x14ac:dyDescent="0.35">
      <c r="A22" s="26" t="s">
        <v>22</v>
      </c>
      <c r="B22" s="11" t="s">
        <v>52</v>
      </c>
      <c r="C22" s="8">
        <v>480</v>
      </c>
      <c r="D22" s="8">
        <v>480</v>
      </c>
      <c r="E22" s="8">
        <v>480</v>
      </c>
      <c r="F22" s="8">
        <v>480</v>
      </c>
      <c r="G22" s="8">
        <v>480</v>
      </c>
      <c r="H22" s="8">
        <v>240</v>
      </c>
      <c r="I22" s="8">
        <v>2640</v>
      </c>
    </row>
    <row r="23" spans="1:9" ht="15.5" x14ac:dyDescent="0.35">
      <c r="A23" s="26" t="s">
        <v>23</v>
      </c>
      <c r="B23" s="11" t="s">
        <v>52</v>
      </c>
      <c r="C23" s="8">
        <v>480</v>
      </c>
      <c r="D23" s="8">
        <v>480</v>
      </c>
      <c r="E23" s="8">
        <v>480</v>
      </c>
      <c r="F23" s="8">
        <v>480</v>
      </c>
      <c r="G23" s="8">
        <v>480</v>
      </c>
      <c r="H23" s="8">
        <v>240</v>
      </c>
      <c r="I23" s="8">
        <v>2640</v>
      </c>
    </row>
    <row r="24" spans="1:9" ht="15.5" x14ac:dyDescent="0.35">
      <c r="A24" s="26" t="s">
        <v>24</v>
      </c>
      <c r="B24" s="11" t="s">
        <v>52</v>
      </c>
      <c r="C24" s="8">
        <v>480</v>
      </c>
      <c r="D24" s="8">
        <v>480</v>
      </c>
      <c r="E24" s="8">
        <v>480</v>
      </c>
      <c r="F24" s="8">
        <v>480</v>
      </c>
      <c r="G24" s="8">
        <v>480</v>
      </c>
      <c r="H24" s="8">
        <v>240</v>
      </c>
      <c r="I24" s="8">
        <v>2640</v>
      </c>
    </row>
    <row r="25" spans="1:9" ht="15.5" x14ac:dyDescent="0.35">
      <c r="A25" s="26" t="s">
        <v>31</v>
      </c>
      <c r="B25" s="11" t="s">
        <v>52</v>
      </c>
      <c r="C25" s="8">
        <v>960</v>
      </c>
      <c r="D25" s="8">
        <v>960</v>
      </c>
      <c r="E25" s="8">
        <v>960</v>
      </c>
      <c r="F25" s="8">
        <v>960</v>
      </c>
      <c r="G25" s="8">
        <v>960</v>
      </c>
      <c r="H25" s="8">
        <v>480</v>
      </c>
      <c r="I25" s="8">
        <v>5280</v>
      </c>
    </row>
    <row r="26" spans="1:9" ht="15.5" x14ac:dyDescent="0.35">
      <c r="A26" s="26" t="s">
        <v>32</v>
      </c>
      <c r="B26" s="11" t="s">
        <v>52</v>
      </c>
      <c r="C26" s="8">
        <v>1440</v>
      </c>
      <c r="D26" s="8">
        <v>1440</v>
      </c>
      <c r="E26" s="8">
        <v>1440</v>
      </c>
      <c r="F26" s="8">
        <v>1440</v>
      </c>
      <c r="G26" s="8">
        <v>1440</v>
      </c>
      <c r="H26" s="8">
        <v>720</v>
      </c>
      <c r="I26" s="8">
        <v>7920</v>
      </c>
    </row>
    <row r="27" spans="1:9" ht="15" x14ac:dyDescent="0.3">
      <c r="A27" s="28" t="s">
        <v>33</v>
      </c>
      <c r="B27" s="13" t="s">
        <v>52</v>
      </c>
      <c r="C27" s="5">
        <v>960</v>
      </c>
      <c r="D27" s="5">
        <v>960</v>
      </c>
      <c r="E27" s="5">
        <v>960</v>
      </c>
      <c r="F27" s="5">
        <v>960</v>
      </c>
      <c r="G27" s="5">
        <v>960</v>
      </c>
      <c r="H27" s="5">
        <v>480</v>
      </c>
      <c r="I27" s="5">
        <v>5280</v>
      </c>
    </row>
    <row r="28" spans="1:9" ht="15.5" x14ac:dyDescent="0.35">
      <c r="A28" s="26" t="s">
        <v>34</v>
      </c>
      <c r="B28" s="11" t="s">
        <v>52</v>
      </c>
      <c r="C28" s="8">
        <v>480</v>
      </c>
      <c r="D28" s="8">
        <v>480</v>
      </c>
      <c r="E28" s="8">
        <v>480</v>
      </c>
      <c r="F28" s="8">
        <v>480</v>
      </c>
      <c r="G28" s="8">
        <v>480</v>
      </c>
      <c r="H28" s="8">
        <v>240</v>
      </c>
      <c r="I28" s="8">
        <v>2640</v>
      </c>
    </row>
    <row r="29" spans="1:9" ht="15.5" x14ac:dyDescent="0.35">
      <c r="A29" s="26" t="s">
        <v>35</v>
      </c>
      <c r="B29" s="11" t="s">
        <v>52</v>
      </c>
      <c r="C29" s="8">
        <v>1536</v>
      </c>
      <c r="D29" s="8">
        <v>1536</v>
      </c>
      <c r="E29" s="8">
        <v>1536</v>
      </c>
      <c r="F29" s="8">
        <v>1536</v>
      </c>
      <c r="G29" s="8">
        <v>1536</v>
      </c>
      <c r="H29" s="8">
        <v>768</v>
      </c>
      <c r="I29" s="8">
        <v>8448</v>
      </c>
    </row>
    <row r="30" spans="1:9" ht="31" x14ac:dyDescent="0.35">
      <c r="A30" s="26" t="s">
        <v>65</v>
      </c>
      <c r="B30" s="11" t="s">
        <v>52</v>
      </c>
      <c r="C30" s="8">
        <v>1920</v>
      </c>
      <c r="D30" s="8">
        <v>1920</v>
      </c>
      <c r="E30" s="8">
        <v>1920</v>
      </c>
      <c r="F30" s="8">
        <v>1920</v>
      </c>
      <c r="G30" s="8">
        <v>1920</v>
      </c>
      <c r="H30" s="8">
        <v>960</v>
      </c>
      <c r="I30" s="8">
        <v>10560</v>
      </c>
    </row>
    <row r="31" spans="1:9" ht="31" x14ac:dyDescent="0.35">
      <c r="A31" s="26" t="s">
        <v>66</v>
      </c>
      <c r="B31" s="11" t="s">
        <v>52</v>
      </c>
      <c r="C31" s="8">
        <v>960</v>
      </c>
      <c r="D31" s="8">
        <v>960</v>
      </c>
      <c r="E31" s="8">
        <v>960</v>
      </c>
      <c r="F31" s="8">
        <v>960</v>
      </c>
      <c r="G31" s="8">
        <v>960</v>
      </c>
      <c r="H31" s="8">
        <v>480</v>
      </c>
      <c r="I31" s="8">
        <v>5280</v>
      </c>
    </row>
    <row r="32" spans="1:9" ht="30" x14ac:dyDescent="0.3">
      <c r="A32" s="28" t="s">
        <v>67</v>
      </c>
      <c r="B32" s="12" t="s">
        <v>52</v>
      </c>
      <c r="C32" s="5">
        <v>960</v>
      </c>
      <c r="D32" s="5">
        <v>960</v>
      </c>
      <c r="E32" s="5">
        <v>960</v>
      </c>
      <c r="F32" s="5">
        <v>960</v>
      </c>
      <c r="G32" s="5">
        <v>960</v>
      </c>
      <c r="H32" s="5">
        <v>480</v>
      </c>
      <c r="I32" s="5">
        <v>5280</v>
      </c>
    </row>
    <row r="33" spans="1:9" ht="15.5" x14ac:dyDescent="0.35">
      <c r="A33" s="26" t="s">
        <v>36</v>
      </c>
      <c r="B33" s="10" t="s">
        <v>52</v>
      </c>
      <c r="C33" s="8">
        <v>2880</v>
      </c>
      <c r="D33" s="8">
        <v>2880</v>
      </c>
      <c r="E33" s="8">
        <v>2880</v>
      </c>
      <c r="F33" s="8">
        <v>2880</v>
      </c>
      <c r="G33" s="8">
        <v>3120</v>
      </c>
      <c r="H33" s="8">
        <v>1560</v>
      </c>
      <c r="I33" s="8">
        <v>16200</v>
      </c>
    </row>
    <row r="34" spans="1:9" ht="15.5" x14ac:dyDescent="0.35">
      <c r="A34" s="26" t="s">
        <v>68</v>
      </c>
      <c r="B34" s="11" t="s">
        <v>52</v>
      </c>
      <c r="C34" s="8">
        <v>960</v>
      </c>
      <c r="D34" s="8">
        <v>960</v>
      </c>
      <c r="E34" s="8">
        <v>960</v>
      </c>
      <c r="F34" s="8">
        <v>960</v>
      </c>
      <c r="G34" s="8">
        <v>960</v>
      </c>
      <c r="H34" s="8">
        <v>480</v>
      </c>
      <c r="I34" s="8">
        <v>5280</v>
      </c>
    </row>
    <row r="35" spans="1:9" ht="15.5" x14ac:dyDescent="0.35">
      <c r="A35" s="26" t="s">
        <v>37</v>
      </c>
      <c r="B35" s="11" t="s">
        <v>52</v>
      </c>
      <c r="C35" s="8">
        <v>480</v>
      </c>
      <c r="D35" s="8">
        <v>480</v>
      </c>
      <c r="E35" s="8">
        <v>480</v>
      </c>
      <c r="F35" s="8">
        <v>480</v>
      </c>
      <c r="G35" s="8">
        <v>480</v>
      </c>
      <c r="H35" s="8">
        <v>240</v>
      </c>
      <c r="I35" s="8">
        <v>2640</v>
      </c>
    </row>
    <row r="36" spans="1:9" ht="15.5" x14ac:dyDescent="0.35">
      <c r="A36" s="26" t="s">
        <v>69</v>
      </c>
      <c r="B36" s="11" t="s">
        <v>52</v>
      </c>
      <c r="C36" s="8">
        <v>480</v>
      </c>
      <c r="D36" s="8">
        <v>480</v>
      </c>
      <c r="E36" s="8">
        <v>480</v>
      </c>
      <c r="F36" s="8">
        <v>480</v>
      </c>
      <c r="G36" s="8">
        <v>480</v>
      </c>
      <c r="H36" s="8">
        <v>240</v>
      </c>
      <c r="I36" s="8">
        <v>2640</v>
      </c>
    </row>
    <row r="37" spans="1:9" ht="15.5" x14ac:dyDescent="0.35">
      <c r="A37" s="26" t="s">
        <v>40</v>
      </c>
      <c r="B37" s="11" t="s">
        <v>52</v>
      </c>
      <c r="C37" s="8">
        <v>960</v>
      </c>
      <c r="D37" s="8">
        <v>960</v>
      </c>
      <c r="E37" s="8">
        <v>960</v>
      </c>
      <c r="F37" s="8">
        <v>960</v>
      </c>
      <c r="G37" s="8">
        <v>960</v>
      </c>
      <c r="H37" s="8">
        <v>480</v>
      </c>
      <c r="I37" s="8">
        <v>5280</v>
      </c>
    </row>
    <row r="38" spans="1:9" ht="15.5" x14ac:dyDescent="0.35">
      <c r="A38" s="26" t="s">
        <v>41</v>
      </c>
      <c r="B38" s="11" t="s">
        <v>52</v>
      </c>
      <c r="C38" s="8">
        <v>480</v>
      </c>
      <c r="D38" s="8">
        <v>480</v>
      </c>
      <c r="E38" s="8">
        <v>480</v>
      </c>
      <c r="F38" s="8">
        <v>480</v>
      </c>
      <c r="G38" s="8">
        <v>480</v>
      </c>
      <c r="H38" s="8">
        <v>240</v>
      </c>
      <c r="I38" s="8">
        <v>2640</v>
      </c>
    </row>
    <row r="39" spans="1:9" ht="15.5" x14ac:dyDescent="0.35">
      <c r="A39" s="26" t="s">
        <v>42</v>
      </c>
      <c r="B39" s="11" t="s">
        <v>52</v>
      </c>
      <c r="C39" s="8">
        <v>960</v>
      </c>
      <c r="D39" s="8">
        <v>960</v>
      </c>
      <c r="E39" s="8">
        <v>960</v>
      </c>
      <c r="F39" s="8">
        <v>960</v>
      </c>
      <c r="G39" s="8">
        <v>960</v>
      </c>
      <c r="H39" s="8">
        <v>480</v>
      </c>
      <c r="I39" s="8">
        <v>5280</v>
      </c>
    </row>
    <row r="40" spans="1:9" ht="15.5" x14ac:dyDescent="0.35">
      <c r="A40" s="26" t="s">
        <v>43</v>
      </c>
      <c r="B40" s="11" t="s">
        <v>52</v>
      </c>
      <c r="C40" s="8">
        <v>1920</v>
      </c>
      <c r="D40" s="8">
        <v>1920</v>
      </c>
      <c r="E40" s="8">
        <v>1920</v>
      </c>
      <c r="F40" s="8">
        <v>1920</v>
      </c>
      <c r="G40" s="8">
        <v>1920</v>
      </c>
      <c r="H40" s="8">
        <v>960</v>
      </c>
      <c r="I40" s="8">
        <v>10560</v>
      </c>
    </row>
    <row r="41" spans="1:9" ht="15.5" x14ac:dyDescent="0.35">
      <c r="A41" s="26" t="s">
        <v>70</v>
      </c>
      <c r="B41" s="11" t="s">
        <v>52</v>
      </c>
      <c r="C41" s="8">
        <v>960</v>
      </c>
      <c r="D41" s="8">
        <v>960</v>
      </c>
      <c r="E41" s="8">
        <v>960</v>
      </c>
      <c r="F41" s="8">
        <v>960</v>
      </c>
      <c r="G41" s="8">
        <v>960</v>
      </c>
      <c r="H41" s="8">
        <v>480</v>
      </c>
      <c r="I41" s="8">
        <v>5280</v>
      </c>
    </row>
    <row r="42" spans="1:9" ht="15.5" x14ac:dyDescent="0.35">
      <c r="A42" s="26" t="s">
        <v>71</v>
      </c>
      <c r="B42" s="11" t="s">
        <v>52</v>
      </c>
      <c r="C42" s="8">
        <v>960</v>
      </c>
      <c r="D42" s="8">
        <v>960</v>
      </c>
      <c r="E42" s="8">
        <v>960</v>
      </c>
      <c r="F42" s="8">
        <v>960</v>
      </c>
      <c r="G42" s="8">
        <v>960</v>
      </c>
      <c r="H42" s="8">
        <v>480</v>
      </c>
      <c r="I42" s="8">
        <v>5280</v>
      </c>
    </row>
    <row r="43" spans="1:9" ht="15.5" x14ac:dyDescent="0.35">
      <c r="A43" s="26" t="s">
        <v>72</v>
      </c>
      <c r="B43" s="11" t="s">
        <v>52</v>
      </c>
      <c r="C43" s="8">
        <v>2880</v>
      </c>
      <c r="D43" s="8">
        <v>2880</v>
      </c>
      <c r="E43" s="8">
        <v>2880</v>
      </c>
      <c r="F43" s="8">
        <v>2880</v>
      </c>
      <c r="G43" s="8">
        <v>2880</v>
      </c>
      <c r="H43" s="8">
        <v>1440</v>
      </c>
      <c r="I43" s="8">
        <v>15840</v>
      </c>
    </row>
    <row r="44" spans="1:9" ht="15.5" x14ac:dyDescent="0.35">
      <c r="A44" s="26" t="s">
        <v>74</v>
      </c>
      <c r="B44" s="10" t="s">
        <v>52</v>
      </c>
      <c r="C44" s="8">
        <v>1920</v>
      </c>
      <c r="D44" s="8">
        <v>1920</v>
      </c>
      <c r="E44" s="8">
        <v>2400</v>
      </c>
      <c r="F44" s="8">
        <v>2880</v>
      </c>
      <c r="G44" s="8">
        <v>2880</v>
      </c>
      <c r="H44" s="8">
        <v>1440</v>
      </c>
      <c r="I44" s="8">
        <v>13440</v>
      </c>
    </row>
    <row r="45" spans="1:9" ht="15" x14ac:dyDescent="0.3">
      <c r="A45" s="28" t="s">
        <v>75</v>
      </c>
      <c r="B45" s="13" t="s">
        <v>52</v>
      </c>
      <c r="C45" s="5">
        <v>100</v>
      </c>
      <c r="D45" s="5">
        <v>100</v>
      </c>
      <c r="E45" s="5">
        <v>100</v>
      </c>
      <c r="F45" s="5">
        <v>100</v>
      </c>
      <c r="G45" s="5">
        <v>100</v>
      </c>
      <c r="H45" s="5">
        <v>50</v>
      </c>
      <c r="I45" s="5">
        <v>550</v>
      </c>
    </row>
    <row r="46" spans="1:9" ht="15.5" x14ac:dyDescent="0.35">
      <c r="A46" s="26" t="s">
        <v>73</v>
      </c>
      <c r="B46" s="10" t="s">
        <v>52</v>
      </c>
      <c r="C46" s="8">
        <v>2880</v>
      </c>
      <c r="D46" s="8">
        <v>2880</v>
      </c>
      <c r="E46" s="8">
        <v>2400</v>
      </c>
      <c r="F46" s="8">
        <v>2400</v>
      </c>
      <c r="G46" s="8">
        <v>2400</v>
      </c>
      <c r="H46" s="8">
        <v>1200</v>
      </c>
      <c r="I46" s="8">
        <v>14160</v>
      </c>
    </row>
    <row r="47" spans="1:9" ht="15.5" x14ac:dyDescent="0.35">
      <c r="A47" s="26" t="s">
        <v>76</v>
      </c>
      <c r="B47" s="10" t="s">
        <v>52</v>
      </c>
      <c r="C47" s="8">
        <v>1900</v>
      </c>
      <c r="D47" s="8">
        <v>1900</v>
      </c>
      <c r="E47" s="8">
        <v>1900</v>
      </c>
      <c r="F47" s="8">
        <v>1900</v>
      </c>
      <c r="G47" s="8">
        <v>1900</v>
      </c>
      <c r="H47" s="8">
        <v>950</v>
      </c>
      <c r="I47" s="8">
        <v>10450</v>
      </c>
    </row>
    <row r="48" spans="1:9" ht="15.5" x14ac:dyDescent="0.35">
      <c r="A48" s="26" t="s">
        <v>78</v>
      </c>
      <c r="B48" s="10" t="s">
        <v>52</v>
      </c>
      <c r="C48" s="8">
        <v>1920</v>
      </c>
      <c r="D48" s="8">
        <v>1920</v>
      </c>
      <c r="E48" s="8">
        <v>1920</v>
      </c>
      <c r="F48" s="8">
        <v>1920</v>
      </c>
      <c r="G48" s="8">
        <v>1920</v>
      </c>
      <c r="H48" s="8">
        <v>960</v>
      </c>
      <c r="I48" s="8">
        <v>10560</v>
      </c>
    </row>
    <row r="49" spans="1:9" ht="15.5" x14ac:dyDescent="0.35">
      <c r="A49" s="26" t="s">
        <v>79</v>
      </c>
      <c r="B49" s="11" t="s">
        <v>52</v>
      </c>
      <c r="C49" s="8">
        <v>960</v>
      </c>
      <c r="D49" s="8">
        <v>960</v>
      </c>
      <c r="E49" s="8">
        <v>960</v>
      </c>
      <c r="F49" s="8">
        <v>960</v>
      </c>
      <c r="G49" s="8">
        <v>960</v>
      </c>
      <c r="H49" s="8">
        <v>480</v>
      </c>
      <c r="I49" s="8">
        <v>5280</v>
      </c>
    </row>
    <row r="50" spans="1:9" ht="15.5" x14ac:dyDescent="0.35">
      <c r="A50" s="26" t="s">
        <v>81</v>
      </c>
      <c r="B50" s="11" t="s">
        <v>52</v>
      </c>
      <c r="C50" s="8">
        <v>480</v>
      </c>
      <c r="D50" s="8">
        <v>480</v>
      </c>
      <c r="E50" s="8">
        <v>480</v>
      </c>
      <c r="F50" s="8">
        <v>480</v>
      </c>
      <c r="G50" s="8">
        <v>480</v>
      </c>
      <c r="H50" s="8">
        <v>240</v>
      </c>
      <c r="I50" s="8">
        <v>2640</v>
      </c>
    </row>
    <row r="51" spans="1:9" ht="15.5" x14ac:dyDescent="0.35">
      <c r="A51" s="26" t="s">
        <v>17</v>
      </c>
      <c r="B51" s="11" t="s">
        <v>52</v>
      </c>
      <c r="C51" s="8">
        <v>480</v>
      </c>
      <c r="D51" s="8">
        <v>480</v>
      </c>
      <c r="E51" s="8">
        <v>480</v>
      </c>
      <c r="F51" s="8">
        <v>480</v>
      </c>
      <c r="G51" s="8">
        <v>480</v>
      </c>
      <c r="H51" s="8">
        <v>240</v>
      </c>
      <c r="I51" s="8">
        <v>2640</v>
      </c>
    </row>
    <row r="52" spans="1:9" ht="15.5" x14ac:dyDescent="0.35">
      <c r="A52" s="26" t="s">
        <v>18</v>
      </c>
      <c r="B52" s="10" t="s">
        <v>52</v>
      </c>
      <c r="C52" s="8">
        <v>480</v>
      </c>
      <c r="D52" s="8">
        <v>480</v>
      </c>
      <c r="E52" s="8">
        <v>480</v>
      </c>
      <c r="F52" s="8">
        <v>480</v>
      </c>
      <c r="G52" s="8">
        <v>480</v>
      </c>
      <c r="H52" s="8">
        <v>240</v>
      </c>
      <c r="I52" s="8">
        <v>2640</v>
      </c>
    </row>
    <row r="53" spans="1:9" ht="15.5" x14ac:dyDescent="0.35">
      <c r="A53" s="26" t="s">
        <v>19</v>
      </c>
      <c r="B53" s="11" t="s">
        <v>52</v>
      </c>
      <c r="C53" s="8">
        <v>480</v>
      </c>
      <c r="D53" s="8">
        <v>480</v>
      </c>
      <c r="E53" s="8">
        <v>480</v>
      </c>
      <c r="F53" s="8">
        <v>480</v>
      </c>
      <c r="G53" s="8">
        <v>480</v>
      </c>
      <c r="H53" s="8">
        <v>240</v>
      </c>
      <c r="I53" s="8">
        <v>2640</v>
      </c>
    </row>
    <row r="54" spans="1:9" ht="15.5" x14ac:dyDescent="0.35">
      <c r="A54" s="26" t="s">
        <v>26</v>
      </c>
      <c r="B54" s="10" t="s">
        <v>52</v>
      </c>
      <c r="C54" s="8">
        <v>1920</v>
      </c>
      <c r="D54" s="8">
        <v>1920</v>
      </c>
      <c r="E54" s="8">
        <v>1920</v>
      </c>
      <c r="F54" s="8">
        <v>1920</v>
      </c>
      <c r="G54" s="8">
        <v>1920</v>
      </c>
      <c r="H54" s="8">
        <v>960</v>
      </c>
      <c r="I54" s="8">
        <v>10560</v>
      </c>
    </row>
    <row r="55" spans="1:9" ht="15.5" x14ac:dyDescent="0.35">
      <c r="A55" s="26" t="s">
        <v>27</v>
      </c>
      <c r="B55" s="11" t="s">
        <v>52</v>
      </c>
      <c r="C55" s="8">
        <v>1920</v>
      </c>
      <c r="D55" s="8">
        <v>1920</v>
      </c>
      <c r="E55" s="8">
        <v>1920</v>
      </c>
      <c r="F55" s="8">
        <v>1920</v>
      </c>
      <c r="G55" s="8">
        <v>1920</v>
      </c>
      <c r="H55" s="8">
        <v>960</v>
      </c>
      <c r="I55" s="8">
        <v>10560</v>
      </c>
    </row>
    <row r="56" spans="1:9" ht="15.5" x14ac:dyDescent="0.35">
      <c r="A56" s="26" t="s">
        <v>29</v>
      </c>
      <c r="B56" s="10" t="s">
        <v>52</v>
      </c>
      <c r="C56" s="8">
        <v>3840</v>
      </c>
      <c r="D56" s="8">
        <v>3840</v>
      </c>
      <c r="E56" s="8">
        <v>3840</v>
      </c>
      <c r="F56" s="8">
        <v>3840</v>
      </c>
      <c r="G56" s="8">
        <v>3840</v>
      </c>
      <c r="H56" s="8">
        <v>1920</v>
      </c>
      <c r="I56" s="8">
        <v>21120</v>
      </c>
    </row>
    <row r="57" spans="1:9" ht="15.5" x14ac:dyDescent="0.35">
      <c r="A57" s="26" t="s">
        <v>44</v>
      </c>
      <c r="B57" s="11" t="s">
        <v>52</v>
      </c>
      <c r="C57" s="8">
        <v>192</v>
      </c>
      <c r="D57" s="8">
        <v>192</v>
      </c>
      <c r="E57" s="8">
        <v>192</v>
      </c>
      <c r="F57" s="8">
        <v>192</v>
      </c>
      <c r="G57" s="8">
        <v>192</v>
      </c>
      <c r="H57" s="8">
        <v>96</v>
      </c>
      <c r="I57" s="8">
        <v>1056</v>
      </c>
    </row>
    <row r="58" spans="1:9" ht="15.5" x14ac:dyDescent="0.35">
      <c r="A58" s="26" t="s">
        <v>48</v>
      </c>
      <c r="B58" s="11" t="s">
        <v>52</v>
      </c>
      <c r="C58" s="8">
        <v>960</v>
      </c>
      <c r="D58" s="8">
        <v>960</v>
      </c>
      <c r="E58" s="8">
        <v>960</v>
      </c>
      <c r="F58" s="8">
        <v>960</v>
      </c>
      <c r="G58" s="8">
        <v>960</v>
      </c>
      <c r="H58" s="8">
        <v>480</v>
      </c>
      <c r="I58" s="8">
        <v>5280</v>
      </c>
    </row>
    <row r="59" spans="1:9" ht="15.5" x14ac:dyDescent="0.35">
      <c r="A59" s="26" t="s">
        <v>49</v>
      </c>
      <c r="B59" s="11" t="s">
        <v>52</v>
      </c>
      <c r="C59" s="8">
        <v>1920</v>
      </c>
      <c r="D59" s="8">
        <v>1920</v>
      </c>
      <c r="E59" s="8">
        <v>1920</v>
      </c>
      <c r="F59" s="8">
        <v>1920</v>
      </c>
      <c r="G59" s="8">
        <v>1920</v>
      </c>
      <c r="H59" s="8">
        <v>960</v>
      </c>
      <c r="I59" s="8">
        <v>10560</v>
      </c>
    </row>
    <row r="60" spans="1:9" ht="15.5" x14ac:dyDescent="0.35">
      <c r="A60" s="26" t="s">
        <v>50</v>
      </c>
      <c r="B60" s="11" t="s">
        <v>52</v>
      </c>
      <c r="C60" s="8">
        <v>192</v>
      </c>
      <c r="D60" s="8">
        <v>192</v>
      </c>
      <c r="E60" s="8">
        <v>192</v>
      </c>
      <c r="F60" s="8">
        <v>192</v>
      </c>
      <c r="G60" s="8">
        <v>192</v>
      </c>
      <c r="H60" s="8">
        <v>96</v>
      </c>
      <c r="I60" s="8">
        <v>1056</v>
      </c>
    </row>
    <row r="61" spans="1:9" ht="15" x14ac:dyDescent="0.3">
      <c r="C61" s="37">
        <f>SUM(C6:C60)</f>
        <v>71120</v>
      </c>
      <c r="D61" s="37">
        <f t="shared" ref="D61:I61" si="0">SUM(D6:D60)</f>
        <v>71120</v>
      </c>
      <c r="E61" s="37">
        <f t="shared" si="0"/>
        <v>71120</v>
      </c>
      <c r="F61" s="37">
        <f t="shared" si="0"/>
        <v>71600</v>
      </c>
      <c r="G61" s="37">
        <f t="shared" si="0"/>
        <v>71840</v>
      </c>
      <c r="H61" s="37">
        <f t="shared" si="0"/>
        <v>35920</v>
      </c>
      <c r="I61" s="37">
        <f t="shared" si="0"/>
        <v>392720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130a69-70b2-4abb-afa6-fe5edc804dca" xsi:nil="true"/>
    <lcf76f155ced4ddcb4097134ff3c332f xmlns="1438cc18-f613-495a-893f-1116621d34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0BA2CEED28742A4F8AC2D51BC246E" ma:contentTypeVersion="13" ma:contentTypeDescription="Create a new document." ma:contentTypeScope="" ma:versionID="99917274fb8a886fd37b85a6af753911">
  <xsd:schema xmlns:xsd="http://www.w3.org/2001/XMLSchema" xmlns:xs="http://www.w3.org/2001/XMLSchema" xmlns:p="http://schemas.microsoft.com/office/2006/metadata/properties" xmlns:ns2="1438cc18-f613-495a-893f-1116621d34dd" xmlns:ns3="b2130a69-70b2-4abb-afa6-fe5edc804dca" targetNamespace="http://schemas.microsoft.com/office/2006/metadata/properties" ma:root="true" ma:fieldsID="9ef8d4bcf1d601f7879600c0da88d627" ns2:_="" ns3:_="">
    <xsd:import namespace="1438cc18-f613-495a-893f-1116621d34dd"/>
    <xsd:import namespace="b2130a69-70b2-4abb-afa6-fe5edc804d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cc18-f613-495a-893f-1116621d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0a69-70b2-4abb-afa6-fe5edc804d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929628-be75-4929-8336-c013cf3c6647}" ma:internalName="TaxCatchAll" ma:showField="CatchAllData" ma:web="b2130a69-70b2-4abb-afa6-fe5edc804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A62687-5EA1-4A3E-B11A-BBB7C628CAD3}">
  <ds:schemaRefs>
    <ds:schemaRef ds:uri="http://schemas.microsoft.com/office/2006/metadata/properties"/>
    <ds:schemaRef ds:uri="http://schemas.microsoft.com/office/infopath/2007/PartnerControls"/>
    <ds:schemaRef ds:uri="6c17c662-ef00-4d48-91cd-ab3644518c98"/>
    <ds:schemaRef ds:uri="cd48c557-1ef3-4333-9313-5b623b4bf59f"/>
    <ds:schemaRef ds:uri="b2130a69-70b2-4abb-afa6-fe5edc804dca"/>
    <ds:schemaRef ds:uri="1438cc18-f613-495a-893f-1116621d34dd"/>
  </ds:schemaRefs>
</ds:datastoreItem>
</file>

<file path=customXml/itemProps2.xml><?xml version="1.0" encoding="utf-8"?>
<ds:datastoreItem xmlns:ds="http://schemas.openxmlformats.org/officeDocument/2006/customXml" ds:itemID="{1E927446-26D9-40C5-95CA-E0FE13187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8cc18-f613-495a-893f-1116621d34dd"/>
    <ds:schemaRef ds:uri="b2130a69-70b2-4abb-afa6-fe5edc804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735A30-7D36-4EF8-A390-114C7E87B8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Hours</vt:lpstr>
      <vt:lpstr>On Site Hours</vt:lpstr>
      <vt:lpstr>Off Site Hours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Kimberly A CIV USN COMNAVAIRSYSCOM PAX (USA)</dc:creator>
  <cp:keywords/>
  <dc:description/>
  <cp:lastModifiedBy>Farrell, Hannah R CIV (USA)</cp:lastModifiedBy>
  <cp:revision/>
  <dcterms:created xsi:type="dcterms:W3CDTF">2024-03-27T12:24:32Z</dcterms:created>
  <dcterms:modified xsi:type="dcterms:W3CDTF">2026-05-07T14:11:38Z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0x0101007C80BA2CEED28742A4F8AC2D51BC246E</vt:lpwstr>
  </property>
  <property fmtid="{D5CDD505-2E9C-101B-9397-08002B2CF9AE}" pid="3" name="MediaServiceImageTags">
    <vt:lpwstr/>
  </property>
</Properties>
</file>