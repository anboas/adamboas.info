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nexus.occ.treas.gov\nexus\1735_staff\Facione\1 - Pre-Award\26Q000037_UCE Space\Section II - Solicitation Documents\Tab F - Solicitation\Attachments\"/>
    </mc:Choice>
  </mc:AlternateContent>
  <xr:revisionPtr revIDLastSave="0" documentId="8_{74D88A09-0430-4E81-95BE-9A861AD553BA}" xr6:coauthVersionLast="47" xr6:coauthVersionMax="47" xr10:uidLastSave="{00000000-0000-0000-0000-000000000000}"/>
  <bookViews>
    <workbookView xWindow="-98" yWindow="-98" windowWidth="19396" windowHeight="11475" xr2:uid="{1FCF8203-195E-48DB-964A-148A3F3FDF36}"/>
  </bookViews>
  <sheets>
    <sheet name="Attacnment B Instructions" sheetId="6" r:id="rId1"/>
    <sheet name="Property Biz, AV Teh-Equipment" sheetId="3" r:id="rId2"/>
    <sheet name="Property Food &amp; Beverage" sheetId="4" r:id="rId3"/>
    <sheet name="Property LCMS Rooms" sheetId="10" r:id="rId4"/>
    <sheet name="Property Summary - Cost" sheetId="11" r:id="rId5"/>
    <sheet name="Narrative-Assumption_Exception" sheetId="1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6" i="11" l="1"/>
  <c r="T25" i="11"/>
  <c r="Q26" i="11"/>
  <c r="Q25" i="11"/>
  <c r="N26" i="11"/>
  <c r="N25" i="11"/>
  <c r="K26" i="11"/>
  <c r="K25" i="11"/>
  <c r="H26" i="11"/>
  <c r="H25" i="11"/>
  <c r="E26" i="11"/>
  <c r="E25" i="11"/>
  <c r="T16" i="11"/>
  <c r="T15" i="11"/>
  <c r="Q16" i="11"/>
  <c r="Q15" i="11"/>
  <c r="N16" i="11"/>
  <c r="N15" i="11"/>
  <c r="K16" i="11"/>
  <c r="K15" i="11"/>
  <c r="H16" i="11"/>
  <c r="H15" i="11"/>
  <c r="E16" i="11"/>
  <c r="E15" i="11"/>
  <c r="T6" i="11"/>
  <c r="Q6" i="11"/>
  <c r="N6" i="11"/>
  <c r="K6" i="11"/>
  <c r="H6" i="11"/>
  <c r="E6" i="11"/>
  <c r="T5" i="11"/>
  <c r="Q5" i="11"/>
  <c r="N5" i="11"/>
  <c r="K5" i="11"/>
  <c r="H5" i="11"/>
  <c r="E5" i="11"/>
  <c r="P33" i="4"/>
  <c r="V32" i="4"/>
  <c r="S32" i="4"/>
  <c r="P32" i="4"/>
  <c r="M32" i="4"/>
  <c r="J32" i="4"/>
  <c r="G32" i="4"/>
  <c r="V31" i="4"/>
  <c r="S31" i="4"/>
  <c r="S33" i="4" s="1"/>
  <c r="P31" i="4"/>
  <c r="M31" i="4"/>
  <c r="J31" i="4"/>
  <c r="G31" i="4"/>
  <c r="V30" i="4"/>
  <c r="V33" i="4" s="1"/>
  <c r="S30" i="4"/>
  <c r="P30" i="4"/>
  <c r="M30" i="4"/>
  <c r="J30" i="4"/>
  <c r="G30" i="4"/>
  <c r="V29" i="4"/>
  <c r="S29" i="4"/>
  <c r="P29" i="4"/>
  <c r="M29" i="4"/>
  <c r="M33" i="4" s="1"/>
  <c r="J29" i="4"/>
  <c r="J33" i="4" s="1"/>
  <c r="G29" i="4"/>
  <c r="G33" i="4" s="1"/>
  <c r="V34" i="4" s="1"/>
  <c r="V21" i="4"/>
  <c r="S21" i="4"/>
  <c r="V20" i="4"/>
  <c r="S20" i="4"/>
  <c r="P20" i="4"/>
  <c r="M20" i="4"/>
  <c r="J20" i="4"/>
  <c r="G20" i="4"/>
  <c r="V19" i="4"/>
  <c r="S19" i="4"/>
  <c r="P19" i="4"/>
  <c r="M19" i="4"/>
  <c r="J19" i="4"/>
  <c r="G19" i="4"/>
  <c r="V18" i="4"/>
  <c r="S18" i="4"/>
  <c r="P18" i="4"/>
  <c r="M18" i="4"/>
  <c r="J18" i="4"/>
  <c r="G18" i="4"/>
  <c r="V17" i="4"/>
  <c r="S17" i="4"/>
  <c r="P17" i="4"/>
  <c r="P21" i="4" s="1"/>
  <c r="M17" i="4"/>
  <c r="M21" i="4" s="1"/>
  <c r="J17" i="4"/>
  <c r="J21" i="4" s="1"/>
  <c r="G17" i="4"/>
  <c r="G21" i="4" s="1"/>
  <c r="V22" i="4" s="1"/>
  <c r="M6" i="4"/>
  <c r="M7" i="4"/>
  <c r="M8" i="4"/>
  <c r="M5" i="4"/>
  <c r="P6" i="4"/>
  <c r="P7" i="4"/>
  <c r="P8" i="4"/>
  <c r="P5" i="4"/>
  <c r="S6" i="4"/>
  <c r="S7" i="4"/>
  <c r="S8" i="4"/>
  <c r="S5" i="4"/>
  <c r="V6" i="4"/>
  <c r="V7" i="4"/>
  <c r="V8" i="4"/>
  <c r="V5" i="4"/>
  <c r="J6" i="4"/>
  <c r="J7" i="4"/>
  <c r="J8" i="4"/>
  <c r="J5" i="4"/>
  <c r="G6" i="4"/>
  <c r="G7" i="4"/>
  <c r="G8" i="4"/>
  <c r="G5" i="4"/>
  <c r="U12" i="3"/>
  <c r="F11" i="3"/>
  <c r="V36" i="10"/>
  <c r="S36" i="10"/>
  <c r="V23" i="10"/>
  <c r="S23" i="10"/>
  <c r="V10" i="10"/>
  <c r="S10" i="10"/>
  <c r="P36" i="10"/>
  <c r="M36" i="10"/>
  <c r="J36" i="10"/>
  <c r="G36" i="10"/>
  <c r="V35" i="10"/>
  <c r="S35" i="10"/>
  <c r="J35" i="10"/>
  <c r="P35" i="10" s="1"/>
  <c r="G35" i="10"/>
  <c r="M35" i="10" s="1"/>
  <c r="V34" i="10"/>
  <c r="S34" i="10"/>
  <c r="J34" i="10"/>
  <c r="P34" i="10" s="1"/>
  <c r="G34" i="10"/>
  <c r="M34" i="10" s="1"/>
  <c r="V33" i="10"/>
  <c r="S33" i="10"/>
  <c r="J33" i="10"/>
  <c r="P33" i="10" s="1"/>
  <c r="G33" i="10"/>
  <c r="V32" i="10"/>
  <c r="S32" i="10"/>
  <c r="J32" i="10"/>
  <c r="P32" i="10" s="1"/>
  <c r="G32" i="10"/>
  <c r="M32" i="10" s="1"/>
  <c r="V31" i="10"/>
  <c r="S31" i="10"/>
  <c r="P31" i="10"/>
  <c r="M31" i="10"/>
  <c r="J31" i="10"/>
  <c r="G31" i="10"/>
  <c r="P23" i="10"/>
  <c r="M23" i="10"/>
  <c r="J23" i="10"/>
  <c r="G23" i="10"/>
  <c r="V22" i="10"/>
  <c r="S22" i="10"/>
  <c r="J22" i="10"/>
  <c r="P22" i="10" s="1"/>
  <c r="G22" i="10"/>
  <c r="M22" i="10" s="1"/>
  <c r="V21" i="10"/>
  <c r="S21" i="10"/>
  <c r="J21" i="10"/>
  <c r="P21" i="10" s="1"/>
  <c r="G21" i="10"/>
  <c r="M21" i="10" s="1"/>
  <c r="V20" i="10"/>
  <c r="S20" i="10"/>
  <c r="J20" i="10"/>
  <c r="P20" i="10" s="1"/>
  <c r="G20" i="10"/>
  <c r="M20" i="10" s="1"/>
  <c r="V19" i="10"/>
  <c r="S19" i="10"/>
  <c r="J19" i="10"/>
  <c r="P19" i="10" s="1"/>
  <c r="G19" i="10"/>
  <c r="M19" i="10" s="1"/>
  <c r="V18" i="10"/>
  <c r="S18" i="10"/>
  <c r="P18" i="10"/>
  <c r="M18" i="10"/>
  <c r="J18" i="10"/>
  <c r="G18" i="10"/>
  <c r="P10" i="10"/>
  <c r="P5" i="10"/>
  <c r="M10" i="10"/>
  <c r="M5" i="10"/>
  <c r="J10" i="10"/>
  <c r="J7" i="10"/>
  <c r="P7" i="10" s="1"/>
  <c r="J8" i="10"/>
  <c r="P8" i="10" s="1"/>
  <c r="J9" i="10"/>
  <c r="P9" i="10" s="1"/>
  <c r="J6" i="10"/>
  <c r="P6" i="10" s="1"/>
  <c r="S6" i="10"/>
  <c r="S7" i="10"/>
  <c r="S8" i="10"/>
  <c r="S9" i="10"/>
  <c r="S5" i="10"/>
  <c r="V6" i="10"/>
  <c r="V7" i="10"/>
  <c r="V8" i="10"/>
  <c r="V9" i="10"/>
  <c r="V5" i="10"/>
  <c r="J5" i="10"/>
  <c r="G10" i="10"/>
  <c r="G7" i="10"/>
  <c r="M7" i="10" s="1"/>
  <c r="G8" i="10"/>
  <c r="M8" i="10" s="1"/>
  <c r="G9" i="10"/>
  <c r="M9" i="10" s="1"/>
  <c r="G6" i="10"/>
  <c r="M6" i="10" s="1"/>
  <c r="G5" i="10"/>
  <c r="U32" i="3"/>
  <c r="U33" i="3"/>
  <c r="U34" i="3"/>
  <c r="U35" i="3"/>
  <c r="U31" i="3"/>
  <c r="R32" i="3"/>
  <c r="R33" i="3"/>
  <c r="R34" i="3"/>
  <c r="R35" i="3"/>
  <c r="R36" i="3"/>
  <c r="R31" i="3"/>
  <c r="O32" i="3"/>
  <c r="O33" i="3"/>
  <c r="O34" i="3"/>
  <c r="O35" i="3"/>
  <c r="O36" i="3"/>
  <c r="O31" i="3"/>
  <c r="L32" i="3"/>
  <c r="L33" i="3"/>
  <c r="L34" i="3"/>
  <c r="L35" i="3"/>
  <c r="L36" i="3"/>
  <c r="L31" i="3"/>
  <c r="I32" i="3"/>
  <c r="I33" i="3"/>
  <c r="I34" i="3"/>
  <c r="I35" i="3"/>
  <c r="I36" i="3"/>
  <c r="I31" i="3"/>
  <c r="U19" i="3"/>
  <c r="U20" i="3"/>
  <c r="U21" i="3"/>
  <c r="U22" i="3"/>
  <c r="U23" i="3"/>
  <c r="U18" i="3"/>
  <c r="R19" i="3"/>
  <c r="R20" i="3"/>
  <c r="R21" i="3"/>
  <c r="R22" i="3"/>
  <c r="R23" i="3"/>
  <c r="R18" i="3"/>
  <c r="O19" i="3"/>
  <c r="O20" i="3"/>
  <c r="O21" i="3"/>
  <c r="O22" i="3"/>
  <c r="O23" i="3"/>
  <c r="O18" i="3"/>
  <c r="L19" i="3"/>
  <c r="L20" i="3"/>
  <c r="L21" i="3"/>
  <c r="L22" i="3"/>
  <c r="L23" i="3"/>
  <c r="L18" i="3"/>
  <c r="I19" i="3"/>
  <c r="I20" i="3"/>
  <c r="I21" i="3"/>
  <c r="I22" i="3"/>
  <c r="I23" i="3"/>
  <c r="I18" i="3"/>
  <c r="U10" i="3"/>
  <c r="U6" i="3"/>
  <c r="U7" i="3"/>
  <c r="U8" i="3"/>
  <c r="U9" i="3"/>
  <c r="U5" i="3"/>
  <c r="R6" i="3"/>
  <c r="R7" i="3"/>
  <c r="R8" i="3"/>
  <c r="R9" i="3"/>
  <c r="R10" i="3"/>
  <c r="R5" i="3"/>
  <c r="O6" i="3"/>
  <c r="O7" i="3"/>
  <c r="O8" i="3"/>
  <c r="O9" i="3"/>
  <c r="O10" i="3"/>
  <c r="O5" i="3"/>
  <c r="L6" i="3"/>
  <c r="L7" i="3"/>
  <c r="L8" i="3"/>
  <c r="L9" i="3"/>
  <c r="L10" i="3"/>
  <c r="L5" i="3"/>
  <c r="I10" i="3"/>
  <c r="I6" i="3"/>
  <c r="I7" i="3"/>
  <c r="I8" i="3"/>
  <c r="I9" i="3"/>
  <c r="I5" i="3"/>
  <c r="F10" i="3"/>
  <c r="F9" i="3"/>
  <c r="F8" i="3"/>
  <c r="F7" i="3"/>
  <c r="F6" i="3"/>
  <c r="F5" i="3"/>
  <c r="F23" i="3"/>
  <c r="F22" i="3"/>
  <c r="F21" i="3"/>
  <c r="F20" i="3"/>
  <c r="F19" i="3"/>
  <c r="F18" i="3"/>
  <c r="F32" i="3"/>
  <c r="F33" i="3"/>
  <c r="F34" i="3"/>
  <c r="F35" i="3"/>
  <c r="F36" i="3"/>
  <c r="F31" i="3"/>
  <c r="S24" i="10" l="1"/>
  <c r="Q17" i="11" s="1"/>
  <c r="Q18" i="11" s="1"/>
  <c r="J37" i="10"/>
  <c r="H27" i="11" s="1"/>
  <c r="H28" i="11" s="1"/>
  <c r="V11" i="10"/>
  <c r="T7" i="11" s="1"/>
  <c r="T8" i="11" s="1"/>
  <c r="P11" i="10"/>
  <c r="N7" i="11" s="1"/>
  <c r="N8" i="11" s="1"/>
  <c r="M11" i="10"/>
  <c r="K7" i="11" s="1"/>
  <c r="K8" i="11" s="1"/>
  <c r="S11" i="10"/>
  <c r="Q7" i="11" s="1"/>
  <c r="Q8" i="11" s="1"/>
  <c r="G37" i="10"/>
  <c r="E27" i="11" s="1"/>
  <c r="E28" i="11" s="1"/>
  <c r="G24" i="10"/>
  <c r="E17" i="11" s="1"/>
  <c r="E18" i="11" s="1"/>
  <c r="J24" i="10"/>
  <c r="H17" i="11" s="1"/>
  <c r="H18" i="11" s="1"/>
  <c r="M24" i="10"/>
  <c r="K17" i="11" s="1"/>
  <c r="K18" i="11" s="1"/>
  <c r="V24" i="10"/>
  <c r="T17" i="11" s="1"/>
  <c r="T18" i="11" s="1"/>
  <c r="J11" i="10"/>
  <c r="H7" i="11" s="1"/>
  <c r="H8" i="11" s="1"/>
  <c r="V37" i="10"/>
  <c r="T27" i="11" s="1"/>
  <c r="T28" i="11" s="1"/>
  <c r="S37" i="10"/>
  <c r="P37" i="10"/>
  <c r="N27" i="11" s="1"/>
  <c r="N28" i="11" s="1"/>
  <c r="M33" i="10"/>
  <c r="M37" i="10" s="1"/>
  <c r="K27" i="11" s="1"/>
  <c r="K28" i="11" s="1"/>
  <c r="P24" i="10"/>
  <c r="N17" i="11" s="1"/>
  <c r="N18" i="11" s="1"/>
  <c r="S9" i="4"/>
  <c r="V9" i="4"/>
  <c r="J9" i="4"/>
  <c r="M9" i="4"/>
  <c r="G9" i="4"/>
  <c r="P9" i="4"/>
  <c r="L24" i="3"/>
  <c r="U36" i="3"/>
  <c r="F24" i="3"/>
  <c r="I11" i="3"/>
  <c r="I24" i="3"/>
  <c r="I37" i="3"/>
  <c r="F37" i="3"/>
  <c r="V38" i="10" l="1"/>
  <c r="Q27" i="11"/>
  <c r="Q28" i="11" s="1"/>
  <c r="T29" i="11" s="1"/>
  <c r="V25" i="10"/>
  <c r="T19" i="11"/>
  <c r="V10" i="4"/>
  <c r="O37" i="3"/>
  <c r="L37" i="3"/>
  <c r="U24" i="3"/>
  <c r="U25" i="3" s="1"/>
  <c r="R24" i="3"/>
  <c r="O24" i="3"/>
  <c r="U37" i="3"/>
  <c r="R37" i="3"/>
  <c r="L11" i="3"/>
  <c r="U38" i="3" l="1"/>
  <c r="O11" i="3"/>
  <c r="R11" i="3" l="1"/>
  <c r="U11" i="3"/>
  <c r="G11" i="10" l="1"/>
  <c r="E7" i="11" l="1"/>
  <c r="E8" i="11" s="1"/>
  <c r="T9" i="11" s="1"/>
  <c r="V12" i="10"/>
</calcChain>
</file>

<file path=xl/sharedStrings.xml><?xml version="1.0" encoding="utf-8"?>
<sst xmlns="http://schemas.openxmlformats.org/spreadsheetml/2006/main" count="610" uniqueCount="90">
  <si>
    <t>N/A</t>
  </si>
  <si>
    <t>How to Complete:</t>
  </si>
  <si>
    <t>Quantity</t>
  </si>
  <si>
    <t>Unit</t>
  </si>
  <si>
    <t>DAY</t>
  </si>
  <si>
    <t>Unit Price</t>
  </si>
  <si>
    <t>Extended Total</t>
  </si>
  <si>
    <r>
      <rPr>
        <b/>
        <sz val="12"/>
        <color theme="1"/>
        <rFont val="Aptos Narrow"/>
        <family val="2"/>
      </rPr>
      <t>Purpose</t>
    </r>
    <r>
      <rPr>
        <sz val="12"/>
        <color theme="1"/>
        <rFont val="Aptos Narrow"/>
        <family val="2"/>
      </rPr>
      <t>: Use this attachment to provide property pricing, information details, and capabilities to support the OCC's Hotel Occupancy Conferencing and Lodging for its Uniform Commission Examination (UCE) sessions.</t>
    </r>
  </si>
  <si>
    <t>Leased Color Copy Machine with USB-Scan Feature (Unlimited Paper Count)</t>
  </si>
  <si>
    <t>Secure High-Speed and Reliable Internet (Conference/Meeting Rooms)</t>
  </si>
  <si>
    <t>PROPERTY #1 - BIZ, AV TECH-EQUIP</t>
  </si>
  <si>
    <r>
      <rPr>
        <b/>
        <sz val="12"/>
        <color theme="1"/>
        <rFont val="Aptos Narrow"/>
        <family val="2"/>
      </rPr>
      <t>Note</t>
    </r>
    <r>
      <rPr>
        <b/>
        <vertAlign val="superscript"/>
        <sz val="12"/>
        <color theme="1"/>
        <rFont val="Aptos Narrow"/>
        <family val="2"/>
      </rPr>
      <t>2</t>
    </r>
    <r>
      <rPr>
        <sz val="12"/>
        <color theme="1"/>
        <rFont val="Aptos Narrow"/>
        <family val="2"/>
      </rPr>
      <t>: The OCC has the right to purchase equipment and business center services by unit categories published in the hotel’s price lists</t>
    </r>
  </si>
  <si>
    <t>Business Center Services (e.g., Conference Rooms and Testing Stations Power Strips and Outlet Drops)</t>
  </si>
  <si>
    <t>PROPERTY #2 - BIZ, AV TECH-EQUIP</t>
  </si>
  <si>
    <t>PROPERTY #3 - BIZ, AV TECH-EQUIP</t>
  </si>
  <si>
    <t>Base Period - 2026</t>
  </si>
  <si>
    <t>Sessions</t>
  </si>
  <si>
    <t>Option Period One - 2027</t>
  </si>
  <si>
    <t>BP TOTAL</t>
  </si>
  <si>
    <t>OP1 TOTAL</t>
  </si>
  <si>
    <t>OP2 TOTAL</t>
  </si>
  <si>
    <t>OP3 TOTAL</t>
  </si>
  <si>
    <t>OP4 TOTAL</t>
  </si>
  <si>
    <t>Option Period Two - 2028</t>
  </si>
  <si>
    <t>Option Period Three - 2029</t>
  </si>
  <si>
    <t>Option Period Four - 2030</t>
  </si>
  <si>
    <t>OP5 TOTAL</t>
  </si>
  <si>
    <t>Option Period Five - 2031</t>
  </si>
  <si>
    <t>PROPERTY #1 - F&amp;B</t>
  </si>
  <si>
    <t>PROPERTY #1 - LCMS</t>
  </si>
  <si>
    <t>PROPERTY #2 - LCMS</t>
  </si>
  <si>
    <t>PROPERTY #3 - LCMS</t>
  </si>
  <si>
    <t>PRPTY #3 GRAND TOTAL</t>
  </si>
  <si>
    <t>PRPTY #2 GRAND TOTAL</t>
  </si>
  <si>
    <t>PRPTY #1 GRAND TOTAL</t>
  </si>
  <si>
    <t>PROPERTY #2 - F&amp;B</t>
  </si>
  <si>
    <t>PROPERTY #3 - F&amp;B</t>
  </si>
  <si>
    <t>Dedicated Storage Room (24-Hour Access; 300 Square Foot Minimum)</t>
  </si>
  <si>
    <t>HR</t>
  </si>
  <si>
    <t>EA</t>
  </si>
  <si>
    <t>YR</t>
  </si>
  <si>
    <t>Lodging Rooms (Basic Standard Room with 24-Hour Access; 200-400 Square Foot Minimum)</t>
  </si>
  <si>
    <t>Individual Testing Room (24-Hour Access; 900 Square Foot Minimum)</t>
  </si>
  <si>
    <t>Panel Meeting Room (24-Hour Access; 300 Square Foot Minimum)</t>
  </si>
  <si>
    <r>
      <rPr>
        <b/>
        <sz val="12"/>
        <color theme="1"/>
        <rFont val="Aptos Narrow"/>
        <family val="2"/>
      </rPr>
      <t>Note</t>
    </r>
    <r>
      <rPr>
        <b/>
        <vertAlign val="superscript"/>
        <sz val="12"/>
        <color theme="1"/>
        <rFont val="Aptos Narrow"/>
        <family val="2"/>
      </rPr>
      <t>2</t>
    </r>
    <r>
      <rPr>
        <sz val="12"/>
        <color theme="1"/>
        <rFont val="Aptos Narrow"/>
        <family val="2"/>
      </rPr>
      <t>: The OCC has the right to purchase food and beverages by any unit categories published in the hotel’s banquet menus at the prices specified in those menus.</t>
    </r>
  </si>
  <si>
    <t>Room Type</t>
  </si>
  <si>
    <t>BIZ, AV TECH-EQUIP</t>
  </si>
  <si>
    <t>F&amp;B</t>
  </si>
  <si>
    <t>Items #</t>
  </si>
  <si>
    <r>
      <rPr>
        <b/>
        <sz val="12"/>
        <color theme="1"/>
        <rFont val="Aptos Narrow"/>
        <family val="2"/>
      </rPr>
      <t>Note</t>
    </r>
    <r>
      <rPr>
        <b/>
        <vertAlign val="superscript"/>
        <sz val="12"/>
        <color theme="1"/>
        <rFont val="Aptos Narrow"/>
        <family val="2"/>
      </rPr>
      <t>1</t>
    </r>
    <r>
      <rPr>
        <sz val="12"/>
        <color theme="1"/>
        <rFont val="Aptos Narrow"/>
        <family val="2"/>
      </rPr>
      <t>: The food and beverage items listed above have a 90-count maximum (per session; triannual where applicable)</t>
    </r>
  </si>
  <si>
    <t>Convenient Beverage Items, e.g., Coffee, Hot Tea, Soft Drinks, Bottled Water (Morning, Noon, Evening Daily)</t>
  </si>
  <si>
    <t>Convenient Food Items, e.g., Fruit, Breakfast Bar, Pastry, Donut, Yogurt (Morning Daily); Optional Item-Determined at Award</t>
  </si>
  <si>
    <t>Convenient Food Items, e.g., Cookies, Brownies, Chips, Dried Fruit Pack (Noon Daily); Optional Item-Determined at Award</t>
  </si>
  <si>
    <t>Convenient Food Items, e.g., Trail Mix Pack, Protein Bar, Popcorn (Evening Daily); Optional Item-Determined at Award</t>
  </si>
  <si>
    <r>
      <rPr>
        <b/>
        <sz val="12"/>
        <color theme="1"/>
        <rFont val="Aptos Narrow"/>
        <family val="2"/>
      </rPr>
      <t>Note</t>
    </r>
    <r>
      <rPr>
        <b/>
        <vertAlign val="superscript"/>
        <sz val="12"/>
        <color theme="1"/>
        <rFont val="Aptos Narrow"/>
        <family val="2"/>
      </rPr>
      <t>3</t>
    </r>
    <r>
      <rPr>
        <sz val="12"/>
        <color theme="1"/>
        <rFont val="Aptos Narrow"/>
        <family val="2"/>
      </rPr>
      <t>: Any and all convenient FOOD items costs can be discounted or waived per minimum conference/meeting room(s) rentals</t>
    </r>
  </si>
  <si>
    <r>
      <rPr>
        <b/>
        <sz val="12"/>
        <color theme="1"/>
        <rFont val="Aptos Narrow"/>
        <family val="2"/>
      </rPr>
      <t>Note</t>
    </r>
    <r>
      <rPr>
        <b/>
        <vertAlign val="superscript"/>
        <sz val="12"/>
        <color theme="1"/>
        <rFont val="Aptos Narrow"/>
        <family val="2"/>
      </rPr>
      <t>2</t>
    </r>
    <r>
      <rPr>
        <sz val="12"/>
        <color theme="1"/>
        <rFont val="Aptos Narrow"/>
        <family val="2"/>
      </rPr>
      <t>: The quantity reflects the maximum number of rooms needed per session</t>
    </r>
  </si>
  <si>
    <t>Hour/Day #</t>
  </si>
  <si>
    <r>
      <rPr>
        <b/>
        <sz val="12"/>
        <color theme="1"/>
        <rFont val="Aptos Narrow"/>
        <family val="2"/>
      </rPr>
      <t>Note</t>
    </r>
    <r>
      <rPr>
        <b/>
        <vertAlign val="superscript"/>
        <sz val="12"/>
        <color theme="1"/>
        <rFont val="Aptos Narrow"/>
        <family val="2"/>
      </rPr>
      <t>1</t>
    </r>
    <r>
      <rPr>
        <sz val="12"/>
        <color theme="1"/>
        <rFont val="Aptos Narrow"/>
        <family val="2"/>
      </rPr>
      <t>: All lodging rooms are master-billed (per session; triannual where applicable)</t>
    </r>
  </si>
  <si>
    <r>
      <rPr>
        <b/>
        <sz val="12"/>
        <color theme="1"/>
        <rFont val="Aptos Narrow"/>
        <family val="2"/>
      </rPr>
      <t>Note</t>
    </r>
    <r>
      <rPr>
        <b/>
        <vertAlign val="superscript"/>
        <sz val="12"/>
        <color theme="1"/>
        <rFont val="Aptos Narrow"/>
        <family val="2"/>
      </rPr>
      <t>1</t>
    </r>
    <r>
      <rPr>
        <sz val="12"/>
        <color theme="1"/>
        <rFont val="Aptos Narrow"/>
        <family val="2"/>
      </rPr>
      <t>: All items listed above have a minimium-maximum 4-day requirement (per session; triannual where applicable)</t>
    </r>
  </si>
  <si>
    <t>PROPERTY #1 - HOCL COST SUMMARY</t>
  </si>
  <si>
    <t>PROPERTY #2 - HOCL COST SUMMARY</t>
  </si>
  <si>
    <t>PROPERTY #3 - HOCL COST SUMMARY</t>
  </si>
  <si>
    <t>FOOD &amp; BEVERAGE</t>
  </si>
  <si>
    <r>
      <rPr>
        <b/>
        <sz val="12"/>
        <color theme="1"/>
        <rFont val="Aptos Narrow"/>
        <family val="2"/>
      </rPr>
      <t>Note</t>
    </r>
    <r>
      <rPr>
        <b/>
        <vertAlign val="superscript"/>
        <sz val="12"/>
        <color theme="1"/>
        <rFont val="Aptos Narrow"/>
        <family val="2"/>
      </rPr>
      <t>2</t>
    </r>
    <r>
      <rPr>
        <sz val="12"/>
        <color theme="1"/>
        <rFont val="Aptos Narrow"/>
        <family val="2"/>
      </rPr>
      <t>: Waived or discounted concessions can be entered into the requirement-specific (BIZ, AV TECH-EQUIP, F&amp;B, or LCMS) tab that transfers to the applicable extended total</t>
    </r>
  </si>
  <si>
    <t>PROPERTY #1 - HOCL ASSUMPTIONS-EXCEPTIONS</t>
  </si>
  <si>
    <t>Reason</t>
  </si>
  <si>
    <t>ASSUMPTION</t>
  </si>
  <si>
    <t>EXCEPTION</t>
  </si>
  <si>
    <t>PROPERTY #2 - HOCL ASSUMPTIONS-EXCEPTIONS</t>
  </si>
  <si>
    <t>PROPERTY #3 - HOCL ASSUMPTIONS-EXCEPTIONS</t>
  </si>
  <si>
    <t xml:space="preserve">Position </t>
  </si>
  <si>
    <r>
      <rPr>
        <b/>
        <sz val="12"/>
        <color theme="1"/>
        <rFont val="Aptos Narrow"/>
        <family val="2"/>
      </rPr>
      <t>3)</t>
    </r>
    <r>
      <rPr>
        <sz val="12"/>
        <color theme="1"/>
        <rFont val="Aptos Narrow"/>
        <family val="2"/>
      </rPr>
      <t xml:space="preserve"> Complete the 'Property Biz, AV Tech-Equipment' tab first, entering all Unit/Discounted Price amounts, for each property proprosed and all operating periods (i.e., base period (BP) through option period five (OP5).  For any items that are waived/conceded, enter $0.00.</t>
    </r>
  </si>
  <si>
    <r>
      <rPr>
        <b/>
        <sz val="12"/>
        <color theme="1"/>
        <rFont val="Aptos Narrow"/>
        <family val="2"/>
      </rPr>
      <t>4)</t>
    </r>
    <r>
      <rPr>
        <sz val="12"/>
        <color theme="1"/>
        <rFont val="Aptos Narrow"/>
        <family val="2"/>
      </rPr>
      <t xml:space="preserve"> Complete the 'Property Food &amp; Beverage' tab second, entering all Unit/Discounted Price amounts, for each property proprosed and all operating periods (i.e., base period (BP) through option period five (OP5).  For any items that are waived/conceded, enter $0.00.</t>
    </r>
  </si>
  <si>
    <r>
      <rPr>
        <b/>
        <sz val="12"/>
        <color theme="1"/>
        <rFont val="Aptos Narrow"/>
        <family val="2"/>
      </rPr>
      <t>5)</t>
    </r>
    <r>
      <rPr>
        <sz val="12"/>
        <color theme="1"/>
        <rFont val="Aptos Narrow"/>
        <family val="2"/>
      </rPr>
      <t xml:space="preserve"> Complete the 'Property LCMS Rooms' tab third, entering all Unit/Discounted Price amounts, for each property proprosed and all operating periods (i.e., base period (BP) through option period five (OP5).  For any items that are waived/conceded, enter $0.00.</t>
    </r>
  </si>
  <si>
    <r>
      <rPr>
        <b/>
        <sz val="12"/>
        <color theme="1"/>
        <rFont val="Aptos Narrow"/>
        <family val="2"/>
      </rPr>
      <t>6)</t>
    </r>
    <r>
      <rPr>
        <sz val="12"/>
        <color theme="1"/>
        <rFont val="Aptos Narrow"/>
        <family val="2"/>
      </rPr>
      <t xml:space="preserve"> Review the 'Property Summary - Cost' tab fourth, ensuring the formulas and calculations were transferred and recorded correctly for all required items and its pricing.</t>
    </r>
  </si>
  <si>
    <r>
      <rPr>
        <b/>
        <sz val="12"/>
        <color theme="1"/>
        <rFont val="Aptos Narrow"/>
        <family val="2"/>
      </rPr>
      <t>7)</t>
    </r>
    <r>
      <rPr>
        <sz val="12"/>
        <color theme="1"/>
        <rFont val="Aptos Narrow"/>
        <family val="2"/>
      </rPr>
      <t xml:space="preserve"> Enter any assumptions and/or exceptions per property fifth via the 'Property Assumptions-Exceptions' tab.  Enter the assumptions and/or exceptions details per property proposed.  If there are none, the sheet may be left blank. </t>
    </r>
  </si>
  <si>
    <r>
      <rPr>
        <b/>
        <sz val="12"/>
        <color theme="1"/>
        <rFont val="Aptos Narrow"/>
        <family val="2"/>
      </rPr>
      <t>Notes</t>
    </r>
    <r>
      <rPr>
        <sz val="12"/>
        <color theme="1"/>
        <rFont val="Aptos Narrow"/>
        <family val="2"/>
      </rPr>
      <t>: See Attachment E (HOCL Meeting Space and Configuration Requirements) for food and beverage service window (morning, noon, and evening) per specified room type</t>
    </r>
  </si>
  <si>
    <t>JOB</t>
  </si>
  <si>
    <t>Ceiling-Noise Cancelling Microphones, High-Definition Wireless Projectors, Large LED Screens, User-Friendly Control Panel (where applicable) for AV and Lighting (Digital Signage, if Available)</t>
  </si>
  <si>
    <t>Leased Paper Shredding Destruction Services (Unlimited Paper Count)</t>
  </si>
  <si>
    <t>Large Paper Shred Bin (Unlimited Paper Count)</t>
  </si>
  <si>
    <t>Dedicated Administration Room (24-Hour Access; 400 Square Foot Minimum)</t>
  </si>
  <si>
    <t>Evaluator Meeting Room (5-Hour Access; 800 Square Foot Minimum)</t>
  </si>
  <si>
    <t>CONFERENCING (MEETING) &amp; LODGING ROOMS</t>
  </si>
  <si>
    <t>ATTACHMENT G - HOCL PRICE/COST SCHEDULE (INSTRUCTIONS)</t>
  </si>
  <si>
    <t>ATTACHMENT G - HOCL PRICE/COST SCHEDULE (PROPERTY BUSINESS, AV TECHNOLOGY &amp; EQUIPMENT SERVICES)</t>
  </si>
  <si>
    <t>ATTACHMENT G - HOCL PRICE/COST SCHEDULE (FOOD AND BEVERAGE SERVICES)</t>
  </si>
  <si>
    <t>ATTACHMENT G - HOCL PRICE/COST SCHEDULE (LODGING, CONFERENCING, MEETING, STORAGE ROOMS)</t>
  </si>
  <si>
    <t>ATTACHMENT G - HOCL PRICE/COST SCHEDULE (COST SUMMARY)</t>
  </si>
  <si>
    <t>ATTACHMENT G - HOCL PRICE/COST SCHEDULE (PROPERTY ASSUMPTIONS AND/OR EXCEPTIONS)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</si>
</sst>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</font>
    <font>
      <sz val="12"/>
      <color theme="1"/>
      <name val="Aptos Narrow"/>
      <family val="2"/>
    </font>
    <font>
      <b/>
      <sz val="14"/>
      <name val="Aptos Narrow"/>
      <family val="2"/>
    </font>
    <font>
      <b/>
      <sz val="12"/>
      <color theme="1"/>
      <name val="Aptos Narrow"/>
      <family val="2"/>
    </font>
    <font>
      <sz val="11"/>
      <color theme="1"/>
      <name val="Aptos Narrow"/>
      <family val="2"/>
    </font>
    <font>
      <b/>
      <sz val="16"/>
      <color theme="0"/>
      <name val="Aptos Narrow"/>
      <family val="2"/>
    </font>
    <font>
      <b/>
      <vertAlign val="superscript"/>
      <sz val="12"/>
      <color theme="1"/>
      <name val="Aptos Narrow"/>
      <family val="2"/>
    </font>
    <font>
      <b/>
      <sz val="12"/>
      <color theme="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70C0"/>
      </left>
      <right/>
      <top style="double">
        <color auto="1"/>
      </top>
      <bottom style="double">
        <color auto="1"/>
      </bottom>
      <diagonal/>
    </border>
    <border>
      <left style="thick">
        <color rgb="FF0070C0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ck">
        <color rgb="FF0070C0"/>
      </left>
      <right style="thin">
        <color auto="1"/>
      </right>
      <top/>
      <bottom style="thin">
        <color auto="1"/>
      </bottom>
      <diagonal/>
    </border>
    <border>
      <left style="thick">
        <color rgb="FF0070C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rgb="FF0070C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ck">
        <color rgb="FF0070C0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double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8">
    <xf numFmtId="0" fontId="0" fillId="0" borderId="0" xfId="0"/>
    <xf numFmtId="0" fontId="4" fillId="0" borderId="0" xfId="0" applyFont="1"/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/>
    <xf numFmtId="0" fontId="4" fillId="0" borderId="0" xfId="0" applyFont="1" applyAlignment="1">
      <alignment vertical="center" wrapText="1"/>
    </xf>
    <xf numFmtId="0" fontId="4" fillId="0" borderId="0" xfId="0" applyFont="1"/>
    <xf numFmtId="0" fontId="7" fillId="0" borderId="0" xfId="0" applyFont="1"/>
    <xf numFmtId="0" fontId="5" fillId="3" borderId="4" xfId="0" applyFont="1" applyFill="1" applyBorder="1" applyAlignment="1">
      <alignment horizontal="center"/>
    </xf>
    <xf numFmtId="0" fontId="4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5" fillId="3" borderId="4" xfId="0" applyFont="1" applyFill="1" applyBorder="1" applyAlignment="1">
      <alignment horizontal="center" wrapText="1"/>
    </xf>
    <xf numFmtId="0" fontId="7" fillId="0" borderId="0" xfId="0" applyFont="1" applyAlignment="1">
      <alignment wrapText="1"/>
    </xf>
    <xf numFmtId="0" fontId="5" fillId="3" borderId="8" xfId="0" applyFont="1" applyFill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164" fontId="4" fillId="0" borderId="2" xfId="1" applyNumberFormat="1" applyFont="1" applyBorder="1" applyAlignment="1">
      <alignment vertical="center" wrapText="1"/>
    </xf>
    <xf numFmtId="164" fontId="4" fillId="0" borderId="9" xfId="1" applyNumberFormat="1" applyFont="1" applyBorder="1" applyAlignment="1">
      <alignment vertical="center" wrapText="1"/>
    </xf>
    <xf numFmtId="164" fontId="10" fillId="4" borderId="10" xfId="0" applyNumberFormat="1" applyFont="1" applyFill="1" applyBorder="1" applyAlignment="1">
      <alignment vertical="center" wrapText="1"/>
    </xf>
    <xf numFmtId="164" fontId="10" fillId="5" borderId="10" xfId="0" applyNumberFormat="1" applyFont="1" applyFill="1" applyBorder="1" applyAlignment="1">
      <alignment vertical="center" wrapText="1"/>
    </xf>
    <xf numFmtId="164" fontId="10" fillId="5" borderId="1" xfId="0" applyNumberFormat="1" applyFont="1" applyFill="1" applyBorder="1" applyAlignment="1">
      <alignment vertical="center" wrapText="1"/>
    </xf>
    <xf numFmtId="0" fontId="4" fillId="0" borderId="3" xfId="0" applyFont="1" applyBorder="1" applyAlignment="1">
      <alignment horizontal="left" wrapText="1"/>
    </xf>
    <xf numFmtId="0" fontId="4" fillId="0" borderId="0" xfId="0" applyFont="1" applyFill="1" applyBorder="1" applyAlignment="1">
      <alignment horizontal="left" wrapText="1"/>
    </xf>
    <xf numFmtId="0" fontId="10" fillId="0" borderId="0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left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right" vertical="center" wrapText="1"/>
    </xf>
    <xf numFmtId="0" fontId="10" fillId="0" borderId="0" xfId="0" applyFont="1" applyFill="1" applyBorder="1" applyAlignment="1">
      <alignment horizontal="right" vertical="center" wrapText="1"/>
    </xf>
    <xf numFmtId="164" fontId="4" fillId="0" borderId="2" xfId="0" applyNumberFormat="1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0" fontId="5" fillId="3" borderId="11" xfId="0" applyFont="1" applyFill="1" applyBorder="1" applyAlignment="1">
      <alignment horizontal="center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6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0" xfId="0" applyFont="1"/>
    <xf numFmtId="164" fontId="10" fillId="2" borderId="5" xfId="0" applyNumberFormat="1" applyFont="1" applyFill="1" applyBorder="1" applyAlignment="1">
      <alignment horizontal="right" vertical="center" wrapText="1"/>
    </xf>
    <xf numFmtId="0" fontId="10" fillId="2" borderId="2" xfId="0" applyFont="1" applyFill="1" applyBorder="1" applyAlignment="1">
      <alignment horizontal="right" vertical="center" wrapText="1"/>
    </xf>
    <xf numFmtId="0" fontId="4" fillId="0" borderId="23" xfId="0" applyFont="1" applyFill="1" applyBorder="1" applyAlignment="1">
      <alignment horizontal="left" vertical="top" wrapText="1"/>
    </xf>
    <xf numFmtId="0" fontId="4" fillId="0" borderId="24" xfId="0" applyFont="1" applyFill="1" applyBorder="1" applyAlignment="1">
      <alignment horizontal="left" vertical="top" wrapText="1"/>
    </xf>
    <xf numFmtId="0" fontId="10" fillId="2" borderId="2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 wrapText="1"/>
    </xf>
    <xf numFmtId="0" fontId="10" fillId="5" borderId="19" xfId="0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164" fontId="10" fillId="2" borderId="26" xfId="0" applyNumberFormat="1" applyFont="1" applyFill="1" applyBorder="1" applyAlignment="1">
      <alignment horizontal="right" vertical="center" wrapText="1"/>
    </xf>
    <xf numFmtId="164" fontId="10" fillId="2" borderId="27" xfId="0" applyNumberFormat="1" applyFont="1" applyFill="1" applyBorder="1" applyAlignment="1">
      <alignment horizontal="right" vertical="center" wrapText="1"/>
    </xf>
    <xf numFmtId="164" fontId="10" fillId="2" borderId="12" xfId="0" applyNumberFormat="1" applyFont="1" applyFill="1" applyBorder="1" applyAlignment="1">
      <alignment horizontal="right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left" vertical="center"/>
    </xf>
    <xf numFmtId="0" fontId="8" fillId="2" borderId="28" xfId="0" applyFont="1" applyFill="1" applyBorder="1" applyAlignment="1">
      <alignment horizontal="left" vertical="center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E6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A0BEE-52AF-4407-BD58-BEDEE5D04611}">
  <sheetPr>
    <tabColor rgb="FFFFFF00"/>
  </sheetPr>
  <dimension ref="A1:H13"/>
  <sheetViews>
    <sheetView tabSelected="1" workbookViewId="0">
      <selection sqref="A1:D1"/>
    </sheetView>
  </sheetViews>
  <sheetFormatPr defaultColWidth="9" defaultRowHeight="14.25" x14ac:dyDescent="0.45"/>
  <cols>
    <col min="1" max="4" width="37.59765625" style="6" customWidth="1"/>
    <col min="5" max="16384" width="9" style="6"/>
  </cols>
  <sheetData>
    <row r="1" spans="1:8" s="1" customFormat="1" ht="32.65" customHeight="1" x14ac:dyDescent="0.5">
      <c r="A1" s="34" t="s">
        <v>84</v>
      </c>
      <c r="B1" s="34"/>
      <c r="C1" s="34"/>
      <c r="D1" s="34"/>
    </row>
    <row r="3" spans="1:8" s="1" customFormat="1" ht="15.75" x14ac:dyDescent="0.5">
      <c r="A3" s="36" t="s">
        <v>7</v>
      </c>
      <c r="B3" s="36"/>
      <c r="C3" s="36"/>
      <c r="D3" s="36"/>
      <c r="E3" s="3"/>
      <c r="F3" s="3"/>
      <c r="G3" s="3"/>
      <c r="H3" s="3"/>
    </row>
    <row r="4" spans="1:8" s="1" customFormat="1" ht="15.75" x14ac:dyDescent="0.5">
      <c r="A4" s="36"/>
      <c r="B4" s="36"/>
      <c r="C4" s="36"/>
      <c r="D4" s="36"/>
    </row>
    <row r="5" spans="1:8" s="1" customFormat="1" ht="15.75" x14ac:dyDescent="0.5"/>
    <row r="6" spans="1:8" s="1" customFormat="1" ht="15.75" x14ac:dyDescent="0.5">
      <c r="A6" s="35" t="s">
        <v>1</v>
      </c>
      <c r="B6" s="35"/>
      <c r="C6" s="35"/>
      <c r="D6" s="35"/>
      <c r="E6" s="35"/>
      <c r="F6" s="35"/>
      <c r="G6" s="35"/>
      <c r="H6" s="35"/>
    </row>
    <row r="7" spans="1:8" s="5" customFormat="1" ht="31.5" customHeight="1" x14ac:dyDescent="0.5">
      <c r="A7" s="36" t="s">
        <v>71</v>
      </c>
      <c r="B7" s="36"/>
      <c r="C7" s="36"/>
      <c r="D7" s="36"/>
      <c r="E7" s="4"/>
      <c r="F7" s="4"/>
      <c r="G7" s="4"/>
      <c r="H7" s="4"/>
    </row>
    <row r="8" spans="1:8" s="1" customFormat="1" ht="31.5" customHeight="1" x14ac:dyDescent="0.5">
      <c r="A8" s="36" t="s">
        <v>72</v>
      </c>
      <c r="B8" s="36"/>
      <c r="C8" s="36"/>
      <c r="D8" s="36"/>
      <c r="E8" s="4"/>
      <c r="F8" s="4"/>
      <c r="G8" s="4"/>
      <c r="H8" s="4"/>
    </row>
    <row r="9" spans="1:8" s="1" customFormat="1" ht="31.5" customHeight="1" x14ac:dyDescent="0.5">
      <c r="A9" s="36" t="s">
        <v>73</v>
      </c>
      <c r="B9" s="36"/>
      <c r="C9" s="36"/>
      <c r="D9" s="36"/>
      <c r="E9" s="4"/>
      <c r="F9" s="4"/>
      <c r="G9" s="4"/>
      <c r="H9" s="4"/>
    </row>
    <row r="10" spans="1:8" s="1" customFormat="1" ht="31.5" customHeight="1" x14ac:dyDescent="0.5">
      <c r="A10" s="36" t="s">
        <v>74</v>
      </c>
      <c r="B10" s="36"/>
      <c r="C10" s="36"/>
      <c r="D10" s="36"/>
      <c r="E10" s="4"/>
      <c r="F10" s="4"/>
      <c r="G10" s="4"/>
      <c r="H10" s="4"/>
    </row>
    <row r="11" spans="1:8" s="1" customFormat="1" ht="31.5" customHeight="1" x14ac:dyDescent="0.5">
      <c r="A11" s="36" t="s">
        <v>75</v>
      </c>
      <c r="B11" s="36"/>
      <c r="C11" s="36"/>
      <c r="D11" s="36"/>
      <c r="E11" s="4"/>
      <c r="F11" s="4"/>
      <c r="G11" s="4"/>
      <c r="H11" s="4"/>
    </row>
    <row r="12" spans="1:8" s="1" customFormat="1" ht="15.75" x14ac:dyDescent="0.5"/>
    <row r="13" spans="1:8" s="1" customFormat="1" ht="15.75" x14ac:dyDescent="0.5">
      <c r="A13" s="37" t="s">
        <v>76</v>
      </c>
      <c r="B13" s="37"/>
      <c r="C13" s="37"/>
      <c r="D13" s="37"/>
      <c r="E13" s="37"/>
      <c r="F13" s="37"/>
      <c r="G13" s="37"/>
      <c r="H13" s="37"/>
    </row>
  </sheetData>
  <mergeCells count="9">
    <mergeCell ref="A1:D1"/>
    <mergeCell ref="A6:H6"/>
    <mergeCell ref="A7:D7"/>
    <mergeCell ref="A3:D4"/>
    <mergeCell ref="A13:H13"/>
    <mergeCell ref="A8:D8"/>
    <mergeCell ref="A9:D9"/>
    <mergeCell ref="A10:D10"/>
    <mergeCell ref="A11:D11"/>
  </mergeCells>
  <pageMargins left="0.7" right="0.7" top="0.75" bottom="0.75" header="0.3" footer="0.3"/>
  <pageSetup orientation="portrait" r:id="rId1"/>
  <headerFooter>
    <oddHeader>&amp;C </oddHeader>
    <oddFooter>&amp;C 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6D73F-5F63-42A8-9490-C3A8764AE31C}">
  <sheetPr>
    <tabColor theme="9" tint="-0.249977111117893"/>
  </sheetPr>
  <dimension ref="A1:U40"/>
  <sheetViews>
    <sheetView workbookViewId="0">
      <selection sqref="A1:U1"/>
    </sheetView>
  </sheetViews>
  <sheetFormatPr defaultColWidth="9" defaultRowHeight="14.25" x14ac:dyDescent="0.45"/>
  <cols>
    <col min="1" max="1" width="40.59765625" style="12" customWidth="1"/>
    <col min="2" max="2" width="5.59765625" style="10" bestFit="1" customWidth="1"/>
    <col min="3" max="3" width="10.265625" style="10" bestFit="1" customWidth="1"/>
    <col min="4" max="4" width="10.265625" style="10" customWidth="1"/>
    <col min="5" max="6" width="15.59765625" style="6" customWidth="1"/>
    <col min="7" max="7" width="10" style="6" bestFit="1" customWidth="1"/>
    <col min="8" max="9" width="15.59765625" style="6" customWidth="1"/>
    <col min="10" max="10" width="9" style="6"/>
    <col min="11" max="12" width="15.59765625" style="6" customWidth="1"/>
    <col min="13" max="13" width="9" style="6"/>
    <col min="14" max="15" width="15.59765625" style="6" customWidth="1"/>
    <col min="16" max="16" width="9" style="6"/>
    <col min="17" max="18" width="15.59765625" style="6" customWidth="1"/>
    <col min="19" max="19" width="9" style="6"/>
    <col min="20" max="21" width="15.59765625" style="6" customWidth="1"/>
    <col min="22" max="16384" width="9" style="6"/>
  </cols>
  <sheetData>
    <row r="1" spans="1:21" ht="42.4" customHeight="1" x14ac:dyDescent="0.45">
      <c r="A1" s="63" t="s">
        <v>85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</row>
    <row r="2" spans="1:21" ht="21.4" thickBot="1" x14ac:dyDescent="0.5">
      <c r="A2" s="59" t="s">
        <v>10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</row>
    <row r="3" spans="1:21" ht="21.75" thickTop="1" thickBot="1" x14ac:dyDescent="0.5">
      <c r="A3" s="55" t="s">
        <v>15</v>
      </c>
      <c r="B3" s="55"/>
      <c r="C3" s="55"/>
      <c r="D3" s="55"/>
      <c r="E3" s="55"/>
      <c r="F3" s="55"/>
      <c r="G3" s="51" t="s">
        <v>17</v>
      </c>
      <c r="H3" s="52"/>
      <c r="I3" s="52"/>
      <c r="J3" s="54" t="s">
        <v>23</v>
      </c>
      <c r="K3" s="55"/>
      <c r="L3" s="55"/>
      <c r="M3" s="51" t="s">
        <v>24</v>
      </c>
      <c r="N3" s="52"/>
      <c r="O3" s="52"/>
      <c r="P3" s="54" t="s">
        <v>25</v>
      </c>
      <c r="Q3" s="55"/>
      <c r="R3" s="55"/>
      <c r="S3" s="51" t="s">
        <v>27</v>
      </c>
      <c r="T3" s="52"/>
      <c r="U3" s="52"/>
    </row>
    <row r="4" spans="1:21" ht="18.75" thickTop="1" thickBot="1" x14ac:dyDescent="0.6">
      <c r="A4" s="11" t="s">
        <v>46</v>
      </c>
      <c r="B4" s="7" t="s">
        <v>3</v>
      </c>
      <c r="C4" s="7" t="s">
        <v>2</v>
      </c>
      <c r="D4" s="7" t="s">
        <v>16</v>
      </c>
      <c r="E4" s="7" t="s">
        <v>5</v>
      </c>
      <c r="F4" s="13" t="s">
        <v>6</v>
      </c>
      <c r="G4" s="14" t="s">
        <v>16</v>
      </c>
      <c r="H4" s="7" t="s">
        <v>5</v>
      </c>
      <c r="I4" s="7" t="s">
        <v>6</v>
      </c>
      <c r="J4" s="14" t="s">
        <v>16</v>
      </c>
      <c r="K4" s="7" t="s">
        <v>5</v>
      </c>
      <c r="L4" s="7" t="s">
        <v>6</v>
      </c>
      <c r="M4" s="14" t="s">
        <v>16</v>
      </c>
      <c r="N4" s="7" t="s">
        <v>5</v>
      </c>
      <c r="O4" s="7" t="s">
        <v>6</v>
      </c>
      <c r="P4" s="14" t="s">
        <v>16</v>
      </c>
      <c r="Q4" s="7" t="s">
        <v>5</v>
      </c>
      <c r="R4" s="7" t="s">
        <v>6</v>
      </c>
      <c r="S4" s="14" t="s">
        <v>16</v>
      </c>
      <c r="T4" s="7" t="s">
        <v>5</v>
      </c>
      <c r="U4" s="7" t="s">
        <v>6</v>
      </c>
    </row>
    <row r="5" spans="1:21" ht="31.9" thickTop="1" x14ac:dyDescent="0.45">
      <c r="A5" s="8" t="s">
        <v>8</v>
      </c>
      <c r="B5" s="2" t="s">
        <v>4</v>
      </c>
      <c r="C5" s="2">
        <v>4</v>
      </c>
      <c r="D5" s="2">
        <v>2</v>
      </c>
      <c r="E5" s="29">
        <v>0</v>
      </c>
      <c r="F5" s="17">
        <f>C5*D5*E5</f>
        <v>0</v>
      </c>
      <c r="G5" s="15">
        <v>3</v>
      </c>
      <c r="H5" s="29">
        <v>0</v>
      </c>
      <c r="I5" s="17">
        <f>C5*G5*H5</f>
        <v>0</v>
      </c>
      <c r="J5" s="15">
        <v>3</v>
      </c>
      <c r="K5" s="29">
        <v>0</v>
      </c>
      <c r="L5" s="17">
        <f>C5*J5*K5</f>
        <v>0</v>
      </c>
      <c r="M5" s="15">
        <v>3</v>
      </c>
      <c r="N5" s="29">
        <v>0</v>
      </c>
      <c r="O5" s="17">
        <f>C5*M5*N5</f>
        <v>0</v>
      </c>
      <c r="P5" s="15">
        <v>3</v>
      </c>
      <c r="Q5" s="29">
        <v>0</v>
      </c>
      <c r="R5" s="17">
        <f>C5*P5*Q5</f>
        <v>0</v>
      </c>
      <c r="S5" s="15">
        <v>1</v>
      </c>
      <c r="T5" s="29">
        <v>0</v>
      </c>
      <c r="U5" s="17">
        <f>C5*S5*T5</f>
        <v>0</v>
      </c>
    </row>
    <row r="6" spans="1:21" ht="31.5" x14ac:dyDescent="0.45">
      <c r="A6" s="9" t="s">
        <v>79</v>
      </c>
      <c r="B6" s="2" t="s">
        <v>4</v>
      </c>
      <c r="C6" s="2">
        <v>4</v>
      </c>
      <c r="D6" s="2">
        <v>2</v>
      </c>
      <c r="E6" s="29">
        <v>0</v>
      </c>
      <c r="F6" s="17">
        <f t="shared" ref="F6:F10" si="0">C6*D6*E6</f>
        <v>0</v>
      </c>
      <c r="G6" s="16">
        <v>3</v>
      </c>
      <c r="H6" s="29">
        <v>0</v>
      </c>
      <c r="I6" s="17">
        <f t="shared" ref="I6:I9" si="1">C6*G6*H6</f>
        <v>0</v>
      </c>
      <c r="J6" s="16">
        <v>3</v>
      </c>
      <c r="K6" s="29">
        <v>0</v>
      </c>
      <c r="L6" s="17">
        <f t="shared" ref="L6:L10" si="2">C6*J6*K6</f>
        <v>0</v>
      </c>
      <c r="M6" s="16">
        <v>3</v>
      </c>
      <c r="N6" s="29">
        <v>0</v>
      </c>
      <c r="O6" s="17">
        <f t="shared" ref="O6:O10" si="3">C6*M6*N6</f>
        <v>0</v>
      </c>
      <c r="P6" s="16">
        <v>3</v>
      </c>
      <c r="Q6" s="29">
        <v>0</v>
      </c>
      <c r="R6" s="17">
        <f t="shared" ref="R6:R10" si="4">C6*P6*Q6</f>
        <v>0</v>
      </c>
      <c r="S6" s="16">
        <v>1</v>
      </c>
      <c r="T6" s="29">
        <v>0</v>
      </c>
      <c r="U6" s="17">
        <f t="shared" ref="U6:U9" si="5">C6*S6*T6</f>
        <v>0</v>
      </c>
    </row>
    <row r="7" spans="1:21" ht="31.5" x14ac:dyDescent="0.45">
      <c r="A7" s="9" t="s">
        <v>80</v>
      </c>
      <c r="B7" s="2" t="s">
        <v>4</v>
      </c>
      <c r="C7" s="2">
        <v>4</v>
      </c>
      <c r="D7" s="2">
        <v>2</v>
      </c>
      <c r="E7" s="29">
        <v>0</v>
      </c>
      <c r="F7" s="17">
        <f t="shared" si="0"/>
        <v>0</v>
      </c>
      <c r="G7" s="16">
        <v>3</v>
      </c>
      <c r="H7" s="29">
        <v>0</v>
      </c>
      <c r="I7" s="17">
        <f t="shared" si="1"/>
        <v>0</v>
      </c>
      <c r="J7" s="16">
        <v>3</v>
      </c>
      <c r="K7" s="29">
        <v>0</v>
      </c>
      <c r="L7" s="17">
        <f t="shared" si="2"/>
        <v>0</v>
      </c>
      <c r="M7" s="16">
        <v>3</v>
      </c>
      <c r="N7" s="29">
        <v>0</v>
      </c>
      <c r="O7" s="17">
        <f t="shared" si="3"/>
        <v>0</v>
      </c>
      <c r="P7" s="16">
        <v>3</v>
      </c>
      <c r="Q7" s="29">
        <v>0</v>
      </c>
      <c r="R7" s="17">
        <f t="shared" si="4"/>
        <v>0</v>
      </c>
      <c r="S7" s="16">
        <v>1</v>
      </c>
      <c r="T7" s="29">
        <v>0</v>
      </c>
      <c r="U7" s="17">
        <f t="shared" si="5"/>
        <v>0</v>
      </c>
    </row>
    <row r="8" spans="1:21" ht="31.5" x14ac:dyDescent="0.45">
      <c r="A8" s="9" t="s">
        <v>9</v>
      </c>
      <c r="B8" s="2" t="s">
        <v>4</v>
      </c>
      <c r="C8" s="2">
        <v>4</v>
      </c>
      <c r="D8" s="2">
        <v>2</v>
      </c>
      <c r="E8" s="29">
        <v>0</v>
      </c>
      <c r="F8" s="17">
        <f t="shared" si="0"/>
        <v>0</v>
      </c>
      <c r="G8" s="16">
        <v>3</v>
      </c>
      <c r="H8" s="29">
        <v>0</v>
      </c>
      <c r="I8" s="17">
        <f t="shared" si="1"/>
        <v>0</v>
      </c>
      <c r="J8" s="16">
        <v>3</v>
      </c>
      <c r="K8" s="29">
        <v>0</v>
      </c>
      <c r="L8" s="17">
        <f t="shared" si="2"/>
        <v>0</v>
      </c>
      <c r="M8" s="16">
        <v>3</v>
      </c>
      <c r="N8" s="29">
        <v>0</v>
      </c>
      <c r="O8" s="17">
        <f t="shared" si="3"/>
        <v>0</v>
      </c>
      <c r="P8" s="16">
        <v>3</v>
      </c>
      <c r="Q8" s="29">
        <v>0</v>
      </c>
      <c r="R8" s="17">
        <f t="shared" si="4"/>
        <v>0</v>
      </c>
      <c r="S8" s="16">
        <v>1</v>
      </c>
      <c r="T8" s="29">
        <v>0</v>
      </c>
      <c r="U8" s="17">
        <f t="shared" si="5"/>
        <v>0</v>
      </c>
    </row>
    <row r="9" spans="1:21" ht="78.75" x14ac:dyDescent="0.45">
      <c r="A9" s="9" t="s">
        <v>78</v>
      </c>
      <c r="B9" s="2" t="s">
        <v>4</v>
      </c>
      <c r="C9" s="2">
        <v>4</v>
      </c>
      <c r="D9" s="2">
        <v>2</v>
      </c>
      <c r="E9" s="29">
        <v>0</v>
      </c>
      <c r="F9" s="17">
        <f t="shared" si="0"/>
        <v>0</v>
      </c>
      <c r="G9" s="16">
        <v>3</v>
      </c>
      <c r="H9" s="29">
        <v>0</v>
      </c>
      <c r="I9" s="17">
        <f t="shared" si="1"/>
        <v>0</v>
      </c>
      <c r="J9" s="16">
        <v>3</v>
      </c>
      <c r="K9" s="29">
        <v>0</v>
      </c>
      <c r="L9" s="17">
        <f t="shared" si="2"/>
        <v>0</v>
      </c>
      <c r="M9" s="16">
        <v>3</v>
      </c>
      <c r="N9" s="29">
        <v>0</v>
      </c>
      <c r="O9" s="17">
        <f t="shared" si="3"/>
        <v>0</v>
      </c>
      <c r="P9" s="16">
        <v>3</v>
      </c>
      <c r="Q9" s="29">
        <v>0</v>
      </c>
      <c r="R9" s="17">
        <f t="shared" si="4"/>
        <v>0</v>
      </c>
      <c r="S9" s="16">
        <v>1</v>
      </c>
      <c r="T9" s="29">
        <v>0</v>
      </c>
      <c r="U9" s="17">
        <f t="shared" si="5"/>
        <v>0</v>
      </c>
    </row>
    <row r="10" spans="1:21" ht="47.25" x14ac:dyDescent="0.45">
      <c r="A10" s="9" t="s">
        <v>12</v>
      </c>
      <c r="B10" s="2" t="s">
        <v>4</v>
      </c>
      <c r="C10" s="2">
        <v>4</v>
      </c>
      <c r="D10" s="2">
        <v>2</v>
      </c>
      <c r="E10" s="29">
        <v>0</v>
      </c>
      <c r="F10" s="17">
        <f t="shared" si="0"/>
        <v>0</v>
      </c>
      <c r="G10" s="16">
        <v>3</v>
      </c>
      <c r="H10" s="29">
        <v>0</v>
      </c>
      <c r="I10" s="17">
        <f>C10*G10*H10</f>
        <v>0</v>
      </c>
      <c r="J10" s="16">
        <v>3</v>
      </c>
      <c r="K10" s="29">
        <v>0</v>
      </c>
      <c r="L10" s="17">
        <f t="shared" si="2"/>
        <v>0</v>
      </c>
      <c r="M10" s="16">
        <v>3</v>
      </c>
      <c r="N10" s="29">
        <v>0</v>
      </c>
      <c r="O10" s="17">
        <f t="shared" si="3"/>
        <v>0</v>
      </c>
      <c r="P10" s="16">
        <v>3</v>
      </c>
      <c r="Q10" s="29">
        <v>0</v>
      </c>
      <c r="R10" s="17">
        <f t="shared" si="4"/>
        <v>0</v>
      </c>
      <c r="S10" s="16">
        <v>1</v>
      </c>
      <c r="T10" s="29">
        <v>0</v>
      </c>
      <c r="U10" s="17">
        <f>C10*S10*T10</f>
        <v>0</v>
      </c>
    </row>
    <row r="11" spans="1:21" ht="15.75" customHeight="1" x14ac:dyDescent="0.45">
      <c r="A11" s="61" t="s">
        <v>18</v>
      </c>
      <c r="B11" s="62"/>
      <c r="C11" s="62"/>
      <c r="D11" s="62"/>
      <c r="E11" s="50"/>
      <c r="F11" s="19">
        <f>SUM(F5:F10)</f>
        <v>0</v>
      </c>
      <c r="G11" s="47" t="s">
        <v>19</v>
      </c>
      <c r="H11" s="48"/>
      <c r="I11" s="20">
        <f>SUM(I5:I10)</f>
        <v>0</v>
      </c>
      <c r="J11" s="49" t="s">
        <v>20</v>
      </c>
      <c r="K11" s="50"/>
      <c r="L11" s="19">
        <f>SUM(L5:L10)</f>
        <v>0</v>
      </c>
      <c r="M11" s="47" t="s">
        <v>21</v>
      </c>
      <c r="N11" s="48"/>
      <c r="O11" s="20">
        <f>SUM(O5:O10)</f>
        <v>0</v>
      </c>
      <c r="P11" s="49" t="s">
        <v>22</v>
      </c>
      <c r="Q11" s="50"/>
      <c r="R11" s="19">
        <f>SUM(R5:R10)</f>
        <v>0</v>
      </c>
      <c r="S11" s="47" t="s">
        <v>26</v>
      </c>
      <c r="T11" s="48"/>
      <c r="U11" s="20">
        <f>SUM(U5:U10)</f>
        <v>0</v>
      </c>
    </row>
    <row r="12" spans="1:21" ht="15.75" customHeight="1" x14ac:dyDescent="0.45">
      <c r="A12" s="40" t="s">
        <v>58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2" t="s">
        <v>34</v>
      </c>
      <c r="T12" s="43"/>
      <c r="U12" s="38">
        <f>SUM(F11,I11,L11,O11,R11,U11)</f>
        <v>0</v>
      </c>
    </row>
    <row r="13" spans="1:21" ht="15.75" customHeight="1" x14ac:dyDescent="0.5">
      <c r="A13" s="46" t="s">
        <v>11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4"/>
      <c r="T13" s="45"/>
      <c r="U13" s="39"/>
    </row>
    <row r="14" spans="1:21" ht="15.75" x14ac:dyDescent="0.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6"/>
      <c r="T14" s="26"/>
      <c r="U14" s="27"/>
    </row>
    <row r="15" spans="1:21" ht="21.4" thickBot="1" x14ac:dyDescent="0.5">
      <c r="A15" s="56" t="s">
        <v>13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8"/>
    </row>
    <row r="16" spans="1:21" ht="21.75" thickTop="1" thickBot="1" x14ac:dyDescent="0.5">
      <c r="A16" s="60" t="s">
        <v>15</v>
      </c>
      <c r="B16" s="55"/>
      <c r="C16" s="55"/>
      <c r="D16" s="55"/>
      <c r="E16" s="55"/>
      <c r="F16" s="55"/>
      <c r="G16" s="51" t="s">
        <v>17</v>
      </c>
      <c r="H16" s="52"/>
      <c r="I16" s="52"/>
      <c r="J16" s="54" t="s">
        <v>23</v>
      </c>
      <c r="K16" s="55"/>
      <c r="L16" s="55"/>
      <c r="M16" s="51" t="s">
        <v>24</v>
      </c>
      <c r="N16" s="52"/>
      <c r="O16" s="52"/>
      <c r="P16" s="54" t="s">
        <v>25</v>
      </c>
      <c r="Q16" s="55"/>
      <c r="R16" s="55"/>
      <c r="S16" s="51" t="s">
        <v>27</v>
      </c>
      <c r="T16" s="52"/>
      <c r="U16" s="53"/>
    </row>
    <row r="17" spans="1:21" ht="18.75" thickTop="1" thickBot="1" x14ac:dyDescent="0.6">
      <c r="A17" s="11" t="s">
        <v>46</v>
      </c>
      <c r="B17" s="7" t="s">
        <v>3</v>
      </c>
      <c r="C17" s="7" t="s">
        <v>2</v>
      </c>
      <c r="D17" s="7" t="s">
        <v>16</v>
      </c>
      <c r="E17" s="7" t="s">
        <v>5</v>
      </c>
      <c r="F17" s="13" t="s">
        <v>6</v>
      </c>
      <c r="G17" s="14" t="s">
        <v>16</v>
      </c>
      <c r="H17" s="7" t="s">
        <v>5</v>
      </c>
      <c r="I17" s="7" t="s">
        <v>6</v>
      </c>
      <c r="J17" s="14" t="s">
        <v>16</v>
      </c>
      <c r="K17" s="7" t="s">
        <v>5</v>
      </c>
      <c r="L17" s="7" t="s">
        <v>6</v>
      </c>
      <c r="M17" s="14" t="s">
        <v>16</v>
      </c>
      <c r="N17" s="7" t="s">
        <v>5</v>
      </c>
      <c r="O17" s="7" t="s">
        <v>6</v>
      </c>
      <c r="P17" s="14" t="s">
        <v>16</v>
      </c>
      <c r="Q17" s="7" t="s">
        <v>5</v>
      </c>
      <c r="R17" s="7" t="s">
        <v>6</v>
      </c>
      <c r="S17" s="14" t="s">
        <v>16</v>
      </c>
      <c r="T17" s="7" t="s">
        <v>5</v>
      </c>
      <c r="U17" s="7" t="s">
        <v>6</v>
      </c>
    </row>
    <row r="18" spans="1:21" ht="31.9" thickTop="1" x14ac:dyDescent="0.45">
      <c r="A18" s="8" t="s">
        <v>8</v>
      </c>
      <c r="B18" s="2" t="s">
        <v>4</v>
      </c>
      <c r="C18" s="2">
        <v>4</v>
      </c>
      <c r="D18" s="2">
        <v>2</v>
      </c>
      <c r="E18" s="29">
        <v>0</v>
      </c>
      <c r="F18" s="17">
        <f>C18*D18*E18</f>
        <v>0</v>
      </c>
      <c r="G18" s="15">
        <v>3</v>
      </c>
      <c r="H18" s="29">
        <v>0</v>
      </c>
      <c r="I18" s="17">
        <f>C18*G18*H18</f>
        <v>0</v>
      </c>
      <c r="J18" s="15">
        <v>3</v>
      </c>
      <c r="K18" s="29">
        <v>0</v>
      </c>
      <c r="L18" s="17">
        <f>C18*J18*K18</f>
        <v>0</v>
      </c>
      <c r="M18" s="15">
        <v>3</v>
      </c>
      <c r="N18" s="29">
        <v>0</v>
      </c>
      <c r="O18" s="17">
        <f>C18*M18*N18</f>
        <v>0</v>
      </c>
      <c r="P18" s="15">
        <v>3</v>
      </c>
      <c r="Q18" s="29">
        <v>0</v>
      </c>
      <c r="R18" s="17">
        <f>C18*P18*Q18</f>
        <v>0</v>
      </c>
      <c r="S18" s="15">
        <v>1</v>
      </c>
      <c r="T18" s="29">
        <v>0</v>
      </c>
      <c r="U18" s="17">
        <f>C18*S18*T18</f>
        <v>0</v>
      </c>
    </row>
    <row r="19" spans="1:21" ht="31.5" x14ac:dyDescent="0.45">
      <c r="A19" s="9" t="s">
        <v>79</v>
      </c>
      <c r="B19" s="2" t="s">
        <v>4</v>
      </c>
      <c r="C19" s="2">
        <v>4</v>
      </c>
      <c r="D19" s="2">
        <v>2</v>
      </c>
      <c r="E19" s="29">
        <v>0</v>
      </c>
      <c r="F19" s="17">
        <f t="shared" ref="F19:F23" si="6">C19*D19*E19</f>
        <v>0</v>
      </c>
      <c r="G19" s="16">
        <v>3</v>
      </c>
      <c r="H19" s="29">
        <v>0</v>
      </c>
      <c r="I19" s="17">
        <f t="shared" ref="I19:I23" si="7">C19*G19*H19</f>
        <v>0</v>
      </c>
      <c r="J19" s="16">
        <v>3</v>
      </c>
      <c r="K19" s="29">
        <v>0</v>
      </c>
      <c r="L19" s="17">
        <f t="shared" ref="L19:L23" si="8">C19*J19*K19</f>
        <v>0</v>
      </c>
      <c r="M19" s="16">
        <v>3</v>
      </c>
      <c r="N19" s="29">
        <v>0</v>
      </c>
      <c r="O19" s="17">
        <f t="shared" ref="O19:O23" si="9">C19*M19*N19</f>
        <v>0</v>
      </c>
      <c r="P19" s="16">
        <v>3</v>
      </c>
      <c r="Q19" s="29">
        <v>0</v>
      </c>
      <c r="R19" s="17">
        <f t="shared" ref="R19:R23" si="10">C19*P19*Q19</f>
        <v>0</v>
      </c>
      <c r="S19" s="16">
        <v>1</v>
      </c>
      <c r="T19" s="29">
        <v>0</v>
      </c>
      <c r="U19" s="17">
        <f t="shared" ref="U19:U23" si="11">C19*S19*T19</f>
        <v>0</v>
      </c>
    </row>
    <row r="20" spans="1:21" ht="31.5" x14ac:dyDescent="0.45">
      <c r="A20" s="9" t="s">
        <v>80</v>
      </c>
      <c r="B20" s="2" t="s">
        <v>4</v>
      </c>
      <c r="C20" s="2">
        <v>4</v>
      </c>
      <c r="D20" s="2">
        <v>2</v>
      </c>
      <c r="E20" s="29">
        <v>0</v>
      </c>
      <c r="F20" s="17">
        <f t="shared" si="6"/>
        <v>0</v>
      </c>
      <c r="G20" s="16">
        <v>3</v>
      </c>
      <c r="H20" s="29">
        <v>0</v>
      </c>
      <c r="I20" s="17">
        <f t="shared" si="7"/>
        <v>0</v>
      </c>
      <c r="J20" s="16">
        <v>3</v>
      </c>
      <c r="K20" s="29">
        <v>0</v>
      </c>
      <c r="L20" s="17">
        <f t="shared" si="8"/>
        <v>0</v>
      </c>
      <c r="M20" s="16">
        <v>3</v>
      </c>
      <c r="N20" s="29">
        <v>0</v>
      </c>
      <c r="O20" s="17">
        <f t="shared" si="9"/>
        <v>0</v>
      </c>
      <c r="P20" s="16">
        <v>3</v>
      </c>
      <c r="Q20" s="29">
        <v>0</v>
      </c>
      <c r="R20" s="17">
        <f t="shared" si="10"/>
        <v>0</v>
      </c>
      <c r="S20" s="16">
        <v>1</v>
      </c>
      <c r="T20" s="29">
        <v>0</v>
      </c>
      <c r="U20" s="17">
        <f t="shared" si="11"/>
        <v>0</v>
      </c>
    </row>
    <row r="21" spans="1:21" ht="31.5" x14ac:dyDescent="0.45">
      <c r="A21" s="9" t="s">
        <v>9</v>
      </c>
      <c r="B21" s="2" t="s">
        <v>4</v>
      </c>
      <c r="C21" s="2">
        <v>4</v>
      </c>
      <c r="D21" s="2">
        <v>2</v>
      </c>
      <c r="E21" s="29">
        <v>0</v>
      </c>
      <c r="F21" s="17">
        <f t="shared" si="6"/>
        <v>0</v>
      </c>
      <c r="G21" s="16">
        <v>3</v>
      </c>
      <c r="H21" s="29">
        <v>0</v>
      </c>
      <c r="I21" s="17">
        <f t="shared" si="7"/>
        <v>0</v>
      </c>
      <c r="J21" s="16">
        <v>3</v>
      </c>
      <c r="K21" s="29">
        <v>0</v>
      </c>
      <c r="L21" s="17">
        <f t="shared" si="8"/>
        <v>0</v>
      </c>
      <c r="M21" s="16">
        <v>3</v>
      </c>
      <c r="N21" s="29">
        <v>0</v>
      </c>
      <c r="O21" s="17">
        <f t="shared" si="9"/>
        <v>0</v>
      </c>
      <c r="P21" s="16">
        <v>3</v>
      </c>
      <c r="Q21" s="29">
        <v>0</v>
      </c>
      <c r="R21" s="17">
        <f t="shared" si="10"/>
        <v>0</v>
      </c>
      <c r="S21" s="16">
        <v>1</v>
      </c>
      <c r="T21" s="29">
        <v>0</v>
      </c>
      <c r="U21" s="17">
        <f t="shared" si="11"/>
        <v>0</v>
      </c>
    </row>
    <row r="22" spans="1:21" ht="78.75" x14ac:dyDescent="0.45">
      <c r="A22" s="9" t="s">
        <v>78</v>
      </c>
      <c r="B22" s="2" t="s">
        <v>4</v>
      </c>
      <c r="C22" s="2">
        <v>4</v>
      </c>
      <c r="D22" s="2">
        <v>2</v>
      </c>
      <c r="E22" s="29">
        <v>0</v>
      </c>
      <c r="F22" s="17">
        <f t="shared" si="6"/>
        <v>0</v>
      </c>
      <c r="G22" s="16">
        <v>3</v>
      </c>
      <c r="H22" s="29">
        <v>0</v>
      </c>
      <c r="I22" s="17">
        <f t="shared" si="7"/>
        <v>0</v>
      </c>
      <c r="J22" s="16">
        <v>3</v>
      </c>
      <c r="K22" s="29">
        <v>0</v>
      </c>
      <c r="L22" s="17">
        <f t="shared" si="8"/>
        <v>0</v>
      </c>
      <c r="M22" s="16">
        <v>3</v>
      </c>
      <c r="N22" s="29">
        <v>0</v>
      </c>
      <c r="O22" s="17">
        <f t="shared" si="9"/>
        <v>0</v>
      </c>
      <c r="P22" s="16">
        <v>3</v>
      </c>
      <c r="Q22" s="29">
        <v>0</v>
      </c>
      <c r="R22" s="17">
        <f t="shared" si="10"/>
        <v>0</v>
      </c>
      <c r="S22" s="16">
        <v>1</v>
      </c>
      <c r="T22" s="29">
        <v>0</v>
      </c>
      <c r="U22" s="17">
        <f t="shared" si="11"/>
        <v>0</v>
      </c>
    </row>
    <row r="23" spans="1:21" ht="47.25" x14ac:dyDescent="0.45">
      <c r="A23" s="9" t="s">
        <v>12</v>
      </c>
      <c r="B23" s="2" t="s">
        <v>4</v>
      </c>
      <c r="C23" s="2">
        <v>4</v>
      </c>
      <c r="D23" s="2">
        <v>2</v>
      </c>
      <c r="E23" s="29">
        <v>0</v>
      </c>
      <c r="F23" s="17">
        <f t="shared" si="6"/>
        <v>0</v>
      </c>
      <c r="G23" s="16">
        <v>3</v>
      </c>
      <c r="H23" s="29">
        <v>0</v>
      </c>
      <c r="I23" s="17">
        <f t="shared" si="7"/>
        <v>0</v>
      </c>
      <c r="J23" s="16">
        <v>3</v>
      </c>
      <c r="K23" s="29">
        <v>0</v>
      </c>
      <c r="L23" s="17">
        <f t="shared" si="8"/>
        <v>0</v>
      </c>
      <c r="M23" s="16">
        <v>3</v>
      </c>
      <c r="N23" s="29">
        <v>0</v>
      </c>
      <c r="O23" s="17">
        <f t="shared" si="9"/>
        <v>0</v>
      </c>
      <c r="P23" s="16">
        <v>3</v>
      </c>
      <c r="Q23" s="29">
        <v>0</v>
      </c>
      <c r="R23" s="17">
        <f t="shared" si="10"/>
        <v>0</v>
      </c>
      <c r="S23" s="16">
        <v>1</v>
      </c>
      <c r="T23" s="29">
        <v>0</v>
      </c>
      <c r="U23" s="17">
        <f t="shared" si="11"/>
        <v>0</v>
      </c>
    </row>
    <row r="24" spans="1:21" ht="15.75" x14ac:dyDescent="0.45">
      <c r="A24" s="61" t="s">
        <v>18</v>
      </c>
      <c r="B24" s="62"/>
      <c r="C24" s="62"/>
      <c r="D24" s="62"/>
      <c r="E24" s="50"/>
      <c r="F24" s="19">
        <f>SUM(F18:F23)</f>
        <v>0</v>
      </c>
      <c r="G24" s="47" t="s">
        <v>19</v>
      </c>
      <c r="H24" s="48"/>
      <c r="I24" s="20">
        <f>SUM(I18:I23)</f>
        <v>0</v>
      </c>
      <c r="J24" s="49" t="s">
        <v>20</v>
      </c>
      <c r="K24" s="50"/>
      <c r="L24" s="19">
        <f>SUM(L18:L23)</f>
        <v>0</v>
      </c>
      <c r="M24" s="47" t="s">
        <v>21</v>
      </c>
      <c r="N24" s="48"/>
      <c r="O24" s="20">
        <f>SUM(O18:O23)</f>
        <v>0</v>
      </c>
      <c r="P24" s="49" t="s">
        <v>22</v>
      </c>
      <c r="Q24" s="50"/>
      <c r="R24" s="19">
        <f>SUM(R18:R23)</f>
        <v>0</v>
      </c>
      <c r="S24" s="47" t="s">
        <v>26</v>
      </c>
      <c r="T24" s="48"/>
      <c r="U24" s="21">
        <f>SUM(U18:U23)</f>
        <v>0</v>
      </c>
    </row>
    <row r="25" spans="1:21" ht="15.75" customHeight="1" x14ac:dyDescent="0.45">
      <c r="A25" s="40" t="s">
        <v>58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2" t="s">
        <v>33</v>
      </c>
      <c r="T25" s="43"/>
      <c r="U25" s="38">
        <f>SUM(U24,R24,O24,L24,I24,F24)</f>
        <v>0</v>
      </c>
    </row>
    <row r="26" spans="1:21" ht="15.75" customHeight="1" x14ac:dyDescent="0.5">
      <c r="A26" s="46" t="s">
        <v>11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4"/>
      <c r="T26" s="45"/>
      <c r="U26" s="39"/>
    </row>
    <row r="27" spans="1:21" ht="15.75" customHeight="1" x14ac:dyDescent="0.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6"/>
      <c r="T27" s="26"/>
      <c r="U27" s="27"/>
    </row>
    <row r="28" spans="1:21" ht="21.4" thickBot="1" x14ac:dyDescent="0.5">
      <c r="A28" s="56" t="s">
        <v>14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8"/>
    </row>
    <row r="29" spans="1:21" ht="21.75" thickTop="1" thickBot="1" x14ac:dyDescent="0.5">
      <c r="A29" s="60" t="s">
        <v>15</v>
      </c>
      <c r="B29" s="55"/>
      <c r="C29" s="55"/>
      <c r="D29" s="55"/>
      <c r="E29" s="55"/>
      <c r="F29" s="55"/>
      <c r="G29" s="51" t="s">
        <v>17</v>
      </c>
      <c r="H29" s="52"/>
      <c r="I29" s="52"/>
      <c r="J29" s="54" t="s">
        <v>23</v>
      </c>
      <c r="K29" s="55"/>
      <c r="L29" s="55"/>
      <c r="M29" s="51" t="s">
        <v>24</v>
      </c>
      <c r="N29" s="52"/>
      <c r="O29" s="52"/>
      <c r="P29" s="54" t="s">
        <v>25</v>
      </c>
      <c r="Q29" s="55"/>
      <c r="R29" s="55"/>
      <c r="S29" s="51" t="s">
        <v>27</v>
      </c>
      <c r="T29" s="52"/>
      <c r="U29" s="53"/>
    </row>
    <row r="30" spans="1:21" ht="18.75" thickTop="1" thickBot="1" x14ac:dyDescent="0.6">
      <c r="A30" s="11" t="s">
        <v>46</v>
      </c>
      <c r="B30" s="7" t="s">
        <v>3</v>
      </c>
      <c r="C30" s="7" t="s">
        <v>2</v>
      </c>
      <c r="D30" s="7" t="s">
        <v>16</v>
      </c>
      <c r="E30" s="7" t="s">
        <v>5</v>
      </c>
      <c r="F30" s="13" t="s">
        <v>6</v>
      </c>
      <c r="G30" s="14" t="s">
        <v>16</v>
      </c>
      <c r="H30" s="7" t="s">
        <v>5</v>
      </c>
      <c r="I30" s="7" t="s">
        <v>6</v>
      </c>
      <c r="J30" s="14" t="s">
        <v>16</v>
      </c>
      <c r="K30" s="7" t="s">
        <v>5</v>
      </c>
      <c r="L30" s="7" t="s">
        <v>6</v>
      </c>
      <c r="M30" s="14" t="s">
        <v>16</v>
      </c>
      <c r="N30" s="7" t="s">
        <v>5</v>
      </c>
      <c r="O30" s="7" t="s">
        <v>6</v>
      </c>
      <c r="P30" s="14" t="s">
        <v>16</v>
      </c>
      <c r="Q30" s="7" t="s">
        <v>5</v>
      </c>
      <c r="R30" s="7" t="s">
        <v>6</v>
      </c>
      <c r="S30" s="14" t="s">
        <v>16</v>
      </c>
      <c r="T30" s="7" t="s">
        <v>5</v>
      </c>
      <c r="U30" s="7" t="s">
        <v>6</v>
      </c>
    </row>
    <row r="31" spans="1:21" ht="31.9" thickTop="1" x14ac:dyDescent="0.45">
      <c r="A31" s="8" t="s">
        <v>8</v>
      </c>
      <c r="B31" s="2" t="s">
        <v>4</v>
      </c>
      <c r="C31" s="2">
        <v>4</v>
      </c>
      <c r="D31" s="2">
        <v>2</v>
      </c>
      <c r="E31" s="29">
        <v>0</v>
      </c>
      <c r="F31" s="18">
        <f>C31*D31*E31</f>
        <v>0</v>
      </c>
      <c r="G31" s="15">
        <v>3</v>
      </c>
      <c r="H31" s="29">
        <v>0</v>
      </c>
      <c r="I31" s="18">
        <f>C31*G31*H31</f>
        <v>0</v>
      </c>
      <c r="J31" s="15">
        <v>3</v>
      </c>
      <c r="K31" s="29">
        <v>0</v>
      </c>
      <c r="L31" s="18">
        <f>C31*J31*K31</f>
        <v>0</v>
      </c>
      <c r="M31" s="15">
        <v>3</v>
      </c>
      <c r="N31" s="29">
        <v>0</v>
      </c>
      <c r="O31" s="18">
        <f>C31*M31*N31</f>
        <v>0</v>
      </c>
      <c r="P31" s="15">
        <v>3</v>
      </c>
      <c r="Q31" s="29">
        <v>0</v>
      </c>
      <c r="R31" s="18">
        <f>C31*P31*Q31</f>
        <v>0</v>
      </c>
      <c r="S31" s="15">
        <v>1</v>
      </c>
      <c r="T31" s="29">
        <v>0</v>
      </c>
      <c r="U31" s="17">
        <f>C31*S31*T31</f>
        <v>0</v>
      </c>
    </row>
    <row r="32" spans="1:21" ht="31.5" x14ac:dyDescent="0.45">
      <c r="A32" s="9" t="s">
        <v>79</v>
      </c>
      <c r="B32" s="2" t="s">
        <v>4</v>
      </c>
      <c r="C32" s="2">
        <v>4</v>
      </c>
      <c r="D32" s="2">
        <v>2</v>
      </c>
      <c r="E32" s="29">
        <v>0</v>
      </c>
      <c r="F32" s="18">
        <f t="shared" ref="F32:F36" si="12">C32*D32*E32</f>
        <v>0</v>
      </c>
      <c r="G32" s="16">
        <v>3</v>
      </c>
      <c r="H32" s="29">
        <v>0</v>
      </c>
      <c r="I32" s="18">
        <f t="shared" ref="I32:I36" si="13">C32*G32*H32</f>
        <v>0</v>
      </c>
      <c r="J32" s="16">
        <v>3</v>
      </c>
      <c r="K32" s="29">
        <v>0</v>
      </c>
      <c r="L32" s="18">
        <f t="shared" ref="L32:L36" si="14">C32*J32*K32</f>
        <v>0</v>
      </c>
      <c r="M32" s="16">
        <v>3</v>
      </c>
      <c r="N32" s="29">
        <v>0</v>
      </c>
      <c r="O32" s="18">
        <f t="shared" ref="O32:O36" si="15">C32*M32*N32</f>
        <v>0</v>
      </c>
      <c r="P32" s="16">
        <v>3</v>
      </c>
      <c r="Q32" s="29">
        <v>0</v>
      </c>
      <c r="R32" s="18">
        <f t="shared" ref="R32:R36" si="16">C32*P32*Q32</f>
        <v>0</v>
      </c>
      <c r="S32" s="16">
        <v>1</v>
      </c>
      <c r="T32" s="29">
        <v>0</v>
      </c>
      <c r="U32" s="17">
        <f>C32*S32*T32</f>
        <v>0</v>
      </c>
    </row>
    <row r="33" spans="1:21" ht="31.5" x14ac:dyDescent="0.45">
      <c r="A33" s="9" t="s">
        <v>80</v>
      </c>
      <c r="B33" s="2" t="s">
        <v>4</v>
      </c>
      <c r="C33" s="2">
        <v>4</v>
      </c>
      <c r="D33" s="2">
        <v>2</v>
      </c>
      <c r="E33" s="29">
        <v>0</v>
      </c>
      <c r="F33" s="18">
        <f t="shared" si="12"/>
        <v>0</v>
      </c>
      <c r="G33" s="16">
        <v>3</v>
      </c>
      <c r="H33" s="29">
        <v>0</v>
      </c>
      <c r="I33" s="18">
        <f t="shared" si="13"/>
        <v>0</v>
      </c>
      <c r="J33" s="16">
        <v>3</v>
      </c>
      <c r="K33" s="29">
        <v>0</v>
      </c>
      <c r="L33" s="18">
        <f t="shared" si="14"/>
        <v>0</v>
      </c>
      <c r="M33" s="16">
        <v>3</v>
      </c>
      <c r="N33" s="29">
        <v>0</v>
      </c>
      <c r="O33" s="18">
        <f t="shared" si="15"/>
        <v>0</v>
      </c>
      <c r="P33" s="16">
        <v>3</v>
      </c>
      <c r="Q33" s="29">
        <v>0</v>
      </c>
      <c r="R33" s="18">
        <f t="shared" si="16"/>
        <v>0</v>
      </c>
      <c r="S33" s="16">
        <v>1</v>
      </c>
      <c r="T33" s="29">
        <v>0</v>
      </c>
      <c r="U33" s="17">
        <f>C33*S33*T33</f>
        <v>0</v>
      </c>
    </row>
    <row r="34" spans="1:21" ht="31.5" x14ac:dyDescent="0.45">
      <c r="A34" s="9" t="s">
        <v>9</v>
      </c>
      <c r="B34" s="2" t="s">
        <v>4</v>
      </c>
      <c r="C34" s="2">
        <v>4</v>
      </c>
      <c r="D34" s="2">
        <v>2</v>
      </c>
      <c r="E34" s="29">
        <v>0</v>
      </c>
      <c r="F34" s="18">
        <f t="shared" si="12"/>
        <v>0</v>
      </c>
      <c r="G34" s="16">
        <v>3</v>
      </c>
      <c r="H34" s="29">
        <v>0</v>
      </c>
      <c r="I34" s="18">
        <f t="shared" si="13"/>
        <v>0</v>
      </c>
      <c r="J34" s="16">
        <v>3</v>
      </c>
      <c r="K34" s="29">
        <v>0</v>
      </c>
      <c r="L34" s="18">
        <f t="shared" si="14"/>
        <v>0</v>
      </c>
      <c r="M34" s="16">
        <v>3</v>
      </c>
      <c r="N34" s="29">
        <v>0</v>
      </c>
      <c r="O34" s="18">
        <f t="shared" si="15"/>
        <v>0</v>
      </c>
      <c r="P34" s="16">
        <v>3</v>
      </c>
      <c r="Q34" s="29">
        <v>0</v>
      </c>
      <c r="R34" s="18">
        <f t="shared" si="16"/>
        <v>0</v>
      </c>
      <c r="S34" s="16">
        <v>1</v>
      </c>
      <c r="T34" s="29">
        <v>0</v>
      </c>
      <c r="U34" s="17">
        <f>C34*S34*T34</f>
        <v>0</v>
      </c>
    </row>
    <row r="35" spans="1:21" ht="78.75" x14ac:dyDescent="0.45">
      <c r="A35" s="9" t="s">
        <v>78</v>
      </c>
      <c r="B35" s="2" t="s">
        <v>4</v>
      </c>
      <c r="C35" s="2">
        <v>4</v>
      </c>
      <c r="D35" s="2">
        <v>2</v>
      </c>
      <c r="E35" s="29">
        <v>0</v>
      </c>
      <c r="F35" s="18">
        <f t="shared" si="12"/>
        <v>0</v>
      </c>
      <c r="G35" s="16">
        <v>3</v>
      </c>
      <c r="H35" s="29">
        <v>0</v>
      </c>
      <c r="I35" s="18">
        <f t="shared" si="13"/>
        <v>0</v>
      </c>
      <c r="J35" s="16">
        <v>3</v>
      </c>
      <c r="K35" s="29">
        <v>0</v>
      </c>
      <c r="L35" s="18">
        <f t="shared" si="14"/>
        <v>0</v>
      </c>
      <c r="M35" s="16">
        <v>3</v>
      </c>
      <c r="N35" s="29">
        <v>0</v>
      </c>
      <c r="O35" s="18">
        <f t="shared" si="15"/>
        <v>0</v>
      </c>
      <c r="P35" s="16">
        <v>3</v>
      </c>
      <c r="Q35" s="29">
        <v>0</v>
      </c>
      <c r="R35" s="18">
        <f t="shared" si="16"/>
        <v>0</v>
      </c>
      <c r="S35" s="16">
        <v>1</v>
      </c>
      <c r="T35" s="29">
        <v>0</v>
      </c>
      <c r="U35" s="17">
        <f>C35*S35*T35</f>
        <v>0</v>
      </c>
    </row>
    <row r="36" spans="1:21" ht="47.25" x14ac:dyDescent="0.45">
      <c r="A36" s="9" t="s">
        <v>12</v>
      </c>
      <c r="B36" s="2" t="s">
        <v>4</v>
      </c>
      <c r="C36" s="2">
        <v>4</v>
      </c>
      <c r="D36" s="2">
        <v>2</v>
      </c>
      <c r="E36" s="29">
        <v>0</v>
      </c>
      <c r="F36" s="18">
        <f t="shared" si="12"/>
        <v>0</v>
      </c>
      <c r="G36" s="16">
        <v>3</v>
      </c>
      <c r="H36" s="29">
        <v>0</v>
      </c>
      <c r="I36" s="18">
        <f t="shared" si="13"/>
        <v>0</v>
      </c>
      <c r="J36" s="16">
        <v>3</v>
      </c>
      <c r="K36" s="29">
        <v>0</v>
      </c>
      <c r="L36" s="18">
        <f t="shared" si="14"/>
        <v>0</v>
      </c>
      <c r="M36" s="16">
        <v>3</v>
      </c>
      <c r="N36" s="29">
        <v>0</v>
      </c>
      <c r="O36" s="18">
        <f t="shared" si="15"/>
        <v>0</v>
      </c>
      <c r="P36" s="16">
        <v>3</v>
      </c>
      <c r="Q36" s="29">
        <v>0</v>
      </c>
      <c r="R36" s="18">
        <f t="shared" si="16"/>
        <v>0</v>
      </c>
      <c r="S36" s="16">
        <v>1</v>
      </c>
      <c r="T36" s="29">
        <v>0</v>
      </c>
      <c r="U36" s="17">
        <f>R36*S36*T36</f>
        <v>0</v>
      </c>
    </row>
    <row r="37" spans="1:21" ht="15.75" x14ac:dyDescent="0.45">
      <c r="A37" s="61" t="s">
        <v>18</v>
      </c>
      <c r="B37" s="62"/>
      <c r="C37" s="62"/>
      <c r="D37" s="62"/>
      <c r="E37" s="50"/>
      <c r="F37" s="19">
        <f>SUM(F31:F36)</f>
        <v>0</v>
      </c>
      <c r="G37" s="47" t="s">
        <v>19</v>
      </c>
      <c r="H37" s="48"/>
      <c r="I37" s="20">
        <f>SUM(I31:I36)</f>
        <v>0</v>
      </c>
      <c r="J37" s="49" t="s">
        <v>20</v>
      </c>
      <c r="K37" s="50"/>
      <c r="L37" s="19">
        <f>SUM(L31:L36)</f>
        <v>0</v>
      </c>
      <c r="M37" s="47" t="s">
        <v>21</v>
      </c>
      <c r="N37" s="48"/>
      <c r="O37" s="20">
        <f>SUM(O31:O36)</f>
        <v>0</v>
      </c>
      <c r="P37" s="49" t="s">
        <v>22</v>
      </c>
      <c r="Q37" s="50"/>
      <c r="R37" s="19">
        <f>SUM(R31:R36)</f>
        <v>0</v>
      </c>
      <c r="S37" s="47" t="s">
        <v>26</v>
      </c>
      <c r="T37" s="48"/>
      <c r="U37" s="21">
        <f>SUM(U31:U36)</f>
        <v>0</v>
      </c>
    </row>
    <row r="38" spans="1:21" ht="15.75" customHeight="1" x14ac:dyDescent="0.45">
      <c r="A38" s="40" t="s">
        <v>58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2" t="s">
        <v>32</v>
      </c>
      <c r="T38" s="43"/>
      <c r="U38" s="38">
        <f>SUM(U37,R37,O37,L37,I37,F37)</f>
        <v>0</v>
      </c>
    </row>
    <row r="39" spans="1:21" ht="15.75" customHeight="1" x14ac:dyDescent="0.5">
      <c r="A39" s="46" t="s">
        <v>11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4"/>
      <c r="T39" s="45"/>
      <c r="U39" s="39"/>
    </row>
    <row r="40" spans="1:21" ht="15.75" x14ac:dyDescent="0.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4"/>
      <c r="T40" s="24"/>
      <c r="U40" s="28"/>
    </row>
  </sheetData>
  <mergeCells count="52">
    <mergeCell ref="A1:U1"/>
    <mergeCell ref="S12:T13"/>
    <mergeCell ref="U12:U13"/>
    <mergeCell ref="S25:T26"/>
    <mergeCell ref="A11:E11"/>
    <mergeCell ref="G11:H11"/>
    <mergeCell ref="J3:L3"/>
    <mergeCell ref="J11:K11"/>
    <mergeCell ref="J16:L16"/>
    <mergeCell ref="G3:I3"/>
    <mergeCell ref="G16:I16"/>
    <mergeCell ref="A3:F3"/>
    <mergeCell ref="A16:F16"/>
    <mergeCell ref="J24:K24"/>
    <mergeCell ref="S3:U3"/>
    <mergeCell ref="S11:T11"/>
    <mergeCell ref="G29:I29"/>
    <mergeCell ref="G37:H37"/>
    <mergeCell ref="A29:F29"/>
    <mergeCell ref="A37:E37"/>
    <mergeCell ref="A24:E24"/>
    <mergeCell ref="A2:U2"/>
    <mergeCell ref="S16:U16"/>
    <mergeCell ref="S24:T24"/>
    <mergeCell ref="A15:U15"/>
    <mergeCell ref="M16:O16"/>
    <mergeCell ref="P16:R16"/>
    <mergeCell ref="M24:N24"/>
    <mergeCell ref="P24:Q24"/>
    <mergeCell ref="A12:R12"/>
    <mergeCell ref="A13:R13"/>
    <mergeCell ref="M3:O3"/>
    <mergeCell ref="P3:R3"/>
    <mergeCell ref="M11:N11"/>
    <mergeCell ref="P11:Q11"/>
    <mergeCell ref="G24:H24"/>
    <mergeCell ref="U25:U26"/>
    <mergeCell ref="A38:R38"/>
    <mergeCell ref="S38:T39"/>
    <mergeCell ref="U38:U39"/>
    <mergeCell ref="A39:R39"/>
    <mergeCell ref="S37:T37"/>
    <mergeCell ref="M37:N37"/>
    <mergeCell ref="P37:Q37"/>
    <mergeCell ref="S29:U29"/>
    <mergeCell ref="M29:O29"/>
    <mergeCell ref="P29:R29"/>
    <mergeCell ref="A28:U28"/>
    <mergeCell ref="J29:L29"/>
    <mergeCell ref="J37:K37"/>
    <mergeCell ref="A25:R25"/>
    <mergeCell ref="A26:R26"/>
  </mergeCells>
  <phoneticPr fontId="2" type="noConversion"/>
  <pageMargins left="0.7" right="0.7" top="0.75" bottom="0.75" header="0.3" footer="0.3"/>
  <pageSetup orientation="portrait" r:id="rId1"/>
  <headerFooter>
    <oddHeader>&amp;C </oddHeader>
    <oddFooter>&amp;C 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340B1-B0FD-4987-B2DC-684DB9946199}">
  <sheetPr>
    <tabColor rgb="FF92D050"/>
  </sheetPr>
  <dimension ref="A1:V36"/>
  <sheetViews>
    <sheetView workbookViewId="0">
      <selection sqref="A1:V1"/>
    </sheetView>
  </sheetViews>
  <sheetFormatPr defaultColWidth="9" defaultRowHeight="14.25" x14ac:dyDescent="0.45"/>
  <cols>
    <col min="1" max="1" width="40.59765625" style="12" customWidth="1"/>
    <col min="2" max="2" width="5.59765625" style="10" bestFit="1" customWidth="1"/>
    <col min="3" max="3" width="10.265625" style="10" bestFit="1" customWidth="1"/>
    <col min="4" max="5" width="10.265625" style="10" customWidth="1"/>
    <col min="6" max="7" width="15.59765625" style="6" customWidth="1"/>
    <col min="8" max="8" width="10" style="6" bestFit="1" customWidth="1"/>
    <col min="9" max="10" width="15.59765625" style="6" customWidth="1"/>
    <col min="11" max="11" width="9" style="6"/>
    <col min="12" max="13" width="15.59765625" style="6" customWidth="1"/>
    <col min="14" max="14" width="9" style="6"/>
    <col min="15" max="16" width="15.59765625" style="6" customWidth="1"/>
    <col min="17" max="17" width="9" style="6"/>
    <col min="18" max="19" width="15.59765625" style="6" customWidth="1"/>
    <col min="20" max="20" width="9" style="6"/>
    <col min="21" max="22" width="15.59765625" style="6" customWidth="1"/>
    <col min="23" max="16384" width="9" style="6"/>
  </cols>
  <sheetData>
    <row r="1" spans="1:22" ht="42.4" customHeight="1" x14ac:dyDescent="0.45">
      <c r="A1" s="63" t="s">
        <v>86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</row>
    <row r="2" spans="1:22" ht="21.4" thickBot="1" x14ac:dyDescent="0.5">
      <c r="A2" s="59" t="s">
        <v>28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</row>
    <row r="3" spans="1:22" ht="21.75" thickTop="1" thickBot="1" x14ac:dyDescent="0.5">
      <c r="A3" s="55" t="s">
        <v>15</v>
      </c>
      <c r="B3" s="55"/>
      <c r="C3" s="55"/>
      <c r="D3" s="55"/>
      <c r="E3" s="55"/>
      <c r="F3" s="55"/>
      <c r="G3" s="55"/>
      <c r="H3" s="51" t="s">
        <v>17</v>
      </c>
      <c r="I3" s="52"/>
      <c r="J3" s="52"/>
      <c r="K3" s="54" t="s">
        <v>23</v>
      </c>
      <c r="L3" s="55"/>
      <c r="M3" s="55"/>
      <c r="N3" s="51" t="s">
        <v>24</v>
      </c>
      <c r="O3" s="52"/>
      <c r="P3" s="52"/>
      <c r="Q3" s="54" t="s">
        <v>25</v>
      </c>
      <c r="R3" s="55"/>
      <c r="S3" s="55"/>
      <c r="T3" s="51" t="s">
        <v>27</v>
      </c>
      <c r="U3" s="52"/>
      <c r="V3" s="52"/>
    </row>
    <row r="4" spans="1:22" ht="18.75" thickTop="1" thickBot="1" x14ac:dyDescent="0.6">
      <c r="A4" s="11" t="s">
        <v>47</v>
      </c>
      <c r="B4" s="7" t="s">
        <v>3</v>
      </c>
      <c r="C4" s="7" t="s">
        <v>2</v>
      </c>
      <c r="D4" s="7" t="s">
        <v>48</v>
      </c>
      <c r="E4" s="7" t="s">
        <v>16</v>
      </c>
      <c r="F4" s="7" t="s">
        <v>5</v>
      </c>
      <c r="G4" s="13" t="s">
        <v>6</v>
      </c>
      <c r="H4" s="14" t="s">
        <v>16</v>
      </c>
      <c r="I4" s="7" t="s">
        <v>5</v>
      </c>
      <c r="J4" s="7" t="s">
        <v>6</v>
      </c>
      <c r="K4" s="14" t="s">
        <v>16</v>
      </c>
      <c r="L4" s="7" t="s">
        <v>5</v>
      </c>
      <c r="M4" s="7" t="s">
        <v>6</v>
      </c>
      <c r="N4" s="14" t="s">
        <v>16</v>
      </c>
      <c r="O4" s="7" t="s">
        <v>5</v>
      </c>
      <c r="P4" s="7" t="s">
        <v>6</v>
      </c>
      <c r="Q4" s="14" t="s">
        <v>16</v>
      </c>
      <c r="R4" s="7" t="s">
        <v>5</v>
      </c>
      <c r="S4" s="7" t="s">
        <v>6</v>
      </c>
      <c r="T4" s="14" t="s">
        <v>16</v>
      </c>
      <c r="U4" s="7" t="s">
        <v>5</v>
      </c>
      <c r="V4" s="7" t="s">
        <v>6</v>
      </c>
    </row>
    <row r="5" spans="1:22" ht="47.65" thickTop="1" x14ac:dyDescent="0.45">
      <c r="A5" s="8" t="s">
        <v>50</v>
      </c>
      <c r="B5" s="2" t="s">
        <v>77</v>
      </c>
      <c r="C5" s="2">
        <v>4</v>
      </c>
      <c r="D5" s="2">
        <v>90</v>
      </c>
      <c r="E5" s="2">
        <v>2</v>
      </c>
      <c r="F5" s="29">
        <v>0</v>
      </c>
      <c r="G5" s="17">
        <f>C5*D5*E5*F5</f>
        <v>0</v>
      </c>
      <c r="H5" s="15">
        <v>3</v>
      </c>
      <c r="I5" s="29">
        <v>0</v>
      </c>
      <c r="J5" s="17">
        <f>C5*D5*H5*I5</f>
        <v>0</v>
      </c>
      <c r="K5" s="15">
        <v>3</v>
      </c>
      <c r="L5" s="29">
        <v>0</v>
      </c>
      <c r="M5" s="17">
        <f>C5*D5*K5*L5</f>
        <v>0</v>
      </c>
      <c r="N5" s="15">
        <v>3</v>
      </c>
      <c r="O5" s="29">
        <v>0</v>
      </c>
      <c r="P5" s="17">
        <f>C5*D5*N5*O5</f>
        <v>0</v>
      </c>
      <c r="Q5" s="15">
        <v>3</v>
      </c>
      <c r="R5" s="29">
        <v>0</v>
      </c>
      <c r="S5" s="17">
        <f>C5*D5*Q5*R5</f>
        <v>0</v>
      </c>
      <c r="T5" s="15">
        <v>1</v>
      </c>
      <c r="U5" s="29">
        <v>0</v>
      </c>
      <c r="V5" s="17">
        <f>C5*D5*T5*U5</f>
        <v>0</v>
      </c>
    </row>
    <row r="6" spans="1:22" ht="47.25" x14ac:dyDescent="0.45">
      <c r="A6" s="8" t="s">
        <v>51</v>
      </c>
      <c r="B6" s="2" t="s">
        <v>77</v>
      </c>
      <c r="C6" s="2">
        <v>4</v>
      </c>
      <c r="D6" s="2">
        <v>90</v>
      </c>
      <c r="E6" s="2">
        <v>2</v>
      </c>
      <c r="F6" s="29">
        <v>0</v>
      </c>
      <c r="G6" s="17">
        <f t="shared" ref="G6:G8" si="0">C6*D6*E6*F6</f>
        <v>0</v>
      </c>
      <c r="H6" s="16">
        <v>3</v>
      </c>
      <c r="I6" s="29">
        <v>0</v>
      </c>
      <c r="J6" s="17">
        <f t="shared" ref="J6:J8" si="1">C6*D6*H6*I6</f>
        <v>0</v>
      </c>
      <c r="K6" s="16">
        <v>3</v>
      </c>
      <c r="L6" s="29">
        <v>0</v>
      </c>
      <c r="M6" s="17">
        <f t="shared" ref="M6:M8" si="2">C6*D6*K6*L6</f>
        <v>0</v>
      </c>
      <c r="N6" s="16">
        <v>3</v>
      </c>
      <c r="O6" s="29">
        <v>0</v>
      </c>
      <c r="P6" s="17">
        <f t="shared" ref="P6:P8" si="3">C6*D6*N6*O6</f>
        <v>0</v>
      </c>
      <c r="Q6" s="16">
        <v>3</v>
      </c>
      <c r="R6" s="29">
        <v>0</v>
      </c>
      <c r="S6" s="17">
        <f t="shared" ref="S6:S8" si="4">C6*D6*Q6*R6</f>
        <v>0</v>
      </c>
      <c r="T6" s="16">
        <v>1</v>
      </c>
      <c r="U6" s="29">
        <v>0</v>
      </c>
      <c r="V6" s="17">
        <f t="shared" ref="V6:V8" si="5">C6*D6*T6*U6</f>
        <v>0</v>
      </c>
    </row>
    <row r="7" spans="1:22" ht="47.25" x14ac:dyDescent="0.45">
      <c r="A7" s="8" t="s">
        <v>52</v>
      </c>
      <c r="B7" s="2" t="s">
        <v>77</v>
      </c>
      <c r="C7" s="2">
        <v>4</v>
      </c>
      <c r="D7" s="2">
        <v>90</v>
      </c>
      <c r="E7" s="2">
        <v>2</v>
      </c>
      <c r="F7" s="29">
        <v>0</v>
      </c>
      <c r="G7" s="17">
        <f t="shared" si="0"/>
        <v>0</v>
      </c>
      <c r="H7" s="16">
        <v>3</v>
      </c>
      <c r="I7" s="29">
        <v>0</v>
      </c>
      <c r="J7" s="17">
        <f t="shared" si="1"/>
        <v>0</v>
      </c>
      <c r="K7" s="16">
        <v>3</v>
      </c>
      <c r="L7" s="29">
        <v>0</v>
      </c>
      <c r="M7" s="17">
        <f t="shared" si="2"/>
        <v>0</v>
      </c>
      <c r="N7" s="16">
        <v>3</v>
      </c>
      <c r="O7" s="29">
        <v>0</v>
      </c>
      <c r="P7" s="17">
        <f t="shared" si="3"/>
        <v>0</v>
      </c>
      <c r="Q7" s="16">
        <v>3</v>
      </c>
      <c r="R7" s="29">
        <v>0</v>
      </c>
      <c r="S7" s="17">
        <f t="shared" si="4"/>
        <v>0</v>
      </c>
      <c r="T7" s="15">
        <v>1</v>
      </c>
      <c r="U7" s="29">
        <v>0</v>
      </c>
      <c r="V7" s="17">
        <f t="shared" si="5"/>
        <v>0</v>
      </c>
    </row>
    <row r="8" spans="1:22" ht="47.25" x14ac:dyDescent="0.45">
      <c r="A8" s="8" t="s">
        <v>53</v>
      </c>
      <c r="B8" s="2" t="s">
        <v>77</v>
      </c>
      <c r="C8" s="2">
        <v>4</v>
      </c>
      <c r="D8" s="2">
        <v>90</v>
      </c>
      <c r="E8" s="2">
        <v>2</v>
      </c>
      <c r="F8" s="29">
        <v>0</v>
      </c>
      <c r="G8" s="17">
        <f t="shared" si="0"/>
        <v>0</v>
      </c>
      <c r="H8" s="16">
        <v>3</v>
      </c>
      <c r="I8" s="29">
        <v>0</v>
      </c>
      <c r="J8" s="17">
        <f t="shared" si="1"/>
        <v>0</v>
      </c>
      <c r="K8" s="16">
        <v>3</v>
      </c>
      <c r="L8" s="29">
        <v>0</v>
      </c>
      <c r="M8" s="17">
        <f t="shared" si="2"/>
        <v>0</v>
      </c>
      <c r="N8" s="16">
        <v>3</v>
      </c>
      <c r="O8" s="29">
        <v>0</v>
      </c>
      <c r="P8" s="17">
        <f t="shared" si="3"/>
        <v>0</v>
      </c>
      <c r="Q8" s="16">
        <v>3</v>
      </c>
      <c r="R8" s="29">
        <v>0</v>
      </c>
      <c r="S8" s="17">
        <f t="shared" si="4"/>
        <v>0</v>
      </c>
      <c r="T8" s="16">
        <v>1</v>
      </c>
      <c r="U8" s="29">
        <v>0</v>
      </c>
      <c r="V8" s="17">
        <f t="shared" si="5"/>
        <v>0</v>
      </c>
    </row>
    <row r="9" spans="1:22" ht="15.75" customHeight="1" x14ac:dyDescent="0.45">
      <c r="A9" s="61" t="s">
        <v>18</v>
      </c>
      <c r="B9" s="62"/>
      <c r="C9" s="62"/>
      <c r="D9" s="62"/>
      <c r="E9" s="62"/>
      <c r="F9" s="50"/>
      <c r="G9" s="19">
        <f>SUM(G5:G8)</f>
        <v>0</v>
      </c>
      <c r="H9" s="47" t="s">
        <v>19</v>
      </c>
      <c r="I9" s="48"/>
      <c r="J9" s="20">
        <f>SUM(J5:J8)</f>
        <v>0</v>
      </c>
      <c r="K9" s="49" t="s">
        <v>20</v>
      </c>
      <c r="L9" s="50"/>
      <c r="M9" s="19">
        <f>SUM(M5:M8)</f>
        <v>0</v>
      </c>
      <c r="N9" s="47" t="s">
        <v>21</v>
      </c>
      <c r="O9" s="48"/>
      <c r="P9" s="20">
        <f>SUM(P5:P8)</f>
        <v>0</v>
      </c>
      <c r="Q9" s="49" t="s">
        <v>22</v>
      </c>
      <c r="R9" s="50"/>
      <c r="S9" s="19">
        <f>SUM(S5:S8)</f>
        <v>0</v>
      </c>
      <c r="T9" s="47" t="s">
        <v>26</v>
      </c>
      <c r="U9" s="48"/>
      <c r="V9" s="20">
        <f>SUM(V5:V8)</f>
        <v>0</v>
      </c>
    </row>
    <row r="10" spans="1:22" ht="15.75" customHeight="1" x14ac:dyDescent="0.45">
      <c r="A10" s="40" t="s">
        <v>49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64" t="s">
        <v>34</v>
      </c>
      <c r="U10" s="64"/>
      <c r="V10" s="67">
        <f>SUM(G9,J9,M9,P9,S9,V9)</f>
        <v>0</v>
      </c>
    </row>
    <row r="11" spans="1:22" ht="15.75" customHeight="1" x14ac:dyDescent="0.5">
      <c r="A11" s="46" t="s">
        <v>44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65"/>
      <c r="U11" s="65"/>
      <c r="V11" s="68"/>
    </row>
    <row r="12" spans="1:22" ht="15.75" customHeight="1" x14ac:dyDescent="0.5">
      <c r="A12" s="46" t="s">
        <v>54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66"/>
      <c r="U12" s="66"/>
      <c r="V12" s="69"/>
    </row>
    <row r="13" spans="1:22" ht="15.75" x14ac:dyDescent="0.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6"/>
      <c r="U13" s="26"/>
      <c r="V13" s="27"/>
    </row>
    <row r="14" spans="1:22" ht="21.4" thickBot="1" x14ac:dyDescent="0.5">
      <c r="A14" s="56" t="s">
        <v>35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8"/>
    </row>
    <row r="15" spans="1:22" ht="21.75" thickTop="1" thickBot="1" x14ac:dyDescent="0.5">
      <c r="A15" s="55" t="s">
        <v>15</v>
      </c>
      <c r="B15" s="55"/>
      <c r="C15" s="55"/>
      <c r="D15" s="55"/>
      <c r="E15" s="55"/>
      <c r="F15" s="55"/>
      <c r="G15" s="55"/>
      <c r="H15" s="51" t="s">
        <v>17</v>
      </c>
      <c r="I15" s="52"/>
      <c r="J15" s="52"/>
      <c r="K15" s="54" t="s">
        <v>23</v>
      </c>
      <c r="L15" s="55"/>
      <c r="M15" s="55"/>
      <c r="N15" s="51" t="s">
        <v>24</v>
      </c>
      <c r="O15" s="52"/>
      <c r="P15" s="52"/>
      <c r="Q15" s="54" t="s">
        <v>25</v>
      </c>
      <c r="R15" s="55"/>
      <c r="S15" s="55"/>
      <c r="T15" s="51" t="s">
        <v>27</v>
      </c>
      <c r="U15" s="52"/>
      <c r="V15" s="52"/>
    </row>
    <row r="16" spans="1:22" ht="18.75" thickTop="1" thickBot="1" x14ac:dyDescent="0.6">
      <c r="A16" s="11" t="s">
        <v>47</v>
      </c>
      <c r="B16" s="7" t="s">
        <v>3</v>
      </c>
      <c r="C16" s="7" t="s">
        <v>2</v>
      </c>
      <c r="D16" s="7" t="s">
        <v>48</v>
      </c>
      <c r="E16" s="7" t="s">
        <v>16</v>
      </c>
      <c r="F16" s="7" t="s">
        <v>5</v>
      </c>
      <c r="G16" s="13" t="s">
        <v>6</v>
      </c>
      <c r="H16" s="14" t="s">
        <v>16</v>
      </c>
      <c r="I16" s="7" t="s">
        <v>5</v>
      </c>
      <c r="J16" s="7" t="s">
        <v>6</v>
      </c>
      <c r="K16" s="14" t="s">
        <v>16</v>
      </c>
      <c r="L16" s="7" t="s">
        <v>5</v>
      </c>
      <c r="M16" s="7" t="s">
        <v>6</v>
      </c>
      <c r="N16" s="14" t="s">
        <v>16</v>
      </c>
      <c r="O16" s="7" t="s">
        <v>5</v>
      </c>
      <c r="P16" s="7" t="s">
        <v>6</v>
      </c>
      <c r="Q16" s="14" t="s">
        <v>16</v>
      </c>
      <c r="R16" s="7" t="s">
        <v>5</v>
      </c>
      <c r="S16" s="7" t="s">
        <v>6</v>
      </c>
      <c r="T16" s="14" t="s">
        <v>16</v>
      </c>
      <c r="U16" s="7" t="s">
        <v>5</v>
      </c>
      <c r="V16" s="7" t="s">
        <v>6</v>
      </c>
    </row>
    <row r="17" spans="1:22" ht="47.65" thickTop="1" x14ac:dyDescent="0.45">
      <c r="A17" s="8" t="s">
        <v>50</v>
      </c>
      <c r="B17" s="2" t="s">
        <v>77</v>
      </c>
      <c r="C17" s="2">
        <v>4</v>
      </c>
      <c r="D17" s="2">
        <v>90</v>
      </c>
      <c r="E17" s="2">
        <v>2</v>
      </c>
      <c r="F17" s="29">
        <v>0</v>
      </c>
      <c r="G17" s="17">
        <f>C17*D17*E17*F17</f>
        <v>0</v>
      </c>
      <c r="H17" s="15">
        <v>3</v>
      </c>
      <c r="I17" s="29">
        <v>0</v>
      </c>
      <c r="J17" s="17">
        <f>C17*D17*H17*I17</f>
        <v>0</v>
      </c>
      <c r="K17" s="15">
        <v>3</v>
      </c>
      <c r="L17" s="29">
        <v>0</v>
      </c>
      <c r="M17" s="17">
        <f>C17*D17*K17*L17</f>
        <v>0</v>
      </c>
      <c r="N17" s="15">
        <v>3</v>
      </c>
      <c r="O17" s="29">
        <v>0</v>
      </c>
      <c r="P17" s="17">
        <f>C17*D17*N17*O17</f>
        <v>0</v>
      </c>
      <c r="Q17" s="15">
        <v>3</v>
      </c>
      <c r="R17" s="29">
        <v>0</v>
      </c>
      <c r="S17" s="17">
        <f>C17*D17*Q17*R17</f>
        <v>0</v>
      </c>
      <c r="T17" s="15">
        <v>1</v>
      </c>
      <c r="U17" s="29">
        <v>0</v>
      </c>
      <c r="V17" s="17">
        <f>C17*D17*T17*U17</f>
        <v>0</v>
      </c>
    </row>
    <row r="18" spans="1:22" ht="47.25" x14ac:dyDescent="0.45">
      <c r="A18" s="8" t="s">
        <v>51</v>
      </c>
      <c r="B18" s="2" t="s">
        <v>77</v>
      </c>
      <c r="C18" s="2">
        <v>4</v>
      </c>
      <c r="D18" s="2">
        <v>90</v>
      </c>
      <c r="E18" s="2">
        <v>2</v>
      </c>
      <c r="F18" s="29">
        <v>0</v>
      </c>
      <c r="G18" s="17">
        <f t="shared" ref="G18:G20" si="6">C18*D18*E18*F18</f>
        <v>0</v>
      </c>
      <c r="H18" s="16">
        <v>3</v>
      </c>
      <c r="I18" s="29">
        <v>0</v>
      </c>
      <c r="J18" s="17">
        <f t="shared" ref="J18:J20" si="7">C18*D18*H18*I18</f>
        <v>0</v>
      </c>
      <c r="K18" s="16">
        <v>3</v>
      </c>
      <c r="L18" s="29">
        <v>0</v>
      </c>
      <c r="M18" s="17">
        <f t="shared" ref="M18:M20" si="8">C18*D18*K18*L18</f>
        <v>0</v>
      </c>
      <c r="N18" s="16">
        <v>3</v>
      </c>
      <c r="O18" s="29">
        <v>0</v>
      </c>
      <c r="P18" s="17">
        <f t="shared" ref="P18:P20" si="9">C18*D18*N18*O18</f>
        <v>0</v>
      </c>
      <c r="Q18" s="16">
        <v>3</v>
      </c>
      <c r="R18" s="29">
        <v>0</v>
      </c>
      <c r="S18" s="17">
        <f t="shared" ref="S18:S20" si="10">C18*D18*Q18*R18</f>
        <v>0</v>
      </c>
      <c r="T18" s="16">
        <v>1</v>
      </c>
      <c r="U18" s="29">
        <v>0</v>
      </c>
      <c r="V18" s="17">
        <f t="shared" ref="V18:V20" si="11">C18*D18*T18*U18</f>
        <v>0</v>
      </c>
    </row>
    <row r="19" spans="1:22" ht="47.25" x14ac:dyDescent="0.45">
      <c r="A19" s="8" t="s">
        <v>52</v>
      </c>
      <c r="B19" s="2" t="s">
        <v>77</v>
      </c>
      <c r="C19" s="2">
        <v>4</v>
      </c>
      <c r="D19" s="2">
        <v>90</v>
      </c>
      <c r="E19" s="2">
        <v>2</v>
      </c>
      <c r="F19" s="29">
        <v>0</v>
      </c>
      <c r="G19" s="17">
        <f t="shared" si="6"/>
        <v>0</v>
      </c>
      <c r="H19" s="16">
        <v>3</v>
      </c>
      <c r="I19" s="29">
        <v>0</v>
      </c>
      <c r="J19" s="17">
        <f t="shared" si="7"/>
        <v>0</v>
      </c>
      <c r="K19" s="16">
        <v>3</v>
      </c>
      <c r="L19" s="29">
        <v>0</v>
      </c>
      <c r="M19" s="17">
        <f t="shared" si="8"/>
        <v>0</v>
      </c>
      <c r="N19" s="16">
        <v>3</v>
      </c>
      <c r="O19" s="29">
        <v>0</v>
      </c>
      <c r="P19" s="17">
        <f t="shared" si="9"/>
        <v>0</v>
      </c>
      <c r="Q19" s="16">
        <v>3</v>
      </c>
      <c r="R19" s="29">
        <v>0</v>
      </c>
      <c r="S19" s="17">
        <f t="shared" si="10"/>
        <v>0</v>
      </c>
      <c r="T19" s="15">
        <v>1</v>
      </c>
      <c r="U19" s="29">
        <v>0</v>
      </c>
      <c r="V19" s="17">
        <f t="shared" si="11"/>
        <v>0</v>
      </c>
    </row>
    <row r="20" spans="1:22" ht="47.25" x14ac:dyDescent="0.45">
      <c r="A20" s="8" t="s">
        <v>53</v>
      </c>
      <c r="B20" s="2" t="s">
        <v>77</v>
      </c>
      <c r="C20" s="2">
        <v>4</v>
      </c>
      <c r="D20" s="2">
        <v>90</v>
      </c>
      <c r="E20" s="2">
        <v>2</v>
      </c>
      <c r="F20" s="29">
        <v>0</v>
      </c>
      <c r="G20" s="17">
        <f t="shared" si="6"/>
        <v>0</v>
      </c>
      <c r="H20" s="16">
        <v>3</v>
      </c>
      <c r="I20" s="29">
        <v>0</v>
      </c>
      <c r="J20" s="17">
        <f t="shared" si="7"/>
        <v>0</v>
      </c>
      <c r="K20" s="16">
        <v>3</v>
      </c>
      <c r="L20" s="29">
        <v>0</v>
      </c>
      <c r="M20" s="17">
        <f t="shared" si="8"/>
        <v>0</v>
      </c>
      <c r="N20" s="16">
        <v>3</v>
      </c>
      <c r="O20" s="29">
        <v>0</v>
      </c>
      <c r="P20" s="17">
        <f t="shared" si="9"/>
        <v>0</v>
      </c>
      <c r="Q20" s="16">
        <v>3</v>
      </c>
      <c r="R20" s="29">
        <v>0</v>
      </c>
      <c r="S20" s="17">
        <f t="shared" si="10"/>
        <v>0</v>
      </c>
      <c r="T20" s="16">
        <v>1</v>
      </c>
      <c r="U20" s="29">
        <v>0</v>
      </c>
      <c r="V20" s="17">
        <f t="shared" si="11"/>
        <v>0</v>
      </c>
    </row>
    <row r="21" spans="1:22" ht="15.75" customHeight="1" x14ac:dyDescent="0.45">
      <c r="A21" s="61" t="s">
        <v>18</v>
      </c>
      <c r="B21" s="62"/>
      <c r="C21" s="62"/>
      <c r="D21" s="62"/>
      <c r="E21" s="62"/>
      <c r="F21" s="50"/>
      <c r="G21" s="19">
        <f>SUM(G17:G20)</f>
        <v>0</v>
      </c>
      <c r="H21" s="47" t="s">
        <v>19</v>
      </c>
      <c r="I21" s="48"/>
      <c r="J21" s="20">
        <f>SUM(J17:J20)</f>
        <v>0</v>
      </c>
      <c r="K21" s="49" t="s">
        <v>20</v>
      </c>
      <c r="L21" s="50"/>
      <c r="M21" s="19">
        <f>SUM(M17:M20)</f>
        <v>0</v>
      </c>
      <c r="N21" s="47" t="s">
        <v>21</v>
      </c>
      <c r="O21" s="48"/>
      <c r="P21" s="20">
        <f>SUM(P17:P20)</f>
        <v>0</v>
      </c>
      <c r="Q21" s="49" t="s">
        <v>22</v>
      </c>
      <c r="R21" s="50"/>
      <c r="S21" s="19">
        <f>SUM(S17:S20)</f>
        <v>0</v>
      </c>
      <c r="T21" s="47" t="s">
        <v>26</v>
      </c>
      <c r="U21" s="48"/>
      <c r="V21" s="20">
        <f>SUM(V17:V20)</f>
        <v>0</v>
      </c>
    </row>
    <row r="22" spans="1:22" ht="15.75" customHeight="1" x14ac:dyDescent="0.45">
      <c r="A22" s="40" t="s">
        <v>49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64" t="s">
        <v>33</v>
      </c>
      <c r="U22" s="64"/>
      <c r="V22" s="67">
        <f>SUM(G21,J21,M21,P21,S21,V21)</f>
        <v>0</v>
      </c>
    </row>
    <row r="23" spans="1:22" ht="15.75" customHeight="1" x14ac:dyDescent="0.5">
      <c r="A23" s="46" t="s">
        <v>44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65"/>
      <c r="U23" s="65"/>
      <c r="V23" s="68"/>
    </row>
    <row r="24" spans="1:22" ht="15.75" x14ac:dyDescent="0.5">
      <c r="A24" s="46" t="s">
        <v>54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66"/>
      <c r="U24" s="66"/>
      <c r="V24" s="69"/>
    </row>
    <row r="25" spans="1:22" ht="15.75" x14ac:dyDescent="0.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</row>
    <row r="26" spans="1:22" ht="21.4" thickBot="1" x14ac:dyDescent="0.5">
      <c r="A26" s="56" t="s">
        <v>36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8"/>
    </row>
    <row r="27" spans="1:22" ht="21.75" thickTop="1" thickBot="1" x14ac:dyDescent="0.5">
      <c r="A27" s="55" t="s">
        <v>15</v>
      </c>
      <c r="B27" s="55"/>
      <c r="C27" s="55"/>
      <c r="D27" s="55"/>
      <c r="E27" s="55"/>
      <c r="F27" s="55"/>
      <c r="G27" s="55"/>
      <c r="H27" s="51" t="s">
        <v>17</v>
      </c>
      <c r="I27" s="52"/>
      <c r="J27" s="52"/>
      <c r="K27" s="54" t="s">
        <v>23</v>
      </c>
      <c r="L27" s="55"/>
      <c r="M27" s="55"/>
      <c r="N27" s="51" t="s">
        <v>24</v>
      </c>
      <c r="O27" s="52"/>
      <c r="P27" s="52"/>
      <c r="Q27" s="54" t="s">
        <v>25</v>
      </c>
      <c r="R27" s="55"/>
      <c r="S27" s="55"/>
      <c r="T27" s="51" t="s">
        <v>27</v>
      </c>
      <c r="U27" s="52"/>
      <c r="V27" s="52"/>
    </row>
    <row r="28" spans="1:22" ht="18.75" thickTop="1" thickBot="1" x14ac:dyDescent="0.6">
      <c r="A28" s="11" t="s">
        <v>47</v>
      </c>
      <c r="B28" s="7" t="s">
        <v>3</v>
      </c>
      <c r="C28" s="7" t="s">
        <v>2</v>
      </c>
      <c r="D28" s="7" t="s">
        <v>48</v>
      </c>
      <c r="E28" s="7" t="s">
        <v>16</v>
      </c>
      <c r="F28" s="7" t="s">
        <v>5</v>
      </c>
      <c r="G28" s="13" t="s">
        <v>6</v>
      </c>
      <c r="H28" s="14" t="s">
        <v>16</v>
      </c>
      <c r="I28" s="7" t="s">
        <v>5</v>
      </c>
      <c r="J28" s="7" t="s">
        <v>6</v>
      </c>
      <c r="K28" s="14" t="s">
        <v>16</v>
      </c>
      <c r="L28" s="7" t="s">
        <v>5</v>
      </c>
      <c r="M28" s="7" t="s">
        <v>6</v>
      </c>
      <c r="N28" s="14" t="s">
        <v>16</v>
      </c>
      <c r="O28" s="7" t="s">
        <v>5</v>
      </c>
      <c r="P28" s="7" t="s">
        <v>6</v>
      </c>
      <c r="Q28" s="14" t="s">
        <v>16</v>
      </c>
      <c r="R28" s="7" t="s">
        <v>5</v>
      </c>
      <c r="S28" s="7" t="s">
        <v>6</v>
      </c>
      <c r="T28" s="14" t="s">
        <v>16</v>
      </c>
      <c r="U28" s="7" t="s">
        <v>5</v>
      </c>
      <c r="V28" s="7" t="s">
        <v>6</v>
      </c>
    </row>
    <row r="29" spans="1:22" ht="47.65" thickTop="1" x14ac:dyDescent="0.45">
      <c r="A29" s="8" t="s">
        <v>50</v>
      </c>
      <c r="B29" s="2" t="s">
        <v>77</v>
      </c>
      <c r="C29" s="2">
        <v>4</v>
      </c>
      <c r="D29" s="2">
        <v>90</v>
      </c>
      <c r="E29" s="2">
        <v>2</v>
      </c>
      <c r="F29" s="29">
        <v>0</v>
      </c>
      <c r="G29" s="17">
        <f>C29*D29*E29*F29</f>
        <v>0</v>
      </c>
      <c r="H29" s="15">
        <v>3</v>
      </c>
      <c r="I29" s="29">
        <v>0</v>
      </c>
      <c r="J29" s="17">
        <f>C29*D29*H29*I29</f>
        <v>0</v>
      </c>
      <c r="K29" s="15">
        <v>3</v>
      </c>
      <c r="L29" s="29">
        <v>0</v>
      </c>
      <c r="M29" s="17">
        <f>C29*D29*K29*L29</f>
        <v>0</v>
      </c>
      <c r="N29" s="15">
        <v>3</v>
      </c>
      <c r="O29" s="29">
        <v>0</v>
      </c>
      <c r="P29" s="17">
        <f>C29*D29*N29*O29</f>
        <v>0</v>
      </c>
      <c r="Q29" s="15">
        <v>3</v>
      </c>
      <c r="R29" s="29">
        <v>0</v>
      </c>
      <c r="S29" s="17">
        <f>C29*D29*Q29*R29</f>
        <v>0</v>
      </c>
      <c r="T29" s="15">
        <v>1</v>
      </c>
      <c r="U29" s="29">
        <v>0</v>
      </c>
      <c r="V29" s="17">
        <f>C29*D29*T29*U29</f>
        <v>0</v>
      </c>
    </row>
    <row r="30" spans="1:22" ht="47.25" x14ac:dyDescent="0.45">
      <c r="A30" s="8" t="s">
        <v>51</v>
      </c>
      <c r="B30" s="2" t="s">
        <v>77</v>
      </c>
      <c r="C30" s="2">
        <v>4</v>
      </c>
      <c r="D30" s="2">
        <v>90</v>
      </c>
      <c r="E30" s="2">
        <v>2</v>
      </c>
      <c r="F30" s="29">
        <v>0</v>
      </c>
      <c r="G30" s="17">
        <f t="shared" ref="G30:G32" si="12">C30*D30*E30*F30</f>
        <v>0</v>
      </c>
      <c r="H30" s="16">
        <v>3</v>
      </c>
      <c r="I30" s="29">
        <v>0</v>
      </c>
      <c r="J30" s="17">
        <f t="shared" ref="J30:J32" si="13">C30*D30*H30*I30</f>
        <v>0</v>
      </c>
      <c r="K30" s="16">
        <v>3</v>
      </c>
      <c r="L30" s="29">
        <v>0</v>
      </c>
      <c r="M30" s="17">
        <f t="shared" ref="M30:M32" si="14">C30*D30*K30*L30</f>
        <v>0</v>
      </c>
      <c r="N30" s="16">
        <v>3</v>
      </c>
      <c r="O30" s="29">
        <v>0</v>
      </c>
      <c r="P30" s="17">
        <f t="shared" ref="P30:P32" si="15">C30*D30*N30*O30</f>
        <v>0</v>
      </c>
      <c r="Q30" s="16">
        <v>3</v>
      </c>
      <c r="R30" s="29">
        <v>0</v>
      </c>
      <c r="S30" s="17">
        <f t="shared" ref="S30:S32" si="16">C30*D30*Q30*R30</f>
        <v>0</v>
      </c>
      <c r="T30" s="16">
        <v>1</v>
      </c>
      <c r="U30" s="29">
        <v>0</v>
      </c>
      <c r="V30" s="17">
        <f t="shared" ref="V30:V32" si="17">C30*D30*T30*U30</f>
        <v>0</v>
      </c>
    </row>
    <row r="31" spans="1:22" ht="47.25" x14ac:dyDescent="0.45">
      <c r="A31" s="8" t="s">
        <v>52</v>
      </c>
      <c r="B31" s="2" t="s">
        <v>77</v>
      </c>
      <c r="C31" s="2">
        <v>4</v>
      </c>
      <c r="D31" s="2">
        <v>90</v>
      </c>
      <c r="E31" s="2">
        <v>2</v>
      </c>
      <c r="F31" s="29">
        <v>0</v>
      </c>
      <c r="G31" s="17">
        <f t="shared" si="12"/>
        <v>0</v>
      </c>
      <c r="H31" s="16">
        <v>3</v>
      </c>
      <c r="I31" s="29">
        <v>0</v>
      </c>
      <c r="J31" s="17">
        <f t="shared" si="13"/>
        <v>0</v>
      </c>
      <c r="K31" s="16">
        <v>3</v>
      </c>
      <c r="L31" s="29">
        <v>0</v>
      </c>
      <c r="M31" s="17">
        <f t="shared" si="14"/>
        <v>0</v>
      </c>
      <c r="N31" s="16">
        <v>3</v>
      </c>
      <c r="O31" s="29">
        <v>0</v>
      </c>
      <c r="P31" s="17">
        <f t="shared" si="15"/>
        <v>0</v>
      </c>
      <c r="Q31" s="16">
        <v>3</v>
      </c>
      <c r="R31" s="29">
        <v>0</v>
      </c>
      <c r="S31" s="17">
        <f t="shared" si="16"/>
        <v>0</v>
      </c>
      <c r="T31" s="15">
        <v>1</v>
      </c>
      <c r="U31" s="29">
        <v>0</v>
      </c>
      <c r="V31" s="17">
        <f t="shared" si="17"/>
        <v>0</v>
      </c>
    </row>
    <row r="32" spans="1:22" ht="47.25" x14ac:dyDescent="0.45">
      <c r="A32" s="8" t="s">
        <v>53</v>
      </c>
      <c r="B32" s="2" t="s">
        <v>77</v>
      </c>
      <c r="C32" s="2">
        <v>4</v>
      </c>
      <c r="D32" s="2">
        <v>90</v>
      </c>
      <c r="E32" s="2">
        <v>2</v>
      </c>
      <c r="F32" s="29">
        <v>0</v>
      </c>
      <c r="G32" s="17">
        <f t="shared" si="12"/>
        <v>0</v>
      </c>
      <c r="H32" s="16">
        <v>3</v>
      </c>
      <c r="I32" s="29">
        <v>0</v>
      </c>
      <c r="J32" s="17">
        <f t="shared" si="13"/>
        <v>0</v>
      </c>
      <c r="K32" s="16">
        <v>3</v>
      </c>
      <c r="L32" s="29">
        <v>0</v>
      </c>
      <c r="M32" s="17">
        <f t="shared" si="14"/>
        <v>0</v>
      </c>
      <c r="N32" s="16">
        <v>3</v>
      </c>
      <c r="O32" s="29">
        <v>0</v>
      </c>
      <c r="P32" s="17">
        <f t="shared" si="15"/>
        <v>0</v>
      </c>
      <c r="Q32" s="16">
        <v>3</v>
      </c>
      <c r="R32" s="29">
        <v>0</v>
      </c>
      <c r="S32" s="17">
        <f t="shared" si="16"/>
        <v>0</v>
      </c>
      <c r="T32" s="16">
        <v>1</v>
      </c>
      <c r="U32" s="29">
        <v>0</v>
      </c>
      <c r="V32" s="17">
        <f t="shared" si="17"/>
        <v>0</v>
      </c>
    </row>
    <row r="33" spans="1:22" ht="15.75" customHeight="1" x14ac:dyDescent="0.45">
      <c r="A33" s="61" t="s">
        <v>18</v>
      </c>
      <c r="B33" s="62"/>
      <c r="C33" s="62"/>
      <c r="D33" s="62"/>
      <c r="E33" s="62"/>
      <c r="F33" s="50"/>
      <c r="G33" s="19">
        <f>SUM(G29:G32)</f>
        <v>0</v>
      </c>
      <c r="H33" s="47" t="s">
        <v>19</v>
      </c>
      <c r="I33" s="48"/>
      <c r="J33" s="20">
        <f>SUM(J29:J32)</f>
        <v>0</v>
      </c>
      <c r="K33" s="49" t="s">
        <v>20</v>
      </c>
      <c r="L33" s="50"/>
      <c r="M33" s="19">
        <f>SUM(M29:M32)</f>
        <v>0</v>
      </c>
      <c r="N33" s="47" t="s">
        <v>21</v>
      </c>
      <c r="O33" s="48"/>
      <c r="P33" s="20">
        <f>SUM(P29:P32)</f>
        <v>0</v>
      </c>
      <c r="Q33" s="49" t="s">
        <v>22</v>
      </c>
      <c r="R33" s="50"/>
      <c r="S33" s="19">
        <f>SUM(S29:S32)</f>
        <v>0</v>
      </c>
      <c r="T33" s="47" t="s">
        <v>26</v>
      </c>
      <c r="U33" s="48"/>
      <c r="V33" s="20">
        <f>SUM(V29:V32)</f>
        <v>0</v>
      </c>
    </row>
    <row r="34" spans="1:22" ht="15.75" customHeight="1" x14ac:dyDescent="0.45">
      <c r="A34" s="40" t="s">
        <v>49</v>
      </c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64" t="s">
        <v>32</v>
      </c>
      <c r="U34" s="64"/>
      <c r="V34" s="67">
        <f>SUM(G33,J33,M33,P33,S33,V33)</f>
        <v>0</v>
      </c>
    </row>
    <row r="35" spans="1:22" ht="15.75" customHeight="1" x14ac:dyDescent="0.5">
      <c r="A35" s="46" t="s">
        <v>44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65"/>
      <c r="U35" s="65"/>
      <c r="V35" s="68"/>
    </row>
    <row r="36" spans="1:22" ht="15.75" x14ac:dyDescent="0.5">
      <c r="A36" s="46" t="s">
        <v>54</v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66"/>
      <c r="U36" s="66"/>
      <c r="V36" s="69"/>
    </row>
  </sheetData>
  <mergeCells count="55">
    <mergeCell ref="A15:G15"/>
    <mergeCell ref="N9:O9"/>
    <mergeCell ref="A36:S36"/>
    <mergeCell ref="T10:U12"/>
    <mergeCell ref="V10:V12"/>
    <mergeCell ref="T22:U24"/>
    <mergeCell ref="V22:V24"/>
    <mergeCell ref="T34:U36"/>
    <mergeCell ref="V34:V36"/>
    <mergeCell ref="A10:S10"/>
    <mergeCell ref="A11:S11"/>
    <mergeCell ref="A14:V14"/>
    <mergeCell ref="A12:S12"/>
    <mergeCell ref="N15:P15"/>
    <mergeCell ref="Q15:S15"/>
    <mergeCell ref="T15:V15"/>
    <mergeCell ref="A21:F21"/>
    <mergeCell ref="H21:I21"/>
    <mergeCell ref="Q9:R9"/>
    <mergeCell ref="A1:V1"/>
    <mergeCell ref="A2:V2"/>
    <mergeCell ref="A3:G3"/>
    <mergeCell ref="H3:J3"/>
    <mergeCell ref="K3:M3"/>
    <mergeCell ref="N3:P3"/>
    <mergeCell ref="Q3:S3"/>
    <mergeCell ref="T3:V3"/>
    <mergeCell ref="H15:J15"/>
    <mergeCell ref="K15:M15"/>
    <mergeCell ref="T9:U9"/>
    <mergeCell ref="A9:F9"/>
    <mergeCell ref="H9:I9"/>
    <mergeCell ref="K9:L9"/>
    <mergeCell ref="Q27:S27"/>
    <mergeCell ref="T27:V27"/>
    <mergeCell ref="K21:L21"/>
    <mergeCell ref="N21:O21"/>
    <mergeCell ref="Q21:R21"/>
    <mergeCell ref="T21:U21"/>
    <mergeCell ref="T33:U33"/>
    <mergeCell ref="A22:S22"/>
    <mergeCell ref="A24:S24"/>
    <mergeCell ref="A35:S35"/>
    <mergeCell ref="A34:S34"/>
    <mergeCell ref="A33:F33"/>
    <mergeCell ref="H33:I33"/>
    <mergeCell ref="K33:L33"/>
    <mergeCell ref="N33:O33"/>
    <mergeCell ref="Q33:R33"/>
    <mergeCell ref="A23:S23"/>
    <mergeCell ref="A26:V26"/>
    <mergeCell ref="A27:G27"/>
    <mergeCell ref="H27:J27"/>
    <mergeCell ref="K27:M27"/>
    <mergeCell ref="N27:P27"/>
  </mergeCells>
  <pageMargins left="0.7" right="0.7" top="0.75" bottom="0.75" header="0.3" footer="0.3"/>
  <pageSetup orientation="portrait" r:id="rId1"/>
  <headerFooter>
    <oddHeader>&amp;C </oddHeader>
    <oddFooter>&amp;C 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DAC71-E5D7-4CA0-B51B-5BC07ED51ED2}">
  <sheetPr>
    <tabColor rgb="FFFFC000"/>
  </sheetPr>
  <dimension ref="A1:V39"/>
  <sheetViews>
    <sheetView workbookViewId="0">
      <selection sqref="A1:V1"/>
    </sheetView>
  </sheetViews>
  <sheetFormatPr defaultColWidth="9" defaultRowHeight="14.25" x14ac:dyDescent="0.45"/>
  <cols>
    <col min="1" max="1" width="40.59765625" style="12" customWidth="1"/>
    <col min="2" max="2" width="5.59765625" style="10" bestFit="1" customWidth="1"/>
    <col min="3" max="3" width="10.265625" style="10" bestFit="1" customWidth="1"/>
    <col min="4" max="4" width="12.59765625" style="10" bestFit="1" customWidth="1"/>
    <col min="5" max="5" width="10.265625" style="10" customWidth="1"/>
    <col min="6" max="7" width="15.59765625" style="6" customWidth="1"/>
    <col min="8" max="8" width="10" style="6" bestFit="1" customWidth="1"/>
    <col min="9" max="10" width="15.59765625" style="6" customWidth="1"/>
    <col min="11" max="11" width="9" style="6"/>
    <col min="12" max="13" width="15.59765625" style="6" customWidth="1"/>
    <col min="14" max="14" width="9" style="6"/>
    <col min="15" max="16" width="15.59765625" style="6" customWidth="1"/>
    <col min="17" max="17" width="9" style="6"/>
    <col min="18" max="19" width="15.59765625" style="6" customWidth="1"/>
    <col min="20" max="20" width="9" style="6"/>
    <col min="21" max="22" width="15.59765625" style="6" customWidth="1"/>
    <col min="23" max="16384" width="9" style="6"/>
  </cols>
  <sheetData>
    <row r="1" spans="1:22" ht="42.4" customHeight="1" x14ac:dyDescent="0.45">
      <c r="A1" s="63" t="s">
        <v>87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</row>
    <row r="2" spans="1:22" ht="21.4" thickBot="1" x14ac:dyDescent="0.5">
      <c r="A2" s="59" t="s">
        <v>29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</row>
    <row r="3" spans="1:22" ht="21.75" thickTop="1" thickBot="1" x14ac:dyDescent="0.5">
      <c r="A3" s="55" t="s">
        <v>15</v>
      </c>
      <c r="B3" s="55"/>
      <c r="C3" s="55"/>
      <c r="D3" s="55"/>
      <c r="E3" s="55"/>
      <c r="F3" s="55"/>
      <c r="G3" s="55"/>
      <c r="H3" s="51" t="s">
        <v>17</v>
      </c>
      <c r="I3" s="52"/>
      <c r="J3" s="52"/>
      <c r="K3" s="54" t="s">
        <v>23</v>
      </c>
      <c r="L3" s="55"/>
      <c r="M3" s="55"/>
      <c r="N3" s="51" t="s">
        <v>24</v>
      </c>
      <c r="O3" s="52"/>
      <c r="P3" s="52"/>
      <c r="Q3" s="54" t="s">
        <v>25</v>
      </c>
      <c r="R3" s="55"/>
      <c r="S3" s="55"/>
      <c r="T3" s="51" t="s">
        <v>27</v>
      </c>
      <c r="U3" s="52"/>
      <c r="V3" s="52"/>
    </row>
    <row r="4" spans="1:22" ht="18.75" thickTop="1" thickBot="1" x14ac:dyDescent="0.6">
      <c r="A4" s="11" t="s">
        <v>45</v>
      </c>
      <c r="B4" s="7" t="s">
        <v>3</v>
      </c>
      <c r="C4" s="7" t="s">
        <v>2</v>
      </c>
      <c r="D4" s="7" t="s">
        <v>56</v>
      </c>
      <c r="E4" s="7" t="s">
        <v>16</v>
      </c>
      <c r="F4" s="7" t="s">
        <v>5</v>
      </c>
      <c r="G4" s="13" t="s">
        <v>6</v>
      </c>
      <c r="H4" s="14" t="s">
        <v>16</v>
      </c>
      <c r="I4" s="7" t="s">
        <v>5</v>
      </c>
      <c r="J4" s="7" t="s">
        <v>6</v>
      </c>
      <c r="K4" s="14" t="s">
        <v>16</v>
      </c>
      <c r="L4" s="7" t="s">
        <v>5</v>
      </c>
      <c r="M4" s="7" t="s">
        <v>6</v>
      </c>
      <c r="N4" s="14" t="s">
        <v>16</v>
      </c>
      <c r="O4" s="7" t="s">
        <v>5</v>
      </c>
      <c r="P4" s="7" t="s">
        <v>6</v>
      </c>
      <c r="Q4" s="14" t="s">
        <v>16</v>
      </c>
      <c r="R4" s="7" t="s">
        <v>5</v>
      </c>
      <c r="S4" s="7" t="s">
        <v>6</v>
      </c>
      <c r="T4" s="14" t="s">
        <v>16</v>
      </c>
      <c r="U4" s="7" t="s">
        <v>5</v>
      </c>
      <c r="V4" s="7" t="s">
        <v>6</v>
      </c>
    </row>
    <row r="5" spans="1:22" ht="31.9" thickTop="1" x14ac:dyDescent="0.45">
      <c r="A5" s="8" t="s">
        <v>41</v>
      </c>
      <c r="B5" s="2" t="s">
        <v>39</v>
      </c>
      <c r="C5" s="2">
        <v>210</v>
      </c>
      <c r="D5" s="2" t="s">
        <v>0</v>
      </c>
      <c r="E5" s="2">
        <v>2</v>
      </c>
      <c r="F5" s="29">
        <v>0</v>
      </c>
      <c r="G5" s="17">
        <f>C5*E5*F5</f>
        <v>0</v>
      </c>
      <c r="H5" s="15">
        <v>3</v>
      </c>
      <c r="I5" s="29">
        <v>0</v>
      </c>
      <c r="J5" s="17">
        <f>C5*H5*I5</f>
        <v>0</v>
      </c>
      <c r="K5" s="15">
        <v>3</v>
      </c>
      <c r="L5" s="29">
        <v>0</v>
      </c>
      <c r="M5" s="17">
        <f>C5*K5*L5</f>
        <v>0</v>
      </c>
      <c r="N5" s="15">
        <v>3</v>
      </c>
      <c r="O5" s="29">
        <v>0</v>
      </c>
      <c r="P5" s="17">
        <f>C5*N5*O5</f>
        <v>0</v>
      </c>
      <c r="Q5" s="15">
        <v>3</v>
      </c>
      <c r="R5" s="29">
        <v>0</v>
      </c>
      <c r="S5" s="17">
        <f>C5*Q5*R5</f>
        <v>0</v>
      </c>
      <c r="T5" s="15">
        <v>1</v>
      </c>
      <c r="U5" s="29">
        <v>0</v>
      </c>
      <c r="V5" s="17">
        <f>C5*T5*U5</f>
        <v>0</v>
      </c>
    </row>
    <row r="6" spans="1:22" ht="31.5" x14ac:dyDescent="0.45">
      <c r="A6" s="9" t="s">
        <v>81</v>
      </c>
      <c r="B6" s="2" t="s">
        <v>39</v>
      </c>
      <c r="C6" s="2">
        <v>1</v>
      </c>
      <c r="D6" s="2">
        <v>4</v>
      </c>
      <c r="E6" s="2">
        <v>2</v>
      </c>
      <c r="F6" s="30">
        <v>0</v>
      </c>
      <c r="G6" s="17">
        <f>C6*D6*E6*F6</f>
        <v>0</v>
      </c>
      <c r="H6" s="16">
        <v>3</v>
      </c>
      <c r="I6" s="30">
        <v>0</v>
      </c>
      <c r="J6" s="17">
        <f>C6*D6*H6*I6</f>
        <v>0</v>
      </c>
      <c r="K6" s="16">
        <v>3</v>
      </c>
      <c r="L6" s="30">
        <v>0</v>
      </c>
      <c r="M6" s="17">
        <f>C6*G6*K6*L6</f>
        <v>0</v>
      </c>
      <c r="N6" s="16">
        <v>3</v>
      </c>
      <c r="O6" s="30">
        <v>0</v>
      </c>
      <c r="P6" s="17">
        <f>C6*J6*N6*O6</f>
        <v>0</v>
      </c>
      <c r="Q6" s="16">
        <v>3</v>
      </c>
      <c r="R6" s="30">
        <v>0</v>
      </c>
      <c r="S6" s="17">
        <f t="shared" ref="S6:S9" si="0">C6*Q6*R6</f>
        <v>0</v>
      </c>
      <c r="T6" s="16">
        <v>1</v>
      </c>
      <c r="U6" s="30">
        <v>0</v>
      </c>
      <c r="V6" s="17">
        <f t="shared" ref="V6:V9" si="1">C6*T6*U6</f>
        <v>0</v>
      </c>
    </row>
    <row r="7" spans="1:22" ht="31.5" x14ac:dyDescent="0.45">
      <c r="A7" s="9" t="s">
        <v>42</v>
      </c>
      <c r="B7" s="2" t="s">
        <v>39</v>
      </c>
      <c r="C7" s="2">
        <v>3</v>
      </c>
      <c r="D7" s="2">
        <v>4</v>
      </c>
      <c r="E7" s="2">
        <v>2</v>
      </c>
      <c r="F7" s="30">
        <v>0</v>
      </c>
      <c r="G7" s="17">
        <f t="shared" ref="G7:G9" si="2">C7*D7*E7*F7</f>
        <v>0</v>
      </c>
      <c r="H7" s="16">
        <v>3</v>
      </c>
      <c r="I7" s="30">
        <v>0</v>
      </c>
      <c r="J7" s="17">
        <f t="shared" ref="J7:J9" si="3">C7*D7*H7*I7</f>
        <v>0</v>
      </c>
      <c r="K7" s="16">
        <v>3</v>
      </c>
      <c r="L7" s="30">
        <v>0</v>
      </c>
      <c r="M7" s="17">
        <f>C7*G7*K7*L7</f>
        <v>0</v>
      </c>
      <c r="N7" s="16">
        <v>3</v>
      </c>
      <c r="O7" s="30">
        <v>0</v>
      </c>
      <c r="P7" s="17">
        <f>C7*J7*N7*O7</f>
        <v>0</v>
      </c>
      <c r="Q7" s="16">
        <v>3</v>
      </c>
      <c r="R7" s="30">
        <v>0</v>
      </c>
      <c r="S7" s="17">
        <f t="shared" si="0"/>
        <v>0</v>
      </c>
      <c r="T7" s="16">
        <v>1</v>
      </c>
      <c r="U7" s="30">
        <v>0</v>
      </c>
      <c r="V7" s="17">
        <f t="shared" si="1"/>
        <v>0</v>
      </c>
    </row>
    <row r="8" spans="1:22" ht="31.5" x14ac:dyDescent="0.45">
      <c r="A8" s="9" t="s">
        <v>43</v>
      </c>
      <c r="B8" s="2" t="s">
        <v>39</v>
      </c>
      <c r="C8" s="2">
        <v>15</v>
      </c>
      <c r="D8" s="2">
        <v>4</v>
      </c>
      <c r="E8" s="2">
        <v>2</v>
      </c>
      <c r="F8" s="30">
        <v>0</v>
      </c>
      <c r="G8" s="17">
        <f t="shared" si="2"/>
        <v>0</v>
      </c>
      <c r="H8" s="16">
        <v>3</v>
      </c>
      <c r="I8" s="30">
        <v>0</v>
      </c>
      <c r="J8" s="17">
        <f t="shared" si="3"/>
        <v>0</v>
      </c>
      <c r="K8" s="16">
        <v>3</v>
      </c>
      <c r="L8" s="30">
        <v>0</v>
      </c>
      <c r="M8" s="17">
        <f>C8*G8*K8*L8</f>
        <v>0</v>
      </c>
      <c r="N8" s="16">
        <v>3</v>
      </c>
      <c r="O8" s="30">
        <v>0</v>
      </c>
      <c r="P8" s="17">
        <f>C8*J8*N8*O8</f>
        <v>0</v>
      </c>
      <c r="Q8" s="16">
        <v>3</v>
      </c>
      <c r="R8" s="30">
        <v>0</v>
      </c>
      <c r="S8" s="17">
        <f t="shared" si="0"/>
        <v>0</v>
      </c>
      <c r="T8" s="16">
        <v>1</v>
      </c>
      <c r="U8" s="30">
        <v>0</v>
      </c>
      <c r="V8" s="17">
        <f t="shared" si="1"/>
        <v>0</v>
      </c>
    </row>
    <row r="9" spans="1:22" ht="31.5" x14ac:dyDescent="0.45">
      <c r="A9" s="9" t="s">
        <v>82</v>
      </c>
      <c r="B9" s="2" t="s">
        <v>38</v>
      </c>
      <c r="C9" s="2">
        <v>1</v>
      </c>
      <c r="D9" s="2">
        <v>5</v>
      </c>
      <c r="E9" s="2">
        <v>2</v>
      </c>
      <c r="F9" s="30">
        <v>0</v>
      </c>
      <c r="G9" s="17">
        <f t="shared" si="2"/>
        <v>0</v>
      </c>
      <c r="H9" s="16">
        <v>3</v>
      </c>
      <c r="I9" s="30">
        <v>0</v>
      </c>
      <c r="J9" s="17">
        <f t="shared" si="3"/>
        <v>0</v>
      </c>
      <c r="K9" s="16">
        <v>3</v>
      </c>
      <c r="L9" s="30">
        <v>0</v>
      </c>
      <c r="M9" s="17">
        <f>C9*G9*K9*L9</f>
        <v>0</v>
      </c>
      <c r="N9" s="16">
        <v>3</v>
      </c>
      <c r="O9" s="30">
        <v>0</v>
      </c>
      <c r="P9" s="17">
        <f>C9*J9*N9*O9</f>
        <v>0</v>
      </c>
      <c r="Q9" s="16">
        <v>3</v>
      </c>
      <c r="R9" s="30">
        <v>0</v>
      </c>
      <c r="S9" s="17">
        <f t="shared" si="0"/>
        <v>0</v>
      </c>
      <c r="T9" s="16">
        <v>1</v>
      </c>
      <c r="U9" s="30">
        <v>0</v>
      </c>
      <c r="V9" s="17">
        <f t="shared" si="1"/>
        <v>0</v>
      </c>
    </row>
    <row r="10" spans="1:22" ht="31.5" x14ac:dyDescent="0.45">
      <c r="A10" s="9" t="s">
        <v>37</v>
      </c>
      <c r="B10" s="2" t="s">
        <v>40</v>
      </c>
      <c r="C10" s="2">
        <v>1</v>
      </c>
      <c r="D10" s="2">
        <v>365</v>
      </c>
      <c r="E10" s="2" t="s">
        <v>0</v>
      </c>
      <c r="F10" s="30">
        <v>0</v>
      </c>
      <c r="G10" s="17">
        <f>C10*D10*F10</f>
        <v>0</v>
      </c>
      <c r="H10" s="16" t="s">
        <v>0</v>
      </c>
      <c r="I10" s="30">
        <v>0</v>
      </c>
      <c r="J10" s="17">
        <f>C10*D10*I10</f>
        <v>0</v>
      </c>
      <c r="K10" s="16" t="s">
        <v>0</v>
      </c>
      <c r="L10" s="30">
        <v>0</v>
      </c>
      <c r="M10" s="17">
        <f>C10*D10*L10</f>
        <v>0</v>
      </c>
      <c r="N10" s="16" t="s">
        <v>0</v>
      </c>
      <c r="O10" s="30">
        <v>0</v>
      </c>
      <c r="P10" s="17">
        <f>C10*D10*O10</f>
        <v>0</v>
      </c>
      <c r="Q10" s="16" t="s">
        <v>0</v>
      </c>
      <c r="R10" s="30">
        <v>0</v>
      </c>
      <c r="S10" s="17">
        <f>C10*D10*R10</f>
        <v>0</v>
      </c>
      <c r="T10" s="16" t="s">
        <v>0</v>
      </c>
      <c r="U10" s="30">
        <v>0</v>
      </c>
      <c r="V10" s="17">
        <f>C10*D10*U10</f>
        <v>0</v>
      </c>
    </row>
    <row r="11" spans="1:22" ht="15.75" customHeight="1" x14ac:dyDescent="0.45">
      <c r="A11" s="61" t="s">
        <v>18</v>
      </c>
      <c r="B11" s="62"/>
      <c r="C11" s="62"/>
      <c r="D11" s="62"/>
      <c r="E11" s="62"/>
      <c r="F11" s="50"/>
      <c r="G11" s="19">
        <f>SUM(G5:G10)</f>
        <v>0</v>
      </c>
      <c r="H11" s="47" t="s">
        <v>19</v>
      </c>
      <c r="I11" s="48"/>
      <c r="J11" s="20">
        <f>SUM(J5:J10)</f>
        <v>0</v>
      </c>
      <c r="K11" s="49" t="s">
        <v>20</v>
      </c>
      <c r="L11" s="50"/>
      <c r="M11" s="19">
        <f>SUM(M5:M10)</f>
        <v>0</v>
      </c>
      <c r="N11" s="47" t="s">
        <v>21</v>
      </c>
      <c r="O11" s="48"/>
      <c r="P11" s="20">
        <f>SUM(P5:P10)</f>
        <v>0</v>
      </c>
      <c r="Q11" s="49" t="s">
        <v>22</v>
      </c>
      <c r="R11" s="50"/>
      <c r="S11" s="19">
        <f>SUM(S5:S10)</f>
        <v>0</v>
      </c>
      <c r="T11" s="47" t="s">
        <v>26</v>
      </c>
      <c r="U11" s="48"/>
      <c r="V11" s="20">
        <f>SUM(V5:V10)</f>
        <v>0</v>
      </c>
    </row>
    <row r="12" spans="1:22" ht="15.75" customHeight="1" x14ac:dyDescent="0.45">
      <c r="A12" s="40" t="s">
        <v>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2" t="s">
        <v>34</v>
      </c>
      <c r="U12" s="43"/>
      <c r="V12" s="38">
        <f>SUM(G11,J11,M11,P11,S11,V11)</f>
        <v>0</v>
      </c>
    </row>
    <row r="13" spans="1:22" ht="15.75" customHeight="1" x14ac:dyDescent="0.5">
      <c r="A13" s="46" t="s">
        <v>55</v>
      </c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4"/>
      <c r="U13" s="45"/>
      <c r="V13" s="39"/>
    </row>
    <row r="14" spans="1:22" ht="15.75" customHeight="1" x14ac:dyDescent="0.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6"/>
      <c r="U14" s="26"/>
      <c r="V14" s="27"/>
    </row>
    <row r="15" spans="1:22" ht="21.4" thickBot="1" x14ac:dyDescent="0.5">
      <c r="A15" s="56" t="s">
        <v>30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8"/>
    </row>
    <row r="16" spans="1:22" ht="21.75" thickTop="1" thickBot="1" x14ac:dyDescent="0.5">
      <c r="A16" s="60" t="s">
        <v>15</v>
      </c>
      <c r="B16" s="55"/>
      <c r="C16" s="55"/>
      <c r="D16" s="55"/>
      <c r="E16" s="55"/>
      <c r="F16" s="55"/>
      <c r="G16" s="55"/>
      <c r="H16" s="51" t="s">
        <v>17</v>
      </c>
      <c r="I16" s="52"/>
      <c r="J16" s="52"/>
      <c r="K16" s="54" t="s">
        <v>23</v>
      </c>
      <c r="L16" s="55"/>
      <c r="M16" s="55"/>
      <c r="N16" s="51" t="s">
        <v>24</v>
      </c>
      <c r="O16" s="52"/>
      <c r="P16" s="52"/>
      <c r="Q16" s="54" t="s">
        <v>25</v>
      </c>
      <c r="R16" s="55"/>
      <c r="S16" s="55"/>
      <c r="T16" s="51" t="s">
        <v>27</v>
      </c>
      <c r="U16" s="52"/>
      <c r="V16" s="53"/>
    </row>
    <row r="17" spans="1:22" ht="18.75" thickTop="1" thickBot="1" x14ac:dyDescent="0.6">
      <c r="A17" s="11" t="s">
        <v>45</v>
      </c>
      <c r="B17" s="7" t="s">
        <v>3</v>
      </c>
      <c r="C17" s="7" t="s">
        <v>2</v>
      </c>
      <c r="D17" s="7" t="s">
        <v>56</v>
      </c>
      <c r="E17" s="7" t="s">
        <v>16</v>
      </c>
      <c r="F17" s="7" t="s">
        <v>5</v>
      </c>
      <c r="G17" s="13" t="s">
        <v>6</v>
      </c>
      <c r="H17" s="14" t="s">
        <v>16</v>
      </c>
      <c r="I17" s="7" t="s">
        <v>5</v>
      </c>
      <c r="J17" s="7" t="s">
        <v>6</v>
      </c>
      <c r="K17" s="14" t="s">
        <v>16</v>
      </c>
      <c r="L17" s="7" t="s">
        <v>5</v>
      </c>
      <c r="M17" s="7" t="s">
        <v>6</v>
      </c>
      <c r="N17" s="14" t="s">
        <v>16</v>
      </c>
      <c r="O17" s="7" t="s">
        <v>5</v>
      </c>
      <c r="P17" s="7" t="s">
        <v>6</v>
      </c>
      <c r="Q17" s="14" t="s">
        <v>16</v>
      </c>
      <c r="R17" s="7" t="s">
        <v>5</v>
      </c>
      <c r="S17" s="7" t="s">
        <v>6</v>
      </c>
      <c r="T17" s="14" t="s">
        <v>16</v>
      </c>
      <c r="U17" s="7" t="s">
        <v>5</v>
      </c>
      <c r="V17" s="7" t="s">
        <v>6</v>
      </c>
    </row>
    <row r="18" spans="1:22" ht="31.9" thickTop="1" x14ac:dyDescent="0.45">
      <c r="A18" s="8" t="s">
        <v>41</v>
      </c>
      <c r="B18" s="2" t="s">
        <v>39</v>
      </c>
      <c r="C18" s="2">
        <v>210</v>
      </c>
      <c r="D18" s="2" t="s">
        <v>0</v>
      </c>
      <c r="E18" s="2">
        <v>2</v>
      </c>
      <c r="F18" s="29">
        <v>0</v>
      </c>
      <c r="G18" s="17">
        <f>C18*E18*F18</f>
        <v>0</v>
      </c>
      <c r="H18" s="15">
        <v>3</v>
      </c>
      <c r="I18" s="29">
        <v>0</v>
      </c>
      <c r="J18" s="17">
        <f>C18*H18*I18</f>
        <v>0</v>
      </c>
      <c r="K18" s="15">
        <v>3</v>
      </c>
      <c r="L18" s="29">
        <v>0</v>
      </c>
      <c r="M18" s="17">
        <f>C18*K18*L18</f>
        <v>0</v>
      </c>
      <c r="N18" s="15">
        <v>3</v>
      </c>
      <c r="O18" s="29">
        <v>0</v>
      </c>
      <c r="P18" s="17">
        <f>C18*N18*O18</f>
        <v>0</v>
      </c>
      <c r="Q18" s="15">
        <v>3</v>
      </c>
      <c r="R18" s="29">
        <v>0</v>
      </c>
      <c r="S18" s="17">
        <f>C18*Q18*R18</f>
        <v>0</v>
      </c>
      <c r="T18" s="15">
        <v>1</v>
      </c>
      <c r="U18" s="29">
        <v>0</v>
      </c>
      <c r="V18" s="17">
        <f>C18*T18*U18</f>
        <v>0</v>
      </c>
    </row>
    <row r="19" spans="1:22" ht="31.5" x14ac:dyDescent="0.45">
      <c r="A19" s="9" t="s">
        <v>81</v>
      </c>
      <c r="B19" s="2" t="s">
        <v>39</v>
      </c>
      <c r="C19" s="2">
        <v>1</v>
      </c>
      <c r="D19" s="2">
        <v>4</v>
      </c>
      <c r="E19" s="2">
        <v>2</v>
      </c>
      <c r="F19" s="30">
        <v>0</v>
      </c>
      <c r="G19" s="17">
        <f>C19*D19*E19*F19</f>
        <v>0</v>
      </c>
      <c r="H19" s="16">
        <v>3</v>
      </c>
      <c r="I19" s="30">
        <v>0</v>
      </c>
      <c r="J19" s="17">
        <f>C19*D19*H19*I19</f>
        <v>0</v>
      </c>
      <c r="K19" s="16">
        <v>3</v>
      </c>
      <c r="L19" s="30">
        <v>0</v>
      </c>
      <c r="M19" s="17">
        <f>C19*G19*K19*L19</f>
        <v>0</v>
      </c>
      <c r="N19" s="16">
        <v>3</v>
      </c>
      <c r="O19" s="30">
        <v>0</v>
      </c>
      <c r="P19" s="17">
        <f>C19*J19*N19*O19</f>
        <v>0</v>
      </c>
      <c r="Q19" s="16">
        <v>3</v>
      </c>
      <c r="R19" s="30">
        <v>0</v>
      </c>
      <c r="S19" s="17">
        <f t="shared" ref="S19:S22" si="4">C19*Q19*R19</f>
        <v>0</v>
      </c>
      <c r="T19" s="16">
        <v>1</v>
      </c>
      <c r="U19" s="30">
        <v>0</v>
      </c>
      <c r="V19" s="17">
        <f t="shared" ref="V19:V22" si="5">C19*T19*U19</f>
        <v>0</v>
      </c>
    </row>
    <row r="20" spans="1:22" ht="31.5" x14ac:dyDescent="0.45">
      <c r="A20" s="9" t="s">
        <v>42</v>
      </c>
      <c r="B20" s="2" t="s">
        <v>39</v>
      </c>
      <c r="C20" s="2">
        <v>3</v>
      </c>
      <c r="D20" s="2">
        <v>4</v>
      </c>
      <c r="E20" s="2">
        <v>2</v>
      </c>
      <c r="F20" s="30">
        <v>0</v>
      </c>
      <c r="G20" s="17">
        <f t="shared" ref="G20:G22" si="6">C20*D20*E20*F20</f>
        <v>0</v>
      </c>
      <c r="H20" s="16">
        <v>3</v>
      </c>
      <c r="I20" s="30">
        <v>0</v>
      </c>
      <c r="J20" s="17">
        <f t="shared" ref="J20:J22" si="7">C20*D20*H20*I20</f>
        <v>0</v>
      </c>
      <c r="K20" s="16">
        <v>3</v>
      </c>
      <c r="L20" s="30">
        <v>0</v>
      </c>
      <c r="M20" s="17">
        <f>C20*G20*K20*L20</f>
        <v>0</v>
      </c>
      <c r="N20" s="16">
        <v>3</v>
      </c>
      <c r="O20" s="30">
        <v>0</v>
      </c>
      <c r="P20" s="17">
        <f>C20*J20*N20*O20</f>
        <v>0</v>
      </c>
      <c r="Q20" s="16">
        <v>3</v>
      </c>
      <c r="R20" s="30">
        <v>0</v>
      </c>
      <c r="S20" s="17">
        <f t="shared" si="4"/>
        <v>0</v>
      </c>
      <c r="T20" s="16">
        <v>1</v>
      </c>
      <c r="U20" s="30">
        <v>0</v>
      </c>
      <c r="V20" s="17">
        <f t="shared" si="5"/>
        <v>0</v>
      </c>
    </row>
    <row r="21" spans="1:22" ht="31.5" x14ac:dyDescent="0.45">
      <c r="A21" s="9" t="s">
        <v>43</v>
      </c>
      <c r="B21" s="2" t="s">
        <v>39</v>
      </c>
      <c r="C21" s="2">
        <v>15</v>
      </c>
      <c r="D21" s="2">
        <v>4</v>
      </c>
      <c r="E21" s="2">
        <v>2</v>
      </c>
      <c r="F21" s="30">
        <v>0</v>
      </c>
      <c r="G21" s="17">
        <f t="shared" si="6"/>
        <v>0</v>
      </c>
      <c r="H21" s="16">
        <v>3</v>
      </c>
      <c r="I21" s="30">
        <v>0</v>
      </c>
      <c r="J21" s="17">
        <f t="shared" si="7"/>
        <v>0</v>
      </c>
      <c r="K21" s="16">
        <v>3</v>
      </c>
      <c r="L21" s="30">
        <v>0</v>
      </c>
      <c r="M21" s="17">
        <f>C21*G21*K21*L21</f>
        <v>0</v>
      </c>
      <c r="N21" s="16">
        <v>3</v>
      </c>
      <c r="O21" s="30">
        <v>0</v>
      </c>
      <c r="P21" s="17">
        <f>C21*J21*N21*O21</f>
        <v>0</v>
      </c>
      <c r="Q21" s="16">
        <v>3</v>
      </c>
      <c r="R21" s="30">
        <v>0</v>
      </c>
      <c r="S21" s="17">
        <f t="shared" si="4"/>
        <v>0</v>
      </c>
      <c r="T21" s="16">
        <v>1</v>
      </c>
      <c r="U21" s="30">
        <v>0</v>
      </c>
      <c r="V21" s="17">
        <f t="shared" si="5"/>
        <v>0</v>
      </c>
    </row>
    <row r="22" spans="1:22" ht="31.5" x14ac:dyDescent="0.45">
      <c r="A22" s="9" t="s">
        <v>82</v>
      </c>
      <c r="B22" s="2" t="s">
        <v>38</v>
      </c>
      <c r="C22" s="2">
        <v>1</v>
      </c>
      <c r="D22" s="2">
        <v>5</v>
      </c>
      <c r="E22" s="2">
        <v>2</v>
      </c>
      <c r="F22" s="30">
        <v>0</v>
      </c>
      <c r="G22" s="17">
        <f t="shared" si="6"/>
        <v>0</v>
      </c>
      <c r="H22" s="16">
        <v>3</v>
      </c>
      <c r="I22" s="30">
        <v>0</v>
      </c>
      <c r="J22" s="17">
        <f t="shared" si="7"/>
        <v>0</v>
      </c>
      <c r="K22" s="16">
        <v>3</v>
      </c>
      <c r="L22" s="30">
        <v>0</v>
      </c>
      <c r="M22" s="17">
        <f>C22*G22*K22*L22</f>
        <v>0</v>
      </c>
      <c r="N22" s="16">
        <v>3</v>
      </c>
      <c r="O22" s="30">
        <v>0</v>
      </c>
      <c r="P22" s="17">
        <f>C22*J22*N22*O22</f>
        <v>0</v>
      </c>
      <c r="Q22" s="16">
        <v>3</v>
      </c>
      <c r="R22" s="30">
        <v>0</v>
      </c>
      <c r="S22" s="17">
        <f t="shared" si="4"/>
        <v>0</v>
      </c>
      <c r="T22" s="16">
        <v>1</v>
      </c>
      <c r="U22" s="30">
        <v>0</v>
      </c>
      <c r="V22" s="17">
        <f t="shared" si="5"/>
        <v>0</v>
      </c>
    </row>
    <row r="23" spans="1:22" ht="31.5" x14ac:dyDescent="0.45">
      <c r="A23" s="9" t="s">
        <v>37</v>
      </c>
      <c r="B23" s="2" t="s">
        <v>40</v>
      </c>
      <c r="C23" s="2">
        <v>1</v>
      </c>
      <c r="D23" s="2">
        <v>365</v>
      </c>
      <c r="E23" s="2" t="s">
        <v>0</v>
      </c>
      <c r="F23" s="30">
        <v>0</v>
      </c>
      <c r="G23" s="17">
        <f>C23*D23*F23</f>
        <v>0</v>
      </c>
      <c r="H23" s="16" t="s">
        <v>0</v>
      </c>
      <c r="I23" s="30">
        <v>0</v>
      </c>
      <c r="J23" s="17">
        <f>C23*D23*I23</f>
        <v>0</v>
      </c>
      <c r="K23" s="16" t="s">
        <v>0</v>
      </c>
      <c r="L23" s="30">
        <v>0</v>
      </c>
      <c r="M23" s="17">
        <f>C23*D23*L23</f>
        <v>0</v>
      </c>
      <c r="N23" s="16" t="s">
        <v>0</v>
      </c>
      <c r="O23" s="30">
        <v>0</v>
      </c>
      <c r="P23" s="17">
        <f>C23*D23*O23</f>
        <v>0</v>
      </c>
      <c r="Q23" s="16" t="s">
        <v>0</v>
      </c>
      <c r="R23" s="30">
        <v>0</v>
      </c>
      <c r="S23" s="17">
        <f>C23*D23*R23</f>
        <v>0</v>
      </c>
      <c r="T23" s="16" t="s">
        <v>0</v>
      </c>
      <c r="U23" s="30">
        <v>0</v>
      </c>
      <c r="V23" s="17">
        <f>C23*D23*U23</f>
        <v>0</v>
      </c>
    </row>
    <row r="24" spans="1:22" ht="15.75" customHeight="1" x14ac:dyDescent="0.45">
      <c r="A24" s="61" t="s">
        <v>18</v>
      </c>
      <c r="B24" s="62"/>
      <c r="C24" s="62"/>
      <c r="D24" s="62"/>
      <c r="E24" s="62"/>
      <c r="F24" s="50"/>
      <c r="G24" s="19">
        <f>SUM(G18:G23)</f>
        <v>0</v>
      </c>
      <c r="H24" s="47" t="s">
        <v>19</v>
      </c>
      <c r="I24" s="48"/>
      <c r="J24" s="20">
        <f>SUM(J18:J23)</f>
        <v>0</v>
      </c>
      <c r="K24" s="49" t="s">
        <v>20</v>
      </c>
      <c r="L24" s="50"/>
      <c r="M24" s="19">
        <f>SUM(M18:M23)</f>
        <v>0</v>
      </c>
      <c r="N24" s="47" t="s">
        <v>21</v>
      </c>
      <c r="O24" s="48"/>
      <c r="P24" s="20">
        <f>SUM(P18:P23)</f>
        <v>0</v>
      </c>
      <c r="Q24" s="49" t="s">
        <v>22</v>
      </c>
      <c r="R24" s="50"/>
      <c r="S24" s="19">
        <f>SUM(S18:S23)</f>
        <v>0</v>
      </c>
      <c r="T24" s="47" t="s">
        <v>26</v>
      </c>
      <c r="U24" s="48"/>
      <c r="V24" s="20">
        <f>SUM(V18:V23)</f>
        <v>0</v>
      </c>
    </row>
    <row r="25" spans="1:22" ht="15.75" x14ac:dyDescent="0.45">
      <c r="A25" s="40" t="s">
        <v>57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2" t="s">
        <v>33</v>
      </c>
      <c r="U25" s="43"/>
      <c r="V25" s="38">
        <f>SUM(G24,J24,M24,P24,S24,V24)</f>
        <v>0</v>
      </c>
    </row>
    <row r="26" spans="1:22" ht="15.75" customHeight="1" x14ac:dyDescent="0.5">
      <c r="A26" s="46" t="s">
        <v>55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4"/>
      <c r="U26" s="45"/>
      <c r="V26" s="39"/>
    </row>
    <row r="27" spans="1:22" ht="15.75" customHeight="1" x14ac:dyDescent="0.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</row>
    <row r="28" spans="1:22" ht="21.4" thickBot="1" x14ac:dyDescent="0.5">
      <c r="A28" s="56" t="s">
        <v>31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8"/>
    </row>
    <row r="29" spans="1:22" ht="21.75" thickTop="1" thickBot="1" x14ac:dyDescent="0.5">
      <c r="A29" s="60" t="s">
        <v>15</v>
      </c>
      <c r="B29" s="55"/>
      <c r="C29" s="55"/>
      <c r="D29" s="55"/>
      <c r="E29" s="55"/>
      <c r="F29" s="55"/>
      <c r="G29" s="55"/>
      <c r="H29" s="51" t="s">
        <v>17</v>
      </c>
      <c r="I29" s="52"/>
      <c r="J29" s="52"/>
      <c r="K29" s="54" t="s">
        <v>23</v>
      </c>
      <c r="L29" s="55"/>
      <c r="M29" s="55"/>
      <c r="N29" s="51" t="s">
        <v>24</v>
      </c>
      <c r="O29" s="52"/>
      <c r="P29" s="52"/>
      <c r="Q29" s="54" t="s">
        <v>25</v>
      </c>
      <c r="R29" s="55"/>
      <c r="S29" s="55"/>
      <c r="T29" s="51" t="s">
        <v>27</v>
      </c>
      <c r="U29" s="52"/>
      <c r="V29" s="53"/>
    </row>
    <row r="30" spans="1:22" ht="18.75" thickTop="1" thickBot="1" x14ac:dyDescent="0.6">
      <c r="A30" s="11" t="s">
        <v>45</v>
      </c>
      <c r="B30" s="7" t="s">
        <v>3</v>
      </c>
      <c r="C30" s="7" t="s">
        <v>2</v>
      </c>
      <c r="D30" s="7" t="s">
        <v>56</v>
      </c>
      <c r="E30" s="7" t="s">
        <v>16</v>
      </c>
      <c r="F30" s="7" t="s">
        <v>5</v>
      </c>
      <c r="G30" s="13" t="s">
        <v>6</v>
      </c>
      <c r="H30" s="14" t="s">
        <v>16</v>
      </c>
      <c r="I30" s="7" t="s">
        <v>5</v>
      </c>
      <c r="J30" s="7" t="s">
        <v>6</v>
      </c>
      <c r="K30" s="14" t="s">
        <v>16</v>
      </c>
      <c r="L30" s="7" t="s">
        <v>5</v>
      </c>
      <c r="M30" s="7" t="s">
        <v>6</v>
      </c>
      <c r="N30" s="14" t="s">
        <v>16</v>
      </c>
      <c r="O30" s="7" t="s">
        <v>5</v>
      </c>
      <c r="P30" s="7" t="s">
        <v>6</v>
      </c>
      <c r="Q30" s="14" t="s">
        <v>16</v>
      </c>
      <c r="R30" s="7" t="s">
        <v>5</v>
      </c>
      <c r="S30" s="7" t="s">
        <v>6</v>
      </c>
      <c r="T30" s="14" t="s">
        <v>16</v>
      </c>
      <c r="U30" s="7" t="s">
        <v>5</v>
      </c>
      <c r="V30" s="7" t="s">
        <v>6</v>
      </c>
    </row>
    <row r="31" spans="1:22" ht="31.9" thickTop="1" x14ac:dyDescent="0.45">
      <c r="A31" s="8" t="s">
        <v>41</v>
      </c>
      <c r="B31" s="2" t="s">
        <v>39</v>
      </c>
      <c r="C31" s="2">
        <v>210</v>
      </c>
      <c r="D31" s="2" t="s">
        <v>0</v>
      </c>
      <c r="E31" s="2">
        <v>2</v>
      </c>
      <c r="F31" s="29">
        <v>0</v>
      </c>
      <c r="G31" s="17">
        <f>C31*E31*F31</f>
        <v>0</v>
      </c>
      <c r="H31" s="15">
        <v>3</v>
      </c>
      <c r="I31" s="29">
        <v>0</v>
      </c>
      <c r="J31" s="17">
        <f>C31*H31*I31</f>
        <v>0</v>
      </c>
      <c r="K31" s="15">
        <v>3</v>
      </c>
      <c r="L31" s="29">
        <v>0</v>
      </c>
      <c r="M31" s="17">
        <f>C31*K31*L31</f>
        <v>0</v>
      </c>
      <c r="N31" s="15">
        <v>3</v>
      </c>
      <c r="O31" s="29">
        <v>0</v>
      </c>
      <c r="P31" s="17">
        <f>C31*N31*O31</f>
        <v>0</v>
      </c>
      <c r="Q31" s="15">
        <v>3</v>
      </c>
      <c r="R31" s="29">
        <v>0</v>
      </c>
      <c r="S31" s="17">
        <f>C31*Q31*R31</f>
        <v>0</v>
      </c>
      <c r="T31" s="15">
        <v>1</v>
      </c>
      <c r="U31" s="29">
        <v>0</v>
      </c>
      <c r="V31" s="17">
        <f>C31*T31*U31</f>
        <v>0</v>
      </c>
    </row>
    <row r="32" spans="1:22" ht="31.5" x14ac:dyDescent="0.45">
      <c r="A32" s="9" t="s">
        <v>81</v>
      </c>
      <c r="B32" s="2" t="s">
        <v>39</v>
      </c>
      <c r="C32" s="2">
        <v>1</v>
      </c>
      <c r="D32" s="2">
        <v>4</v>
      </c>
      <c r="E32" s="2">
        <v>2</v>
      </c>
      <c r="F32" s="30">
        <v>0</v>
      </c>
      <c r="G32" s="17">
        <f>C32*D32*E32*F32</f>
        <v>0</v>
      </c>
      <c r="H32" s="16">
        <v>3</v>
      </c>
      <c r="I32" s="30">
        <v>0</v>
      </c>
      <c r="J32" s="17">
        <f>C32*D32*H32*I32</f>
        <v>0</v>
      </c>
      <c r="K32" s="16">
        <v>3</v>
      </c>
      <c r="L32" s="30">
        <v>0</v>
      </c>
      <c r="M32" s="17">
        <f>C32*G32*K32*L32</f>
        <v>0</v>
      </c>
      <c r="N32" s="16">
        <v>3</v>
      </c>
      <c r="O32" s="30">
        <v>0</v>
      </c>
      <c r="P32" s="17">
        <f>C32*J32*N32*O32</f>
        <v>0</v>
      </c>
      <c r="Q32" s="16">
        <v>3</v>
      </c>
      <c r="R32" s="30">
        <v>0</v>
      </c>
      <c r="S32" s="17">
        <f t="shared" ref="S32:S35" si="8">C32*Q32*R32</f>
        <v>0</v>
      </c>
      <c r="T32" s="16">
        <v>1</v>
      </c>
      <c r="U32" s="30">
        <v>0</v>
      </c>
      <c r="V32" s="17">
        <f t="shared" ref="V32:V35" si="9">C32*T32*U32</f>
        <v>0</v>
      </c>
    </row>
    <row r="33" spans="1:22" ht="31.5" x14ac:dyDescent="0.45">
      <c r="A33" s="9" t="s">
        <v>42</v>
      </c>
      <c r="B33" s="2" t="s">
        <v>39</v>
      </c>
      <c r="C33" s="2">
        <v>3</v>
      </c>
      <c r="D33" s="2">
        <v>4</v>
      </c>
      <c r="E33" s="2">
        <v>2</v>
      </c>
      <c r="F33" s="30">
        <v>0</v>
      </c>
      <c r="G33" s="17">
        <f t="shared" ref="G33:G35" si="10">C33*D33*E33*F33</f>
        <v>0</v>
      </c>
      <c r="H33" s="16">
        <v>3</v>
      </c>
      <c r="I33" s="30">
        <v>0</v>
      </c>
      <c r="J33" s="17">
        <f t="shared" ref="J33:J35" si="11">C33*D33*H33*I33</f>
        <v>0</v>
      </c>
      <c r="K33" s="16">
        <v>3</v>
      </c>
      <c r="L33" s="30">
        <v>0</v>
      </c>
      <c r="M33" s="17">
        <f>C33*G33*K33*L33</f>
        <v>0</v>
      </c>
      <c r="N33" s="16">
        <v>3</v>
      </c>
      <c r="O33" s="30">
        <v>0</v>
      </c>
      <c r="P33" s="17">
        <f>C33*J33*N33*O33</f>
        <v>0</v>
      </c>
      <c r="Q33" s="16">
        <v>3</v>
      </c>
      <c r="R33" s="30">
        <v>0</v>
      </c>
      <c r="S33" s="17">
        <f t="shared" si="8"/>
        <v>0</v>
      </c>
      <c r="T33" s="16">
        <v>1</v>
      </c>
      <c r="U33" s="30">
        <v>0</v>
      </c>
      <c r="V33" s="17">
        <f t="shared" si="9"/>
        <v>0</v>
      </c>
    </row>
    <row r="34" spans="1:22" ht="31.5" x14ac:dyDescent="0.45">
      <c r="A34" s="9" t="s">
        <v>43</v>
      </c>
      <c r="B34" s="2" t="s">
        <v>39</v>
      </c>
      <c r="C34" s="2">
        <v>15</v>
      </c>
      <c r="D34" s="2">
        <v>4</v>
      </c>
      <c r="E34" s="2">
        <v>2</v>
      </c>
      <c r="F34" s="30">
        <v>0</v>
      </c>
      <c r="G34" s="17">
        <f t="shared" si="10"/>
        <v>0</v>
      </c>
      <c r="H34" s="16">
        <v>3</v>
      </c>
      <c r="I34" s="30">
        <v>0</v>
      </c>
      <c r="J34" s="17">
        <f t="shared" si="11"/>
        <v>0</v>
      </c>
      <c r="K34" s="16">
        <v>3</v>
      </c>
      <c r="L34" s="30">
        <v>0</v>
      </c>
      <c r="M34" s="17">
        <f>C34*G34*K34*L34</f>
        <v>0</v>
      </c>
      <c r="N34" s="16">
        <v>3</v>
      </c>
      <c r="O34" s="30">
        <v>0</v>
      </c>
      <c r="P34" s="17">
        <f>C34*J34*N34*O34</f>
        <v>0</v>
      </c>
      <c r="Q34" s="16">
        <v>3</v>
      </c>
      <c r="R34" s="30">
        <v>0</v>
      </c>
      <c r="S34" s="17">
        <f t="shared" si="8"/>
        <v>0</v>
      </c>
      <c r="T34" s="16">
        <v>1</v>
      </c>
      <c r="U34" s="30">
        <v>0</v>
      </c>
      <c r="V34" s="17">
        <f t="shared" si="9"/>
        <v>0</v>
      </c>
    </row>
    <row r="35" spans="1:22" ht="31.5" x14ac:dyDescent="0.45">
      <c r="A35" s="9" t="s">
        <v>82</v>
      </c>
      <c r="B35" s="2" t="s">
        <v>38</v>
      </c>
      <c r="C35" s="2">
        <v>1</v>
      </c>
      <c r="D35" s="2">
        <v>5</v>
      </c>
      <c r="E35" s="2">
        <v>2</v>
      </c>
      <c r="F35" s="30">
        <v>0</v>
      </c>
      <c r="G35" s="17">
        <f t="shared" si="10"/>
        <v>0</v>
      </c>
      <c r="H35" s="16">
        <v>3</v>
      </c>
      <c r="I35" s="30">
        <v>0</v>
      </c>
      <c r="J35" s="17">
        <f t="shared" si="11"/>
        <v>0</v>
      </c>
      <c r="K35" s="16">
        <v>3</v>
      </c>
      <c r="L35" s="30">
        <v>0</v>
      </c>
      <c r="M35" s="17">
        <f>C35*G35*K35*L35</f>
        <v>0</v>
      </c>
      <c r="N35" s="16">
        <v>3</v>
      </c>
      <c r="O35" s="30">
        <v>0</v>
      </c>
      <c r="P35" s="17">
        <f>C35*J35*N35*O35</f>
        <v>0</v>
      </c>
      <c r="Q35" s="16">
        <v>3</v>
      </c>
      <c r="R35" s="30">
        <v>0</v>
      </c>
      <c r="S35" s="17">
        <f t="shared" si="8"/>
        <v>0</v>
      </c>
      <c r="T35" s="16">
        <v>1</v>
      </c>
      <c r="U35" s="30">
        <v>0</v>
      </c>
      <c r="V35" s="17">
        <f t="shared" si="9"/>
        <v>0</v>
      </c>
    </row>
    <row r="36" spans="1:22" ht="31.5" x14ac:dyDescent="0.45">
      <c r="A36" s="9" t="s">
        <v>37</v>
      </c>
      <c r="B36" s="2" t="s">
        <v>40</v>
      </c>
      <c r="C36" s="2">
        <v>1</v>
      </c>
      <c r="D36" s="2">
        <v>365</v>
      </c>
      <c r="E36" s="2" t="s">
        <v>0</v>
      </c>
      <c r="F36" s="30">
        <v>0</v>
      </c>
      <c r="G36" s="17">
        <f>C36*D36*F36</f>
        <v>0</v>
      </c>
      <c r="H36" s="16" t="s">
        <v>0</v>
      </c>
      <c r="I36" s="30">
        <v>0</v>
      </c>
      <c r="J36" s="17">
        <f>C36*D36*I36</f>
        <v>0</v>
      </c>
      <c r="K36" s="16" t="s">
        <v>0</v>
      </c>
      <c r="L36" s="30">
        <v>0</v>
      </c>
      <c r="M36" s="17">
        <f>C36*D36*L36</f>
        <v>0</v>
      </c>
      <c r="N36" s="16" t="s">
        <v>0</v>
      </c>
      <c r="O36" s="30">
        <v>0</v>
      </c>
      <c r="P36" s="17">
        <f>C36*D36*O36</f>
        <v>0</v>
      </c>
      <c r="Q36" s="16" t="s">
        <v>0</v>
      </c>
      <c r="R36" s="30">
        <v>0</v>
      </c>
      <c r="S36" s="17">
        <f>C36*D36*R36</f>
        <v>0</v>
      </c>
      <c r="T36" s="16" t="s">
        <v>0</v>
      </c>
      <c r="U36" s="30">
        <v>0</v>
      </c>
      <c r="V36" s="17">
        <f>C36*D36*U36</f>
        <v>0</v>
      </c>
    </row>
    <row r="37" spans="1:22" ht="15.75" customHeight="1" x14ac:dyDescent="0.45">
      <c r="A37" s="61" t="s">
        <v>18</v>
      </c>
      <c r="B37" s="62"/>
      <c r="C37" s="62"/>
      <c r="D37" s="62"/>
      <c r="E37" s="62"/>
      <c r="F37" s="50"/>
      <c r="G37" s="19">
        <f>SUM(G31:G36)</f>
        <v>0</v>
      </c>
      <c r="H37" s="47" t="s">
        <v>19</v>
      </c>
      <c r="I37" s="48"/>
      <c r="J37" s="20">
        <f>SUM(J31:J36)</f>
        <v>0</v>
      </c>
      <c r="K37" s="49" t="s">
        <v>20</v>
      </c>
      <c r="L37" s="50"/>
      <c r="M37" s="19">
        <f>SUM(M31:M36)</f>
        <v>0</v>
      </c>
      <c r="N37" s="47" t="s">
        <v>21</v>
      </c>
      <c r="O37" s="48"/>
      <c r="P37" s="20">
        <f>SUM(P31:P36)</f>
        <v>0</v>
      </c>
      <c r="Q37" s="49" t="s">
        <v>22</v>
      </c>
      <c r="R37" s="50"/>
      <c r="S37" s="19">
        <f>SUM(S31:S36)</f>
        <v>0</v>
      </c>
      <c r="T37" s="47" t="s">
        <v>26</v>
      </c>
      <c r="U37" s="48"/>
      <c r="V37" s="20">
        <f>SUM(V31:V36)</f>
        <v>0</v>
      </c>
    </row>
    <row r="38" spans="1:22" ht="15.75" customHeight="1" x14ac:dyDescent="0.45">
      <c r="A38" s="40" t="s">
        <v>57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2" t="s">
        <v>32</v>
      </c>
      <c r="U38" s="43"/>
      <c r="V38" s="38">
        <f>SUM(G37,J37,M37,P37,S37,V37)</f>
        <v>0</v>
      </c>
    </row>
    <row r="39" spans="1:22" ht="15.75" customHeight="1" x14ac:dyDescent="0.5">
      <c r="A39" s="46" t="s">
        <v>55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4"/>
      <c r="U39" s="45"/>
      <c r="V39" s="39"/>
    </row>
  </sheetData>
  <mergeCells count="52">
    <mergeCell ref="T11:U11"/>
    <mergeCell ref="A1:V1"/>
    <mergeCell ref="A2:V2"/>
    <mergeCell ref="A3:G3"/>
    <mergeCell ref="H3:J3"/>
    <mergeCell ref="K3:M3"/>
    <mergeCell ref="N3:P3"/>
    <mergeCell ref="Q3:S3"/>
    <mergeCell ref="T3:V3"/>
    <mergeCell ref="A11:F11"/>
    <mergeCell ref="H11:I11"/>
    <mergeCell ref="K11:L11"/>
    <mergeCell ref="N11:O11"/>
    <mergeCell ref="Q11:R11"/>
    <mergeCell ref="H16:J16"/>
    <mergeCell ref="K16:M16"/>
    <mergeCell ref="N16:P16"/>
    <mergeCell ref="Q16:S16"/>
    <mergeCell ref="T16:V16"/>
    <mergeCell ref="A28:V28"/>
    <mergeCell ref="A29:G29"/>
    <mergeCell ref="H29:J29"/>
    <mergeCell ref="K29:M29"/>
    <mergeCell ref="N29:P29"/>
    <mergeCell ref="Q29:S29"/>
    <mergeCell ref="T29:V29"/>
    <mergeCell ref="A39:S39"/>
    <mergeCell ref="T38:U39"/>
    <mergeCell ref="V38:V39"/>
    <mergeCell ref="A38:S38"/>
    <mergeCell ref="A37:F37"/>
    <mergeCell ref="H37:I37"/>
    <mergeCell ref="K37:L37"/>
    <mergeCell ref="N37:O37"/>
    <mergeCell ref="Q37:R37"/>
    <mergeCell ref="T37:U37"/>
    <mergeCell ref="A26:S26"/>
    <mergeCell ref="T25:U26"/>
    <mergeCell ref="V25:V26"/>
    <mergeCell ref="A12:S12"/>
    <mergeCell ref="A13:S13"/>
    <mergeCell ref="T12:U13"/>
    <mergeCell ref="V12:V13"/>
    <mergeCell ref="A25:S25"/>
    <mergeCell ref="A24:F24"/>
    <mergeCell ref="H24:I24"/>
    <mergeCell ref="K24:L24"/>
    <mergeCell ref="N24:O24"/>
    <mergeCell ref="Q24:R24"/>
    <mergeCell ref="T24:U24"/>
    <mergeCell ref="A15:V15"/>
    <mergeCell ref="A16:G16"/>
  </mergeCells>
  <pageMargins left="0.7" right="0.7" top="0.75" bottom="0.75" header="0.3" footer="0.3"/>
  <pageSetup orientation="portrait" r:id="rId1"/>
  <headerFooter>
    <oddHeader>&amp;C </oddHeader>
    <oddFooter>&amp;C </oddFooter>
  </headerFooter>
  <ignoredErrors>
    <ignoredError sqref="G6 G10 J10 M10 P10 S10 V10 M23 P23 S23 U23:V23 J36 G36 M36 P36 S36 V36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E301-1108-447B-8142-8FBE78957A77}">
  <sheetPr>
    <tabColor rgb="FFFFE697"/>
  </sheetPr>
  <dimension ref="A1:T30"/>
  <sheetViews>
    <sheetView workbookViewId="0">
      <selection sqref="A1:T1"/>
    </sheetView>
  </sheetViews>
  <sheetFormatPr defaultColWidth="9" defaultRowHeight="14.25" x14ac:dyDescent="0.45"/>
  <cols>
    <col min="1" max="1" width="40.59765625" style="12" customWidth="1"/>
    <col min="2" max="2" width="5.59765625" style="10" bestFit="1" customWidth="1"/>
    <col min="3" max="3" width="10.265625" style="10" bestFit="1" customWidth="1"/>
    <col min="4" max="4" width="10.265625" style="10" customWidth="1"/>
    <col min="5" max="5" width="16" style="6" bestFit="1" customWidth="1"/>
    <col min="6" max="6" width="10" style="6" bestFit="1" customWidth="1"/>
    <col min="7" max="7" width="10" style="6" customWidth="1"/>
    <col min="8" max="8" width="15.59765625" style="6" customWidth="1"/>
    <col min="9" max="10" width="10" style="6" bestFit="1" customWidth="1"/>
    <col min="11" max="11" width="15.59765625" style="6" customWidth="1"/>
    <col min="12" max="13" width="9" style="6"/>
    <col min="14" max="14" width="15.59765625" style="6" customWidth="1"/>
    <col min="15" max="16" width="10" style="6" bestFit="1" customWidth="1"/>
    <col min="17" max="17" width="15.59765625" style="6" customWidth="1"/>
    <col min="18" max="19" width="10" style="6" bestFit="1" customWidth="1"/>
    <col min="20" max="20" width="15.59765625" style="6" customWidth="1"/>
    <col min="21" max="16384" width="9" style="6"/>
  </cols>
  <sheetData>
    <row r="1" spans="1:20" ht="42.4" customHeight="1" x14ac:dyDescent="0.45">
      <c r="A1" s="63" t="s">
        <v>88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</row>
    <row r="2" spans="1:20" ht="21.4" thickBot="1" x14ac:dyDescent="0.5">
      <c r="A2" s="59" t="s">
        <v>59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</row>
    <row r="3" spans="1:20" ht="21.75" thickTop="1" thickBot="1" x14ac:dyDescent="0.5">
      <c r="A3" s="55" t="s">
        <v>15</v>
      </c>
      <c r="B3" s="55"/>
      <c r="C3" s="55"/>
      <c r="D3" s="55"/>
      <c r="E3" s="55"/>
      <c r="F3" s="51" t="s">
        <v>17</v>
      </c>
      <c r="G3" s="52"/>
      <c r="H3" s="52"/>
      <c r="I3" s="54" t="s">
        <v>23</v>
      </c>
      <c r="J3" s="55"/>
      <c r="K3" s="55"/>
      <c r="L3" s="51" t="s">
        <v>24</v>
      </c>
      <c r="M3" s="52"/>
      <c r="N3" s="52"/>
      <c r="O3" s="54" t="s">
        <v>25</v>
      </c>
      <c r="P3" s="55"/>
      <c r="Q3" s="55"/>
      <c r="R3" s="51" t="s">
        <v>27</v>
      </c>
      <c r="S3" s="52"/>
      <c r="T3" s="52"/>
    </row>
    <row r="4" spans="1:20" ht="18.75" thickTop="1" thickBot="1" x14ac:dyDescent="0.6">
      <c r="A4" s="11" t="s">
        <v>45</v>
      </c>
      <c r="B4" s="7" t="s">
        <v>3</v>
      </c>
      <c r="C4" s="7" t="s">
        <v>2</v>
      </c>
      <c r="D4" s="7" t="s">
        <v>16</v>
      </c>
      <c r="E4" s="13" t="s">
        <v>6</v>
      </c>
      <c r="F4" s="14" t="s">
        <v>2</v>
      </c>
      <c r="G4" s="31" t="s">
        <v>16</v>
      </c>
      <c r="H4" s="7" t="s">
        <v>6</v>
      </c>
      <c r="I4" s="14" t="s">
        <v>2</v>
      </c>
      <c r="J4" s="31" t="s">
        <v>16</v>
      </c>
      <c r="K4" s="7" t="s">
        <v>6</v>
      </c>
      <c r="L4" s="14" t="s">
        <v>2</v>
      </c>
      <c r="M4" s="31" t="s">
        <v>16</v>
      </c>
      <c r="N4" s="7" t="s">
        <v>6</v>
      </c>
      <c r="O4" s="14" t="s">
        <v>2</v>
      </c>
      <c r="P4" s="31" t="s">
        <v>16</v>
      </c>
      <c r="Q4" s="7" t="s">
        <v>6</v>
      </c>
      <c r="R4" s="14" t="s">
        <v>2</v>
      </c>
      <c r="S4" s="31" t="s">
        <v>16</v>
      </c>
      <c r="T4" s="7" t="s">
        <v>6</v>
      </c>
    </row>
    <row r="5" spans="1:20" ht="16.149999999999999" thickTop="1" x14ac:dyDescent="0.45">
      <c r="A5" s="8" t="s">
        <v>46</v>
      </c>
      <c r="B5" s="2" t="s">
        <v>77</v>
      </c>
      <c r="C5" s="2">
        <v>1</v>
      </c>
      <c r="D5" s="2">
        <v>2</v>
      </c>
      <c r="E5" s="17">
        <f>'Property Biz, AV Teh-Equipment'!F11</f>
        <v>0</v>
      </c>
      <c r="F5" s="15">
        <v>1</v>
      </c>
      <c r="G5" s="32">
        <v>3</v>
      </c>
      <c r="H5" s="17">
        <f>'Property Biz, AV Teh-Equipment'!I11</f>
        <v>0</v>
      </c>
      <c r="I5" s="15">
        <v>1</v>
      </c>
      <c r="J5" s="32">
        <v>3</v>
      </c>
      <c r="K5" s="17">
        <f>'Property Biz, AV Teh-Equipment'!L11</f>
        <v>0</v>
      </c>
      <c r="L5" s="15">
        <v>1</v>
      </c>
      <c r="M5" s="32">
        <v>3</v>
      </c>
      <c r="N5" s="17">
        <f>'Property Biz, AV Teh-Equipment'!O11</f>
        <v>0</v>
      </c>
      <c r="O5" s="15">
        <v>1</v>
      </c>
      <c r="P5" s="32">
        <v>3</v>
      </c>
      <c r="Q5" s="17">
        <f>'Property Biz, AV Teh-Equipment'!R11</f>
        <v>0</v>
      </c>
      <c r="R5" s="15">
        <v>1</v>
      </c>
      <c r="S5" s="32">
        <v>1</v>
      </c>
      <c r="T5" s="17">
        <f>'Property Biz, AV Teh-Equipment'!U11</f>
        <v>0</v>
      </c>
    </row>
    <row r="6" spans="1:20" ht="15.75" x14ac:dyDescent="0.45">
      <c r="A6" s="9" t="s">
        <v>62</v>
      </c>
      <c r="B6" s="2" t="s">
        <v>77</v>
      </c>
      <c r="C6" s="2">
        <v>1</v>
      </c>
      <c r="D6" s="2">
        <v>2</v>
      </c>
      <c r="E6" s="17">
        <f>'Property Food &amp; Beverage'!G9</f>
        <v>0</v>
      </c>
      <c r="F6" s="16">
        <v>1</v>
      </c>
      <c r="G6" s="33">
        <v>3</v>
      </c>
      <c r="H6" s="17">
        <f>'Property Food &amp; Beverage'!J9</f>
        <v>0</v>
      </c>
      <c r="I6" s="16">
        <v>1</v>
      </c>
      <c r="J6" s="33">
        <v>3</v>
      </c>
      <c r="K6" s="17">
        <f>'Property Food &amp; Beverage'!M9</f>
        <v>0</v>
      </c>
      <c r="L6" s="16">
        <v>1</v>
      </c>
      <c r="M6" s="33">
        <v>3</v>
      </c>
      <c r="N6" s="17">
        <f>'Property Food &amp; Beverage'!P9</f>
        <v>0</v>
      </c>
      <c r="O6" s="16">
        <v>1</v>
      </c>
      <c r="P6" s="33">
        <v>3</v>
      </c>
      <c r="Q6" s="17">
        <f>'Property Food &amp; Beverage'!S9</f>
        <v>0</v>
      </c>
      <c r="R6" s="16">
        <v>1</v>
      </c>
      <c r="S6" s="33">
        <v>1</v>
      </c>
      <c r="T6" s="17">
        <f>'Property Food &amp; Beverage'!V9</f>
        <v>0</v>
      </c>
    </row>
    <row r="7" spans="1:20" ht="31.5" x14ac:dyDescent="0.45">
      <c r="A7" s="9" t="s">
        <v>83</v>
      </c>
      <c r="B7" s="2" t="s">
        <v>77</v>
      </c>
      <c r="C7" s="2">
        <v>1</v>
      </c>
      <c r="D7" s="2">
        <v>2</v>
      </c>
      <c r="E7" s="17">
        <f>'Property LCMS Rooms'!G11</f>
        <v>0</v>
      </c>
      <c r="F7" s="16">
        <v>1</v>
      </c>
      <c r="G7" s="33">
        <v>3</v>
      </c>
      <c r="H7" s="17">
        <f>'Property LCMS Rooms'!J11</f>
        <v>0</v>
      </c>
      <c r="I7" s="16">
        <v>1</v>
      </c>
      <c r="J7" s="33">
        <v>3</v>
      </c>
      <c r="K7" s="17">
        <f>'Property LCMS Rooms'!M11</f>
        <v>0</v>
      </c>
      <c r="L7" s="16">
        <v>1</v>
      </c>
      <c r="M7" s="33">
        <v>3</v>
      </c>
      <c r="N7" s="17">
        <f>'Property LCMS Rooms'!P11</f>
        <v>0</v>
      </c>
      <c r="O7" s="16">
        <v>1</v>
      </c>
      <c r="P7" s="33">
        <v>3</v>
      </c>
      <c r="Q7" s="17">
        <f>'Property LCMS Rooms'!S11</f>
        <v>0</v>
      </c>
      <c r="R7" s="16">
        <v>1</v>
      </c>
      <c r="S7" s="33">
        <v>1</v>
      </c>
      <c r="T7" s="17">
        <f>'Property LCMS Rooms'!V11</f>
        <v>0</v>
      </c>
    </row>
    <row r="8" spans="1:20" ht="15.75" customHeight="1" x14ac:dyDescent="0.45">
      <c r="A8" s="61" t="s">
        <v>18</v>
      </c>
      <c r="B8" s="62"/>
      <c r="C8" s="62"/>
      <c r="D8" s="62"/>
      <c r="E8" s="19">
        <f>SUM(E5:E7)</f>
        <v>0</v>
      </c>
      <c r="F8" s="47" t="s">
        <v>19</v>
      </c>
      <c r="G8" s="70"/>
      <c r="H8" s="20">
        <f>SUM(H5:H7)</f>
        <v>0</v>
      </c>
      <c r="I8" s="49" t="s">
        <v>20</v>
      </c>
      <c r="J8" s="62"/>
      <c r="K8" s="19">
        <f>SUM(K5:K7)</f>
        <v>0</v>
      </c>
      <c r="L8" s="47" t="s">
        <v>21</v>
      </c>
      <c r="M8" s="70"/>
      <c r="N8" s="20">
        <f>SUM(N5:N7)</f>
        <v>0</v>
      </c>
      <c r="O8" s="49" t="s">
        <v>22</v>
      </c>
      <c r="P8" s="62"/>
      <c r="Q8" s="19">
        <f>SUM(Q5:Q7)</f>
        <v>0</v>
      </c>
      <c r="R8" s="47" t="s">
        <v>26</v>
      </c>
      <c r="S8" s="70"/>
      <c r="T8" s="20">
        <f>SUM(T5:T7)</f>
        <v>0</v>
      </c>
    </row>
    <row r="9" spans="1:20" ht="15.75" customHeight="1" x14ac:dyDescent="0.45">
      <c r="A9" s="40" t="s">
        <v>57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2" t="s">
        <v>34</v>
      </c>
      <c r="S9" s="71"/>
      <c r="T9" s="38">
        <f>SUM(E8,H8,K8,N8,Q8,T8)</f>
        <v>0</v>
      </c>
    </row>
    <row r="10" spans="1:20" ht="15.75" customHeight="1" x14ac:dyDescent="0.5">
      <c r="A10" s="46" t="s">
        <v>63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4"/>
      <c r="S10" s="72"/>
      <c r="T10" s="39"/>
    </row>
    <row r="11" spans="1:20" ht="15.75" customHeight="1" x14ac:dyDescent="0.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6"/>
      <c r="S11" s="26"/>
      <c r="T11" s="27"/>
    </row>
    <row r="12" spans="1:20" ht="21.4" thickBot="1" x14ac:dyDescent="0.5">
      <c r="A12" s="56" t="s">
        <v>60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8"/>
    </row>
    <row r="13" spans="1:20" ht="21.75" thickTop="1" thickBot="1" x14ac:dyDescent="0.5">
      <c r="A13" s="60" t="s">
        <v>15</v>
      </c>
      <c r="B13" s="55"/>
      <c r="C13" s="55"/>
      <c r="D13" s="55"/>
      <c r="E13" s="55"/>
      <c r="F13" s="51" t="s">
        <v>17</v>
      </c>
      <c r="G13" s="52"/>
      <c r="H13" s="52"/>
      <c r="I13" s="54" t="s">
        <v>23</v>
      </c>
      <c r="J13" s="55"/>
      <c r="K13" s="55"/>
      <c r="L13" s="51" t="s">
        <v>24</v>
      </c>
      <c r="M13" s="52"/>
      <c r="N13" s="52"/>
      <c r="O13" s="54" t="s">
        <v>25</v>
      </c>
      <c r="P13" s="55"/>
      <c r="Q13" s="55"/>
      <c r="R13" s="51" t="s">
        <v>27</v>
      </c>
      <c r="S13" s="52"/>
      <c r="T13" s="53"/>
    </row>
    <row r="14" spans="1:20" ht="18.75" thickTop="1" thickBot="1" x14ac:dyDescent="0.6">
      <c r="A14" s="11" t="s">
        <v>45</v>
      </c>
      <c r="B14" s="7" t="s">
        <v>3</v>
      </c>
      <c r="C14" s="7" t="s">
        <v>2</v>
      </c>
      <c r="D14" s="7" t="s">
        <v>16</v>
      </c>
      <c r="E14" s="13" t="s">
        <v>6</v>
      </c>
      <c r="F14" s="14" t="s">
        <v>16</v>
      </c>
      <c r="G14" s="31"/>
      <c r="H14" s="7" t="s">
        <v>6</v>
      </c>
      <c r="I14" s="14" t="s">
        <v>16</v>
      </c>
      <c r="J14" s="31"/>
      <c r="K14" s="7" t="s">
        <v>6</v>
      </c>
      <c r="L14" s="14" t="s">
        <v>16</v>
      </c>
      <c r="M14" s="31"/>
      <c r="N14" s="7" t="s">
        <v>6</v>
      </c>
      <c r="O14" s="14" t="s">
        <v>16</v>
      </c>
      <c r="P14" s="31"/>
      <c r="Q14" s="7" t="s">
        <v>6</v>
      </c>
      <c r="R14" s="14" t="s">
        <v>16</v>
      </c>
      <c r="S14" s="31"/>
      <c r="T14" s="7" t="s">
        <v>6</v>
      </c>
    </row>
    <row r="15" spans="1:20" ht="16.149999999999999" thickTop="1" x14ac:dyDescent="0.45">
      <c r="A15" s="8" t="s">
        <v>46</v>
      </c>
      <c r="B15" s="2" t="s">
        <v>77</v>
      </c>
      <c r="C15" s="2">
        <v>1</v>
      </c>
      <c r="D15" s="2">
        <v>2</v>
      </c>
      <c r="E15" s="17">
        <f>'Property Biz, AV Teh-Equipment'!F24</f>
        <v>0</v>
      </c>
      <c r="F15" s="15">
        <v>1</v>
      </c>
      <c r="G15" s="32">
        <v>3</v>
      </c>
      <c r="H15" s="17">
        <f>'Property Biz, AV Teh-Equipment'!I24</f>
        <v>0</v>
      </c>
      <c r="I15" s="15">
        <v>1</v>
      </c>
      <c r="J15" s="32">
        <v>3</v>
      </c>
      <c r="K15" s="17">
        <f>'Property Biz, AV Teh-Equipment'!L24</f>
        <v>0</v>
      </c>
      <c r="L15" s="15">
        <v>1</v>
      </c>
      <c r="M15" s="32">
        <v>3</v>
      </c>
      <c r="N15" s="17">
        <f>'Property Biz, AV Teh-Equipment'!O24</f>
        <v>0</v>
      </c>
      <c r="O15" s="15">
        <v>1</v>
      </c>
      <c r="P15" s="32">
        <v>3</v>
      </c>
      <c r="Q15" s="17">
        <f>'Property Biz, AV Teh-Equipment'!R24</f>
        <v>0</v>
      </c>
      <c r="R15" s="15">
        <v>1</v>
      </c>
      <c r="S15" s="32">
        <v>1</v>
      </c>
      <c r="T15" s="17">
        <f>'Property Biz, AV Teh-Equipment'!U24</f>
        <v>0</v>
      </c>
    </row>
    <row r="16" spans="1:20" ht="15.75" x14ac:dyDescent="0.45">
      <c r="A16" s="9" t="s">
        <v>62</v>
      </c>
      <c r="B16" s="2" t="s">
        <v>77</v>
      </c>
      <c r="C16" s="2">
        <v>1</v>
      </c>
      <c r="D16" s="2">
        <v>2</v>
      </c>
      <c r="E16" s="17">
        <f>'Property Summary - Cost'!G21</f>
        <v>0</v>
      </c>
      <c r="F16" s="16">
        <v>1</v>
      </c>
      <c r="G16" s="33">
        <v>3</v>
      </c>
      <c r="H16" s="17">
        <f>'Property Summary - Cost'!J21</f>
        <v>0</v>
      </c>
      <c r="I16" s="16">
        <v>1</v>
      </c>
      <c r="J16" s="33">
        <v>3</v>
      </c>
      <c r="K16" s="17">
        <f>'Property Summary - Cost'!M21</f>
        <v>0</v>
      </c>
      <c r="L16" s="16">
        <v>1</v>
      </c>
      <c r="M16" s="33">
        <v>3</v>
      </c>
      <c r="N16" s="17">
        <f>'Property Summary - Cost'!P21</f>
        <v>0</v>
      </c>
      <c r="O16" s="16">
        <v>1</v>
      </c>
      <c r="P16" s="33">
        <v>3</v>
      </c>
      <c r="Q16" s="17">
        <f>'Property Summary - Cost'!S21</f>
        <v>0</v>
      </c>
      <c r="R16" s="16">
        <v>1</v>
      </c>
      <c r="S16" s="33">
        <v>1</v>
      </c>
      <c r="T16" s="17">
        <f>'Property Summary - Cost'!V21</f>
        <v>0</v>
      </c>
    </row>
    <row r="17" spans="1:20" ht="31.5" x14ac:dyDescent="0.45">
      <c r="A17" s="9" t="s">
        <v>83</v>
      </c>
      <c r="B17" s="2" t="s">
        <v>77</v>
      </c>
      <c r="C17" s="2">
        <v>1</v>
      </c>
      <c r="D17" s="2">
        <v>2</v>
      </c>
      <c r="E17" s="17">
        <f>'Property LCMS Rooms'!G24</f>
        <v>0</v>
      </c>
      <c r="F17" s="16">
        <v>1</v>
      </c>
      <c r="G17" s="33">
        <v>3</v>
      </c>
      <c r="H17" s="17">
        <f>'Property LCMS Rooms'!J24</f>
        <v>0</v>
      </c>
      <c r="I17" s="16">
        <v>1</v>
      </c>
      <c r="J17" s="33">
        <v>3</v>
      </c>
      <c r="K17" s="17">
        <f>'Property LCMS Rooms'!M24</f>
        <v>0</v>
      </c>
      <c r="L17" s="16">
        <v>1</v>
      </c>
      <c r="M17" s="33">
        <v>3</v>
      </c>
      <c r="N17" s="17">
        <f>'Property LCMS Rooms'!P24</f>
        <v>0</v>
      </c>
      <c r="O17" s="16">
        <v>1</v>
      </c>
      <c r="P17" s="33">
        <v>3</v>
      </c>
      <c r="Q17" s="17">
        <f>'Property LCMS Rooms'!S24</f>
        <v>0</v>
      </c>
      <c r="R17" s="16">
        <v>1</v>
      </c>
      <c r="S17" s="33">
        <v>1</v>
      </c>
      <c r="T17" s="17">
        <f>'Property LCMS Rooms'!V24</f>
        <v>0</v>
      </c>
    </row>
    <row r="18" spans="1:20" ht="15.75" customHeight="1" x14ac:dyDescent="0.45">
      <c r="A18" s="61" t="s">
        <v>18</v>
      </c>
      <c r="B18" s="62"/>
      <c r="C18" s="62"/>
      <c r="D18" s="62"/>
      <c r="E18" s="19">
        <f>SUM(E15:E17)</f>
        <v>0</v>
      </c>
      <c r="F18" s="47" t="s">
        <v>19</v>
      </c>
      <c r="G18" s="70"/>
      <c r="H18" s="20">
        <f>SUM(H15:H17)</f>
        <v>0</v>
      </c>
      <c r="I18" s="49" t="s">
        <v>20</v>
      </c>
      <c r="J18" s="62"/>
      <c r="K18" s="19">
        <f>SUM(K15:K17)</f>
        <v>0</v>
      </c>
      <c r="L18" s="47" t="s">
        <v>21</v>
      </c>
      <c r="M18" s="70"/>
      <c r="N18" s="20">
        <f>SUM(N15:N17)</f>
        <v>0</v>
      </c>
      <c r="O18" s="49" t="s">
        <v>22</v>
      </c>
      <c r="P18" s="62"/>
      <c r="Q18" s="19">
        <f>SUM(Q15:Q17)</f>
        <v>0</v>
      </c>
      <c r="R18" s="47" t="s">
        <v>26</v>
      </c>
      <c r="S18" s="70"/>
      <c r="T18" s="20">
        <f>SUM(T15:T17)</f>
        <v>0</v>
      </c>
    </row>
    <row r="19" spans="1:20" ht="15.75" x14ac:dyDescent="0.45">
      <c r="A19" s="40" t="s">
        <v>57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2" t="s">
        <v>33</v>
      </c>
      <c r="S19" s="71"/>
      <c r="T19" s="38">
        <f>SUM(E18,H18,K18,N18,Q18,T18)</f>
        <v>0</v>
      </c>
    </row>
    <row r="20" spans="1:20" ht="15.75" customHeight="1" x14ac:dyDescent="0.5">
      <c r="A20" s="46" t="s">
        <v>63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4"/>
      <c r="S20" s="72"/>
      <c r="T20" s="39"/>
    </row>
    <row r="21" spans="1:20" ht="15.75" customHeight="1" x14ac:dyDescent="0.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</row>
    <row r="22" spans="1:20" ht="21.4" thickBot="1" x14ac:dyDescent="0.5">
      <c r="A22" s="56" t="s">
        <v>61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8"/>
    </row>
    <row r="23" spans="1:20" ht="21.75" thickTop="1" thickBot="1" x14ac:dyDescent="0.5">
      <c r="A23" s="60" t="s">
        <v>15</v>
      </c>
      <c r="B23" s="55"/>
      <c r="C23" s="55"/>
      <c r="D23" s="55"/>
      <c r="E23" s="55"/>
      <c r="F23" s="51" t="s">
        <v>17</v>
      </c>
      <c r="G23" s="52"/>
      <c r="H23" s="52"/>
      <c r="I23" s="54" t="s">
        <v>23</v>
      </c>
      <c r="J23" s="55"/>
      <c r="K23" s="55"/>
      <c r="L23" s="51" t="s">
        <v>24</v>
      </c>
      <c r="M23" s="52"/>
      <c r="N23" s="52"/>
      <c r="O23" s="54" t="s">
        <v>25</v>
      </c>
      <c r="P23" s="55"/>
      <c r="Q23" s="55"/>
      <c r="R23" s="51" t="s">
        <v>27</v>
      </c>
      <c r="S23" s="52"/>
      <c r="T23" s="53"/>
    </row>
    <row r="24" spans="1:20" ht="18.75" thickTop="1" thickBot="1" x14ac:dyDescent="0.6">
      <c r="A24" s="11" t="s">
        <v>45</v>
      </c>
      <c r="B24" s="7" t="s">
        <v>3</v>
      </c>
      <c r="C24" s="7" t="s">
        <v>2</v>
      </c>
      <c r="D24" s="7" t="s">
        <v>16</v>
      </c>
      <c r="E24" s="13" t="s">
        <v>6</v>
      </c>
      <c r="F24" s="14" t="s">
        <v>16</v>
      </c>
      <c r="G24" s="31"/>
      <c r="H24" s="7" t="s">
        <v>6</v>
      </c>
      <c r="I24" s="14" t="s">
        <v>16</v>
      </c>
      <c r="J24" s="31"/>
      <c r="K24" s="7" t="s">
        <v>6</v>
      </c>
      <c r="L24" s="14" t="s">
        <v>16</v>
      </c>
      <c r="M24" s="31"/>
      <c r="N24" s="7" t="s">
        <v>6</v>
      </c>
      <c r="O24" s="14" t="s">
        <v>16</v>
      </c>
      <c r="P24" s="31"/>
      <c r="Q24" s="7" t="s">
        <v>6</v>
      </c>
      <c r="R24" s="14" t="s">
        <v>16</v>
      </c>
      <c r="S24" s="31"/>
      <c r="T24" s="7" t="s">
        <v>6</v>
      </c>
    </row>
    <row r="25" spans="1:20" ht="16.149999999999999" thickTop="1" x14ac:dyDescent="0.45">
      <c r="A25" s="8" t="s">
        <v>46</v>
      </c>
      <c r="B25" s="2" t="s">
        <v>77</v>
      </c>
      <c r="C25" s="2">
        <v>1</v>
      </c>
      <c r="D25" s="2">
        <v>2</v>
      </c>
      <c r="E25" s="17">
        <f>'Property Biz, AV Teh-Equipment'!F37</f>
        <v>0</v>
      </c>
      <c r="F25" s="15">
        <v>1</v>
      </c>
      <c r="G25" s="32">
        <v>3</v>
      </c>
      <c r="H25" s="17">
        <f>'Property Biz, AV Teh-Equipment'!I37</f>
        <v>0</v>
      </c>
      <c r="I25" s="15">
        <v>1</v>
      </c>
      <c r="J25" s="32">
        <v>3</v>
      </c>
      <c r="K25" s="17">
        <f>'Property Biz, AV Teh-Equipment'!L37</f>
        <v>0</v>
      </c>
      <c r="L25" s="15">
        <v>1</v>
      </c>
      <c r="M25" s="32">
        <v>3</v>
      </c>
      <c r="N25" s="17">
        <f>'Property Biz, AV Teh-Equipment'!O37</f>
        <v>0</v>
      </c>
      <c r="O25" s="15">
        <v>1</v>
      </c>
      <c r="P25" s="32">
        <v>3</v>
      </c>
      <c r="Q25" s="17">
        <f>'Property Biz, AV Teh-Equipment'!R37</f>
        <v>0</v>
      </c>
      <c r="R25" s="15">
        <v>1</v>
      </c>
      <c r="S25" s="32">
        <v>1</v>
      </c>
      <c r="T25" s="17">
        <f>'Property Biz, AV Teh-Equipment'!U37</f>
        <v>0</v>
      </c>
    </row>
    <row r="26" spans="1:20" ht="15.75" x14ac:dyDescent="0.45">
      <c r="A26" s="9" t="s">
        <v>62</v>
      </c>
      <c r="B26" s="2" t="s">
        <v>77</v>
      </c>
      <c r="C26" s="2">
        <v>1</v>
      </c>
      <c r="D26" s="2">
        <v>2</v>
      </c>
      <c r="E26" s="17">
        <f>'Property Food &amp; Beverage'!G33</f>
        <v>0</v>
      </c>
      <c r="F26" s="16">
        <v>1</v>
      </c>
      <c r="G26" s="33">
        <v>3</v>
      </c>
      <c r="H26" s="17">
        <f>'Property Food &amp; Beverage'!J33</f>
        <v>0</v>
      </c>
      <c r="I26" s="16">
        <v>1</v>
      </c>
      <c r="J26" s="33">
        <v>3</v>
      </c>
      <c r="K26" s="17">
        <f>'Property Food &amp; Beverage'!M33</f>
        <v>0</v>
      </c>
      <c r="L26" s="16">
        <v>1</v>
      </c>
      <c r="M26" s="33">
        <v>3</v>
      </c>
      <c r="N26" s="17">
        <f>'Property Food &amp; Beverage'!P33</f>
        <v>0</v>
      </c>
      <c r="O26" s="16">
        <v>1</v>
      </c>
      <c r="P26" s="33">
        <v>3</v>
      </c>
      <c r="Q26" s="17">
        <f>'Property Food &amp; Beverage'!S33</f>
        <v>0</v>
      </c>
      <c r="R26" s="16">
        <v>1</v>
      </c>
      <c r="S26" s="33">
        <v>1</v>
      </c>
      <c r="T26" s="17">
        <f>'Property Food &amp; Beverage'!V33</f>
        <v>0</v>
      </c>
    </row>
    <row r="27" spans="1:20" ht="31.5" x14ac:dyDescent="0.45">
      <c r="A27" s="9" t="s">
        <v>83</v>
      </c>
      <c r="B27" s="2" t="s">
        <v>77</v>
      </c>
      <c r="C27" s="2">
        <v>1</v>
      </c>
      <c r="D27" s="2">
        <v>2</v>
      </c>
      <c r="E27" s="17">
        <f>'Property LCMS Rooms'!G37</f>
        <v>0</v>
      </c>
      <c r="F27" s="16">
        <v>1</v>
      </c>
      <c r="G27" s="33">
        <v>3</v>
      </c>
      <c r="H27" s="17">
        <f>'Property LCMS Rooms'!J37</f>
        <v>0</v>
      </c>
      <c r="I27" s="16">
        <v>1</v>
      </c>
      <c r="J27" s="33">
        <v>3</v>
      </c>
      <c r="K27" s="17">
        <f>'Property LCMS Rooms'!M37</f>
        <v>0</v>
      </c>
      <c r="L27" s="16">
        <v>1</v>
      </c>
      <c r="M27" s="33">
        <v>3</v>
      </c>
      <c r="N27" s="17">
        <f>'Property LCMS Rooms'!P37</f>
        <v>0</v>
      </c>
      <c r="O27" s="16">
        <v>1</v>
      </c>
      <c r="P27" s="33">
        <v>3</v>
      </c>
      <c r="Q27" s="17">
        <f>'Property LCMS Rooms'!S37</f>
        <v>0</v>
      </c>
      <c r="R27" s="16">
        <v>1</v>
      </c>
      <c r="S27" s="33">
        <v>1</v>
      </c>
      <c r="T27" s="17">
        <f>'Property LCMS Rooms'!V37</f>
        <v>0</v>
      </c>
    </row>
    <row r="28" spans="1:20" ht="15.75" customHeight="1" x14ac:dyDescent="0.45">
      <c r="A28" s="61" t="s">
        <v>18</v>
      </c>
      <c r="B28" s="62"/>
      <c r="C28" s="62"/>
      <c r="D28" s="62"/>
      <c r="E28" s="19">
        <f>SUM(E25:E27)</f>
        <v>0</v>
      </c>
      <c r="F28" s="47" t="s">
        <v>19</v>
      </c>
      <c r="G28" s="70"/>
      <c r="H28" s="20">
        <f>SUM(H25:H27)</f>
        <v>0</v>
      </c>
      <c r="I28" s="49" t="s">
        <v>20</v>
      </c>
      <c r="J28" s="62"/>
      <c r="K28" s="19">
        <f>SUM(K25:K27)</f>
        <v>0</v>
      </c>
      <c r="L28" s="47" t="s">
        <v>21</v>
      </c>
      <c r="M28" s="70"/>
      <c r="N28" s="20">
        <f>SUM(N25:N27)</f>
        <v>0</v>
      </c>
      <c r="O28" s="49" t="s">
        <v>22</v>
      </c>
      <c r="P28" s="62"/>
      <c r="Q28" s="19">
        <f>SUM(Q25:Q27)</f>
        <v>0</v>
      </c>
      <c r="R28" s="47" t="s">
        <v>26</v>
      </c>
      <c r="S28" s="70"/>
      <c r="T28" s="20">
        <f>SUM(T25:T27)</f>
        <v>0</v>
      </c>
    </row>
    <row r="29" spans="1:20" ht="15.75" customHeight="1" x14ac:dyDescent="0.45">
      <c r="A29" s="40" t="s">
        <v>57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2" t="s">
        <v>32</v>
      </c>
      <c r="S29" s="71"/>
      <c r="T29" s="38">
        <f>SUM(E28,H28,K28,N28,Q28,T28)</f>
        <v>0</v>
      </c>
    </row>
    <row r="30" spans="1:20" ht="15.75" customHeight="1" x14ac:dyDescent="0.5">
      <c r="A30" s="46" t="s">
        <v>63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4"/>
      <c r="S30" s="72"/>
      <c r="T30" s="39"/>
    </row>
  </sheetData>
  <mergeCells count="52">
    <mergeCell ref="A29:Q29"/>
    <mergeCell ref="R29:S30"/>
    <mergeCell ref="T29:T30"/>
    <mergeCell ref="A30:Q30"/>
    <mergeCell ref="R23:T23"/>
    <mergeCell ref="A28:D28"/>
    <mergeCell ref="F28:G28"/>
    <mergeCell ref="I28:J28"/>
    <mergeCell ref="L28:M28"/>
    <mergeCell ref="O28:P28"/>
    <mergeCell ref="R28:S28"/>
    <mergeCell ref="A23:E23"/>
    <mergeCell ref="F23:H23"/>
    <mergeCell ref="I23:K23"/>
    <mergeCell ref="L23:N23"/>
    <mergeCell ref="O23:Q23"/>
    <mergeCell ref="A19:Q19"/>
    <mergeCell ref="R19:S20"/>
    <mergeCell ref="T19:T20"/>
    <mergeCell ref="A20:Q20"/>
    <mergeCell ref="A22:T22"/>
    <mergeCell ref="R13:T13"/>
    <mergeCell ref="A18:D18"/>
    <mergeCell ref="F18:G18"/>
    <mergeCell ref="I18:J18"/>
    <mergeCell ref="L18:M18"/>
    <mergeCell ref="O18:P18"/>
    <mergeCell ref="R18:S18"/>
    <mergeCell ref="A13:E13"/>
    <mergeCell ref="F13:H13"/>
    <mergeCell ref="I13:K13"/>
    <mergeCell ref="L13:N13"/>
    <mergeCell ref="O13:Q13"/>
    <mergeCell ref="A9:Q9"/>
    <mergeCell ref="R9:S10"/>
    <mergeCell ref="T9:T10"/>
    <mergeCell ref="A10:Q10"/>
    <mergeCell ref="A12:T12"/>
    <mergeCell ref="R8:S8"/>
    <mergeCell ref="A1:T1"/>
    <mergeCell ref="A2:T2"/>
    <mergeCell ref="A3:E3"/>
    <mergeCell ref="F3:H3"/>
    <mergeCell ref="I3:K3"/>
    <mergeCell ref="L3:N3"/>
    <mergeCell ref="O3:Q3"/>
    <mergeCell ref="R3:T3"/>
    <mergeCell ref="A8:D8"/>
    <mergeCell ref="F8:G8"/>
    <mergeCell ref="I8:J8"/>
    <mergeCell ref="L8:M8"/>
    <mergeCell ref="O8:P8"/>
  </mergeCells>
  <pageMargins left="0.7" right="0.7" top="0.75" bottom="0.75" header="0.3" footer="0.3"/>
  <pageSetup orientation="portrait" r:id="rId1"/>
  <headerFooter>
    <oddHeader>&amp;C </oddHeader>
    <oddFooter>&amp;C 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8D59E-C87E-4B10-AD84-4AE95E5811C3}">
  <sheetPr>
    <tabColor rgb="FFFFFF00"/>
  </sheetPr>
  <dimension ref="A1:D36"/>
  <sheetViews>
    <sheetView workbookViewId="0">
      <selection sqref="A1:D1"/>
    </sheetView>
  </sheetViews>
  <sheetFormatPr defaultColWidth="9" defaultRowHeight="14.25" x14ac:dyDescent="0.45"/>
  <cols>
    <col min="1" max="1" width="30.59765625" style="12" customWidth="1"/>
    <col min="2" max="2" width="50.59765625" style="10" customWidth="1"/>
    <col min="3" max="3" width="30.59765625" style="6" customWidth="1"/>
    <col min="4" max="4" width="50.59765625" style="6" customWidth="1"/>
    <col min="5" max="16384" width="9" style="6"/>
  </cols>
  <sheetData>
    <row r="1" spans="1:4" ht="42.4" customHeight="1" x14ac:dyDescent="0.45">
      <c r="A1" s="63" t="s">
        <v>89</v>
      </c>
      <c r="B1" s="63"/>
      <c r="C1" s="63"/>
      <c r="D1" s="63"/>
    </row>
    <row r="2" spans="1:4" ht="21.4" thickBot="1" x14ac:dyDescent="0.5">
      <c r="A2" s="73" t="s">
        <v>64</v>
      </c>
      <c r="B2" s="73"/>
      <c r="C2" s="73"/>
      <c r="D2" s="74"/>
    </row>
    <row r="3" spans="1:4" ht="21.75" thickTop="1" thickBot="1" x14ac:dyDescent="0.5">
      <c r="A3" s="55" t="s">
        <v>66</v>
      </c>
      <c r="B3" s="55"/>
      <c r="C3" s="51" t="s">
        <v>67</v>
      </c>
      <c r="D3" s="53"/>
    </row>
    <row r="4" spans="1:4" ht="18.75" thickTop="1" thickBot="1" x14ac:dyDescent="0.6">
      <c r="A4" s="11" t="s">
        <v>70</v>
      </c>
      <c r="B4" s="7" t="s">
        <v>65</v>
      </c>
      <c r="C4" s="11" t="s">
        <v>70</v>
      </c>
      <c r="D4" s="7" t="s">
        <v>65</v>
      </c>
    </row>
    <row r="5" spans="1:4" ht="16.149999999999999" thickTop="1" x14ac:dyDescent="0.45">
      <c r="A5" s="8"/>
      <c r="B5" s="2"/>
      <c r="C5" s="15"/>
      <c r="D5" s="17"/>
    </row>
    <row r="6" spans="1:4" ht="15.75" x14ac:dyDescent="0.45">
      <c r="A6" s="8"/>
      <c r="B6" s="2"/>
      <c r="C6" s="15"/>
      <c r="D6" s="17"/>
    </row>
    <row r="7" spans="1:4" ht="15.75" x14ac:dyDescent="0.45">
      <c r="A7" s="8"/>
      <c r="B7" s="2"/>
      <c r="C7" s="15"/>
      <c r="D7" s="17"/>
    </row>
    <row r="8" spans="1:4" ht="15.75" x14ac:dyDescent="0.45">
      <c r="A8" s="8"/>
      <c r="B8" s="2"/>
      <c r="C8" s="15"/>
      <c r="D8" s="17"/>
    </row>
    <row r="9" spans="1:4" ht="15.75" x14ac:dyDescent="0.45">
      <c r="A9" s="8"/>
      <c r="B9" s="2"/>
      <c r="C9" s="15"/>
      <c r="D9" s="17"/>
    </row>
    <row r="10" spans="1:4" ht="15.75" x14ac:dyDescent="0.45">
      <c r="A10" s="9"/>
      <c r="B10" s="2"/>
      <c r="C10" s="16"/>
      <c r="D10" s="17"/>
    </row>
    <row r="11" spans="1:4" ht="15.75" x14ac:dyDescent="0.45">
      <c r="A11" s="9"/>
      <c r="B11" s="2"/>
      <c r="C11" s="16"/>
      <c r="D11" s="17"/>
    </row>
    <row r="12" spans="1:4" ht="15.75" customHeight="1" x14ac:dyDescent="0.45">
      <c r="A12" s="75"/>
      <c r="B12" s="76"/>
      <c r="C12" s="76"/>
      <c r="D12" s="77"/>
    </row>
    <row r="13" spans="1:4" ht="15.75" customHeight="1" x14ac:dyDescent="0.5">
      <c r="A13" s="25"/>
      <c r="B13" s="25"/>
      <c r="C13" s="25"/>
      <c r="D13" s="25"/>
    </row>
    <row r="14" spans="1:4" ht="21.4" thickBot="1" x14ac:dyDescent="0.5">
      <c r="A14" s="73" t="s">
        <v>68</v>
      </c>
      <c r="B14" s="73"/>
      <c r="C14" s="73"/>
      <c r="D14" s="74"/>
    </row>
    <row r="15" spans="1:4" ht="21.75" thickTop="1" thickBot="1" x14ac:dyDescent="0.5">
      <c r="A15" s="55" t="s">
        <v>66</v>
      </c>
      <c r="B15" s="55"/>
      <c r="C15" s="51" t="s">
        <v>67</v>
      </c>
      <c r="D15" s="53"/>
    </row>
    <row r="16" spans="1:4" ht="18.75" thickTop="1" thickBot="1" x14ac:dyDescent="0.6">
      <c r="A16" s="11" t="s">
        <v>70</v>
      </c>
      <c r="B16" s="7" t="s">
        <v>65</v>
      </c>
      <c r="C16" s="11" t="s">
        <v>70</v>
      </c>
      <c r="D16" s="7" t="s">
        <v>65</v>
      </c>
    </row>
    <row r="17" spans="1:4" ht="16.149999999999999" thickTop="1" x14ac:dyDescent="0.45">
      <c r="A17" s="8"/>
      <c r="B17" s="2"/>
      <c r="C17" s="15"/>
      <c r="D17" s="17"/>
    </row>
    <row r="18" spans="1:4" ht="15.75" x14ac:dyDescent="0.45">
      <c r="A18" s="8"/>
      <c r="B18" s="2"/>
      <c r="C18" s="15"/>
      <c r="D18" s="17"/>
    </row>
    <row r="19" spans="1:4" ht="15.75" x14ac:dyDescent="0.45">
      <c r="A19" s="8"/>
      <c r="B19" s="2"/>
      <c r="C19" s="15"/>
      <c r="D19" s="17"/>
    </row>
    <row r="20" spans="1:4" ht="15.75" x14ac:dyDescent="0.45">
      <c r="A20" s="8"/>
      <c r="B20" s="2"/>
      <c r="C20" s="15"/>
      <c r="D20" s="17"/>
    </row>
    <row r="21" spans="1:4" ht="15.75" x14ac:dyDescent="0.45">
      <c r="A21" s="8"/>
      <c r="B21" s="2"/>
      <c r="C21" s="15"/>
      <c r="D21" s="17"/>
    </row>
    <row r="22" spans="1:4" ht="15.75" x14ac:dyDescent="0.45">
      <c r="A22" s="9"/>
      <c r="B22" s="2"/>
      <c r="C22" s="16"/>
      <c r="D22" s="17"/>
    </row>
    <row r="23" spans="1:4" ht="15.75" x14ac:dyDescent="0.45">
      <c r="A23" s="9"/>
      <c r="B23" s="2"/>
      <c r="C23" s="16"/>
      <c r="D23" s="17"/>
    </row>
    <row r="24" spans="1:4" ht="15.75" x14ac:dyDescent="0.45">
      <c r="A24" s="75"/>
      <c r="B24" s="76"/>
      <c r="C24" s="76"/>
      <c r="D24" s="77"/>
    </row>
    <row r="26" spans="1:4" ht="21.4" thickBot="1" x14ac:dyDescent="0.5">
      <c r="A26" s="73" t="s">
        <v>69</v>
      </c>
      <c r="B26" s="73"/>
      <c r="C26" s="73"/>
      <c r="D26" s="74"/>
    </row>
    <row r="27" spans="1:4" ht="21.75" thickTop="1" thickBot="1" x14ac:dyDescent="0.5">
      <c r="A27" s="55" t="s">
        <v>66</v>
      </c>
      <c r="B27" s="55"/>
      <c r="C27" s="51" t="s">
        <v>67</v>
      </c>
      <c r="D27" s="53"/>
    </row>
    <row r="28" spans="1:4" ht="18.75" thickTop="1" thickBot="1" x14ac:dyDescent="0.6">
      <c r="A28" s="11" t="s">
        <v>70</v>
      </c>
      <c r="B28" s="7" t="s">
        <v>65</v>
      </c>
      <c r="C28" s="11" t="s">
        <v>70</v>
      </c>
      <c r="D28" s="7" t="s">
        <v>65</v>
      </c>
    </row>
    <row r="29" spans="1:4" ht="16.149999999999999" thickTop="1" x14ac:dyDescent="0.45">
      <c r="A29" s="8"/>
      <c r="B29" s="2"/>
      <c r="C29" s="15"/>
      <c r="D29" s="17"/>
    </row>
    <row r="30" spans="1:4" ht="15.75" x14ac:dyDescent="0.45">
      <c r="A30" s="8"/>
      <c r="B30" s="2"/>
      <c r="C30" s="15"/>
      <c r="D30" s="17"/>
    </row>
    <row r="31" spans="1:4" ht="15.75" x14ac:dyDescent="0.45">
      <c r="A31" s="8"/>
      <c r="B31" s="2"/>
      <c r="C31" s="15"/>
      <c r="D31" s="17"/>
    </row>
    <row r="32" spans="1:4" ht="15.75" x14ac:dyDescent="0.45">
      <c r="A32" s="8"/>
      <c r="B32" s="2"/>
      <c r="C32" s="15"/>
      <c r="D32" s="17"/>
    </row>
    <row r="33" spans="1:4" ht="15.75" x14ac:dyDescent="0.45">
      <c r="A33" s="8"/>
      <c r="B33" s="2"/>
      <c r="C33" s="15"/>
      <c r="D33" s="17"/>
    </row>
    <row r="34" spans="1:4" ht="15.75" x14ac:dyDescent="0.45">
      <c r="A34" s="9"/>
      <c r="B34" s="2"/>
      <c r="C34" s="16"/>
      <c r="D34" s="17"/>
    </row>
    <row r="35" spans="1:4" ht="15.75" x14ac:dyDescent="0.45">
      <c r="A35" s="9"/>
      <c r="B35" s="2"/>
      <c r="C35" s="16"/>
      <c r="D35" s="17"/>
    </row>
    <row r="36" spans="1:4" ht="15.75" x14ac:dyDescent="0.45">
      <c r="A36" s="75"/>
      <c r="B36" s="76"/>
      <c r="C36" s="76"/>
      <c r="D36" s="77"/>
    </row>
  </sheetData>
  <mergeCells count="13">
    <mergeCell ref="A1:D1"/>
    <mergeCell ref="A2:D2"/>
    <mergeCell ref="A3:B3"/>
    <mergeCell ref="C3:D3"/>
    <mergeCell ref="A36:D36"/>
    <mergeCell ref="A12:D12"/>
    <mergeCell ref="A26:D26"/>
    <mergeCell ref="A27:B27"/>
    <mergeCell ref="C27:D27"/>
    <mergeCell ref="A24:D24"/>
    <mergeCell ref="A14:D14"/>
    <mergeCell ref="A15:B15"/>
    <mergeCell ref="C15:D15"/>
  </mergeCells>
  <pageMargins left="0.7" right="0.7" top="0.75" bottom="0.75" header="0.3" footer="0.3"/>
  <pageSetup orientation="portrait" r:id="rId1"/>
  <headerFooter>
    <oddHeader>&amp;C </oddHeader>
    <oddFooter>&amp;C 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titus xmlns="http://schemas.titus.com/TitusProperties/">
  <TitusGUID xmlns="">117c4c5c-add2-4a26-ad0f-8d259b06494f</TitusGUID>
  <TitusMetadata xmlns="">eyJucyI6Imh0dHA6XC9cL3d3dy50aXR1cy5jb21cL25zXC9OQVJBQ1VJIiwicHJvcHMiOlt7Im4iOiJEZXNpZ25hdGlvbiIsInZhbHMiOlt7InZhbHVlIjoiTm9uZSJ9XX0seyJuIjoiR3JvdXBpbmciLCJ2YWxzIjpbXX0seyJuIjoiQ1VJIiwidmFscyI6W119LHsibiI6IkRpc3NlbWluYXRpb24iLCJ2YWxzIjpbXX0seyJuIjoiRExDb250cm9sIiwidmFscyI6W119LHsibiI6IlVVSSIsInZhbHMiOltdfSx7Im4iOiJBZ2VuY3kiLCJ2YWxzIjpbXX0seyJuIjoiVEVNUExBVEUiLCJ2YWxzIjpbXX0seyJuIjoiRGVjb250cm9sIiwidmFscyI6W119LHsibiI6IkRlY29udHJvbERhdGUiLCJ2YWxzIjpbXX0seyJuIjoiU3VwcGxlbWVudGFsIiwidmFscyI6W119XX0=</TitusMetadata>
</titu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0F7271C938B448905748BD607A25D2" ma:contentTypeVersion="14" ma:contentTypeDescription="Create a new document." ma:contentTypeScope="" ma:versionID="e6209f32a1ad80ab676e81f388075bc0">
  <xsd:schema xmlns:xsd="http://www.w3.org/2001/XMLSchema" xmlns:xs="http://www.w3.org/2001/XMLSchema" xmlns:p="http://schemas.microsoft.com/office/2006/metadata/properties" xmlns:ns1="http://schemas.microsoft.com/sharepoint/v3" xmlns:ns2="ea67f073-1e62-4fe6-928f-7d9466450536" xmlns:ns3="4a15fd49-a0e4-4183-b669-36ac788d91f2" xmlns:ns4="828dcc17-7477-4ca3-8ca8-b9d49b0fe374" targetNamespace="http://schemas.microsoft.com/office/2006/metadata/properties" ma:root="true" ma:fieldsID="4a3de1689dd1bd3bae49c02badf99837" ns1:_="" ns2:_="" ns3:_="" ns4:_="">
    <xsd:import namespace="http://schemas.microsoft.com/sharepoint/v3"/>
    <xsd:import namespace="ea67f073-1e62-4fe6-928f-7d9466450536"/>
    <xsd:import namespace="4a15fd49-a0e4-4183-b669-36ac788d91f2"/>
    <xsd:import namespace="828dcc17-7477-4ca3-8ca8-b9d49b0fe374"/>
    <xsd:element name="properties">
      <xsd:complexType>
        <xsd:sequence>
          <xsd:element name="documentManagement">
            <xsd:complexType>
              <xsd:all>
                <xsd:element ref="ns2:Sensitivity_x0020_Categorizatio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4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7f073-1e62-4fe6-928f-7d9466450536" elementFormDefault="qualified">
    <xsd:import namespace="http://schemas.microsoft.com/office/2006/documentManagement/types"/>
    <xsd:import namespace="http://schemas.microsoft.com/office/infopath/2007/PartnerControls"/>
    <xsd:element name="Sensitivity_x0020_Categorization" ma:index="1" nillable="true" ma:displayName="Sensitivity Categorization" ma:internalName="Sensitivity_x0020_Categorization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ritical Infrastructure-Physical Security"/>
                    <xsd:enumeration value="Critical Infrastructure-Sensitive IT Systems Information"/>
                    <xsd:enumeration value="Financial-Bank Secrecy"/>
                    <xsd:enumeration value="Financial-Budget"/>
                    <xsd:enumeration value="Financial-Other"/>
                    <xsd:enumeration value="Information Systems Vulnerability Information"/>
                    <xsd:enumeration value="Law Enforcement-Financial Records"/>
                    <xsd:enumeration value="Legal-Administrative Proceedings"/>
                    <xsd:enumeration value="Legal-Privilege"/>
                    <xsd:enumeration value="Privacy-Health Information"/>
                    <xsd:enumeration value="Privacy-Other"/>
                    <xsd:enumeration value="Privacy-Personnel"/>
                    <xsd:enumeration value="Procurement and Acquisition—Source Selection"/>
                    <xsd:enumeration value="Supervisory Sensitive Information"/>
                    <xsd:enumeration value="No Sensitivity Categorization"/>
                  </xsd:restriction>
                </xsd:simple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5fd49-a0e4-4183-b669-36ac788d91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b87e673-b7bb-4a51-9774-28bbf13dde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8dcc17-7477-4ca3-8ca8-b9d49b0fe37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5602c658-0259-491e-af8c-515c06184b72}" ma:internalName="TaxCatchAll" ma:showField="CatchAllData" ma:web="828dcc17-7477-4ca3-8ca8-b9d49b0fe3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8b87e673-b7bb-4a51-9774-28bbf13dde5f" ContentTypeId="0x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828dcc17-7477-4ca3-8ca8-b9d49b0fe374" xsi:nil="true"/>
    <_ip_UnifiedCompliancePolicyProperties xmlns="http://schemas.microsoft.com/sharepoint/v3" xsi:nil="true"/>
    <Sensitivity_x0020_Categorization xmlns="ea67f073-1e62-4fe6-928f-7d9466450536" xsi:nil="true"/>
    <lcf76f155ced4ddcb4097134ff3c332f xmlns="4a15fd49-a0e4-4183-b669-36ac788d91f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138EFA-B512-456E-AB0E-9B1937926BDC}">
  <ds:schemaRefs>
    <ds:schemaRef ds:uri="http://schemas.titus.com/TitusProperties/"/>
    <ds:schemaRef ds:uri=""/>
  </ds:schemaRefs>
</ds:datastoreItem>
</file>

<file path=customXml/itemProps2.xml><?xml version="1.0" encoding="utf-8"?>
<ds:datastoreItem xmlns:ds="http://schemas.openxmlformats.org/officeDocument/2006/customXml" ds:itemID="{2AA206E9-F396-436C-AB7D-88CD8327C9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a67f073-1e62-4fe6-928f-7d9466450536"/>
    <ds:schemaRef ds:uri="4a15fd49-a0e4-4183-b669-36ac788d91f2"/>
    <ds:schemaRef ds:uri="828dcc17-7477-4ca3-8ca8-b9d49b0fe3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CA2362-95D4-4C59-9AD5-9871C724D383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7168031A-D9ED-48F0-9E62-DC0972AF53D3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236D503A-8596-41E9-A31F-29AE05AA471C}">
  <ds:schemaRefs>
    <ds:schemaRef ds:uri="http://purl.org/dc/terms/"/>
    <ds:schemaRef ds:uri="http://schemas.microsoft.com/sharepoint/v3"/>
    <ds:schemaRef ds:uri="4a15fd49-a0e4-4183-b669-36ac788d91f2"/>
    <ds:schemaRef ds:uri="http://schemas.microsoft.com/office/2006/documentManagement/types"/>
    <ds:schemaRef ds:uri="828dcc17-7477-4ca3-8ca8-b9d49b0fe374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ea67f073-1e62-4fe6-928f-7d946645053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Attacnment B Instructions</vt:lpstr>
      <vt:lpstr>Property Biz, AV Teh-Equipment</vt:lpstr>
      <vt:lpstr>Property Food &amp; Beverage</vt:lpstr>
      <vt:lpstr>Property LCMS Rooms</vt:lpstr>
      <vt:lpstr>Property Summary - Cost</vt:lpstr>
      <vt:lpstr>Narrative-Assumption_Exception</vt:lpstr>
    </vt:vector>
  </TitlesOfParts>
  <Company>Comptroller of the Currency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OCC AQM MST</dc:creator>
  <cp:keywords>Designation=None;Basic=;Grouping=;CUI=;Dissemination=;RelTo=;Agency=;Contact=</cp:keywords>
  <cp:lastModifiedBy>Facione, Anethra A</cp:lastModifiedBy>
  <dcterms:created xsi:type="dcterms:W3CDTF">2026-03-02T14:05:00Z</dcterms:created>
  <dcterms:modified xsi:type="dcterms:W3CDTF">2026-03-23T23:37:49Z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117c4c5c-add2-4a26-ad0f-8d259b06494f</vt:lpwstr>
  </property>
  <property fmtid="{D5CDD505-2E9C-101B-9397-08002B2CF9AE}" pid="3" name="Designation">
    <vt:lpwstr>None</vt:lpwstr>
  </property>
  <property fmtid="{D5CDD505-2E9C-101B-9397-08002B2CF9AE}" pid="4" name="ContentTypeId">
    <vt:lpwstr>0x010100460F7271C938B448905748BD607A25D2</vt:lpwstr>
  </property>
  <property fmtid="{D5CDD505-2E9C-101B-9397-08002B2CF9AE}" pid="5" name="MediaServiceImageTags">
    <vt:lpwstr/>
  </property>
</Properties>
</file>