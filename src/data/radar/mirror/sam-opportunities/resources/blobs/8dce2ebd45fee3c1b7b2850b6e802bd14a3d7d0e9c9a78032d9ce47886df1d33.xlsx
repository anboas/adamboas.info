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G:\Shared drives\AGO SIAD - CorpSrv\OSPO\PreAward\REQUIREMENTS-25-1509_Consolidated Antenna\DOC REVIEW 1-31-26 - To be Filed After Finalization\Draft RFP\sam.gov version\"/>
    </mc:Choice>
  </mc:AlternateContent>
  <xr:revisionPtr revIDLastSave="0" documentId="13_ncr:1_{22D0F778-94A8-4EB2-B909-6C3FC2206335}" xr6:coauthVersionLast="47" xr6:coauthVersionMax="47" xr10:uidLastSave="{00000000-0000-0000-0000-000000000000}"/>
  <bookViews>
    <workbookView xWindow="-105" yWindow="0" windowWidth="26010" windowHeight="20985" xr2:uid="{00000000-000D-0000-FFFF-FFFF00000000}"/>
  </bookViews>
  <sheets>
    <sheet name="Program Integration IDIQ Price" sheetId="1" r:id="rId1"/>
    <sheet name="Operations IDIQ Price" sheetId="2" r:id="rId2"/>
    <sheet name="Maintenance IDIQ Price" sheetId="3" r:id="rId3"/>
    <sheet name="Sustainment IDIQ Price" sheetId="4" r:id="rId4"/>
    <sheet name="Program Integration Day 1 Price" sheetId="5" r:id="rId5"/>
    <sheet name="Operations Day 1 Price" sheetId="6" r:id="rId6"/>
    <sheet name="Maintenance Day 1 Price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5" i="7" l="1"/>
  <c r="E85" i="7"/>
  <c r="N7" i="7"/>
  <c r="N8" i="7"/>
  <c r="N9" i="7"/>
  <c r="N10" i="7"/>
  <c r="O10" i="7" s="1"/>
  <c r="N11" i="7"/>
  <c r="O11" i="7" s="1"/>
  <c r="N12" i="7"/>
  <c r="N13" i="7"/>
  <c r="O13" i="7" s="1"/>
  <c r="N14" i="7"/>
  <c r="O14" i="7" s="1"/>
  <c r="N15" i="7"/>
  <c r="O15" i="7" s="1"/>
  <c r="N16" i="7"/>
  <c r="O16" i="7" s="1"/>
  <c r="N17" i="7"/>
  <c r="O17" i="7" s="1"/>
  <c r="N18" i="7"/>
  <c r="O18" i="7" s="1"/>
  <c r="N19" i="7"/>
  <c r="N20" i="7"/>
  <c r="N21" i="7"/>
  <c r="N22" i="7"/>
  <c r="N23" i="7"/>
  <c r="O23" i="7" s="1"/>
  <c r="N24" i="7"/>
  <c r="O24" i="7" s="1"/>
  <c r="N25" i="7"/>
  <c r="O25" i="7" s="1"/>
  <c r="N26" i="7"/>
  <c r="O26" i="7" s="1"/>
  <c r="N27" i="7"/>
  <c r="O27" i="7" s="1"/>
  <c r="N28" i="7"/>
  <c r="O28" i="7" s="1"/>
  <c r="N29" i="7"/>
  <c r="N30" i="7"/>
  <c r="O30" i="7" s="1"/>
  <c r="N31" i="7"/>
  <c r="N32" i="7"/>
  <c r="N33" i="7"/>
  <c r="O33" i="7" s="1"/>
  <c r="N34" i="7"/>
  <c r="N35" i="7"/>
  <c r="N36" i="7"/>
  <c r="O36" i="7" s="1"/>
  <c r="N37" i="7"/>
  <c r="O37" i="7" s="1"/>
  <c r="N38" i="7"/>
  <c r="O38" i="7" s="1"/>
  <c r="N39" i="7"/>
  <c r="O39" i="7" s="1"/>
  <c r="N40" i="7"/>
  <c r="O40" i="7" s="1"/>
  <c r="N41" i="7"/>
  <c r="O41" i="7" s="1"/>
  <c r="N42" i="7"/>
  <c r="O42" i="7" s="1"/>
  <c r="N43" i="7"/>
  <c r="N44" i="7"/>
  <c r="O44" i="7" s="1"/>
  <c r="N45" i="7"/>
  <c r="N46" i="7"/>
  <c r="O46" i="7" s="1"/>
  <c r="N47" i="7"/>
  <c r="O47" i="7" s="1"/>
  <c r="N48" i="7"/>
  <c r="O48" i="7" s="1"/>
  <c r="N49" i="7"/>
  <c r="O49" i="7" s="1"/>
  <c r="N50" i="7"/>
  <c r="O50" i="7" s="1"/>
  <c r="N51" i="7"/>
  <c r="O51" i="7" s="1"/>
  <c r="N52" i="7"/>
  <c r="O52" i="7" s="1"/>
  <c r="N53" i="7"/>
  <c r="O53" i="7" s="1"/>
  <c r="N54" i="7"/>
  <c r="O54" i="7" s="1"/>
  <c r="N55" i="7"/>
  <c r="N56" i="7"/>
  <c r="N57" i="7"/>
  <c r="N58" i="7"/>
  <c r="O58" i="7" s="1"/>
  <c r="N59" i="7"/>
  <c r="O59" i="7" s="1"/>
  <c r="N60" i="7"/>
  <c r="O60" i="7" s="1"/>
  <c r="N61" i="7"/>
  <c r="O61" i="7" s="1"/>
  <c r="N62" i="7"/>
  <c r="O62" i="7" s="1"/>
  <c r="N63" i="7"/>
  <c r="O63" i="7" s="1"/>
  <c r="N64" i="7"/>
  <c r="O64" i="7" s="1"/>
  <c r="N65" i="7"/>
  <c r="O65" i="7" s="1"/>
  <c r="N66" i="7"/>
  <c r="O66" i="7" s="1"/>
  <c r="N67" i="7"/>
  <c r="N68" i="7"/>
  <c r="N69" i="7"/>
  <c r="N70" i="7"/>
  <c r="N71" i="7"/>
  <c r="N72" i="7"/>
  <c r="N6" i="7"/>
  <c r="O6" i="7" s="1"/>
  <c r="O71" i="7"/>
  <c r="O70" i="7"/>
  <c r="O69" i="7"/>
  <c r="O57" i="7"/>
  <c r="O45" i="7"/>
  <c r="O35" i="7"/>
  <c r="O34" i="7"/>
  <c r="O22" i="7"/>
  <c r="O21" i="7"/>
  <c r="O9" i="7"/>
  <c r="I7" i="7"/>
  <c r="I8" i="7"/>
  <c r="J8" i="7" s="1"/>
  <c r="I9" i="7"/>
  <c r="J9" i="7" s="1"/>
  <c r="I10" i="7"/>
  <c r="I11" i="7"/>
  <c r="I12" i="7"/>
  <c r="I13" i="7"/>
  <c r="J13" i="7" s="1"/>
  <c r="I14" i="7"/>
  <c r="J14" i="7" s="1"/>
  <c r="I15" i="7"/>
  <c r="J15" i="7" s="1"/>
  <c r="I16" i="7"/>
  <c r="J16" i="7" s="1"/>
  <c r="I17" i="7"/>
  <c r="J17" i="7" s="1"/>
  <c r="I18" i="7"/>
  <c r="J18" i="7" s="1"/>
  <c r="I19" i="7"/>
  <c r="I20" i="7"/>
  <c r="I21" i="7"/>
  <c r="I22" i="7"/>
  <c r="J22" i="7" s="1"/>
  <c r="I23" i="7"/>
  <c r="J23" i="7" s="1"/>
  <c r="I24" i="7"/>
  <c r="J24" i="7" s="1"/>
  <c r="I25" i="7"/>
  <c r="J25" i="7" s="1"/>
  <c r="I26" i="7"/>
  <c r="J26" i="7" s="1"/>
  <c r="I27" i="7"/>
  <c r="J27" i="7" s="1"/>
  <c r="I28" i="7"/>
  <c r="J28" i="7" s="1"/>
  <c r="I29" i="7"/>
  <c r="J29" i="7" s="1"/>
  <c r="I30" i="7"/>
  <c r="J30" i="7" s="1"/>
  <c r="I31" i="7"/>
  <c r="I32" i="7"/>
  <c r="J32" i="7" s="1"/>
  <c r="I33" i="7"/>
  <c r="J33" i="7" s="1"/>
  <c r="I34" i="7"/>
  <c r="I35" i="7"/>
  <c r="I36" i="7"/>
  <c r="I37" i="7"/>
  <c r="J37" i="7" s="1"/>
  <c r="I38" i="7"/>
  <c r="J38" i="7" s="1"/>
  <c r="I39" i="7"/>
  <c r="J39" i="7" s="1"/>
  <c r="I40" i="7"/>
  <c r="J40" i="7" s="1"/>
  <c r="I41" i="7"/>
  <c r="J41" i="7" s="1"/>
  <c r="I42" i="7"/>
  <c r="J42" i="7" s="1"/>
  <c r="I43" i="7"/>
  <c r="I44" i="7"/>
  <c r="I45" i="7"/>
  <c r="I46" i="7"/>
  <c r="J46" i="7" s="1"/>
  <c r="I47" i="7"/>
  <c r="J47" i="7" s="1"/>
  <c r="I48" i="7"/>
  <c r="J48" i="7" s="1"/>
  <c r="I49" i="7"/>
  <c r="J49" i="7" s="1"/>
  <c r="I50" i="7"/>
  <c r="J50" i="7" s="1"/>
  <c r="I51" i="7"/>
  <c r="J51" i="7" s="1"/>
  <c r="I52" i="7"/>
  <c r="J52" i="7" s="1"/>
  <c r="I53" i="7"/>
  <c r="J53" i="7" s="1"/>
  <c r="I54" i="7"/>
  <c r="J54" i="7" s="1"/>
  <c r="I55" i="7"/>
  <c r="I56" i="7"/>
  <c r="J56" i="7" s="1"/>
  <c r="I57" i="7"/>
  <c r="J57" i="7" s="1"/>
  <c r="I58" i="7"/>
  <c r="I59" i="7"/>
  <c r="I60" i="7"/>
  <c r="I61" i="7"/>
  <c r="J61" i="7" s="1"/>
  <c r="I62" i="7"/>
  <c r="J62" i="7" s="1"/>
  <c r="I63" i="7"/>
  <c r="J63" i="7" s="1"/>
  <c r="I64" i="7"/>
  <c r="J64" i="7" s="1"/>
  <c r="I65" i="7"/>
  <c r="J65" i="7" s="1"/>
  <c r="I66" i="7"/>
  <c r="J66" i="7" s="1"/>
  <c r="I67" i="7"/>
  <c r="I68" i="7"/>
  <c r="I69" i="7"/>
  <c r="I70" i="7"/>
  <c r="J70" i="7" s="1"/>
  <c r="I71" i="7"/>
  <c r="J71" i="7" s="1"/>
  <c r="I72" i="7"/>
  <c r="J72" i="7" s="1"/>
  <c r="I6" i="7"/>
  <c r="J6" i="7" s="1"/>
  <c r="D7" i="7"/>
  <c r="E7" i="7" s="1"/>
  <c r="D8" i="7"/>
  <c r="D9" i="7"/>
  <c r="D10" i="7"/>
  <c r="D11" i="7"/>
  <c r="E11" i="7" s="1"/>
  <c r="D12" i="7"/>
  <c r="E12" i="7" s="1"/>
  <c r="D13" i="7"/>
  <c r="E13" i="7" s="1"/>
  <c r="D14" i="7"/>
  <c r="E14" i="7" s="1"/>
  <c r="D15" i="7"/>
  <c r="E15" i="7" s="1"/>
  <c r="D16" i="7"/>
  <c r="E16" i="7" s="1"/>
  <c r="D17" i="7"/>
  <c r="E17" i="7" s="1"/>
  <c r="D18" i="7"/>
  <c r="E18" i="7" s="1"/>
  <c r="D19" i="7"/>
  <c r="E19" i="7" s="1"/>
  <c r="D20" i="7"/>
  <c r="D21" i="7"/>
  <c r="D22" i="7"/>
  <c r="D23" i="7"/>
  <c r="E23" i="7" s="1"/>
  <c r="D24" i="7"/>
  <c r="E24" i="7" s="1"/>
  <c r="D25" i="7"/>
  <c r="E25" i="7" s="1"/>
  <c r="D26" i="7"/>
  <c r="E26" i="7" s="1"/>
  <c r="D27" i="7"/>
  <c r="E27" i="7" s="1"/>
  <c r="D28" i="7"/>
  <c r="E28" i="7" s="1"/>
  <c r="D29" i="7"/>
  <c r="E29" i="7" s="1"/>
  <c r="D30" i="7"/>
  <c r="E30" i="7" s="1"/>
  <c r="D31" i="7"/>
  <c r="E31" i="7" s="1"/>
  <c r="D32" i="7"/>
  <c r="D33" i="7"/>
  <c r="D34" i="7"/>
  <c r="D35" i="7"/>
  <c r="E35" i="7" s="1"/>
  <c r="D36" i="7"/>
  <c r="E36" i="7" s="1"/>
  <c r="D37" i="7"/>
  <c r="E37" i="7" s="1"/>
  <c r="D38" i="7"/>
  <c r="E38" i="7" s="1"/>
  <c r="D39" i="7"/>
  <c r="E39" i="7" s="1"/>
  <c r="D40" i="7"/>
  <c r="E40" i="7" s="1"/>
  <c r="D41" i="7"/>
  <c r="E41" i="7" s="1"/>
  <c r="D42" i="7"/>
  <c r="E42" i="7" s="1"/>
  <c r="D43" i="7"/>
  <c r="E43" i="7" s="1"/>
  <c r="D44" i="7"/>
  <c r="D45" i="7"/>
  <c r="D46" i="7"/>
  <c r="D47" i="7"/>
  <c r="E47" i="7" s="1"/>
  <c r="D48" i="7"/>
  <c r="E48" i="7" s="1"/>
  <c r="D49" i="7"/>
  <c r="E49" i="7" s="1"/>
  <c r="D50" i="7"/>
  <c r="E50" i="7" s="1"/>
  <c r="D51" i="7"/>
  <c r="E51" i="7" s="1"/>
  <c r="D52" i="7"/>
  <c r="E52" i="7" s="1"/>
  <c r="D53" i="7"/>
  <c r="E53" i="7" s="1"/>
  <c r="D54" i="7"/>
  <c r="E54" i="7" s="1"/>
  <c r="D55" i="7"/>
  <c r="E55" i="7" s="1"/>
  <c r="D56" i="7"/>
  <c r="D57" i="7"/>
  <c r="D58" i="7"/>
  <c r="D59" i="7"/>
  <c r="E59" i="7" s="1"/>
  <c r="D60" i="7"/>
  <c r="E60" i="7" s="1"/>
  <c r="D61" i="7"/>
  <c r="E61" i="7" s="1"/>
  <c r="D62" i="7"/>
  <c r="E62" i="7" s="1"/>
  <c r="D63" i="7"/>
  <c r="E63" i="7" s="1"/>
  <c r="D64" i="7"/>
  <c r="E64" i="7" s="1"/>
  <c r="D65" i="7"/>
  <c r="E65" i="7" s="1"/>
  <c r="D66" i="7"/>
  <c r="E66" i="7" s="1"/>
  <c r="D67" i="7"/>
  <c r="E67" i="7" s="1"/>
  <c r="D68" i="7"/>
  <c r="D69" i="7"/>
  <c r="D70" i="7"/>
  <c r="D71" i="7"/>
  <c r="E71" i="7" s="1"/>
  <c r="D72" i="7"/>
  <c r="E72" i="7" s="1"/>
  <c r="D6" i="7"/>
  <c r="K7" i="7"/>
  <c r="K8" i="7"/>
  <c r="K9" i="7"/>
  <c r="K10" i="7"/>
  <c r="K11" i="7"/>
  <c r="K12" i="7"/>
  <c r="K18" i="7"/>
  <c r="K19" i="7"/>
  <c r="K20" i="7"/>
  <c r="K21" i="7"/>
  <c r="K22" i="7"/>
  <c r="K23" i="7"/>
  <c r="K24" i="7"/>
  <c r="K30" i="7"/>
  <c r="K31" i="7"/>
  <c r="K32" i="7"/>
  <c r="K33" i="7"/>
  <c r="K34" i="7"/>
  <c r="K35" i="7"/>
  <c r="K36" i="7"/>
  <c r="K42" i="7"/>
  <c r="K43" i="7"/>
  <c r="K44" i="7"/>
  <c r="K45" i="7"/>
  <c r="K46" i="7"/>
  <c r="K47" i="7"/>
  <c r="K48" i="7"/>
  <c r="K58" i="7"/>
  <c r="K59" i="7"/>
  <c r="K60" i="7"/>
  <c r="K70" i="7"/>
  <c r="K71" i="7"/>
  <c r="K72" i="7"/>
  <c r="F9" i="7"/>
  <c r="F10" i="7"/>
  <c r="F11" i="7"/>
  <c r="F12" i="7"/>
  <c r="F13" i="7"/>
  <c r="F14" i="7"/>
  <c r="F15" i="7"/>
  <c r="F21" i="7"/>
  <c r="F22" i="7"/>
  <c r="F23" i="7"/>
  <c r="F24" i="7"/>
  <c r="F25" i="7"/>
  <c r="F26" i="7"/>
  <c r="F27" i="7"/>
  <c r="F33" i="7"/>
  <c r="F34" i="7"/>
  <c r="F35" i="7"/>
  <c r="F36" i="7"/>
  <c r="F37" i="7"/>
  <c r="F38" i="7"/>
  <c r="F39" i="7"/>
  <c r="F45" i="7"/>
  <c r="F46" i="7"/>
  <c r="F47" i="7"/>
  <c r="F48" i="7"/>
  <c r="F49" i="7"/>
  <c r="F50" i="7"/>
  <c r="F51" i="7"/>
  <c r="F58" i="7"/>
  <c r="F59" i="7"/>
  <c r="F60" i="7"/>
  <c r="F61" i="7"/>
  <c r="F62" i="7"/>
  <c r="F63" i="7"/>
  <c r="F70" i="7"/>
  <c r="F71" i="7"/>
  <c r="F72" i="7"/>
  <c r="F6" i="7"/>
  <c r="O72" i="7"/>
  <c r="O68" i="7"/>
  <c r="O67" i="7"/>
  <c r="O56" i="7"/>
  <c r="O55" i="7"/>
  <c r="O43" i="7"/>
  <c r="O32" i="7"/>
  <c r="O31" i="7"/>
  <c r="O29" i="7"/>
  <c r="O20" i="7"/>
  <c r="O19" i="7"/>
  <c r="O12" i="7"/>
  <c r="O8" i="7"/>
  <c r="O7" i="7"/>
  <c r="J69" i="7"/>
  <c r="J68" i="7"/>
  <c r="J67" i="7"/>
  <c r="J60" i="7"/>
  <c r="J59" i="7"/>
  <c r="J58" i="7"/>
  <c r="J55" i="7"/>
  <c r="J45" i="7"/>
  <c r="J44" i="7"/>
  <c r="J43" i="7"/>
  <c r="J36" i="7"/>
  <c r="J35" i="7"/>
  <c r="J34" i="7"/>
  <c r="J31" i="7"/>
  <c r="J21" i="7"/>
  <c r="J20" i="7"/>
  <c r="J19" i="7"/>
  <c r="J12" i="7"/>
  <c r="J11" i="7"/>
  <c r="J10" i="7"/>
  <c r="J7" i="7"/>
  <c r="E8" i="7"/>
  <c r="E9" i="7"/>
  <c r="E10" i="7"/>
  <c r="E20" i="7"/>
  <c r="E21" i="7"/>
  <c r="E22" i="7"/>
  <c r="E32" i="7"/>
  <c r="E33" i="7"/>
  <c r="E34" i="7"/>
  <c r="E44" i="7"/>
  <c r="E45" i="7"/>
  <c r="E46" i="7"/>
  <c r="E56" i="7"/>
  <c r="E57" i="7"/>
  <c r="E58" i="7"/>
  <c r="E68" i="7"/>
  <c r="E69" i="7"/>
  <c r="E70" i="7"/>
  <c r="M72" i="7"/>
  <c r="M71" i="7"/>
  <c r="M70" i="7"/>
  <c r="M69" i="7"/>
  <c r="M68" i="7"/>
  <c r="M67" i="7"/>
  <c r="M66" i="7"/>
  <c r="M65" i="7"/>
  <c r="M64" i="7"/>
  <c r="M63" i="7"/>
  <c r="M62" i="7"/>
  <c r="M61" i="7"/>
  <c r="M60" i="7"/>
  <c r="M59" i="7"/>
  <c r="M58" i="7"/>
  <c r="M57" i="7"/>
  <c r="M56" i="7"/>
  <c r="M55" i="7"/>
  <c r="M54" i="7"/>
  <c r="M53" i="7"/>
  <c r="M52" i="7"/>
  <c r="M51" i="7"/>
  <c r="M50" i="7"/>
  <c r="M49" i="7"/>
  <c r="M48" i="7"/>
  <c r="M47" i="7"/>
  <c r="M46" i="7"/>
  <c r="M45" i="7"/>
  <c r="M44" i="7"/>
  <c r="M43" i="7"/>
  <c r="M42" i="7"/>
  <c r="M41" i="7"/>
  <c r="M40" i="7"/>
  <c r="M39" i="7"/>
  <c r="M38" i="7"/>
  <c r="M37" i="7"/>
  <c r="M36" i="7"/>
  <c r="M35" i="7"/>
  <c r="M34" i="7"/>
  <c r="M33" i="7"/>
  <c r="M32" i="7"/>
  <c r="M31" i="7"/>
  <c r="M30" i="7"/>
  <c r="M29" i="7"/>
  <c r="M28" i="7"/>
  <c r="M27" i="7"/>
  <c r="M26" i="7"/>
  <c r="M25" i="7"/>
  <c r="M24" i="7"/>
  <c r="M23" i="7"/>
  <c r="M22" i="7"/>
  <c r="M21" i="7"/>
  <c r="M20" i="7"/>
  <c r="M19" i="7"/>
  <c r="M18" i="7"/>
  <c r="M17" i="7"/>
  <c r="M16" i="7"/>
  <c r="M15" i="7"/>
  <c r="M14" i="7"/>
  <c r="M13" i="7"/>
  <c r="M12" i="7"/>
  <c r="M11" i="7"/>
  <c r="M10" i="7"/>
  <c r="M9" i="7"/>
  <c r="M8" i="7"/>
  <c r="M7" i="7"/>
  <c r="M6" i="7"/>
  <c r="H72" i="7"/>
  <c r="H71" i="7"/>
  <c r="H70" i="7"/>
  <c r="H69" i="7"/>
  <c r="H68" i="7"/>
  <c r="H67" i="7"/>
  <c r="H66" i="7"/>
  <c r="H65" i="7"/>
  <c r="H64" i="7"/>
  <c r="H63" i="7"/>
  <c r="H62" i="7"/>
  <c r="H61" i="7"/>
  <c r="H60" i="7"/>
  <c r="H59" i="7"/>
  <c r="H58" i="7"/>
  <c r="H57" i="7"/>
  <c r="H56" i="7"/>
  <c r="H55" i="7"/>
  <c r="H54" i="7"/>
  <c r="H53" i="7"/>
  <c r="H52" i="7"/>
  <c r="H51" i="7"/>
  <c r="H50" i="7"/>
  <c r="H49" i="7"/>
  <c r="H48" i="7"/>
  <c r="H47" i="7"/>
  <c r="H46" i="7"/>
  <c r="H45" i="7"/>
  <c r="H44" i="7"/>
  <c r="H43" i="7"/>
  <c r="H42" i="7"/>
  <c r="H41" i="7"/>
  <c r="H40" i="7"/>
  <c r="H39" i="7"/>
  <c r="H38" i="7"/>
  <c r="H37" i="7"/>
  <c r="H36" i="7"/>
  <c r="H35" i="7"/>
  <c r="H34" i="7"/>
  <c r="H33" i="7"/>
  <c r="H32" i="7"/>
  <c r="H31" i="7"/>
  <c r="H30" i="7"/>
  <c r="H29" i="7"/>
  <c r="H28" i="7"/>
  <c r="H27" i="7"/>
  <c r="H26" i="7"/>
  <c r="H25" i="7"/>
  <c r="H24" i="7"/>
  <c r="H23" i="7"/>
  <c r="H22" i="7"/>
  <c r="H21" i="7"/>
  <c r="H20" i="7"/>
  <c r="H19" i="7"/>
  <c r="H18" i="7"/>
  <c r="H17" i="7"/>
  <c r="H16" i="7"/>
  <c r="H15" i="7"/>
  <c r="H14" i="7"/>
  <c r="H13" i="7"/>
  <c r="H12" i="7"/>
  <c r="H11" i="7"/>
  <c r="H10" i="7"/>
  <c r="H9" i="7"/>
  <c r="H8" i="7"/>
  <c r="H7" i="7"/>
  <c r="H6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A48" i="7"/>
  <c r="A49" i="7"/>
  <c r="A50" i="7"/>
  <c r="A51" i="7"/>
  <c r="A52" i="7"/>
  <c r="F52" i="7" s="1"/>
  <c r="A53" i="7"/>
  <c r="F53" i="7" s="1"/>
  <c r="A54" i="7"/>
  <c r="A55" i="7"/>
  <c r="A56" i="7"/>
  <c r="A57" i="7"/>
  <c r="A58" i="7"/>
  <c r="A59" i="7"/>
  <c r="A60" i="7"/>
  <c r="A61" i="7"/>
  <c r="A62" i="7"/>
  <c r="A63" i="7"/>
  <c r="A64" i="7"/>
  <c r="F64" i="7" s="1"/>
  <c r="A65" i="7"/>
  <c r="F65" i="7" s="1"/>
  <c r="A66" i="7"/>
  <c r="F66" i="7" s="1"/>
  <c r="A67" i="7"/>
  <c r="A68" i="7"/>
  <c r="A69" i="7"/>
  <c r="A70" i="7"/>
  <c r="A71" i="7"/>
  <c r="A72" i="7"/>
  <c r="A44" i="7"/>
  <c r="A45" i="7"/>
  <c r="A46" i="7"/>
  <c r="A47" i="7"/>
  <c r="A37" i="7"/>
  <c r="A38" i="7"/>
  <c r="A39" i="7"/>
  <c r="A40" i="7"/>
  <c r="F40" i="7" s="1"/>
  <c r="A41" i="7"/>
  <c r="F41" i="7" s="1"/>
  <c r="A42" i="7"/>
  <c r="F42" i="7" s="1"/>
  <c r="A43" i="7"/>
  <c r="A7" i="7"/>
  <c r="A8" i="7"/>
  <c r="A9" i="7"/>
  <c r="A10" i="7"/>
  <c r="A11" i="7"/>
  <c r="A12" i="7"/>
  <c r="A13" i="7"/>
  <c r="A14" i="7"/>
  <c r="A15" i="7"/>
  <c r="A16" i="7"/>
  <c r="F16" i="7" s="1"/>
  <c r="A17" i="7"/>
  <c r="F17" i="7" s="1"/>
  <c r="A18" i="7"/>
  <c r="F18" i="7" s="1"/>
  <c r="A19" i="7"/>
  <c r="A20" i="7"/>
  <c r="A21" i="7"/>
  <c r="A22" i="7"/>
  <c r="A23" i="7"/>
  <c r="A24" i="7"/>
  <c r="A25" i="7"/>
  <c r="A26" i="7"/>
  <c r="A27" i="7"/>
  <c r="A28" i="7"/>
  <c r="F28" i="7" s="1"/>
  <c r="A29" i="7"/>
  <c r="F29" i="7" s="1"/>
  <c r="A30" i="7"/>
  <c r="F30" i="7" s="1"/>
  <c r="A31" i="7"/>
  <c r="A32" i="7"/>
  <c r="A33" i="7"/>
  <c r="A34" i="7"/>
  <c r="A35" i="7"/>
  <c r="A36" i="7"/>
  <c r="A6" i="7"/>
  <c r="O49" i="6"/>
  <c r="J49" i="6"/>
  <c r="E49" i="6"/>
  <c r="U44" i="6"/>
  <c r="U41" i="6"/>
  <c r="U40" i="6"/>
  <c r="U37" i="6"/>
  <c r="U36" i="6"/>
  <c r="U32" i="6"/>
  <c r="U29" i="6"/>
  <c r="U28" i="6"/>
  <c r="U25" i="6"/>
  <c r="U24" i="6"/>
  <c r="U20" i="6"/>
  <c r="U17" i="6"/>
  <c r="U16" i="6"/>
  <c r="U13" i="6"/>
  <c r="U12" i="6"/>
  <c r="U8" i="6"/>
  <c r="P46" i="6"/>
  <c r="P45" i="6"/>
  <c r="P44" i="6"/>
  <c r="P43" i="6"/>
  <c r="P42" i="6"/>
  <c r="P41" i="6"/>
  <c r="P34" i="6"/>
  <c r="P33" i="6"/>
  <c r="P32" i="6"/>
  <c r="P31" i="6"/>
  <c r="P30" i="6"/>
  <c r="P29" i="6"/>
  <c r="P22" i="6"/>
  <c r="P21" i="6"/>
  <c r="P20" i="6"/>
  <c r="P19" i="6"/>
  <c r="P18" i="6"/>
  <c r="P17" i="6"/>
  <c r="P10" i="6"/>
  <c r="P9" i="6"/>
  <c r="P8" i="6"/>
  <c r="P7" i="6"/>
  <c r="P6" i="6"/>
  <c r="K44" i="6"/>
  <c r="K41" i="6"/>
  <c r="K40" i="6"/>
  <c r="K37" i="6"/>
  <c r="K36" i="6"/>
  <c r="K32" i="6"/>
  <c r="K29" i="6"/>
  <c r="K28" i="6"/>
  <c r="K25" i="6"/>
  <c r="K24" i="6"/>
  <c r="K20" i="6"/>
  <c r="K17" i="6"/>
  <c r="K16" i="6"/>
  <c r="K13" i="6"/>
  <c r="K12" i="6"/>
  <c r="K8" i="6"/>
  <c r="F8" i="6"/>
  <c r="F9" i="6"/>
  <c r="F10" i="6"/>
  <c r="F11" i="6"/>
  <c r="F12" i="6"/>
  <c r="F16" i="6"/>
  <c r="F20" i="6"/>
  <c r="F21" i="6"/>
  <c r="F22" i="6"/>
  <c r="F23" i="6"/>
  <c r="F24" i="6"/>
  <c r="F28" i="6"/>
  <c r="F32" i="6"/>
  <c r="F33" i="6"/>
  <c r="F34" i="6"/>
  <c r="F35" i="6"/>
  <c r="F36" i="6"/>
  <c r="F40" i="6"/>
  <c r="F44" i="6"/>
  <c r="F45" i="6"/>
  <c r="F46" i="6"/>
  <c r="F47" i="6"/>
  <c r="F6" i="6"/>
  <c r="U36" i="5"/>
  <c r="U35" i="5"/>
  <c r="U34" i="5"/>
  <c r="U33" i="5"/>
  <c r="U32" i="5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P36" i="5"/>
  <c r="P35" i="5"/>
  <c r="P34" i="5"/>
  <c r="P33" i="5"/>
  <c r="P32" i="5"/>
  <c r="P31" i="5"/>
  <c r="P30" i="5"/>
  <c r="P29" i="5"/>
  <c r="P28" i="5"/>
  <c r="P27" i="5"/>
  <c r="P26" i="5"/>
  <c r="P25" i="5"/>
  <c r="P24" i="5"/>
  <c r="P23" i="5"/>
  <c r="P22" i="5"/>
  <c r="P21" i="5"/>
  <c r="P20" i="5"/>
  <c r="P19" i="5"/>
  <c r="P18" i="5"/>
  <c r="P17" i="5"/>
  <c r="P16" i="5"/>
  <c r="P15" i="5"/>
  <c r="P14" i="5"/>
  <c r="P13" i="5"/>
  <c r="P12" i="5"/>
  <c r="P11" i="5"/>
  <c r="P10" i="5"/>
  <c r="P9" i="5"/>
  <c r="P8" i="5"/>
  <c r="P7" i="5"/>
  <c r="P6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6" i="5"/>
  <c r="Y39" i="6"/>
  <c r="Y40" i="6"/>
  <c r="Y41" i="6"/>
  <c r="Y42" i="6"/>
  <c r="Y43" i="6"/>
  <c r="Y44" i="6"/>
  <c r="Y47" i="6"/>
  <c r="W37" i="6"/>
  <c r="W38" i="6"/>
  <c r="W39" i="6"/>
  <c r="W40" i="6"/>
  <c r="W41" i="6"/>
  <c r="W42" i="6"/>
  <c r="W43" i="6"/>
  <c r="W44" i="6"/>
  <c r="W45" i="6"/>
  <c r="W46" i="6"/>
  <c r="W47" i="6"/>
  <c r="T37" i="6"/>
  <c r="T38" i="6"/>
  <c r="T45" i="6"/>
  <c r="T46" i="6"/>
  <c r="R37" i="6"/>
  <c r="R38" i="6"/>
  <c r="R39" i="6"/>
  <c r="R40" i="6"/>
  <c r="R41" i="6"/>
  <c r="R42" i="6"/>
  <c r="R43" i="6"/>
  <c r="R44" i="6"/>
  <c r="R45" i="6"/>
  <c r="R46" i="6"/>
  <c r="R47" i="6"/>
  <c r="O39" i="6"/>
  <c r="O40" i="6"/>
  <c r="O43" i="6"/>
  <c r="O44" i="6"/>
  <c r="O45" i="6"/>
  <c r="O46" i="6"/>
  <c r="O47" i="6"/>
  <c r="M37" i="6"/>
  <c r="M38" i="6"/>
  <c r="M39" i="6"/>
  <c r="M40" i="6"/>
  <c r="M41" i="6"/>
  <c r="M42" i="6"/>
  <c r="M43" i="6"/>
  <c r="M44" i="6"/>
  <c r="M45" i="6"/>
  <c r="M46" i="6"/>
  <c r="M47" i="6"/>
  <c r="J37" i="6"/>
  <c r="J38" i="6"/>
  <c r="J45" i="6"/>
  <c r="J46" i="6"/>
  <c r="J47" i="6"/>
  <c r="H37" i="6"/>
  <c r="H38" i="6"/>
  <c r="H39" i="6"/>
  <c r="H40" i="6"/>
  <c r="H41" i="6"/>
  <c r="H42" i="6"/>
  <c r="H43" i="6"/>
  <c r="H44" i="6"/>
  <c r="H45" i="6"/>
  <c r="H46" i="6"/>
  <c r="H47" i="6"/>
  <c r="X7" i="6"/>
  <c r="X8" i="6"/>
  <c r="Y8" i="6" s="1"/>
  <c r="X9" i="6"/>
  <c r="Y9" i="6" s="1"/>
  <c r="X10" i="6"/>
  <c r="Y10" i="6" s="1"/>
  <c r="X11" i="6"/>
  <c r="X12" i="6"/>
  <c r="X13" i="6"/>
  <c r="Y13" i="6" s="1"/>
  <c r="X14" i="6"/>
  <c r="Y14" i="6" s="1"/>
  <c r="X15" i="6"/>
  <c r="Y15" i="6" s="1"/>
  <c r="X16" i="6"/>
  <c r="X17" i="6"/>
  <c r="Y17" i="6" s="1"/>
  <c r="X18" i="6"/>
  <c r="Y18" i="6" s="1"/>
  <c r="X19" i="6"/>
  <c r="Y19" i="6" s="1"/>
  <c r="X20" i="6"/>
  <c r="Y20" i="6" s="1"/>
  <c r="X21" i="6"/>
  <c r="Y21" i="6" s="1"/>
  <c r="X22" i="6"/>
  <c r="Y22" i="6" s="1"/>
  <c r="X23" i="6"/>
  <c r="Y23" i="6" s="1"/>
  <c r="X24" i="6"/>
  <c r="Y24" i="6" s="1"/>
  <c r="X25" i="6"/>
  <c r="X26" i="6"/>
  <c r="Y26" i="6" s="1"/>
  <c r="X27" i="6"/>
  <c r="X28" i="6"/>
  <c r="Y28" i="6" s="1"/>
  <c r="X29" i="6"/>
  <c r="Y29" i="6" s="1"/>
  <c r="X30" i="6"/>
  <c r="Y30" i="6" s="1"/>
  <c r="X31" i="6"/>
  <c r="X32" i="6"/>
  <c r="Y32" i="6" s="1"/>
  <c r="X33" i="6"/>
  <c r="Y33" i="6" s="1"/>
  <c r="X34" i="6"/>
  <c r="Y34" i="6" s="1"/>
  <c r="X35" i="6"/>
  <c r="Y35" i="6" s="1"/>
  <c r="X36" i="6"/>
  <c r="X37" i="6"/>
  <c r="Y37" i="6" s="1"/>
  <c r="X38" i="6"/>
  <c r="Y38" i="6" s="1"/>
  <c r="X39" i="6"/>
  <c r="X40" i="6"/>
  <c r="X41" i="6"/>
  <c r="X42" i="6"/>
  <c r="X43" i="6"/>
  <c r="X44" i="6"/>
  <c r="X45" i="6"/>
  <c r="Y45" i="6" s="1"/>
  <c r="X46" i="6"/>
  <c r="Y46" i="6" s="1"/>
  <c r="X47" i="6"/>
  <c r="X6" i="6"/>
  <c r="Y36" i="6"/>
  <c r="Y27" i="6"/>
  <c r="Y25" i="6"/>
  <c r="Y12" i="6"/>
  <c r="Y7" i="6"/>
  <c r="S7" i="6"/>
  <c r="S8" i="6"/>
  <c r="T8" i="6" s="1"/>
  <c r="S9" i="6"/>
  <c r="S10" i="6"/>
  <c r="S11" i="6"/>
  <c r="T11" i="6" s="1"/>
  <c r="S12" i="6"/>
  <c r="S13" i="6"/>
  <c r="S14" i="6"/>
  <c r="T14" i="6" s="1"/>
  <c r="S15" i="6"/>
  <c r="S16" i="6"/>
  <c r="T16" i="6" s="1"/>
  <c r="S17" i="6"/>
  <c r="T17" i="6" s="1"/>
  <c r="S18" i="6"/>
  <c r="T18" i="6" s="1"/>
  <c r="S19" i="6"/>
  <c r="T19" i="6" s="1"/>
  <c r="S20" i="6"/>
  <c r="T20" i="6" s="1"/>
  <c r="S21" i="6"/>
  <c r="T21" i="6" s="1"/>
  <c r="S22" i="6"/>
  <c r="S23" i="6"/>
  <c r="S24" i="6"/>
  <c r="T24" i="6" s="1"/>
  <c r="S25" i="6"/>
  <c r="S26" i="6"/>
  <c r="T26" i="6" s="1"/>
  <c r="S27" i="6"/>
  <c r="T27" i="6" s="1"/>
  <c r="S28" i="6"/>
  <c r="T28" i="6" s="1"/>
  <c r="S29" i="6"/>
  <c r="T29" i="6" s="1"/>
  <c r="S30" i="6"/>
  <c r="T30" i="6" s="1"/>
  <c r="S31" i="6"/>
  <c r="S32" i="6"/>
  <c r="T32" i="6" s="1"/>
  <c r="S33" i="6"/>
  <c r="S34" i="6"/>
  <c r="S35" i="6"/>
  <c r="S36" i="6"/>
  <c r="T36" i="6" s="1"/>
  <c r="S37" i="6"/>
  <c r="S38" i="6"/>
  <c r="S39" i="6"/>
  <c r="T39" i="6" s="1"/>
  <c r="S40" i="6"/>
  <c r="T40" i="6" s="1"/>
  <c r="S41" i="6"/>
  <c r="T41" i="6" s="1"/>
  <c r="S42" i="6"/>
  <c r="T42" i="6" s="1"/>
  <c r="S43" i="6"/>
  <c r="T43" i="6" s="1"/>
  <c r="S44" i="6"/>
  <c r="T44" i="6" s="1"/>
  <c r="S45" i="6"/>
  <c r="S46" i="6"/>
  <c r="S47" i="6"/>
  <c r="T47" i="6" s="1"/>
  <c r="S6" i="6"/>
  <c r="T6" i="6" s="1"/>
  <c r="N7" i="6"/>
  <c r="N8" i="6"/>
  <c r="O8" i="6" s="1"/>
  <c r="N9" i="6"/>
  <c r="N10" i="6"/>
  <c r="O10" i="6" s="1"/>
  <c r="N11" i="6"/>
  <c r="O11" i="6" s="1"/>
  <c r="N12" i="6"/>
  <c r="O12" i="6" s="1"/>
  <c r="N13" i="6"/>
  <c r="O13" i="6" s="1"/>
  <c r="N14" i="6"/>
  <c r="O14" i="6" s="1"/>
  <c r="N15" i="6"/>
  <c r="O15" i="6" s="1"/>
  <c r="N16" i="6"/>
  <c r="N17" i="6"/>
  <c r="O17" i="6" s="1"/>
  <c r="N18" i="6"/>
  <c r="O18" i="6" s="1"/>
  <c r="N19" i="6"/>
  <c r="N20" i="6"/>
  <c r="O20" i="6" s="1"/>
  <c r="N21" i="6"/>
  <c r="O21" i="6" s="1"/>
  <c r="N22" i="6"/>
  <c r="O22" i="6" s="1"/>
  <c r="N23" i="6"/>
  <c r="O23" i="6" s="1"/>
  <c r="N24" i="6"/>
  <c r="N25" i="6"/>
  <c r="O25" i="6" s="1"/>
  <c r="N26" i="6"/>
  <c r="O26" i="6" s="1"/>
  <c r="N27" i="6"/>
  <c r="N28" i="6"/>
  <c r="O28" i="6" s="1"/>
  <c r="N29" i="6"/>
  <c r="O29" i="6" s="1"/>
  <c r="N30" i="6"/>
  <c r="O30" i="6" s="1"/>
  <c r="N31" i="6"/>
  <c r="N32" i="6"/>
  <c r="O32" i="6" s="1"/>
  <c r="N33" i="6"/>
  <c r="O33" i="6" s="1"/>
  <c r="N34" i="6"/>
  <c r="O34" i="6" s="1"/>
  <c r="N35" i="6"/>
  <c r="O35" i="6" s="1"/>
  <c r="N36" i="6"/>
  <c r="O36" i="6" s="1"/>
  <c r="N37" i="6"/>
  <c r="O37" i="6" s="1"/>
  <c r="N38" i="6"/>
  <c r="O38" i="6" s="1"/>
  <c r="N39" i="6"/>
  <c r="N40" i="6"/>
  <c r="N41" i="6"/>
  <c r="O41" i="6" s="1"/>
  <c r="N42" i="6"/>
  <c r="O42" i="6" s="1"/>
  <c r="N43" i="6"/>
  <c r="N44" i="6"/>
  <c r="N45" i="6"/>
  <c r="N46" i="6"/>
  <c r="N47" i="6"/>
  <c r="N6" i="6"/>
  <c r="O6" i="6" s="1"/>
  <c r="I7" i="6"/>
  <c r="J7" i="6" s="1"/>
  <c r="I8" i="6"/>
  <c r="J8" i="6" s="1"/>
  <c r="I9" i="6"/>
  <c r="J9" i="6" s="1"/>
  <c r="I10" i="6"/>
  <c r="J10" i="6" s="1"/>
  <c r="I11" i="6"/>
  <c r="I12" i="6"/>
  <c r="J12" i="6" s="1"/>
  <c r="I13" i="6"/>
  <c r="I14" i="6"/>
  <c r="I15" i="6"/>
  <c r="J15" i="6" s="1"/>
  <c r="I16" i="6"/>
  <c r="I17" i="6"/>
  <c r="I18" i="6"/>
  <c r="J18" i="6" s="1"/>
  <c r="I19" i="6"/>
  <c r="J19" i="6" s="1"/>
  <c r="I20" i="6"/>
  <c r="J20" i="6" s="1"/>
  <c r="I21" i="6"/>
  <c r="J21" i="6" s="1"/>
  <c r="I22" i="6"/>
  <c r="J22" i="6" s="1"/>
  <c r="I23" i="6"/>
  <c r="J23" i="6" s="1"/>
  <c r="I24" i="6"/>
  <c r="J24" i="6" s="1"/>
  <c r="I25" i="6"/>
  <c r="J25" i="6" s="1"/>
  <c r="I26" i="6"/>
  <c r="J26" i="6" s="1"/>
  <c r="I27" i="6"/>
  <c r="J27" i="6" s="1"/>
  <c r="I28" i="6"/>
  <c r="J28" i="6" s="1"/>
  <c r="I29" i="6"/>
  <c r="J29" i="6" s="1"/>
  <c r="I30" i="6"/>
  <c r="J30" i="6" s="1"/>
  <c r="I31" i="6"/>
  <c r="J31" i="6" s="1"/>
  <c r="I32" i="6"/>
  <c r="J32" i="6" s="1"/>
  <c r="I33" i="6"/>
  <c r="I34" i="6"/>
  <c r="J34" i="6" s="1"/>
  <c r="I35" i="6"/>
  <c r="I36" i="6"/>
  <c r="I37" i="6"/>
  <c r="I38" i="6"/>
  <c r="I39" i="6"/>
  <c r="J39" i="6" s="1"/>
  <c r="I40" i="6"/>
  <c r="J40" i="6" s="1"/>
  <c r="I41" i="6"/>
  <c r="J41" i="6" s="1"/>
  <c r="I42" i="6"/>
  <c r="J42" i="6" s="1"/>
  <c r="I43" i="6"/>
  <c r="J43" i="6" s="1"/>
  <c r="I44" i="6"/>
  <c r="J44" i="6" s="1"/>
  <c r="I45" i="6"/>
  <c r="I46" i="6"/>
  <c r="I47" i="6"/>
  <c r="I6" i="6"/>
  <c r="J13" i="6"/>
  <c r="J14" i="6"/>
  <c r="J16" i="6"/>
  <c r="J17" i="6"/>
  <c r="J36" i="6"/>
  <c r="E44" i="6"/>
  <c r="E45" i="6"/>
  <c r="E46" i="6"/>
  <c r="E47" i="6"/>
  <c r="D7" i="6"/>
  <c r="E7" i="6" s="1"/>
  <c r="D8" i="6"/>
  <c r="D9" i="6"/>
  <c r="E9" i="6" s="1"/>
  <c r="D10" i="6"/>
  <c r="E10" i="6" s="1"/>
  <c r="D11" i="6"/>
  <c r="D12" i="6"/>
  <c r="D13" i="6"/>
  <c r="D14" i="6"/>
  <c r="E14" i="6" s="1"/>
  <c r="D15" i="6"/>
  <c r="E15" i="6" s="1"/>
  <c r="D16" i="6"/>
  <c r="E16" i="6" s="1"/>
  <c r="D17" i="6"/>
  <c r="E17" i="6" s="1"/>
  <c r="D18" i="6"/>
  <c r="E18" i="6" s="1"/>
  <c r="D19" i="6"/>
  <c r="D20" i="6"/>
  <c r="E20" i="6" s="1"/>
  <c r="D21" i="6"/>
  <c r="E21" i="6" s="1"/>
  <c r="D22" i="6"/>
  <c r="D23" i="6"/>
  <c r="D24" i="6"/>
  <c r="D25" i="6"/>
  <c r="E25" i="6" s="1"/>
  <c r="D26" i="6"/>
  <c r="E26" i="6" s="1"/>
  <c r="D27" i="6"/>
  <c r="E27" i="6" s="1"/>
  <c r="D28" i="6"/>
  <c r="E28" i="6" s="1"/>
  <c r="D29" i="6"/>
  <c r="E29" i="6" s="1"/>
  <c r="D30" i="6"/>
  <c r="E30" i="6" s="1"/>
  <c r="D31" i="6"/>
  <c r="E31" i="6" s="1"/>
  <c r="D32" i="6"/>
  <c r="E32" i="6" s="1"/>
  <c r="D33" i="6"/>
  <c r="E33" i="6" s="1"/>
  <c r="D34" i="6"/>
  <c r="E34" i="6" s="1"/>
  <c r="D35" i="6"/>
  <c r="D36" i="6"/>
  <c r="D37" i="6"/>
  <c r="E37" i="6" s="1"/>
  <c r="D38" i="6"/>
  <c r="E38" i="6" s="1"/>
  <c r="D39" i="6"/>
  <c r="E39" i="6" s="1"/>
  <c r="D40" i="6"/>
  <c r="E40" i="6" s="1"/>
  <c r="D41" i="6"/>
  <c r="E41" i="6" s="1"/>
  <c r="D42" i="6"/>
  <c r="E42" i="6" s="1"/>
  <c r="D43" i="6"/>
  <c r="E43" i="6" s="1"/>
  <c r="D44" i="6"/>
  <c r="D45" i="6"/>
  <c r="D46" i="6"/>
  <c r="D47" i="6"/>
  <c r="D6" i="6"/>
  <c r="C7" i="6"/>
  <c r="C8" i="6"/>
  <c r="C9" i="6"/>
  <c r="C10" i="6"/>
  <c r="C11" i="6"/>
  <c r="C12" i="6"/>
  <c r="E12" i="6"/>
  <c r="C13" i="6"/>
  <c r="C14" i="6"/>
  <c r="C15" i="6"/>
  <c r="C16" i="6"/>
  <c r="C17" i="6"/>
  <c r="C18" i="6"/>
  <c r="C19" i="6"/>
  <c r="C20" i="6"/>
  <c r="C21" i="6"/>
  <c r="C22" i="6"/>
  <c r="E22" i="6"/>
  <c r="C23" i="6"/>
  <c r="C24" i="6"/>
  <c r="E24" i="6"/>
  <c r="C25" i="6"/>
  <c r="C26" i="6"/>
  <c r="C27" i="6"/>
  <c r="C28" i="6"/>
  <c r="C29" i="6"/>
  <c r="C30" i="6"/>
  <c r="C31" i="6"/>
  <c r="C32" i="6"/>
  <c r="C33" i="6"/>
  <c r="C34" i="6"/>
  <c r="C35" i="6"/>
  <c r="C36" i="6"/>
  <c r="E36" i="6"/>
  <c r="C37" i="6"/>
  <c r="C38" i="6"/>
  <c r="C39" i="6"/>
  <c r="C40" i="6"/>
  <c r="C41" i="6"/>
  <c r="C42" i="6"/>
  <c r="C43" i="6"/>
  <c r="C44" i="6"/>
  <c r="C45" i="6"/>
  <c r="C46" i="6"/>
  <c r="C47" i="6"/>
  <c r="A7" i="6"/>
  <c r="U7" i="6" s="1"/>
  <c r="A8" i="6"/>
  <c r="A9" i="6"/>
  <c r="U9" i="6" s="1"/>
  <c r="A10" i="6"/>
  <c r="U10" i="6" s="1"/>
  <c r="A11" i="6"/>
  <c r="U11" i="6" s="1"/>
  <c r="A12" i="6"/>
  <c r="P12" i="6" s="1"/>
  <c r="A13" i="6"/>
  <c r="F13" i="6" s="1"/>
  <c r="A14" i="6"/>
  <c r="U14" i="6" s="1"/>
  <c r="A15" i="6"/>
  <c r="U15" i="6" s="1"/>
  <c r="A16" i="6"/>
  <c r="P16" i="6" s="1"/>
  <c r="A17" i="6"/>
  <c r="F17" i="6" s="1"/>
  <c r="A18" i="6"/>
  <c r="U18" i="6" s="1"/>
  <c r="A19" i="6"/>
  <c r="U19" i="6" s="1"/>
  <c r="A20" i="6"/>
  <c r="A21" i="6"/>
  <c r="U21" i="6" s="1"/>
  <c r="A22" i="6"/>
  <c r="U22" i="6" s="1"/>
  <c r="A23" i="6"/>
  <c r="U23" i="6" s="1"/>
  <c r="A24" i="6"/>
  <c r="P24" i="6" s="1"/>
  <c r="A25" i="6"/>
  <c r="F25" i="6" s="1"/>
  <c r="A26" i="6"/>
  <c r="F26" i="6" s="1"/>
  <c r="A27" i="6"/>
  <c r="P27" i="6" s="1"/>
  <c r="A28" i="6"/>
  <c r="P28" i="6" s="1"/>
  <c r="A29" i="6"/>
  <c r="F29" i="6" s="1"/>
  <c r="A30" i="6"/>
  <c r="U30" i="6" s="1"/>
  <c r="A31" i="6"/>
  <c r="U31" i="6" s="1"/>
  <c r="A32" i="6"/>
  <c r="A33" i="6"/>
  <c r="U33" i="6" s="1"/>
  <c r="A34" i="6"/>
  <c r="U34" i="6" s="1"/>
  <c r="A35" i="6"/>
  <c r="U35" i="6" s="1"/>
  <c r="A36" i="6"/>
  <c r="P36" i="6" s="1"/>
  <c r="A37" i="6"/>
  <c r="F37" i="6" s="1"/>
  <c r="A38" i="6"/>
  <c r="F38" i="6" s="1"/>
  <c r="A39" i="6"/>
  <c r="P39" i="6" s="1"/>
  <c r="A40" i="6"/>
  <c r="P40" i="6" s="1"/>
  <c r="A41" i="6"/>
  <c r="F41" i="6" s="1"/>
  <c r="A42" i="6"/>
  <c r="U42" i="6" s="1"/>
  <c r="A43" i="6"/>
  <c r="U43" i="6" s="1"/>
  <c r="A44" i="6"/>
  <c r="A45" i="6"/>
  <c r="U45" i="6" s="1"/>
  <c r="A46" i="6"/>
  <c r="U46" i="6" s="1"/>
  <c r="A47" i="6"/>
  <c r="U47" i="6" s="1"/>
  <c r="A6" i="6"/>
  <c r="U6" i="6" s="1"/>
  <c r="O85" i="7"/>
  <c r="E6" i="7"/>
  <c r="C6" i="7"/>
  <c r="Y55" i="6"/>
  <c r="T55" i="6"/>
  <c r="O55" i="6"/>
  <c r="J55" i="6"/>
  <c r="E55" i="6"/>
  <c r="W36" i="6"/>
  <c r="R36" i="6"/>
  <c r="M36" i="6"/>
  <c r="H36" i="6"/>
  <c r="W35" i="6"/>
  <c r="T35" i="6"/>
  <c r="R35" i="6"/>
  <c r="M35" i="6"/>
  <c r="J35" i="6"/>
  <c r="H35" i="6"/>
  <c r="E35" i="6"/>
  <c r="W34" i="6"/>
  <c r="T34" i="6"/>
  <c r="R34" i="6"/>
  <c r="M34" i="6"/>
  <c r="H34" i="6"/>
  <c r="W33" i="6"/>
  <c r="T33" i="6"/>
  <c r="R33" i="6"/>
  <c r="M33" i="6"/>
  <c r="J33" i="6"/>
  <c r="H33" i="6"/>
  <c r="W32" i="6"/>
  <c r="R32" i="6"/>
  <c r="M32" i="6"/>
  <c r="H32" i="6"/>
  <c r="Y31" i="6"/>
  <c r="W31" i="6"/>
  <c r="T31" i="6"/>
  <c r="R31" i="6"/>
  <c r="O31" i="6"/>
  <c r="M31" i="6"/>
  <c r="H31" i="6"/>
  <c r="W30" i="6"/>
  <c r="R30" i="6"/>
  <c r="M30" i="6"/>
  <c r="H30" i="6"/>
  <c r="W29" i="6"/>
  <c r="R29" i="6"/>
  <c r="M29" i="6"/>
  <c r="H29" i="6"/>
  <c r="W28" i="6"/>
  <c r="R28" i="6"/>
  <c r="M28" i="6"/>
  <c r="H28" i="6"/>
  <c r="W27" i="6"/>
  <c r="R27" i="6"/>
  <c r="O27" i="6"/>
  <c r="M27" i="6"/>
  <c r="H27" i="6"/>
  <c r="W26" i="6"/>
  <c r="R26" i="6"/>
  <c r="M26" i="6"/>
  <c r="H26" i="6"/>
  <c r="W25" i="6"/>
  <c r="T25" i="6"/>
  <c r="R25" i="6"/>
  <c r="M25" i="6"/>
  <c r="H25" i="6"/>
  <c r="W24" i="6"/>
  <c r="R24" i="6"/>
  <c r="O24" i="6"/>
  <c r="M24" i="6"/>
  <c r="H24" i="6"/>
  <c r="W23" i="6"/>
  <c r="T23" i="6"/>
  <c r="R23" i="6"/>
  <c r="M23" i="6"/>
  <c r="H23" i="6"/>
  <c r="E23" i="6"/>
  <c r="W22" i="6"/>
  <c r="T22" i="6"/>
  <c r="R22" i="6"/>
  <c r="M22" i="6"/>
  <c r="H22" i="6"/>
  <c r="W21" i="6"/>
  <c r="R21" i="6"/>
  <c r="M21" i="6"/>
  <c r="H21" i="6"/>
  <c r="W20" i="6"/>
  <c r="R20" i="6"/>
  <c r="M20" i="6"/>
  <c r="H20" i="6"/>
  <c r="W19" i="6"/>
  <c r="R19" i="6"/>
  <c r="O19" i="6"/>
  <c r="M19" i="6"/>
  <c r="H19" i="6"/>
  <c r="E19" i="6"/>
  <c r="W18" i="6"/>
  <c r="R18" i="6"/>
  <c r="M18" i="6"/>
  <c r="H18" i="6"/>
  <c r="W17" i="6"/>
  <c r="R17" i="6"/>
  <c r="M17" i="6"/>
  <c r="H17" i="6"/>
  <c r="Y16" i="6"/>
  <c r="W16" i="6"/>
  <c r="R16" i="6"/>
  <c r="O16" i="6"/>
  <c r="M16" i="6"/>
  <c r="H16" i="6"/>
  <c r="W15" i="6"/>
  <c r="T15" i="6"/>
  <c r="R15" i="6"/>
  <c r="M15" i="6"/>
  <c r="H15" i="6"/>
  <c r="W14" i="6"/>
  <c r="R14" i="6"/>
  <c r="M14" i="6"/>
  <c r="H14" i="6"/>
  <c r="W13" i="6"/>
  <c r="T13" i="6"/>
  <c r="R13" i="6"/>
  <c r="M13" i="6"/>
  <c r="H13" i="6"/>
  <c r="E13" i="6"/>
  <c r="W12" i="6"/>
  <c r="T12" i="6"/>
  <c r="R12" i="6"/>
  <c r="M12" i="6"/>
  <c r="H12" i="6"/>
  <c r="Y11" i="6"/>
  <c r="W11" i="6"/>
  <c r="R11" i="6"/>
  <c r="M11" i="6"/>
  <c r="J11" i="6"/>
  <c r="H11" i="6"/>
  <c r="E11" i="6"/>
  <c r="W10" i="6"/>
  <c r="T10" i="6"/>
  <c r="R10" i="6"/>
  <c r="M10" i="6"/>
  <c r="H10" i="6"/>
  <c r="W9" i="6"/>
  <c r="T9" i="6"/>
  <c r="R9" i="6"/>
  <c r="O9" i="6"/>
  <c r="M9" i="6"/>
  <c r="H9" i="6"/>
  <c r="W8" i="6"/>
  <c r="R8" i="6"/>
  <c r="M8" i="6"/>
  <c r="H8" i="6"/>
  <c r="E8" i="6"/>
  <c r="W7" i="6"/>
  <c r="T7" i="6"/>
  <c r="R7" i="6"/>
  <c r="O7" i="6"/>
  <c r="M7" i="6"/>
  <c r="H7" i="6"/>
  <c r="Y6" i="6"/>
  <c r="W6" i="6"/>
  <c r="R6" i="6"/>
  <c r="M6" i="6"/>
  <c r="J6" i="6"/>
  <c r="H6" i="6"/>
  <c r="E6" i="6"/>
  <c r="C6" i="6"/>
  <c r="Y47" i="5"/>
  <c r="T47" i="5"/>
  <c r="O47" i="5"/>
  <c r="J47" i="5"/>
  <c r="E47" i="5"/>
  <c r="Y38" i="5"/>
  <c r="T38" i="5"/>
  <c r="O38" i="5"/>
  <c r="J38" i="5"/>
  <c r="E38" i="5"/>
  <c r="Y45" i="5"/>
  <c r="T45" i="5"/>
  <c r="O45" i="5"/>
  <c r="J45" i="5"/>
  <c r="E45" i="5"/>
  <c r="X7" i="5"/>
  <c r="X8" i="5"/>
  <c r="X9" i="5"/>
  <c r="X10" i="5"/>
  <c r="X11" i="5"/>
  <c r="X12" i="5"/>
  <c r="X13" i="5"/>
  <c r="Y13" i="5" s="1"/>
  <c r="X14" i="5"/>
  <c r="Y14" i="5" s="1"/>
  <c r="X15" i="5"/>
  <c r="Y15" i="5" s="1"/>
  <c r="X16" i="5"/>
  <c r="X17" i="5"/>
  <c r="Y17" i="5" s="1"/>
  <c r="X18" i="5"/>
  <c r="Y18" i="5" s="1"/>
  <c r="X19" i="5"/>
  <c r="X20" i="5"/>
  <c r="X21" i="5"/>
  <c r="X22" i="5"/>
  <c r="Y22" i="5" s="1"/>
  <c r="X23" i="5"/>
  <c r="X24" i="5"/>
  <c r="X25" i="5"/>
  <c r="X26" i="5"/>
  <c r="X27" i="5"/>
  <c r="Y27" i="5" s="1"/>
  <c r="X28" i="5"/>
  <c r="X29" i="5"/>
  <c r="X30" i="5"/>
  <c r="Y30" i="5" s="1"/>
  <c r="X31" i="5"/>
  <c r="X32" i="5"/>
  <c r="X33" i="5"/>
  <c r="X34" i="5"/>
  <c r="X35" i="5"/>
  <c r="Y35" i="5" s="1"/>
  <c r="X36" i="5"/>
  <c r="Y36" i="5" s="1"/>
  <c r="Y26" i="5"/>
  <c r="Y28" i="5"/>
  <c r="Y29" i="5"/>
  <c r="X6" i="5"/>
  <c r="Y6" i="5" s="1"/>
  <c r="S7" i="5"/>
  <c r="S8" i="5"/>
  <c r="S9" i="5"/>
  <c r="S10" i="5"/>
  <c r="S11" i="5"/>
  <c r="S12" i="5"/>
  <c r="T12" i="5" s="1"/>
  <c r="S13" i="5"/>
  <c r="T13" i="5" s="1"/>
  <c r="S14" i="5"/>
  <c r="T14" i="5" s="1"/>
  <c r="S15" i="5"/>
  <c r="S16" i="5"/>
  <c r="T16" i="5" s="1"/>
  <c r="S17" i="5"/>
  <c r="T17" i="5" s="1"/>
  <c r="S18" i="5"/>
  <c r="T18" i="5" s="1"/>
  <c r="S19" i="5"/>
  <c r="S20" i="5"/>
  <c r="S21" i="5"/>
  <c r="S22" i="5"/>
  <c r="S23" i="5"/>
  <c r="S24" i="5"/>
  <c r="T24" i="5" s="1"/>
  <c r="S25" i="5"/>
  <c r="T25" i="5" s="1"/>
  <c r="S26" i="5"/>
  <c r="T26" i="5" s="1"/>
  <c r="S27" i="5"/>
  <c r="S28" i="5"/>
  <c r="T28" i="5" s="1"/>
  <c r="S29" i="5"/>
  <c r="T29" i="5" s="1"/>
  <c r="S30" i="5"/>
  <c r="T30" i="5" s="1"/>
  <c r="S31" i="5"/>
  <c r="S32" i="5"/>
  <c r="S33" i="5"/>
  <c r="S34" i="5"/>
  <c r="S35" i="5"/>
  <c r="S36" i="5"/>
  <c r="T36" i="5" s="1"/>
  <c r="S6" i="5"/>
  <c r="N7" i="5"/>
  <c r="N8" i="5"/>
  <c r="N9" i="5"/>
  <c r="O9" i="5" s="1"/>
  <c r="N10" i="5"/>
  <c r="N11" i="5"/>
  <c r="N12" i="5"/>
  <c r="N13" i="5"/>
  <c r="N14" i="5"/>
  <c r="N15" i="5"/>
  <c r="O15" i="5" s="1"/>
  <c r="N16" i="5"/>
  <c r="N17" i="5"/>
  <c r="O17" i="5" s="1"/>
  <c r="N18" i="5"/>
  <c r="N19" i="5"/>
  <c r="N20" i="5"/>
  <c r="N21" i="5"/>
  <c r="O21" i="5" s="1"/>
  <c r="N22" i="5"/>
  <c r="N23" i="5"/>
  <c r="N24" i="5"/>
  <c r="N25" i="5"/>
  <c r="N26" i="5"/>
  <c r="N27" i="5"/>
  <c r="O27" i="5" s="1"/>
  <c r="N28" i="5"/>
  <c r="O28" i="5" s="1"/>
  <c r="N29" i="5"/>
  <c r="O29" i="5" s="1"/>
  <c r="N30" i="5"/>
  <c r="O30" i="5" s="1"/>
  <c r="N31" i="5"/>
  <c r="N32" i="5"/>
  <c r="N33" i="5"/>
  <c r="O33" i="5" s="1"/>
  <c r="N34" i="5"/>
  <c r="N35" i="5"/>
  <c r="N36" i="5"/>
  <c r="N6" i="5"/>
  <c r="I7" i="5"/>
  <c r="I8" i="5"/>
  <c r="J8" i="5" s="1"/>
  <c r="I9" i="5"/>
  <c r="J9" i="5" s="1"/>
  <c r="I10" i="5"/>
  <c r="I11" i="5"/>
  <c r="I12" i="5"/>
  <c r="I13" i="5"/>
  <c r="I14" i="5"/>
  <c r="I15" i="5"/>
  <c r="I16" i="5"/>
  <c r="J16" i="5" s="1"/>
  <c r="I17" i="5"/>
  <c r="J17" i="5" s="1"/>
  <c r="I18" i="5"/>
  <c r="I19" i="5"/>
  <c r="I20" i="5"/>
  <c r="J20" i="5" s="1"/>
  <c r="I21" i="5"/>
  <c r="J21" i="5" s="1"/>
  <c r="I22" i="5"/>
  <c r="I23" i="5"/>
  <c r="I24" i="5"/>
  <c r="I25" i="5"/>
  <c r="I26" i="5"/>
  <c r="I27" i="5"/>
  <c r="I28" i="5"/>
  <c r="J28" i="5" s="1"/>
  <c r="I29" i="5"/>
  <c r="J29" i="5" s="1"/>
  <c r="I30" i="5"/>
  <c r="I31" i="5"/>
  <c r="I32" i="5"/>
  <c r="J32" i="5" s="1"/>
  <c r="I33" i="5"/>
  <c r="J33" i="5" s="1"/>
  <c r="I34" i="5"/>
  <c r="I35" i="5"/>
  <c r="I36" i="5"/>
  <c r="I6" i="5"/>
  <c r="J6" i="5"/>
  <c r="W36" i="5"/>
  <c r="W35" i="5"/>
  <c r="Y34" i="5"/>
  <c r="W34" i="5"/>
  <c r="Y33" i="5"/>
  <c r="W33" i="5"/>
  <c r="Y32" i="5"/>
  <c r="W32" i="5"/>
  <c r="Y31" i="5"/>
  <c r="W31" i="5"/>
  <c r="W30" i="5"/>
  <c r="W29" i="5"/>
  <c r="W28" i="5"/>
  <c r="W27" i="5"/>
  <c r="W26" i="5"/>
  <c r="Y25" i="5"/>
  <c r="W25" i="5"/>
  <c r="Y24" i="5"/>
  <c r="W24" i="5"/>
  <c r="Y23" i="5"/>
  <c r="W23" i="5"/>
  <c r="W22" i="5"/>
  <c r="Y21" i="5"/>
  <c r="W21" i="5"/>
  <c r="Y20" i="5"/>
  <c r="W20" i="5"/>
  <c r="Y19" i="5"/>
  <c r="W19" i="5"/>
  <c r="W18" i="5"/>
  <c r="W17" i="5"/>
  <c r="Y16" i="5"/>
  <c r="W16" i="5"/>
  <c r="W15" i="5"/>
  <c r="W14" i="5"/>
  <c r="W13" i="5"/>
  <c r="Y12" i="5"/>
  <c r="W12" i="5"/>
  <c r="Y11" i="5"/>
  <c r="W11" i="5"/>
  <c r="Y10" i="5"/>
  <c r="W10" i="5"/>
  <c r="Y9" i="5"/>
  <c r="W9" i="5"/>
  <c r="Y8" i="5"/>
  <c r="W8" i="5"/>
  <c r="Y7" i="5"/>
  <c r="W7" i="5"/>
  <c r="W6" i="5"/>
  <c r="R36" i="5"/>
  <c r="T35" i="5"/>
  <c r="R35" i="5"/>
  <c r="T34" i="5"/>
  <c r="R34" i="5"/>
  <c r="T33" i="5"/>
  <c r="R33" i="5"/>
  <c r="T32" i="5"/>
  <c r="R32" i="5"/>
  <c r="T31" i="5"/>
  <c r="R31" i="5"/>
  <c r="R30" i="5"/>
  <c r="R29" i="5"/>
  <c r="R28" i="5"/>
  <c r="T27" i="5"/>
  <c r="R27" i="5"/>
  <c r="R26" i="5"/>
  <c r="R25" i="5"/>
  <c r="R24" i="5"/>
  <c r="T23" i="5"/>
  <c r="R23" i="5"/>
  <c r="T22" i="5"/>
  <c r="R22" i="5"/>
  <c r="T21" i="5"/>
  <c r="R21" i="5"/>
  <c r="T20" i="5"/>
  <c r="R20" i="5"/>
  <c r="T19" i="5"/>
  <c r="R19" i="5"/>
  <c r="R18" i="5"/>
  <c r="R17" i="5"/>
  <c r="R16" i="5"/>
  <c r="T15" i="5"/>
  <c r="R15" i="5"/>
  <c r="R14" i="5"/>
  <c r="R13" i="5"/>
  <c r="R12" i="5"/>
  <c r="T11" i="5"/>
  <c r="R11" i="5"/>
  <c r="T10" i="5"/>
  <c r="R10" i="5"/>
  <c r="T9" i="5"/>
  <c r="R9" i="5"/>
  <c r="T8" i="5"/>
  <c r="R8" i="5"/>
  <c r="T7" i="5"/>
  <c r="R7" i="5"/>
  <c r="T6" i="5"/>
  <c r="R6" i="5"/>
  <c r="O36" i="5"/>
  <c r="M36" i="5"/>
  <c r="O35" i="5"/>
  <c r="M35" i="5"/>
  <c r="O34" i="5"/>
  <c r="M34" i="5"/>
  <c r="M33" i="5"/>
  <c r="O32" i="5"/>
  <c r="M32" i="5"/>
  <c r="O31" i="5"/>
  <c r="M31" i="5"/>
  <c r="M30" i="5"/>
  <c r="M29" i="5"/>
  <c r="M28" i="5"/>
  <c r="M27" i="5"/>
  <c r="O26" i="5"/>
  <c r="M26" i="5"/>
  <c r="O25" i="5"/>
  <c r="M25" i="5"/>
  <c r="O24" i="5"/>
  <c r="M24" i="5"/>
  <c r="O23" i="5"/>
  <c r="M23" i="5"/>
  <c r="O22" i="5"/>
  <c r="M22" i="5"/>
  <c r="M21" i="5"/>
  <c r="O20" i="5"/>
  <c r="M20" i="5"/>
  <c r="O19" i="5"/>
  <c r="M19" i="5"/>
  <c r="O18" i="5"/>
  <c r="M18" i="5"/>
  <c r="M17" i="5"/>
  <c r="O16" i="5"/>
  <c r="M16" i="5"/>
  <c r="M15" i="5"/>
  <c r="O14" i="5"/>
  <c r="M14" i="5"/>
  <c r="O13" i="5"/>
  <c r="M13" i="5"/>
  <c r="O12" i="5"/>
  <c r="M12" i="5"/>
  <c r="O11" i="5"/>
  <c r="M11" i="5"/>
  <c r="O10" i="5"/>
  <c r="M10" i="5"/>
  <c r="M9" i="5"/>
  <c r="O8" i="5"/>
  <c r="M8" i="5"/>
  <c r="O7" i="5"/>
  <c r="M7" i="5"/>
  <c r="O6" i="5"/>
  <c r="M6" i="5"/>
  <c r="J36" i="5"/>
  <c r="H36" i="5"/>
  <c r="J35" i="5"/>
  <c r="H35" i="5"/>
  <c r="J34" i="5"/>
  <c r="H34" i="5"/>
  <c r="H33" i="5"/>
  <c r="H32" i="5"/>
  <c r="J31" i="5"/>
  <c r="H31" i="5"/>
  <c r="J30" i="5"/>
  <c r="H30" i="5"/>
  <c r="H29" i="5"/>
  <c r="H28" i="5"/>
  <c r="J27" i="5"/>
  <c r="H27" i="5"/>
  <c r="J26" i="5"/>
  <c r="H26" i="5"/>
  <c r="J25" i="5"/>
  <c r="H25" i="5"/>
  <c r="J24" i="5"/>
  <c r="H24" i="5"/>
  <c r="J23" i="5"/>
  <c r="H23" i="5"/>
  <c r="J22" i="5"/>
  <c r="H22" i="5"/>
  <c r="H21" i="5"/>
  <c r="H20" i="5"/>
  <c r="J19" i="5"/>
  <c r="H19" i="5"/>
  <c r="J18" i="5"/>
  <c r="H18" i="5"/>
  <c r="H17" i="5"/>
  <c r="H16" i="5"/>
  <c r="J15" i="5"/>
  <c r="H15" i="5"/>
  <c r="J14" i="5"/>
  <c r="H14" i="5"/>
  <c r="J13" i="5"/>
  <c r="H13" i="5"/>
  <c r="J12" i="5"/>
  <c r="H12" i="5"/>
  <c r="J11" i="5"/>
  <c r="H11" i="5"/>
  <c r="J10" i="5"/>
  <c r="H10" i="5"/>
  <c r="H9" i="5"/>
  <c r="H8" i="5"/>
  <c r="J7" i="5"/>
  <c r="H7" i="5"/>
  <c r="H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6" i="5"/>
  <c r="A6" i="5" a="1"/>
  <c r="A6" i="5" s="1"/>
  <c r="C73" i="4"/>
  <c r="D73" i="4" s="1"/>
  <c r="E73" i="4" s="1"/>
  <c r="F73" i="4" s="1"/>
  <c r="G73" i="4" s="1"/>
  <c r="H73" i="4" s="1"/>
  <c r="I73" i="4" s="1"/>
  <c r="J73" i="4" s="1"/>
  <c r="K73" i="4" s="1"/>
  <c r="D72" i="4"/>
  <c r="E72" i="4" s="1"/>
  <c r="F72" i="4" s="1"/>
  <c r="G72" i="4" s="1"/>
  <c r="H72" i="4" s="1"/>
  <c r="I72" i="4" s="1"/>
  <c r="J72" i="4" s="1"/>
  <c r="K72" i="4" s="1"/>
  <c r="C72" i="4"/>
  <c r="C71" i="4"/>
  <c r="D71" i="4" s="1"/>
  <c r="E71" i="4" s="1"/>
  <c r="F71" i="4" s="1"/>
  <c r="G71" i="4" s="1"/>
  <c r="H71" i="4" s="1"/>
  <c r="I71" i="4" s="1"/>
  <c r="J71" i="4" s="1"/>
  <c r="K71" i="4" s="1"/>
  <c r="F70" i="4"/>
  <c r="G70" i="4" s="1"/>
  <c r="H70" i="4" s="1"/>
  <c r="I70" i="4" s="1"/>
  <c r="J70" i="4" s="1"/>
  <c r="K70" i="4" s="1"/>
  <c r="D70" i="4"/>
  <c r="E70" i="4" s="1"/>
  <c r="C70" i="4"/>
  <c r="C69" i="4"/>
  <c r="D69" i="4" s="1"/>
  <c r="E69" i="4" s="1"/>
  <c r="F69" i="4" s="1"/>
  <c r="G69" i="4" s="1"/>
  <c r="H69" i="4" s="1"/>
  <c r="I69" i="4" s="1"/>
  <c r="J69" i="4" s="1"/>
  <c r="K69" i="4" s="1"/>
  <c r="C68" i="4"/>
  <c r="D68" i="4" s="1"/>
  <c r="E68" i="4" s="1"/>
  <c r="F68" i="4" s="1"/>
  <c r="G68" i="4" s="1"/>
  <c r="H68" i="4" s="1"/>
  <c r="I68" i="4" s="1"/>
  <c r="J68" i="4" s="1"/>
  <c r="K68" i="4" s="1"/>
  <c r="C67" i="4"/>
  <c r="D67" i="4" s="1"/>
  <c r="E67" i="4" s="1"/>
  <c r="F67" i="4" s="1"/>
  <c r="G67" i="4" s="1"/>
  <c r="H67" i="4" s="1"/>
  <c r="I67" i="4" s="1"/>
  <c r="J67" i="4" s="1"/>
  <c r="K67" i="4" s="1"/>
  <c r="D66" i="4"/>
  <c r="E66" i="4" s="1"/>
  <c r="F66" i="4" s="1"/>
  <c r="G66" i="4" s="1"/>
  <c r="H66" i="4" s="1"/>
  <c r="I66" i="4" s="1"/>
  <c r="J66" i="4" s="1"/>
  <c r="K66" i="4" s="1"/>
  <c r="C66" i="4"/>
  <c r="C65" i="4"/>
  <c r="D65" i="4" s="1"/>
  <c r="E65" i="4" s="1"/>
  <c r="F65" i="4" s="1"/>
  <c r="G65" i="4" s="1"/>
  <c r="H65" i="4" s="1"/>
  <c r="I65" i="4" s="1"/>
  <c r="J65" i="4" s="1"/>
  <c r="K65" i="4" s="1"/>
  <c r="C64" i="4"/>
  <c r="D64" i="4" s="1"/>
  <c r="E64" i="4" s="1"/>
  <c r="F64" i="4" s="1"/>
  <c r="G64" i="4" s="1"/>
  <c r="H64" i="4" s="1"/>
  <c r="I64" i="4" s="1"/>
  <c r="J64" i="4" s="1"/>
  <c r="K64" i="4" s="1"/>
  <c r="I63" i="4"/>
  <c r="J63" i="4" s="1"/>
  <c r="K63" i="4" s="1"/>
  <c r="C63" i="4"/>
  <c r="D63" i="4" s="1"/>
  <c r="E63" i="4" s="1"/>
  <c r="F63" i="4" s="1"/>
  <c r="G63" i="4" s="1"/>
  <c r="H63" i="4" s="1"/>
  <c r="D62" i="4"/>
  <c r="E62" i="4" s="1"/>
  <c r="F62" i="4" s="1"/>
  <c r="G62" i="4" s="1"/>
  <c r="H62" i="4" s="1"/>
  <c r="I62" i="4" s="1"/>
  <c r="J62" i="4" s="1"/>
  <c r="K62" i="4" s="1"/>
  <c r="C62" i="4"/>
  <c r="C61" i="4"/>
  <c r="D61" i="4" s="1"/>
  <c r="E61" i="4" s="1"/>
  <c r="F61" i="4" s="1"/>
  <c r="G61" i="4" s="1"/>
  <c r="H61" i="4" s="1"/>
  <c r="I61" i="4" s="1"/>
  <c r="J61" i="4" s="1"/>
  <c r="K61" i="4" s="1"/>
  <c r="C60" i="4"/>
  <c r="D60" i="4" s="1"/>
  <c r="E60" i="4" s="1"/>
  <c r="F60" i="4" s="1"/>
  <c r="G60" i="4" s="1"/>
  <c r="H60" i="4" s="1"/>
  <c r="I60" i="4" s="1"/>
  <c r="J60" i="4" s="1"/>
  <c r="K60" i="4" s="1"/>
  <c r="K59" i="4"/>
  <c r="C59" i="4"/>
  <c r="D59" i="4" s="1"/>
  <c r="E59" i="4" s="1"/>
  <c r="F59" i="4" s="1"/>
  <c r="G59" i="4" s="1"/>
  <c r="H59" i="4" s="1"/>
  <c r="I59" i="4" s="1"/>
  <c r="J59" i="4" s="1"/>
  <c r="G58" i="4"/>
  <c r="H58" i="4" s="1"/>
  <c r="I58" i="4" s="1"/>
  <c r="J58" i="4" s="1"/>
  <c r="K58" i="4" s="1"/>
  <c r="F58" i="4"/>
  <c r="D58" i="4"/>
  <c r="E58" i="4" s="1"/>
  <c r="C58" i="4"/>
  <c r="C57" i="4"/>
  <c r="D57" i="4" s="1"/>
  <c r="E57" i="4" s="1"/>
  <c r="F57" i="4" s="1"/>
  <c r="G57" i="4" s="1"/>
  <c r="H57" i="4" s="1"/>
  <c r="I57" i="4" s="1"/>
  <c r="J57" i="4" s="1"/>
  <c r="K57" i="4" s="1"/>
  <c r="D56" i="4"/>
  <c r="E56" i="4" s="1"/>
  <c r="F56" i="4" s="1"/>
  <c r="G56" i="4" s="1"/>
  <c r="H56" i="4" s="1"/>
  <c r="I56" i="4" s="1"/>
  <c r="J56" i="4" s="1"/>
  <c r="K56" i="4" s="1"/>
  <c r="C56" i="4"/>
  <c r="C55" i="4"/>
  <c r="D55" i="4" s="1"/>
  <c r="E55" i="4" s="1"/>
  <c r="F55" i="4" s="1"/>
  <c r="G55" i="4" s="1"/>
  <c r="H55" i="4" s="1"/>
  <c r="I55" i="4" s="1"/>
  <c r="J55" i="4" s="1"/>
  <c r="K55" i="4" s="1"/>
  <c r="F54" i="4"/>
  <c r="G54" i="4" s="1"/>
  <c r="H54" i="4" s="1"/>
  <c r="I54" i="4" s="1"/>
  <c r="J54" i="4" s="1"/>
  <c r="K54" i="4" s="1"/>
  <c r="D54" i="4"/>
  <c r="E54" i="4" s="1"/>
  <c r="C54" i="4"/>
  <c r="C53" i="4"/>
  <c r="D53" i="4" s="1"/>
  <c r="E53" i="4" s="1"/>
  <c r="F53" i="4" s="1"/>
  <c r="G53" i="4" s="1"/>
  <c r="H53" i="4" s="1"/>
  <c r="I53" i="4" s="1"/>
  <c r="J53" i="4" s="1"/>
  <c r="K53" i="4" s="1"/>
  <c r="D52" i="4"/>
  <c r="E52" i="4" s="1"/>
  <c r="F52" i="4" s="1"/>
  <c r="G52" i="4" s="1"/>
  <c r="H52" i="4" s="1"/>
  <c r="I52" i="4" s="1"/>
  <c r="J52" i="4" s="1"/>
  <c r="K52" i="4" s="1"/>
  <c r="C52" i="4"/>
  <c r="D51" i="4"/>
  <c r="E51" i="4" s="1"/>
  <c r="F51" i="4" s="1"/>
  <c r="G51" i="4" s="1"/>
  <c r="H51" i="4" s="1"/>
  <c r="I51" i="4" s="1"/>
  <c r="J51" i="4" s="1"/>
  <c r="K51" i="4" s="1"/>
  <c r="C51" i="4"/>
  <c r="F50" i="4"/>
  <c r="G50" i="4" s="1"/>
  <c r="H50" i="4" s="1"/>
  <c r="I50" i="4" s="1"/>
  <c r="J50" i="4" s="1"/>
  <c r="K50" i="4" s="1"/>
  <c r="D50" i="4"/>
  <c r="E50" i="4" s="1"/>
  <c r="C50" i="4"/>
  <c r="C49" i="4"/>
  <c r="D49" i="4" s="1"/>
  <c r="E49" i="4" s="1"/>
  <c r="F49" i="4" s="1"/>
  <c r="G49" i="4" s="1"/>
  <c r="H49" i="4" s="1"/>
  <c r="I49" i="4" s="1"/>
  <c r="J49" i="4" s="1"/>
  <c r="K49" i="4" s="1"/>
  <c r="D48" i="4"/>
  <c r="E48" i="4" s="1"/>
  <c r="F48" i="4" s="1"/>
  <c r="G48" i="4" s="1"/>
  <c r="H48" i="4" s="1"/>
  <c r="I48" i="4" s="1"/>
  <c r="J48" i="4" s="1"/>
  <c r="K48" i="4" s="1"/>
  <c r="C48" i="4"/>
  <c r="C47" i="4"/>
  <c r="D47" i="4" s="1"/>
  <c r="E47" i="4" s="1"/>
  <c r="F47" i="4" s="1"/>
  <c r="G47" i="4" s="1"/>
  <c r="H47" i="4" s="1"/>
  <c r="I47" i="4" s="1"/>
  <c r="J47" i="4" s="1"/>
  <c r="K47" i="4" s="1"/>
  <c r="F46" i="4"/>
  <c r="G46" i="4" s="1"/>
  <c r="H46" i="4" s="1"/>
  <c r="I46" i="4" s="1"/>
  <c r="J46" i="4" s="1"/>
  <c r="K46" i="4" s="1"/>
  <c r="D46" i="4"/>
  <c r="E46" i="4" s="1"/>
  <c r="C46" i="4"/>
  <c r="C45" i="4"/>
  <c r="D45" i="4" s="1"/>
  <c r="E45" i="4" s="1"/>
  <c r="F45" i="4" s="1"/>
  <c r="G45" i="4" s="1"/>
  <c r="H45" i="4" s="1"/>
  <c r="I45" i="4" s="1"/>
  <c r="J45" i="4" s="1"/>
  <c r="K45" i="4" s="1"/>
  <c r="C44" i="4"/>
  <c r="D44" i="4" s="1"/>
  <c r="E44" i="4" s="1"/>
  <c r="F44" i="4" s="1"/>
  <c r="G44" i="4" s="1"/>
  <c r="H44" i="4" s="1"/>
  <c r="I44" i="4" s="1"/>
  <c r="J44" i="4" s="1"/>
  <c r="K44" i="4" s="1"/>
  <c r="D43" i="4"/>
  <c r="E43" i="4" s="1"/>
  <c r="F43" i="4" s="1"/>
  <c r="G43" i="4" s="1"/>
  <c r="H43" i="4" s="1"/>
  <c r="I43" i="4" s="1"/>
  <c r="J43" i="4" s="1"/>
  <c r="K43" i="4" s="1"/>
  <c r="C43" i="4"/>
  <c r="D42" i="4"/>
  <c r="E42" i="4" s="1"/>
  <c r="F42" i="4" s="1"/>
  <c r="G42" i="4" s="1"/>
  <c r="H42" i="4" s="1"/>
  <c r="I42" i="4" s="1"/>
  <c r="J42" i="4" s="1"/>
  <c r="K42" i="4" s="1"/>
  <c r="C42" i="4"/>
  <c r="C41" i="4"/>
  <c r="D41" i="4" s="1"/>
  <c r="E41" i="4" s="1"/>
  <c r="F41" i="4" s="1"/>
  <c r="G41" i="4" s="1"/>
  <c r="H41" i="4" s="1"/>
  <c r="I41" i="4" s="1"/>
  <c r="J41" i="4" s="1"/>
  <c r="K41" i="4" s="1"/>
  <c r="D40" i="4"/>
  <c r="E40" i="4" s="1"/>
  <c r="F40" i="4" s="1"/>
  <c r="G40" i="4" s="1"/>
  <c r="H40" i="4" s="1"/>
  <c r="I40" i="4" s="1"/>
  <c r="J40" i="4" s="1"/>
  <c r="K40" i="4" s="1"/>
  <c r="C40" i="4"/>
  <c r="J39" i="4"/>
  <c r="K39" i="4" s="1"/>
  <c r="I39" i="4"/>
  <c r="C39" i="4"/>
  <c r="D39" i="4" s="1"/>
  <c r="E39" i="4" s="1"/>
  <c r="F39" i="4" s="1"/>
  <c r="G39" i="4" s="1"/>
  <c r="H39" i="4" s="1"/>
  <c r="D38" i="4"/>
  <c r="E38" i="4" s="1"/>
  <c r="F38" i="4" s="1"/>
  <c r="G38" i="4" s="1"/>
  <c r="H38" i="4" s="1"/>
  <c r="I38" i="4" s="1"/>
  <c r="J38" i="4" s="1"/>
  <c r="K38" i="4" s="1"/>
  <c r="C38" i="4"/>
  <c r="C37" i="4"/>
  <c r="D37" i="4" s="1"/>
  <c r="E37" i="4" s="1"/>
  <c r="F37" i="4" s="1"/>
  <c r="G37" i="4" s="1"/>
  <c r="H37" i="4" s="1"/>
  <c r="I37" i="4" s="1"/>
  <c r="J37" i="4" s="1"/>
  <c r="K37" i="4" s="1"/>
  <c r="C36" i="4"/>
  <c r="D36" i="4" s="1"/>
  <c r="E36" i="4" s="1"/>
  <c r="F36" i="4" s="1"/>
  <c r="G36" i="4" s="1"/>
  <c r="H36" i="4" s="1"/>
  <c r="I36" i="4" s="1"/>
  <c r="J36" i="4" s="1"/>
  <c r="K36" i="4" s="1"/>
  <c r="K35" i="4"/>
  <c r="C35" i="4"/>
  <c r="D35" i="4" s="1"/>
  <c r="E35" i="4" s="1"/>
  <c r="F35" i="4" s="1"/>
  <c r="G35" i="4" s="1"/>
  <c r="H35" i="4" s="1"/>
  <c r="I35" i="4" s="1"/>
  <c r="J35" i="4" s="1"/>
  <c r="D34" i="4"/>
  <c r="E34" i="4" s="1"/>
  <c r="F34" i="4" s="1"/>
  <c r="G34" i="4" s="1"/>
  <c r="H34" i="4" s="1"/>
  <c r="I34" i="4" s="1"/>
  <c r="J34" i="4" s="1"/>
  <c r="K34" i="4" s="1"/>
  <c r="C34" i="4"/>
  <c r="C33" i="4"/>
  <c r="D33" i="4" s="1"/>
  <c r="E33" i="4" s="1"/>
  <c r="F33" i="4" s="1"/>
  <c r="G33" i="4" s="1"/>
  <c r="H33" i="4" s="1"/>
  <c r="I33" i="4" s="1"/>
  <c r="J33" i="4" s="1"/>
  <c r="K33" i="4" s="1"/>
  <c r="D32" i="4"/>
  <c r="E32" i="4" s="1"/>
  <c r="F32" i="4" s="1"/>
  <c r="G32" i="4" s="1"/>
  <c r="H32" i="4" s="1"/>
  <c r="I32" i="4" s="1"/>
  <c r="J32" i="4" s="1"/>
  <c r="K32" i="4" s="1"/>
  <c r="C32" i="4"/>
  <c r="C31" i="4"/>
  <c r="D31" i="4" s="1"/>
  <c r="E31" i="4" s="1"/>
  <c r="F31" i="4" s="1"/>
  <c r="G31" i="4" s="1"/>
  <c r="H31" i="4" s="1"/>
  <c r="I31" i="4" s="1"/>
  <c r="J31" i="4" s="1"/>
  <c r="K31" i="4" s="1"/>
  <c r="F30" i="4"/>
  <c r="G30" i="4" s="1"/>
  <c r="H30" i="4" s="1"/>
  <c r="I30" i="4" s="1"/>
  <c r="J30" i="4" s="1"/>
  <c r="K30" i="4" s="1"/>
  <c r="D30" i="4"/>
  <c r="E30" i="4" s="1"/>
  <c r="C30" i="4"/>
  <c r="C29" i="4"/>
  <c r="D29" i="4" s="1"/>
  <c r="E29" i="4" s="1"/>
  <c r="F29" i="4" s="1"/>
  <c r="G29" i="4" s="1"/>
  <c r="H29" i="4" s="1"/>
  <c r="I29" i="4" s="1"/>
  <c r="J29" i="4" s="1"/>
  <c r="K29" i="4" s="1"/>
  <c r="F28" i="4"/>
  <c r="G28" i="4" s="1"/>
  <c r="H28" i="4" s="1"/>
  <c r="I28" i="4" s="1"/>
  <c r="J28" i="4" s="1"/>
  <c r="K28" i="4" s="1"/>
  <c r="D28" i="4"/>
  <c r="E28" i="4" s="1"/>
  <c r="C28" i="4"/>
  <c r="C27" i="4"/>
  <c r="D27" i="4" s="1"/>
  <c r="E27" i="4" s="1"/>
  <c r="F27" i="4" s="1"/>
  <c r="G27" i="4" s="1"/>
  <c r="H27" i="4" s="1"/>
  <c r="I27" i="4" s="1"/>
  <c r="J27" i="4" s="1"/>
  <c r="K27" i="4" s="1"/>
  <c r="H26" i="4"/>
  <c r="I26" i="4" s="1"/>
  <c r="J26" i="4" s="1"/>
  <c r="K26" i="4" s="1"/>
  <c r="F26" i="4"/>
  <c r="G26" i="4" s="1"/>
  <c r="D26" i="4"/>
  <c r="E26" i="4" s="1"/>
  <c r="C26" i="4"/>
  <c r="C25" i="4"/>
  <c r="D25" i="4" s="1"/>
  <c r="E25" i="4" s="1"/>
  <c r="F25" i="4" s="1"/>
  <c r="G25" i="4" s="1"/>
  <c r="H25" i="4" s="1"/>
  <c r="I25" i="4" s="1"/>
  <c r="J25" i="4" s="1"/>
  <c r="K25" i="4" s="1"/>
  <c r="D24" i="4"/>
  <c r="E24" i="4" s="1"/>
  <c r="F24" i="4" s="1"/>
  <c r="G24" i="4" s="1"/>
  <c r="H24" i="4" s="1"/>
  <c r="I24" i="4" s="1"/>
  <c r="J24" i="4" s="1"/>
  <c r="K24" i="4" s="1"/>
  <c r="C24" i="4"/>
  <c r="D23" i="4"/>
  <c r="E23" i="4" s="1"/>
  <c r="F23" i="4" s="1"/>
  <c r="G23" i="4" s="1"/>
  <c r="H23" i="4" s="1"/>
  <c r="I23" i="4" s="1"/>
  <c r="J23" i="4" s="1"/>
  <c r="K23" i="4" s="1"/>
  <c r="C23" i="4"/>
  <c r="J22" i="4"/>
  <c r="K22" i="4" s="1"/>
  <c r="F22" i="4"/>
  <c r="G22" i="4" s="1"/>
  <c r="H22" i="4" s="1"/>
  <c r="I22" i="4" s="1"/>
  <c r="D22" i="4"/>
  <c r="E22" i="4" s="1"/>
  <c r="C22" i="4"/>
  <c r="C21" i="4"/>
  <c r="D21" i="4" s="1"/>
  <c r="E21" i="4" s="1"/>
  <c r="F21" i="4" s="1"/>
  <c r="G21" i="4" s="1"/>
  <c r="H21" i="4" s="1"/>
  <c r="I21" i="4" s="1"/>
  <c r="J21" i="4" s="1"/>
  <c r="K21" i="4" s="1"/>
  <c r="C20" i="4"/>
  <c r="D20" i="4" s="1"/>
  <c r="E20" i="4" s="1"/>
  <c r="F20" i="4" s="1"/>
  <c r="G20" i="4" s="1"/>
  <c r="H20" i="4" s="1"/>
  <c r="I20" i="4" s="1"/>
  <c r="J20" i="4" s="1"/>
  <c r="K20" i="4" s="1"/>
  <c r="D19" i="4"/>
  <c r="E19" i="4" s="1"/>
  <c r="F19" i="4" s="1"/>
  <c r="G19" i="4" s="1"/>
  <c r="H19" i="4" s="1"/>
  <c r="I19" i="4" s="1"/>
  <c r="J19" i="4" s="1"/>
  <c r="K19" i="4" s="1"/>
  <c r="C19" i="4"/>
  <c r="D18" i="4"/>
  <c r="E18" i="4" s="1"/>
  <c r="F18" i="4" s="1"/>
  <c r="G18" i="4" s="1"/>
  <c r="H18" i="4" s="1"/>
  <c r="I18" i="4" s="1"/>
  <c r="J18" i="4" s="1"/>
  <c r="K18" i="4" s="1"/>
  <c r="C18" i="4"/>
  <c r="G17" i="4"/>
  <c r="H17" i="4" s="1"/>
  <c r="I17" i="4" s="1"/>
  <c r="J17" i="4" s="1"/>
  <c r="K17" i="4" s="1"/>
  <c r="C17" i="4"/>
  <c r="D17" i="4" s="1"/>
  <c r="E17" i="4" s="1"/>
  <c r="F17" i="4" s="1"/>
  <c r="C16" i="4"/>
  <c r="D16" i="4" s="1"/>
  <c r="E16" i="4" s="1"/>
  <c r="F16" i="4" s="1"/>
  <c r="G16" i="4" s="1"/>
  <c r="H16" i="4" s="1"/>
  <c r="I16" i="4" s="1"/>
  <c r="J16" i="4" s="1"/>
  <c r="K16" i="4" s="1"/>
  <c r="C15" i="4"/>
  <c r="D15" i="4" s="1"/>
  <c r="E15" i="4" s="1"/>
  <c r="F15" i="4" s="1"/>
  <c r="G15" i="4" s="1"/>
  <c r="H15" i="4" s="1"/>
  <c r="I15" i="4" s="1"/>
  <c r="J15" i="4" s="1"/>
  <c r="K15" i="4" s="1"/>
  <c r="D14" i="4"/>
  <c r="E14" i="4" s="1"/>
  <c r="F14" i="4" s="1"/>
  <c r="G14" i="4" s="1"/>
  <c r="H14" i="4" s="1"/>
  <c r="I14" i="4" s="1"/>
  <c r="J14" i="4" s="1"/>
  <c r="K14" i="4" s="1"/>
  <c r="C14" i="4"/>
  <c r="I13" i="4"/>
  <c r="J13" i="4" s="1"/>
  <c r="K13" i="4" s="1"/>
  <c r="C13" i="4"/>
  <c r="D13" i="4" s="1"/>
  <c r="E13" i="4" s="1"/>
  <c r="F13" i="4" s="1"/>
  <c r="G13" i="4" s="1"/>
  <c r="H13" i="4" s="1"/>
  <c r="C12" i="4"/>
  <c r="D12" i="4" s="1"/>
  <c r="E12" i="4" s="1"/>
  <c r="F12" i="4" s="1"/>
  <c r="G12" i="4" s="1"/>
  <c r="H12" i="4" s="1"/>
  <c r="I12" i="4" s="1"/>
  <c r="J12" i="4" s="1"/>
  <c r="K12" i="4" s="1"/>
  <c r="C11" i="4"/>
  <c r="D11" i="4" s="1"/>
  <c r="E11" i="4" s="1"/>
  <c r="F11" i="4" s="1"/>
  <c r="G11" i="4" s="1"/>
  <c r="H11" i="4" s="1"/>
  <c r="I11" i="4" s="1"/>
  <c r="J11" i="4" s="1"/>
  <c r="K11" i="4" s="1"/>
  <c r="D10" i="4"/>
  <c r="E10" i="4" s="1"/>
  <c r="F10" i="4" s="1"/>
  <c r="G10" i="4" s="1"/>
  <c r="H10" i="4" s="1"/>
  <c r="I10" i="4" s="1"/>
  <c r="J10" i="4" s="1"/>
  <c r="K10" i="4" s="1"/>
  <c r="C10" i="4"/>
  <c r="C9" i="4"/>
  <c r="D9" i="4" s="1"/>
  <c r="E9" i="4" s="1"/>
  <c r="F9" i="4" s="1"/>
  <c r="G9" i="4" s="1"/>
  <c r="H9" i="4" s="1"/>
  <c r="I9" i="4" s="1"/>
  <c r="J9" i="4" s="1"/>
  <c r="K9" i="4" s="1"/>
  <c r="D8" i="4"/>
  <c r="E8" i="4" s="1"/>
  <c r="F8" i="4" s="1"/>
  <c r="G8" i="4" s="1"/>
  <c r="H8" i="4" s="1"/>
  <c r="I8" i="4" s="1"/>
  <c r="J8" i="4" s="1"/>
  <c r="K8" i="4" s="1"/>
  <c r="C8" i="4"/>
  <c r="C7" i="4"/>
  <c r="D7" i="4" s="1"/>
  <c r="E7" i="4" s="1"/>
  <c r="F7" i="4" s="1"/>
  <c r="G7" i="4" s="1"/>
  <c r="H7" i="4" s="1"/>
  <c r="I7" i="4" s="1"/>
  <c r="J7" i="4" s="1"/>
  <c r="K7" i="4" s="1"/>
  <c r="F6" i="4"/>
  <c r="G6" i="4" s="1"/>
  <c r="H6" i="4" s="1"/>
  <c r="I6" i="4" s="1"/>
  <c r="J6" i="4" s="1"/>
  <c r="K6" i="4" s="1"/>
  <c r="D6" i="4"/>
  <c r="E6" i="4" s="1"/>
  <c r="C6" i="4"/>
  <c r="C48" i="3"/>
  <c r="D48" i="3"/>
  <c r="E48" i="3"/>
  <c r="F48" i="3"/>
  <c r="G48" i="3"/>
  <c r="H48" i="3"/>
  <c r="I48" i="3"/>
  <c r="J48" i="3"/>
  <c r="K48" i="3"/>
  <c r="C49" i="3"/>
  <c r="D49" i="3"/>
  <c r="E49" i="3"/>
  <c r="F49" i="3" s="1"/>
  <c r="G49" i="3" s="1"/>
  <c r="H49" i="3" s="1"/>
  <c r="I49" i="3" s="1"/>
  <c r="J49" i="3" s="1"/>
  <c r="K49" i="3" s="1"/>
  <c r="C50" i="3"/>
  <c r="D50" i="3"/>
  <c r="E50" i="3"/>
  <c r="F50" i="3"/>
  <c r="G50" i="3"/>
  <c r="H50" i="3"/>
  <c r="I50" i="3" s="1"/>
  <c r="J50" i="3" s="1"/>
  <c r="K50" i="3" s="1"/>
  <c r="C51" i="3"/>
  <c r="D51" i="3"/>
  <c r="E51" i="3"/>
  <c r="F51" i="3"/>
  <c r="G51" i="3"/>
  <c r="H51" i="3"/>
  <c r="I51" i="3"/>
  <c r="J51" i="3"/>
  <c r="K51" i="3"/>
  <c r="C52" i="3"/>
  <c r="D52" i="3"/>
  <c r="E52" i="3"/>
  <c r="F52" i="3"/>
  <c r="G52" i="3"/>
  <c r="H52" i="3"/>
  <c r="I52" i="3"/>
  <c r="J52" i="3"/>
  <c r="K52" i="3"/>
  <c r="C53" i="3"/>
  <c r="D53" i="3"/>
  <c r="E53" i="3"/>
  <c r="F53" i="3" s="1"/>
  <c r="G53" i="3" s="1"/>
  <c r="H53" i="3" s="1"/>
  <c r="I53" i="3" s="1"/>
  <c r="J53" i="3" s="1"/>
  <c r="K53" i="3" s="1"/>
  <c r="C54" i="3"/>
  <c r="D54" i="3"/>
  <c r="E54" i="3"/>
  <c r="F54" i="3"/>
  <c r="G54" i="3"/>
  <c r="H54" i="3"/>
  <c r="I54" i="3" s="1"/>
  <c r="J54" i="3" s="1"/>
  <c r="K54" i="3" s="1"/>
  <c r="C55" i="3"/>
  <c r="D55" i="3"/>
  <c r="E55" i="3"/>
  <c r="F55" i="3"/>
  <c r="G55" i="3"/>
  <c r="H55" i="3"/>
  <c r="I55" i="3"/>
  <c r="J55" i="3"/>
  <c r="K55" i="3"/>
  <c r="C56" i="3"/>
  <c r="D56" i="3"/>
  <c r="E56" i="3"/>
  <c r="F56" i="3"/>
  <c r="G56" i="3"/>
  <c r="H56" i="3"/>
  <c r="I56" i="3"/>
  <c r="J56" i="3"/>
  <c r="K56" i="3"/>
  <c r="C57" i="3"/>
  <c r="D57" i="3"/>
  <c r="E57" i="3"/>
  <c r="F57" i="3" s="1"/>
  <c r="G57" i="3" s="1"/>
  <c r="H57" i="3" s="1"/>
  <c r="I57" i="3" s="1"/>
  <c r="J57" i="3" s="1"/>
  <c r="K57" i="3" s="1"/>
  <c r="C58" i="3"/>
  <c r="D58" i="3"/>
  <c r="E58" i="3"/>
  <c r="F58" i="3"/>
  <c r="G58" i="3"/>
  <c r="H58" i="3"/>
  <c r="I58" i="3" s="1"/>
  <c r="J58" i="3" s="1"/>
  <c r="K58" i="3" s="1"/>
  <c r="C59" i="3"/>
  <c r="D59" i="3"/>
  <c r="E59" i="3"/>
  <c r="F59" i="3"/>
  <c r="G59" i="3"/>
  <c r="H59" i="3"/>
  <c r="I59" i="3"/>
  <c r="J59" i="3"/>
  <c r="K59" i="3"/>
  <c r="C60" i="3"/>
  <c r="D60" i="3"/>
  <c r="E60" i="3"/>
  <c r="F60" i="3"/>
  <c r="G60" i="3"/>
  <c r="H60" i="3"/>
  <c r="I60" i="3"/>
  <c r="J60" i="3"/>
  <c r="K60" i="3"/>
  <c r="C61" i="3"/>
  <c r="D61" i="3"/>
  <c r="E61" i="3"/>
  <c r="F61" i="3" s="1"/>
  <c r="G61" i="3" s="1"/>
  <c r="H61" i="3" s="1"/>
  <c r="I61" i="3" s="1"/>
  <c r="J61" i="3" s="1"/>
  <c r="K61" i="3" s="1"/>
  <c r="C62" i="3"/>
  <c r="D62" i="3"/>
  <c r="E62" i="3"/>
  <c r="F62" i="3"/>
  <c r="G62" i="3"/>
  <c r="H62" i="3"/>
  <c r="I62" i="3" s="1"/>
  <c r="J62" i="3" s="1"/>
  <c r="K62" i="3" s="1"/>
  <c r="C63" i="3"/>
  <c r="D63" i="3"/>
  <c r="E63" i="3"/>
  <c r="F63" i="3"/>
  <c r="G63" i="3"/>
  <c r="H63" i="3"/>
  <c r="I63" i="3"/>
  <c r="J63" i="3"/>
  <c r="K63" i="3"/>
  <c r="C64" i="3"/>
  <c r="D64" i="3"/>
  <c r="E64" i="3"/>
  <c r="F64" i="3"/>
  <c r="G64" i="3"/>
  <c r="H64" i="3"/>
  <c r="I64" i="3"/>
  <c r="J64" i="3"/>
  <c r="K64" i="3"/>
  <c r="C65" i="3"/>
  <c r="D65" i="3"/>
  <c r="E65" i="3"/>
  <c r="F65" i="3" s="1"/>
  <c r="G65" i="3" s="1"/>
  <c r="H65" i="3" s="1"/>
  <c r="I65" i="3" s="1"/>
  <c r="J65" i="3" s="1"/>
  <c r="K65" i="3" s="1"/>
  <c r="C66" i="3"/>
  <c r="D66" i="3"/>
  <c r="E66" i="3"/>
  <c r="F66" i="3"/>
  <c r="G66" i="3"/>
  <c r="H66" i="3"/>
  <c r="I66" i="3" s="1"/>
  <c r="J66" i="3" s="1"/>
  <c r="K66" i="3" s="1"/>
  <c r="C67" i="3"/>
  <c r="D67" i="3"/>
  <c r="E67" i="3"/>
  <c r="F67" i="3"/>
  <c r="G67" i="3"/>
  <c r="H67" i="3"/>
  <c r="I67" i="3"/>
  <c r="J67" i="3"/>
  <c r="K67" i="3"/>
  <c r="C68" i="3"/>
  <c r="D68" i="3"/>
  <c r="E68" i="3"/>
  <c r="F68" i="3"/>
  <c r="G68" i="3"/>
  <c r="H68" i="3"/>
  <c r="I68" i="3"/>
  <c r="J68" i="3"/>
  <c r="K68" i="3"/>
  <c r="C69" i="3"/>
  <c r="D69" i="3"/>
  <c r="E69" i="3"/>
  <c r="F69" i="3" s="1"/>
  <c r="G69" i="3" s="1"/>
  <c r="H69" i="3" s="1"/>
  <c r="I69" i="3" s="1"/>
  <c r="J69" i="3" s="1"/>
  <c r="K69" i="3" s="1"/>
  <c r="C70" i="3"/>
  <c r="D70" i="3"/>
  <c r="E70" i="3"/>
  <c r="F70" i="3"/>
  <c r="G70" i="3"/>
  <c r="H70" i="3"/>
  <c r="I70" i="3" s="1"/>
  <c r="J70" i="3" s="1"/>
  <c r="K70" i="3" s="1"/>
  <c r="C71" i="3"/>
  <c r="D71" i="3"/>
  <c r="E71" i="3"/>
  <c r="F71" i="3"/>
  <c r="G71" i="3"/>
  <c r="H71" i="3"/>
  <c r="I71" i="3"/>
  <c r="J71" i="3"/>
  <c r="K71" i="3"/>
  <c r="C72" i="3"/>
  <c r="D72" i="3"/>
  <c r="E72" i="3"/>
  <c r="F72" i="3"/>
  <c r="G72" i="3"/>
  <c r="H72" i="3"/>
  <c r="I72" i="3"/>
  <c r="J72" i="3"/>
  <c r="K72" i="3"/>
  <c r="C47" i="3"/>
  <c r="D47" i="3" s="1"/>
  <c r="E47" i="3" s="1"/>
  <c r="F47" i="3" s="1"/>
  <c r="G47" i="3" s="1"/>
  <c r="H47" i="3" s="1"/>
  <c r="I47" i="3" s="1"/>
  <c r="J47" i="3" s="1"/>
  <c r="K47" i="3" s="1"/>
  <c r="C46" i="3"/>
  <c r="D46" i="3" s="1"/>
  <c r="E46" i="3" s="1"/>
  <c r="F46" i="3" s="1"/>
  <c r="G46" i="3" s="1"/>
  <c r="H46" i="3" s="1"/>
  <c r="I46" i="3" s="1"/>
  <c r="J46" i="3" s="1"/>
  <c r="K46" i="3" s="1"/>
  <c r="C45" i="3"/>
  <c r="D45" i="3" s="1"/>
  <c r="E45" i="3" s="1"/>
  <c r="F45" i="3" s="1"/>
  <c r="G45" i="3" s="1"/>
  <c r="H45" i="3" s="1"/>
  <c r="I45" i="3" s="1"/>
  <c r="J45" i="3" s="1"/>
  <c r="K45" i="3" s="1"/>
  <c r="C44" i="3"/>
  <c r="D44" i="3" s="1"/>
  <c r="E44" i="3" s="1"/>
  <c r="F44" i="3" s="1"/>
  <c r="G44" i="3" s="1"/>
  <c r="H44" i="3" s="1"/>
  <c r="I44" i="3" s="1"/>
  <c r="J44" i="3" s="1"/>
  <c r="K44" i="3" s="1"/>
  <c r="C43" i="3"/>
  <c r="D43" i="3" s="1"/>
  <c r="E43" i="3" s="1"/>
  <c r="F43" i="3" s="1"/>
  <c r="G43" i="3" s="1"/>
  <c r="H43" i="3" s="1"/>
  <c r="I43" i="3" s="1"/>
  <c r="J43" i="3" s="1"/>
  <c r="K43" i="3" s="1"/>
  <c r="I42" i="3"/>
  <c r="J42" i="3" s="1"/>
  <c r="K42" i="3" s="1"/>
  <c r="C42" i="3"/>
  <c r="D42" i="3" s="1"/>
  <c r="E42" i="3" s="1"/>
  <c r="F42" i="3" s="1"/>
  <c r="G42" i="3" s="1"/>
  <c r="H42" i="3" s="1"/>
  <c r="C41" i="3"/>
  <c r="D41" i="3" s="1"/>
  <c r="E41" i="3" s="1"/>
  <c r="F41" i="3" s="1"/>
  <c r="G41" i="3" s="1"/>
  <c r="H41" i="3" s="1"/>
  <c r="I41" i="3" s="1"/>
  <c r="J41" i="3" s="1"/>
  <c r="K41" i="3" s="1"/>
  <c r="C40" i="3"/>
  <c r="D40" i="3" s="1"/>
  <c r="E40" i="3" s="1"/>
  <c r="F40" i="3" s="1"/>
  <c r="G40" i="3" s="1"/>
  <c r="H40" i="3" s="1"/>
  <c r="I40" i="3" s="1"/>
  <c r="J40" i="3" s="1"/>
  <c r="K40" i="3" s="1"/>
  <c r="C39" i="3"/>
  <c r="D39" i="3" s="1"/>
  <c r="E39" i="3" s="1"/>
  <c r="F39" i="3" s="1"/>
  <c r="G39" i="3" s="1"/>
  <c r="H39" i="3" s="1"/>
  <c r="I39" i="3" s="1"/>
  <c r="J39" i="3" s="1"/>
  <c r="K39" i="3" s="1"/>
  <c r="C38" i="3"/>
  <c r="D38" i="3" s="1"/>
  <c r="E38" i="3" s="1"/>
  <c r="F38" i="3" s="1"/>
  <c r="G38" i="3" s="1"/>
  <c r="H38" i="3" s="1"/>
  <c r="I38" i="3" s="1"/>
  <c r="J38" i="3" s="1"/>
  <c r="K38" i="3" s="1"/>
  <c r="F37" i="3"/>
  <c r="G37" i="3" s="1"/>
  <c r="H37" i="3" s="1"/>
  <c r="I37" i="3" s="1"/>
  <c r="J37" i="3" s="1"/>
  <c r="K37" i="3" s="1"/>
  <c r="C37" i="3"/>
  <c r="D37" i="3" s="1"/>
  <c r="E37" i="3" s="1"/>
  <c r="C36" i="3"/>
  <c r="D36" i="3" s="1"/>
  <c r="E36" i="3" s="1"/>
  <c r="F36" i="3" s="1"/>
  <c r="G36" i="3" s="1"/>
  <c r="H36" i="3" s="1"/>
  <c r="I36" i="3" s="1"/>
  <c r="J36" i="3" s="1"/>
  <c r="K36" i="3" s="1"/>
  <c r="C35" i="3"/>
  <c r="D35" i="3" s="1"/>
  <c r="E35" i="3" s="1"/>
  <c r="F35" i="3" s="1"/>
  <c r="G35" i="3" s="1"/>
  <c r="H35" i="3" s="1"/>
  <c r="I35" i="3" s="1"/>
  <c r="J35" i="3" s="1"/>
  <c r="K35" i="3" s="1"/>
  <c r="C34" i="3"/>
  <c r="D34" i="3" s="1"/>
  <c r="E34" i="3" s="1"/>
  <c r="F34" i="3" s="1"/>
  <c r="G34" i="3" s="1"/>
  <c r="H34" i="3" s="1"/>
  <c r="I34" i="3" s="1"/>
  <c r="J34" i="3" s="1"/>
  <c r="K34" i="3" s="1"/>
  <c r="C33" i="3"/>
  <c r="D33" i="3" s="1"/>
  <c r="E33" i="3" s="1"/>
  <c r="F33" i="3" s="1"/>
  <c r="G33" i="3" s="1"/>
  <c r="H33" i="3" s="1"/>
  <c r="I33" i="3" s="1"/>
  <c r="J33" i="3" s="1"/>
  <c r="K33" i="3" s="1"/>
  <c r="C32" i="3"/>
  <c r="D32" i="3" s="1"/>
  <c r="E32" i="3" s="1"/>
  <c r="F32" i="3" s="1"/>
  <c r="G32" i="3" s="1"/>
  <c r="H32" i="3" s="1"/>
  <c r="I32" i="3" s="1"/>
  <c r="J32" i="3" s="1"/>
  <c r="K32" i="3" s="1"/>
  <c r="C31" i="3"/>
  <c r="D31" i="3" s="1"/>
  <c r="E31" i="3" s="1"/>
  <c r="F31" i="3" s="1"/>
  <c r="G31" i="3" s="1"/>
  <c r="H31" i="3" s="1"/>
  <c r="I31" i="3" s="1"/>
  <c r="J31" i="3" s="1"/>
  <c r="K31" i="3" s="1"/>
  <c r="C30" i="3"/>
  <c r="D30" i="3" s="1"/>
  <c r="E30" i="3" s="1"/>
  <c r="F30" i="3" s="1"/>
  <c r="G30" i="3" s="1"/>
  <c r="H30" i="3" s="1"/>
  <c r="I30" i="3" s="1"/>
  <c r="J30" i="3" s="1"/>
  <c r="K30" i="3" s="1"/>
  <c r="C29" i="3"/>
  <c r="D29" i="3" s="1"/>
  <c r="E29" i="3" s="1"/>
  <c r="F29" i="3" s="1"/>
  <c r="G29" i="3" s="1"/>
  <c r="H29" i="3" s="1"/>
  <c r="I29" i="3" s="1"/>
  <c r="J29" i="3" s="1"/>
  <c r="K29" i="3" s="1"/>
  <c r="C28" i="3"/>
  <c r="D28" i="3" s="1"/>
  <c r="E28" i="3" s="1"/>
  <c r="F28" i="3" s="1"/>
  <c r="G28" i="3" s="1"/>
  <c r="H28" i="3" s="1"/>
  <c r="I28" i="3" s="1"/>
  <c r="J28" i="3" s="1"/>
  <c r="K28" i="3" s="1"/>
  <c r="C27" i="3"/>
  <c r="D27" i="3" s="1"/>
  <c r="E27" i="3" s="1"/>
  <c r="F27" i="3" s="1"/>
  <c r="G27" i="3" s="1"/>
  <c r="H27" i="3" s="1"/>
  <c r="I27" i="3" s="1"/>
  <c r="J27" i="3" s="1"/>
  <c r="K27" i="3" s="1"/>
  <c r="I26" i="3"/>
  <c r="J26" i="3" s="1"/>
  <c r="K26" i="3" s="1"/>
  <c r="C26" i="3"/>
  <c r="D26" i="3" s="1"/>
  <c r="E26" i="3" s="1"/>
  <c r="F26" i="3" s="1"/>
  <c r="G26" i="3" s="1"/>
  <c r="H26" i="3" s="1"/>
  <c r="C25" i="3"/>
  <c r="D25" i="3" s="1"/>
  <c r="E25" i="3" s="1"/>
  <c r="F25" i="3" s="1"/>
  <c r="G25" i="3" s="1"/>
  <c r="H25" i="3" s="1"/>
  <c r="I25" i="3" s="1"/>
  <c r="J25" i="3" s="1"/>
  <c r="K25" i="3" s="1"/>
  <c r="C24" i="3"/>
  <c r="D24" i="3" s="1"/>
  <c r="E24" i="3" s="1"/>
  <c r="F24" i="3" s="1"/>
  <c r="G24" i="3" s="1"/>
  <c r="H24" i="3" s="1"/>
  <c r="I24" i="3" s="1"/>
  <c r="J24" i="3" s="1"/>
  <c r="K24" i="3" s="1"/>
  <c r="C23" i="3"/>
  <c r="D23" i="3" s="1"/>
  <c r="E23" i="3" s="1"/>
  <c r="F23" i="3" s="1"/>
  <c r="G23" i="3" s="1"/>
  <c r="H23" i="3" s="1"/>
  <c r="I23" i="3" s="1"/>
  <c r="J23" i="3" s="1"/>
  <c r="K23" i="3" s="1"/>
  <c r="C22" i="3"/>
  <c r="D22" i="3" s="1"/>
  <c r="E22" i="3" s="1"/>
  <c r="F22" i="3" s="1"/>
  <c r="G22" i="3" s="1"/>
  <c r="H22" i="3" s="1"/>
  <c r="I22" i="3" s="1"/>
  <c r="J22" i="3" s="1"/>
  <c r="K22" i="3" s="1"/>
  <c r="F21" i="3"/>
  <c r="G21" i="3" s="1"/>
  <c r="H21" i="3" s="1"/>
  <c r="I21" i="3" s="1"/>
  <c r="J21" i="3" s="1"/>
  <c r="K21" i="3" s="1"/>
  <c r="C21" i="3"/>
  <c r="D21" i="3" s="1"/>
  <c r="E21" i="3" s="1"/>
  <c r="C20" i="3"/>
  <c r="D20" i="3" s="1"/>
  <c r="E20" i="3" s="1"/>
  <c r="F20" i="3" s="1"/>
  <c r="G20" i="3" s="1"/>
  <c r="H20" i="3" s="1"/>
  <c r="I20" i="3" s="1"/>
  <c r="J20" i="3" s="1"/>
  <c r="K20" i="3" s="1"/>
  <c r="C19" i="3"/>
  <c r="D19" i="3" s="1"/>
  <c r="E19" i="3" s="1"/>
  <c r="F19" i="3" s="1"/>
  <c r="G19" i="3" s="1"/>
  <c r="H19" i="3" s="1"/>
  <c r="I19" i="3" s="1"/>
  <c r="J19" i="3" s="1"/>
  <c r="K19" i="3" s="1"/>
  <c r="C18" i="3"/>
  <c r="D18" i="3" s="1"/>
  <c r="E18" i="3" s="1"/>
  <c r="F18" i="3" s="1"/>
  <c r="G18" i="3" s="1"/>
  <c r="H18" i="3" s="1"/>
  <c r="I18" i="3" s="1"/>
  <c r="J18" i="3" s="1"/>
  <c r="K18" i="3" s="1"/>
  <c r="C17" i="3"/>
  <c r="D17" i="3" s="1"/>
  <c r="E17" i="3" s="1"/>
  <c r="F17" i="3" s="1"/>
  <c r="G17" i="3" s="1"/>
  <c r="H17" i="3" s="1"/>
  <c r="I17" i="3" s="1"/>
  <c r="J17" i="3" s="1"/>
  <c r="K17" i="3" s="1"/>
  <c r="C16" i="3"/>
  <c r="D16" i="3" s="1"/>
  <c r="E16" i="3" s="1"/>
  <c r="F16" i="3" s="1"/>
  <c r="G16" i="3" s="1"/>
  <c r="H16" i="3" s="1"/>
  <c r="I16" i="3" s="1"/>
  <c r="J16" i="3" s="1"/>
  <c r="K16" i="3" s="1"/>
  <c r="C15" i="3"/>
  <c r="D15" i="3" s="1"/>
  <c r="E15" i="3" s="1"/>
  <c r="F15" i="3" s="1"/>
  <c r="G15" i="3" s="1"/>
  <c r="H15" i="3" s="1"/>
  <c r="I15" i="3" s="1"/>
  <c r="J15" i="3" s="1"/>
  <c r="K15" i="3" s="1"/>
  <c r="C14" i="3"/>
  <c r="D14" i="3" s="1"/>
  <c r="E14" i="3" s="1"/>
  <c r="F14" i="3" s="1"/>
  <c r="G14" i="3" s="1"/>
  <c r="H14" i="3" s="1"/>
  <c r="I14" i="3" s="1"/>
  <c r="J14" i="3" s="1"/>
  <c r="K14" i="3" s="1"/>
  <c r="D13" i="3"/>
  <c r="E13" i="3" s="1"/>
  <c r="F13" i="3" s="1"/>
  <c r="G13" i="3" s="1"/>
  <c r="H13" i="3" s="1"/>
  <c r="I13" i="3" s="1"/>
  <c r="J13" i="3" s="1"/>
  <c r="K13" i="3" s="1"/>
  <c r="C13" i="3"/>
  <c r="C12" i="3"/>
  <c r="D12" i="3" s="1"/>
  <c r="E12" i="3" s="1"/>
  <c r="F12" i="3" s="1"/>
  <c r="G12" i="3" s="1"/>
  <c r="H12" i="3" s="1"/>
  <c r="I12" i="3" s="1"/>
  <c r="J12" i="3" s="1"/>
  <c r="K12" i="3" s="1"/>
  <c r="C11" i="3"/>
  <c r="D11" i="3" s="1"/>
  <c r="E11" i="3" s="1"/>
  <c r="F11" i="3" s="1"/>
  <c r="G11" i="3" s="1"/>
  <c r="H11" i="3" s="1"/>
  <c r="I11" i="3" s="1"/>
  <c r="J11" i="3" s="1"/>
  <c r="K11" i="3" s="1"/>
  <c r="C10" i="3"/>
  <c r="D10" i="3" s="1"/>
  <c r="E10" i="3" s="1"/>
  <c r="F10" i="3" s="1"/>
  <c r="G10" i="3" s="1"/>
  <c r="H10" i="3" s="1"/>
  <c r="I10" i="3" s="1"/>
  <c r="J10" i="3" s="1"/>
  <c r="K10" i="3" s="1"/>
  <c r="F9" i="3"/>
  <c r="G9" i="3" s="1"/>
  <c r="H9" i="3" s="1"/>
  <c r="I9" i="3" s="1"/>
  <c r="J9" i="3" s="1"/>
  <c r="K9" i="3" s="1"/>
  <c r="D9" i="3"/>
  <c r="E9" i="3" s="1"/>
  <c r="C9" i="3"/>
  <c r="C8" i="3"/>
  <c r="D8" i="3" s="1"/>
  <c r="E8" i="3" s="1"/>
  <c r="F8" i="3" s="1"/>
  <c r="G8" i="3" s="1"/>
  <c r="H8" i="3" s="1"/>
  <c r="I8" i="3" s="1"/>
  <c r="J8" i="3" s="1"/>
  <c r="K8" i="3" s="1"/>
  <c r="C7" i="3"/>
  <c r="D7" i="3" s="1"/>
  <c r="E7" i="3" s="1"/>
  <c r="F7" i="3" s="1"/>
  <c r="G7" i="3" s="1"/>
  <c r="H7" i="3" s="1"/>
  <c r="I7" i="3" s="1"/>
  <c r="J7" i="3" s="1"/>
  <c r="K7" i="3" s="1"/>
  <c r="C6" i="3"/>
  <c r="D6" i="3" s="1"/>
  <c r="E6" i="3" s="1"/>
  <c r="F6" i="3" s="1"/>
  <c r="G6" i="3" s="1"/>
  <c r="H6" i="3" s="1"/>
  <c r="I6" i="3" s="1"/>
  <c r="J6" i="3" s="1"/>
  <c r="K6" i="3" s="1"/>
  <c r="C43" i="2"/>
  <c r="D43" i="2" s="1"/>
  <c r="E43" i="2" s="1"/>
  <c r="F43" i="2" s="1"/>
  <c r="G43" i="2" s="1"/>
  <c r="H43" i="2" s="1"/>
  <c r="I43" i="2" s="1"/>
  <c r="J43" i="2" s="1"/>
  <c r="K43" i="2" s="1"/>
  <c r="C44" i="2"/>
  <c r="D44" i="2"/>
  <c r="E44" i="2"/>
  <c r="F44" i="2" s="1"/>
  <c r="G44" i="2" s="1"/>
  <c r="H44" i="2" s="1"/>
  <c r="I44" i="2" s="1"/>
  <c r="J44" i="2" s="1"/>
  <c r="K44" i="2" s="1"/>
  <c r="C45" i="2"/>
  <c r="D45" i="2"/>
  <c r="E45" i="2"/>
  <c r="F45" i="2"/>
  <c r="G45" i="2" s="1"/>
  <c r="H45" i="2" s="1"/>
  <c r="I45" i="2" s="1"/>
  <c r="J45" i="2" s="1"/>
  <c r="K45" i="2" s="1"/>
  <c r="C46" i="2"/>
  <c r="D46" i="2"/>
  <c r="E46" i="2"/>
  <c r="F46" i="2"/>
  <c r="G46" i="2"/>
  <c r="H46" i="2"/>
  <c r="I46" i="2"/>
  <c r="J46" i="2"/>
  <c r="K46" i="2"/>
  <c r="C47" i="2"/>
  <c r="D47" i="2" s="1"/>
  <c r="E47" i="2" s="1"/>
  <c r="F47" i="2" s="1"/>
  <c r="G47" i="2" s="1"/>
  <c r="H47" i="2" s="1"/>
  <c r="I47" i="2" s="1"/>
  <c r="J47" i="2" s="1"/>
  <c r="K47" i="2" s="1"/>
  <c r="C37" i="2"/>
  <c r="D37" i="2"/>
  <c r="E37" i="2"/>
  <c r="F37" i="2"/>
  <c r="G37" i="2"/>
  <c r="H37" i="2"/>
  <c r="I37" i="2"/>
  <c r="J37" i="2"/>
  <c r="K37" i="2"/>
  <c r="C38" i="2"/>
  <c r="D38" i="2"/>
  <c r="E38" i="2"/>
  <c r="F38" i="2" s="1"/>
  <c r="G38" i="2" s="1"/>
  <c r="H38" i="2" s="1"/>
  <c r="I38" i="2" s="1"/>
  <c r="J38" i="2" s="1"/>
  <c r="K38" i="2" s="1"/>
  <c r="C39" i="2"/>
  <c r="D39" i="2"/>
  <c r="E39" i="2"/>
  <c r="F39" i="2"/>
  <c r="G39" i="2"/>
  <c r="H39" i="2"/>
  <c r="I39" i="2" s="1"/>
  <c r="J39" i="2" s="1"/>
  <c r="K39" i="2" s="1"/>
  <c r="C40" i="2"/>
  <c r="D40" i="2"/>
  <c r="E40" i="2"/>
  <c r="F40" i="2"/>
  <c r="G40" i="2"/>
  <c r="H40" i="2"/>
  <c r="I40" i="2"/>
  <c r="J40" i="2"/>
  <c r="K40" i="2"/>
  <c r="C41" i="2"/>
  <c r="D41" i="2"/>
  <c r="E41" i="2"/>
  <c r="F41" i="2"/>
  <c r="G41" i="2"/>
  <c r="H41" i="2"/>
  <c r="I41" i="2"/>
  <c r="J41" i="2"/>
  <c r="K41" i="2"/>
  <c r="C42" i="2"/>
  <c r="D42" i="2"/>
  <c r="E42" i="2"/>
  <c r="F42" i="2" s="1"/>
  <c r="G42" i="2" s="1"/>
  <c r="H42" i="2" s="1"/>
  <c r="I42" i="2" s="1"/>
  <c r="J42" i="2" s="1"/>
  <c r="K42" i="2" s="1"/>
  <c r="C36" i="2"/>
  <c r="D36" i="2" s="1"/>
  <c r="E36" i="2" s="1"/>
  <c r="F36" i="2" s="1"/>
  <c r="G36" i="2" s="1"/>
  <c r="H36" i="2" s="1"/>
  <c r="I36" i="2" s="1"/>
  <c r="J36" i="2" s="1"/>
  <c r="K36" i="2" s="1"/>
  <c r="D35" i="2"/>
  <c r="E35" i="2" s="1"/>
  <c r="F35" i="2" s="1"/>
  <c r="G35" i="2" s="1"/>
  <c r="H35" i="2" s="1"/>
  <c r="I35" i="2" s="1"/>
  <c r="J35" i="2" s="1"/>
  <c r="K35" i="2" s="1"/>
  <c r="C35" i="2"/>
  <c r="C34" i="2"/>
  <c r="D34" i="2" s="1"/>
  <c r="E34" i="2" s="1"/>
  <c r="F34" i="2" s="1"/>
  <c r="G34" i="2" s="1"/>
  <c r="H34" i="2" s="1"/>
  <c r="I34" i="2" s="1"/>
  <c r="J34" i="2" s="1"/>
  <c r="K34" i="2" s="1"/>
  <c r="C33" i="2"/>
  <c r="D33" i="2" s="1"/>
  <c r="E33" i="2" s="1"/>
  <c r="F33" i="2" s="1"/>
  <c r="G33" i="2" s="1"/>
  <c r="H33" i="2" s="1"/>
  <c r="I33" i="2" s="1"/>
  <c r="J33" i="2" s="1"/>
  <c r="K33" i="2" s="1"/>
  <c r="C32" i="2"/>
  <c r="D32" i="2" s="1"/>
  <c r="E32" i="2" s="1"/>
  <c r="F32" i="2" s="1"/>
  <c r="G32" i="2" s="1"/>
  <c r="H32" i="2" s="1"/>
  <c r="I32" i="2" s="1"/>
  <c r="J32" i="2" s="1"/>
  <c r="K32" i="2" s="1"/>
  <c r="D31" i="2"/>
  <c r="E31" i="2" s="1"/>
  <c r="F31" i="2" s="1"/>
  <c r="G31" i="2" s="1"/>
  <c r="H31" i="2" s="1"/>
  <c r="I31" i="2" s="1"/>
  <c r="J31" i="2" s="1"/>
  <c r="K31" i="2" s="1"/>
  <c r="C31" i="2"/>
  <c r="F30" i="2"/>
  <c r="G30" i="2" s="1"/>
  <c r="H30" i="2" s="1"/>
  <c r="I30" i="2" s="1"/>
  <c r="J30" i="2" s="1"/>
  <c r="K30" i="2" s="1"/>
  <c r="C30" i="2"/>
  <c r="D30" i="2" s="1"/>
  <c r="E30" i="2" s="1"/>
  <c r="C29" i="2"/>
  <c r="D29" i="2" s="1"/>
  <c r="E29" i="2" s="1"/>
  <c r="F29" i="2" s="1"/>
  <c r="G29" i="2" s="1"/>
  <c r="H29" i="2" s="1"/>
  <c r="I29" i="2" s="1"/>
  <c r="J29" i="2" s="1"/>
  <c r="K29" i="2" s="1"/>
  <c r="C28" i="2"/>
  <c r="D28" i="2" s="1"/>
  <c r="E28" i="2" s="1"/>
  <c r="F28" i="2" s="1"/>
  <c r="G28" i="2" s="1"/>
  <c r="H28" i="2" s="1"/>
  <c r="I28" i="2" s="1"/>
  <c r="J28" i="2" s="1"/>
  <c r="K28" i="2" s="1"/>
  <c r="D27" i="2"/>
  <c r="E27" i="2" s="1"/>
  <c r="F27" i="2" s="1"/>
  <c r="G27" i="2" s="1"/>
  <c r="H27" i="2" s="1"/>
  <c r="I27" i="2" s="1"/>
  <c r="J27" i="2" s="1"/>
  <c r="K27" i="2" s="1"/>
  <c r="C27" i="2"/>
  <c r="C26" i="2"/>
  <c r="D26" i="2" s="1"/>
  <c r="E26" i="2" s="1"/>
  <c r="F26" i="2" s="1"/>
  <c r="G26" i="2" s="1"/>
  <c r="H26" i="2" s="1"/>
  <c r="I26" i="2" s="1"/>
  <c r="J26" i="2" s="1"/>
  <c r="K26" i="2" s="1"/>
  <c r="C25" i="2"/>
  <c r="D25" i="2" s="1"/>
  <c r="E25" i="2" s="1"/>
  <c r="F25" i="2" s="1"/>
  <c r="G25" i="2" s="1"/>
  <c r="H25" i="2" s="1"/>
  <c r="I25" i="2" s="1"/>
  <c r="J25" i="2" s="1"/>
  <c r="K25" i="2" s="1"/>
  <c r="C24" i="2"/>
  <c r="D24" i="2" s="1"/>
  <c r="E24" i="2" s="1"/>
  <c r="F24" i="2" s="1"/>
  <c r="G24" i="2" s="1"/>
  <c r="H24" i="2" s="1"/>
  <c r="I24" i="2" s="1"/>
  <c r="J24" i="2" s="1"/>
  <c r="K24" i="2" s="1"/>
  <c r="D23" i="2"/>
  <c r="E23" i="2" s="1"/>
  <c r="F23" i="2" s="1"/>
  <c r="G23" i="2" s="1"/>
  <c r="H23" i="2" s="1"/>
  <c r="I23" i="2" s="1"/>
  <c r="J23" i="2" s="1"/>
  <c r="K23" i="2" s="1"/>
  <c r="C23" i="2"/>
  <c r="F22" i="2"/>
  <c r="G22" i="2" s="1"/>
  <c r="H22" i="2" s="1"/>
  <c r="I22" i="2" s="1"/>
  <c r="J22" i="2" s="1"/>
  <c r="K22" i="2" s="1"/>
  <c r="C22" i="2"/>
  <c r="D22" i="2" s="1"/>
  <c r="E22" i="2" s="1"/>
  <c r="C21" i="2"/>
  <c r="D21" i="2" s="1"/>
  <c r="E21" i="2" s="1"/>
  <c r="F21" i="2" s="1"/>
  <c r="G21" i="2" s="1"/>
  <c r="H21" i="2" s="1"/>
  <c r="I21" i="2" s="1"/>
  <c r="J21" i="2" s="1"/>
  <c r="K21" i="2" s="1"/>
  <c r="C20" i="2"/>
  <c r="D20" i="2" s="1"/>
  <c r="E20" i="2" s="1"/>
  <c r="F20" i="2" s="1"/>
  <c r="G20" i="2" s="1"/>
  <c r="H20" i="2" s="1"/>
  <c r="I20" i="2" s="1"/>
  <c r="J20" i="2" s="1"/>
  <c r="K20" i="2" s="1"/>
  <c r="D19" i="2"/>
  <c r="E19" i="2" s="1"/>
  <c r="F19" i="2" s="1"/>
  <c r="G19" i="2" s="1"/>
  <c r="H19" i="2" s="1"/>
  <c r="I19" i="2" s="1"/>
  <c r="J19" i="2" s="1"/>
  <c r="K19" i="2" s="1"/>
  <c r="C19" i="2"/>
  <c r="C18" i="2"/>
  <c r="D18" i="2" s="1"/>
  <c r="E18" i="2" s="1"/>
  <c r="F18" i="2" s="1"/>
  <c r="G18" i="2" s="1"/>
  <c r="H18" i="2" s="1"/>
  <c r="I18" i="2" s="1"/>
  <c r="J18" i="2" s="1"/>
  <c r="K18" i="2" s="1"/>
  <c r="C17" i="2"/>
  <c r="D17" i="2" s="1"/>
  <c r="E17" i="2" s="1"/>
  <c r="F17" i="2" s="1"/>
  <c r="G17" i="2" s="1"/>
  <c r="H17" i="2" s="1"/>
  <c r="I17" i="2" s="1"/>
  <c r="J17" i="2" s="1"/>
  <c r="K17" i="2" s="1"/>
  <c r="C16" i="2"/>
  <c r="D16" i="2" s="1"/>
  <c r="E16" i="2" s="1"/>
  <c r="F16" i="2" s="1"/>
  <c r="G16" i="2" s="1"/>
  <c r="H16" i="2" s="1"/>
  <c r="I16" i="2" s="1"/>
  <c r="J16" i="2" s="1"/>
  <c r="K16" i="2" s="1"/>
  <c r="D15" i="2"/>
  <c r="E15" i="2" s="1"/>
  <c r="F15" i="2" s="1"/>
  <c r="G15" i="2" s="1"/>
  <c r="H15" i="2" s="1"/>
  <c r="I15" i="2" s="1"/>
  <c r="J15" i="2" s="1"/>
  <c r="K15" i="2" s="1"/>
  <c r="C15" i="2"/>
  <c r="C14" i="2"/>
  <c r="D14" i="2" s="1"/>
  <c r="E14" i="2" s="1"/>
  <c r="F14" i="2" s="1"/>
  <c r="G14" i="2" s="1"/>
  <c r="H14" i="2" s="1"/>
  <c r="I14" i="2" s="1"/>
  <c r="J14" i="2" s="1"/>
  <c r="K14" i="2" s="1"/>
  <c r="C13" i="2"/>
  <c r="D13" i="2" s="1"/>
  <c r="E13" i="2" s="1"/>
  <c r="F13" i="2" s="1"/>
  <c r="G13" i="2" s="1"/>
  <c r="H13" i="2" s="1"/>
  <c r="I13" i="2" s="1"/>
  <c r="J13" i="2" s="1"/>
  <c r="K13" i="2" s="1"/>
  <c r="C12" i="2"/>
  <c r="D12" i="2" s="1"/>
  <c r="E12" i="2" s="1"/>
  <c r="F12" i="2" s="1"/>
  <c r="G12" i="2" s="1"/>
  <c r="H12" i="2" s="1"/>
  <c r="I12" i="2" s="1"/>
  <c r="J12" i="2" s="1"/>
  <c r="K12" i="2" s="1"/>
  <c r="D11" i="2"/>
  <c r="E11" i="2" s="1"/>
  <c r="F11" i="2" s="1"/>
  <c r="G11" i="2" s="1"/>
  <c r="H11" i="2" s="1"/>
  <c r="I11" i="2" s="1"/>
  <c r="J11" i="2" s="1"/>
  <c r="K11" i="2" s="1"/>
  <c r="C11" i="2"/>
  <c r="F10" i="2"/>
  <c r="G10" i="2" s="1"/>
  <c r="H10" i="2" s="1"/>
  <c r="I10" i="2" s="1"/>
  <c r="J10" i="2" s="1"/>
  <c r="K10" i="2" s="1"/>
  <c r="C10" i="2"/>
  <c r="D10" i="2" s="1"/>
  <c r="E10" i="2" s="1"/>
  <c r="C9" i="2"/>
  <c r="D9" i="2" s="1"/>
  <c r="E9" i="2" s="1"/>
  <c r="F9" i="2" s="1"/>
  <c r="G9" i="2" s="1"/>
  <c r="H9" i="2" s="1"/>
  <c r="I9" i="2" s="1"/>
  <c r="J9" i="2" s="1"/>
  <c r="K9" i="2" s="1"/>
  <c r="C8" i="2"/>
  <c r="D8" i="2" s="1"/>
  <c r="E8" i="2" s="1"/>
  <c r="F8" i="2" s="1"/>
  <c r="G8" i="2" s="1"/>
  <c r="H8" i="2" s="1"/>
  <c r="I8" i="2" s="1"/>
  <c r="J8" i="2" s="1"/>
  <c r="K8" i="2" s="1"/>
  <c r="D7" i="2"/>
  <c r="E7" i="2" s="1"/>
  <c r="F7" i="2" s="1"/>
  <c r="G7" i="2" s="1"/>
  <c r="H7" i="2" s="1"/>
  <c r="I7" i="2" s="1"/>
  <c r="J7" i="2" s="1"/>
  <c r="K7" i="2" s="1"/>
  <c r="C7" i="2"/>
  <c r="C6" i="2"/>
  <c r="D6" i="2" s="1"/>
  <c r="E6" i="2" s="1"/>
  <c r="F6" i="2" s="1"/>
  <c r="G6" i="2" s="1"/>
  <c r="H6" i="2" s="1"/>
  <c r="I6" i="2" s="1"/>
  <c r="J6" i="2" s="1"/>
  <c r="K6" i="2" s="1"/>
  <c r="D6" i="1"/>
  <c r="E6" i="1"/>
  <c r="F6" i="1"/>
  <c r="G6" i="1"/>
  <c r="H6" i="1" s="1"/>
  <c r="I6" i="1" s="1"/>
  <c r="J6" i="1" s="1"/>
  <c r="K6" i="1" s="1"/>
  <c r="D7" i="1"/>
  <c r="E7" i="1"/>
  <c r="F7" i="1"/>
  <c r="G7" i="1"/>
  <c r="H7" i="1" s="1"/>
  <c r="I7" i="1" s="1"/>
  <c r="J7" i="1" s="1"/>
  <c r="K7" i="1" s="1"/>
  <c r="D8" i="1"/>
  <c r="E8" i="1"/>
  <c r="F8" i="1"/>
  <c r="G8" i="1"/>
  <c r="H8" i="1"/>
  <c r="I8" i="1"/>
  <c r="J8" i="1"/>
  <c r="K8" i="1"/>
  <c r="D9" i="1"/>
  <c r="E9" i="1"/>
  <c r="F9" i="1"/>
  <c r="G9" i="1"/>
  <c r="H9" i="1" s="1"/>
  <c r="I9" i="1" s="1"/>
  <c r="J9" i="1" s="1"/>
  <c r="K9" i="1" s="1"/>
  <c r="D10" i="1"/>
  <c r="E10" i="1"/>
  <c r="F10" i="1"/>
  <c r="G10" i="1"/>
  <c r="H10" i="1" s="1"/>
  <c r="I10" i="1" s="1"/>
  <c r="J10" i="1" s="1"/>
  <c r="K10" i="1" s="1"/>
  <c r="D11" i="1"/>
  <c r="E11" i="1"/>
  <c r="F11" i="1"/>
  <c r="G11" i="1"/>
  <c r="H11" i="1"/>
  <c r="I11" i="1"/>
  <c r="J11" i="1"/>
  <c r="K11" i="1"/>
  <c r="D12" i="1"/>
  <c r="E12" i="1"/>
  <c r="F12" i="1"/>
  <c r="G12" i="1"/>
  <c r="H12" i="1" s="1"/>
  <c r="I12" i="1" s="1"/>
  <c r="J12" i="1" s="1"/>
  <c r="K12" i="1" s="1"/>
  <c r="D13" i="1"/>
  <c r="E13" i="1"/>
  <c r="F13" i="1"/>
  <c r="G13" i="1"/>
  <c r="H13" i="1" s="1"/>
  <c r="I13" i="1" s="1"/>
  <c r="J13" i="1" s="1"/>
  <c r="K13" i="1" s="1"/>
  <c r="D14" i="1"/>
  <c r="E14" i="1"/>
  <c r="F14" i="1"/>
  <c r="G14" i="1"/>
  <c r="H14" i="1"/>
  <c r="I14" i="1"/>
  <c r="J14" i="1"/>
  <c r="K14" i="1"/>
  <c r="D15" i="1"/>
  <c r="E15" i="1"/>
  <c r="F15" i="1"/>
  <c r="G15" i="1"/>
  <c r="H15" i="1" s="1"/>
  <c r="I15" i="1" s="1"/>
  <c r="J15" i="1" s="1"/>
  <c r="K15" i="1" s="1"/>
  <c r="D16" i="1"/>
  <c r="E16" i="1"/>
  <c r="F16" i="1"/>
  <c r="G16" i="1"/>
  <c r="H16" i="1" s="1"/>
  <c r="I16" i="1" s="1"/>
  <c r="J16" i="1" s="1"/>
  <c r="K16" i="1" s="1"/>
  <c r="D17" i="1"/>
  <c r="E17" i="1"/>
  <c r="F17" i="1"/>
  <c r="G17" i="1"/>
  <c r="H17" i="1"/>
  <c r="I17" i="1"/>
  <c r="J17" i="1"/>
  <c r="K17" i="1"/>
  <c r="D18" i="1"/>
  <c r="E18" i="1"/>
  <c r="F18" i="1"/>
  <c r="G18" i="1"/>
  <c r="H18" i="1" s="1"/>
  <c r="I18" i="1" s="1"/>
  <c r="J18" i="1" s="1"/>
  <c r="K18" i="1" s="1"/>
  <c r="D19" i="1"/>
  <c r="E19" i="1"/>
  <c r="F19" i="1"/>
  <c r="G19" i="1"/>
  <c r="H19" i="1" s="1"/>
  <c r="I19" i="1" s="1"/>
  <c r="J19" i="1" s="1"/>
  <c r="K19" i="1" s="1"/>
  <c r="D20" i="1"/>
  <c r="E20" i="1"/>
  <c r="F20" i="1"/>
  <c r="G20" i="1"/>
  <c r="H20" i="1"/>
  <c r="I20" i="1"/>
  <c r="J20" i="1"/>
  <c r="K20" i="1"/>
  <c r="D21" i="1"/>
  <c r="E21" i="1"/>
  <c r="F21" i="1"/>
  <c r="G21" i="1"/>
  <c r="H21" i="1" s="1"/>
  <c r="I21" i="1" s="1"/>
  <c r="J21" i="1" s="1"/>
  <c r="K21" i="1" s="1"/>
  <c r="D22" i="1"/>
  <c r="E22" i="1"/>
  <c r="F22" i="1"/>
  <c r="G22" i="1"/>
  <c r="H22" i="1" s="1"/>
  <c r="I22" i="1" s="1"/>
  <c r="J22" i="1" s="1"/>
  <c r="K22" i="1" s="1"/>
  <c r="D23" i="1"/>
  <c r="E23" i="1"/>
  <c r="F23" i="1"/>
  <c r="G23" i="1"/>
  <c r="H23" i="1"/>
  <c r="I23" i="1"/>
  <c r="J23" i="1"/>
  <c r="K23" i="1"/>
  <c r="D24" i="1"/>
  <c r="E24" i="1"/>
  <c r="F24" i="1"/>
  <c r="G24" i="1"/>
  <c r="H24" i="1" s="1"/>
  <c r="I24" i="1" s="1"/>
  <c r="J24" i="1" s="1"/>
  <c r="K24" i="1" s="1"/>
  <c r="D25" i="1"/>
  <c r="E25" i="1"/>
  <c r="F25" i="1"/>
  <c r="G25" i="1"/>
  <c r="H25" i="1" s="1"/>
  <c r="I25" i="1" s="1"/>
  <c r="J25" i="1" s="1"/>
  <c r="K25" i="1" s="1"/>
  <c r="D26" i="1"/>
  <c r="E26" i="1"/>
  <c r="F26" i="1"/>
  <c r="G26" i="1"/>
  <c r="H26" i="1"/>
  <c r="I26" i="1"/>
  <c r="J26" i="1"/>
  <c r="K26" i="1"/>
  <c r="D27" i="1"/>
  <c r="E27" i="1"/>
  <c r="F27" i="1"/>
  <c r="G27" i="1"/>
  <c r="H27" i="1" s="1"/>
  <c r="I27" i="1" s="1"/>
  <c r="J27" i="1" s="1"/>
  <c r="K27" i="1" s="1"/>
  <c r="D28" i="1"/>
  <c r="E28" i="1"/>
  <c r="F28" i="1"/>
  <c r="G28" i="1"/>
  <c r="H28" i="1" s="1"/>
  <c r="I28" i="1" s="1"/>
  <c r="J28" i="1" s="1"/>
  <c r="K28" i="1" s="1"/>
  <c r="D29" i="1"/>
  <c r="E29" i="1"/>
  <c r="F29" i="1"/>
  <c r="G29" i="1"/>
  <c r="H29" i="1"/>
  <c r="I29" i="1"/>
  <c r="J29" i="1"/>
  <c r="K29" i="1"/>
  <c r="D30" i="1"/>
  <c r="E30" i="1"/>
  <c r="F30" i="1"/>
  <c r="G30" i="1"/>
  <c r="H30" i="1" s="1"/>
  <c r="I30" i="1" s="1"/>
  <c r="J30" i="1" s="1"/>
  <c r="K30" i="1" s="1"/>
  <c r="D31" i="1"/>
  <c r="E31" i="1"/>
  <c r="F31" i="1"/>
  <c r="G31" i="1"/>
  <c r="H31" i="1" s="1"/>
  <c r="I31" i="1" s="1"/>
  <c r="J31" i="1" s="1"/>
  <c r="K31" i="1" s="1"/>
  <c r="D32" i="1"/>
  <c r="E32" i="1"/>
  <c r="F32" i="1"/>
  <c r="G32" i="1"/>
  <c r="H32" i="1"/>
  <c r="I32" i="1"/>
  <c r="J32" i="1"/>
  <c r="K32" i="1"/>
  <c r="D33" i="1"/>
  <c r="E33" i="1"/>
  <c r="F33" i="1"/>
  <c r="G33" i="1"/>
  <c r="H33" i="1" s="1"/>
  <c r="I33" i="1" s="1"/>
  <c r="J33" i="1" s="1"/>
  <c r="K33" i="1" s="1"/>
  <c r="D34" i="1"/>
  <c r="E34" i="1"/>
  <c r="F34" i="1"/>
  <c r="G34" i="1"/>
  <c r="H34" i="1" s="1"/>
  <c r="I34" i="1" s="1"/>
  <c r="J34" i="1" s="1"/>
  <c r="K34" i="1" s="1"/>
  <c r="D35" i="1"/>
  <c r="E35" i="1"/>
  <c r="F35" i="1"/>
  <c r="G35" i="1"/>
  <c r="H35" i="1"/>
  <c r="I35" i="1"/>
  <c r="J35" i="1"/>
  <c r="K35" i="1"/>
  <c r="D36" i="1"/>
  <c r="E36" i="1"/>
  <c r="F36" i="1"/>
  <c r="G36" i="1"/>
  <c r="H36" i="1" s="1"/>
  <c r="I36" i="1" s="1"/>
  <c r="J36" i="1" s="1"/>
  <c r="K36" i="1" s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6" i="1"/>
  <c r="K69" i="7" l="1"/>
  <c r="K57" i="7"/>
  <c r="K68" i="7"/>
  <c r="K56" i="7"/>
  <c r="K67" i="7"/>
  <c r="K55" i="7"/>
  <c r="F57" i="7"/>
  <c r="K66" i="7"/>
  <c r="K54" i="7"/>
  <c r="F68" i="7"/>
  <c r="F56" i="7"/>
  <c r="F44" i="7"/>
  <c r="F32" i="7"/>
  <c r="F20" i="7"/>
  <c r="F8" i="7"/>
  <c r="K65" i="7"/>
  <c r="K53" i="7"/>
  <c r="K41" i="7"/>
  <c r="K29" i="7"/>
  <c r="K17" i="7"/>
  <c r="F69" i="7"/>
  <c r="F67" i="7"/>
  <c r="F55" i="7"/>
  <c r="F43" i="7"/>
  <c r="F31" i="7"/>
  <c r="F19" i="7"/>
  <c r="F7" i="7"/>
  <c r="K64" i="7"/>
  <c r="K52" i="7"/>
  <c r="K40" i="7"/>
  <c r="K28" i="7"/>
  <c r="K16" i="7"/>
  <c r="F54" i="7"/>
  <c r="K6" i="7"/>
  <c r="K63" i="7"/>
  <c r="K51" i="7"/>
  <c r="K39" i="7"/>
  <c r="K27" i="7"/>
  <c r="K15" i="7"/>
  <c r="K62" i="7"/>
  <c r="K50" i="7"/>
  <c r="K38" i="7"/>
  <c r="K26" i="7"/>
  <c r="K14" i="7"/>
  <c r="K61" i="7"/>
  <c r="K49" i="7"/>
  <c r="K37" i="7"/>
  <c r="K25" i="7"/>
  <c r="K13" i="7"/>
  <c r="O74" i="7"/>
  <c r="O87" i="7" s="1"/>
  <c r="J74" i="7"/>
  <c r="J87" i="7" s="1"/>
  <c r="E74" i="7"/>
  <c r="K14" i="6"/>
  <c r="K26" i="6"/>
  <c r="K38" i="6"/>
  <c r="U38" i="6"/>
  <c r="K15" i="6"/>
  <c r="K27" i="6"/>
  <c r="K39" i="6"/>
  <c r="U39" i="6"/>
  <c r="F43" i="6"/>
  <c r="F31" i="6"/>
  <c r="F19" i="6"/>
  <c r="F7" i="6"/>
  <c r="P11" i="6"/>
  <c r="P23" i="6"/>
  <c r="P35" i="6"/>
  <c r="P47" i="6"/>
  <c r="F42" i="6"/>
  <c r="F30" i="6"/>
  <c r="F18" i="6"/>
  <c r="K6" i="6"/>
  <c r="K18" i="6"/>
  <c r="K30" i="6"/>
  <c r="K42" i="6"/>
  <c r="K7" i="6"/>
  <c r="K19" i="6"/>
  <c r="K31" i="6"/>
  <c r="K43" i="6"/>
  <c r="P13" i="6"/>
  <c r="P25" i="6"/>
  <c r="P37" i="6"/>
  <c r="U26" i="6"/>
  <c r="U27" i="6"/>
  <c r="P14" i="6"/>
  <c r="P26" i="6"/>
  <c r="P38" i="6"/>
  <c r="F39" i="6"/>
  <c r="F27" i="6"/>
  <c r="F15" i="6"/>
  <c r="K9" i="6"/>
  <c r="K21" i="6"/>
  <c r="K33" i="6"/>
  <c r="K45" i="6"/>
  <c r="P15" i="6"/>
  <c r="F14" i="6"/>
  <c r="K10" i="6"/>
  <c r="K22" i="6"/>
  <c r="K34" i="6"/>
  <c r="K46" i="6"/>
  <c r="K11" i="6"/>
  <c r="K23" i="6"/>
  <c r="K35" i="6"/>
  <c r="K47" i="6"/>
  <c r="Y49" i="6"/>
  <c r="Y57" i="6" s="1"/>
  <c r="T49" i="6"/>
  <c r="T57" i="6" s="1"/>
  <c r="J57" i="6"/>
  <c r="O57" i="6"/>
  <c r="E87" i="7"/>
  <c r="E57" i="6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<sst xmlns="http://schemas.openxmlformats.org/spreadsheetml/2006/main" count="460" uniqueCount="139">
  <si>
    <t>Project Manager V</t>
  </si>
  <si>
    <t>Project Manager IV</t>
  </si>
  <si>
    <t>System Engineer V</t>
  </si>
  <si>
    <t>System Engineer IV</t>
  </si>
  <si>
    <t>System Engineer III</t>
  </si>
  <si>
    <t>Cloud Architect V</t>
  </si>
  <si>
    <t>Cloud Architect IV</t>
  </si>
  <si>
    <t>Data Communications Specialist IV</t>
  </si>
  <si>
    <t>Enterprise IT System Architect V</t>
  </si>
  <si>
    <t>Enterprise IT System Architect IV</t>
  </si>
  <si>
    <t>Help Desk Specialist IV</t>
  </si>
  <si>
    <t>Help Desk Specialist III</t>
  </si>
  <si>
    <t>Help Desk Specialist II</t>
  </si>
  <si>
    <t>IT Business Analyst V</t>
  </si>
  <si>
    <t>IT Business Analyst IV</t>
  </si>
  <si>
    <t>IT Business Analyst III</t>
  </si>
  <si>
    <t>IT Configuration Management Specialist V</t>
  </si>
  <si>
    <t>IT Configuration Management Specialist IV</t>
  </si>
  <si>
    <t>IT Configuration Management Specialist III</t>
  </si>
  <si>
    <t>IT Configuration Management Specialist II</t>
  </si>
  <si>
    <t>IT Configuration Management Specialist I</t>
  </si>
  <si>
    <t>IT Security Specialist V</t>
  </si>
  <si>
    <t>IT Security Specialist IV</t>
  </si>
  <si>
    <t>Administrative Specialist III</t>
  </si>
  <si>
    <t>Contracts Administration III</t>
  </si>
  <si>
    <t>Contracts Administration IV</t>
  </si>
  <si>
    <t>Safety/Quality Assurance Specialist V</t>
  </si>
  <si>
    <t>Safety/Quality Assurance Specialist IV</t>
  </si>
  <si>
    <t>Technical Writer III</t>
  </si>
  <si>
    <t>Business Analyst III</t>
  </si>
  <si>
    <t>Business Analyst IV</t>
  </si>
  <si>
    <t>Labor Category</t>
  </si>
  <si>
    <t>Fully Loaded Labor Rates</t>
  </si>
  <si>
    <t>Escalation Factor</t>
  </si>
  <si>
    <t>Year 1</t>
  </si>
  <si>
    <t>Year 2</t>
  </si>
  <si>
    <t>Year 3</t>
  </si>
  <si>
    <t>Year 4</t>
  </si>
  <si>
    <t>Year 5</t>
  </si>
  <si>
    <t>Base Ordering Period</t>
  </si>
  <si>
    <t>Option Ordering Period</t>
  </si>
  <si>
    <t>Year 6</t>
  </si>
  <si>
    <t>Year 7</t>
  </si>
  <si>
    <t>Year 8</t>
  </si>
  <si>
    <t>Year 9</t>
  </si>
  <si>
    <t>Year 10</t>
  </si>
  <si>
    <t>Project Manager III</t>
  </si>
  <si>
    <t>System Engineer II</t>
  </si>
  <si>
    <t>System Engineer I</t>
  </si>
  <si>
    <t>Network Engineer V</t>
  </si>
  <si>
    <t>Network Engineer IV</t>
  </si>
  <si>
    <t>Network Engineer III</t>
  </si>
  <si>
    <t>Network Engineer II</t>
  </si>
  <si>
    <t>Network Engineer I</t>
  </si>
  <si>
    <t>Software Engineer V</t>
  </si>
  <si>
    <t>Software Engineer IV</t>
  </si>
  <si>
    <t>Software Engineer III</t>
  </si>
  <si>
    <t>Software Engineer II</t>
  </si>
  <si>
    <t>Software Engineer I</t>
  </si>
  <si>
    <t>Hardware Engineer V</t>
  </si>
  <si>
    <t>Hardware Engineer IV</t>
  </si>
  <si>
    <t>Hardware Engineer III</t>
  </si>
  <si>
    <t>Hadware Engineer II</t>
  </si>
  <si>
    <t>Hardware Engineer I</t>
  </si>
  <si>
    <t>Antenna/RF Engineer V</t>
  </si>
  <si>
    <t>Antenna/RF Engineer IV</t>
  </si>
  <si>
    <t>Antenna/RF Engineer III</t>
  </si>
  <si>
    <t>Antenna/RF Engineer II</t>
  </si>
  <si>
    <t>Antenna/RF Engineer I</t>
  </si>
  <si>
    <t>Technician V</t>
  </si>
  <si>
    <t>Technician IV</t>
  </si>
  <si>
    <t>Technician III</t>
  </si>
  <si>
    <t>Technician I</t>
  </si>
  <si>
    <t>Database Administrator II</t>
  </si>
  <si>
    <t>System Administrator IV</t>
  </si>
  <si>
    <t>System Administrator III</t>
  </si>
  <si>
    <t>System Administrator II</t>
  </si>
  <si>
    <t>Configuration / Data Management Specialist I</t>
  </si>
  <si>
    <t>Configuration / Data Management Specialist IV</t>
  </si>
  <si>
    <t>Safety/Quality Assurance Specialist III</t>
  </si>
  <si>
    <t>Safety/Quality Assurance Specialist II</t>
  </si>
  <si>
    <t>Safety/Quality Assurance Specialist I</t>
  </si>
  <si>
    <t>Hardware Engineer II</t>
  </si>
  <si>
    <t>Antenna/RF Engineer Iv</t>
  </si>
  <si>
    <t>System Architect / IT Computer Specialist V</t>
  </si>
  <si>
    <t>System Architect / IT Computer Specialist IV</t>
  </si>
  <si>
    <t>System Architect / IT Computer Specialist III</t>
  </si>
  <si>
    <t>System Architect / IT Computer Specialist II</t>
  </si>
  <si>
    <t>System Architect / IT Computer Specialist I</t>
  </si>
  <si>
    <t>Integration / Test Engineer V</t>
  </si>
  <si>
    <t>Integration / Test Engineer IV</t>
  </si>
  <si>
    <t>Integration / Test Engineer III</t>
  </si>
  <si>
    <t>Integration / Test Engineer II</t>
  </si>
  <si>
    <t>Integration / Test Engineer I</t>
  </si>
  <si>
    <t>Database Administrator V</t>
  </si>
  <si>
    <t>Database Administrator IV</t>
  </si>
  <si>
    <t>Database Administrator III</t>
  </si>
  <si>
    <t>Database Administrator I</t>
  </si>
  <si>
    <t>System Administrator V</t>
  </si>
  <si>
    <t>System Administrator I</t>
  </si>
  <si>
    <t>Configuration / Data Management Specialist V</t>
  </si>
  <si>
    <t>Configuration / Data Management Specialist III</t>
  </si>
  <si>
    <t>Configuration / Data Management Specialist II</t>
  </si>
  <si>
    <t>IT Security Specialist III</t>
  </si>
  <si>
    <t>IT Security Specialist II</t>
  </si>
  <si>
    <t>IT Security Specialist I</t>
  </si>
  <si>
    <t>Technician II</t>
  </si>
  <si>
    <t>Base Period</t>
  </si>
  <si>
    <t>Direct Labor</t>
  </si>
  <si>
    <t>Hours</t>
  </si>
  <si>
    <t>FTE</t>
  </si>
  <si>
    <t>Rate</t>
  </si>
  <si>
    <t>Amount</t>
  </si>
  <si>
    <t>Travel</t>
  </si>
  <si>
    <t>Training</t>
  </si>
  <si>
    <t>Studies</t>
  </si>
  <si>
    <t>Non-Commercial</t>
  </si>
  <si>
    <t>Total</t>
  </si>
  <si>
    <t>Total Labor</t>
  </si>
  <si>
    <t>Total ODCS</t>
  </si>
  <si>
    <t>Option Period 1</t>
  </si>
  <si>
    <t>Option Period 2</t>
  </si>
  <si>
    <t>Option Period 4</t>
  </si>
  <si>
    <t>Option Period 3</t>
  </si>
  <si>
    <t>CLIN 1 - Labor - FFP</t>
  </si>
  <si>
    <t>CLIN 2 - ODCS - CR</t>
  </si>
  <si>
    <t>CLIN 3</t>
  </si>
  <si>
    <t>CLIN 5</t>
  </si>
  <si>
    <t>CLIN 7</t>
  </si>
  <si>
    <t>CLIN 9</t>
  </si>
  <si>
    <t>CLIN 4 - ODCS</t>
  </si>
  <si>
    <t>CLIN 6 - ODCS</t>
  </si>
  <si>
    <t>CLIN 8 - ODCS</t>
  </si>
  <si>
    <t>CLIN 10 - ODCS</t>
  </si>
  <si>
    <t>Hardware</t>
  </si>
  <si>
    <t>Software</t>
  </si>
  <si>
    <t>Spares</t>
  </si>
  <si>
    <t>Licenses</t>
  </si>
  <si>
    <t>Warranties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</si>
</sst>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0" fontId="0" fillId="0" borderId="0" xfId="0" applyNumberFormat="1"/>
    <xf numFmtId="0" fontId="0" fillId="3" borderId="0" xfId="0" applyFill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0" fontId="1" fillId="0" borderId="1" xfId="0" applyFont="1" applyBorder="1"/>
    <xf numFmtId="164" fontId="0" fillId="0" borderId="1" xfId="0" applyNumberFormat="1" applyBorder="1"/>
    <xf numFmtId="164" fontId="0" fillId="2" borderId="1" xfId="0" applyNumberFormat="1" applyFill="1" applyBorder="1"/>
    <xf numFmtId="164" fontId="0" fillId="2" borderId="2" xfId="0" applyNumberFormat="1" applyFill="1" applyBorder="1"/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0" borderId="6" xfId="0" applyFont="1" applyBorder="1"/>
    <xf numFmtId="0" fontId="0" fillId="0" borderId="7" xfId="0" applyBorder="1"/>
    <xf numFmtId="0" fontId="0" fillId="0" borderId="6" xfId="0" applyBorder="1"/>
    <xf numFmtId="164" fontId="0" fillId="0" borderId="7" xfId="0" applyNumberFormat="1" applyBorder="1"/>
    <xf numFmtId="164" fontId="1" fillId="0" borderId="7" xfId="0" applyNumberFormat="1" applyFont="1" applyBorder="1"/>
    <xf numFmtId="0" fontId="1" fillId="0" borderId="8" xfId="0" applyFont="1" applyBorder="1"/>
    <xf numFmtId="0" fontId="0" fillId="0" borderId="9" xfId="0" applyBorder="1"/>
    <xf numFmtId="164" fontId="0" fillId="0" borderId="10" xfId="0" applyNumberFormat="1" applyBorder="1"/>
    <xf numFmtId="0" fontId="1" fillId="3" borderId="11" xfId="0" applyFont="1" applyFill="1" applyBorder="1" applyAlignment="1">
      <alignment horizontal="center"/>
    </xf>
    <xf numFmtId="0" fontId="0" fillId="0" borderId="12" xfId="0" applyBorder="1"/>
    <xf numFmtId="164" fontId="0" fillId="0" borderId="12" xfId="0" applyNumberFormat="1" applyBorder="1"/>
    <xf numFmtId="164" fontId="1" fillId="0" borderId="12" xfId="0" applyNumberFormat="1" applyFont="1" applyBorder="1"/>
    <xf numFmtId="164" fontId="0" fillId="0" borderId="13" xfId="0" applyNumberFormat="1" applyBorder="1"/>
    <xf numFmtId="0" fontId="0" fillId="0" borderId="0" xfId="0" applyFill="1" applyBorder="1"/>
    <xf numFmtId="0" fontId="1" fillId="0" borderId="0" xfId="0" applyFont="1" applyFill="1" applyBorder="1" applyAlignment="1"/>
    <xf numFmtId="0" fontId="1" fillId="0" borderId="0" xfId="0" applyFont="1" applyFill="1" applyBorder="1"/>
    <xf numFmtId="164" fontId="0" fillId="0" borderId="0" xfId="0" applyNumberFormat="1" applyFill="1" applyBorder="1"/>
    <xf numFmtId="164" fontId="1" fillId="0" borderId="0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abSelected="1" workbookViewId="0">
      <selection activeCell="K28" sqref="K28"/>
    </sheetView>
  </sheetViews>
  <sheetFormatPr defaultRowHeight="15" x14ac:dyDescent="0.25"/>
  <cols>
    <col min="1" max="1" width="39.42578125" bestFit="1" customWidth="1"/>
  </cols>
  <sheetData>
    <row r="1" spans="1:11" x14ac:dyDescent="0.25">
      <c r="B1" s="3" t="s">
        <v>32</v>
      </c>
      <c r="C1" s="3"/>
      <c r="D1" s="3"/>
      <c r="E1" s="3"/>
      <c r="F1" s="3"/>
      <c r="G1" s="3"/>
      <c r="H1" s="3"/>
      <c r="I1" s="3"/>
      <c r="J1" s="3"/>
      <c r="K1" s="3"/>
    </row>
    <row r="3" spans="1:11" x14ac:dyDescent="0.25">
      <c r="A3" t="s">
        <v>33</v>
      </c>
      <c r="B3" s="2">
        <v>2.5000000000000001E-2</v>
      </c>
    </row>
    <row r="4" spans="1:11" x14ac:dyDescent="0.25">
      <c r="A4" s="4"/>
      <c r="B4" s="5" t="s">
        <v>39</v>
      </c>
      <c r="C4" s="5"/>
      <c r="D4" s="5"/>
      <c r="E4" s="5"/>
      <c r="F4" s="5"/>
      <c r="G4" s="5" t="s">
        <v>40</v>
      </c>
      <c r="H4" s="5"/>
      <c r="I4" s="5"/>
      <c r="J4" s="5"/>
      <c r="K4" s="5"/>
    </row>
    <row r="5" spans="1:11" x14ac:dyDescent="0.25">
      <c r="A5" s="6" t="s">
        <v>31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</row>
    <row r="6" spans="1:11" x14ac:dyDescent="0.25">
      <c r="A6" s="4" t="s">
        <v>0</v>
      </c>
      <c r="B6" s="8"/>
      <c r="C6" s="7">
        <f>B6*(1+$B$3)</f>
        <v>0</v>
      </c>
      <c r="D6" s="7">
        <f>C6*(1+$B$3)</f>
        <v>0</v>
      </c>
      <c r="E6" s="7">
        <f t="shared" ref="D6:K6" si="0">D6*(1+$B$3)</f>
        <v>0</v>
      </c>
      <c r="F6" s="7">
        <f t="shared" si="0"/>
        <v>0</v>
      </c>
      <c r="G6" s="7">
        <f t="shared" si="0"/>
        <v>0</v>
      </c>
      <c r="H6" s="7">
        <f t="shared" si="0"/>
        <v>0</v>
      </c>
      <c r="I6" s="7">
        <f t="shared" si="0"/>
        <v>0</v>
      </c>
      <c r="J6" s="7">
        <f t="shared" si="0"/>
        <v>0</v>
      </c>
      <c r="K6" s="7">
        <f t="shared" si="0"/>
        <v>0</v>
      </c>
    </row>
    <row r="7" spans="1:11" x14ac:dyDescent="0.25">
      <c r="A7" s="4" t="s">
        <v>1</v>
      </c>
      <c r="B7" s="8"/>
      <c r="C7" s="7">
        <f t="shared" ref="C7:K36" si="1">B7*(1+$B$3)</f>
        <v>0</v>
      </c>
      <c r="D7" s="7">
        <f t="shared" si="1"/>
        <v>0</v>
      </c>
      <c r="E7" s="7">
        <f t="shared" si="1"/>
        <v>0</v>
      </c>
      <c r="F7" s="7">
        <f t="shared" si="1"/>
        <v>0</v>
      </c>
      <c r="G7" s="7">
        <f t="shared" si="1"/>
        <v>0</v>
      </c>
      <c r="H7" s="7">
        <f t="shared" si="1"/>
        <v>0</v>
      </c>
      <c r="I7" s="7">
        <f t="shared" si="1"/>
        <v>0</v>
      </c>
      <c r="J7" s="7">
        <f t="shared" si="1"/>
        <v>0</v>
      </c>
      <c r="K7" s="7">
        <f t="shared" si="1"/>
        <v>0</v>
      </c>
    </row>
    <row r="8" spans="1:11" x14ac:dyDescent="0.25">
      <c r="A8" s="4" t="s">
        <v>2</v>
      </c>
      <c r="B8" s="8"/>
      <c r="C8" s="7">
        <f t="shared" si="1"/>
        <v>0</v>
      </c>
      <c r="D8" s="7">
        <f t="shared" si="1"/>
        <v>0</v>
      </c>
      <c r="E8" s="7">
        <f t="shared" si="1"/>
        <v>0</v>
      </c>
      <c r="F8" s="7">
        <f t="shared" si="1"/>
        <v>0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</row>
    <row r="9" spans="1:11" x14ac:dyDescent="0.25">
      <c r="A9" s="4" t="s">
        <v>3</v>
      </c>
      <c r="B9" s="8"/>
      <c r="C9" s="7">
        <f t="shared" si="1"/>
        <v>0</v>
      </c>
      <c r="D9" s="7">
        <f t="shared" si="1"/>
        <v>0</v>
      </c>
      <c r="E9" s="7">
        <f t="shared" si="1"/>
        <v>0</v>
      </c>
      <c r="F9" s="7">
        <f t="shared" si="1"/>
        <v>0</v>
      </c>
      <c r="G9" s="7">
        <f t="shared" si="1"/>
        <v>0</v>
      </c>
      <c r="H9" s="7">
        <f t="shared" si="1"/>
        <v>0</v>
      </c>
      <c r="I9" s="7">
        <f t="shared" si="1"/>
        <v>0</v>
      </c>
      <c r="J9" s="7">
        <f t="shared" si="1"/>
        <v>0</v>
      </c>
      <c r="K9" s="7">
        <f t="shared" si="1"/>
        <v>0</v>
      </c>
    </row>
    <row r="10" spans="1:11" x14ac:dyDescent="0.25">
      <c r="A10" s="4" t="s">
        <v>4</v>
      </c>
      <c r="B10" s="8"/>
      <c r="C10" s="7">
        <f t="shared" si="1"/>
        <v>0</v>
      </c>
      <c r="D10" s="7">
        <f t="shared" si="1"/>
        <v>0</v>
      </c>
      <c r="E10" s="7">
        <f t="shared" si="1"/>
        <v>0</v>
      </c>
      <c r="F10" s="7">
        <f t="shared" si="1"/>
        <v>0</v>
      </c>
      <c r="G10" s="7">
        <f t="shared" si="1"/>
        <v>0</v>
      </c>
      <c r="H10" s="7">
        <f t="shared" si="1"/>
        <v>0</v>
      </c>
      <c r="I10" s="7">
        <f t="shared" si="1"/>
        <v>0</v>
      </c>
      <c r="J10" s="7">
        <f t="shared" si="1"/>
        <v>0</v>
      </c>
      <c r="K10" s="7">
        <f t="shared" si="1"/>
        <v>0</v>
      </c>
    </row>
    <row r="11" spans="1:11" x14ac:dyDescent="0.25">
      <c r="A11" s="4" t="s">
        <v>5</v>
      </c>
      <c r="B11" s="8"/>
      <c r="C11" s="7">
        <f t="shared" si="1"/>
        <v>0</v>
      </c>
      <c r="D11" s="7">
        <f t="shared" si="1"/>
        <v>0</v>
      </c>
      <c r="E11" s="7">
        <f t="shared" si="1"/>
        <v>0</v>
      </c>
      <c r="F11" s="7">
        <f t="shared" si="1"/>
        <v>0</v>
      </c>
      <c r="G11" s="7">
        <f t="shared" si="1"/>
        <v>0</v>
      </c>
      <c r="H11" s="7">
        <f t="shared" si="1"/>
        <v>0</v>
      </c>
      <c r="I11" s="7">
        <f t="shared" si="1"/>
        <v>0</v>
      </c>
      <c r="J11" s="7">
        <f t="shared" si="1"/>
        <v>0</v>
      </c>
      <c r="K11" s="7">
        <f t="shared" si="1"/>
        <v>0</v>
      </c>
    </row>
    <row r="12" spans="1:11" x14ac:dyDescent="0.25">
      <c r="A12" s="4" t="s">
        <v>6</v>
      </c>
      <c r="B12" s="8"/>
      <c r="C12" s="7">
        <f t="shared" si="1"/>
        <v>0</v>
      </c>
      <c r="D12" s="7">
        <f t="shared" si="1"/>
        <v>0</v>
      </c>
      <c r="E12" s="7">
        <f t="shared" si="1"/>
        <v>0</v>
      </c>
      <c r="F12" s="7">
        <f t="shared" si="1"/>
        <v>0</v>
      </c>
      <c r="G12" s="7">
        <f t="shared" si="1"/>
        <v>0</v>
      </c>
      <c r="H12" s="7">
        <f t="shared" si="1"/>
        <v>0</v>
      </c>
      <c r="I12" s="7">
        <f t="shared" si="1"/>
        <v>0</v>
      </c>
      <c r="J12" s="7">
        <f t="shared" si="1"/>
        <v>0</v>
      </c>
      <c r="K12" s="7">
        <f t="shared" si="1"/>
        <v>0</v>
      </c>
    </row>
    <row r="13" spans="1:11" x14ac:dyDescent="0.25">
      <c r="A13" s="4" t="s">
        <v>7</v>
      </c>
      <c r="B13" s="8"/>
      <c r="C13" s="7">
        <f t="shared" si="1"/>
        <v>0</v>
      </c>
      <c r="D13" s="7">
        <f t="shared" si="1"/>
        <v>0</v>
      </c>
      <c r="E13" s="7">
        <f t="shared" si="1"/>
        <v>0</v>
      </c>
      <c r="F13" s="7">
        <f t="shared" si="1"/>
        <v>0</v>
      </c>
      <c r="G13" s="7">
        <f t="shared" si="1"/>
        <v>0</v>
      </c>
      <c r="H13" s="7">
        <f t="shared" si="1"/>
        <v>0</v>
      </c>
      <c r="I13" s="7">
        <f t="shared" si="1"/>
        <v>0</v>
      </c>
      <c r="J13" s="7">
        <f t="shared" si="1"/>
        <v>0</v>
      </c>
      <c r="K13" s="7">
        <f t="shared" si="1"/>
        <v>0</v>
      </c>
    </row>
    <row r="14" spans="1:11" x14ac:dyDescent="0.25">
      <c r="A14" s="4" t="s">
        <v>8</v>
      </c>
      <c r="B14" s="8"/>
      <c r="C14" s="7">
        <f t="shared" si="1"/>
        <v>0</v>
      </c>
      <c r="D14" s="7">
        <f t="shared" si="1"/>
        <v>0</v>
      </c>
      <c r="E14" s="7">
        <f t="shared" si="1"/>
        <v>0</v>
      </c>
      <c r="F14" s="7">
        <f t="shared" si="1"/>
        <v>0</v>
      </c>
      <c r="G14" s="7">
        <f t="shared" si="1"/>
        <v>0</v>
      </c>
      <c r="H14" s="7">
        <f t="shared" si="1"/>
        <v>0</v>
      </c>
      <c r="I14" s="7">
        <f t="shared" si="1"/>
        <v>0</v>
      </c>
      <c r="J14" s="7">
        <f t="shared" si="1"/>
        <v>0</v>
      </c>
      <c r="K14" s="7">
        <f t="shared" si="1"/>
        <v>0</v>
      </c>
    </row>
    <row r="15" spans="1:11" x14ac:dyDescent="0.25">
      <c r="A15" s="4" t="s">
        <v>9</v>
      </c>
      <c r="B15" s="8"/>
      <c r="C15" s="7">
        <f t="shared" si="1"/>
        <v>0</v>
      </c>
      <c r="D15" s="7">
        <f t="shared" si="1"/>
        <v>0</v>
      </c>
      <c r="E15" s="7">
        <f t="shared" si="1"/>
        <v>0</v>
      </c>
      <c r="F15" s="7">
        <f t="shared" si="1"/>
        <v>0</v>
      </c>
      <c r="G15" s="7">
        <f t="shared" si="1"/>
        <v>0</v>
      </c>
      <c r="H15" s="7">
        <f t="shared" si="1"/>
        <v>0</v>
      </c>
      <c r="I15" s="7">
        <f t="shared" si="1"/>
        <v>0</v>
      </c>
      <c r="J15" s="7">
        <f t="shared" si="1"/>
        <v>0</v>
      </c>
      <c r="K15" s="7">
        <f t="shared" si="1"/>
        <v>0</v>
      </c>
    </row>
    <row r="16" spans="1:11" x14ac:dyDescent="0.25">
      <c r="A16" s="4" t="s">
        <v>10</v>
      </c>
      <c r="B16" s="8"/>
      <c r="C16" s="7">
        <f t="shared" si="1"/>
        <v>0</v>
      </c>
      <c r="D16" s="7">
        <f t="shared" si="1"/>
        <v>0</v>
      </c>
      <c r="E16" s="7">
        <f t="shared" si="1"/>
        <v>0</v>
      </c>
      <c r="F16" s="7">
        <f t="shared" si="1"/>
        <v>0</v>
      </c>
      <c r="G16" s="7">
        <f t="shared" si="1"/>
        <v>0</v>
      </c>
      <c r="H16" s="7">
        <f t="shared" si="1"/>
        <v>0</v>
      </c>
      <c r="I16" s="7">
        <f t="shared" si="1"/>
        <v>0</v>
      </c>
      <c r="J16" s="7">
        <f t="shared" si="1"/>
        <v>0</v>
      </c>
      <c r="K16" s="7">
        <f t="shared" si="1"/>
        <v>0</v>
      </c>
    </row>
    <row r="17" spans="1:11" x14ac:dyDescent="0.25">
      <c r="A17" s="4" t="s">
        <v>11</v>
      </c>
      <c r="B17" s="8"/>
      <c r="C17" s="7">
        <f t="shared" si="1"/>
        <v>0</v>
      </c>
      <c r="D17" s="7">
        <f t="shared" si="1"/>
        <v>0</v>
      </c>
      <c r="E17" s="7">
        <f t="shared" si="1"/>
        <v>0</v>
      </c>
      <c r="F17" s="7">
        <f t="shared" si="1"/>
        <v>0</v>
      </c>
      <c r="G17" s="7">
        <f t="shared" si="1"/>
        <v>0</v>
      </c>
      <c r="H17" s="7">
        <f t="shared" si="1"/>
        <v>0</v>
      </c>
      <c r="I17" s="7">
        <f t="shared" si="1"/>
        <v>0</v>
      </c>
      <c r="J17" s="7">
        <f t="shared" si="1"/>
        <v>0</v>
      </c>
      <c r="K17" s="7">
        <f t="shared" si="1"/>
        <v>0</v>
      </c>
    </row>
    <row r="18" spans="1:11" x14ac:dyDescent="0.25">
      <c r="A18" s="4" t="s">
        <v>12</v>
      </c>
      <c r="B18" s="8"/>
      <c r="C18" s="7">
        <f t="shared" si="1"/>
        <v>0</v>
      </c>
      <c r="D18" s="7">
        <f t="shared" si="1"/>
        <v>0</v>
      </c>
      <c r="E18" s="7">
        <f t="shared" si="1"/>
        <v>0</v>
      </c>
      <c r="F18" s="7">
        <f t="shared" si="1"/>
        <v>0</v>
      </c>
      <c r="G18" s="7">
        <f t="shared" si="1"/>
        <v>0</v>
      </c>
      <c r="H18" s="7">
        <f t="shared" si="1"/>
        <v>0</v>
      </c>
      <c r="I18" s="7">
        <f t="shared" si="1"/>
        <v>0</v>
      </c>
      <c r="J18" s="7">
        <f t="shared" si="1"/>
        <v>0</v>
      </c>
      <c r="K18" s="7">
        <f t="shared" si="1"/>
        <v>0</v>
      </c>
    </row>
    <row r="19" spans="1:11" x14ac:dyDescent="0.25">
      <c r="A19" s="4" t="s">
        <v>13</v>
      </c>
      <c r="B19" s="8"/>
      <c r="C19" s="7">
        <f t="shared" si="1"/>
        <v>0</v>
      </c>
      <c r="D19" s="7">
        <f t="shared" si="1"/>
        <v>0</v>
      </c>
      <c r="E19" s="7">
        <f t="shared" si="1"/>
        <v>0</v>
      </c>
      <c r="F19" s="7">
        <f t="shared" si="1"/>
        <v>0</v>
      </c>
      <c r="G19" s="7">
        <f t="shared" si="1"/>
        <v>0</v>
      </c>
      <c r="H19" s="7">
        <f t="shared" si="1"/>
        <v>0</v>
      </c>
      <c r="I19" s="7">
        <f t="shared" si="1"/>
        <v>0</v>
      </c>
      <c r="J19" s="7">
        <f t="shared" si="1"/>
        <v>0</v>
      </c>
      <c r="K19" s="7">
        <f t="shared" si="1"/>
        <v>0</v>
      </c>
    </row>
    <row r="20" spans="1:11" x14ac:dyDescent="0.25">
      <c r="A20" s="4" t="s">
        <v>14</v>
      </c>
      <c r="B20" s="8"/>
      <c r="C20" s="7">
        <f t="shared" si="1"/>
        <v>0</v>
      </c>
      <c r="D20" s="7">
        <f t="shared" si="1"/>
        <v>0</v>
      </c>
      <c r="E20" s="7">
        <f t="shared" si="1"/>
        <v>0</v>
      </c>
      <c r="F20" s="7">
        <f t="shared" si="1"/>
        <v>0</v>
      </c>
      <c r="G20" s="7">
        <f t="shared" si="1"/>
        <v>0</v>
      </c>
      <c r="H20" s="7">
        <f t="shared" si="1"/>
        <v>0</v>
      </c>
      <c r="I20" s="7">
        <f t="shared" si="1"/>
        <v>0</v>
      </c>
      <c r="J20" s="7">
        <f t="shared" si="1"/>
        <v>0</v>
      </c>
      <c r="K20" s="7">
        <f t="shared" si="1"/>
        <v>0</v>
      </c>
    </row>
    <row r="21" spans="1:11" x14ac:dyDescent="0.25">
      <c r="A21" s="4" t="s">
        <v>15</v>
      </c>
      <c r="B21" s="8"/>
      <c r="C21" s="7">
        <f t="shared" si="1"/>
        <v>0</v>
      </c>
      <c r="D21" s="7">
        <f t="shared" si="1"/>
        <v>0</v>
      </c>
      <c r="E21" s="7">
        <f t="shared" si="1"/>
        <v>0</v>
      </c>
      <c r="F21" s="7">
        <f t="shared" si="1"/>
        <v>0</v>
      </c>
      <c r="G21" s="7">
        <f t="shared" si="1"/>
        <v>0</v>
      </c>
      <c r="H21" s="7">
        <f t="shared" si="1"/>
        <v>0</v>
      </c>
      <c r="I21" s="7">
        <f t="shared" si="1"/>
        <v>0</v>
      </c>
      <c r="J21" s="7">
        <f t="shared" si="1"/>
        <v>0</v>
      </c>
      <c r="K21" s="7">
        <f t="shared" si="1"/>
        <v>0</v>
      </c>
    </row>
    <row r="22" spans="1:11" x14ac:dyDescent="0.25">
      <c r="A22" s="4" t="s">
        <v>16</v>
      </c>
      <c r="B22" s="8"/>
      <c r="C22" s="7">
        <f t="shared" si="1"/>
        <v>0</v>
      </c>
      <c r="D22" s="7">
        <f t="shared" si="1"/>
        <v>0</v>
      </c>
      <c r="E22" s="7">
        <f t="shared" si="1"/>
        <v>0</v>
      </c>
      <c r="F22" s="7">
        <f t="shared" si="1"/>
        <v>0</v>
      </c>
      <c r="G22" s="7">
        <f t="shared" si="1"/>
        <v>0</v>
      </c>
      <c r="H22" s="7">
        <f t="shared" si="1"/>
        <v>0</v>
      </c>
      <c r="I22" s="7">
        <f t="shared" si="1"/>
        <v>0</v>
      </c>
      <c r="J22" s="7">
        <f t="shared" si="1"/>
        <v>0</v>
      </c>
      <c r="K22" s="7">
        <f t="shared" si="1"/>
        <v>0</v>
      </c>
    </row>
    <row r="23" spans="1:11" x14ac:dyDescent="0.25">
      <c r="A23" s="4" t="s">
        <v>17</v>
      </c>
      <c r="B23" s="8"/>
      <c r="C23" s="7">
        <f t="shared" si="1"/>
        <v>0</v>
      </c>
      <c r="D23" s="7">
        <f t="shared" si="1"/>
        <v>0</v>
      </c>
      <c r="E23" s="7">
        <f t="shared" si="1"/>
        <v>0</v>
      </c>
      <c r="F23" s="7">
        <f t="shared" si="1"/>
        <v>0</v>
      </c>
      <c r="G23" s="7">
        <f t="shared" si="1"/>
        <v>0</v>
      </c>
      <c r="H23" s="7">
        <f t="shared" si="1"/>
        <v>0</v>
      </c>
      <c r="I23" s="7">
        <f t="shared" si="1"/>
        <v>0</v>
      </c>
      <c r="J23" s="7">
        <f t="shared" si="1"/>
        <v>0</v>
      </c>
      <c r="K23" s="7">
        <f t="shared" si="1"/>
        <v>0</v>
      </c>
    </row>
    <row r="24" spans="1:11" x14ac:dyDescent="0.25">
      <c r="A24" s="4" t="s">
        <v>18</v>
      </c>
      <c r="B24" s="8"/>
      <c r="C24" s="7">
        <f t="shared" si="1"/>
        <v>0</v>
      </c>
      <c r="D24" s="7">
        <f t="shared" si="1"/>
        <v>0</v>
      </c>
      <c r="E24" s="7">
        <f t="shared" si="1"/>
        <v>0</v>
      </c>
      <c r="F24" s="7">
        <f t="shared" si="1"/>
        <v>0</v>
      </c>
      <c r="G24" s="7">
        <f t="shared" si="1"/>
        <v>0</v>
      </c>
      <c r="H24" s="7">
        <f t="shared" si="1"/>
        <v>0</v>
      </c>
      <c r="I24" s="7">
        <f t="shared" si="1"/>
        <v>0</v>
      </c>
      <c r="J24" s="7">
        <f t="shared" si="1"/>
        <v>0</v>
      </c>
      <c r="K24" s="7">
        <f t="shared" si="1"/>
        <v>0</v>
      </c>
    </row>
    <row r="25" spans="1:11" x14ac:dyDescent="0.25">
      <c r="A25" s="4" t="s">
        <v>19</v>
      </c>
      <c r="B25" s="8"/>
      <c r="C25" s="7">
        <f t="shared" si="1"/>
        <v>0</v>
      </c>
      <c r="D25" s="7">
        <f t="shared" si="1"/>
        <v>0</v>
      </c>
      <c r="E25" s="7">
        <f t="shared" si="1"/>
        <v>0</v>
      </c>
      <c r="F25" s="7">
        <f t="shared" si="1"/>
        <v>0</v>
      </c>
      <c r="G25" s="7">
        <f t="shared" si="1"/>
        <v>0</v>
      </c>
      <c r="H25" s="7">
        <f t="shared" si="1"/>
        <v>0</v>
      </c>
      <c r="I25" s="7">
        <f t="shared" si="1"/>
        <v>0</v>
      </c>
      <c r="J25" s="7">
        <f t="shared" si="1"/>
        <v>0</v>
      </c>
      <c r="K25" s="7">
        <f t="shared" si="1"/>
        <v>0</v>
      </c>
    </row>
    <row r="26" spans="1:11" x14ac:dyDescent="0.25">
      <c r="A26" s="4" t="s">
        <v>20</v>
      </c>
      <c r="B26" s="8"/>
      <c r="C26" s="7">
        <f t="shared" si="1"/>
        <v>0</v>
      </c>
      <c r="D26" s="7">
        <f t="shared" si="1"/>
        <v>0</v>
      </c>
      <c r="E26" s="7">
        <f t="shared" si="1"/>
        <v>0</v>
      </c>
      <c r="F26" s="7">
        <f t="shared" si="1"/>
        <v>0</v>
      </c>
      <c r="G26" s="7">
        <f t="shared" si="1"/>
        <v>0</v>
      </c>
      <c r="H26" s="7">
        <f t="shared" si="1"/>
        <v>0</v>
      </c>
      <c r="I26" s="7">
        <f t="shared" si="1"/>
        <v>0</v>
      </c>
      <c r="J26" s="7">
        <f t="shared" si="1"/>
        <v>0</v>
      </c>
      <c r="K26" s="7">
        <f t="shared" si="1"/>
        <v>0</v>
      </c>
    </row>
    <row r="27" spans="1:11" x14ac:dyDescent="0.25">
      <c r="A27" s="4" t="s">
        <v>21</v>
      </c>
      <c r="B27" s="8"/>
      <c r="C27" s="7">
        <f t="shared" si="1"/>
        <v>0</v>
      </c>
      <c r="D27" s="7">
        <f t="shared" si="1"/>
        <v>0</v>
      </c>
      <c r="E27" s="7">
        <f t="shared" si="1"/>
        <v>0</v>
      </c>
      <c r="F27" s="7">
        <f t="shared" si="1"/>
        <v>0</v>
      </c>
      <c r="G27" s="7">
        <f t="shared" si="1"/>
        <v>0</v>
      </c>
      <c r="H27" s="7">
        <f t="shared" si="1"/>
        <v>0</v>
      </c>
      <c r="I27" s="7">
        <f t="shared" si="1"/>
        <v>0</v>
      </c>
      <c r="J27" s="7">
        <f t="shared" si="1"/>
        <v>0</v>
      </c>
      <c r="K27" s="7">
        <f t="shared" si="1"/>
        <v>0</v>
      </c>
    </row>
    <row r="28" spans="1:11" x14ac:dyDescent="0.25">
      <c r="A28" s="4" t="s">
        <v>22</v>
      </c>
      <c r="B28" s="8"/>
      <c r="C28" s="7">
        <f t="shared" si="1"/>
        <v>0</v>
      </c>
      <c r="D28" s="7">
        <f t="shared" si="1"/>
        <v>0</v>
      </c>
      <c r="E28" s="7">
        <f t="shared" si="1"/>
        <v>0</v>
      </c>
      <c r="F28" s="7">
        <f t="shared" si="1"/>
        <v>0</v>
      </c>
      <c r="G28" s="7">
        <f t="shared" si="1"/>
        <v>0</v>
      </c>
      <c r="H28" s="7">
        <f t="shared" si="1"/>
        <v>0</v>
      </c>
      <c r="I28" s="7">
        <f t="shared" si="1"/>
        <v>0</v>
      </c>
      <c r="J28" s="7">
        <f t="shared" si="1"/>
        <v>0</v>
      </c>
      <c r="K28" s="7">
        <f t="shared" si="1"/>
        <v>0</v>
      </c>
    </row>
    <row r="29" spans="1:11" x14ac:dyDescent="0.25">
      <c r="A29" s="4" t="s">
        <v>23</v>
      </c>
      <c r="B29" s="8"/>
      <c r="C29" s="7">
        <f t="shared" si="1"/>
        <v>0</v>
      </c>
      <c r="D29" s="7">
        <f t="shared" si="1"/>
        <v>0</v>
      </c>
      <c r="E29" s="7">
        <f t="shared" si="1"/>
        <v>0</v>
      </c>
      <c r="F29" s="7">
        <f t="shared" si="1"/>
        <v>0</v>
      </c>
      <c r="G29" s="7">
        <f t="shared" si="1"/>
        <v>0</v>
      </c>
      <c r="H29" s="7">
        <f t="shared" si="1"/>
        <v>0</v>
      </c>
      <c r="I29" s="7">
        <f t="shared" si="1"/>
        <v>0</v>
      </c>
      <c r="J29" s="7">
        <f t="shared" si="1"/>
        <v>0</v>
      </c>
      <c r="K29" s="7">
        <f t="shared" si="1"/>
        <v>0</v>
      </c>
    </row>
    <row r="30" spans="1:11" x14ac:dyDescent="0.25">
      <c r="A30" s="4" t="s">
        <v>24</v>
      </c>
      <c r="B30" s="8"/>
      <c r="C30" s="7">
        <f t="shared" si="1"/>
        <v>0</v>
      </c>
      <c r="D30" s="7">
        <f t="shared" si="1"/>
        <v>0</v>
      </c>
      <c r="E30" s="7">
        <f t="shared" si="1"/>
        <v>0</v>
      </c>
      <c r="F30" s="7">
        <f t="shared" si="1"/>
        <v>0</v>
      </c>
      <c r="G30" s="7">
        <f t="shared" si="1"/>
        <v>0</v>
      </c>
      <c r="H30" s="7">
        <f t="shared" si="1"/>
        <v>0</v>
      </c>
      <c r="I30" s="7">
        <f t="shared" si="1"/>
        <v>0</v>
      </c>
      <c r="J30" s="7">
        <f t="shared" si="1"/>
        <v>0</v>
      </c>
      <c r="K30" s="7">
        <f t="shared" si="1"/>
        <v>0</v>
      </c>
    </row>
    <row r="31" spans="1:11" x14ac:dyDescent="0.25">
      <c r="A31" s="4" t="s">
        <v>25</v>
      </c>
      <c r="B31" s="8"/>
      <c r="C31" s="7">
        <f t="shared" si="1"/>
        <v>0</v>
      </c>
      <c r="D31" s="7">
        <f t="shared" si="1"/>
        <v>0</v>
      </c>
      <c r="E31" s="7">
        <f t="shared" si="1"/>
        <v>0</v>
      </c>
      <c r="F31" s="7">
        <f t="shared" si="1"/>
        <v>0</v>
      </c>
      <c r="G31" s="7">
        <f t="shared" si="1"/>
        <v>0</v>
      </c>
      <c r="H31" s="7">
        <f t="shared" si="1"/>
        <v>0</v>
      </c>
      <c r="I31" s="7">
        <f t="shared" si="1"/>
        <v>0</v>
      </c>
      <c r="J31" s="7">
        <f t="shared" si="1"/>
        <v>0</v>
      </c>
      <c r="K31" s="7">
        <f t="shared" si="1"/>
        <v>0</v>
      </c>
    </row>
    <row r="32" spans="1:11" x14ac:dyDescent="0.25">
      <c r="A32" s="4" t="s">
        <v>26</v>
      </c>
      <c r="B32" s="8"/>
      <c r="C32" s="7">
        <f t="shared" si="1"/>
        <v>0</v>
      </c>
      <c r="D32" s="7">
        <f t="shared" si="1"/>
        <v>0</v>
      </c>
      <c r="E32" s="7">
        <f t="shared" si="1"/>
        <v>0</v>
      </c>
      <c r="F32" s="7">
        <f t="shared" si="1"/>
        <v>0</v>
      </c>
      <c r="G32" s="7">
        <f t="shared" si="1"/>
        <v>0</v>
      </c>
      <c r="H32" s="7">
        <f t="shared" si="1"/>
        <v>0</v>
      </c>
      <c r="I32" s="7">
        <f t="shared" si="1"/>
        <v>0</v>
      </c>
      <c r="J32" s="7">
        <f t="shared" si="1"/>
        <v>0</v>
      </c>
      <c r="K32" s="7">
        <f t="shared" si="1"/>
        <v>0</v>
      </c>
    </row>
    <row r="33" spans="1:11" x14ac:dyDescent="0.25">
      <c r="A33" s="4" t="s">
        <v>27</v>
      </c>
      <c r="B33" s="8"/>
      <c r="C33" s="7">
        <f t="shared" si="1"/>
        <v>0</v>
      </c>
      <c r="D33" s="7">
        <f t="shared" si="1"/>
        <v>0</v>
      </c>
      <c r="E33" s="7">
        <f t="shared" si="1"/>
        <v>0</v>
      </c>
      <c r="F33" s="7">
        <f t="shared" si="1"/>
        <v>0</v>
      </c>
      <c r="G33" s="7">
        <f t="shared" si="1"/>
        <v>0</v>
      </c>
      <c r="H33" s="7">
        <f t="shared" si="1"/>
        <v>0</v>
      </c>
      <c r="I33" s="7">
        <f t="shared" si="1"/>
        <v>0</v>
      </c>
      <c r="J33" s="7">
        <f t="shared" si="1"/>
        <v>0</v>
      </c>
      <c r="K33" s="7">
        <f t="shared" si="1"/>
        <v>0</v>
      </c>
    </row>
    <row r="34" spans="1:11" x14ac:dyDescent="0.25">
      <c r="A34" s="4" t="s">
        <v>28</v>
      </c>
      <c r="B34" s="8"/>
      <c r="C34" s="7">
        <f t="shared" si="1"/>
        <v>0</v>
      </c>
      <c r="D34" s="7">
        <f t="shared" si="1"/>
        <v>0</v>
      </c>
      <c r="E34" s="7">
        <f t="shared" si="1"/>
        <v>0</v>
      </c>
      <c r="F34" s="7">
        <f t="shared" si="1"/>
        <v>0</v>
      </c>
      <c r="G34" s="7">
        <f t="shared" si="1"/>
        <v>0</v>
      </c>
      <c r="H34" s="7">
        <f t="shared" si="1"/>
        <v>0</v>
      </c>
      <c r="I34" s="7">
        <f t="shared" si="1"/>
        <v>0</v>
      </c>
      <c r="J34" s="7">
        <f t="shared" si="1"/>
        <v>0</v>
      </c>
      <c r="K34" s="7">
        <f t="shared" si="1"/>
        <v>0</v>
      </c>
    </row>
    <row r="35" spans="1:11" x14ac:dyDescent="0.25">
      <c r="A35" s="4" t="s">
        <v>29</v>
      </c>
      <c r="B35" s="8"/>
      <c r="C35" s="7">
        <f t="shared" si="1"/>
        <v>0</v>
      </c>
      <c r="D35" s="7">
        <f t="shared" si="1"/>
        <v>0</v>
      </c>
      <c r="E35" s="7">
        <f t="shared" ref="D35:K36" si="2">D35*(1+$B$3)</f>
        <v>0</v>
      </c>
      <c r="F35" s="7">
        <f t="shared" si="2"/>
        <v>0</v>
      </c>
      <c r="G35" s="7">
        <f t="shared" si="2"/>
        <v>0</v>
      </c>
      <c r="H35" s="7">
        <f t="shared" si="2"/>
        <v>0</v>
      </c>
      <c r="I35" s="7">
        <f t="shared" si="2"/>
        <v>0</v>
      </c>
      <c r="J35" s="7">
        <f t="shared" si="2"/>
        <v>0</v>
      </c>
      <c r="K35" s="7">
        <f t="shared" si="2"/>
        <v>0</v>
      </c>
    </row>
    <row r="36" spans="1:11" x14ac:dyDescent="0.25">
      <c r="A36" s="4" t="s">
        <v>30</v>
      </c>
      <c r="B36" s="8"/>
      <c r="C36" s="7">
        <f t="shared" si="1"/>
        <v>0</v>
      </c>
      <c r="D36" s="7">
        <f t="shared" si="2"/>
        <v>0</v>
      </c>
      <c r="E36" s="7">
        <f t="shared" si="2"/>
        <v>0</v>
      </c>
      <c r="F36" s="7">
        <f t="shared" si="2"/>
        <v>0</v>
      </c>
      <c r="G36" s="7">
        <f t="shared" si="2"/>
        <v>0</v>
      </c>
      <c r="H36" s="7">
        <f t="shared" si="2"/>
        <v>0</v>
      </c>
      <c r="I36" s="7">
        <f t="shared" si="2"/>
        <v>0</v>
      </c>
      <c r="J36" s="7">
        <f t="shared" si="2"/>
        <v>0</v>
      </c>
      <c r="K36" s="7">
        <f t="shared" si="2"/>
        <v>0</v>
      </c>
    </row>
  </sheetData>
  <mergeCells count="3">
    <mergeCell ref="B4:F4"/>
    <mergeCell ref="G4:K4"/>
    <mergeCell ref="B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F8FB6-3321-4DF8-8101-9BB4A6114883}">
  <dimension ref="A1:K47"/>
  <sheetViews>
    <sheetView workbookViewId="0">
      <selection sqref="A1:XFD1048576"/>
    </sheetView>
  </sheetViews>
  <sheetFormatPr defaultRowHeight="15" x14ac:dyDescent="0.25"/>
  <cols>
    <col min="1" max="1" width="43.28515625" bestFit="1" customWidth="1"/>
  </cols>
  <sheetData>
    <row r="1" spans="1:11" x14ac:dyDescent="0.25">
      <c r="B1" s="3" t="s">
        <v>32</v>
      </c>
      <c r="C1" s="3"/>
      <c r="D1" s="3"/>
      <c r="E1" s="3"/>
      <c r="F1" s="3"/>
      <c r="G1" s="3"/>
      <c r="H1" s="3"/>
      <c r="I1" s="3"/>
      <c r="J1" s="3"/>
      <c r="K1" s="3"/>
    </row>
    <row r="3" spans="1:11" x14ac:dyDescent="0.25">
      <c r="A3" t="s">
        <v>33</v>
      </c>
      <c r="B3" s="2">
        <v>2.5000000000000001E-2</v>
      </c>
    </row>
    <row r="4" spans="1:11" x14ac:dyDescent="0.25">
      <c r="A4" s="4"/>
      <c r="B4" s="5" t="s">
        <v>39</v>
      </c>
      <c r="C4" s="5"/>
      <c r="D4" s="5"/>
      <c r="E4" s="5"/>
      <c r="F4" s="5"/>
      <c r="G4" s="5" t="s">
        <v>40</v>
      </c>
      <c r="H4" s="5"/>
      <c r="I4" s="5"/>
      <c r="J4" s="5"/>
      <c r="K4" s="5"/>
    </row>
    <row r="5" spans="1:11" x14ac:dyDescent="0.25">
      <c r="A5" s="6" t="s">
        <v>31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</row>
    <row r="6" spans="1:11" x14ac:dyDescent="0.25">
      <c r="A6" s="4" t="s">
        <v>1</v>
      </c>
      <c r="B6" s="8"/>
      <c r="C6" s="7">
        <f>B6*(1+$B$3)</f>
        <v>0</v>
      </c>
      <c r="D6" s="7">
        <f>C6*(1+$B$3)</f>
        <v>0</v>
      </c>
      <c r="E6" s="7">
        <f t="shared" ref="E6:L6" si="0">D6*(1+$B$3)</f>
        <v>0</v>
      </c>
      <c r="F6" s="7">
        <f t="shared" si="0"/>
        <v>0</v>
      </c>
      <c r="G6" s="7">
        <f t="shared" si="0"/>
        <v>0</v>
      </c>
      <c r="H6" s="7">
        <f t="shared" si="0"/>
        <v>0</v>
      </c>
      <c r="I6" s="7">
        <f t="shared" si="0"/>
        <v>0</v>
      </c>
      <c r="J6" s="7">
        <f t="shared" si="0"/>
        <v>0</v>
      </c>
      <c r="K6" s="7">
        <f t="shared" si="0"/>
        <v>0</v>
      </c>
    </row>
    <row r="7" spans="1:11" x14ac:dyDescent="0.25">
      <c r="A7" s="4" t="s">
        <v>46</v>
      </c>
      <c r="B7" s="8"/>
      <c r="C7" s="7">
        <f t="shared" ref="C7:K22" si="1">B7*(1+$B$3)</f>
        <v>0</v>
      </c>
      <c r="D7" s="7">
        <f t="shared" si="1"/>
        <v>0</v>
      </c>
      <c r="E7" s="7">
        <f t="shared" si="1"/>
        <v>0</v>
      </c>
      <c r="F7" s="7">
        <f t="shared" si="1"/>
        <v>0</v>
      </c>
      <c r="G7" s="7">
        <f t="shared" si="1"/>
        <v>0</v>
      </c>
      <c r="H7" s="7">
        <f t="shared" si="1"/>
        <v>0</v>
      </c>
      <c r="I7" s="7">
        <f t="shared" si="1"/>
        <v>0</v>
      </c>
      <c r="J7" s="7">
        <f t="shared" si="1"/>
        <v>0</v>
      </c>
      <c r="K7" s="7">
        <f t="shared" si="1"/>
        <v>0</v>
      </c>
    </row>
    <row r="8" spans="1:11" x14ac:dyDescent="0.25">
      <c r="A8" s="4" t="s">
        <v>3</v>
      </c>
      <c r="B8" s="8"/>
      <c r="C8" s="7">
        <f t="shared" si="1"/>
        <v>0</v>
      </c>
      <c r="D8" s="7">
        <f t="shared" si="1"/>
        <v>0</v>
      </c>
      <c r="E8" s="7">
        <f t="shared" si="1"/>
        <v>0</v>
      </c>
      <c r="F8" s="7">
        <f t="shared" si="1"/>
        <v>0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</row>
    <row r="9" spans="1:11" x14ac:dyDescent="0.25">
      <c r="A9" s="4" t="s">
        <v>4</v>
      </c>
      <c r="B9" s="8"/>
      <c r="C9" s="7">
        <f t="shared" si="1"/>
        <v>0</v>
      </c>
      <c r="D9" s="7">
        <f t="shared" si="1"/>
        <v>0</v>
      </c>
      <c r="E9" s="7">
        <f t="shared" si="1"/>
        <v>0</v>
      </c>
      <c r="F9" s="7">
        <f t="shared" si="1"/>
        <v>0</v>
      </c>
      <c r="G9" s="7">
        <f t="shared" si="1"/>
        <v>0</v>
      </c>
      <c r="H9" s="7">
        <f t="shared" si="1"/>
        <v>0</v>
      </c>
      <c r="I9" s="7">
        <f t="shared" si="1"/>
        <v>0</v>
      </c>
      <c r="J9" s="7">
        <f t="shared" si="1"/>
        <v>0</v>
      </c>
      <c r="K9" s="7">
        <f t="shared" si="1"/>
        <v>0</v>
      </c>
    </row>
    <row r="10" spans="1:11" x14ac:dyDescent="0.25">
      <c r="A10" s="4" t="s">
        <v>47</v>
      </c>
      <c r="B10" s="8"/>
      <c r="C10" s="7">
        <f t="shared" si="1"/>
        <v>0</v>
      </c>
      <c r="D10" s="7">
        <f t="shared" si="1"/>
        <v>0</v>
      </c>
      <c r="E10" s="7">
        <f t="shared" si="1"/>
        <v>0</v>
      </c>
      <c r="F10" s="7">
        <f t="shared" si="1"/>
        <v>0</v>
      </c>
      <c r="G10" s="7">
        <f t="shared" si="1"/>
        <v>0</v>
      </c>
      <c r="H10" s="7">
        <f t="shared" si="1"/>
        <v>0</v>
      </c>
      <c r="I10" s="7">
        <f t="shared" si="1"/>
        <v>0</v>
      </c>
      <c r="J10" s="7">
        <f t="shared" si="1"/>
        <v>0</v>
      </c>
      <c r="K10" s="7">
        <f t="shared" si="1"/>
        <v>0</v>
      </c>
    </row>
    <row r="11" spans="1:11" x14ac:dyDescent="0.25">
      <c r="A11" s="4" t="s">
        <v>48</v>
      </c>
      <c r="B11" s="8"/>
      <c r="C11" s="7">
        <f t="shared" si="1"/>
        <v>0</v>
      </c>
      <c r="D11" s="7">
        <f t="shared" si="1"/>
        <v>0</v>
      </c>
      <c r="E11" s="7">
        <f t="shared" si="1"/>
        <v>0</v>
      </c>
      <c r="F11" s="7">
        <f t="shared" si="1"/>
        <v>0</v>
      </c>
      <c r="G11" s="7">
        <f t="shared" si="1"/>
        <v>0</v>
      </c>
      <c r="H11" s="7">
        <f t="shared" si="1"/>
        <v>0</v>
      </c>
      <c r="I11" s="7">
        <f t="shared" si="1"/>
        <v>0</v>
      </c>
      <c r="J11" s="7">
        <f t="shared" si="1"/>
        <v>0</v>
      </c>
      <c r="K11" s="7">
        <f t="shared" si="1"/>
        <v>0</v>
      </c>
    </row>
    <row r="12" spans="1:11" x14ac:dyDescent="0.25">
      <c r="A12" s="4" t="s">
        <v>49</v>
      </c>
      <c r="B12" s="8"/>
      <c r="C12" s="7">
        <f t="shared" si="1"/>
        <v>0</v>
      </c>
      <c r="D12" s="7">
        <f t="shared" si="1"/>
        <v>0</v>
      </c>
      <c r="E12" s="7">
        <f t="shared" si="1"/>
        <v>0</v>
      </c>
      <c r="F12" s="7">
        <f t="shared" si="1"/>
        <v>0</v>
      </c>
      <c r="G12" s="7">
        <f t="shared" si="1"/>
        <v>0</v>
      </c>
      <c r="H12" s="7">
        <f t="shared" si="1"/>
        <v>0</v>
      </c>
      <c r="I12" s="7">
        <f t="shared" si="1"/>
        <v>0</v>
      </c>
      <c r="J12" s="7">
        <f t="shared" si="1"/>
        <v>0</v>
      </c>
      <c r="K12" s="7">
        <f t="shared" si="1"/>
        <v>0</v>
      </c>
    </row>
    <row r="13" spans="1:11" x14ac:dyDescent="0.25">
      <c r="A13" s="4" t="s">
        <v>50</v>
      </c>
      <c r="B13" s="8"/>
      <c r="C13" s="7">
        <f t="shared" si="1"/>
        <v>0</v>
      </c>
      <c r="D13" s="7">
        <f t="shared" si="1"/>
        <v>0</v>
      </c>
      <c r="E13" s="7">
        <f t="shared" si="1"/>
        <v>0</v>
      </c>
      <c r="F13" s="7">
        <f t="shared" si="1"/>
        <v>0</v>
      </c>
      <c r="G13" s="7">
        <f t="shared" si="1"/>
        <v>0</v>
      </c>
      <c r="H13" s="7">
        <f t="shared" si="1"/>
        <v>0</v>
      </c>
      <c r="I13" s="7">
        <f t="shared" si="1"/>
        <v>0</v>
      </c>
      <c r="J13" s="7">
        <f t="shared" si="1"/>
        <v>0</v>
      </c>
      <c r="K13" s="7">
        <f t="shared" si="1"/>
        <v>0</v>
      </c>
    </row>
    <row r="14" spans="1:11" x14ac:dyDescent="0.25">
      <c r="A14" s="4" t="s">
        <v>51</v>
      </c>
      <c r="B14" s="8"/>
      <c r="C14" s="7">
        <f t="shared" si="1"/>
        <v>0</v>
      </c>
      <c r="D14" s="7">
        <f t="shared" si="1"/>
        <v>0</v>
      </c>
      <c r="E14" s="7">
        <f t="shared" si="1"/>
        <v>0</v>
      </c>
      <c r="F14" s="7">
        <f t="shared" si="1"/>
        <v>0</v>
      </c>
      <c r="G14" s="7">
        <f t="shared" si="1"/>
        <v>0</v>
      </c>
      <c r="H14" s="7">
        <f t="shared" si="1"/>
        <v>0</v>
      </c>
      <c r="I14" s="7">
        <f t="shared" si="1"/>
        <v>0</v>
      </c>
      <c r="J14" s="7">
        <f t="shared" si="1"/>
        <v>0</v>
      </c>
      <c r="K14" s="7">
        <f t="shared" si="1"/>
        <v>0</v>
      </c>
    </row>
    <row r="15" spans="1:11" x14ac:dyDescent="0.25">
      <c r="A15" s="4" t="s">
        <v>52</v>
      </c>
      <c r="B15" s="8"/>
      <c r="C15" s="7">
        <f t="shared" si="1"/>
        <v>0</v>
      </c>
      <c r="D15" s="7">
        <f t="shared" si="1"/>
        <v>0</v>
      </c>
      <c r="E15" s="7">
        <f t="shared" si="1"/>
        <v>0</v>
      </c>
      <c r="F15" s="7">
        <f t="shared" si="1"/>
        <v>0</v>
      </c>
      <c r="G15" s="7">
        <f t="shared" si="1"/>
        <v>0</v>
      </c>
      <c r="H15" s="7">
        <f t="shared" si="1"/>
        <v>0</v>
      </c>
      <c r="I15" s="7">
        <f t="shared" si="1"/>
        <v>0</v>
      </c>
      <c r="J15" s="7">
        <f t="shared" si="1"/>
        <v>0</v>
      </c>
      <c r="K15" s="7">
        <f t="shared" si="1"/>
        <v>0</v>
      </c>
    </row>
    <row r="16" spans="1:11" x14ac:dyDescent="0.25">
      <c r="A16" s="4" t="s">
        <v>53</v>
      </c>
      <c r="B16" s="8"/>
      <c r="C16" s="7">
        <f t="shared" si="1"/>
        <v>0</v>
      </c>
      <c r="D16" s="7">
        <f t="shared" si="1"/>
        <v>0</v>
      </c>
      <c r="E16" s="7">
        <f t="shared" si="1"/>
        <v>0</v>
      </c>
      <c r="F16" s="7">
        <f t="shared" si="1"/>
        <v>0</v>
      </c>
      <c r="G16" s="7">
        <f t="shared" si="1"/>
        <v>0</v>
      </c>
      <c r="H16" s="7">
        <f t="shared" si="1"/>
        <v>0</v>
      </c>
      <c r="I16" s="7">
        <f t="shared" si="1"/>
        <v>0</v>
      </c>
      <c r="J16" s="7">
        <f t="shared" si="1"/>
        <v>0</v>
      </c>
      <c r="K16" s="7">
        <f t="shared" si="1"/>
        <v>0</v>
      </c>
    </row>
    <row r="17" spans="1:11" x14ac:dyDescent="0.25">
      <c r="A17" s="4" t="s">
        <v>54</v>
      </c>
      <c r="B17" s="8"/>
      <c r="C17" s="7">
        <f t="shared" si="1"/>
        <v>0</v>
      </c>
      <c r="D17" s="7">
        <f t="shared" si="1"/>
        <v>0</v>
      </c>
      <c r="E17" s="7">
        <f t="shared" si="1"/>
        <v>0</v>
      </c>
      <c r="F17" s="7">
        <f t="shared" si="1"/>
        <v>0</v>
      </c>
      <c r="G17" s="7">
        <f t="shared" si="1"/>
        <v>0</v>
      </c>
      <c r="H17" s="7">
        <f t="shared" si="1"/>
        <v>0</v>
      </c>
      <c r="I17" s="7">
        <f t="shared" si="1"/>
        <v>0</v>
      </c>
      <c r="J17" s="7">
        <f t="shared" si="1"/>
        <v>0</v>
      </c>
      <c r="K17" s="7">
        <f t="shared" si="1"/>
        <v>0</v>
      </c>
    </row>
    <row r="18" spans="1:11" x14ac:dyDescent="0.25">
      <c r="A18" s="4" t="s">
        <v>55</v>
      </c>
      <c r="B18" s="8"/>
      <c r="C18" s="7">
        <f t="shared" si="1"/>
        <v>0</v>
      </c>
      <c r="D18" s="7">
        <f t="shared" si="1"/>
        <v>0</v>
      </c>
      <c r="E18" s="7">
        <f t="shared" si="1"/>
        <v>0</v>
      </c>
      <c r="F18" s="7">
        <f t="shared" si="1"/>
        <v>0</v>
      </c>
      <c r="G18" s="7">
        <f t="shared" si="1"/>
        <v>0</v>
      </c>
      <c r="H18" s="7">
        <f t="shared" si="1"/>
        <v>0</v>
      </c>
      <c r="I18" s="7">
        <f t="shared" si="1"/>
        <v>0</v>
      </c>
      <c r="J18" s="7">
        <f t="shared" si="1"/>
        <v>0</v>
      </c>
      <c r="K18" s="7">
        <f t="shared" si="1"/>
        <v>0</v>
      </c>
    </row>
    <row r="19" spans="1:11" x14ac:dyDescent="0.25">
      <c r="A19" s="4" t="s">
        <v>56</v>
      </c>
      <c r="B19" s="8"/>
      <c r="C19" s="7">
        <f t="shared" si="1"/>
        <v>0</v>
      </c>
      <c r="D19" s="7">
        <f t="shared" si="1"/>
        <v>0</v>
      </c>
      <c r="E19" s="7">
        <f t="shared" si="1"/>
        <v>0</v>
      </c>
      <c r="F19" s="7">
        <f t="shared" si="1"/>
        <v>0</v>
      </c>
      <c r="G19" s="7">
        <f t="shared" si="1"/>
        <v>0</v>
      </c>
      <c r="H19" s="7">
        <f t="shared" si="1"/>
        <v>0</v>
      </c>
      <c r="I19" s="7">
        <f t="shared" si="1"/>
        <v>0</v>
      </c>
      <c r="J19" s="7">
        <f t="shared" si="1"/>
        <v>0</v>
      </c>
      <c r="K19" s="7">
        <f t="shared" si="1"/>
        <v>0</v>
      </c>
    </row>
    <row r="20" spans="1:11" x14ac:dyDescent="0.25">
      <c r="A20" s="4" t="s">
        <v>57</v>
      </c>
      <c r="B20" s="8"/>
      <c r="C20" s="7">
        <f t="shared" si="1"/>
        <v>0</v>
      </c>
      <c r="D20" s="7">
        <f t="shared" si="1"/>
        <v>0</v>
      </c>
      <c r="E20" s="7">
        <f t="shared" si="1"/>
        <v>0</v>
      </c>
      <c r="F20" s="7">
        <f t="shared" si="1"/>
        <v>0</v>
      </c>
      <c r="G20" s="7">
        <f t="shared" si="1"/>
        <v>0</v>
      </c>
      <c r="H20" s="7">
        <f t="shared" si="1"/>
        <v>0</v>
      </c>
      <c r="I20" s="7">
        <f t="shared" si="1"/>
        <v>0</v>
      </c>
      <c r="J20" s="7">
        <f t="shared" si="1"/>
        <v>0</v>
      </c>
      <c r="K20" s="7">
        <f t="shared" si="1"/>
        <v>0</v>
      </c>
    </row>
    <row r="21" spans="1:11" x14ac:dyDescent="0.25">
      <c r="A21" s="4" t="s">
        <v>58</v>
      </c>
      <c r="B21" s="8"/>
      <c r="C21" s="7">
        <f t="shared" si="1"/>
        <v>0</v>
      </c>
      <c r="D21" s="7">
        <f t="shared" si="1"/>
        <v>0</v>
      </c>
      <c r="E21" s="7">
        <f t="shared" si="1"/>
        <v>0</v>
      </c>
      <c r="F21" s="7">
        <f t="shared" si="1"/>
        <v>0</v>
      </c>
      <c r="G21" s="7">
        <f t="shared" si="1"/>
        <v>0</v>
      </c>
      <c r="H21" s="7">
        <f t="shared" si="1"/>
        <v>0</v>
      </c>
      <c r="I21" s="7">
        <f t="shared" si="1"/>
        <v>0</v>
      </c>
      <c r="J21" s="7">
        <f t="shared" si="1"/>
        <v>0</v>
      </c>
      <c r="K21" s="7">
        <f t="shared" si="1"/>
        <v>0</v>
      </c>
    </row>
    <row r="22" spans="1:11" x14ac:dyDescent="0.25">
      <c r="A22" s="4" t="s">
        <v>59</v>
      </c>
      <c r="B22" s="8"/>
      <c r="C22" s="7">
        <f t="shared" si="1"/>
        <v>0</v>
      </c>
      <c r="D22" s="7">
        <f t="shared" si="1"/>
        <v>0</v>
      </c>
      <c r="E22" s="7">
        <f t="shared" si="1"/>
        <v>0</v>
      </c>
      <c r="F22" s="7">
        <f t="shared" si="1"/>
        <v>0</v>
      </c>
      <c r="G22" s="7">
        <f t="shared" si="1"/>
        <v>0</v>
      </c>
      <c r="H22" s="7">
        <f t="shared" si="1"/>
        <v>0</v>
      </c>
      <c r="I22" s="7">
        <f t="shared" si="1"/>
        <v>0</v>
      </c>
      <c r="J22" s="7">
        <f t="shared" si="1"/>
        <v>0</v>
      </c>
      <c r="K22" s="7">
        <f t="shared" si="1"/>
        <v>0</v>
      </c>
    </row>
    <row r="23" spans="1:11" x14ac:dyDescent="0.25">
      <c r="A23" s="4" t="s">
        <v>60</v>
      </c>
      <c r="B23" s="8"/>
      <c r="C23" s="7">
        <f t="shared" ref="C23:K36" si="2">B23*(1+$B$3)</f>
        <v>0</v>
      </c>
      <c r="D23" s="7">
        <f t="shared" si="2"/>
        <v>0</v>
      </c>
      <c r="E23" s="7">
        <f t="shared" si="2"/>
        <v>0</v>
      </c>
      <c r="F23" s="7">
        <f t="shared" si="2"/>
        <v>0</v>
      </c>
      <c r="G23" s="7">
        <f t="shared" si="2"/>
        <v>0</v>
      </c>
      <c r="H23" s="7">
        <f t="shared" si="2"/>
        <v>0</v>
      </c>
      <c r="I23" s="7">
        <f t="shared" si="2"/>
        <v>0</v>
      </c>
      <c r="J23" s="7">
        <f t="shared" si="2"/>
        <v>0</v>
      </c>
      <c r="K23" s="7">
        <f t="shared" si="2"/>
        <v>0</v>
      </c>
    </row>
    <row r="24" spans="1:11" x14ac:dyDescent="0.25">
      <c r="A24" s="4" t="s">
        <v>61</v>
      </c>
      <c r="B24" s="8"/>
      <c r="C24" s="7">
        <f t="shared" si="2"/>
        <v>0</v>
      </c>
      <c r="D24" s="7">
        <f t="shared" si="2"/>
        <v>0</v>
      </c>
      <c r="E24" s="7">
        <f t="shared" si="2"/>
        <v>0</v>
      </c>
      <c r="F24" s="7">
        <f t="shared" si="2"/>
        <v>0</v>
      </c>
      <c r="G24" s="7">
        <f t="shared" si="2"/>
        <v>0</v>
      </c>
      <c r="H24" s="7">
        <f t="shared" si="2"/>
        <v>0</v>
      </c>
      <c r="I24" s="7">
        <f t="shared" si="2"/>
        <v>0</v>
      </c>
      <c r="J24" s="7">
        <f t="shared" si="2"/>
        <v>0</v>
      </c>
      <c r="K24" s="7">
        <f t="shared" si="2"/>
        <v>0</v>
      </c>
    </row>
    <row r="25" spans="1:11" x14ac:dyDescent="0.25">
      <c r="A25" s="4" t="s">
        <v>62</v>
      </c>
      <c r="B25" s="8"/>
      <c r="C25" s="7">
        <f t="shared" si="2"/>
        <v>0</v>
      </c>
      <c r="D25" s="7">
        <f t="shared" si="2"/>
        <v>0</v>
      </c>
      <c r="E25" s="7">
        <f t="shared" si="2"/>
        <v>0</v>
      </c>
      <c r="F25" s="7">
        <f t="shared" si="2"/>
        <v>0</v>
      </c>
      <c r="G25" s="7">
        <f t="shared" si="2"/>
        <v>0</v>
      </c>
      <c r="H25" s="7">
        <f t="shared" si="2"/>
        <v>0</v>
      </c>
      <c r="I25" s="7">
        <f t="shared" si="2"/>
        <v>0</v>
      </c>
      <c r="J25" s="7">
        <f t="shared" si="2"/>
        <v>0</v>
      </c>
      <c r="K25" s="7">
        <f t="shared" si="2"/>
        <v>0</v>
      </c>
    </row>
    <row r="26" spans="1:11" x14ac:dyDescent="0.25">
      <c r="A26" s="4" t="s">
        <v>63</v>
      </c>
      <c r="B26" s="8"/>
      <c r="C26" s="7">
        <f t="shared" si="2"/>
        <v>0</v>
      </c>
      <c r="D26" s="7">
        <f t="shared" si="2"/>
        <v>0</v>
      </c>
      <c r="E26" s="7">
        <f t="shared" si="2"/>
        <v>0</v>
      </c>
      <c r="F26" s="7">
        <f t="shared" si="2"/>
        <v>0</v>
      </c>
      <c r="G26" s="7">
        <f t="shared" si="2"/>
        <v>0</v>
      </c>
      <c r="H26" s="7">
        <f t="shared" si="2"/>
        <v>0</v>
      </c>
      <c r="I26" s="7">
        <f t="shared" si="2"/>
        <v>0</v>
      </c>
      <c r="J26" s="7">
        <f t="shared" si="2"/>
        <v>0</v>
      </c>
      <c r="K26" s="7">
        <f t="shared" si="2"/>
        <v>0</v>
      </c>
    </row>
    <row r="27" spans="1:11" x14ac:dyDescent="0.25">
      <c r="A27" s="4" t="s">
        <v>64</v>
      </c>
      <c r="B27" s="8"/>
      <c r="C27" s="7">
        <f t="shared" si="2"/>
        <v>0</v>
      </c>
      <c r="D27" s="7">
        <f t="shared" si="2"/>
        <v>0</v>
      </c>
      <c r="E27" s="7">
        <f t="shared" si="2"/>
        <v>0</v>
      </c>
      <c r="F27" s="7">
        <f t="shared" si="2"/>
        <v>0</v>
      </c>
      <c r="G27" s="7">
        <f t="shared" si="2"/>
        <v>0</v>
      </c>
      <c r="H27" s="7">
        <f t="shared" si="2"/>
        <v>0</v>
      </c>
      <c r="I27" s="7">
        <f t="shared" si="2"/>
        <v>0</v>
      </c>
      <c r="J27" s="7">
        <f t="shared" si="2"/>
        <v>0</v>
      </c>
      <c r="K27" s="7">
        <f t="shared" si="2"/>
        <v>0</v>
      </c>
    </row>
    <row r="28" spans="1:11" x14ac:dyDescent="0.25">
      <c r="A28" s="4" t="s">
        <v>65</v>
      </c>
      <c r="B28" s="8"/>
      <c r="C28" s="7">
        <f t="shared" si="2"/>
        <v>0</v>
      </c>
      <c r="D28" s="7">
        <f t="shared" si="2"/>
        <v>0</v>
      </c>
      <c r="E28" s="7">
        <f t="shared" si="2"/>
        <v>0</v>
      </c>
      <c r="F28" s="7">
        <f t="shared" si="2"/>
        <v>0</v>
      </c>
      <c r="G28" s="7">
        <f t="shared" si="2"/>
        <v>0</v>
      </c>
      <c r="H28" s="7">
        <f t="shared" si="2"/>
        <v>0</v>
      </c>
      <c r="I28" s="7">
        <f t="shared" si="2"/>
        <v>0</v>
      </c>
      <c r="J28" s="7">
        <f t="shared" si="2"/>
        <v>0</v>
      </c>
      <c r="K28" s="7">
        <f t="shared" si="2"/>
        <v>0</v>
      </c>
    </row>
    <row r="29" spans="1:11" x14ac:dyDescent="0.25">
      <c r="A29" s="4" t="s">
        <v>66</v>
      </c>
      <c r="B29" s="8"/>
      <c r="C29" s="7">
        <f t="shared" si="2"/>
        <v>0</v>
      </c>
      <c r="D29" s="7">
        <f t="shared" si="2"/>
        <v>0</v>
      </c>
      <c r="E29" s="7">
        <f t="shared" si="2"/>
        <v>0</v>
      </c>
      <c r="F29" s="7">
        <f t="shared" si="2"/>
        <v>0</v>
      </c>
      <c r="G29" s="7">
        <f t="shared" si="2"/>
        <v>0</v>
      </c>
      <c r="H29" s="7">
        <f t="shared" si="2"/>
        <v>0</v>
      </c>
      <c r="I29" s="7">
        <f t="shared" si="2"/>
        <v>0</v>
      </c>
      <c r="J29" s="7">
        <f t="shared" si="2"/>
        <v>0</v>
      </c>
      <c r="K29" s="7">
        <f t="shared" si="2"/>
        <v>0</v>
      </c>
    </row>
    <row r="30" spans="1:11" x14ac:dyDescent="0.25">
      <c r="A30" s="4" t="s">
        <v>67</v>
      </c>
      <c r="B30" s="8"/>
      <c r="C30" s="7">
        <f t="shared" si="2"/>
        <v>0</v>
      </c>
      <c r="D30" s="7">
        <f t="shared" si="2"/>
        <v>0</v>
      </c>
      <c r="E30" s="7">
        <f t="shared" si="2"/>
        <v>0</v>
      </c>
      <c r="F30" s="7">
        <f t="shared" si="2"/>
        <v>0</v>
      </c>
      <c r="G30" s="7">
        <f t="shared" si="2"/>
        <v>0</v>
      </c>
      <c r="H30" s="7">
        <f t="shared" si="2"/>
        <v>0</v>
      </c>
      <c r="I30" s="7">
        <f t="shared" si="2"/>
        <v>0</v>
      </c>
      <c r="J30" s="7">
        <f t="shared" si="2"/>
        <v>0</v>
      </c>
      <c r="K30" s="7">
        <f t="shared" si="2"/>
        <v>0</v>
      </c>
    </row>
    <row r="31" spans="1:11" x14ac:dyDescent="0.25">
      <c r="A31" s="4" t="s">
        <v>68</v>
      </c>
      <c r="B31" s="8"/>
      <c r="C31" s="7">
        <f t="shared" si="2"/>
        <v>0</v>
      </c>
      <c r="D31" s="7">
        <f t="shared" si="2"/>
        <v>0</v>
      </c>
      <c r="E31" s="7">
        <f t="shared" si="2"/>
        <v>0</v>
      </c>
      <c r="F31" s="7">
        <f t="shared" si="2"/>
        <v>0</v>
      </c>
      <c r="G31" s="7">
        <f t="shared" si="2"/>
        <v>0</v>
      </c>
      <c r="H31" s="7">
        <f t="shared" si="2"/>
        <v>0</v>
      </c>
      <c r="I31" s="7">
        <f t="shared" si="2"/>
        <v>0</v>
      </c>
      <c r="J31" s="7">
        <f t="shared" si="2"/>
        <v>0</v>
      </c>
      <c r="K31" s="7">
        <f t="shared" si="2"/>
        <v>0</v>
      </c>
    </row>
    <row r="32" spans="1:11" x14ac:dyDescent="0.25">
      <c r="A32" s="4" t="s">
        <v>69</v>
      </c>
      <c r="B32" s="8"/>
      <c r="C32" s="7">
        <f t="shared" si="2"/>
        <v>0</v>
      </c>
      <c r="D32" s="7">
        <f t="shared" si="2"/>
        <v>0</v>
      </c>
      <c r="E32" s="7">
        <f t="shared" si="2"/>
        <v>0</v>
      </c>
      <c r="F32" s="7">
        <f t="shared" si="2"/>
        <v>0</v>
      </c>
      <c r="G32" s="7">
        <f t="shared" si="2"/>
        <v>0</v>
      </c>
      <c r="H32" s="7">
        <f t="shared" si="2"/>
        <v>0</v>
      </c>
      <c r="I32" s="7">
        <f t="shared" si="2"/>
        <v>0</v>
      </c>
      <c r="J32" s="7">
        <f t="shared" si="2"/>
        <v>0</v>
      </c>
      <c r="K32" s="7">
        <f t="shared" si="2"/>
        <v>0</v>
      </c>
    </row>
    <row r="33" spans="1:11" x14ac:dyDescent="0.25">
      <c r="A33" s="4" t="s">
        <v>70</v>
      </c>
      <c r="B33" s="8"/>
      <c r="C33" s="7">
        <f t="shared" si="2"/>
        <v>0</v>
      </c>
      <c r="D33" s="7">
        <f t="shared" si="2"/>
        <v>0</v>
      </c>
      <c r="E33" s="7">
        <f t="shared" si="2"/>
        <v>0</v>
      </c>
      <c r="F33" s="7">
        <f t="shared" si="2"/>
        <v>0</v>
      </c>
      <c r="G33" s="7">
        <f t="shared" si="2"/>
        <v>0</v>
      </c>
      <c r="H33" s="7">
        <f t="shared" si="2"/>
        <v>0</v>
      </c>
      <c r="I33" s="7">
        <f t="shared" si="2"/>
        <v>0</v>
      </c>
      <c r="J33" s="7">
        <f t="shared" si="2"/>
        <v>0</v>
      </c>
      <c r="K33" s="7">
        <f t="shared" si="2"/>
        <v>0</v>
      </c>
    </row>
    <row r="34" spans="1:11" x14ac:dyDescent="0.25">
      <c r="A34" s="4" t="s">
        <v>71</v>
      </c>
      <c r="B34" s="8"/>
      <c r="C34" s="7">
        <f t="shared" si="2"/>
        <v>0</v>
      </c>
      <c r="D34" s="7">
        <f t="shared" si="2"/>
        <v>0</v>
      </c>
      <c r="E34" s="7">
        <f t="shared" si="2"/>
        <v>0</v>
      </c>
      <c r="F34" s="7">
        <f t="shared" si="2"/>
        <v>0</v>
      </c>
      <c r="G34" s="7">
        <f t="shared" si="2"/>
        <v>0</v>
      </c>
      <c r="H34" s="7">
        <f t="shared" si="2"/>
        <v>0</v>
      </c>
      <c r="I34" s="7">
        <f t="shared" si="2"/>
        <v>0</v>
      </c>
      <c r="J34" s="7">
        <f t="shared" si="2"/>
        <v>0</v>
      </c>
      <c r="K34" s="7">
        <f t="shared" si="2"/>
        <v>0</v>
      </c>
    </row>
    <row r="35" spans="1:11" x14ac:dyDescent="0.25">
      <c r="A35" s="4" t="s">
        <v>71</v>
      </c>
      <c r="B35" s="8"/>
      <c r="C35" s="7">
        <f t="shared" si="2"/>
        <v>0</v>
      </c>
      <c r="D35" s="7">
        <f t="shared" si="2"/>
        <v>0</v>
      </c>
      <c r="E35" s="7">
        <f t="shared" si="2"/>
        <v>0</v>
      </c>
      <c r="F35" s="7">
        <f t="shared" si="2"/>
        <v>0</v>
      </c>
      <c r="G35" s="7">
        <f t="shared" si="2"/>
        <v>0</v>
      </c>
      <c r="H35" s="7">
        <f t="shared" si="2"/>
        <v>0</v>
      </c>
      <c r="I35" s="7">
        <f t="shared" si="2"/>
        <v>0</v>
      </c>
      <c r="J35" s="7">
        <f t="shared" si="2"/>
        <v>0</v>
      </c>
      <c r="K35" s="7">
        <f t="shared" si="2"/>
        <v>0</v>
      </c>
    </row>
    <row r="36" spans="1:11" x14ac:dyDescent="0.25">
      <c r="A36" s="4" t="s">
        <v>72</v>
      </c>
      <c r="B36" s="8"/>
      <c r="C36" s="7">
        <f t="shared" si="2"/>
        <v>0</v>
      </c>
      <c r="D36" s="7">
        <f t="shared" si="2"/>
        <v>0</v>
      </c>
      <c r="E36" s="7">
        <f t="shared" si="2"/>
        <v>0</v>
      </c>
      <c r="F36" s="7">
        <f t="shared" si="2"/>
        <v>0</v>
      </c>
      <c r="G36" s="7">
        <f t="shared" si="2"/>
        <v>0</v>
      </c>
      <c r="H36" s="7">
        <f t="shared" si="2"/>
        <v>0</v>
      </c>
      <c r="I36" s="7">
        <f t="shared" si="2"/>
        <v>0</v>
      </c>
      <c r="J36" s="7">
        <f t="shared" si="2"/>
        <v>0</v>
      </c>
      <c r="K36" s="7">
        <f t="shared" si="2"/>
        <v>0</v>
      </c>
    </row>
    <row r="37" spans="1:11" x14ac:dyDescent="0.25">
      <c r="A37" s="4" t="s">
        <v>73</v>
      </c>
      <c r="B37" s="8"/>
      <c r="C37" s="7">
        <f t="shared" ref="C37:K37" si="3">B37*(1+$B$3)</f>
        <v>0</v>
      </c>
      <c r="D37" s="7">
        <f t="shared" si="3"/>
        <v>0</v>
      </c>
      <c r="E37" s="7">
        <f t="shared" si="3"/>
        <v>0</v>
      </c>
      <c r="F37" s="7">
        <f t="shared" si="3"/>
        <v>0</v>
      </c>
      <c r="G37" s="7">
        <f t="shared" si="3"/>
        <v>0</v>
      </c>
      <c r="H37" s="7">
        <f t="shared" si="3"/>
        <v>0</v>
      </c>
      <c r="I37" s="7">
        <f t="shared" si="3"/>
        <v>0</v>
      </c>
      <c r="J37" s="7">
        <f t="shared" si="3"/>
        <v>0</v>
      </c>
      <c r="K37" s="7">
        <f t="shared" si="3"/>
        <v>0</v>
      </c>
    </row>
    <row r="38" spans="1:11" x14ac:dyDescent="0.25">
      <c r="A38" s="4" t="s">
        <v>74</v>
      </c>
      <c r="B38" s="8"/>
      <c r="C38" s="7">
        <f t="shared" ref="C38:K38" si="4">B38*(1+$B$3)</f>
        <v>0</v>
      </c>
      <c r="D38" s="7">
        <f t="shared" si="4"/>
        <v>0</v>
      </c>
      <c r="E38" s="7">
        <f t="shared" si="4"/>
        <v>0</v>
      </c>
      <c r="F38" s="7">
        <f t="shared" si="4"/>
        <v>0</v>
      </c>
      <c r="G38" s="7">
        <f t="shared" si="4"/>
        <v>0</v>
      </c>
      <c r="H38" s="7">
        <f t="shared" si="4"/>
        <v>0</v>
      </c>
      <c r="I38" s="7">
        <f t="shared" si="4"/>
        <v>0</v>
      </c>
      <c r="J38" s="7">
        <f t="shared" si="4"/>
        <v>0</v>
      </c>
      <c r="K38" s="7">
        <f t="shared" si="4"/>
        <v>0</v>
      </c>
    </row>
    <row r="39" spans="1:11" x14ac:dyDescent="0.25">
      <c r="A39" s="4" t="s">
        <v>75</v>
      </c>
      <c r="B39" s="8"/>
      <c r="C39" s="7">
        <f t="shared" ref="C39:K39" si="5">B39*(1+$B$3)</f>
        <v>0</v>
      </c>
      <c r="D39" s="7">
        <f t="shared" si="5"/>
        <v>0</v>
      </c>
      <c r="E39" s="7">
        <f t="shared" si="5"/>
        <v>0</v>
      </c>
      <c r="F39" s="7">
        <f t="shared" si="5"/>
        <v>0</v>
      </c>
      <c r="G39" s="7">
        <f t="shared" si="5"/>
        <v>0</v>
      </c>
      <c r="H39" s="7">
        <f t="shared" si="5"/>
        <v>0</v>
      </c>
      <c r="I39" s="7">
        <f t="shared" si="5"/>
        <v>0</v>
      </c>
      <c r="J39" s="7">
        <f t="shared" si="5"/>
        <v>0</v>
      </c>
      <c r="K39" s="7">
        <f t="shared" si="5"/>
        <v>0</v>
      </c>
    </row>
    <row r="40" spans="1:11" x14ac:dyDescent="0.25">
      <c r="A40" s="4" t="s">
        <v>76</v>
      </c>
      <c r="B40" s="8"/>
      <c r="C40" s="7">
        <f t="shared" ref="C40:K40" si="6">B40*(1+$B$3)</f>
        <v>0</v>
      </c>
      <c r="D40" s="7">
        <f t="shared" si="6"/>
        <v>0</v>
      </c>
      <c r="E40" s="7">
        <f t="shared" si="6"/>
        <v>0</v>
      </c>
      <c r="F40" s="7">
        <f t="shared" si="6"/>
        <v>0</v>
      </c>
      <c r="G40" s="7">
        <f t="shared" si="6"/>
        <v>0</v>
      </c>
      <c r="H40" s="7">
        <f t="shared" si="6"/>
        <v>0</v>
      </c>
      <c r="I40" s="7">
        <f t="shared" si="6"/>
        <v>0</v>
      </c>
      <c r="J40" s="7">
        <f t="shared" si="6"/>
        <v>0</v>
      </c>
      <c r="K40" s="7">
        <f t="shared" si="6"/>
        <v>0</v>
      </c>
    </row>
    <row r="41" spans="1:11" x14ac:dyDescent="0.25">
      <c r="A41" s="4" t="s">
        <v>77</v>
      </c>
      <c r="B41" s="8"/>
      <c r="C41" s="7">
        <f t="shared" ref="C41:K41" si="7">B41*(1+$B$3)</f>
        <v>0</v>
      </c>
      <c r="D41" s="7">
        <f t="shared" si="7"/>
        <v>0</v>
      </c>
      <c r="E41" s="7">
        <f t="shared" si="7"/>
        <v>0</v>
      </c>
      <c r="F41" s="7">
        <f t="shared" si="7"/>
        <v>0</v>
      </c>
      <c r="G41" s="7">
        <f t="shared" si="7"/>
        <v>0</v>
      </c>
      <c r="H41" s="7">
        <f t="shared" si="7"/>
        <v>0</v>
      </c>
      <c r="I41" s="7">
        <f t="shared" si="7"/>
        <v>0</v>
      </c>
      <c r="J41" s="7">
        <f t="shared" si="7"/>
        <v>0</v>
      </c>
      <c r="K41" s="7">
        <f t="shared" si="7"/>
        <v>0</v>
      </c>
    </row>
    <row r="42" spans="1:11" x14ac:dyDescent="0.25">
      <c r="A42" s="4" t="s">
        <v>78</v>
      </c>
      <c r="B42" s="8"/>
      <c r="C42" s="7">
        <f t="shared" ref="C42:K42" si="8">B42*(1+$B$3)</f>
        <v>0</v>
      </c>
      <c r="D42" s="7">
        <f t="shared" si="8"/>
        <v>0</v>
      </c>
      <c r="E42" s="7">
        <f t="shared" si="8"/>
        <v>0</v>
      </c>
      <c r="F42" s="7">
        <f t="shared" si="8"/>
        <v>0</v>
      </c>
      <c r="G42" s="7">
        <f t="shared" si="8"/>
        <v>0</v>
      </c>
      <c r="H42" s="7">
        <f t="shared" si="8"/>
        <v>0</v>
      </c>
      <c r="I42" s="7">
        <f t="shared" si="8"/>
        <v>0</v>
      </c>
      <c r="J42" s="7">
        <f t="shared" si="8"/>
        <v>0</v>
      </c>
      <c r="K42" s="7">
        <f t="shared" si="8"/>
        <v>0</v>
      </c>
    </row>
    <row r="43" spans="1:11" x14ac:dyDescent="0.25">
      <c r="A43" s="4" t="s">
        <v>26</v>
      </c>
      <c r="B43" s="8"/>
      <c r="C43" s="7">
        <f t="shared" ref="C43:K43" si="9">B43*(1+$B$3)</f>
        <v>0</v>
      </c>
      <c r="D43" s="7">
        <f t="shared" si="9"/>
        <v>0</v>
      </c>
      <c r="E43" s="7">
        <f t="shared" si="9"/>
        <v>0</v>
      </c>
      <c r="F43" s="7">
        <f t="shared" si="9"/>
        <v>0</v>
      </c>
      <c r="G43" s="7">
        <f t="shared" si="9"/>
        <v>0</v>
      </c>
      <c r="H43" s="7">
        <f t="shared" si="9"/>
        <v>0</v>
      </c>
      <c r="I43" s="7">
        <f t="shared" si="9"/>
        <v>0</v>
      </c>
      <c r="J43" s="7">
        <f t="shared" si="9"/>
        <v>0</v>
      </c>
      <c r="K43" s="7">
        <f t="shared" si="9"/>
        <v>0</v>
      </c>
    </row>
    <row r="44" spans="1:11" x14ac:dyDescent="0.25">
      <c r="A44" s="4" t="s">
        <v>27</v>
      </c>
      <c r="B44" s="8"/>
      <c r="C44" s="7">
        <f t="shared" ref="C44:K44" si="10">B44*(1+$B$3)</f>
        <v>0</v>
      </c>
      <c r="D44" s="7">
        <f t="shared" si="10"/>
        <v>0</v>
      </c>
      <c r="E44" s="7">
        <f t="shared" si="10"/>
        <v>0</v>
      </c>
      <c r="F44" s="7">
        <f t="shared" si="10"/>
        <v>0</v>
      </c>
      <c r="G44" s="7">
        <f t="shared" si="10"/>
        <v>0</v>
      </c>
      <c r="H44" s="7">
        <f t="shared" si="10"/>
        <v>0</v>
      </c>
      <c r="I44" s="7">
        <f t="shared" si="10"/>
        <v>0</v>
      </c>
      <c r="J44" s="7">
        <f t="shared" si="10"/>
        <v>0</v>
      </c>
      <c r="K44" s="7">
        <f t="shared" si="10"/>
        <v>0</v>
      </c>
    </row>
    <row r="45" spans="1:11" x14ac:dyDescent="0.25">
      <c r="A45" s="4" t="s">
        <v>79</v>
      </c>
      <c r="B45" s="8"/>
      <c r="C45" s="7">
        <f t="shared" ref="C45:K45" si="11">B45*(1+$B$3)</f>
        <v>0</v>
      </c>
      <c r="D45" s="7">
        <f t="shared" si="11"/>
        <v>0</v>
      </c>
      <c r="E45" s="7">
        <f t="shared" si="11"/>
        <v>0</v>
      </c>
      <c r="F45" s="7">
        <f t="shared" si="11"/>
        <v>0</v>
      </c>
      <c r="G45" s="7">
        <f t="shared" si="11"/>
        <v>0</v>
      </c>
      <c r="H45" s="7">
        <f t="shared" si="11"/>
        <v>0</v>
      </c>
      <c r="I45" s="7">
        <f t="shared" si="11"/>
        <v>0</v>
      </c>
      <c r="J45" s="7">
        <f t="shared" si="11"/>
        <v>0</v>
      </c>
      <c r="K45" s="7">
        <f t="shared" si="11"/>
        <v>0</v>
      </c>
    </row>
    <row r="46" spans="1:11" x14ac:dyDescent="0.25">
      <c r="A46" s="4" t="s">
        <v>80</v>
      </c>
      <c r="B46" s="8"/>
      <c r="C46" s="7">
        <f t="shared" ref="C46:K46" si="12">B46*(1+$B$3)</f>
        <v>0</v>
      </c>
      <c r="D46" s="7">
        <f t="shared" si="12"/>
        <v>0</v>
      </c>
      <c r="E46" s="7">
        <f t="shared" si="12"/>
        <v>0</v>
      </c>
      <c r="F46" s="7">
        <f t="shared" si="12"/>
        <v>0</v>
      </c>
      <c r="G46" s="7">
        <f t="shared" si="12"/>
        <v>0</v>
      </c>
      <c r="H46" s="7">
        <f t="shared" si="12"/>
        <v>0</v>
      </c>
      <c r="I46" s="7">
        <f t="shared" si="12"/>
        <v>0</v>
      </c>
      <c r="J46" s="7">
        <f t="shared" si="12"/>
        <v>0</v>
      </c>
      <c r="K46" s="7">
        <f t="shared" si="12"/>
        <v>0</v>
      </c>
    </row>
    <row r="47" spans="1:11" x14ac:dyDescent="0.25">
      <c r="A47" s="4" t="s">
        <v>81</v>
      </c>
      <c r="B47" s="8"/>
      <c r="C47" s="7">
        <f t="shared" ref="C47:K47" si="13">B47*(1+$B$3)</f>
        <v>0</v>
      </c>
      <c r="D47" s="7">
        <f t="shared" si="13"/>
        <v>0</v>
      </c>
      <c r="E47" s="7">
        <f t="shared" si="13"/>
        <v>0</v>
      </c>
      <c r="F47" s="7">
        <f t="shared" si="13"/>
        <v>0</v>
      </c>
      <c r="G47" s="7">
        <f t="shared" si="13"/>
        <v>0</v>
      </c>
      <c r="H47" s="7">
        <f t="shared" si="13"/>
        <v>0</v>
      </c>
      <c r="I47" s="7">
        <f t="shared" si="13"/>
        <v>0</v>
      </c>
      <c r="J47" s="7">
        <f t="shared" si="13"/>
        <v>0</v>
      </c>
      <c r="K47" s="7">
        <f t="shared" si="13"/>
        <v>0</v>
      </c>
    </row>
  </sheetData>
  <mergeCells count="3">
    <mergeCell ref="B1:K1"/>
    <mergeCell ref="B4:F4"/>
    <mergeCell ref="G4:K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45856-B843-415D-AF35-6AE778879F5E}">
  <dimension ref="A1:K72"/>
  <sheetViews>
    <sheetView workbookViewId="0">
      <selection sqref="A1:XFD1048576"/>
    </sheetView>
  </sheetViews>
  <sheetFormatPr defaultRowHeight="15" x14ac:dyDescent="0.25"/>
  <cols>
    <col min="1" max="1" width="43.28515625" bestFit="1" customWidth="1"/>
  </cols>
  <sheetData>
    <row r="1" spans="1:11" x14ac:dyDescent="0.25">
      <c r="B1" s="3" t="s">
        <v>32</v>
      </c>
      <c r="C1" s="3"/>
      <c r="D1" s="3"/>
      <c r="E1" s="3"/>
      <c r="F1" s="3"/>
      <c r="G1" s="3"/>
      <c r="H1" s="3"/>
      <c r="I1" s="3"/>
      <c r="J1" s="3"/>
      <c r="K1" s="3"/>
    </row>
    <row r="3" spans="1:11" x14ac:dyDescent="0.25">
      <c r="A3" t="s">
        <v>33</v>
      </c>
      <c r="B3" s="2">
        <v>2.5000000000000001E-2</v>
      </c>
    </row>
    <row r="4" spans="1:11" x14ac:dyDescent="0.25">
      <c r="A4" s="4"/>
      <c r="B4" s="5" t="s">
        <v>39</v>
      </c>
      <c r="C4" s="5"/>
      <c r="D4" s="5"/>
      <c r="E4" s="5"/>
      <c r="F4" s="5"/>
      <c r="G4" s="5" t="s">
        <v>40</v>
      </c>
      <c r="H4" s="5"/>
      <c r="I4" s="5"/>
      <c r="J4" s="5"/>
      <c r="K4" s="5"/>
    </row>
    <row r="5" spans="1:11" x14ac:dyDescent="0.25">
      <c r="A5" s="6" t="s">
        <v>31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</row>
    <row r="6" spans="1:11" x14ac:dyDescent="0.25">
      <c r="A6" s="4" t="s">
        <v>1</v>
      </c>
      <c r="B6" s="8"/>
      <c r="C6" s="7">
        <f>B6*(1+$B$3)</f>
        <v>0</v>
      </c>
      <c r="D6" s="7">
        <f>C6*(1+$B$3)</f>
        <v>0</v>
      </c>
      <c r="E6" s="7">
        <f t="shared" ref="E6:L6" si="0">D6*(1+$B$3)</f>
        <v>0</v>
      </c>
      <c r="F6" s="7">
        <f t="shared" si="0"/>
        <v>0</v>
      </c>
      <c r="G6" s="7">
        <f t="shared" si="0"/>
        <v>0</v>
      </c>
      <c r="H6" s="7">
        <f t="shared" si="0"/>
        <v>0</v>
      </c>
      <c r="I6" s="7">
        <f t="shared" si="0"/>
        <v>0</v>
      </c>
      <c r="J6" s="7">
        <f t="shared" si="0"/>
        <v>0</v>
      </c>
      <c r="K6" s="7">
        <f t="shared" si="0"/>
        <v>0</v>
      </c>
    </row>
    <row r="7" spans="1:11" x14ac:dyDescent="0.25">
      <c r="A7" s="4" t="s">
        <v>46</v>
      </c>
      <c r="B7" s="8"/>
      <c r="C7" s="7">
        <f t="shared" ref="C7:K22" si="1">B7*(1+$B$3)</f>
        <v>0</v>
      </c>
      <c r="D7" s="7">
        <f t="shared" si="1"/>
        <v>0</v>
      </c>
      <c r="E7" s="7">
        <f t="shared" si="1"/>
        <v>0</v>
      </c>
      <c r="F7" s="7">
        <f t="shared" si="1"/>
        <v>0</v>
      </c>
      <c r="G7" s="7">
        <f t="shared" si="1"/>
        <v>0</v>
      </c>
      <c r="H7" s="7">
        <f t="shared" si="1"/>
        <v>0</v>
      </c>
      <c r="I7" s="7">
        <f t="shared" si="1"/>
        <v>0</v>
      </c>
      <c r="J7" s="7">
        <f t="shared" si="1"/>
        <v>0</v>
      </c>
      <c r="K7" s="7">
        <f t="shared" si="1"/>
        <v>0</v>
      </c>
    </row>
    <row r="8" spans="1:11" x14ac:dyDescent="0.25">
      <c r="A8" s="4" t="s">
        <v>2</v>
      </c>
      <c r="B8" s="8"/>
      <c r="C8" s="7">
        <f t="shared" si="1"/>
        <v>0</v>
      </c>
      <c r="D8" s="7">
        <f t="shared" si="1"/>
        <v>0</v>
      </c>
      <c r="E8" s="7">
        <f t="shared" si="1"/>
        <v>0</v>
      </c>
      <c r="F8" s="7">
        <f t="shared" si="1"/>
        <v>0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</row>
    <row r="9" spans="1:11" x14ac:dyDescent="0.25">
      <c r="A9" s="4" t="s">
        <v>3</v>
      </c>
      <c r="B9" s="8"/>
      <c r="C9" s="7">
        <f t="shared" si="1"/>
        <v>0</v>
      </c>
      <c r="D9" s="7">
        <f t="shared" si="1"/>
        <v>0</v>
      </c>
      <c r="E9" s="7">
        <f t="shared" si="1"/>
        <v>0</v>
      </c>
      <c r="F9" s="7">
        <f t="shared" si="1"/>
        <v>0</v>
      </c>
      <c r="G9" s="7">
        <f t="shared" si="1"/>
        <v>0</v>
      </c>
      <c r="H9" s="7">
        <f t="shared" si="1"/>
        <v>0</v>
      </c>
      <c r="I9" s="7">
        <f t="shared" si="1"/>
        <v>0</v>
      </c>
      <c r="J9" s="7">
        <f t="shared" si="1"/>
        <v>0</v>
      </c>
      <c r="K9" s="7">
        <f t="shared" si="1"/>
        <v>0</v>
      </c>
    </row>
    <row r="10" spans="1:11" x14ac:dyDescent="0.25">
      <c r="A10" s="4" t="s">
        <v>4</v>
      </c>
      <c r="B10" s="8"/>
      <c r="C10" s="7">
        <f t="shared" si="1"/>
        <v>0</v>
      </c>
      <c r="D10" s="7">
        <f t="shared" si="1"/>
        <v>0</v>
      </c>
      <c r="E10" s="7">
        <f t="shared" si="1"/>
        <v>0</v>
      </c>
      <c r="F10" s="7">
        <f t="shared" si="1"/>
        <v>0</v>
      </c>
      <c r="G10" s="7">
        <f t="shared" si="1"/>
        <v>0</v>
      </c>
      <c r="H10" s="7">
        <f t="shared" si="1"/>
        <v>0</v>
      </c>
      <c r="I10" s="7">
        <f t="shared" si="1"/>
        <v>0</v>
      </c>
      <c r="J10" s="7">
        <f t="shared" si="1"/>
        <v>0</v>
      </c>
      <c r="K10" s="7">
        <f t="shared" si="1"/>
        <v>0</v>
      </c>
    </row>
    <row r="11" spans="1:11" x14ac:dyDescent="0.25">
      <c r="A11" s="4" t="s">
        <v>47</v>
      </c>
      <c r="B11" s="8"/>
      <c r="C11" s="7">
        <f t="shared" si="1"/>
        <v>0</v>
      </c>
      <c r="D11" s="7">
        <f t="shared" si="1"/>
        <v>0</v>
      </c>
      <c r="E11" s="7">
        <f t="shared" si="1"/>
        <v>0</v>
      </c>
      <c r="F11" s="7">
        <f t="shared" si="1"/>
        <v>0</v>
      </c>
      <c r="G11" s="7">
        <f t="shared" si="1"/>
        <v>0</v>
      </c>
      <c r="H11" s="7">
        <f t="shared" si="1"/>
        <v>0</v>
      </c>
      <c r="I11" s="7">
        <f t="shared" si="1"/>
        <v>0</v>
      </c>
      <c r="J11" s="7">
        <f t="shared" si="1"/>
        <v>0</v>
      </c>
      <c r="K11" s="7">
        <f t="shared" si="1"/>
        <v>0</v>
      </c>
    </row>
    <row r="12" spans="1:11" x14ac:dyDescent="0.25">
      <c r="A12" s="4" t="s">
        <v>48</v>
      </c>
      <c r="B12" s="8"/>
      <c r="C12" s="7">
        <f t="shared" si="1"/>
        <v>0</v>
      </c>
      <c r="D12" s="7">
        <f t="shared" si="1"/>
        <v>0</v>
      </c>
      <c r="E12" s="7">
        <f t="shared" si="1"/>
        <v>0</v>
      </c>
      <c r="F12" s="7">
        <f t="shared" si="1"/>
        <v>0</v>
      </c>
      <c r="G12" s="7">
        <f t="shared" si="1"/>
        <v>0</v>
      </c>
      <c r="H12" s="7">
        <f t="shared" si="1"/>
        <v>0</v>
      </c>
      <c r="I12" s="7">
        <f t="shared" si="1"/>
        <v>0</v>
      </c>
      <c r="J12" s="7">
        <f t="shared" si="1"/>
        <v>0</v>
      </c>
      <c r="K12" s="7">
        <f t="shared" si="1"/>
        <v>0</v>
      </c>
    </row>
    <row r="13" spans="1:11" x14ac:dyDescent="0.25">
      <c r="A13" s="4" t="s">
        <v>49</v>
      </c>
      <c r="B13" s="8"/>
      <c r="C13" s="7">
        <f t="shared" si="1"/>
        <v>0</v>
      </c>
      <c r="D13" s="7">
        <f t="shared" si="1"/>
        <v>0</v>
      </c>
      <c r="E13" s="7">
        <f t="shared" si="1"/>
        <v>0</v>
      </c>
      <c r="F13" s="7">
        <f t="shared" si="1"/>
        <v>0</v>
      </c>
      <c r="G13" s="7">
        <f t="shared" si="1"/>
        <v>0</v>
      </c>
      <c r="H13" s="7">
        <f t="shared" si="1"/>
        <v>0</v>
      </c>
      <c r="I13" s="7">
        <f t="shared" si="1"/>
        <v>0</v>
      </c>
      <c r="J13" s="7">
        <f t="shared" si="1"/>
        <v>0</v>
      </c>
      <c r="K13" s="7">
        <f t="shared" si="1"/>
        <v>0</v>
      </c>
    </row>
    <row r="14" spans="1:11" x14ac:dyDescent="0.25">
      <c r="A14" s="4" t="s">
        <v>50</v>
      </c>
      <c r="B14" s="8"/>
      <c r="C14" s="7">
        <f t="shared" si="1"/>
        <v>0</v>
      </c>
      <c r="D14" s="7">
        <f t="shared" si="1"/>
        <v>0</v>
      </c>
      <c r="E14" s="7">
        <f t="shared" si="1"/>
        <v>0</v>
      </c>
      <c r="F14" s="7">
        <f t="shared" si="1"/>
        <v>0</v>
      </c>
      <c r="G14" s="7">
        <f t="shared" si="1"/>
        <v>0</v>
      </c>
      <c r="H14" s="7">
        <f t="shared" si="1"/>
        <v>0</v>
      </c>
      <c r="I14" s="7">
        <f t="shared" si="1"/>
        <v>0</v>
      </c>
      <c r="J14" s="7">
        <f t="shared" si="1"/>
        <v>0</v>
      </c>
      <c r="K14" s="7">
        <f t="shared" si="1"/>
        <v>0</v>
      </c>
    </row>
    <row r="15" spans="1:11" x14ac:dyDescent="0.25">
      <c r="A15" s="4" t="s">
        <v>51</v>
      </c>
      <c r="B15" s="8"/>
      <c r="C15" s="7">
        <f t="shared" si="1"/>
        <v>0</v>
      </c>
      <c r="D15" s="7">
        <f t="shared" si="1"/>
        <v>0</v>
      </c>
      <c r="E15" s="7">
        <f t="shared" si="1"/>
        <v>0</v>
      </c>
      <c r="F15" s="7">
        <f t="shared" si="1"/>
        <v>0</v>
      </c>
      <c r="G15" s="7">
        <f t="shared" si="1"/>
        <v>0</v>
      </c>
      <c r="H15" s="7">
        <f t="shared" si="1"/>
        <v>0</v>
      </c>
      <c r="I15" s="7">
        <f t="shared" si="1"/>
        <v>0</v>
      </c>
      <c r="J15" s="7">
        <f t="shared" si="1"/>
        <v>0</v>
      </c>
      <c r="K15" s="7">
        <f t="shared" si="1"/>
        <v>0</v>
      </c>
    </row>
    <row r="16" spans="1:11" x14ac:dyDescent="0.25">
      <c r="A16" s="4" t="s">
        <v>52</v>
      </c>
      <c r="B16" s="8"/>
      <c r="C16" s="7">
        <f t="shared" si="1"/>
        <v>0</v>
      </c>
      <c r="D16" s="7">
        <f t="shared" si="1"/>
        <v>0</v>
      </c>
      <c r="E16" s="7">
        <f t="shared" si="1"/>
        <v>0</v>
      </c>
      <c r="F16" s="7">
        <f t="shared" si="1"/>
        <v>0</v>
      </c>
      <c r="G16" s="7">
        <f t="shared" si="1"/>
        <v>0</v>
      </c>
      <c r="H16" s="7">
        <f t="shared" si="1"/>
        <v>0</v>
      </c>
      <c r="I16" s="7">
        <f t="shared" si="1"/>
        <v>0</v>
      </c>
      <c r="J16" s="7">
        <f t="shared" si="1"/>
        <v>0</v>
      </c>
      <c r="K16" s="7">
        <f t="shared" si="1"/>
        <v>0</v>
      </c>
    </row>
    <row r="17" spans="1:11" x14ac:dyDescent="0.25">
      <c r="A17" s="4" t="s">
        <v>53</v>
      </c>
      <c r="B17" s="8"/>
      <c r="C17" s="7">
        <f t="shared" si="1"/>
        <v>0</v>
      </c>
      <c r="D17" s="7">
        <f t="shared" si="1"/>
        <v>0</v>
      </c>
      <c r="E17" s="7">
        <f t="shared" si="1"/>
        <v>0</v>
      </c>
      <c r="F17" s="7">
        <f t="shared" si="1"/>
        <v>0</v>
      </c>
      <c r="G17" s="7">
        <f t="shared" si="1"/>
        <v>0</v>
      </c>
      <c r="H17" s="7">
        <f t="shared" si="1"/>
        <v>0</v>
      </c>
      <c r="I17" s="7">
        <f t="shared" si="1"/>
        <v>0</v>
      </c>
      <c r="J17" s="7">
        <f t="shared" si="1"/>
        <v>0</v>
      </c>
      <c r="K17" s="7">
        <f t="shared" si="1"/>
        <v>0</v>
      </c>
    </row>
    <row r="18" spans="1:11" x14ac:dyDescent="0.25">
      <c r="A18" s="4" t="s">
        <v>59</v>
      </c>
      <c r="B18" s="8"/>
      <c r="C18" s="7">
        <f t="shared" si="1"/>
        <v>0</v>
      </c>
      <c r="D18" s="7">
        <f t="shared" si="1"/>
        <v>0</v>
      </c>
      <c r="E18" s="7">
        <f t="shared" si="1"/>
        <v>0</v>
      </c>
      <c r="F18" s="7">
        <f t="shared" si="1"/>
        <v>0</v>
      </c>
      <c r="G18" s="7">
        <f t="shared" si="1"/>
        <v>0</v>
      </c>
      <c r="H18" s="7">
        <f t="shared" si="1"/>
        <v>0</v>
      </c>
      <c r="I18" s="7">
        <f t="shared" si="1"/>
        <v>0</v>
      </c>
      <c r="J18" s="7">
        <f t="shared" si="1"/>
        <v>0</v>
      </c>
      <c r="K18" s="7">
        <f t="shared" si="1"/>
        <v>0</v>
      </c>
    </row>
    <row r="19" spans="1:11" x14ac:dyDescent="0.25">
      <c r="A19" s="4" t="s">
        <v>60</v>
      </c>
      <c r="B19" s="8"/>
      <c r="C19" s="7">
        <f t="shared" si="1"/>
        <v>0</v>
      </c>
      <c r="D19" s="7">
        <f t="shared" si="1"/>
        <v>0</v>
      </c>
      <c r="E19" s="7">
        <f t="shared" si="1"/>
        <v>0</v>
      </c>
      <c r="F19" s="7">
        <f t="shared" si="1"/>
        <v>0</v>
      </c>
      <c r="G19" s="7">
        <f t="shared" si="1"/>
        <v>0</v>
      </c>
      <c r="H19" s="7">
        <f t="shared" si="1"/>
        <v>0</v>
      </c>
      <c r="I19" s="7">
        <f t="shared" si="1"/>
        <v>0</v>
      </c>
      <c r="J19" s="7">
        <f t="shared" si="1"/>
        <v>0</v>
      </c>
      <c r="K19" s="7">
        <f t="shared" si="1"/>
        <v>0</v>
      </c>
    </row>
    <row r="20" spans="1:11" x14ac:dyDescent="0.25">
      <c r="A20" s="4" t="s">
        <v>61</v>
      </c>
      <c r="B20" s="8"/>
      <c r="C20" s="7">
        <f t="shared" si="1"/>
        <v>0</v>
      </c>
      <c r="D20" s="7">
        <f t="shared" si="1"/>
        <v>0</v>
      </c>
      <c r="E20" s="7">
        <f t="shared" si="1"/>
        <v>0</v>
      </c>
      <c r="F20" s="7">
        <f t="shared" si="1"/>
        <v>0</v>
      </c>
      <c r="G20" s="7">
        <f t="shared" si="1"/>
        <v>0</v>
      </c>
      <c r="H20" s="7">
        <f t="shared" si="1"/>
        <v>0</v>
      </c>
      <c r="I20" s="7">
        <f t="shared" si="1"/>
        <v>0</v>
      </c>
      <c r="J20" s="7">
        <f t="shared" si="1"/>
        <v>0</v>
      </c>
      <c r="K20" s="7">
        <f t="shared" si="1"/>
        <v>0</v>
      </c>
    </row>
    <row r="21" spans="1:11" x14ac:dyDescent="0.25">
      <c r="A21" s="4" t="s">
        <v>82</v>
      </c>
      <c r="B21" s="8"/>
      <c r="C21" s="7">
        <f t="shared" si="1"/>
        <v>0</v>
      </c>
      <c r="D21" s="7">
        <f t="shared" si="1"/>
        <v>0</v>
      </c>
      <c r="E21" s="7">
        <f t="shared" si="1"/>
        <v>0</v>
      </c>
      <c r="F21" s="7">
        <f t="shared" si="1"/>
        <v>0</v>
      </c>
      <c r="G21" s="7">
        <f t="shared" si="1"/>
        <v>0</v>
      </c>
      <c r="H21" s="7">
        <f t="shared" si="1"/>
        <v>0</v>
      </c>
      <c r="I21" s="7">
        <f t="shared" si="1"/>
        <v>0</v>
      </c>
      <c r="J21" s="7">
        <f t="shared" si="1"/>
        <v>0</v>
      </c>
      <c r="K21" s="7">
        <f t="shared" si="1"/>
        <v>0</v>
      </c>
    </row>
    <row r="22" spans="1:11" x14ac:dyDescent="0.25">
      <c r="A22" s="4" t="s">
        <v>63</v>
      </c>
      <c r="B22" s="8"/>
      <c r="C22" s="7">
        <f t="shared" si="1"/>
        <v>0</v>
      </c>
      <c r="D22" s="7">
        <f t="shared" si="1"/>
        <v>0</v>
      </c>
      <c r="E22" s="7">
        <f t="shared" si="1"/>
        <v>0</v>
      </c>
      <c r="F22" s="7">
        <f t="shared" si="1"/>
        <v>0</v>
      </c>
      <c r="G22" s="7">
        <f t="shared" si="1"/>
        <v>0</v>
      </c>
      <c r="H22" s="7">
        <f t="shared" si="1"/>
        <v>0</v>
      </c>
      <c r="I22" s="7">
        <f t="shared" si="1"/>
        <v>0</v>
      </c>
      <c r="J22" s="7">
        <f t="shared" si="1"/>
        <v>0</v>
      </c>
      <c r="K22" s="7">
        <f t="shared" si="1"/>
        <v>0</v>
      </c>
    </row>
    <row r="23" spans="1:11" x14ac:dyDescent="0.25">
      <c r="A23" s="4" t="s">
        <v>54</v>
      </c>
      <c r="B23" s="8"/>
      <c r="C23" s="7">
        <f t="shared" ref="C23:K38" si="2">B23*(1+$B$3)</f>
        <v>0</v>
      </c>
      <c r="D23" s="7">
        <f t="shared" si="2"/>
        <v>0</v>
      </c>
      <c r="E23" s="7">
        <f t="shared" si="2"/>
        <v>0</v>
      </c>
      <c r="F23" s="7">
        <f t="shared" si="2"/>
        <v>0</v>
      </c>
      <c r="G23" s="7">
        <f t="shared" si="2"/>
        <v>0</v>
      </c>
      <c r="H23" s="7">
        <f t="shared" si="2"/>
        <v>0</v>
      </c>
      <c r="I23" s="7">
        <f t="shared" si="2"/>
        <v>0</v>
      </c>
      <c r="J23" s="7">
        <f t="shared" si="2"/>
        <v>0</v>
      </c>
      <c r="K23" s="7">
        <f t="shared" si="2"/>
        <v>0</v>
      </c>
    </row>
    <row r="24" spans="1:11" x14ac:dyDescent="0.25">
      <c r="A24" s="4" t="s">
        <v>55</v>
      </c>
      <c r="B24" s="8"/>
      <c r="C24" s="7">
        <f t="shared" si="2"/>
        <v>0</v>
      </c>
      <c r="D24" s="7">
        <f t="shared" si="2"/>
        <v>0</v>
      </c>
      <c r="E24" s="7">
        <f t="shared" si="2"/>
        <v>0</v>
      </c>
      <c r="F24" s="7">
        <f t="shared" si="2"/>
        <v>0</v>
      </c>
      <c r="G24" s="7">
        <f t="shared" si="2"/>
        <v>0</v>
      </c>
      <c r="H24" s="7">
        <f t="shared" si="2"/>
        <v>0</v>
      </c>
      <c r="I24" s="7">
        <f t="shared" si="2"/>
        <v>0</v>
      </c>
      <c r="J24" s="7">
        <f t="shared" si="2"/>
        <v>0</v>
      </c>
      <c r="K24" s="7">
        <f t="shared" si="2"/>
        <v>0</v>
      </c>
    </row>
    <row r="25" spans="1:11" x14ac:dyDescent="0.25">
      <c r="A25" s="4" t="s">
        <v>56</v>
      </c>
      <c r="B25" s="8"/>
      <c r="C25" s="7">
        <f t="shared" si="2"/>
        <v>0</v>
      </c>
      <c r="D25" s="7">
        <f t="shared" si="2"/>
        <v>0</v>
      </c>
      <c r="E25" s="7">
        <f t="shared" si="2"/>
        <v>0</v>
      </c>
      <c r="F25" s="7">
        <f t="shared" si="2"/>
        <v>0</v>
      </c>
      <c r="G25" s="7">
        <f t="shared" si="2"/>
        <v>0</v>
      </c>
      <c r="H25" s="7">
        <f t="shared" si="2"/>
        <v>0</v>
      </c>
      <c r="I25" s="7">
        <f t="shared" si="2"/>
        <v>0</v>
      </c>
      <c r="J25" s="7">
        <f t="shared" si="2"/>
        <v>0</v>
      </c>
      <c r="K25" s="7">
        <f t="shared" si="2"/>
        <v>0</v>
      </c>
    </row>
    <row r="26" spans="1:11" x14ac:dyDescent="0.25">
      <c r="A26" s="4" t="s">
        <v>57</v>
      </c>
      <c r="B26" s="8"/>
      <c r="C26" s="7">
        <f t="shared" si="2"/>
        <v>0</v>
      </c>
      <c r="D26" s="7">
        <f t="shared" si="2"/>
        <v>0</v>
      </c>
      <c r="E26" s="7">
        <f t="shared" si="2"/>
        <v>0</v>
      </c>
      <c r="F26" s="7">
        <f t="shared" si="2"/>
        <v>0</v>
      </c>
      <c r="G26" s="7">
        <f t="shared" si="2"/>
        <v>0</v>
      </c>
      <c r="H26" s="7">
        <f t="shared" si="2"/>
        <v>0</v>
      </c>
      <c r="I26" s="7">
        <f t="shared" si="2"/>
        <v>0</v>
      </c>
      <c r="J26" s="7">
        <f t="shared" si="2"/>
        <v>0</v>
      </c>
      <c r="K26" s="7">
        <f t="shared" si="2"/>
        <v>0</v>
      </c>
    </row>
    <row r="27" spans="1:11" x14ac:dyDescent="0.25">
      <c r="A27" s="4" t="s">
        <v>58</v>
      </c>
      <c r="B27" s="8"/>
      <c r="C27" s="7">
        <f t="shared" si="2"/>
        <v>0</v>
      </c>
      <c r="D27" s="7">
        <f t="shared" si="2"/>
        <v>0</v>
      </c>
      <c r="E27" s="7">
        <f t="shared" si="2"/>
        <v>0</v>
      </c>
      <c r="F27" s="7">
        <f t="shared" si="2"/>
        <v>0</v>
      </c>
      <c r="G27" s="7">
        <f t="shared" si="2"/>
        <v>0</v>
      </c>
      <c r="H27" s="7">
        <f t="shared" si="2"/>
        <v>0</v>
      </c>
      <c r="I27" s="7">
        <f t="shared" si="2"/>
        <v>0</v>
      </c>
      <c r="J27" s="7">
        <f t="shared" si="2"/>
        <v>0</v>
      </c>
      <c r="K27" s="7">
        <f t="shared" si="2"/>
        <v>0</v>
      </c>
    </row>
    <row r="28" spans="1:11" x14ac:dyDescent="0.25">
      <c r="A28" s="4" t="s">
        <v>64</v>
      </c>
      <c r="B28" s="8"/>
      <c r="C28" s="7">
        <f t="shared" si="2"/>
        <v>0</v>
      </c>
      <c r="D28" s="7">
        <f t="shared" si="2"/>
        <v>0</v>
      </c>
      <c r="E28" s="7">
        <f t="shared" si="2"/>
        <v>0</v>
      </c>
      <c r="F28" s="7">
        <f t="shared" si="2"/>
        <v>0</v>
      </c>
      <c r="G28" s="7">
        <f t="shared" si="2"/>
        <v>0</v>
      </c>
      <c r="H28" s="7">
        <f t="shared" si="2"/>
        <v>0</v>
      </c>
      <c r="I28" s="7">
        <f t="shared" si="2"/>
        <v>0</v>
      </c>
      <c r="J28" s="7">
        <f t="shared" si="2"/>
        <v>0</v>
      </c>
      <c r="K28" s="7">
        <f t="shared" si="2"/>
        <v>0</v>
      </c>
    </row>
    <row r="29" spans="1:11" x14ac:dyDescent="0.25">
      <c r="A29" s="4" t="s">
        <v>83</v>
      </c>
      <c r="B29" s="8"/>
      <c r="C29" s="7">
        <f t="shared" si="2"/>
        <v>0</v>
      </c>
      <c r="D29" s="7">
        <f t="shared" si="2"/>
        <v>0</v>
      </c>
      <c r="E29" s="7">
        <f t="shared" si="2"/>
        <v>0</v>
      </c>
      <c r="F29" s="7">
        <f t="shared" si="2"/>
        <v>0</v>
      </c>
      <c r="G29" s="7">
        <f t="shared" si="2"/>
        <v>0</v>
      </c>
      <c r="H29" s="7">
        <f t="shared" si="2"/>
        <v>0</v>
      </c>
      <c r="I29" s="7">
        <f t="shared" si="2"/>
        <v>0</v>
      </c>
      <c r="J29" s="7">
        <f t="shared" si="2"/>
        <v>0</v>
      </c>
      <c r="K29" s="7">
        <f t="shared" si="2"/>
        <v>0</v>
      </c>
    </row>
    <row r="30" spans="1:11" x14ac:dyDescent="0.25">
      <c r="A30" s="4" t="s">
        <v>66</v>
      </c>
      <c r="B30" s="8"/>
      <c r="C30" s="7">
        <f t="shared" si="2"/>
        <v>0</v>
      </c>
      <c r="D30" s="7">
        <f t="shared" si="2"/>
        <v>0</v>
      </c>
      <c r="E30" s="7">
        <f t="shared" si="2"/>
        <v>0</v>
      </c>
      <c r="F30" s="7">
        <f t="shared" si="2"/>
        <v>0</v>
      </c>
      <c r="G30" s="7">
        <f t="shared" si="2"/>
        <v>0</v>
      </c>
      <c r="H30" s="7">
        <f t="shared" si="2"/>
        <v>0</v>
      </c>
      <c r="I30" s="7">
        <f t="shared" si="2"/>
        <v>0</v>
      </c>
      <c r="J30" s="7">
        <f t="shared" si="2"/>
        <v>0</v>
      </c>
      <c r="K30" s="7">
        <f t="shared" si="2"/>
        <v>0</v>
      </c>
    </row>
    <row r="31" spans="1:11" x14ac:dyDescent="0.25">
      <c r="A31" s="4" t="s">
        <v>67</v>
      </c>
      <c r="B31" s="8"/>
      <c r="C31" s="7">
        <f t="shared" si="2"/>
        <v>0</v>
      </c>
      <c r="D31" s="7">
        <f t="shared" si="2"/>
        <v>0</v>
      </c>
      <c r="E31" s="7">
        <f t="shared" si="2"/>
        <v>0</v>
      </c>
      <c r="F31" s="7">
        <f t="shared" si="2"/>
        <v>0</v>
      </c>
      <c r="G31" s="7">
        <f t="shared" si="2"/>
        <v>0</v>
      </c>
      <c r="H31" s="7">
        <f t="shared" si="2"/>
        <v>0</v>
      </c>
      <c r="I31" s="7">
        <f t="shared" si="2"/>
        <v>0</v>
      </c>
      <c r="J31" s="7">
        <f t="shared" si="2"/>
        <v>0</v>
      </c>
      <c r="K31" s="7">
        <f t="shared" si="2"/>
        <v>0</v>
      </c>
    </row>
    <row r="32" spans="1:11" x14ac:dyDescent="0.25">
      <c r="A32" s="4" t="s">
        <v>68</v>
      </c>
      <c r="B32" s="8"/>
      <c r="C32" s="7">
        <f t="shared" si="2"/>
        <v>0</v>
      </c>
      <c r="D32" s="7">
        <f t="shared" si="2"/>
        <v>0</v>
      </c>
      <c r="E32" s="7">
        <f t="shared" si="2"/>
        <v>0</v>
      </c>
      <c r="F32" s="7">
        <f t="shared" si="2"/>
        <v>0</v>
      </c>
      <c r="G32" s="7">
        <f t="shared" si="2"/>
        <v>0</v>
      </c>
      <c r="H32" s="7">
        <f t="shared" si="2"/>
        <v>0</v>
      </c>
      <c r="I32" s="7">
        <f t="shared" si="2"/>
        <v>0</v>
      </c>
      <c r="J32" s="7">
        <f t="shared" si="2"/>
        <v>0</v>
      </c>
      <c r="K32" s="7">
        <f t="shared" si="2"/>
        <v>0</v>
      </c>
    </row>
    <row r="33" spans="1:11" x14ac:dyDescent="0.25">
      <c r="A33" s="4" t="s">
        <v>84</v>
      </c>
      <c r="B33" s="8"/>
      <c r="C33" s="7">
        <f t="shared" si="2"/>
        <v>0</v>
      </c>
      <c r="D33" s="7">
        <f t="shared" si="2"/>
        <v>0</v>
      </c>
      <c r="E33" s="7">
        <f t="shared" si="2"/>
        <v>0</v>
      </c>
      <c r="F33" s="7">
        <f t="shared" si="2"/>
        <v>0</v>
      </c>
      <c r="G33" s="7">
        <f t="shared" si="2"/>
        <v>0</v>
      </c>
      <c r="H33" s="7">
        <f t="shared" si="2"/>
        <v>0</v>
      </c>
      <c r="I33" s="7">
        <f t="shared" si="2"/>
        <v>0</v>
      </c>
      <c r="J33" s="7">
        <f t="shared" si="2"/>
        <v>0</v>
      </c>
      <c r="K33" s="7">
        <f t="shared" si="2"/>
        <v>0</v>
      </c>
    </row>
    <row r="34" spans="1:11" x14ac:dyDescent="0.25">
      <c r="A34" s="4" t="s">
        <v>85</v>
      </c>
      <c r="B34" s="8"/>
      <c r="C34" s="7">
        <f t="shared" si="2"/>
        <v>0</v>
      </c>
      <c r="D34" s="7">
        <f t="shared" si="2"/>
        <v>0</v>
      </c>
      <c r="E34" s="7">
        <f t="shared" si="2"/>
        <v>0</v>
      </c>
      <c r="F34" s="7">
        <f t="shared" si="2"/>
        <v>0</v>
      </c>
      <c r="G34" s="7">
        <f t="shared" si="2"/>
        <v>0</v>
      </c>
      <c r="H34" s="7">
        <f t="shared" si="2"/>
        <v>0</v>
      </c>
      <c r="I34" s="7">
        <f t="shared" si="2"/>
        <v>0</v>
      </c>
      <c r="J34" s="7">
        <f t="shared" si="2"/>
        <v>0</v>
      </c>
      <c r="K34" s="7">
        <f t="shared" si="2"/>
        <v>0</v>
      </c>
    </row>
    <row r="35" spans="1:11" x14ac:dyDescent="0.25">
      <c r="A35" s="4" t="s">
        <v>86</v>
      </c>
      <c r="B35" s="8"/>
      <c r="C35" s="7">
        <f t="shared" si="2"/>
        <v>0</v>
      </c>
      <c r="D35" s="7">
        <f t="shared" si="2"/>
        <v>0</v>
      </c>
      <c r="E35" s="7">
        <f t="shared" si="2"/>
        <v>0</v>
      </c>
      <c r="F35" s="7">
        <f t="shared" si="2"/>
        <v>0</v>
      </c>
      <c r="G35" s="7">
        <f t="shared" si="2"/>
        <v>0</v>
      </c>
      <c r="H35" s="7">
        <f t="shared" si="2"/>
        <v>0</v>
      </c>
      <c r="I35" s="7">
        <f t="shared" si="2"/>
        <v>0</v>
      </c>
      <c r="J35" s="7">
        <f t="shared" si="2"/>
        <v>0</v>
      </c>
      <c r="K35" s="7">
        <f t="shared" si="2"/>
        <v>0</v>
      </c>
    </row>
    <row r="36" spans="1:11" x14ac:dyDescent="0.25">
      <c r="A36" s="4" t="s">
        <v>87</v>
      </c>
      <c r="B36" s="8"/>
      <c r="C36" s="7">
        <f t="shared" si="2"/>
        <v>0</v>
      </c>
      <c r="D36" s="7">
        <f t="shared" si="2"/>
        <v>0</v>
      </c>
      <c r="E36" s="7">
        <f t="shared" si="2"/>
        <v>0</v>
      </c>
      <c r="F36" s="7">
        <f t="shared" si="2"/>
        <v>0</v>
      </c>
      <c r="G36" s="7">
        <f t="shared" si="2"/>
        <v>0</v>
      </c>
      <c r="H36" s="7">
        <f t="shared" si="2"/>
        <v>0</v>
      </c>
      <c r="I36" s="7">
        <f t="shared" si="2"/>
        <v>0</v>
      </c>
      <c r="J36" s="7">
        <f t="shared" si="2"/>
        <v>0</v>
      </c>
      <c r="K36" s="7">
        <f t="shared" si="2"/>
        <v>0</v>
      </c>
    </row>
    <row r="37" spans="1:11" x14ac:dyDescent="0.25">
      <c r="A37" s="4" t="s">
        <v>88</v>
      </c>
      <c r="B37" s="8"/>
      <c r="C37" s="7">
        <f t="shared" si="2"/>
        <v>0</v>
      </c>
      <c r="D37" s="7">
        <f t="shared" si="2"/>
        <v>0</v>
      </c>
      <c r="E37" s="7">
        <f t="shared" si="2"/>
        <v>0</v>
      </c>
      <c r="F37" s="7">
        <f t="shared" si="2"/>
        <v>0</v>
      </c>
      <c r="G37" s="7">
        <f t="shared" si="2"/>
        <v>0</v>
      </c>
      <c r="H37" s="7">
        <f t="shared" si="2"/>
        <v>0</v>
      </c>
      <c r="I37" s="7">
        <f t="shared" si="2"/>
        <v>0</v>
      </c>
      <c r="J37" s="7">
        <f t="shared" si="2"/>
        <v>0</v>
      </c>
      <c r="K37" s="7">
        <f t="shared" si="2"/>
        <v>0</v>
      </c>
    </row>
    <row r="38" spans="1:11" x14ac:dyDescent="0.25">
      <c r="A38" s="4" t="s">
        <v>89</v>
      </c>
      <c r="B38" s="8"/>
      <c r="C38" s="7">
        <f t="shared" si="2"/>
        <v>0</v>
      </c>
      <c r="D38" s="7">
        <f t="shared" si="2"/>
        <v>0</v>
      </c>
      <c r="E38" s="7">
        <f t="shared" si="2"/>
        <v>0</v>
      </c>
      <c r="F38" s="7">
        <f t="shared" si="2"/>
        <v>0</v>
      </c>
      <c r="G38" s="7">
        <f t="shared" si="2"/>
        <v>0</v>
      </c>
      <c r="H38" s="7">
        <f t="shared" si="2"/>
        <v>0</v>
      </c>
      <c r="I38" s="7">
        <f t="shared" si="2"/>
        <v>0</v>
      </c>
      <c r="J38" s="7">
        <f t="shared" si="2"/>
        <v>0</v>
      </c>
      <c r="K38" s="7">
        <f t="shared" si="2"/>
        <v>0</v>
      </c>
    </row>
    <row r="39" spans="1:11" x14ac:dyDescent="0.25">
      <c r="A39" s="4" t="s">
        <v>90</v>
      </c>
      <c r="B39" s="8"/>
      <c r="C39" s="7">
        <f t="shared" ref="C39:K47" si="3">B39*(1+$B$3)</f>
        <v>0</v>
      </c>
      <c r="D39" s="7">
        <f t="shared" si="3"/>
        <v>0</v>
      </c>
      <c r="E39" s="7">
        <f t="shared" si="3"/>
        <v>0</v>
      </c>
      <c r="F39" s="7">
        <f t="shared" si="3"/>
        <v>0</v>
      </c>
      <c r="G39" s="7">
        <f t="shared" si="3"/>
        <v>0</v>
      </c>
      <c r="H39" s="7">
        <f t="shared" si="3"/>
        <v>0</v>
      </c>
      <c r="I39" s="7">
        <f t="shared" si="3"/>
        <v>0</v>
      </c>
      <c r="J39" s="7">
        <f t="shared" si="3"/>
        <v>0</v>
      </c>
      <c r="K39" s="7">
        <f t="shared" si="3"/>
        <v>0</v>
      </c>
    </row>
    <row r="40" spans="1:11" x14ac:dyDescent="0.25">
      <c r="A40" s="4" t="s">
        <v>91</v>
      </c>
      <c r="B40" s="8"/>
      <c r="C40" s="7">
        <f t="shared" si="3"/>
        <v>0</v>
      </c>
      <c r="D40" s="7">
        <f t="shared" si="3"/>
        <v>0</v>
      </c>
      <c r="E40" s="7">
        <f t="shared" si="3"/>
        <v>0</v>
      </c>
      <c r="F40" s="7">
        <f t="shared" si="3"/>
        <v>0</v>
      </c>
      <c r="G40" s="7">
        <f t="shared" si="3"/>
        <v>0</v>
      </c>
      <c r="H40" s="7">
        <f t="shared" si="3"/>
        <v>0</v>
      </c>
      <c r="I40" s="7">
        <f t="shared" si="3"/>
        <v>0</v>
      </c>
      <c r="J40" s="7">
        <f t="shared" si="3"/>
        <v>0</v>
      </c>
      <c r="K40" s="7">
        <f t="shared" si="3"/>
        <v>0</v>
      </c>
    </row>
    <row r="41" spans="1:11" x14ac:dyDescent="0.25">
      <c r="A41" s="4" t="s">
        <v>92</v>
      </c>
      <c r="B41" s="8"/>
      <c r="C41" s="7">
        <f t="shared" si="3"/>
        <v>0</v>
      </c>
      <c r="D41" s="7">
        <f t="shared" si="3"/>
        <v>0</v>
      </c>
      <c r="E41" s="7">
        <f t="shared" si="3"/>
        <v>0</v>
      </c>
      <c r="F41" s="7">
        <f t="shared" si="3"/>
        <v>0</v>
      </c>
      <c r="G41" s="7">
        <f t="shared" si="3"/>
        <v>0</v>
      </c>
      <c r="H41" s="7">
        <f t="shared" si="3"/>
        <v>0</v>
      </c>
      <c r="I41" s="7">
        <f t="shared" si="3"/>
        <v>0</v>
      </c>
      <c r="J41" s="7">
        <f t="shared" si="3"/>
        <v>0</v>
      </c>
      <c r="K41" s="7">
        <f t="shared" si="3"/>
        <v>0</v>
      </c>
    </row>
    <row r="42" spans="1:11" x14ac:dyDescent="0.25">
      <c r="A42" s="4" t="s">
        <v>93</v>
      </c>
      <c r="B42" s="8"/>
      <c r="C42" s="7">
        <f t="shared" si="3"/>
        <v>0</v>
      </c>
      <c r="D42" s="7">
        <f t="shared" si="3"/>
        <v>0</v>
      </c>
      <c r="E42" s="7">
        <f t="shared" si="3"/>
        <v>0</v>
      </c>
      <c r="F42" s="7">
        <f t="shared" si="3"/>
        <v>0</v>
      </c>
      <c r="G42" s="7">
        <f t="shared" si="3"/>
        <v>0</v>
      </c>
      <c r="H42" s="7">
        <f t="shared" si="3"/>
        <v>0</v>
      </c>
      <c r="I42" s="7">
        <f t="shared" si="3"/>
        <v>0</v>
      </c>
      <c r="J42" s="7">
        <f t="shared" si="3"/>
        <v>0</v>
      </c>
      <c r="K42" s="7">
        <f t="shared" si="3"/>
        <v>0</v>
      </c>
    </row>
    <row r="43" spans="1:11" x14ac:dyDescent="0.25">
      <c r="A43" s="4" t="s">
        <v>26</v>
      </c>
      <c r="B43" s="8"/>
      <c r="C43" s="7">
        <f t="shared" si="3"/>
        <v>0</v>
      </c>
      <c r="D43" s="7">
        <f t="shared" si="3"/>
        <v>0</v>
      </c>
      <c r="E43" s="7">
        <f t="shared" si="3"/>
        <v>0</v>
      </c>
      <c r="F43" s="7">
        <f t="shared" si="3"/>
        <v>0</v>
      </c>
      <c r="G43" s="7">
        <f t="shared" si="3"/>
        <v>0</v>
      </c>
      <c r="H43" s="7">
        <f t="shared" si="3"/>
        <v>0</v>
      </c>
      <c r="I43" s="7">
        <f t="shared" si="3"/>
        <v>0</v>
      </c>
      <c r="J43" s="7">
        <f t="shared" si="3"/>
        <v>0</v>
      </c>
      <c r="K43" s="7">
        <f t="shared" si="3"/>
        <v>0</v>
      </c>
    </row>
    <row r="44" spans="1:11" x14ac:dyDescent="0.25">
      <c r="A44" s="4" t="s">
        <v>27</v>
      </c>
      <c r="B44" s="8"/>
      <c r="C44" s="7">
        <f t="shared" si="3"/>
        <v>0</v>
      </c>
      <c r="D44" s="7">
        <f t="shared" si="3"/>
        <v>0</v>
      </c>
      <c r="E44" s="7">
        <f t="shared" si="3"/>
        <v>0</v>
      </c>
      <c r="F44" s="7">
        <f t="shared" si="3"/>
        <v>0</v>
      </c>
      <c r="G44" s="7">
        <f t="shared" si="3"/>
        <v>0</v>
      </c>
      <c r="H44" s="7">
        <f t="shared" si="3"/>
        <v>0</v>
      </c>
      <c r="I44" s="7">
        <f t="shared" si="3"/>
        <v>0</v>
      </c>
      <c r="J44" s="7">
        <f t="shared" si="3"/>
        <v>0</v>
      </c>
      <c r="K44" s="7">
        <f t="shared" si="3"/>
        <v>0</v>
      </c>
    </row>
    <row r="45" spans="1:11" x14ac:dyDescent="0.25">
      <c r="A45" s="4" t="s">
        <v>79</v>
      </c>
      <c r="B45" s="8"/>
      <c r="C45" s="7">
        <f t="shared" si="3"/>
        <v>0</v>
      </c>
      <c r="D45" s="7">
        <f t="shared" si="3"/>
        <v>0</v>
      </c>
      <c r="E45" s="7">
        <f t="shared" si="3"/>
        <v>0</v>
      </c>
      <c r="F45" s="7">
        <f t="shared" si="3"/>
        <v>0</v>
      </c>
      <c r="G45" s="7">
        <f t="shared" si="3"/>
        <v>0</v>
      </c>
      <c r="H45" s="7">
        <f t="shared" si="3"/>
        <v>0</v>
      </c>
      <c r="I45" s="7">
        <f t="shared" si="3"/>
        <v>0</v>
      </c>
      <c r="J45" s="7">
        <f t="shared" si="3"/>
        <v>0</v>
      </c>
      <c r="K45" s="7">
        <f t="shared" si="3"/>
        <v>0</v>
      </c>
    </row>
    <row r="46" spans="1:11" x14ac:dyDescent="0.25">
      <c r="A46" s="4" t="s">
        <v>80</v>
      </c>
      <c r="B46" s="8"/>
      <c r="C46" s="7">
        <f t="shared" si="3"/>
        <v>0</v>
      </c>
      <c r="D46" s="7">
        <f t="shared" si="3"/>
        <v>0</v>
      </c>
      <c r="E46" s="7">
        <f t="shared" si="3"/>
        <v>0</v>
      </c>
      <c r="F46" s="7">
        <f t="shared" si="3"/>
        <v>0</v>
      </c>
      <c r="G46" s="7">
        <f t="shared" si="3"/>
        <v>0</v>
      </c>
      <c r="H46" s="7">
        <f t="shared" si="3"/>
        <v>0</v>
      </c>
      <c r="I46" s="7">
        <f t="shared" si="3"/>
        <v>0</v>
      </c>
      <c r="J46" s="7">
        <f t="shared" si="3"/>
        <v>0</v>
      </c>
      <c r="K46" s="7">
        <f t="shared" si="3"/>
        <v>0</v>
      </c>
    </row>
    <row r="47" spans="1:11" x14ac:dyDescent="0.25">
      <c r="A47" s="4" t="s">
        <v>81</v>
      </c>
      <c r="B47" s="8"/>
      <c r="C47" s="7">
        <f t="shared" si="3"/>
        <v>0</v>
      </c>
      <c r="D47" s="7">
        <f t="shared" si="3"/>
        <v>0</v>
      </c>
      <c r="E47" s="7">
        <f t="shared" si="3"/>
        <v>0</v>
      </c>
      <c r="F47" s="7">
        <f t="shared" si="3"/>
        <v>0</v>
      </c>
      <c r="G47" s="7">
        <f t="shared" si="3"/>
        <v>0</v>
      </c>
      <c r="H47" s="7">
        <f t="shared" si="3"/>
        <v>0</v>
      </c>
      <c r="I47" s="7">
        <f t="shared" si="3"/>
        <v>0</v>
      </c>
      <c r="J47" s="7">
        <f t="shared" si="3"/>
        <v>0</v>
      </c>
      <c r="K47" s="7">
        <f t="shared" si="3"/>
        <v>0</v>
      </c>
    </row>
    <row r="48" spans="1:11" x14ac:dyDescent="0.25">
      <c r="A48" t="s">
        <v>26</v>
      </c>
      <c r="B48" s="8"/>
      <c r="C48" s="7">
        <f t="shared" ref="C48:K48" si="4">B48*(1+$B$3)</f>
        <v>0</v>
      </c>
      <c r="D48" s="7">
        <f t="shared" si="4"/>
        <v>0</v>
      </c>
      <c r="E48" s="7">
        <f t="shared" si="4"/>
        <v>0</v>
      </c>
      <c r="F48" s="7">
        <f t="shared" si="4"/>
        <v>0</v>
      </c>
      <c r="G48" s="7">
        <f t="shared" si="4"/>
        <v>0</v>
      </c>
      <c r="H48" s="7">
        <f t="shared" si="4"/>
        <v>0</v>
      </c>
      <c r="I48" s="7">
        <f t="shared" si="4"/>
        <v>0</v>
      </c>
      <c r="J48" s="7">
        <f t="shared" si="4"/>
        <v>0</v>
      </c>
      <c r="K48" s="7">
        <f t="shared" si="4"/>
        <v>0</v>
      </c>
    </row>
    <row r="49" spans="1:11" x14ac:dyDescent="0.25">
      <c r="A49" t="s">
        <v>70</v>
      </c>
      <c r="B49" s="8"/>
      <c r="C49" s="7">
        <f t="shared" ref="C49:K49" si="5">B49*(1+$B$3)</f>
        <v>0</v>
      </c>
      <c r="D49" s="7">
        <f t="shared" si="5"/>
        <v>0</v>
      </c>
      <c r="E49" s="7">
        <f t="shared" si="5"/>
        <v>0</v>
      </c>
      <c r="F49" s="7">
        <f t="shared" si="5"/>
        <v>0</v>
      </c>
      <c r="G49" s="7">
        <f t="shared" si="5"/>
        <v>0</v>
      </c>
      <c r="H49" s="7">
        <f t="shared" si="5"/>
        <v>0</v>
      </c>
      <c r="I49" s="7">
        <f t="shared" si="5"/>
        <v>0</v>
      </c>
      <c r="J49" s="7">
        <f t="shared" si="5"/>
        <v>0</v>
      </c>
      <c r="K49" s="7">
        <f t="shared" si="5"/>
        <v>0</v>
      </c>
    </row>
    <row r="50" spans="1:11" x14ac:dyDescent="0.25">
      <c r="A50" t="s">
        <v>71</v>
      </c>
      <c r="B50" s="8"/>
      <c r="C50" s="7">
        <f t="shared" ref="C50:K50" si="6">B50*(1+$B$3)</f>
        <v>0</v>
      </c>
      <c r="D50" s="7">
        <f t="shared" si="6"/>
        <v>0</v>
      </c>
      <c r="E50" s="7">
        <f t="shared" si="6"/>
        <v>0</v>
      </c>
      <c r="F50" s="7">
        <f t="shared" si="6"/>
        <v>0</v>
      </c>
      <c r="G50" s="7">
        <f t="shared" si="6"/>
        <v>0</v>
      </c>
      <c r="H50" s="7">
        <f t="shared" si="6"/>
        <v>0</v>
      </c>
      <c r="I50" s="7">
        <f t="shared" si="6"/>
        <v>0</v>
      </c>
      <c r="J50" s="7">
        <f t="shared" si="6"/>
        <v>0</v>
      </c>
      <c r="K50" s="7">
        <f t="shared" si="6"/>
        <v>0</v>
      </c>
    </row>
    <row r="51" spans="1:11" x14ac:dyDescent="0.25">
      <c r="A51" t="s">
        <v>71</v>
      </c>
      <c r="B51" s="8"/>
      <c r="C51" s="7">
        <f t="shared" ref="C51:K51" si="7">B51*(1+$B$3)</f>
        <v>0</v>
      </c>
      <c r="D51" s="7">
        <f t="shared" si="7"/>
        <v>0</v>
      </c>
      <c r="E51" s="7">
        <f t="shared" si="7"/>
        <v>0</v>
      </c>
      <c r="F51" s="7">
        <f t="shared" si="7"/>
        <v>0</v>
      </c>
      <c r="G51" s="7">
        <f t="shared" si="7"/>
        <v>0</v>
      </c>
      <c r="H51" s="7">
        <f t="shared" si="7"/>
        <v>0</v>
      </c>
      <c r="I51" s="7">
        <f t="shared" si="7"/>
        <v>0</v>
      </c>
      <c r="J51" s="7">
        <f t="shared" si="7"/>
        <v>0</v>
      </c>
      <c r="K51" s="7">
        <f t="shared" si="7"/>
        <v>0</v>
      </c>
    </row>
    <row r="52" spans="1:11" x14ac:dyDescent="0.25">
      <c r="A52" t="s">
        <v>72</v>
      </c>
      <c r="B52" s="8"/>
      <c r="C52" s="7">
        <f t="shared" ref="C52:K52" si="8">B52*(1+$B$3)</f>
        <v>0</v>
      </c>
      <c r="D52" s="7">
        <f t="shared" si="8"/>
        <v>0</v>
      </c>
      <c r="E52" s="7">
        <f t="shared" si="8"/>
        <v>0</v>
      </c>
      <c r="F52" s="7">
        <f t="shared" si="8"/>
        <v>0</v>
      </c>
      <c r="G52" s="7">
        <f t="shared" si="8"/>
        <v>0</v>
      </c>
      <c r="H52" s="7">
        <f t="shared" si="8"/>
        <v>0</v>
      </c>
      <c r="I52" s="7">
        <f t="shared" si="8"/>
        <v>0</v>
      </c>
      <c r="J52" s="7">
        <f t="shared" si="8"/>
        <v>0</v>
      </c>
      <c r="K52" s="7">
        <f t="shared" si="8"/>
        <v>0</v>
      </c>
    </row>
    <row r="53" spans="1:11" x14ac:dyDescent="0.25">
      <c r="A53" t="s">
        <v>94</v>
      </c>
      <c r="B53" s="8"/>
      <c r="C53" s="7">
        <f t="shared" ref="C53:K53" si="9">B53*(1+$B$3)</f>
        <v>0</v>
      </c>
      <c r="D53" s="7">
        <f t="shared" si="9"/>
        <v>0</v>
      </c>
      <c r="E53" s="7">
        <f t="shared" si="9"/>
        <v>0</v>
      </c>
      <c r="F53" s="7">
        <f t="shared" si="9"/>
        <v>0</v>
      </c>
      <c r="G53" s="7">
        <f t="shared" si="9"/>
        <v>0</v>
      </c>
      <c r="H53" s="7">
        <f t="shared" si="9"/>
        <v>0</v>
      </c>
      <c r="I53" s="7">
        <f t="shared" si="9"/>
        <v>0</v>
      </c>
      <c r="J53" s="7">
        <f t="shared" si="9"/>
        <v>0</v>
      </c>
      <c r="K53" s="7">
        <f t="shared" si="9"/>
        <v>0</v>
      </c>
    </row>
    <row r="54" spans="1:11" x14ac:dyDescent="0.25">
      <c r="A54" t="s">
        <v>95</v>
      </c>
      <c r="B54" s="8"/>
      <c r="C54" s="7">
        <f t="shared" ref="C54:K54" si="10">B54*(1+$B$3)</f>
        <v>0</v>
      </c>
      <c r="D54" s="7">
        <f t="shared" si="10"/>
        <v>0</v>
      </c>
      <c r="E54" s="7">
        <f t="shared" si="10"/>
        <v>0</v>
      </c>
      <c r="F54" s="7">
        <f t="shared" si="10"/>
        <v>0</v>
      </c>
      <c r="G54" s="7">
        <f t="shared" si="10"/>
        <v>0</v>
      </c>
      <c r="H54" s="7">
        <f t="shared" si="10"/>
        <v>0</v>
      </c>
      <c r="I54" s="7">
        <f t="shared" si="10"/>
        <v>0</v>
      </c>
      <c r="J54" s="7">
        <f t="shared" si="10"/>
        <v>0</v>
      </c>
      <c r="K54" s="7">
        <f t="shared" si="10"/>
        <v>0</v>
      </c>
    </row>
    <row r="55" spans="1:11" x14ac:dyDescent="0.25">
      <c r="A55" t="s">
        <v>96</v>
      </c>
      <c r="B55" s="8"/>
      <c r="C55" s="7">
        <f t="shared" ref="C55:K55" si="11">B55*(1+$B$3)</f>
        <v>0</v>
      </c>
      <c r="D55" s="7">
        <f t="shared" si="11"/>
        <v>0</v>
      </c>
      <c r="E55" s="7">
        <f t="shared" si="11"/>
        <v>0</v>
      </c>
      <c r="F55" s="7">
        <f t="shared" si="11"/>
        <v>0</v>
      </c>
      <c r="G55" s="7">
        <f t="shared" si="11"/>
        <v>0</v>
      </c>
      <c r="H55" s="7">
        <f t="shared" si="11"/>
        <v>0</v>
      </c>
      <c r="I55" s="7">
        <f t="shared" si="11"/>
        <v>0</v>
      </c>
      <c r="J55" s="7">
        <f t="shared" si="11"/>
        <v>0</v>
      </c>
      <c r="K55" s="7">
        <f t="shared" si="11"/>
        <v>0</v>
      </c>
    </row>
    <row r="56" spans="1:11" x14ac:dyDescent="0.25">
      <c r="A56" t="s">
        <v>73</v>
      </c>
      <c r="B56" s="8"/>
      <c r="C56" s="7">
        <f t="shared" ref="C56:K56" si="12">B56*(1+$B$3)</f>
        <v>0</v>
      </c>
      <c r="D56" s="7">
        <f t="shared" si="12"/>
        <v>0</v>
      </c>
      <c r="E56" s="7">
        <f t="shared" si="12"/>
        <v>0</v>
      </c>
      <c r="F56" s="7">
        <f t="shared" si="12"/>
        <v>0</v>
      </c>
      <c r="G56" s="7">
        <f t="shared" si="12"/>
        <v>0</v>
      </c>
      <c r="H56" s="7">
        <f t="shared" si="12"/>
        <v>0</v>
      </c>
      <c r="I56" s="7">
        <f t="shared" si="12"/>
        <v>0</v>
      </c>
      <c r="J56" s="7">
        <f t="shared" si="12"/>
        <v>0</v>
      </c>
      <c r="K56" s="7">
        <f t="shared" si="12"/>
        <v>0</v>
      </c>
    </row>
    <row r="57" spans="1:11" x14ac:dyDescent="0.25">
      <c r="A57" t="s">
        <v>97</v>
      </c>
      <c r="B57" s="8"/>
      <c r="C57" s="7">
        <f t="shared" ref="C57:K57" si="13">B57*(1+$B$3)</f>
        <v>0</v>
      </c>
      <c r="D57" s="7">
        <f t="shared" si="13"/>
        <v>0</v>
      </c>
      <c r="E57" s="7">
        <f t="shared" si="13"/>
        <v>0</v>
      </c>
      <c r="F57" s="7">
        <f t="shared" si="13"/>
        <v>0</v>
      </c>
      <c r="G57" s="7">
        <f t="shared" si="13"/>
        <v>0</v>
      </c>
      <c r="H57" s="7">
        <f t="shared" si="13"/>
        <v>0</v>
      </c>
      <c r="I57" s="7">
        <f t="shared" si="13"/>
        <v>0</v>
      </c>
      <c r="J57" s="7">
        <f t="shared" si="13"/>
        <v>0</v>
      </c>
      <c r="K57" s="7">
        <f t="shared" si="13"/>
        <v>0</v>
      </c>
    </row>
    <row r="58" spans="1:11" x14ac:dyDescent="0.25">
      <c r="A58" t="s">
        <v>98</v>
      </c>
      <c r="B58" s="8"/>
      <c r="C58" s="7">
        <f t="shared" ref="C58:K58" si="14">B58*(1+$B$3)</f>
        <v>0</v>
      </c>
      <c r="D58" s="7">
        <f t="shared" si="14"/>
        <v>0</v>
      </c>
      <c r="E58" s="7">
        <f t="shared" si="14"/>
        <v>0</v>
      </c>
      <c r="F58" s="7">
        <f t="shared" si="14"/>
        <v>0</v>
      </c>
      <c r="G58" s="7">
        <f t="shared" si="14"/>
        <v>0</v>
      </c>
      <c r="H58" s="7">
        <f t="shared" si="14"/>
        <v>0</v>
      </c>
      <c r="I58" s="7">
        <f t="shared" si="14"/>
        <v>0</v>
      </c>
      <c r="J58" s="7">
        <f t="shared" si="14"/>
        <v>0</v>
      </c>
      <c r="K58" s="7">
        <f t="shared" si="14"/>
        <v>0</v>
      </c>
    </row>
    <row r="59" spans="1:11" x14ac:dyDescent="0.25">
      <c r="A59" t="s">
        <v>74</v>
      </c>
      <c r="B59" s="8"/>
      <c r="C59" s="7">
        <f t="shared" ref="C59:K59" si="15">B59*(1+$B$3)</f>
        <v>0</v>
      </c>
      <c r="D59" s="7">
        <f t="shared" si="15"/>
        <v>0</v>
      </c>
      <c r="E59" s="7">
        <f t="shared" si="15"/>
        <v>0</v>
      </c>
      <c r="F59" s="7">
        <f t="shared" si="15"/>
        <v>0</v>
      </c>
      <c r="G59" s="7">
        <f t="shared" si="15"/>
        <v>0</v>
      </c>
      <c r="H59" s="7">
        <f t="shared" si="15"/>
        <v>0</v>
      </c>
      <c r="I59" s="7">
        <f t="shared" si="15"/>
        <v>0</v>
      </c>
      <c r="J59" s="7">
        <f t="shared" si="15"/>
        <v>0</v>
      </c>
      <c r="K59" s="7">
        <f t="shared" si="15"/>
        <v>0</v>
      </c>
    </row>
    <row r="60" spans="1:11" x14ac:dyDescent="0.25">
      <c r="A60" t="s">
        <v>75</v>
      </c>
      <c r="B60" s="8"/>
      <c r="C60" s="7">
        <f t="shared" ref="C60:K60" si="16">B60*(1+$B$3)</f>
        <v>0</v>
      </c>
      <c r="D60" s="7">
        <f t="shared" si="16"/>
        <v>0</v>
      </c>
      <c r="E60" s="7">
        <f t="shared" si="16"/>
        <v>0</v>
      </c>
      <c r="F60" s="7">
        <f t="shared" si="16"/>
        <v>0</v>
      </c>
      <c r="G60" s="7">
        <f t="shared" si="16"/>
        <v>0</v>
      </c>
      <c r="H60" s="7">
        <f t="shared" si="16"/>
        <v>0</v>
      </c>
      <c r="I60" s="7">
        <f t="shared" si="16"/>
        <v>0</v>
      </c>
      <c r="J60" s="7">
        <f t="shared" si="16"/>
        <v>0</v>
      </c>
      <c r="K60" s="7">
        <f t="shared" si="16"/>
        <v>0</v>
      </c>
    </row>
    <row r="61" spans="1:11" x14ac:dyDescent="0.25">
      <c r="A61" t="s">
        <v>76</v>
      </c>
      <c r="B61" s="8"/>
      <c r="C61" s="7">
        <f t="shared" ref="C61:K61" si="17">B61*(1+$B$3)</f>
        <v>0</v>
      </c>
      <c r="D61" s="7">
        <f t="shared" si="17"/>
        <v>0</v>
      </c>
      <c r="E61" s="7">
        <f t="shared" si="17"/>
        <v>0</v>
      </c>
      <c r="F61" s="7">
        <f t="shared" si="17"/>
        <v>0</v>
      </c>
      <c r="G61" s="7">
        <f t="shared" si="17"/>
        <v>0</v>
      </c>
      <c r="H61" s="7">
        <f t="shared" si="17"/>
        <v>0</v>
      </c>
      <c r="I61" s="7">
        <f t="shared" si="17"/>
        <v>0</v>
      </c>
      <c r="J61" s="7">
        <f t="shared" si="17"/>
        <v>0</v>
      </c>
      <c r="K61" s="7">
        <f t="shared" si="17"/>
        <v>0</v>
      </c>
    </row>
    <row r="62" spans="1:11" x14ac:dyDescent="0.25">
      <c r="A62" t="s">
        <v>99</v>
      </c>
      <c r="B62" s="8"/>
      <c r="C62" s="7">
        <f t="shared" ref="C62:K62" si="18">B62*(1+$B$3)</f>
        <v>0</v>
      </c>
      <c r="D62" s="7">
        <f t="shared" si="18"/>
        <v>0</v>
      </c>
      <c r="E62" s="7">
        <f t="shared" si="18"/>
        <v>0</v>
      </c>
      <c r="F62" s="7">
        <f t="shared" si="18"/>
        <v>0</v>
      </c>
      <c r="G62" s="7">
        <f t="shared" si="18"/>
        <v>0</v>
      </c>
      <c r="H62" s="7">
        <f t="shared" si="18"/>
        <v>0</v>
      </c>
      <c r="I62" s="7">
        <f t="shared" si="18"/>
        <v>0</v>
      </c>
      <c r="J62" s="7">
        <f t="shared" si="18"/>
        <v>0</v>
      </c>
      <c r="K62" s="7">
        <f t="shared" si="18"/>
        <v>0</v>
      </c>
    </row>
    <row r="63" spans="1:11" x14ac:dyDescent="0.25">
      <c r="A63" t="s">
        <v>100</v>
      </c>
      <c r="B63" s="8"/>
      <c r="C63" s="7">
        <f t="shared" ref="C63:K63" si="19">B63*(1+$B$3)</f>
        <v>0</v>
      </c>
      <c r="D63" s="7">
        <f t="shared" si="19"/>
        <v>0</v>
      </c>
      <c r="E63" s="7">
        <f t="shared" si="19"/>
        <v>0</v>
      </c>
      <c r="F63" s="7">
        <f t="shared" si="19"/>
        <v>0</v>
      </c>
      <c r="G63" s="7">
        <f t="shared" si="19"/>
        <v>0</v>
      </c>
      <c r="H63" s="7">
        <f t="shared" si="19"/>
        <v>0</v>
      </c>
      <c r="I63" s="7">
        <f t="shared" si="19"/>
        <v>0</v>
      </c>
      <c r="J63" s="7">
        <f t="shared" si="19"/>
        <v>0</v>
      </c>
      <c r="K63" s="7">
        <f t="shared" si="19"/>
        <v>0</v>
      </c>
    </row>
    <row r="64" spans="1:11" x14ac:dyDescent="0.25">
      <c r="A64" t="s">
        <v>78</v>
      </c>
      <c r="B64" s="8"/>
      <c r="C64" s="7">
        <f t="shared" ref="C64:K64" si="20">B64*(1+$B$3)</f>
        <v>0</v>
      </c>
      <c r="D64" s="7">
        <f t="shared" si="20"/>
        <v>0</v>
      </c>
      <c r="E64" s="7">
        <f t="shared" si="20"/>
        <v>0</v>
      </c>
      <c r="F64" s="7">
        <f t="shared" si="20"/>
        <v>0</v>
      </c>
      <c r="G64" s="7">
        <f t="shared" si="20"/>
        <v>0</v>
      </c>
      <c r="H64" s="7">
        <f t="shared" si="20"/>
        <v>0</v>
      </c>
      <c r="I64" s="7">
        <f t="shared" si="20"/>
        <v>0</v>
      </c>
      <c r="J64" s="7">
        <f t="shared" si="20"/>
        <v>0</v>
      </c>
      <c r="K64" s="7">
        <f t="shared" si="20"/>
        <v>0</v>
      </c>
    </row>
    <row r="65" spans="1:11" x14ac:dyDescent="0.25">
      <c r="A65" t="s">
        <v>101</v>
      </c>
      <c r="B65" s="8"/>
      <c r="C65" s="7">
        <f t="shared" ref="C65:K65" si="21">B65*(1+$B$3)</f>
        <v>0</v>
      </c>
      <c r="D65" s="7">
        <f t="shared" si="21"/>
        <v>0</v>
      </c>
      <c r="E65" s="7">
        <f t="shared" si="21"/>
        <v>0</v>
      </c>
      <c r="F65" s="7">
        <f t="shared" si="21"/>
        <v>0</v>
      </c>
      <c r="G65" s="7">
        <f t="shared" si="21"/>
        <v>0</v>
      </c>
      <c r="H65" s="7">
        <f t="shared" si="21"/>
        <v>0</v>
      </c>
      <c r="I65" s="7">
        <f t="shared" si="21"/>
        <v>0</v>
      </c>
      <c r="J65" s="7">
        <f t="shared" si="21"/>
        <v>0</v>
      </c>
      <c r="K65" s="7">
        <f t="shared" si="21"/>
        <v>0</v>
      </c>
    </row>
    <row r="66" spans="1:11" x14ac:dyDescent="0.25">
      <c r="A66" t="s">
        <v>102</v>
      </c>
      <c r="B66" s="8"/>
      <c r="C66" s="7">
        <f t="shared" ref="C66:K66" si="22">B66*(1+$B$3)</f>
        <v>0</v>
      </c>
      <c r="D66" s="7">
        <f t="shared" si="22"/>
        <v>0</v>
      </c>
      <c r="E66" s="7">
        <f t="shared" si="22"/>
        <v>0</v>
      </c>
      <c r="F66" s="7">
        <f t="shared" si="22"/>
        <v>0</v>
      </c>
      <c r="G66" s="7">
        <f t="shared" si="22"/>
        <v>0</v>
      </c>
      <c r="H66" s="7">
        <f t="shared" si="22"/>
        <v>0</v>
      </c>
      <c r="I66" s="7">
        <f t="shared" si="22"/>
        <v>0</v>
      </c>
      <c r="J66" s="7">
        <f t="shared" si="22"/>
        <v>0</v>
      </c>
      <c r="K66" s="7">
        <f t="shared" si="22"/>
        <v>0</v>
      </c>
    </row>
    <row r="67" spans="1:11" x14ac:dyDescent="0.25">
      <c r="A67" t="s">
        <v>77</v>
      </c>
      <c r="B67" s="8"/>
      <c r="C67" s="7">
        <f t="shared" ref="C67:K67" si="23">B67*(1+$B$3)</f>
        <v>0</v>
      </c>
      <c r="D67" s="7">
        <f t="shared" si="23"/>
        <v>0</v>
      </c>
      <c r="E67" s="7">
        <f t="shared" si="23"/>
        <v>0</v>
      </c>
      <c r="F67" s="7">
        <f t="shared" si="23"/>
        <v>0</v>
      </c>
      <c r="G67" s="7">
        <f t="shared" si="23"/>
        <v>0</v>
      </c>
      <c r="H67" s="7">
        <f t="shared" si="23"/>
        <v>0</v>
      </c>
      <c r="I67" s="7">
        <f t="shared" si="23"/>
        <v>0</v>
      </c>
      <c r="J67" s="7">
        <f t="shared" si="23"/>
        <v>0</v>
      </c>
      <c r="K67" s="7">
        <f t="shared" si="23"/>
        <v>0</v>
      </c>
    </row>
    <row r="68" spans="1:11" x14ac:dyDescent="0.25">
      <c r="A68" t="s">
        <v>21</v>
      </c>
      <c r="B68" s="8"/>
      <c r="C68" s="7">
        <f t="shared" ref="C68:K68" si="24">B68*(1+$B$3)</f>
        <v>0</v>
      </c>
      <c r="D68" s="7">
        <f t="shared" si="24"/>
        <v>0</v>
      </c>
      <c r="E68" s="7">
        <f t="shared" si="24"/>
        <v>0</v>
      </c>
      <c r="F68" s="7">
        <f t="shared" si="24"/>
        <v>0</v>
      </c>
      <c r="G68" s="7">
        <f t="shared" si="24"/>
        <v>0</v>
      </c>
      <c r="H68" s="7">
        <f t="shared" si="24"/>
        <v>0</v>
      </c>
      <c r="I68" s="7">
        <f t="shared" si="24"/>
        <v>0</v>
      </c>
      <c r="J68" s="7">
        <f t="shared" si="24"/>
        <v>0</v>
      </c>
      <c r="K68" s="7">
        <f t="shared" si="24"/>
        <v>0</v>
      </c>
    </row>
    <row r="69" spans="1:11" x14ac:dyDescent="0.25">
      <c r="A69" t="s">
        <v>22</v>
      </c>
      <c r="B69" s="8"/>
      <c r="C69" s="7">
        <f t="shared" ref="C69:K69" si="25">B69*(1+$B$3)</f>
        <v>0</v>
      </c>
      <c r="D69" s="7">
        <f t="shared" si="25"/>
        <v>0</v>
      </c>
      <c r="E69" s="7">
        <f t="shared" si="25"/>
        <v>0</v>
      </c>
      <c r="F69" s="7">
        <f t="shared" si="25"/>
        <v>0</v>
      </c>
      <c r="G69" s="7">
        <f t="shared" si="25"/>
        <v>0</v>
      </c>
      <c r="H69" s="7">
        <f t="shared" si="25"/>
        <v>0</v>
      </c>
      <c r="I69" s="7">
        <f t="shared" si="25"/>
        <v>0</v>
      </c>
      <c r="J69" s="7">
        <f t="shared" si="25"/>
        <v>0</v>
      </c>
      <c r="K69" s="7">
        <f t="shared" si="25"/>
        <v>0</v>
      </c>
    </row>
    <row r="70" spans="1:11" x14ac:dyDescent="0.25">
      <c r="A70" t="s">
        <v>103</v>
      </c>
      <c r="B70" s="8"/>
      <c r="C70" s="7">
        <f t="shared" ref="C70:K70" si="26">B70*(1+$B$3)</f>
        <v>0</v>
      </c>
      <c r="D70" s="7">
        <f t="shared" si="26"/>
        <v>0</v>
      </c>
      <c r="E70" s="7">
        <f t="shared" si="26"/>
        <v>0</v>
      </c>
      <c r="F70" s="7">
        <f t="shared" si="26"/>
        <v>0</v>
      </c>
      <c r="G70" s="7">
        <f t="shared" si="26"/>
        <v>0</v>
      </c>
      <c r="H70" s="7">
        <f t="shared" si="26"/>
        <v>0</v>
      </c>
      <c r="I70" s="7">
        <f t="shared" si="26"/>
        <v>0</v>
      </c>
      <c r="J70" s="7">
        <f t="shared" si="26"/>
        <v>0</v>
      </c>
      <c r="K70" s="7">
        <f t="shared" si="26"/>
        <v>0</v>
      </c>
    </row>
    <row r="71" spans="1:11" x14ac:dyDescent="0.25">
      <c r="A71" t="s">
        <v>104</v>
      </c>
      <c r="B71" s="8"/>
      <c r="C71" s="7">
        <f t="shared" ref="C71:K71" si="27">B71*(1+$B$3)</f>
        <v>0</v>
      </c>
      <c r="D71" s="7">
        <f t="shared" si="27"/>
        <v>0</v>
      </c>
      <c r="E71" s="7">
        <f t="shared" si="27"/>
        <v>0</v>
      </c>
      <c r="F71" s="7">
        <f t="shared" si="27"/>
        <v>0</v>
      </c>
      <c r="G71" s="7">
        <f t="shared" si="27"/>
        <v>0</v>
      </c>
      <c r="H71" s="7">
        <f t="shared" si="27"/>
        <v>0</v>
      </c>
      <c r="I71" s="7">
        <f t="shared" si="27"/>
        <v>0</v>
      </c>
      <c r="J71" s="7">
        <f t="shared" si="27"/>
        <v>0</v>
      </c>
      <c r="K71" s="7">
        <f t="shared" si="27"/>
        <v>0</v>
      </c>
    </row>
    <row r="72" spans="1:11" x14ac:dyDescent="0.25">
      <c r="A72" t="s">
        <v>105</v>
      </c>
      <c r="B72" s="8"/>
      <c r="C72" s="7">
        <f t="shared" ref="C72:K72" si="28">B72*(1+$B$3)</f>
        <v>0</v>
      </c>
      <c r="D72" s="7">
        <f t="shared" si="28"/>
        <v>0</v>
      </c>
      <c r="E72" s="7">
        <f t="shared" si="28"/>
        <v>0</v>
      </c>
      <c r="F72" s="7">
        <f t="shared" si="28"/>
        <v>0</v>
      </c>
      <c r="G72" s="7">
        <f t="shared" si="28"/>
        <v>0</v>
      </c>
      <c r="H72" s="7">
        <f t="shared" si="28"/>
        <v>0</v>
      </c>
      <c r="I72" s="7">
        <f t="shared" si="28"/>
        <v>0</v>
      </c>
      <c r="J72" s="7">
        <f t="shared" si="28"/>
        <v>0</v>
      </c>
      <c r="K72" s="7">
        <f t="shared" si="28"/>
        <v>0</v>
      </c>
    </row>
  </sheetData>
  <mergeCells count="3">
    <mergeCell ref="B1:K1"/>
    <mergeCell ref="B4:F4"/>
    <mergeCell ref="G4:K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27364-D99F-4E52-BBCC-8FD526D91EBE}">
  <dimension ref="A1:K73"/>
  <sheetViews>
    <sheetView topLeftCell="A31" workbookViewId="0">
      <selection activeCell="B72" sqref="B72:K73"/>
    </sheetView>
  </sheetViews>
  <sheetFormatPr defaultRowHeight="15" x14ac:dyDescent="0.25"/>
  <cols>
    <col min="1" max="1" width="43.28515625" bestFit="1" customWidth="1"/>
  </cols>
  <sheetData>
    <row r="1" spans="1:11" x14ac:dyDescent="0.25">
      <c r="B1" s="3" t="s">
        <v>32</v>
      </c>
      <c r="C1" s="3"/>
      <c r="D1" s="3"/>
      <c r="E1" s="3"/>
      <c r="F1" s="3"/>
      <c r="G1" s="3"/>
      <c r="H1" s="3"/>
      <c r="I1" s="3"/>
      <c r="J1" s="3"/>
      <c r="K1" s="3"/>
    </row>
    <row r="3" spans="1:11" x14ac:dyDescent="0.25">
      <c r="A3" t="s">
        <v>33</v>
      </c>
      <c r="B3" s="2">
        <v>2.5000000000000001E-2</v>
      </c>
    </row>
    <row r="4" spans="1:11" x14ac:dyDescent="0.25">
      <c r="A4" s="4"/>
      <c r="B4" s="5" t="s">
        <v>39</v>
      </c>
      <c r="C4" s="5"/>
      <c r="D4" s="5"/>
      <c r="E4" s="5"/>
      <c r="F4" s="5"/>
      <c r="G4" s="5" t="s">
        <v>40</v>
      </c>
      <c r="H4" s="5"/>
      <c r="I4" s="5"/>
      <c r="J4" s="5"/>
      <c r="K4" s="5"/>
    </row>
    <row r="5" spans="1:11" x14ac:dyDescent="0.25">
      <c r="A5" s="6" t="s">
        <v>31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41</v>
      </c>
      <c r="H5" s="4" t="s">
        <v>42</v>
      </c>
      <c r="I5" s="4" t="s">
        <v>43</v>
      </c>
      <c r="J5" s="4" t="s">
        <v>44</v>
      </c>
      <c r="K5" s="4" t="s">
        <v>45</v>
      </c>
    </row>
    <row r="6" spans="1:11" x14ac:dyDescent="0.25">
      <c r="A6" s="4" t="s">
        <v>1</v>
      </c>
      <c r="B6" s="8"/>
      <c r="C6" s="7">
        <f>B6*(1+$B$3)</f>
        <v>0</v>
      </c>
      <c r="D6" s="7">
        <f>C6*(1+$B$3)</f>
        <v>0</v>
      </c>
      <c r="E6" s="7">
        <f t="shared" ref="E6:L6" si="0">D6*(1+$B$3)</f>
        <v>0</v>
      </c>
      <c r="F6" s="7">
        <f t="shared" si="0"/>
        <v>0</v>
      </c>
      <c r="G6" s="7">
        <f t="shared" si="0"/>
        <v>0</v>
      </c>
      <c r="H6" s="7">
        <f t="shared" si="0"/>
        <v>0</v>
      </c>
      <c r="I6" s="7">
        <f t="shared" si="0"/>
        <v>0</v>
      </c>
      <c r="J6" s="7">
        <f t="shared" si="0"/>
        <v>0</v>
      </c>
      <c r="K6" s="7">
        <f t="shared" si="0"/>
        <v>0</v>
      </c>
    </row>
    <row r="7" spans="1:11" x14ac:dyDescent="0.25">
      <c r="A7" s="4" t="s">
        <v>46</v>
      </c>
      <c r="B7" s="8"/>
      <c r="C7" s="7">
        <f t="shared" ref="C7:K22" si="1">B7*(1+$B$3)</f>
        <v>0</v>
      </c>
      <c r="D7" s="7">
        <f t="shared" si="1"/>
        <v>0</v>
      </c>
      <c r="E7" s="7">
        <f t="shared" si="1"/>
        <v>0</v>
      </c>
      <c r="F7" s="7">
        <f t="shared" si="1"/>
        <v>0</v>
      </c>
      <c r="G7" s="7">
        <f t="shared" si="1"/>
        <v>0</v>
      </c>
      <c r="H7" s="7">
        <f t="shared" si="1"/>
        <v>0</v>
      </c>
      <c r="I7" s="7">
        <f t="shared" si="1"/>
        <v>0</v>
      </c>
      <c r="J7" s="7">
        <f t="shared" si="1"/>
        <v>0</v>
      </c>
      <c r="K7" s="7">
        <f t="shared" si="1"/>
        <v>0</v>
      </c>
    </row>
    <row r="8" spans="1:11" x14ac:dyDescent="0.25">
      <c r="A8" s="4" t="s">
        <v>2</v>
      </c>
      <c r="B8" s="8"/>
      <c r="C8" s="7">
        <f t="shared" si="1"/>
        <v>0</v>
      </c>
      <c r="D8" s="7">
        <f t="shared" si="1"/>
        <v>0</v>
      </c>
      <c r="E8" s="7">
        <f t="shared" si="1"/>
        <v>0</v>
      </c>
      <c r="F8" s="7">
        <f t="shared" si="1"/>
        <v>0</v>
      </c>
      <c r="G8" s="7">
        <f t="shared" si="1"/>
        <v>0</v>
      </c>
      <c r="H8" s="7">
        <f t="shared" si="1"/>
        <v>0</v>
      </c>
      <c r="I8" s="7">
        <f t="shared" si="1"/>
        <v>0</v>
      </c>
      <c r="J8" s="7">
        <f t="shared" si="1"/>
        <v>0</v>
      </c>
      <c r="K8" s="7">
        <f t="shared" si="1"/>
        <v>0</v>
      </c>
    </row>
    <row r="9" spans="1:11" x14ac:dyDescent="0.25">
      <c r="A9" s="4" t="s">
        <v>3</v>
      </c>
      <c r="B9" s="8"/>
      <c r="C9" s="7">
        <f t="shared" si="1"/>
        <v>0</v>
      </c>
      <c r="D9" s="7">
        <f t="shared" si="1"/>
        <v>0</v>
      </c>
      <c r="E9" s="7">
        <f t="shared" si="1"/>
        <v>0</v>
      </c>
      <c r="F9" s="7">
        <f t="shared" si="1"/>
        <v>0</v>
      </c>
      <c r="G9" s="7">
        <f t="shared" si="1"/>
        <v>0</v>
      </c>
      <c r="H9" s="7">
        <f t="shared" si="1"/>
        <v>0</v>
      </c>
      <c r="I9" s="7">
        <f t="shared" si="1"/>
        <v>0</v>
      </c>
      <c r="J9" s="7">
        <f t="shared" si="1"/>
        <v>0</v>
      </c>
      <c r="K9" s="7">
        <f t="shared" si="1"/>
        <v>0</v>
      </c>
    </row>
    <row r="10" spans="1:11" x14ac:dyDescent="0.25">
      <c r="A10" s="4" t="s">
        <v>4</v>
      </c>
      <c r="B10" s="8"/>
      <c r="C10" s="7">
        <f t="shared" si="1"/>
        <v>0</v>
      </c>
      <c r="D10" s="7">
        <f t="shared" si="1"/>
        <v>0</v>
      </c>
      <c r="E10" s="7">
        <f t="shared" si="1"/>
        <v>0</v>
      </c>
      <c r="F10" s="7">
        <f t="shared" si="1"/>
        <v>0</v>
      </c>
      <c r="G10" s="7">
        <f t="shared" si="1"/>
        <v>0</v>
      </c>
      <c r="H10" s="7">
        <f t="shared" si="1"/>
        <v>0</v>
      </c>
      <c r="I10" s="7">
        <f t="shared" si="1"/>
        <v>0</v>
      </c>
      <c r="J10" s="7">
        <f t="shared" si="1"/>
        <v>0</v>
      </c>
      <c r="K10" s="7">
        <f t="shared" si="1"/>
        <v>0</v>
      </c>
    </row>
    <row r="11" spans="1:11" x14ac:dyDescent="0.25">
      <c r="A11" s="4" t="s">
        <v>47</v>
      </c>
      <c r="B11" s="8"/>
      <c r="C11" s="7">
        <f t="shared" si="1"/>
        <v>0</v>
      </c>
      <c r="D11" s="7">
        <f t="shared" si="1"/>
        <v>0</v>
      </c>
      <c r="E11" s="7">
        <f t="shared" si="1"/>
        <v>0</v>
      </c>
      <c r="F11" s="7">
        <f t="shared" si="1"/>
        <v>0</v>
      </c>
      <c r="G11" s="7">
        <f t="shared" si="1"/>
        <v>0</v>
      </c>
      <c r="H11" s="7">
        <f t="shared" si="1"/>
        <v>0</v>
      </c>
      <c r="I11" s="7">
        <f t="shared" si="1"/>
        <v>0</v>
      </c>
      <c r="J11" s="7">
        <f t="shared" si="1"/>
        <v>0</v>
      </c>
      <c r="K11" s="7">
        <f t="shared" si="1"/>
        <v>0</v>
      </c>
    </row>
    <row r="12" spans="1:11" x14ac:dyDescent="0.25">
      <c r="A12" s="4" t="s">
        <v>48</v>
      </c>
      <c r="B12" s="8"/>
      <c r="C12" s="7">
        <f t="shared" si="1"/>
        <v>0</v>
      </c>
      <c r="D12" s="7">
        <f t="shared" si="1"/>
        <v>0</v>
      </c>
      <c r="E12" s="7">
        <f t="shared" si="1"/>
        <v>0</v>
      </c>
      <c r="F12" s="7">
        <f t="shared" si="1"/>
        <v>0</v>
      </c>
      <c r="G12" s="7">
        <f t="shared" si="1"/>
        <v>0</v>
      </c>
      <c r="H12" s="7">
        <f t="shared" si="1"/>
        <v>0</v>
      </c>
      <c r="I12" s="7">
        <f t="shared" si="1"/>
        <v>0</v>
      </c>
      <c r="J12" s="7">
        <f t="shared" si="1"/>
        <v>0</v>
      </c>
      <c r="K12" s="7">
        <f t="shared" si="1"/>
        <v>0</v>
      </c>
    </row>
    <row r="13" spans="1:11" x14ac:dyDescent="0.25">
      <c r="A13" s="4" t="s">
        <v>49</v>
      </c>
      <c r="B13" s="8"/>
      <c r="C13" s="7">
        <f t="shared" si="1"/>
        <v>0</v>
      </c>
      <c r="D13" s="7">
        <f t="shared" si="1"/>
        <v>0</v>
      </c>
      <c r="E13" s="7">
        <f t="shared" si="1"/>
        <v>0</v>
      </c>
      <c r="F13" s="7">
        <f t="shared" si="1"/>
        <v>0</v>
      </c>
      <c r="G13" s="7">
        <f t="shared" si="1"/>
        <v>0</v>
      </c>
      <c r="H13" s="7">
        <f t="shared" si="1"/>
        <v>0</v>
      </c>
      <c r="I13" s="7">
        <f t="shared" si="1"/>
        <v>0</v>
      </c>
      <c r="J13" s="7">
        <f t="shared" si="1"/>
        <v>0</v>
      </c>
      <c r="K13" s="7">
        <f t="shared" si="1"/>
        <v>0</v>
      </c>
    </row>
    <row r="14" spans="1:11" x14ac:dyDescent="0.25">
      <c r="A14" s="4" t="s">
        <v>50</v>
      </c>
      <c r="B14" s="8"/>
      <c r="C14" s="7">
        <f t="shared" si="1"/>
        <v>0</v>
      </c>
      <c r="D14" s="7">
        <f t="shared" si="1"/>
        <v>0</v>
      </c>
      <c r="E14" s="7">
        <f t="shared" si="1"/>
        <v>0</v>
      </c>
      <c r="F14" s="7">
        <f t="shared" si="1"/>
        <v>0</v>
      </c>
      <c r="G14" s="7">
        <f t="shared" si="1"/>
        <v>0</v>
      </c>
      <c r="H14" s="7">
        <f t="shared" si="1"/>
        <v>0</v>
      </c>
      <c r="I14" s="7">
        <f t="shared" si="1"/>
        <v>0</v>
      </c>
      <c r="J14" s="7">
        <f t="shared" si="1"/>
        <v>0</v>
      </c>
      <c r="K14" s="7">
        <f t="shared" si="1"/>
        <v>0</v>
      </c>
    </row>
    <row r="15" spans="1:11" x14ac:dyDescent="0.25">
      <c r="A15" s="4" t="s">
        <v>51</v>
      </c>
      <c r="B15" s="8"/>
      <c r="C15" s="7">
        <f t="shared" si="1"/>
        <v>0</v>
      </c>
      <c r="D15" s="7">
        <f t="shared" si="1"/>
        <v>0</v>
      </c>
      <c r="E15" s="7">
        <f t="shared" si="1"/>
        <v>0</v>
      </c>
      <c r="F15" s="7">
        <f t="shared" si="1"/>
        <v>0</v>
      </c>
      <c r="G15" s="7">
        <f t="shared" si="1"/>
        <v>0</v>
      </c>
      <c r="H15" s="7">
        <f t="shared" si="1"/>
        <v>0</v>
      </c>
      <c r="I15" s="7">
        <f t="shared" si="1"/>
        <v>0</v>
      </c>
      <c r="J15" s="7">
        <f t="shared" si="1"/>
        <v>0</v>
      </c>
      <c r="K15" s="7">
        <f t="shared" si="1"/>
        <v>0</v>
      </c>
    </row>
    <row r="16" spans="1:11" x14ac:dyDescent="0.25">
      <c r="A16" s="4" t="s">
        <v>52</v>
      </c>
      <c r="B16" s="8"/>
      <c r="C16" s="7">
        <f t="shared" si="1"/>
        <v>0</v>
      </c>
      <c r="D16" s="7">
        <f t="shared" si="1"/>
        <v>0</v>
      </c>
      <c r="E16" s="7">
        <f t="shared" si="1"/>
        <v>0</v>
      </c>
      <c r="F16" s="7">
        <f t="shared" si="1"/>
        <v>0</v>
      </c>
      <c r="G16" s="7">
        <f t="shared" si="1"/>
        <v>0</v>
      </c>
      <c r="H16" s="7">
        <f t="shared" si="1"/>
        <v>0</v>
      </c>
      <c r="I16" s="7">
        <f t="shared" si="1"/>
        <v>0</v>
      </c>
      <c r="J16" s="7">
        <f t="shared" si="1"/>
        <v>0</v>
      </c>
      <c r="K16" s="7">
        <f t="shared" si="1"/>
        <v>0</v>
      </c>
    </row>
    <row r="17" spans="1:11" x14ac:dyDescent="0.25">
      <c r="A17" s="4" t="s">
        <v>53</v>
      </c>
      <c r="B17" s="8"/>
      <c r="C17" s="7">
        <f t="shared" si="1"/>
        <v>0</v>
      </c>
      <c r="D17" s="7">
        <f t="shared" si="1"/>
        <v>0</v>
      </c>
      <c r="E17" s="7">
        <f t="shared" si="1"/>
        <v>0</v>
      </c>
      <c r="F17" s="7">
        <f t="shared" si="1"/>
        <v>0</v>
      </c>
      <c r="G17" s="7">
        <f t="shared" si="1"/>
        <v>0</v>
      </c>
      <c r="H17" s="7">
        <f t="shared" si="1"/>
        <v>0</v>
      </c>
      <c r="I17" s="7">
        <f t="shared" si="1"/>
        <v>0</v>
      </c>
      <c r="J17" s="7">
        <f t="shared" si="1"/>
        <v>0</v>
      </c>
      <c r="K17" s="7">
        <f t="shared" si="1"/>
        <v>0</v>
      </c>
    </row>
    <row r="18" spans="1:11" x14ac:dyDescent="0.25">
      <c r="A18" s="4" t="s">
        <v>54</v>
      </c>
      <c r="B18" s="8"/>
      <c r="C18" s="7">
        <f t="shared" si="1"/>
        <v>0</v>
      </c>
      <c r="D18" s="7">
        <f t="shared" si="1"/>
        <v>0</v>
      </c>
      <c r="E18" s="7">
        <f t="shared" si="1"/>
        <v>0</v>
      </c>
      <c r="F18" s="7">
        <f t="shared" si="1"/>
        <v>0</v>
      </c>
      <c r="G18" s="7">
        <f t="shared" si="1"/>
        <v>0</v>
      </c>
      <c r="H18" s="7">
        <f t="shared" si="1"/>
        <v>0</v>
      </c>
      <c r="I18" s="7">
        <f t="shared" si="1"/>
        <v>0</v>
      </c>
      <c r="J18" s="7">
        <f t="shared" si="1"/>
        <v>0</v>
      </c>
      <c r="K18" s="7">
        <f t="shared" si="1"/>
        <v>0</v>
      </c>
    </row>
    <row r="19" spans="1:11" x14ac:dyDescent="0.25">
      <c r="A19" s="4" t="s">
        <v>55</v>
      </c>
      <c r="B19" s="8"/>
      <c r="C19" s="7">
        <f t="shared" si="1"/>
        <v>0</v>
      </c>
      <c r="D19" s="7">
        <f t="shared" si="1"/>
        <v>0</v>
      </c>
      <c r="E19" s="7">
        <f t="shared" si="1"/>
        <v>0</v>
      </c>
      <c r="F19" s="7">
        <f t="shared" si="1"/>
        <v>0</v>
      </c>
      <c r="G19" s="7">
        <f t="shared" si="1"/>
        <v>0</v>
      </c>
      <c r="H19" s="7">
        <f t="shared" si="1"/>
        <v>0</v>
      </c>
      <c r="I19" s="7">
        <f t="shared" si="1"/>
        <v>0</v>
      </c>
      <c r="J19" s="7">
        <f t="shared" si="1"/>
        <v>0</v>
      </c>
      <c r="K19" s="7">
        <f t="shared" si="1"/>
        <v>0</v>
      </c>
    </row>
    <row r="20" spans="1:11" x14ac:dyDescent="0.25">
      <c r="A20" s="4" t="s">
        <v>56</v>
      </c>
      <c r="B20" s="8"/>
      <c r="C20" s="7">
        <f t="shared" si="1"/>
        <v>0</v>
      </c>
      <c r="D20" s="7">
        <f t="shared" si="1"/>
        <v>0</v>
      </c>
      <c r="E20" s="7">
        <f t="shared" si="1"/>
        <v>0</v>
      </c>
      <c r="F20" s="7">
        <f t="shared" si="1"/>
        <v>0</v>
      </c>
      <c r="G20" s="7">
        <f t="shared" si="1"/>
        <v>0</v>
      </c>
      <c r="H20" s="7">
        <f t="shared" si="1"/>
        <v>0</v>
      </c>
      <c r="I20" s="7">
        <f t="shared" si="1"/>
        <v>0</v>
      </c>
      <c r="J20" s="7">
        <f t="shared" si="1"/>
        <v>0</v>
      </c>
      <c r="K20" s="7">
        <f t="shared" si="1"/>
        <v>0</v>
      </c>
    </row>
    <row r="21" spans="1:11" x14ac:dyDescent="0.25">
      <c r="A21" s="4" t="s">
        <v>57</v>
      </c>
      <c r="B21" s="8"/>
      <c r="C21" s="7">
        <f t="shared" si="1"/>
        <v>0</v>
      </c>
      <c r="D21" s="7">
        <f t="shared" si="1"/>
        <v>0</v>
      </c>
      <c r="E21" s="7">
        <f t="shared" si="1"/>
        <v>0</v>
      </c>
      <c r="F21" s="7">
        <f t="shared" si="1"/>
        <v>0</v>
      </c>
      <c r="G21" s="7">
        <f t="shared" si="1"/>
        <v>0</v>
      </c>
      <c r="H21" s="7">
        <f t="shared" si="1"/>
        <v>0</v>
      </c>
      <c r="I21" s="7">
        <f t="shared" si="1"/>
        <v>0</v>
      </c>
      <c r="J21" s="7">
        <f t="shared" si="1"/>
        <v>0</v>
      </c>
      <c r="K21" s="7">
        <f t="shared" si="1"/>
        <v>0</v>
      </c>
    </row>
    <row r="22" spans="1:11" x14ac:dyDescent="0.25">
      <c r="A22" s="4" t="s">
        <v>58</v>
      </c>
      <c r="B22" s="8"/>
      <c r="C22" s="7">
        <f t="shared" si="1"/>
        <v>0</v>
      </c>
      <c r="D22" s="7">
        <f t="shared" si="1"/>
        <v>0</v>
      </c>
      <c r="E22" s="7">
        <f t="shared" si="1"/>
        <v>0</v>
      </c>
      <c r="F22" s="7">
        <f t="shared" si="1"/>
        <v>0</v>
      </c>
      <c r="G22" s="7">
        <f t="shared" si="1"/>
        <v>0</v>
      </c>
      <c r="H22" s="7">
        <f t="shared" si="1"/>
        <v>0</v>
      </c>
      <c r="I22" s="7">
        <f t="shared" si="1"/>
        <v>0</v>
      </c>
      <c r="J22" s="7">
        <f t="shared" si="1"/>
        <v>0</v>
      </c>
      <c r="K22" s="7">
        <f t="shared" si="1"/>
        <v>0</v>
      </c>
    </row>
    <row r="23" spans="1:11" x14ac:dyDescent="0.25">
      <c r="A23" s="4" t="s">
        <v>59</v>
      </c>
      <c r="B23" s="8"/>
      <c r="C23" s="7">
        <f t="shared" ref="C23:K38" si="2">B23*(1+$B$3)</f>
        <v>0</v>
      </c>
      <c r="D23" s="7">
        <f t="shared" si="2"/>
        <v>0</v>
      </c>
      <c r="E23" s="7">
        <f t="shared" si="2"/>
        <v>0</v>
      </c>
      <c r="F23" s="7">
        <f t="shared" si="2"/>
        <v>0</v>
      </c>
      <c r="G23" s="7">
        <f t="shared" si="2"/>
        <v>0</v>
      </c>
      <c r="H23" s="7">
        <f t="shared" si="2"/>
        <v>0</v>
      </c>
      <c r="I23" s="7">
        <f t="shared" si="2"/>
        <v>0</v>
      </c>
      <c r="J23" s="7">
        <f t="shared" si="2"/>
        <v>0</v>
      </c>
      <c r="K23" s="7">
        <f t="shared" si="2"/>
        <v>0</v>
      </c>
    </row>
    <row r="24" spans="1:11" x14ac:dyDescent="0.25">
      <c r="A24" s="4" t="s">
        <v>60</v>
      </c>
      <c r="B24" s="8"/>
      <c r="C24" s="7">
        <f t="shared" si="2"/>
        <v>0</v>
      </c>
      <c r="D24" s="7">
        <f t="shared" si="2"/>
        <v>0</v>
      </c>
      <c r="E24" s="7">
        <f t="shared" si="2"/>
        <v>0</v>
      </c>
      <c r="F24" s="7">
        <f t="shared" si="2"/>
        <v>0</v>
      </c>
      <c r="G24" s="7">
        <f t="shared" si="2"/>
        <v>0</v>
      </c>
      <c r="H24" s="7">
        <f t="shared" si="2"/>
        <v>0</v>
      </c>
      <c r="I24" s="7">
        <f t="shared" si="2"/>
        <v>0</v>
      </c>
      <c r="J24" s="7">
        <f t="shared" si="2"/>
        <v>0</v>
      </c>
      <c r="K24" s="7">
        <f t="shared" si="2"/>
        <v>0</v>
      </c>
    </row>
    <row r="25" spans="1:11" x14ac:dyDescent="0.25">
      <c r="A25" s="4" t="s">
        <v>61</v>
      </c>
      <c r="B25" s="8"/>
      <c r="C25" s="7">
        <f t="shared" si="2"/>
        <v>0</v>
      </c>
      <c r="D25" s="7">
        <f t="shared" si="2"/>
        <v>0</v>
      </c>
      <c r="E25" s="7">
        <f t="shared" si="2"/>
        <v>0</v>
      </c>
      <c r="F25" s="7">
        <f t="shared" si="2"/>
        <v>0</v>
      </c>
      <c r="G25" s="7">
        <f t="shared" si="2"/>
        <v>0</v>
      </c>
      <c r="H25" s="7">
        <f t="shared" si="2"/>
        <v>0</v>
      </c>
      <c r="I25" s="7">
        <f t="shared" si="2"/>
        <v>0</v>
      </c>
      <c r="J25" s="7">
        <f t="shared" si="2"/>
        <v>0</v>
      </c>
      <c r="K25" s="7">
        <f t="shared" si="2"/>
        <v>0</v>
      </c>
    </row>
    <row r="26" spans="1:11" x14ac:dyDescent="0.25">
      <c r="A26" s="4" t="s">
        <v>82</v>
      </c>
      <c r="B26" s="8"/>
      <c r="C26" s="7">
        <f t="shared" si="2"/>
        <v>0</v>
      </c>
      <c r="D26" s="7">
        <f t="shared" si="2"/>
        <v>0</v>
      </c>
      <c r="E26" s="7">
        <f t="shared" si="2"/>
        <v>0</v>
      </c>
      <c r="F26" s="7">
        <f t="shared" si="2"/>
        <v>0</v>
      </c>
      <c r="G26" s="7">
        <f t="shared" si="2"/>
        <v>0</v>
      </c>
      <c r="H26" s="7">
        <f t="shared" si="2"/>
        <v>0</v>
      </c>
      <c r="I26" s="7">
        <f t="shared" si="2"/>
        <v>0</v>
      </c>
      <c r="J26" s="7">
        <f t="shared" si="2"/>
        <v>0</v>
      </c>
      <c r="K26" s="7">
        <f t="shared" si="2"/>
        <v>0</v>
      </c>
    </row>
    <row r="27" spans="1:11" x14ac:dyDescent="0.25">
      <c r="A27" s="4" t="s">
        <v>63</v>
      </c>
      <c r="B27" s="8"/>
      <c r="C27" s="7">
        <f t="shared" si="2"/>
        <v>0</v>
      </c>
      <c r="D27" s="7">
        <f t="shared" si="2"/>
        <v>0</v>
      </c>
      <c r="E27" s="7">
        <f t="shared" si="2"/>
        <v>0</v>
      </c>
      <c r="F27" s="7">
        <f t="shared" si="2"/>
        <v>0</v>
      </c>
      <c r="G27" s="7">
        <f t="shared" si="2"/>
        <v>0</v>
      </c>
      <c r="H27" s="7">
        <f t="shared" si="2"/>
        <v>0</v>
      </c>
      <c r="I27" s="7">
        <f t="shared" si="2"/>
        <v>0</v>
      </c>
      <c r="J27" s="7">
        <f t="shared" si="2"/>
        <v>0</v>
      </c>
      <c r="K27" s="7">
        <f t="shared" si="2"/>
        <v>0</v>
      </c>
    </row>
    <row r="28" spans="1:11" x14ac:dyDescent="0.25">
      <c r="A28" s="4" t="s">
        <v>64</v>
      </c>
      <c r="B28" s="8"/>
      <c r="C28" s="7">
        <f t="shared" si="2"/>
        <v>0</v>
      </c>
      <c r="D28" s="7">
        <f t="shared" si="2"/>
        <v>0</v>
      </c>
      <c r="E28" s="7">
        <f t="shared" si="2"/>
        <v>0</v>
      </c>
      <c r="F28" s="7">
        <f t="shared" si="2"/>
        <v>0</v>
      </c>
      <c r="G28" s="7">
        <f t="shared" si="2"/>
        <v>0</v>
      </c>
      <c r="H28" s="7">
        <f t="shared" si="2"/>
        <v>0</v>
      </c>
      <c r="I28" s="7">
        <f t="shared" si="2"/>
        <v>0</v>
      </c>
      <c r="J28" s="7">
        <f t="shared" si="2"/>
        <v>0</v>
      </c>
      <c r="K28" s="7">
        <f t="shared" si="2"/>
        <v>0</v>
      </c>
    </row>
    <row r="29" spans="1:11" x14ac:dyDescent="0.25">
      <c r="A29" s="4" t="s">
        <v>65</v>
      </c>
      <c r="B29" s="8"/>
      <c r="C29" s="7">
        <f t="shared" si="2"/>
        <v>0</v>
      </c>
      <c r="D29" s="7">
        <f t="shared" si="2"/>
        <v>0</v>
      </c>
      <c r="E29" s="7">
        <f t="shared" si="2"/>
        <v>0</v>
      </c>
      <c r="F29" s="7">
        <f t="shared" si="2"/>
        <v>0</v>
      </c>
      <c r="G29" s="7">
        <f t="shared" si="2"/>
        <v>0</v>
      </c>
      <c r="H29" s="7">
        <f t="shared" si="2"/>
        <v>0</v>
      </c>
      <c r="I29" s="7">
        <f t="shared" si="2"/>
        <v>0</v>
      </c>
      <c r="J29" s="7">
        <f t="shared" si="2"/>
        <v>0</v>
      </c>
      <c r="K29" s="7">
        <f t="shared" si="2"/>
        <v>0</v>
      </c>
    </row>
    <row r="30" spans="1:11" x14ac:dyDescent="0.25">
      <c r="A30" s="4" t="s">
        <v>66</v>
      </c>
      <c r="B30" s="8"/>
      <c r="C30" s="7">
        <f t="shared" si="2"/>
        <v>0</v>
      </c>
      <c r="D30" s="7">
        <f t="shared" si="2"/>
        <v>0</v>
      </c>
      <c r="E30" s="7">
        <f t="shared" si="2"/>
        <v>0</v>
      </c>
      <c r="F30" s="7">
        <f t="shared" si="2"/>
        <v>0</v>
      </c>
      <c r="G30" s="7">
        <f t="shared" si="2"/>
        <v>0</v>
      </c>
      <c r="H30" s="7">
        <f t="shared" si="2"/>
        <v>0</v>
      </c>
      <c r="I30" s="7">
        <f t="shared" si="2"/>
        <v>0</v>
      </c>
      <c r="J30" s="7">
        <f t="shared" si="2"/>
        <v>0</v>
      </c>
      <c r="K30" s="7">
        <f t="shared" si="2"/>
        <v>0</v>
      </c>
    </row>
    <row r="31" spans="1:11" x14ac:dyDescent="0.25">
      <c r="A31" s="4" t="s">
        <v>67</v>
      </c>
      <c r="B31" s="8"/>
      <c r="C31" s="7">
        <f t="shared" si="2"/>
        <v>0</v>
      </c>
      <c r="D31" s="7">
        <f t="shared" si="2"/>
        <v>0</v>
      </c>
      <c r="E31" s="7">
        <f t="shared" si="2"/>
        <v>0</v>
      </c>
      <c r="F31" s="7">
        <f t="shared" si="2"/>
        <v>0</v>
      </c>
      <c r="G31" s="7">
        <f t="shared" si="2"/>
        <v>0</v>
      </c>
      <c r="H31" s="7">
        <f t="shared" si="2"/>
        <v>0</v>
      </c>
      <c r="I31" s="7">
        <f t="shared" si="2"/>
        <v>0</v>
      </c>
      <c r="J31" s="7">
        <f t="shared" si="2"/>
        <v>0</v>
      </c>
      <c r="K31" s="7">
        <f t="shared" si="2"/>
        <v>0</v>
      </c>
    </row>
    <row r="32" spans="1:11" x14ac:dyDescent="0.25">
      <c r="A32" s="4" t="s">
        <v>68</v>
      </c>
      <c r="B32" s="8"/>
      <c r="C32" s="7">
        <f t="shared" si="2"/>
        <v>0</v>
      </c>
      <c r="D32" s="7">
        <f t="shared" si="2"/>
        <v>0</v>
      </c>
      <c r="E32" s="7">
        <f t="shared" si="2"/>
        <v>0</v>
      </c>
      <c r="F32" s="7">
        <f t="shared" si="2"/>
        <v>0</v>
      </c>
      <c r="G32" s="7">
        <f t="shared" si="2"/>
        <v>0</v>
      </c>
      <c r="H32" s="7">
        <f t="shared" si="2"/>
        <v>0</v>
      </c>
      <c r="I32" s="7">
        <f t="shared" si="2"/>
        <v>0</v>
      </c>
      <c r="J32" s="7">
        <f t="shared" si="2"/>
        <v>0</v>
      </c>
      <c r="K32" s="7">
        <f t="shared" si="2"/>
        <v>0</v>
      </c>
    </row>
    <row r="33" spans="1:11" x14ac:dyDescent="0.25">
      <c r="A33" s="4" t="s">
        <v>84</v>
      </c>
      <c r="B33" s="8"/>
      <c r="C33" s="7">
        <f t="shared" si="2"/>
        <v>0</v>
      </c>
      <c r="D33" s="7">
        <f t="shared" si="2"/>
        <v>0</v>
      </c>
      <c r="E33" s="7">
        <f t="shared" si="2"/>
        <v>0</v>
      </c>
      <c r="F33" s="7">
        <f t="shared" si="2"/>
        <v>0</v>
      </c>
      <c r="G33" s="7">
        <f t="shared" si="2"/>
        <v>0</v>
      </c>
      <c r="H33" s="7">
        <f t="shared" si="2"/>
        <v>0</v>
      </c>
      <c r="I33" s="7">
        <f t="shared" si="2"/>
        <v>0</v>
      </c>
      <c r="J33" s="7">
        <f t="shared" si="2"/>
        <v>0</v>
      </c>
      <c r="K33" s="7">
        <f t="shared" si="2"/>
        <v>0</v>
      </c>
    </row>
    <row r="34" spans="1:11" x14ac:dyDescent="0.25">
      <c r="A34" s="4" t="s">
        <v>85</v>
      </c>
      <c r="B34" s="8"/>
      <c r="C34" s="7">
        <f t="shared" si="2"/>
        <v>0</v>
      </c>
      <c r="D34" s="7">
        <f t="shared" si="2"/>
        <v>0</v>
      </c>
      <c r="E34" s="7">
        <f t="shared" si="2"/>
        <v>0</v>
      </c>
      <c r="F34" s="7">
        <f t="shared" si="2"/>
        <v>0</v>
      </c>
      <c r="G34" s="7">
        <f t="shared" si="2"/>
        <v>0</v>
      </c>
      <c r="H34" s="7">
        <f t="shared" si="2"/>
        <v>0</v>
      </c>
      <c r="I34" s="7">
        <f t="shared" si="2"/>
        <v>0</v>
      </c>
      <c r="J34" s="7">
        <f t="shared" si="2"/>
        <v>0</v>
      </c>
      <c r="K34" s="7">
        <f t="shared" si="2"/>
        <v>0</v>
      </c>
    </row>
    <row r="35" spans="1:11" x14ac:dyDescent="0.25">
      <c r="A35" s="4" t="s">
        <v>86</v>
      </c>
      <c r="B35" s="8"/>
      <c r="C35" s="7">
        <f t="shared" si="2"/>
        <v>0</v>
      </c>
      <c r="D35" s="7">
        <f t="shared" si="2"/>
        <v>0</v>
      </c>
      <c r="E35" s="7">
        <f t="shared" si="2"/>
        <v>0</v>
      </c>
      <c r="F35" s="7">
        <f t="shared" si="2"/>
        <v>0</v>
      </c>
      <c r="G35" s="7">
        <f t="shared" si="2"/>
        <v>0</v>
      </c>
      <c r="H35" s="7">
        <f t="shared" si="2"/>
        <v>0</v>
      </c>
      <c r="I35" s="7">
        <f t="shared" si="2"/>
        <v>0</v>
      </c>
      <c r="J35" s="7">
        <f t="shared" si="2"/>
        <v>0</v>
      </c>
      <c r="K35" s="7">
        <f t="shared" si="2"/>
        <v>0</v>
      </c>
    </row>
    <row r="36" spans="1:11" x14ac:dyDescent="0.25">
      <c r="A36" s="4" t="s">
        <v>87</v>
      </c>
      <c r="B36" s="8"/>
      <c r="C36" s="7">
        <f t="shared" si="2"/>
        <v>0</v>
      </c>
      <c r="D36" s="7">
        <f t="shared" si="2"/>
        <v>0</v>
      </c>
      <c r="E36" s="7">
        <f t="shared" si="2"/>
        <v>0</v>
      </c>
      <c r="F36" s="7">
        <f t="shared" si="2"/>
        <v>0</v>
      </c>
      <c r="G36" s="7">
        <f t="shared" si="2"/>
        <v>0</v>
      </c>
      <c r="H36" s="7">
        <f t="shared" si="2"/>
        <v>0</v>
      </c>
      <c r="I36" s="7">
        <f t="shared" si="2"/>
        <v>0</v>
      </c>
      <c r="J36" s="7">
        <f t="shared" si="2"/>
        <v>0</v>
      </c>
      <c r="K36" s="7">
        <f t="shared" si="2"/>
        <v>0</v>
      </c>
    </row>
    <row r="37" spans="1:11" x14ac:dyDescent="0.25">
      <c r="A37" s="4" t="s">
        <v>88</v>
      </c>
      <c r="B37" s="8"/>
      <c r="C37" s="7">
        <f t="shared" si="2"/>
        <v>0</v>
      </c>
      <c r="D37" s="7">
        <f t="shared" si="2"/>
        <v>0</v>
      </c>
      <c r="E37" s="7">
        <f t="shared" si="2"/>
        <v>0</v>
      </c>
      <c r="F37" s="7">
        <f t="shared" si="2"/>
        <v>0</v>
      </c>
      <c r="G37" s="7">
        <f t="shared" si="2"/>
        <v>0</v>
      </c>
      <c r="H37" s="7">
        <f t="shared" si="2"/>
        <v>0</v>
      </c>
      <c r="I37" s="7">
        <f t="shared" si="2"/>
        <v>0</v>
      </c>
      <c r="J37" s="7">
        <f t="shared" si="2"/>
        <v>0</v>
      </c>
      <c r="K37" s="7">
        <f t="shared" si="2"/>
        <v>0</v>
      </c>
    </row>
    <row r="38" spans="1:11" x14ac:dyDescent="0.25">
      <c r="A38" s="4" t="s">
        <v>89</v>
      </c>
      <c r="B38" s="8"/>
      <c r="C38" s="7">
        <f t="shared" si="2"/>
        <v>0</v>
      </c>
      <c r="D38" s="7">
        <f t="shared" si="2"/>
        <v>0</v>
      </c>
      <c r="E38" s="7">
        <f t="shared" si="2"/>
        <v>0</v>
      </c>
      <c r="F38" s="7">
        <f t="shared" si="2"/>
        <v>0</v>
      </c>
      <c r="G38" s="7">
        <f t="shared" si="2"/>
        <v>0</v>
      </c>
      <c r="H38" s="7">
        <f t="shared" si="2"/>
        <v>0</v>
      </c>
      <c r="I38" s="7">
        <f t="shared" si="2"/>
        <v>0</v>
      </c>
      <c r="J38" s="7">
        <f t="shared" si="2"/>
        <v>0</v>
      </c>
      <c r="K38" s="7">
        <f t="shared" si="2"/>
        <v>0</v>
      </c>
    </row>
    <row r="39" spans="1:11" x14ac:dyDescent="0.25">
      <c r="A39" s="4" t="s">
        <v>90</v>
      </c>
      <c r="B39" s="8"/>
      <c r="C39" s="7">
        <f t="shared" ref="C39:K54" si="3">B39*(1+$B$3)</f>
        <v>0</v>
      </c>
      <c r="D39" s="7">
        <f t="shared" si="3"/>
        <v>0</v>
      </c>
      <c r="E39" s="7">
        <f t="shared" si="3"/>
        <v>0</v>
      </c>
      <c r="F39" s="7">
        <f t="shared" si="3"/>
        <v>0</v>
      </c>
      <c r="G39" s="7">
        <f t="shared" si="3"/>
        <v>0</v>
      </c>
      <c r="H39" s="7">
        <f t="shared" si="3"/>
        <v>0</v>
      </c>
      <c r="I39" s="7">
        <f t="shared" si="3"/>
        <v>0</v>
      </c>
      <c r="J39" s="7">
        <f t="shared" si="3"/>
        <v>0</v>
      </c>
      <c r="K39" s="7">
        <f t="shared" si="3"/>
        <v>0</v>
      </c>
    </row>
    <row r="40" spans="1:11" x14ac:dyDescent="0.25">
      <c r="A40" s="4" t="s">
        <v>91</v>
      </c>
      <c r="B40" s="8"/>
      <c r="C40" s="7">
        <f t="shared" si="3"/>
        <v>0</v>
      </c>
      <c r="D40" s="7">
        <f t="shared" si="3"/>
        <v>0</v>
      </c>
      <c r="E40" s="7">
        <f t="shared" si="3"/>
        <v>0</v>
      </c>
      <c r="F40" s="7">
        <f t="shared" si="3"/>
        <v>0</v>
      </c>
      <c r="G40" s="7">
        <f t="shared" si="3"/>
        <v>0</v>
      </c>
      <c r="H40" s="7">
        <f t="shared" si="3"/>
        <v>0</v>
      </c>
      <c r="I40" s="7">
        <f t="shared" si="3"/>
        <v>0</v>
      </c>
      <c r="J40" s="7">
        <f t="shared" si="3"/>
        <v>0</v>
      </c>
      <c r="K40" s="7">
        <f t="shared" si="3"/>
        <v>0</v>
      </c>
    </row>
    <row r="41" spans="1:11" x14ac:dyDescent="0.25">
      <c r="A41" s="4" t="s">
        <v>92</v>
      </c>
      <c r="B41" s="8"/>
      <c r="C41" s="7">
        <f t="shared" si="3"/>
        <v>0</v>
      </c>
      <c r="D41" s="7">
        <f t="shared" si="3"/>
        <v>0</v>
      </c>
      <c r="E41" s="7">
        <f t="shared" si="3"/>
        <v>0</v>
      </c>
      <c r="F41" s="7">
        <f t="shared" si="3"/>
        <v>0</v>
      </c>
      <c r="G41" s="7">
        <f t="shared" si="3"/>
        <v>0</v>
      </c>
      <c r="H41" s="7">
        <f t="shared" si="3"/>
        <v>0</v>
      </c>
      <c r="I41" s="7">
        <f t="shared" si="3"/>
        <v>0</v>
      </c>
      <c r="J41" s="7">
        <f t="shared" si="3"/>
        <v>0</v>
      </c>
      <c r="K41" s="7">
        <f t="shared" si="3"/>
        <v>0</v>
      </c>
    </row>
    <row r="42" spans="1:11" x14ac:dyDescent="0.25">
      <c r="A42" s="4" t="s">
        <v>93</v>
      </c>
      <c r="B42" s="8"/>
      <c r="C42" s="7">
        <f t="shared" si="3"/>
        <v>0</v>
      </c>
      <c r="D42" s="7">
        <f t="shared" si="3"/>
        <v>0</v>
      </c>
      <c r="E42" s="7">
        <f t="shared" si="3"/>
        <v>0</v>
      </c>
      <c r="F42" s="7">
        <f t="shared" si="3"/>
        <v>0</v>
      </c>
      <c r="G42" s="7">
        <f t="shared" si="3"/>
        <v>0</v>
      </c>
      <c r="H42" s="7">
        <f t="shared" si="3"/>
        <v>0</v>
      </c>
      <c r="I42" s="7">
        <f t="shared" si="3"/>
        <v>0</v>
      </c>
      <c r="J42" s="7">
        <f t="shared" si="3"/>
        <v>0</v>
      </c>
      <c r="K42" s="7">
        <f t="shared" si="3"/>
        <v>0</v>
      </c>
    </row>
    <row r="43" spans="1:11" x14ac:dyDescent="0.25">
      <c r="A43" s="4" t="s">
        <v>26</v>
      </c>
      <c r="B43" s="9"/>
      <c r="C43" s="7">
        <f t="shared" si="3"/>
        <v>0</v>
      </c>
      <c r="D43" s="7">
        <f t="shared" si="3"/>
        <v>0</v>
      </c>
      <c r="E43" s="7">
        <f t="shared" si="3"/>
        <v>0</v>
      </c>
      <c r="F43" s="7">
        <f t="shared" si="3"/>
        <v>0</v>
      </c>
      <c r="G43" s="7">
        <f t="shared" si="3"/>
        <v>0</v>
      </c>
      <c r="H43" s="7">
        <f t="shared" si="3"/>
        <v>0</v>
      </c>
      <c r="I43" s="7">
        <f t="shared" si="3"/>
        <v>0</v>
      </c>
      <c r="J43" s="7">
        <f t="shared" si="3"/>
        <v>0</v>
      </c>
      <c r="K43" s="7">
        <f t="shared" si="3"/>
        <v>0</v>
      </c>
    </row>
    <row r="44" spans="1:11" x14ac:dyDescent="0.25">
      <c r="A44" s="4" t="s">
        <v>27</v>
      </c>
      <c r="B44" s="9"/>
      <c r="C44" s="7">
        <f t="shared" si="3"/>
        <v>0</v>
      </c>
      <c r="D44" s="7">
        <f t="shared" si="3"/>
        <v>0</v>
      </c>
      <c r="E44" s="7">
        <f t="shared" si="3"/>
        <v>0</v>
      </c>
      <c r="F44" s="7">
        <f t="shared" si="3"/>
        <v>0</v>
      </c>
      <c r="G44" s="7">
        <f t="shared" si="3"/>
        <v>0</v>
      </c>
      <c r="H44" s="7">
        <f t="shared" si="3"/>
        <v>0</v>
      </c>
      <c r="I44" s="7">
        <f t="shared" si="3"/>
        <v>0</v>
      </c>
      <c r="J44" s="7">
        <f t="shared" si="3"/>
        <v>0</v>
      </c>
      <c r="K44" s="7">
        <f t="shared" si="3"/>
        <v>0</v>
      </c>
    </row>
    <row r="45" spans="1:11" x14ac:dyDescent="0.25">
      <c r="A45" s="4" t="s">
        <v>79</v>
      </c>
      <c r="B45" s="9"/>
      <c r="C45" s="7">
        <f t="shared" si="3"/>
        <v>0</v>
      </c>
      <c r="D45" s="7">
        <f t="shared" si="3"/>
        <v>0</v>
      </c>
      <c r="E45" s="7">
        <f t="shared" si="3"/>
        <v>0</v>
      </c>
      <c r="F45" s="7">
        <f t="shared" si="3"/>
        <v>0</v>
      </c>
      <c r="G45" s="7">
        <f t="shared" si="3"/>
        <v>0</v>
      </c>
      <c r="H45" s="7">
        <f t="shared" si="3"/>
        <v>0</v>
      </c>
      <c r="I45" s="7">
        <f t="shared" si="3"/>
        <v>0</v>
      </c>
      <c r="J45" s="7">
        <f t="shared" si="3"/>
        <v>0</v>
      </c>
      <c r="K45" s="7">
        <f t="shared" si="3"/>
        <v>0</v>
      </c>
    </row>
    <row r="46" spans="1:11" x14ac:dyDescent="0.25">
      <c r="A46" s="4" t="s">
        <v>80</v>
      </c>
      <c r="B46" s="9"/>
      <c r="C46" s="7">
        <f t="shared" si="3"/>
        <v>0</v>
      </c>
      <c r="D46" s="7">
        <f t="shared" si="3"/>
        <v>0</v>
      </c>
      <c r="E46" s="7">
        <f t="shared" si="3"/>
        <v>0</v>
      </c>
      <c r="F46" s="7">
        <f t="shared" si="3"/>
        <v>0</v>
      </c>
      <c r="G46" s="7">
        <f t="shared" si="3"/>
        <v>0</v>
      </c>
      <c r="H46" s="7">
        <f t="shared" si="3"/>
        <v>0</v>
      </c>
      <c r="I46" s="7">
        <f t="shared" si="3"/>
        <v>0</v>
      </c>
      <c r="J46" s="7">
        <f t="shared" si="3"/>
        <v>0</v>
      </c>
      <c r="K46" s="7">
        <f t="shared" si="3"/>
        <v>0</v>
      </c>
    </row>
    <row r="47" spans="1:11" x14ac:dyDescent="0.25">
      <c r="A47" s="4" t="s">
        <v>81</v>
      </c>
      <c r="B47" s="9"/>
      <c r="C47" s="7">
        <f t="shared" si="3"/>
        <v>0</v>
      </c>
      <c r="D47" s="7">
        <f t="shared" si="3"/>
        <v>0</v>
      </c>
      <c r="E47" s="7">
        <f t="shared" si="3"/>
        <v>0</v>
      </c>
      <c r="F47" s="7">
        <f t="shared" si="3"/>
        <v>0</v>
      </c>
      <c r="G47" s="7">
        <f t="shared" si="3"/>
        <v>0</v>
      </c>
      <c r="H47" s="7">
        <f t="shared" si="3"/>
        <v>0</v>
      </c>
      <c r="I47" s="7">
        <f t="shared" si="3"/>
        <v>0</v>
      </c>
      <c r="J47" s="7">
        <f t="shared" si="3"/>
        <v>0</v>
      </c>
      <c r="K47" s="7">
        <f t="shared" si="3"/>
        <v>0</v>
      </c>
    </row>
    <row r="48" spans="1:11" x14ac:dyDescent="0.25">
      <c r="A48" s="4" t="s">
        <v>26</v>
      </c>
      <c r="B48" s="9"/>
      <c r="C48" s="7">
        <f t="shared" si="3"/>
        <v>0</v>
      </c>
      <c r="D48" s="7">
        <f t="shared" si="3"/>
        <v>0</v>
      </c>
      <c r="E48" s="7">
        <f t="shared" si="3"/>
        <v>0</v>
      </c>
      <c r="F48" s="7">
        <f t="shared" si="3"/>
        <v>0</v>
      </c>
      <c r="G48" s="7">
        <f t="shared" si="3"/>
        <v>0</v>
      </c>
      <c r="H48" s="7">
        <f t="shared" si="3"/>
        <v>0</v>
      </c>
      <c r="I48" s="7">
        <f t="shared" si="3"/>
        <v>0</v>
      </c>
      <c r="J48" s="7">
        <f t="shared" si="3"/>
        <v>0</v>
      </c>
      <c r="K48" s="7">
        <f t="shared" si="3"/>
        <v>0</v>
      </c>
    </row>
    <row r="49" spans="1:11" x14ac:dyDescent="0.25">
      <c r="A49" s="4" t="s">
        <v>69</v>
      </c>
      <c r="B49" s="9"/>
      <c r="C49" s="7">
        <f t="shared" si="3"/>
        <v>0</v>
      </c>
      <c r="D49" s="7">
        <f t="shared" si="3"/>
        <v>0</v>
      </c>
      <c r="E49" s="7">
        <f t="shared" si="3"/>
        <v>0</v>
      </c>
      <c r="F49" s="7">
        <f t="shared" si="3"/>
        <v>0</v>
      </c>
      <c r="G49" s="7">
        <f t="shared" si="3"/>
        <v>0</v>
      </c>
      <c r="H49" s="7">
        <f t="shared" si="3"/>
        <v>0</v>
      </c>
      <c r="I49" s="7">
        <f t="shared" si="3"/>
        <v>0</v>
      </c>
      <c r="J49" s="7">
        <f t="shared" si="3"/>
        <v>0</v>
      </c>
      <c r="K49" s="7">
        <f t="shared" si="3"/>
        <v>0</v>
      </c>
    </row>
    <row r="50" spans="1:11" x14ac:dyDescent="0.25">
      <c r="A50" s="4" t="s">
        <v>70</v>
      </c>
      <c r="B50" s="9"/>
      <c r="C50" s="7">
        <f t="shared" si="3"/>
        <v>0</v>
      </c>
      <c r="D50" s="7">
        <f t="shared" si="3"/>
        <v>0</v>
      </c>
      <c r="E50" s="7">
        <f t="shared" si="3"/>
        <v>0</v>
      </c>
      <c r="F50" s="7">
        <f t="shared" si="3"/>
        <v>0</v>
      </c>
      <c r="G50" s="7">
        <f t="shared" si="3"/>
        <v>0</v>
      </c>
      <c r="H50" s="7">
        <f t="shared" si="3"/>
        <v>0</v>
      </c>
      <c r="I50" s="7">
        <f t="shared" si="3"/>
        <v>0</v>
      </c>
      <c r="J50" s="7">
        <f t="shared" si="3"/>
        <v>0</v>
      </c>
      <c r="K50" s="7">
        <f t="shared" si="3"/>
        <v>0</v>
      </c>
    </row>
    <row r="51" spans="1:11" x14ac:dyDescent="0.25">
      <c r="A51" s="4" t="s">
        <v>71</v>
      </c>
      <c r="B51" s="9"/>
      <c r="C51" s="7">
        <f t="shared" si="3"/>
        <v>0</v>
      </c>
      <c r="D51" s="7">
        <f t="shared" si="3"/>
        <v>0</v>
      </c>
      <c r="E51" s="7">
        <f t="shared" si="3"/>
        <v>0</v>
      </c>
      <c r="F51" s="7">
        <f t="shared" si="3"/>
        <v>0</v>
      </c>
      <c r="G51" s="7">
        <f t="shared" si="3"/>
        <v>0</v>
      </c>
      <c r="H51" s="7">
        <f t="shared" si="3"/>
        <v>0</v>
      </c>
      <c r="I51" s="7">
        <f t="shared" si="3"/>
        <v>0</v>
      </c>
      <c r="J51" s="7">
        <f t="shared" si="3"/>
        <v>0</v>
      </c>
      <c r="K51" s="7">
        <f t="shared" si="3"/>
        <v>0</v>
      </c>
    </row>
    <row r="52" spans="1:11" x14ac:dyDescent="0.25">
      <c r="A52" s="4" t="s">
        <v>106</v>
      </c>
      <c r="B52" s="9"/>
      <c r="C52" s="7">
        <f t="shared" si="3"/>
        <v>0</v>
      </c>
      <c r="D52" s="7">
        <f t="shared" si="3"/>
        <v>0</v>
      </c>
      <c r="E52" s="7">
        <f t="shared" si="3"/>
        <v>0</v>
      </c>
      <c r="F52" s="7">
        <f t="shared" si="3"/>
        <v>0</v>
      </c>
      <c r="G52" s="7">
        <f t="shared" si="3"/>
        <v>0</v>
      </c>
      <c r="H52" s="7">
        <f t="shared" si="3"/>
        <v>0</v>
      </c>
      <c r="I52" s="7">
        <f t="shared" si="3"/>
        <v>0</v>
      </c>
      <c r="J52" s="7">
        <f t="shared" si="3"/>
        <v>0</v>
      </c>
      <c r="K52" s="7">
        <f t="shared" si="3"/>
        <v>0</v>
      </c>
    </row>
    <row r="53" spans="1:11" x14ac:dyDescent="0.25">
      <c r="A53" s="4" t="s">
        <v>72</v>
      </c>
      <c r="B53" s="9"/>
      <c r="C53" s="7">
        <f t="shared" si="3"/>
        <v>0</v>
      </c>
      <c r="D53" s="7">
        <f t="shared" si="3"/>
        <v>0</v>
      </c>
      <c r="E53" s="7">
        <f t="shared" si="3"/>
        <v>0</v>
      </c>
      <c r="F53" s="7">
        <f t="shared" si="3"/>
        <v>0</v>
      </c>
      <c r="G53" s="7">
        <f t="shared" si="3"/>
        <v>0</v>
      </c>
      <c r="H53" s="7">
        <f t="shared" si="3"/>
        <v>0</v>
      </c>
      <c r="I53" s="7">
        <f t="shared" si="3"/>
        <v>0</v>
      </c>
      <c r="J53" s="7">
        <f t="shared" si="3"/>
        <v>0</v>
      </c>
      <c r="K53" s="7">
        <f t="shared" si="3"/>
        <v>0</v>
      </c>
    </row>
    <row r="54" spans="1:11" x14ac:dyDescent="0.25">
      <c r="A54" s="4" t="s">
        <v>94</v>
      </c>
      <c r="B54" s="9"/>
      <c r="C54" s="7">
        <f t="shared" si="3"/>
        <v>0</v>
      </c>
      <c r="D54" s="7">
        <f t="shared" si="3"/>
        <v>0</v>
      </c>
      <c r="E54" s="7">
        <f t="shared" si="3"/>
        <v>0</v>
      </c>
      <c r="F54" s="7">
        <f t="shared" si="3"/>
        <v>0</v>
      </c>
      <c r="G54" s="7">
        <f t="shared" si="3"/>
        <v>0</v>
      </c>
      <c r="H54" s="7">
        <f t="shared" si="3"/>
        <v>0</v>
      </c>
      <c r="I54" s="7">
        <f t="shared" si="3"/>
        <v>0</v>
      </c>
      <c r="J54" s="7">
        <f t="shared" si="3"/>
        <v>0</v>
      </c>
      <c r="K54" s="7">
        <f t="shared" si="3"/>
        <v>0</v>
      </c>
    </row>
    <row r="55" spans="1:11" x14ac:dyDescent="0.25">
      <c r="A55" s="4" t="s">
        <v>95</v>
      </c>
      <c r="B55" s="9"/>
      <c r="C55" s="7">
        <f t="shared" ref="C55:K70" si="4">B55*(1+$B$3)</f>
        <v>0</v>
      </c>
      <c r="D55" s="7">
        <f t="shared" si="4"/>
        <v>0</v>
      </c>
      <c r="E55" s="7">
        <f t="shared" si="4"/>
        <v>0</v>
      </c>
      <c r="F55" s="7">
        <f t="shared" si="4"/>
        <v>0</v>
      </c>
      <c r="G55" s="7">
        <f t="shared" si="4"/>
        <v>0</v>
      </c>
      <c r="H55" s="7">
        <f t="shared" si="4"/>
        <v>0</v>
      </c>
      <c r="I55" s="7">
        <f t="shared" si="4"/>
        <v>0</v>
      </c>
      <c r="J55" s="7">
        <f t="shared" si="4"/>
        <v>0</v>
      </c>
      <c r="K55" s="7">
        <f t="shared" si="4"/>
        <v>0</v>
      </c>
    </row>
    <row r="56" spans="1:11" x14ac:dyDescent="0.25">
      <c r="A56" s="4" t="s">
        <v>96</v>
      </c>
      <c r="B56" s="9"/>
      <c r="C56" s="7">
        <f t="shared" si="4"/>
        <v>0</v>
      </c>
      <c r="D56" s="7">
        <f t="shared" si="4"/>
        <v>0</v>
      </c>
      <c r="E56" s="7">
        <f t="shared" si="4"/>
        <v>0</v>
      </c>
      <c r="F56" s="7">
        <f t="shared" si="4"/>
        <v>0</v>
      </c>
      <c r="G56" s="7">
        <f t="shared" si="4"/>
        <v>0</v>
      </c>
      <c r="H56" s="7">
        <f t="shared" si="4"/>
        <v>0</v>
      </c>
      <c r="I56" s="7">
        <f t="shared" si="4"/>
        <v>0</v>
      </c>
      <c r="J56" s="7">
        <f t="shared" si="4"/>
        <v>0</v>
      </c>
      <c r="K56" s="7">
        <f t="shared" si="4"/>
        <v>0</v>
      </c>
    </row>
    <row r="57" spans="1:11" x14ac:dyDescent="0.25">
      <c r="A57" s="4" t="s">
        <v>73</v>
      </c>
      <c r="B57" s="9"/>
      <c r="C57" s="7">
        <f t="shared" si="4"/>
        <v>0</v>
      </c>
      <c r="D57" s="7">
        <f t="shared" si="4"/>
        <v>0</v>
      </c>
      <c r="E57" s="7">
        <f t="shared" si="4"/>
        <v>0</v>
      </c>
      <c r="F57" s="7">
        <f t="shared" si="4"/>
        <v>0</v>
      </c>
      <c r="G57" s="7">
        <f t="shared" si="4"/>
        <v>0</v>
      </c>
      <c r="H57" s="7">
        <f t="shared" si="4"/>
        <v>0</v>
      </c>
      <c r="I57" s="7">
        <f t="shared" si="4"/>
        <v>0</v>
      </c>
      <c r="J57" s="7">
        <f t="shared" si="4"/>
        <v>0</v>
      </c>
      <c r="K57" s="7">
        <f t="shared" si="4"/>
        <v>0</v>
      </c>
    </row>
    <row r="58" spans="1:11" x14ac:dyDescent="0.25">
      <c r="A58" s="4" t="s">
        <v>97</v>
      </c>
      <c r="B58" s="9"/>
      <c r="C58" s="7">
        <f t="shared" si="4"/>
        <v>0</v>
      </c>
      <c r="D58" s="7">
        <f t="shared" si="4"/>
        <v>0</v>
      </c>
      <c r="E58" s="7">
        <f t="shared" si="4"/>
        <v>0</v>
      </c>
      <c r="F58" s="7">
        <f t="shared" si="4"/>
        <v>0</v>
      </c>
      <c r="G58" s="7">
        <f t="shared" si="4"/>
        <v>0</v>
      </c>
      <c r="H58" s="7">
        <f t="shared" si="4"/>
        <v>0</v>
      </c>
      <c r="I58" s="7">
        <f t="shared" si="4"/>
        <v>0</v>
      </c>
      <c r="J58" s="7">
        <f t="shared" si="4"/>
        <v>0</v>
      </c>
      <c r="K58" s="7">
        <f t="shared" si="4"/>
        <v>0</v>
      </c>
    </row>
    <row r="59" spans="1:11" x14ac:dyDescent="0.25">
      <c r="A59" s="4" t="s">
        <v>98</v>
      </c>
      <c r="B59" s="9"/>
      <c r="C59" s="7">
        <f t="shared" si="4"/>
        <v>0</v>
      </c>
      <c r="D59" s="7">
        <f t="shared" si="4"/>
        <v>0</v>
      </c>
      <c r="E59" s="7">
        <f t="shared" si="4"/>
        <v>0</v>
      </c>
      <c r="F59" s="7">
        <f t="shared" si="4"/>
        <v>0</v>
      </c>
      <c r="G59" s="7">
        <f t="shared" si="4"/>
        <v>0</v>
      </c>
      <c r="H59" s="7">
        <f t="shared" si="4"/>
        <v>0</v>
      </c>
      <c r="I59" s="7">
        <f t="shared" si="4"/>
        <v>0</v>
      </c>
      <c r="J59" s="7">
        <f t="shared" si="4"/>
        <v>0</v>
      </c>
      <c r="K59" s="7">
        <f t="shared" si="4"/>
        <v>0</v>
      </c>
    </row>
    <row r="60" spans="1:11" x14ac:dyDescent="0.25">
      <c r="A60" s="4" t="s">
        <v>74</v>
      </c>
      <c r="B60" s="9"/>
      <c r="C60" s="7">
        <f t="shared" si="4"/>
        <v>0</v>
      </c>
      <c r="D60" s="7">
        <f t="shared" si="4"/>
        <v>0</v>
      </c>
      <c r="E60" s="7">
        <f t="shared" si="4"/>
        <v>0</v>
      </c>
      <c r="F60" s="7">
        <f t="shared" si="4"/>
        <v>0</v>
      </c>
      <c r="G60" s="7">
        <f t="shared" si="4"/>
        <v>0</v>
      </c>
      <c r="H60" s="7">
        <f t="shared" si="4"/>
        <v>0</v>
      </c>
      <c r="I60" s="7">
        <f t="shared" si="4"/>
        <v>0</v>
      </c>
      <c r="J60" s="7">
        <f t="shared" si="4"/>
        <v>0</v>
      </c>
      <c r="K60" s="7">
        <f t="shared" si="4"/>
        <v>0</v>
      </c>
    </row>
    <row r="61" spans="1:11" x14ac:dyDescent="0.25">
      <c r="A61" s="4" t="s">
        <v>75</v>
      </c>
      <c r="B61" s="9"/>
      <c r="C61" s="7">
        <f t="shared" si="4"/>
        <v>0</v>
      </c>
      <c r="D61" s="7">
        <f t="shared" si="4"/>
        <v>0</v>
      </c>
      <c r="E61" s="7">
        <f t="shared" si="4"/>
        <v>0</v>
      </c>
      <c r="F61" s="7">
        <f t="shared" si="4"/>
        <v>0</v>
      </c>
      <c r="G61" s="7">
        <f t="shared" si="4"/>
        <v>0</v>
      </c>
      <c r="H61" s="7">
        <f t="shared" si="4"/>
        <v>0</v>
      </c>
      <c r="I61" s="7">
        <f t="shared" si="4"/>
        <v>0</v>
      </c>
      <c r="J61" s="7">
        <f t="shared" si="4"/>
        <v>0</v>
      </c>
      <c r="K61" s="7">
        <f t="shared" si="4"/>
        <v>0</v>
      </c>
    </row>
    <row r="62" spans="1:11" x14ac:dyDescent="0.25">
      <c r="A62" s="4" t="s">
        <v>76</v>
      </c>
      <c r="B62" s="9"/>
      <c r="C62" s="7">
        <f t="shared" si="4"/>
        <v>0</v>
      </c>
      <c r="D62" s="7">
        <f t="shared" si="4"/>
        <v>0</v>
      </c>
      <c r="E62" s="7">
        <f t="shared" si="4"/>
        <v>0</v>
      </c>
      <c r="F62" s="7">
        <f t="shared" si="4"/>
        <v>0</v>
      </c>
      <c r="G62" s="7">
        <f t="shared" si="4"/>
        <v>0</v>
      </c>
      <c r="H62" s="7">
        <f t="shared" si="4"/>
        <v>0</v>
      </c>
      <c r="I62" s="7">
        <f t="shared" si="4"/>
        <v>0</v>
      </c>
      <c r="J62" s="7">
        <f t="shared" si="4"/>
        <v>0</v>
      </c>
      <c r="K62" s="7">
        <f t="shared" si="4"/>
        <v>0</v>
      </c>
    </row>
    <row r="63" spans="1:11" x14ac:dyDescent="0.25">
      <c r="A63" s="4" t="s">
        <v>99</v>
      </c>
      <c r="B63" s="9"/>
      <c r="C63" s="7">
        <f t="shared" si="4"/>
        <v>0</v>
      </c>
      <c r="D63" s="7">
        <f t="shared" si="4"/>
        <v>0</v>
      </c>
      <c r="E63" s="7">
        <f t="shared" si="4"/>
        <v>0</v>
      </c>
      <c r="F63" s="7">
        <f t="shared" si="4"/>
        <v>0</v>
      </c>
      <c r="G63" s="7">
        <f t="shared" si="4"/>
        <v>0</v>
      </c>
      <c r="H63" s="7">
        <f t="shared" si="4"/>
        <v>0</v>
      </c>
      <c r="I63" s="7">
        <f t="shared" si="4"/>
        <v>0</v>
      </c>
      <c r="J63" s="7">
        <f t="shared" si="4"/>
        <v>0</v>
      </c>
      <c r="K63" s="7">
        <f t="shared" si="4"/>
        <v>0</v>
      </c>
    </row>
    <row r="64" spans="1:11" x14ac:dyDescent="0.25">
      <c r="A64" s="4" t="s">
        <v>100</v>
      </c>
      <c r="B64" s="9"/>
      <c r="C64" s="7">
        <f t="shared" si="4"/>
        <v>0</v>
      </c>
      <c r="D64" s="7">
        <f t="shared" si="4"/>
        <v>0</v>
      </c>
      <c r="E64" s="7">
        <f t="shared" si="4"/>
        <v>0</v>
      </c>
      <c r="F64" s="7">
        <f t="shared" si="4"/>
        <v>0</v>
      </c>
      <c r="G64" s="7">
        <f t="shared" si="4"/>
        <v>0</v>
      </c>
      <c r="H64" s="7">
        <f t="shared" si="4"/>
        <v>0</v>
      </c>
      <c r="I64" s="7">
        <f t="shared" si="4"/>
        <v>0</v>
      </c>
      <c r="J64" s="7">
        <f t="shared" si="4"/>
        <v>0</v>
      </c>
      <c r="K64" s="7">
        <f t="shared" si="4"/>
        <v>0</v>
      </c>
    </row>
    <row r="65" spans="1:11" x14ac:dyDescent="0.25">
      <c r="A65" s="4" t="s">
        <v>78</v>
      </c>
      <c r="B65" s="9"/>
      <c r="C65" s="7">
        <f t="shared" si="4"/>
        <v>0</v>
      </c>
      <c r="D65" s="7">
        <f t="shared" si="4"/>
        <v>0</v>
      </c>
      <c r="E65" s="7">
        <f t="shared" si="4"/>
        <v>0</v>
      </c>
      <c r="F65" s="7">
        <f t="shared" si="4"/>
        <v>0</v>
      </c>
      <c r="G65" s="7">
        <f t="shared" si="4"/>
        <v>0</v>
      </c>
      <c r="H65" s="7">
        <f t="shared" si="4"/>
        <v>0</v>
      </c>
      <c r="I65" s="7">
        <f t="shared" si="4"/>
        <v>0</v>
      </c>
      <c r="J65" s="7">
        <f t="shared" si="4"/>
        <v>0</v>
      </c>
      <c r="K65" s="7">
        <f t="shared" si="4"/>
        <v>0</v>
      </c>
    </row>
    <row r="66" spans="1:11" x14ac:dyDescent="0.25">
      <c r="A66" s="4" t="s">
        <v>101</v>
      </c>
      <c r="B66" s="9"/>
      <c r="C66" s="7">
        <f t="shared" si="4"/>
        <v>0</v>
      </c>
      <c r="D66" s="7">
        <f t="shared" si="4"/>
        <v>0</v>
      </c>
      <c r="E66" s="7">
        <f t="shared" si="4"/>
        <v>0</v>
      </c>
      <c r="F66" s="7">
        <f t="shared" si="4"/>
        <v>0</v>
      </c>
      <c r="G66" s="7">
        <f t="shared" si="4"/>
        <v>0</v>
      </c>
      <c r="H66" s="7">
        <f t="shared" si="4"/>
        <v>0</v>
      </c>
      <c r="I66" s="7">
        <f t="shared" si="4"/>
        <v>0</v>
      </c>
      <c r="J66" s="7">
        <f t="shared" si="4"/>
        <v>0</v>
      </c>
      <c r="K66" s="7">
        <f t="shared" si="4"/>
        <v>0</v>
      </c>
    </row>
    <row r="67" spans="1:11" x14ac:dyDescent="0.25">
      <c r="A67" s="4" t="s">
        <v>102</v>
      </c>
      <c r="B67" s="9"/>
      <c r="C67" s="7">
        <f t="shared" si="4"/>
        <v>0</v>
      </c>
      <c r="D67" s="7">
        <f t="shared" si="4"/>
        <v>0</v>
      </c>
      <c r="E67" s="7">
        <f t="shared" si="4"/>
        <v>0</v>
      </c>
      <c r="F67" s="7">
        <f t="shared" si="4"/>
        <v>0</v>
      </c>
      <c r="G67" s="7">
        <f t="shared" si="4"/>
        <v>0</v>
      </c>
      <c r="H67" s="7">
        <f t="shared" si="4"/>
        <v>0</v>
      </c>
      <c r="I67" s="7">
        <f t="shared" si="4"/>
        <v>0</v>
      </c>
      <c r="J67" s="7">
        <f t="shared" si="4"/>
        <v>0</v>
      </c>
      <c r="K67" s="7">
        <f t="shared" si="4"/>
        <v>0</v>
      </c>
    </row>
    <row r="68" spans="1:11" x14ac:dyDescent="0.25">
      <c r="A68" s="4" t="s">
        <v>77</v>
      </c>
      <c r="B68" s="9"/>
      <c r="C68" s="7">
        <f t="shared" si="4"/>
        <v>0</v>
      </c>
      <c r="D68" s="7">
        <f t="shared" si="4"/>
        <v>0</v>
      </c>
      <c r="E68" s="7">
        <f t="shared" si="4"/>
        <v>0</v>
      </c>
      <c r="F68" s="7">
        <f t="shared" si="4"/>
        <v>0</v>
      </c>
      <c r="G68" s="7">
        <f t="shared" si="4"/>
        <v>0</v>
      </c>
      <c r="H68" s="7">
        <f t="shared" si="4"/>
        <v>0</v>
      </c>
      <c r="I68" s="7">
        <f t="shared" si="4"/>
        <v>0</v>
      </c>
      <c r="J68" s="7">
        <f t="shared" si="4"/>
        <v>0</v>
      </c>
      <c r="K68" s="7">
        <f t="shared" si="4"/>
        <v>0</v>
      </c>
    </row>
    <row r="69" spans="1:11" x14ac:dyDescent="0.25">
      <c r="A69" s="4" t="s">
        <v>21</v>
      </c>
      <c r="B69" s="9"/>
      <c r="C69" s="7">
        <f t="shared" si="4"/>
        <v>0</v>
      </c>
      <c r="D69" s="7">
        <f t="shared" si="4"/>
        <v>0</v>
      </c>
      <c r="E69" s="7">
        <f t="shared" si="4"/>
        <v>0</v>
      </c>
      <c r="F69" s="7">
        <f t="shared" si="4"/>
        <v>0</v>
      </c>
      <c r="G69" s="7">
        <f t="shared" si="4"/>
        <v>0</v>
      </c>
      <c r="H69" s="7">
        <f t="shared" si="4"/>
        <v>0</v>
      </c>
      <c r="I69" s="7">
        <f t="shared" si="4"/>
        <v>0</v>
      </c>
      <c r="J69" s="7">
        <f t="shared" si="4"/>
        <v>0</v>
      </c>
      <c r="K69" s="7">
        <f t="shared" si="4"/>
        <v>0</v>
      </c>
    </row>
    <row r="70" spans="1:11" x14ac:dyDescent="0.25">
      <c r="A70" s="4" t="s">
        <v>22</v>
      </c>
      <c r="B70" s="9"/>
      <c r="C70" s="7">
        <f t="shared" si="4"/>
        <v>0</v>
      </c>
      <c r="D70" s="7">
        <f t="shared" si="4"/>
        <v>0</v>
      </c>
      <c r="E70" s="7">
        <f t="shared" si="4"/>
        <v>0</v>
      </c>
      <c r="F70" s="7">
        <f t="shared" si="4"/>
        <v>0</v>
      </c>
      <c r="G70" s="7">
        <f t="shared" si="4"/>
        <v>0</v>
      </c>
      <c r="H70" s="7">
        <f t="shared" si="4"/>
        <v>0</v>
      </c>
      <c r="I70" s="7">
        <f t="shared" si="4"/>
        <v>0</v>
      </c>
      <c r="J70" s="7">
        <f t="shared" si="4"/>
        <v>0</v>
      </c>
      <c r="K70" s="7">
        <f t="shared" si="4"/>
        <v>0</v>
      </c>
    </row>
    <row r="71" spans="1:11" x14ac:dyDescent="0.25">
      <c r="A71" s="4" t="s">
        <v>103</v>
      </c>
      <c r="B71" s="9"/>
      <c r="C71" s="7">
        <f t="shared" ref="C71:K73" si="5">B71*(1+$B$3)</f>
        <v>0</v>
      </c>
      <c r="D71" s="7">
        <f t="shared" si="5"/>
        <v>0</v>
      </c>
      <c r="E71" s="7">
        <f t="shared" si="5"/>
        <v>0</v>
      </c>
      <c r="F71" s="7">
        <f t="shared" si="5"/>
        <v>0</v>
      </c>
      <c r="G71" s="7">
        <f t="shared" si="5"/>
        <v>0</v>
      </c>
      <c r="H71" s="7">
        <f t="shared" si="5"/>
        <v>0</v>
      </c>
      <c r="I71" s="7">
        <f t="shared" si="5"/>
        <v>0</v>
      </c>
      <c r="J71" s="7">
        <f t="shared" si="5"/>
        <v>0</v>
      </c>
      <c r="K71" s="7">
        <f t="shared" si="5"/>
        <v>0</v>
      </c>
    </row>
    <row r="72" spans="1:11" x14ac:dyDescent="0.25">
      <c r="A72" s="4" t="s">
        <v>104</v>
      </c>
      <c r="B72" s="9"/>
      <c r="C72" s="7">
        <f t="shared" si="5"/>
        <v>0</v>
      </c>
      <c r="D72" s="7">
        <f t="shared" si="5"/>
        <v>0</v>
      </c>
      <c r="E72" s="7">
        <f t="shared" si="5"/>
        <v>0</v>
      </c>
      <c r="F72" s="7">
        <f t="shared" si="5"/>
        <v>0</v>
      </c>
      <c r="G72" s="7">
        <f t="shared" si="5"/>
        <v>0</v>
      </c>
      <c r="H72" s="7">
        <f t="shared" si="5"/>
        <v>0</v>
      </c>
      <c r="I72" s="7">
        <f t="shared" si="5"/>
        <v>0</v>
      </c>
      <c r="J72" s="7">
        <f t="shared" si="5"/>
        <v>0</v>
      </c>
      <c r="K72" s="7">
        <f t="shared" si="5"/>
        <v>0</v>
      </c>
    </row>
    <row r="73" spans="1:11" x14ac:dyDescent="0.25">
      <c r="A73" s="4" t="s">
        <v>105</v>
      </c>
      <c r="B73" s="9"/>
      <c r="C73" s="7">
        <f t="shared" si="5"/>
        <v>0</v>
      </c>
      <c r="D73" s="7">
        <f t="shared" si="5"/>
        <v>0</v>
      </c>
      <c r="E73" s="7">
        <f t="shared" si="5"/>
        <v>0</v>
      </c>
      <c r="F73" s="7">
        <f t="shared" si="5"/>
        <v>0</v>
      </c>
      <c r="G73" s="7">
        <f t="shared" si="5"/>
        <v>0</v>
      </c>
      <c r="H73" s="7">
        <f t="shared" si="5"/>
        <v>0</v>
      </c>
      <c r="I73" s="7">
        <f t="shared" si="5"/>
        <v>0</v>
      </c>
      <c r="J73" s="7">
        <f t="shared" si="5"/>
        <v>0</v>
      </c>
      <c r="K73" s="7">
        <f t="shared" si="5"/>
        <v>0</v>
      </c>
    </row>
  </sheetData>
  <mergeCells count="3">
    <mergeCell ref="B1:K1"/>
    <mergeCell ref="B4:F4"/>
    <mergeCell ref="G4:K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317F7-7551-44CE-BD0C-ABF573FD10CA}">
  <dimension ref="A1:Y47"/>
  <sheetViews>
    <sheetView topLeftCell="H2" workbookViewId="0">
      <selection activeCell="Z38" sqref="Z38"/>
    </sheetView>
  </sheetViews>
  <sheetFormatPr defaultRowHeight="15" x14ac:dyDescent="0.25"/>
  <cols>
    <col min="1" max="1" width="39.42578125" bestFit="1" customWidth="1"/>
    <col min="2" max="2" width="6.140625" bestFit="1" customWidth="1"/>
    <col min="3" max="3" width="4" bestFit="1" customWidth="1"/>
    <col min="4" max="4" width="5.5703125" bestFit="1" customWidth="1"/>
    <col min="5" max="5" width="12.7109375" bestFit="1" customWidth="1"/>
    <col min="6" max="6" width="39.42578125" bestFit="1" customWidth="1"/>
    <col min="7" max="7" width="6.140625" bestFit="1" customWidth="1"/>
    <col min="8" max="8" width="4" bestFit="1" customWidth="1"/>
    <col min="9" max="9" width="5.5703125" bestFit="1" customWidth="1"/>
    <col min="10" max="10" width="12.7109375" bestFit="1" customWidth="1"/>
    <col min="11" max="11" width="39.42578125" bestFit="1" customWidth="1"/>
    <col min="12" max="12" width="6.140625" bestFit="1" customWidth="1"/>
    <col min="13" max="13" width="4" bestFit="1" customWidth="1"/>
    <col min="14" max="14" width="5.5703125" bestFit="1" customWidth="1"/>
    <col min="15" max="15" width="12.7109375" bestFit="1" customWidth="1"/>
    <col min="16" max="16" width="39.42578125" bestFit="1" customWidth="1"/>
    <col min="17" max="17" width="6.140625" bestFit="1" customWidth="1"/>
    <col min="18" max="18" width="4" bestFit="1" customWidth="1"/>
    <col min="19" max="19" width="5.5703125" bestFit="1" customWidth="1"/>
    <col min="20" max="20" width="12.7109375" bestFit="1" customWidth="1"/>
    <col min="21" max="21" width="39.42578125" bestFit="1" customWidth="1"/>
    <col min="22" max="22" width="6.140625" bestFit="1" customWidth="1"/>
    <col min="23" max="23" width="4" bestFit="1" customWidth="1"/>
    <col min="24" max="24" width="5.5703125" bestFit="1" customWidth="1"/>
    <col min="25" max="25" width="12.7109375" bestFit="1" customWidth="1"/>
  </cols>
  <sheetData>
    <row r="1" spans="1:25" x14ac:dyDescent="0.25">
      <c r="A1" s="1" t="s">
        <v>116</v>
      </c>
    </row>
    <row r="2" spans="1:25" ht="15.75" thickBot="1" x14ac:dyDescent="0.3"/>
    <row r="3" spans="1:25" x14ac:dyDescent="0.25">
      <c r="A3" s="10" t="s">
        <v>107</v>
      </c>
      <c r="B3" s="11"/>
      <c r="C3" s="11"/>
      <c r="D3" s="11"/>
      <c r="E3" s="12"/>
      <c r="F3" s="10" t="s">
        <v>120</v>
      </c>
      <c r="G3" s="11"/>
      <c r="H3" s="11"/>
      <c r="I3" s="11"/>
      <c r="J3" s="12"/>
      <c r="K3" s="10" t="s">
        <v>121</v>
      </c>
      <c r="L3" s="11"/>
      <c r="M3" s="11"/>
      <c r="N3" s="11"/>
      <c r="O3" s="12"/>
      <c r="P3" s="10" t="s">
        <v>123</v>
      </c>
      <c r="Q3" s="11"/>
      <c r="R3" s="11"/>
      <c r="S3" s="11"/>
      <c r="T3" s="21"/>
      <c r="U3" s="10" t="s">
        <v>122</v>
      </c>
      <c r="V3" s="11"/>
      <c r="W3" s="11"/>
      <c r="X3" s="11"/>
      <c r="Y3" s="12"/>
    </row>
    <row r="4" spans="1:25" x14ac:dyDescent="0.25">
      <c r="A4" s="13" t="s">
        <v>124</v>
      </c>
      <c r="B4" s="4"/>
      <c r="C4" s="4"/>
      <c r="D4" s="4"/>
      <c r="E4" s="14"/>
      <c r="F4" s="13" t="s">
        <v>126</v>
      </c>
      <c r="G4" s="4"/>
      <c r="H4" s="4"/>
      <c r="I4" s="4"/>
      <c r="J4" s="14"/>
      <c r="K4" s="13" t="s">
        <v>127</v>
      </c>
      <c r="L4" s="4"/>
      <c r="M4" s="4"/>
      <c r="N4" s="4"/>
      <c r="O4" s="14"/>
      <c r="P4" s="13" t="s">
        <v>128</v>
      </c>
      <c r="Q4" s="4"/>
      <c r="R4" s="4"/>
      <c r="S4" s="4"/>
      <c r="T4" s="22"/>
      <c r="U4" s="13" t="s">
        <v>129</v>
      </c>
      <c r="V4" s="4"/>
      <c r="W4" s="4"/>
      <c r="X4" s="4"/>
      <c r="Y4" s="14"/>
    </row>
    <row r="5" spans="1:25" x14ac:dyDescent="0.25">
      <c r="A5" s="13" t="s">
        <v>108</v>
      </c>
      <c r="B5" s="4" t="s">
        <v>109</v>
      </c>
      <c r="C5" s="4" t="s">
        <v>110</v>
      </c>
      <c r="D5" s="4" t="s">
        <v>111</v>
      </c>
      <c r="E5" s="14" t="s">
        <v>112</v>
      </c>
      <c r="F5" s="13" t="s">
        <v>108</v>
      </c>
      <c r="G5" s="4" t="s">
        <v>109</v>
      </c>
      <c r="H5" s="4" t="s">
        <v>110</v>
      </c>
      <c r="I5" s="4" t="s">
        <v>111</v>
      </c>
      <c r="J5" s="14" t="s">
        <v>112</v>
      </c>
      <c r="K5" s="13" t="s">
        <v>108</v>
      </c>
      <c r="L5" s="4" t="s">
        <v>109</v>
      </c>
      <c r="M5" s="4" t="s">
        <v>110</v>
      </c>
      <c r="N5" s="4" t="s">
        <v>111</v>
      </c>
      <c r="O5" s="14" t="s">
        <v>112</v>
      </c>
      <c r="P5" s="13" t="s">
        <v>108</v>
      </c>
      <c r="Q5" s="4" t="s">
        <v>109</v>
      </c>
      <c r="R5" s="4" t="s">
        <v>110</v>
      </c>
      <c r="S5" s="4" t="s">
        <v>111</v>
      </c>
      <c r="T5" s="22" t="s">
        <v>112</v>
      </c>
      <c r="U5" s="13" t="s">
        <v>108</v>
      </c>
      <c r="V5" s="4" t="s">
        <v>109</v>
      </c>
      <c r="W5" s="4" t="s">
        <v>110</v>
      </c>
      <c r="X5" s="4" t="s">
        <v>111</v>
      </c>
      <c r="Y5" s="14" t="s">
        <v>112</v>
      </c>
    </row>
    <row r="6" spans="1:25" x14ac:dyDescent="0.25">
      <c r="A6" s="15" t="str" cm="1">
        <f t="array" ref="A6:A36">'Program Integration IDIQ Price'!A6:A36</f>
        <v>Project Manager V</v>
      </c>
      <c r="B6" s="4"/>
      <c r="C6" s="4">
        <f>B6/1880</f>
        <v>0</v>
      </c>
      <c r="D6" s="7">
        <f>'Program Integration IDIQ Price'!B6</f>
        <v>0</v>
      </c>
      <c r="E6" s="16">
        <f>B6*D6</f>
        <v>0</v>
      </c>
      <c r="F6" s="15" t="str">
        <f>$A6</f>
        <v>Project Manager V</v>
      </c>
      <c r="G6" s="4"/>
      <c r="H6" s="4">
        <f>G6/1880</f>
        <v>0</v>
      </c>
      <c r="I6" s="7">
        <f>'Program Integration IDIQ Price'!C6</f>
        <v>0</v>
      </c>
      <c r="J6" s="16">
        <f>G6*I6</f>
        <v>0</v>
      </c>
      <c r="K6" s="15" t="str">
        <f>$A6</f>
        <v>Project Manager V</v>
      </c>
      <c r="L6" s="4"/>
      <c r="M6" s="4">
        <f>L6/1880</f>
        <v>0</v>
      </c>
      <c r="N6" s="7">
        <f>'Program Integration IDIQ Price'!D6</f>
        <v>0</v>
      </c>
      <c r="O6" s="16">
        <f>L6*N6</f>
        <v>0</v>
      </c>
      <c r="P6" s="15" t="str">
        <f>$A6</f>
        <v>Project Manager V</v>
      </c>
      <c r="Q6" s="4"/>
      <c r="R6" s="4">
        <f>Q6/1880</f>
        <v>0</v>
      </c>
      <c r="S6" s="7">
        <f>'Program Integration IDIQ Price'!E6</f>
        <v>0</v>
      </c>
      <c r="T6" s="23">
        <f>Q6*S6</f>
        <v>0</v>
      </c>
      <c r="U6" s="15" t="str">
        <f>$A6</f>
        <v>Project Manager V</v>
      </c>
      <c r="V6" s="4"/>
      <c r="W6" s="4">
        <f>V6/1880</f>
        <v>0</v>
      </c>
      <c r="X6" s="7">
        <f>'Program Integration IDIQ Price'!F6</f>
        <v>0</v>
      </c>
      <c r="Y6" s="16">
        <f>V6*X6</f>
        <v>0</v>
      </c>
    </row>
    <row r="7" spans="1:25" x14ac:dyDescent="0.25">
      <c r="A7" s="15" t="str">
        <v>Project Manager IV</v>
      </c>
      <c r="B7" s="4"/>
      <c r="C7" s="4">
        <f t="shared" ref="C7:C36" si="0">B7/1880</f>
        <v>0</v>
      </c>
      <c r="D7" s="7">
        <f>'Program Integration IDIQ Price'!B7</f>
        <v>0</v>
      </c>
      <c r="E7" s="16">
        <f t="shared" ref="E7:E36" si="1">B7*D7</f>
        <v>0</v>
      </c>
      <c r="F7" s="15" t="str">
        <f t="shared" ref="F7:F36" si="2">$A7</f>
        <v>Project Manager IV</v>
      </c>
      <c r="G7" s="4"/>
      <c r="H7" s="4">
        <f t="shared" ref="H7:H36" si="3">G7/1880</f>
        <v>0</v>
      </c>
      <c r="I7" s="7">
        <f>'Program Integration IDIQ Price'!C7</f>
        <v>0</v>
      </c>
      <c r="J7" s="16">
        <f t="shared" ref="J7:J36" si="4">G7*I7</f>
        <v>0</v>
      </c>
      <c r="K7" s="15" t="str">
        <f t="shared" ref="K7:K36" si="5">$A7</f>
        <v>Project Manager IV</v>
      </c>
      <c r="L7" s="4"/>
      <c r="M7" s="4">
        <f t="shared" ref="M7:M36" si="6">L7/1880</f>
        <v>0</v>
      </c>
      <c r="N7" s="7">
        <f>'Program Integration IDIQ Price'!D7</f>
        <v>0</v>
      </c>
      <c r="O7" s="16">
        <f t="shared" ref="O7:O36" si="7">L7*N7</f>
        <v>0</v>
      </c>
      <c r="P7" s="15" t="str">
        <f t="shared" ref="P7:P36" si="8">$A7</f>
        <v>Project Manager IV</v>
      </c>
      <c r="Q7" s="4"/>
      <c r="R7" s="4">
        <f t="shared" ref="R7:R36" si="9">Q7/1880</f>
        <v>0</v>
      </c>
      <c r="S7" s="7">
        <f>'Program Integration IDIQ Price'!E7</f>
        <v>0</v>
      </c>
      <c r="T7" s="23">
        <f t="shared" ref="T7:T36" si="10">Q7*S7</f>
        <v>0</v>
      </c>
      <c r="U7" s="15" t="str">
        <f t="shared" ref="U7:U36" si="11">$A7</f>
        <v>Project Manager IV</v>
      </c>
      <c r="V7" s="4"/>
      <c r="W7" s="4">
        <f t="shared" ref="W7:W36" si="12">V7/1880</f>
        <v>0</v>
      </c>
      <c r="X7" s="7">
        <f>'Program Integration IDIQ Price'!F7</f>
        <v>0</v>
      </c>
      <c r="Y7" s="16">
        <f t="shared" ref="Y7:Y36" si="13">V7*X7</f>
        <v>0</v>
      </c>
    </row>
    <row r="8" spans="1:25" x14ac:dyDescent="0.25">
      <c r="A8" s="15" t="str">
        <v>System Engineer V</v>
      </c>
      <c r="B8" s="4"/>
      <c r="C8" s="4">
        <f t="shared" si="0"/>
        <v>0</v>
      </c>
      <c r="D8" s="7">
        <f>'Program Integration IDIQ Price'!B8</f>
        <v>0</v>
      </c>
      <c r="E8" s="16">
        <f t="shared" si="1"/>
        <v>0</v>
      </c>
      <c r="F8" s="15" t="str">
        <f t="shared" si="2"/>
        <v>System Engineer V</v>
      </c>
      <c r="G8" s="4"/>
      <c r="H8" s="4">
        <f t="shared" si="3"/>
        <v>0</v>
      </c>
      <c r="I8" s="7">
        <f>'Program Integration IDIQ Price'!C8</f>
        <v>0</v>
      </c>
      <c r="J8" s="16">
        <f t="shared" si="4"/>
        <v>0</v>
      </c>
      <c r="K8" s="15" t="str">
        <f t="shared" si="5"/>
        <v>System Engineer V</v>
      </c>
      <c r="L8" s="4"/>
      <c r="M8" s="4">
        <f t="shared" si="6"/>
        <v>0</v>
      </c>
      <c r="N8" s="7">
        <f>'Program Integration IDIQ Price'!D8</f>
        <v>0</v>
      </c>
      <c r="O8" s="16">
        <f t="shared" si="7"/>
        <v>0</v>
      </c>
      <c r="P8" s="15" t="str">
        <f t="shared" si="8"/>
        <v>System Engineer V</v>
      </c>
      <c r="Q8" s="4"/>
      <c r="R8" s="4">
        <f t="shared" si="9"/>
        <v>0</v>
      </c>
      <c r="S8" s="7">
        <f>'Program Integration IDIQ Price'!E8</f>
        <v>0</v>
      </c>
      <c r="T8" s="23">
        <f t="shared" si="10"/>
        <v>0</v>
      </c>
      <c r="U8" s="15" t="str">
        <f t="shared" si="11"/>
        <v>System Engineer V</v>
      </c>
      <c r="V8" s="4"/>
      <c r="W8" s="4">
        <f t="shared" si="12"/>
        <v>0</v>
      </c>
      <c r="X8" s="7">
        <f>'Program Integration IDIQ Price'!F8</f>
        <v>0</v>
      </c>
      <c r="Y8" s="16">
        <f t="shared" si="13"/>
        <v>0</v>
      </c>
    </row>
    <row r="9" spans="1:25" x14ac:dyDescent="0.25">
      <c r="A9" s="15" t="str">
        <v>System Engineer IV</v>
      </c>
      <c r="B9" s="4"/>
      <c r="C9" s="4">
        <f t="shared" si="0"/>
        <v>0</v>
      </c>
      <c r="D9" s="7">
        <f>'Program Integration IDIQ Price'!B9</f>
        <v>0</v>
      </c>
      <c r="E9" s="16">
        <f t="shared" si="1"/>
        <v>0</v>
      </c>
      <c r="F9" s="15" t="str">
        <f t="shared" si="2"/>
        <v>System Engineer IV</v>
      </c>
      <c r="G9" s="4"/>
      <c r="H9" s="4">
        <f t="shared" si="3"/>
        <v>0</v>
      </c>
      <c r="I9" s="7">
        <f>'Program Integration IDIQ Price'!C9</f>
        <v>0</v>
      </c>
      <c r="J9" s="16">
        <f t="shared" si="4"/>
        <v>0</v>
      </c>
      <c r="K9" s="15" t="str">
        <f t="shared" si="5"/>
        <v>System Engineer IV</v>
      </c>
      <c r="L9" s="4"/>
      <c r="M9" s="4">
        <f t="shared" si="6"/>
        <v>0</v>
      </c>
      <c r="N9" s="7">
        <f>'Program Integration IDIQ Price'!D9</f>
        <v>0</v>
      </c>
      <c r="O9" s="16">
        <f t="shared" si="7"/>
        <v>0</v>
      </c>
      <c r="P9" s="15" t="str">
        <f t="shared" si="8"/>
        <v>System Engineer IV</v>
      </c>
      <c r="Q9" s="4"/>
      <c r="R9" s="4">
        <f t="shared" si="9"/>
        <v>0</v>
      </c>
      <c r="S9" s="7">
        <f>'Program Integration IDIQ Price'!E9</f>
        <v>0</v>
      </c>
      <c r="T9" s="23">
        <f t="shared" si="10"/>
        <v>0</v>
      </c>
      <c r="U9" s="15" t="str">
        <f t="shared" si="11"/>
        <v>System Engineer IV</v>
      </c>
      <c r="V9" s="4"/>
      <c r="W9" s="4">
        <f t="shared" si="12"/>
        <v>0</v>
      </c>
      <c r="X9" s="7">
        <f>'Program Integration IDIQ Price'!F9</f>
        <v>0</v>
      </c>
      <c r="Y9" s="16">
        <f t="shared" si="13"/>
        <v>0</v>
      </c>
    </row>
    <row r="10" spans="1:25" x14ac:dyDescent="0.25">
      <c r="A10" s="15" t="str">
        <v>System Engineer III</v>
      </c>
      <c r="B10" s="4"/>
      <c r="C10" s="4">
        <f t="shared" si="0"/>
        <v>0</v>
      </c>
      <c r="D10" s="7">
        <f>'Program Integration IDIQ Price'!B10</f>
        <v>0</v>
      </c>
      <c r="E10" s="16">
        <f t="shared" si="1"/>
        <v>0</v>
      </c>
      <c r="F10" s="15" t="str">
        <f t="shared" si="2"/>
        <v>System Engineer III</v>
      </c>
      <c r="G10" s="4"/>
      <c r="H10" s="4">
        <f t="shared" si="3"/>
        <v>0</v>
      </c>
      <c r="I10" s="7">
        <f>'Program Integration IDIQ Price'!C10</f>
        <v>0</v>
      </c>
      <c r="J10" s="16">
        <f t="shared" si="4"/>
        <v>0</v>
      </c>
      <c r="K10" s="15" t="str">
        <f t="shared" si="5"/>
        <v>System Engineer III</v>
      </c>
      <c r="L10" s="4"/>
      <c r="M10" s="4">
        <f t="shared" si="6"/>
        <v>0</v>
      </c>
      <c r="N10" s="7">
        <f>'Program Integration IDIQ Price'!D10</f>
        <v>0</v>
      </c>
      <c r="O10" s="16">
        <f t="shared" si="7"/>
        <v>0</v>
      </c>
      <c r="P10" s="15" t="str">
        <f t="shared" si="8"/>
        <v>System Engineer III</v>
      </c>
      <c r="Q10" s="4"/>
      <c r="R10" s="4">
        <f t="shared" si="9"/>
        <v>0</v>
      </c>
      <c r="S10" s="7">
        <f>'Program Integration IDIQ Price'!E10</f>
        <v>0</v>
      </c>
      <c r="T10" s="23">
        <f t="shared" si="10"/>
        <v>0</v>
      </c>
      <c r="U10" s="15" t="str">
        <f t="shared" si="11"/>
        <v>System Engineer III</v>
      </c>
      <c r="V10" s="4"/>
      <c r="W10" s="4">
        <f t="shared" si="12"/>
        <v>0</v>
      </c>
      <c r="X10" s="7">
        <f>'Program Integration IDIQ Price'!F10</f>
        <v>0</v>
      </c>
      <c r="Y10" s="16">
        <f t="shared" si="13"/>
        <v>0</v>
      </c>
    </row>
    <row r="11" spans="1:25" x14ac:dyDescent="0.25">
      <c r="A11" s="15" t="str">
        <v>Cloud Architect V</v>
      </c>
      <c r="B11" s="4"/>
      <c r="C11" s="4">
        <f t="shared" si="0"/>
        <v>0</v>
      </c>
      <c r="D11" s="7">
        <f>'Program Integration IDIQ Price'!B11</f>
        <v>0</v>
      </c>
      <c r="E11" s="16">
        <f t="shared" si="1"/>
        <v>0</v>
      </c>
      <c r="F11" s="15" t="str">
        <f t="shared" si="2"/>
        <v>Cloud Architect V</v>
      </c>
      <c r="G11" s="4"/>
      <c r="H11" s="4">
        <f t="shared" si="3"/>
        <v>0</v>
      </c>
      <c r="I11" s="7">
        <f>'Program Integration IDIQ Price'!C11</f>
        <v>0</v>
      </c>
      <c r="J11" s="16">
        <f t="shared" si="4"/>
        <v>0</v>
      </c>
      <c r="K11" s="15" t="str">
        <f t="shared" si="5"/>
        <v>Cloud Architect V</v>
      </c>
      <c r="L11" s="4"/>
      <c r="M11" s="4">
        <f t="shared" si="6"/>
        <v>0</v>
      </c>
      <c r="N11" s="7">
        <f>'Program Integration IDIQ Price'!D11</f>
        <v>0</v>
      </c>
      <c r="O11" s="16">
        <f t="shared" si="7"/>
        <v>0</v>
      </c>
      <c r="P11" s="15" t="str">
        <f t="shared" si="8"/>
        <v>Cloud Architect V</v>
      </c>
      <c r="Q11" s="4"/>
      <c r="R11" s="4">
        <f t="shared" si="9"/>
        <v>0</v>
      </c>
      <c r="S11" s="7">
        <f>'Program Integration IDIQ Price'!E11</f>
        <v>0</v>
      </c>
      <c r="T11" s="23">
        <f t="shared" si="10"/>
        <v>0</v>
      </c>
      <c r="U11" s="15" t="str">
        <f t="shared" si="11"/>
        <v>Cloud Architect V</v>
      </c>
      <c r="V11" s="4"/>
      <c r="W11" s="4">
        <f t="shared" si="12"/>
        <v>0</v>
      </c>
      <c r="X11" s="7">
        <f>'Program Integration IDIQ Price'!F11</f>
        <v>0</v>
      </c>
      <c r="Y11" s="16">
        <f t="shared" si="13"/>
        <v>0</v>
      </c>
    </row>
    <row r="12" spans="1:25" x14ac:dyDescent="0.25">
      <c r="A12" s="15" t="str">
        <v>Cloud Architect IV</v>
      </c>
      <c r="B12" s="4"/>
      <c r="C12" s="4">
        <f t="shared" si="0"/>
        <v>0</v>
      </c>
      <c r="D12" s="7">
        <f>'Program Integration IDIQ Price'!B12</f>
        <v>0</v>
      </c>
      <c r="E12" s="16">
        <f t="shared" si="1"/>
        <v>0</v>
      </c>
      <c r="F12" s="15" t="str">
        <f t="shared" si="2"/>
        <v>Cloud Architect IV</v>
      </c>
      <c r="G12" s="4"/>
      <c r="H12" s="4">
        <f t="shared" si="3"/>
        <v>0</v>
      </c>
      <c r="I12" s="7">
        <f>'Program Integration IDIQ Price'!C12</f>
        <v>0</v>
      </c>
      <c r="J12" s="16">
        <f t="shared" si="4"/>
        <v>0</v>
      </c>
      <c r="K12" s="15" t="str">
        <f t="shared" si="5"/>
        <v>Cloud Architect IV</v>
      </c>
      <c r="L12" s="4"/>
      <c r="M12" s="4">
        <f t="shared" si="6"/>
        <v>0</v>
      </c>
      <c r="N12" s="7">
        <f>'Program Integration IDIQ Price'!D12</f>
        <v>0</v>
      </c>
      <c r="O12" s="16">
        <f t="shared" si="7"/>
        <v>0</v>
      </c>
      <c r="P12" s="15" t="str">
        <f t="shared" si="8"/>
        <v>Cloud Architect IV</v>
      </c>
      <c r="Q12" s="4"/>
      <c r="R12" s="4">
        <f t="shared" si="9"/>
        <v>0</v>
      </c>
      <c r="S12" s="7">
        <f>'Program Integration IDIQ Price'!E12</f>
        <v>0</v>
      </c>
      <c r="T12" s="23">
        <f t="shared" si="10"/>
        <v>0</v>
      </c>
      <c r="U12" s="15" t="str">
        <f t="shared" si="11"/>
        <v>Cloud Architect IV</v>
      </c>
      <c r="V12" s="4"/>
      <c r="W12" s="4">
        <f t="shared" si="12"/>
        <v>0</v>
      </c>
      <c r="X12" s="7">
        <f>'Program Integration IDIQ Price'!F12</f>
        <v>0</v>
      </c>
      <c r="Y12" s="16">
        <f t="shared" si="13"/>
        <v>0</v>
      </c>
    </row>
    <row r="13" spans="1:25" x14ac:dyDescent="0.25">
      <c r="A13" s="15" t="str">
        <v>Data Communications Specialist IV</v>
      </c>
      <c r="B13" s="4"/>
      <c r="C13" s="4">
        <f t="shared" si="0"/>
        <v>0</v>
      </c>
      <c r="D13" s="7">
        <f>'Program Integration IDIQ Price'!B13</f>
        <v>0</v>
      </c>
      <c r="E13" s="16">
        <f t="shared" si="1"/>
        <v>0</v>
      </c>
      <c r="F13" s="15" t="str">
        <f t="shared" si="2"/>
        <v>Data Communications Specialist IV</v>
      </c>
      <c r="G13" s="4"/>
      <c r="H13" s="4">
        <f t="shared" si="3"/>
        <v>0</v>
      </c>
      <c r="I13" s="7">
        <f>'Program Integration IDIQ Price'!C13</f>
        <v>0</v>
      </c>
      <c r="J13" s="16">
        <f t="shared" si="4"/>
        <v>0</v>
      </c>
      <c r="K13" s="15" t="str">
        <f t="shared" si="5"/>
        <v>Data Communications Specialist IV</v>
      </c>
      <c r="L13" s="4"/>
      <c r="M13" s="4">
        <f t="shared" si="6"/>
        <v>0</v>
      </c>
      <c r="N13" s="7">
        <f>'Program Integration IDIQ Price'!D13</f>
        <v>0</v>
      </c>
      <c r="O13" s="16">
        <f t="shared" si="7"/>
        <v>0</v>
      </c>
      <c r="P13" s="15" t="str">
        <f t="shared" si="8"/>
        <v>Data Communications Specialist IV</v>
      </c>
      <c r="Q13" s="4"/>
      <c r="R13" s="4">
        <f t="shared" si="9"/>
        <v>0</v>
      </c>
      <c r="S13" s="7">
        <f>'Program Integration IDIQ Price'!E13</f>
        <v>0</v>
      </c>
      <c r="T13" s="23">
        <f t="shared" si="10"/>
        <v>0</v>
      </c>
      <c r="U13" s="15" t="str">
        <f t="shared" si="11"/>
        <v>Data Communications Specialist IV</v>
      </c>
      <c r="V13" s="4"/>
      <c r="W13" s="4">
        <f t="shared" si="12"/>
        <v>0</v>
      </c>
      <c r="X13" s="7">
        <f>'Program Integration IDIQ Price'!F13</f>
        <v>0</v>
      </c>
      <c r="Y13" s="16">
        <f t="shared" si="13"/>
        <v>0</v>
      </c>
    </row>
    <row r="14" spans="1:25" x14ac:dyDescent="0.25">
      <c r="A14" s="15" t="str">
        <v>Enterprise IT System Architect V</v>
      </c>
      <c r="B14" s="4"/>
      <c r="C14" s="4">
        <f t="shared" si="0"/>
        <v>0</v>
      </c>
      <c r="D14" s="7">
        <f>'Program Integration IDIQ Price'!B14</f>
        <v>0</v>
      </c>
      <c r="E14" s="16">
        <f t="shared" si="1"/>
        <v>0</v>
      </c>
      <c r="F14" s="15" t="str">
        <f t="shared" si="2"/>
        <v>Enterprise IT System Architect V</v>
      </c>
      <c r="G14" s="4"/>
      <c r="H14" s="4">
        <f t="shared" si="3"/>
        <v>0</v>
      </c>
      <c r="I14" s="7">
        <f>'Program Integration IDIQ Price'!C14</f>
        <v>0</v>
      </c>
      <c r="J14" s="16">
        <f t="shared" si="4"/>
        <v>0</v>
      </c>
      <c r="K14" s="15" t="str">
        <f t="shared" si="5"/>
        <v>Enterprise IT System Architect V</v>
      </c>
      <c r="L14" s="4"/>
      <c r="M14" s="4">
        <f t="shared" si="6"/>
        <v>0</v>
      </c>
      <c r="N14" s="7">
        <f>'Program Integration IDIQ Price'!D14</f>
        <v>0</v>
      </c>
      <c r="O14" s="16">
        <f t="shared" si="7"/>
        <v>0</v>
      </c>
      <c r="P14" s="15" t="str">
        <f t="shared" si="8"/>
        <v>Enterprise IT System Architect V</v>
      </c>
      <c r="Q14" s="4"/>
      <c r="R14" s="4">
        <f t="shared" si="9"/>
        <v>0</v>
      </c>
      <c r="S14" s="7">
        <f>'Program Integration IDIQ Price'!E14</f>
        <v>0</v>
      </c>
      <c r="T14" s="23">
        <f t="shared" si="10"/>
        <v>0</v>
      </c>
      <c r="U14" s="15" t="str">
        <f t="shared" si="11"/>
        <v>Enterprise IT System Architect V</v>
      </c>
      <c r="V14" s="4"/>
      <c r="W14" s="4">
        <f t="shared" si="12"/>
        <v>0</v>
      </c>
      <c r="X14" s="7">
        <f>'Program Integration IDIQ Price'!F14</f>
        <v>0</v>
      </c>
      <c r="Y14" s="16">
        <f t="shared" si="13"/>
        <v>0</v>
      </c>
    </row>
    <row r="15" spans="1:25" x14ac:dyDescent="0.25">
      <c r="A15" s="15" t="str">
        <v>Enterprise IT System Architect IV</v>
      </c>
      <c r="B15" s="4"/>
      <c r="C15" s="4">
        <f t="shared" si="0"/>
        <v>0</v>
      </c>
      <c r="D15" s="7">
        <f>'Program Integration IDIQ Price'!B15</f>
        <v>0</v>
      </c>
      <c r="E15" s="16">
        <f t="shared" si="1"/>
        <v>0</v>
      </c>
      <c r="F15" s="15" t="str">
        <f t="shared" si="2"/>
        <v>Enterprise IT System Architect IV</v>
      </c>
      <c r="G15" s="4"/>
      <c r="H15" s="4">
        <f t="shared" si="3"/>
        <v>0</v>
      </c>
      <c r="I15" s="7">
        <f>'Program Integration IDIQ Price'!C15</f>
        <v>0</v>
      </c>
      <c r="J15" s="16">
        <f t="shared" si="4"/>
        <v>0</v>
      </c>
      <c r="K15" s="15" t="str">
        <f t="shared" si="5"/>
        <v>Enterprise IT System Architect IV</v>
      </c>
      <c r="L15" s="4"/>
      <c r="M15" s="4">
        <f t="shared" si="6"/>
        <v>0</v>
      </c>
      <c r="N15" s="7">
        <f>'Program Integration IDIQ Price'!D15</f>
        <v>0</v>
      </c>
      <c r="O15" s="16">
        <f t="shared" si="7"/>
        <v>0</v>
      </c>
      <c r="P15" s="15" t="str">
        <f t="shared" si="8"/>
        <v>Enterprise IT System Architect IV</v>
      </c>
      <c r="Q15" s="4"/>
      <c r="R15" s="4">
        <f t="shared" si="9"/>
        <v>0</v>
      </c>
      <c r="S15" s="7">
        <f>'Program Integration IDIQ Price'!E15</f>
        <v>0</v>
      </c>
      <c r="T15" s="23">
        <f t="shared" si="10"/>
        <v>0</v>
      </c>
      <c r="U15" s="15" t="str">
        <f t="shared" si="11"/>
        <v>Enterprise IT System Architect IV</v>
      </c>
      <c r="V15" s="4"/>
      <c r="W15" s="4">
        <f t="shared" si="12"/>
        <v>0</v>
      </c>
      <c r="X15" s="7">
        <f>'Program Integration IDIQ Price'!F15</f>
        <v>0</v>
      </c>
      <c r="Y15" s="16">
        <f t="shared" si="13"/>
        <v>0</v>
      </c>
    </row>
    <row r="16" spans="1:25" x14ac:dyDescent="0.25">
      <c r="A16" s="15" t="str">
        <v>Help Desk Specialist IV</v>
      </c>
      <c r="B16" s="4"/>
      <c r="C16" s="4">
        <f t="shared" si="0"/>
        <v>0</v>
      </c>
      <c r="D16" s="7">
        <f>'Program Integration IDIQ Price'!B16</f>
        <v>0</v>
      </c>
      <c r="E16" s="16">
        <f t="shared" si="1"/>
        <v>0</v>
      </c>
      <c r="F16" s="15" t="str">
        <f t="shared" si="2"/>
        <v>Help Desk Specialist IV</v>
      </c>
      <c r="G16" s="4"/>
      <c r="H16" s="4">
        <f t="shared" si="3"/>
        <v>0</v>
      </c>
      <c r="I16" s="7">
        <f>'Program Integration IDIQ Price'!C16</f>
        <v>0</v>
      </c>
      <c r="J16" s="16">
        <f t="shared" si="4"/>
        <v>0</v>
      </c>
      <c r="K16" s="15" t="str">
        <f t="shared" si="5"/>
        <v>Help Desk Specialist IV</v>
      </c>
      <c r="L16" s="4"/>
      <c r="M16" s="4">
        <f t="shared" si="6"/>
        <v>0</v>
      </c>
      <c r="N16" s="7">
        <f>'Program Integration IDIQ Price'!D16</f>
        <v>0</v>
      </c>
      <c r="O16" s="16">
        <f t="shared" si="7"/>
        <v>0</v>
      </c>
      <c r="P16" s="15" t="str">
        <f t="shared" si="8"/>
        <v>Help Desk Specialist IV</v>
      </c>
      <c r="Q16" s="4"/>
      <c r="R16" s="4">
        <f t="shared" si="9"/>
        <v>0</v>
      </c>
      <c r="S16" s="7">
        <f>'Program Integration IDIQ Price'!E16</f>
        <v>0</v>
      </c>
      <c r="T16" s="23">
        <f t="shared" si="10"/>
        <v>0</v>
      </c>
      <c r="U16" s="15" t="str">
        <f t="shared" si="11"/>
        <v>Help Desk Specialist IV</v>
      </c>
      <c r="V16" s="4"/>
      <c r="W16" s="4">
        <f t="shared" si="12"/>
        <v>0</v>
      </c>
      <c r="X16" s="7">
        <f>'Program Integration IDIQ Price'!F16</f>
        <v>0</v>
      </c>
      <c r="Y16" s="16">
        <f t="shared" si="13"/>
        <v>0</v>
      </c>
    </row>
    <row r="17" spans="1:25" x14ac:dyDescent="0.25">
      <c r="A17" s="15" t="str">
        <v>Help Desk Specialist III</v>
      </c>
      <c r="B17" s="4"/>
      <c r="C17" s="4">
        <f t="shared" si="0"/>
        <v>0</v>
      </c>
      <c r="D17" s="7">
        <f>'Program Integration IDIQ Price'!B17</f>
        <v>0</v>
      </c>
      <c r="E17" s="16">
        <f t="shared" si="1"/>
        <v>0</v>
      </c>
      <c r="F17" s="15" t="str">
        <f t="shared" si="2"/>
        <v>Help Desk Specialist III</v>
      </c>
      <c r="G17" s="4"/>
      <c r="H17" s="4">
        <f t="shared" si="3"/>
        <v>0</v>
      </c>
      <c r="I17" s="7">
        <f>'Program Integration IDIQ Price'!C17</f>
        <v>0</v>
      </c>
      <c r="J17" s="16">
        <f t="shared" si="4"/>
        <v>0</v>
      </c>
      <c r="K17" s="15" t="str">
        <f t="shared" si="5"/>
        <v>Help Desk Specialist III</v>
      </c>
      <c r="L17" s="4"/>
      <c r="M17" s="4">
        <f t="shared" si="6"/>
        <v>0</v>
      </c>
      <c r="N17" s="7">
        <f>'Program Integration IDIQ Price'!D17</f>
        <v>0</v>
      </c>
      <c r="O17" s="16">
        <f t="shared" si="7"/>
        <v>0</v>
      </c>
      <c r="P17" s="15" t="str">
        <f t="shared" si="8"/>
        <v>Help Desk Specialist III</v>
      </c>
      <c r="Q17" s="4"/>
      <c r="R17" s="4">
        <f t="shared" si="9"/>
        <v>0</v>
      </c>
      <c r="S17" s="7">
        <f>'Program Integration IDIQ Price'!E17</f>
        <v>0</v>
      </c>
      <c r="T17" s="23">
        <f t="shared" si="10"/>
        <v>0</v>
      </c>
      <c r="U17" s="15" t="str">
        <f t="shared" si="11"/>
        <v>Help Desk Specialist III</v>
      </c>
      <c r="V17" s="4"/>
      <c r="W17" s="4">
        <f t="shared" si="12"/>
        <v>0</v>
      </c>
      <c r="X17" s="7">
        <f>'Program Integration IDIQ Price'!F17</f>
        <v>0</v>
      </c>
      <c r="Y17" s="16">
        <f t="shared" si="13"/>
        <v>0</v>
      </c>
    </row>
    <row r="18" spans="1:25" x14ac:dyDescent="0.25">
      <c r="A18" s="15" t="str">
        <v>Help Desk Specialist II</v>
      </c>
      <c r="B18" s="4"/>
      <c r="C18" s="4">
        <f t="shared" si="0"/>
        <v>0</v>
      </c>
      <c r="D18" s="7">
        <f>'Program Integration IDIQ Price'!B18</f>
        <v>0</v>
      </c>
      <c r="E18" s="16">
        <f t="shared" si="1"/>
        <v>0</v>
      </c>
      <c r="F18" s="15" t="str">
        <f t="shared" si="2"/>
        <v>Help Desk Specialist II</v>
      </c>
      <c r="G18" s="4"/>
      <c r="H18" s="4">
        <f t="shared" si="3"/>
        <v>0</v>
      </c>
      <c r="I18" s="7">
        <f>'Program Integration IDIQ Price'!C18</f>
        <v>0</v>
      </c>
      <c r="J18" s="16">
        <f t="shared" si="4"/>
        <v>0</v>
      </c>
      <c r="K18" s="15" t="str">
        <f t="shared" si="5"/>
        <v>Help Desk Specialist II</v>
      </c>
      <c r="L18" s="4"/>
      <c r="M18" s="4">
        <f t="shared" si="6"/>
        <v>0</v>
      </c>
      <c r="N18" s="7">
        <f>'Program Integration IDIQ Price'!D18</f>
        <v>0</v>
      </c>
      <c r="O18" s="16">
        <f t="shared" si="7"/>
        <v>0</v>
      </c>
      <c r="P18" s="15" t="str">
        <f t="shared" si="8"/>
        <v>Help Desk Specialist II</v>
      </c>
      <c r="Q18" s="4"/>
      <c r="R18" s="4">
        <f t="shared" si="9"/>
        <v>0</v>
      </c>
      <c r="S18" s="7">
        <f>'Program Integration IDIQ Price'!E18</f>
        <v>0</v>
      </c>
      <c r="T18" s="23">
        <f t="shared" si="10"/>
        <v>0</v>
      </c>
      <c r="U18" s="15" t="str">
        <f t="shared" si="11"/>
        <v>Help Desk Specialist II</v>
      </c>
      <c r="V18" s="4"/>
      <c r="W18" s="4">
        <f t="shared" si="12"/>
        <v>0</v>
      </c>
      <c r="X18" s="7">
        <f>'Program Integration IDIQ Price'!F18</f>
        <v>0</v>
      </c>
      <c r="Y18" s="16">
        <f t="shared" si="13"/>
        <v>0</v>
      </c>
    </row>
    <row r="19" spans="1:25" x14ac:dyDescent="0.25">
      <c r="A19" s="15" t="str">
        <v>IT Business Analyst V</v>
      </c>
      <c r="B19" s="4"/>
      <c r="C19" s="4">
        <f t="shared" si="0"/>
        <v>0</v>
      </c>
      <c r="D19" s="7">
        <f>'Program Integration IDIQ Price'!B19</f>
        <v>0</v>
      </c>
      <c r="E19" s="16">
        <f t="shared" si="1"/>
        <v>0</v>
      </c>
      <c r="F19" s="15" t="str">
        <f t="shared" si="2"/>
        <v>IT Business Analyst V</v>
      </c>
      <c r="G19" s="4"/>
      <c r="H19" s="4">
        <f t="shared" si="3"/>
        <v>0</v>
      </c>
      <c r="I19" s="7">
        <f>'Program Integration IDIQ Price'!C19</f>
        <v>0</v>
      </c>
      <c r="J19" s="16">
        <f t="shared" si="4"/>
        <v>0</v>
      </c>
      <c r="K19" s="15" t="str">
        <f t="shared" si="5"/>
        <v>IT Business Analyst V</v>
      </c>
      <c r="L19" s="4"/>
      <c r="M19" s="4">
        <f t="shared" si="6"/>
        <v>0</v>
      </c>
      <c r="N19" s="7">
        <f>'Program Integration IDIQ Price'!D19</f>
        <v>0</v>
      </c>
      <c r="O19" s="16">
        <f t="shared" si="7"/>
        <v>0</v>
      </c>
      <c r="P19" s="15" t="str">
        <f t="shared" si="8"/>
        <v>IT Business Analyst V</v>
      </c>
      <c r="Q19" s="4"/>
      <c r="R19" s="4">
        <f t="shared" si="9"/>
        <v>0</v>
      </c>
      <c r="S19" s="7">
        <f>'Program Integration IDIQ Price'!E19</f>
        <v>0</v>
      </c>
      <c r="T19" s="23">
        <f t="shared" si="10"/>
        <v>0</v>
      </c>
      <c r="U19" s="15" t="str">
        <f t="shared" si="11"/>
        <v>IT Business Analyst V</v>
      </c>
      <c r="V19" s="4"/>
      <c r="W19" s="4">
        <f t="shared" si="12"/>
        <v>0</v>
      </c>
      <c r="X19" s="7">
        <f>'Program Integration IDIQ Price'!F19</f>
        <v>0</v>
      </c>
      <c r="Y19" s="16">
        <f t="shared" si="13"/>
        <v>0</v>
      </c>
    </row>
    <row r="20" spans="1:25" x14ac:dyDescent="0.25">
      <c r="A20" s="15" t="str">
        <v>IT Business Analyst IV</v>
      </c>
      <c r="B20" s="4"/>
      <c r="C20" s="4">
        <f t="shared" si="0"/>
        <v>0</v>
      </c>
      <c r="D20" s="7">
        <f>'Program Integration IDIQ Price'!B20</f>
        <v>0</v>
      </c>
      <c r="E20" s="16">
        <f t="shared" si="1"/>
        <v>0</v>
      </c>
      <c r="F20" s="15" t="str">
        <f t="shared" si="2"/>
        <v>IT Business Analyst IV</v>
      </c>
      <c r="G20" s="4"/>
      <c r="H20" s="4">
        <f t="shared" si="3"/>
        <v>0</v>
      </c>
      <c r="I20" s="7">
        <f>'Program Integration IDIQ Price'!C20</f>
        <v>0</v>
      </c>
      <c r="J20" s="16">
        <f t="shared" si="4"/>
        <v>0</v>
      </c>
      <c r="K20" s="15" t="str">
        <f t="shared" si="5"/>
        <v>IT Business Analyst IV</v>
      </c>
      <c r="L20" s="4"/>
      <c r="M20" s="4">
        <f t="shared" si="6"/>
        <v>0</v>
      </c>
      <c r="N20" s="7">
        <f>'Program Integration IDIQ Price'!D20</f>
        <v>0</v>
      </c>
      <c r="O20" s="16">
        <f t="shared" si="7"/>
        <v>0</v>
      </c>
      <c r="P20" s="15" t="str">
        <f t="shared" si="8"/>
        <v>IT Business Analyst IV</v>
      </c>
      <c r="Q20" s="4"/>
      <c r="R20" s="4">
        <f t="shared" si="9"/>
        <v>0</v>
      </c>
      <c r="S20" s="7">
        <f>'Program Integration IDIQ Price'!E20</f>
        <v>0</v>
      </c>
      <c r="T20" s="23">
        <f t="shared" si="10"/>
        <v>0</v>
      </c>
      <c r="U20" s="15" t="str">
        <f t="shared" si="11"/>
        <v>IT Business Analyst IV</v>
      </c>
      <c r="V20" s="4"/>
      <c r="W20" s="4">
        <f t="shared" si="12"/>
        <v>0</v>
      </c>
      <c r="X20" s="7">
        <f>'Program Integration IDIQ Price'!F20</f>
        <v>0</v>
      </c>
      <c r="Y20" s="16">
        <f t="shared" si="13"/>
        <v>0</v>
      </c>
    </row>
    <row r="21" spans="1:25" x14ac:dyDescent="0.25">
      <c r="A21" s="15" t="str">
        <v>IT Business Analyst III</v>
      </c>
      <c r="B21" s="4"/>
      <c r="C21" s="4">
        <f t="shared" si="0"/>
        <v>0</v>
      </c>
      <c r="D21" s="7">
        <f>'Program Integration IDIQ Price'!B21</f>
        <v>0</v>
      </c>
      <c r="E21" s="16">
        <f t="shared" si="1"/>
        <v>0</v>
      </c>
      <c r="F21" s="15" t="str">
        <f t="shared" si="2"/>
        <v>IT Business Analyst III</v>
      </c>
      <c r="G21" s="4"/>
      <c r="H21" s="4">
        <f t="shared" si="3"/>
        <v>0</v>
      </c>
      <c r="I21" s="7">
        <f>'Program Integration IDIQ Price'!C21</f>
        <v>0</v>
      </c>
      <c r="J21" s="16">
        <f t="shared" si="4"/>
        <v>0</v>
      </c>
      <c r="K21" s="15" t="str">
        <f t="shared" si="5"/>
        <v>IT Business Analyst III</v>
      </c>
      <c r="L21" s="4"/>
      <c r="M21" s="4">
        <f t="shared" si="6"/>
        <v>0</v>
      </c>
      <c r="N21" s="7">
        <f>'Program Integration IDIQ Price'!D21</f>
        <v>0</v>
      </c>
      <c r="O21" s="16">
        <f t="shared" si="7"/>
        <v>0</v>
      </c>
      <c r="P21" s="15" t="str">
        <f t="shared" si="8"/>
        <v>IT Business Analyst III</v>
      </c>
      <c r="Q21" s="4"/>
      <c r="R21" s="4">
        <f t="shared" si="9"/>
        <v>0</v>
      </c>
      <c r="S21" s="7">
        <f>'Program Integration IDIQ Price'!E21</f>
        <v>0</v>
      </c>
      <c r="T21" s="23">
        <f t="shared" si="10"/>
        <v>0</v>
      </c>
      <c r="U21" s="15" t="str">
        <f t="shared" si="11"/>
        <v>IT Business Analyst III</v>
      </c>
      <c r="V21" s="4"/>
      <c r="W21" s="4">
        <f t="shared" si="12"/>
        <v>0</v>
      </c>
      <c r="X21" s="7">
        <f>'Program Integration IDIQ Price'!F21</f>
        <v>0</v>
      </c>
      <c r="Y21" s="16">
        <f t="shared" si="13"/>
        <v>0</v>
      </c>
    </row>
    <row r="22" spans="1:25" x14ac:dyDescent="0.25">
      <c r="A22" s="15" t="str">
        <v>IT Configuration Management Specialist V</v>
      </c>
      <c r="B22" s="4"/>
      <c r="C22" s="4">
        <f t="shared" si="0"/>
        <v>0</v>
      </c>
      <c r="D22" s="7">
        <f>'Program Integration IDIQ Price'!B22</f>
        <v>0</v>
      </c>
      <c r="E22" s="16">
        <f t="shared" si="1"/>
        <v>0</v>
      </c>
      <c r="F22" s="15" t="str">
        <f t="shared" si="2"/>
        <v>IT Configuration Management Specialist V</v>
      </c>
      <c r="G22" s="4"/>
      <c r="H22" s="4">
        <f t="shared" si="3"/>
        <v>0</v>
      </c>
      <c r="I22" s="7">
        <f>'Program Integration IDIQ Price'!C22</f>
        <v>0</v>
      </c>
      <c r="J22" s="16">
        <f t="shared" si="4"/>
        <v>0</v>
      </c>
      <c r="K22" s="15" t="str">
        <f t="shared" si="5"/>
        <v>IT Configuration Management Specialist V</v>
      </c>
      <c r="L22" s="4"/>
      <c r="M22" s="4">
        <f t="shared" si="6"/>
        <v>0</v>
      </c>
      <c r="N22" s="7">
        <f>'Program Integration IDIQ Price'!D22</f>
        <v>0</v>
      </c>
      <c r="O22" s="16">
        <f t="shared" si="7"/>
        <v>0</v>
      </c>
      <c r="P22" s="15" t="str">
        <f t="shared" si="8"/>
        <v>IT Configuration Management Specialist V</v>
      </c>
      <c r="Q22" s="4"/>
      <c r="R22" s="4">
        <f t="shared" si="9"/>
        <v>0</v>
      </c>
      <c r="S22" s="7">
        <f>'Program Integration IDIQ Price'!E22</f>
        <v>0</v>
      </c>
      <c r="T22" s="23">
        <f t="shared" si="10"/>
        <v>0</v>
      </c>
      <c r="U22" s="15" t="str">
        <f t="shared" si="11"/>
        <v>IT Configuration Management Specialist V</v>
      </c>
      <c r="V22" s="4"/>
      <c r="W22" s="4">
        <f t="shared" si="12"/>
        <v>0</v>
      </c>
      <c r="X22" s="7">
        <f>'Program Integration IDIQ Price'!F22</f>
        <v>0</v>
      </c>
      <c r="Y22" s="16">
        <f t="shared" si="13"/>
        <v>0</v>
      </c>
    </row>
    <row r="23" spans="1:25" x14ac:dyDescent="0.25">
      <c r="A23" s="15" t="str">
        <v>IT Configuration Management Specialist IV</v>
      </c>
      <c r="B23" s="4"/>
      <c r="C23" s="4">
        <f t="shared" si="0"/>
        <v>0</v>
      </c>
      <c r="D23" s="7">
        <f>'Program Integration IDIQ Price'!B23</f>
        <v>0</v>
      </c>
      <c r="E23" s="16">
        <f t="shared" si="1"/>
        <v>0</v>
      </c>
      <c r="F23" s="15" t="str">
        <f t="shared" si="2"/>
        <v>IT Configuration Management Specialist IV</v>
      </c>
      <c r="G23" s="4"/>
      <c r="H23" s="4">
        <f t="shared" si="3"/>
        <v>0</v>
      </c>
      <c r="I23" s="7">
        <f>'Program Integration IDIQ Price'!C23</f>
        <v>0</v>
      </c>
      <c r="J23" s="16">
        <f t="shared" si="4"/>
        <v>0</v>
      </c>
      <c r="K23" s="15" t="str">
        <f t="shared" si="5"/>
        <v>IT Configuration Management Specialist IV</v>
      </c>
      <c r="L23" s="4"/>
      <c r="M23" s="4">
        <f t="shared" si="6"/>
        <v>0</v>
      </c>
      <c r="N23" s="7">
        <f>'Program Integration IDIQ Price'!D23</f>
        <v>0</v>
      </c>
      <c r="O23" s="16">
        <f t="shared" si="7"/>
        <v>0</v>
      </c>
      <c r="P23" s="15" t="str">
        <f t="shared" si="8"/>
        <v>IT Configuration Management Specialist IV</v>
      </c>
      <c r="Q23" s="4"/>
      <c r="R23" s="4">
        <f t="shared" si="9"/>
        <v>0</v>
      </c>
      <c r="S23" s="7">
        <f>'Program Integration IDIQ Price'!E23</f>
        <v>0</v>
      </c>
      <c r="T23" s="23">
        <f t="shared" si="10"/>
        <v>0</v>
      </c>
      <c r="U23" s="15" t="str">
        <f t="shared" si="11"/>
        <v>IT Configuration Management Specialist IV</v>
      </c>
      <c r="V23" s="4"/>
      <c r="W23" s="4">
        <f t="shared" si="12"/>
        <v>0</v>
      </c>
      <c r="X23" s="7">
        <f>'Program Integration IDIQ Price'!F23</f>
        <v>0</v>
      </c>
      <c r="Y23" s="16">
        <f t="shared" si="13"/>
        <v>0</v>
      </c>
    </row>
    <row r="24" spans="1:25" x14ac:dyDescent="0.25">
      <c r="A24" s="15" t="str">
        <v>IT Configuration Management Specialist III</v>
      </c>
      <c r="B24" s="4"/>
      <c r="C24" s="4">
        <f t="shared" si="0"/>
        <v>0</v>
      </c>
      <c r="D24" s="7">
        <f>'Program Integration IDIQ Price'!B24</f>
        <v>0</v>
      </c>
      <c r="E24" s="16">
        <f t="shared" si="1"/>
        <v>0</v>
      </c>
      <c r="F24" s="15" t="str">
        <f t="shared" si="2"/>
        <v>IT Configuration Management Specialist III</v>
      </c>
      <c r="G24" s="4"/>
      <c r="H24" s="4">
        <f t="shared" si="3"/>
        <v>0</v>
      </c>
      <c r="I24" s="7">
        <f>'Program Integration IDIQ Price'!C24</f>
        <v>0</v>
      </c>
      <c r="J24" s="16">
        <f t="shared" si="4"/>
        <v>0</v>
      </c>
      <c r="K24" s="15" t="str">
        <f t="shared" si="5"/>
        <v>IT Configuration Management Specialist III</v>
      </c>
      <c r="L24" s="4"/>
      <c r="M24" s="4">
        <f t="shared" si="6"/>
        <v>0</v>
      </c>
      <c r="N24" s="7">
        <f>'Program Integration IDIQ Price'!D24</f>
        <v>0</v>
      </c>
      <c r="O24" s="16">
        <f t="shared" si="7"/>
        <v>0</v>
      </c>
      <c r="P24" s="15" t="str">
        <f t="shared" si="8"/>
        <v>IT Configuration Management Specialist III</v>
      </c>
      <c r="Q24" s="4"/>
      <c r="R24" s="4">
        <f t="shared" si="9"/>
        <v>0</v>
      </c>
      <c r="S24" s="7">
        <f>'Program Integration IDIQ Price'!E24</f>
        <v>0</v>
      </c>
      <c r="T24" s="23">
        <f t="shared" si="10"/>
        <v>0</v>
      </c>
      <c r="U24" s="15" t="str">
        <f t="shared" si="11"/>
        <v>IT Configuration Management Specialist III</v>
      </c>
      <c r="V24" s="4"/>
      <c r="W24" s="4">
        <f t="shared" si="12"/>
        <v>0</v>
      </c>
      <c r="X24" s="7">
        <f>'Program Integration IDIQ Price'!F24</f>
        <v>0</v>
      </c>
      <c r="Y24" s="16">
        <f t="shared" si="13"/>
        <v>0</v>
      </c>
    </row>
    <row r="25" spans="1:25" x14ac:dyDescent="0.25">
      <c r="A25" s="15" t="str">
        <v>IT Configuration Management Specialist II</v>
      </c>
      <c r="B25" s="4"/>
      <c r="C25" s="4">
        <f t="shared" si="0"/>
        <v>0</v>
      </c>
      <c r="D25" s="7">
        <f>'Program Integration IDIQ Price'!B25</f>
        <v>0</v>
      </c>
      <c r="E25" s="16">
        <f t="shared" si="1"/>
        <v>0</v>
      </c>
      <c r="F25" s="15" t="str">
        <f t="shared" si="2"/>
        <v>IT Configuration Management Specialist II</v>
      </c>
      <c r="G25" s="4"/>
      <c r="H25" s="4">
        <f t="shared" si="3"/>
        <v>0</v>
      </c>
      <c r="I25" s="7">
        <f>'Program Integration IDIQ Price'!C25</f>
        <v>0</v>
      </c>
      <c r="J25" s="16">
        <f t="shared" si="4"/>
        <v>0</v>
      </c>
      <c r="K25" s="15" t="str">
        <f t="shared" si="5"/>
        <v>IT Configuration Management Specialist II</v>
      </c>
      <c r="L25" s="4"/>
      <c r="M25" s="4">
        <f t="shared" si="6"/>
        <v>0</v>
      </c>
      <c r="N25" s="7">
        <f>'Program Integration IDIQ Price'!D25</f>
        <v>0</v>
      </c>
      <c r="O25" s="16">
        <f t="shared" si="7"/>
        <v>0</v>
      </c>
      <c r="P25" s="15" t="str">
        <f t="shared" si="8"/>
        <v>IT Configuration Management Specialist II</v>
      </c>
      <c r="Q25" s="4"/>
      <c r="R25" s="4">
        <f t="shared" si="9"/>
        <v>0</v>
      </c>
      <c r="S25" s="7">
        <f>'Program Integration IDIQ Price'!E25</f>
        <v>0</v>
      </c>
      <c r="T25" s="23">
        <f t="shared" si="10"/>
        <v>0</v>
      </c>
      <c r="U25" s="15" t="str">
        <f t="shared" si="11"/>
        <v>IT Configuration Management Specialist II</v>
      </c>
      <c r="V25" s="4"/>
      <c r="W25" s="4">
        <f t="shared" si="12"/>
        <v>0</v>
      </c>
      <c r="X25" s="7">
        <f>'Program Integration IDIQ Price'!F25</f>
        <v>0</v>
      </c>
      <c r="Y25" s="16">
        <f t="shared" si="13"/>
        <v>0</v>
      </c>
    </row>
    <row r="26" spans="1:25" x14ac:dyDescent="0.25">
      <c r="A26" s="15" t="str">
        <v>IT Configuration Management Specialist I</v>
      </c>
      <c r="B26" s="4"/>
      <c r="C26" s="4">
        <f t="shared" si="0"/>
        <v>0</v>
      </c>
      <c r="D26" s="7">
        <f>'Program Integration IDIQ Price'!B26</f>
        <v>0</v>
      </c>
      <c r="E26" s="16">
        <f t="shared" si="1"/>
        <v>0</v>
      </c>
      <c r="F26" s="15" t="str">
        <f t="shared" si="2"/>
        <v>IT Configuration Management Specialist I</v>
      </c>
      <c r="G26" s="4"/>
      <c r="H26" s="4">
        <f t="shared" si="3"/>
        <v>0</v>
      </c>
      <c r="I26" s="7">
        <f>'Program Integration IDIQ Price'!C26</f>
        <v>0</v>
      </c>
      <c r="J26" s="16">
        <f t="shared" si="4"/>
        <v>0</v>
      </c>
      <c r="K26" s="15" t="str">
        <f t="shared" si="5"/>
        <v>IT Configuration Management Specialist I</v>
      </c>
      <c r="L26" s="4"/>
      <c r="M26" s="4">
        <f t="shared" si="6"/>
        <v>0</v>
      </c>
      <c r="N26" s="7">
        <f>'Program Integration IDIQ Price'!D26</f>
        <v>0</v>
      </c>
      <c r="O26" s="16">
        <f t="shared" si="7"/>
        <v>0</v>
      </c>
      <c r="P26" s="15" t="str">
        <f t="shared" si="8"/>
        <v>IT Configuration Management Specialist I</v>
      </c>
      <c r="Q26" s="4"/>
      <c r="R26" s="4">
        <f t="shared" si="9"/>
        <v>0</v>
      </c>
      <c r="S26" s="7">
        <f>'Program Integration IDIQ Price'!E26</f>
        <v>0</v>
      </c>
      <c r="T26" s="23">
        <f t="shared" si="10"/>
        <v>0</v>
      </c>
      <c r="U26" s="15" t="str">
        <f t="shared" si="11"/>
        <v>IT Configuration Management Specialist I</v>
      </c>
      <c r="V26" s="4"/>
      <c r="W26" s="4">
        <f t="shared" si="12"/>
        <v>0</v>
      </c>
      <c r="X26" s="7">
        <f>'Program Integration IDIQ Price'!F26</f>
        <v>0</v>
      </c>
      <c r="Y26" s="16">
        <f t="shared" si="13"/>
        <v>0</v>
      </c>
    </row>
    <row r="27" spans="1:25" x14ac:dyDescent="0.25">
      <c r="A27" s="15" t="str">
        <v>IT Security Specialist V</v>
      </c>
      <c r="B27" s="4"/>
      <c r="C27" s="4">
        <f t="shared" si="0"/>
        <v>0</v>
      </c>
      <c r="D27" s="7">
        <f>'Program Integration IDIQ Price'!B27</f>
        <v>0</v>
      </c>
      <c r="E27" s="16">
        <f t="shared" si="1"/>
        <v>0</v>
      </c>
      <c r="F27" s="15" t="str">
        <f t="shared" si="2"/>
        <v>IT Security Specialist V</v>
      </c>
      <c r="G27" s="4"/>
      <c r="H27" s="4">
        <f t="shared" si="3"/>
        <v>0</v>
      </c>
      <c r="I27" s="7">
        <f>'Program Integration IDIQ Price'!C27</f>
        <v>0</v>
      </c>
      <c r="J27" s="16">
        <f t="shared" si="4"/>
        <v>0</v>
      </c>
      <c r="K27" s="15" t="str">
        <f t="shared" si="5"/>
        <v>IT Security Specialist V</v>
      </c>
      <c r="L27" s="4"/>
      <c r="M27" s="4">
        <f t="shared" si="6"/>
        <v>0</v>
      </c>
      <c r="N27" s="7">
        <f>'Program Integration IDIQ Price'!D27</f>
        <v>0</v>
      </c>
      <c r="O27" s="16">
        <f t="shared" si="7"/>
        <v>0</v>
      </c>
      <c r="P27" s="15" t="str">
        <f t="shared" si="8"/>
        <v>IT Security Specialist V</v>
      </c>
      <c r="Q27" s="4"/>
      <c r="R27" s="4">
        <f t="shared" si="9"/>
        <v>0</v>
      </c>
      <c r="S27" s="7">
        <f>'Program Integration IDIQ Price'!E27</f>
        <v>0</v>
      </c>
      <c r="T27" s="23">
        <f t="shared" si="10"/>
        <v>0</v>
      </c>
      <c r="U27" s="15" t="str">
        <f t="shared" si="11"/>
        <v>IT Security Specialist V</v>
      </c>
      <c r="V27" s="4"/>
      <c r="W27" s="4">
        <f t="shared" si="12"/>
        <v>0</v>
      </c>
      <c r="X27" s="7">
        <f>'Program Integration IDIQ Price'!F27</f>
        <v>0</v>
      </c>
      <c r="Y27" s="16">
        <f t="shared" si="13"/>
        <v>0</v>
      </c>
    </row>
    <row r="28" spans="1:25" x14ac:dyDescent="0.25">
      <c r="A28" s="15" t="str">
        <v>IT Security Specialist IV</v>
      </c>
      <c r="B28" s="4"/>
      <c r="C28" s="4">
        <f t="shared" si="0"/>
        <v>0</v>
      </c>
      <c r="D28" s="7">
        <f>'Program Integration IDIQ Price'!B28</f>
        <v>0</v>
      </c>
      <c r="E28" s="16">
        <f t="shared" si="1"/>
        <v>0</v>
      </c>
      <c r="F28" s="15" t="str">
        <f t="shared" si="2"/>
        <v>IT Security Specialist IV</v>
      </c>
      <c r="G28" s="4"/>
      <c r="H28" s="4">
        <f t="shared" si="3"/>
        <v>0</v>
      </c>
      <c r="I28" s="7">
        <f>'Program Integration IDIQ Price'!C28</f>
        <v>0</v>
      </c>
      <c r="J28" s="16">
        <f t="shared" si="4"/>
        <v>0</v>
      </c>
      <c r="K28" s="15" t="str">
        <f t="shared" si="5"/>
        <v>IT Security Specialist IV</v>
      </c>
      <c r="L28" s="4"/>
      <c r="M28" s="4">
        <f t="shared" si="6"/>
        <v>0</v>
      </c>
      <c r="N28" s="7">
        <f>'Program Integration IDIQ Price'!D28</f>
        <v>0</v>
      </c>
      <c r="O28" s="16">
        <f t="shared" si="7"/>
        <v>0</v>
      </c>
      <c r="P28" s="15" t="str">
        <f t="shared" si="8"/>
        <v>IT Security Specialist IV</v>
      </c>
      <c r="Q28" s="4"/>
      <c r="R28" s="4">
        <f t="shared" si="9"/>
        <v>0</v>
      </c>
      <c r="S28" s="7">
        <f>'Program Integration IDIQ Price'!E28</f>
        <v>0</v>
      </c>
      <c r="T28" s="23">
        <f t="shared" si="10"/>
        <v>0</v>
      </c>
      <c r="U28" s="15" t="str">
        <f t="shared" si="11"/>
        <v>IT Security Specialist IV</v>
      </c>
      <c r="V28" s="4"/>
      <c r="W28" s="4">
        <f t="shared" si="12"/>
        <v>0</v>
      </c>
      <c r="X28" s="7">
        <f>'Program Integration IDIQ Price'!F28</f>
        <v>0</v>
      </c>
      <c r="Y28" s="16">
        <f t="shared" si="13"/>
        <v>0</v>
      </c>
    </row>
    <row r="29" spans="1:25" x14ac:dyDescent="0.25">
      <c r="A29" s="15" t="str">
        <v>Administrative Specialist III</v>
      </c>
      <c r="B29" s="4"/>
      <c r="C29" s="4">
        <f t="shared" si="0"/>
        <v>0</v>
      </c>
      <c r="D29" s="7">
        <f>'Program Integration IDIQ Price'!B29</f>
        <v>0</v>
      </c>
      <c r="E29" s="16">
        <f t="shared" si="1"/>
        <v>0</v>
      </c>
      <c r="F29" s="15" t="str">
        <f t="shared" si="2"/>
        <v>Administrative Specialist III</v>
      </c>
      <c r="G29" s="4"/>
      <c r="H29" s="4">
        <f t="shared" si="3"/>
        <v>0</v>
      </c>
      <c r="I29" s="7">
        <f>'Program Integration IDIQ Price'!C29</f>
        <v>0</v>
      </c>
      <c r="J29" s="16">
        <f t="shared" si="4"/>
        <v>0</v>
      </c>
      <c r="K29" s="15" t="str">
        <f t="shared" si="5"/>
        <v>Administrative Specialist III</v>
      </c>
      <c r="L29" s="4"/>
      <c r="M29" s="4">
        <f t="shared" si="6"/>
        <v>0</v>
      </c>
      <c r="N29" s="7">
        <f>'Program Integration IDIQ Price'!D29</f>
        <v>0</v>
      </c>
      <c r="O29" s="16">
        <f t="shared" si="7"/>
        <v>0</v>
      </c>
      <c r="P29" s="15" t="str">
        <f t="shared" si="8"/>
        <v>Administrative Specialist III</v>
      </c>
      <c r="Q29" s="4"/>
      <c r="R29" s="4">
        <f t="shared" si="9"/>
        <v>0</v>
      </c>
      <c r="S29" s="7">
        <f>'Program Integration IDIQ Price'!E29</f>
        <v>0</v>
      </c>
      <c r="T29" s="23">
        <f t="shared" si="10"/>
        <v>0</v>
      </c>
      <c r="U29" s="15" t="str">
        <f t="shared" si="11"/>
        <v>Administrative Specialist III</v>
      </c>
      <c r="V29" s="4"/>
      <c r="W29" s="4">
        <f t="shared" si="12"/>
        <v>0</v>
      </c>
      <c r="X29" s="7">
        <f>'Program Integration IDIQ Price'!F29</f>
        <v>0</v>
      </c>
      <c r="Y29" s="16">
        <f t="shared" si="13"/>
        <v>0</v>
      </c>
    </row>
    <row r="30" spans="1:25" x14ac:dyDescent="0.25">
      <c r="A30" s="15" t="str">
        <v>Contracts Administration III</v>
      </c>
      <c r="B30" s="4"/>
      <c r="C30" s="4">
        <f t="shared" si="0"/>
        <v>0</v>
      </c>
      <c r="D30" s="7">
        <f>'Program Integration IDIQ Price'!B30</f>
        <v>0</v>
      </c>
      <c r="E30" s="16">
        <f t="shared" si="1"/>
        <v>0</v>
      </c>
      <c r="F30" s="15" t="str">
        <f t="shared" si="2"/>
        <v>Contracts Administration III</v>
      </c>
      <c r="G30" s="4"/>
      <c r="H30" s="4">
        <f t="shared" si="3"/>
        <v>0</v>
      </c>
      <c r="I30" s="7">
        <f>'Program Integration IDIQ Price'!C30</f>
        <v>0</v>
      </c>
      <c r="J30" s="16">
        <f t="shared" si="4"/>
        <v>0</v>
      </c>
      <c r="K30" s="15" t="str">
        <f t="shared" si="5"/>
        <v>Contracts Administration III</v>
      </c>
      <c r="L30" s="4"/>
      <c r="M30" s="4">
        <f t="shared" si="6"/>
        <v>0</v>
      </c>
      <c r="N30" s="7">
        <f>'Program Integration IDIQ Price'!D30</f>
        <v>0</v>
      </c>
      <c r="O30" s="16">
        <f t="shared" si="7"/>
        <v>0</v>
      </c>
      <c r="P30" s="15" t="str">
        <f t="shared" si="8"/>
        <v>Contracts Administration III</v>
      </c>
      <c r="Q30" s="4"/>
      <c r="R30" s="4">
        <f t="shared" si="9"/>
        <v>0</v>
      </c>
      <c r="S30" s="7">
        <f>'Program Integration IDIQ Price'!E30</f>
        <v>0</v>
      </c>
      <c r="T30" s="23">
        <f t="shared" si="10"/>
        <v>0</v>
      </c>
      <c r="U30" s="15" t="str">
        <f t="shared" si="11"/>
        <v>Contracts Administration III</v>
      </c>
      <c r="V30" s="4"/>
      <c r="W30" s="4">
        <f t="shared" si="12"/>
        <v>0</v>
      </c>
      <c r="X30" s="7">
        <f>'Program Integration IDIQ Price'!F30</f>
        <v>0</v>
      </c>
      <c r="Y30" s="16">
        <f t="shared" si="13"/>
        <v>0</v>
      </c>
    </row>
    <row r="31" spans="1:25" x14ac:dyDescent="0.25">
      <c r="A31" s="15" t="str">
        <v>Contracts Administration IV</v>
      </c>
      <c r="B31" s="4"/>
      <c r="C31" s="4">
        <f t="shared" si="0"/>
        <v>0</v>
      </c>
      <c r="D31" s="7">
        <f>'Program Integration IDIQ Price'!B31</f>
        <v>0</v>
      </c>
      <c r="E31" s="16">
        <f t="shared" si="1"/>
        <v>0</v>
      </c>
      <c r="F31" s="15" t="str">
        <f t="shared" si="2"/>
        <v>Contracts Administration IV</v>
      </c>
      <c r="G31" s="4"/>
      <c r="H31" s="4">
        <f t="shared" si="3"/>
        <v>0</v>
      </c>
      <c r="I31" s="7">
        <f>'Program Integration IDIQ Price'!C31</f>
        <v>0</v>
      </c>
      <c r="J31" s="16">
        <f t="shared" si="4"/>
        <v>0</v>
      </c>
      <c r="K31" s="15" t="str">
        <f t="shared" si="5"/>
        <v>Contracts Administration IV</v>
      </c>
      <c r="L31" s="4"/>
      <c r="M31" s="4">
        <f t="shared" si="6"/>
        <v>0</v>
      </c>
      <c r="N31" s="7">
        <f>'Program Integration IDIQ Price'!D31</f>
        <v>0</v>
      </c>
      <c r="O31" s="16">
        <f t="shared" si="7"/>
        <v>0</v>
      </c>
      <c r="P31" s="15" t="str">
        <f t="shared" si="8"/>
        <v>Contracts Administration IV</v>
      </c>
      <c r="Q31" s="4"/>
      <c r="R31" s="4">
        <f t="shared" si="9"/>
        <v>0</v>
      </c>
      <c r="S31" s="7">
        <f>'Program Integration IDIQ Price'!E31</f>
        <v>0</v>
      </c>
      <c r="T31" s="23">
        <f t="shared" si="10"/>
        <v>0</v>
      </c>
      <c r="U31" s="15" t="str">
        <f t="shared" si="11"/>
        <v>Contracts Administration IV</v>
      </c>
      <c r="V31" s="4"/>
      <c r="W31" s="4">
        <f t="shared" si="12"/>
        <v>0</v>
      </c>
      <c r="X31" s="7">
        <f>'Program Integration IDIQ Price'!F31</f>
        <v>0</v>
      </c>
      <c r="Y31" s="16">
        <f t="shared" si="13"/>
        <v>0</v>
      </c>
    </row>
    <row r="32" spans="1:25" x14ac:dyDescent="0.25">
      <c r="A32" s="15" t="str">
        <v>Safety/Quality Assurance Specialist V</v>
      </c>
      <c r="B32" s="4"/>
      <c r="C32" s="4">
        <f t="shared" si="0"/>
        <v>0</v>
      </c>
      <c r="D32" s="7">
        <f>'Program Integration IDIQ Price'!B32</f>
        <v>0</v>
      </c>
      <c r="E32" s="16">
        <f t="shared" si="1"/>
        <v>0</v>
      </c>
      <c r="F32" s="15" t="str">
        <f t="shared" si="2"/>
        <v>Safety/Quality Assurance Specialist V</v>
      </c>
      <c r="G32" s="4"/>
      <c r="H32" s="4">
        <f t="shared" si="3"/>
        <v>0</v>
      </c>
      <c r="I32" s="7">
        <f>'Program Integration IDIQ Price'!C32</f>
        <v>0</v>
      </c>
      <c r="J32" s="16">
        <f t="shared" si="4"/>
        <v>0</v>
      </c>
      <c r="K32" s="15" t="str">
        <f t="shared" si="5"/>
        <v>Safety/Quality Assurance Specialist V</v>
      </c>
      <c r="L32" s="4"/>
      <c r="M32" s="4">
        <f t="shared" si="6"/>
        <v>0</v>
      </c>
      <c r="N32" s="7">
        <f>'Program Integration IDIQ Price'!D32</f>
        <v>0</v>
      </c>
      <c r="O32" s="16">
        <f t="shared" si="7"/>
        <v>0</v>
      </c>
      <c r="P32" s="15" t="str">
        <f t="shared" si="8"/>
        <v>Safety/Quality Assurance Specialist V</v>
      </c>
      <c r="Q32" s="4"/>
      <c r="R32" s="4">
        <f t="shared" si="9"/>
        <v>0</v>
      </c>
      <c r="S32" s="7">
        <f>'Program Integration IDIQ Price'!E32</f>
        <v>0</v>
      </c>
      <c r="T32" s="23">
        <f t="shared" si="10"/>
        <v>0</v>
      </c>
      <c r="U32" s="15" t="str">
        <f t="shared" si="11"/>
        <v>Safety/Quality Assurance Specialist V</v>
      </c>
      <c r="V32" s="4"/>
      <c r="W32" s="4">
        <f t="shared" si="12"/>
        <v>0</v>
      </c>
      <c r="X32" s="7">
        <f>'Program Integration IDIQ Price'!F32</f>
        <v>0</v>
      </c>
      <c r="Y32" s="16">
        <f t="shared" si="13"/>
        <v>0</v>
      </c>
    </row>
    <row r="33" spans="1:25" x14ac:dyDescent="0.25">
      <c r="A33" s="15" t="str">
        <v>Safety/Quality Assurance Specialist IV</v>
      </c>
      <c r="B33" s="4"/>
      <c r="C33" s="4">
        <f t="shared" si="0"/>
        <v>0</v>
      </c>
      <c r="D33" s="7">
        <f>'Program Integration IDIQ Price'!B33</f>
        <v>0</v>
      </c>
      <c r="E33" s="16">
        <f t="shared" si="1"/>
        <v>0</v>
      </c>
      <c r="F33" s="15" t="str">
        <f t="shared" si="2"/>
        <v>Safety/Quality Assurance Specialist IV</v>
      </c>
      <c r="G33" s="4"/>
      <c r="H33" s="4">
        <f t="shared" si="3"/>
        <v>0</v>
      </c>
      <c r="I33" s="7">
        <f>'Program Integration IDIQ Price'!C33</f>
        <v>0</v>
      </c>
      <c r="J33" s="16">
        <f t="shared" si="4"/>
        <v>0</v>
      </c>
      <c r="K33" s="15" t="str">
        <f t="shared" si="5"/>
        <v>Safety/Quality Assurance Specialist IV</v>
      </c>
      <c r="L33" s="4"/>
      <c r="M33" s="4">
        <f t="shared" si="6"/>
        <v>0</v>
      </c>
      <c r="N33" s="7">
        <f>'Program Integration IDIQ Price'!D33</f>
        <v>0</v>
      </c>
      <c r="O33" s="16">
        <f t="shared" si="7"/>
        <v>0</v>
      </c>
      <c r="P33" s="15" t="str">
        <f t="shared" si="8"/>
        <v>Safety/Quality Assurance Specialist IV</v>
      </c>
      <c r="Q33" s="4"/>
      <c r="R33" s="4">
        <f t="shared" si="9"/>
        <v>0</v>
      </c>
      <c r="S33" s="7">
        <f>'Program Integration IDIQ Price'!E33</f>
        <v>0</v>
      </c>
      <c r="T33" s="23">
        <f t="shared" si="10"/>
        <v>0</v>
      </c>
      <c r="U33" s="15" t="str">
        <f t="shared" si="11"/>
        <v>Safety/Quality Assurance Specialist IV</v>
      </c>
      <c r="V33" s="4"/>
      <c r="W33" s="4">
        <f t="shared" si="12"/>
        <v>0</v>
      </c>
      <c r="X33" s="7">
        <f>'Program Integration IDIQ Price'!F33</f>
        <v>0</v>
      </c>
      <c r="Y33" s="16">
        <f t="shared" si="13"/>
        <v>0</v>
      </c>
    </row>
    <row r="34" spans="1:25" x14ac:dyDescent="0.25">
      <c r="A34" s="15" t="str">
        <v>Technical Writer III</v>
      </c>
      <c r="B34" s="4"/>
      <c r="C34" s="4">
        <f t="shared" si="0"/>
        <v>0</v>
      </c>
      <c r="D34" s="7">
        <f>'Program Integration IDIQ Price'!B34</f>
        <v>0</v>
      </c>
      <c r="E34" s="16">
        <f t="shared" si="1"/>
        <v>0</v>
      </c>
      <c r="F34" s="15" t="str">
        <f t="shared" si="2"/>
        <v>Technical Writer III</v>
      </c>
      <c r="G34" s="4"/>
      <c r="H34" s="4">
        <f t="shared" si="3"/>
        <v>0</v>
      </c>
      <c r="I34" s="7">
        <f>'Program Integration IDIQ Price'!C34</f>
        <v>0</v>
      </c>
      <c r="J34" s="16">
        <f t="shared" si="4"/>
        <v>0</v>
      </c>
      <c r="K34" s="15" t="str">
        <f t="shared" si="5"/>
        <v>Technical Writer III</v>
      </c>
      <c r="L34" s="4"/>
      <c r="M34" s="4">
        <f t="shared" si="6"/>
        <v>0</v>
      </c>
      <c r="N34" s="7">
        <f>'Program Integration IDIQ Price'!D34</f>
        <v>0</v>
      </c>
      <c r="O34" s="16">
        <f t="shared" si="7"/>
        <v>0</v>
      </c>
      <c r="P34" s="15" t="str">
        <f t="shared" si="8"/>
        <v>Technical Writer III</v>
      </c>
      <c r="Q34" s="4"/>
      <c r="R34" s="4">
        <f t="shared" si="9"/>
        <v>0</v>
      </c>
      <c r="S34" s="7">
        <f>'Program Integration IDIQ Price'!E34</f>
        <v>0</v>
      </c>
      <c r="T34" s="23">
        <f t="shared" si="10"/>
        <v>0</v>
      </c>
      <c r="U34" s="15" t="str">
        <f t="shared" si="11"/>
        <v>Technical Writer III</v>
      </c>
      <c r="V34" s="4"/>
      <c r="W34" s="4">
        <f t="shared" si="12"/>
        <v>0</v>
      </c>
      <c r="X34" s="7">
        <f>'Program Integration IDIQ Price'!F34</f>
        <v>0</v>
      </c>
      <c r="Y34" s="16">
        <f t="shared" si="13"/>
        <v>0</v>
      </c>
    </row>
    <row r="35" spans="1:25" x14ac:dyDescent="0.25">
      <c r="A35" s="15" t="str">
        <v>Business Analyst III</v>
      </c>
      <c r="B35" s="4"/>
      <c r="C35" s="4">
        <f t="shared" si="0"/>
        <v>0</v>
      </c>
      <c r="D35" s="7">
        <f>'Program Integration IDIQ Price'!B35</f>
        <v>0</v>
      </c>
      <c r="E35" s="16">
        <f t="shared" si="1"/>
        <v>0</v>
      </c>
      <c r="F35" s="15" t="str">
        <f t="shared" si="2"/>
        <v>Business Analyst III</v>
      </c>
      <c r="G35" s="4"/>
      <c r="H35" s="4">
        <f t="shared" si="3"/>
        <v>0</v>
      </c>
      <c r="I35" s="7">
        <f>'Program Integration IDIQ Price'!C35</f>
        <v>0</v>
      </c>
      <c r="J35" s="16">
        <f t="shared" si="4"/>
        <v>0</v>
      </c>
      <c r="K35" s="15" t="str">
        <f t="shared" si="5"/>
        <v>Business Analyst III</v>
      </c>
      <c r="L35" s="4"/>
      <c r="M35" s="4">
        <f t="shared" si="6"/>
        <v>0</v>
      </c>
      <c r="N35" s="7">
        <f>'Program Integration IDIQ Price'!D35</f>
        <v>0</v>
      </c>
      <c r="O35" s="16">
        <f t="shared" si="7"/>
        <v>0</v>
      </c>
      <c r="P35" s="15" t="str">
        <f t="shared" si="8"/>
        <v>Business Analyst III</v>
      </c>
      <c r="Q35" s="4"/>
      <c r="R35" s="4">
        <f t="shared" si="9"/>
        <v>0</v>
      </c>
      <c r="S35" s="7">
        <f>'Program Integration IDIQ Price'!E35</f>
        <v>0</v>
      </c>
      <c r="T35" s="23">
        <f t="shared" si="10"/>
        <v>0</v>
      </c>
      <c r="U35" s="15" t="str">
        <f t="shared" si="11"/>
        <v>Business Analyst III</v>
      </c>
      <c r="V35" s="4"/>
      <c r="W35" s="4">
        <f t="shared" si="12"/>
        <v>0</v>
      </c>
      <c r="X35" s="7">
        <f>'Program Integration IDIQ Price'!F35</f>
        <v>0</v>
      </c>
      <c r="Y35" s="16">
        <f t="shared" si="13"/>
        <v>0</v>
      </c>
    </row>
    <row r="36" spans="1:25" x14ac:dyDescent="0.25">
      <c r="A36" s="15" t="str">
        <v>Business Analyst IV</v>
      </c>
      <c r="B36" s="4"/>
      <c r="C36" s="4">
        <f t="shared" si="0"/>
        <v>0</v>
      </c>
      <c r="D36" s="7">
        <f>'Program Integration IDIQ Price'!B36</f>
        <v>0</v>
      </c>
      <c r="E36" s="16">
        <f t="shared" si="1"/>
        <v>0</v>
      </c>
      <c r="F36" s="15" t="str">
        <f t="shared" si="2"/>
        <v>Business Analyst IV</v>
      </c>
      <c r="G36" s="4"/>
      <c r="H36" s="4">
        <f t="shared" si="3"/>
        <v>0</v>
      </c>
      <c r="I36" s="7">
        <f>'Program Integration IDIQ Price'!C36</f>
        <v>0</v>
      </c>
      <c r="J36" s="16">
        <f t="shared" si="4"/>
        <v>0</v>
      </c>
      <c r="K36" s="15" t="str">
        <f t="shared" si="5"/>
        <v>Business Analyst IV</v>
      </c>
      <c r="L36" s="4"/>
      <c r="M36" s="4">
        <f t="shared" si="6"/>
        <v>0</v>
      </c>
      <c r="N36" s="7">
        <f>'Program Integration IDIQ Price'!D36</f>
        <v>0</v>
      </c>
      <c r="O36" s="16">
        <f t="shared" si="7"/>
        <v>0</v>
      </c>
      <c r="P36" s="15" t="str">
        <f t="shared" si="8"/>
        <v>Business Analyst IV</v>
      </c>
      <c r="Q36" s="4"/>
      <c r="R36" s="4">
        <f t="shared" si="9"/>
        <v>0</v>
      </c>
      <c r="S36" s="7">
        <f>'Program Integration IDIQ Price'!E36</f>
        <v>0</v>
      </c>
      <c r="T36" s="23">
        <f t="shared" si="10"/>
        <v>0</v>
      </c>
      <c r="U36" s="15" t="str">
        <f t="shared" si="11"/>
        <v>Business Analyst IV</v>
      </c>
      <c r="V36" s="4"/>
      <c r="W36" s="4">
        <f t="shared" si="12"/>
        <v>0</v>
      </c>
      <c r="X36" s="7">
        <f>'Program Integration IDIQ Price'!F36</f>
        <v>0</v>
      </c>
      <c r="Y36" s="16">
        <f t="shared" si="13"/>
        <v>0</v>
      </c>
    </row>
    <row r="37" spans="1:25" x14ac:dyDescent="0.25">
      <c r="A37" s="15"/>
      <c r="B37" s="4"/>
      <c r="C37" s="4"/>
      <c r="D37" s="7"/>
      <c r="E37" s="16"/>
      <c r="F37" s="15"/>
      <c r="G37" s="4"/>
      <c r="H37" s="4"/>
      <c r="I37" s="7"/>
      <c r="J37" s="16"/>
      <c r="K37" s="15"/>
      <c r="L37" s="4"/>
      <c r="M37" s="4"/>
      <c r="N37" s="7"/>
      <c r="O37" s="16"/>
      <c r="P37" s="15"/>
      <c r="Q37" s="4"/>
      <c r="R37" s="4"/>
      <c r="S37" s="7"/>
      <c r="T37" s="23"/>
      <c r="U37" s="15"/>
      <c r="V37" s="4"/>
      <c r="W37" s="4"/>
      <c r="X37" s="7"/>
      <c r="Y37" s="16"/>
    </row>
    <row r="38" spans="1:25" x14ac:dyDescent="0.25">
      <c r="A38" s="15" t="s">
        <v>118</v>
      </c>
      <c r="B38" s="4"/>
      <c r="C38" s="4"/>
      <c r="D38" s="7"/>
      <c r="E38" s="17">
        <f>SUM(E6:E36)</f>
        <v>0</v>
      </c>
      <c r="F38" s="15" t="s">
        <v>118</v>
      </c>
      <c r="G38" s="4"/>
      <c r="H38" s="4"/>
      <c r="I38" s="7"/>
      <c r="J38" s="17">
        <f>SUM(J6:J36)</f>
        <v>0</v>
      </c>
      <c r="K38" s="15" t="s">
        <v>118</v>
      </c>
      <c r="L38" s="4"/>
      <c r="M38" s="4"/>
      <c r="N38" s="7"/>
      <c r="O38" s="17">
        <f>SUM(O6:O36)</f>
        <v>0</v>
      </c>
      <c r="P38" s="15" t="s">
        <v>118</v>
      </c>
      <c r="Q38" s="4"/>
      <c r="R38" s="4"/>
      <c r="S38" s="7"/>
      <c r="T38" s="24">
        <f>SUM(T6:T36)</f>
        <v>0</v>
      </c>
      <c r="U38" s="15" t="s">
        <v>118</v>
      </c>
      <c r="V38" s="4"/>
      <c r="W38" s="4"/>
      <c r="X38" s="7"/>
      <c r="Y38" s="17">
        <f>SUM(Y6:Y36)</f>
        <v>0</v>
      </c>
    </row>
    <row r="39" spans="1:25" x14ac:dyDescent="0.25">
      <c r="A39" s="15"/>
      <c r="B39" s="4"/>
      <c r="C39" s="4"/>
      <c r="D39" s="7"/>
      <c r="E39" s="16"/>
      <c r="F39" s="15"/>
      <c r="G39" s="4"/>
      <c r="H39" s="4"/>
      <c r="I39" s="7"/>
      <c r="J39" s="16"/>
      <c r="K39" s="15"/>
      <c r="L39" s="4"/>
      <c r="M39" s="4"/>
      <c r="N39" s="7"/>
      <c r="O39" s="16"/>
      <c r="P39" s="15"/>
      <c r="Q39" s="4"/>
      <c r="R39" s="4"/>
      <c r="S39" s="7"/>
      <c r="T39" s="23"/>
      <c r="U39" s="15"/>
      <c r="V39" s="4"/>
      <c r="W39" s="4"/>
      <c r="X39" s="7"/>
      <c r="Y39" s="16"/>
    </row>
    <row r="40" spans="1:25" x14ac:dyDescent="0.25">
      <c r="A40" s="13" t="s">
        <v>125</v>
      </c>
      <c r="B40" s="4"/>
      <c r="C40" s="4"/>
      <c r="D40" s="7"/>
      <c r="E40" s="16"/>
      <c r="F40" s="13" t="s">
        <v>130</v>
      </c>
      <c r="G40" s="4"/>
      <c r="H40" s="4"/>
      <c r="I40" s="7"/>
      <c r="J40" s="16"/>
      <c r="K40" s="13" t="s">
        <v>131</v>
      </c>
      <c r="L40" s="4"/>
      <c r="M40" s="4"/>
      <c r="N40" s="7"/>
      <c r="O40" s="16"/>
      <c r="P40" s="13" t="s">
        <v>132</v>
      </c>
      <c r="Q40" s="4"/>
      <c r="R40" s="4"/>
      <c r="S40" s="7"/>
      <c r="T40" s="23"/>
      <c r="U40" s="13" t="s">
        <v>133</v>
      </c>
      <c r="V40" s="4"/>
      <c r="W40" s="4"/>
      <c r="X40" s="7"/>
      <c r="Y40" s="16"/>
    </row>
    <row r="41" spans="1:25" x14ac:dyDescent="0.25">
      <c r="A41" s="15" t="s">
        <v>113</v>
      </c>
      <c r="B41" s="4"/>
      <c r="C41" s="4"/>
      <c r="D41" s="7"/>
      <c r="E41" s="16">
        <v>80000</v>
      </c>
      <c r="F41" s="15" t="s">
        <v>113</v>
      </c>
      <c r="G41" s="4"/>
      <c r="H41" s="4"/>
      <c r="I41" s="7"/>
      <c r="J41" s="16">
        <v>80000</v>
      </c>
      <c r="K41" s="15" t="s">
        <v>113</v>
      </c>
      <c r="L41" s="4"/>
      <c r="M41" s="4"/>
      <c r="N41" s="7"/>
      <c r="O41" s="16">
        <v>80000</v>
      </c>
      <c r="P41" s="15" t="s">
        <v>113</v>
      </c>
      <c r="Q41" s="4"/>
      <c r="R41" s="4"/>
      <c r="S41" s="7"/>
      <c r="T41" s="23">
        <v>80000</v>
      </c>
      <c r="U41" s="15" t="s">
        <v>113</v>
      </c>
      <c r="V41" s="4"/>
      <c r="W41" s="4"/>
      <c r="X41" s="7"/>
      <c r="Y41" s="16">
        <v>80000</v>
      </c>
    </row>
    <row r="42" spans="1:25" x14ac:dyDescent="0.25">
      <c r="A42" s="15" t="s">
        <v>114</v>
      </c>
      <c r="B42" s="4"/>
      <c r="C42" s="4"/>
      <c r="D42" s="7"/>
      <c r="E42" s="16">
        <v>40000</v>
      </c>
      <c r="F42" s="15" t="s">
        <v>114</v>
      </c>
      <c r="G42" s="4"/>
      <c r="H42" s="4"/>
      <c r="I42" s="7"/>
      <c r="J42" s="16">
        <v>40000</v>
      </c>
      <c r="K42" s="15" t="s">
        <v>114</v>
      </c>
      <c r="L42" s="4"/>
      <c r="M42" s="4"/>
      <c r="N42" s="7"/>
      <c r="O42" s="16">
        <v>40000</v>
      </c>
      <c r="P42" s="15" t="s">
        <v>114</v>
      </c>
      <c r="Q42" s="4"/>
      <c r="R42" s="4"/>
      <c r="S42" s="7"/>
      <c r="T42" s="23">
        <v>40000</v>
      </c>
      <c r="U42" s="15" t="s">
        <v>114</v>
      </c>
      <c r="V42" s="4"/>
      <c r="W42" s="4"/>
      <c r="X42" s="7"/>
      <c r="Y42" s="16">
        <v>40000</v>
      </c>
    </row>
    <row r="43" spans="1:25" x14ac:dyDescent="0.25">
      <c r="A43" s="15" t="s">
        <v>115</v>
      </c>
      <c r="B43" s="4"/>
      <c r="C43" s="4"/>
      <c r="D43" s="7"/>
      <c r="E43" s="16">
        <v>1000000</v>
      </c>
      <c r="F43" s="15" t="s">
        <v>115</v>
      </c>
      <c r="G43" s="4"/>
      <c r="H43" s="4"/>
      <c r="I43" s="7"/>
      <c r="J43" s="16">
        <v>1000000</v>
      </c>
      <c r="K43" s="15" t="s">
        <v>115</v>
      </c>
      <c r="L43" s="4"/>
      <c r="M43" s="4"/>
      <c r="N43" s="7"/>
      <c r="O43" s="16">
        <v>1000000</v>
      </c>
      <c r="P43" s="15" t="s">
        <v>115</v>
      </c>
      <c r="Q43" s="4"/>
      <c r="R43" s="4"/>
      <c r="S43" s="7"/>
      <c r="T43" s="23">
        <v>1000000</v>
      </c>
      <c r="U43" s="15" t="s">
        <v>115</v>
      </c>
      <c r="V43" s="4"/>
      <c r="W43" s="4"/>
      <c r="X43" s="7"/>
      <c r="Y43" s="16">
        <v>1000000</v>
      </c>
    </row>
    <row r="44" spans="1:25" x14ac:dyDescent="0.25">
      <c r="A44" s="15"/>
      <c r="B44" s="4"/>
      <c r="C44" s="4"/>
      <c r="D44" s="7"/>
      <c r="E44" s="16"/>
      <c r="F44" s="15"/>
      <c r="G44" s="4"/>
      <c r="H44" s="4"/>
      <c r="I44" s="7"/>
      <c r="J44" s="16"/>
      <c r="K44" s="15"/>
      <c r="L44" s="4"/>
      <c r="M44" s="4"/>
      <c r="N44" s="7"/>
      <c r="O44" s="16"/>
      <c r="P44" s="15"/>
      <c r="Q44" s="4"/>
      <c r="R44" s="4"/>
      <c r="S44" s="7"/>
      <c r="T44" s="23"/>
      <c r="U44" s="15"/>
      <c r="V44" s="4"/>
      <c r="W44" s="4"/>
      <c r="X44" s="7"/>
      <c r="Y44" s="16"/>
    </row>
    <row r="45" spans="1:25" x14ac:dyDescent="0.25">
      <c r="A45" s="13" t="s">
        <v>119</v>
      </c>
      <c r="B45" s="4"/>
      <c r="C45" s="4"/>
      <c r="D45" s="7"/>
      <c r="E45" s="16">
        <f>SUM(E41:E43)</f>
        <v>1120000</v>
      </c>
      <c r="F45" s="13" t="s">
        <v>119</v>
      </c>
      <c r="G45" s="4"/>
      <c r="H45" s="4"/>
      <c r="I45" s="7"/>
      <c r="J45" s="16">
        <f>SUM(J41:J43)</f>
        <v>1120000</v>
      </c>
      <c r="K45" s="13" t="s">
        <v>119</v>
      </c>
      <c r="L45" s="4"/>
      <c r="M45" s="4"/>
      <c r="N45" s="7"/>
      <c r="O45" s="16">
        <f>SUM(O41:O43)</f>
        <v>1120000</v>
      </c>
      <c r="P45" s="13" t="s">
        <v>119</v>
      </c>
      <c r="Q45" s="4"/>
      <c r="R45" s="4"/>
      <c r="S45" s="7"/>
      <c r="T45" s="23">
        <f>SUM(T41:T43)</f>
        <v>1120000</v>
      </c>
      <c r="U45" s="13" t="s">
        <v>119</v>
      </c>
      <c r="V45" s="4"/>
      <c r="W45" s="4"/>
      <c r="X45" s="7"/>
      <c r="Y45" s="16">
        <f>SUM(Y41:Y43)</f>
        <v>1120000</v>
      </c>
    </row>
    <row r="46" spans="1:25" x14ac:dyDescent="0.25">
      <c r="A46" s="15"/>
      <c r="B46" s="4"/>
      <c r="C46" s="4"/>
      <c r="D46" s="4"/>
      <c r="E46" s="14"/>
      <c r="F46" s="15"/>
      <c r="G46" s="4"/>
      <c r="H46" s="4"/>
      <c r="I46" s="4"/>
      <c r="J46" s="14"/>
      <c r="K46" s="15"/>
      <c r="L46" s="4"/>
      <c r="M46" s="4"/>
      <c r="N46" s="4"/>
      <c r="O46" s="14"/>
      <c r="P46" s="15"/>
      <c r="Q46" s="4"/>
      <c r="R46" s="4"/>
      <c r="S46" s="4"/>
      <c r="T46" s="22"/>
      <c r="U46" s="15"/>
      <c r="V46" s="4"/>
      <c r="W46" s="4"/>
      <c r="X46" s="4"/>
      <c r="Y46" s="14"/>
    </row>
    <row r="47" spans="1:25" ht="15.75" thickBot="1" x14ac:dyDescent="0.3">
      <c r="A47" s="18" t="s">
        <v>117</v>
      </c>
      <c r="B47" s="19"/>
      <c r="C47" s="19"/>
      <c r="D47" s="19"/>
      <c r="E47" s="20">
        <f>SUM(E38,E45)</f>
        <v>1120000</v>
      </c>
      <c r="F47" s="18" t="s">
        <v>117</v>
      </c>
      <c r="G47" s="19"/>
      <c r="H47" s="19"/>
      <c r="I47" s="19"/>
      <c r="J47" s="20">
        <f>SUM(J38,J45)</f>
        <v>1120000</v>
      </c>
      <c r="K47" s="18" t="s">
        <v>117</v>
      </c>
      <c r="L47" s="19"/>
      <c r="M47" s="19"/>
      <c r="N47" s="19"/>
      <c r="O47" s="20">
        <f>SUM(O38,O45)</f>
        <v>1120000</v>
      </c>
      <c r="P47" s="18" t="s">
        <v>117</v>
      </c>
      <c r="Q47" s="19"/>
      <c r="R47" s="19"/>
      <c r="S47" s="19"/>
      <c r="T47" s="25">
        <f>SUM(T38,T45)</f>
        <v>1120000</v>
      </c>
      <c r="U47" s="18" t="s">
        <v>117</v>
      </c>
      <c r="V47" s="19"/>
      <c r="W47" s="19"/>
      <c r="X47" s="19"/>
      <c r="Y47" s="20">
        <f>SUM(Y38,Y45)</f>
        <v>1120000</v>
      </c>
    </row>
  </sheetData>
  <mergeCells count="5">
    <mergeCell ref="A3:E3"/>
    <mergeCell ref="F3:J3"/>
    <mergeCell ref="K3:O3"/>
    <mergeCell ref="P3:T3"/>
    <mergeCell ref="U3:Y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4761-CA98-4A1F-8F13-E75A782336E8}">
  <dimension ref="A1:Y57"/>
  <sheetViews>
    <sheetView topLeftCell="J20" workbookViewId="0">
      <selection activeCell="A51" sqref="A51:Y51"/>
    </sheetView>
  </sheetViews>
  <sheetFormatPr defaultRowHeight="15" x14ac:dyDescent="0.25"/>
  <cols>
    <col min="1" max="1" width="43.28515625" bestFit="1" customWidth="1"/>
    <col min="2" max="2" width="6.140625" bestFit="1" customWidth="1"/>
    <col min="3" max="3" width="4" bestFit="1" customWidth="1"/>
    <col min="4" max="4" width="5.5703125" bestFit="1" customWidth="1"/>
    <col min="5" max="5" width="12.7109375" bestFit="1" customWidth="1"/>
    <col min="6" max="6" width="43.28515625" bestFit="1" customWidth="1"/>
    <col min="7" max="7" width="6.140625" bestFit="1" customWidth="1"/>
    <col min="8" max="8" width="4" bestFit="1" customWidth="1"/>
    <col min="9" max="9" width="5.5703125" bestFit="1" customWidth="1"/>
    <col min="10" max="10" width="12.7109375" bestFit="1" customWidth="1"/>
    <col min="11" max="11" width="43.28515625" bestFit="1" customWidth="1"/>
    <col min="12" max="12" width="6.140625" bestFit="1" customWidth="1"/>
    <col min="13" max="13" width="4" bestFit="1" customWidth="1"/>
    <col min="14" max="14" width="5.5703125" bestFit="1" customWidth="1"/>
    <col min="15" max="15" width="12.7109375" bestFit="1" customWidth="1"/>
    <col min="16" max="16" width="43.28515625" bestFit="1" customWidth="1"/>
    <col min="17" max="17" width="6.140625" bestFit="1" customWidth="1"/>
    <col min="18" max="18" width="4" bestFit="1" customWidth="1"/>
    <col min="19" max="19" width="5.5703125" bestFit="1" customWidth="1"/>
    <col min="20" max="20" width="12.7109375" bestFit="1" customWidth="1"/>
    <col min="21" max="21" width="43.28515625" bestFit="1" customWidth="1"/>
    <col min="22" max="22" width="6.140625" bestFit="1" customWidth="1"/>
    <col min="23" max="23" width="4" bestFit="1" customWidth="1"/>
    <col min="24" max="24" width="5.5703125" bestFit="1" customWidth="1"/>
    <col min="25" max="25" width="12.7109375" bestFit="1" customWidth="1"/>
  </cols>
  <sheetData>
    <row r="1" spans="1:25" x14ac:dyDescent="0.25">
      <c r="A1" s="1" t="s">
        <v>116</v>
      </c>
    </row>
    <row r="2" spans="1:25" ht="15.75" thickBot="1" x14ac:dyDescent="0.3"/>
    <row r="3" spans="1:25" x14ac:dyDescent="0.25">
      <c r="A3" s="10" t="s">
        <v>107</v>
      </c>
      <c r="B3" s="11"/>
      <c r="C3" s="11"/>
      <c r="D3" s="11"/>
      <c r="E3" s="12"/>
      <c r="F3" s="10" t="s">
        <v>120</v>
      </c>
      <c r="G3" s="11"/>
      <c r="H3" s="11"/>
      <c r="I3" s="11"/>
      <c r="J3" s="12"/>
      <c r="K3" s="10" t="s">
        <v>121</v>
      </c>
      <c r="L3" s="11"/>
      <c r="M3" s="11"/>
      <c r="N3" s="11"/>
      <c r="O3" s="12"/>
      <c r="P3" s="10" t="s">
        <v>123</v>
      </c>
      <c r="Q3" s="11"/>
      <c r="R3" s="11"/>
      <c r="S3" s="11"/>
      <c r="T3" s="21"/>
      <c r="U3" s="10" t="s">
        <v>122</v>
      </c>
      <c r="V3" s="11"/>
      <c r="W3" s="11"/>
      <c r="X3" s="11"/>
      <c r="Y3" s="12"/>
    </row>
    <row r="4" spans="1:25" x14ac:dyDescent="0.25">
      <c r="A4" s="13" t="s">
        <v>124</v>
      </c>
      <c r="B4" s="4"/>
      <c r="C4" s="4"/>
      <c r="D4" s="4"/>
      <c r="E4" s="14"/>
      <c r="F4" s="13" t="s">
        <v>126</v>
      </c>
      <c r="G4" s="4"/>
      <c r="H4" s="4"/>
      <c r="I4" s="4"/>
      <c r="J4" s="14"/>
      <c r="K4" s="13" t="s">
        <v>127</v>
      </c>
      <c r="L4" s="4"/>
      <c r="M4" s="4"/>
      <c r="N4" s="4"/>
      <c r="O4" s="14"/>
      <c r="P4" s="13" t="s">
        <v>128</v>
      </c>
      <c r="Q4" s="4"/>
      <c r="R4" s="4"/>
      <c r="S4" s="4"/>
      <c r="T4" s="22"/>
      <c r="U4" s="13" t="s">
        <v>129</v>
      </c>
      <c r="V4" s="4"/>
      <c r="W4" s="4"/>
      <c r="X4" s="4"/>
      <c r="Y4" s="14"/>
    </row>
    <row r="5" spans="1:25" x14ac:dyDescent="0.25">
      <c r="A5" s="13" t="s">
        <v>108</v>
      </c>
      <c r="B5" s="4" t="s">
        <v>109</v>
      </c>
      <c r="C5" s="4" t="s">
        <v>110</v>
      </c>
      <c r="D5" s="4" t="s">
        <v>111</v>
      </c>
      <c r="E5" s="14" t="s">
        <v>112</v>
      </c>
      <c r="F5" s="13" t="s">
        <v>108</v>
      </c>
      <c r="G5" s="4" t="s">
        <v>109</v>
      </c>
      <c r="H5" s="4" t="s">
        <v>110</v>
      </c>
      <c r="I5" s="4" t="s">
        <v>111</v>
      </c>
      <c r="J5" s="14" t="s">
        <v>112</v>
      </c>
      <c r="K5" s="13" t="s">
        <v>108</v>
      </c>
      <c r="L5" s="4" t="s">
        <v>109</v>
      </c>
      <c r="M5" s="4" t="s">
        <v>110</v>
      </c>
      <c r="N5" s="4" t="s">
        <v>111</v>
      </c>
      <c r="O5" s="14" t="s">
        <v>112</v>
      </c>
      <c r="P5" s="13" t="s">
        <v>108</v>
      </c>
      <c r="Q5" s="4" t="s">
        <v>109</v>
      </c>
      <c r="R5" s="4" t="s">
        <v>110</v>
      </c>
      <c r="S5" s="4" t="s">
        <v>111</v>
      </c>
      <c r="T5" s="22" t="s">
        <v>112</v>
      </c>
      <c r="U5" s="13" t="s">
        <v>108</v>
      </c>
      <c r="V5" s="4" t="s">
        <v>109</v>
      </c>
      <c r="W5" s="4" t="s">
        <v>110</v>
      </c>
      <c r="X5" s="4" t="s">
        <v>111</v>
      </c>
      <c r="Y5" s="14" t="s">
        <v>112</v>
      </c>
    </row>
    <row r="6" spans="1:25" x14ac:dyDescent="0.25">
      <c r="A6" s="15" t="str">
        <f>'Operations IDIQ Price'!A6</f>
        <v>Project Manager IV</v>
      </c>
      <c r="B6" s="4"/>
      <c r="C6" s="4">
        <f>B6/1880</f>
        <v>0</v>
      </c>
      <c r="D6" s="7">
        <f>'Operations IDIQ Price'!B6</f>
        <v>0</v>
      </c>
      <c r="E6" s="16">
        <f>B6*D6</f>
        <v>0</v>
      </c>
      <c r="F6" s="15" t="str">
        <f>$A6</f>
        <v>Project Manager IV</v>
      </c>
      <c r="G6" s="4"/>
      <c r="H6" s="4">
        <f>G6/1880</f>
        <v>0</v>
      </c>
      <c r="I6" s="7">
        <f>'Operations IDIQ Price'!C6</f>
        <v>0</v>
      </c>
      <c r="J6" s="16">
        <f>G6*I6</f>
        <v>0</v>
      </c>
      <c r="K6" s="15" t="str">
        <f>$A6</f>
        <v>Project Manager IV</v>
      </c>
      <c r="L6" s="4"/>
      <c r="M6" s="4">
        <f>L6/1880</f>
        <v>0</v>
      </c>
      <c r="N6" s="7">
        <f>'Operations IDIQ Price'!D6</f>
        <v>0</v>
      </c>
      <c r="O6" s="16">
        <f>L6*N6</f>
        <v>0</v>
      </c>
      <c r="P6" s="15" t="str">
        <f>$A6</f>
        <v>Project Manager IV</v>
      </c>
      <c r="Q6" s="4"/>
      <c r="R6" s="4">
        <f>Q6/1880</f>
        <v>0</v>
      </c>
      <c r="S6" s="7">
        <f>'Operations IDIQ Price'!E6</f>
        <v>0</v>
      </c>
      <c r="T6" s="23">
        <f>Q6*S6</f>
        <v>0</v>
      </c>
      <c r="U6" s="15" t="str">
        <f>$A6</f>
        <v>Project Manager IV</v>
      </c>
      <c r="V6" s="4"/>
      <c r="W6" s="4">
        <f>V6/1880</f>
        <v>0</v>
      </c>
      <c r="X6" s="7">
        <f>'Operations IDIQ Price'!F6</f>
        <v>0</v>
      </c>
      <c r="Y6" s="16">
        <f>V6*X6</f>
        <v>0</v>
      </c>
    </row>
    <row r="7" spans="1:25" x14ac:dyDescent="0.25">
      <c r="A7" s="15" t="str">
        <f>'Operations IDIQ Price'!A7</f>
        <v>Project Manager III</v>
      </c>
      <c r="B7" s="4"/>
      <c r="C7" s="4">
        <f t="shared" ref="C7:C47" si="0">B7/1880</f>
        <v>0</v>
      </c>
      <c r="D7" s="7">
        <f>'Operations IDIQ Price'!B7</f>
        <v>0</v>
      </c>
      <c r="E7" s="16">
        <f t="shared" ref="E7:E47" si="1">B7*D7</f>
        <v>0</v>
      </c>
      <c r="F7" s="15" t="str">
        <f t="shared" ref="F7:F47" si="2">$A7</f>
        <v>Project Manager III</v>
      </c>
      <c r="G7" s="4"/>
      <c r="H7" s="4">
        <f t="shared" ref="H7:H47" si="3">G7/1880</f>
        <v>0</v>
      </c>
      <c r="I7" s="7">
        <f>'Operations IDIQ Price'!C7</f>
        <v>0</v>
      </c>
      <c r="J7" s="16">
        <f t="shared" ref="J7:J47" si="4">G7*I7</f>
        <v>0</v>
      </c>
      <c r="K7" s="15" t="str">
        <f t="shared" ref="K7:K47" si="5">$A7</f>
        <v>Project Manager III</v>
      </c>
      <c r="L7" s="4"/>
      <c r="M7" s="4">
        <f t="shared" ref="M7:M47" si="6">L7/1880</f>
        <v>0</v>
      </c>
      <c r="N7" s="7">
        <f>'Operations IDIQ Price'!D7</f>
        <v>0</v>
      </c>
      <c r="O7" s="16">
        <f t="shared" ref="O7:O47" si="7">L7*N7</f>
        <v>0</v>
      </c>
      <c r="P7" s="15" t="str">
        <f t="shared" ref="P7:P47" si="8">$A7</f>
        <v>Project Manager III</v>
      </c>
      <c r="Q7" s="4"/>
      <c r="R7" s="4">
        <f t="shared" ref="R7:R47" si="9">Q7/1880</f>
        <v>0</v>
      </c>
      <c r="S7" s="7">
        <f>'Operations IDIQ Price'!E7</f>
        <v>0</v>
      </c>
      <c r="T7" s="23">
        <f t="shared" ref="T7:T47" si="10">Q7*S7</f>
        <v>0</v>
      </c>
      <c r="U7" s="15" t="str">
        <f t="shared" ref="U7:U47" si="11">$A7</f>
        <v>Project Manager III</v>
      </c>
      <c r="V7" s="4"/>
      <c r="W7" s="4">
        <f t="shared" ref="W7:W47" si="12">V7/1880</f>
        <v>0</v>
      </c>
      <c r="X7" s="7">
        <f>'Operations IDIQ Price'!F7</f>
        <v>0</v>
      </c>
      <c r="Y7" s="16">
        <f t="shared" ref="Y7:Y47" si="13">V7*X7</f>
        <v>0</v>
      </c>
    </row>
    <row r="8" spans="1:25" x14ac:dyDescent="0.25">
      <c r="A8" s="15" t="str">
        <f>'Operations IDIQ Price'!A8</f>
        <v>System Engineer IV</v>
      </c>
      <c r="B8" s="4"/>
      <c r="C8" s="4">
        <f t="shared" si="0"/>
        <v>0</v>
      </c>
      <c r="D8" s="7">
        <f>'Operations IDIQ Price'!B8</f>
        <v>0</v>
      </c>
      <c r="E8" s="16">
        <f t="shared" si="1"/>
        <v>0</v>
      </c>
      <c r="F8" s="15" t="str">
        <f t="shared" si="2"/>
        <v>System Engineer IV</v>
      </c>
      <c r="G8" s="4"/>
      <c r="H8" s="4">
        <f t="shared" si="3"/>
        <v>0</v>
      </c>
      <c r="I8" s="7">
        <f>'Operations IDIQ Price'!C8</f>
        <v>0</v>
      </c>
      <c r="J8" s="16">
        <f t="shared" si="4"/>
        <v>0</v>
      </c>
      <c r="K8" s="15" t="str">
        <f t="shared" si="5"/>
        <v>System Engineer IV</v>
      </c>
      <c r="L8" s="4"/>
      <c r="M8" s="4">
        <f t="shared" si="6"/>
        <v>0</v>
      </c>
      <c r="N8" s="7">
        <f>'Operations IDIQ Price'!D8</f>
        <v>0</v>
      </c>
      <c r="O8" s="16">
        <f t="shared" si="7"/>
        <v>0</v>
      </c>
      <c r="P8" s="15" t="str">
        <f t="shared" si="8"/>
        <v>System Engineer IV</v>
      </c>
      <c r="Q8" s="4"/>
      <c r="R8" s="4">
        <f t="shared" si="9"/>
        <v>0</v>
      </c>
      <c r="S8" s="7">
        <f>'Operations IDIQ Price'!E8</f>
        <v>0</v>
      </c>
      <c r="T8" s="23">
        <f t="shared" si="10"/>
        <v>0</v>
      </c>
      <c r="U8" s="15" t="str">
        <f t="shared" si="11"/>
        <v>System Engineer IV</v>
      </c>
      <c r="V8" s="4"/>
      <c r="W8" s="4">
        <f t="shared" si="12"/>
        <v>0</v>
      </c>
      <c r="X8" s="7">
        <f>'Operations IDIQ Price'!F8</f>
        <v>0</v>
      </c>
      <c r="Y8" s="16">
        <f t="shared" si="13"/>
        <v>0</v>
      </c>
    </row>
    <row r="9" spans="1:25" x14ac:dyDescent="0.25">
      <c r="A9" s="15" t="str">
        <f>'Operations IDIQ Price'!A9</f>
        <v>System Engineer III</v>
      </c>
      <c r="B9" s="4"/>
      <c r="C9" s="4">
        <f t="shared" si="0"/>
        <v>0</v>
      </c>
      <c r="D9" s="7">
        <f>'Operations IDIQ Price'!B9</f>
        <v>0</v>
      </c>
      <c r="E9" s="16">
        <f t="shared" si="1"/>
        <v>0</v>
      </c>
      <c r="F9" s="15" t="str">
        <f t="shared" si="2"/>
        <v>System Engineer III</v>
      </c>
      <c r="G9" s="4"/>
      <c r="H9" s="4">
        <f t="shared" si="3"/>
        <v>0</v>
      </c>
      <c r="I9" s="7">
        <f>'Operations IDIQ Price'!C9</f>
        <v>0</v>
      </c>
      <c r="J9" s="16">
        <f t="shared" si="4"/>
        <v>0</v>
      </c>
      <c r="K9" s="15" t="str">
        <f t="shared" si="5"/>
        <v>System Engineer III</v>
      </c>
      <c r="L9" s="4"/>
      <c r="M9" s="4">
        <f t="shared" si="6"/>
        <v>0</v>
      </c>
      <c r="N9" s="7">
        <f>'Operations IDIQ Price'!D9</f>
        <v>0</v>
      </c>
      <c r="O9" s="16">
        <f t="shared" si="7"/>
        <v>0</v>
      </c>
      <c r="P9" s="15" t="str">
        <f t="shared" si="8"/>
        <v>System Engineer III</v>
      </c>
      <c r="Q9" s="4"/>
      <c r="R9" s="4">
        <f t="shared" si="9"/>
        <v>0</v>
      </c>
      <c r="S9" s="7">
        <f>'Operations IDIQ Price'!E9</f>
        <v>0</v>
      </c>
      <c r="T9" s="23">
        <f t="shared" si="10"/>
        <v>0</v>
      </c>
      <c r="U9" s="15" t="str">
        <f t="shared" si="11"/>
        <v>System Engineer III</v>
      </c>
      <c r="V9" s="4"/>
      <c r="W9" s="4">
        <f t="shared" si="12"/>
        <v>0</v>
      </c>
      <c r="X9" s="7">
        <f>'Operations IDIQ Price'!F9</f>
        <v>0</v>
      </c>
      <c r="Y9" s="16">
        <f t="shared" si="13"/>
        <v>0</v>
      </c>
    </row>
    <row r="10" spans="1:25" x14ac:dyDescent="0.25">
      <c r="A10" s="15" t="str">
        <f>'Operations IDIQ Price'!A10</f>
        <v>System Engineer II</v>
      </c>
      <c r="B10" s="4"/>
      <c r="C10" s="4">
        <f t="shared" si="0"/>
        <v>0</v>
      </c>
      <c r="D10" s="7">
        <f>'Operations IDIQ Price'!B10</f>
        <v>0</v>
      </c>
      <c r="E10" s="16">
        <f t="shared" si="1"/>
        <v>0</v>
      </c>
      <c r="F10" s="15" t="str">
        <f t="shared" si="2"/>
        <v>System Engineer II</v>
      </c>
      <c r="G10" s="4"/>
      <c r="H10" s="4">
        <f t="shared" si="3"/>
        <v>0</v>
      </c>
      <c r="I10" s="7">
        <f>'Operations IDIQ Price'!C10</f>
        <v>0</v>
      </c>
      <c r="J10" s="16">
        <f t="shared" si="4"/>
        <v>0</v>
      </c>
      <c r="K10" s="15" t="str">
        <f t="shared" si="5"/>
        <v>System Engineer II</v>
      </c>
      <c r="L10" s="4"/>
      <c r="M10" s="4">
        <f t="shared" si="6"/>
        <v>0</v>
      </c>
      <c r="N10" s="7">
        <f>'Operations IDIQ Price'!D10</f>
        <v>0</v>
      </c>
      <c r="O10" s="16">
        <f t="shared" si="7"/>
        <v>0</v>
      </c>
      <c r="P10" s="15" t="str">
        <f t="shared" si="8"/>
        <v>System Engineer II</v>
      </c>
      <c r="Q10" s="4"/>
      <c r="R10" s="4">
        <f t="shared" si="9"/>
        <v>0</v>
      </c>
      <c r="S10" s="7">
        <f>'Operations IDIQ Price'!E10</f>
        <v>0</v>
      </c>
      <c r="T10" s="23">
        <f t="shared" si="10"/>
        <v>0</v>
      </c>
      <c r="U10" s="15" t="str">
        <f t="shared" si="11"/>
        <v>System Engineer II</v>
      </c>
      <c r="V10" s="4"/>
      <c r="W10" s="4">
        <f t="shared" si="12"/>
        <v>0</v>
      </c>
      <c r="X10" s="7">
        <f>'Operations IDIQ Price'!F10</f>
        <v>0</v>
      </c>
      <c r="Y10" s="16">
        <f t="shared" si="13"/>
        <v>0</v>
      </c>
    </row>
    <row r="11" spans="1:25" x14ac:dyDescent="0.25">
      <c r="A11" s="15" t="str">
        <f>'Operations IDIQ Price'!A11</f>
        <v>System Engineer I</v>
      </c>
      <c r="B11" s="4"/>
      <c r="C11" s="4">
        <f t="shared" si="0"/>
        <v>0</v>
      </c>
      <c r="D11" s="7">
        <f>'Operations IDIQ Price'!B11</f>
        <v>0</v>
      </c>
      <c r="E11" s="16">
        <f t="shared" si="1"/>
        <v>0</v>
      </c>
      <c r="F11" s="15" t="str">
        <f t="shared" si="2"/>
        <v>System Engineer I</v>
      </c>
      <c r="G11" s="4"/>
      <c r="H11" s="4">
        <f t="shared" si="3"/>
        <v>0</v>
      </c>
      <c r="I11" s="7">
        <f>'Operations IDIQ Price'!C11</f>
        <v>0</v>
      </c>
      <c r="J11" s="16">
        <f t="shared" si="4"/>
        <v>0</v>
      </c>
      <c r="K11" s="15" t="str">
        <f t="shared" si="5"/>
        <v>System Engineer I</v>
      </c>
      <c r="L11" s="4"/>
      <c r="M11" s="4">
        <f t="shared" si="6"/>
        <v>0</v>
      </c>
      <c r="N11" s="7">
        <f>'Operations IDIQ Price'!D11</f>
        <v>0</v>
      </c>
      <c r="O11" s="16">
        <f t="shared" si="7"/>
        <v>0</v>
      </c>
      <c r="P11" s="15" t="str">
        <f t="shared" si="8"/>
        <v>System Engineer I</v>
      </c>
      <c r="Q11" s="4"/>
      <c r="R11" s="4">
        <f t="shared" si="9"/>
        <v>0</v>
      </c>
      <c r="S11" s="7">
        <f>'Operations IDIQ Price'!E11</f>
        <v>0</v>
      </c>
      <c r="T11" s="23">
        <f t="shared" si="10"/>
        <v>0</v>
      </c>
      <c r="U11" s="15" t="str">
        <f t="shared" si="11"/>
        <v>System Engineer I</v>
      </c>
      <c r="V11" s="4"/>
      <c r="W11" s="4">
        <f t="shared" si="12"/>
        <v>0</v>
      </c>
      <c r="X11" s="7">
        <f>'Operations IDIQ Price'!F11</f>
        <v>0</v>
      </c>
      <c r="Y11" s="16">
        <f t="shared" si="13"/>
        <v>0</v>
      </c>
    </row>
    <row r="12" spans="1:25" x14ac:dyDescent="0.25">
      <c r="A12" s="15" t="str">
        <f>'Operations IDIQ Price'!A12</f>
        <v>Network Engineer V</v>
      </c>
      <c r="B12" s="4"/>
      <c r="C12" s="4">
        <f t="shared" si="0"/>
        <v>0</v>
      </c>
      <c r="D12" s="7">
        <f>'Operations IDIQ Price'!B12</f>
        <v>0</v>
      </c>
      <c r="E12" s="16">
        <f t="shared" si="1"/>
        <v>0</v>
      </c>
      <c r="F12" s="15" t="str">
        <f t="shared" si="2"/>
        <v>Network Engineer V</v>
      </c>
      <c r="G12" s="4"/>
      <c r="H12" s="4">
        <f t="shared" si="3"/>
        <v>0</v>
      </c>
      <c r="I12" s="7">
        <f>'Operations IDIQ Price'!C12</f>
        <v>0</v>
      </c>
      <c r="J12" s="16">
        <f t="shared" si="4"/>
        <v>0</v>
      </c>
      <c r="K12" s="15" t="str">
        <f t="shared" si="5"/>
        <v>Network Engineer V</v>
      </c>
      <c r="L12" s="4"/>
      <c r="M12" s="4">
        <f t="shared" si="6"/>
        <v>0</v>
      </c>
      <c r="N12" s="7">
        <f>'Operations IDIQ Price'!D12</f>
        <v>0</v>
      </c>
      <c r="O12" s="16">
        <f t="shared" si="7"/>
        <v>0</v>
      </c>
      <c r="P12" s="15" t="str">
        <f t="shared" si="8"/>
        <v>Network Engineer V</v>
      </c>
      <c r="Q12" s="4"/>
      <c r="R12" s="4">
        <f t="shared" si="9"/>
        <v>0</v>
      </c>
      <c r="S12" s="7">
        <f>'Operations IDIQ Price'!E12</f>
        <v>0</v>
      </c>
      <c r="T12" s="23">
        <f t="shared" si="10"/>
        <v>0</v>
      </c>
      <c r="U12" s="15" t="str">
        <f t="shared" si="11"/>
        <v>Network Engineer V</v>
      </c>
      <c r="V12" s="4"/>
      <c r="W12" s="4">
        <f t="shared" si="12"/>
        <v>0</v>
      </c>
      <c r="X12" s="7">
        <f>'Operations IDIQ Price'!F12</f>
        <v>0</v>
      </c>
      <c r="Y12" s="16">
        <f t="shared" si="13"/>
        <v>0</v>
      </c>
    </row>
    <row r="13" spans="1:25" x14ac:dyDescent="0.25">
      <c r="A13" s="15" t="str">
        <f>'Operations IDIQ Price'!A13</f>
        <v>Network Engineer IV</v>
      </c>
      <c r="B13" s="4"/>
      <c r="C13" s="4">
        <f t="shared" si="0"/>
        <v>0</v>
      </c>
      <c r="D13" s="7">
        <f>'Operations IDIQ Price'!B13</f>
        <v>0</v>
      </c>
      <c r="E13" s="16">
        <f t="shared" si="1"/>
        <v>0</v>
      </c>
      <c r="F13" s="15" t="str">
        <f t="shared" si="2"/>
        <v>Network Engineer IV</v>
      </c>
      <c r="G13" s="4"/>
      <c r="H13" s="4">
        <f t="shared" si="3"/>
        <v>0</v>
      </c>
      <c r="I13" s="7">
        <f>'Operations IDIQ Price'!C13</f>
        <v>0</v>
      </c>
      <c r="J13" s="16">
        <f t="shared" si="4"/>
        <v>0</v>
      </c>
      <c r="K13" s="15" t="str">
        <f t="shared" si="5"/>
        <v>Network Engineer IV</v>
      </c>
      <c r="L13" s="4"/>
      <c r="M13" s="4">
        <f t="shared" si="6"/>
        <v>0</v>
      </c>
      <c r="N13" s="7">
        <f>'Operations IDIQ Price'!D13</f>
        <v>0</v>
      </c>
      <c r="O13" s="16">
        <f t="shared" si="7"/>
        <v>0</v>
      </c>
      <c r="P13" s="15" t="str">
        <f t="shared" si="8"/>
        <v>Network Engineer IV</v>
      </c>
      <c r="Q13" s="4"/>
      <c r="R13" s="4">
        <f t="shared" si="9"/>
        <v>0</v>
      </c>
      <c r="S13" s="7">
        <f>'Operations IDIQ Price'!E13</f>
        <v>0</v>
      </c>
      <c r="T13" s="23">
        <f t="shared" si="10"/>
        <v>0</v>
      </c>
      <c r="U13" s="15" t="str">
        <f t="shared" si="11"/>
        <v>Network Engineer IV</v>
      </c>
      <c r="V13" s="4"/>
      <c r="W13" s="4">
        <f t="shared" si="12"/>
        <v>0</v>
      </c>
      <c r="X13" s="7">
        <f>'Operations IDIQ Price'!F13</f>
        <v>0</v>
      </c>
      <c r="Y13" s="16">
        <f t="shared" si="13"/>
        <v>0</v>
      </c>
    </row>
    <row r="14" spans="1:25" x14ac:dyDescent="0.25">
      <c r="A14" s="15" t="str">
        <f>'Operations IDIQ Price'!A14</f>
        <v>Network Engineer III</v>
      </c>
      <c r="B14" s="4"/>
      <c r="C14" s="4">
        <f t="shared" si="0"/>
        <v>0</v>
      </c>
      <c r="D14" s="7">
        <f>'Operations IDIQ Price'!B14</f>
        <v>0</v>
      </c>
      <c r="E14" s="16">
        <f t="shared" si="1"/>
        <v>0</v>
      </c>
      <c r="F14" s="15" t="str">
        <f t="shared" si="2"/>
        <v>Network Engineer III</v>
      </c>
      <c r="G14" s="4"/>
      <c r="H14" s="4">
        <f t="shared" si="3"/>
        <v>0</v>
      </c>
      <c r="I14" s="7">
        <f>'Operations IDIQ Price'!C14</f>
        <v>0</v>
      </c>
      <c r="J14" s="16">
        <f t="shared" si="4"/>
        <v>0</v>
      </c>
      <c r="K14" s="15" t="str">
        <f t="shared" si="5"/>
        <v>Network Engineer III</v>
      </c>
      <c r="L14" s="4"/>
      <c r="M14" s="4">
        <f t="shared" si="6"/>
        <v>0</v>
      </c>
      <c r="N14" s="7">
        <f>'Operations IDIQ Price'!D14</f>
        <v>0</v>
      </c>
      <c r="O14" s="16">
        <f t="shared" si="7"/>
        <v>0</v>
      </c>
      <c r="P14" s="15" t="str">
        <f t="shared" si="8"/>
        <v>Network Engineer III</v>
      </c>
      <c r="Q14" s="4"/>
      <c r="R14" s="4">
        <f t="shared" si="9"/>
        <v>0</v>
      </c>
      <c r="S14" s="7">
        <f>'Operations IDIQ Price'!E14</f>
        <v>0</v>
      </c>
      <c r="T14" s="23">
        <f t="shared" si="10"/>
        <v>0</v>
      </c>
      <c r="U14" s="15" t="str">
        <f t="shared" si="11"/>
        <v>Network Engineer III</v>
      </c>
      <c r="V14" s="4"/>
      <c r="W14" s="4">
        <f t="shared" si="12"/>
        <v>0</v>
      </c>
      <c r="X14" s="7">
        <f>'Operations IDIQ Price'!F14</f>
        <v>0</v>
      </c>
      <c r="Y14" s="16">
        <f t="shared" si="13"/>
        <v>0</v>
      </c>
    </row>
    <row r="15" spans="1:25" x14ac:dyDescent="0.25">
      <c r="A15" s="15" t="str">
        <f>'Operations IDIQ Price'!A15</f>
        <v>Network Engineer II</v>
      </c>
      <c r="B15" s="4"/>
      <c r="C15" s="4">
        <f t="shared" si="0"/>
        <v>0</v>
      </c>
      <c r="D15" s="7">
        <f>'Operations IDIQ Price'!B15</f>
        <v>0</v>
      </c>
      <c r="E15" s="16">
        <f t="shared" si="1"/>
        <v>0</v>
      </c>
      <c r="F15" s="15" t="str">
        <f t="shared" si="2"/>
        <v>Network Engineer II</v>
      </c>
      <c r="G15" s="4"/>
      <c r="H15" s="4">
        <f t="shared" si="3"/>
        <v>0</v>
      </c>
      <c r="I15" s="7">
        <f>'Operations IDIQ Price'!C15</f>
        <v>0</v>
      </c>
      <c r="J15" s="16">
        <f t="shared" si="4"/>
        <v>0</v>
      </c>
      <c r="K15" s="15" t="str">
        <f t="shared" si="5"/>
        <v>Network Engineer II</v>
      </c>
      <c r="L15" s="4"/>
      <c r="M15" s="4">
        <f t="shared" si="6"/>
        <v>0</v>
      </c>
      <c r="N15" s="7">
        <f>'Operations IDIQ Price'!D15</f>
        <v>0</v>
      </c>
      <c r="O15" s="16">
        <f t="shared" si="7"/>
        <v>0</v>
      </c>
      <c r="P15" s="15" t="str">
        <f t="shared" si="8"/>
        <v>Network Engineer II</v>
      </c>
      <c r="Q15" s="4"/>
      <c r="R15" s="4">
        <f t="shared" si="9"/>
        <v>0</v>
      </c>
      <c r="S15" s="7">
        <f>'Operations IDIQ Price'!E15</f>
        <v>0</v>
      </c>
      <c r="T15" s="23">
        <f t="shared" si="10"/>
        <v>0</v>
      </c>
      <c r="U15" s="15" t="str">
        <f t="shared" si="11"/>
        <v>Network Engineer II</v>
      </c>
      <c r="V15" s="4"/>
      <c r="W15" s="4">
        <f t="shared" si="12"/>
        <v>0</v>
      </c>
      <c r="X15" s="7">
        <f>'Operations IDIQ Price'!F15</f>
        <v>0</v>
      </c>
      <c r="Y15" s="16">
        <f t="shared" si="13"/>
        <v>0</v>
      </c>
    </row>
    <row r="16" spans="1:25" x14ac:dyDescent="0.25">
      <c r="A16" s="15" t="str">
        <f>'Operations IDIQ Price'!A16</f>
        <v>Network Engineer I</v>
      </c>
      <c r="B16" s="4"/>
      <c r="C16" s="4">
        <f t="shared" si="0"/>
        <v>0</v>
      </c>
      <c r="D16" s="7">
        <f>'Operations IDIQ Price'!B16</f>
        <v>0</v>
      </c>
      <c r="E16" s="16">
        <f t="shared" si="1"/>
        <v>0</v>
      </c>
      <c r="F16" s="15" t="str">
        <f t="shared" si="2"/>
        <v>Network Engineer I</v>
      </c>
      <c r="G16" s="4"/>
      <c r="H16" s="4">
        <f t="shared" si="3"/>
        <v>0</v>
      </c>
      <c r="I16" s="7">
        <f>'Operations IDIQ Price'!C16</f>
        <v>0</v>
      </c>
      <c r="J16" s="16">
        <f t="shared" si="4"/>
        <v>0</v>
      </c>
      <c r="K16" s="15" t="str">
        <f t="shared" si="5"/>
        <v>Network Engineer I</v>
      </c>
      <c r="L16" s="4"/>
      <c r="M16" s="4">
        <f t="shared" si="6"/>
        <v>0</v>
      </c>
      <c r="N16" s="7">
        <f>'Operations IDIQ Price'!D16</f>
        <v>0</v>
      </c>
      <c r="O16" s="16">
        <f t="shared" si="7"/>
        <v>0</v>
      </c>
      <c r="P16" s="15" t="str">
        <f t="shared" si="8"/>
        <v>Network Engineer I</v>
      </c>
      <c r="Q16" s="4"/>
      <c r="R16" s="4">
        <f t="shared" si="9"/>
        <v>0</v>
      </c>
      <c r="S16" s="7">
        <f>'Operations IDIQ Price'!E16</f>
        <v>0</v>
      </c>
      <c r="T16" s="23">
        <f t="shared" si="10"/>
        <v>0</v>
      </c>
      <c r="U16" s="15" t="str">
        <f t="shared" si="11"/>
        <v>Network Engineer I</v>
      </c>
      <c r="V16" s="4"/>
      <c r="W16" s="4">
        <f t="shared" si="12"/>
        <v>0</v>
      </c>
      <c r="X16" s="7">
        <f>'Operations IDIQ Price'!F16</f>
        <v>0</v>
      </c>
      <c r="Y16" s="16">
        <f t="shared" si="13"/>
        <v>0</v>
      </c>
    </row>
    <row r="17" spans="1:25" x14ac:dyDescent="0.25">
      <c r="A17" s="15" t="str">
        <f>'Operations IDIQ Price'!A17</f>
        <v>Software Engineer V</v>
      </c>
      <c r="B17" s="4"/>
      <c r="C17" s="4">
        <f t="shared" si="0"/>
        <v>0</v>
      </c>
      <c r="D17" s="7">
        <f>'Operations IDIQ Price'!B17</f>
        <v>0</v>
      </c>
      <c r="E17" s="16">
        <f t="shared" si="1"/>
        <v>0</v>
      </c>
      <c r="F17" s="15" t="str">
        <f t="shared" si="2"/>
        <v>Software Engineer V</v>
      </c>
      <c r="G17" s="4"/>
      <c r="H17" s="4">
        <f t="shared" si="3"/>
        <v>0</v>
      </c>
      <c r="I17" s="7">
        <f>'Operations IDIQ Price'!C17</f>
        <v>0</v>
      </c>
      <c r="J17" s="16">
        <f t="shared" si="4"/>
        <v>0</v>
      </c>
      <c r="K17" s="15" t="str">
        <f t="shared" si="5"/>
        <v>Software Engineer V</v>
      </c>
      <c r="L17" s="4"/>
      <c r="M17" s="4">
        <f t="shared" si="6"/>
        <v>0</v>
      </c>
      <c r="N17" s="7">
        <f>'Operations IDIQ Price'!D17</f>
        <v>0</v>
      </c>
      <c r="O17" s="16">
        <f t="shared" si="7"/>
        <v>0</v>
      </c>
      <c r="P17" s="15" t="str">
        <f t="shared" si="8"/>
        <v>Software Engineer V</v>
      </c>
      <c r="Q17" s="4"/>
      <c r="R17" s="4">
        <f t="shared" si="9"/>
        <v>0</v>
      </c>
      <c r="S17" s="7">
        <f>'Operations IDIQ Price'!E17</f>
        <v>0</v>
      </c>
      <c r="T17" s="23">
        <f t="shared" si="10"/>
        <v>0</v>
      </c>
      <c r="U17" s="15" t="str">
        <f t="shared" si="11"/>
        <v>Software Engineer V</v>
      </c>
      <c r="V17" s="4"/>
      <c r="W17" s="4">
        <f t="shared" si="12"/>
        <v>0</v>
      </c>
      <c r="X17" s="7">
        <f>'Operations IDIQ Price'!F17</f>
        <v>0</v>
      </c>
      <c r="Y17" s="16">
        <f t="shared" si="13"/>
        <v>0</v>
      </c>
    </row>
    <row r="18" spans="1:25" x14ac:dyDescent="0.25">
      <c r="A18" s="15" t="str">
        <f>'Operations IDIQ Price'!A18</f>
        <v>Software Engineer IV</v>
      </c>
      <c r="B18" s="4"/>
      <c r="C18" s="4">
        <f t="shared" si="0"/>
        <v>0</v>
      </c>
      <c r="D18" s="7">
        <f>'Operations IDIQ Price'!B18</f>
        <v>0</v>
      </c>
      <c r="E18" s="16">
        <f t="shared" si="1"/>
        <v>0</v>
      </c>
      <c r="F18" s="15" t="str">
        <f t="shared" si="2"/>
        <v>Software Engineer IV</v>
      </c>
      <c r="G18" s="4"/>
      <c r="H18" s="4">
        <f t="shared" si="3"/>
        <v>0</v>
      </c>
      <c r="I18" s="7">
        <f>'Operations IDIQ Price'!C18</f>
        <v>0</v>
      </c>
      <c r="J18" s="16">
        <f t="shared" si="4"/>
        <v>0</v>
      </c>
      <c r="K18" s="15" t="str">
        <f t="shared" si="5"/>
        <v>Software Engineer IV</v>
      </c>
      <c r="L18" s="4"/>
      <c r="M18" s="4">
        <f t="shared" si="6"/>
        <v>0</v>
      </c>
      <c r="N18" s="7">
        <f>'Operations IDIQ Price'!D18</f>
        <v>0</v>
      </c>
      <c r="O18" s="16">
        <f t="shared" si="7"/>
        <v>0</v>
      </c>
      <c r="P18" s="15" t="str">
        <f t="shared" si="8"/>
        <v>Software Engineer IV</v>
      </c>
      <c r="Q18" s="4"/>
      <c r="R18" s="4">
        <f t="shared" si="9"/>
        <v>0</v>
      </c>
      <c r="S18" s="7">
        <f>'Operations IDIQ Price'!E18</f>
        <v>0</v>
      </c>
      <c r="T18" s="23">
        <f t="shared" si="10"/>
        <v>0</v>
      </c>
      <c r="U18" s="15" t="str">
        <f t="shared" si="11"/>
        <v>Software Engineer IV</v>
      </c>
      <c r="V18" s="4"/>
      <c r="W18" s="4">
        <f t="shared" si="12"/>
        <v>0</v>
      </c>
      <c r="X18" s="7">
        <f>'Operations IDIQ Price'!F18</f>
        <v>0</v>
      </c>
      <c r="Y18" s="16">
        <f t="shared" si="13"/>
        <v>0</v>
      </c>
    </row>
    <row r="19" spans="1:25" x14ac:dyDescent="0.25">
      <c r="A19" s="15" t="str">
        <f>'Operations IDIQ Price'!A19</f>
        <v>Software Engineer III</v>
      </c>
      <c r="B19" s="4"/>
      <c r="C19" s="4">
        <f t="shared" si="0"/>
        <v>0</v>
      </c>
      <c r="D19" s="7">
        <f>'Operations IDIQ Price'!B19</f>
        <v>0</v>
      </c>
      <c r="E19" s="16">
        <f t="shared" si="1"/>
        <v>0</v>
      </c>
      <c r="F19" s="15" t="str">
        <f t="shared" si="2"/>
        <v>Software Engineer III</v>
      </c>
      <c r="G19" s="4"/>
      <c r="H19" s="4">
        <f t="shared" si="3"/>
        <v>0</v>
      </c>
      <c r="I19" s="7">
        <f>'Operations IDIQ Price'!C19</f>
        <v>0</v>
      </c>
      <c r="J19" s="16">
        <f t="shared" si="4"/>
        <v>0</v>
      </c>
      <c r="K19" s="15" t="str">
        <f t="shared" si="5"/>
        <v>Software Engineer III</v>
      </c>
      <c r="L19" s="4"/>
      <c r="M19" s="4">
        <f t="shared" si="6"/>
        <v>0</v>
      </c>
      <c r="N19" s="7">
        <f>'Operations IDIQ Price'!D19</f>
        <v>0</v>
      </c>
      <c r="O19" s="16">
        <f t="shared" si="7"/>
        <v>0</v>
      </c>
      <c r="P19" s="15" t="str">
        <f t="shared" si="8"/>
        <v>Software Engineer III</v>
      </c>
      <c r="Q19" s="4"/>
      <c r="R19" s="4">
        <f t="shared" si="9"/>
        <v>0</v>
      </c>
      <c r="S19" s="7">
        <f>'Operations IDIQ Price'!E19</f>
        <v>0</v>
      </c>
      <c r="T19" s="23">
        <f t="shared" si="10"/>
        <v>0</v>
      </c>
      <c r="U19" s="15" t="str">
        <f t="shared" si="11"/>
        <v>Software Engineer III</v>
      </c>
      <c r="V19" s="4"/>
      <c r="W19" s="4">
        <f t="shared" si="12"/>
        <v>0</v>
      </c>
      <c r="X19" s="7">
        <f>'Operations IDIQ Price'!F19</f>
        <v>0</v>
      </c>
      <c r="Y19" s="16">
        <f t="shared" si="13"/>
        <v>0</v>
      </c>
    </row>
    <row r="20" spans="1:25" x14ac:dyDescent="0.25">
      <c r="A20" s="15" t="str">
        <f>'Operations IDIQ Price'!A20</f>
        <v>Software Engineer II</v>
      </c>
      <c r="B20" s="4"/>
      <c r="C20" s="4">
        <f t="shared" si="0"/>
        <v>0</v>
      </c>
      <c r="D20" s="7">
        <f>'Operations IDIQ Price'!B20</f>
        <v>0</v>
      </c>
      <c r="E20" s="16">
        <f t="shared" si="1"/>
        <v>0</v>
      </c>
      <c r="F20" s="15" t="str">
        <f t="shared" si="2"/>
        <v>Software Engineer II</v>
      </c>
      <c r="G20" s="4"/>
      <c r="H20" s="4">
        <f t="shared" si="3"/>
        <v>0</v>
      </c>
      <c r="I20" s="7">
        <f>'Operations IDIQ Price'!C20</f>
        <v>0</v>
      </c>
      <c r="J20" s="16">
        <f t="shared" si="4"/>
        <v>0</v>
      </c>
      <c r="K20" s="15" t="str">
        <f t="shared" si="5"/>
        <v>Software Engineer II</v>
      </c>
      <c r="L20" s="4"/>
      <c r="M20" s="4">
        <f t="shared" si="6"/>
        <v>0</v>
      </c>
      <c r="N20" s="7">
        <f>'Operations IDIQ Price'!D20</f>
        <v>0</v>
      </c>
      <c r="O20" s="16">
        <f t="shared" si="7"/>
        <v>0</v>
      </c>
      <c r="P20" s="15" t="str">
        <f t="shared" si="8"/>
        <v>Software Engineer II</v>
      </c>
      <c r="Q20" s="4"/>
      <c r="R20" s="4">
        <f t="shared" si="9"/>
        <v>0</v>
      </c>
      <c r="S20" s="7">
        <f>'Operations IDIQ Price'!E20</f>
        <v>0</v>
      </c>
      <c r="T20" s="23">
        <f t="shared" si="10"/>
        <v>0</v>
      </c>
      <c r="U20" s="15" t="str">
        <f t="shared" si="11"/>
        <v>Software Engineer II</v>
      </c>
      <c r="V20" s="4"/>
      <c r="W20" s="4">
        <f t="shared" si="12"/>
        <v>0</v>
      </c>
      <c r="X20" s="7">
        <f>'Operations IDIQ Price'!F20</f>
        <v>0</v>
      </c>
      <c r="Y20" s="16">
        <f t="shared" si="13"/>
        <v>0</v>
      </c>
    </row>
    <row r="21" spans="1:25" x14ac:dyDescent="0.25">
      <c r="A21" s="15" t="str">
        <f>'Operations IDIQ Price'!A21</f>
        <v>Software Engineer I</v>
      </c>
      <c r="B21" s="4"/>
      <c r="C21" s="4">
        <f t="shared" si="0"/>
        <v>0</v>
      </c>
      <c r="D21" s="7">
        <f>'Operations IDIQ Price'!B21</f>
        <v>0</v>
      </c>
      <c r="E21" s="16">
        <f t="shared" si="1"/>
        <v>0</v>
      </c>
      <c r="F21" s="15" t="str">
        <f t="shared" si="2"/>
        <v>Software Engineer I</v>
      </c>
      <c r="G21" s="4"/>
      <c r="H21" s="4">
        <f t="shared" si="3"/>
        <v>0</v>
      </c>
      <c r="I21" s="7">
        <f>'Operations IDIQ Price'!C21</f>
        <v>0</v>
      </c>
      <c r="J21" s="16">
        <f t="shared" si="4"/>
        <v>0</v>
      </c>
      <c r="K21" s="15" t="str">
        <f t="shared" si="5"/>
        <v>Software Engineer I</v>
      </c>
      <c r="L21" s="4"/>
      <c r="M21" s="4">
        <f t="shared" si="6"/>
        <v>0</v>
      </c>
      <c r="N21" s="7">
        <f>'Operations IDIQ Price'!D21</f>
        <v>0</v>
      </c>
      <c r="O21" s="16">
        <f t="shared" si="7"/>
        <v>0</v>
      </c>
      <c r="P21" s="15" t="str">
        <f t="shared" si="8"/>
        <v>Software Engineer I</v>
      </c>
      <c r="Q21" s="4"/>
      <c r="R21" s="4">
        <f t="shared" si="9"/>
        <v>0</v>
      </c>
      <c r="S21" s="7">
        <f>'Operations IDIQ Price'!E21</f>
        <v>0</v>
      </c>
      <c r="T21" s="23">
        <f t="shared" si="10"/>
        <v>0</v>
      </c>
      <c r="U21" s="15" t="str">
        <f t="shared" si="11"/>
        <v>Software Engineer I</v>
      </c>
      <c r="V21" s="4"/>
      <c r="W21" s="4">
        <f t="shared" si="12"/>
        <v>0</v>
      </c>
      <c r="X21" s="7">
        <f>'Operations IDIQ Price'!F21</f>
        <v>0</v>
      </c>
      <c r="Y21" s="16">
        <f t="shared" si="13"/>
        <v>0</v>
      </c>
    </row>
    <row r="22" spans="1:25" x14ac:dyDescent="0.25">
      <c r="A22" s="15" t="str">
        <f>'Operations IDIQ Price'!A22</f>
        <v>Hardware Engineer V</v>
      </c>
      <c r="B22" s="4"/>
      <c r="C22" s="4">
        <f t="shared" si="0"/>
        <v>0</v>
      </c>
      <c r="D22" s="7">
        <f>'Operations IDIQ Price'!B22</f>
        <v>0</v>
      </c>
      <c r="E22" s="16">
        <f t="shared" si="1"/>
        <v>0</v>
      </c>
      <c r="F22" s="15" t="str">
        <f t="shared" si="2"/>
        <v>Hardware Engineer V</v>
      </c>
      <c r="G22" s="4"/>
      <c r="H22" s="4">
        <f t="shared" si="3"/>
        <v>0</v>
      </c>
      <c r="I22" s="7">
        <f>'Operations IDIQ Price'!C22</f>
        <v>0</v>
      </c>
      <c r="J22" s="16">
        <f t="shared" si="4"/>
        <v>0</v>
      </c>
      <c r="K22" s="15" t="str">
        <f t="shared" si="5"/>
        <v>Hardware Engineer V</v>
      </c>
      <c r="L22" s="4"/>
      <c r="M22" s="4">
        <f t="shared" si="6"/>
        <v>0</v>
      </c>
      <c r="N22" s="7">
        <f>'Operations IDIQ Price'!D22</f>
        <v>0</v>
      </c>
      <c r="O22" s="16">
        <f t="shared" si="7"/>
        <v>0</v>
      </c>
      <c r="P22" s="15" t="str">
        <f t="shared" si="8"/>
        <v>Hardware Engineer V</v>
      </c>
      <c r="Q22" s="4"/>
      <c r="R22" s="4">
        <f t="shared" si="9"/>
        <v>0</v>
      </c>
      <c r="S22" s="7">
        <f>'Operations IDIQ Price'!E22</f>
        <v>0</v>
      </c>
      <c r="T22" s="23">
        <f t="shared" si="10"/>
        <v>0</v>
      </c>
      <c r="U22" s="15" t="str">
        <f t="shared" si="11"/>
        <v>Hardware Engineer V</v>
      </c>
      <c r="V22" s="4"/>
      <c r="W22" s="4">
        <f t="shared" si="12"/>
        <v>0</v>
      </c>
      <c r="X22" s="7">
        <f>'Operations IDIQ Price'!F22</f>
        <v>0</v>
      </c>
      <c r="Y22" s="16">
        <f t="shared" si="13"/>
        <v>0</v>
      </c>
    </row>
    <row r="23" spans="1:25" x14ac:dyDescent="0.25">
      <c r="A23" s="15" t="str">
        <f>'Operations IDIQ Price'!A23</f>
        <v>Hardware Engineer IV</v>
      </c>
      <c r="B23" s="4"/>
      <c r="C23" s="4">
        <f t="shared" si="0"/>
        <v>0</v>
      </c>
      <c r="D23" s="7">
        <f>'Operations IDIQ Price'!B23</f>
        <v>0</v>
      </c>
      <c r="E23" s="16">
        <f t="shared" si="1"/>
        <v>0</v>
      </c>
      <c r="F23" s="15" t="str">
        <f t="shared" si="2"/>
        <v>Hardware Engineer IV</v>
      </c>
      <c r="G23" s="4"/>
      <c r="H23" s="4">
        <f t="shared" si="3"/>
        <v>0</v>
      </c>
      <c r="I23" s="7">
        <f>'Operations IDIQ Price'!C23</f>
        <v>0</v>
      </c>
      <c r="J23" s="16">
        <f t="shared" si="4"/>
        <v>0</v>
      </c>
      <c r="K23" s="15" t="str">
        <f t="shared" si="5"/>
        <v>Hardware Engineer IV</v>
      </c>
      <c r="L23" s="4"/>
      <c r="M23" s="4">
        <f t="shared" si="6"/>
        <v>0</v>
      </c>
      <c r="N23" s="7">
        <f>'Operations IDIQ Price'!D23</f>
        <v>0</v>
      </c>
      <c r="O23" s="16">
        <f t="shared" si="7"/>
        <v>0</v>
      </c>
      <c r="P23" s="15" t="str">
        <f t="shared" si="8"/>
        <v>Hardware Engineer IV</v>
      </c>
      <c r="Q23" s="4"/>
      <c r="R23" s="4">
        <f t="shared" si="9"/>
        <v>0</v>
      </c>
      <c r="S23" s="7">
        <f>'Operations IDIQ Price'!E23</f>
        <v>0</v>
      </c>
      <c r="T23" s="23">
        <f t="shared" si="10"/>
        <v>0</v>
      </c>
      <c r="U23" s="15" t="str">
        <f t="shared" si="11"/>
        <v>Hardware Engineer IV</v>
      </c>
      <c r="V23" s="4"/>
      <c r="W23" s="4">
        <f t="shared" si="12"/>
        <v>0</v>
      </c>
      <c r="X23" s="7">
        <f>'Operations IDIQ Price'!F23</f>
        <v>0</v>
      </c>
      <c r="Y23" s="16">
        <f t="shared" si="13"/>
        <v>0</v>
      </c>
    </row>
    <row r="24" spans="1:25" x14ac:dyDescent="0.25">
      <c r="A24" s="15" t="str">
        <f>'Operations IDIQ Price'!A24</f>
        <v>Hardware Engineer III</v>
      </c>
      <c r="B24" s="4"/>
      <c r="C24" s="4">
        <f t="shared" si="0"/>
        <v>0</v>
      </c>
      <c r="D24" s="7">
        <f>'Operations IDIQ Price'!B24</f>
        <v>0</v>
      </c>
      <c r="E24" s="16">
        <f t="shared" si="1"/>
        <v>0</v>
      </c>
      <c r="F24" s="15" t="str">
        <f t="shared" si="2"/>
        <v>Hardware Engineer III</v>
      </c>
      <c r="G24" s="4"/>
      <c r="H24" s="4">
        <f t="shared" si="3"/>
        <v>0</v>
      </c>
      <c r="I24" s="7">
        <f>'Operations IDIQ Price'!C24</f>
        <v>0</v>
      </c>
      <c r="J24" s="16">
        <f t="shared" si="4"/>
        <v>0</v>
      </c>
      <c r="K24" s="15" t="str">
        <f t="shared" si="5"/>
        <v>Hardware Engineer III</v>
      </c>
      <c r="L24" s="4"/>
      <c r="M24" s="4">
        <f t="shared" si="6"/>
        <v>0</v>
      </c>
      <c r="N24" s="7">
        <f>'Operations IDIQ Price'!D24</f>
        <v>0</v>
      </c>
      <c r="O24" s="16">
        <f t="shared" si="7"/>
        <v>0</v>
      </c>
      <c r="P24" s="15" t="str">
        <f t="shared" si="8"/>
        <v>Hardware Engineer III</v>
      </c>
      <c r="Q24" s="4"/>
      <c r="R24" s="4">
        <f t="shared" si="9"/>
        <v>0</v>
      </c>
      <c r="S24" s="7">
        <f>'Operations IDIQ Price'!E24</f>
        <v>0</v>
      </c>
      <c r="T24" s="23">
        <f t="shared" si="10"/>
        <v>0</v>
      </c>
      <c r="U24" s="15" t="str">
        <f t="shared" si="11"/>
        <v>Hardware Engineer III</v>
      </c>
      <c r="V24" s="4"/>
      <c r="W24" s="4">
        <f t="shared" si="12"/>
        <v>0</v>
      </c>
      <c r="X24" s="7">
        <f>'Operations IDIQ Price'!F24</f>
        <v>0</v>
      </c>
      <c r="Y24" s="16">
        <f t="shared" si="13"/>
        <v>0</v>
      </c>
    </row>
    <row r="25" spans="1:25" x14ac:dyDescent="0.25">
      <c r="A25" s="15" t="str">
        <f>'Operations IDIQ Price'!A25</f>
        <v>Hadware Engineer II</v>
      </c>
      <c r="B25" s="4"/>
      <c r="C25" s="4">
        <f t="shared" si="0"/>
        <v>0</v>
      </c>
      <c r="D25" s="7">
        <f>'Operations IDIQ Price'!B25</f>
        <v>0</v>
      </c>
      <c r="E25" s="16">
        <f t="shared" si="1"/>
        <v>0</v>
      </c>
      <c r="F25" s="15" t="str">
        <f t="shared" si="2"/>
        <v>Hadware Engineer II</v>
      </c>
      <c r="G25" s="4"/>
      <c r="H25" s="4">
        <f t="shared" si="3"/>
        <v>0</v>
      </c>
      <c r="I25" s="7">
        <f>'Operations IDIQ Price'!C25</f>
        <v>0</v>
      </c>
      <c r="J25" s="16">
        <f t="shared" si="4"/>
        <v>0</v>
      </c>
      <c r="K25" s="15" t="str">
        <f t="shared" si="5"/>
        <v>Hadware Engineer II</v>
      </c>
      <c r="L25" s="4"/>
      <c r="M25" s="4">
        <f t="shared" si="6"/>
        <v>0</v>
      </c>
      <c r="N25" s="7">
        <f>'Operations IDIQ Price'!D25</f>
        <v>0</v>
      </c>
      <c r="O25" s="16">
        <f t="shared" si="7"/>
        <v>0</v>
      </c>
      <c r="P25" s="15" t="str">
        <f t="shared" si="8"/>
        <v>Hadware Engineer II</v>
      </c>
      <c r="Q25" s="4"/>
      <c r="R25" s="4">
        <f t="shared" si="9"/>
        <v>0</v>
      </c>
      <c r="S25" s="7">
        <f>'Operations IDIQ Price'!E25</f>
        <v>0</v>
      </c>
      <c r="T25" s="23">
        <f t="shared" si="10"/>
        <v>0</v>
      </c>
      <c r="U25" s="15" t="str">
        <f t="shared" si="11"/>
        <v>Hadware Engineer II</v>
      </c>
      <c r="V25" s="4"/>
      <c r="W25" s="4">
        <f t="shared" si="12"/>
        <v>0</v>
      </c>
      <c r="X25" s="7">
        <f>'Operations IDIQ Price'!F25</f>
        <v>0</v>
      </c>
      <c r="Y25" s="16">
        <f t="shared" si="13"/>
        <v>0</v>
      </c>
    </row>
    <row r="26" spans="1:25" x14ac:dyDescent="0.25">
      <c r="A26" s="15" t="str">
        <f>'Operations IDIQ Price'!A26</f>
        <v>Hardware Engineer I</v>
      </c>
      <c r="B26" s="4"/>
      <c r="C26" s="4">
        <f t="shared" si="0"/>
        <v>0</v>
      </c>
      <c r="D26" s="7">
        <f>'Operations IDIQ Price'!B26</f>
        <v>0</v>
      </c>
      <c r="E26" s="16">
        <f t="shared" si="1"/>
        <v>0</v>
      </c>
      <c r="F26" s="15" t="str">
        <f t="shared" si="2"/>
        <v>Hardware Engineer I</v>
      </c>
      <c r="G26" s="4"/>
      <c r="H26" s="4">
        <f t="shared" si="3"/>
        <v>0</v>
      </c>
      <c r="I26" s="7">
        <f>'Operations IDIQ Price'!C26</f>
        <v>0</v>
      </c>
      <c r="J26" s="16">
        <f t="shared" si="4"/>
        <v>0</v>
      </c>
      <c r="K26" s="15" t="str">
        <f t="shared" si="5"/>
        <v>Hardware Engineer I</v>
      </c>
      <c r="L26" s="4"/>
      <c r="M26" s="4">
        <f t="shared" si="6"/>
        <v>0</v>
      </c>
      <c r="N26" s="7">
        <f>'Operations IDIQ Price'!D26</f>
        <v>0</v>
      </c>
      <c r="O26" s="16">
        <f t="shared" si="7"/>
        <v>0</v>
      </c>
      <c r="P26" s="15" t="str">
        <f t="shared" si="8"/>
        <v>Hardware Engineer I</v>
      </c>
      <c r="Q26" s="4"/>
      <c r="R26" s="4">
        <f t="shared" si="9"/>
        <v>0</v>
      </c>
      <c r="S26" s="7">
        <f>'Operations IDIQ Price'!E26</f>
        <v>0</v>
      </c>
      <c r="T26" s="23">
        <f t="shared" si="10"/>
        <v>0</v>
      </c>
      <c r="U26" s="15" t="str">
        <f t="shared" si="11"/>
        <v>Hardware Engineer I</v>
      </c>
      <c r="V26" s="4"/>
      <c r="W26" s="4">
        <f t="shared" si="12"/>
        <v>0</v>
      </c>
      <c r="X26" s="7">
        <f>'Operations IDIQ Price'!F26</f>
        <v>0</v>
      </c>
      <c r="Y26" s="16">
        <f t="shared" si="13"/>
        <v>0</v>
      </c>
    </row>
    <row r="27" spans="1:25" x14ac:dyDescent="0.25">
      <c r="A27" s="15" t="str">
        <f>'Operations IDIQ Price'!A27</f>
        <v>Antenna/RF Engineer V</v>
      </c>
      <c r="B27" s="4"/>
      <c r="C27" s="4">
        <f t="shared" si="0"/>
        <v>0</v>
      </c>
      <c r="D27" s="7">
        <f>'Operations IDIQ Price'!B27</f>
        <v>0</v>
      </c>
      <c r="E27" s="16">
        <f t="shared" si="1"/>
        <v>0</v>
      </c>
      <c r="F27" s="15" t="str">
        <f t="shared" si="2"/>
        <v>Antenna/RF Engineer V</v>
      </c>
      <c r="G27" s="4"/>
      <c r="H27" s="4">
        <f t="shared" si="3"/>
        <v>0</v>
      </c>
      <c r="I27" s="7">
        <f>'Operations IDIQ Price'!C27</f>
        <v>0</v>
      </c>
      <c r="J27" s="16">
        <f t="shared" si="4"/>
        <v>0</v>
      </c>
      <c r="K27" s="15" t="str">
        <f t="shared" si="5"/>
        <v>Antenna/RF Engineer V</v>
      </c>
      <c r="L27" s="4"/>
      <c r="M27" s="4">
        <f t="shared" si="6"/>
        <v>0</v>
      </c>
      <c r="N27" s="7">
        <f>'Operations IDIQ Price'!D27</f>
        <v>0</v>
      </c>
      <c r="O27" s="16">
        <f t="shared" si="7"/>
        <v>0</v>
      </c>
      <c r="P27" s="15" t="str">
        <f t="shared" si="8"/>
        <v>Antenna/RF Engineer V</v>
      </c>
      <c r="Q27" s="4"/>
      <c r="R27" s="4">
        <f t="shared" si="9"/>
        <v>0</v>
      </c>
      <c r="S27" s="7">
        <f>'Operations IDIQ Price'!E27</f>
        <v>0</v>
      </c>
      <c r="T27" s="23">
        <f t="shared" si="10"/>
        <v>0</v>
      </c>
      <c r="U27" s="15" t="str">
        <f t="shared" si="11"/>
        <v>Antenna/RF Engineer V</v>
      </c>
      <c r="V27" s="4"/>
      <c r="W27" s="4">
        <f t="shared" si="12"/>
        <v>0</v>
      </c>
      <c r="X27" s="7">
        <f>'Operations IDIQ Price'!F27</f>
        <v>0</v>
      </c>
      <c r="Y27" s="16">
        <f t="shared" si="13"/>
        <v>0</v>
      </c>
    </row>
    <row r="28" spans="1:25" x14ac:dyDescent="0.25">
      <c r="A28" s="15" t="str">
        <f>'Operations IDIQ Price'!A28</f>
        <v>Antenna/RF Engineer IV</v>
      </c>
      <c r="B28" s="4"/>
      <c r="C28" s="4">
        <f t="shared" si="0"/>
        <v>0</v>
      </c>
      <c r="D28" s="7">
        <f>'Operations IDIQ Price'!B28</f>
        <v>0</v>
      </c>
      <c r="E28" s="16">
        <f t="shared" si="1"/>
        <v>0</v>
      </c>
      <c r="F28" s="15" t="str">
        <f t="shared" si="2"/>
        <v>Antenna/RF Engineer IV</v>
      </c>
      <c r="G28" s="4"/>
      <c r="H28" s="4">
        <f t="shared" si="3"/>
        <v>0</v>
      </c>
      <c r="I28" s="7">
        <f>'Operations IDIQ Price'!C28</f>
        <v>0</v>
      </c>
      <c r="J28" s="16">
        <f t="shared" si="4"/>
        <v>0</v>
      </c>
      <c r="K28" s="15" t="str">
        <f t="shared" si="5"/>
        <v>Antenna/RF Engineer IV</v>
      </c>
      <c r="L28" s="4"/>
      <c r="M28" s="4">
        <f t="shared" si="6"/>
        <v>0</v>
      </c>
      <c r="N28" s="7">
        <f>'Operations IDIQ Price'!D28</f>
        <v>0</v>
      </c>
      <c r="O28" s="16">
        <f t="shared" si="7"/>
        <v>0</v>
      </c>
      <c r="P28" s="15" t="str">
        <f t="shared" si="8"/>
        <v>Antenna/RF Engineer IV</v>
      </c>
      <c r="Q28" s="4"/>
      <c r="R28" s="4">
        <f t="shared" si="9"/>
        <v>0</v>
      </c>
      <c r="S28" s="7">
        <f>'Operations IDIQ Price'!E28</f>
        <v>0</v>
      </c>
      <c r="T28" s="23">
        <f t="shared" si="10"/>
        <v>0</v>
      </c>
      <c r="U28" s="15" t="str">
        <f t="shared" si="11"/>
        <v>Antenna/RF Engineer IV</v>
      </c>
      <c r="V28" s="4"/>
      <c r="W28" s="4">
        <f t="shared" si="12"/>
        <v>0</v>
      </c>
      <c r="X28" s="7">
        <f>'Operations IDIQ Price'!F28</f>
        <v>0</v>
      </c>
      <c r="Y28" s="16">
        <f t="shared" si="13"/>
        <v>0</v>
      </c>
    </row>
    <row r="29" spans="1:25" x14ac:dyDescent="0.25">
      <c r="A29" s="15" t="str">
        <f>'Operations IDIQ Price'!A29</f>
        <v>Antenna/RF Engineer III</v>
      </c>
      <c r="B29" s="4"/>
      <c r="C29" s="4">
        <f t="shared" si="0"/>
        <v>0</v>
      </c>
      <c r="D29" s="7">
        <f>'Operations IDIQ Price'!B29</f>
        <v>0</v>
      </c>
      <c r="E29" s="16">
        <f t="shared" si="1"/>
        <v>0</v>
      </c>
      <c r="F29" s="15" t="str">
        <f t="shared" si="2"/>
        <v>Antenna/RF Engineer III</v>
      </c>
      <c r="G29" s="4"/>
      <c r="H29" s="4">
        <f t="shared" si="3"/>
        <v>0</v>
      </c>
      <c r="I29" s="7">
        <f>'Operations IDIQ Price'!C29</f>
        <v>0</v>
      </c>
      <c r="J29" s="16">
        <f t="shared" si="4"/>
        <v>0</v>
      </c>
      <c r="K29" s="15" t="str">
        <f t="shared" si="5"/>
        <v>Antenna/RF Engineer III</v>
      </c>
      <c r="L29" s="4"/>
      <c r="M29" s="4">
        <f t="shared" si="6"/>
        <v>0</v>
      </c>
      <c r="N29" s="7">
        <f>'Operations IDIQ Price'!D29</f>
        <v>0</v>
      </c>
      <c r="O29" s="16">
        <f t="shared" si="7"/>
        <v>0</v>
      </c>
      <c r="P29" s="15" t="str">
        <f t="shared" si="8"/>
        <v>Antenna/RF Engineer III</v>
      </c>
      <c r="Q29" s="4"/>
      <c r="R29" s="4">
        <f t="shared" si="9"/>
        <v>0</v>
      </c>
      <c r="S29" s="7">
        <f>'Operations IDIQ Price'!E29</f>
        <v>0</v>
      </c>
      <c r="T29" s="23">
        <f t="shared" si="10"/>
        <v>0</v>
      </c>
      <c r="U29" s="15" t="str">
        <f t="shared" si="11"/>
        <v>Antenna/RF Engineer III</v>
      </c>
      <c r="V29" s="4"/>
      <c r="W29" s="4">
        <f t="shared" si="12"/>
        <v>0</v>
      </c>
      <c r="X29" s="7">
        <f>'Operations IDIQ Price'!F29</f>
        <v>0</v>
      </c>
      <c r="Y29" s="16">
        <f t="shared" si="13"/>
        <v>0</v>
      </c>
    </row>
    <row r="30" spans="1:25" x14ac:dyDescent="0.25">
      <c r="A30" s="15" t="str">
        <f>'Operations IDIQ Price'!A30</f>
        <v>Antenna/RF Engineer II</v>
      </c>
      <c r="B30" s="4"/>
      <c r="C30" s="4">
        <f t="shared" si="0"/>
        <v>0</v>
      </c>
      <c r="D30" s="7">
        <f>'Operations IDIQ Price'!B30</f>
        <v>0</v>
      </c>
      <c r="E30" s="16">
        <f t="shared" si="1"/>
        <v>0</v>
      </c>
      <c r="F30" s="15" t="str">
        <f t="shared" si="2"/>
        <v>Antenna/RF Engineer II</v>
      </c>
      <c r="G30" s="4"/>
      <c r="H30" s="4">
        <f t="shared" si="3"/>
        <v>0</v>
      </c>
      <c r="I30" s="7">
        <f>'Operations IDIQ Price'!C30</f>
        <v>0</v>
      </c>
      <c r="J30" s="16">
        <f t="shared" si="4"/>
        <v>0</v>
      </c>
      <c r="K30" s="15" t="str">
        <f t="shared" si="5"/>
        <v>Antenna/RF Engineer II</v>
      </c>
      <c r="L30" s="4"/>
      <c r="M30" s="4">
        <f t="shared" si="6"/>
        <v>0</v>
      </c>
      <c r="N30" s="7">
        <f>'Operations IDIQ Price'!D30</f>
        <v>0</v>
      </c>
      <c r="O30" s="16">
        <f t="shared" si="7"/>
        <v>0</v>
      </c>
      <c r="P30" s="15" t="str">
        <f t="shared" si="8"/>
        <v>Antenna/RF Engineer II</v>
      </c>
      <c r="Q30" s="4"/>
      <c r="R30" s="4">
        <f t="shared" si="9"/>
        <v>0</v>
      </c>
      <c r="S30" s="7">
        <f>'Operations IDIQ Price'!E30</f>
        <v>0</v>
      </c>
      <c r="T30" s="23">
        <f t="shared" si="10"/>
        <v>0</v>
      </c>
      <c r="U30" s="15" t="str">
        <f t="shared" si="11"/>
        <v>Antenna/RF Engineer II</v>
      </c>
      <c r="V30" s="4"/>
      <c r="W30" s="4">
        <f t="shared" si="12"/>
        <v>0</v>
      </c>
      <c r="X30" s="7">
        <f>'Operations IDIQ Price'!F30</f>
        <v>0</v>
      </c>
      <c r="Y30" s="16">
        <f t="shared" si="13"/>
        <v>0</v>
      </c>
    </row>
    <row r="31" spans="1:25" x14ac:dyDescent="0.25">
      <c r="A31" s="15" t="str">
        <f>'Operations IDIQ Price'!A31</f>
        <v>Antenna/RF Engineer I</v>
      </c>
      <c r="B31" s="4"/>
      <c r="C31" s="4">
        <f t="shared" si="0"/>
        <v>0</v>
      </c>
      <c r="D31" s="7">
        <f>'Operations IDIQ Price'!B31</f>
        <v>0</v>
      </c>
      <c r="E31" s="16">
        <f t="shared" si="1"/>
        <v>0</v>
      </c>
      <c r="F31" s="15" t="str">
        <f t="shared" si="2"/>
        <v>Antenna/RF Engineer I</v>
      </c>
      <c r="G31" s="4"/>
      <c r="H31" s="4">
        <f t="shared" si="3"/>
        <v>0</v>
      </c>
      <c r="I31" s="7">
        <f>'Operations IDIQ Price'!C31</f>
        <v>0</v>
      </c>
      <c r="J31" s="16">
        <f t="shared" si="4"/>
        <v>0</v>
      </c>
      <c r="K31" s="15" t="str">
        <f t="shared" si="5"/>
        <v>Antenna/RF Engineer I</v>
      </c>
      <c r="L31" s="4"/>
      <c r="M31" s="4">
        <f t="shared" si="6"/>
        <v>0</v>
      </c>
      <c r="N31" s="7">
        <f>'Operations IDIQ Price'!D31</f>
        <v>0</v>
      </c>
      <c r="O31" s="16">
        <f t="shared" si="7"/>
        <v>0</v>
      </c>
      <c r="P31" s="15" t="str">
        <f t="shared" si="8"/>
        <v>Antenna/RF Engineer I</v>
      </c>
      <c r="Q31" s="4"/>
      <c r="R31" s="4">
        <f t="shared" si="9"/>
        <v>0</v>
      </c>
      <c r="S31" s="7">
        <f>'Operations IDIQ Price'!E31</f>
        <v>0</v>
      </c>
      <c r="T31" s="23">
        <f t="shared" si="10"/>
        <v>0</v>
      </c>
      <c r="U31" s="15" t="str">
        <f t="shared" si="11"/>
        <v>Antenna/RF Engineer I</v>
      </c>
      <c r="V31" s="4"/>
      <c r="W31" s="4">
        <f t="shared" si="12"/>
        <v>0</v>
      </c>
      <c r="X31" s="7">
        <f>'Operations IDIQ Price'!F31</f>
        <v>0</v>
      </c>
      <c r="Y31" s="16">
        <f t="shared" si="13"/>
        <v>0</v>
      </c>
    </row>
    <row r="32" spans="1:25" x14ac:dyDescent="0.25">
      <c r="A32" s="15" t="str">
        <f>'Operations IDIQ Price'!A32</f>
        <v>Technician V</v>
      </c>
      <c r="B32" s="4"/>
      <c r="C32" s="4">
        <f t="shared" si="0"/>
        <v>0</v>
      </c>
      <c r="D32" s="7">
        <f>'Operations IDIQ Price'!B32</f>
        <v>0</v>
      </c>
      <c r="E32" s="16">
        <f t="shared" si="1"/>
        <v>0</v>
      </c>
      <c r="F32" s="15" t="str">
        <f t="shared" si="2"/>
        <v>Technician V</v>
      </c>
      <c r="G32" s="4"/>
      <c r="H32" s="4">
        <f t="shared" si="3"/>
        <v>0</v>
      </c>
      <c r="I32" s="7">
        <f>'Operations IDIQ Price'!C32</f>
        <v>0</v>
      </c>
      <c r="J32" s="16">
        <f t="shared" si="4"/>
        <v>0</v>
      </c>
      <c r="K32" s="15" t="str">
        <f t="shared" si="5"/>
        <v>Technician V</v>
      </c>
      <c r="L32" s="4"/>
      <c r="M32" s="4">
        <f t="shared" si="6"/>
        <v>0</v>
      </c>
      <c r="N32" s="7">
        <f>'Operations IDIQ Price'!D32</f>
        <v>0</v>
      </c>
      <c r="O32" s="16">
        <f t="shared" si="7"/>
        <v>0</v>
      </c>
      <c r="P32" s="15" t="str">
        <f t="shared" si="8"/>
        <v>Technician V</v>
      </c>
      <c r="Q32" s="4"/>
      <c r="R32" s="4">
        <f t="shared" si="9"/>
        <v>0</v>
      </c>
      <c r="S32" s="7">
        <f>'Operations IDIQ Price'!E32</f>
        <v>0</v>
      </c>
      <c r="T32" s="23">
        <f t="shared" si="10"/>
        <v>0</v>
      </c>
      <c r="U32" s="15" t="str">
        <f t="shared" si="11"/>
        <v>Technician V</v>
      </c>
      <c r="V32" s="4"/>
      <c r="W32" s="4">
        <f t="shared" si="12"/>
        <v>0</v>
      </c>
      <c r="X32" s="7">
        <f>'Operations IDIQ Price'!F32</f>
        <v>0</v>
      </c>
      <c r="Y32" s="16">
        <f t="shared" si="13"/>
        <v>0</v>
      </c>
    </row>
    <row r="33" spans="1:25" x14ac:dyDescent="0.25">
      <c r="A33" s="15" t="str">
        <f>'Operations IDIQ Price'!A33</f>
        <v>Technician IV</v>
      </c>
      <c r="B33" s="4"/>
      <c r="C33" s="4">
        <f t="shared" si="0"/>
        <v>0</v>
      </c>
      <c r="D33" s="7">
        <f>'Operations IDIQ Price'!B33</f>
        <v>0</v>
      </c>
      <c r="E33" s="16">
        <f t="shared" si="1"/>
        <v>0</v>
      </c>
      <c r="F33" s="15" t="str">
        <f t="shared" si="2"/>
        <v>Technician IV</v>
      </c>
      <c r="G33" s="4"/>
      <c r="H33" s="4">
        <f t="shared" si="3"/>
        <v>0</v>
      </c>
      <c r="I33" s="7">
        <f>'Operations IDIQ Price'!C33</f>
        <v>0</v>
      </c>
      <c r="J33" s="16">
        <f t="shared" si="4"/>
        <v>0</v>
      </c>
      <c r="K33" s="15" t="str">
        <f t="shared" si="5"/>
        <v>Technician IV</v>
      </c>
      <c r="L33" s="4"/>
      <c r="M33" s="4">
        <f t="shared" si="6"/>
        <v>0</v>
      </c>
      <c r="N33" s="7">
        <f>'Operations IDIQ Price'!D33</f>
        <v>0</v>
      </c>
      <c r="O33" s="16">
        <f t="shared" si="7"/>
        <v>0</v>
      </c>
      <c r="P33" s="15" t="str">
        <f t="shared" si="8"/>
        <v>Technician IV</v>
      </c>
      <c r="Q33" s="4"/>
      <c r="R33" s="4">
        <f t="shared" si="9"/>
        <v>0</v>
      </c>
      <c r="S33" s="7">
        <f>'Operations IDIQ Price'!E33</f>
        <v>0</v>
      </c>
      <c r="T33" s="23">
        <f t="shared" si="10"/>
        <v>0</v>
      </c>
      <c r="U33" s="15" t="str">
        <f t="shared" si="11"/>
        <v>Technician IV</v>
      </c>
      <c r="V33" s="4"/>
      <c r="W33" s="4">
        <f t="shared" si="12"/>
        <v>0</v>
      </c>
      <c r="X33" s="7">
        <f>'Operations IDIQ Price'!F33</f>
        <v>0</v>
      </c>
      <c r="Y33" s="16">
        <f t="shared" si="13"/>
        <v>0</v>
      </c>
    </row>
    <row r="34" spans="1:25" x14ac:dyDescent="0.25">
      <c r="A34" s="15" t="str">
        <f>'Operations IDIQ Price'!A34</f>
        <v>Technician III</v>
      </c>
      <c r="B34" s="4"/>
      <c r="C34" s="4">
        <f t="shared" si="0"/>
        <v>0</v>
      </c>
      <c r="D34" s="7">
        <f>'Operations IDIQ Price'!B34</f>
        <v>0</v>
      </c>
      <c r="E34" s="16">
        <f t="shared" si="1"/>
        <v>0</v>
      </c>
      <c r="F34" s="15" t="str">
        <f t="shared" si="2"/>
        <v>Technician III</v>
      </c>
      <c r="G34" s="4"/>
      <c r="H34" s="4">
        <f t="shared" si="3"/>
        <v>0</v>
      </c>
      <c r="I34" s="7">
        <f>'Operations IDIQ Price'!C34</f>
        <v>0</v>
      </c>
      <c r="J34" s="16">
        <f t="shared" si="4"/>
        <v>0</v>
      </c>
      <c r="K34" s="15" t="str">
        <f t="shared" si="5"/>
        <v>Technician III</v>
      </c>
      <c r="L34" s="4"/>
      <c r="M34" s="4">
        <f t="shared" si="6"/>
        <v>0</v>
      </c>
      <c r="N34" s="7">
        <f>'Operations IDIQ Price'!D34</f>
        <v>0</v>
      </c>
      <c r="O34" s="16">
        <f t="shared" si="7"/>
        <v>0</v>
      </c>
      <c r="P34" s="15" t="str">
        <f t="shared" si="8"/>
        <v>Technician III</v>
      </c>
      <c r="Q34" s="4"/>
      <c r="R34" s="4">
        <f t="shared" si="9"/>
        <v>0</v>
      </c>
      <c r="S34" s="7">
        <f>'Operations IDIQ Price'!E34</f>
        <v>0</v>
      </c>
      <c r="T34" s="23">
        <f t="shared" si="10"/>
        <v>0</v>
      </c>
      <c r="U34" s="15" t="str">
        <f t="shared" si="11"/>
        <v>Technician III</v>
      </c>
      <c r="V34" s="4"/>
      <c r="W34" s="4">
        <f t="shared" si="12"/>
        <v>0</v>
      </c>
      <c r="X34" s="7">
        <f>'Operations IDIQ Price'!F34</f>
        <v>0</v>
      </c>
      <c r="Y34" s="16">
        <f t="shared" si="13"/>
        <v>0</v>
      </c>
    </row>
    <row r="35" spans="1:25" x14ac:dyDescent="0.25">
      <c r="A35" s="15" t="str">
        <f>'Operations IDIQ Price'!A35</f>
        <v>Technician III</v>
      </c>
      <c r="B35" s="4"/>
      <c r="C35" s="4">
        <f t="shared" si="0"/>
        <v>0</v>
      </c>
      <c r="D35" s="7">
        <f>'Operations IDIQ Price'!B35</f>
        <v>0</v>
      </c>
      <c r="E35" s="16">
        <f t="shared" si="1"/>
        <v>0</v>
      </c>
      <c r="F35" s="15" t="str">
        <f t="shared" si="2"/>
        <v>Technician III</v>
      </c>
      <c r="G35" s="4"/>
      <c r="H35" s="4">
        <f t="shared" si="3"/>
        <v>0</v>
      </c>
      <c r="I35" s="7">
        <f>'Operations IDIQ Price'!C35</f>
        <v>0</v>
      </c>
      <c r="J35" s="16">
        <f t="shared" si="4"/>
        <v>0</v>
      </c>
      <c r="K35" s="15" t="str">
        <f t="shared" si="5"/>
        <v>Technician III</v>
      </c>
      <c r="L35" s="4"/>
      <c r="M35" s="4">
        <f t="shared" si="6"/>
        <v>0</v>
      </c>
      <c r="N35" s="7">
        <f>'Operations IDIQ Price'!D35</f>
        <v>0</v>
      </c>
      <c r="O35" s="16">
        <f t="shared" si="7"/>
        <v>0</v>
      </c>
      <c r="P35" s="15" t="str">
        <f t="shared" si="8"/>
        <v>Technician III</v>
      </c>
      <c r="Q35" s="4"/>
      <c r="R35" s="4">
        <f t="shared" si="9"/>
        <v>0</v>
      </c>
      <c r="S35" s="7">
        <f>'Operations IDIQ Price'!E35</f>
        <v>0</v>
      </c>
      <c r="T35" s="23">
        <f t="shared" si="10"/>
        <v>0</v>
      </c>
      <c r="U35" s="15" t="str">
        <f t="shared" si="11"/>
        <v>Technician III</v>
      </c>
      <c r="V35" s="4"/>
      <c r="W35" s="4">
        <f t="shared" si="12"/>
        <v>0</v>
      </c>
      <c r="X35" s="7">
        <f>'Operations IDIQ Price'!F35</f>
        <v>0</v>
      </c>
      <c r="Y35" s="16">
        <f t="shared" si="13"/>
        <v>0</v>
      </c>
    </row>
    <row r="36" spans="1:25" x14ac:dyDescent="0.25">
      <c r="A36" s="15" t="str">
        <f>'Operations IDIQ Price'!A36</f>
        <v>Technician I</v>
      </c>
      <c r="B36" s="4"/>
      <c r="C36" s="4">
        <f t="shared" si="0"/>
        <v>0</v>
      </c>
      <c r="D36" s="7">
        <f>'Operations IDIQ Price'!B36</f>
        <v>0</v>
      </c>
      <c r="E36" s="16">
        <f t="shared" si="1"/>
        <v>0</v>
      </c>
      <c r="F36" s="15" t="str">
        <f t="shared" si="2"/>
        <v>Technician I</v>
      </c>
      <c r="G36" s="4"/>
      <c r="H36" s="4">
        <f t="shared" si="3"/>
        <v>0</v>
      </c>
      <c r="I36" s="7">
        <f>'Operations IDIQ Price'!C36</f>
        <v>0</v>
      </c>
      <c r="J36" s="16">
        <f t="shared" si="4"/>
        <v>0</v>
      </c>
      <c r="K36" s="15" t="str">
        <f t="shared" si="5"/>
        <v>Technician I</v>
      </c>
      <c r="L36" s="4"/>
      <c r="M36" s="4">
        <f t="shared" si="6"/>
        <v>0</v>
      </c>
      <c r="N36" s="7">
        <f>'Operations IDIQ Price'!D36</f>
        <v>0</v>
      </c>
      <c r="O36" s="16">
        <f t="shared" si="7"/>
        <v>0</v>
      </c>
      <c r="P36" s="15" t="str">
        <f t="shared" si="8"/>
        <v>Technician I</v>
      </c>
      <c r="Q36" s="4"/>
      <c r="R36" s="4">
        <f t="shared" si="9"/>
        <v>0</v>
      </c>
      <c r="S36" s="7">
        <f>'Operations IDIQ Price'!E36</f>
        <v>0</v>
      </c>
      <c r="T36" s="23">
        <f t="shared" si="10"/>
        <v>0</v>
      </c>
      <c r="U36" s="15" t="str">
        <f t="shared" si="11"/>
        <v>Technician I</v>
      </c>
      <c r="V36" s="4"/>
      <c r="W36" s="4">
        <f t="shared" si="12"/>
        <v>0</v>
      </c>
      <c r="X36" s="7">
        <f>'Operations IDIQ Price'!F36</f>
        <v>0</v>
      </c>
      <c r="Y36" s="16">
        <f t="shared" si="13"/>
        <v>0</v>
      </c>
    </row>
    <row r="37" spans="1:25" x14ac:dyDescent="0.25">
      <c r="A37" s="15" t="str">
        <f>'Operations IDIQ Price'!A37</f>
        <v>Database Administrator II</v>
      </c>
      <c r="B37" s="4"/>
      <c r="C37" s="4">
        <f t="shared" si="0"/>
        <v>0</v>
      </c>
      <c r="D37" s="7">
        <f>'Operations IDIQ Price'!B37</f>
        <v>0</v>
      </c>
      <c r="E37" s="16">
        <f t="shared" si="1"/>
        <v>0</v>
      </c>
      <c r="F37" s="15" t="str">
        <f t="shared" si="2"/>
        <v>Database Administrator II</v>
      </c>
      <c r="G37" s="4"/>
      <c r="H37" s="4">
        <f t="shared" si="3"/>
        <v>0</v>
      </c>
      <c r="I37" s="7">
        <f>'Operations IDIQ Price'!C37</f>
        <v>0</v>
      </c>
      <c r="J37" s="16">
        <f t="shared" si="4"/>
        <v>0</v>
      </c>
      <c r="K37" s="15" t="str">
        <f t="shared" si="5"/>
        <v>Database Administrator II</v>
      </c>
      <c r="L37" s="4"/>
      <c r="M37" s="4">
        <f t="shared" si="6"/>
        <v>0</v>
      </c>
      <c r="N37" s="7">
        <f>'Operations IDIQ Price'!D37</f>
        <v>0</v>
      </c>
      <c r="O37" s="16">
        <f t="shared" si="7"/>
        <v>0</v>
      </c>
      <c r="P37" s="15" t="str">
        <f t="shared" si="8"/>
        <v>Database Administrator II</v>
      </c>
      <c r="Q37" s="4"/>
      <c r="R37" s="4">
        <f t="shared" si="9"/>
        <v>0</v>
      </c>
      <c r="S37" s="7">
        <f>'Operations IDIQ Price'!E37</f>
        <v>0</v>
      </c>
      <c r="T37" s="23">
        <f t="shared" si="10"/>
        <v>0</v>
      </c>
      <c r="U37" s="15" t="str">
        <f t="shared" si="11"/>
        <v>Database Administrator II</v>
      </c>
      <c r="V37" s="4"/>
      <c r="W37" s="4">
        <f t="shared" si="12"/>
        <v>0</v>
      </c>
      <c r="X37" s="7">
        <f>'Operations IDIQ Price'!F37</f>
        <v>0</v>
      </c>
      <c r="Y37" s="16">
        <f t="shared" si="13"/>
        <v>0</v>
      </c>
    </row>
    <row r="38" spans="1:25" x14ac:dyDescent="0.25">
      <c r="A38" s="15" t="str">
        <f>'Operations IDIQ Price'!A38</f>
        <v>System Administrator IV</v>
      </c>
      <c r="B38" s="4"/>
      <c r="C38" s="4">
        <f t="shared" si="0"/>
        <v>0</v>
      </c>
      <c r="D38" s="7">
        <f>'Operations IDIQ Price'!B38</f>
        <v>0</v>
      </c>
      <c r="E38" s="16">
        <f t="shared" si="1"/>
        <v>0</v>
      </c>
      <c r="F38" s="15" t="str">
        <f t="shared" si="2"/>
        <v>System Administrator IV</v>
      </c>
      <c r="G38" s="4"/>
      <c r="H38" s="4">
        <f t="shared" si="3"/>
        <v>0</v>
      </c>
      <c r="I38" s="7">
        <f>'Operations IDIQ Price'!C38</f>
        <v>0</v>
      </c>
      <c r="J38" s="16">
        <f t="shared" si="4"/>
        <v>0</v>
      </c>
      <c r="K38" s="15" t="str">
        <f t="shared" si="5"/>
        <v>System Administrator IV</v>
      </c>
      <c r="L38" s="4"/>
      <c r="M38" s="4">
        <f t="shared" si="6"/>
        <v>0</v>
      </c>
      <c r="N38" s="7">
        <f>'Operations IDIQ Price'!D38</f>
        <v>0</v>
      </c>
      <c r="O38" s="16">
        <f t="shared" si="7"/>
        <v>0</v>
      </c>
      <c r="P38" s="15" t="str">
        <f t="shared" si="8"/>
        <v>System Administrator IV</v>
      </c>
      <c r="Q38" s="4"/>
      <c r="R38" s="4">
        <f t="shared" si="9"/>
        <v>0</v>
      </c>
      <c r="S38" s="7">
        <f>'Operations IDIQ Price'!E38</f>
        <v>0</v>
      </c>
      <c r="T38" s="23">
        <f t="shared" si="10"/>
        <v>0</v>
      </c>
      <c r="U38" s="15" t="str">
        <f t="shared" si="11"/>
        <v>System Administrator IV</v>
      </c>
      <c r="V38" s="4"/>
      <c r="W38" s="4">
        <f t="shared" si="12"/>
        <v>0</v>
      </c>
      <c r="X38" s="7">
        <f>'Operations IDIQ Price'!F38</f>
        <v>0</v>
      </c>
      <c r="Y38" s="16">
        <f t="shared" si="13"/>
        <v>0</v>
      </c>
    </row>
    <row r="39" spans="1:25" x14ac:dyDescent="0.25">
      <c r="A39" s="15" t="str">
        <f>'Operations IDIQ Price'!A39</f>
        <v>System Administrator III</v>
      </c>
      <c r="B39" s="4"/>
      <c r="C39" s="4">
        <f t="shared" si="0"/>
        <v>0</v>
      </c>
      <c r="D39" s="7">
        <f>'Operations IDIQ Price'!B39</f>
        <v>0</v>
      </c>
      <c r="E39" s="16">
        <f t="shared" si="1"/>
        <v>0</v>
      </c>
      <c r="F39" s="15" t="str">
        <f t="shared" si="2"/>
        <v>System Administrator III</v>
      </c>
      <c r="G39" s="4"/>
      <c r="H39" s="4">
        <f t="shared" si="3"/>
        <v>0</v>
      </c>
      <c r="I39" s="7">
        <f>'Operations IDIQ Price'!C39</f>
        <v>0</v>
      </c>
      <c r="J39" s="16">
        <f t="shared" si="4"/>
        <v>0</v>
      </c>
      <c r="K39" s="15" t="str">
        <f t="shared" si="5"/>
        <v>System Administrator III</v>
      </c>
      <c r="L39" s="4"/>
      <c r="M39" s="4">
        <f t="shared" si="6"/>
        <v>0</v>
      </c>
      <c r="N39" s="7">
        <f>'Operations IDIQ Price'!D39</f>
        <v>0</v>
      </c>
      <c r="O39" s="16">
        <f t="shared" si="7"/>
        <v>0</v>
      </c>
      <c r="P39" s="15" t="str">
        <f t="shared" si="8"/>
        <v>System Administrator III</v>
      </c>
      <c r="Q39" s="4"/>
      <c r="R39" s="4">
        <f t="shared" si="9"/>
        <v>0</v>
      </c>
      <c r="S39" s="7">
        <f>'Operations IDIQ Price'!E39</f>
        <v>0</v>
      </c>
      <c r="T39" s="23">
        <f t="shared" si="10"/>
        <v>0</v>
      </c>
      <c r="U39" s="15" t="str">
        <f t="shared" si="11"/>
        <v>System Administrator III</v>
      </c>
      <c r="V39" s="4"/>
      <c r="W39" s="4">
        <f t="shared" si="12"/>
        <v>0</v>
      </c>
      <c r="X39" s="7">
        <f>'Operations IDIQ Price'!F39</f>
        <v>0</v>
      </c>
      <c r="Y39" s="16">
        <f t="shared" si="13"/>
        <v>0</v>
      </c>
    </row>
    <row r="40" spans="1:25" x14ac:dyDescent="0.25">
      <c r="A40" s="15" t="str">
        <f>'Operations IDIQ Price'!A40</f>
        <v>System Administrator II</v>
      </c>
      <c r="B40" s="4"/>
      <c r="C40" s="4">
        <f t="shared" si="0"/>
        <v>0</v>
      </c>
      <c r="D40" s="7">
        <f>'Operations IDIQ Price'!B40</f>
        <v>0</v>
      </c>
      <c r="E40" s="16">
        <f t="shared" si="1"/>
        <v>0</v>
      </c>
      <c r="F40" s="15" t="str">
        <f t="shared" si="2"/>
        <v>System Administrator II</v>
      </c>
      <c r="G40" s="4"/>
      <c r="H40" s="4">
        <f t="shared" si="3"/>
        <v>0</v>
      </c>
      <c r="I40" s="7">
        <f>'Operations IDIQ Price'!C40</f>
        <v>0</v>
      </c>
      <c r="J40" s="16">
        <f t="shared" si="4"/>
        <v>0</v>
      </c>
      <c r="K40" s="15" t="str">
        <f t="shared" si="5"/>
        <v>System Administrator II</v>
      </c>
      <c r="L40" s="4"/>
      <c r="M40" s="4">
        <f t="shared" si="6"/>
        <v>0</v>
      </c>
      <c r="N40" s="7">
        <f>'Operations IDIQ Price'!D40</f>
        <v>0</v>
      </c>
      <c r="O40" s="16">
        <f t="shared" si="7"/>
        <v>0</v>
      </c>
      <c r="P40" s="15" t="str">
        <f t="shared" si="8"/>
        <v>System Administrator II</v>
      </c>
      <c r="Q40" s="4"/>
      <c r="R40" s="4">
        <f t="shared" si="9"/>
        <v>0</v>
      </c>
      <c r="S40" s="7">
        <f>'Operations IDIQ Price'!E40</f>
        <v>0</v>
      </c>
      <c r="T40" s="23">
        <f t="shared" si="10"/>
        <v>0</v>
      </c>
      <c r="U40" s="15" t="str">
        <f t="shared" si="11"/>
        <v>System Administrator II</v>
      </c>
      <c r="V40" s="4"/>
      <c r="W40" s="4">
        <f t="shared" si="12"/>
        <v>0</v>
      </c>
      <c r="X40" s="7">
        <f>'Operations IDIQ Price'!F40</f>
        <v>0</v>
      </c>
      <c r="Y40" s="16">
        <f t="shared" si="13"/>
        <v>0</v>
      </c>
    </row>
    <row r="41" spans="1:25" x14ac:dyDescent="0.25">
      <c r="A41" s="15" t="str">
        <f>'Operations IDIQ Price'!A41</f>
        <v>Configuration / Data Management Specialist I</v>
      </c>
      <c r="B41" s="4"/>
      <c r="C41" s="4">
        <f t="shared" si="0"/>
        <v>0</v>
      </c>
      <c r="D41" s="7">
        <f>'Operations IDIQ Price'!B41</f>
        <v>0</v>
      </c>
      <c r="E41" s="16">
        <f t="shared" si="1"/>
        <v>0</v>
      </c>
      <c r="F41" s="15" t="str">
        <f t="shared" si="2"/>
        <v>Configuration / Data Management Specialist I</v>
      </c>
      <c r="G41" s="4"/>
      <c r="H41" s="4">
        <f t="shared" si="3"/>
        <v>0</v>
      </c>
      <c r="I41" s="7">
        <f>'Operations IDIQ Price'!C41</f>
        <v>0</v>
      </c>
      <c r="J41" s="16">
        <f t="shared" si="4"/>
        <v>0</v>
      </c>
      <c r="K41" s="15" t="str">
        <f t="shared" si="5"/>
        <v>Configuration / Data Management Specialist I</v>
      </c>
      <c r="L41" s="4"/>
      <c r="M41" s="4">
        <f t="shared" si="6"/>
        <v>0</v>
      </c>
      <c r="N41" s="7">
        <f>'Operations IDIQ Price'!D41</f>
        <v>0</v>
      </c>
      <c r="O41" s="16">
        <f t="shared" si="7"/>
        <v>0</v>
      </c>
      <c r="P41" s="15" t="str">
        <f t="shared" si="8"/>
        <v>Configuration / Data Management Specialist I</v>
      </c>
      <c r="Q41" s="4"/>
      <c r="R41" s="4">
        <f t="shared" si="9"/>
        <v>0</v>
      </c>
      <c r="S41" s="7">
        <f>'Operations IDIQ Price'!E41</f>
        <v>0</v>
      </c>
      <c r="T41" s="23">
        <f t="shared" si="10"/>
        <v>0</v>
      </c>
      <c r="U41" s="15" t="str">
        <f t="shared" si="11"/>
        <v>Configuration / Data Management Specialist I</v>
      </c>
      <c r="V41" s="4"/>
      <c r="W41" s="4">
        <f t="shared" si="12"/>
        <v>0</v>
      </c>
      <c r="X41" s="7">
        <f>'Operations IDIQ Price'!F41</f>
        <v>0</v>
      </c>
      <c r="Y41" s="16">
        <f t="shared" si="13"/>
        <v>0</v>
      </c>
    </row>
    <row r="42" spans="1:25" x14ac:dyDescent="0.25">
      <c r="A42" s="15" t="str">
        <f>'Operations IDIQ Price'!A42</f>
        <v>Configuration / Data Management Specialist IV</v>
      </c>
      <c r="B42" s="4"/>
      <c r="C42" s="4">
        <f t="shared" si="0"/>
        <v>0</v>
      </c>
      <c r="D42" s="7">
        <f>'Operations IDIQ Price'!B42</f>
        <v>0</v>
      </c>
      <c r="E42" s="16">
        <f t="shared" si="1"/>
        <v>0</v>
      </c>
      <c r="F42" s="15" t="str">
        <f t="shared" si="2"/>
        <v>Configuration / Data Management Specialist IV</v>
      </c>
      <c r="G42" s="4"/>
      <c r="H42" s="4">
        <f t="shared" si="3"/>
        <v>0</v>
      </c>
      <c r="I42" s="7">
        <f>'Operations IDIQ Price'!C42</f>
        <v>0</v>
      </c>
      <c r="J42" s="16">
        <f t="shared" si="4"/>
        <v>0</v>
      </c>
      <c r="K42" s="15" t="str">
        <f t="shared" si="5"/>
        <v>Configuration / Data Management Specialist IV</v>
      </c>
      <c r="L42" s="4"/>
      <c r="M42" s="4">
        <f t="shared" si="6"/>
        <v>0</v>
      </c>
      <c r="N42" s="7">
        <f>'Operations IDIQ Price'!D42</f>
        <v>0</v>
      </c>
      <c r="O42" s="16">
        <f t="shared" si="7"/>
        <v>0</v>
      </c>
      <c r="P42" s="15" t="str">
        <f t="shared" si="8"/>
        <v>Configuration / Data Management Specialist IV</v>
      </c>
      <c r="Q42" s="4"/>
      <c r="R42" s="4">
        <f t="shared" si="9"/>
        <v>0</v>
      </c>
      <c r="S42" s="7">
        <f>'Operations IDIQ Price'!E42</f>
        <v>0</v>
      </c>
      <c r="T42" s="23">
        <f t="shared" si="10"/>
        <v>0</v>
      </c>
      <c r="U42" s="15" t="str">
        <f t="shared" si="11"/>
        <v>Configuration / Data Management Specialist IV</v>
      </c>
      <c r="V42" s="4"/>
      <c r="W42" s="4">
        <f t="shared" si="12"/>
        <v>0</v>
      </c>
      <c r="X42" s="7">
        <f>'Operations IDIQ Price'!F42</f>
        <v>0</v>
      </c>
      <c r="Y42" s="16">
        <f t="shared" si="13"/>
        <v>0</v>
      </c>
    </row>
    <row r="43" spans="1:25" x14ac:dyDescent="0.25">
      <c r="A43" s="15" t="str">
        <f>'Operations IDIQ Price'!A43</f>
        <v>Safety/Quality Assurance Specialist V</v>
      </c>
      <c r="B43" s="4"/>
      <c r="C43" s="4">
        <f t="shared" si="0"/>
        <v>0</v>
      </c>
      <c r="D43" s="7">
        <f>'Operations IDIQ Price'!B43</f>
        <v>0</v>
      </c>
      <c r="E43" s="16">
        <f t="shared" si="1"/>
        <v>0</v>
      </c>
      <c r="F43" s="15" t="str">
        <f t="shared" si="2"/>
        <v>Safety/Quality Assurance Specialist V</v>
      </c>
      <c r="G43" s="4"/>
      <c r="H43" s="4">
        <f t="shared" si="3"/>
        <v>0</v>
      </c>
      <c r="I43" s="7">
        <f>'Operations IDIQ Price'!C43</f>
        <v>0</v>
      </c>
      <c r="J43" s="16">
        <f t="shared" si="4"/>
        <v>0</v>
      </c>
      <c r="K43" s="15" t="str">
        <f t="shared" si="5"/>
        <v>Safety/Quality Assurance Specialist V</v>
      </c>
      <c r="L43" s="4"/>
      <c r="M43" s="4">
        <f t="shared" si="6"/>
        <v>0</v>
      </c>
      <c r="N43" s="7">
        <f>'Operations IDIQ Price'!D43</f>
        <v>0</v>
      </c>
      <c r="O43" s="16">
        <f t="shared" si="7"/>
        <v>0</v>
      </c>
      <c r="P43" s="15" t="str">
        <f t="shared" si="8"/>
        <v>Safety/Quality Assurance Specialist V</v>
      </c>
      <c r="Q43" s="4"/>
      <c r="R43" s="4">
        <f t="shared" si="9"/>
        <v>0</v>
      </c>
      <c r="S43" s="7">
        <f>'Operations IDIQ Price'!E43</f>
        <v>0</v>
      </c>
      <c r="T43" s="23">
        <f t="shared" si="10"/>
        <v>0</v>
      </c>
      <c r="U43" s="15" t="str">
        <f t="shared" si="11"/>
        <v>Safety/Quality Assurance Specialist V</v>
      </c>
      <c r="V43" s="4"/>
      <c r="W43" s="4">
        <f t="shared" si="12"/>
        <v>0</v>
      </c>
      <c r="X43" s="7">
        <f>'Operations IDIQ Price'!F43</f>
        <v>0</v>
      </c>
      <c r="Y43" s="16">
        <f t="shared" si="13"/>
        <v>0</v>
      </c>
    </row>
    <row r="44" spans="1:25" x14ac:dyDescent="0.25">
      <c r="A44" s="15" t="str">
        <f>'Operations IDIQ Price'!A44</f>
        <v>Safety/Quality Assurance Specialist IV</v>
      </c>
      <c r="B44" s="4"/>
      <c r="C44" s="4">
        <f t="shared" si="0"/>
        <v>0</v>
      </c>
      <c r="D44" s="7">
        <f>'Operations IDIQ Price'!B44</f>
        <v>0</v>
      </c>
      <c r="E44" s="16">
        <f t="shared" si="1"/>
        <v>0</v>
      </c>
      <c r="F44" s="15" t="str">
        <f t="shared" si="2"/>
        <v>Safety/Quality Assurance Specialist IV</v>
      </c>
      <c r="G44" s="4"/>
      <c r="H44" s="4">
        <f t="shared" si="3"/>
        <v>0</v>
      </c>
      <c r="I44" s="7">
        <f>'Operations IDIQ Price'!C44</f>
        <v>0</v>
      </c>
      <c r="J44" s="16">
        <f t="shared" si="4"/>
        <v>0</v>
      </c>
      <c r="K44" s="15" t="str">
        <f t="shared" si="5"/>
        <v>Safety/Quality Assurance Specialist IV</v>
      </c>
      <c r="L44" s="4"/>
      <c r="M44" s="4">
        <f t="shared" si="6"/>
        <v>0</v>
      </c>
      <c r="N44" s="7">
        <f>'Operations IDIQ Price'!D44</f>
        <v>0</v>
      </c>
      <c r="O44" s="16">
        <f t="shared" si="7"/>
        <v>0</v>
      </c>
      <c r="P44" s="15" t="str">
        <f t="shared" si="8"/>
        <v>Safety/Quality Assurance Specialist IV</v>
      </c>
      <c r="Q44" s="4"/>
      <c r="R44" s="4">
        <f t="shared" si="9"/>
        <v>0</v>
      </c>
      <c r="S44" s="7">
        <f>'Operations IDIQ Price'!E44</f>
        <v>0</v>
      </c>
      <c r="T44" s="23">
        <f t="shared" si="10"/>
        <v>0</v>
      </c>
      <c r="U44" s="15" t="str">
        <f t="shared" si="11"/>
        <v>Safety/Quality Assurance Specialist IV</v>
      </c>
      <c r="V44" s="4"/>
      <c r="W44" s="4">
        <f t="shared" si="12"/>
        <v>0</v>
      </c>
      <c r="X44" s="7">
        <f>'Operations IDIQ Price'!F44</f>
        <v>0</v>
      </c>
      <c r="Y44" s="16">
        <f t="shared" si="13"/>
        <v>0</v>
      </c>
    </row>
    <row r="45" spans="1:25" x14ac:dyDescent="0.25">
      <c r="A45" s="15" t="str">
        <f>'Operations IDIQ Price'!A45</f>
        <v>Safety/Quality Assurance Specialist III</v>
      </c>
      <c r="B45" s="4"/>
      <c r="C45" s="4">
        <f t="shared" si="0"/>
        <v>0</v>
      </c>
      <c r="D45" s="7">
        <f>'Operations IDIQ Price'!B45</f>
        <v>0</v>
      </c>
      <c r="E45" s="16">
        <f t="shared" si="1"/>
        <v>0</v>
      </c>
      <c r="F45" s="15" t="str">
        <f t="shared" si="2"/>
        <v>Safety/Quality Assurance Specialist III</v>
      </c>
      <c r="G45" s="4"/>
      <c r="H45" s="4">
        <f t="shared" si="3"/>
        <v>0</v>
      </c>
      <c r="I45" s="7">
        <f>'Operations IDIQ Price'!C45</f>
        <v>0</v>
      </c>
      <c r="J45" s="16">
        <f t="shared" si="4"/>
        <v>0</v>
      </c>
      <c r="K45" s="15" t="str">
        <f t="shared" si="5"/>
        <v>Safety/Quality Assurance Specialist III</v>
      </c>
      <c r="L45" s="4"/>
      <c r="M45" s="4">
        <f t="shared" si="6"/>
        <v>0</v>
      </c>
      <c r="N45" s="7">
        <f>'Operations IDIQ Price'!D45</f>
        <v>0</v>
      </c>
      <c r="O45" s="16">
        <f t="shared" si="7"/>
        <v>0</v>
      </c>
      <c r="P45" s="15" t="str">
        <f t="shared" si="8"/>
        <v>Safety/Quality Assurance Specialist III</v>
      </c>
      <c r="Q45" s="4"/>
      <c r="R45" s="4">
        <f t="shared" si="9"/>
        <v>0</v>
      </c>
      <c r="S45" s="7">
        <f>'Operations IDIQ Price'!E45</f>
        <v>0</v>
      </c>
      <c r="T45" s="23">
        <f t="shared" si="10"/>
        <v>0</v>
      </c>
      <c r="U45" s="15" t="str">
        <f t="shared" si="11"/>
        <v>Safety/Quality Assurance Specialist III</v>
      </c>
      <c r="V45" s="4"/>
      <c r="W45" s="4">
        <f t="shared" si="12"/>
        <v>0</v>
      </c>
      <c r="X45" s="7">
        <f>'Operations IDIQ Price'!F45</f>
        <v>0</v>
      </c>
      <c r="Y45" s="16">
        <f t="shared" si="13"/>
        <v>0</v>
      </c>
    </row>
    <row r="46" spans="1:25" x14ac:dyDescent="0.25">
      <c r="A46" s="15" t="str">
        <f>'Operations IDIQ Price'!A46</f>
        <v>Safety/Quality Assurance Specialist II</v>
      </c>
      <c r="B46" s="4"/>
      <c r="C46" s="4">
        <f t="shared" si="0"/>
        <v>0</v>
      </c>
      <c r="D46" s="7">
        <f>'Operations IDIQ Price'!B46</f>
        <v>0</v>
      </c>
      <c r="E46" s="16">
        <f t="shared" si="1"/>
        <v>0</v>
      </c>
      <c r="F46" s="15" t="str">
        <f t="shared" si="2"/>
        <v>Safety/Quality Assurance Specialist II</v>
      </c>
      <c r="G46" s="4"/>
      <c r="H46" s="4">
        <f t="shared" si="3"/>
        <v>0</v>
      </c>
      <c r="I46" s="7">
        <f>'Operations IDIQ Price'!C46</f>
        <v>0</v>
      </c>
      <c r="J46" s="16">
        <f t="shared" si="4"/>
        <v>0</v>
      </c>
      <c r="K46" s="15" t="str">
        <f t="shared" si="5"/>
        <v>Safety/Quality Assurance Specialist II</v>
      </c>
      <c r="L46" s="4"/>
      <c r="M46" s="4">
        <f t="shared" si="6"/>
        <v>0</v>
      </c>
      <c r="N46" s="7">
        <f>'Operations IDIQ Price'!D46</f>
        <v>0</v>
      </c>
      <c r="O46" s="16">
        <f t="shared" si="7"/>
        <v>0</v>
      </c>
      <c r="P46" s="15" t="str">
        <f t="shared" si="8"/>
        <v>Safety/Quality Assurance Specialist II</v>
      </c>
      <c r="Q46" s="4"/>
      <c r="R46" s="4">
        <f t="shared" si="9"/>
        <v>0</v>
      </c>
      <c r="S46" s="7">
        <f>'Operations IDIQ Price'!E46</f>
        <v>0</v>
      </c>
      <c r="T46" s="23">
        <f t="shared" si="10"/>
        <v>0</v>
      </c>
      <c r="U46" s="15" t="str">
        <f t="shared" si="11"/>
        <v>Safety/Quality Assurance Specialist II</v>
      </c>
      <c r="V46" s="4"/>
      <c r="W46" s="4">
        <f t="shared" si="12"/>
        <v>0</v>
      </c>
      <c r="X46" s="7">
        <f>'Operations IDIQ Price'!F46</f>
        <v>0</v>
      </c>
      <c r="Y46" s="16">
        <f t="shared" si="13"/>
        <v>0</v>
      </c>
    </row>
    <row r="47" spans="1:25" x14ac:dyDescent="0.25">
      <c r="A47" s="15" t="str">
        <f>'Operations IDIQ Price'!A47</f>
        <v>Safety/Quality Assurance Specialist I</v>
      </c>
      <c r="B47" s="4"/>
      <c r="C47" s="4">
        <f t="shared" si="0"/>
        <v>0</v>
      </c>
      <c r="D47" s="7">
        <f>'Operations IDIQ Price'!B47</f>
        <v>0</v>
      </c>
      <c r="E47" s="16">
        <f t="shared" si="1"/>
        <v>0</v>
      </c>
      <c r="F47" s="15" t="str">
        <f t="shared" si="2"/>
        <v>Safety/Quality Assurance Specialist I</v>
      </c>
      <c r="G47" s="4"/>
      <c r="H47" s="4">
        <f t="shared" si="3"/>
        <v>0</v>
      </c>
      <c r="I47" s="7">
        <f>'Operations IDIQ Price'!C47</f>
        <v>0</v>
      </c>
      <c r="J47" s="16">
        <f t="shared" si="4"/>
        <v>0</v>
      </c>
      <c r="K47" s="15" t="str">
        <f t="shared" si="5"/>
        <v>Safety/Quality Assurance Specialist I</v>
      </c>
      <c r="L47" s="4"/>
      <c r="M47" s="4">
        <f t="shared" si="6"/>
        <v>0</v>
      </c>
      <c r="N47" s="7">
        <f>'Operations IDIQ Price'!D47</f>
        <v>0</v>
      </c>
      <c r="O47" s="16">
        <f t="shared" si="7"/>
        <v>0</v>
      </c>
      <c r="P47" s="15" t="str">
        <f t="shared" si="8"/>
        <v>Safety/Quality Assurance Specialist I</v>
      </c>
      <c r="Q47" s="4"/>
      <c r="R47" s="4">
        <f t="shared" si="9"/>
        <v>0</v>
      </c>
      <c r="S47" s="7">
        <f>'Operations IDIQ Price'!E47</f>
        <v>0</v>
      </c>
      <c r="T47" s="23">
        <f t="shared" si="10"/>
        <v>0</v>
      </c>
      <c r="U47" s="15" t="str">
        <f t="shared" si="11"/>
        <v>Safety/Quality Assurance Specialist I</v>
      </c>
      <c r="V47" s="4"/>
      <c r="W47" s="4">
        <f t="shared" si="12"/>
        <v>0</v>
      </c>
      <c r="X47" s="7">
        <f>'Operations IDIQ Price'!F47</f>
        <v>0</v>
      </c>
      <c r="Y47" s="16">
        <f t="shared" si="13"/>
        <v>0</v>
      </c>
    </row>
    <row r="48" spans="1:25" x14ac:dyDescent="0.25">
      <c r="A48" s="15"/>
      <c r="B48" s="4"/>
      <c r="C48" s="4"/>
      <c r="D48" s="7"/>
      <c r="E48" s="16"/>
      <c r="F48" s="15"/>
      <c r="G48" s="4"/>
      <c r="H48" s="4"/>
      <c r="I48" s="7"/>
      <c r="J48" s="16"/>
      <c r="K48" s="15"/>
      <c r="L48" s="4"/>
      <c r="M48" s="4"/>
      <c r="N48" s="7"/>
      <c r="O48" s="16"/>
      <c r="P48" s="15"/>
      <c r="Q48" s="4"/>
      <c r="R48" s="4"/>
      <c r="S48" s="7"/>
      <c r="T48" s="23"/>
      <c r="U48" s="15"/>
      <c r="V48" s="4"/>
      <c r="W48" s="4"/>
      <c r="X48" s="7"/>
      <c r="Y48" s="16"/>
    </row>
    <row r="49" spans="1:25" x14ac:dyDescent="0.25">
      <c r="A49" s="15" t="s">
        <v>118</v>
      </c>
      <c r="B49" s="4"/>
      <c r="C49" s="4"/>
      <c r="D49" s="7"/>
      <c r="E49" s="17">
        <f>SUM(E6:E47)</f>
        <v>0</v>
      </c>
      <c r="F49" s="15" t="s">
        <v>118</v>
      </c>
      <c r="G49" s="4"/>
      <c r="H49" s="4"/>
      <c r="I49" s="7"/>
      <c r="J49" s="17">
        <f>SUM(J6:J47)</f>
        <v>0</v>
      </c>
      <c r="K49" s="15" t="s">
        <v>118</v>
      </c>
      <c r="L49" s="4"/>
      <c r="M49" s="4"/>
      <c r="N49" s="7"/>
      <c r="O49" s="17">
        <f>SUM(O6:O47)</f>
        <v>0</v>
      </c>
      <c r="P49" s="15" t="s">
        <v>118</v>
      </c>
      <c r="Q49" s="4"/>
      <c r="R49" s="4"/>
      <c r="S49" s="7"/>
      <c r="T49" s="17">
        <f>SUM(T6:T47)</f>
        <v>0</v>
      </c>
      <c r="U49" s="15" t="s">
        <v>118</v>
      </c>
      <c r="V49" s="4"/>
      <c r="W49" s="4"/>
      <c r="X49" s="7"/>
      <c r="Y49" s="17">
        <f>SUM(Y6:Y47)</f>
        <v>0</v>
      </c>
    </row>
    <row r="50" spans="1:25" x14ac:dyDescent="0.25">
      <c r="A50" s="15"/>
      <c r="B50" s="4"/>
      <c r="C50" s="4"/>
      <c r="D50" s="7"/>
      <c r="E50" s="16"/>
      <c r="F50" s="15"/>
      <c r="G50" s="4"/>
      <c r="H50" s="4"/>
      <c r="I50" s="7"/>
      <c r="J50" s="16"/>
      <c r="K50" s="15"/>
      <c r="L50" s="4"/>
      <c r="M50" s="4"/>
      <c r="N50" s="7"/>
      <c r="O50" s="16"/>
      <c r="P50" s="15"/>
      <c r="Q50" s="4"/>
      <c r="R50" s="4"/>
      <c r="S50" s="7"/>
      <c r="T50" s="23"/>
      <c r="U50" s="15"/>
      <c r="V50" s="4"/>
      <c r="W50" s="4"/>
      <c r="X50" s="7"/>
      <c r="Y50" s="16"/>
    </row>
    <row r="51" spans="1:25" x14ac:dyDescent="0.25">
      <c r="A51" s="13" t="s">
        <v>125</v>
      </c>
      <c r="B51" s="4"/>
      <c r="C51" s="4"/>
      <c r="D51" s="7"/>
      <c r="E51" s="16"/>
      <c r="F51" s="13" t="s">
        <v>130</v>
      </c>
      <c r="G51" s="4"/>
      <c r="H51" s="4"/>
      <c r="I51" s="7"/>
      <c r="J51" s="16"/>
      <c r="K51" s="13" t="s">
        <v>131</v>
      </c>
      <c r="L51" s="4"/>
      <c r="M51" s="4"/>
      <c r="N51" s="7"/>
      <c r="O51" s="16"/>
      <c r="P51" s="13" t="s">
        <v>132</v>
      </c>
      <c r="Q51" s="4"/>
      <c r="R51" s="4"/>
      <c r="S51" s="7"/>
      <c r="T51" s="23"/>
      <c r="U51" s="13" t="s">
        <v>133</v>
      </c>
      <c r="V51" s="4"/>
      <c r="W51" s="4"/>
      <c r="X51" s="7"/>
      <c r="Y51" s="16"/>
    </row>
    <row r="52" spans="1:25" x14ac:dyDescent="0.25">
      <c r="A52" s="15" t="s">
        <v>113</v>
      </c>
      <c r="B52" s="4"/>
      <c r="C52" s="4"/>
      <c r="D52" s="7"/>
      <c r="E52" s="16">
        <v>50000</v>
      </c>
      <c r="F52" s="15" t="s">
        <v>113</v>
      </c>
      <c r="G52" s="4"/>
      <c r="H52" s="4"/>
      <c r="I52" s="7"/>
      <c r="J52" s="16">
        <v>50000</v>
      </c>
      <c r="K52" s="15" t="s">
        <v>113</v>
      </c>
      <c r="L52" s="4"/>
      <c r="M52" s="4"/>
      <c r="N52" s="7"/>
      <c r="O52" s="16">
        <v>50000</v>
      </c>
      <c r="P52" s="15" t="s">
        <v>113</v>
      </c>
      <c r="Q52" s="4"/>
      <c r="R52" s="4"/>
      <c r="S52" s="7"/>
      <c r="T52" s="16">
        <v>50000</v>
      </c>
      <c r="U52" s="15" t="s">
        <v>113</v>
      </c>
      <c r="V52" s="4"/>
      <c r="W52" s="4"/>
      <c r="X52" s="7"/>
      <c r="Y52" s="16">
        <v>50000</v>
      </c>
    </row>
    <row r="53" spans="1:25" x14ac:dyDescent="0.25">
      <c r="A53" s="15" t="s">
        <v>114</v>
      </c>
      <c r="B53" s="4"/>
      <c r="C53" s="4"/>
      <c r="D53" s="7"/>
      <c r="E53" s="16">
        <v>40000</v>
      </c>
      <c r="F53" s="15" t="s">
        <v>114</v>
      </c>
      <c r="G53" s="4"/>
      <c r="H53" s="4"/>
      <c r="I53" s="7"/>
      <c r="J53" s="16">
        <v>40000</v>
      </c>
      <c r="K53" s="15" t="s">
        <v>114</v>
      </c>
      <c r="L53" s="4"/>
      <c r="M53" s="4"/>
      <c r="N53" s="7"/>
      <c r="O53" s="16">
        <v>40000</v>
      </c>
      <c r="P53" s="15" t="s">
        <v>114</v>
      </c>
      <c r="Q53" s="4"/>
      <c r="R53" s="4"/>
      <c r="S53" s="7"/>
      <c r="T53" s="23">
        <v>40000</v>
      </c>
      <c r="U53" s="15" t="s">
        <v>114</v>
      </c>
      <c r="V53" s="4"/>
      <c r="W53" s="4"/>
      <c r="X53" s="7"/>
      <c r="Y53" s="16">
        <v>40000</v>
      </c>
    </row>
    <row r="54" spans="1:25" x14ac:dyDescent="0.25">
      <c r="A54" s="15"/>
      <c r="B54" s="4"/>
      <c r="C54" s="4"/>
      <c r="D54" s="7"/>
      <c r="E54" s="16"/>
      <c r="F54" s="15"/>
      <c r="G54" s="4"/>
      <c r="H54" s="4"/>
      <c r="I54" s="7"/>
      <c r="J54" s="16"/>
      <c r="K54" s="15"/>
      <c r="L54" s="4"/>
      <c r="M54" s="4"/>
      <c r="N54" s="7"/>
      <c r="O54" s="16"/>
      <c r="P54" s="15"/>
      <c r="Q54" s="4"/>
      <c r="R54" s="4"/>
      <c r="S54" s="7"/>
      <c r="T54" s="23"/>
      <c r="U54" s="15"/>
      <c r="V54" s="4"/>
      <c r="W54" s="4"/>
      <c r="X54" s="7"/>
      <c r="Y54" s="16"/>
    </row>
    <row r="55" spans="1:25" x14ac:dyDescent="0.25">
      <c r="A55" s="13" t="s">
        <v>119</v>
      </c>
      <c r="B55" s="4"/>
      <c r="C55" s="4"/>
      <c r="D55" s="7"/>
      <c r="E55" s="16">
        <f>SUM(E52:E53)</f>
        <v>90000</v>
      </c>
      <c r="F55" s="13" t="s">
        <v>119</v>
      </c>
      <c r="G55" s="4"/>
      <c r="H55" s="4"/>
      <c r="I55" s="7"/>
      <c r="J55" s="16">
        <f>SUM(J52:J53)</f>
        <v>90000</v>
      </c>
      <c r="K55" s="13" t="s">
        <v>119</v>
      </c>
      <c r="L55" s="4"/>
      <c r="M55" s="4"/>
      <c r="N55" s="7"/>
      <c r="O55" s="16">
        <f>SUM(O52:O53)</f>
        <v>90000</v>
      </c>
      <c r="P55" s="13" t="s">
        <v>119</v>
      </c>
      <c r="Q55" s="4"/>
      <c r="R55" s="4"/>
      <c r="S55" s="7"/>
      <c r="T55" s="23">
        <f>SUM(T52:T53)</f>
        <v>90000</v>
      </c>
      <c r="U55" s="13" t="s">
        <v>119</v>
      </c>
      <c r="V55" s="4"/>
      <c r="W55" s="4"/>
      <c r="X55" s="7"/>
      <c r="Y55" s="16">
        <f>SUM(Y52:Y53)</f>
        <v>90000</v>
      </c>
    </row>
    <row r="56" spans="1:25" x14ac:dyDescent="0.25">
      <c r="A56" s="15"/>
      <c r="B56" s="4"/>
      <c r="C56" s="4"/>
      <c r="D56" s="4"/>
      <c r="E56" s="14"/>
      <c r="F56" s="15"/>
      <c r="G56" s="4"/>
      <c r="H56" s="4"/>
      <c r="I56" s="4"/>
      <c r="J56" s="14"/>
      <c r="K56" s="15"/>
      <c r="L56" s="4"/>
      <c r="M56" s="4"/>
      <c r="N56" s="4"/>
      <c r="O56" s="14"/>
      <c r="P56" s="15"/>
      <c r="Q56" s="4"/>
      <c r="R56" s="4"/>
      <c r="S56" s="4"/>
      <c r="T56" s="22"/>
      <c r="U56" s="15"/>
      <c r="V56" s="4"/>
      <c r="W56" s="4"/>
      <c r="X56" s="4"/>
      <c r="Y56" s="14"/>
    </row>
    <row r="57" spans="1:25" ht="15.75" thickBot="1" x14ac:dyDescent="0.3">
      <c r="A57" s="18" t="s">
        <v>117</v>
      </c>
      <c r="B57" s="19"/>
      <c r="C57" s="19"/>
      <c r="D57" s="19"/>
      <c r="E57" s="20">
        <f>SUM(E49,E55)</f>
        <v>90000</v>
      </c>
      <c r="F57" s="18" t="s">
        <v>117</v>
      </c>
      <c r="G57" s="19"/>
      <c r="H57" s="19"/>
      <c r="I57" s="19"/>
      <c r="J57" s="20">
        <f>SUM(J49,J55)</f>
        <v>90000</v>
      </c>
      <c r="K57" s="18" t="s">
        <v>117</v>
      </c>
      <c r="L57" s="19"/>
      <c r="M57" s="19"/>
      <c r="N57" s="19"/>
      <c r="O57" s="20">
        <f>SUM(O49,O55)</f>
        <v>90000</v>
      </c>
      <c r="P57" s="18" t="s">
        <v>117</v>
      </c>
      <c r="Q57" s="19"/>
      <c r="R57" s="19"/>
      <c r="S57" s="19"/>
      <c r="T57" s="25">
        <f>SUM(T49,T55)</f>
        <v>90000</v>
      </c>
      <c r="U57" s="18" t="s">
        <v>117</v>
      </c>
      <c r="V57" s="19"/>
      <c r="W57" s="19"/>
      <c r="X57" s="19"/>
      <c r="Y57" s="20">
        <f>SUM(Y49,Y55)</f>
        <v>90000</v>
      </c>
    </row>
  </sheetData>
  <mergeCells count="5">
    <mergeCell ref="A3:E3"/>
    <mergeCell ref="F3:J3"/>
    <mergeCell ref="K3:O3"/>
    <mergeCell ref="P3:T3"/>
    <mergeCell ref="U3:Y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EA665-7D2D-4727-B45E-8A1C24E06312}">
  <dimension ref="A1:Y87"/>
  <sheetViews>
    <sheetView workbookViewId="0">
      <selection activeCell="A23" sqref="A23"/>
    </sheetView>
  </sheetViews>
  <sheetFormatPr defaultRowHeight="15" x14ac:dyDescent="0.25"/>
  <cols>
    <col min="1" max="1" width="43.28515625" bestFit="1" customWidth="1"/>
    <col min="2" max="2" width="6.140625" bestFit="1" customWidth="1"/>
    <col min="3" max="3" width="4" bestFit="1" customWidth="1"/>
    <col min="4" max="4" width="5.5703125" bestFit="1" customWidth="1"/>
    <col min="5" max="5" width="12.7109375" bestFit="1" customWidth="1"/>
    <col min="6" max="6" width="43.28515625" bestFit="1" customWidth="1"/>
    <col min="7" max="7" width="6.140625" bestFit="1" customWidth="1"/>
    <col min="8" max="8" width="4" bestFit="1" customWidth="1"/>
    <col min="9" max="9" width="5.5703125" bestFit="1" customWidth="1"/>
    <col min="10" max="10" width="12.7109375" bestFit="1" customWidth="1"/>
    <col min="11" max="11" width="43.28515625" bestFit="1" customWidth="1"/>
    <col min="12" max="12" width="6.140625" bestFit="1" customWidth="1"/>
    <col min="13" max="13" width="4" bestFit="1" customWidth="1"/>
    <col min="14" max="14" width="5.5703125" bestFit="1" customWidth="1"/>
    <col min="15" max="15" width="12.7109375" bestFit="1" customWidth="1"/>
    <col min="16" max="16" width="43.28515625" style="26" bestFit="1" customWidth="1"/>
    <col min="17" max="17" width="6.140625" style="26" bestFit="1" customWidth="1"/>
    <col min="18" max="18" width="4" style="26" bestFit="1" customWidth="1"/>
    <col min="19" max="19" width="5.5703125" style="26" bestFit="1" customWidth="1"/>
    <col min="20" max="20" width="12.7109375" style="26" bestFit="1" customWidth="1"/>
    <col min="21" max="21" width="43.28515625" style="26" bestFit="1" customWidth="1"/>
    <col min="22" max="22" width="6.140625" style="26" bestFit="1" customWidth="1"/>
    <col min="23" max="23" width="4" style="26" bestFit="1" customWidth="1"/>
    <col min="24" max="24" width="5.5703125" style="26" bestFit="1" customWidth="1"/>
    <col min="25" max="25" width="12.7109375" style="26" bestFit="1" customWidth="1"/>
  </cols>
  <sheetData>
    <row r="1" spans="1:25" x14ac:dyDescent="0.25">
      <c r="A1" s="1" t="s">
        <v>116</v>
      </c>
    </row>
    <row r="2" spans="1:25" ht="15.75" thickBot="1" x14ac:dyDescent="0.3"/>
    <row r="3" spans="1:25" x14ac:dyDescent="0.25">
      <c r="A3" s="10" t="s">
        <v>107</v>
      </c>
      <c r="B3" s="11"/>
      <c r="C3" s="11"/>
      <c r="D3" s="11"/>
      <c r="E3" s="12"/>
      <c r="F3" s="10" t="s">
        <v>120</v>
      </c>
      <c r="G3" s="11"/>
      <c r="H3" s="11"/>
      <c r="I3" s="11"/>
      <c r="J3" s="12"/>
      <c r="K3" s="10" t="s">
        <v>121</v>
      </c>
      <c r="L3" s="11"/>
      <c r="M3" s="11"/>
      <c r="N3" s="11"/>
      <c r="O3" s="12"/>
      <c r="P3" s="27"/>
      <c r="Q3" s="27"/>
      <c r="R3" s="27"/>
      <c r="S3" s="27"/>
      <c r="T3" s="27"/>
      <c r="U3" s="27"/>
      <c r="V3" s="27"/>
      <c r="W3" s="27"/>
      <c r="X3" s="27"/>
      <c r="Y3" s="27"/>
    </row>
    <row r="4" spans="1:25" x14ac:dyDescent="0.25">
      <c r="A4" s="13" t="s">
        <v>124</v>
      </c>
      <c r="B4" s="4"/>
      <c r="C4" s="4"/>
      <c r="D4" s="4"/>
      <c r="E4" s="14"/>
      <c r="F4" s="13" t="s">
        <v>126</v>
      </c>
      <c r="G4" s="4"/>
      <c r="H4" s="4"/>
      <c r="I4" s="4"/>
      <c r="J4" s="14"/>
      <c r="K4" s="13" t="s">
        <v>127</v>
      </c>
      <c r="L4" s="4"/>
      <c r="M4" s="4"/>
      <c r="N4" s="4"/>
      <c r="O4" s="14"/>
      <c r="P4" s="28"/>
      <c r="U4" s="28"/>
    </row>
    <row r="5" spans="1:25" x14ac:dyDescent="0.25">
      <c r="A5" s="13" t="s">
        <v>108</v>
      </c>
      <c r="B5" s="4" t="s">
        <v>109</v>
      </c>
      <c r="C5" s="4" t="s">
        <v>110</v>
      </c>
      <c r="D5" s="4" t="s">
        <v>111</v>
      </c>
      <c r="E5" s="14" t="s">
        <v>112</v>
      </c>
      <c r="F5" s="13" t="s">
        <v>108</v>
      </c>
      <c r="G5" s="4" t="s">
        <v>109</v>
      </c>
      <c r="H5" s="4" t="s">
        <v>110</v>
      </c>
      <c r="I5" s="4" t="s">
        <v>111</v>
      </c>
      <c r="J5" s="14" t="s">
        <v>112</v>
      </c>
      <c r="K5" s="13" t="s">
        <v>108</v>
      </c>
      <c r="L5" s="4" t="s">
        <v>109</v>
      </c>
      <c r="M5" s="4" t="s">
        <v>110</v>
      </c>
      <c r="N5" s="4" t="s">
        <v>111</v>
      </c>
      <c r="O5" s="14" t="s">
        <v>112</v>
      </c>
      <c r="P5" s="28"/>
      <c r="U5" s="28"/>
    </row>
    <row r="6" spans="1:25" x14ac:dyDescent="0.25">
      <c r="A6" s="15" t="str">
        <f>'Maintenance IDIQ Price'!A6</f>
        <v>Project Manager IV</v>
      </c>
      <c r="B6" s="4"/>
      <c r="C6" s="4">
        <f>B6/1880</f>
        <v>0</v>
      </c>
      <c r="D6" s="7">
        <f>'Maintenance IDIQ Price'!B6</f>
        <v>0</v>
      </c>
      <c r="E6" s="16">
        <f>B6*D6</f>
        <v>0</v>
      </c>
      <c r="F6" s="15" t="str">
        <f>$A6</f>
        <v>Project Manager IV</v>
      </c>
      <c r="G6" s="4"/>
      <c r="H6" s="4">
        <f>G6/1880</f>
        <v>0</v>
      </c>
      <c r="I6" s="7">
        <f>'Maintenance IDIQ Price'!C6</f>
        <v>0</v>
      </c>
      <c r="J6" s="16">
        <f>G6*I6</f>
        <v>0</v>
      </c>
      <c r="K6" s="15" t="str">
        <f>$A6</f>
        <v>Project Manager IV</v>
      </c>
      <c r="L6" s="4"/>
      <c r="M6" s="4">
        <f>L6/1880</f>
        <v>0</v>
      </c>
      <c r="N6" s="7">
        <f>'Maintenance IDIQ Price'!D6</f>
        <v>0</v>
      </c>
      <c r="O6" s="16">
        <f>L6*N6</f>
        <v>0</v>
      </c>
      <c r="S6" s="29"/>
      <c r="T6" s="29"/>
      <c r="X6" s="29"/>
      <c r="Y6" s="29"/>
    </row>
    <row r="7" spans="1:25" x14ac:dyDescent="0.25">
      <c r="A7" s="15" t="str">
        <f>'Maintenance IDIQ Price'!A7</f>
        <v>Project Manager III</v>
      </c>
      <c r="B7" s="4"/>
      <c r="C7" s="4">
        <f t="shared" ref="C7:C70" si="0">B7/1880</f>
        <v>0</v>
      </c>
      <c r="D7" s="7">
        <f>'Maintenance IDIQ Price'!B7</f>
        <v>0</v>
      </c>
      <c r="E7" s="16">
        <f t="shared" ref="E7:E70" si="1">B7*D7</f>
        <v>0</v>
      </c>
      <c r="F7" s="15" t="str">
        <f t="shared" ref="F7:F70" si="2">$A7</f>
        <v>Project Manager III</v>
      </c>
      <c r="G7" s="4"/>
      <c r="H7" s="4">
        <f t="shared" ref="H7:H70" si="3">G7/1880</f>
        <v>0</v>
      </c>
      <c r="I7" s="7">
        <f>'Maintenance IDIQ Price'!C7</f>
        <v>0</v>
      </c>
      <c r="J7" s="16">
        <f t="shared" ref="J7:J70" si="4">G7*I7</f>
        <v>0</v>
      </c>
      <c r="K7" s="15" t="str">
        <f t="shared" ref="K7:K70" si="5">$A7</f>
        <v>Project Manager III</v>
      </c>
      <c r="L7" s="4"/>
      <c r="M7" s="4">
        <f t="shared" ref="M7:M70" si="6">L7/1880</f>
        <v>0</v>
      </c>
      <c r="N7" s="7">
        <f>'Maintenance IDIQ Price'!D7</f>
        <v>0</v>
      </c>
      <c r="O7" s="16">
        <f t="shared" ref="O7:O70" si="7">L7*N7</f>
        <v>0</v>
      </c>
      <c r="S7" s="29"/>
      <c r="T7" s="29"/>
      <c r="X7" s="29"/>
      <c r="Y7" s="29"/>
    </row>
    <row r="8" spans="1:25" x14ac:dyDescent="0.25">
      <c r="A8" s="15" t="str">
        <f>'Maintenance IDIQ Price'!A8</f>
        <v>System Engineer V</v>
      </c>
      <c r="B8" s="4"/>
      <c r="C8" s="4">
        <f t="shared" si="0"/>
        <v>0</v>
      </c>
      <c r="D8" s="7">
        <f>'Maintenance IDIQ Price'!B8</f>
        <v>0</v>
      </c>
      <c r="E8" s="16">
        <f t="shared" si="1"/>
        <v>0</v>
      </c>
      <c r="F8" s="15" t="str">
        <f t="shared" si="2"/>
        <v>System Engineer V</v>
      </c>
      <c r="G8" s="4"/>
      <c r="H8" s="4">
        <f t="shared" si="3"/>
        <v>0</v>
      </c>
      <c r="I8" s="7">
        <f>'Maintenance IDIQ Price'!C8</f>
        <v>0</v>
      </c>
      <c r="J8" s="16">
        <f t="shared" si="4"/>
        <v>0</v>
      </c>
      <c r="K8" s="15" t="str">
        <f t="shared" si="5"/>
        <v>System Engineer V</v>
      </c>
      <c r="L8" s="4"/>
      <c r="M8" s="4">
        <f t="shared" si="6"/>
        <v>0</v>
      </c>
      <c r="N8" s="7">
        <f>'Maintenance IDIQ Price'!D8</f>
        <v>0</v>
      </c>
      <c r="O8" s="16">
        <f t="shared" si="7"/>
        <v>0</v>
      </c>
      <c r="S8" s="29"/>
      <c r="T8" s="29"/>
      <c r="X8" s="29"/>
      <c r="Y8" s="29"/>
    </row>
    <row r="9" spans="1:25" x14ac:dyDescent="0.25">
      <c r="A9" s="15" t="str">
        <f>'Maintenance IDIQ Price'!A9</f>
        <v>System Engineer IV</v>
      </c>
      <c r="B9" s="4"/>
      <c r="C9" s="4">
        <f t="shared" si="0"/>
        <v>0</v>
      </c>
      <c r="D9" s="7">
        <f>'Maintenance IDIQ Price'!B9</f>
        <v>0</v>
      </c>
      <c r="E9" s="16">
        <f t="shared" si="1"/>
        <v>0</v>
      </c>
      <c r="F9" s="15" t="str">
        <f t="shared" si="2"/>
        <v>System Engineer IV</v>
      </c>
      <c r="G9" s="4"/>
      <c r="H9" s="4">
        <f t="shared" si="3"/>
        <v>0</v>
      </c>
      <c r="I9" s="7">
        <f>'Maintenance IDIQ Price'!C9</f>
        <v>0</v>
      </c>
      <c r="J9" s="16">
        <f t="shared" si="4"/>
        <v>0</v>
      </c>
      <c r="K9" s="15" t="str">
        <f t="shared" si="5"/>
        <v>System Engineer IV</v>
      </c>
      <c r="L9" s="4"/>
      <c r="M9" s="4">
        <f t="shared" si="6"/>
        <v>0</v>
      </c>
      <c r="N9" s="7">
        <f>'Maintenance IDIQ Price'!D9</f>
        <v>0</v>
      </c>
      <c r="O9" s="16">
        <f t="shared" si="7"/>
        <v>0</v>
      </c>
      <c r="S9" s="29"/>
      <c r="T9" s="29"/>
      <c r="X9" s="29"/>
      <c r="Y9" s="29"/>
    </row>
    <row r="10" spans="1:25" x14ac:dyDescent="0.25">
      <c r="A10" s="15" t="str">
        <f>'Maintenance IDIQ Price'!A10</f>
        <v>System Engineer III</v>
      </c>
      <c r="B10" s="4"/>
      <c r="C10" s="4">
        <f t="shared" si="0"/>
        <v>0</v>
      </c>
      <c r="D10" s="7">
        <f>'Maintenance IDIQ Price'!B10</f>
        <v>0</v>
      </c>
      <c r="E10" s="16">
        <f t="shared" si="1"/>
        <v>0</v>
      </c>
      <c r="F10" s="15" t="str">
        <f t="shared" si="2"/>
        <v>System Engineer III</v>
      </c>
      <c r="G10" s="4"/>
      <c r="H10" s="4">
        <f t="shared" si="3"/>
        <v>0</v>
      </c>
      <c r="I10" s="7">
        <f>'Maintenance IDIQ Price'!C10</f>
        <v>0</v>
      </c>
      <c r="J10" s="16">
        <f t="shared" si="4"/>
        <v>0</v>
      </c>
      <c r="K10" s="15" t="str">
        <f t="shared" si="5"/>
        <v>System Engineer III</v>
      </c>
      <c r="L10" s="4"/>
      <c r="M10" s="4">
        <f t="shared" si="6"/>
        <v>0</v>
      </c>
      <c r="N10" s="7">
        <f>'Maintenance IDIQ Price'!D10</f>
        <v>0</v>
      </c>
      <c r="O10" s="16">
        <f t="shared" si="7"/>
        <v>0</v>
      </c>
      <c r="S10" s="29"/>
      <c r="T10" s="29"/>
      <c r="X10" s="29"/>
      <c r="Y10" s="29"/>
    </row>
    <row r="11" spans="1:25" x14ac:dyDescent="0.25">
      <c r="A11" s="15" t="str">
        <f>'Maintenance IDIQ Price'!A11</f>
        <v>System Engineer II</v>
      </c>
      <c r="B11" s="4"/>
      <c r="C11" s="4">
        <f t="shared" si="0"/>
        <v>0</v>
      </c>
      <c r="D11" s="7">
        <f>'Maintenance IDIQ Price'!B11</f>
        <v>0</v>
      </c>
      <c r="E11" s="16">
        <f t="shared" si="1"/>
        <v>0</v>
      </c>
      <c r="F11" s="15" t="str">
        <f t="shared" si="2"/>
        <v>System Engineer II</v>
      </c>
      <c r="G11" s="4"/>
      <c r="H11" s="4">
        <f t="shared" si="3"/>
        <v>0</v>
      </c>
      <c r="I11" s="7">
        <f>'Maintenance IDIQ Price'!C11</f>
        <v>0</v>
      </c>
      <c r="J11" s="16">
        <f t="shared" si="4"/>
        <v>0</v>
      </c>
      <c r="K11" s="15" t="str">
        <f t="shared" si="5"/>
        <v>System Engineer II</v>
      </c>
      <c r="L11" s="4"/>
      <c r="M11" s="4">
        <f t="shared" si="6"/>
        <v>0</v>
      </c>
      <c r="N11" s="7">
        <f>'Maintenance IDIQ Price'!D11</f>
        <v>0</v>
      </c>
      <c r="O11" s="16">
        <f t="shared" si="7"/>
        <v>0</v>
      </c>
      <c r="S11" s="29"/>
      <c r="T11" s="29"/>
      <c r="X11" s="29"/>
      <c r="Y11" s="29"/>
    </row>
    <row r="12" spans="1:25" x14ac:dyDescent="0.25">
      <c r="A12" s="15" t="str">
        <f>'Maintenance IDIQ Price'!A12</f>
        <v>System Engineer I</v>
      </c>
      <c r="B12" s="4"/>
      <c r="C12" s="4">
        <f t="shared" si="0"/>
        <v>0</v>
      </c>
      <c r="D12" s="7">
        <f>'Maintenance IDIQ Price'!B12</f>
        <v>0</v>
      </c>
      <c r="E12" s="16">
        <f t="shared" si="1"/>
        <v>0</v>
      </c>
      <c r="F12" s="15" t="str">
        <f t="shared" si="2"/>
        <v>System Engineer I</v>
      </c>
      <c r="G12" s="4"/>
      <c r="H12" s="4">
        <f t="shared" si="3"/>
        <v>0</v>
      </c>
      <c r="I12" s="7">
        <f>'Maintenance IDIQ Price'!C12</f>
        <v>0</v>
      </c>
      <c r="J12" s="16">
        <f t="shared" si="4"/>
        <v>0</v>
      </c>
      <c r="K12" s="15" t="str">
        <f t="shared" si="5"/>
        <v>System Engineer I</v>
      </c>
      <c r="L12" s="4"/>
      <c r="M12" s="4">
        <f t="shared" si="6"/>
        <v>0</v>
      </c>
      <c r="N12" s="7">
        <f>'Maintenance IDIQ Price'!D12</f>
        <v>0</v>
      </c>
      <c r="O12" s="16">
        <f t="shared" si="7"/>
        <v>0</v>
      </c>
      <c r="S12" s="29"/>
      <c r="T12" s="29"/>
      <c r="X12" s="29"/>
      <c r="Y12" s="29"/>
    </row>
    <row r="13" spans="1:25" x14ac:dyDescent="0.25">
      <c r="A13" s="15" t="str">
        <f>'Maintenance IDIQ Price'!A13</f>
        <v>Network Engineer V</v>
      </c>
      <c r="B13" s="4"/>
      <c r="C13" s="4">
        <f t="shared" si="0"/>
        <v>0</v>
      </c>
      <c r="D13" s="7">
        <f>'Maintenance IDIQ Price'!B13</f>
        <v>0</v>
      </c>
      <c r="E13" s="16">
        <f t="shared" si="1"/>
        <v>0</v>
      </c>
      <c r="F13" s="15" t="str">
        <f t="shared" si="2"/>
        <v>Network Engineer V</v>
      </c>
      <c r="G13" s="4"/>
      <c r="H13" s="4">
        <f t="shared" si="3"/>
        <v>0</v>
      </c>
      <c r="I13" s="7">
        <f>'Maintenance IDIQ Price'!C13</f>
        <v>0</v>
      </c>
      <c r="J13" s="16">
        <f t="shared" si="4"/>
        <v>0</v>
      </c>
      <c r="K13" s="15" t="str">
        <f t="shared" si="5"/>
        <v>Network Engineer V</v>
      </c>
      <c r="L13" s="4"/>
      <c r="M13" s="4">
        <f t="shared" si="6"/>
        <v>0</v>
      </c>
      <c r="N13" s="7">
        <f>'Maintenance IDIQ Price'!D13</f>
        <v>0</v>
      </c>
      <c r="O13" s="16">
        <f t="shared" si="7"/>
        <v>0</v>
      </c>
      <c r="S13" s="29"/>
      <c r="T13" s="29"/>
      <c r="X13" s="29"/>
      <c r="Y13" s="29"/>
    </row>
    <row r="14" spans="1:25" x14ac:dyDescent="0.25">
      <c r="A14" s="15" t="str">
        <f>'Maintenance IDIQ Price'!A14</f>
        <v>Network Engineer IV</v>
      </c>
      <c r="B14" s="4"/>
      <c r="C14" s="4">
        <f t="shared" si="0"/>
        <v>0</v>
      </c>
      <c r="D14" s="7">
        <f>'Maintenance IDIQ Price'!B14</f>
        <v>0</v>
      </c>
      <c r="E14" s="16">
        <f t="shared" si="1"/>
        <v>0</v>
      </c>
      <c r="F14" s="15" t="str">
        <f t="shared" si="2"/>
        <v>Network Engineer IV</v>
      </c>
      <c r="G14" s="4"/>
      <c r="H14" s="4">
        <f t="shared" si="3"/>
        <v>0</v>
      </c>
      <c r="I14" s="7">
        <f>'Maintenance IDIQ Price'!C14</f>
        <v>0</v>
      </c>
      <c r="J14" s="16">
        <f t="shared" si="4"/>
        <v>0</v>
      </c>
      <c r="K14" s="15" t="str">
        <f t="shared" si="5"/>
        <v>Network Engineer IV</v>
      </c>
      <c r="L14" s="4"/>
      <c r="M14" s="4">
        <f t="shared" si="6"/>
        <v>0</v>
      </c>
      <c r="N14" s="7">
        <f>'Maintenance IDIQ Price'!D14</f>
        <v>0</v>
      </c>
      <c r="O14" s="16">
        <f t="shared" si="7"/>
        <v>0</v>
      </c>
      <c r="S14" s="29"/>
      <c r="T14" s="29"/>
      <c r="X14" s="29"/>
      <c r="Y14" s="29"/>
    </row>
    <row r="15" spans="1:25" x14ac:dyDescent="0.25">
      <c r="A15" s="15" t="str">
        <f>'Maintenance IDIQ Price'!A15</f>
        <v>Network Engineer III</v>
      </c>
      <c r="B15" s="4"/>
      <c r="C15" s="4">
        <f t="shared" si="0"/>
        <v>0</v>
      </c>
      <c r="D15" s="7">
        <f>'Maintenance IDIQ Price'!B15</f>
        <v>0</v>
      </c>
      <c r="E15" s="16">
        <f t="shared" si="1"/>
        <v>0</v>
      </c>
      <c r="F15" s="15" t="str">
        <f t="shared" si="2"/>
        <v>Network Engineer III</v>
      </c>
      <c r="G15" s="4"/>
      <c r="H15" s="4">
        <f t="shared" si="3"/>
        <v>0</v>
      </c>
      <c r="I15" s="7">
        <f>'Maintenance IDIQ Price'!C15</f>
        <v>0</v>
      </c>
      <c r="J15" s="16">
        <f t="shared" si="4"/>
        <v>0</v>
      </c>
      <c r="K15" s="15" t="str">
        <f t="shared" si="5"/>
        <v>Network Engineer III</v>
      </c>
      <c r="L15" s="4"/>
      <c r="M15" s="4">
        <f t="shared" si="6"/>
        <v>0</v>
      </c>
      <c r="N15" s="7">
        <f>'Maintenance IDIQ Price'!D15</f>
        <v>0</v>
      </c>
      <c r="O15" s="16">
        <f t="shared" si="7"/>
        <v>0</v>
      </c>
      <c r="S15" s="29"/>
      <c r="T15" s="29"/>
      <c r="X15" s="29"/>
      <c r="Y15" s="29"/>
    </row>
    <row r="16" spans="1:25" x14ac:dyDescent="0.25">
      <c r="A16" s="15" t="str">
        <f>'Maintenance IDIQ Price'!A16</f>
        <v>Network Engineer II</v>
      </c>
      <c r="B16" s="4"/>
      <c r="C16" s="4">
        <f t="shared" si="0"/>
        <v>0</v>
      </c>
      <c r="D16" s="7">
        <f>'Maintenance IDIQ Price'!B16</f>
        <v>0</v>
      </c>
      <c r="E16" s="16">
        <f t="shared" si="1"/>
        <v>0</v>
      </c>
      <c r="F16" s="15" t="str">
        <f t="shared" si="2"/>
        <v>Network Engineer II</v>
      </c>
      <c r="G16" s="4"/>
      <c r="H16" s="4">
        <f t="shared" si="3"/>
        <v>0</v>
      </c>
      <c r="I16" s="7">
        <f>'Maintenance IDIQ Price'!C16</f>
        <v>0</v>
      </c>
      <c r="J16" s="16">
        <f t="shared" si="4"/>
        <v>0</v>
      </c>
      <c r="K16" s="15" t="str">
        <f t="shared" si="5"/>
        <v>Network Engineer II</v>
      </c>
      <c r="L16" s="4"/>
      <c r="M16" s="4">
        <f t="shared" si="6"/>
        <v>0</v>
      </c>
      <c r="N16" s="7">
        <f>'Maintenance IDIQ Price'!D16</f>
        <v>0</v>
      </c>
      <c r="O16" s="16">
        <f t="shared" si="7"/>
        <v>0</v>
      </c>
      <c r="S16" s="29"/>
      <c r="T16" s="29"/>
      <c r="X16" s="29"/>
      <c r="Y16" s="29"/>
    </row>
    <row r="17" spans="1:25" x14ac:dyDescent="0.25">
      <c r="A17" s="15" t="str">
        <f>'Maintenance IDIQ Price'!A17</f>
        <v>Network Engineer I</v>
      </c>
      <c r="B17" s="4"/>
      <c r="C17" s="4">
        <f t="shared" si="0"/>
        <v>0</v>
      </c>
      <c r="D17" s="7">
        <f>'Maintenance IDIQ Price'!B17</f>
        <v>0</v>
      </c>
      <c r="E17" s="16">
        <f t="shared" si="1"/>
        <v>0</v>
      </c>
      <c r="F17" s="15" t="str">
        <f t="shared" si="2"/>
        <v>Network Engineer I</v>
      </c>
      <c r="G17" s="4"/>
      <c r="H17" s="4">
        <f t="shared" si="3"/>
        <v>0</v>
      </c>
      <c r="I17" s="7">
        <f>'Maintenance IDIQ Price'!C17</f>
        <v>0</v>
      </c>
      <c r="J17" s="16">
        <f t="shared" si="4"/>
        <v>0</v>
      </c>
      <c r="K17" s="15" t="str">
        <f t="shared" si="5"/>
        <v>Network Engineer I</v>
      </c>
      <c r="L17" s="4"/>
      <c r="M17" s="4">
        <f t="shared" si="6"/>
        <v>0</v>
      </c>
      <c r="N17" s="7">
        <f>'Maintenance IDIQ Price'!D17</f>
        <v>0</v>
      </c>
      <c r="O17" s="16">
        <f t="shared" si="7"/>
        <v>0</v>
      </c>
      <c r="S17" s="29"/>
      <c r="T17" s="29"/>
      <c r="X17" s="29"/>
      <c r="Y17" s="29"/>
    </row>
    <row r="18" spans="1:25" x14ac:dyDescent="0.25">
      <c r="A18" s="15" t="str">
        <f>'Maintenance IDIQ Price'!A18</f>
        <v>Hardware Engineer V</v>
      </c>
      <c r="B18" s="4"/>
      <c r="C18" s="4">
        <f t="shared" si="0"/>
        <v>0</v>
      </c>
      <c r="D18" s="7">
        <f>'Maintenance IDIQ Price'!B18</f>
        <v>0</v>
      </c>
      <c r="E18" s="16">
        <f t="shared" si="1"/>
        <v>0</v>
      </c>
      <c r="F18" s="15" t="str">
        <f t="shared" si="2"/>
        <v>Hardware Engineer V</v>
      </c>
      <c r="G18" s="4"/>
      <c r="H18" s="4">
        <f t="shared" si="3"/>
        <v>0</v>
      </c>
      <c r="I18" s="7">
        <f>'Maintenance IDIQ Price'!C18</f>
        <v>0</v>
      </c>
      <c r="J18" s="16">
        <f t="shared" si="4"/>
        <v>0</v>
      </c>
      <c r="K18" s="15" t="str">
        <f t="shared" si="5"/>
        <v>Hardware Engineer V</v>
      </c>
      <c r="L18" s="4"/>
      <c r="M18" s="4">
        <f t="shared" si="6"/>
        <v>0</v>
      </c>
      <c r="N18" s="7">
        <f>'Maintenance IDIQ Price'!D18</f>
        <v>0</v>
      </c>
      <c r="O18" s="16">
        <f t="shared" si="7"/>
        <v>0</v>
      </c>
      <c r="S18" s="29"/>
      <c r="T18" s="29"/>
      <c r="X18" s="29"/>
      <c r="Y18" s="29"/>
    </row>
    <row r="19" spans="1:25" x14ac:dyDescent="0.25">
      <c r="A19" s="15" t="str">
        <f>'Maintenance IDIQ Price'!A19</f>
        <v>Hardware Engineer IV</v>
      </c>
      <c r="B19" s="4"/>
      <c r="C19" s="4">
        <f t="shared" si="0"/>
        <v>0</v>
      </c>
      <c r="D19" s="7">
        <f>'Maintenance IDIQ Price'!B19</f>
        <v>0</v>
      </c>
      <c r="E19" s="16">
        <f t="shared" si="1"/>
        <v>0</v>
      </c>
      <c r="F19" s="15" t="str">
        <f t="shared" si="2"/>
        <v>Hardware Engineer IV</v>
      </c>
      <c r="G19" s="4"/>
      <c r="H19" s="4">
        <f t="shared" si="3"/>
        <v>0</v>
      </c>
      <c r="I19" s="7">
        <f>'Maintenance IDIQ Price'!C19</f>
        <v>0</v>
      </c>
      <c r="J19" s="16">
        <f t="shared" si="4"/>
        <v>0</v>
      </c>
      <c r="K19" s="15" t="str">
        <f t="shared" si="5"/>
        <v>Hardware Engineer IV</v>
      </c>
      <c r="L19" s="4"/>
      <c r="M19" s="4">
        <f t="shared" si="6"/>
        <v>0</v>
      </c>
      <c r="N19" s="7">
        <f>'Maintenance IDIQ Price'!D19</f>
        <v>0</v>
      </c>
      <c r="O19" s="16">
        <f t="shared" si="7"/>
        <v>0</v>
      </c>
      <c r="S19" s="29"/>
      <c r="T19" s="29"/>
      <c r="X19" s="29"/>
      <c r="Y19" s="29"/>
    </row>
    <row r="20" spans="1:25" x14ac:dyDescent="0.25">
      <c r="A20" s="15" t="str">
        <f>'Maintenance IDIQ Price'!A20</f>
        <v>Hardware Engineer III</v>
      </c>
      <c r="B20" s="4"/>
      <c r="C20" s="4">
        <f t="shared" si="0"/>
        <v>0</v>
      </c>
      <c r="D20" s="7">
        <f>'Maintenance IDIQ Price'!B20</f>
        <v>0</v>
      </c>
      <c r="E20" s="16">
        <f t="shared" si="1"/>
        <v>0</v>
      </c>
      <c r="F20" s="15" t="str">
        <f t="shared" si="2"/>
        <v>Hardware Engineer III</v>
      </c>
      <c r="G20" s="4"/>
      <c r="H20" s="4">
        <f t="shared" si="3"/>
        <v>0</v>
      </c>
      <c r="I20" s="7">
        <f>'Maintenance IDIQ Price'!C20</f>
        <v>0</v>
      </c>
      <c r="J20" s="16">
        <f t="shared" si="4"/>
        <v>0</v>
      </c>
      <c r="K20" s="15" t="str">
        <f t="shared" si="5"/>
        <v>Hardware Engineer III</v>
      </c>
      <c r="L20" s="4"/>
      <c r="M20" s="4">
        <f t="shared" si="6"/>
        <v>0</v>
      </c>
      <c r="N20" s="7">
        <f>'Maintenance IDIQ Price'!D20</f>
        <v>0</v>
      </c>
      <c r="O20" s="16">
        <f t="shared" si="7"/>
        <v>0</v>
      </c>
      <c r="S20" s="29"/>
      <c r="T20" s="29"/>
      <c r="X20" s="29"/>
      <c r="Y20" s="29"/>
    </row>
    <row r="21" spans="1:25" x14ac:dyDescent="0.25">
      <c r="A21" s="15" t="str">
        <f>'Maintenance IDIQ Price'!A21</f>
        <v>Hardware Engineer II</v>
      </c>
      <c r="B21" s="4"/>
      <c r="C21" s="4">
        <f t="shared" si="0"/>
        <v>0</v>
      </c>
      <c r="D21" s="7">
        <f>'Maintenance IDIQ Price'!B21</f>
        <v>0</v>
      </c>
      <c r="E21" s="16">
        <f t="shared" si="1"/>
        <v>0</v>
      </c>
      <c r="F21" s="15" t="str">
        <f t="shared" si="2"/>
        <v>Hardware Engineer II</v>
      </c>
      <c r="G21" s="4"/>
      <c r="H21" s="4">
        <f t="shared" si="3"/>
        <v>0</v>
      </c>
      <c r="I21" s="7">
        <f>'Maintenance IDIQ Price'!C21</f>
        <v>0</v>
      </c>
      <c r="J21" s="16">
        <f t="shared" si="4"/>
        <v>0</v>
      </c>
      <c r="K21" s="15" t="str">
        <f t="shared" si="5"/>
        <v>Hardware Engineer II</v>
      </c>
      <c r="L21" s="4"/>
      <c r="M21" s="4">
        <f t="shared" si="6"/>
        <v>0</v>
      </c>
      <c r="N21" s="7">
        <f>'Maintenance IDIQ Price'!D21</f>
        <v>0</v>
      </c>
      <c r="O21" s="16">
        <f t="shared" si="7"/>
        <v>0</v>
      </c>
      <c r="S21" s="29"/>
      <c r="T21" s="29"/>
      <c r="X21" s="29"/>
      <c r="Y21" s="29"/>
    </row>
    <row r="22" spans="1:25" x14ac:dyDescent="0.25">
      <c r="A22" s="15" t="str">
        <f>'Maintenance IDIQ Price'!A22</f>
        <v>Hardware Engineer I</v>
      </c>
      <c r="B22" s="4"/>
      <c r="C22" s="4">
        <f t="shared" si="0"/>
        <v>0</v>
      </c>
      <c r="D22" s="7">
        <f>'Maintenance IDIQ Price'!B22</f>
        <v>0</v>
      </c>
      <c r="E22" s="16">
        <f t="shared" si="1"/>
        <v>0</v>
      </c>
      <c r="F22" s="15" t="str">
        <f t="shared" si="2"/>
        <v>Hardware Engineer I</v>
      </c>
      <c r="G22" s="4"/>
      <c r="H22" s="4">
        <f t="shared" si="3"/>
        <v>0</v>
      </c>
      <c r="I22" s="7">
        <f>'Maintenance IDIQ Price'!C22</f>
        <v>0</v>
      </c>
      <c r="J22" s="16">
        <f t="shared" si="4"/>
        <v>0</v>
      </c>
      <c r="K22" s="15" t="str">
        <f t="shared" si="5"/>
        <v>Hardware Engineer I</v>
      </c>
      <c r="L22" s="4"/>
      <c r="M22" s="4">
        <f t="shared" si="6"/>
        <v>0</v>
      </c>
      <c r="N22" s="7">
        <f>'Maintenance IDIQ Price'!D22</f>
        <v>0</v>
      </c>
      <c r="O22" s="16">
        <f t="shared" si="7"/>
        <v>0</v>
      </c>
      <c r="S22" s="29"/>
      <c r="T22" s="29"/>
      <c r="X22" s="29"/>
      <c r="Y22" s="29"/>
    </row>
    <row r="23" spans="1:25" x14ac:dyDescent="0.25">
      <c r="A23" s="15" t="str">
        <f>'Maintenance IDIQ Price'!A23</f>
        <v>Software Engineer V</v>
      </c>
      <c r="B23" s="4"/>
      <c r="C23" s="4">
        <f t="shared" si="0"/>
        <v>0</v>
      </c>
      <c r="D23" s="7">
        <f>'Maintenance IDIQ Price'!B23</f>
        <v>0</v>
      </c>
      <c r="E23" s="16">
        <f t="shared" si="1"/>
        <v>0</v>
      </c>
      <c r="F23" s="15" t="str">
        <f t="shared" si="2"/>
        <v>Software Engineer V</v>
      </c>
      <c r="G23" s="4"/>
      <c r="H23" s="4">
        <f t="shared" si="3"/>
        <v>0</v>
      </c>
      <c r="I23" s="7">
        <f>'Maintenance IDIQ Price'!C23</f>
        <v>0</v>
      </c>
      <c r="J23" s="16">
        <f t="shared" si="4"/>
        <v>0</v>
      </c>
      <c r="K23" s="15" t="str">
        <f t="shared" si="5"/>
        <v>Software Engineer V</v>
      </c>
      <c r="L23" s="4"/>
      <c r="M23" s="4">
        <f t="shared" si="6"/>
        <v>0</v>
      </c>
      <c r="N23" s="7">
        <f>'Maintenance IDIQ Price'!D23</f>
        <v>0</v>
      </c>
      <c r="O23" s="16">
        <f t="shared" si="7"/>
        <v>0</v>
      </c>
      <c r="S23" s="29"/>
      <c r="T23" s="29"/>
      <c r="X23" s="29"/>
      <c r="Y23" s="29"/>
    </row>
    <row r="24" spans="1:25" x14ac:dyDescent="0.25">
      <c r="A24" s="15" t="str">
        <f>'Maintenance IDIQ Price'!A24</f>
        <v>Software Engineer IV</v>
      </c>
      <c r="B24" s="4"/>
      <c r="C24" s="4">
        <f t="shared" si="0"/>
        <v>0</v>
      </c>
      <c r="D24" s="7">
        <f>'Maintenance IDIQ Price'!B24</f>
        <v>0</v>
      </c>
      <c r="E24" s="16">
        <f t="shared" si="1"/>
        <v>0</v>
      </c>
      <c r="F24" s="15" t="str">
        <f t="shared" si="2"/>
        <v>Software Engineer IV</v>
      </c>
      <c r="G24" s="4"/>
      <c r="H24" s="4">
        <f t="shared" si="3"/>
        <v>0</v>
      </c>
      <c r="I24" s="7">
        <f>'Maintenance IDIQ Price'!C24</f>
        <v>0</v>
      </c>
      <c r="J24" s="16">
        <f t="shared" si="4"/>
        <v>0</v>
      </c>
      <c r="K24" s="15" t="str">
        <f t="shared" si="5"/>
        <v>Software Engineer IV</v>
      </c>
      <c r="L24" s="4"/>
      <c r="M24" s="4">
        <f t="shared" si="6"/>
        <v>0</v>
      </c>
      <c r="N24" s="7">
        <f>'Maintenance IDIQ Price'!D24</f>
        <v>0</v>
      </c>
      <c r="O24" s="16">
        <f t="shared" si="7"/>
        <v>0</v>
      </c>
      <c r="S24" s="29"/>
      <c r="T24" s="29"/>
      <c r="X24" s="29"/>
      <c r="Y24" s="29"/>
    </row>
    <row r="25" spans="1:25" x14ac:dyDescent="0.25">
      <c r="A25" s="15" t="str">
        <f>'Maintenance IDIQ Price'!A25</f>
        <v>Software Engineer III</v>
      </c>
      <c r="B25" s="4"/>
      <c r="C25" s="4">
        <f t="shared" si="0"/>
        <v>0</v>
      </c>
      <c r="D25" s="7">
        <f>'Maintenance IDIQ Price'!B25</f>
        <v>0</v>
      </c>
      <c r="E25" s="16">
        <f t="shared" si="1"/>
        <v>0</v>
      </c>
      <c r="F25" s="15" t="str">
        <f t="shared" si="2"/>
        <v>Software Engineer III</v>
      </c>
      <c r="G25" s="4"/>
      <c r="H25" s="4">
        <f t="shared" si="3"/>
        <v>0</v>
      </c>
      <c r="I25" s="7">
        <f>'Maintenance IDIQ Price'!C25</f>
        <v>0</v>
      </c>
      <c r="J25" s="16">
        <f t="shared" si="4"/>
        <v>0</v>
      </c>
      <c r="K25" s="15" t="str">
        <f t="shared" si="5"/>
        <v>Software Engineer III</v>
      </c>
      <c r="L25" s="4"/>
      <c r="M25" s="4">
        <f t="shared" si="6"/>
        <v>0</v>
      </c>
      <c r="N25" s="7">
        <f>'Maintenance IDIQ Price'!D25</f>
        <v>0</v>
      </c>
      <c r="O25" s="16">
        <f t="shared" si="7"/>
        <v>0</v>
      </c>
      <c r="S25" s="29"/>
      <c r="T25" s="29"/>
      <c r="X25" s="29"/>
      <c r="Y25" s="29"/>
    </row>
    <row r="26" spans="1:25" x14ac:dyDescent="0.25">
      <c r="A26" s="15" t="str">
        <f>'Maintenance IDIQ Price'!A26</f>
        <v>Software Engineer II</v>
      </c>
      <c r="B26" s="4"/>
      <c r="C26" s="4">
        <f t="shared" si="0"/>
        <v>0</v>
      </c>
      <c r="D26" s="7">
        <f>'Maintenance IDIQ Price'!B26</f>
        <v>0</v>
      </c>
      <c r="E26" s="16">
        <f t="shared" si="1"/>
        <v>0</v>
      </c>
      <c r="F26" s="15" t="str">
        <f t="shared" si="2"/>
        <v>Software Engineer II</v>
      </c>
      <c r="G26" s="4"/>
      <c r="H26" s="4">
        <f t="shared" si="3"/>
        <v>0</v>
      </c>
      <c r="I26" s="7">
        <f>'Maintenance IDIQ Price'!C26</f>
        <v>0</v>
      </c>
      <c r="J26" s="16">
        <f t="shared" si="4"/>
        <v>0</v>
      </c>
      <c r="K26" s="15" t="str">
        <f t="shared" si="5"/>
        <v>Software Engineer II</v>
      </c>
      <c r="L26" s="4"/>
      <c r="M26" s="4">
        <f t="shared" si="6"/>
        <v>0</v>
      </c>
      <c r="N26" s="7">
        <f>'Maintenance IDIQ Price'!D26</f>
        <v>0</v>
      </c>
      <c r="O26" s="16">
        <f t="shared" si="7"/>
        <v>0</v>
      </c>
      <c r="S26" s="29"/>
      <c r="T26" s="29"/>
      <c r="X26" s="29"/>
      <c r="Y26" s="29"/>
    </row>
    <row r="27" spans="1:25" x14ac:dyDescent="0.25">
      <c r="A27" s="15" t="str">
        <f>'Maintenance IDIQ Price'!A27</f>
        <v>Software Engineer I</v>
      </c>
      <c r="B27" s="4"/>
      <c r="C27" s="4">
        <f t="shared" si="0"/>
        <v>0</v>
      </c>
      <c r="D27" s="7">
        <f>'Maintenance IDIQ Price'!B27</f>
        <v>0</v>
      </c>
      <c r="E27" s="16">
        <f t="shared" si="1"/>
        <v>0</v>
      </c>
      <c r="F27" s="15" t="str">
        <f t="shared" si="2"/>
        <v>Software Engineer I</v>
      </c>
      <c r="G27" s="4"/>
      <c r="H27" s="4">
        <f t="shared" si="3"/>
        <v>0</v>
      </c>
      <c r="I27" s="7">
        <f>'Maintenance IDIQ Price'!C27</f>
        <v>0</v>
      </c>
      <c r="J27" s="16">
        <f t="shared" si="4"/>
        <v>0</v>
      </c>
      <c r="K27" s="15" t="str">
        <f t="shared" si="5"/>
        <v>Software Engineer I</v>
      </c>
      <c r="L27" s="4"/>
      <c r="M27" s="4">
        <f t="shared" si="6"/>
        <v>0</v>
      </c>
      <c r="N27" s="7">
        <f>'Maintenance IDIQ Price'!D27</f>
        <v>0</v>
      </c>
      <c r="O27" s="16">
        <f t="shared" si="7"/>
        <v>0</v>
      </c>
      <c r="S27" s="29"/>
      <c r="T27" s="29"/>
      <c r="X27" s="29"/>
      <c r="Y27" s="29"/>
    </row>
    <row r="28" spans="1:25" x14ac:dyDescent="0.25">
      <c r="A28" s="15" t="str">
        <f>'Maintenance IDIQ Price'!A28</f>
        <v>Antenna/RF Engineer V</v>
      </c>
      <c r="B28" s="4"/>
      <c r="C28" s="4">
        <f t="shared" si="0"/>
        <v>0</v>
      </c>
      <c r="D28" s="7">
        <f>'Maintenance IDIQ Price'!B28</f>
        <v>0</v>
      </c>
      <c r="E28" s="16">
        <f t="shared" si="1"/>
        <v>0</v>
      </c>
      <c r="F28" s="15" t="str">
        <f t="shared" si="2"/>
        <v>Antenna/RF Engineer V</v>
      </c>
      <c r="G28" s="4"/>
      <c r="H28" s="4">
        <f t="shared" si="3"/>
        <v>0</v>
      </c>
      <c r="I28" s="7">
        <f>'Maintenance IDIQ Price'!C28</f>
        <v>0</v>
      </c>
      <c r="J28" s="16">
        <f t="shared" si="4"/>
        <v>0</v>
      </c>
      <c r="K28" s="15" t="str">
        <f t="shared" si="5"/>
        <v>Antenna/RF Engineer V</v>
      </c>
      <c r="L28" s="4"/>
      <c r="M28" s="4">
        <f t="shared" si="6"/>
        <v>0</v>
      </c>
      <c r="N28" s="7">
        <f>'Maintenance IDIQ Price'!D28</f>
        <v>0</v>
      </c>
      <c r="O28" s="16">
        <f t="shared" si="7"/>
        <v>0</v>
      </c>
      <c r="S28" s="29"/>
      <c r="T28" s="29"/>
      <c r="X28" s="29"/>
      <c r="Y28" s="29"/>
    </row>
    <row r="29" spans="1:25" x14ac:dyDescent="0.25">
      <c r="A29" s="15" t="str">
        <f>'Maintenance IDIQ Price'!A29</f>
        <v>Antenna/RF Engineer Iv</v>
      </c>
      <c r="B29" s="4"/>
      <c r="C29" s="4">
        <f t="shared" si="0"/>
        <v>0</v>
      </c>
      <c r="D29" s="7">
        <f>'Maintenance IDIQ Price'!B29</f>
        <v>0</v>
      </c>
      <c r="E29" s="16">
        <f t="shared" si="1"/>
        <v>0</v>
      </c>
      <c r="F29" s="15" t="str">
        <f t="shared" si="2"/>
        <v>Antenna/RF Engineer Iv</v>
      </c>
      <c r="G29" s="4"/>
      <c r="H29" s="4">
        <f t="shared" si="3"/>
        <v>0</v>
      </c>
      <c r="I29" s="7">
        <f>'Maintenance IDIQ Price'!C29</f>
        <v>0</v>
      </c>
      <c r="J29" s="16">
        <f t="shared" si="4"/>
        <v>0</v>
      </c>
      <c r="K29" s="15" t="str">
        <f t="shared" si="5"/>
        <v>Antenna/RF Engineer Iv</v>
      </c>
      <c r="L29" s="4"/>
      <c r="M29" s="4">
        <f t="shared" si="6"/>
        <v>0</v>
      </c>
      <c r="N29" s="7">
        <f>'Maintenance IDIQ Price'!D29</f>
        <v>0</v>
      </c>
      <c r="O29" s="16">
        <f t="shared" si="7"/>
        <v>0</v>
      </c>
      <c r="S29" s="29"/>
      <c r="T29" s="29"/>
      <c r="X29" s="29"/>
      <c r="Y29" s="29"/>
    </row>
    <row r="30" spans="1:25" x14ac:dyDescent="0.25">
      <c r="A30" s="15" t="str">
        <f>'Maintenance IDIQ Price'!A30</f>
        <v>Antenna/RF Engineer III</v>
      </c>
      <c r="B30" s="4"/>
      <c r="C30" s="4">
        <f t="shared" si="0"/>
        <v>0</v>
      </c>
      <c r="D30" s="7">
        <f>'Maintenance IDIQ Price'!B30</f>
        <v>0</v>
      </c>
      <c r="E30" s="16">
        <f t="shared" si="1"/>
        <v>0</v>
      </c>
      <c r="F30" s="15" t="str">
        <f t="shared" si="2"/>
        <v>Antenna/RF Engineer III</v>
      </c>
      <c r="G30" s="4"/>
      <c r="H30" s="4">
        <f t="shared" si="3"/>
        <v>0</v>
      </c>
      <c r="I30" s="7">
        <f>'Maintenance IDIQ Price'!C30</f>
        <v>0</v>
      </c>
      <c r="J30" s="16">
        <f t="shared" si="4"/>
        <v>0</v>
      </c>
      <c r="K30" s="15" t="str">
        <f t="shared" si="5"/>
        <v>Antenna/RF Engineer III</v>
      </c>
      <c r="L30" s="4"/>
      <c r="M30" s="4">
        <f t="shared" si="6"/>
        <v>0</v>
      </c>
      <c r="N30" s="7">
        <f>'Maintenance IDIQ Price'!D30</f>
        <v>0</v>
      </c>
      <c r="O30" s="16">
        <f t="shared" si="7"/>
        <v>0</v>
      </c>
      <c r="S30" s="29"/>
      <c r="T30" s="29"/>
      <c r="X30" s="29"/>
      <c r="Y30" s="29"/>
    </row>
    <row r="31" spans="1:25" x14ac:dyDescent="0.25">
      <c r="A31" s="15" t="str">
        <f>'Maintenance IDIQ Price'!A31</f>
        <v>Antenna/RF Engineer II</v>
      </c>
      <c r="B31" s="4"/>
      <c r="C31" s="4">
        <f t="shared" si="0"/>
        <v>0</v>
      </c>
      <c r="D31" s="7">
        <f>'Maintenance IDIQ Price'!B31</f>
        <v>0</v>
      </c>
      <c r="E31" s="16">
        <f t="shared" si="1"/>
        <v>0</v>
      </c>
      <c r="F31" s="15" t="str">
        <f t="shared" si="2"/>
        <v>Antenna/RF Engineer II</v>
      </c>
      <c r="G31" s="4"/>
      <c r="H31" s="4">
        <f t="shared" si="3"/>
        <v>0</v>
      </c>
      <c r="I31" s="7">
        <f>'Maintenance IDIQ Price'!C31</f>
        <v>0</v>
      </c>
      <c r="J31" s="16">
        <f t="shared" si="4"/>
        <v>0</v>
      </c>
      <c r="K31" s="15" t="str">
        <f t="shared" si="5"/>
        <v>Antenna/RF Engineer II</v>
      </c>
      <c r="L31" s="4"/>
      <c r="M31" s="4">
        <f t="shared" si="6"/>
        <v>0</v>
      </c>
      <c r="N31" s="7">
        <f>'Maintenance IDIQ Price'!D31</f>
        <v>0</v>
      </c>
      <c r="O31" s="16">
        <f t="shared" si="7"/>
        <v>0</v>
      </c>
      <c r="S31" s="29"/>
      <c r="T31" s="29"/>
      <c r="X31" s="29"/>
      <c r="Y31" s="29"/>
    </row>
    <row r="32" spans="1:25" x14ac:dyDescent="0.25">
      <c r="A32" s="15" t="str">
        <f>'Maintenance IDIQ Price'!A32</f>
        <v>Antenna/RF Engineer I</v>
      </c>
      <c r="B32" s="4"/>
      <c r="C32" s="4">
        <f t="shared" si="0"/>
        <v>0</v>
      </c>
      <c r="D32" s="7">
        <f>'Maintenance IDIQ Price'!B32</f>
        <v>0</v>
      </c>
      <c r="E32" s="16">
        <f t="shared" si="1"/>
        <v>0</v>
      </c>
      <c r="F32" s="15" t="str">
        <f t="shared" si="2"/>
        <v>Antenna/RF Engineer I</v>
      </c>
      <c r="G32" s="4"/>
      <c r="H32" s="4">
        <f t="shared" si="3"/>
        <v>0</v>
      </c>
      <c r="I32" s="7">
        <f>'Maintenance IDIQ Price'!C32</f>
        <v>0</v>
      </c>
      <c r="J32" s="16">
        <f t="shared" si="4"/>
        <v>0</v>
      </c>
      <c r="K32" s="15" t="str">
        <f t="shared" si="5"/>
        <v>Antenna/RF Engineer I</v>
      </c>
      <c r="L32" s="4"/>
      <c r="M32" s="4">
        <f t="shared" si="6"/>
        <v>0</v>
      </c>
      <c r="N32" s="7">
        <f>'Maintenance IDIQ Price'!D32</f>
        <v>0</v>
      </c>
      <c r="O32" s="16">
        <f t="shared" si="7"/>
        <v>0</v>
      </c>
      <c r="S32" s="29"/>
      <c r="T32" s="29"/>
      <c r="X32" s="29"/>
      <c r="Y32" s="29"/>
    </row>
    <row r="33" spans="1:25" x14ac:dyDescent="0.25">
      <c r="A33" s="15" t="str">
        <f>'Maintenance IDIQ Price'!A33</f>
        <v>System Architect / IT Computer Specialist V</v>
      </c>
      <c r="B33" s="4"/>
      <c r="C33" s="4">
        <f t="shared" si="0"/>
        <v>0</v>
      </c>
      <c r="D33" s="7">
        <f>'Maintenance IDIQ Price'!B33</f>
        <v>0</v>
      </c>
      <c r="E33" s="16">
        <f t="shared" si="1"/>
        <v>0</v>
      </c>
      <c r="F33" s="15" t="str">
        <f t="shared" si="2"/>
        <v>System Architect / IT Computer Specialist V</v>
      </c>
      <c r="G33" s="4"/>
      <c r="H33" s="4">
        <f t="shared" si="3"/>
        <v>0</v>
      </c>
      <c r="I33" s="7">
        <f>'Maintenance IDIQ Price'!C33</f>
        <v>0</v>
      </c>
      <c r="J33" s="16">
        <f t="shared" si="4"/>
        <v>0</v>
      </c>
      <c r="K33" s="15" t="str">
        <f t="shared" si="5"/>
        <v>System Architect / IT Computer Specialist V</v>
      </c>
      <c r="L33" s="4"/>
      <c r="M33" s="4">
        <f t="shared" si="6"/>
        <v>0</v>
      </c>
      <c r="N33" s="7">
        <f>'Maintenance IDIQ Price'!D33</f>
        <v>0</v>
      </c>
      <c r="O33" s="16">
        <f t="shared" si="7"/>
        <v>0</v>
      </c>
      <c r="S33" s="29"/>
      <c r="T33" s="29"/>
      <c r="X33" s="29"/>
      <c r="Y33" s="29"/>
    </row>
    <row r="34" spans="1:25" x14ac:dyDescent="0.25">
      <c r="A34" s="15" t="str">
        <f>'Maintenance IDIQ Price'!A34</f>
        <v>System Architect / IT Computer Specialist IV</v>
      </c>
      <c r="B34" s="4"/>
      <c r="C34" s="4">
        <f t="shared" si="0"/>
        <v>0</v>
      </c>
      <c r="D34" s="7">
        <f>'Maintenance IDIQ Price'!B34</f>
        <v>0</v>
      </c>
      <c r="E34" s="16">
        <f t="shared" si="1"/>
        <v>0</v>
      </c>
      <c r="F34" s="15" t="str">
        <f t="shared" si="2"/>
        <v>System Architect / IT Computer Specialist IV</v>
      </c>
      <c r="G34" s="4"/>
      <c r="H34" s="4">
        <f t="shared" si="3"/>
        <v>0</v>
      </c>
      <c r="I34" s="7">
        <f>'Maintenance IDIQ Price'!C34</f>
        <v>0</v>
      </c>
      <c r="J34" s="16">
        <f t="shared" si="4"/>
        <v>0</v>
      </c>
      <c r="K34" s="15" t="str">
        <f t="shared" si="5"/>
        <v>System Architect / IT Computer Specialist IV</v>
      </c>
      <c r="L34" s="4"/>
      <c r="M34" s="4">
        <f t="shared" si="6"/>
        <v>0</v>
      </c>
      <c r="N34" s="7">
        <f>'Maintenance IDIQ Price'!D34</f>
        <v>0</v>
      </c>
      <c r="O34" s="16">
        <f t="shared" si="7"/>
        <v>0</v>
      </c>
      <c r="S34" s="29"/>
      <c r="T34" s="29"/>
      <c r="X34" s="29"/>
      <c r="Y34" s="29"/>
    </row>
    <row r="35" spans="1:25" x14ac:dyDescent="0.25">
      <c r="A35" s="15" t="str">
        <f>'Maintenance IDIQ Price'!A35</f>
        <v>System Architect / IT Computer Specialist III</v>
      </c>
      <c r="B35" s="4"/>
      <c r="C35" s="4">
        <f t="shared" si="0"/>
        <v>0</v>
      </c>
      <c r="D35" s="7">
        <f>'Maintenance IDIQ Price'!B35</f>
        <v>0</v>
      </c>
      <c r="E35" s="16">
        <f t="shared" si="1"/>
        <v>0</v>
      </c>
      <c r="F35" s="15" t="str">
        <f t="shared" si="2"/>
        <v>System Architect / IT Computer Specialist III</v>
      </c>
      <c r="G35" s="4"/>
      <c r="H35" s="4">
        <f t="shared" si="3"/>
        <v>0</v>
      </c>
      <c r="I35" s="7">
        <f>'Maintenance IDIQ Price'!C35</f>
        <v>0</v>
      </c>
      <c r="J35" s="16">
        <f t="shared" si="4"/>
        <v>0</v>
      </c>
      <c r="K35" s="15" t="str">
        <f t="shared" si="5"/>
        <v>System Architect / IT Computer Specialist III</v>
      </c>
      <c r="L35" s="4"/>
      <c r="M35" s="4">
        <f t="shared" si="6"/>
        <v>0</v>
      </c>
      <c r="N35" s="7">
        <f>'Maintenance IDIQ Price'!D35</f>
        <v>0</v>
      </c>
      <c r="O35" s="16">
        <f t="shared" si="7"/>
        <v>0</v>
      </c>
      <c r="S35" s="29"/>
      <c r="T35" s="29"/>
      <c r="X35" s="29"/>
      <c r="Y35" s="29"/>
    </row>
    <row r="36" spans="1:25" x14ac:dyDescent="0.25">
      <c r="A36" s="15" t="str">
        <f>'Maintenance IDIQ Price'!A36</f>
        <v>System Architect / IT Computer Specialist II</v>
      </c>
      <c r="B36" s="4"/>
      <c r="C36" s="4">
        <f t="shared" si="0"/>
        <v>0</v>
      </c>
      <c r="D36" s="7">
        <f>'Maintenance IDIQ Price'!B36</f>
        <v>0</v>
      </c>
      <c r="E36" s="16">
        <f t="shared" si="1"/>
        <v>0</v>
      </c>
      <c r="F36" s="15" t="str">
        <f t="shared" si="2"/>
        <v>System Architect / IT Computer Specialist II</v>
      </c>
      <c r="G36" s="4"/>
      <c r="H36" s="4">
        <f t="shared" si="3"/>
        <v>0</v>
      </c>
      <c r="I36" s="7">
        <f>'Maintenance IDIQ Price'!C36</f>
        <v>0</v>
      </c>
      <c r="J36" s="16">
        <f t="shared" si="4"/>
        <v>0</v>
      </c>
      <c r="K36" s="15" t="str">
        <f t="shared" si="5"/>
        <v>System Architect / IT Computer Specialist II</v>
      </c>
      <c r="L36" s="4"/>
      <c r="M36" s="4">
        <f t="shared" si="6"/>
        <v>0</v>
      </c>
      <c r="N36" s="7">
        <f>'Maintenance IDIQ Price'!D36</f>
        <v>0</v>
      </c>
      <c r="O36" s="16">
        <f t="shared" si="7"/>
        <v>0</v>
      </c>
      <c r="S36" s="29"/>
      <c r="T36" s="29"/>
      <c r="X36" s="29"/>
      <c r="Y36" s="29"/>
    </row>
    <row r="37" spans="1:25" x14ac:dyDescent="0.25">
      <c r="A37" s="15" t="str">
        <f>'Maintenance IDIQ Price'!A37</f>
        <v>System Architect / IT Computer Specialist I</v>
      </c>
      <c r="B37" s="4"/>
      <c r="C37" s="4">
        <f t="shared" si="0"/>
        <v>0</v>
      </c>
      <c r="D37" s="7">
        <f>'Maintenance IDIQ Price'!B37</f>
        <v>0</v>
      </c>
      <c r="E37" s="16">
        <f t="shared" si="1"/>
        <v>0</v>
      </c>
      <c r="F37" s="15" t="str">
        <f t="shared" si="2"/>
        <v>System Architect / IT Computer Specialist I</v>
      </c>
      <c r="G37" s="4"/>
      <c r="H37" s="4">
        <f t="shared" si="3"/>
        <v>0</v>
      </c>
      <c r="I37" s="7">
        <f>'Maintenance IDIQ Price'!C37</f>
        <v>0</v>
      </c>
      <c r="J37" s="16">
        <f t="shared" si="4"/>
        <v>0</v>
      </c>
      <c r="K37" s="15" t="str">
        <f t="shared" si="5"/>
        <v>System Architect / IT Computer Specialist I</v>
      </c>
      <c r="L37" s="4"/>
      <c r="M37" s="4">
        <f t="shared" si="6"/>
        <v>0</v>
      </c>
      <c r="N37" s="7">
        <f>'Maintenance IDIQ Price'!D37</f>
        <v>0</v>
      </c>
      <c r="O37" s="16">
        <f t="shared" si="7"/>
        <v>0</v>
      </c>
      <c r="S37" s="29"/>
      <c r="T37" s="29"/>
      <c r="X37" s="29"/>
      <c r="Y37" s="29"/>
    </row>
    <row r="38" spans="1:25" x14ac:dyDescent="0.25">
      <c r="A38" s="15" t="str">
        <f>'Maintenance IDIQ Price'!A38</f>
        <v>Integration / Test Engineer V</v>
      </c>
      <c r="B38" s="4"/>
      <c r="C38" s="4">
        <f t="shared" si="0"/>
        <v>0</v>
      </c>
      <c r="D38" s="7">
        <f>'Maintenance IDIQ Price'!B38</f>
        <v>0</v>
      </c>
      <c r="E38" s="16">
        <f t="shared" si="1"/>
        <v>0</v>
      </c>
      <c r="F38" s="15" t="str">
        <f t="shared" si="2"/>
        <v>Integration / Test Engineer V</v>
      </c>
      <c r="G38" s="4"/>
      <c r="H38" s="4">
        <f t="shared" si="3"/>
        <v>0</v>
      </c>
      <c r="I38" s="7">
        <f>'Maintenance IDIQ Price'!C38</f>
        <v>0</v>
      </c>
      <c r="J38" s="16">
        <f t="shared" si="4"/>
        <v>0</v>
      </c>
      <c r="K38" s="15" t="str">
        <f t="shared" si="5"/>
        <v>Integration / Test Engineer V</v>
      </c>
      <c r="L38" s="4"/>
      <c r="M38" s="4">
        <f t="shared" si="6"/>
        <v>0</v>
      </c>
      <c r="N38" s="7">
        <f>'Maintenance IDIQ Price'!D38</f>
        <v>0</v>
      </c>
      <c r="O38" s="16">
        <f t="shared" si="7"/>
        <v>0</v>
      </c>
      <c r="S38" s="29"/>
      <c r="T38" s="29"/>
      <c r="X38" s="29"/>
      <c r="Y38" s="29"/>
    </row>
    <row r="39" spans="1:25" x14ac:dyDescent="0.25">
      <c r="A39" s="15" t="str">
        <f>'Maintenance IDIQ Price'!A39</f>
        <v>Integration / Test Engineer IV</v>
      </c>
      <c r="B39" s="4"/>
      <c r="C39" s="4">
        <f t="shared" si="0"/>
        <v>0</v>
      </c>
      <c r="D39" s="7">
        <f>'Maintenance IDIQ Price'!B39</f>
        <v>0</v>
      </c>
      <c r="E39" s="16">
        <f t="shared" si="1"/>
        <v>0</v>
      </c>
      <c r="F39" s="15" t="str">
        <f t="shared" si="2"/>
        <v>Integration / Test Engineer IV</v>
      </c>
      <c r="G39" s="4"/>
      <c r="H39" s="4">
        <f t="shared" si="3"/>
        <v>0</v>
      </c>
      <c r="I39" s="7">
        <f>'Maintenance IDIQ Price'!C39</f>
        <v>0</v>
      </c>
      <c r="J39" s="16">
        <f t="shared" si="4"/>
        <v>0</v>
      </c>
      <c r="K39" s="15" t="str">
        <f t="shared" si="5"/>
        <v>Integration / Test Engineer IV</v>
      </c>
      <c r="L39" s="4"/>
      <c r="M39" s="4">
        <f t="shared" si="6"/>
        <v>0</v>
      </c>
      <c r="N39" s="7">
        <f>'Maintenance IDIQ Price'!D39</f>
        <v>0</v>
      </c>
      <c r="O39" s="16">
        <f t="shared" si="7"/>
        <v>0</v>
      </c>
      <c r="S39" s="29"/>
      <c r="T39" s="29"/>
      <c r="X39" s="29"/>
      <c r="Y39" s="29"/>
    </row>
    <row r="40" spans="1:25" x14ac:dyDescent="0.25">
      <c r="A40" s="15" t="str">
        <f>'Maintenance IDIQ Price'!A40</f>
        <v>Integration / Test Engineer III</v>
      </c>
      <c r="B40" s="4"/>
      <c r="C40" s="4">
        <f t="shared" si="0"/>
        <v>0</v>
      </c>
      <c r="D40" s="7">
        <f>'Maintenance IDIQ Price'!B40</f>
        <v>0</v>
      </c>
      <c r="E40" s="16">
        <f t="shared" si="1"/>
        <v>0</v>
      </c>
      <c r="F40" s="15" t="str">
        <f t="shared" si="2"/>
        <v>Integration / Test Engineer III</v>
      </c>
      <c r="G40" s="4"/>
      <c r="H40" s="4">
        <f t="shared" si="3"/>
        <v>0</v>
      </c>
      <c r="I40" s="7">
        <f>'Maintenance IDIQ Price'!C40</f>
        <v>0</v>
      </c>
      <c r="J40" s="16">
        <f t="shared" si="4"/>
        <v>0</v>
      </c>
      <c r="K40" s="15" t="str">
        <f t="shared" si="5"/>
        <v>Integration / Test Engineer III</v>
      </c>
      <c r="L40" s="4"/>
      <c r="M40" s="4">
        <f t="shared" si="6"/>
        <v>0</v>
      </c>
      <c r="N40" s="7">
        <f>'Maintenance IDIQ Price'!D40</f>
        <v>0</v>
      </c>
      <c r="O40" s="16">
        <f t="shared" si="7"/>
        <v>0</v>
      </c>
      <c r="S40" s="29"/>
      <c r="T40" s="29"/>
      <c r="X40" s="29"/>
      <c r="Y40" s="29"/>
    </row>
    <row r="41" spans="1:25" x14ac:dyDescent="0.25">
      <c r="A41" s="15" t="str">
        <f>'Maintenance IDIQ Price'!A41</f>
        <v>Integration / Test Engineer II</v>
      </c>
      <c r="B41" s="4"/>
      <c r="C41" s="4">
        <f t="shared" si="0"/>
        <v>0</v>
      </c>
      <c r="D41" s="7">
        <f>'Maintenance IDIQ Price'!B41</f>
        <v>0</v>
      </c>
      <c r="E41" s="16">
        <f t="shared" si="1"/>
        <v>0</v>
      </c>
      <c r="F41" s="15" t="str">
        <f t="shared" si="2"/>
        <v>Integration / Test Engineer II</v>
      </c>
      <c r="G41" s="4"/>
      <c r="H41" s="4">
        <f t="shared" si="3"/>
        <v>0</v>
      </c>
      <c r="I41" s="7">
        <f>'Maintenance IDIQ Price'!C41</f>
        <v>0</v>
      </c>
      <c r="J41" s="16">
        <f t="shared" si="4"/>
        <v>0</v>
      </c>
      <c r="K41" s="15" t="str">
        <f t="shared" si="5"/>
        <v>Integration / Test Engineer II</v>
      </c>
      <c r="L41" s="4"/>
      <c r="M41" s="4">
        <f t="shared" si="6"/>
        <v>0</v>
      </c>
      <c r="N41" s="7">
        <f>'Maintenance IDIQ Price'!D41</f>
        <v>0</v>
      </c>
      <c r="O41" s="16">
        <f t="shared" si="7"/>
        <v>0</v>
      </c>
      <c r="S41" s="29"/>
      <c r="T41" s="29"/>
      <c r="X41" s="29"/>
      <c r="Y41" s="29"/>
    </row>
    <row r="42" spans="1:25" x14ac:dyDescent="0.25">
      <c r="A42" s="15" t="str">
        <f>'Maintenance IDIQ Price'!A42</f>
        <v>Integration / Test Engineer I</v>
      </c>
      <c r="B42" s="4"/>
      <c r="C42" s="4">
        <f t="shared" si="0"/>
        <v>0</v>
      </c>
      <c r="D42" s="7">
        <f>'Maintenance IDIQ Price'!B42</f>
        <v>0</v>
      </c>
      <c r="E42" s="16">
        <f t="shared" si="1"/>
        <v>0</v>
      </c>
      <c r="F42" s="15" t="str">
        <f t="shared" si="2"/>
        <v>Integration / Test Engineer I</v>
      </c>
      <c r="G42" s="4"/>
      <c r="H42" s="4">
        <f t="shared" si="3"/>
        <v>0</v>
      </c>
      <c r="I42" s="7">
        <f>'Maintenance IDIQ Price'!C42</f>
        <v>0</v>
      </c>
      <c r="J42" s="16">
        <f t="shared" si="4"/>
        <v>0</v>
      </c>
      <c r="K42" s="15" t="str">
        <f t="shared" si="5"/>
        <v>Integration / Test Engineer I</v>
      </c>
      <c r="L42" s="4"/>
      <c r="M42" s="4">
        <f t="shared" si="6"/>
        <v>0</v>
      </c>
      <c r="N42" s="7">
        <f>'Maintenance IDIQ Price'!D42</f>
        <v>0</v>
      </c>
      <c r="O42" s="16">
        <f t="shared" si="7"/>
        <v>0</v>
      </c>
      <c r="S42" s="29"/>
      <c r="T42" s="29"/>
      <c r="X42" s="29"/>
      <c r="Y42" s="29"/>
    </row>
    <row r="43" spans="1:25" x14ac:dyDescent="0.25">
      <c r="A43" s="15" t="str">
        <f>'Maintenance IDIQ Price'!A43</f>
        <v>Safety/Quality Assurance Specialist V</v>
      </c>
      <c r="B43" s="4"/>
      <c r="C43" s="4">
        <f t="shared" si="0"/>
        <v>0</v>
      </c>
      <c r="D43" s="7">
        <f>'Maintenance IDIQ Price'!B43</f>
        <v>0</v>
      </c>
      <c r="E43" s="16">
        <f t="shared" si="1"/>
        <v>0</v>
      </c>
      <c r="F43" s="15" t="str">
        <f t="shared" si="2"/>
        <v>Safety/Quality Assurance Specialist V</v>
      </c>
      <c r="G43" s="4"/>
      <c r="H43" s="4">
        <f t="shared" si="3"/>
        <v>0</v>
      </c>
      <c r="I43" s="7">
        <f>'Maintenance IDIQ Price'!C43</f>
        <v>0</v>
      </c>
      <c r="J43" s="16">
        <f t="shared" si="4"/>
        <v>0</v>
      </c>
      <c r="K43" s="15" t="str">
        <f t="shared" si="5"/>
        <v>Safety/Quality Assurance Specialist V</v>
      </c>
      <c r="L43" s="4"/>
      <c r="M43" s="4">
        <f t="shared" si="6"/>
        <v>0</v>
      </c>
      <c r="N43" s="7">
        <f>'Maintenance IDIQ Price'!D43</f>
        <v>0</v>
      </c>
      <c r="O43" s="16">
        <f t="shared" si="7"/>
        <v>0</v>
      </c>
      <c r="S43" s="29"/>
      <c r="T43" s="29"/>
      <c r="X43" s="29"/>
      <c r="Y43" s="29"/>
    </row>
    <row r="44" spans="1:25" x14ac:dyDescent="0.25">
      <c r="A44" s="15" t="str">
        <f>'Maintenance IDIQ Price'!A44</f>
        <v>Safety/Quality Assurance Specialist IV</v>
      </c>
      <c r="B44" s="4"/>
      <c r="C44" s="4">
        <f t="shared" si="0"/>
        <v>0</v>
      </c>
      <c r="D44" s="7">
        <f>'Maintenance IDIQ Price'!B44</f>
        <v>0</v>
      </c>
      <c r="E44" s="16">
        <f t="shared" si="1"/>
        <v>0</v>
      </c>
      <c r="F44" s="15" t="str">
        <f t="shared" si="2"/>
        <v>Safety/Quality Assurance Specialist IV</v>
      </c>
      <c r="G44" s="4"/>
      <c r="H44" s="4">
        <f t="shared" si="3"/>
        <v>0</v>
      </c>
      <c r="I44" s="7">
        <f>'Maintenance IDIQ Price'!C44</f>
        <v>0</v>
      </c>
      <c r="J44" s="16">
        <f t="shared" si="4"/>
        <v>0</v>
      </c>
      <c r="K44" s="15" t="str">
        <f t="shared" si="5"/>
        <v>Safety/Quality Assurance Specialist IV</v>
      </c>
      <c r="L44" s="4"/>
      <c r="M44" s="4">
        <f t="shared" si="6"/>
        <v>0</v>
      </c>
      <c r="N44" s="7">
        <f>'Maintenance IDIQ Price'!D44</f>
        <v>0</v>
      </c>
      <c r="O44" s="16">
        <f t="shared" si="7"/>
        <v>0</v>
      </c>
      <c r="S44" s="29"/>
      <c r="T44" s="29"/>
      <c r="X44" s="29"/>
      <c r="Y44" s="29"/>
    </row>
    <row r="45" spans="1:25" x14ac:dyDescent="0.25">
      <c r="A45" s="15" t="str">
        <f>'Maintenance IDIQ Price'!A45</f>
        <v>Safety/Quality Assurance Specialist III</v>
      </c>
      <c r="B45" s="4"/>
      <c r="C45" s="4">
        <f t="shared" si="0"/>
        <v>0</v>
      </c>
      <c r="D45" s="7">
        <f>'Maintenance IDIQ Price'!B45</f>
        <v>0</v>
      </c>
      <c r="E45" s="16">
        <f t="shared" si="1"/>
        <v>0</v>
      </c>
      <c r="F45" s="15" t="str">
        <f t="shared" si="2"/>
        <v>Safety/Quality Assurance Specialist III</v>
      </c>
      <c r="G45" s="4"/>
      <c r="H45" s="4">
        <f t="shared" si="3"/>
        <v>0</v>
      </c>
      <c r="I45" s="7">
        <f>'Maintenance IDIQ Price'!C45</f>
        <v>0</v>
      </c>
      <c r="J45" s="16">
        <f t="shared" si="4"/>
        <v>0</v>
      </c>
      <c r="K45" s="15" t="str">
        <f t="shared" si="5"/>
        <v>Safety/Quality Assurance Specialist III</v>
      </c>
      <c r="L45" s="4"/>
      <c r="M45" s="4">
        <f t="shared" si="6"/>
        <v>0</v>
      </c>
      <c r="N45" s="7">
        <f>'Maintenance IDIQ Price'!D45</f>
        <v>0</v>
      </c>
      <c r="O45" s="16">
        <f t="shared" si="7"/>
        <v>0</v>
      </c>
      <c r="S45" s="29"/>
      <c r="T45" s="29"/>
      <c r="X45" s="29"/>
      <c r="Y45" s="29"/>
    </row>
    <row r="46" spans="1:25" x14ac:dyDescent="0.25">
      <c r="A46" s="15" t="str">
        <f>'Maintenance IDIQ Price'!A46</f>
        <v>Safety/Quality Assurance Specialist II</v>
      </c>
      <c r="B46" s="4"/>
      <c r="C46" s="4">
        <f t="shared" si="0"/>
        <v>0</v>
      </c>
      <c r="D46" s="7">
        <f>'Maintenance IDIQ Price'!B46</f>
        <v>0</v>
      </c>
      <c r="E46" s="16">
        <f t="shared" si="1"/>
        <v>0</v>
      </c>
      <c r="F46" s="15" t="str">
        <f t="shared" si="2"/>
        <v>Safety/Quality Assurance Specialist II</v>
      </c>
      <c r="G46" s="4"/>
      <c r="H46" s="4">
        <f t="shared" si="3"/>
        <v>0</v>
      </c>
      <c r="I46" s="7">
        <f>'Maintenance IDIQ Price'!C46</f>
        <v>0</v>
      </c>
      <c r="J46" s="16">
        <f t="shared" si="4"/>
        <v>0</v>
      </c>
      <c r="K46" s="15" t="str">
        <f t="shared" si="5"/>
        <v>Safety/Quality Assurance Specialist II</v>
      </c>
      <c r="L46" s="4"/>
      <c r="M46" s="4">
        <f t="shared" si="6"/>
        <v>0</v>
      </c>
      <c r="N46" s="7">
        <f>'Maintenance IDIQ Price'!D46</f>
        <v>0</v>
      </c>
      <c r="O46" s="16">
        <f t="shared" si="7"/>
        <v>0</v>
      </c>
      <c r="S46" s="29"/>
      <c r="T46" s="29"/>
      <c r="X46" s="29"/>
      <c r="Y46" s="29"/>
    </row>
    <row r="47" spans="1:25" x14ac:dyDescent="0.25">
      <c r="A47" s="15" t="str">
        <f>'Maintenance IDIQ Price'!A47</f>
        <v>Safety/Quality Assurance Specialist I</v>
      </c>
      <c r="B47" s="4"/>
      <c r="C47" s="4">
        <f t="shared" si="0"/>
        <v>0</v>
      </c>
      <c r="D47" s="7">
        <f>'Maintenance IDIQ Price'!B47</f>
        <v>0</v>
      </c>
      <c r="E47" s="16">
        <f t="shared" si="1"/>
        <v>0</v>
      </c>
      <c r="F47" s="15" t="str">
        <f t="shared" si="2"/>
        <v>Safety/Quality Assurance Specialist I</v>
      </c>
      <c r="G47" s="4"/>
      <c r="H47" s="4">
        <f t="shared" si="3"/>
        <v>0</v>
      </c>
      <c r="I47" s="7">
        <f>'Maintenance IDIQ Price'!C47</f>
        <v>0</v>
      </c>
      <c r="J47" s="16">
        <f t="shared" si="4"/>
        <v>0</v>
      </c>
      <c r="K47" s="15" t="str">
        <f t="shared" si="5"/>
        <v>Safety/Quality Assurance Specialist I</v>
      </c>
      <c r="L47" s="4"/>
      <c r="M47" s="4">
        <f t="shared" si="6"/>
        <v>0</v>
      </c>
      <c r="N47" s="7">
        <f>'Maintenance IDIQ Price'!D47</f>
        <v>0</v>
      </c>
      <c r="O47" s="16">
        <f t="shared" si="7"/>
        <v>0</v>
      </c>
      <c r="S47" s="29"/>
      <c r="T47" s="29"/>
      <c r="X47" s="29"/>
      <c r="Y47" s="29"/>
    </row>
    <row r="48" spans="1:25" x14ac:dyDescent="0.25">
      <c r="A48" s="15" t="str">
        <f>'Maintenance IDIQ Price'!A48</f>
        <v>Safety/Quality Assurance Specialist V</v>
      </c>
      <c r="B48" s="4"/>
      <c r="C48" s="4">
        <f t="shared" si="0"/>
        <v>0</v>
      </c>
      <c r="D48" s="7">
        <f>'Maintenance IDIQ Price'!B48</f>
        <v>0</v>
      </c>
      <c r="E48" s="16">
        <f t="shared" si="1"/>
        <v>0</v>
      </c>
      <c r="F48" s="15" t="str">
        <f t="shared" si="2"/>
        <v>Safety/Quality Assurance Specialist V</v>
      </c>
      <c r="G48" s="4"/>
      <c r="H48" s="4">
        <f t="shared" si="3"/>
        <v>0</v>
      </c>
      <c r="I48" s="7">
        <f>'Maintenance IDIQ Price'!C48</f>
        <v>0</v>
      </c>
      <c r="J48" s="16">
        <f t="shared" si="4"/>
        <v>0</v>
      </c>
      <c r="K48" s="15" t="str">
        <f t="shared" si="5"/>
        <v>Safety/Quality Assurance Specialist V</v>
      </c>
      <c r="L48" s="4"/>
      <c r="M48" s="4">
        <f t="shared" si="6"/>
        <v>0</v>
      </c>
      <c r="N48" s="7">
        <f>'Maintenance IDIQ Price'!D48</f>
        <v>0</v>
      </c>
      <c r="O48" s="16">
        <f t="shared" si="7"/>
        <v>0</v>
      </c>
      <c r="S48" s="29"/>
      <c r="T48" s="29"/>
      <c r="X48" s="29"/>
      <c r="Y48" s="29"/>
    </row>
    <row r="49" spans="1:25" x14ac:dyDescent="0.25">
      <c r="A49" s="15" t="str">
        <f>'Maintenance IDIQ Price'!A49</f>
        <v>Technician IV</v>
      </c>
      <c r="B49" s="4"/>
      <c r="C49" s="4">
        <f t="shared" si="0"/>
        <v>0</v>
      </c>
      <c r="D49" s="7">
        <f>'Maintenance IDIQ Price'!B49</f>
        <v>0</v>
      </c>
      <c r="E49" s="16">
        <f t="shared" si="1"/>
        <v>0</v>
      </c>
      <c r="F49" s="15" t="str">
        <f t="shared" si="2"/>
        <v>Technician IV</v>
      </c>
      <c r="G49" s="4"/>
      <c r="H49" s="4">
        <f t="shared" si="3"/>
        <v>0</v>
      </c>
      <c r="I49" s="7">
        <f>'Maintenance IDIQ Price'!C49</f>
        <v>0</v>
      </c>
      <c r="J49" s="16">
        <f t="shared" si="4"/>
        <v>0</v>
      </c>
      <c r="K49" s="15" t="str">
        <f t="shared" si="5"/>
        <v>Technician IV</v>
      </c>
      <c r="L49" s="4"/>
      <c r="M49" s="4">
        <f t="shared" si="6"/>
        <v>0</v>
      </c>
      <c r="N49" s="7">
        <f>'Maintenance IDIQ Price'!D49</f>
        <v>0</v>
      </c>
      <c r="O49" s="16">
        <f t="shared" si="7"/>
        <v>0</v>
      </c>
      <c r="S49" s="29"/>
      <c r="T49" s="29"/>
      <c r="X49" s="29"/>
      <c r="Y49" s="29"/>
    </row>
    <row r="50" spans="1:25" x14ac:dyDescent="0.25">
      <c r="A50" s="15" t="str">
        <f>'Maintenance IDIQ Price'!A50</f>
        <v>Technician III</v>
      </c>
      <c r="B50" s="4"/>
      <c r="C50" s="4">
        <f t="shared" si="0"/>
        <v>0</v>
      </c>
      <c r="D50" s="7">
        <f>'Maintenance IDIQ Price'!B50</f>
        <v>0</v>
      </c>
      <c r="E50" s="16">
        <f t="shared" si="1"/>
        <v>0</v>
      </c>
      <c r="F50" s="15" t="str">
        <f t="shared" si="2"/>
        <v>Technician III</v>
      </c>
      <c r="G50" s="4"/>
      <c r="H50" s="4">
        <f t="shared" si="3"/>
        <v>0</v>
      </c>
      <c r="I50" s="7">
        <f>'Maintenance IDIQ Price'!C50</f>
        <v>0</v>
      </c>
      <c r="J50" s="16">
        <f t="shared" si="4"/>
        <v>0</v>
      </c>
      <c r="K50" s="15" t="str">
        <f t="shared" si="5"/>
        <v>Technician III</v>
      </c>
      <c r="L50" s="4"/>
      <c r="M50" s="4">
        <f t="shared" si="6"/>
        <v>0</v>
      </c>
      <c r="N50" s="7">
        <f>'Maintenance IDIQ Price'!D50</f>
        <v>0</v>
      </c>
      <c r="O50" s="16">
        <f t="shared" si="7"/>
        <v>0</v>
      </c>
      <c r="S50" s="29"/>
      <c r="T50" s="29"/>
      <c r="X50" s="29"/>
      <c r="Y50" s="29"/>
    </row>
    <row r="51" spans="1:25" x14ac:dyDescent="0.25">
      <c r="A51" s="15" t="str">
        <f>'Maintenance IDIQ Price'!A51</f>
        <v>Technician III</v>
      </c>
      <c r="B51" s="4"/>
      <c r="C51" s="4">
        <f t="shared" si="0"/>
        <v>0</v>
      </c>
      <c r="D51" s="7">
        <f>'Maintenance IDIQ Price'!B51</f>
        <v>0</v>
      </c>
      <c r="E51" s="16">
        <f t="shared" si="1"/>
        <v>0</v>
      </c>
      <c r="F51" s="15" t="str">
        <f t="shared" si="2"/>
        <v>Technician III</v>
      </c>
      <c r="G51" s="4"/>
      <c r="H51" s="4">
        <f t="shared" si="3"/>
        <v>0</v>
      </c>
      <c r="I51" s="7">
        <f>'Maintenance IDIQ Price'!C51</f>
        <v>0</v>
      </c>
      <c r="J51" s="16">
        <f t="shared" si="4"/>
        <v>0</v>
      </c>
      <c r="K51" s="15" t="str">
        <f t="shared" si="5"/>
        <v>Technician III</v>
      </c>
      <c r="L51" s="4"/>
      <c r="M51" s="4">
        <f t="shared" si="6"/>
        <v>0</v>
      </c>
      <c r="N51" s="7">
        <f>'Maintenance IDIQ Price'!D51</f>
        <v>0</v>
      </c>
      <c r="O51" s="16">
        <f t="shared" si="7"/>
        <v>0</v>
      </c>
      <c r="S51" s="29"/>
      <c r="T51" s="29"/>
      <c r="X51" s="29"/>
      <c r="Y51" s="29"/>
    </row>
    <row r="52" spans="1:25" x14ac:dyDescent="0.25">
      <c r="A52" s="15" t="str">
        <f>'Maintenance IDIQ Price'!A52</f>
        <v>Technician I</v>
      </c>
      <c r="B52" s="4"/>
      <c r="C52" s="4">
        <f t="shared" si="0"/>
        <v>0</v>
      </c>
      <c r="D52" s="7">
        <f>'Maintenance IDIQ Price'!B52</f>
        <v>0</v>
      </c>
      <c r="E52" s="16">
        <f t="shared" si="1"/>
        <v>0</v>
      </c>
      <c r="F52" s="15" t="str">
        <f t="shared" si="2"/>
        <v>Technician I</v>
      </c>
      <c r="G52" s="4"/>
      <c r="H52" s="4">
        <f t="shared" si="3"/>
        <v>0</v>
      </c>
      <c r="I52" s="7">
        <f>'Maintenance IDIQ Price'!C52</f>
        <v>0</v>
      </c>
      <c r="J52" s="16">
        <f t="shared" si="4"/>
        <v>0</v>
      </c>
      <c r="K52" s="15" t="str">
        <f t="shared" si="5"/>
        <v>Technician I</v>
      </c>
      <c r="L52" s="4"/>
      <c r="M52" s="4">
        <f t="shared" si="6"/>
        <v>0</v>
      </c>
      <c r="N52" s="7">
        <f>'Maintenance IDIQ Price'!D52</f>
        <v>0</v>
      </c>
      <c r="O52" s="16">
        <f t="shared" si="7"/>
        <v>0</v>
      </c>
      <c r="S52" s="29"/>
      <c r="T52" s="29"/>
      <c r="X52" s="29"/>
      <c r="Y52" s="29"/>
    </row>
    <row r="53" spans="1:25" x14ac:dyDescent="0.25">
      <c r="A53" s="15" t="str">
        <f>'Maintenance IDIQ Price'!A53</f>
        <v>Database Administrator V</v>
      </c>
      <c r="B53" s="4"/>
      <c r="C53" s="4">
        <f t="shared" si="0"/>
        <v>0</v>
      </c>
      <c r="D53" s="7">
        <f>'Maintenance IDIQ Price'!B53</f>
        <v>0</v>
      </c>
      <c r="E53" s="16">
        <f t="shared" si="1"/>
        <v>0</v>
      </c>
      <c r="F53" s="15" t="str">
        <f t="shared" si="2"/>
        <v>Database Administrator V</v>
      </c>
      <c r="G53" s="4"/>
      <c r="H53" s="4">
        <f t="shared" si="3"/>
        <v>0</v>
      </c>
      <c r="I53" s="7">
        <f>'Maintenance IDIQ Price'!C53</f>
        <v>0</v>
      </c>
      <c r="J53" s="16">
        <f t="shared" si="4"/>
        <v>0</v>
      </c>
      <c r="K53" s="15" t="str">
        <f t="shared" si="5"/>
        <v>Database Administrator V</v>
      </c>
      <c r="L53" s="4"/>
      <c r="M53" s="4">
        <f t="shared" si="6"/>
        <v>0</v>
      </c>
      <c r="N53" s="7">
        <f>'Maintenance IDIQ Price'!D53</f>
        <v>0</v>
      </c>
      <c r="O53" s="16">
        <f t="shared" si="7"/>
        <v>0</v>
      </c>
      <c r="S53" s="29"/>
      <c r="T53" s="29"/>
      <c r="X53" s="29"/>
      <c r="Y53" s="29"/>
    </row>
    <row r="54" spans="1:25" x14ac:dyDescent="0.25">
      <c r="A54" s="15" t="str">
        <f>'Maintenance IDIQ Price'!A54</f>
        <v>Database Administrator IV</v>
      </c>
      <c r="B54" s="4"/>
      <c r="C54" s="4">
        <f t="shared" si="0"/>
        <v>0</v>
      </c>
      <c r="D54" s="7">
        <f>'Maintenance IDIQ Price'!B54</f>
        <v>0</v>
      </c>
      <c r="E54" s="16">
        <f t="shared" si="1"/>
        <v>0</v>
      </c>
      <c r="F54" s="15" t="str">
        <f t="shared" si="2"/>
        <v>Database Administrator IV</v>
      </c>
      <c r="G54" s="4"/>
      <c r="H54" s="4">
        <f t="shared" si="3"/>
        <v>0</v>
      </c>
      <c r="I54" s="7">
        <f>'Maintenance IDIQ Price'!C54</f>
        <v>0</v>
      </c>
      <c r="J54" s="16">
        <f t="shared" si="4"/>
        <v>0</v>
      </c>
      <c r="K54" s="15" t="str">
        <f t="shared" si="5"/>
        <v>Database Administrator IV</v>
      </c>
      <c r="L54" s="4"/>
      <c r="M54" s="4">
        <f t="shared" si="6"/>
        <v>0</v>
      </c>
      <c r="N54" s="7">
        <f>'Maintenance IDIQ Price'!D54</f>
        <v>0</v>
      </c>
      <c r="O54" s="16">
        <f t="shared" si="7"/>
        <v>0</v>
      </c>
      <c r="S54" s="29"/>
      <c r="T54" s="29"/>
      <c r="X54" s="29"/>
      <c r="Y54" s="29"/>
    </row>
    <row r="55" spans="1:25" x14ac:dyDescent="0.25">
      <c r="A55" s="15" t="str">
        <f>'Maintenance IDIQ Price'!A55</f>
        <v>Database Administrator III</v>
      </c>
      <c r="B55" s="4"/>
      <c r="C55" s="4">
        <f t="shared" si="0"/>
        <v>0</v>
      </c>
      <c r="D55" s="7">
        <f>'Maintenance IDIQ Price'!B55</f>
        <v>0</v>
      </c>
      <c r="E55" s="16">
        <f t="shared" si="1"/>
        <v>0</v>
      </c>
      <c r="F55" s="15" t="str">
        <f t="shared" si="2"/>
        <v>Database Administrator III</v>
      </c>
      <c r="G55" s="4"/>
      <c r="H55" s="4">
        <f t="shared" si="3"/>
        <v>0</v>
      </c>
      <c r="I55" s="7">
        <f>'Maintenance IDIQ Price'!C55</f>
        <v>0</v>
      </c>
      <c r="J55" s="16">
        <f t="shared" si="4"/>
        <v>0</v>
      </c>
      <c r="K55" s="15" t="str">
        <f t="shared" si="5"/>
        <v>Database Administrator III</v>
      </c>
      <c r="L55" s="4"/>
      <c r="M55" s="4">
        <f t="shared" si="6"/>
        <v>0</v>
      </c>
      <c r="N55" s="7">
        <f>'Maintenance IDIQ Price'!D55</f>
        <v>0</v>
      </c>
      <c r="O55" s="16">
        <f t="shared" si="7"/>
        <v>0</v>
      </c>
      <c r="S55" s="29"/>
      <c r="T55" s="29"/>
      <c r="X55" s="29"/>
      <c r="Y55" s="29"/>
    </row>
    <row r="56" spans="1:25" x14ac:dyDescent="0.25">
      <c r="A56" s="15" t="str">
        <f>'Maintenance IDIQ Price'!A56</f>
        <v>Database Administrator II</v>
      </c>
      <c r="B56" s="4"/>
      <c r="C56" s="4">
        <f t="shared" si="0"/>
        <v>0</v>
      </c>
      <c r="D56" s="7">
        <f>'Maintenance IDIQ Price'!B56</f>
        <v>0</v>
      </c>
      <c r="E56" s="16">
        <f t="shared" si="1"/>
        <v>0</v>
      </c>
      <c r="F56" s="15" t="str">
        <f t="shared" si="2"/>
        <v>Database Administrator II</v>
      </c>
      <c r="G56" s="4"/>
      <c r="H56" s="4">
        <f t="shared" si="3"/>
        <v>0</v>
      </c>
      <c r="I56" s="7">
        <f>'Maintenance IDIQ Price'!C56</f>
        <v>0</v>
      </c>
      <c r="J56" s="16">
        <f t="shared" si="4"/>
        <v>0</v>
      </c>
      <c r="K56" s="15" t="str">
        <f t="shared" si="5"/>
        <v>Database Administrator II</v>
      </c>
      <c r="L56" s="4"/>
      <c r="M56" s="4">
        <f t="shared" si="6"/>
        <v>0</v>
      </c>
      <c r="N56" s="7">
        <f>'Maintenance IDIQ Price'!D56</f>
        <v>0</v>
      </c>
      <c r="O56" s="16">
        <f t="shared" si="7"/>
        <v>0</v>
      </c>
      <c r="S56" s="29"/>
      <c r="T56" s="29"/>
      <c r="X56" s="29"/>
      <c r="Y56" s="29"/>
    </row>
    <row r="57" spans="1:25" x14ac:dyDescent="0.25">
      <c r="A57" s="15" t="str">
        <f>'Maintenance IDIQ Price'!A57</f>
        <v>Database Administrator I</v>
      </c>
      <c r="B57" s="4"/>
      <c r="C57" s="4">
        <f t="shared" si="0"/>
        <v>0</v>
      </c>
      <c r="D57" s="7">
        <f>'Maintenance IDIQ Price'!B57</f>
        <v>0</v>
      </c>
      <c r="E57" s="16">
        <f t="shared" si="1"/>
        <v>0</v>
      </c>
      <c r="F57" s="15" t="str">
        <f t="shared" si="2"/>
        <v>Database Administrator I</v>
      </c>
      <c r="G57" s="4"/>
      <c r="H57" s="4">
        <f t="shared" si="3"/>
        <v>0</v>
      </c>
      <c r="I57" s="7">
        <f>'Maintenance IDIQ Price'!C57</f>
        <v>0</v>
      </c>
      <c r="J57" s="16">
        <f t="shared" si="4"/>
        <v>0</v>
      </c>
      <c r="K57" s="15" t="str">
        <f t="shared" si="5"/>
        <v>Database Administrator I</v>
      </c>
      <c r="L57" s="4"/>
      <c r="M57" s="4">
        <f t="shared" si="6"/>
        <v>0</v>
      </c>
      <c r="N57" s="7">
        <f>'Maintenance IDIQ Price'!D57</f>
        <v>0</v>
      </c>
      <c r="O57" s="16">
        <f t="shared" si="7"/>
        <v>0</v>
      </c>
      <c r="S57" s="29"/>
      <c r="T57" s="29"/>
      <c r="X57" s="29"/>
      <c r="Y57" s="29"/>
    </row>
    <row r="58" spans="1:25" x14ac:dyDescent="0.25">
      <c r="A58" s="15" t="str">
        <f>'Maintenance IDIQ Price'!A58</f>
        <v>System Administrator V</v>
      </c>
      <c r="B58" s="4"/>
      <c r="C58" s="4">
        <f t="shared" si="0"/>
        <v>0</v>
      </c>
      <c r="D58" s="7">
        <f>'Maintenance IDIQ Price'!B58</f>
        <v>0</v>
      </c>
      <c r="E58" s="16">
        <f t="shared" si="1"/>
        <v>0</v>
      </c>
      <c r="F58" s="15" t="str">
        <f t="shared" si="2"/>
        <v>System Administrator V</v>
      </c>
      <c r="G58" s="4"/>
      <c r="H58" s="4">
        <f t="shared" si="3"/>
        <v>0</v>
      </c>
      <c r="I58" s="7">
        <f>'Maintenance IDIQ Price'!C58</f>
        <v>0</v>
      </c>
      <c r="J58" s="16">
        <f t="shared" si="4"/>
        <v>0</v>
      </c>
      <c r="K58" s="15" t="str">
        <f t="shared" si="5"/>
        <v>System Administrator V</v>
      </c>
      <c r="L58" s="4"/>
      <c r="M58" s="4">
        <f t="shared" si="6"/>
        <v>0</v>
      </c>
      <c r="N58" s="7">
        <f>'Maintenance IDIQ Price'!D58</f>
        <v>0</v>
      </c>
      <c r="O58" s="16">
        <f t="shared" si="7"/>
        <v>0</v>
      </c>
      <c r="S58" s="29"/>
      <c r="T58" s="29"/>
      <c r="X58" s="29"/>
      <c r="Y58" s="29"/>
    </row>
    <row r="59" spans="1:25" x14ac:dyDescent="0.25">
      <c r="A59" s="15" t="str">
        <f>'Maintenance IDIQ Price'!A59</f>
        <v>System Administrator IV</v>
      </c>
      <c r="B59" s="4"/>
      <c r="C59" s="4">
        <f t="shared" si="0"/>
        <v>0</v>
      </c>
      <c r="D59" s="7">
        <f>'Maintenance IDIQ Price'!B59</f>
        <v>0</v>
      </c>
      <c r="E59" s="16">
        <f t="shared" si="1"/>
        <v>0</v>
      </c>
      <c r="F59" s="15" t="str">
        <f t="shared" si="2"/>
        <v>System Administrator IV</v>
      </c>
      <c r="G59" s="4"/>
      <c r="H59" s="4">
        <f t="shared" si="3"/>
        <v>0</v>
      </c>
      <c r="I59" s="7">
        <f>'Maintenance IDIQ Price'!C59</f>
        <v>0</v>
      </c>
      <c r="J59" s="16">
        <f t="shared" si="4"/>
        <v>0</v>
      </c>
      <c r="K59" s="15" t="str">
        <f t="shared" si="5"/>
        <v>System Administrator IV</v>
      </c>
      <c r="L59" s="4"/>
      <c r="M59" s="4">
        <f t="shared" si="6"/>
        <v>0</v>
      </c>
      <c r="N59" s="7">
        <f>'Maintenance IDIQ Price'!D59</f>
        <v>0</v>
      </c>
      <c r="O59" s="16">
        <f t="shared" si="7"/>
        <v>0</v>
      </c>
      <c r="S59" s="29"/>
      <c r="T59" s="29"/>
      <c r="X59" s="29"/>
      <c r="Y59" s="29"/>
    </row>
    <row r="60" spans="1:25" x14ac:dyDescent="0.25">
      <c r="A60" s="15" t="str">
        <f>'Maintenance IDIQ Price'!A60</f>
        <v>System Administrator III</v>
      </c>
      <c r="B60" s="4"/>
      <c r="C60" s="4">
        <f t="shared" si="0"/>
        <v>0</v>
      </c>
      <c r="D60" s="7">
        <f>'Maintenance IDIQ Price'!B60</f>
        <v>0</v>
      </c>
      <c r="E60" s="16">
        <f t="shared" si="1"/>
        <v>0</v>
      </c>
      <c r="F60" s="15" t="str">
        <f t="shared" si="2"/>
        <v>System Administrator III</v>
      </c>
      <c r="G60" s="4"/>
      <c r="H60" s="4">
        <f t="shared" si="3"/>
        <v>0</v>
      </c>
      <c r="I60" s="7">
        <f>'Maintenance IDIQ Price'!C60</f>
        <v>0</v>
      </c>
      <c r="J60" s="16">
        <f t="shared" si="4"/>
        <v>0</v>
      </c>
      <c r="K60" s="15" t="str">
        <f t="shared" si="5"/>
        <v>System Administrator III</v>
      </c>
      <c r="L60" s="4"/>
      <c r="M60" s="4">
        <f t="shared" si="6"/>
        <v>0</v>
      </c>
      <c r="N60" s="7">
        <f>'Maintenance IDIQ Price'!D60</f>
        <v>0</v>
      </c>
      <c r="O60" s="16">
        <f t="shared" si="7"/>
        <v>0</v>
      </c>
      <c r="S60" s="29"/>
      <c r="T60" s="29"/>
      <c r="X60" s="29"/>
      <c r="Y60" s="29"/>
    </row>
    <row r="61" spans="1:25" x14ac:dyDescent="0.25">
      <c r="A61" s="15" t="str">
        <f>'Maintenance IDIQ Price'!A61</f>
        <v>System Administrator II</v>
      </c>
      <c r="B61" s="4"/>
      <c r="C61" s="4">
        <f t="shared" si="0"/>
        <v>0</v>
      </c>
      <c r="D61" s="7">
        <f>'Maintenance IDIQ Price'!B61</f>
        <v>0</v>
      </c>
      <c r="E61" s="16">
        <f t="shared" si="1"/>
        <v>0</v>
      </c>
      <c r="F61" s="15" t="str">
        <f t="shared" si="2"/>
        <v>System Administrator II</v>
      </c>
      <c r="G61" s="4"/>
      <c r="H61" s="4">
        <f t="shared" si="3"/>
        <v>0</v>
      </c>
      <c r="I61" s="7">
        <f>'Maintenance IDIQ Price'!C61</f>
        <v>0</v>
      </c>
      <c r="J61" s="16">
        <f t="shared" si="4"/>
        <v>0</v>
      </c>
      <c r="K61" s="15" t="str">
        <f t="shared" si="5"/>
        <v>System Administrator II</v>
      </c>
      <c r="L61" s="4"/>
      <c r="M61" s="4">
        <f t="shared" si="6"/>
        <v>0</v>
      </c>
      <c r="N61" s="7">
        <f>'Maintenance IDIQ Price'!D61</f>
        <v>0</v>
      </c>
      <c r="O61" s="16">
        <f t="shared" si="7"/>
        <v>0</v>
      </c>
      <c r="S61" s="29"/>
      <c r="T61" s="29"/>
      <c r="X61" s="29"/>
      <c r="Y61" s="29"/>
    </row>
    <row r="62" spans="1:25" x14ac:dyDescent="0.25">
      <c r="A62" s="15" t="str">
        <f>'Maintenance IDIQ Price'!A62</f>
        <v>System Administrator I</v>
      </c>
      <c r="B62" s="4"/>
      <c r="C62" s="4">
        <f t="shared" si="0"/>
        <v>0</v>
      </c>
      <c r="D62" s="7">
        <f>'Maintenance IDIQ Price'!B62</f>
        <v>0</v>
      </c>
      <c r="E62" s="16">
        <f t="shared" si="1"/>
        <v>0</v>
      </c>
      <c r="F62" s="15" t="str">
        <f t="shared" si="2"/>
        <v>System Administrator I</v>
      </c>
      <c r="G62" s="4"/>
      <c r="H62" s="4">
        <f t="shared" si="3"/>
        <v>0</v>
      </c>
      <c r="I62" s="7">
        <f>'Maintenance IDIQ Price'!C62</f>
        <v>0</v>
      </c>
      <c r="J62" s="16">
        <f t="shared" si="4"/>
        <v>0</v>
      </c>
      <c r="K62" s="15" t="str">
        <f t="shared" si="5"/>
        <v>System Administrator I</v>
      </c>
      <c r="L62" s="4"/>
      <c r="M62" s="4">
        <f t="shared" si="6"/>
        <v>0</v>
      </c>
      <c r="N62" s="7">
        <f>'Maintenance IDIQ Price'!D62</f>
        <v>0</v>
      </c>
      <c r="O62" s="16">
        <f t="shared" si="7"/>
        <v>0</v>
      </c>
      <c r="S62" s="29"/>
      <c r="T62" s="29"/>
      <c r="X62" s="29"/>
      <c r="Y62" s="29"/>
    </row>
    <row r="63" spans="1:25" x14ac:dyDescent="0.25">
      <c r="A63" s="15" t="str">
        <f>'Maintenance IDIQ Price'!A63</f>
        <v>Configuration / Data Management Specialist V</v>
      </c>
      <c r="B63" s="4"/>
      <c r="C63" s="4">
        <f t="shared" si="0"/>
        <v>0</v>
      </c>
      <c r="D63" s="7">
        <f>'Maintenance IDIQ Price'!B63</f>
        <v>0</v>
      </c>
      <c r="E63" s="16">
        <f t="shared" si="1"/>
        <v>0</v>
      </c>
      <c r="F63" s="15" t="str">
        <f t="shared" si="2"/>
        <v>Configuration / Data Management Specialist V</v>
      </c>
      <c r="G63" s="4"/>
      <c r="H63" s="4">
        <f t="shared" si="3"/>
        <v>0</v>
      </c>
      <c r="I63" s="7">
        <f>'Maintenance IDIQ Price'!C63</f>
        <v>0</v>
      </c>
      <c r="J63" s="16">
        <f t="shared" si="4"/>
        <v>0</v>
      </c>
      <c r="K63" s="15" t="str">
        <f t="shared" si="5"/>
        <v>Configuration / Data Management Specialist V</v>
      </c>
      <c r="L63" s="4"/>
      <c r="M63" s="4">
        <f t="shared" si="6"/>
        <v>0</v>
      </c>
      <c r="N63" s="7">
        <f>'Maintenance IDIQ Price'!D63</f>
        <v>0</v>
      </c>
      <c r="O63" s="16">
        <f t="shared" si="7"/>
        <v>0</v>
      </c>
      <c r="S63" s="29"/>
      <c r="T63" s="29"/>
      <c r="X63" s="29"/>
      <c r="Y63" s="29"/>
    </row>
    <row r="64" spans="1:25" x14ac:dyDescent="0.25">
      <c r="A64" s="15" t="str">
        <f>'Maintenance IDIQ Price'!A64</f>
        <v>Configuration / Data Management Specialist IV</v>
      </c>
      <c r="B64" s="4"/>
      <c r="C64" s="4">
        <f t="shared" si="0"/>
        <v>0</v>
      </c>
      <c r="D64" s="7">
        <f>'Maintenance IDIQ Price'!B64</f>
        <v>0</v>
      </c>
      <c r="E64" s="16">
        <f t="shared" si="1"/>
        <v>0</v>
      </c>
      <c r="F64" s="15" t="str">
        <f t="shared" si="2"/>
        <v>Configuration / Data Management Specialist IV</v>
      </c>
      <c r="G64" s="4"/>
      <c r="H64" s="4">
        <f t="shared" si="3"/>
        <v>0</v>
      </c>
      <c r="I64" s="7">
        <f>'Maintenance IDIQ Price'!C64</f>
        <v>0</v>
      </c>
      <c r="J64" s="16">
        <f t="shared" si="4"/>
        <v>0</v>
      </c>
      <c r="K64" s="15" t="str">
        <f t="shared" si="5"/>
        <v>Configuration / Data Management Specialist IV</v>
      </c>
      <c r="L64" s="4"/>
      <c r="M64" s="4">
        <f t="shared" si="6"/>
        <v>0</v>
      </c>
      <c r="N64" s="7">
        <f>'Maintenance IDIQ Price'!D64</f>
        <v>0</v>
      </c>
      <c r="O64" s="16">
        <f t="shared" si="7"/>
        <v>0</v>
      </c>
      <c r="S64" s="29"/>
      <c r="T64" s="29"/>
      <c r="X64" s="29"/>
      <c r="Y64" s="29"/>
    </row>
    <row r="65" spans="1:25" x14ac:dyDescent="0.25">
      <c r="A65" s="15" t="str">
        <f>'Maintenance IDIQ Price'!A65</f>
        <v>Configuration / Data Management Specialist III</v>
      </c>
      <c r="B65" s="4"/>
      <c r="C65" s="4">
        <f t="shared" si="0"/>
        <v>0</v>
      </c>
      <c r="D65" s="7">
        <f>'Maintenance IDIQ Price'!B65</f>
        <v>0</v>
      </c>
      <c r="E65" s="16">
        <f t="shared" si="1"/>
        <v>0</v>
      </c>
      <c r="F65" s="15" t="str">
        <f t="shared" si="2"/>
        <v>Configuration / Data Management Specialist III</v>
      </c>
      <c r="G65" s="4"/>
      <c r="H65" s="4">
        <f t="shared" si="3"/>
        <v>0</v>
      </c>
      <c r="I65" s="7">
        <f>'Maintenance IDIQ Price'!C65</f>
        <v>0</v>
      </c>
      <c r="J65" s="16">
        <f t="shared" si="4"/>
        <v>0</v>
      </c>
      <c r="K65" s="15" t="str">
        <f t="shared" si="5"/>
        <v>Configuration / Data Management Specialist III</v>
      </c>
      <c r="L65" s="4"/>
      <c r="M65" s="4">
        <f t="shared" si="6"/>
        <v>0</v>
      </c>
      <c r="N65" s="7">
        <f>'Maintenance IDIQ Price'!D65</f>
        <v>0</v>
      </c>
      <c r="O65" s="16">
        <f t="shared" si="7"/>
        <v>0</v>
      </c>
      <c r="S65" s="29"/>
      <c r="T65" s="29"/>
      <c r="X65" s="29"/>
      <c r="Y65" s="29"/>
    </row>
    <row r="66" spans="1:25" x14ac:dyDescent="0.25">
      <c r="A66" s="15" t="str">
        <f>'Maintenance IDIQ Price'!A66</f>
        <v>Configuration / Data Management Specialist II</v>
      </c>
      <c r="B66" s="4"/>
      <c r="C66" s="4">
        <f t="shared" si="0"/>
        <v>0</v>
      </c>
      <c r="D66" s="7">
        <f>'Maintenance IDIQ Price'!B66</f>
        <v>0</v>
      </c>
      <c r="E66" s="16">
        <f t="shared" si="1"/>
        <v>0</v>
      </c>
      <c r="F66" s="15" t="str">
        <f t="shared" si="2"/>
        <v>Configuration / Data Management Specialist II</v>
      </c>
      <c r="G66" s="4"/>
      <c r="H66" s="4">
        <f t="shared" si="3"/>
        <v>0</v>
      </c>
      <c r="I66" s="7">
        <f>'Maintenance IDIQ Price'!C66</f>
        <v>0</v>
      </c>
      <c r="J66" s="16">
        <f t="shared" si="4"/>
        <v>0</v>
      </c>
      <c r="K66" s="15" t="str">
        <f t="shared" si="5"/>
        <v>Configuration / Data Management Specialist II</v>
      </c>
      <c r="L66" s="4"/>
      <c r="M66" s="4">
        <f t="shared" si="6"/>
        <v>0</v>
      </c>
      <c r="N66" s="7">
        <f>'Maintenance IDIQ Price'!D66</f>
        <v>0</v>
      </c>
      <c r="O66" s="16">
        <f t="shared" si="7"/>
        <v>0</v>
      </c>
      <c r="S66" s="29"/>
      <c r="T66" s="29"/>
      <c r="X66" s="29"/>
      <c r="Y66" s="29"/>
    </row>
    <row r="67" spans="1:25" x14ac:dyDescent="0.25">
      <c r="A67" s="15" t="str">
        <f>'Maintenance IDIQ Price'!A67</f>
        <v>Configuration / Data Management Specialist I</v>
      </c>
      <c r="B67" s="4"/>
      <c r="C67" s="4">
        <f t="shared" si="0"/>
        <v>0</v>
      </c>
      <c r="D67" s="7">
        <f>'Maintenance IDIQ Price'!B67</f>
        <v>0</v>
      </c>
      <c r="E67" s="16">
        <f t="shared" si="1"/>
        <v>0</v>
      </c>
      <c r="F67" s="15" t="str">
        <f t="shared" si="2"/>
        <v>Configuration / Data Management Specialist I</v>
      </c>
      <c r="G67" s="4"/>
      <c r="H67" s="4">
        <f t="shared" si="3"/>
        <v>0</v>
      </c>
      <c r="I67" s="7">
        <f>'Maintenance IDIQ Price'!C67</f>
        <v>0</v>
      </c>
      <c r="J67" s="16">
        <f t="shared" si="4"/>
        <v>0</v>
      </c>
      <c r="K67" s="15" t="str">
        <f t="shared" si="5"/>
        <v>Configuration / Data Management Specialist I</v>
      </c>
      <c r="L67" s="4"/>
      <c r="M67" s="4">
        <f t="shared" si="6"/>
        <v>0</v>
      </c>
      <c r="N67" s="7">
        <f>'Maintenance IDIQ Price'!D67</f>
        <v>0</v>
      </c>
      <c r="O67" s="16">
        <f t="shared" si="7"/>
        <v>0</v>
      </c>
      <c r="S67" s="29"/>
      <c r="T67" s="29"/>
      <c r="X67" s="29"/>
      <c r="Y67" s="29"/>
    </row>
    <row r="68" spans="1:25" x14ac:dyDescent="0.25">
      <c r="A68" s="15" t="str">
        <f>'Maintenance IDIQ Price'!A68</f>
        <v>IT Security Specialist V</v>
      </c>
      <c r="B68" s="4"/>
      <c r="C68" s="4">
        <f t="shared" si="0"/>
        <v>0</v>
      </c>
      <c r="D68" s="7">
        <f>'Maintenance IDIQ Price'!B68</f>
        <v>0</v>
      </c>
      <c r="E68" s="16">
        <f t="shared" si="1"/>
        <v>0</v>
      </c>
      <c r="F68" s="15" t="str">
        <f t="shared" si="2"/>
        <v>IT Security Specialist V</v>
      </c>
      <c r="G68" s="4"/>
      <c r="H68" s="4">
        <f t="shared" si="3"/>
        <v>0</v>
      </c>
      <c r="I68" s="7">
        <f>'Maintenance IDIQ Price'!C68</f>
        <v>0</v>
      </c>
      <c r="J68" s="16">
        <f t="shared" si="4"/>
        <v>0</v>
      </c>
      <c r="K68" s="15" t="str">
        <f t="shared" si="5"/>
        <v>IT Security Specialist V</v>
      </c>
      <c r="L68" s="4"/>
      <c r="M68" s="4">
        <f t="shared" si="6"/>
        <v>0</v>
      </c>
      <c r="N68" s="7">
        <f>'Maintenance IDIQ Price'!D68</f>
        <v>0</v>
      </c>
      <c r="O68" s="16">
        <f t="shared" si="7"/>
        <v>0</v>
      </c>
      <c r="S68" s="29"/>
      <c r="T68" s="29"/>
      <c r="X68" s="29"/>
      <c r="Y68" s="29"/>
    </row>
    <row r="69" spans="1:25" x14ac:dyDescent="0.25">
      <c r="A69" s="15" t="str">
        <f>'Maintenance IDIQ Price'!A69</f>
        <v>IT Security Specialist IV</v>
      </c>
      <c r="B69" s="4"/>
      <c r="C69" s="4">
        <f t="shared" si="0"/>
        <v>0</v>
      </c>
      <c r="D69" s="7">
        <f>'Maintenance IDIQ Price'!B69</f>
        <v>0</v>
      </c>
      <c r="E69" s="16">
        <f t="shared" si="1"/>
        <v>0</v>
      </c>
      <c r="F69" s="15" t="str">
        <f t="shared" si="2"/>
        <v>IT Security Specialist IV</v>
      </c>
      <c r="G69" s="4"/>
      <c r="H69" s="4">
        <f t="shared" si="3"/>
        <v>0</v>
      </c>
      <c r="I69" s="7">
        <f>'Maintenance IDIQ Price'!C69</f>
        <v>0</v>
      </c>
      <c r="J69" s="16">
        <f t="shared" si="4"/>
        <v>0</v>
      </c>
      <c r="K69" s="15" t="str">
        <f t="shared" si="5"/>
        <v>IT Security Specialist IV</v>
      </c>
      <c r="L69" s="4"/>
      <c r="M69" s="4">
        <f t="shared" si="6"/>
        <v>0</v>
      </c>
      <c r="N69" s="7">
        <f>'Maintenance IDIQ Price'!D69</f>
        <v>0</v>
      </c>
      <c r="O69" s="16">
        <f t="shared" si="7"/>
        <v>0</v>
      </c>
      <c r="S69" s="29"/>
      <c r="T69" s="29"/>
      <c r="X69" s="29"/>
      <c r="Y69" s="29"/>
    </row>
    <row r="70" spans="1:25" x14ac:dyDescent="0.25">
      <c r="A70" s="15" t="str">
        <f>'Maintenance IDIQ Price'!A70</f>
        <v>IT Security Specialist III</v>
      </c>
      <c r="B70" s="4"/>
      <c r="C70" s="4">
        <f t="shared" si="0"/>
        <v>0</v>
      </c>
      <c r="D70" s="7">
        <f>'Maintenance IDIQ Price'!B70</f>
        <v>0</v>
      </c>
      <c r="E70" s="16">
        <f t="shared" si="1"/>
        <v>0</v>
      </c>
      <c r="F70" s="15" t="str">
        <f t="shared" si="2"/>
        <v>IT Security Specialist III</v>
      </c>
      <c r="G70" s="4"/>
      <c r="H70" s="4">
        <f t="shared" si="3"/>
        <v>0</v>
      </c>
      <c r="I70" s="7">
        <f>'Maintenance IDIQ Price'!C70</f>
        <v>0</v>
      </c>
      <c r="J70" s="16">
        <f t="shared" si="4"/>
        <v>0</v>
      </c>
      <c r="K70" s="15" t="str">
        <f t="shared" si="5"/>
        <v>IT Security Specialist III</v>
      </c>
      <c r="L70" s="4"/>
      <c r="M70" s="4">
        <f t="shared" si="6"/>
        <v>0</v>
      </c>
      <c r="N70" s="7">
        <f>'Maintenance IDIQ Price'!D70</f>
        <v>0</v>
      </c>
      <c r="O70" s="16">
        <f t="shared" si="7"/>
        <v>0</v>
      </c>
      <c r="S70" s="29"/>
      <c r="T70" s="29"/>
      <c r="X70" s="29"/>
      <c r="Y70" s="29"/>
    </row>
    <row r="71" spans="1:25" x14ac:dyDescent="0.25">
      <c r="A71" s="15" t="str">
        <f>'Maintenance IDIQ Price'!A71</f>
        <v>IT Security Specialist II</v>
      </c>
      <c r="B71" s="4"/>
      <c r="C71" s="4">
        <f t="shared" ref="C71:C72" si="8">B71/1880</f>
        <v>0</v>
      </c>
      <c r="D71" s="7">
        <f>'Maintenance IDIQ Price'!B71</f>
        <v>0</v>
      </c>
      <c r="E71" s="16">
        <f t="shared" ref="E71:E72" si="9">B71*D71</f>
        <v>0</v>
      </c>
      <c r="F71" s="15" t="str">
        <f t="shared" ref="F71:F72" si="10">$A71</f>
        <v>IT Security Specialist II</v>
      </c>
      <c r="G71" s="4"/>
      <c r="H71" s="4">
        <f t="shared" ref="H71:H72" si="11">G71/1880</f>
        <v>0</v>
      </c>
      <c r="I71" s="7">
        <f>'Maintenance IDIQ Price'!C71</f>
        <v>0</v>
      </c>
      <c r="J71" s="16">
        <f t="shared" ref="J71:J72" si="12">G71*I71</f>
        <v>0</v>
      </c>
      <c r="K71" s="15" t="str">
        <f t="shared" ref="K71:K72" si="13">$A71</f>
        <v>IT Security Specialist II</v>
      </c>
      <c r="L71" s="4"/>
      <c r="M71" s="4">
        <f t="shared" ref="M71:M72" si="14">L71/1880</f>
        <v>0</v>
      </c>
      <c r="N71" s="7">
        <f>'Maintenance IDIQ Price'!D71</f>
        <v>0</v>
      </c>
      <c r="O71" s="16">
        <f t="shared" ref="O71:O72" si="15">L71*N71</f>
        <v>0</v>
      </c>
      <c r="S71" s="29"/>
      <c r="T71" s="29"/>
      <c r="X71" s="29"/>
      <c r="Y71" s="29"/>
    </row>
    <row r="72" spans="1:25" x14ac:dyDescent="0.25">
      <c r="A72" s="15" t="str">
        <f>'Maintenance IDIQ Price'!A72</f>
        <v>IT Security Specialist I</v>
      </c>
      <c r="B72" s="4"/>
      <c r="C72" s="4">
        <f t="shared" si="8"/>
        <v>0</v>
      </c>
      <c r="D72" s="7">
        <f>'Maintenance IDIQ Price'!B72</f>
        <v>0</v>
      </c>
      <c r="E72" s="16">
        <f t="shared" si="9"/>
        <v>0</v>
      </c>
      <c r="F72" s="15" t="str">
        <f t="shared" si="10"/>
        <v>IT Security Specialist I</v>
      </c>
      <c r="G72" s="4"/>
      <c r="H72" s="4">
        <f t="shared" si="11"/>
        <v>0</v>
      </c>
      <c r="I72" s="7">
        <f>'Maintenance IDIQ Price'!C72</f>
        <v>0</v>
      </c>
      <c r="J72" s="16">
        <f t="shared" si="12"/>
        <v>0</v>
      </c>
      <c r="K72" s="15" t="str">
        <f t="shared" si="13"/>
        <v>IT Security Specialist I</v>
      </c>
      <c r="L72" s="4"/>
      <c r="M72" s="4">
        <f t="shared" si="14"/>
        <v>0</v>
      </c>
      <c r="N72" s="7">
        <f>'Maintenance IDIQ Price'!D72</f>
        <v>0</v>
      </c>
      <c r="O72" s="16">
        <f t="shared" si="15"/>
        <v>0</v>
      </c>
      <c r="S72" s="29"/>
      <c r="T72" s="29"/>
      <c r="X72" s="29"/>
      <c r="Y72" s="29"/>
    </row>
    <row r="73" spans="1:25" x14ac:dyDescent="0.25">
      <c r="A73" s="15"/>
      <c r="B73" s="4"/>
      <c r="C73" s="4"/>
      <c r="D73" s="7"/>
      <c r="E73" s="16"/>
      <c r="F73" s="15"/>
      <c r="G73" s="4"/>
      <c r="H73" s="4"/>
      <c r="I73" s="7"/>
      <c r="J73" s="16"/>
      <c r="K73" s="15"/>
      <c r="L73" s="4"/>
      <c r="M73" s="4"/>
      <c r="N73" s="7"/>
      <c r="O73" s="16"/>
      <c r="S73" s="29"/>
      <c r="T73" s="29"/>
      <c r="X73" s="29"/>
      <c r="Y73" s="29"/>
    </row>
    <row r="74" spans="1:25" x14ac:dyDescent="0.25">
      <c r="A74" s="15" t="s">
        <v>118</v>
      </c>
      <c r="B74" s="4"/>
      <c r="C74" s="4"/>
      <c r="D74" s="7"/>
      <c r="E74" s="17">
        <f>SUM(E6:E72)</f>
        <v>0</v>
      </c>
      <c r="F74" s="15" t="s">
        <v>118</v>
      </c>
      <c r="G74" s="4"/>
      <c r="H74" s="4"/>
      <c r="I74" s="7"/>
      <c r="J74" s="17">
        <f>SUM(J6:J72)</f>
        <v>0</v>
      </c>
      <c r="K74" s="15" t="s">
        <v>118</v>
      </c>
      <c r="L74" s="4"/>
      <c r="M74" s="4"/>
      <c r="N74" s="7"/>
      <c r="O74" s="17">
        <f>SUM(O6:O72)</f>
        <v>0</v>
      </c>
      <c r="S74" s="29"/>
      <c r="T74" s="30"/>
      <c r="X74" s="29"/>
      <c r="Y74" s="30"/>
    </row>
    <row r="75" spans="1:25" x14ac:dyDescent="0.25">
      <c r="A75" s="15"/>
      <c r="B75" s="4"/>
      <c r="C75" s="4"/>
      <c r="D75" s="7"/>
      <c r="E75" s="16"/>
      <c r="F75" s="15"/>
      <c r="G75" s="4"/>
      <c r="H75" s="4"/>
      <c r="I75" s="7"/>
      <c r="J75" s="16"/>
      <c r="K75" s="15"/>
      <c r="L75" s="4"/>
      <c r="M75" s="4"/>
      <c r="N75" s="7"/>
      <c r="O75" s="16"/>
      <c r="S75" s="29"/>
      <c r="T75" s="29"/>
      <c r="X75" s="29"/>
      <c r="Y75" s="29"/>
    </row>
    <row r="76" spans="1:25" x14ac:dyDescent="0.25">
      <c r="A76" s="13" t="s">
        <v>125</v>
      </c>
      <c r="B76" s="4"/>
      <c r="C76" s="4"/>
      <c r="D76" s="7"/>
      <c r="E76" s="16"/>
      <c r="F76" s="13" t="s">
        <v>130</v>
      </c>
      <c r="G76" s="4"/>
      <c r="H76" s="4"/>
      <c r="I76" s="7"/>
      <c r="J76" s="16"/>
      <c r="K76" s="13" t="s">
        <v>131</v>
      </c>
      <c r="L76" s="4"/>
      <c r="M76" s="4"/>
      <c r="N76" s="7"/>
      <c r="O76" s="16"/>
      <c r="P76" s="28"/>
      <c r="S76" s="29"/>
      <c r="T76" s="29"/>
      <c r="U76" s="28"/>
      <c r="X76" s="29"/>
      <c r="Y76" s="29"/>
    </row>
    <row r="77" spans="1:25" x14ac:dyDescent="0.25">
      <c r="A77" s="15" t="s">
        <v>134</v>
      </c>
      <c r="B77" s="4"/>
      <c r="C77" s="4"/>
      <c r="D77" s="7"/>
      <c r="E77" s="16">
        <v>270000</v>
      </c>
      <c r="F77" s="15" t="s">
        <v>134</v>
      </c>
      <c r="G77" s="4"/>
      <c r="H77" s="4"/>
      <c r="I77" s="7"/>
      <c r="J77" s="16">
        <v>1260000</v>
      </c>
      <c r="K77" s="15" t="s">
        <v>134</v>
      </c>
      <c r="L77" s="4"/>
      <c r="M77" s="4"/>
      <c r="N77" s="7"/>
      <c r="O77" s="16">
        <v>5600000</v>
      </c>
      <c r="S77" s="29"/>
      <c r="T77" s="29"/>
      <c r="X77" s="29"/>
      <c r="Y77" s="29"/>
    </row>
    <row r="78" spans="1:25" x14ac:dyDescent="0.25">
      <c r="A78" s="15" t="s">
        <v>135</v>
      </c>
      <c r="B78" s="4"/>
      <c r="C78" s="4"/>
      <c r="D78" s="7"/>
      <c r="E78" s="16">
        <v>84600</v>
      </c>
      <c r="F78" s="15" t="s">
        <v>135</v>
      </c>
      <c r="G78" s="4"/>
      <c r="H78" s="4"/>
      <c r="I78" s="7"/>
      <c r="J78" s="16">
        <v>262800</v>
      </c>
      <c r="K78" s="15" t="s">
        <v>135</v>
      </c>
      <c r="L78" s="4"/>
      <c r="M78" s="4"/>
      <c r="N78" s="7"/>
      <c r="O78" s="16">
        <v>1044000</v>
      </c>
      <c r="S78" s="29"/>
      <c r="T78" s="29"/>
      <c r="X78" s="29"/>
      <c r="Y78" s="29"/>
    </row>
    <row r="79" spans="1:25" x14ac:dyDescent="0.25">
      <c r="A79" s="15" t="s">
        <v>136</v>
      </c>
      <c r="B79" s="4"/>
      <c r="C79" s="4"/>
      <c r="D79" s="7"/>
      <c r="E79" s="16">
        <v>200000</v>
      </c>
      <c r="F79" s="15" t="s">
        <v>136</v>
      </c>
      <c r="G79" s="4"/>
      <c r="H79" s="4"/>
      <c r="I79" s="7"/>
      <c r="J79" s="16">
        <v>200000</v>
      </c>
      <c r="K79" s="15" t="s">
        <v>136</v>
      </c>
      <c r="L79" s="4"/>
      <c r="M79" s="4"/>
      <c r="N79" s="7"/>
      <c r="O79" s="16">
        <v>200000</v>
      </c>
      <c r="S79" s="29"/>
      <c r="T79" s="29"/>
      <c r="X79" s="29"/>
      <c r="Y79" s="29"/>
    </row>
    <row r="80" spans="1:25" x14ac:dyDescent="0.25">
      <c r="A80" s="15" t="s">
        <v>137</v>
      </c>
      <c r="B80" s="4"/>
      <c r="C80" s="4"/>
      <c r="D80" s="7"/>
      <c r="E80" s="16">
        <v>6768</v>
      </c>
      <c r="F80" s="15" t="s">
        <v>137</v>
      </c>
      <c r="G80" s="4"/>
      <c r="H80" s="4"/>
      <c r="I80" s="7"/>
      <c r="J80" s="16">
        <v>21024</v>
      </c>
      <c r="K80" s="15" t="s">
        <v>137</v>
      </c>
      <c r="L80" s="4"/>
      <c r="M80" s="4"/>
      <c r="N80" s="7"/>
      <c r="O80" s="16">
        <v>83520</v>
      </c>
      <c r="S80" s="29"/>
      <c r="T80" s="29"/>
      <c r="X80" s="29"/>
      <c r="Y80" s="29"/>
    </row>
    <row r="81" spans="1:25" x14ac:dyDescent="0.25">
      <c r="A81" s="15" t="s">
        <v>138</v>
      </c>
      <c r="B81" s="4"/>
      <c r="C81" s="4"/>
      <c r="D81" s="7"/>
      <c r="E81" s="16">
        <v>16000</v>
      </c>
      <c r="F81" s="15" t="s">
        <v>138</v>
      </c>
      <c r="G81" s="4"/>
      <c r="H81" s="4"/>
      <c r="I81" s="7"/>
      <c r="J81" s="16">
        <v>16000</v>
      </c>
      <c r="K81" s="15" t="s">
        <v>138</v>
      </c>
      <c r="L81" s="4"/>
      <c r="M81" s="4"/>
      <c r="N81" s="7"/>
      <c r="O81" s="16">
        <v>16000</v>
      </c>
      <c r="S81" s="29"/>
      <c r="T81" s="29"/>
      <c r="X81" s="29"/>
      <c r="Y81" s="29"/>
    </row>
    <row r="82" spans="1:25" x14ac:dyDescent="0.25">
      <c r="A82" s="15" t="s">
        <v>113</v>
      </c>
      <c r="B82" s="4"/>
      <c r="C82" s="4"/>
      <c r="D82" s="7"/>
      <c r="E82" s="16">
        <v>120000</v>
      </c>
      <c r="F82" s="15" t="s">
        <v>113</v>
      </c>
      <c r="G82" s="4"/>
      <c r="H82" s="4"/>
      <c r="I82" s="7"/>
      <c r="J82" s="16">
        <v>120000</v>
      </c>
      <c r="K82" s="15" t="s">
        <v>113</v>
      </c>
      <c r="L82" s="4"/>
      <c r="M82" s="4"/>
      <c r="N82" s="7"/>
      <c r="O82" s="16">
        <v>120000</v>
      </c>
      <c r="S82" s="29"/>
      <c r="T82" s="29"/>
      <c r="X82" s="29"/>
      <c r="Y82" s="29"/>
    </row>
    <row r="83" spans="1:25" x14ac:dyDescent="0.25">
      <c r="A83" s="15" t="s">
        <v>114</v>
      </c>
      <c r="B83" s="4"/>
      <c r="C83" s="4"/>
      <c r="D83" s="7"/>
      <c r="E83" s="16">
        <v>40000</v>
      </c>
      <c r="F83" s="15" t="s">
        <v>114</v>
      </c>
      <c r="G83" s="4"/>
      <c r="H83" s="4"/>
      <c r="I83" s="7"/>
      <c r="J83" s="16">
        <v>40000</v>
      </c>
      <c r="K83" s="15" t="s">
        <v>114</v>
      </c>
      <c r="L83" s="4"/>
      <c r="M83" s="4"/>
      <c r="N83" s="7"/>
      <c r="O83" s="16">
        <v>40000</v>
      </c>
      <c r="S83" s="29"/>
      <c r="T83" s="29"/>
      <c r="X83" s="29"/>
      <c r="Y83" s="29"/>
    </row>
    <row r="84" spans="1:25" x14ac:dyDescent="0.25">
      <c r="A84" s="15"/>
      <c r="B84" s="4"/>
      <c r="C84" s="4"/>
      <c r="D84" s="7"/>
      <c r="E84" s="16"/>
      <c r="F84" s="15"/>
      <c r="G84" s="4"/>
      <c r="H84" s="4"/>
      <c r="I84" s="7"/>
      <c r="J84" s="16"/>
      <c r="K84" s="15"/>
      <c r="L84" s="4"/>
      <c r="M84" s="4"/>
      <c r="N84" s="7"/>
      <c r="O84" s="16"/>
      <c r="S84" s="29"/>
      <c r="T84" s="29"/>
      <c r="X84" s="29"/>
      <c r="Y84" s="29"/>
    </row>
    <row r="85" spans="1:25" x14ac:dyDescent="0.25">
      <c r="A85" s="13" t="s">
        <v>119</v>
      </c>
      <c r="B85" s="4"/>
      <c r="C85" s="4"/>
      <c r="D85" s="7"/>
      <c r="E85" s="16">
        <f>SUM(E77:E83)</f>
        <v>737368</v>
      </c>
      <c r="F85" s="13" t="s">
        <v>119</v>
      </c>
      <c r="G85" s="4"/>
      <c r="H85" s="4"/>
      <c r="I85" s="7"/>
      <c r="J85" s="16">
        <f>SUM(J77:J81)</f>
        <v>1759824</v>
      </c>
      <c r="K85" s="13" t="s">
        <v>119</v>
      </c>
      <c r="L85" s="4"/>
      <c r="M85" s="4"/>
      <c r="N85" s="7"/>
      <c r="O85" s="16">
        <f>SUM(O77:O79)</f>
        <v>6844000</v>
      </c>
      <c r="P85" s="28"/>
      <c r="S85" s="29"/>
      <c r="T85" s="29"/>
      <c r="U85" s="28"/>
      <c r="X85" s="29"/>
      <c r="Y85" s="29"/>
    </row>
    <row r="86" spans="1:25" x14ac:dyDescent="0.25">
      <c r="A86" s="15"/>
      <c r="B86" s="4"/>
      <c r="C86" s="4"/>
      <c r="D86" s="4"/>
      <c r="E86" s="14"/>
      <c r="F86" s="15"/>
      <c r="G86" s="4"/>
      <c r="H86" s="4"/>
      <c r="I86" s="4"/>
      <c r="J86" s="14"/>
      <c r="K86" s="15"/>
      <c r="L86" s="4"/>
      <c r="M86" s="4"/>
      <c r="N86" s="4"/>
      <c r="O86" s="14"/>
    </row>
    <row r="87" spans="1:25" ht="15.75" thickBot="1" x14ac:dyDescent="0.3">
      <c r="A87" s="18" t="s">
        <v>117</v>
      </c>
      <c r="B87" s="19"/>
      <c r="C87" s="19"/>
      <c r="D87" s="19"/>
      <c r="E87" s="20">
        <f>SUM(E74,E85)</f>
        <v>737368</v>
      </c>
      <c r="F87" s="18" t="s">
        <v>117</v>
      </c>
      <c r="G87" s="19"/>
      <c r="H87" s="19"/>
      <c r="I87" s="19"/>
      <c r="J87" s="20">
        <f>SUM(J74,J85)</f>
        <v>1759824</v>
      </c>
      <c r="K87" s="18" t="s">
        <v>117</v>
      </c>
      <c r="L87" s="19"/>
      <c r="M87" s="19"/>
      <c r="N87" s="19"/>
      <c r="O87" s="20">
        <f>SUM(O74,O85)</f>
        <v>6844000</v>
      </c>
      <c r="P87" s="28"/>
      <c r="T87" s="29"/>
      <c r="U87" s="28"/>
      <c r="Y87" s="29"/>
    </row>
  </sheetData>
  <mergeCells count="3">
    <mergeCell ref="A3:E3"/>
    <mergeCell ref="F3:J3"/>
    <mergeCell ref="K3:O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Program Integration IDIQ Price</vt:lpstr>
      <vt:lpstr>Operations IDIQ Price</vt:lpstr>
      <vt:lpstr>Maintenance IDIQ Price</vt:lpstr>
      <vt:lpstr>Sustainment IDIQ Price</vt:lpstr>
      <vt:lpstr>Program Integration Day 1 Price</vt:lpstr>
      <vt:lpstr>Operations Day 1 Price</vt:lpstr>
      <vt:lpstr>Maintenance Day 1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 Chang</dc:creator>
  <cp:lastModifiedBy>Jame Chang</cp:lastModifiedBy>
  <dcterms:created xsi:type="dcterms:W3CDTF">2015-06-05T18:17:20Z</dcterms:created>
  <dcterms:modified xsi:type="dcterms:W3CDTF">2026-04-16T11:35:18Z</dcterms:modified>
</cp:coreProperties>
</file>