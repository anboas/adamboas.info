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C:\Users\shonn.gilkes\Desktop\1 N4008025R2233 RFP\SECTION J\"/>
    </mc:Choice>
  </mc:AlternateContent>
  <xr:revisionPtr revIDLastSave="0" documentId="13_ncr:1_{293DFD37-0A3C-493F-A38B-96348A8862A9}" xr6:coauthVersionLast="47" xr6:coauthVersionMax="47" xr10:uidLastSave="{00000000-0000-0000-0000-000000000000}"/>
  <bookViews>
    <workbookView xWindow="-120" yWindow="90" windowWidth="29040" windowHeight="15510" tabRatio="943" xr2:uid="{00000000-000D-0000-FFFF-FFFF00000000}"/>
  </bookViews>
  <sheets>
    <sheet name="RecurringELINs-Base Period" sheetId="39" r:id="rId1"/>
    <sheet name="Non-recurringELINs-Base Period " sheetId="33" r:id="rId2"/>
    <sheet name="RecurringELINs-OY1" sheetId="41" r:id="rId3"/>
    <sheet name="Non-recurringELINs-OY1" sheetId="42" r:id="rId4"/>
    <sheet name="RecurringELINs-OY2" sheetId="43" r:id="rId5"/>
    <sheet name="Non-recurringELINs-OY2" sheetId="44" r:id="rId6"/>
    <sheet name="RecurringELINs-OY3" sheetId="45" r:id="rId7"/>
    <sheet name="Non-recurringELINs-OY3" sheetId="46" r:id="rId8"/>
    <sheet name="RecurringELINs-OY4" sheetId="47" r:id="rId9"/>
    <sheet name="Non-recurringELINs-OY4" sheetId="48" r:id="rId10"/>
    <sheet name="RecurringELINs-6MONTH OPTION" sheetId="49" r:id="rId11"/>
    <sheet name="Non-recurringELINs-6MONTH OPTIO" sheetId="50" r:id="rId12"/>
  </sheets>
  <externalReferences>
    <externalReference r:id="rId13"/>
  </externalReferences>
  <definedNames>
    <definedName name="CarpetA">'[1]Classes-Rates (2)'!$B$80</definedName>
    <definedName name="CarpetB">'[1]Classes-Rates (2)'!$C$80</definedName>
    <definedName name="CarpetC">'[1]Classes-Rates (2)'!$D$80</definedName>
    <definedName name="CarpetD">'[1]Classes-Rates (2)'!$E$80</definedName>
    <definedName name="NonA">'[1]Classes-Rates (2)'!$B$81</definedName>
    <definedName name="NonB">'[1]Classes-Rates (2)'!$C$81</definedName>
    <definedName name="NonC">'[1]Classes-Rates (2)'!$D$81</definedName>
    <definedName name="NonD">'[1]Classes-Rates (2)'!$E$81</definedName>
    <definedName name="_xlnm.Print_Area" localSheetId="11">'Non-recurringELINs-6MONTH OPTIO'!$A$1:$H$12</definedName>
    <definedName name="_xlnm.Print_Area" localSheetId="1">'Non-recurringELINs-Base Period '!$A$1:$H$12</definedName>
    <definedName name="_xlnm.Print_Area" localSheetId="3">'Non-recurringELINs-OY1'!$A$1:$H$12</definedName>
    <definedName name="_xlnm.Print_Area" localSheetId="5">'Non-recurringELINs-OY2'!$A$1:$H$12</definedName>
    <definedName name="_xlnm.Print_Area" localSheetId="7">'Non-recurringELINs-OY3'!$A$1:$H$12</definedName>
    <definedName name="_xlnm.Print_Area" localSheetId="9">'Non-recurringELINs-OY4'!$A$1:$H$12</definedName>
    <definedName name="Print_Area_MI">#REF!</definedName>
    <definedName name="_xlnm.Print_Titles" localSheetId="11">'Non-recurringELINs-6MONTH OPTIO'!$8:$8</definedName>
    <definedName name="_xlnm.Print_Titles" localSheetId="1">'Non-recurringELINs-Base Period '!$8:$8</definedName>
    <definedName name="_xlnm.Print_Titles" localSheetId="3">'Non-recurringELINs-OY1'!$8:$8</definedName>
    <definedName name="_xlnm.Print_Titles" localSheetId="5">'Non-recurringELINs-OY2'!$8:$8</definedName>
    <definedName name="_xlnm.Print_Titles" localSheetId="7">'Non-recurringELINs-OY3'!$8:$8</definedName>
    <definedName name="_xlnm.Print_Titles" localSheetId="9">'Non-recurringELINs-OY4'!$8:$8</definedName>
    <definedName name="TileA">'[1]Classes-Rates (2)'!$B$79</definedName>
    <definedName name="TileB">'[1]Classes-Rates (2)'!$C$79</definedName>
    <definedName name="TileC">'[1]Classes-Rates (2)'!$D$79</definedName>
    <definedName name="TileD">'[1]Classes-Rates (2)'!$E$79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50" l="1"/>
  <c r="G29" i="50"/>
  <c r="G28" i="50"/>
  <c r="G26" i="50"/>
  <c r="G25" i="50"/>
  <c r="G24" i="50"/>
  <c r="G23" i="50"/>
  <c r="G22" i="50"/>
  <c r="G21" i="50"/>
  <c r="G20" i="50"/>
  <c r="G19" i="50"/>
  <c r="G18" i="50"/>
  <c r="G17" i="50"/>
  <c r="G16" i="50"/>
  <c r="G15" i="50"/>
  <c r="G14" i="50"/>
  <c r="G13" i="50"/>
  <c r="G12" i="50"/>
  <c r="G11" i="50"/>
  <c r="G10" i="50"/>
  <c r="G9" i="50"/>
  <c r="G114" i="49"/>
  <c r="G112" i="49"/>
  <c r="G108" i="49"/>
  <c r="G104" i="49"/>
  <c r="G100" i="49"/>
  <c r="G92" i="49"/>
  <c r="G93" i="49" s="1"/>
  <c r="G88" i="49"/>
  <c r="G84" i="49"/>
  <c r="G80" i="49"/>
  <c r="G76" i="49"/>
  <c r="G71" i="49"/>
  <c r="G67" i="49"/>
  <c r="G62" i="49"/>
  <c r="G56" i="49"/>
  <c r="G57" i="49" s="1"/>
  <c r="G52" i="49"/>
  <c r="G48" i="49"/>
  <c r="G44" i="49"/>
  <c r="G40" i="49"/>
  <c r="G36" i="49"/>
  <c r="G32" i="49"/>
  <c r="G23" i="49"/>
  <c r="G25" i="49" s="1"/>
  <c r="G18" i="49"/>
  <c r="G14" i="49"/>
  <c r="G30" i="48"/>
  <c r="G29" i="48"/>
  <c r="G28" i="48"/>
  <c r="G26" i="48"/>
  <c r="G25" i="48"/>
  <c r="G24" i="48"/>
  <c r="G23" i="48"/>
  <c r="G22" i="48"/>
  <c r="G21" i="48"/>
  <c r="G20" i="48"/>
  <c r="G19" i="48"/>
  <c r="G18" i="48"/>
  <c r="G17" i="48"/>
  <c r="G16" i="48"/>
  <c r="G15" i="48"/>
  <c r="G14" i="48"/>
  <c r="G13" i="48"/>
  <c r="G12" i="48"/>
  <c r="G11" i="48"/>
  <c r="G10" i="48"/>
  <c r="G9" i="48"/>
  <c r="G32" i="48" s="1"/>
  <c r="G114" i="47"/>
  <c r="G112" i="47"/>
  <c r="G108" i="47"/>
  <c r="G104" i="47"/>
  <c r="G100" i="47"/>
  <c r="G92" i="47"/>
  <c r="G88" i="47"/>
  <c r="G93" i="47" s="1"/>
  <c r="G84" i="47"/>
  <c r="G80" i="47"/>
  <c r="G76" i="47"/>
  <c r="G71" i="47"/>
  <c r="G67" i="47"/>
  <c r="G62" i="47"/>
  <c r="G56" i="47"/>
  <c r="G52" i="47"/>
  <c r="G57" i="47" s="1"/>
  <c r="G48" i="47"/>
  <c r="G44" i="47"/>
  <c r="G40" i="47"/>
  <c r="G36" i="47"/>
  <c r="G32" i="47"/>
  <c r="G23" i="47"/>
  <c r="G25" i="47" s="1"/>
  <c r="G18" i="47"/>
  <c r="G14" i="47"/>
  <c r="G30" i="46"/>
  <c r="G29" i="46"/>
  <c r="G28" i="46"/>
  <c r="G26" i="46"/>
  <c r="G25" i="46"/>
  <c r="G24" i="46"/>
  <c r="G23" i="46"/>
  <c r="G22" i="46"/>
  <c r="G21" i="46"/>
  <c r="G20" i="46"/>
  <c r="G19" i="46"/>
  <c r="G18" i="46"/>
  <c r="G17" i="46"/>
  <c r="G16" i="46"/>
  <c r="G15" i="46"/>
  <c r="G14" i="46"/>
  <c r="G13" i="46"/>
  <c r="G12" i="46"/>
  <c r="G11" i="46"/>
  <c r="G10" i="46"/>
  <c r="G9" i="46"/>
  <c r="G32" i="46" s="1"/>
  <c r="G112" i="45"/>
  <c r="G114" i="45" s="1"/>
  <c r="G108" i="45"/>
  <c r="G104" i="45"/>
  <c r="G100" i="45"/>
  <c r="G92" i="45"/>
  <c r="G93" i="45" s="1"/>
  <c r="G88" i="45"/>
  <c r="G84" i="45"/>
  <c r="G80" i="45"/>
  <c r="G76" i="45"/>
  <c r="G71" i="45"/>
  <c r="G67" i="45"/>
  <c r="G62" i="45"/>
  <c r="G56" i="45"/>
  <c r="G52" i="45"/>
  <c r="G57" i="45" s="1"/>
  <c r="G48" i="45"/>
  <c r="G44" i="45"/>
  <c r="G40" i="45"/>
  <c r="G36" i="45"/>
  <c r="G32" i="45"/>
  <c r="G25" i="45"/>
  <c r="G23" i="45"/>
  <c r="G18" i="45"/>
  <c r="G14" i="45"/>
  <c r="G30" i="44"/>
  <c r="G29" i="44"/>
  <c r="G28" i="44"/>
  <c r="G26" i="44"/>
  <c r="G25" i="44"/>
  <c r="G24" i="44"/>
  <c r="G23" i="44"/>
  <c r="G22" i="44"/>
  <c r="G21" i="44"/>
  <c r="G20" i="44"/>
  <c r="G19" i="44"/>
  <c r="G18" i="44"/>
  <c r="G17" i="44"/>
  <c r="G16" i="44"/>
  <c r="G15" i="44"/>
  <c r="G14" i="44"/>
  <c r="G13" i="44"/>
  <c r="G12" i="44"/>
  <c r="G11" i="44"/>
  <c r="G10" i="44"/>
  <c r="G9" i="44"/>
  <c r="G32" i="44" s="1"/>
  <c r="G114" i="43"/>
  <c r="G112" i="43"/>
  <c r="G108" i="43"/>
  <c r="G104" i="43"/>
  <c r="G100" i="43"/>
  <c r="G92" i="43"/>
  <c r="G88" i="43"/>
  <c r="G84" i="43"/>
  <c r="G80" i="43"/>
  <c r="G93" i="43" s="1"/>
  <c r="G76" i="43"/>
  <c r="G71" i="43"/>
  <c r="G67" i="43"/>
  <c r="G62" i="43"/>
  <c r="G56" i="43"/>
  <c r="G52" i="43"/>
  <c r="G57" i="43" s="1"/>
  <c r="G48" i="43"/>
  <c r="G44" i="43"/>
  <c r="G40" i="43"/>
  <c r="G36" i="43"/>
  <c r="G32" i="43"/>
  <c r="G25" i="43"/>
  <c r="G23" i="43"/>
  <c r="G18" i="43"/>
  <c r="G14" i="43"/>
  <c r="G30" i="42"/>
  <c r="G29" i="42"/>
  <c r="G28" i="42"/>
  <c r="G26" i="42"/>
  <c r="G25" i="42"/>
  <c r="G24" i="42"/>
  <c r="G23" i="42"/>
  <c r="G22" i="42"/>
  <c r="G21" i="42"/>
  <c r="G20" i="42"/>
  <c r="G19" i="42"/>
  <c r="G18" i="42"/>
  <c r="G17" i="42"/>
  <c r="G16" i="42"/>
  <c r="G15" i="42"/>
  <c r="G14" i="42"/>
  <c r="G13" i="42"/>
  <c r="G12" i="42"/>
  <c r="G11" i="42"/>
  <c r="G10" i="42"/>
  <c r="G9" i="42"/>
  <c r="G32" i="42" s="1"/>
  <c r="G112" i="41"/>
  <c r="G108" i="41"/>
  <c r="G104" i="41"/>
  <c r="G100" i="41"/>
  <c r="G92" i="41"/>
  <c r="G88" i="41"/>
  <c r="G84" i="41"/>
  <c r="G80" i="41"/>
  <c r="G76" i="41"/>
  <c r="G71" i="41"/>
  <c r="G67" i="41"/>
  <c r="G62" i="41"/>
  <c r="G56" i="41"/>
  <c r="G52" i="41"/>
  <c r="G48" i="41"/>
  <c r="G44" i="41"/>
  <c r="G40" i="41"/>
  <c r="G36" i="41"/>
  <c r="G32" i="41"/>
  <c r="G23" i="41"/>
  <c r="G18" i="41"/>
  <c r="G14" i="41"/>
  <c r="G32" i="50" l="1"/>
  <c r="G116" i="49"/>
  <c r="G94" i="49"/>
  <c r="G94" i="45"/>
  <c r="G116" i="45" s="1"/>
  <c r="G94" i="47"/>
  <c r="G116" i="47" s="1"/>
  <c r="G94" i="43"/>
  <c r="G116" i="43" s="1"/>
  <c r="G93" i="41"/>
  <c r="G25" i="41"/>
  <c r="G57" i="41"/>
  <c r="G114" i="41"/>
  <c r="G94" i="41" l="1"/>
  <c r="G116" i="41" s="1"/>
  <c r="G92" i="39" l="1"/>
  <c r="F91" i="39"/>
  <c r="G40" i="39" l="1"/>
  <c r="F35" i="39"/>
  <c r="F39" i="39"/>
  <c r="F111" i="39" l="1"/>
  <c r="F107" i="39"/>
  <c r="F103" i="39"/>
  <c r="F98" i="39"/>
  <c r="F99" i="39"/>
  <c r="F87" i="39"/>
  <c r="G88" i="39"/>
  <c r="F83" i="39"/>
  <c r="F79" i="39"/>
  <c r="F75" i="39"/>
  <c r="F74" i="39"/>
  <c r="F66" i="39"/>
  <c r="F65" i="39"/>
  <c r="F61" i="39"/>
  <c r="F60" i="39"/>
  <c r="F55" i="39"/>
  <c r="F51" i="39"/>
  <c r="F47" i="39"/>
  <c r="F43" i="39"/>
  <c r="F30" i="39"/>
  <c r="F31" i="39"/>
  <c r="F29" i="39"/>
  <c r="F17" i="39"/>
  <c r="G14" i="39"/>
  <c r="G18" i="39"/>
  <c r="G32" i="39"/>
  <c r="G36" i="39"/>
  <c r="G44" i="39"/>
  <c r="G48" i="39"/>
  <c r="G52" i="39"/>
  <c r="G56" i="39"/>
  <c r="G62" i="39"/>
  <c r="G67" i="39"/>
  <c r="G76" i="39"/>
  <c r="G80" i="39"/>
  <c r="G84" i="39"/>
  <c r="G100" i="39"/>
  <c r="G104" i="39"/>
  <c r="G108" i="39"/>
  <c r="G112" i="39"/>
  <c r="G57" i="39" l="1"/>
  <c r="G114" i="39"/>
  <c r="G9" i="33" l="1"/>
  <c r="G10" i="33"/>
  <c r="G11" i="33"/>
  <c r="G12" i="33"/>
  <c r="G13" i="33"/>
  <c r="G14" i="33"/>
  <c r="G15" i="33"/>
  <c r="G16" i="33"/>
  <c r="G17" i="33"/>
  <c r="G18" i="33"/>
  <c r="G19" i="33"/>
  <c r="G20" i="33"/>
  <c r="G21" i="33"/>
  <c r="G22" i="33"/>
  <c r="G23" i="33"/>
  <c r="G24" i="33"/>
  <c r="G25" i="33"/>
  <c r="G26" i="33"/>
  <c r="G28" i="33"/>
  <c r="G29" i="33"/>
  <c r="G30" i="33"/>
  <c r="G32" i="33" l="1"/>
  <c r="F21" i="39" l="1"/>
  <c r="F22" i="39"/>
  <c r="G23" i="39"/>
  <c r="G25" i="39" s="1"/>
  <c r="F70" i="39"/>
  <c r="G71" i="39"/>
  <c r="G93" i="39" s="1"/>
  <c r="G94" i="39" s="1"/>
  <c r="G116" i="39" l="1"/>
</calcChain>
</file>

<file path=xl/sharedStrings.xml><?xml version="1.0" encoding="utf-8"?>
<sst xmlns="http://schemas.openxmlformats.org/spreadsheetml/2006/main" count="1896" uniqueCount="430">
  <si>
    <t>ATTACHMENT J-0200000-07</t>
  </si>
  <si>
    <t>EXHIBIT LINE ITEM NUMBERS</t>
  </si>
  <si>
    <t>CONTRACT N40080-25-D-XXXX</t>
  </si>
  <si>
    <t xml:space="preserve">EXHIBIT A </t>
  </si>
  <si>
    <t>RECURRING WORK - BASE PERIOD</t>
  </si>
  <si>
    <t>PROVIDE PRICES TO PEFFORM CUSTOMER SERVICES - RECURRING</t>
  </si>
  <si>
    <t>IN ACCORDANCE WITH SECTION C, SPEC ITEM 3</t>
  </si>
  <si>
    <t>ELIN        Sub/ELIN</t>
  </si>
  <si>
    <t>Description</t>
  </si>
  <si>
    <t>Quantity</t>
  </si>
  <si>
    <t>Unit of Issue</t>
  </si>
  <si>
    <t>Unit Price</t>
  </si>
  <si>
    <t>Total</t>
  </si>
  <si>
    <t>CAC</t>
  </si>
  <si>
    <t>PUBLIC WORKS DEPARTMENT WASHINGTON</t>
  </si>
  <si>
    <t>A100</t>
  </si>
  <si>
    <t>Region - USNO</t>
  </si>
  <si>
    <t>AA</t>
  </si>
  <si>
    <t>Custodial - COL3 Base Measures</t>
  </si>
  <si>
    <t>MO</t>
  </si>
  <si>
    <t>AB</t>
  </si>
  <si>
    <t>Custodial - Prestige</t>
  </si>
  <si>
    <t>REGION USNO Subtotal</t>
  </si>
  <si>
    <t>A101</t>
  </si>
  <si>
    <t>Region - Carderock</t>
  </si>
  <si>
    <t xml:space="preserve">    REGION CARDEROCK Subtotal</t>
  </si>
  <si>
    <t>A102</t>
  </si>
  <si>
    <t>NAVFAC Carderock</t>
  </si>
  <si>
    <t>Custodial - Service Class B</t>
  </si>
  <si>
    <t>Custodial - Service Class C</t>
  </si>
  <si>
    <t>NAVFAC CARDEROCK Subtotal</t>
  </si>
  <si>
    <t>PWD WASHINGTON TOTAL</t>
  </si>
  <si>
    <t>PUBLIC WORKS DEPARTMENT SOUTH POTOMAC</t>
  </si>
  <si>
    <t>A300</t>
  </si>
  <si>
    <t>Region - Dahlgren</t>
  </si>
  <si>
    <t>AC</t>
  </si>
  <si>
    <t>Custodial - Mandated Service Classes for Child Youth Program Facilities</t>
  </si>
  <si>
    <t>REGION DAHLGREN Subtotal</t>
  </si>
  <si>
    <t>A301</t>
  </si>
  <si>
    <t>BUMED - Naval Clinic at NSWC Dahlgren</t>
  </si>
  <si>
    <t>REMOVED</t>
  </si>
  <si>
    <t>BUMED DAHLGREN Subtotal</t>
  </si>
  <si>
    <t>A302</t>
  </si>
  <si>
    <t>DODD School at NSWC Dahlgren</t>
  </si>
  <si>
    <t>Custodial - Service Class A</t>
  </si>
  <si>
    <t>DODD SCHOOL AT NSWC DAHLGREN Subtotal</t>
  </si>
  <si>
    <t>A303</t>
  </si>
  <si>
    <t>Navy Exchange at NSWC Dahlgren</t>
  </si>
  <si>
    <t>NAVY EXCHANGE AT NSWC DAHLGREN Subtotal</t>
  </si>
  <si>
    <t>A304</t>
  </si>
  <si>
    <t>DECA Commissary at NSWC Dahlgren</t>
  </si>
  <si>
    <t>DECA COMMISSARY AT NSWC DAHLGREN Subtotal</t>
  </si>
  <si>
    <t>A305</t>
  </si>
  <si>
    <t>Air Force at NSWC Dahlgen</t>
  </si>
  <si>
    <t>AIR FORCE AT NSWC DAHLGREN Subtotal</t>
  </si>
  <si>
    <t>A306</t>
  </si>
  <si>
    <t>Naval Surface and Mine Warfighting Development Center (NSMWDC) Dahlgren</t>
  </si>
  <si>
    <t>NSWC DAHLGREN Subtotal</t>
  </si>
  <si>
    <t>DAHLGREN Total</t>
  </si>
  <si>
    <t>A308</t>
  </si>
  <si>
    <t>Region - Indian Head</t>
  </si>
  <si>
    <t>REGION INDIAN HEAD Subtotal</t>
  </si>
  <si>
    <t>A309</t>
  </si>
  <si>
    <t>Naval Surface Warfare Center (NSWC) Indian Head</t>
  </si>
  <si>
    <t>NSWC INDIAN HEAD Subtotal</t>
  </si>
  <si>
    <t>A310</t>
  </si>
  <si>
    <t>EOD Tech Division at NSWC Indian Head</t>
  </si>
  <si>
    <t>EOD TECH DIVISION NSWC INDIAN HEAD Subtotal</t>
  </si>
  <si>
    <t>A311</t>
  </si>
  <si>
    <t>BUMED Naval Clinic at NSWC Indian Head</t>
  </si>
  <si>
    <t>BUMED NSWC INDIAN HEAD Subtotal</t>
  </si>
  <si>
    <t>A312</t>
  </si>
  <si>
    <t>NRL Pomonkey Indian Head</t>
  </si>
  <si>
    <t>NRL POMONKEY INDIAN HEAD Subtotal</t>
  </si>
  <si>
    <t>A313</t>
  </si>
  <si>
    <t>SEALOG at Indian Head</t>
  </si>
  <si>
    <t>SEALOG AT INDIAN HEAD Subtotal</t>
  </si>
  <si>
    <t>A314</t>
  </si>
  <si>
    <t>DIA at Indian Head</t>
  </si>
  <si>
    <t>DIA AT INDIAN HEAD Subtotal</t>
  </si>
  <si>
    <t>A315</t>
  </si>
  <si>
    <t>REGION NAVFAC at Indian Head</t>
  </si>
  <si>
    <t xml:space="preserve"> </t>
  </si>
  <si>
    <t>INDIAN HEAD Total</t>
  </si>
  <si>
    <t>PWD SOUTH POTOMAC TOTAL</t>
  </si>
  <si>
    <t>PUBLIC WORKS DEPARMENT PATUXENT RIVER</t>
  </si>
  <si>
    <t>A400</t>
  </si>
  <si>
    <t>Region at NSA Patuxent River and Webster Field (O&amp;MN)</t>
  </si>
  <si>
    <t>REGION NSA PAX RIVER AND WEBSTER FELD Subtotal</t>
  </si>
  <si>
    <t>A401</t>
  </si>
  <si>
    <t>Region at Solomons Annex</t>
  </si>
  <si>
    <t>REGION AT SOLOMONS ANNEX Subtotal</t>
  </si>
  <si>
    <t>A402</t>
  </si>
  <si>
    <t>NAWC (NWCF) at Webster Field</t>
  </si>
  <si>
    <t>NAWC (NWCF) AT WEBSTER FIELD Subtotal</t>
  </si>
  <si>
    <t>A404</t>
  </si>
  <si>
    <t>COMFRC Solomons Annex</t>
  </si>
  <si>
    <t>Custodial - Service Class D</t>
  </si>
  <si>
    <t>COMFRC SOLOMONS ANNEX Subtotal</t>
  </si>
  <si>
    <t>PWD PAX TOTAL</t>
  </si>
  <si>
    <t>TOTAL RECURRING WORK BASE PERIOD</t>
  </si>
  <si>
    <t>SOLICITATION/CONTRACT #N40080-18-R-0307</t>
  </si>
  <si>
    <t>EXHIBIT A</t>
  </si>
  <si>
    <t>NON RECURRING WORK - BASE PERIOD</t>
  </si>
  <si>
    <t>PROVIDE PRICES TO PEFFORM CUSTOMER SERVICES - NON RECURRING</t>
  </si>
  <si>
    <t>IN ACCORDANCE WITH SECTION C, SPEC ITEM 4</t>
  </si>
  <si>
    <t>ELIN</t>
  </si>
  <si>
    <t>Product Name</t>
  </si>
  <si>
    <t>Description Extended</t>
  </si>
  <si>
    <t>Estimated Quantity</t>
  </si>
  <si>
    <t>Extended Price</t>
  </si>
  <si>
    <t>IMAP CAC(s)</t>
  </si>
  <si>
    <t>A900</t>
  </si>
  <si>
    <t>Emptying Waste Containers</t>
  </si>
  <si>
    <t xml:space="preserve">The Contractor shall empty waste containers and ensure they are clean and sanitary. Waterproof liners are provided and replaced when soiled or unserviceable.  The Contractor shall collect and dispose of items placed adjacent to waste containers and marked "TRASH." </t>
  </si>
  <si>
    <t>EA</t>
  </si>
  <si>
    <t>A901</t>
  </si>
  <si>
    <t>Low Area Cleaning</t>
  </si>
  <si>
    <t>The Contractor shall provide low area cleaning services to ensure surface areas are clean.  Low area cleaning includes all furniture and fixtures (e.g., partitions, radiators, equipment, hand railings in stairways, grills, ledges, sills, walls, doors, light fixtures, chalk and dry boards and trays, miscellaneous hardware and bright metal work) to a maximum height of 7'-0" above floor level.</t>
  </si>
  <si>
    <t>SF</t>
  </si>
  <si>
    <t>A902</t>
  </si>
  <si>
    <t>Kitchenettes, Lunch and Break Room Cleaning and Servicing</t>
  </si>
  <si>
    <t xml:space="preserve">The Contractor shall provide cleaning services in kitchenettes, lunch and breakrooms to ensure areas are clean and sanitary. Employee kitchenettes, lunch and breakrooms shall include sinks, countertops, trash containers and dining areas.  Where present, soap and paper towel dispensers shall be refilled.  The Contractor shall collect all waste from kitchenettes, lunch and breakrooms.  All waste shall be moved to designated refuse containers.   </t>
  </si>
  <si>
    <t>A903</t>
  </si>
  <si>
    <t>High Area Cleaning</t>
  </si>
  <si>
    <t>The Contractor shall provide high area cleaning services to ensure surfaces are clean.  High Area cleaning to include overhead piping, light fixtures, heating and air conditioning vents and ceiling areas between 7-10 feet may be performed with extension tools or step ladders. All dust and debris shall be removed. Surfaces below the work shall be protected from dust and debris.</t>
  </si>
  <si>
    <t>A904</t>
  </si>
  <si>
    <t>Interior Window Cleaning</t>
  </si>
  <si>
    <t>The Contractor shall clean window surfaces and adjacent areas to ensure that surfaces are clean and sightly.</t>
  </si>
  <si>
    <t>A905</t>
  </si>
  <si>
    <t>Exterior Window Cleaning</t>
  </si>
  <si>
    <t>The Contractor shall clean window surfaces and adjacent areas to ensure that surfaces are clean and sightly. Where storm windows exist, the Contractor shall clean both sides of the storm window and the outside of the inner glass. When screens are present, the Contractor shall remove and clean the screen such that it is free of debris and dust before reinstalling over cleaned windows.  Work will not be considered complete until screens are reinstalled.</t>
  </si>
  <si>
    <t>A906</t>
  </si>
  <si>
    <t>Window Blind Cleaning</t>
  </si>
  <si>
    <t>Contractor shall clean both sides of window blinds to ensure they are clean. If removed for cleaning, blinds are returned to their original location within two working days.</t>
  </si>
  <si>
    <t>A907</t>
  </si>
  <si>
    <t>Entrance Cleaning</t>
  </si>
  <si>
    <t>The Contractor shall clean both sides of doors and all associated glass of the entrance to ensure doors and glass surfaces are clean and sightly.  Entrances surfaces include but are not limited to doors, associated transoms, and sidelights.</t>
  </si>
  <si>
    <t>A908</t>
  </si>
  <si>
    <t>Interior Glass Surface Cleaning</t>
  </si>
  <si>
    <t>The Contractor shall clean all interior glass to include interior doors, display cases, partitions, and walls to ensure glass surfaces are clean.  Glass surfaces are clean on both sides and for the full height of the glass.</t>
  </si>
  <si>
    <t>A909</t>
  </si>
  <si>
    <t>Drinking Fountains</t>
  </si>
  <si>
    <t>The Contractor shall clean drinking fountains to ensure they are clean, sanitary, properly disinfected and sightly.</t>
  </si>
  <si>
    <t>A910</t>
  </si>
  <si>
    <t>Sweeping and Dust Mopping</t>
  </si>
  <si>
    <t>The Contractor shall sweep or dust mop uncarpeted floors to ensure floors are free of debris and dust, including stairwells and elevators.</t>
  </si>
  <si>
    <t>A911</t>
  </si>
  <si>
    <t>Vacuuming Carpets and Rugs</t>
  </si>
  <si>
    <t>The Contractor shall vacuum carpets and rugs to ensure they are free of debris and dust.  Contractor shall provide spot cleaning as needed.</t>
  </si>
  <si>
    <t>A912</t>
  </si>
  <si>
    <t>Cleaning Walk-off Mats</t>
  </si>
  <si>
    <t xml:space="preserve">The Contractor shall clean the walk-off mats and surfaces below the mats. Mats and the surface below the mats shall be clean.  The Contractor shall notify the KO when walk-off mats are defective, missing, or not serviceable. </t>
  </si>
  <si>
    <t>A913</t>
  </si>
  <si>
    <t>Spray Cleaning and Buffing</t>
  </si>
  <si>
    <t>The Contractor shall spray and buff floors to ensure floors are clean and present a uniform gloss finish, This service includes the floors swept prior to spraying and buffing floors.</t>
  </si>
  <si>
    <t>A914</t>
  </si>
  <si>
    <t>Damp Mopping</t>
  </si>
  <si>
    <t>The Contractor shall damp mop floors to ensure that floors are clean.  Kitchen and restroom floors shall be sanitized.  Work shall be completed at the frequency requested. This service includes the floors swept prior to wet-mopping.</t>
  </si>
  <si>
    <t>A915</t>
  </si>
  <si>
    <t>Stripping, Coating, and Buffing</t>
  </si>
  <si>
    <t>The Contractor shall strip, coat, and buff uncarpeted floors, including stairwells and elevators to ensure that floors are clean and sightly. The Contractor shall ensure there is no buildup or residue on baseboards, mop boards, cove base, and kick plates.  The Contractor shall apply sufficient coats of product to protect floors from traffic and use and shall result in a non-slip finish.</t>
  </si>
  <si>
    <t>A916</t>
  </si>
  <si>
    <t xml:space="preserve">Carpet and Rug Deep Cleaning </t>
  </si>
  <si>
    <t>The Contractor shall deep clean carpets and rugs to ensure that floors are clean and sightly.  Acceptable methods for deep cleaning include shampooing, chemical extraction, steam cleaning, and other similar deep cleaning processes.  Carpets and rugs are dry and passable in 12 hours.</t>
  </si>
  <si>
    <t>A917</t>
  </si>
  <si>
    <t>Restroom Cleaning/Servicing</t>
  </si>
  <si>
    <t xml:space="preserve">The Contractor shall clean and disinfect restrooms to ensure they are clean, sanitary, and free of offensive odors. Cleaning materials, including sponges, cloths, brushes, and similar items, used to clean toilets, urinals, floors, and walls shall not be used to clean showers, laborites, or sinks.  All restroom floors, walls, partitions, fixtures, mirrors, and shower areas shall be disinfected. </t>
  </si>
  <si>
    <t>A918</t>
  </si>
  <si>
    <t>Group Shower/Locker Room Cleaning</t>
  </si>
  <si>
    <t xml:space="preserve">The Contractor shall provide cleaning services in group shower/locker rooms to ensure areas are clean and sanitary and free of offensive odors.  All cleaning materials, including sponges, cloths, brushes, and similar items, used to clean toilets, urinals, floors, and walls shall not be used to clean showers, lavatories and sinks. Shower/locker room supplies are filled to capacity and are available.  Shower/locker room supplies include toilet paper, toilet seat protectors, soap, and paper towels in all dispensers.  The Contractor shall collect all waste from all shower/locker rooms.  All waste shall be moved to designated refuse containers.   </t>
  </si>
  <si>
    <t>A919</t>
  </si>
  <si>
    <t>Debris Removal</t>
  </si>
  <si>
    <t>The Contractor shall remove debris from the building perimeter to ensure a sightly appearance.  The Contractor shall deposit all debris in the designated waste container.</t>
  </si>
  <si>
    <t>A920</t>
  </si>
  <si>
    <t>Perimeter Waste Containers</t>
  </si>
  <si>
    <t>The Contractor shall empty waste containers, excluding dumpsters, located in the perimeter area to ensure they are empty and clean. The Contactor shall pick up all waste around the containers.  The Contractor shall collect and dispose of items placed adjacent to waste containers. The Contractor shall empty ash urns and refill or replace sand as necessary.</t>
  </si>
  <si>
    <t>A921</t>
  </si>
  <si>
    <t>Unscheduled Services</t>
  </si>
  <si>
    <t>The Contractor shall respond and complete requests for minor cleaning tasks between scheduled service intervals to ensure spaces and surfaces are clean.Typical unscheduled services include clean up of overflowed restroom fixtures, spills, bodily fluids, muddy or wet entrances, broken glass, carpet spot cleaning and other similar items.An unscheduled service is limited to two labor hours or $100 of labor and materials cost per occurrence.</t>
  </si>
  <si>
    <t>A922</t>
  </si>
  <si>
    <t>Non-Recurring Work to be Negotiated Per Task Order</t>
  </si>
  <si>
    <t>NTE</t>
  </si>
  <si>
    <t>TOTAL NON RECURRING PRICE BASE YEAR</t>
  </si>
  <si>
    <t>EXHIBIT B</t>
  </si>
  <si>
    <t>RECURRING WORK - OPTION YEAR 1</t>
  </si>
  <si>
    <t>B100</t>
  </si>
  <si>
    <t>B101</t>
  </si>
  <si>
    <t>B102</t>
  </si>
  <si>
    <t>B300</t>
  </si>
  <si>
    <t>B301</t>
  </si>
  <si>
    <t>Custodial - J-1503010-04 Indian Head and Dahlgren Mandated Service Classes for Hospitals and Clinics</t>
  </si>
  <si>
    <t>B302</t>
  </si>
  <si>
    <t>B303</t>
  </si>
  <si>
    <t>B304</t>
  </si>
  <si>
    <t>B305</t>
  </si>
  <si>
    <t>B306</t>
  </si>
  <si>
    <t>B308</t>
  </si>
  <si>
    <t>B309</t>
  </si>
  <si>
    <t>B310</t>
  </si>
  <si>
    <t>B311</t>
  </si>
  <si>
    <t>Service Class B</t>
  </si>
  <si>
    <t>B312</t>
  </si>
  <si>
    <t>B313</t>
  </si>
  <si>
    <t>B314</t>
  </si>
  <si>
    <t>B315</t>
  </si>
  <si>
    <t>NAVFAC AT INDIAN HEAD Subtotal</t>
  </si>
  <si>
    <t>B400</t>
  </si>
  <si>
    <t>B401</t>
  </si>
  <si>
    <t>B402</t>
  </si>
  <si>
    <t>B404</t>
  </si>
  <si>
    <t>SOLICITATION/CONTRACT #N40080-25-D-XXXX</t>
  </si>
  <si>
    <t>NON RECURRING WORK - OPTION YEAR 1</t>
  </si>
  <si>
    <t>B900</t>
  </si>
  <si>
    <t>B901</t>
  </si>
  <si>
    <t>B902</t>
  </si>
  <si>
    <t>B903</t>
  </si>
  <si>
    <t>B904</t>
  </si>
  <si>
    <t>B905</t>
  </si>
  <si>
    <t>B906</t>
  </si>
  <si>
    <t>B907</t>
  </si>
  <si>
    <t>B908</t>
  </si>
  <si>
    <t>B909</t>
  </si>
  <si>
    <t>B910</t>
  </si>
  <si>
    <t>B911</t>
  </si>
  <si>
    <t>B912</t>
  </si>
  <si>
    <t>B913</t>
  </si>
  <si>
    <t>B914</t>
  </si>
  <si>
    <t>B915</t>
  </si>
  <si>
    <t>B916</t>
  </si>
  <si>
    <t>B917</t>
  </si>
  <si>
    <t>B918</t>
  </si>
  <si>
    <t>B919</t>
  </si>
  <si>
    <t>B920</t>
  </si>
  <si>
    <t>B921</t>
  </si>
  <si>
    <t>B922</t>
  </si>
  <si>
    <t>EXHIBIT C</t>
  </si>
  <si>
    <t>RECURRING WORK - OPTION YEAR 2</t>
  </si>
  <si>
    <t>C100</t>
  </si>
  <si>
    <t>C101</t>
  </si>
  <si>
    <t>C102</t>
  </si>
  <si>
    <t>C300</t>
  </si>
  <si>
    <t>C301</t>
  </si>
  <si>
    <t>C302</t>
  </si>
  <si>
    <t>C303</t>
  </si>
  <si>
    <t>C304</t>
  </si>
  <si>
    <t>C305</t>
  </si>
  <si>
    <t>C306</t>
  </si>
  <si>
    <t>C308</t>
  </si>
  <si>
    <t>C309</t>
  </si>
  <si>
    <t>C310</t>
  </si>
  <si>
    <t>C311</t>
  </si>
  <si>
    <t>C312</t>
  </si>
  <si>
    <t>C313</t>
  </si>
  <si>
    <t>C314</t>
  </si>
  <si>
    <t>C315</t>
  </si>
  <si>
    <t>C400</t>
  </si>
  <si>
    <t>C401</t>
  </si>
  <si>
    <t>C402</t>
  </si>
  <si>
    <t>C404</t>
  </si>
  <si>
    <t>NON RECURRING WORK - OPTION YEAR 2</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</si>
  <si>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</si>
  <si>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</si>
  <si>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</si>
  <si>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</si>
  <si>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</si>
  <si>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</si>
  <si>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</si>
  <si>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</si>
  <si>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</si>
  <si>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</si>
  <si>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</si>
  <si>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</si>
  <si>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</si>
  <si>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</si>
  <si>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</si>
  <si>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</si>
  <si>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</si>
  <si>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</si>
  <si>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</si>
  <si>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</si>
  <si>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</si>
  <si>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</si>
  <si>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</si>
  <si>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EXHIBIT D</t>
  </si>
  <si>
    <t>RECURRING WORK - OPTION YEAR 3</t>
  </si>
  <si>
    <t>D100</t>
  </si>
  <si>
    <t>D101</t>
  </si>
  <si>
    <t>D102</t>
  </si>
  <si>
    <t>D300</t>
  </si>
  <si>
    <t>D301</t>
  </si>
  <si>
    <t>D302</t>
  </si>
  <si>
    <t>D303</t>
  </si>
  <si>
    <t>D304</t>
  </si>
  <si>
    <t>D305</t>
  </si>
  <si>
    <t>D306</t>
  </si>
  <si>
    <t>D308</t>
  </si>
  <si>
    <t>D309</t>
  </si>
  <si>
    <t>D310</t>
  </si>
  <si>
    <t>D311</t>
  </si>
  <si>
    <t>D312</t>
  </si>
  <si>
    <t>D313</t>
  </si>
  <si>
    <t>D314</t>
  </si>
  <si>
    <t>D315</t>
  </si>
  <si>
    <t>D400</t>
  </si>
  <si>
    <t>D401</t>
  </si>
  <si>
    <t>D402</t>
  </si>
  <si>
    <t>D404</t>
  </si>
  <si>
    <t>NON RECURRING WORK - OPTION YEAR 3</t>
  </si>
  <si>
    <t>D900</t>
  </si>
  <si>
    <t>D901</t>
  </si>
  <si>
    <t>D902</t>
  </si>
  <si>
    <t>D903</t>
  </si>
  <si>
    <t>D904</t>
  </si>
  <si>
    <t>D905</t>
  </si>
  <si>
    <t>D906</t>
  </si>
  <si>
    <t>D907</t>
  </si>
  <si>
    <t>D908</t>
  </si>
  <si>
    <t>D909</t>
  </si>
  <si>
    <t>D910</t>
  </si>
  <si>
    <t>D911</t>
  </si>
  <si>
    <t>D912</t>
  </si>
  <si>
    <t>D913</t>
  </si>
  <si>
    <t>D914</t>
  </si>
  <si>
    <t>D915</t>
  </si>
  <si>
    <t>D916</t>
  </si>
  <si>
    <t>D917</t>
  </si>
  <si>
    <t>D918</t>
  </si>
  <si>
    <t>D919</t>
  </si>
  <si>
    <t>D920</t>
  </si>
  <si>
    <t>D921</t>
  </si>
  <si>
    <t>D922</t>
  </si>
  <si>
    <t>EXHIBIT E</t>
  </si>
  <si>
    <t>RECURRING WORK - OPTION YEAR 4</t>
  </si>
  <si>
    <t>E100</t>
  </si>
  <si>
    <t>E101</t>
  </si>
  <si>
    <t>Custodial - EOL3 Base Measures</t>
  </si>
  <si>
    <t>E102</t>
  </si>
  <si>
    <t>E300</t>
  </si>
  <si>
    <t>AE</t>
  </si>
  <si>
    <t>E301</t>
  </si>
  <si>
    <t>E302</t>
  </si>
  <si>
    <t>E303</t>
  </si>
  <si>
    <t>E304</t>
  </si>
  <si>
    <t>E305</t>
  </si>
  <si>
    <t>E306</t>
  </si>
  <si>
    <t>E308</t>
  </si>
  <si>
    <t>E309</t>
  </si>
  <si>
    <t>E310</t>
  </si>
  <si>
    <t>E311</t>
  </si>
  <si>
    <t>E312</t>
  </si>
  <si>
    <t>E313</t>
  </si>
  <si>
    <t>E314</t>
  </si>
  <si>
    <t>E315</t>
  </si>
  <si>
    <t>E400</t>
  </si>
  <si>
    <t>E401</t>
  </si>
  <si>
    <t>E402</t>
  </si>
  <si>
    <t>E404</t>
  </si>
  <si>
    <t>NON RECURRING WORK - OPTION YEAR 4</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</si>
  <si>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</si>
  <si>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</si>
  <si>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</si>
  <si>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</si>
  <si>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</si>
  <si>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</si>
  <si>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</si>
  <si>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</si>
  <si>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</si>
  <si>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</si>
  <si>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</si>
  <si>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</si>
  <si>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</si>
  <si>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</si>
  <si>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</si>
  <si>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</si>
  <si>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</si>
  <si>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</si>
  <si>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</si>
  <si>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</si>
  <si>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</si>
  <si>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</si>
  <si>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</si>
  <si>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EXHIBIT F</t>
  </si>
  <si>
    <t>RECURRING WORK - 6 MONTH OPTION</t>
  </si>
  <si>
    <t>F100</t>
  </si>
  <si>
    <t>F101</t>
  </si>
  <si>
    <t>F102</t>
  </si>
  <si>
    <t>F300</t>
  </si>
  <si>
    <t>F301</t>
  </si>
  <si>
    <t>F302</t>
  </si>
  <si>
    <t>F303</t>
  </si>
  <si>
    <t>F304</t>
  </si>
  <si>
    <t>F305</t>
  </si>
  <si>
    <t>F306</t>
  </si>
  <si>
    <t>F308</t>
  </si>
  <si>
    <t>F309</t>
  </si>
  <si>
    <t>F310</t>
  </si>
  <si>
    <t>F311</t>
  </si>
  <si>
    <t>F312</t>
  </si>
  <si>
    <t>F313</t>
  </si>
  <si>
    <t>F314</t>
  </si>
  <si>
    <t>F315</t>
  </si>
  <si>
    <t>F400</t>
  </si>
  <si>
    <t>F401</t>
  </si>
  <si>
    <t>F402</t>
  </si>
  <si>
    <t>F404</t>
  </si>
  <si>
    <t>NON RECURRING WORK - 6 MONTH OPTION</t>
  </si>
  <si>
    <t>F900</t>
  </si>
  <si>
    <t>F901</t>
  </si>
  <si>
    <t>F902</t>
  </si>
  <si>
    <t>F903</t>
  </si>
  <si>
    <t>F904</t>
  </si>
  <si>
    <t>F905</t>
  </si>
  <si>
    <t>F906</t>
  </si>
  <si>
    <t>F907</t>
  </si>
  <si>
    <t>F908</t>
  </si>
  <si>
    <t>F909</t>
  </si>
  <si>
    <t>F910</t>
  </si>
  <si>
    <t>F911</t>
  </si>
  <si>
    <t>F912</t>
  </si>
  <si>
    <t>F913</t>
  </si>
  <si>
    <t>F914</t>
  </si>
  <si>
    <t>F915</t>
  </si>
  <si>
    <t>F916</t>
  </si>
  <si>
    <t>F917</t>
  </si>
  <si>
    <t>F918</t>
  </si>
  <si>
    <t>F919</t>
  </si>
  <si>
    <t>F920</t>
  </si>
  <si>
    <t>F921</t>
  </si>
  <si>
    <t>F922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</si>
</sst>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44" formatCode="_(&quot;$&quot;* #,##0.00_);_(&quot;$&quot;* \(#,##0.00\);_(&quot;$&quot;* &quot;-&quot;??_);_(@_)"/>
    <numFmt numFmtId="43" formatCode="_(* #,##0.00_);_(* \(#,##0.00\);_(* &quot;-&quot;??_);_(@_)"/>
    <numFmt numFmtId="164" formatCode="&quot;$&quot;#,##0.00"/>
    <numFmt numFmtId="165" formatCode="0.0"/>
  </numFmts>
  <fonts count="14" x14ac:knownFonts="1">
    <font>
      <sz val="11"/>
      <color theme="1"/>
      <name val="Calibri"/>
      <family val="2"/>
      <scheme val="minor"/>
    </font>
    <font>
      <sz val="11"/>
      <color theme="1"/>
      <name val="Calibri"/>
      <family val="2"/>
      <scheme val="minor"/>
    </font>
    <font>
      <sz val="10"/>
      <color theme="1"/>
      <name val="Times New Roman"/>
      <family val="1"/>
    </font>
    <font>
      <sz val="10"/>
      <name val="Arial"/>
      <family val="2"/>
    </font>
    <font>
      <sz val="10"/>
      <name val="Times New Roman"/>
      <family val="1"/>
    </font>
    <font>
      <sz val="10"/>
      <color indexed="8"/>
      <name val="Arial"/>
      <family val="2"/>
    </font>
    <font>
      <b/>
      <sz val="11"/>
      <color theme="1"/>
      <name val="Calibri"/>
      <family val="2"/>
      <scheme val="minor"/>
    </font>
    <font>
      <b/>
      <sz val="10"/>
      <name val="Times New Roman"/>
      <family val="1"/>
    </font>
    <font>
      <b/>
      <i/>
      <sz val="10"/>
      <name val="Times New Roman"/>
      <family val="1"/>
    </font>
    <font>
      <sz val="10"/>
      <color rgb="FF000000"/>
      <name val="Times New Roman"/>
      <family val="1"/>
    </font>
    <font>
      <sz val="10"/>
      <color indexed="8"/>
      <name val="Times New Roman"/>
      <family val="1"/>
    </font>
    <font>
      <sz val="10"/>
      <name val="Arial"/>
      <family val="2"/>
    </font>
    <font>
      <sz val="10"/>
      <color rgb="FFFF0000"/>
      <name val="Times New Roman"/>
      <family val="1"/>
    </font>
    <font>
      <b/>
      <u/>
      <sz val="10"/>
      <name val="Times New Roman"/>
      <family val="1"/>
    </font>
  </fonts>
  <fills count="7">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9" tint="0.39997558519241921"/>
        <bgColor indexed="64"/>
      </patternFill>
    </fill>
  </fills>
  <borders count="3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auto="1"/>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12">
    <xf numFmtId="0" fontId="0" fillId="0" borderId="0"/>
    <xf numFmtId="43" fontId="3" fillId="0" borderId="0" applyFont="0" applyFill="0" applyBorder="0" applyAlignment="0" applyProtection="0"/>
    <xf numFmtId="44" fontId="3" fillId="0" borderId="0" applyFont="0" applyFill="0" applyBorder="0" applyAlignment="0" applyProtection="0"/>
    <xf numFmtId="0" fontId="4" fillId="0" borderId="0"/>
    <xf numFmtId="0" fontId="1" fillId="0" borderId="0"/>
    <xf numFmtId="0" fontId="5" fillId="0" borderId="0"/>
    <xf numFmtId="0" fontId="3" fillId="0" borderId="0"/>
    <xf numFmtId="0" fontId="3" fillId="0" borderId="0"/>
    <xf numFmtId="44" fontId="3" fillId="0" borderId="0" applyFont="0" applyFill="0" applyBorder="0" applyAlignment="0" applyProtection="0"/>
    <xf numFmtId="0" fontId="3" fillId="0" borderId="0"/>
    <xf numFmtId="0" fontId="1" fillId="0" borderId="0"/>
    <xf numFmtId="0" fontId="11" fillId="0" borderId="0"/>
  </cellStyleXfs>
  <cellXfs count="245">
    <xf numFmtId="0" fontId="0" fillId="0" borderId="0" xfId="0"/>
    <xf numFmtId="0" fontId="4" fillId="0" borderId="0" xfId="6" applyFont="1"/>
    <xf numFmtId="44" fontId="4" fillId="0" borderId="0" xfId="2" applyFont="1"/>
    <xf numFmtId="0" fontId="4" fillId="0" borderId="0" xfId="6" applyFont="1" applyAlignment="1">
      <alignment wrapText="1"/>
    </xf>
    <xf numFmtId="49" fontId="4" fillId="0" borderId="0" xfId="6" applyNumberFormat="1" applyFont="1"/>
    <xf numFmtId="44" fontId="4" fillId="0" borderId="0" xfId="2" applyFont="1" applyBorder="1"/>
    <xf numFmtId="0" fontId="4" fillId="0" borderId="8" xfId="6" applyFont="1" applyBorder="1" applyAlignment="1">
      <alignment vertical="top" wrapText="1"/>
    </xf>
    <xf numFmtId="7" fontId="7" fillId="0" borderId="9" xfId="2" applyNumberFormat="1" applyFont="1" applyFill="1" applyBorder="1" applyAlignment="1">
      <alignment vertical="top" wrapText="1"/>
    </xf>
    <xf numFmtId="44" fontId="8" fillId="0" borderId="9" xfId="2" applyFont="1" applyFill="1" applyBorder="1" applyAlignment="1">
      <alignment vertical="top" wrapText="1"/>
    </xf>
    <xf numFmtId="0" fontId="4" fillId="0" borderId="9" xfId="6" applyFont="1" applyBorder="1" applyAlignment="1">
      <alignment horizontal="right" vertical="top" wrapText="1"/>
    </xf>
    <xf numFmtId="0" fontId="7" fillId="0" borderId="9" xfId="6" applyFont="1" applyBorder="1" applyAlignment="1">
      <alignment vertical="top" wrapText="1"/>
    </xf>
    <xf numFmtId="0" fontId="4" fillId="0" borderId="9" xfId="6" applyFont="1" applyBorder="1" applyAlignment="1">
      <alignment vertical="top" wrapText="1"/>
    </xf>
    <xf numFmtId="0" fontId="4" fillId="0" borderId="10" xfId="6" applyFont="1" applyBorder="1" applyAlignment="1">
      <alignment vertical="top"/>
    </xf>
    <xf numFmtId="0" fontId="9" fillId="0" borderId="0" xfId="6" applyFont="1" applyAlignment="1">
      <alignment wrapText="1"/>
    </xf>
    <xf numFmtId="0" fontId="4" fillId="0" borderId="11" xfId="6" applyFont="1" applyBorder="1" applyAlignment="1">
      <alignment horizontal="center" vertical="center"/>
    </xf>
    <xf numFmtId="7" fontId="4" fillId="0" borderId="3" xfId="2" applyNumberFormat="1" applyFont="1" applyFill="1" applyBorder="1" applyAlignment="1">
      <alignment horizontal="right" vertical="center" wrapText="1"/>
    </xf>
    <xf numFmtId="44" fontId="4" fillId="0" borderId="3" xfId="2" applyFont="1" applyBorder="1" applyAlignment="1">
      <alignment horizontal="center" vertical="center" wrapText="1"/>
    </xf>
    <xf numFmtId="0" fontId="4" fillId="0" borderId="3" xfId="6" applyFont="1" applyBorder="1" applyAlignment="1">
      <alignment horizontal="center" vertical="center"/>
    </xf>
    <xf numFmtId="0" fontId="9" fillId="0" borderId="3" xfId="6" applyFont="1" applyBorder="1" applyAlignment="1">
      <alignment vertical="center" wrapText="1"/>
    </xf>
    <xf numFmtId="0" fontId="4" fillId="0" borderId="3" xfId="6" applyFont="1" applyBorder="1" applyAlignment="1">
      <alignment vertical="top" wrapText="1"/>
    </xf>
    <xf numFmtId="0" fontId="4" fillId="0" borderId="12" xfId="6" applyFont="1" applyBorder="1" applyAlignment="1">
      <alignment vertical="top"/>
    </xf>
    <xf numFmtId="0" fontId="9" fillId="0" borderId="3" xfId="6" applyFont="1" applyBorder="1" applyAlignment="1">
      <alignment horizontal="center" vertical="center" wrapText="1"/>
    </xf>
    <xf numFmtId="3" fontId="9" fillId="0" borderId="3" xfId="6" applyNumberFormat="1" applyFont="1" applyBorder="1" applyAlignment="1">
      <alignment horizontal="center" vertical="center" wrapText="1"/>
    </xf>
    <xf numFmtId="0" fontId="9" fillId="0" borderId="3" xfId="6" applyFont="1" applyBorder="1" applyAlignment="1">
      <alignment wrapText="1"/>
    </xf>
    <xf numFmtId="3" fontId="4" fillId="0" borderId="3" xfId="6" applyNumberFormat="1" applyFont="1" applyBorder="1" applyAlignment="1">
      <alignment horizontal="center" vertical="center"/>
    </xf>
    <xf numFmtId="0" fontId="9" fillId="0" borderId="3" xfId="6" applyFont="1" applyBorder="1" applyAlignment="1">
      <alignment vertical="top" wrapText="1"/>
    </xf>
    <xf numFmtId="0" fontId="10" fillId="0" borderId="3" xfId="6" applyFont="1" applyBorder="1" applyAlignment="1">
      <alignment vertical="top" wrapText="1"/>
    </xf>
    <xf numFmtId="0" fontId="10" fillId="0" borderId="3" xfId="6" applyFont="1" applyBorder="1" applyAlignment="1">
      <alignment vertical="center" wrapText="1"/>
    </xf>
    <xf numFmtId="0" fontId="10" fillId="0" borderId="3" xfId="6" applyFont="1" applyBorder="1" applyAlignment="1">
      <alignment horizontal="left" vertical="top" wrapText="1"/>
    </xf>
    <xf numFmtId="0" fontId="4" fillId="0" borderId="0" xfId="6" applyFont="1" applyAlignment="1">
      <alignment horizontal="center"/>
    </xf>
    <xf numFmtId="0" fontId="7" fillId="0" borderId="11" xfId="6" applyFont="1" applyBorder="1" applyAlignment="1">
      <alignment horizontal="center" vertical="top" wrapText="1"/>
    </xf>
    <xf numFmtId="44" fontId="7" fillId="0" borderId="3" xfId="2" applyFont="1" applyFill="1" applyBorder="1" applyAlignment="1">
      <alignment horizontal="center" vertical="top" wrapText="1"/>
    </xf>
    <xf numFmtId="164" fontId="7" fillId="0" borderId="3" xfId="2" applyNumberFormat="1" applyFont="1" applyFill="1" applyBorder="1" applyAlignment="1">
      <alignment horizontal="center" vertical="top" wrapText="1"/>
    </xf>
    <xf numFmtId="0" fontId="7" fillId="0" borderId="3" xfId="6" applyFont="1" applyBorder="1" applyAlignment="1">
      <alignment horizontal="center" vertical="top" wrapText="1"/>
    </xf>
    <xf numFmtId="49" fontId="7" fillId="0" borderId="12" xfId="6" applyNumberFormat="1" applyFont="1" applyBorder="1" applyAlignment="1">
      <alignment horizontal="center" vertical="top"/>
    </xf>
    <xf numFmtId="0" fontId="4" fillId="0" borderId="7" xfId="6" applyFont="1" applyBorder="1"/>
    <xf numFmtId="0" fontId="4" fillId="0" borderId="0" xfId="11" applyFont="1"/>
    <xf numFmtId="44" fontId="4" fillId="0" borderId="0" xfId="11" applyNumberFormat="1" applyFont="1"/>
    <xf numFmtId="0" fontId="4" fillId="3" borderId="8" xfId="11" applyFont="1" applyFill="1" applyBorder="1" applyAlignment="1">
      <alignment horizontal="center"/>
    </xf>
    <xf numFmtId="44" fontId="7" fillId="3" borderId="9" xfId="11" applyNumberFormat="1" applyFont="1" applyFill="1" applyBorder="1" applyAlignment="1">
      <alignment horizontal="right"/>
    </xf>
    <xf numFmtId="0" fontId="4" fillId="3" borderId="9" xfId="11" applyFont="1" applyFill="1" applyBorder="1"/>
    <xf numFmtId="0" fontId="7" fillId="3" borderId="10" xfId="11" applyFont="1" applyFill="1" applyBorder="1"/>
    <xf numFmtId="0" fontId="4" fillId="2" borderId="11" xfId="11" applyFont="1" applyFill="1" applyBorder="1" applyAlignment="1">
      <alignment horizontal="center"/>
    </xf>
    <xf numFmtId="44" fontId="4" fillId="2" borderId="3" xfId="11" applyNumberFormat="1" applyFont="1" applyFill="1" applyBorder="1" applyAlignment="1">
      <alignment horizontal="right"/>
    </xf>
    <xf numFmtId="0" fontId="7" fillId="2" borderId="3" xfId="11" applyFont="1" applyFill="1" applyBorder="1" applyAlignment="1">
      <alignment horizontal="right"/>
    </xf>
    <xf numFmtId="0" fontId="4" fillId="2" borderId="3" xfId="11" applyFont="1" applyFill="1" applyBorder="1" applyAlignment="1">
      <alignment horizontal="center"/>
    </xf>
    <xf numFmtId="3" fontId="4" fillId="2" borderId="3" xfId="11" applyNumberFormat="1" applyFont="1" applyFill="1" applyBorder="1" applyAlignment="1">
      <alignment horizontal="left" wrapText="1"/>
    </xf>
    <xf numFmtId="0" fontId="4" fillId="2" borderId="3" xfId="11" applyFont="1" applyFill="1" applyBorder="1"/>
    <xf numFmtId="0" fontId="7" fillId="2" borderId="12" xfId="11" applyFont="1" applyFill="1" applyBorder="1"/>
    <xf numFmtId="0" fontId="4" fillId="4" borderId="11" xfId="11" applyFont="1" applyFill="1" applyBorder="1" applyAlignment="1">
      <alignment horizontal="center"/>
    </xf>
    <xf numFmtId="44" fontId="4" fillId="4" borderId="3" xfId="11" applyNumberFormat="1" applyFont="1" applyFill="1" applyBorder="1" applyAlignment="1">
      <alignment horizontal="right"/>
    </xf>
    <xf numFmtId="0" fontId="7" fillId="4" borderId="3" xfId="11" applyFont="1" applyFill="1" applyBorder="1" applyAlignment="1">
      <alignment horizontal="right"/>
    </xf>
    <xf numFmtId="0" fontId="4" fillId="4" borderId="3" xfId="11" applyFont="1" applyFill="1" applyBorder="1" applyAlignment="1">
      <alignment horizontal="center"/>
    </xf>
    <xf numFmtId="3" fontId="4" fillId="4" borderId="3" xfId="11" applyNumberFormat="1" applyFont="1" applyFill="1" applyBorder="1" applyAlignment="1">
      <alignment horizontal="left" wrapText="1"/>
    </xf>
    <xf numFmtId="0" fontId="4" fillId="4" borderId="3" xfId="11" applyFont="1" applyFill="1" applyBorder="1"/>
    <xf numFmtId="0" fontId="7" fillId="4" borderId="12" xfId="11" applyFont="1" applyFill="1" applyBorder="1"/>
    <xf numFmtId="0" fontId="4" fillId="5" borderId="11" xfId="11" applyFont="1" applyFill="1" applyBorder="1" applyAlignment="1">
      <alignment horizontal="center"/>
    </xf>
    <xf numFmtId="44" fontId="7" fillId="5" borderId="3" xfId="11" applyNumberFormat="1" applyFont="1" applyFill="1" applyBorder="1" applyAlignment="1">
      <alignment horizontal="right"/>
    </xf>
    <xf numFmtId="0" fontId="7" fillId="5" borderId="3" xfId="11" applyFont="1" applyFill="1" applyBorder="1" applyAlignment="1">
      <alignment horizontal="right"/>
    </xf>
    <xf numFmtId="0" fontId="4" fillId="5" borderId="3" xfId="11" applyFont="1" applyFill="1" applyBorder="1" applyAlignment="1">
      <alignment horizontal="center"/>
    </xf>
    <xf numFmtId="3" fontId="4" fillId="5" borderId="3" xfId="11" applyNumberFormat="1" applyFont="1" applyFill="1" applyBorder="1" applyAlignment="1">
      <alignment horizontal="left" wrapText="1"/>
    </xf>
    <xf numFmtId="0" fontId="4" fillId="5" borderId="3" xfId="11" applyFont="1" applyFill="1" applyBorder="1"/>
    <xf numFmtId="0" fontId="7" fillId="5" borderId="12" xfId="11" applyFont="1" applyFill="1" applyBorder="1"/>
    <xf numFmtId="0" fontId="4" fillId="0" borderId="11" xfId="11" applyFont="1" applyBorder="1" applyAlignment="1">
      <alignment horizontal="center"/>
    </xf>
    <xf numFmtId="0" fontId="4" fillId="0" borderId="3" xfId="11" applyFont="1" applyBorder="1" applyAlignment="1">
      <alignment horizontal="center"/>
    </xf>
    <xf numFmtId="3" fontId="4" fillId="0" borderId="3" xfId="11" applyNumberFormat="1" applyFont="1" applyBorder="1" applyAlignment="1">
      <alignment horizontal="left" wrapText="1"/>
    </xf>
    <xf numFmtId="0" fontId="4" fillId="0" borderId="3" xfId="11" applyFont="1" applyBorder="1"/>
    <xf numFmtId="0" fontId="7" fillId="0" borderId="12" xfId="11" applyFont="1" applyBorder="1"/>
    <xf numFmtId="44" fontId="4" fillId="0" borderId="3" xfId="11" applyNumberFormat="1" applyFont="1" applyBorder="1"/>
    <xf numFmtId="44" fontId="4" fillId="0" borderId="3" xfId="11" applyNumberFormat="1" applyFont="1" applyBorder="1" applyAlignment="1">
      <alignment horizontal="right"/>
    </xf>
    <xf numFmtId="0" fontId="4" fillId="0" borderId="12" xfId="11" applyFont="1" applyBorder="1"/>
    <xf numFmtId="44" fontId="4" fillId="2" borderId="3" xfId="11" applyNumberFormat="1" applyFont="1" applyFill="1" applyBorder="1"/>
    <xf numFmtId="0" fontId="4" fillId="6" borderId="11" xfId="11" applyFont="1" applyFill="1" applyBorder="1"/>
    <xf numFmtId="44" fontId="4" fillId="6" borderId="3" xfId="11" applyNumberFormat="1" applyFont="1" applyFill="1" applyBorder="1" applyAlignment="1">
      <alignment horizontal="right"/>
    </xf>
    <xf numFmtId="44" fontId="7" fillId="6" borderId="3" xfId="2" applyFont="1" applyFill="1" applyBorder="1" applyAlignment="1">
      <alignment horizontal="right"/>
    </xf>
    <xf numFmtId="0" fontId="4" fillId="6" borderId="3" xfId="11" applyFont="1" applyFill="1" applyBorder="1" applyAlignment="1">
      <alignment horizontal="center"/>
    </xf>
    <xf numFmtId="3" fontId="7" fillId="6" borderId="3" xfId="11" applyNumberFormat="1" applyFont="1" applyFill="1" applyBorder="1" applyAlignment="1">
      <alignment horizontal="left"/>
    </xf>
    <xf numFmtId="0" fontId="4" fillId="6" borderId="3" xfId="11" applyFont="1" applyFill="1" applyBorder="1"/>
    <xf numFmtId="0" fontId="4" fillId="6" borderId="12" xfId="11" applyFont="1" applyFill="1" applyBorder="1"/>
    <xf numFmtId="0" fontId="4" fillId="5" borderId="11" xfId="11" applyFont="1" applyFill="1" applyBorder="1"/>
    <xf numFmtId="3" fontId="7" fillId="5" borderId="3" xfId="11" applyNumberFormat="1" applyFont="1" applyFill="1" applyBorder="1" applyAlignment="1">
      <alignment horizontal="left"/>
    </xf>
    <xf numFmtId="0" fontId="4" fillId="5" borderId="12" xfId="11" applyFont="1" applyFill="1" applyBorder="1"/>
    <xf numFmtId="0" fontId="4" fillId="4" borderId="11" xfId="11" applyFont="1" applyFill="1" applyBorder="1"/>
    <xf numFmtId="44" fontId="4" fillId="4" borderId="3" xfId="11" applyNumberFormat="1" applyFont="1" applyFill="1" applyBorder="1"/>
    <xf numFmtId="0" fontId="12" fillId="4" borderId="3" xfId="11" applyFont="1" applyFill="1" applyBorder="1"/>
    <xf numFmtId="0" fontId="12" fillId="4" borderId="12" xfId="11" applyFont="1" applyFill="1" applyBorder="1"/>
    <xf numFmtId="0" fontId="4" fillId="0" borderId="11" xfId="11" applyFont="1" applyBorder="1"/>
    <xf numFmtId="44" fontId="7" fillId="0" borderId="3" xfId="2" applyFont="1" applyBorder="1" applyAlignment="1">
      <alignment horizontal="right"/>
    </xf>
    <xf numFmtId="3" fontId="7" fillId="0" borderId="3" xfId="11" applyNumberFormat="1" applyFont="1" applyBorder="1" applyAlignment="1">
      <alignment horizontal="left"/>
    </xf>
    <xf numFmtId="44" fontId="7" fillId="4" borderId="3" xfId="2" applyFont="1" applyFill="1" applyBorder="1" applyAlignment="1">
      <alignment horizontal="right"/>
    </xf>
    <xf numFmtId="3" fontId="7" fillId="4" borderId="3" xfId="11" applyNumberFormat="1" applyFont="1" applyFill="1" applyBorder="1" applyAlignment="1">
      <alignment horizontal="left"/>
    </xf>
    <xf numFmtId="0" fontId="4" fillId="4" borderId="12" xfId="11" applyFont="1" applyFill="1" applyBorder="1"/>
    <xf numFmtId="0" fontId="4" fillId="0" borderId="2" xfId="11" applyFont="1" applyBorder="1"/>
    <xf numFmtId="44" fontId="7" fillId="0" borderId="3" xfId="11" applyNumberFormat="1" applyFont="1" applyBorder="1" applyAlignment="1">
      <alignment horizontal="right"/>
    </xf>
    <xf numFmtId="3" fontId="7" fillId="0" borderId="3" xfId="11" applyNumberFormat="1" applyFont="1" applyBorder="1" applyAlignment="1">
      <alignment horizontal="left" wrapText="1"/>
    </xf>
    <xf numFmtId="44" fontId="7" fillId="4" borderId="3" xfId="11" applyNumberFormat="1" applyFont="1" applyFill="1" applyBorder="1" applyAlignment="1">
      <alignment horizontal="right"/>
    </xf>
    <xf numFmtId="0" fontId="12" fillId="0" borderId="3" xfId="11" applyFont="1" applyBorder="1"/>
    <xf numFmtId="0" fontId="12" fillId="0" borderId="12" xfId="11" applyFont="1" applyBorder="1"/>
    <xf numFmtId="3" fontId="4" fillId="0" borderId="3" xfId="11" applyNumberFormat="1" applyFont="1" applyBorder="1" applyAlignment="1">
      <alignment horizontal="left"/>
    </xf>
    <xf numFmtId="0" fontId="4" fillId="6" borderId="11" xfId="11" applyFont="1" applyFill="1" applyBorder="1" applyAlignment="1">
      <alignment horizontal="center"/>
    </xf>
    <xf numFmtId="44" fontId="4" fillId="6" borderId="3" xfId="11" applyNumberFormat="1" applyFont="1" applyFill="1" applyBorder="1"/>
    <xf numFmtId="3" fontId="4" fillId="6" borderId="3" xfId="11" applyNumberFormat="1" applyFont="1" applyFill="1" applyBorder="1" applyAlignment="1">
      <alignment horizontal="left" wrapText="1"/>
    </xf>
    <xf numFmtId="0" fontId="12" fillId="6" borderId="3" xfId="11" applyFont="1" applyFill="1" applyBorder="1"/>
    <xf numFmtId="44" fontId="4" fillId="0" borderId="3" xfId="2" applyFont="1" applyBorder="1" applyAlignment="1">
      <alignment horizontal="center"/>
    </xf>
    <xf numFmtId="44" fontId="4" fillId="4" borderId="3" xfId="2" applyFont="1" applyFill="1" applyBorder="1" applyAlignment="1">
      <alignment horizontal="center"/>
    </xf>
    <xf numFmtId="3" fontId="7" fillId="4" borderId="3" xfId="11" applyNumberFormat="1" applyFont="1" applyFill="1" applyBorder="1" applyAlignment="1">
      <alignment horizontal="center"/>
    </xf>
    <xf numFmtId="0" fontId="4" fillId="4" borderId="3" xfId="11" applyFont="1" applyFill="1" applyBorder="1" applyAlignment="1">
      <alignment horizontal="left" wrapText="1"/>
    </xf>
    <xf numFmtId="3" fontId="7" fillId="6" borderId="3" xfId="11" applyNumberFormat="1" applyFont="1" applyFill="1" applyBorder="1" applyAlignment="1">
      <alignment horizontal="left" wrapText="1"/>
    </xf>
    <xf numFmtId="0" fontId="12" fillId="6" borderId="2" xfId="11" applyFont="1" applyFill="1" applyBorder="1"/>
    <xf numFmtId="0" fontId="12" fillId="6" borderId="12" xfId="11" applyFont="1" applyFill="1" applyBorder="1"/>
    <xf numFmtId="0" fontId="4" fillId="2" borderId="22" xfId="11" applyFont="1" applyFill="1" applyBorder="1"/>
    <xf numFmtId="44" fontId="7" fillId="2" borderId="5" xfId="11" applyNumberFormat="1" applyFont="1" applyFill="1" applyBorder="1" applyAlignment="1">
      <alignment horizontal="right"/>
    </xf>
    <xf numFmtId="0" fontId="7" fillId="2" borderId="23" xfId="11" applyFont="1" applyFill="1" applyBorder="1" applyAlignment="1">
      <alignment horizontal="right"/>
    </xf>
    <xf numFmtId="0" fontId="7" fillId="2" borderId="24" xfId="11" applyFont="1" applyFill="1" applyBorder="1" applyAlignment="1">
      <alignment horizontal="right"/>
    </xf>
    <xf numFmtId="0" fontId="7" fillId="2" borderId="25" xfId="11" applyFont="1" applyFill="1" applyBorder="1" applyAlignment="1">
      <alignment horizontal="right"/>
    </xf>
    <xf numFmtId="3" fontId="7" fillId="2" borderId="5" xfId="11" applyNumberFormat="1" applyFont="1" applyFill="1" applyBorder="1" applyAlignment="1">
      <alignment horizontal="center"/>
    </xf>
    <xf numFmtId="0" fontId="4" fillId="2" borderId="26" xfId="11" applyFont="1" applyFill="1" applyBorder="1"/>
    <xf numFmtId="0" fontId="4" fillId="2" borderId="27" xfId="11" applyFont="1" applyFill="1" applyBorder="1"/>
    <xf numFmtId="0" fontId="4" fillId="5" borderId="28" xfId="11" applyFont="1" applyFill="1" applyBorder="1"/>
    <xf numFmtId="44" fontId="7" fillId="5" borderId="29" xfId="11" applyNumberFormat="1" applyFont="1" applyFill="1" applyBorder="1" applyAlignment="1">
      <alignment horizontal="right"/>
    </xf>
    <xf numFmtId="3" fontId="7" fillId="5" borderId="29" xfId="11" applyNumberFormat="1" applyFont="1" applyFill="1" applyBorder="1" applyAlignment="1">
      <alignment horizontal="center"/>
    </xf>
    <xf numFmtId="0" fontId="4" fillId="5" borderId="30" xfId="11" applyFont="1" applyFill="1" applyBorder="1"/>
    <xf numFmtId="0" fontId="4" fillId="5" borderId="31" xfId="11" applyFont="1" applyFill="1" applyBorder="1"/>
    <xf numFmtId="0" fontId="4" fillId="4" borderId="2" xfId="11" applyFont="1" applyFill="1" applyBorder="1" applyAlignment="1">
      <alignment horizontal="left"/>
    </xf>
    <xf numFmtId="0" fontId="4" fillId="4" borderId="12" xfId="11" applyFont="1" applyFill="1" applyBorder="1" applyAlignment="1">
      <alignment horizontal="left"/>
    </xf>
    <xf numFmtId="0" fontId="4" fillId="0" borderId="2" xfId="11" applyFont="1" applyBorder="1" applyAlignment="1">
      <alignment horizontal="left"/>
    </xf>
    <xf numFmtId="0" fontId="4" fillId="0" borderId="12" xfId="11" applyFont="1" applyBorder="1" applyAlignment="1">
      <alignment horizontal="left"/>
    </xf>
    <xf numFmtId="0" fontId="4" fillId="0" borderId="3" xfId="11" applyFont="1" applyBorder="1" applyAlignment="1">
      <alignment horizontal="left" wrapText="1"/>
    </xf>
    <xf numFmtId="0" fontId="7" fillId="0" borderId="3" xfId="11" applyFont="1" applyBorder="1" applyAlignment="1">
      <alignment horizontal="left" wrapText="1"/>
    </xf>
    <xf numFmtId="0" fontId="4" fillId="0" borderId="2" xfId="11" applyFont="1" applyBorder="1" applyAlignment="1">
      <alignment horizontal="center"/>
    </xf>
    <xf numFmtId="44" fontId="4" fillId="0" borderId="3" xfId="11" applyNumberFormat="1" applyFont="1" applyBorder="1" applyAlignment="1">
      <alignment horizontal="center"/>
    </xf>
    <xf numFmtId="44" fontId="4" fillId="4" borderId="3" xfId="11" applyNumberFormat="1" applyFont="1" applyFill="1" applyBorder="1" applyAlignment="1">
      <alignment horizontal="center"/>
    </xf>
    <xf numFmtId="164" fontId="4" fillId="4" borderId="3" xfId="11" applyNumberFormat="1" applyFont="1" applyFill="1" applyBorder="1" applyAlignment="1">
      <alignment horizontal="center"/>
    </xf>
    <xf numFmtId="3" fontId="4" fillId="4" borderId="3" xfId="11" applyNumberFormat="1" applyFont="1" applyFill="1" applyBorder="1" applyAlignment="1">
      <alignment horizontal="left"/>
    </xf>
    <xf numFmtId="0" fontId="7" fillId="4" borderId="2" xfId="11" applyFont="1" applyFill="1" applyBorder="1"/>
    <xf numFmtId="0" fontId="7" fillId="0" borderId="2" xfId="11" applyFont="1" applyBorder="1"/>
    <xf numFmtId="164" fontId="4" fillId="0" borderId="3" xfId="11" applyNumberFormat="1" applyFont="1" applyBorder="1" applyAlignment="1">
      <alignment horizontal="center"/>
    </xf>
    <xf numFmtId="44" fontId="13" fillId="0" borderId="3" xfId="11" applyNumberFormat="1" applyFont="1" applyBorder="1" applyAlignment="1">
      <alignment horizontal="center"/>
    </xf>
    <xf numFmtId="164" fontId="13" fillId="0" borderId="3" xfId="11" applyNumberFormat="1" applyFont="1" applyBorder="1" applyAlignment="1">
      <alignment horizontal="center"/>
    </xf>
    <xf numFmtId="0" fontId="13" fillId="0" borderId="3" xfId="11" applyFont="1" applyBorder="1" applyAlignment="1">
      <alignment horizontal="center"/>
    </xf>
    <xf numFmtId="0" fontId="4" fillId="6" borderId="11" xfId="11" applyFont="1" applyFill="1" applyBorder="1" applyAlignment="1">
      <alignment vertical="top"/>
    </xf>
    <xf numFmtId="44" fontId="13" fillId="6" borderId="3" xfId="11" applyNumberFormat="1" applyFont="1" applyFill="1" applyBorder="1" applyAlignment="1">
      <alignment horizontal="center" vertical="top"/>
    </xf>
    <xf numFmtId="44" fontId="4" fillId="6" borderId="3" xfId="11" applyNumberFormat="1" applyFont="1" applyFill="1" applyBorder="1" applyAlignment="1">
      <alignment horizontal="left" vertical="top" wrapText="1"/>
    </xf>
    <xf numFmtId="0" fontId="4" fillId="6" borderId="3" xfId="11" applyFont="1" applyFill="1" applyBorder="1" applyAlignment="1">
      <alignment horizontal="left" vertical="top" wrapText="1"/>
    </xf>
    <xf numFmtId="3" fontId="4" fillId="6" borderId="3" xfId="11" applyNumberFormat="1" applyFont="1" applyFill="1" applyBorder="1" applyAlignment="1">
      <alignment horizontal="left" vertical="top" wrapText="1"/>
    </xf>
    <xf numFmtId="0" fontId="7" fillId="6" borderId="3" xfId="11" applyFont="1" applyFill="1" applyBorder="1" applyAlignment="1">
      <alignment horizontal="left" vertical="top" wrapText="1"/>
    </xf>
    <xf numFmtId="165" fontId="4" fillId="6" borderId="2" xfId="11" applyNumberFormat="1" applyFont="1" applyFill="1" applyBorder="1" applyAlignment="1">
      <alignment horizontal="left" vertical="top" wrapText="1"/>
    </xf>
    <xf numFmtId="165" fontId="4" fillId="6" borderId="12" xfId="11" applyNumberFormat="1" applyFont="1" applyFill="1" applyBorder="1" applyAlignment="1">
      <alignment horizontal="left" vertical="top" wrapText="1"/>
    </xf>
    <xf numFmtId="0" fontId="4" fillId="3" borderId="32" xfId="11" applyFont="1" applyFill="1" applyBorder="1" applyAlignment="1">
      <alignment vertical="top"/>
    </xf>
    <xf numFmtId="44" fontId="13" fillId="3" borderId="4" xfId="11" applyNumberFormat="1" applyFont="1" applyFill="1" applyBorder="1" applyAlignment="1">
      <alignment horizontal="center" vertical="top"/>
    </xf>
    <xf numFmtId="44" fontId="4" fillId="3" borderId="4" xfId="11" applyNumberFormat="1" applyFont="1" applyFill="1" applyBorder="1" applyAlignment="1">
      <alignment horizontal="left" vertical="top" wrapText="1"/>
    </xf>
    <xf numFmtId="0" fontId="4" fillId="3" borderId="4" xfId="11" applyFont="1" applyFill="1" applyBorder="1" applyAlignment="1">
      <alignment horizontal="left" vertical="top" wrapText="1"/>
    </xf>
    <xf numFmtId="3" fontId="4" fillId="3" borderId="4" xfId="11" applyNumberFormat="1" applyFont="1" applyFill="1" applyBorder="1" applyAlignment="1">
      <alignment horizontal="left" vertical="top" wrapText="1"/>
    </xf>
    <xf numFmtId="165" fontId="4" fillId="3" borderId="33" xfId="11" applyNumberFormat="1" applyFont="1" applyFill="1" applyBorder="1" applyAlignment="1">
      <alignment horizontal="left" vertical="top" wrapText="1"/>
    </xf>
    <xf numFmtId="165" fontId="4" fillId="3" borderId="34" xfId="11" applyNumberFormat="1" applyFont="1" applyFill="1" applyBorder="1" applyAlignment="1">
      <alignment horizontal="left" vertical="top" wrapText="1"/>
    </xf>
    <xf numFmtId="0" fontId="7" fillId="0" borderId="35" xfId="11" applyFont="1" applyBorder="1" applyAlignment="1">
      <alignment horizontal="center" vertical="top" wrapText="1"/>
    </xf>
    <xf numFmtId="44" fontId="7" fillId="0" borderId="36" xfId="11" applyNumberFormat="1" applyFont="1" applyBorder="1" applyAlignment="1">
      <alignment horizontal="center" vertical="top" wrapText="1"/>
    </xf>
    <xf numFmtId="0" fontId="7" fillId="0" borderId="36" xfId="11" applyFont="1" applyBorder="1" applyAlignment="1">
      <alignment horizontal="center" vertical="top" wrapText="1"/>
    </xf>
    <xf numFmtId="3" fontId="7" fillId="0" borderId="36" xfId="11" applyNumberFormat="1" applyFont="1" applyBorder="1" applyAlignment="1">
      <alignment horizontal="center" vertical="top" wrapText="1"/>
    </xf>
    <xf numFmtId="164" fontId="13" fillId="0" borderId="0" xfId="11" applyNumberFormat="1" applyFont="1" applyAlignment="1">
      <alignment horizontal="center"/>
    </xf>
    <xf numFmtId="0" fontId="13" fillId="0" borderId="0" xfId="11" applyFont="1" applyAlignment="1">
      <alignment horizontal="center"/>
    </xf>
    <xf numFmtId="164" fontId="13" fillId="0" borderId="0" xfId="11" applyNumberFormat="1" applyFont="1" applyAlignment="1">
      <alignment horizontal="center" vertical="center"/>
    </xf>
    <xf numFmtId="0" fontId="13" fillId="0" borderId="0" xfId="11" applyFont="1" applyAlignment="1">
      <alignment horizontal="center" vertical="center"/>
    </xf>
    <xf numFmtId="44" fontId="2" fillId="0" borderId="0" xfId="0" applyNumberFormat="1" applyFont="1"/>
    <xf numFmtId="44" fontId="7" fillId="4" borderId="3" xfId="11" applyNumberFormat="1" applyFont="1" applyFill="1" applyBorder="1"/>
    <xf numFmtId="44" fontId="7" fillId="0" borderId="1" xfId="2" applyFont="1" applyBorder="1" applyAlignment="1">
      <alignment horizontal="right"/>
    </xf>
    <xf numFmtId="44" fontId="7" fillId="0" borderId="21" xfId="2" applyFont="1" applyBorder="1" applyAlignment="1">
      <alignment horizontal="right"/>
    </xf>
    <xf numFmtId="44" fontId="7" fillId="0" borderId="2" xfId="2" applyFont="1" applyBorder="1" applyAlignment="1">
      <alignment horizontal="right"/>
    </xf>
    <xf numFmtId="3" fontId="7" fillId="3" borderId="19" xfId="11" applyNumberFormat="1" applyFont="1" applyFill="1" applyBorder="1" applyAlignment="1">
      <alignment horizontal="right" wrapText="1"/>
    </xf>
    <xf numFmtId="3" fontId="7" fillId="3" borderId="18" xfId="11" applyNumberFormat="1" applyFont="1" applyFill="1" applyBorder="1" applyAlignment="1">
      <alignment horizontal="right" wrapText="1"/>
    </xf>
    <xf numFmtId="3" fontId="7" fillId="3" borderId="17" xfId="11" applyNumberFormat="1" applyFont="1" applyFill="1" applyBorder="1" applyAlignment="1">
      <alignment horizontal="right" wrapText="1"/>
    </xf>
    <xf numFmtId="0" fontId="7" fillId="0" borderId="1" xfId="11" applyFont="1" applyBorder="1" applyAlignment="1">
      <alignment horizontal="right"/>
    </xf>
    <xf numFmtId="0" fontId="7" fillId="0" borderId="21" xfId="11" applyFont="1" applyBorder="1" applyAlignment="1">
      <alignment horizontal="right"/>
    </xf>
    <xf numFmtId="0" fontId="7" fillId="0" borderId="2" xfId="11" applyFont="1" applyBorder="1" applyAlignment="1">
      <alignment horizontal="right"/>
    </xf>
    <xf numFmtId="0" fontId="7" fillId="0" borderId="20" xfId="11" applyFont="1" applyBorder="1" applyAlignment="1">
      <alignment horizontal="center"/>
    </xf>
    <xf numFmtId="0" fontId="7" fillId="0" borderId="2" xfId="11" applyFont="1" applyBorder="1" applyAlignment="1">
      <alignment horizontal="center"/>
    </xf>
    <xf numFmtId="0" fontId="7" fillId="4" borderId="1" xfId="11" applyFont="1" applyFill="1" applyBorder="1" applyAlignment="1">
      <alignment horizontal="right"/>
    </xf>
    <xf numFmtId="0" fontId="6" fillId="0" borderId="21" xfId="0" applyFont="1" applyBorder="1" applyAlignment="1">
      <alignment horizontal="right"/>
    </xf>
    <xf numFmtId="0" fontId="6" fillId="0" borderId="2" xfId="0" applyFont="1" applyBorder="1" applyAlignment="1">
      <alignment horizontal="right"/>
    </xf>
    <xf numFmtId="44" fontId="7" fillId="5" borderId="1" xfId="2" applyFont="1" applyFill="1" applyBorder="1" applyAlignment="1">
      <alignment horizontal="right"/>
    </xf>
    <xf numFmtId="44" fontId="7" fillId="5" borderId="21" xfId="2" applyFont="1" applyFill="1" applyBorder="1" applyAlignment="1">
      <alignment horizontal="right"/>
    </xf>
    <xf numFmtId="44" fontId="7" fillId="5" borderId="2" xfId="2" applyFont="1" applyFill="1" applyBorder="1" applyAlignment="1">
      <alignment horizontal="right"/>
    </xf>
    <xf numFmtId="3" fontId="7" fillId="0" borderId="1" xfId="11" applyNumberFormat="1" applyFont="1" applyBorder="1" applyAlignment="1">
      <alignment horizontal="right" wrapText="1"/>
    </xf>
    <xf numFmtId="0" fontId="7" fillId="5" borderId="19" xfId="11" applyFont="1" applyFill="1" applyBorder="1" applyAlignment="1">
      <alignment horizontal="right"/>
    </xf>
    <xf numFmtId="0" fontId="7" fillId="5" borderId="18" xfId="11" applyFont="1" applyFill="1" applyBorder="1" applyAlignment="1">
      <alignment horizontal="right"/>
    </xf>
    <xf numFmtId="0" fontId="7" fillId="5" borderId="17" xfId="11" applyFont="1" applyFill="1" applyBorder="1" applyAlignment="1">
      <alignment horizontal="right"/>
    </xf>
    <xf numFmtId="44" fontId="7" fillId="0" borderId="1" xfId="11" applyNumberFormat="1" applyFont="1" applyBorder="1" applyAlignment="1">
      <alignment horizontal="right"/>
    </xf>
    <xf numFmtId="44" fontId="7" fillId="0" borderId="21" xfId="11" applyNumberFormat="1" applyFont="1" applyBorder="1" applyAlignment="1">
      <alignment horizontal="right"/>
    </xf>
    <xf numFmtId="44" fontId="7" fillId="0" borderId="2" xfId="11" applyNumberFormat="1" applyFont="1" applyBorder="1" applyAlignment="1">
      <alignment horizontal="right"/>
    </xf>
    <xf numFmtId="0" fontId="7" fillId="0" borderId="6" xfId="11" applyFont="1" applyBorder="1" applyAlignment="1">
      <alignment horizontal="center" vertical="top" wrapText="1"/>
    </xf>
    <xf numFmtId="0" fontId="7" fillId="0" borderId="37" xfId="11" applyFont="1" applyBorder="1" applyAlignment="1">
      <alignment horizontal="center" vertical="top" wrapText="1"/>
    </xf>
    <xf numFmtId="164" fontId="7" fillId="0" borderId="1" xfId="11" applyNumberFormat="1" applyFont="1" applyBorder="1" applyAlignment="1">
      <alignment horizontal="right"/>
    </xf>
    <xf numFmtId="164" fontId="7" fillId="0" borderId="2" xfId="11" applyNumberFormat="1" applyFont="1" applyBorder="1" applyAlignment="1">
      <alignment horizontal="right"/>
    </xf>
    <xf numFmtId="0" fontId="7" fillId="0" borderId="20" xfId="11" applyFont="1" applyBorder="1" applyAlignment="1">
      <alignment horizontal="center" wrapText="1"/>
    </xf>
    <xf numFmtId="0" fontId="7" fillId="0" borderId="2" xfId="11" applyFont="1" applyBorder="1" applyAlignment="1">
      <alignment horizontal="center" wrapText="1"/>
    </xf>
    <xf numFmtId="0" fontId="4" fillId="0" borderId="14" xfId="11" applyFont="1" applyBorder="1" applyAlignment="1">
      <alignment horizontal="center" vertical="center"/>
    </xf>
    <xf numFmtId="0" fontId="4" fillId="0" borderId="0" xfId="11" applyFont="1" applyAlignment="1">
      <alignment horizontal="center" vertical="center"/>
    </xf>
    <xf numFmtId="0" fontId="4" fillId="0" borderId="13" xfId="11" applyFont="1" applyBorder="1" applyAlignment="1">
      <alignment horizontal="center" vertical="center"/>
    </xf>
    <xf numFmtId="0" fontId="4" fillId="0" borderId="14" xfId="11" applyFont="1" applyBorder="1" applyAlignment="1">
      <alignment horizontal="center" wrapText="1"/>
    </xf>
    <xf numFmtId="0" fontId="4" fillId="0" borderId="0" xfId="11" applyFont="1" applyAlignment="1">
      <alignment horizontal="center" wrapText="1"/>
    </xf>
    <xf numFmtId="0" fontId="4" fillId="0" borderId="13" xfId="11" applyFont="1" applyBorder="1" applyAlignment="1">
      <alignment horizontal="center" wrapText="1"/>
    </xf>
    <xf numFmtId="0" fontId="4" fillId="0" borderId="16" xfId="11" applyFont="1" applyBorder="1" applyAlignment="1">
      <alignment horizontal="center" vertical="center"/>
    </xf>
    <xf numFmtId="0" fontId="4" fillId="0" borderId="7" xfId="11" applyFont="1" applyBorder="1" applyAlignment="1">
      <alignment horizontal="center" vertical="center"/>
    </xf>
    <xf numFmtId="0" fontId="4" fillId="0" borderId="15" xfId="11" applyFont="1" applyBorder="1" applyAlignment="1">
      <alignment horizontal="center" vertical="center"/>
    </xf>
    <xf numFmtId="0" fontId="4" fillId="0" borderId="14" xfId="6" applyFont="1" applyBorder="1" applyAlignment="1">
      <alignment horizontal="center" wrapText="1"/>
    </xf>
    <xf numFmtId="0" fontId="4" fillId="0" borderId="0" xfId="6" applyFont="1" applyAlignment="1">
      <alignment horizontal="center" wrapText="1"/>
    </xf>
    <xf numFmtId="0" fontId="4" fillId="0" borderId="13" xfId="6" applyFont="1" applyBorder="1" applyAlignment="1">
      <alignment horizontal="center" wrapText="1"/>
    </xf>
    <xf numFmtId="0" fontId="4" fillId="0" borderId="16" xfId="6" applyFont="1" applyBorder="1" applyAlignment="1">
      <alignment horizontal="center" vertical="center"/>
    </xf>
    <xf numFmtId="0" fontId="4" fillId="0" borderId="7" xfId="6" applyFont="1" applyBorder="1" applyAlignment="1">
      <alignment horizontal="center" vertical="center"/>
    </xf>
    <xf numFmtId="0" fontId="4" fillId="0" borderId="15" xfId="6" applyFont="1" applyBorder="1" applyAlignment="1">
      <alignment horizontal="center" vertical="center"/>
    </xf>
    <xf numFmtId="0" fontId="4" fillId="0" borderId="14" xfId="6" applyFont="1" applyBorder="1" applyAlignment="1">
      <alignment horizontal="center" vertical="center"/>
    </xf>
    <xf numFmtId="0" fontId="4" fillId="0" borderId="0" xfId="6" applyFont="1" applyAlignment="1">
      <alignment horizontal="center" vertical="center"/>
    </xf>
    <xf numFmtId="0" fontId="4" fillId="0" borderId="13" xfId="6" applyFont="1" applyBorder="1" applyAlignment="1">
      <alignment horizontal="center" vertical="center"/>
    </xf>
    <xf numFmtId="0" fontId="4" fillId="0" borderId="0" xfId="11" applyFont="1" applyFill="1"/>
    <xf numFmtId="0" fontId="7" fillId="0" borderId="20" xfId="11" applyFont="1" applyFill="1" applyBorder="1" applyAlignment="1">
      <alignment horizontal="center"/>
    </xf>
    <xf numFmtId="0" fontId="7" fillId="0" borderId="2" xfId="11" applyFont="1" applyFill="1" applyBorder="1" applyAlignment="1">
      <alignment horizontal="center"/>
    </xf>
    <xf numFmtId="3" fontId="7" fillId="0" borderId="3" xfId="11" applyNumberFormat="1" applyFont="1" applyFill="1" applyBorder="1" applyAlignment="1">
      <alignment horizontal="left"/>
    </xf>
    <xf numFmtId="0" fontId="13" fillId="0" borderId="3" xfId="11" applyFont="1" applyFill="1" applyBorder="1" applyAlignment="1">
      <alignment horizontal="center"/>
    </xf>
    <xf numFmtId="164" fontId="13" fillId="0" borderId="3" xfId="11" applyNumberFormat="1" applyFont="1" applyFill="1" applyBorder="1" applyAlignment="1">
      <alignment horizontal="center"/>
    </xf>
    <xf numFmtId="44" fontId="13" fillId="0" borderId="3" xfId="11" applyNumberFormat="1" applyFont="1" applyFill="1" applyBorder="1" applyAlignment="1">
      <alignment horizontal="center"/>
    </xf>
    <xf numFmtId="44" fontId="4" fillId="0" borderId="3" xfId="11" applyNumberFormat="1" applyFont="1" applyFill="1" applyBorder="1"/>
    <xf numFmtId="0" fontId="4" fillId="0" borderId="11" xfId="11" applyFont="1" applyFill="1" applyBorder="1"/>
    <xf numFmtId="0" fontId="4" fillId="0" borderId="12" xfId="11" applyFont="1" applyFill="1" applyBorder="1"/>
    <xf numFmtId="0" fontId="4" fillId="0" borderId="2" xfId="11" applyFont="1" applyFill="1" applyBorder="1" applyAlignment="1">
      <alignment horizontal="center"/>
    </xf>
    <xf numFmtId="3" fontId="4" fillId="0" borderId="3" xfId="11" applyNumberFormat="1" applyFont="1" applyFill="1" applyBorder="1" applyAlignment="1">
      <alignment horizontal="left"/>
    </xf>
    <xf numFmtId="0" fontId="4" fillId="0" borderId="3" xfId="11" applyFont="1" applyFill="1" applyBorder="1" applyAlignment="1">
      <alignment horizontal="center"/>
    </xf>
    <xf numFmtId="164" fontId="4" fillId="0" borderId="3" xfId="11" applyNumberFormat="1" applyFont="1" applyFill="1" applyBorder="1" applyAlignment="1">
      <alignment horizontal="center"/>
    </xf>
    <xf numFmtId="44" fontId="4" fillId="0" borderId="3" xfId="11" applyNumberFormat="1" applyFont="1" applyFill="1" applyBorder="1" applyAlignment="1">
      <alignment horizontal="right"/>
    </xf>
    <xf numFmtId="0" fontId="7" fillId="0" borderId="12" xfId="11" applyFont="1" applyFill="1" applyBorder="1"/>
    <xf numFmtId="0" fontId="7" fillId="0" borderId="2" xfId="11" applyFont="1" applyFill="1" applyBorder="1"/>
    <xf numFmtId="164" fontId="7" fillId="0" borderId="1" xfId="11" applyNumberFormat="1" applyFont="1" applyFill="1" applyBorder="1" applyAlignment="1">
      <alignment horizontal="right"/>
    </xf>
    <xf numFmtId="164" fontId="7" fillId="0" borderId="2" xfId="11" applyNumberFormat="1" applyFont="1" applyFill="1" applyBorder="1" applyAlignment="1">
      <alignment horizontal="right"/>
    </xf>
    <xf numFmtId="44" fontId="4" fillId="0" borderId="3" xfId="11" applyNumberFormat="1" applyFont="1" applyFill="1" applyBorder="1" applyAlignment="1">
      <alignment horizontal="center"/>
    </xf>
    <xf numFmtId="0" fontId="7" fillId="0" borderId="20" xfId="11" applyFont="1" applyFill="1" applyBorder="1" applyAlignment="1">
      <alignment horizontal="center" wrapText="1"/>
    </xf>
    <xf numFmtId="0" fontId="7" fillId="0" borderId="2" xfId="11" applyFont="1" applyFill="1" applyBorder="1" applyAlignment="1">
      <alignment horizontal="center" wrapText="1"/>
    </xf>
    <xf numFmtId="3" fontId="7" fillId="0" borderId="3" xfId="11" applyNumberFormat="1" applyFont="1" applyFill="1" applyBorder="1" applyAlignment="1">
      <alignment horizontal="left" wrapText="1"/>
    </xf>
    <xf numFmtId="44" fontId="4" fillId="0" borderId="3" xfId="2" applyFont="1" applyFill="1" applyBorder="1" applyAlignment="1">
      <alignment horizontal="center"/>
    </xf>
    <xf numFmtId="0" fontId="4" fillId="0" borderId="12" xfId="11" applyFont="1" applyFill="1" applyBorder="1" applyAlignment="1">
      <alignment horizontal="left"/>
    </xf>
    <xf numFmtId="0" fontId="4" fillId="0" borderId="3" xfId="11" applyFont="1" applyFill="1" applyBorder="1" applyAlignment="1">
      <alignment horizontal="left" wrapText="1"/>
    </xf>
    <xf numFmtId="0" fontId="4" fillId="0" borderId="11" xfId="11" applyFont="1" applyFill="1" applyBorder="1" applyAlignment="1">
      <alignment horizontal="center"/>
    </xf>
    <xf numFmtId="44" fontId="4" fillId="0" borderId="0" xfId="11" applyNumberFormat="1" applyFont="1" applyFill="1"/>
    <xf numFmtId="0" fontId="4" fillId="0" borderId="2" xfId="11" applyFont="1" applyFill="1" applyBorder="1" applyAlignment="1">
      <alignment horizontal="left"/>
    </xf>
    <xf numFmtId="44" fontId="7" fillId="0" borderId="3" xfId="11" applyNumberFormat="1" applyFont="1" applyFill="1" applyBorder="1" applyAlignment="1">
      <alignment horizontal="right"/>
    </xf>
    <xf numFmtId="0" fontId="7" fillId="0" borderId="3" xfId="11" applyFont="1" applyFill="1" applyBorder="1" applyAlignment="1">
      <alignment horizontal="left" wrapText="1"/>
    </xf>
    <xf numFmtId="3" fontId="4" fillId="0" borderId="3" xfId="11" applyNumberFormat="1" applyFont="1" applyFill="1" applyBorder="1" applyAlignment="1">
      <alignment horizontal="left" wrapText="1"/>
    </xf>
  </cellXfs>
  <cellStyles count="12">
    <cellStyle name="Comma 2" xfId="1" xr:uid="{00000000-0005-0000-0000-000000000000}"/>
    <cellStyle name="Currency 2" xfId="2" xr:uid="{00000000-0005-0000-0000-000002000000}"/>
    <cellStyle name="Currency 3" xfId="8" xr:uid="{00000000-0005-0000-0000-000003000000}"/>
    <cellStyle name="Normal" xfId="0" builtinId="0"/>
    <cellStyle name="Normal 15" xfId="10" xr:uid="{00000000-0005-0000-0000-000005000000}"/>
    <cellStyle name="Normal 2" xfId="3" xr:uid="{00000000-0005-0000-0000-000006000000}"/>
    <cellStyle name="Normal 2 2" xfId="4" xr:uid="{00000000-0005-0000-0000-000007000000}"/>
    <cellStyle name="Normal 2 2 2" xfId="5" xr:uid="{00000000-0005-0000-0000-000008000000}"/>
    <cellStyle name="Normal 3" xfId="6" xr:uid="{00000000-0005-0000-0000-000009000000}"/>
    <cellStyle name="Normal 4" xfId="9" xr:uid="{00000000-0005-0000-0000-00000A000000}"/>
    <cellStyle name="Normal 5" xfId="11" xr:uid="{D43F8AD6-2492-485A-B231-D388AB03D6D9}"/>
    <cellStyle name="Normal 6" xfId="7"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26</xdr:row>
      <xdr:rowOff>0</xdr:rowOff>
    </xdr:from>
    <xdr:to>
      <xdr:col>0</xdr:col>
      <xdr:colOff>0</xdr:colOff>
      <xdr:row>26</xdr:row>
      <xdr:rowOff>0</xdr:rowOff>
    </xdr:to>
    <xdr:sp macro="" textlink="">
      <xdr:nvSpPr>
        <xdr:cNvPr id="2" name="Text Box 145">
          <a:extLst>
            <a:ext uri="{FF2B5EF4-FFF2-40B4-BE49-F238E27FC236}">
              <a16:creationId xmlns:a16="http://schemas.microsoft.com/office/drawing/2014/main" id="{0B82EAF9-E149-447A-8BAB-20E1AC41C19A}"/>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 name="Text Box 150">
          <a:extLst>
            <a:ext uri="{FF2B5EF4-FFF2-40B4-BE49-F238E27FC236}">
              <a16:creationId xmlns:a16="http://schemas.microsoft.com/office/drawing/2014/main" id="{9564E517-878C-49BF-9EA4-FB72933BACE5}"/>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 name="Text Box 151">
          <a:extLst>
            <a:ext uri="{FF2B5EF4-FFF2-40B4-BE49-F238E27FC236}">
              <a16:creationId xmlns:a16="http://schemas.microsoft.com/office/drawing/2014/main" id="{6D0587A0-2FD1-4639-94DE-E5024884F5E5}"/>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 name="Text Box 152">
          <a:extLst>
            <a:ext uri="{FF2B5EF4-FFF2-40B4-BE49-F238E27FC236}">
              <a16:creationId xmlns:a16="http://schemas.microsoft.com/office/drawing/2014/main" id="{68344903-6C2C-4E67-AB4E-04EDEEED2A6C}"/>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6" name="Text Box 153">
          <a:extLst>
            <a:ext uri="{FF2B5EF4-FFF2-40B4-BE49-F238E27FC236}">
              <a16:creationId xmlns:a16="http://schemas.microsoft.com/office/drawing/2014/main" id="{EF2EC2B8-2355-4834-8C2E-EA7CB8BF1523}"/>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7" name="Text Box 154">
          <a:extLst>
            <a:ext uri="{FF2B5EF4-FFF2-40B4-BE49-F238E27FC236}">
              <a16:creationId xmlns:a16="http://schemas.microsoft.com/office/drawing/2014/main" id="{8A1710B7-A7B2-4A55-A7EF-613D14B68F48}"/>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8" name="Text Box 155">
          <a:extLst>
            <a:ext uri="{FF2B5EF4-FFF2-40B4-BE49-F238E27FC236}">
              <a16:creationId xmlns:a16="http://schemas.microsoft.com/office/drawing/2014/main" id="{257966C1-AE80-4185-A2F4-D6059A17E89B}"/>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9" name="Text Box 156">
          <a:extLst>
            <a:ext uri="{FF2B5EF4-FFF2-40B4-BE49-F238E27FC236}">
              <a16:creationId xmlns:a16="http://schemas.microsoft.com/office/drawing/2014/main" id="{726C31C1-DB9B-4D66-9502-4298FD7261FE}"/>
            </a:ext>
          </a:extLst>
        </xdr:cNvPr>
        <xdr:cNvSpPr txBox="1">
          <a:spLocks noChangeArrowheads="1"/>
        </xdr:cNvSpPr>
      </xdr:nvSpPr>
      <xdr:spPr bwMode="auto">
        <a:xfrm>
          <a:off x="0" y="534352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0" name="Text Box 157">
          <a:extLst>
            <a:ext uri="{FF2B5EF4-FFF2-40B4-BE49-F238E27FC236}">
              <a16:creationId xmlns:a16="http://schemas.microsoft.com/office/drawing/2014/main" id="{6FD07DCE-D20F-4565-B81B-9A79E2F5328D}"/>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1" name="Text Box 158">
          <a:extLst>
            <a:ext uri="{FF2B5EF4-FFF2-40B4-BE49-F238E27FC236}">
              <a16:creationId xmlns:a16="http://schemas.microsoft.com/office/drawing/2014/main" id="{3EBDF14D-FE16-40D9-96D8-DEBA04246C93}"/>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2" name="Text Box 159">
          <a:extLst>
            <a:ext uri="{FF2B5EF4-FFF2-40B4-BE49-F238E27FC236}">
              <a16:creationId xmlns:a16="http://schemas.microsoft.com/office/drawing/2014/main" id="{B1A55CA5-7B7A-4ABF-A41E-6D2210ECB4F4}"/>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3" name="Text Box 160">
          <a:extLst>
            <a:ext uri="{FF2B5EF4-FFF2-40B4-BE49-F238E27FC236}">
              <a16:creationId xmlns:a16="http://schemas.microsoft.com/office/drawing/2014/main" id="{D56D781C-7A71-408B-AEC0-C496AC63DDFE}"/>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4" name="Text Box 161">
          <a:extLst>
            <a:ext uri="{FF2B5EF4-FFF2-40B4-BE49-F238E27FC236}">
              <a16:creationId xmlns:a16="http://schemas.microsoft.com/office/drawing/2014/main" id="{F42E8F80-4678-4E37-83AC-AD0D0C1524C3}"/>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5" name="Text Box 162">
          <a:extLst>
            <a:ext uri="{FF2B5EF4-FFF2-40B4-BE49-F238E27FC236}">
              <a16:creationId xmlns:a16="http://schemas.microsoft.com/office/drawing/2014/main" id="{CE66D97E-29F6-41DD-85FC-BE1DEFE6E018}"/>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6" name="Text Box 163">
          <a:extLst>
            <a:ext uri="{FF2B5EF4-FFF2-40B4-BE49-F238E27FC236}">
              <a16:creationId xmlns:a16="http://schemas.microsoft.com/office/drawing/2014/main" id="{EC241AEF-A900-4FEB-8C06-008B39701D1D}"/>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7" name="Text Box 164">
          <a:extLst>
            <a:ext uri="{FF2B5EF4-FFF2-40B4-BE49-F238E27FC236}">
              <a16:creationId xmlns:a16="http://schemas.microsoft.com/office/drawing/2014/main" id="{CD191270-27B4-400F-9A05-CA3E831ACB84}"/>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8" name="Text Box 165">
          <a:extLst>
            <a:ext uri="{FF2B5EF4-FFF2-40B4-BE49-F238E27FC236}">
              <a16:creationId xmlns:a16="http://schemas.microsoft.com/office/drawing/2014/main" id="{90F14D47-1D80-48F4-81F7-95FCC4874E51}"/>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9" name="Text Box 166">
          <a:extLst>
            <a:ext uri="{FF2B5EF4-FFF2-40B4-BE49-F238E27FC236}">
              <a16:creationId xmlns:a16="http://schemas.microsoft.com/office/drawing/2014/main" id="{4EF76806-DBAC-432A-AB6F-644150667F6A}"/>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0" name="Text Box 167">
          <a:extLst>
            <a:ext uri="{FF2B5EF4-FFF2-40B4-BE49-F238E27FC236}">
              <a16:creationId xmlns:a16="http://schemas.microsoft.com/office/drawing/2014/main" id="{952E1FDF-0E66-4AA5-8706-ED5448DBD175}"/>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1" name="Text Box 168">
          <a:extLst>
            <a:ext uri="{FF2B5EF4-FFF2-40B4-BE49-F238E27FC236}">
              <a16:creationId xmlns:a16="http://schemas.microsoft.com/office/drawing/2014/main" id="{59337AD9-9BBC-45EA-B444-261721B36235}"/>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2" name="Text Box 169">
          <a:extLst>
            <a:ext uri="{FF2B5EF4-FFF2-40B4-BE49-F238E27FC236}">
              <a16:creationId xmlns:a16="http://schemas.microsoft.com/office/drawing/2014/main" id="{7EB0B2DA-F464-4950-AF51-61FEFDB592DC}"/>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3" name="Text Box 170">
          <a:extLst>
            <a:ext uri="{FF2B5EF4-FFF2-40B4-BE49-F238E27FC236}">
              <a16:creationId xmlns:a16="http://schemas.microsoft.com/office/drawing/2014/main" id="{DCEFC677-E035-4F26-BC20-47F0F589FE76}"/>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4" name="Text Box 171">
          <a:extLst>
            <a:ext uri="{FF2B5EF4-FFF2-40B4-BE49-F238E27FC236}">
              <a16:creationId xmlns:a16="http://schemas.microsoft.com/office/drawing/2014/main" id="{E22480B6-BA78-4A21-A682-EB3C823C52BC}"/>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5" name="Text Box 172">
          <a:extLst>
            <a:ext uri="{FF2B5EF4-FFF2-40B4-BE49-F238E27FC236}">
              <a16:creationId xmlns:a16="http://schemas.microsoft.com/office/drawing/2014/main" id="{EAB4CEB2-9BAA-4D2D-AF88-46036081CF38}"/>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6" name="Text Box 173">
          <a:extLst>
            <a:ext uri="{FF2B5EF4-FFF2-40B4-BE49-F238E27FC236}">
              <a16:creationId xmlns:a16="http://schemas.microsoft.com/office/drawing/2014/main" id="{9EE8B47F-A957-4C1B-9D63-38C8C8E9B05E}"/>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7" name="Text Box 174">
          <a:extLst>
            <a:ext uri="{FF2B5EF4-FFF2-40B4-BE49-F238E27FC236}">
              <a16:creationId xmlns:a16="http://schemas.microsoft.com/office/drawing/2014/main" id="{A86B6A29-D36A-4F49-9DB5-CA137F4119FE}"/>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8" name="Text Box 175">
          <a:extLst>
            <a:ext uri="{FF2B5EF4-FFF2-40B4-BE49-F238E27FC236}">
              <a16:creationId xmlns:a16="http://schemas.microsoft.com/office/drawing/2014/main" id="{71D5CE9F-51D4-4681-908A-1091BA013AEA}"/>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9" name="Text Box 176">
          <a:extLst>
            <a:ext uri="{FF2B5EF4-FFF2-40B4-BE49-F238E27FC236}">
              <a16:creationId xmlns:a16="http://schemas.microsoft.com/office/drawing/2014/main" id="{9A0A97A5-92AC-4E8E-BD1D-6225D882E574}"/>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0" name="Text Box 177">
          <a:extLst>
            <a:ext uri="{FF2B5EF4-FFF2-40B4-BE49-F238E27FC236}">
              <a16:creationId xmlns:a16="http://schemas.microsoft.com/office/drawing/2014/main" id="{B0DF5080-FC23-4831-A0A0-0C60F40FBF1B}"/>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1" name="Text Box 178">
          <a:extLst>
            <a:ext uri="{FF2B5EF4-FFF2-40B4-BE49-F238E27FC236}">
              <a16:creationId xmlns:a16="http://schemas.microsoft.com/office/drawing/2014/main" id="{EE49260A-7D06-4217-A6FD-81EAEF59EC8A}"/>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2" name="Text Box 179">
          <a:extLst>
            <a:ext uri="{FF2B5EF4-FFF2-40B4-BE49-F238E27FC236}">
              <a16:creationId xmlns:a16="http://schemas.microsoft.com/office/drawing/2014/main" id="{D4A4AE8F-5D9F-45BE-9110-49A97511B8B8}"/>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3" name="Text Box 180">
          <a:extLst>
            <a:ext uri="{FF2B5EF4-FFF2-40B4-BE49-F238E27FC236}">
              <a16:creationId xmlns:a16="http://schemas.microsoft.com/office/drawing/2014/main" id="{C919B6F0-B4C8-47F9-88F9-23AB2FE17FC6}"/>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4" name="Text Box 181">
          <a:extLst>
            <a:ext uri="{FF2B5EF4-FFF2-40B4-BE49-F238E27FC236}">
              <a16:creationId xmlns:a16="http://schemas.microsoft.com/office/drawing/2014/main" id="{C0E4F577-DDD4-4F5A-845A-9350413BACAB}"/>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5" name="Text Box 182">
          <a:extLst>
            <a:ext uri="{FF2B5EF4-FFF2-40B4-BE49-F238E27FC236}">
              <a16:creationId xmlns:a16="http://schemas.microsoft.com/office/drawing/2014/main" id="{73E20151-47C2-4162-ABBF-B6AB69C41678}"/>
            </a:ext>
          </a:extLst>
        </xdr:cNvPr>
        <xdr:cNvSpPr txBox="1">
          <a:spLocks noChangeArrowheads="1"/>
        </xdr:cNvSpPr>
      </xdr:nvSpPr>
      <xdr:spPr bwMode="auto">
        <a:xfrm>
          <a:off x="0" y="534352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6" name="Text Box 183">
          <a:extLst>
            <a:ext uri="{FF2B5EF4-FFF2-40B4-BE49-F238E27FC236}">
              <a16:creationId xmlns:a16="http://schemas.microsoft.com/office/drawing/2014/main" id="{5DA4E36A-0070-4DF9-9239-F7FBBBD6543D}"/>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7" name="Text Box 187">
          <a:extLst>
            <a:ext uri="{FF2B5EF4-FFF2-40B4-BE49-F238E27FC236}">
              <a16:creationId xmlns:a16="http://schemas.microsoft.com/office/drawing/2014/main" id="{9FFAF9C1-D9D9-4245-933F-F08A8E5A8B11}"/>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8" name="Text Box 188">
          <a:extLst>
            <a:ext uri="{FF2B5EF4-FFF2-40B4-BE49-F238E27FC236}">
              <a16:creationId xmlns:a16="http://schemas.microsoft.com/office/drawing/2014/main" id="{BA236CBB-1FBF-4E9E-8614-00CCEF460001}"/>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9" name="Text Box 189">
          <a:extLst>
            <a:ext uri="{FF2B5EF4-FFF2-40B4-BE49-F238E27FC236}">
              <a16:creationId xmlns:a16="http://schemas.microsoft.com/office/drawing/2014/main" id="{AFE3284B-E017-4068-ABD1-CAD652F2B375}"/>
            </a:ext>
          </a:extLst>
        </xdr:cNvPr>
        <xdr:cNvSpPr txBox="1">
          <a:spLocks noChangeArrowheads="1"/>
        </xdr:cNvSpPr>
      </xdr:nvSpPr>
      <xdr:spPr bwMode="auto">
        <a:xfrm>
          <a:off x="0" y="534352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40" name="Text Box 190">
          <a:extLst>
            <a:ext uri="{FF2B5EF4-FFF2-40B4-BE49-F238E27FC236}">
              <a16:creationId xmlns:a16="http://schemas.microsoft.com/office/drawing/2014/main" id="{D572BBC9-3DEE-45D3-B2F8-D98A9BFE4E1B}"/>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1" name="Text Box 191">
          <a:extLst>
            <a:ext uri="{FF2B5EF4-FFF2-40B4-BE49-F238E27FC236}">
              <a16:creationId xmlns:a16="http://schemas.microsoft.com/office/drawing/2014/main" id="{E462577B-DA71-4E6F-9776-7C827432FEB1}"/>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2" name="Text Box 192">
          <a:extLst>
            <a:ext uri="{FF2B5EF4-FFF2-40B4-BE49-F238E27FC236}">
              <a16:creationId xmlns:a16="http://schemas.microsoft.com/office/drawing/2014/main" id="{1C0ECCE1-B86D-4CE0-BF29-38FA1F759162}"/>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3" name="Text Box 193">
          <a:extLst>
            <a:ext uri="{FF2B5EF4-FFF2-40B4-BE49-F238E27FC236}">
              <a16:creationId xmlns:a16="http://schemas.microsoft.com/office/drawing/2014/main" id="{9DFE855C-A2F0-4DA7-86EF-7820F99F5A0C}"/>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4" name="Text Box 194">
          <a:extLst>
            <a:ext uri="{FF2B5EF4-FFF2-40B4-BE49-F238E27FC236}">
              <a16:creationId xmlns:a16="http://schemas.microsoft.com/office/drawing/2014/main" id="{823ED7EB-8208-43C8-A6D2-30D4AF5AF97F}"/>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5" name="Text Box 195">
          <a:extLst>
            <a:ext uri="{FF2B5EF4-FFF2-40B4-BE49-F238E27FC236}">
              <a16:creationId xmlns:a16="http://schemas.microsoft.com/office/drawing/2014/main" id="{C95DE471-3449-493E-944C-0D8665BAF889}"/>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6" name="Text Box 196">
          <a:extLst>
            <a:ext uri="{FF2B5EF4-FFF2-40B4-BE49-F238E27FC236}">
              <a16:creationId xmlns:a16="http://schemas.microsoft.com/office/drawing/2014/main" id="{11DE815A-C5CD-480F-9A97-E90D46DDD96D}"/>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7" name="Text Box 197">
          <a:extLst>
            <a:ext uri="{FF2B5EF4-FFF2-40B4-BE49-F238E27FC236}">
              <a16:creationId xmlns:a16="http://schemas.microsoft.com/office/drawing/2014/main" id="{37119E7A-466E-4A61-BFE5-1F6E8639FC61}"/>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8" name="Text Box 198">
          <a:extLst>
            <a:ext uri="{FF2B5EF4-FFF2-40B4-BE49-F238E27FC236}">
              <a16:creationId xmlns:a16="http://schemas.microsoft.com/office/drawing/2014/main" id="{40BA60E5-9DDC-419A-B57C-2470E8C4F729}"/>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9" name="Text Box 199">
          <a:extLst>
            <a:ext uri="{FF2B5EF4-FFF2-40B4-BE49-F238E27FC236}">
              <a16:creationId xmlns:a16="http://schemas.microsoft.com/office/drawing/2014/main" id="{DB9062A2-7B23-41A5-9476-C47022AEE136}"/>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0" name="Text Box 200">
          <a:extLst>
            <a:ext uri="{FF2B5EF4-FFF2-40B4-BE49-F238E27FC236}">
              <a16:creationId xmlns:a16="http://schemas.microsoft.com/office/drawing/2014/main" id="{C36ECA42-9AF6-4E60-A114-8BD645B5528A}"/>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1" name="Text Box 201">
          <a:extLst>
            <a:ext uri="{FF2B5EF4-FFF2-40B4-BE49-F238E27FC236}">
              <a16:creationId xmlns:a16="http://schemas.microsoft.com/office/drawing/2014/main" id="{79652368-86EB-4D23-A1CE-19C61535A372}"/>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2" name="Text Box 202">
          <a:extLst>
            <a:ext uri="{FF2B5EF4-FFF2-40B4-BE49-F238E27FC236}">
              <a16:creationId xmlns:a16="http://schemas.microsoft.com/office/drawing/2014/main" id="{A74E0C20-74BD-4AB7-BEBB-1FF5F8C09C53}"/>
            </a:ext>
          </a:extLst>
        </xdr:cNvPr>
        <xdr:cNvSpPr txBox="1">
          <a:spLocks noChangeArrowheads="1"/>
        </xdr:cNvSpPr>
      </xdr:nvSpPr>
      <xdr:spPr bwMode="auto">
        <a:xfrm>
          <a:off x="0" y="534352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26</xdr:row>
      <xdr:rowOff>0</xdr:rowOff>
    </xdr:from>
    <xdr:to>
      <xdr:col>0</xdr:col>
      <xdr:colOff>0</xdr:colOff>
      <xdr:row>26</xdr:row>
      <xdr:rowOff>0</xdr:rowOff>
    </xdr:to>
    <xdr:sp macro="" textlink="">
      <xdr:nvSpPr>
        <xdr:cNvPr id="2" name="Text Box 145">
          <a:extLst>
            <a:ext uri="{FF2B5EF4-FFF2-40B4-BE49-F238E27FC236}">
              <a16:creationId xmlns:a16="http://schemas.microsoft.com/office/drawing/2014/main" id="{7E133B10-4CD6-42F9-85C6-9CBF2A24C06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 name="Text Box 150">
          <a:extLst>
            <a:ext uri="{FF2B5EF4-FFF2-40B4-BE49-F238E27FC236}">
              <a16:creationId xmlns:a16="http://schemas.microsoft.com/office/drawing/2014/main" id="{46188BA7-E16E-4B15-ACDC-373BBB138AA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 name="Text Box 151">
          <a:extLst>
            <a:ext uri="{FF2B5EF4-FFF2-40B4-BE49-F238E27FC236}">
              <a16:creationId xmlns:a16="http://schemas.microsoft.com/office/drawing/2014/main" id="{4A64819C-D40B-4695-A0A1-532FD73A52E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 name="Text Box 152">
          <a:extLst>
            <a:ext uri="{FF2B5EF4-FFF2-40B4-BE49-F238E27FC236}">
              <a16:creationId xmlns:a16="http://schemas.microsoft.com/office/drawing/2014/main" id="{5EFE6FB8-16BB-44E6-8EBD-F3789E0738C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6" name="Text Box 153">
          <a:extLst>
            <a:ext uri="{FF2B5EF4-FFF2-40B4-BE49-F238E27FC236}">
              <a16:creationId xmlns:a16="http://schemas.microsoft.com/office/drawing/2014/main" id="{1B9F6E28-237E-444F-988D-D58263CD706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7" name="Text Box 154">
          <a:extLst>
            <a:ext uri="{FF2B5EF4-FFF2-40B4-BE49-F238E27FC236}">
              <a16:creationId xmlns:a16="http://schemas.microsoft.com/office/drawing/2014/main" id="{83A02D31-20FD-44B7-888D-9B824AB8EB7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8" name="Text Box 155">
          <a:extLst>
            <a:ext uri="{FF2B5EF4-FFF2-40B4-BE49-F238E27FC236}">
              <a16:creationId xmlns:a16="http://schemas.microsoft.com/office/drawing/2014/main" id="{02953F7C-EBC0-4D3E-925A-018D3081F3B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9" name="Text Box 156">
          <a:extLst>
            <a:ext uri="{FF2B5EF4-FFF2-40B4-BE49-F238E27FC236}">
              <a16:creationId xmlns:a16="http://schemas.microsoft.com/office/drawing/2014/main" id="{F40A6E4D-FCCD-4373-A946-CCCF4C80E5B2}"/>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0" name="Text Box 157">
          <a:extLst>
            <a:ext uri="{FF2B5EF4-FFF2-40B4-BE49-F238E27FC236}">
              <a16:creationId xmlns:a16="http://schemas.microsoft.com/office/drawing/2014/main" id="{1783574C-233D-4AD0-B431-C82A20FE0D2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1" name="Text Box 158">
          <a:extLst>
            <a:ext uri="{FF2B5EF4-FFF2-40B4-BE49-F238E27FC236}">
              <a16:creationId xmlns:a16="http://schemas.microsoft.com/office/drawing/2014/main" id="{6CD80946-6C62-496E-A378-220CE27BF5B2}"/>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2" name="Text Box 159">
          <a:extLst>
            <a:ext uri="{FF2B5EF4-FFF2-40B4-BE49-F238E27FC236}">
              <a16:creationId xmlns:a16="http://schemas.microsoft.com/office/drawing/2014/main" id="{267F69A0-804A-4890-A70C-D36761698BF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3" name="Text Box 160">
          <a:extLst>
            <a:ext uri="{FF2B5EF4-FFF2-40B4-BE49-F238E27FC236}">
              <a16:creationId xmlns:a16="http://schemas.microsoft.com/office/drawing/2014/main" id="{C8365EAA-15B8-42C1-9BD8-0E03294AB129}"/>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4" name="Text Box 161">
          <a:extLst>
            <a:ext uri="{FF2B5EF4-FFF2-40B4-BE49-F238E27FC236}">
              <a16:creationId xmlns:a16="http://schemas.microsoft.com/office/drawing/2014/main" id="{CA4B34BC-CF48-437F-B6F9-41235AC678D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5" name="Text Box 162">
          <a:extLst>
            <a:ext uri="{FF2B5EF4-FFF2-40B4-BE49-F238E27FC236}">
              <a16:creationId xmlns:a16="http://schemas.microsoft.com/office/drawing/2014/main" id="{B20F49B0-922E-4394-9AF0-73A40DDD41E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6" name="Text Box 163">
          <a:extLst>
            <a:ext uri="{FF2B5EF4-FFF2-40B4-BE49-F238E27FC236}">
              <a16:creationId xmlns:a16="http://schemas.microsoft.com/office/drawing/2014/main" id="{B8C56F6E-FD7F-4567-B0B9-5A03158E739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7" name="Text Box 164">
          <a:extLst>
            <a:ext uri="{FF2B5EF4-FFF2-40B4-BE49-F238E27FC236}">
              <a16:creationId xmlns:a16="http://schemas.microsoft.com/office/drawing/2014/main" id="{3F845537-AD86-4AEB-AFAE-53FBCF90624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8" name="Text Box 165">
          <a:extLst>
            <a:ext uri="{FF2B5EF4-FFF2-40B4-BE49-F238E27FC236}">
              <a16:creationId xmlns:a16="http://schemas.microsoft.com/office/drawing/2014/main" id="{E3693F53-744A-4595-BBE9-BD9888C6EAD0}"/>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9" name="Text Box 166">
          <a:extLst>
            <a:ext uri="{FF2B5EF4-FFF2-40B4-BE49-F238E27FC236}">
              <a16:creationId xmlns:a16="http://schemas.microsoft.com/office/drawing/2014/main" id="{4388CBBB-D0EF-4FDB-96F8-55392AEFF1E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0" name="Text Box 167">
          <a:extLst>
            <a:ext uri="{FF2B5EF4-FFF2-40B4-BE49-F238E27FC236}">
              <a16:creationId xmlns:a16="http://schemas.microsoft.com/office/drawing/2014/main" id="{2F0D4A21-84D1-4DEF-AA0A-AC045382CA4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1" name="Text Box 168">
          <a:extLst>
            <a:ext uri="{FF2B5EF4-FFF2-40B4-BE49-F238E27FC236}">
              <a16:creationId xmlns:a16="http://schemas.microsoft.com/office/drawing/2014/main" id="{A0390C58-9D97-40AF-9476-27DEB1C5CFE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2" name="Text Box 169">
          <a:extLst>
            <a:ext uri="{FF2B5EF4-FFF2-40B4-BE49-F238E27FC236}">
              <a16:creationId xmlns:a16="http://schemas.microsoft.com/office/drawing/2014/main" id="{904F40FD-B861-47DF-874D-3FC49F3201D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3" name="Text Box 170">
          <a:extLst>
            <a:ext uri="{FF2B5EF4-FFF2-40B4-BE49-F238E27FC236}">
              <a16:creationId xmlns:a16="http://schemas.microsoft.com/office/drawing/2014/main" id="{5F25FE20-06E3-4534-B64C-655AC7552B0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4" name="Text Box 171">
          <a:extLst>
            <a:ext uri="{FF2B5EF4-FFF2-40B4-BE49-F238E27FC236}">
              <a16:creationId xmlns:a16="http://schemas.microsoft.com/office/drawing/2014/main" id="{B227AC7B-E14A-4010-A71E-CC42BCC22AF2}"/>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5" name="Text Box 172">
          <a:extLst>
            <a:ext uri="{FF2B5EF4-FFF2-40B4-BE49-F238E27FC236}">
              <a16:creationId xmlns:a16="http://schemas.microsoft.com/office/drawing/2014/main" id="{854775A0-C6D8-41CC-B0DB-CD8DEA92A0A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6" name="Text Box 173">
          <a:extLst>
            <a:ext uri="{FF2B5EF4-FFF2-40B4-BE49-F238E27FC236}">
              <a16:creationId xmlns:a16="http://schemas.microsoft.com/office/drawing/2014/main" id="{70F41E35-9ED1-474B-BA29-CB0FC7AE91B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7" name="Text Box 174">
          <a:extLst>
            <a:ext uri="{FF2B5EF4-FFF2-40B4-BE49-F238E27FC236}">
              <a16:creationId xmlns:a16="http://schemas.microsoft.com/office/drawing/2014/main" id="{B104A19B-88AC-4A34-9D29-D8A7FB6FA54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8" name="Text Box 175">
          <a:extLst>
            <a:ext uri="{FF2B5EF4-FFF2-40B4-BE49-F238E27FC236}">
              <a16:creationId xmlns:a16="http://schemas.microsoft.com/office/drawing/2014/main" id="{5CCF4B20-8076-4742-B9F5-BFAA954B64F0}"/>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9" name="Text Box 176">
          <a:extLst>
            <a:ext uri="{FF2B5EF4-FFF2-40B4-BE49-F238E27FC236}">
              <a16:creationId xmlns:a16="http://schemas.microsoft.com/office/drawing/2014/main" id="{465D21B5-40E0-4301-9BA8-AAB5F1B37B8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0" name="Text Box 177">
          <a:extLst>
            <a:ext uri="{FF2B5EF4-FFF2-40B4-BE49-F238E27FC236}">
              <a16:creationId xmlns:a16="http://schemas.microsoft.com/office/drawing/2014/main" id="{DF213045-B4B9-409F-9D4D-B90F850331C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1" name="Text Box 178">
          <a:extLst>
            <a:ext uri="{FF2B5EF4-FFF2-40B4-BE49-F238E27FC236}">
              <a16:creationId xmlns:a16="http://schemas.microsoft.com/office/drawing/2014/main" id="{0AD10306-215D-4366-86B5-B60290F07BC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2" name="Text Box 179">
          <a:extLst>
            <a:ext uri="{FF2B5EF4-FFF2-40B4-BE49-F238E27FC236}">
              <a16:creationId xmlns:a16="http://schemas.microsoft.com/office/drawing/2014/main" id="{45210DF0-6B70-4676-8A9F-D8EE373516F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3" name="Text Box 180">
          <a:extLst>
            <a:ext uri="{FF2B5EF4-FFF2-40B4-BE49-F238E27FC236}">
              <a16:creationId xmlns:a16="http://schemas.microsoft.com/office/drawing/2014/main" id="{825F3F1B-8448-4AB1-9230-48F4264894C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4" name="Text Box 181">
          <a:extLst>
            <a:ext uri="{FF2B5EF4-FFF2-40B4-BE49-F238E27FC236}">
              <a16:creationId xmlns:a16="http://schemas.microsoft.com/office/drawing/2014/main" id="{8121CDBB-39F2-4942-B283-3D0D07DA10A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5" name="Text Box 182">
          <a:extLst>
            <a:ext uri="{FF2B5EF4-FFF2-40B4-BE49-F238E27FC236}">
              <a16:creationId xmlns:a16="http://schemas.microsoft.com/office/drawing/2014/main" id="{403FF904-602B-4ED7-AC22-5B579547F886}"/>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6" name="Text Box 183">
          <a:extLst>
            <a:ext uri="{FF2B5EF4-FFF2-40B4-BE49-F238E27FC236}">
              <a16:creationId xmlns:a16="http://schemas.microsoft.com/office/drawing/2014/main" id="{8DD1F981-6541-44A2-A1B7-5A7537950CC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7" name="Text Box 187">
          <a:extLst>
            <a:ext uri="{FF2B5EF4-FFF2-40B4-BE49-F238E27FC236}">
              <a16:creationId xmlns:a16="http://schemas.microsoft.com/office/drawing/2014/main" id="{0DB8B990-12E9-4C15-B1DD-E095678F82A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8" name="Text Box 188">
          <a:extLst>
            <a:ext uri="{FF2B5EF4-FFF2-40B4-BE49-F238E27FC236}">
              <a16:creationId xmlns:a16="http://schemas.microsoft.com/office/drawing/2014/main" id="{39D8C4A1-F252-4E92-A2DF-A5C7991DB530}"/>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9" name="Text Box 189">
          <a:extLst>
            <a:ext uri="{FF2B5EF4-FFF2-40B4-BE49-F238E27FC236}">
              <a16:creationId xmlns:a16="http://schemas.microsoft.com/office/drawing/2014/main" id="{A31DFC94-FF61-4086-8B43-16E72D61EA36}"/>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40" name="Text Box 190">
          <a:extLst>
            <a:ext uri="{FF2B5EF4-FFF2-40B4-BE49-F238E27FC236}">
              <a16:creationId xmlns:a16="http://schemas.microsoft.com/office/drawing/2014/main" id="{96E363FC-9DB9-4BA6-8DF8-9D12F727053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1" name="Text Box 191">
          <a:extLst>
            <a:ext uri="{FF2B5EF4-FFF2-40B4-BE49-F238E27FC236}">
              <a16:creationId xmlns:a16="http://schemas.microsoft.com/office/drawing/2014/main" id="{3892E1AB-0C6B-4D83-99F0-BA4E9DE18B1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2" name="Text Box 192">
          <a:extLst>
            <a:ext uri="{FF2B5EF4-FFF2-40B4-BE49-F238E27FC236}">
              <a16:creationId xmlns:a16="http://schemas.microsoft.com/office/drawing/2014/main" id="{80263921-03B5-4F48-8D70-B5302896FB9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3" name="Text Box 193">
          <a:extLst>
            <a:ext uri="{FF2B5EF4-FFF2-40B4-BE49-F238E27FC236}">
              <a16:creationId xmlns:a16="http://schemas.microsoft.com/office/drawing/2014/main" id="{F41BD674-606A-453D-A909-515373AE292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4" name="Text Box 194">
          <a:extLst>
            <a:ext uri="{FF2B5EF4-FFF2-40B4-BE49-F238E27FC236}">
              <a16:creationId xmlns:a16="http://schemas.microsoft.com/office/drawing/2014/main" id="{C78C1981-65E5-4E48-B133-73185A64593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5" name="Text Box 195">
          <a:extLst>
            <a:ext uri="{FF2B5EF4-FFF2-40B4-BE49-F238E27FC236}">
              <a16:creationId xmlns:a16="http://schemas.microsoft.com/office/drawing/2014/main" id="{3C493780-2607-4B21-A72C-466785AFEF7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6" name="Text Box 196">
          <a:extLst>
            <a:ext uri="{FF2B5EF4-FFF2-40B4-BE49-F238E27FC236}">
              <a16:creationId xmlns:a16="http://schemas.microsoft.com/office/drawing/2014/main" id="{50FEF519-E610-400A-AC46-752903B713B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7" name="Text Box 197">
          <a:extLst>
            <a:ext uri="{FF2B5EF4-FFF2-40B4-BE49-F238E27FC236}">
              <a16:creationId xmlns:a16="http://schemas.microsoft.com/office/drawing/2014/main" id="{D7887A60-9489-482C-B535-2976A201A1F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8" name="Text Box 198">
          <a:extLst>
            <a:ext uri="{FF2B5EF4-FFF2-40B4-BE49-F238E27FC236}">
              <a16:creationId xmlns:a16="http://schemas.microsoft.com/office/drawing/2014/main" id="{B5421D42-E77C-465A-AE99-60254E11968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9" name="Text Box 199">
          <a:extLst>
            <a:ext uri="{FF2B5EF4-FFF2-40B4-BE49-F238E27FC236}">
              <a16:creationId xmlns:a16="http://schemas.microsoft.com/office/drawing/2014/main" id="{B076404A-FDA4-4561-8FBB-4040D7B18F2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0" name="Text Box 200">
          <a:extLst>
            <a:ext uri="{FF2B5EF4-FFF2-40B4-BE49-F238E27FC236}">
              <a16:creationId xmlns:a16="http://schemas.microsoft.com/office/drawing/2014/main" id="{E97E1C10-1BE1-4E39-A5F4-EBC1F6AED80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1" name="Text Box 201">
          <a:extLst>
            <a:ext uri="{FF2B5EF4-FFF2-40B4-BE49-F238E27FC236}">
              <a16:creationId xmlns:a16="http://schemas.microsoft.com/office/drawing/2014/main" id="{31B34E0F-3AC1-4E8A-B92B-128B1300FE5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2" name="Text Box 202">
          <a:extLst>
            <a:ext uri="{FF2B5EF4-FFF2-40B4-BE49-F238E27FC236}">
              <a16:creationId xmlns:a16="http://schemas.microsoft.com/office/drawing/2014/main" id="{0A263E4C-9BF0-40AF-A0FE-7B26BE531B1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0</xdr:rowOff>
    </xdr:from>
    <xdr:to>
      <xdr:col>0</xdr:col>
      <xdr:colOff>0</xdr:colOff>
      <xdr:row>26</xdr:row>
      <xdr:rowOff>0</xdr:rowOff>
    </xdr:to>
    <xdr:sp macro="" textlink="">
      <xdr:nvSpPr>
        <xdr:cNvPr id="2" name="Text Box 145">
          <a:extLst>
            <a:ext uri="{FF2B5EF4-FFF2-40B4-BE49-F238E27FC236}">
              <a16:creationId xmlns:a16="http://schemas.microsoft.com/office/drawing/2014/main" id="{7171B7C3-1575-4F31-9917-2C5D42C6D32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 name="Text Box 150">
          <a:extLst>
            <a:ext uri="{FF2B5EF4-FFF2-40B4-BE49-F238E27FC236}">
              <a16:creationId xmlns:a16="http://schemas.microsoft.com/office/drawing/2014/main" id="{62581B1F-18CA-4ED2-B684-FA0B4081982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 name="Text Box 151">
          <a:extLst>
            <a:ext uri="{FF2B5EF4-FFF2-40B4-BE49-F238E27FC236}">
              <a16:creationId xmlns:a16="http://schemas.microsoft.com/office/drawing/2014/main" id="{CDDA1E3E-1E85-45CF-B914-B4B6308884F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 name="Text Box 152">
          <a:extLst>
            <a:ext uri="{FF2B5EF4-FFF2-40B4-BE49-F238E27FC236}">
              <a16:creationId xmlns:a16="http://schemas.microsoft.com/office/drawing/2014/main" id="{9768BA81-A741-4F63-8F2C-717CC94D2C30}"/>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6" name="Text Box 153">
          <a:extLst>
            <a:ext uri="{FF2B5EF4-FFF2-40B4-BE49-F238E27FC236}">
              <a16:creationId xmlns:a16="http://schemas.microsoft.com/office/drawing/2014/main" id="{96D1BC90-A17C-4FA4-A377-CB3C5F802F6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7" name="Text Box 154">
          <a:extLst>
            <a:ext uri="{FF2B5EF4-FFF2-40B4-BE49-F238E27FC236}">
              <a16:creationId xmlns:a16="http://schemas.microsoft.com/office/drawing/2014/main" id="{380B4ECF-8456-4D4A-AAEB-669CA17F2CF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8" name="Text Box 155">
          <a:extLst>
            <a:ext uri="{FF2B5EF4-FFF2-40B4-BE49-F238E27FC236}">
              <a16:creationId xmlns:a16="http://schemas.microsoft.com/office/drawing/2014/main" id="{7E14FA83-F4C4-40FB-AB42-998D337A160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9" name="Text Box 156">
          <a:extLst>
            <a:ext uri="{FF2B5EF4-FFF2-40B4-BE49-F238E27FC236}">
              <a16:creationId xmlns:a16="http://schemas.microsoft.com/office/drawing/2014/main" id="{1205F262-6753-4827-9E06-5E87F88CFC9C}"/>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0" name="Text Box 157">
          <a:extLst>
            <a:ext uri="{FF2B5EF4-FFF2-40B4-BE49-F238E27FC236}">
              <a16:creationId xmlns:a16="http://schemas.microsoft.com/office/drawing/2014/main" id="{8BEEFB34-16EE-424B-A5C3-5CE8DE63325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1" name="Text Box 158">
          <a:extLst>
            <a:ext uri="{FF2B5EF4-FFF2-40B4-BE49-F238E27FC236}">
              <a16:creationId xmlns:a16="http://schemas.microsoft.com/office/drawing/2014/main" id="{4C2E3114-34D2-4B45-8470-5B711D159A3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2" name="Text Box 159">
          <a:extLst>
            <a:ext uri="{FF2B5EF4-FFF2-40B4-BE49-F238E27FC236}">
              <a16:creationId xmlns:a16="http://schemas.microsoft.com/office/drawing/2014/main" id="{7941C173-5A69-4542-B17A-64473432B7C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3" name="Text Box 160">
          <a:extLst>
            <a:ext uri="{FF2B5EF4-FFF2-40B4-BE49-F238E27FC236}">
              <a16:creationId xmlns:a16="http://schemas.microsoft.com/office/drawing/2014/main" id="{786A11D4-7482-4F34-9FC5-0EA12B5F15D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4" name="Text Box 161">
          <a:extLst>
            <a:ext uri="{FF2B5EF4-FFF2-40B4-BE49-F238E27FC236}">
              <a16:creationId xmlns:a16="http://schemas.microsoft.com/office/drawing/2014/main" id="{CF4DCC47-B34D-4E3E-9A11-B267C365573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5" name="Text Box 162">
          <a:extLst>
            <a:ext uri="{FF2B5EF4-FFF2-40B4-BE49-F238E27FC236}">
              <a16:creationId xmlns:a16="http://schemas.microsoft.com/office/drawing/2014/main" id="{005CEBB8-3332-4487-BD04-977201C510A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6" name="Text Box 163">
          <a:extLst>
            <a:ext uri="{FF2B5EF4-FFF2-40B4-BE49-F238E27FC236}">
              <a16:creationId xmlns:a16="http://schemas.microsoft.com/office/drawing/2014/main" id="{236FD617-F82F-4337-BF8D-7E2CD0C978A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7" name="Text Box 164">
          <a:extLst>
            <a:ext uri="{FF2B5EF4-FFF2-40B4-BE49-F238E27FC236}">
              <a16:creationId xmlns:a16="http://schemas.microsoft.com/office/drawing/2014/main" id="{2D6816CD-AF83-4B0F-9A0D-32D802F0B51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8" name="Text Box 165">
          <a:extLst>
            <a:ext uri="{FF2B5EF4-FFF2-40B4-BE49-F238E27FC236}">
              <a16:creationId xmlns:a16="http://schemas.microsoft.com/office/drawing/2014/main" id="{98D1DBDE-8543-4F06-AA69-E60AB3007D5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9" name="Text Box 166">
          <a:extLst>
            <a:ext uri="{FF2B5EF4-FFF2-40B4-BE49-F238E27FC236}">
              <a16:creationId xmlns:a16="http://schemas.microsoft.com/office/drawing/2014/main" id="{7FEB750F-7CE5-4A4F-9A3B-54F1750DF71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0" name="Text Box 167">
          <a:extLst>
            <a:ext uri="{FF2B5EF4-FFF2-40B4-BE49-F238E27FC236}">
              <a16:creationId xmlns:a16="http://schemas.microsoft.com/office/drawing/2014/main" id="{BF319090-111C-426D-B78B-542E7FE492C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1" name="Text Box 168">
          <a:extLst>
            <a:ext uri="{FF2B5EF4-FFF2-40B4-BE49-F238E27FC236}">
              <a16:creationId xmlns:a16="http://schemas.microsoft.com/office/drawing/2014/main" id="{E9FCEBDD-6A99-48C1-B337-99A59B406E5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2" name="Text Box 169">
          <a:extLst>
            <a:ext uri="{FF2B5EF4-FFF2-40B4-BE49-F238E27FC236}">
              <a16:creationId xmlns:a16="http://schemas.microsoft.com/office/drawing/2014/main" id="{71D725DF-0C81-4054-BD7B-54E7509FF4E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3" name="Text Box 170">
          <a:extLst>
            <a:ext uri="{FF2B5EF4-FFF2-40B4-BE49-F238E27FC236}">
              <a16:creationId xmlns:a16="http://schemas.microsoft.com/office/drawing/2014/main" id="{79CB7456-6E30-4D6B-934B-5143AEBE0A0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4" name="Text Box 171">
          <a:extLst>
            <a:ext uri="{FF2B5EF4-FFF2-40B4-BE49-F238E27FC236}">
              <a16:creationId xmlns:a16="http://schemas.microsoft.com/office/drawing/2014/main" id="{FF7F5FA6-FE1B-4C26-9CDD-1A1469AE00E9}"/>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5" name="Text Box 172">
          <a:extLst>
            <a:ext uri="{FF2B5EF4-FFF2-40B4-BE49-F238E27FC236}">
              <a16:creationId xmlns:a16="http://schemas.microsoft.com/office/drawing/2014/main" id="{A2BB1723-CB19-41A7-95DC-F9064C6D6002}"/>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6" name="Text Box 173">
          <a:extLst>
            <a:ext uri="{FF2B5EF4-FFF2-40B4-BE49-F238E27FC236}">
              <a16:creationId xmlns:a16="http://schemas.microsoft.com/office/drawing/2014/main" id="{59E05D98-469D-496B-8EAE-7848EB804D89}"/>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7" name="Text Box 174">
          <a:extLst>
            <a:ext uri="{FF2B5EF4-FFF2-40B4-BE49-F238E27FC236}">
              <a16:creationId xmlns:a16="http://schemas.microsoft.com/office/drawing/2014/main" id="{AA641008-70CA-4F8C-8CAB-27881F958AA0}"/>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8" name="Text Box 175">
          <a:extLst>
            <a:ext uri="{FF2B5EF4-FFF2-40B4-BE49-F238E27FC236}">
              <a16:creationId xmlns:a16="http://schemas.microsoft.com/office/drawing/2014/main" id="{FDAD1099-3084-4CBB-B09D-E2A319E2246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9" name="Text Box 176">
          <a:extLst>
            <a:ext uri="{FF2B5EF4-FFF2-40B4-BE49-F238E27FC236}">
              <a16:creationId xmlns:a16="http://schemas.microsoft.com/office/drawing/2014/main" id="{8182C912-1B33-4362-8F11-B509C06F0FA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0" name="Text Box 177">
          <a:extLst>
            <a:ext uri="{FF2B5EF4-FFF2-40B4-BE49-F238E27FC236}">
              <a16:creationId xmlns:a16="http://schemas.microsoft.com/office/drawing/2014/main" id="{14E5C125-2D8E-4837-85F7-FA95B9C75F52}"/>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1" name="Text Box 178">
          <a:extLst>
            <a:ext uri="{FF2B5EF4-FFF2-40B4-BE49-F238E27FC236}">
              <a16:creationId xmlns:a16="http://schemas.microsoft.com/office/drawing/2014/main" id="{249A5AF6-9E0E-4700-942F-BFDC2E8DD509}"/>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2" name="Text Box 179">
          <a:extLst>
            <a:ext uri="{FF2B5EF4-FFF2-40B4-BE49-F238E27FC236}">
              <a16:creationId xmlns:a16="http://schemas.microsoft.com/office/drawing/2014/main" id="{D3D1B01B-E49C-42BD-9238-2D21F64EF57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3" name="Text Box 180">
          <a:extLst>
            <a:ext uri="{FF2B5EF4-FFF2-40B4-BE49-F238E27FC236}">
              <a16:creationId xmlns:a16="http://schemas.microsoft.com/office/drawing/2014/main" id="{49059A96-CC0E-4214-99EA-DD626577F93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4" name="Text Box 181">
          <a:extLst>
            <a:ext uri="{FF2B5EF4-FFF2-40B4-BE49-F238E27FC236}">
              <a16:creationId xmlns:a16="http://schemas.microsoft.com/office/drawing/2014/main" id="{1826D775-3B29-4BE4-86AD-DDA363245B4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5" name="Text Box 182">
          <a:extLst>
            <a:ext uri="{FF2B5EF4-FFF2-40B4-BE49-F238E27FC236}">
              <a16:creationId xmlns:a16="http://schemas.microsoft.com/office/drawing/2014/main" id="{1BCF479C-415A-480B-92EE-BFEA2E9B09C7}"/>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6" name="Text Box 183">
          <a:extLst>
            <a:ext uri="{FF2B5EF4-FFF2-40B4-BE49-F238E27FC236}">
              <a16:creationId xmlns:a16="http://schemas.microsoft.com/office/drawing/2014/main" id="{78608E62-386F-431D-8724-F396B335250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7" name="Text Box 187">
          <a:extLst>
            <a:ext uri="{FF2B5EF4-FFF2-40B4-BE49-F238E27FC236}">
              <a16:creationId xmlns:a16="http://schemas.microsoft.com/office/drawing/2014/main" id="{A764BCEA-708E-4AD5-8041-A1DE009E9DB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8" name="Text Box 188">
          <a:extLst>
            <a:ext uri="{FF2B5EF4-FFF2-40B4-BE49-F238E27FC236}">
              <a16:creationId xmlns:a16="http://schemas.microsoft.com/office/drawing/2014/main" id="{929CEE81-D722-4075-A739-D0FD79CCC44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9" name="Text Box 189">
          <a:extLst>
            <a:ext uri="{FF2B5EF4-FFF2-40B4-BE49-F238E27FC236}">
              <a16:creationId xmlns:a16="http://schemas.microsoft.com/office/drawing/2014/main" id="{2B5D19DD-49E3-4F3B-A1AC-087CB563C6C5}"/>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40" name="Text Box 190">
          <a:extLst>
            <a:ext uri="{FF2B5EF4-FFF2-40B4-BE49-F238E27FC236}">
              <a16:creationId xmlns:a16="http://schemas.microsoft.com/office/drawing/2014/main" id="{94213359-5960-4A42-9C2E-7BE2195CA6C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1" name="Text Box 191">
          <a:extLst>
            <a:ext uri="{FF2B5EF4-FFF2-40B4-BE49-F238E27FC236}">
              <a16:creationId xmlns:a16="http://schemas.microsoft.com/office/drawing/2014/main" id="{638A3E78-8077-4479-86DD-A8EA3273970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2" name="Text Box 192">
          <a:extLst>
            <a:ext uri="{FF2B5EF4-FFF2-40B4-BE49-F238E27FC236}">
              <a16:creationId xmlns:a16="http://schemas.microsoft.com/office/drawing/2014/main" id="{5579349B-B0E8-41A2-B26B-A0183F4379C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3" name="Text Box 193">
          <a:extLst>
            <a:ext uri="{FF2B5EF4-FFF2-40B4-BE49-F238E27FC236}">
              <a16:creationId xmlns:a16="http://schemas.microsoft.com/office/drawing/2014/main" id="{B60CB6D1-EB24-4846-92ED-9F794D979F1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4" name="Text Box 194">
          <a:extLst>
            <a:ext uri="{FF2B5EF4-FFF2-40B4-BE49-F238E27FC236}">
              <a16:creationId xmlns:a16="http://schemas.microsoft.com/office/drawing/2014/main" id="{8F7A4755-14AB-431F-A90B-F1FD797F0A0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5" name="Text Box 195">
          <a:extLst>
            <a:ext uri="{FF2B5EF4-FFF2-40B4-BE49-F238E27FC236}">
              <a16:creationId xmlns:a16="http://schemas.microsoft.com/office/drawing/2014/main" id="{BE0596DD-5018-4D07-B15F-47EF1BFDD77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6" name="Text Box 196">
          <a:extLst>
            <a:ext uri="{FF2B5EF4-FFF2-40B4-BE49-F238E27FC236}">
              <a16:creationId xmlns:a16="http://schemas.microsoft.com/office/drawing/2014/main" id="{4F183930-B737-4AD3-BD03-9715144FC3A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7" name="Text Box 197">
          <a:extLst>
            <a:ext uri="{FF2B5EF4-FFF2-40B4-BE49-F238E27FC236}">
              <a16:creationId xmlns:a16="http://schemas.microsoft.com/office/drawing/2014/main" id="{B1699C43-5F33-4243-9F01-3426C84F9D3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8" name="Text Box 198">
          <a:extLst>
            <a:ext uri="{FF2B5EF4-FFF2-40B4-BE49-F238E27FC236}">
              <a16:creationId xmlns:a16="http://schemas.microsoft.com/office/drawing/2014/main" id="{FF70DD43-7A94-4F58-98B7-9495CF9CDC99}"/>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9" name="Text Box 199">
          <a:extLst>
            <a:ext uri="{FF2B5EF4-FFF2-40B4-BE49-F238E27FC236}">
              <a16:creationId xmlns:a16="http://schemas.microsoft.com/office/drawing/2014/main" id="{109DC03B-0D94-4331-A262-04DE8851CBD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0" name="Text Box 200">
          <a:extLst>
            <a:ext uri="{FF2B5EF4-FFF2-40B4-BE49-F238E27FC236}">
              <a16:creationId xmlns:a16="http://schemas.microsoft.com/office/drawing/2014/main" id="{50351C5B-342E-4CC4-B984-B6EC03A7523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1" name="Text Box 201">
          <a:extLst>
            <a:ext uri="{FF2B5EF4-FFF2-40B4-BE49-F238E27FC236}">
              <a16:creationId xmlns:a16="http://schemas.microsoft.com/office/drawing/2014/main" id="{81F10774-FCC4-4FC2-9C9E-502E866236B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2" name="Text Box 202">
          <a:extLst>
            <a:ext uri="{FF2B5EF4-FFF2-40B4-BE49-F238E27FC236}">
              <a16:creationId xmlns:a16="http://schemas.microsoft.com/office/drawing/2014/main" id="{7DD3FDA6-9827-4F8F-ADA3-B78FDD45074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26</xdr:row>
      <xdr:rowOff>0</xdr:rowOff>
    </xdr:from>
    <xdr:to>
      <xdr:col>0</xdr:col>
      <xdr:colOff>0</xdr:colOff>
      <xdr:row>26</xdr:row>
      <xdr:rowOff>0</xdr:rowOff>
    </xdr:to>
    <xdr:sp macro="" textlink="">
      <xdr:nvSpPr>
        <xdr:cNvPr id="2" name="Text Box 145">
          <a:extLst>
            <a:ext uri="{FF2B5EF4-FFF2-40B4-BE49-F238E27FC236}">
              <a16:creationId xmlns:a16="http://schemas.microsoft.com/office/drawing/2014/main" id="{91D99B47-565C-46E1-B6EE-2AF6BE9D9D0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 name="Text Box 150">
          <a:extLst>
            <a:ext uri="{FF2B5EF4-FFF2-40B4-BE49-F238E27FC236}">
              <a16:creationId xmlns:a16="http://schemas.microsoft.com/office/drawing/2014/main" id="{27992E2A-0C54-4D66-8827-6637C2AF23C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 name="Text Box 151">
          <a:extLst>
            <a:ext uri="{FF2B5EF4-FFF2-40B4-BE49-F238E27FC236}">
              <a16:creationId xmlns:a16="http://schemas.microsoft.com/office/drawing/2014/main" id="{73BC5ED3-4335-44C1-879B-36F969CCA26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 name="Text Box 152">
          <a:extLst>
            <a:ext uri="{FF2B5EF4-FFF2-40B4-BE49-F238E27FC236}">
              <a16:creationId xmlns:a16="http://schemas.microsoft.com/office/drawing/2014/main" id="{41B2406E-9E50-44C2-8653-B46834A3535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6" name="Text Box 153">
          <a:extLst>
            <a:ext uri="{FF2B5EF4-FFF2-40B4-BE49-F238E27FC236}">
              <a16:creationId xmlns:a16="http://schemas.microsoft.com/office/drawing/2014/main" id="{4D8F5469-C214-4F0D-9790-150B7136C19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7" name="Text Box 154">
          <a:extLst>
            <a:ext uri="{FF2B5EF4-FFF2-40B4-BE49-F238E27FC236}">
              <a16:creationId xmlns:a16="http://schemas.microsoft.com/office/drawing/2014/main" id="{E73DADA7-AD62-4FEF-AA20-E1175946130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8" name="Text Box 155">
          <a:extLst>
            <a:ext uri="{FF2B5EF4-FFF2-40B4-BE49-F238E27FC236}">
              <a16:creationId xmlns:a16="http://schemas.microsoft.com/office/drawing/2014/main" id="{EC4A5CB6-E774-4361-B174-E1FC0D702CE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9" name="Text Box 156">
          <a:extLst>
            <a:ext uri="{FF2B5EF4-FFF2-40B4-BE49-F238E27FC236}">
              <a16:creationId xmlns:a16="http://schemas.microsoft.com/office/drawing/2014/main" id="{B8CE9C92-1087-46B1-A95C-FD3291F9AECB}"/>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0" name="Text Box 157">
          <a:extLst>
            <a:ext uri="{FF2B5EF4-FFF2-40B4-BE49-F238E27FC236}">
              <a16:creationId xmlns:a16="http://schemas.microsoft.com/office/drawing/2014/main" id="{9D634C12-FAB5-4E2F-98E1-F8BDA117E559}"/>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1" name="Text Box 158">
          <a:extLst>
            <a:ext uri="{FF2B5EF4-FFF2-40B4-BE49-F238E27FC236}">
              <a16:creationId xmlns:a16="http://schemas.microsoft.com/office/drawing/2014/main" id="{9AF843A8-88EF-4D82-B717-B0C4B5B03DD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2" name="Text Box 159">
          <a:extLst>
            <a:ext uri="{FF2B5EF4-FFF2-40B4-BE49-F238E27FC236}">
              <a16:creationId xmlns:a16="http://schemas.microsoft.com/office/drawing/2014/main" id="{DA55DFC1-33F1-4B36-A033-FFF7EA270D2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3" name="Text Box 160">
          <a:extLst>
            <a:ext uri="{FF2B5EF4-FFF2-40B4-BE49-F238E27FC236}">
              <a16:creationId xmlns:a16="http://schemas.microsoft.com/office/drawing/2014/main" id="{42231373-1F8A-4C56-90FC-03A42AD8F2A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4" name="Text Box 161">
          <a:extLst>
            <a:ext uri="{FF2B5EF4-FFF2-40B4-BE49-F238E27FC236}">
              <a16:creationId xmlns:a16="http://schemas.microsoft.com/office/drawing/2014/main" id="{A60C4259-D5A8-4183-8163-55EBABFB0E4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5" name="Text Box 162">
          <a:extLst>
            <a:ext uri="{FF2B5EF4-FFF2-40B4-BE49-F238E27FC236}">
              <a16:creationId xmlns:a16="http://schemas.microsoft.com/office/drawing/2014/main" id="{29298385-DBDD-4063-A540-E6C4F50D3CC2}"/>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6" name="Text Box 163">
          <a:extLst>
            <a:ext uri="{FF2B5EF4-FFF2-40B4-BE49-F238E27FC236}">
              <a16:creationId xmlns:a16="http://schemas.microsoft.com/office/drawing/2014/main" id="{7AB0EDFC-1EE4-44E3-8155-8833DC84315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7" name="Text Box 164">
          <a:extLst>
            <a:ext uri="{FF2B5EF4-FFF2-40B4-BE49-F238E27FC236}">
              <a16:creationId xmlns:a16="http://schemas.microsoft.com/office/drawing/2014/main" id="{9269A84E-5D4A-4961-8BA3-FA8C8D61266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8" name="Text Box 165">
          <a:extLst>
            <a:ext uri="{FF2B5EF4-FFF2-40B4-BE49-F238E27FC236}">
              <a16:creationId xmlns:a16="http://schemas.microsoft.com/office/drawing/2014/main" id="{57FB19B4-A421-41FC-A347-C6C5532EFBF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9" name="Text Box 166">
          <a:extLst>
            <a:ext uri="{FF2B5EF4-FFF2-40B4-BE49-F238E27FC236}">
              <a16:creationId xmlns:a16="http://schemas.microsoft.com/office/drawing/2014/main" id="{DE62EDE2-AB64-41D5-BFE0-12E7C1AA602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0" name="Text Box 167">
          <a:extLst>
            <a:ext uri="{FF2B5EF4-FFF2-40B4-BE49-F238E27FC236}">
              <a16:creationId xmlns:a16="http://schemas.microsoft.com/office/drawing/2014/main" id="{481FEAA8-CAF2-4A67-BAEC-FB88918F560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1" name="Text Box 168">
          <a:extLst>
            <a:ext uri="{FF2B5EF4-FFF2-40B4-BE49-F238E27FC236}">
              <a16:creationId xmlns:a16="http://schemas.microsoft.com/office/drawing/2014/main" id="{1EAECD26-1BBE-402A-B51F-665EC5FB959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2" name="Text Box 169">
          <a:extLst>
            <a:ext uri="{FF2B5EF4-FFF2-40B4-BE49-F238E27FC236}">
              <a16:creationId xmlns:a16="http://schemas.microsoft.com/office/drawing/2014/main" id="{CB6DCAA4-C397-4A26-9FCC-D1EE4D322F6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3" name="Text Box 170">
          <a:extLst>
            <a:ext uri="{FF2B5EF4-FFF2-40B4-BE49-F238E27FC236}">
              <a16:creationId xmlns:a16="http://schemas.microsoft.com/office/drawing/2014/main" id="{78E2EA94-A03B-4CE8-92F0-E4C351FCFBA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4" name="Text Box 171">
          <a:extLst>
            <a:ext uri="{FF2B5EF4-FFF2-40B4-BE49-F238E27FC236}">
              <a16:creationId xmlns:a16="http://schemas.microsoft.com/office/drawing/2014/main" id="{546C649C-3F3D-457F-B81F-51A439E6C11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5" name="Text Box 172">
          <a:extLst>
            <a:ext uri="{FF2B5EF4-FFF2-40B4-BE49-F238E27FC236}">
              <a16:creationId xmlns:a16="http://schemas.microsoft.com/office/drawing/2014/main" id="{085BC2AE-9131-4B67-A696-661F5F9AF4D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6" name="Text Box 173">
          <a:extLst>
            <a:ext uri="{FF2B5EF4-FFF2-40B4-BE49-F238E27FC236}">
              <a16:creationId xmlns:a16="http://schemas.microsoft.com/office/drawing/2014/main" id="{A00A6540-33E3-4E53-A225-C88C45D9263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7" name="Text Box 174">
          <a:extLst>
            <a:ext uri="{FF2B5EF4-FFF2-40B4-BE49-F238E27FC236}">
              <a16:creationId xmlns:a16="http://schemas.microsoft.com/office/drawing/2014/main" id="{927246A6-82F3-4543-9604-25C059034A5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8" name="Text Box 175">
          <a:extLst>
            <a:ext uri="{FF2B5EF4-FFF2-40B4-BE49-F238E27FC236}">
              <a16:creationId xmlns:a16="http://schemas.microsoft.com/office/drawing/2014/main" id="{FB3B44C7-6D37-4E25-8D99-87362981B74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9" name="Text Box 176">
          <a:extLst>
            <a:ext uri="{FF2B5EF4-FFF2-40B4-BE49-F238E27FC236}">
              <a16:creationId xmlns:a16="http://schemas.microsoft.com/office/drawing/2014/main" id="{8AD93954-250F-4D55-AF18-C7AACECEA6D9}"/>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0" name="Text Box 177">
          <a:extLst>
            <a:ext uri="{FF2B5EF4-FFF2-40B4-BE49-F238E27FC236}">
              <a16:creationId xmlns:a16="http://schemas.microsoft.com/office/drawing/2014/main" id="{29B90CF2-1CAB-44B7-BEEC-5FED7B3AD8B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1" name="Text Box 178">
          <a:extLst>
            <a:ext uri="{FF2B5EF4-FFF2-40B4-BE49-F238E27FC236}">
              <a16:creationId xmlns:a16="http://schemas.microsoft.com/office/drawing/2014/main" id="{E8F0FA4B-E287-4665-8B0B-966AD441DBD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2" name="Text Box 179">
          <a:extLst>
            <a:ext uri="{FF2B5EF4-FFF2-40B4-BE49-F238E27FC236}">
              <a16:creationId xmlns:a16="http://schemas.microsoft.com/office/drawing/2014/main" id="{4896D40E-3542-4D0F-BD56-E01F60DD242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3" name="Text Box 180">
          <a:extLst>
            <a:ext uri="{FF2B5EF4-FFF2-40B4-BE49-F238E27FC236}">
              <a16:creationId xmlns:a16="http://schemas.microsoft.com/office/drawing/2014/main" id="{0598933F-A514-40DD-BC4A-BC2FB89665A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4" name="Text Box 181">
          <a:extLst>
            <a:ext uri="{FF2B5EF4-FFF2-40B4-BE49-F238E27FC236}">
              <a16:creationId xmlns:a16="http://schemas.microsoft.com/office/drawing/2014/main" id="{EBFAC499-8B7A-4FB0-8505-7AAC78A17AC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5" name="Text Box 182">
          <a:extLst>
            <a:ext uri="{FF2B5EF4-FFF2-40B4-BE49-F238E27FC236}">
              <a16:creationId xmlns:a16="http://schemas.microsoft.com/office/drawing/2014/main" id="{08146A09-5A97-42DC-B7C2-A6F6CCD4AEEC}"/>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6" name="Text Box 183">
          <a:extLst>
            <a:ext uri="{FF2B5EF4-FFF2-40B4-BE49-F238E27FC236}">
              <a16:creationId xmlns:a16="http://schemas.microsoft.com/office/drawing/2014/main" id="{5B40CF57-51A1-4A51-9C3C-A54C079A589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7" name="Text Box 187">
          <a:extLst>
            <a:ext uri="{FF2B5EF4-FFF2-40B4-BE49-F238E27FC236}">
              <a16:creationId xmlns:a16="http://schemas.microsoft.com/office/drawing/2014/main" id="{B3E614DD-E843-4297-A38C-C7A9C59D877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8" name="Text Box 188">
          <a:extLst>
            <a:ext uri="{FF2B5EF4-FFF2-40B4-BE49-F238E27FC236}">
              <a16:creationId xmlns:a16="http://schemas.microsoft.com/office/drawing/2014/main" id="{C5F7B4B9-E88D-427C-8463-5F4D56649780}"/>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9" name="Text Box 189">
          <a:extLst>
            <a:ext uri="{FF2B5EF4-FFF2-40B4-BE49-F238E27FC236}">
              <a16:creationId xmlns:a16="http://schemas.microsoft.com/office/drawing/2014/main" id="{0B4C0F38-5F6C-4F45-8F56-ECD0810A1F18}"/>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40" name="Text Box 190">
          <a:extLst>
            <a:ext uri="{FF2B5EF4-FFF2-40B4-BE49-F238E27FC236}">
              <a16:creationId xmlns:a16="http://schemas.microsoft.com/office/drawing/2014/main" id="{025EFCF5-9412-4D00-A6B7-4E6C34863AF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1" name="Text Box 191">
          <a:extLst>
            <a:ext uri="{FF2B5EF4-FFF2-40B4-BE49-F238E27FC236}">
              <a16:creationId xmlns:a16="http://schemas.microsoft.com/office/drawing/2014/main" id="{0F4AA4CC-6E76-4726-9986-1316E85E59F2}"/>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2" name="Text Box 192">
          <a:extLst>
            <a:ext uri="{FF2B5EF4-FFF2-40B4-BE49-F238E27FC236}">
              <a16:creationId xmlns:a16="http://schemas.microsoft.com/office/drawing/2014/main" id="{80FAEC4A-A943-43AB-A957-E05AF921235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3" name="Text Box 193">
          <a:extLst>
            <a:ext uri="{FF2B5EF4-FFF2-40B4-BE49-F238E27FC236}">
              <a16:creationId xmlns:a16="http://schemas.microsoft.com/office/drawing/2014/main" id="{F5E5B5FF-56DD-4F2F-A7F8-6E73888E253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4" name="Text Box 194">
          <a:extLst>
            <a:ext uri="{FF2B5EF4-FFF2-40B4-BE49-F238E27FC236}">
              <a16:creationId xmlns:a16="http://schemas.microsoft.com/office/drawing/2014/main" id="{A31A5B99-DF81-4DD8-898A-200C55CD088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5" name="Text Box 195">
          <a:extLst>
            <a:ext uri="{FF2B5EF4-FFF2-40B4-BE49-F238E27FC236}">
              <a16:creationId xmlns:a16="http://schemas.microsoft.com/office/drawing/2014/main" id="{943A6FC6-1583-4B0C-BD73-3372CD0ED82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6" name="Text Box 196">
          <a:extLst>
            <a:ext uri="{FF2B5EF4-FFF2-40B4-BE49-F238E27FC236}">
              <a16:creationId xmlns:a16="http://schemas.microsoft.com/office/drawing/2014/main" id="{17B2DC1C-44C7-414D-A0B2-017C7232D5A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7" name="Text Box 197">
          <a:extLst>
            <a:ext uri="{FF2B5EF4-FFF2-40B4-BE49-F238E27FC236}">
              <a16:creationId xmlns:a16="http://schemas.microsoft.com/office/drawing/2014/main" id="{9102B7BD-9AE7-418C-806F-7DAC12359A4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8" name="Text Box 198">
          <a:extLst>
            <a:ext uri="{FF2B5EF4-FFF2-40B4-BE49-F238E27FC236}">
              <a16:creationId xmlns:a16="http://schemas.microsoft.com/office/drawing/2014/main" id="{9BB21DD8-9BA8-4C92-90DA-5A0DC39D732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9" name="Text Box 199">
          <a:extLst>
            <a:ext uri="{FF2B5EF4-FFF2-40B4-BE49-F238E27FC236}">
              <a16:creationId xmlns:a16="http://schemas.microsoft.com/office/drawing/2014/main" id="{DA1FBC90-1895-4DD3-81A6-A2A78CA87182}"/>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0" name="Text Box 200">
          <a:extLst>
            <a:ext uri="{FF2B5EF4-FFF2-40B4-BE49-F238E27FC236}">
              <a16:creationId xmlns:a16="http://schemas.microsoft.com/office/drawing/2014/main" id="{6A6A577E-D339-4609-8D0A-AB0F47C7F72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1" name="Text Box 201">
          <a:extLst>
            <a:ext uri="{FF2B5EF4-FFF2-40B4-BE49-F238E27FC236}">
              <a16:creationId xmlns:a16="http://schemas.microsoft.com/office/drawing/2014/main" id="{16E23A6E-D4B8-4093-AFA1-037CFC610B7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2" name="Text Box 202">
          <a:extLst>
            <a:ext uri="{FF2B5EF4-FFF2-40B4-BE49-F238E27FC236}">
              <a16:creationId xmlns:a16="http://schemas.microsoft.com/office/drawing/2014/main" id="{79680090-D140-4842-A357-4E138837AAA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26</xdr:row>
      <xdr:rowOff>0</xdr:rowOff>
    </xdr:from>
    <xdr:to>
      <xdr:col>0</xdr:col>
      <xdr:colOff>0</xdr:colOff>
      <xdr:row>26</xdr:row>
      <xdr:rowOff>0</xdr:rowOff>
    </xdr:to>
    <xdr:sp macro="" textlink="">
      <xdr:nvSpPr>
        <xdr:cNvPr id="2" name="Text Box 145">
          <a:extLst>
            <a:ext uri="{FF2B5EF4-FFF2-40B4-BE49-F238E27FC236}">
              <a16:creationId xmlns:a16="http://schemas.microsoft.com/office/drawing/2014/main" id="{C10462DC-56DC-4154-8B8F-04244012A38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 name="Text Box 150">
          <a:extLst>
            <a:ext uri="{FF2B5EF4-FFF2-40B4-BE49-F238E27FC236}">
              <a16:creationId xmlns:a16="http://schemas.microsoft.com/office/drawing/2014/main" id="{E0D6E548-EDDB-431A-937C-F8014D9DB89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 name="Text Box 151">
          <a:extLst>
            <a:ext uri="{FF2B5EF4-FFF2-40B4-BE49-F238E27FC236}">
              <a16:creationId xmlns:a16="http://schemas.microsoft.com/office/drawing/2014/main" id="{23989EC1-5C73-4BA1-8017-ECA6C2C1CCC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 name="Text Box 152">
          <a:extLst>
            <a:ext uri="{FF2B5EF4-FFF2-40B4-BE49-F238E27FC236}">
              <a16:creationId xmlns:a16="http://schemas.microsoft.com/office/drawing/2014/main" id="{D7C04853-2D45-45AD-9DDC-32A61F4BF62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6" name="Text Box 153">
          <a:extLst>
            <a:ext uri="{FF2B5EF4-FFF2-40B4-BE49-F238E27FC236}">
              <a16:creationId xmlns:a16="http://schemas.microsoft.com/office/drawing/2014/main" id="{62FB4CF3-43C4-4E6C-9CEC-C556F29259C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7" name="Text Box 154">
          <a:extLst>
            <a:ext uri="{FF2B5EF4-FFF2-40B4-BE49-F238E27FC236}">
              <a16:creationId xmlns:a16="http://schemas.microsoft.com/office/drawing/2014/main" id="{50C10BB8-93F6-435E-83E5-04F340D7839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8" name="Text Box 155">
          <a:extLst>
            <a:ext uri="{FF2B5EF4-FFF2-40B4-BE49-F238E27FC236}">
              <a16:creationId xmlns:a16="http://schemas.microsoft.com/office/drawing/2014/main" id="{C42DAE29-03E1-4D7E-B671-4BC270AE062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9" name="Text Box 156">
          <a:extLst>
            <a:ext uri="{FF2B5EF4-FFF2-40B4-BE49-F238E27FC236}">
              <a16:creationId xmlns:a16="http://schemas.microsoft.com/office/drawing/2014/main" id="{E57A7D6A-9FF2-489A-B4B8-401B75C4E92E}"/>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0" name="Text Box 157">
          <a:extLst>
            <a:ext uri="{FF2B5EF4-FFF2-40B4-BE49-F238E27FC236}">
              <a16:creationId xmlns:a16="http://schemas.microsoft.com/office/drawing/2014/main" id="{97C53816-78EB-49FE-90A9-8830EC3A44C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1" name="Text Box 158">
          <a:extLst>
            <a:ext uri="{FF2B5EF4-FFF2-40B4-BE49-F238E27FC236}">
              <a16:creationId xmlns:a16="http://schemas.microsoft.com/office/drawing/2014/main" id="{75A3A4E8-D943-43E7-90C0-EA116CD9702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2" name="Text Box 159">
          <a:extLst>
            <a:ext uri="{FF2B5EF4-FFF2-40B4-BE49-F238E27FC236}">
              <a16:creationId xmlns:a16="http://schemas.microsoft.com/office/drawing/2014/main" id="{0138E8C6-FA56-4E09-8E1B-FE027F302EB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3" name="Text Box 160">
          <a:extLst>
            <a:ext uri="{FF2B5EF4-FFF2-40B4-BE49-F238E27FC236}">
              <a16:creationId xmlns:a16="http://schemas.microsoft.com/office/drawing/2014/main" id="{0069FE8C-36F9-44E2-A1C4-548D925599C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4" name="Text Box 161">
          <a:extLst>
            <a:ext uri="{FF2B5EF4-FFF2-40B4-BE49-F238E27FC236}">
              <a16:creationId xmlns:a16="http://schemas.microsoft.com/office/drawing/2014/main" id="{2738D518-8BFE-4D29-A719-7FCF7B6C124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5" name="Text Box 162">
          <a:extLst>
            <a:ext uri="{FF2B5EF4-FFF2-40B4-BE49-F238E27FC236}">
              <a16:creationId xmlns:a16="http://schemas.microsoft.com/office/drawing/2014/main" id="{97413D14-B147-4669-B2E2-C7FEB49A42E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6" name="Text Box 163">
          <a:extLst>
            <a:ext uri="{FF2B5EF4-FFF2-40B4-BE49-F238E27FC236}">
              <a16:creationId xmlns:a16="http://schemas.microsoft.com/office/drawing/2014/main" id="{88E20867-7FA7-4BF5-9D8C-366352EBD2F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7" name="Text Box 164">
          <a:extLst>
            <a:ext uri="{FF2B5EF4-FFF2-40B4-BE49-F238E27FC236}">
              <a16:creationId xmlns:a16="http://schemas.microsoft.com/office/drawing/2014/main" id="{8A20CDFE-58A4-41A4-9C8C-3F4084A9F8D0}"/>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8" name="Text Box 165">
          <a:extLst>
            <a:ext uri="{FF2B5EF4-FFF2-40B4-BE49-F238E27FC236}">
              <a16:creationId xmlns:a16="http://schemas.microsoft.com/office/drawing/2014/main" id="{28E1FDC3-78D1-47DA-8B60-B5F8E46EAC6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9" name="Text Box 166">
          <a:extLst>
            <a:ext uri="{FF2B5EF4-FFF2-40B4-BE49-F238E27FC236}">
              <a16:creationId xmlns:a16="http://schemas.microsoft.com/office/drawing/2014/main" id="{6194B0FA-2CBF-4C4D-BC03-D60D604221D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0" name="Text Box 167">
          <a:extLst>
            <a:ext uri="{FF2B5EF4-FFF2-40B4-BE49-F238E27FC236}">
              <a16:creationId xmlns:a16="http://schemas.microsoft.com/office/drawing/2014/main" id="{3D7A22B6-E9FF-4A3F-81A8-91A7520516F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1" name="Text Box 168">
          <a:extLst>
            <a:ext uri="{FF2B5EF4-FFF2-40B4-BE49-F238E27FC236}">
              <a16:creationId xmlns:a16="http://schemas.microsoft.com/office/drawing/2014/main" id="{591D7A5B-D92E-4B6C-B163-EBD0DD413AA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2" name="Text Box 169">
          <a:extLst>
            <a:ext uri="{FF2B5EF4-FFF2-40B4-BE49-F238E27FC236}">
              <a16:creationId xmlns:a16="http://schemas.microsoft.com/office/drawing/2014/main" id="{E1D8E92A-0E0E-49F7-84A8-360F68D7A11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3" name="Text Box 170">
          <a:extLst>
            <a:ext uri="{FF2B5EF4-FFF2-40B4-BE49-F238E27FC236}">
              <a16:creationId xmlns:a16="http://schemas.microsoft.com/office/drawing/2014/main" id="{BE9DFF08-D26E-435C-BF70-62BB5B9C32E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4" name="Text Box 171">
          <a:extLst>
            <a:ext uri="{FF2B5EF4-FFF2-40B4-BE49-F238E27FC236}">
              <a16:creationId xmlns:a16="http://schemas.microsoft.com/office/drawing/2014/main" id="{7D3AA29C-8082-4EB5-8137-BA3DFA96827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5" name="Text Box 172">
          <a:extLst>
            <a:ext uri="{FF2B5EF4-FFF2-40B4-BE49-F238E27FC236}">
              <a16:creationId xmlns:a16="http://schemas.microsoft.com/office/drawing/2014/main" id="{0A9856B4-45C1-4841-BD7A-DEDE9FE4F75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6" name="Text Box 173">
          <a:extLst>
            <a:ext uri="{FF2B5EF4-FFF2-40B4-BE49-F238E27FC236}">
              <a16:creationId xmlns:a16="http://schemas.microsoft.com/office/drawing/2014/main" id="{4F82C937-B9E7-4131-8F81-316DFCA54AC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7" name="Text Box 174">
          <a:extLst>
            <a:ext uri="{FF2B5EF4-FFF2-40B4-BE49-F238E27FC236}">
              <a16:creationId xmlns:a16="http://schemas.microsoft.com/office/drawing/2014/main" id="{1521BE73-9C5E-4F68-BE15-1FE5894EF0F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8" name="Text Box 175">
          <a:extLst>
            <a:ext uri="{FF2B5EF4-FFF2-40B4-BE49-F238E27FC236}">
              <a16:creationId xmlns:a16="http://schemas.microsoft.com/office/drawing/2014/main" id="{69A5939F-9F95-42EC-82F0-67DE731F415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9" name="Text Box 176">
          <a:extLst>
            <a:ext uri="{FF2B5EF4-FFF2-40B4-BE49-F238E27FC236}">
              <a16:creationId xmlns:a16="http://schemas.microsoft.com/office/drawing/2014/main" id="{B5A4DF4B-CFB8-4EAE-BA77-6A678AE206E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0" name="Text Box 177">
          <a:extLst>
            <a:ext uri="{FF2B5EF4-FFF2-40B4-BE49-F238E27FC236}">
              <a16:creationId xmlns:a16="http://schemas.microsoft.com/office/drawing/2014/main" id="{116AC3C0-E300-47A4-B0B8-C11DA3CE103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1" name="Text Box 178">
          <a:extLst>
            <a:ext uri="{FF2B5EF4-FFF2-40B4-BE49-F238E27FC236}">
              <a16:creationId xmlns:a16="http://schemas.microsoft.com/office/drawing/2014/main" id="{C43D9075-025D-4D7E-946A-4E5F75C84AD0}"/>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2" name="Text Box 179">
          <a:extLst>
            <a:ext uri="{FF2B5EF4-FFF2-40B4-BE49-F238E27FC236}">
              <a16:creationId xmlns:a16="http://schemas.microsoft.com/office/drawing/2014/main" id="{53849AA6-983B-4F69-A101-14C68382A7C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3" name="Text Box 180">
          <a:extLst>
            <a:ext uri="{FF2B5EF4-FFF2-40B4-BE49-F238E27FC236}">
              <a16:creationId xmlns:a16="http://schemas.microsoft.com/office/drawing/2014/main" id="{0A948244-52C5-45B4-8C89-FCBC2B25CE2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4" name="Text Box 181">
          <a:extLst>
            <a:ext uri="{FF2B5EF4-FFF2-40B4-BE49-F238E27FC236}">
              <a16:creationId xmlns:a16="http://schemas.microsoft.com/office/drawing/2014/main" id="{F3A3960B-0AF0-4AAD-B71B-3C537CFF292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5" name="Text Box 182">
          <a:extLst>
            <a:ext uri="{FF2B5EF4-FFF2-40B4-BE49-F238E27FC236}">
              <a16:creationId xmlns:a16="http://schemas.microsoft.com/office/drawing/2014/main" id="{2466423F-E679-4D32-8485-FAB5B190F34F}"/>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6" name="Text Box 183">
          <a:extLst>
            <a:ext uri="{FF2B5EF4-FFF2-40B4-BE49-F238E27FC236}">
              <a16:creationId xmlns:a16="http://schemas.microsoft.com/office/drawing/2014/main" id="{19AFF80A-A1CF-40D6-AC33-FB57902F7FF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7" name="Text Box 187">
          <a:extLst>
            <a:ext uri="{FF2B5EF4-FFF2-40B4-BE49-F238E27FC236}">
              <a16:creationId xmlns:a16="http://schemas.microsoft.com/office/drawing/2014/main" id="{1754D89B-319F-4202-B0CF-24E4A68E9BF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8" name="Text Box 188">
          <a:extLst>
            <a:ext uri="{FF2B5EF4-FFF2-40B4-BE49-F238E27FC236}">
              <a16:creationId xmlns:a16="http://schemas.microsoft.com/office/drawing/2014/main" id="{B1462CAC-5886-468D-91F4-6396215F0D6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9" name="Text Box 189">
          <a:extLst>
            <a:ext uri="{FF2B5EF4-FFF2-40B4-BE49-F238E27FC236}">
              <a16:creationId xmlns:a16="http://schemas.microsoft.com/office/drawing/2014/main" id="{E7468CF4-575E-4284-BCD6-49455742473C}"/>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40" name="Text Box 190">
          <a:extLst>
            <a:ext uri="{FF2B5EF4-FFF2-40B4-BE49-F238E27FC236}">
              <a16:creationId xmlns:a16="http://schemas.microsoft.com/office/drawing/2014/main" id="{2631FD08-0BA2-4E0D-A0AB-B7CBA596ABE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1" name="Text Box 191">
          <a:extLst>
            <a:ext uri="{FF2B5EF4-FFF2-40B4-BE49-F238E27FC236}">
              <a16:creationId xmlns:a16="http://schemas.microsoft.com/office/drawing/2014/main" id="{6A29FD94-A881-4AB1-BBF5-141FBD11C74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2" name="Text Box 192">
          <a:extLst>
            <a:ext uri="{FF2B5EF4-FFF2-40B4-BE49-F238E27FC236}">
              <a16:creationId xmlns:a16="http://schemas.microsoft.com/office/drawing/2014/main" id="{1AA390D2-2EB4-4C03-B692-6D5E6F59135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3" name="Text Box 193">
          <a:extLst>
            <a:ext uri="{FF2B5EF4-FFF2-40B4-BE49-F238E27FC236}">
              <a16:creationId xmlns:a16="http://schemas.microsoft.com/office/drawing/2014/main" id="{7779EE46-B830-4EC5-A0DD-B57A8BDE99C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4" name="Text Box 194">
          <a:extLst>
            <a:ext uri="{FF2B5EF4-FFF2-40B4-BE49-F238E27FC236}">
              <a16:creationId xmlns:a16="http://schemas.microsoft.com/office/drawing/2014/main" id="{27EB5544-43B2-45C1-9827-CD1C871B4AC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5" name="Text Box 195">
          <a:extLst>
            <a:ext uri="{FF2B5EF4-FFF2-40B4-BE49-F238E27FC236}">
              <a16:creationId xmlns:a16="http://schemas.microsoft.com/office/drawing/2014/main" id="{E955232A-7E8F-422B-AB7D-73D8915D16F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6" name="Text Box 196">
          <a:extLst>
            <a:ext uri="{FF2B5EF4-FFF2-40B4-BE49-F238E27FC236}">
              <a16:creationId xmlns:a16="http://schemas.microsoft.com/office/drawing/2014/main" id="{1B61351C-93D7-4907-AECF-02F16125070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7" name="Text Box 197">
          <a:extLst>
            <a:ext uri="{FF2B5EF4-FFF2-40B4-BE49-F238E27FC236}">
              <a16:creationId xmlns:a16="http://schemas.microsoft.com/office/drawing/2014/main" id="{D33BD49A-8309-4808-9A25-1CF251C4895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8" name="Text Box 198">
          <a:extLst>
            <a:ext uri="{FF2B5EF4-FFF2-40B4-BE49-F238E27FC236}">
              <a16:creationId xmlns:a16="http://schemas.microsoft.com/office/drawing/2014/main" id="{63A3A77C-869A-416A-834A-A1621DA2EAF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9" name="Text Box 199">
          <a:extLst>
            <a:ext uri="{FF2B5EF4-FFF2-40B4-BE49-F238E27FC236}">
              <a16:creationId xmlns:a16="http://schemas.microsoft.com/office/drawing/2014/main" id="{2BA933E8-5DFD-452D-A1E9-569A963F66A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0" name="Text Box 200">
          <a:extLst>
            <a:ext uri="{FF2B5EF4-FFF2-40B4-BE49-F238E27FC236}">
              <a16:creationId xmlns:a16="http://schemas.microsoft.com/office/drawing/2014/main" id="{4923C5A8-7212-456F-9CB7-1D71DC613C1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1" name="Text Box 201">
          <a:extLst>
            <a:ext uri="{FF2B5EF4-FFF2-40B4-BE49-F238E27FC236}">
              <a16:creationId xmlns:a16="http://schemas.microsoft.com/office/drawing/2014/main" id="{F50A38A3-E088-43D2-B254-4C8CDD51234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2" name="Text Box 202">
          <a:extLst>
            <a:ext uri="{FF2B5EF4-FFF2-40B4-BE49-F238E27FC236}">
              <a16:creationId xmlns:a16="http://schemas.microsoft.com/office/drawing/2014/main" id="{2E0AF18A-60F8-4653-8E73-2D3C9EB0C2F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26</xdr:row>
      <xdr:rowOff>0</xdr:rowOff>
    </xdr:from>
    <xdr:to>
      <xdr:col>0</xdr:col>
      <xdr:colOff>0</xdr:colOff>
      <xdr:row>26</xdr:row>
      <xdr:rowOff>0</xdr:rowOff>
    </xdr:to>
    <xdr:sp macro="" textlink="">
      <xdr:nvSpPr>
        <xdr:cNvPr id="2" name="Text Box 145">
          <a:extLst>
            <a:ext uri="{FF2B5EF4-FFF2-40B4-BE49-F238E27FC236}">
              <a16:creationId xmlns:a16="http://schemas.microsoft.com/office/drawing/2014/main" id="{D0A0977C-2A50-4EAF-A8CA-953F863749F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 name="Text Box 150">
          <a:extLst>
            <a:ext uri="{FF2B5EF4-FFF2-40B4-BE49-F238E27FC236}">
              <a16:creationId xmlns:a16="http://schemas.microsoft.com/office/drawing/2014/main" id="{F2F92681-0981-464D-A1B2-AEFAC8530D0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 name="Text Box 151">
          <a:extLst>
            <a:ext uri="{FF2B5EF4-FFF2-40B4-BE49-F238E27FC236}">
              <a16:creationId xmlns:a16="http://schemas.microsoft.com/office/drawing/2014/main" id="{AFB1C7D2-B02A-4EEB-8A53-7DA14999DF9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 name="Text Box 152">
          <a:extLst>
            <a:ext uri="{FF2B5EF4-FFF2-40B4-BE49-F238E27FC236}">
              <a16:creationId xmlns:a16="http://schemas.microsoft.com/office/drawing/2014/main" id="{EF93F908-4E4F-4137-8DAA-9B7DF467FA9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6" name="Text Box 153">
          <a:extLst>
            <a:ext uri="{FF2B5EF4-FFF2-40B4-BE49-F238E27FC236}">
              <a16:creationId xmlns:a16="http://schemas.microsoft.com/office/drawing/2014/main" id="{EC5AC69F-EB50-41BD-B13D-E9325D42B4A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7" name="Text Box 154">
          <a:extLst>
            <a:ext uri="{FF2B5EF4-FFF2-40B4-BE49-F238E27FC236}">
              <a16:creationId xmlns:a16="http://schemas.microsoft.com/office/drawing/2014/main" id="{6F5BEF91-A59B-40E5-A363-534928264CA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8" name="Text Box 155">
          <a:extLst>
            <a:ext uri="{FF2B5EF4-FFF2-40B4-BE49-F238E27FC236}">
              <a16:creationId xmlns:a16="http://schemas.microsoft.com/office/drawing/2014/main" id="{447B9F0B-A911-4B32-875A-B60056CA33A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9" name="Text Box 156">
          <a:extLst>
            <a:ext uri="{FF2B5EF4-FFF2-40B4-BE49-F238E27FC236}">
              <a16:creationId xmlns:a16="http://schemas.microsoft.com/office/drawing/2014/main" id="{BA761E4B-5D76-43B6-B133-854B07359A63}"/>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0" name="Text Box 157">
          <a:extLst>
            <a:ext uri="{FF2B5EF4-FFF2-40B4-BE49-F238E27FC236}">
              <a16:creationId xmlns:a16="http://schemas.microsoft.com/office/drawing/2014/main" id="{342F6239-BC86-4CE7-9478-E4296051D1AD}"/>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1" name="Text Box 158">
          <a:extLst>
            <a:ext uri="{FF2B5EF4-FFF2-40B4-BE49-F238E27FC236}">
              <a16:creationId xmlns:a16="http://schemas.microsoft.com/office/drawing/2014/main" id="{A1EA9654-6748-4985-8CD9-E29CEC95B2A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2" name="Text Box 159">
          <a:extLst>
            <a:ext uri="{FF2B5EF4-FFF2-40B4-BE49-F238E27FC236}">
              <a16:creationId xmlns:a16="http://schemas.microsoft.com/office/drawing/2014/main" id="{FC482F62-B992-484E-9A47-55CA307CAF2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3" name="Text Box 160">
          <a:extLst>
            <a:ext uri="{FF2B5EF4-FFF2-40B4-BE49-F238E27FC236}">
              <a16:creationId xmlns:a16="http://schemas.microsoft.com/office/drawing/2014/main" id="{9D60E068-0360-4512-BB6B-72FC32F9539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4" name="Text Box 161">
          <a:extLst>
            <a:ext uri="{FF2B5EF4-FFF2-40B4-BE49-F238E27FC236}">
              <a16:creationId xmlns:a16="http://schemas.microsoft.com/office/drawing/2014/main" id="{031DE4EC-CBBF-4CE3-9BD8-87A2ECCBC880}"/>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5" name="Text Box 162">
          <a:extLst>
            <a:ext uri="{FF2B5EF4-FFF2-40B4-BE49-F238E27FC236}">
              <a16:creationId xmlns:a16="http://schemas.microsoft.com/office/drawing/2014/main" id="{479443A2-3226-4170-A284-4AF9F64077F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6" name="Text Box 163">
          <a:extLst>
            <a:ext uri="{FF2B5EF4-FFF2-40B4-BE49-F238E27FC236}">
              <a16:creationId xmlns:a16="http://schemas.microsoft.com/office/drawing/2014/main" id="{C8F06B0C-4F05-4FBB-8352-C84E0039871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7" name="Text Box 164">
          <a:extLst>
            <a:ext uri="{FF2B5EF4-FFF2-40B4-BE49-F238E27FC236}">
              <a16:creationId xmlns:a16="http://schemas.microsoft.com/office/drawing/2014/main" id="{5A1EBB96-4CE2-4BCB-832A-FBE7DC2D19A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8" name="Text Box 165">
          <a:extLst>
            <a:ext uri="{FF2B5EF4-FFF2-40B4-BE49-F238E27FC236}">
              <a16:creationId xmlns:a16="http://schemas.microsoft.com/office/drawing/2014/main" id="{671E7AF1-2FC1-40BF-BEE7-0C841DAED660}"/>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19" name="Text Box 166">
          <a:extLst>
            <a:ext uri="{FF2B5EF4-FFF2-40B4-BE49-F238E27FC236}">
              <a16:creationId xmlns:a16="http://schemas.microsoft.com/office/drawing/2014/main" id="{71474241-ADA7-4D1A-B183-1FE07369772A}"/>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0" name="Text Box 167">
          <a:extLst>
            <a:ext uri="{FF2B5EF4-FFF2-40B4-BE49-F238E27FC236}">
              <a16:creationId xmlns:a16="http://schemas.microsoft.com/office/drawing/2014/main" id="{15A44735-38F5-4823-9A64-427FE63CC02B}"/>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1" name="Text Box 168">
          <a:extLst>
            <a:ext uri="{FF2B5EF4-FFF2-40B4-BE49-F238E27FC236}">
              <a16:creationId xmlns:a16="http://schemas.microsoft.com/office/drawing/2014/main" id="{43750AB3-4884-4E98-BFB8-7DEBFF0E17D9}"/>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2" name="Text Box 169">
          <a:extLst>
            <a:ext uri="{FF2B5EF4-FFF2-40B4-BE49-F238E27FC236}">
              <a16:creationId xmlns:a16="http://schemas.microsoft.com/office/drawing/2014/main" id="{8D97ECD9-B5F5-4E18-B893-48BA9023E73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3" name="Text Box 170">
          <a:extLst>
            <a:ext uri="{FF2B5EF4-FFF2-40B4-BE49-F238E27FC236}">
              <a16:creationId xmlns:a16="http://schemas.microsoft.com/office/drawing/2014/main" id="{AC35AAF6-3303-4B8B-86D9-1A318673BC2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4" name="Text Box 171">
          <a:extLst>
            <a:ext uri="{FF2B5EF4-FFF2-40B4-BE49-F238E27FC236}">
              <a16:creationId xmlns:a16="http://schemas.microsoft.com/office/drawing/2014/main" id="{1C1004C8-8014-481A-BDBD-CB06C04E43E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5" name="Text Box 172">
          <a:extLst>
            <a:ext uri="{FF2B5EF4-FFF2-40B4-BE49-F238E27FC236}">
              <a16:creationId xmlns:a16="http://schemas.microsoft.com/office/drawing/2014/main" id="{63753346-2756-4CE6-82B8-00EBBB9BC123}"/>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6" name="Text Box 173">
          <a:extLst>
            <a:ext uri="{FF2B5EF4-FFF2-40B4-BE49-F238E27FC236}">
              <a16:creationId xmlns:a16="http://schemas.microsoft.com/office/drawing/2014/main" id="{91EC9E40-3638-4F39-AB12-8391E05D0F1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7" name="Text Box 174">
          <a:extLst>
            <a:ext uri="{FF2B5EF4-FFF2-40B4-BE49-F238E27FC236}">
              <a16:creationId xmlns:a16="http://schemas.microsoft.com/office/drawing/2014/main" id="{713D42C7-9372-465D-83A0-EFCFE7D2093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8" name="Text Box 175">
          <a:extLst>
            <a:ext uri="{FF2B5EF4-FFF2-40B4-BE49-F238E27FC236}">
              <a16:creationId xmlns:a16="http://schemas.microsoft.com/office/drawing/2014/main" id="{58846FEE-F375-4718-BFE8-BF18A759182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29" name="Text Box 176">
          <a:extLst>
            <a:ext uri="{FF2B5EF4-FFF2-40B4-BE49-F238E27FC236}">
              <a16:creationId xmlns:a16="http://schemas.microsoft.com/office/drawing/2014/main" id="{B15553C0-F97B-40BD-A69F-9465C642C1B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0" name="Text Box 177">
          <a:extLst>
            <a:ext uri="{FF2B5EF4-FFF2-40B4-BE49-F238E27FC236}">
              <a16:creationId xmlns:a16="http://schemas.microsoft.com/office/drawing/2014/main" id="{073BC960-2085-4474-BC79-9F4DA136E38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1" name="Text Box 178">
          <a:extLst>
            <a:ext uri="{FF2B5EF4-FFF2-40B4-BE49-F238E27FC236}">
              <a16:creationId xmlns:a16="http://schemas.microsoft.com/office/drawing/2014/main" id="{F3DBB66A-1402-42B8-B227-6A0116E8E7CE}"/>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2" name="Text Box 179">
          <a:extLst>
            <a:ext uri="{FF2B5EF4-FFF2-40B4-BE49-F238E27FC236}">
              <a16:creationId xmlns:a16="http://schemas.microsoft.com/office/drawing/2014/main" id="{F712654F-6069-47C2-AE2F-6DA82E4113E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3" name="Text Box 180">
          <a:extLst>
            <a:ext uri="{FF2B5EF4-FFF2-40B4-BE49-F238E27FC236}">
              <a16:creationId xmlns:a16="http://schemas.microsoft.com/office/drawing/2014/main" id="{8AD07DBA-3238-43AC-8089-B0400576E369}"/>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4" name="Text Box 181">
          <a:extLst>
            <a:ext uri="{FF2B5EF4-FFF2-40B4-BE49-F238E27FC236}">
              <a16:creationId xmlns:a16="http://schemas.microsoft.com/office/drawing/2014/main" id="{0140329F-273B-49A6-9A89-523813975E62}"/>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5" name="Text Box 182">
          <a:extLst>
            <a:ext uri="{FF2B5EF4-FFF2-40B4-BE49-F238E27FC236}">
              <a16:creationId xmlns:a16="http://schemas.microsoft.com/office/drawing/2014/main" id="{7978A16F-2AA0-4BE1-B0AA-FD35B77B354A}"/>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6" name="Text Box 183">
          <a:extLst>
            <a:ext uri="{FF2B5EF4-FFF2-40B4-BE49-F238E27FC236}">
              <a16:creationId xmlns:a16="http://schemas.microsoft.com/office/drawing/2014/main" id="{14FE7F47-CE79-4BD5-81B5-FA61E768C12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37" name="Text Box 187">
          <a:extLst>
            <a:ext uri="{FF2B5EF4-FFF2-40B4-BE49-F238E27FC236}">
              <a16:creationId xmlns:a16="http://schemas.microsoft.com/office/drawing/2014/main" id="{99A2874F-C741-4CC4-92EF-2973239498D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8" name="Text Box 188">
          <a:extLst>
            <a:ext uri="{FF2B5EF4-FFF2-40B4-BE49-F238E27FC236}">
              <a16:creationId xmlns:a16="http://schemas.microsoft.com/office/drawing/2014/main" id="{B2D4AC77-9481-4D8D-869D-1FAC0ED84D6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39" name="Text Box 189">
          <a:extLst>
            <a:ext uri="{FF2B5EF4-FFF2-40B4-BE49-F238E27FC236}">
              <a16:creationId xmlns:a16="http://schemas.microsoft.com/office/drawing/2014/main" id="{F2CD070C-09A3-40AA-846B-17EAB4CB6F54}"/>
            </a:ext>
          </a:extLst>
        </xdr:cNvPr>
        <xdr:cNvSpPr txBox="1">
          <a:spLocks noChangeArrowheads="1"/>
        </xdr:cNvSpPr>
      </xdr:nvSpPr>
      <xdr:spPr bwMode="auto">
        <a:xfrm>
          <a:off x="0" y="4486275"/>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26</xdr:row>
      <xdr:rowOff>0</xdr:rowOff>
    </xdr:from>
    <xdr:to>
      <xdr:col>0</xdr:col>
      <xdr:colOff>0</xdr:colOff>
      <xdr:row>26</xdr:row>
      <xdr:rowOff>0</xdr:rowOff>
    </xdr:to>
    <xdr:sp macro="" textlink="">
      <xdr:nvSpPr>
        <xdr:cNvPr id="40" name="Text Box 190">
          <a:extLst>
            <a:ext uri="{FF2B5EF4-FFF2-40B4-BE49-F238E27FC236}">
              <a16:creationId xmlns:a16="http://schemas.microsoft.com/office/drawing/2014/main" id="{CEF488E7-AF67-4A59-A5A0-C11780AD3062}"/>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1" name="Text Box 191">
          <a:extLst>
            <a:ext uri="{FF2B5EF4-FFF2-40B4-BE49-F238E27FC236}">
              <a16:creationId xmlns:a16="http://schemas.microsoft.com/office/drawing/2014/main" id="{5B32665C-C97C-4004-A6C2-90905704C2DC}"/>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2" name="Text Box 192">
          <a:extLst>
            <a:ext uri="{FF2B5EF4-FFF2-40B4-BE49-F238E27FC236}">
              <a16:creationId xmlns:a16="http://schemas.microsoft.com/office/drawing/2014/main" id="{FF60F705-37FB-4299-9E54-F630DC3FE22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3" name="Text Box 193">
          <a:extLst>
            <a:ext uri="{FF2B5EF4-FFF2-40B4-BE49-F238E27FC236}">
              <a16:creationId xmlns:a16="http://schemas.microsoft.com/office/drawing/2014/main" id="{5E9363DE-A5D1-4F53-BC00-6189B8F72236}"/>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4" name="Text Box 194">
          <a:extLst>
            <a:ext uri="{FF2B5EF4-FFF2-40B4-BE49-F238E27FC236}">
              <a16:creationId xmlns:a16="http://schemas.microsoft.com/office/drawing/2014/main" id="{420DACB6-A978-4BD2-BE4F-326BF67B22C5}"/>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5" name="Text Box 195">
          <a:extLst>
            <a:ext uri="{FF2B5EF4-FFF2-40B4-BE49-F238E27FC236}">
              <a16:creationId xmlns:a16="http://schemas.microsoft.com/office/drawing/2014/main" id="{3B2C7F30-4232-4C03-8D8B-C6496583D2B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6" name="Text Box 196">
          <a:extLst>
            <a:ext uri="{FF2B5EF4-FFF2-40B4-BE49-F238E27FC236}">
              <a16:creationId xmlns:a16="http://schemas.microsoft.com/office/drawing/2014/main" id="{2273E9C0-BFB7-4E51-ABBC-6676128376B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7" name="Text Box 197">
          <a:extLst>
            <a:ext uri="{FF2B5EF4-FFF2-40B4-BE49-F238E27FC236}">
              <a16:creationId xmlns:a16="http://schemas.microsoft.com/office/drawing/2014/main" id="{F2C4CAED-27DB-45C1-921D-03EF49D804DF}"/>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8" name="Text Box 198">
          <a:extLst>
            <a:ext uri="{FF2B5EF4-FFF2-40B4-BE49-F238E27FC236}">
              <a16:creationId xmlns:a16="http://schemas.microsoft.com/office/drawing/2014/main" id="{0E16406B-A933-41A6-9066-0AA448B4C9D4}"/>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49" name="Text Box 199">
          <a:extLst>
            <a:ext uri="{FF2B5EF4-FFF2-40B4-BE49-F238E27FC236}">
              <a16:creationId xmlns:a16="http://schemas.microsoft.com/office/drawing/2014/main" id="{B1CDE6FB-BBB3-4596-8BDA-A73881B584C1}"/>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0" name="Text Box 200">
          <a:extLst>
            <a:ext uri="{FF2B5EF4-FFF2-40B4-BE49-F238E27FC236}">
              <a16:creationId xmlns:a16="http://schemas.microsoft.com/office/drawing/2014/main" id="{B6F2DB0E-C20B-490C-856E-2E5A8EBDFED7}"/>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1" name="Text Box 201">
          <a:extLst>
            <a:ext uri="{FF2B5EF4-FFF2-40B4-BE49-F238E27FC236}">
              <a16:creationId xmlns:a16="http://schemas.microsoft.com/office/drawing/2014/main" id="{35011C26-16E4-4CC0-9738-4E0586864402}"/>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26</xdr:row>
      <xdr:rowOff>0</xdr:rowOff>
    </xdr:from>
    <xdr:to>
      <xdr:col>0</xdr:col>
      <xdr:colOff>0</xdr:colOff>
      <xdr:row>26</xdr:row>
      <xdr:rowOff>0</xdr:rowOff>
    </xdr:to>
    <xdr:sp macro="" textlink="">
      <xdr:nvSpPr>
        <xdr:cNvPr id="52" name="Text Box 202">
          <a:extLst>
            <a:ext uri="{FF2B5EF4-FFF2-40B4-BE49-F238E27FC236}">
              <a16:creationId xmlns:a16="http://schemas.microsoft.com/office/drawing/2014/main" id="{5C170CD7-DCFB-45DA-B0D6-14496CEBA448}"/>
            </a:ext>
          </a:extLst>
        </xdr:cNvPr>
        <xdr:cNvSpPr txBox="1">
          <a:spLocks noChangeArrowheads="1"/>
        </xdr:cNvSpPr>
      </xdr:nvSpPr>
      <xdr:spPr bwMode="auto">
        <a:xfrm>
          <a:off x="0" y="44862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Users\RHanley\AppData\Local\Temp\XPgrpwise\ATTACHMENT%20J-1503010-02%20MASTER%20%20NISH%20JANITORIAL%20INVENTORY(combin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Melwood-Navy Yard (2)"/>
      <sheetName val="Classes-Rates Base Rates"/>
      <sheetName val="Classes-Rates (2)"/>
      <sheetName val="Classes-Rates"/>
      <sheetName val="NDW - WNY "/>
      <sheetName val=" SPAWAR @ WNY "/>
      <sheetName val=" BUMED @ WNY-"/>
      <sheetName val=" DPSDO"/>
      <sheetName val=" NAVFAC Washington"/>
      <sheetName val=" MSC"/>
      <sheetName val=" NRL"/>
      <sheetName val=" 8th &amp; I"/>
      <sheetName val="NSWC Carderock"/>
      <sheetName val="FMB @ Quantico"/>
      <sheetName val="MCCS"/>
      <sheetName val="MCU"/>
      <sheetName val="MPWR"/>
      <sheetName val="MSTP"/>
      <sheetName val="NMCL"/>
      <sheetName val="OPM"/>
      <sheetName val="SECT"/>
      <sheetName val="T&amp;E"/>
      <sheetName val="MTB"/>
      <sheetName val="TECOM"/>
      <sheetName val="JBAB -Anacostia Main"/>
      <sheetName val="JBAB - NDW Bolling"/>
      <sheetName val="Melwood-Navy Yard"/>
      <sheetName val="Melwood-NRL"/>
      <sheetName val="RGI-Quantico"/>
      <sheetName val="CHI-Carderock"/>
      <sheetName val="Goodwill-Bolling"/>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DCFF7-8CB0-4378-9DD3-DE48F8686014}">
  <sheetPr>
    <tabColor rgb="FF00B050"/>
    <pageSetUpPr fitToPage="1"/>
  </sheetPr>
  <dimension ref="A1:K116"/>
  <sheetViews>
    <sheetView tabSelected="1" zoomScaleNormal="100" workbookViewId="0">
      <selection activeCell="C39" sqref="C39"/>
    </sheetView>
  </sheetViews>
  <sheetFormatPr defaultColWidth="9.140625" defaultRowHeight="12.75" x14ac:dyDescent="0.2"/>
  <cols>
    <col min="1" max="1" width="5.85546875" style="36" customWidth="1"/>
    <col min="2" max="2" width="4.28515625" style="36" customWidth="1"/>
    <col min="3" max="3" width="81.5703125" style="36" customWidth="1"/>
    <col min="4" max="4" width="9.85546875" style="36" customWidth="1"/>
    <col min="5" max="5" width="9.42578125" style="36" customWidth="1"/>
    <col min="6" max="6" width="13.7109375" style="37" customWidth="1"/>
    <col min="7" max="7" width="15.140625" style="37" customWidth="1"/>
    <col min="8" max="8" width="8.7109375" style="36" customWidth="1"/>
    <col min="9" max="16384" width="9.140625" style="36"/>
  </cols>
  <sheetData>
    <row r="1" spans="1:11" ht="12.75" customHeight="1" x14ac:dyDescent="0.2">
      <c r="A1" s="201" t="s">
        <v>0</v>
      </c>
      <c r="B1" s="202"/>
      <c r="C1" s="202"/>
      <c r="D1" s="202"/>
      <c r="E1" s="202"/>
      <c r="F1" s="202"/>
      <c r="G1" s="202"/>
      <c r="H1" s="203"/>
      <c r="I1" s="196"/>
      <c r="J1" s="196"/>
      <c r="K1" s="196"/>
    </row>
    <row r="2" spans="1:11" ht="12.75" customHeight="1" x14ac:dyDescent="0.2">
      <c r="A2" s="195" t="s">
        <v>1</v>
      </c>
      <c r="B2" s="196"/>
      <c r="C2" s="196"/>
      <c r="D2" s="196"/>
      <c r="E2" s="196"/>
      <c r="F2" s="196"/>
      <c r="G2" s="196"/>
      <c r="H2" s="197"/>
      <c r="I2" s="196"/>
      <c r="J2" s="196"/>
      <c r="K2" s="196"/>
    </row>
    <row r="3" spans="1:11" ht="12.75" customHeight="1" x14ac:dyDescent="0.2">
      <c r="A3" s="195" t="s">
        <v>2</v>
      </c>
      <c r="B3" s="196"/>
      <c r="C3" s="196"/>
      <c r="D3" s="196"/>
      <c r="E3" s="196"/>
      <c r="F3" s="196"/>
      <c r="G3" s="196"/>
      <c r="H3" s="197"/>
      <c r="I3" s="196"/>
      <c r="J3" s="196"/>
      <c r="K3" s="196"/>
    </row>
    <row r="4" spans="1:11" ht="14.25" customHeight="1" x14ac:dyDescent="0.2">
      <c r="A4" s="195" t="s">
        <v>3</v>
      </c>
      <c r="B4" s="196"/>
      <c r="C4" s="196"/>
      <c r="D4" s="196"/>
      <c r="E4" s="196"/>
      <c r="F4" s="196"/>
      <c r="G4" s="196"/>
      <c r="H4" s="197"/>
      <c r="I4" s="196"/>
      <c r="J4" s="196"/>
      <c r="K4" s="196"/>
    </row>
    <row r="5" spans="1:11" ht="14.25" customHeight="1" x14ac:dyDescent="0.2">
      <c r="A5" s="195" t="s">
        <v>4</v>
      </c>
      <c r="B5" s="196"/>
      <c r="C5" s="196"/>
      <c r="D5" s="196"/>
      <c r="E5" s="196"/>
      <c r="F5" s="196"/>
      <c r="G5" s="196"/>
      <c r="H5" s="197"/>
      <c r="I5" s="162"/>
      <c r="J5" s="161"/>
      <c r="K5" s="161"/>
    </row>
    <row r="6" spans="1:11" ht="15" customHeight="1" x14ac:dyDescent="0.2">
      <c r="A6" s="198" t="s">
        <v>5</v>
      </c>
      <c r="B6" s="199"/>
      <c r="C6" s="199"/>
      <c r="D6" s="199"/>
      <c r="E6" s="199"/>
      <c r="F6" s="199"/>
      <c r="G6" s="199"/>
      <c r="H6" s="200"/>
      <c r="I6" s="160"/>
      <c r="J6" s="159"/>
      <c r="K6" s="159"/>
    </row>
    <row r="7" spans="1:11" ht="15" customHeight="1" thickBot="1" x14ac:dyDescent="0.25">
      <c r="A7" s="198" t="s">
        <v>6</v>
      </c>
      <c r="B7" s="199"/>
      <c r="C7" s="199"/>
      <c r="D7" s="199"/>
      <c r="E7" s="199"/>
      <c r="F7" s="199"/>
      <c r="G7" s="199"/>
      <c r="H7" s="200"/>
      <c r="I7" s="160"/>
      <c r="J7" s="159"/>
      <c r="K7" s="159"/>
    </row>
    <row r="8" spans="1:11" ht="26.25" thickBot="1" x14ac:dyDescent="0.25">
      <c r="A8" s="189" t="s">
        <v>7</v>
      </c>
      <c r="B8" s="190"/>
      <c r="C8" s="157" t="s">
        <v>8</v>
      </c>
      <c r="D8" s="158" t="s">
        <v>9</v>
      </c>
      <c r="E8" s="157" t="s">
        <v>10</v>
      </c>
      <c r="F8" s="156" t="s">
        <v>11</v>
      </c>
      <c r="G8" s="156" t="s">
        <v>12</v>
      </c>
      <c r="H8" s="155" t="s">
        <v>13</v>
      </c>
    </row>
    <row r="9" spans="1:11" x14ac:dyDescent="0.2">
      <c r="A9" s="154"/>
      <c r="B9" s="153"/>
      <c r="C9" s="151"/>
      <c r="D9" s="152"/>
      <c r="E9" s="151"/>
      <c r="F9" s="150"/>
      <c r="G9" s="149"/>
      <c r="H9" s="148"/>
    </row>
    <row r="10" spans="1:11" x14ac:dyDescent="0.2">
      <c r="A10" s="147"/>
      <c r="B10" s="146"/>
      <c r="C10" s="145" t="s">
        <v>14</v>
      </c>
      <c r="D10" s="144"/>
      <c r="E10" s="143"/>
      <c r="F10" s="142"/>
      <c r="G10" s="141"/>
      <c r="H10" s="140"/>
    </row>
    <row r="11" spans="1:11" x14ac:dyDescent="0.2">
      <c r="A11" s="174" t="s">
        <v>15</v>
      </c>
      <c r="B11" s="175"/>
      <c r="C11" s="88" t="s">
        <v>16</v>
      </c>
      <c r="D11" s="139"/>
      <c r="E11" s="138"/>
      <c r="F11" s="137"/>
      <c r="G11" s="68"/>
      <c r="H11" s="86"/>
    </row>
    <row r="12" spans="1:11" x14ac:dyDescent="0.2">
      <c r="A12" s="70" t="s">
        <v>15</v>
      </c>
      <c r="B12" s="129" t="s">
        <v>17</v>
      </c>
      <c r="C12" s="98" t="s">
        <v>18</v>
      </c>
      <c r="D12" s="64">
        <v>12</v>
      </c>
      <c r="E12" s="136" t="s">
        <v>19</v>
      </c>
      <c r="F12" s="69"/>
      <c r="G12" s="68"/>
      <c r="H12" s="86"/>
    </row>
    <row r="13" spans="1:11" x14ac:dyDescent="0.2">
      <c r="A13" s="70" t="s">
        <v>15</v>
      </c>
      <c r="B13" s="129" t="s">
        <v>20</v>
      </c>
      <c r="C13" s="98" t="s">
        <v>21</v>
      </c>
      <c r="D13" s="64">
        <v>12</v>
      </c>
      <c r="E13" s="136" t="s">
        <v>19</v>
      </c>
      <c r="F13" s="69"/>
      <c r="G13" s="68"/>
      <c r="H13" s="86"/>
    </row>
    <row r="14" spans="1:11" x14ac:dyDescent="0.2">
      <c r="A14" s="67"/>
      <c r="B14" s="135"/>
      <c r="C14" s="98"/>
      <c r="D14" s="64"/>
      <c r="E14" s="191" t="s">
        <v>22</v>
      </c>
      <c r="F14" s="192"/>
      <c r="G14" s="68">
        <f>SUM(G12:G13)</f>
        <v>0</v>
      </c>
      <c r="H14" s="86"/>
    </row>
    <row r="15" spans="1:11" x14ac:dyDescent="0.2">
      <c r="A15" s="55"/>
      <c r="B15" s="134"/>
      <c r="C15" s="133"/>
      <c r="D15" s="52"/>
      <c r="E15" s="132"/>
      <c r="F15" s="131"/>
      <c r="G15" s="83"/>
      <c r="H15" s="82"/>
    </row>
    <row r="16" spans="1:11" x14ac:dyDescent="0.2">
      <c r="A16" s="193" t="s">
        <v>23</v>
      </c>
      <c r="B16" s="194"/>
      <c r="C16" s="94" t="s">
        <v>24</v>
      </c>
      <c r="D16" s="64"/>
      <c r="E16" s="103"/>
      <c r="F16" s="69"/>
      <c r="G16" s="130"/>
      <c r="H16" s="86"/>
    </row>
    <row r="17" spans="1:8" s="37" customFormat="1" x14ac:dyDescent="0.2">
      <c r="A17" s="126" t="s">
        <v>23</v>
      </c>
      <c r="B17" s="129" t="s">
        <v>17</v>
      </c>
      <c r="C17" s="127" t="s">
        <v>18</v>
      </c>
      <c r="D17" s="64">
        <v>12</v>
      </c>
      <c r="E17" s="64" t="s">
        <v>19</v>
      </c>
      <c r="F17" s="69">
        <f>G17/12</f>
        <v>0</v>
      </c>
      <c r="G17" s="68"/>
      <c r="H17" s="63"/>
    </row>
    <row r="18" spans="1:8" s="37" customFormat="1" x14ac:dyDescent="0.2">
      <c r="A18" s="126"/>
      <c r="B18" s="125"/>
      <c r="C18" s="127"/>
      <c r="D18" s="64"/>
      <c r="E18" s="64"/>
      <c r="F18" s="93" t="s">
        <v>25</v>
      </c>
      <c r="G18" s="68">
        <f>SUM(G16:G17)</f>
        <v>0</v>
      </c>
      <c r="H18" s="63"/>
    </row>
    <row r="19" spans="1:8" s="37" customFormat="1" x14ac:dyDescent="0.2">
      <c r="A19" s="124"/>
      <c r="B19" s="123"/>
      <c r="C19" s="106"/>
      <c r="D19" s="52"/>
      <c r="E19" s="52"/>
      <c r="F19" s="95"/>
      <c r="G19" s="83"/>
      <c r="H19" s="49"/>
    </row>
    <row r="20" spans="1:8" s="37" customFormat="1" x14ac:dyDescent="0.2">
      <c r="A20" s="174" t="s">
        <v>26</v>
      </c>
      <c r="B20" s="175"/>
      <c r="C20" s="128" t="s">
        <v>27</v>
      </c>
      <c r="D20" s="64"/>
      <c r="E20" s="64"/>
      <c r="F20" s="69"/>
      <c r="G20" s="68"/>
      <c r="H20" s="63"/>
    </row>
    <row r="21" spans="1:8" s="37" customFormat="1" x14ac:dyDescent="0.2">
      <c r="A21" s="126" t="s">
        <v>26</v>
      </c>
      <c r="B21" s="125" t="s">
        <v>17</v>
      </c>
      <c r="C21" s="127" t="s">
        <v>28</v>
      </c>
      <c r="D21" s="64">
        <v>12</v>
      </c>
      <c r="E21" s="64" t="s">
        <v>19</v>
      </c>
      <c r="F21" s="69">
        <f>G21/12</f>
        <v>0</v>
      </c>
      <c r="G21" s="68"/>
      <c r="H21" s="63"/>
    </row>
    <row r="22" spans="1:8" s="37" customFormat="1" x14ac:dyDescent="0.2">
      <c r="A22" s="126" t="s">
        <v>26</v>
      </c>
      <c r="B22" s="125" t="s">
        <v>20</v>
      </c>
      <c r="C22" s="127" t="s">
        <v>29</v>
      </c>
      <c r="D22" s="64">
        <v>12</v>
      </c>
      <c r="E22" s="64" t="s">
        <v>19</v>
      </c>
      <c r="F22" s="69">
        <f>G22/12</f>
        <v>0</v>
      </c>
      <c r="G22" s="68"/>
      <c r="H22" s="63"/>
    </row>
    <row r="23" spans="1:8" s="37" customFormat="1" x14ac:dyDescent="0.2">
      <c r="A23" s="126"/>
      <c r="B23" s="125"/>
      <c r="C23" s="65"/>
      <c r="D23" s="64"/>
      <c r="E23" s="64"/>
      <c r="F23" s="93" t="s">
        <v>30</v>
      </c>
      <c r="G23" s="71">
        <f>SUM(G20:G22)</f>
        <v>0</v>
      </c>
      <c r="H23" s="63"/>
    </row>
    <row r="24" spans="1:8" s="37" customFormat="1" x14ac:dyDescent="0.2">
      <c r="A24" s="124"/>
      <c r="B24" s="123"/>
      <c r="C24" s="106"/>
      <c r="D24" s="52"/>
      <c r="E24" s="52"/>
      <c r="F24" s="95"/>
      <c r="G24" s="83"/>
      <c r="H24" s="49"/>
    </row>
    <row r="25" spans="1:8" s="37" customFormat="1" ht="13.5" thickBot="1" x14ac:dyDescent="0.25">
      <c r="A25" s="122"/>
      <c r="B25" s="121"/>
      <c r="C25" s="120"/>
      <c r="D25" s="183" t="s">
        <v>31</v>
      </c>
      <c r="E25" s="184"/>
      <c r="F25" s="185"/>
      <c r="G25" s="119">
        <f>SUM(G23,G18,G14)</f>
        <v>0</v>
      </c>
      <c r="H25" s="118"/>
    </row>
    <row r="26" spans="1:8" x14ac:dyDescent="0.2">
      <c r="A26" s="117"/>
      <c r="B26" s="116"/>
      <c r="C26" s="115"/>
      <c r="D26" s="114"/>
      <c r="E26" s="113"/>
      <c r="F26" s="112"/>
      <c r="G26" s="111"/>
      <c r="H26" s="110"/>
    </row>
    <row r="27" spans="1:8" x14ac:dyDescent="0.2">
      <c r="A27" s="109"/>
      <c r="B27" s="108"/>
      <c r="C27" s="107" t="s">
        <v>32</v>
      </c>
      <c r="D27" s="75"/>
      <c r="E27" s="75"/>
      <c r="F27" s="73"/>
      <c r="G27" s="100"/>
      <c r="H27" s="72"/>
    </row>
    <row r="28" spans="1:8" x14ac:dyDescent="0.2">
      <c r="A28" s="174" t="s">
        <v>33</v>
      </c>
      <c r="B28" s="175"/>
      <c r="C28" s="94" t="s">
        <v>34</v>
      </c>
      <c r="D28" s="64"/>
      <c r="E28" s="64"/>
      <c r="F28" s="69"/>
      <c r="G28" s="68"/>
      <c r="H28" s="63"/>
    </row>
    <row r="29" spans="1:8" x14ac:dyDescent="0.2">
      <c r="A29" s="70" t="s">
        <v>33</v>
      </c>
      <c r="B29" s="92" t="s">
        <v>17</v>
      </c>
      <c r="C29" s="65" t="s">
        <v>18</v>
      </c>
      <c r="D29" s="64">
        <v>12</v>
      </c>
      <c r="E29" s="64" t="s">
        <v>19</v>
      </c>
      <c r="F29" s="69">
        <f>G29/12</f>
        <v>0</v>
      </c>
      <c r="G29" s="68"/>
      <c r="H29" s="86"/>
    </row>
    <row r="30" spans="1:8" x14ac:dyDescent="0.2">
      <c r="A30" s="70" t="s">
        <v>33</v>
      </c>
      <c r="B30" s="92" t="s">
        <v>20</v>
      </c>
      <c r="C30" s="65" t="s">
        <v>21</v>
      </c>
      <c r="D30" s="64">
        <v>12</v>
      </c>
      <c r="E30" s="64" t="s">
        <v>19</v>
      </c>
      <c r="F30" s="69">
        <f t="shared" ref="F30:F31" si="0">G30/12</f>
        <v>0</v>
      </c>
      <c r="G30" s="68"/>
      <c r="H30" s="86"/>
    </row>
    <row r="31" spans="1:8" x14ac:dyDescent="0.2">
      <c r="A31" s="70" t="s">
        <v>33</v>
      </c>
      <c r="B31" s="92" t="s">
        <v>35</v>
      </c>
      <c r="C31" s="98" t="s">
        <v>36</v>
      </c>
      <c r="D31" s="64">
        <v>12</v>
      </c>
      <c r="E31" s="64" t="s">
        <v>19</v>
      </c>
      <c r="F31" s="69">
        <f t="shared" si="0"/>
        <v>0</v>
      </c>
      <c r="G31" s="68"/>
      <c r="H31" s="86"/>
    </row>
    <row r="32" spans="1:8" x14ac:dyDescent="0.2">
      <c r="A32" s="97"/>
      <c r="B32" s="96"/>
      <c r="C32" s="65"/>
      <c r="D32" s="171" t="s">
        <v>37</v>
      </c>
      <c r="E32" s="172"/>
      <c r="F32" s="173"/>
      <c r="G32" s="69">
        <f>SUM(G29:G31)</f>
        <v>0</v>
      </c>
      <c r="H32" s="86"/>
    </row>
    <row r="33" spans="1:8" x14ac:dyDescent="0.2">
      <c r="A33" s="91"/>
      <c r="B33" s="54"/>
      <c r="C33" s="106"/>
      <c r="D33" s="52"/>
      <c r="E33" s="52"/>
      <c r="F33" s="95"/>
      <c r="G33" s="83"/>
      <c r="H33" s="49"/>
    </row>
    <row r="34" spans="1:8" x14ac:dyDescent="0.2">
      <c r="A34" s="174" t="s">
        <v>38</v>
      </c>
      <c r="B34" s="175"/>
      <c r="C34" s="94" t="s">
        <v>39</v>
      </c>
      <c r="D34" s="64"/>
      <c r="E34" s="64"/>
      <c r="F34" s="69"/>
      <c r="G34" s="68"/>
      <c r="H34" s="63"/>
    </row>
    <row r="35" spans="1:8" x14ac:dyDescent="0.2">
      <c r="A35" s="70" t="s">
        <v>38</v>
      </c>
      <c r="B35" s="66" t="s">
        <v>17</v>
      </c>
      <c r="C35" s="65" t="s">
        <v>40</v>
      </c>
      <c r="D35" s="64">
        <v>0</v>
      </c>
      <c r="E35" s="64" t="s">
        <v>19</v>
      </c>
      <c r="F35" s="69">
        <f t="shared" ref="F35" si="1">G35/12</f>
        <v>0</v>
      </c>
      <c r="G35" s="68"/>
      <c r="H35" s="86"/>
    </row>
    <row r="36" spans="1:8" x14ac:dyDescent="0.2">
      <c r="A36" s="70"/>
      <c r="B36" s="96"/>
      <c r="C36" s="65"/>
      <c r="D36" s="186" t="s">
        <v>41</v>
      </c>
      <c r="E36" s="187"/>
      <c r="F36" s="188"/>
      <c r="G36" s="69">
        <f>SUM(G35:G35)</f>
        <v>0</v>
      </c>
      <c r="H36" s="63"/>
    </row>
    <row r="37" spans="1:8" x14ac:dyDescent="0.2">
      <c r="A37" s="85"/>
      <c r="B37" s="84"/>
      <c r="C37" s="53"/>
      <c r="D37" s="52"/>
      <c r="E37" s="52"/>
      <c r="F37" s="95"/>
      <c r="G37" s="83"/>
      <c r="H37" s="49"/>
    </row>
    <row r="38" spans="1:8" x14ac:dyDescent="0.2">
      <c r="A38" s="174" t="s">
        <v>42</v>
      </c>
      <c r="B38" s="175"/>
      <c r="C38" s="94" t="s">
        <v>43</v>
      </c>
      <c r="D38" s="64"/>
      <c r="E38" s="103"/>
      <c r="F38" s="68"/>
      <c r="G38" s="69"/>
      <c r="H38" s="86"/>
    </row>
    <row r="39" spans="1:8" x14ac:dyDescent="0.2">
      <c r="A39" s="70" t="s">
        <v>42</v>
      </c>
      <c r="B39" s="66" t="s">
        <v>17</v>
      </c>
      <c r="C39" s="98" t="s">
        <v>44</v>
      </c>
      <c r="D39" s="64">
        <v>12</v>
      </c>
      <c r="E39" s="64" t="s">
        <v>19</v>
      </c>
      <c r="F39" s="69">
        <f t="shared" ref="F39" si="2">G39/12</f>
        <v>0</v>
      </c>
      <c r="G39" s="68"/>
      <c r="H39" s="63"/>
    </row>
    <row r="40" spans="1:8" ht="15" x14ac:dyDescent="0.25">
      <c r="A40" s="97"/>
      <c r="B40" s="96"/>
      <c r="C40" s="182" t="s">
        <v>45</v>
      </c>
      <c r="D40" s="177"/>
      <c r="E40" s="177"/>
      <c r="F40" s="178"/>
      <c r="G40" s="71">
        <f>SUM(G39:G39)</f>
        <v>0</v>
      </c>
      <c r="H40" s="63"/>
    </row>
    <row r="41" spans="1:8" s="37" customFormat="1" x14ac:dyDescent="0.2">
      <c r="A41" s="85"/>
      <c r="B41" s="84"/>
      <c r="C41" s="53"/>
      <c r="D41" s="52"/>
      <c r="E41" s="52"/>
      <c r="F41" s="95"/>
      <c r="G41" s="83"/>
      <c r="H41" s="49"/>
    </row>
    <row r="42" spans="1:8" s="37" customFormat="1" x14ac:dyDescent="0.2">
      <c r="A42" s="174" t="s">
        <v>46</v>
      </c>
      <c r="B42" s="175"/>
      <c r="C42" s="88" t="s">
        <v>47</v>
      </c>
      <c r="D42" s="64"/>
      <c r="E42" s="64"/>
      <c r="F42" s="69"/>
      <c r="G42" s="69"/>
      <c r="H42" s="63"/>
    </row>
    <row r="43" spans="1:8" s="37" customFormat="1" x14ac:dyDescent="0.2">
      <c r="A43" s="70" t="s">
        <v>46</v>
      </c>
      <c r="B43" s="66" t="s">
        <v>17</v>
      </c>
      <c r="C43" s="98" t="s">
        <v>29</v>
      </c>
      <c r="D43" s="64">
        <v>12</v>
      </c>
      <c r="E43" s="64" t="s">
        <v>19</v>
      </c>
      <c r="F43" s="69">
        <f t="shared" ref="F43" si="3">G43/12</f>
        <v>0</v>
      </c>
      <c r="G43" s="68"/>
      <c r="H43" s="86"/>
    </row>
    <row r="44" spans="1:8" s="37" customFormat="1" x14ac:dyDescent="0.2">
      <c r="A44" s="70"/>
      <c r="B44" s="66"/>
      <c r="C44" s="171" t="s">
        <v>48</v>
      </c>
      <c r="D44" s="172"/>
      <c r="E44" s="172"/>
      <c r="F44" s="173"/>
      <c r="G44" s="71">
        <f>SUM(G43:G43)</f>
        <v>0</v>
      </c>
      <c r="H44" s="86"/>
    </row>
    <row r="45" spans="1:8" s="37" customFormat="1" x14ac:dyDescent="0.2">
      <c r="A45" s="91"/>
      <c r="B45" s="54"/>
      <c r="C45" s="105"/>
      <c r="D45" s="52"/>
      <c r="E45" s="104"/>
      <c r="F45" s="83"/>
      <c r="G45" s="50"/>
      <c r="H45" s="82"/>
    </row>
    <row r="46" spans="1:8" s="37" customFormat="1" x14ac:dyDescent="0.2">
      <c r="A46" s="174" t="s">
        <v>49</v>
      </c>
      <c r="B46" s="175"/>
      <c r="C46" s="88" t="s">
        <v>50</v>
      </c>
      <c r="D46" s="64"/>
      <c r="E46" s="103"/>
      <c r="F46" s="68"/>
      <c r="G46" s="69"/>
      <c r="H46" s="86"/>
    </row>
    <row r="47" spans="1:8" s="37" customFormat="1" x14ac:dyDescent="0.2">
      <c r="A47" s="70" t="s">
        <v>49</v>
      </c>
      <c r="B47" s="66" t="s">
        <v>17</v>
      </c>
      <c r="C47" s="98" t="s">
        <v>44</v>
      </c>
      <c r="D47" s="64">
        <v>12</v>
      </c>
      <c r="E47" s="64" t="s">
        <v>19</v>
      </c>
      <c r="F47" s="69">
        <f>G47/12</f>
        <v>0</v>
      </c>
      <c r="G47" s="68"/>
      <c r="H47" s="86"/>
    </row>
    <row r="48" spans="1:8" s="37" customFormat="1" x14ac:dyDescent="0.2">
      <c r="A48" s="70"/>
      <c r="B48" s="66"/>
      <c r="C48" s="171" t="s">
        <v>51</v>
      </c>
      <c r="D48" s="172"/>
      <c r="E48" s="172"/>
      <c r="F48" s="173"/>
      <c r="G48" s="43">
        <f>SUM(G47:G47)</f>
        <v>0</v>
      </c>
      <c r="H48" s="86"/>
    </row>
    <row r="49" spans="1:8" s="37" customFormat="1" x14ac:dyDescent="0.2">
      <c r="A49" s="91"/>
      <c r="B49" s="54"/>
      <c r="C49" s="90"/>
      <c r="D49" s="52"/>
      <c r="E49" s="104"/>
      <c r="F49" s="83"/>
      <c r="G49" s="50"/>
      <c r="H49" s="82"/>
    </row>
    <row r="50" spans="1:8" s="37" customFormat="1" x14ac:dyDescent="0.2">
      <c r="A50" s="174" t="s">
        <v>52</v>
      </c>
      <c r="B50" s="175"/>
      <c r="C50" s="94" t="s">
        <v>53</v>
      </c>
      <c r="D50" s="64"/>
      <c r="E50" s="103"/>
      <c r="F50" s="68"/>
      <c r="G50" s="69"/>
      <c r="H50" s="86"/>
    </row>
    <row r="51" spans="1:8" s="37" customFormat="1" x14ac:dyDescent="0.2">
      <c r="A51" s="70" t="s">
        <v>52</v>
      </c>
      <c r="B51" s="66" t="s">
        <v>17</v>
      </c>
      <c r="C51" s="98" t="s">
        <v>29</v>
      </c>
      <c r="D51" s="64">
        <v>12</v>
      </c>
      <c r="E51" s="64" t="s">
        <v>19</v>
      </c>
      <c r="F51" s="69">
        <f>G51/12</f>
        <v>0</v>
      </c>
      <c r="G51" s="68"/>
      <c r="H51" s="86"/>
    </row>
    <row r="52" spans="1:8" s="37" customFormat="1" x14ac:dyDescent="0.2">
      <c r="A52" s="70"/>
      <c r="B52" s="66"/>
      <c r="C52" s="171" t="s">
        <v>54</v>
      </c>
      <c r="D52" s="172"/>
      <c r="E52" s="172"/>
      <c r="F52" s="173"/>
      <c r="G52" s="43">
        <f>SUM(G51:G51)</f>
        <v>0</v>
      </c>
      <c r="H52" s="63"/>
    </row>
    <row r="53" spans="1:8" x14ac:dyDescent="0.2">
      <c r="A53" s="91"/>
      <c r="B53" s="54"/>
      <c r="C53" s="53"/>
      <c r="D53" s="52"/>
      <c r="E53" s="52"/>
      <c r="F53" s="50"/>
      <c r="G53" s="83"/>
      <c r="H53" s="49"/>
    </row>
    <row r="54" spans="1:8" x14ac:dyDescent="0.2">
      <c r="A54" s="174" t="s">
        <v>55</v>
      </c>
      <c r="B54" s="175"/>
      <c r="C54" s="94" t="s">
        <v>56</v>
      </c>
      <c r="D54" s="64"/>
      <c r="E54" s="64"/>
      <c r="F54" s="69"/>
      <c r="G54" s="68"/>
      <c r="H54" s="63"/>
    </row>
    <row r="55" spans="1:8" x14ac:dyDescent="0.2">
      <c r="A55" s="70" t="s">
        <v>55</v>
      </c>
      <c r="B55" s="66" t="s">
        <v>17</v>
      </c>
      <c r="C55" s="98" t="s">
        <v>29</v>
      </c>
      <c r="D55" s="64">
        <v>12</v>
      </c>
      <c r="E55" s="64" t="s">
        <v>19</v>
      </c>
      <c r="F55" s="69">
        <f>G55/12</f>
        <v>0</v>
      </c>
      <c r="G55" s="68"/>
      <c r="H55" s="63"/>
    </row>
    <row r="56" spans="1:8" x14ac:dyDescent="0.2">
      <c r="A56" s="97"/>
      <c r="B56" s="96"/>
      <c r="C56" s="171" t="s">
        <v>57</v>
      </c>
      <c r="D56" s="172"/>
      <c r="E56" s="172"/>
      <c r="F56" s="173"/>
      <c r="G56" s="71">
        <f>SUM(G55:G55)</f>
        <v>0</v>
      </c>
      <c r="H56" s="63"/>
    </row>
    <row r="57" spans="1:8" ht="15" x14ac:dyDescent="0.25">
      <c r="A57" s="91"/>
      <c r="B57" s="54"/>
      <c r="C57" s="53"/>
      <c r="D57" s="176" t="s">
        <v>58</v>
      </c>
      <c r="E57" s="177"/>
      <c r="F57" s="178"/>
      <c r="G57" s="83">
        <f>SUM(G56,G52,G48,G44,G40,G36,G32)</f>
        <v>0</v>
      </c>
      <c r="H57" s="49"/>
    </row>
    <row r="58" spans="1:8" x14ac:dyDescent="0.2">
      <c r="A58" s="102"/>
      <c r="B58" s="102"/>
      <c r="C58" s="101"/>
      <c r="D58" s="75"/>
      <c r="E58" s="75"/>
      <c r="F58" s="73"/>
      <c r="G58" s="100"/>
      <c r="H58" s="99"/>
    </row>
    <row r="59" spans="1:8" x14ac:dyDescent="0.2">
      <c r="A59" s="174" t="s">
        <v>59</v>
      </c>
      <c r="B59" s="175"/>
      <c r="C59" s="94" t="s">
        <v>60</v>
      </c>
      <c r="D59" s="64"/>
      <c r="E59" s="64"/>
      <c r="F59" s="69"/>
      <c r="G59" s="68"/>
      <c r="H59" s="63"/>
    </row>
    <row r="60" spans="1:8" x14ac:dyDescent="0.2">
      <c r="A60" s="70" t="s">
        <v>59</v>
      </c>
      <c r="B60" s="66" t="s">
        <v>17</v>
      </c>
      <c r="C60" s="65" t="s">
        <v>18</v>
      </c>
      <c r="D60" s="64">
        <v>12</v>
      </c>
      <c r="E60" s="64" t="s">
        <v>19</v>
      </c>
      <c r="F60" s="69">
        <f>G60/12</f>
        <v>0</v>
      </c>
      <c r="G60" s="68"/>
      <c r="H60" s="63"/>
    </row>
    <row r="61" spans="1:8" x14ac:dyDescent="0.2">
      <c r="A61" s="70" t="s">
        <v>59</v>
      </c>
      <c r="B61" s="66" t="s">
        <v>20</v>
      </c>
      <c r="C61" s="98" t="s">
        <v>36</v>
      </c>
      <c r="D61" s="64">
        <v>12</v>
      </c>
      <c r="E61" s="64" t="s">
        <v>19</v>
      </c>
      <c r="F61" s="69">
        <f>G61/12</f>
        <v>0</v>
      </c>
      <c r="G61" s="68"/>
      <c r="H61" s="63"/>
    </row>
    <row r="62" spans="1:8" x14ac:dyDescent="0.2">
      <c r="A62" s="97"/>
      <c r="B62" s="96"/>
      <c r="C62" s="65"/>
      <c r="D62" s="171" t="s">
        <v>61</v>
      </c>
      <c r="E62" s="172"/>
      <c r="F62" s="173"/>
      <c r="G62" s="71">
        <f>SUM(G60:G61)</f>
        <v>0</v>
      </c>
      <c r="H62" s="63"/>
    </row>
    <row r="63" spans="1:8" x14ac:dyDescent="0.2">
      <c r="A63" s="85"/>
      <c r="B63" s="84"/>
      <c r="C63" s="53"/>
      <c r="D63" s="52"/>
      <c r="E63" s="52"/>
      <c r="F63" s="50"/>
      <c r="G63" s="83"/>
      <c r="H63" s="49"/>
    </row>
    <row r="64" spans="1:8" x14ac:dyDescent="0.2">
      <c r="A64" s="174" t="s">
        <v>62</v>
      </c>
      <c r="B64" s="175"/>
      <c r="C64" s="94" t="s">
        <v>63</v>
      </c>
      <c r="D64" s="64"/>
      <c r="E64" s="64"/>
      <c r="F64" s="69"/>
      <c r="G64" s="68"/>
      <c r="H64" s="63"/>
    </row>
    <row r="65" spans="1:8" x14ac:dyDescent="0.2">
      <c r="A65" s="70" t="s">
        <v>62</v>
      </c>
      <c r="B65" s="66" t="s">
        <v>17</v>
      </c>
      <c r="C65" s="65" t="s">
        <v>44</v>
      </c>
      <c r="D65" s="64">
        <v>12</v>
      </c>
      <c r="E65" s="64" t="s">
        <v>19</v>
      </c>
      <c r="F65" s="69">
        <f>G65/12</f>
        <v>0</v>
      </c>
      <c r="G65" s="68"/>
      <c r="H65" s="63"/>
    </row>
    <row r="66" spans="1:8" s="37" customFormat="1" x14ac:dyDescent="0.2">
      <c r="A66" s="70" t="s">
        <v>62</v>
      </c>
      <c r="B66" s="66" t="s">
        <v>20</v>
      </c>
      <c r="C66" s="65" t="s">
        <v>29</v>
      </c>
      <c r="D66" s="64">
        <v>12</v>
      </c>
      <c r="E66" s="64" t="s">
        <v>19</v>
      </c>
      <c r="F66" s="69">
        <f>G66/12</f>
        <v>0</v>
      </c>
      <c r="G66" s="68"/>
      <c r="H66" s="63"/>
    </row>
    <row r="67" spans="1:8" s="37" customFormat="1" x14ac:dyDescent="0.2">
      <c r="A67" s="97"/>
      <c r="B67" s="96"/>
      <c r="C67" s="65"/>
      <c r="D67" s="171" t="s">
        <v>64</v>
      </c>
      <c r="E67" s="172"/>
      <c r="F67" s="173"/>
      <c r="G67" s="71">
        <f>SUM(G65:G66)</f>
        <v>0</v>
      </c>
      <c r="H67" s="63"/>
    </row>
    <row r="68" spans="1:8" s="37" customFormat="1" x14ac:dyDescent="0.2">
      <c r="A68" s="85"/>
      <c r="B68" s="84"/>
      <c r="C68" s="53"/>
      <c r="D68" s="52"/>
      <c r="E68" s="52"/>
      <c r="F68" s="50"/>
      <c r="G68" s="83"/>
      <c r="H68" s="49"/>
    </row>
    <row r="69" spans="1:8" s="37" customFormat="1" x14ac:dyDescent="0.2">
      <c r="A69" s="174" t="s">
        <v>65</v>
      </c>
      <c r="B69" s="175"/>
      <c r="C69" s="94" t="s">
        <v>66</v>
      </c>
      <c r="D69" s="64"/>
      <c r="E69" s="64"/>
      <c r="F69" s="69"/>
      <c r="G69" s="68"/>
      <c r="H69" s="63"/>
    </row>
    <row r="70" spans="1:8" s="37" customFormat="1" x14ac:dyDescent="0.2">
      <c r="A70" s="70" t="s">
        <v>65</v>
      </c>
      <c r="B70" s="66" t="s">
        <v>17</v>
      </c>
      <c r="C70" s="98" t="s">
        <v>29</v>
      </c>
      <c r="D70" s="64">
        <v>12</v>
      </c>
      <c r="E70" s="64" t="s">
        <v>19</v>
      </c>
      <c r="F70" s="69">
        <f>G70/12</f>
        <v>0</v>
      </c>
      <c r="G70" s="163"/>
      <c r="H70" s="63"/>
    </row>
    <row r="71" spans="1:8" s="37" customFormat="1" x14ac:dyDescent="0.2">
      <c r="A71" s="97"/>
      <c r="B71" s="96"/>
      <c r="C71" s="171" t="s">
        <v>67</v>
      </c>
      <c r="D71" s="172"/>
      <c r="E71" s="172"/>
      <c r="F71" s="173"/>
      <c r="G71" s="71">
        <f>SUM(G70:G70)</f>
        <v>0</v>
      </c>
      <c r="H71" s="63"/>
    </row>
    <row r="72" spans="1:8" s="37" customFormat="1" x14ac:dyDescent="0.2">
      <c r="A72" s="85"/>
      <c r="B72" s="84"/>
      <c r="C72" s="53"/>
      <c r="D72" s="52"/>
      <c r="E72" s="52"/>
      <c r="F72" s="50"/>
      <c r="G72" s="83"/>
      <c r="H72" s="49"/>
    </row>
    <row r="73" spans="1:8" s="37" customFormat="1" x14ac:dyDescent="0.2">
      <c r="A73" s="174" t="s">
        <v>68</v>
      </c>
      <c r="B73" s="175"/>
      <c r="C73" s="94" t="s">
        <v>69</v>
      </c>
      <c r="D73" s="64"/>
      <c r="E73" s="64"/>
      <c r="F73" s="69"/>
      <c r="G73" s="68"/>
      <c r="H73" s="63"/>
    </row>
    <row r="74" spans="1:8" s="37" customFormat="1" x14ac:dyDescent="0.2">
      <c r="A74" s="70" t="s">
        <v>68</v>
      </c>
      <c r="B74" s="66" t="s">
        <v>17</v>
      </c>
      <c r="C74" s="65" t="s">
        <v>40</v>
      </c>
      <c r="D74" s="64">
        <v>0</v>
      </c>
      <c r="E74" s="64" t="s">
        <v>19</v>
      </c>
      <c r="F74" s="69">
        <f>G74/12</f>
        <v>0</v>
      </c>
      <c r="G74" s="68"/>
      <c r="H74" s="63"/>
    </row>
    <row r="75" spans="1:8" s="37" customFormat="1" x14ac:dyDescent="0.2">
      <c r="A75" s="70" t="s">
        <v>68</v>
      </c>
      <c r="B75" s="66" t="s">
        <v>20</v>
      </c>
      <c r="C75" s="98" t="s">
        <v>40</v>
      </c>
      <c r="D75" s="64">
        <v>0</v>
      </c>
      <c r="E75" s="64" t="s">
        <v>19</v>
      </c>
      <c r="F75" s="69">
        <f>G75/12</f>
        <v>0</v>
      </c>
      <c r="G75" s="68"/>
      <c r="H75" s="63"/>
    </row>
    <row r="76" spans="1:8" s="37" customFormat="1" x14ac:dyDescent="0.2">
      <c r="A76" s="97"/>
      <c r="B76" s="96"/>
      <c r="C76" s="171" t="s">
        <v>70</v>
      </c>
      <c r="D76" s="172"/>
      <c r="E76" s="172"/>
      <c r="F76" s="173"/>
      <c r="G76" s="43">
        <f>SUM(G74:G75)</f>
        <v>0</v>
      </c>
      <c r="H76" s="63"/>
    </row>
    <row r="77" spans="1:8" s="37" customFormat="1" x14ac:dyDescent="0.2">
      <c r="A77" s="85"/>
      <c r="B77" s="84"/>
      <c r="C77" s="53"/>
      <c r="D77" s="52"/>
      <c r="E77" s="52"/>
      <c r="F77" s="95"/>
      <c r="G77" s="50"/>
      <c r="H77" s="49"/>
    </row>
    <row r="78" spans="1:8" x14ac:dyDescent="0.2">
      <c r="A78" s="174" t="s">
        <v>71</v>
      </c>
      <c r="B78" s="175"/>
      <c r="C78" s="94" t="s">
        <v>72</v>
      </c>
      <c r="D78" s="64"/>
      <c r="E78" s="64"/>
      <c r="F78" s="93"/>
      <c r="G78" s="69"/>
      <c r="H78" s="63"/>
    </row>
    <row r="79" spans="1:8" x14ac:dyDescent="0.2">
      <c r="A79" s="70" t="s">
        <v>71</v>
      </c>
      <c r="B79" s="66" t="s">
        <v>20</v>
      </c>
      <c r="C79" s="65" t="s">
        <v>29</v>
      </c>
      <c r="D79" s="64">
        <v>12</v>
      </c>
      <c r="E79" s="64" t="s">
        <v>19</v>
      </c>
      <c r="F79" s="69">
        <f>G79/12</f>
        <v>0</v>
      </c>
      <c r="G79" s="68"/>
      <c r="H79" s="63"/>
    </row>
    <row r="80" spans="1:8" x14ac:dyDescent="0.2">
      <c r="A80" s="97"/>
      <c r="B80" s="96"/>
      <c r="C80" s="171" t="s">
        <v>73</v>
      </c>
      <c r="D80" s="172"/>
      <c r="E80" s="172"/>
      <c r="F80" s="173"/>
      <c r="G80" s="43">
        <f>SUM(G79:G79)</f>
        <v>0</v>
      </c>
      <c r="H80" s="63"/>
    </row>
    <row r="81" spans="1:8" x14ac:dyDescent="0.2">
      <c r="A81" s="85"/>
      <c r="B81" s="84"/>
      <c r="C81" s="53"/>
      <c r="D81" s="52"/>
      <c r="E81" s="52"/>
      <c r="F81" s="95"/>
      <c r="G81" s="50"/>
      <c r="H81" s="49"/>
    </row>
    <row r="82" spans="1:8" x14ac:dyDescent="0.2">
      <c r="A82" s="174" t="s">
        <v>74</v>
      </c>
      <c r="B82" s="175"/>
      <c r="C82" s="94" t="s">
        <v>75</v>
      </c>
      <c r="D82" s="64"/>
      <c r="E82" s="64"/>
      <c r="F82" s="93"/>
      <c r="G82" s="69"/>
      <c r="H82" s="63"/>
    </row>
    <row r="83" spans="1:8" x14ac:dyDescent="0.2">
      <c r="A83" s="70" t="s">
        <v>74</v>
      </c>
      <c r="B83" s="92" t="s">
        <v>17</v>
      </c>
      <c r="C83" s="65" t="s">
        <v>18</v>
      </c>
      <c r="D83" s="64">
        <v>12</v>
      </c>
      <c r="E83" s="64" t="s">
        <v>19</v>
      </c>
      <c r="F83" s="69">
        <f>G83/12</f>
        <v>0</v>
      </c>
      <c r="G83" s="68"/>
      <c r="H83" s="63"/>
    </row>
    <row r="84" spans="1:8" x14ac:dyDescent="0.2">
      <c r="A84" s="70"/>
      <c r="B84" s="66"/>
      <c r="C84" s="88"/>
      <c r="D84" s="165" t="s">
        <v>76</v>
      </c>
      <c r="E84" s="166"/>
      <c r="F84" s="167"/>
      <c r="G84" s="43">
        <f>SUM(G83:G83)</f>
        <v>0</v>
      </c>
      <c r="H84" s="86"/>
    </row>
    <row r="85" spans="1:8" x14ac:dyDescent="0.2">
      <c r="A85" s="91"/>
      <c r="B85" s="54"/>
      <c r="C85" s="90"/>
      <c r="D85" s="52"/>
      <c r="E85" s="89"/>
      <c r="F85" s="89"/>
      <c r="G85" s="50"/>
      <c r="H85" s="82"/>
    </row>
    <row r="86" spans="1:8" x14ac:dyDescent="0.2">
      <c r="A86" s="174" t="s">
        <v>77</v>
      </c>
      <c r="B86" s="175"/>
      <c r="C86" s="94" t="s">
        <v>78</v>
      </c>
      <c r="D86" s="64"/>
      <c r="E86" s="64"/>
      <c r="F86" s="93"/>
      <c r="G86" s="69"/>
      <c r="H86" s="63"/>
    </row>
    <row r="87" spans="1:8" x14ac:dyDescent="0.2">
      <c r="A87" s="70" t="s">
        <v>77</v>
      </c>
      <c r="B87" s="92" t="s">
        <v>17</v>
      </c>
      <c r="C87" s="65" t="s">
        <v>18</v>
      </c>
      <c r="D87" s="64">
        <v>12</v>
      </c>
      <c r="E87" s="64" t="s">
        <v>19</v>
      </c>
      <c r="F87" s="69">
        <f>G87/12</f>
        <v>0</v>
      </c>
      <c r="G87" s="68"/>
      <c r="H87" s="63"/>
    </row>
    <row r="88" spans="1:8" x14ac:dyDescent="0.2">
      <c r="A88" s="70"/>
      <c r="B88" s="66"/>
      <c r="C88" s="88"/>
      <c r="D88" s="165" t="s">
        <v>79</v>
      </c>
      <c r="E88" s="166"/>
      <c r="F88" s="167"/>
      <c r="G88" s="43">
        <f>SUM(G87:G87)</f>
        <v>0</v>
      </c>
      <c r="H88" s="86"/>
    </row>
    <row r="89" spans="1:8" x14ac:dyDescent="0.2">
      <c r="A89" s="91"/>
      <c r="B89" s="54"/>
      <c r="C89" s="90"/>
      <c r="D89" s="52"/>
      <c r="E89" s="89"/>
      <c r="F89" s="89"/>
      <c r="G89" s="50"/>
      <c r="H89" s="82"/>
    </row>
    <row r="90" spans="1:8" x14ac:dyDescent="0.2">
      <c r="A90" s="174" t="s">
        <v>80</v>
      </c>
      <c r="B90" s="175"/>
      <c r="C90" s="94" t="s">
        <v>81</v>
      </c>
      <c r="D90" s="64"/>
      <c r="E90" s="64"/>
      <c r="F90" s="93"/>
      <c r="G90" s="69"/>
      <c r="H90" s="63"/>
    </row>
    <row r="91" spans="1:8" x14ac:dyDescent="0.2">
      <c r="A91" s="70" t="s">
        <v>80</v>
      </c>
      <c r="B91" s="92" t="s">
        <v>17</v>
      </c>
      <c r="C91" s="65" t="s">
        <v>18</v>
      </c>
      <c r="D91" s="64">
        <v>12</v>
      </c>
      <c r="E91" s="64" t="s">
        <v>19</v>
      </c>
      <c r="F91" s="69">
        <f>G91/12</f>
        <v>0</v>
      </c>
      <c r="G91" s="68"/>
      <c r="H91" s="63"/>
    </row>
    <row r="92" spans="1:8" x14ac:dyDescent="0.2">
      <c r="A92" s="70"/>
      <c r="B92" s="66"/>
      <c r="C92" s="88"/>
      <c r="D92" s="165" t="s">
        <v>82</v>
      </c>
      <c r="E92" s="166"/>
      <c r="F92" s="167"/>
      <c r="G92" s="43">
        <f>SUM(G91:G91)</f>
        <v>0</v>
      </c>
      <c r="H92" s="86"/>
    </row>
    <row r="93" spans="1:8" ht="15" x14ac:dyDescent="0.25">
      <c r="A93" s="91"/>
      <c r="B93" s="54"/>
      <c r="C93" s="90"/>
      <c r="D93" s="176" t="s">
        <v>83</v>
      </c>
      <c r="E93" s="177"/>
      <c r="F93" s="178"/>
      <c r="G93" s="50">
        <f>SUM(G92,G88,G84,G80,G76,G71,G67,G62)</f>
        <v>0</v>
      </c>
      <c r="H93" s="82"/>
    </row>
    <row r="94" spans="1:8" x14ac:dyDescent="0.2">
      <c r="A94" s="81"/>
      <c r="B94" s="61"/>
      <c r="C94" s="80"/>
      <c r="D94" s="179" t="s">
        <v>84</v>
      </c>
      <c r="E94" s="180"/>
      <c r="F94" s="181"/>
      <c r="G94" s="57">
        <f>SUM(G93,G57)</f>
        <v>0</v>
      </c>
      <c r="H94" s="79"/>
    </row>
    <row r="95" spans="1:8" x14ac:dyDescent="0.2">
      <c r="A95" s="70"/>
      <c r="B95" s="66"/>
      <c r="C95" s="88"/>
      <c r="D95" s="64"/>
      <c r="E95" s="87"/>
      <c r="F95" s="87"/>
      <c r="G95" s="69"/>
      <c r="H95" s="86"/>
    </row>
    <row r="96" spans="1:8" x14ac:dyDescent="0.2">
      <c r="A96" s="78"/>
      <c r="B96" s="77"/>
      <c r="C96" s="76" t="s">
        <v>85</v>
      </c>
      <c r="D96" s="75"/>
      <c r="E96" s="74"/>
      <c r="F96" s="74"/>
      <c r="G96" s="73"/>
      <c r="H96" s="72"/>
    </row>
    <row r="97" spans="1:8" x14ac:dyDescent="0.2">
      <c r="A97" s="174" t="s">
        <v>86</v>
      </c>
      <c r="B97" s="175"/>
      <c r="C97" s="88" t="s">
        <v>87</v>
      </c>
      <c r="D97" s="64"/>
      <c r="E97" s="87"/>
      <c r="F97" s="87"/>
      <c r="G97" s="69"/>
      <c r="H97" s="86"/>
    </row>
    <row r="98" spans="1:8" x14ac:dyDescent="0.2">
      <c r="A98" s="70" t="s">
        <v>86</v>
      </c>
      <c r="B98" s="92" t="s">
        <v>17</v>
      </c>
      <c r="C98" s="65" t="s">
        <v>18</v>
      </c>
      <c r="D98" s="64">
        <v>12</v>
      </c>
      <c r="E98" s="64" t="s">
        <v>19</v>
      </c>
      <c r="F98" s="69">
        <f>SUM(G98/12)</f>
        <v>0</v>
      </c>
      <c r="G98" s="68"/>
      <c r="H98" s="86"/>
    </row>
    <row r="99" spans="1:8" x14ac:dyDescent="0.2">
      <c r="A99" s="70" t="s">
        <v>86</v>
      </c>
      <c r="B99" s="92" t="s">
        <v>20</v>
      </c>
      <c r="C99" s="65" t="s">
        <v>21</v>
      </c>
      <c r="D99" s="64">
        <v>12</v>
      </c>
      <c r="E99" s="64" t="s">
        <v>19</v>
      </c>
      <c r="F99" s="69">
        <f>SUM(G99/12)</f>
        <v>0</v>
      </c>
      <c r="G99" s="68"/>
      <c r="H99" s="86"/>
    </row>
    <row r="100" spans="1:8" x14ac:dyDescent="0.2">
      <c r="A100" s="70"/>
      <c r="B100" s="66"/>
      <c r="C100" s="165" t="s">
        <v>88</v>
      </c>
      <c r="D100" s="166"/>
      <c r="E100" s="166"/>
      <c r="F100" s="167"/>
      <c r="G100" s="43">
        <f>SUM(G98:G99)</f>
        <v>0</v>
      </c>
      <c r="H100" s="86"/>
    </row>
    <row r="101" spans="1:8" x14ac:dyDescent="0.2">
      <c r="A101" s="91"/>
      <c r="B101" s="54"/>
      <c r="C101" s="90"/>
      <c r="D101" s="52"/>
      <c r="E101" s="89"/>
      <c r="F101" s="89"/>
      <c r="G101" s="50"/>
      <c r="H101" s="82"/>
    </row>
    <row r="102" spans="1:8" s="37" customFormat="1" x14ac:dyDescent="0.2">
      <c r="A102" s="174" t="s">
        <v>89</v>
      </c>
      <c r="B102" s="175"/>
      <c r="C102" s="88" t="s">
        <v>90</v>
      </c>
      <c r="D102" s="64"/>
      <c r="E102" s="87"/>
      <c r="F102" s="87"/>
      <c r="G102" s="69"/>
      <c r="H102" s="86"/>
    </row>
    <row r="103" spans="1:8" s="37" customFormat="1" x14ac:dyDescent="0.2">
      <c r="A103" s="70" t="s">
        <v>89</v>
      </c>
      <c r="B103" s="66" t="s">
        <v>17</v>
      </c>
      <c r="C103" s="65" t="s">
        <v>18</v>
      </c>
      <c r="D103" s="64">
        <v>12</v>
      </c>
      <c r="E103" s="64" t="s">
        <v>19</v>
      </c>
      <c r="F103" s="69">
        <f>G103/12</f>
        <v>0</v>
      </c>
      <c r="G103" s="68"/>
      <c r="H103" s="86"/>
    </row>
    <row r="104" spans="1:8" s="37" customFormat="1" x14ac:dyDescent="0.2">
      <c r="A104" s="70"/>
      <c r="B104" s="66"/>
      <c r="C104" s="165" t="s">
        <v>91</v>
      </c>
      <c r="D104" s="166"/>
      <c r="E104" s="166"/>
      <c r="F104" s="167"/>
      <c r="G104" s="43">
        <f>SUM(G103:G103)</f>
        <v>0</v>
      </c>
      <c r="H104" s="86"/>
    </row>
    <row r="105" spans="1:8" s="37" customFormat="1" x14ac:dyDescent="0.2">
      <c r="A105" s="91"/>
      <c r="B105" s="54"/>
      <c r="C105" s="90"/>
      <c r="D105" s="52"/>
      <c r="E105" s="89"/>
      <c r="F105" s="89"/>
      <c r="G105" s="50"/>
      <c r="H105" s="82"/>
    </row>
    <row r="106" spans="1:8" s="37" customFormat="1" x14ac:dyDescent="0.2">
      <c r="A106" s="174" t="s">
        <v>92</v>
      </c>
      <c r="B106" s="175"/>
      <c r="C106" s="88" t="s">
        <v>93</v>
      </c>
      <c r="D106" s="64"/>
      <c r="E106" s="87"/>
      <c r="F106" s="87"/>
      <c r="G106" s="69"/>
      <c r="H106" s="86"/>
    </row>
    <row r="107" spans="1:8" s="37" customFormat="1" x14ac:dyDescent="0.2">
      <c r="A107" s="70" t="s">
        <v>92</v>
      </c>
      <c r="B107" s="92" t="s">
        <v>17</v>
      </c>
      <c r="C107" s="65" t="s">
        <v>29</v>
      </c>
      <c r="D107" s="64">
        <v>12</v>
      </c>
      <c r="E107" s="64" t="s">
        <v>19</v>
      </c>
      <c r="F107" s="69">
        <f>G107/12</f>
        <v>0</v>
      </c>
      <c r="G107" s="68"/>
      <c r="H107" s="86"/>
    </row>
    <row r="108" spans="1:8" s="37" customFormat="1" x14ac:dyDescent="0.2">
      <c r="A108" s="70"/>
      <c r="B108" s="66"/>
      <c r="C108" s="165" t="s">
        <v>94</v>
      </c>
      <c r="D108" s="166"/>
      <c r="E108" s="166"/>
      <c r="F108" s="167"/>
      <c r="G108" s="43">
        <f>SUM(G107:G107)</f>
        <v>0</v>
      </c>
      <c r="H108" s="86"/>
    </row>
    <row r="109" spans="1:8" s="37" customFormat="1" x14ac:dyDescent="0.2">
      <c r="A109" s="91"/>
      <c r="B109" s="54"/>
      <c r="C109" s="90"/>
      <c r="D109" s="52"/>
      <c r="E109" s="89"/>
      <c r="F109" s="89"/>
      <c r="G109" s="50"/>
      <c r="H109" s="82"/>
    </row>
    <row r="110" spans="1:8" s="37" customFormat="1" x14ac:dyDescent="0.2">
      <c r="A110" s="174" t="s">
        <v>95</v>
      </c>
      <c r="B110" s="175"/>
      <c r="C110" s="88" t="s">
        <v>96</v>
      </c>
      <c r="D110" s="64"/>
      <c r="E110" s="87"/>
      <c r="F110" s="87"/>
      <c r="G110" s="69"/>
      <c r="H110" s="86"/>
    </row>
    <row r="111" spans="1:8" s="37" customFormat="1" x14ac:dyDescent="0.2">
      <c r="A111" s="70" t="s">
        <v>95</v>
      </c>
      <c r="B111" s="66" t="s">
        <v>17</v>
      </c>
      <c r="C111" s="65" t="s">
        <v>97</v>
      </c>
      <c r="D111" s="64">
        <v>12</v>
      </c>
      <c r="E111" s="64" t="s">
        <v>19</v>
      </c>
      <c r="F111" s="69">
        <f>G111/12</f>
        <v>0</v>
      </c>
      <c r="G111" s="68"/>
      <c r="H111" s="86"/>
    </row>
    <row r="112" spans="1:8" s="37" customFormat="1" x14ac:dyDescent="0.2">
      <c r="A112" s="70"/>
      <c r="B112" s="66"/>
      <c r="C112" s="165" t="s">
        <v>98</v>
      </c>
      <c r="D112" s="166"/>
      <c r="E112" s="166"/>
      <c r="F112" s="167"/>
      <c r="G112" s="43">
        <f>SUM(G111:G111)</f>
        <v>0</v>
      </c>
      <c r="H112" s="86"/>
    </row>
    <row r="113" spans="1:8" x14ac:dyDescent="0.2">
      <c r="A113" s="55"/>
      <c r="B113" s="54"/>
      <c r="C113" s="53"/>
      <c r="D113" s="52"/>
      <c r="E113" s="51"/>
      <c r="F113" s="51"/>
      <c r="G113" s="50"/>
      <c r="H113" s="49"/>
    </row>
    <row r="114" spans="1:8" x14ac:dyDescent="0.2">
      <c r="A114" s="62"/>
      <c r="B114" s="61"/>
      <c r="C114" s="60"/>
      <c r="D114" s="59"/>
      <c r="E114" s="58"/>
      <c r="F114" s="58" t="s">
        <v>99</v>
      </c>
      <c r="G114" s="57">
        <f>SUM(G112,G108,G104,G100)</f>
        <v>0</v>
      </c>
      <c r="H114" s="56"/>
    </row>
    <row r="115" spans="1:8" x14ac:dyDescent="0.2">
      <c r="A115" s="48"/>
      <c r="B115" s="47"/>
      <c r="C115" s="46"/>
      <c r="D115" s="45"/>
      <c r="E115" s="44"/>
      <c r="F115" s="44"/>
      <c r="G115" s="43"/>
      <c r="H115" s="42"/>
    </row>
    <row r="116" spans="1:8" ht="13.5" thickBot="1" x14ac:dyDescent="0.25">
      <c r="A116" s="41"/>
      <c r="B116" s="40"/>
      <c r="C116" s="168" t="s">
        <v>100</v>
      </c>
      <c r="D116" s="169"/>
      <c r="E116" s="169"/>
      <c r="F116" s="170"/>
      <c r="G116" s="39">
        <f>SUM(G114,G94,G25)</f>
        <v>0</v>
      </c>
      <c r="H116" s="38"/>
    </row>
  </sheetData>
  <mergeCells count="59">
    <mergeCell ref="A73:B73"/>
    <mergeCell ref="A59:B59"/>
    <mergeCell ref="D62:F62"/>
    <mergeCell ref="A64:B64"/>
    <mergeCell ref="D67:F67"/>
    <mergeCell ref="A69:B69"/>
    <mergeCell ref="A1:H1"/>
    <mergeCell ref="I1:K1"/>
    <mergeCell ref="A2:H2"/>
    <mergeCell ref="I2:K2"/>
    <mergeCell ref="A3:H3"/>
    <mergeCell ref="I3:K3"/>
    <mergeCell ref="A4:H4"/>
    <mergeCell ref="I4:K4"/>
    <mergeCell ref="A5:H5"/>
    <mergeCell ref="A6:H6"/>
    <mergeCell ref="A7:H7"/>
    <mergeCell ref="A8:B8"/>
    <mergeCell ref="A11:B11"/>
    <mergeCell ref="E14:F14"/>
    <mergeCell ref="A16:B16"/>
    <mergeCell ref="A20:B20"/>
    <mergeCell ref="D25:F25"/>
    <mergeCell ref="A28:B28"/>
    <mergeCell ref="D32:F32"/>
    <mergeCell ref="A34:B34"/>
    <mergeCell ref="D36:F36"/>
    <mergeCell ref="A38:B38"/>
    <mergeCell ref="A42:B42"/>
    <mergeCell ref="C44:F44"/>
    <mergeCell ref="A46:B46"/>
    <mergeCell ref="C40:F40"/>
    <mergeCell ref="C48:F48"/>
    <mergeCell ref="A50:B50"/>
    <mergeCell ref="C52:F52"/>
    <mergeCell ref="A54:B54"/>
    <mergeCell ref="C56:F56"/>
    <mergeCell ref="A78:B78"/>
    <mergeCell ref="C80:F80"/>
    <mergeCell ref="D93:F93"/>
    <mergeCell ref="D57:F57"/>
    <mergeCell ref="A110:B110"/>
    <mergeCell ref="A82:B82"/>
    <mergeCell ref="D84:F84"/>
    <mergeCell ref="D94:F94"/>
    <mergeCell ref="A97:B97"/>
    <mergeCell ref="C100:F100"/>
    <mergeCell ref="A102:B102"/>
    <mergeCell ref="D88:F88"/>
    <mergeCell ref="A90:B90"/>
    <mergeCell ref="D92:F92"/>
    <mergeCell ref="A86:B86"/>
    <mergeCell ref="A106:B106"/>
    <mergeCell ref="C112:F112"/>
    <mergeCell ref="C116:F116"/>
    <mergeCell ref="C104:F104"/>
    <mergeCell ref="C71:F71"/>
    <mergeCell ref="C76:F76"/>
    <mergeCell ref="C108:F108"/>
  </mergeCells>
  <printOptions horizontalCentered="1"/>
  <pageMargins left="1" right="1" top="1" bottom="1" header="0.5" footer="0.5"/>
  <pageSetup scale="50"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76"/>
  <sheetViews>
    <sheetView zoomScaleNormal="100" workbookViewId="0">
      <selection activeCell="G32" sqref="G32"/>
    </sheetView>
  </sheetViews>
  <sheetFormatPr defaultColWidth="9.140625" defaultRowHeight="12.75" x14ac:dyDescent="0.2"/>
  <cols>
    <col min="1" max="1" width="11" style="4" customWidth="1"/>
    <col min="2" max="2" width="16" style="3" customWidth="1"/>
    <col min="3" max="3" width="40.140625" style="3" customWidth="1"/>
    <col min="4" max="4" width="11.85546875" style="3" customWidth="1"/>
    <col min="5" max="5" width="7.5703125" style="1" customWidth="1"/>
    <col min="6" max="6" width="15" style="2" customWidth="1"/>
    <col min="7" max="7" width="16.85546875" style="2" customWidth="1"/>
    <col min="8" max="8" width="8.7109375" style="1" customWidth="1"/>
    <col min="9" max="9" width="3" style="1" hidden="1" customWidth="1"/>
    <col min="10" max="16384" width="9.140625" style="1"/>
  </cols>
  <sheetData>
    <row r="1" spans="1:9" ht="12.75" customHeight="1" x14ac:dyDescent="0.2">
      <c r="A1" s="207" t="s">
        <v>0</v>
      </c>
      <c r="B1" s="208"/>
      <c r="C1" s="208"/>
      <c r="D1" s="208"/>
      <c r="E1" s="208"/>
      <c r="F1" s="208"/>
      <c r="G1" s="208"/>
      <c r="H1" s="209"/>
      <c r="I1" s="35"/>
    </row>
    <row r="2" spans="1:9" ht="12.75" customHeight="1" x14ac:dyDescent="0.2">
      <c r="A2" s="210" t="s">
        <v>1</v>
      </c>
      <c r="B2" s="211"/>
      <c r="C2" s="211"/>
      <c r="D2" s="211"/>
      <c r="E2" s="211"/>
      <c r="F2" s="211"/>
      <c r="G2" s="211"/>
      <c r="H2" s="212"/>
    </row>
    <row r="3" spans="1:9" ht="12.75" customHeight="1" x14ac:dyDescent="0.2">
      <c r="A3" s="210" t="s">
        <v>101</v>
      </c>
      <c r="B3" s="211"/>
      <c r="C3" s="211"/>
      <c r="D3" s="211"/>
      <c r="E3" s="211"/>
      <c r="F3" s="211"/>
      <c r="G3" s="211"/>
      <c r="H3" s="212"/>
    </row>
    <row r="4" spans="1:9" ht="12.75" customHeight="1" x14ac:dyDescent="0.2">
      <c r="A4" s="210" t="s">
        <v>102</v>
      </c>
      <c r="B4" s="211"/>
      <c r="C4" s="211"/>
      <c r="D4" s="211"/>
      <c r="E4" s="211"/>
      <c r="F4" s="211"/>
      <c r="G4" s="211"/>
      <c r="H4" s="212"/>
    </row>
    <row r="5" spans="1:9" ht="12.75" customHeight="1" x14ac:dyDescent="0.2">
      <c r="A5" s="210" t="s">
        <v>103</v>
      </c>
      <c r="B5" s="211"/>
      <c r="C5" s="211"/>
      <c r="D5" s="211"/>
      <c r="E5" s="211"/>
      <c r="F5" s="211"/>
      <c r="G5" s="211"/>
      <c r="H5" s="212"/>
    </row>
    <row r="6" spans="1:9" x14ac:dyDescent="0.2">
      <c r="A6" s="204" t="s">
        <v>104</v>
      </c>
      <c r="B6" s="205"/>
      <c r="C6" s="205"/>
      <c r="D6" s="205"/>
      <c r="E6" s="205"/>
      <c r="F6" s="205"/>
      <c r="G6" s="205"/>
      <c r="H6" s="206"/>
    </row>
    <row r="7" spans="1:9" ht="12.75" customHeight="1" x14ac:dyDescent="0.2">
      <c r="A7" s="204" t="s">
        <v>105</v>
      </c>
      <c r="B7" s="205"/>
      <c r="C7" s="205"/>
      <c r="D7" s="205"/>
      <c r="E7" s="205"/>
      <c r="F7" s="205"/>
      <c r="G7" s="205"/>
      <c r="H7" s="206"/>
    </row>
    <row r="8" spans="1:9" s="29" customFormat="1" ht="28.5" customHeight="1" x14ac:dyDescent="0.2">
      <c r="A8" s="34" t="s">
        <v>106</v>
      </c>
      <c r="B8" s="33" t="s">
        <v>107</v>
      </c>
      <c r="C8" s="33" t="s">
        <v>108</v>
      </c>
      <c r="D8" s="33" t="s">
        <v>109</v>
      </c>
      <c r="E8" s="33" t="s">
        <v>10</v>
      </c>
      <c r="F8" s="32" t="s">
        <v>11</v>
      </c>
      <c r="G8" s="31" t="s">
        <v>110</v>
      </c>
      <c r="H8" s="30" t="s">
        <v>111</v>
      </c>
    </row>
    <row r="9" spans="1:9" ht="77.25" customHeight="1" x14ac:dyDescent="0.2">
      <c r="A9" s="20" t="s">
        <v>112</v>
      </c>
      <c r="B9" s="19" t="s">
        <v>113</v>
      </c>
      <c r="C9" s="26" t="s">
        <v>114</v>
      </c>
      <c r="D9" s="17">
        <v>500</v>
      </c>
      <c r="E9" s="17" t="s">
        <v>115</v>
      </c>
      <c r="F9" s="16">
        <v>0</v>
      </c>
      <c r="G9" s="15">
        <f t="shared" ref="G9:G26" si="0">SUM(D9*F9)</f>
        <v>0</v>
      </c>
      <c r="H9" s="14">
        <v>9210</v>
      </c>
    </row>
    <row r="10" spans="1:9" ht="102" customHeight="1" x14ac:dyDescent="0.2">
      <c r="A10" s="20" t="s">
        <v>116</v>
      </c>
      <c r="B10" s="19" t="s">
        <v>117</v>
      </c>
      <c r="C10" s="18" t="s">
        <v>118</v>
      </c>
      <c r="D10" s="24">
        <v>250000</v>
      </c>
      <c r="E10" s="17" t="s">
        <v>119</v>
      </c>
      <c r="F10" s="16">
        <v>0</v>
      </c>
      <c r="G10" s="15">
        <f t="shared" si="0"/>
        <v>0</v>
      </c>
      <c r="H10" s="14">
        <v>9210</v>
      </c>
    </row>
    <row r="11" spans="1:9" ht="130.5" customHeight="1" x14ac:dyDescent="0.2">
      <c r="A11" s="20" t="s">
        <v>120</v>
      </c>
      <c r="B11" s="19" t="s">
        <v>121</v>
      </c>
      <c r="C11" s="25" t="s">
        <v>122</v>
      </c>
      <c r="D11" s="24">
        <v>10000</v>
      </c>
      <c r="E11" s="17" t="s">
        <v>119</v>
      </c>
      <c r="F11" s="16">
        <v>0</v>
      </c>
      <c r="G11" s="15">
        <f t="shared" si="0"/>
        <v>0</v>
      </c>
      <c r="H11" s="14">
        <v>9210</v>
      </c>
    </row>
    <row r="12" spans="1:9" ht="105.75" customHeight="1" x14ac:dyDescent="0.2">
      <c r="A12" s="20" t="s">
        <v>123</v>
      </c>
      <c r="B12" s="19" t="s">
        <v>124</v>
      </c>
      <c r="C12" s="19" t="s">
        <v>125</v>
      </c>
      <c r="D12" s="24">
        <v>250000</v>
      </c>
      <c r="E12" s="17" t="s">
        <v>119</v>
      </c>
      <c r="F12" s="16">
        <v>0</v>
      </c>
      <c r="G12" s="15">
        <f t="shared" si="0"/>
        <v>0</v>
      </c>
      <c r="H12" s="14">
        <v>9210</v>
      </c>
    </row>
    <row r="13" spans="1:9" ht="38.25" x14ac:dyDescent="0.2">
      <c r="A13" s="20" t="s">
        <v>126</v>
      </c>
      <c r="B13" s="19" t="s">
        <v>127</v>
      </c>
      <c r="C13" s="25" t="s">
        <v>128</v>
      </c>
      <c r="D13" s="24">
        <v>250000</v>
      </c>
      <c r="E13" s="17" t="s">
        <v>119</v>
      </c>
      <c r="F13" s="16">
        <v>0</v>
      </c>
      <c r="G13" s="15">
        <f t="shared" si="0"/>
        <v>0</v>
      </c>
      <c r="H13" s="14">
        <v>9210</v>
      </c>
    </row>
    <row r="14" spans="1:9" ht="127.5" x14ac:dyDescent="0.2">
      <c r="A14" s="20" t="s">
        <v>129</v>
      </c>
      <c r="B14" s="19" t="s">
        <v>130</v>
      </c>
      <c r="C14" s="25" t="s">
        <v>131</v>
      </c>
      <c r="D14" s="24">
        <v>250000</v>
      </c>
      <c r="E14" s="17" t="s">
        <v>119</v>
      </c>
      <c r="F14" s="16">
        <v>0</v>
      </c>
      <c r="G14" s="15">
        <f t="shared" si="0"/>
        <v>0</v>
      </c>
      <c r="H14" s="14">
        <v>9210</v>
      </c>
    </row>
    <row r="15" spans="1:9" ht="53.25" customHeight="1" x14ac:dyDescent="0.2">
      <c r="A15" s="20" t="s">
        <v>132</v>
      </c>
      <c r="B15" s="19" t="s">
        <v>133</v>
      </c>
      <c r="C15" s="28" t="s">
        <v>134</v>
      </c>
      <c r="D15" s="24">
        <v>1000</v>
      </c>
      <c r="E15" s="17" t="s">
        <v>115</v>
      </c>
      <c r="F15" s="16">
        <v>0</v>
      </c>
      <c r="G15" s="15">
        <f t="shared" si="0"/>
        <v>0</v>
      </c>
      <c r="H15" s="14">
        <v>9210</v>
      </c>
    </row>
    <row r="16" spans="1:9" ht="65.25" customHeight="1" x14ac:dyDescent="0.2">
      <c r="A16" s="20" t="s">
        <v>135</v>
      </c>
      <c r="B16" s="19" t="s">
        <v>136</v>
      </c>
      <c r="C16" s="25" t="s">
        <v>137</v>
      </c>
      <c r="D16" s="24">
        <v>100000</v>
      </c>
      <c r="E16" s="17" t="s">
        <v>119</v>
      </c>
      <c r="F16" s="16">
        <v>0</v>
      </c>
      <c r="G16" s="15">
        <f t="shared" si="0"/>
        <v>0</v>
      </c>
      <c r="H16" s="14">
        <v>9210</v>
      </c>
    </row>
    <row r="17" spans="1:11" ht="66.75" customHeight="1" x14ac:dyDescent="0.2">
      <c r="A17" s="20" t="s">
        <v>138</v>
      </c>
      <c r="B17" s="19" t="s">
        <v>139</v>
      </c>
      <c r="C17" s="28" t="s">
        <v>140</v>
      </c>
      <c r="D17" s="24">
        <v>1000</v>
      </c>
      <c r="E17" s="17" t="s">
        <v>119</v>
      </c>
      <c r="F17" s="16">
        <v>0</v>
      </c>
      <c r="G17" s="15">
        <f t="shared" si="0"/>
        <v>0</v>
      </c>
      <c r="H17" s="14">
        <v>9210</v>
      </c>
    </row>
    <row r="18" spans="1:11" ht="42" customHeight="1" x14ac:dyDescent="0.2">
      <c r="A18" s="20" t="s">
        <v>141</v>
      </c>
      <c r="B18" s="19" t="s">
        <v>142</v>
      </c>
      <c r="C18" s="25" t="s">
        <v>143</v>
      </c>
      <c r="D18" s="24">
        <v>1000</v>
      </c>
      <c r="E18" s="17" t="s">
        <v>115</v>
      </c>
      <c r="F18" s="16">
        <v>0</v>
      </c>
      <c r="G18" s="15">
        <f t="shared" si="0"/>
        <v>0</v>
      </c>
      <c r="H18" s="14">
        <v>9210</v>
      </c>
    </row>
    <row r="19" spans="1:11" ht="42" customHeight="1" x14ac:dyDescent="0.2">
      <c r="A19" s="20" t="s">
        <v>144</v>
      </c>
      <c r="B19" s="26" t="s">
        <v>145</v>
      </c>
      <c r="C19" s="27" t="s">
        <v>146</v>
      </c>
      <c r="D19" s="24">
        <v>500000</v>
      </c>
      <c r="E19" s="17" t="s">
        <v>119</v>
      </c>
      <c r="F19" s="16">
        <v>0</v>
      </c>
      <c r="G19" s="15">
        <f t="shared" si="0"/>
        <v>0</v>
      </c>
      <c r="H19" s="14">
        <v>9210</v>
      </c>
    </row>
    <row r="20" spans="1:11" ht="38.25" x14ac:dyDescent="0.2">
      <c r="A20" s="20" t="s">
        <v>147</v>
      </c>
      <c r="B20" s="26" t="s">
        <v>148</v>
      </c>
      <c r="C20" s="26" t="s">
        <v>149</v>
      </c>
      <c r="D20" s="24">
        <v>500000</v>
      </c>
      <c r="E20" s="17" t="s">
        <v>119</v>
      </c>
      <c r="F20" s="16">
        <v>0</v>
      </c>
      <c r="G20" s="15">
        <f t="shared" si="0"/>
        <v>0</v>
      </c>
      <c r="H20" s="14">
        <v>9210</v>
      </c>
    </row>
    <row r="21" spans="1:11" ht="63.75" x14ac:dyDescent="0.2">
      <c r="A21" s="20" t="s">
        <v>150</v>
      </c>
      <c r="B21" s="26" t="s">
        <v>151</v>
      </c>
      <c r="C21" s="26" t="s">
        <v>152</v>
      </c>
      <c r="D21" s="17">
        <v>250</v>
      </c>
      <c r="E21" s="17" t="s">
        <v>115</v>
      </c>
      <c r="F21" s="16">
        <v>0</v>
      </c>
      <c r="G21" s="15">
        <f t="shared" si="0"/>
        <v>0</v>
      </c>
      <c r="H21" s="14">
        <v>9210</v>
      </c>
    </row>
    <row r="22" spans="1:11" ht="51" x14ac:dyDescent="0.2">
      <c r="A22" s="20" t="s">
        <v>153</v>
      </c>
      <c r="B22" s="26" t="s">
        <v>154</v>
      </c>
      <c r="C22" s="26" t="s">
        <v>155</v>
      </c>
      <c r="D22" s="24">
        <v>250000</v>
      </c>
      <c r="E22" s="17" t="s">
        <v>119</v>
      </c>
      <c r="F22" s="16">
        <v>0</v>
      </c>
      <c r="G22" s="15">
        <f t="shared" si="0"/>
        <v>0</v>
      </c>
      <c r="H22" s="14">
        <v>9210</v>
      </c>
    </row>
    <row r="23" spans="1:11" ht="65.25" customHeight="1" x14ac:dyDescent="0.2">
      <c r="A23" s="20" t="s">
        <v>156</v>
      </c>
      <c r="B23" s="26" t="s">
        <v>157</v>
      </c>
      <c r="C23" s="26" t="s">
        <v>158</v>
      </c>
      <c r="D23" s="24">
        <v>250000</v>
      </c>
      <c r="E23" s="17" t="s">
        <v>119</v>
      </c>
      <c r="F23" s="16">
        <v>0</v>
      </c>
      <c r="G23" s="15">
        <f t="shared" si="0"/>
        <v>0</v>
      </c>
      <c r="H23" s="14">
        <v>9210</v>
      </c>
    </row>
    <row r="24" spans="1:11" ht="104.25" customHeight="1" x14ac:dyDescent="0.2">
      <c r="A24" s="20" t="s">
        <v>159</v>
      </c>
      <c r="B24" s="26" t="s">
        <v>160</v>
      </c>
      <c r="C24" s="25" t="s">
        <v>161</v>
      </c>
      <c r="D24" s="24">
        <v>250000</v>
      </c>
      <c r="E24" s="17" t="s">
        <v>119</v>
      </c>
      <c r="F24" s="16">
        <v>0</v>
      </c>
      <c r="G24" s="15">
        <f t="shared" si="0"/>
        <v>0</v>
      </c>
      <c r="H24" s="14">
        <v>9210</v>
      </c>
    </row>
    <row r="25" spans="1:11" ht="80.25" customHeight="1" x14ac:dyDescent="0.2">
      <c r="A25" s="20" t="s">
        <v>162</v>
      </c>
      <c r="B25" s="19" t="s">
        <v>163</v>
      </c>
      <c r="C25" s="19" t="s">
        <v>164</v>
      </c>
      <c r="D25" s="24">
        <v>250000</v>
      </c>
      <c r="E25" s="17" t="s">
        <v>119</v>
      </c>
      <c r="F25" s="16">
        <v>0</v>
      </c>
      <c r="G25" s="15">
        <f t="shared" si="0"/>
        <v>0</v>
      </c>
      <c r="H25" s="14">
        <v>9210</v>
      </c>
    </row>
    <row r="26" spans="1:11" ht="104.25" customHeight="1" x14ac:dyDescent="0.2">
      <c r="A26" s="20" t="s">
        <v>165</v>
      </c>
      <c r="B26" s="19" t="s">
        <v>166</v>
      </c>
      <c r="C26" s="26" t="s">
        <v>167</v>
      </c>
      <c r="D26" s="24">
        <v>100000</v>
      </c>
      <c r="E26" s="17" t="s">
        <v>119</v>
      </c>
      <c r="F26" s="16">
        <v>0</v>
      </c>
      <c r="G26" s="15">
        <f t="shared" si="0"/>
        <v>0</v>
      </c>
      <c r="H26" s="14">
        <v>9210</v>
      </c>
    </row>
    <row r="27" spans="1:11" ht="106.5" customHeight="1" x14ac:dyDescent="0.2">
      <c r="A27" s="20" t="s">
        <v>168</v>
      </c>
      <c r="B27" s="19" t="s">
        <v>169</v>
      </c>
      <c r="C27" s="25" t="s">
        <v>170</v>
      </c>
      <c r="D27" s="24">
        <v>250000</v>
      </c>
      <c r="E27" s="17" t="s">
        <v>119</v>
      </c>
      <c r="F27" s="16">
        <v>0</v>
      </c>
      <c r="G27" s="15">
        <v>0</v>
      </c>
      <c r="H27" s="14">
        <v>9210</v>
      </c>
    </row>
    <row r="28" spans="1:11" ht="51" x14ac:dyDescent="0.2">
      <c r="A28" s="20" t="s">
        <v>171</v>
      </c>
      <c r="B28" s="19" t="s">
        <v>172</v>
      </c>
      <c r="C28" s="25" t="s">
        <v>173</v>
      </c>
      <c r="D28" s="24">
        <v>50000</v>
      </c>
      <c r="E28" s="17" t="s">
        <v>119</v>
      </c>
      <c r="F28" s="16">
        <v>0</v>
      </c>
      <c r="G28" s="15">
        <f>SUM(D28*F28)</f>
        <v>0</v>
      </c>
      <c r="H28" s="14">
        <v>9210</v>
      </c>
    </row>
    <row r="29" spans="1:11" ht="102" x14ac:dyDescent="0.2">
      <c r="A29" s="20" t="s">
        <v>174</v>
      </c>
      <c r="B29" s="19" t="s">
        <v>175</v>
      </c>
      <c r="C29" s="18" t="s">
        <v>176</v>
      </c>
      <c r="D29" s="17">
        <v>250</v>
      </c>
      <c r="E29" s="17" t="s">
        <v>115</v>
      </c>
      <c r="F29" s="16">
        <v>0</v>
      </c>
      <c r="G29" s="15">
        <f>SUM(D29*F29)</f>
        <v>0</v>
      </c>
      <c r="H29" s="14">
        <v>9210</v>
      </c>
    </row>
    <row r="30" spans="1:11" ht="127.5" x14ac:dyDescent="0.2">
      <c r="A30" s="20" t="s">
        <v>177</v>
      </c>
      <c r="B30" s="19" t="s">
        <v>178</v>
      </c>
      <c r="C30" s="23" t="s">
        <v>179</v>
      </c>
      <c r="D30" s="22">
        <v>1000</v>
      </c>
      <c r="E30" s="21" t="s">
        <v>115</v>
      </c>
      <c r="F30" s="16">
        <v>0</v>
      </c>
      <c r="G30" s="15">
        <f>SUM(D30*F30)</f>
        <v>0</v>
      </c>
      <c r="H30" s="14">
        <v>9210</v>
      </c>
      <c r="I30" s="13"/>
      <c r="J30" s="13"/>
      <c r="K30" s="13"/>
    </row>
    <row r="31" spans="1:11" ht="25.5" x14ac:dyDescent="0.2">
      <c r="A31" s="20" t="s">
        <v>180</v>
      </c>
      <c r="B31" s="19"/>
      <c r="C31" s="18" t="s">
        <v>181</v>
      </c>
      <c r="D31" s="17"/>
      <c r="E31" s="17" t="s">
        <v>182</v>
      </c>
      <c r="F31" s="16">
        <v>0</v>
      </c>
      <c r="G31" s="15">
        <v>1000000</v>
      </c>
      <c r="H31" s="14">
        <v>9210</v>
      </c>
      <c r="I31" s="13"/>
      <c r="J31" s="13"/>
      <c r="K31" s="13"/>
    </row>
    <row r="32" spans="1:11" ht="14.25" thickBot="1" x14ac:dyDescent="0.25">
      <c r="A32" s="12"/>
      <c r="B32" s="11"/>
      <c r="C32" s="10" t="s">
        <v>183</v>
      </c>
      <c r="D32" s="9"/>
      <c r="E32" s="9"/>
      <c r="F32" s="8"/>
      <c r="G32" s="7">
        <f>SUM(G9:G31)</f>
        <v>1000000</v>
      </c>
      <c r="H32" s="6"/>
    </row>
    <row r="33" spans="5:7" x14ac:dyDescent="0.2">
      <c r="F33" s="5"/>
      <c r="G33" s="5"/>
    </row>
    <row r="34" spans="5:7" x14ac:dyDescent="0.2">
      <c r="F34" s="5"/>
      <c r="G34" s="5"/>
    </row>
    <row r="35" spans="5:7" x14ac:dyDescent="0.2">
      <c r="F35" s="5"/>
      <c r="G35" s="5"/>
    </row>
    <row r="36" spans="5:7" x14ac:dyDescent="0.2">
      <c r="E36" s="3"/>
      <c r="F36" s="5"/>
      <c r="G36" s="5"/>
    </row>
    <row r="37" spans="5:7" x14ac:dyDescent="0.2">
      <c r="F37" s="5"/>
      <c r="G37" s="5"/>
    </row>
    <row r="38" spans="5:7" x14ac:dyDescent="0.2">
      <c r="F38" s="5"/>
      <c r="G38" s="5"/>
    </row>
    <row r="39" spans="5:7" x14ac:dyDescent="0.2">
      <c r="F39" s="5"/>
      <c r="G39" s="5"/>
    </row>
    <row r="40" spans="5:7" x14ac:dyDescent="0.2">
      <c r="F40" s="5"/>
      <c r="G40" s="5"/>
    </row>
    <row r="41" spans="5:7" x14ac:dyDescent="0.2">
      <c r="F41" s="5"/>
      <c r="G41" s="5"/>
    </row>
    <row r="42" spans="5:7" x14ac:dyDescent="0.2">
      <c r="F42" s="5"/>
      <c r="G42" s="5"/>
    </row>
    <row r="43" spans="5:7" x14ac:dyDescent="0.2">
      <c r="F43" s="5"/>
      <c r="G43" s="5"/>
    </row>
    <row r="44" spans="5:7" x14ac:dyDescent="0.2">
      <c r="F44" s="5"/>
      <c r="G44" s="5"/>
    </row>
    <row r="45" spans="5:7" x14ac:dyDescent="0.2">
      <c r="F45" s="5"/>
      <c r="G45" s="5"/>
    </row>
    <row r="46" spans="5:7" x14ac:dyDescent="0.2">
      <c r="F46" s="5"/>
      <c r="G46" s="5"/>
    </row>
    <row r="47" spans="5:7" x14ac:dyDescent="0.2">
      <c r="F47" s="5"/>
      <c r="G47" s="5"/>
    </row>
    <row r="48" spans="5:7" x14ac:dyDescent="0.2">
      <c r="F48" s="5"/>
      <c r="G48" s="5"/>
    </row>
    <row r="49" spans="6:7" x14ac:dyDescent="0.2">
      <c r="F49" s="5"/>
      <c r="G49" s="5"/>
    </row>
    <row r="50" spans="6:7" x14ac:dyDescent="0.2">
      <c r="F50" s="5"/>
      <c r="G50" s="5"/>
    </row>
    <row r="51" spans="6:7" x14ac:dyDescent="0.2">
      <c r="F51" s="5"/>
      <c r="G51" s="5"/>
    </row>
    <row r="52" spans="6:7" x14ac:dyDescent="0.2">
      <c r="F52" s="5"/>
      <c r="G52" s="5"/>
    </row>
    <row r="53" spans="6:7" x14ac:dyDescent="0.2">
      <c r="F53" s="5"/>
      <c r="G53" s="5"/>
    </row>
    <row r="54" spans="6:7" x14ac:dyDescent="0.2">
      <c r="F54" s="5"/>
      <c r="G54" s="5"/>
    </row>
    <row r="55" spans="6:7" x14ac:dyDescent="0.2">
      <c r="F55" s="5"/>
      <c r="G55" s="5"/>
    </row>
    <row r="56" spans="6:7" x14ac:dyDescent="0.2">
      <c r="F56" s="5"/>
      <c r="G56" s="5"/>
    </row>
    <row r="57" spans="6:7" x14ac:dyDescent="0.2">
      <c r="F57" s="5"/>
      <c r="G57" s="5"/>
    </row>
    <row r="58" spans="6:7" x14ac:dyDescent="0.2">
      <c r="F58" s="5"/>
      <c r="G58" s="5"/>
    </row>
    <row r="59" spans="6:7" x14ac:dyDescent="0.2">
      <c r="F59" s="5"/>
      <c r="G59" s="5"/>
    </row>
    <row r="60" spans="6:7" x14ac:dyDescent="0.2">
      <c r="F60" s="5"/>
      <c r="G60" s="5"/>
    </row>
    <row r="61" spans="6:7" x14ac:dyDescent="0.2">
      <c r="F61" s="5"/>
      <c r="G61" s="5"/>
    </row>
    <row r="62" spans="6:7" x14ac:dyDescent="0.2">
      <c r="F62" s="5"/>
      <c r="G62" s="5"/>
    </row>
    <row r="63" spans="6:7" x14ac:dyDescent="0.2">
      <c r="F63" s="5"/>
      <c r="G63" s="5"/>
    </row>
    <row r="64" spans="6:7" x14ac:dyDescent="0.2">
      <c r="F64" s="5"/>
      <c r="G64" s="5"/>
    </row>
    <row r="65" spans="6:7" x14ac:dyDescent="0.2">
      <c r="F65" s="5"/>
      <c r="G65" s="5"/>
    </row>
    <row r="66" spans="6:7" x14ac:dyDescent="0.2">
      <c r="F66" s="5"/>
      <c r="G66" s="5"/>
    </row>
    <row r="67" spans="6:7" x14ac:dyDescent="0.2">
      <c r="F67" s="5"/>
      <c r="G67" s="5"/>
    </row>
    <row r="68" spans="6:7" x14ac:dyDescent="0.2">
      <c r="F68" s="5"/>
      <c r="G68" s="5"/>
    </row>
    <row r="69" spans="6:7" x14ac:dyDescent="0.2">
      <c r="F69" s="5"/>
      <c r="G69" s="5"/>
    </row>
    <row r="70" spans="6:7" x14ac:dyDescent="0.2">
      <c r="F70" s="5"/>
      <c r="G70" s="5"/>
    </row>
    <row r="71" spans="6:7" x14ac:dyDescent="0.2">
      <c r="F71" s="5"/>
      <c r="G71" s="5"/>
    </row>
    <row r="72" spans="6:7" x14ac:dyDescent="0.2">
      <c r="F72" s="5"/>
      <c r="G72" s="5"/>
    </row>
    <row r="73" spans="6:7" x14ac:dyDescent="0.2">
      <c r="F73" s="5"/>
      <c r="G73" s="5"/>
    </row>
    <row r="74" spans="6:7" x14ac:dyDescent="0.2">
      <c r="F74" s="5"/>
      <c r="G74" s="5"/>
    </row>
    <row r="75" spans="6:7" x14ac:dyDescent="0.2">
      <c r="F75" s="5"/>
      <c r="G75" s="5"/>
    </row>
    <row r="76" spans="6:7" x14ac:dyDescent="0.2">
      <c r="F76" s="5"/>
      <c r="G76" s="5"/>
    </row>
    <row r="77" spans="6:7" x14ac:dyDescent="0.2">
      <c r="F77" s="5"/>
      <c r="G77" s="5"/>
    </row>
    <row r="78" spans="6:7" x14ac:dyDescent="0.2">
      <c r="F78" s="5"/>
      <c r="G78" s="5"/>
    </row>
    <row r="79" spans="6:7" x14ac:dyDescent="0.2">
      <c r="F79" s="5"/>
      <c r="G79" s="5"/>
    </row>
    <row r="80" spans="6:7" x14ac:dyDescent="0.2">
      <c r="F80" s="5"/>
      <c r="G80" s="5"/>
    </row>
    <row r="81" spans="6:7" x14ac:dyDescent="0.2">
      <c r="F81" s="5"/>
      <c r="G81" s="5"/>
    </row>
    <row r="82" spans="6:7" x14ac:dyDescent="0.2">
      <c r="F82" s="5"/>
      <c r="G82" s="5"/>
    </row>
    <row r="83" spans="6:7" x14ac:dyDescent="0.2">
      <c r="F83" s="5"/>
      <c r="G83" s="5"/>
    </row>
    <row r="84" spans="6:7" x14ac:dyDescent="0.2">
      <c r="F84" s="5"/>
      <c r="G84" s="5"/>
    </row>
    <row r="85" spans="6:7" x14ac:dyDescent="0.2">
      <c r="F85" s="5"/>
      <c r="G85" s="5"/>
    </row>
    <row r="86" spans="6:7" x14ac:dyDescent="0.2">
      <c r="F86" s="5"/>
      <c r="G86" s="5"/>
    </row>
    <row r="87" spans="6:7" x14ac:dyDescent="0.2">
      <c r="F87" s="5"/>
      <c r="G87" s="5"/>
    </row>
    <row r="88" spans="6:7" x14ac:dyDescent="0.2">
      <c r="F88" s="5"/>
      <c r="G88" s="5"/>
    </row>
    <row r="89" spans="6:7" x14ac:dyDescent="0.2">
      <c r="F89" s="5"/>
      <c r="G89" s="5"/>
    </row>
    <row r="90" spans="6:7" x14ac:dyDescent="0.2">
      <c r="F90" s="5"/>
      <c r="G90" s="5"/>
    </row>
    <row r="91" spans="6:7" x14ac:dyDescent="0.2">
      <c r="F91" s="5"/>
      <c r="G91" s="5"/>
    </row>
    <row r="92" spans="6:7" x14ac:dyDescent="0.2">
      <c r="F92" s="5"/>
      <c r="G92" s="5"/>
    </row>
    <row r="93" spans="6:7" x14ac:dyDescent="0.2">
      <c r="F93" s="5"/>
      <c r="G93" s="5"/>
    </row>
    <row r="94" spans="6:7" x14ac:dyDescent="0.2">
      <c r="F94" s="5"/>
      <c r="G94" s="5"/>
    </row>
    <row r="95" spans="6:7" x14ac:dyDescent="0.2">
      <c r="F95" s="5"/>
      <c r="G95" s="5"/>
    </row>
    <row r="96" spans="6:7" x14ac:dyDescent="0.2">
      <c r="F96" s="5"/>
      <c r="G96" s="5"/>
    </row>
    <row r="97" spans="6:7" x14ac:dyDescent="0.2">
      <c r="F97" s="5"/>
      <c r="G97" s="5"/>
    </row>
    <row r="98" spans="6:7" x14ac:dyDescent="0.2">
      <c r="F98" s="5"/>
      <c r="G98" s="5"/>
    </row>
    <row r="99" spans="6:7" x14ac:dyDescent="0.2">
      <c r="F99" s="5"/>
      <c r="G99" s="5"/>
    </row>
    <row r="100" spans="6:7" x14ac:dyDescent="0.2">
      <c r="F100" s="5"/>
      <c r="G100" s="5"/>
    </row>
    <row r="101" spans="6:7" x14ac:dyDescent="0.2">
      <c r="F101" s="5"/>
      <c r="G101" s="5"/>
    </row>
    <row r="102" spans="6:7" x14ac:dyDescent="0.2">
      <c r="F102" s="5"/>
      <c r="G102" s="5"/>
    </row>
    <row r="103" spans="6:7" x14ac:dyDescent="0.2">
      <c r="F103" s="5"/>
      <c r="G103" s="5"/>
    </row>
    <row r="104" spans="6:7" x14ac:dyDescent="0.2">
      <c r="F104" s="5"/>
      <c r="G104" s="5"/>
    </row>
    <row r="105" spans="6:7" x14ac:dyDescent="0.2">
      <c r="F105" s="5"/>
      <c r="G105" s="5"/>
    </row>
    <row r="106" spans="6:7" x14ac:dyDescent="0.2">
      <c r="F106" s="5"/>
      <c r="G106" s="5"/>
    </row>
    <row r="107" spans="6:7" x14ac:dyDescent="0.2">
      <c r="F107" s="5"/>
      <c r="G107" s="5"/>
    </row>
    <row r="108" spans="6:7" x14ac:dyDescent="0.2">
      <c r="F108" s="5"/>
      <c r="G108" s="5"/>
    </row>
    <row r="109" spans="6:7" x14ac:dyDescent="0.2">
      <c r="F109" s="5"/>
      <c r="G109" s="5"/>
    </row>
    <row r="110" spans="6:7" x14ac:dyDescent="0.2">
      <c r="F110" s="5"/>
      <c r="G110" s="5"/>
    </row>
    <row r="111" spans="6:7" x14ac:dyDescent="0.2">
      <c r="F111" s="5"/>
      <c r="G111" s="5"/>
    </row>
    <row r="112" spans="6:7" x14ac:dyDescent="0.2">
      <c r="F112" s="5"/>
      <c r="G112" s="5"/>
    </row>
    <row r="113" spans="6:7" x14ac:dyDescent="0.2">
      <c r="F113" s="5"/>
      <c r="G113" s="5"/>
    </row>
    <row r="114" spans="6:7" x14ac:dyDescent="0.2">
      <c r="F114" s="5"/>
      <c r="G114" s="5"/>
    </row>
    <row r="115" spans="6:7" x14ac:dyDescent="0.2">
      <c r="F115" s="5"/>
      <c r="G115" s="5"/>
    </row>
    <row r="116" spans="6:7" x14ac:dyDescent="0.2">
      <c r="F116" s="5"/>
      <c r="G116" s="5"/>
    </row>
    <row r="117" spans="6:7" x14ac:dyDescent="0.2">
      <c r="F117" s="5"/>
      <c r="G117" s="5"/>
    </row>
    <row r="118" spans="6:7" x14ac:dyDescent="0.2">
      <c r="F118" s="5"/>
      <c r="G118" s="5"/>
    </row>
    <row r="119" spans="6:7" x14ac:dyDescent="0.2">
      <c r="F119" s="5"/>
      <c r="G119" s="5"/>
    </row>
    <row r="120" spans="6:7" x14ac:dyDescent="0.2">
      <c r="F120" s="5"/>
      <c r="G120" s="5"/>
    </row>
    <row r="121" spans="6:7" x14ac:dyDescent="0.2">
      <c r="F121" s="5"/>
      <c r="G121" s="5"/>
    </row>
    <row r="122" spans="6:7" x14ac:dyDescent="0.2">
      <c r="F122" s="5"/>
      <c r="G122" s="5"/>
    </row>
    <row r="123" spans="6:7" x14ac:dyDescent="0.2">
      <c r="F123" s="5"/>
      <c r="G123" s="5"/>
    </row>
    <row r="124" spans="6:7" x14ac:dyDescent="0.2">
      <c r="F124" s="5"/>
      <c r="G124" s="5"/>
    </row>
    <row r="125" spans="6:7" x14ac:dyDescent="0.2">
      <c r="F125" s="5"/>
      <c r="G125" s="5"/>
    </row>
    <row r="126" spans="6:7" x14ac:dyDescent="0.2">
      <c r="F126" s="5"/>
      <c r="G126" s="5"/>
    </row>
    <row r="127" spans="6:7" x14ac:dyDescent="0.2">
      <c r="F127" s="5"/>
      <c r="G127" s="5"/>
    </row>
    <row r="128" spans="6:7" x14ac:dyDescent="0.2">
      <c r="F128" s="5"/>
      <c r="G128" s="5"/>
    </row>
    <row r="129" spans="6:7" x14ac:dyDescent="0.2">
      <c r="F129" s="5"/>
      <c r="G129" s="5"/>
    </row>
    <row r="130" spans="6:7" x14ac:dyDescent="0.2">
      <c r="F130" s="5"/>
      <c r="G130" s="5"/>
    </row>
    <row r="131" spans="6:7" x14ac:dyDescent="0.2">
      <c r="F131" s="5"/>
      <c r="G131" s="5"/>
    </row>
    <row r="132" spans="6:7" x14ac:dyDescent="0.2">
      <c r="F132" s="5"/>
      <c r="G132" s="5"/>
    </row>
    <row r="133" spans="6:7" x14ac:dyDescent="0.2">
      <c r="F133" s="5"/>
      <c r="G133" s="5"/>
    </row>
    <row r="134" spans="6:7" x14ac:dyDescent="0.2">
      <c r="F134" s="5"/>
      <c r="G134" s="5"/>
    </row>
    <row r="135" spans="6:7" x14ac:dyDescent="0.2">
      <c r="F135" s="5"/>
      <c r="G135" s="5"/>
    </row>
    <row r="136" spans="6:7" x14ac:dyDescent="0.2">
      <c r="F136" s="5"/>
      <c r="G136" s="5"/>
    </row>
    <row r="137" spans="6:7" x14ac:dyDescent="0.2">
      <c r="F137" s="5"/>
      <c r="G137" s="5"/>
    </row>
    <row r="138" spans="6:7" x14ac:dyDescent="0.2">
      <c r="F138" s="5"/>
      <c r="G138" s="5"/>
    </row>
    <row r="139" spans="6:7" x14ac:dyDescent="0.2">
      <c r="F139" s="5"/>
      <c r="G139" s="5"/>
    </row>
    <row r="140" spans="6:7" x14ac:dyDescent="0.2">
      <c r="F140" s="5"/>
      <c r="G140" s="5"/>
    </row>
    <row r="141" spans="6:7" x14ac:dyDescent="0.2">
      <c r="F141" s="5"/>
      <c r="G141" s="5"/>
    </row>
    <row r="142" spans="6:7" x14ac:dyDescent="0.2">
      <c r="F142" s="5"/>
      <c r="G142" s="5"/>
    </row>
    <row r="143" spans="6:7" x14ac:dyDescent="0.2">
      <c r="F143" s="5"/>
      <c r="G143" s="5"/>
    </row>
    <row r="144" spans="6:7" x14ac:dyDescent="0.2">
      <c r="F144" s="5"/>
      <c r="G144" s="5"/>
    </row>
    <row r="145" spans="6:7" x14ac:dyDescent="0.2">
      <c r="F145" s="5"/>
      <c r="G145" s="5"/>
    </row>
    <row r="146" spans="6:7" x14ac:dyDescent="0.2">
      <c r="F146" s="5"/>
      <c r="G146" s="5"/>
    </row>
    <row r="147" spans="6:7" x14ac:dyDescent="0.2">
      <c r="F147" s="5"/>
      <c r="G147" s="5"/>
    </row>
    <row r="148" spans="6:7" x14ac:dyDescent="0.2">
      <c r="F148" s="5"/>
      <c r="G148" s="5"/>
    </row>
    <row r="149" spans="6:7" x14ac:dyDescent="0.2">
      <c r="F149" s="5"/>
      <c r="G149" s="5"/>
    </row>
    <row r="150" spans="6:7" x14ac:dyDescent="0.2">
      <c r="F150" s="5"/>
      <c r="G150" s="5"/>
    </row>
    <row r="151" spans="6:7" x14ac:dyDescent="0.2">
      <c r="F151" s="5"/>
      <c r="G151" s="5"/>
    </row>
    <row r="152" spans="6:7" x14ac:dyDescent="0.2">
      <c r="F152" s="5"/>
      <c r="G152" s="5"/>
    </row>
    <row r="153" spans="6:7" x14ac:dyDescent="0.2">
      <c r="F153" s="5"/>
      <c r="G153" s="5"/>
    </row>
    <row r="154" spans="6:7" x14ac:dyDescent="0.2">
      <c r="F154" s="5"/>
      <c r="G154" s="5"/>
    </row>
    <row r="155" spans="6:7" x14ac:dyDescent="0.2">
      <c r="F155" s="5"/>
      <c r="G155" s="5"/>
    </row>
    <row r="156" spans="6:7" x14ac:dyDescent="0.2">
      <c r="F156" s="5"/>
      <c r="G156" s="5"/>
    </row>
    <row r="157" spans="6:7" x14ac:dyDescent="0.2">
      <c r="F157" s="5"/>
      <c r="G157" s="5"/>
    </row>
    <row r="158" spans="6:7" x14ac:dyDescent="0.2">
      <c r="F158" s="5"/>
      <c r="G158" s="5"/>
    </row>
    <row r="159" spans="6:7" x14ac:dyDescent="0.2">
      <c r="F159" s="5"/>
      <c r="G159" s="5"/>
    </row>
    <row r="160" spans="6:7" x14ac:dyDescent="0.2">
      <c r="F160" s="5"/>
      <c r="G160" s="5"/>
    </row>
    <row r="161" spans="6:7" x14ac:dyDescent="0.2">
      <c r="F161" s="5"/>
      <c r="G161" s="5"/>
    </row>
    <row r="162" spans="6:7" x14ac:dyDescent="0.2">
      <c r="F162" s="5"/>
      <c r="G162" s="5"/>
    </row>
    <row r="163" spans="6:7" x14ac:dyDescent="0.2">
      <c r="F163" s="5"/>
      <c r="G163" s="5"/>
    </row>
    <row r="164" spans="6:7" x14ac:dyDescent="0.2">
      <c r="F164" s="5"/>
      <c r="G164" s="5"/>
    </row>
    <row r="165" spans="6:7" x14ac:dyDescent="0.2">
      <c r="F165" s="5"/>
      <c r="G165" s="5"/>
    </row>
    <row r="166" spans="6:7" x14ac:dyDescent="0.2">
      <c r="F166" s="5"/>
      <c r="G166" s="5"/>
    </row>
    <row r="167" spans="6:7" x14ac:dyDescent="0.2">
      <c r="F167" s="5"/>
      <c r="G167" s="5"/>
    </row>
    <row r="168" spans="6:7" x14ac:dyDescent="0.2">
      <c r="F168" s="5"/>
      <c r="G168" s="5"/>
    </row>
    <row r="169" spans="6:7" x14ac:dyDescent="0.2">
      <c r="F169" s="5"/>
      <c r="G169" s="5"/>
    </row>
    <row r="170" spans="6:7" x14ac:dyDescent="0.2">
      <c r="F170" s="5"/>
      <c r="G170" s="5"/>
    </row>
    <row r="171" spans="6:7" x14ac:dyDescent="0.2">
      <c r="F171" s="5"/>
      <c r="G171" s="5"/>
    </row>
    <row r="172" spans="6:7" x14ac:dyDescent="0.2">
      <c r="F172" s="5"/>
      <c r="G172" s="5"/>
    </row>
    <row r="173" spans="6:7" x14ac:dyDescent="0.2">
      <c r="F173" s="5"/>
      <c r="G173" s="5"/>
    </row>
    <row r="174" spans="6:7" x14ac:dyDescent="0.2">
      <c r="F174" s="5"/>
      <c r="G174" s="5"/>
    </row>
    <row r="175" spans="6:7" x14ac:dyDescent="0.2">
      <c r="F175" s="5"/>
      <c r="G175" s="5"/>
    </row>
    <row r="176" spans="6:7" x14ac:dyDescent="0.2">
      <c r="F176" s="5"/>
      <c r="G176" s="5"/>
    </row>
  </sheetData>
  <mergeCells count="7">
    <mergeCell ref="A7:H7"/>
    <mergeCell ref="A1:H1"/>
    <mergeCell ref="A2:H2"/>
    <mergeCell ref="A3:H3"/>
    <mergeCell ref="A4:H4"/>
    <mergeCell ref="A5:H5"/>
    <mergeCell ref="A6:H6"/>
  </mergeCells>
  <pageMargins left="0.5" right="0.27" top="0.55000000000000004" bottom="0.53" header="0.3" footer="0.31"/>
  <pageSetup scale="96"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404BB-83F7-47A2-B67D-99AC5115118D}">
  <sheetPr>
    <tabColor rgb="FF00B050"/>
    <pageSetUpPr fitToPage="1"/>
  </sheetPr>
  <dimension ref="A1:K116"/>
  <sheetViews>
    <sheetView zoomScaleNormal="100" workbookViewId="0">
      <selection activeCell="D92" sqref="D92:F92"/>
    </sheetView>
  </sheetViews>
  <sheetFormatPr defaultColWidth="9.140625" defaultRowHeight="12.75" x14ac:dyDescent="0.2"/>
  <cols>
    <col min="1" max="1" width="5.85546875" style="36" customWidth="1"/>
    <col min="2" max="2" width="4.28515625" style="36" customWidth="1"/>
    <col min="3" max="3" width="81.5703125" style="36" customWidth="1"/>
    <col min="4" max="4" width="9.85546875" style="36" customWidth="1"/>
    <col min="5" max="5" width="9.42578125" style="36" customWidth="1"/>
    <col min="6" max="6" width="13.7109375" style="37" customWidth="1"/>
    <col min="7" max="7" width="15.140625" style="37" customWidth="1"/>
    <col min="8" max="8" width="8.7109375" style="36" customWidth="1"/>
    <col min="9" max="16384" width="9.140625" style="36"/>
  </cols>
  <sheetData>
    <row r="1" spans="1:11" ht="12.75" customHeight="1" x14ac:dyDescent="0.2">
      <c r="A1" s="201" t="s">
        <v>0</v>
      </c>
      <c r="B1" s="202"/>
      <c r="C1" s="202"/>
      <c r="D1" s="202"/>
      <c r="E1" s="202"/>
      <c r="F1" s="202"/>
      <c r="G1" s="202"/>
      <c r="H1" s="203"/>
      <c r="I1" s="196"/>
      <c r="J1" s="196"/>
      <c r="K1" s="196"/>
    </row>
    <row r="2" spans="1:11" ht="12.75" customHeight="1" x14ac:dyDescent="0.2">
      <c r="A2" s="195" t="s">
        <v>1</v>
      </c>
      <c r="B2" s="196"/>
      <c r="C2" s="196"/>
      <c r="D2" s="196"/>
      <c r="E2" s="196"/>
      <c r="F2" s="196"/>
      <c r="G2" s="196"/>
      <c r="H2" s="197"/>
      <c r="I2" s="196"/>
      <c r="J2" s="196"/>
      <c r="K2" s="196"/>
    </row>
    <row r="3" spans="1:11" ht="12.75" customHeight="1" x14ac:dyDescent="0.2">
      <c r="A3" s="195" t="s">
        <v>2</v>
      </c>
      <c r="B3" s="196"/>
      <c r="C3" s="196"/>
      <c r="D3" s="196"/>
      <c r="E3" s="196"/>
      <c r="F3" s="196"/>
      <c r="G3" s="196"/>
      <c r="H3" s="197"/>
      <c r="I3" s="196"/>
      <c r="J3" s="196"/>
      <c r="K3" s="196"/>
    </row>
    <row r="4" spans="1:11" ht="14.25" customHeight="1" x14ac:dyDescent="0.2">
      <c r="A4" s="195" t="s">
        <v>184</v>
      </c>
      <c r="B4" s="196"/>
      <c r="C4" s="196"/>
      <c r="D4" s="196"/>
      <c r="E4" s="196"/>
      <c r="F4" s="196"/>
      <c r="G4" s="196"/>
      <c r="H4" s="197"/>
      <c r="I4" s="196"/>
      <c r="J4" s="196"/>
      <c r="K4" s="196"/>
    </row>
    <row r="5" spans="1:11" ht="14.25" customHeight="1" x14ac:dyDescent="0.2">
      <c r="A5" s="195" t="s">
        <v>185</v>
      </c>
      <c r="B5" s="196"/>
      <c r="C5" s="196"/>
      <c r="D5" s="196"/>
      <c r="E5" s="196"/>
      <c r="F5" s="196"/>
      <c r="G5" s="196"/>
      <c r="H5" s="197"/>
      <c r="I5" s="162"/>
      <c r="J5" s="161"/>
      <c r="K5" s="161"/>
    </row>
    <row r="6" spans="1:11" ht="15" customHeight="1" x14ac:dyDescent="0.2">
      <c r="A6" s="198" t="s">
        <v>5</v>
      </c>
      <c r="B6" s="199"/>
      <c r="C6" s="199"/>
      <c r="D6" s="199"/>
      <c r="E6" s="199"/>
      <c r="F6" s="199"/>
      <c r="G6" s="199"/>
      <c r="H6" s="200"/>
      <c r="I6" s="160"/>
      <c r="J6" s="159"/>
      <c r="K6" s="159"/>
    </row>
    <row r="7" spans="1:11" ht="15" customHeight="1" thickBot="1" x14ac:dyDescent="0.25">
      <c r="A7" s="198" t="s">
        <v>6</v>
      </c>
      <c r="B7" s="199"/>
      <c r="C7" s="199"/>
      <c r="D7" s="199"/>
      <c r="E7" s="199"/>
      <c r="F7" s="199"/>
      <c r="G7" s="199"/>
      <c r="H7" s="200"/>
      <c r="I7" s="160"/>
      <c r="J7" s="159"/>
      <c r="K7" s="159"/>
    </row>
    <row r="8" spans="1:11" ht="26.25" thickBot="1" x14ac:dyDescent="0.25">
      <c r="A8" s="189" t="s">
        <v>7</v>
      </c>
      <c r="B8" s="190"/>
      <c r="C8" s="157" t="s">
        <v>8</v>
      </c>
      <c r="D8" s="158" t="s">
        <v>9</v>
      </c>
      <c r="E8" s="157" t="s">
        <v>10</v>
      </c>
      <c r="F8" s="156" t="s">
        <v>11</v>
      </c>
      <c r="G8" s="156" t="s">
        <v>12</v>
      </c>
      <c r="H8" s="155" t="s">
        <v>13</v>
      </c>
    </row>
    <row r="9" spans="1:11" x14ac:dyDescent="0.2">
      <c r="A9" s="154"/>
      <c r="B9" s="153"/>
      <c r="C9" s="151"/>
      <c r="D9" s="152"/>
      <c r="E9" s="151"/>
      <c r="F9" s="150"/>
      <c r="G9" s="149"/>
      <c r="H9" s="148"/>
    </row>
    <row r="10" spans="1:11" x14ac:dyDescent="0.2">
      <c r="A10" s="147"/>
      <c r="B10" s="146"/>
      <c r="C10" s="145" t="s">
        <v>14</v>
      </c>
      <c r="D10" s="144"/>
      <c r="E10" s="143"/>
      <c r="F10" s="142"/>
      <c r="G10" s="141"/>
      <c r="H10" s="140"/>
    </row>
    <row r="11" spans="1:11" x14ac:dyDescent="0.2">
      <c r="A11" s="174" t="s">
        <v>186</v>
      </c>
      <c r="B11" s="175"/>
      <c r="C11" s="88" t="s">
        <v>16</v>
      </c>
      <c r="D11" s="139"/>
      <c r="E11" s="138"/>
      <c r="F11" s="137"/>
      <c r="G11" s="68"/>
      <c r="H11" s="86"/>
    </row>
    <row r="12" spans="1:11" x14ac:dyDescent="0.2">
      <c r="A12" s="70" t="s">
        <v>186</v>
      </c>
      <c r="B12" s="129" t="s">
        <v>17</v>
      </c>
      <c r="C12" s="98" t="s">
        <v>18</v>
      </c>
      <c r="D12" s="64">
        <v>12</v>
      </c>
      <c r="E12" s="136" t="s">
        <v>19</v>
      </c>
      <c r="F12" s="69"/>
      <c r="G12" s="68"/>
      <c r="H12" s="86"/>
    </row>
    <row r="13" spans="1:11" x14ac:dyDescent="0.2">
      <c r="A13" s="70" t="s">
        <v>186</v>
      </c>
      <c r="B13" s="129" t="s">
        <v>20</v>
      </c>
      <c r="C13" s="98" t="s">
        <v>21</v>
      </c>
      <c r="D13" s="64">
        <v>12</v>
      </c>
      <c r="E13" s="136" t="s">
        <v>19</v>
      </c>
      <c r="F13" s="69"/>
      <c r="G13" s="68"/>
      <c r="H13" s="86"/>
    </row>
    <row r="14" spans="1:11" x14ac:dyDescent="0.2">
      <c r="A14" s="67"/>
      <c r="B14" s="135"/>
      <c r="C14" s="98"/>
      <c r="D14" s="64"/>
      <c r="E14" s="191" t="s">
        <v>22</v>
      </c>
      <c r="F14" s="192"/>
      <c r="G14" s="68">
        <f>SUM(G12:G13)</f>
        <v>0</v>
      </c>
      <c r="H14" s="86"/>
    </row>
    <row r="15" spans="1:11" x14ac:dyDescent="0.2">
      <c r="A15" s="55"/>
      <c r="B15" s="134"/>
      <c r="C15" s="133"/>
      <c r="D15" s="52"/>
      <c r="E15" s="132"/>
      <c r="F15" s="131"/>
      <c r="G15" s="83"/>
      <c r="H15" s="82"/>
    </row>
    <row r="16" spans="1:11" x14ac:dyDescent="0.2">
      <c r="A16" s="193" t="s">
        <v>187</v>
      </c>
      <c r="B16" s="194"/>
      <c r="C16" s="94" t="s">
        <v>24</v>
      </c>
      <c r="D16" s="64"/>
      <c r="E16" s="103"/>
      <c r="F16" s="69"/>
      <c r="G16" s="130"/>
      <c r="H16" s="86"/>
    </row>
    <row r="17" spans="1:8" s="37" customFormat="1" x14ac:dyDescent="0.2">
      <c r="A17" s="126" t="s">
        <v>187</v>
      </c>
      <c r="B17" s="129" t="s">
        <v>17</v>
      </c>
      <c r="C17" s="127" t="s">
        <v>18</v>
      </c>
      <c r="D17" s="64">
        <v>12</v>
      </c>
      <c r="E17" s="64" t="s">
        <v>19</v>
      </c>
      <c r="F17" s="69"/>
      <c r="G17" s="68"/>
      <c r="H17" s="63"/>
    </row>
    <row r="18" spans="1:8" s="37" customFormat="1" x14ac:dyDescent="0.2">
      <c r="A18" s="126"/>
      <c r="B18" s="125"/>
      <c r="C18" s="127"/>
      <c r="D18" s="64"/>
      <c r="E18" s="64"/>
      <c r="F18" s="93" t="s">
        <v>25</v>
      </c>
      <c r="G18" s="68">
        <f>SUM(G16:G17)</f>
        <v>0</v>
      </c>
      <c r="H18" s="63"/>
    </row>
    <row r="19" spans="1:8" s="37" customFormat="1" x14ac:dyDescent="0.2">
      <c r="A19" s="124"/>
      <c r="B19" s="123"/>
      <c r="C19" s="106"/>
      <c r="D19" s="52"/>
      <c r="E19" s="52"/>
      <c r="F19" s="95"/>
      <c r="G19" s="83"/>
      <c r="H19" s="49"/>
    </row>
    <row r="20" spans="1:8" s="37" customFormat="1" x14ac:dyDescent="0.2">
      <c r="A20" s="174" t="s">
        <v>188</v>
      </c>
      <c r="B20" s="175"/>
      <c r="C20" s="128" t="s">
        <v>27</v>
      </c>
      <c r="D20" s="64"/>
      <c r="E20" s="64"/>
      <c r="F20" s="69"/>
      <c r="G20" s="68"/>
      <c r="H20" s="63"/>
    </row>
    <row r="21" spans="1:8" s="37" customFormat="1" x14ac:dyDescent="0.2">
      <c r="A21" s="126" t="s">
        <v>188</v>
      </c>
      <c r="B21" s="125" t="s">
        <v>17</v>
      </c>
      <c r="C21" s="127" t="s">
        <v>28</v>
      </c>
      <c r="D21" s="64">
        <v>12</v>
      </c>
      <c r="E21" s="64" t="s">
        <v>19</v>
      </c>
      <c r="F21" s="69"/>
      <c r="G21" s="68"/>
      <c r="H21" s="63"/>
    </row>
    <row r="22" spans="1:8" s="37" customFormat="1" x14ac:dyDescent="0.2">
      <c r="A22" s="126" t="s">
        <v>188</v>
      </c>
      <c r="B22" s="125" t="s">
        <v>20</v>
      </c>
      <c r="C22" s="127" t="s">
        <v>29</v>
      </c>
      <c r="D22" s="64">
        <v>12</v>
      </c>
      <c r="E22" s="64" t="s">
        <v>19</v>
      </c>
      <c r="F22" s="69"/>
      <c r="G22" s="68"/>
      <c r="H22" s="63"/>
    </row>
    <row r="23" spans="1:8" s="37" customFormat="1" x14ac:dyDescent="0.2">
      <c r="A23" s="126"/>
      <c r="B23" s="125"/>
      <c r="C23" s="65"/>
      <c r="D23" s="64"/>
      <c r="E23" s="64"/>
      <c r="F23" s="93" t="s">
        <v>30</v>
      </c>
      <c r="G23" s="71">
        <f>SUM(G20:G22)</f>
        <v>0</v>
      </c>
      <c r="H23" s="63"/>
    </row>
    <row r="24" spans="1:8" s="37" customFormat="1" x14ac:dyDescent="0.2">
      <c r="A24" s="124"/>
      <c r="B24" s="123"/>
      <c r="C24" s="106"/>
      <c r="D24" s="52"/>
      <c r="E24" s="52"/>
      <c r="F24" s="95"/>
      <c r="G24" s="83"/>
      <c r="H24" s="49"/>
    </row>
    <row r="25" spans="1:8" s="37" customFormat="1" ht="13.5" thickBot="1" x14ac:dyDescent="0.25">
      <c r="A25" s="122"/>
      <c r="B25" s="121"/>
      <c r="C25" s="120"/>
      <c r="D25" s="183" t="s">
        <v>31</v>
      </c>
      <c r="E25" s="184"/>
      <c r="F25" s="185"/>
      <c r="G25" s="119">
        <f>SUM(G23,G18,G14)</f>
        <v>0</v>
      </c>
      <c r="H25" s="118"/>
    </row>
    <row r="26" spans="1:8" x14ac:dyDescent="0.2">
      <c r="A26" s="117"/>
      <c r="B26" s="116"/>
      <c r="C26" s="115"/>
      <c r="D26" s="114"/>
      <c r="E26" s="113"/>
      <c r="F26" s="112"/>
      <c r="G26" s="111"/>
      <c r="H26" s="110"/>
    </row>
    <row r="27" spans="1:8" x14ac:dyDescent="0.2">
      <c r="A27" s="109"/>
      <c r="B27" s="108"/>
      <c r="C27" s="107" t="s">
        <v>32</v>
      </c>
      <c r="D27" s="75"/>
      <c r="E27" s="75"/>
      <c r="F27" s="73"/>
      <c r="G27" s="100"/>
      <c r="H27" s="72"/>
    </row>
    <row r="28" spans="1:8" x14ac:dyDescent="0.2">
      <c r="A28" s="174" t="s">
        <v>189</v>
      </c>
      <c r="B28" s="175"/>
      <c r="C28" s="94" t="s">
        <v>34</v>
      </c>
      <c r="D28" s="64"/>
      <c r="E28" s="64"/>
      <c r="F28" s="69"/>
      <c r="G28" s="68"/>
      <c r="H28" s="63"/>
    </row>
    <row r="29" spans="1:8" x14ac:dyDescent="0.2">
      <c r="A29" s="70" t="s">
        <v>189</v>
      </c>
      <c r="B29" s="92" t="s">
        <v>17</v>
      </c>
      <c r="C29" s="65" t="s">
        <v>18</v>
      </c>
      <c r="D29" s="64">
        <v>12</v>
      </c>
      <c r="E29" s="64" t="s">
        <v>19</v>
      </c>
      <c r="F29" s="69"/>
      <c r="G29" s="68"/>
      <c r="H29" s="86"/>
    </row>
    <row r="30" spans="1:8" x14ac:dyDescent="0.2">
      <c r="A30" s="70" t="s">
        <v>189</v>
      </c>
      <c r="B30" s="92" t="s">
        <v>20</v>
      </c>
      <c r="C30" s="65" t="s">
        <v>21</v>
      </c>
      <c r="D30" s="64">
        <v>12</v>
      </c>
      <c r="E30" s="64" t="s">
        <v>19</v>
      </c>
      <c r="F30" s="69"/>
      <c r="G30" s="68"/>
      <c r="H30" s="86"/>
    </row>
    <row r="31" spans="1:8" x14ac:dyDescent="0.2">
      <c r="A31" s="70" t="s">
        <v>189</v>
      </c>
      <c r="B31" s="92" t="s">
        <v>35</v>
      </c>
      <c r="C31" s="98" t="s">
        <v>36</v>
      </c>
      <c r="D31" s="64">
        <v>12</v>
      </c>
      <c r="E31" s="64" t="s">
        <v>19</v>
      </c>
      <c r="F31" s="69"/>
      <c r="G31" s="68"/>
      <c r="H31" s="86"/>
    </row>
    <row r="32" spans="1:8" x14ac:dyDescent="0.2">
      <c r="A32" s="97"/>
      <c r="B32" s="96"/>
      <c r="C32" s="65"/>
      <c r="D32" s="171" t="s">
        <v>37</v>
      </c>
      <c r="E32" s="172"/>
      <c r="F32" s="173"/>
      <c r="G32" s="69">
        <f>SUM(G29:G31)</f>
        <v>0</v>
      </c>
      <c r="H32" s="86"/>
    </row>
    <row r="33" spans="1:8" x14ac:dyDescent="0.2">
      <c r="A33" s="91"/>
      <c r="B33" s="54"/>
      <c r="C33" s="106"/>
      <c r="D33" s="52"/>
      <c r="E33" s="52"/>
      <c r="F33" s="95"/>
      <c r="G33" s="83"/>
      <c r="H33" s="49"/>
    </row>
    <row r="34" spans="1:8" x14ac:dyDescent="0.2">
      <c r="A34" s="174" t="s">
        <v>190</v>
      </c>
      <c r="B34" s="175"/>
      <c r="C34" s="94" t="s">
        <v>39</v>
      </c>
      <c r="D34" s="64"/>
      <c r="E34" s="64"/>
      <c r="F34" s="69"/>
      <c r="G34" s="68"/>
      <c r="H34" s="63"/>
    </row>
    <row r="35" spans="1:8" ht="25.5" x14ac:dyDescent="0.2">
      <c r="A35" s="70" t="s">
        <v>190</v>
      </c>
      <c r="B35" s="66" t="s">
        <v>17</v>
      </c>
      <c r="C35" s="65" t="s">
        <v>191</v>
      </c>
      <c r="D35" s="64">
        <v>12</v>
      </c>
      <c r="E35" s="64" t="s">
        <v>19</v>
      </c>
      <c r="F35" s="69"/>
      <c r="G35" s="68"/>
      <c r="H35" s="86"/>
    </row>
    <row r="36" spans="1:8" x14ac:dyDescent="0.2">
      <c r="A36" s="70"/>
      <c r="B36" s="96"/>
      <c r="C36" s="65"/>
      <c r="D36" s="186" t="s">
        <v>41</v>
      </c>
      <c r="E36" s="187"/>
      <c r="F36" s="188"/>
      <c r="G36" s="69">
        <f>SUM(G35:G35)</f>
        <v>0</v>
      </c>
      <c r="H36" s="63"/>
    </row>
    <row r="37" spans="1:8" x14ac:dyDescent="0.2">
      <c r="A37" s="85"/>
      <c r="B37" s="84"/>
      <c r="C37" s="53"/>
      <c r="D37" s="52"/>
      <c r="E37" s="52"/>
      <c r="F37" s="95"/>
      <c r="G37" s="83"/>
      <c r="H37" s="49"/>
    </row>
    <row r="38" spans="1:8" x14ac:dyDescent="0.2">
      <c r="A38" s="174" t="s">
        <v>192</v>
      </c>
      <c r="B38" s="175"/>
      <c r="C38" s="94" t="s">
        <v>43</v>
      </c>
      <c r="D38" s="64"/>
      <c r="E38" s="103"/>
      <c r="F38" s="68"/>
      <c r="G38" s="69"/>
      <c r="H38" s="86"/>
    </row>
    <row r="39" spans="1:8" x14ac:dyDescent="0.2">
      <c r="A39" s="70" t="s">
        <v>192</v>
      </c>
      <c r="B39" s="66" t="s">
        <v>17</v>
      </c>
      <c r="C39" s="98" t="s">
        <v>44</v>
      </c>
      <c r="D39" s="64">
        <v>12</v>
      </c>
      <c r="E39" s="64" t="s">
        <v>19</v>
      </c>
      <c r="F39" s="69"/>
      <c r="G39" s="68"/>
      <c r="H39" s="63"/>
    </row>
    <row r="40" spans="1:8" ht="15" x14ac:dyDescent="0.25">
      <c r="A40" s="97"/>
      <c r="B40" s="96"/>
      <c r="C40" s="182" t="s">
        <v>45</v>
      </c>
      <c r="D40" s="177"/>
      <c r="E40" s="177"/>
      <c r="F40" s="178"/>
      <c r="G40" s="71">
        <f>SUM(G39:G39)</f>
        <v>0</v>
      </c>
      <c r="H40" s="63"/>
    </row>
    <row r="41" spans="1:8" s="37" customFormat="1" x14ac:dyDescent="0.2">
      <c r="A41" s="85"/>
      <c r="B41" s="84"/>
      <c r="C41" s="53"/>
      <c r="D41" s="52"/>
      <c r="E41" s="52"/>
      <c r="F41" s="95"/>
      <c r="G41" s="83"/>
      <c r="H41" s="49"/>
    </row>
    <row r="42" spans="1:8" s="37" customFormat="1" x14ac:dyDescent="0.2">
      <c r="A42" s="174" t="s">
        <v>193</v>
      </c>
      <c r="B42" s="175"/>
      <c r="C42" s="88" t="s">
        <v>47</v>
      </c>
      <c r="D42" s="64"/>
      <c r="E42" s="64"/>
      <c r="F42" s="69"/>
      <c r="G42" s="69"/>
      <c r="H42" s="63"/>
    </row>
    <row r="43" spans="1:8" s="37" customFormat="1" x14ac:dyDescent="0.2">
      <c r="A43" s="70" t="s">
        <v>193</v>
      </c>
      <c r="B43" s="66" t="s">
        <v>17</v>
      </c>
      <c r="C43" s="98" t="s">
        <v>29</v>
      </c>
      <c r="D43" s="64">
        <v>12</v>
      </c>
      <c r="E43" s="64" t="s">
        <v>19</v>
      </c>
      <c r="F43" s="69"/>
      <c r="G43" s="68"/>
      <c r="H43" s="86"/>
    </row>
    <row r="44" spans="1:8" s="37" customFormat="1" x14ac:dyDescent="0.2">
      <c r="A44" s="70"/>
      <c r="B44" s="66"/>
      <c r="C44" s="171" t="s">
        <v>48</v>
      </c>
      <c r="D44" s="172"/>
      <c r="E44" s="172"/>
      <c r="F44" s="173"/>
      <c r="G44" s="71">
        <f>SUM(G43:G43)</f>
        <v>0</v>
      </c>
      <c r="H44" s="86"/>
    </row>
    <row r="45" spans="1:8" s="37" customFormat="1" x14ac:dyDescent="0.2">
      <c r="A45" s="91"/>
      <c r="B45" s="54"/>
      <c r="C45" s="105"/>
      <c r="D45" s="52"/>
      <c r="E45" s="104"/>
      <c r="F45" s="83"/>
      <c r="G45" s="50"/>
      <c r="H45" s="82"/>
    </row>
    <row r="46" spans="1:8" s="37" customFormat="1" x14ac:dyDescent="0.2">
      <c r="A46" s="174" t="s">
        <v>194</v>
      </c>
      <c r="B46" s="175"/>
      <c r="C46" s="88" t="s">
        <v>50</v>
      </c>
      <c r="D46" s="64"/>
      <c r="E46" s="103"/>
      <c r="F46" s="68"/>
      <c r="G46" s="69"/>
      <c r="H46" s="86"/>
    </row>
    <row r="47" spans="1:8" s="37" customFormat="1" x14ac:dyDescent="0.2">
      <c r="A47" s="70" t="s">
        <v>194</v>
      </c>
      <c r="B47" s="66" t="s">
        <v>17</v>
      </c>
      <c r="C47" s="98" t="s">
        <v>44</v>
      </c>
      <c r="D47" s="64">
        <v>12</v>
      </c>
      <c r="E47" s="64" t="s">
        <v>19</v>
      </c>
      <c r="F47" s="69"/>
      <c r="G47" s="68"/>
      <c r="H47" s="86"/>
    </row>
    <row r="48" spans="1:8" s="37" customFormat="1" x14ac:dyDescent="0.2">
      <c r="A48" s="70"/>
      <c r="B48" s="66"/>
      <c r="C48" s="171" t="s">
        <v>51</v>
      </c>
      <c r="D48" s="172"/>
      <c r="E48" s="172"/>
      <c r="F48" s="173"/>
      <c r="G48" s="43">
        <f>SUM(G47:G47)</f>
        <v>0</v>
      </c>
      <c r="H48" s="86"/>
    </row>
    <row r="49" spans="1:8" s="37" customFormat="1" x14ac:dyDescent="0.2">
      <c r="A49" s="91"/>
      <c r="B49" s="54"/>
      <c r="C49" s="90"/>
      <c r="D49" s="52"/>
      <c r="E49" s="104"/>
      <c r="F49" s="83"/>
      <c r="G49" s="50"/>
      <c r="H49" s="82"/>
    </row>
    <row r="50" spans="1:8" s="37" customFormat="1" x14ac:dyDescent="0.2">
      <c r="A50" s="174" t="s">
        <v>195</v>
      </c>
      <c r="B50" s="175"/>
      <c r="C50" s="94" t="s">
        <v>53</v>
      </c>
      <c r="D50" s="64"/>
      <c r="E50" s="103"/>
      <c r="F50" s="68"/>
      <c r="G50" s="69"/>
      <c r="H50" s="86"/>
    </row>
    <row r="51" spans="1:8" s="37" customFormat="1" x14ac:dyDescent="0.2">
      <c r="A51" s="70" t="s">
        <v>195</v>
      </c>
      <c r="B51" s="66" t="s">
        <v>17</v>
      </c>
      <c r="C51" s="98" t="s">
        <v>29</v>
      </c>
      <c r="D51" s="64">
        <v>12</v>
      </c>
      <c r="E51" s="64" t="s">
        <v>19</v>
      </c>
      <c r="F51" s="69"/>
      <c r="G51" s="68"/>
      <c r="H51" s="86"/>
    </row>
    <row r="52" spans="1:8" s="37" customFormat="1" x14ac:dyDescent="0.2">
      <c r="A52" s="70"/>
      <c r="B52" s="66"/>
      <c r="C52" s="171" t="s">
        <v>54</v>
      </c>
      <c r="D52" s="172"/>
      <c r="E52" s="172"/>
      <c r="F52" s="173"/>
      <c r="G52" s="43">
        <f>SUM(G51:G51)</f>
        <v>0</v>
      </c>
      <c r="H52" s="63"/>
    </row>
    <row r="53" spans="1:8" x14ac:dyDescent="0.2">
      <c r="A53" s="91"/>
      <c r="B53" s="54"/>
      <c r="C53" s="53"/>
      <c r="D53" s="52"/>
      <c r="E53" s="52"/>
      <c r="F53" s="50"/>
      <c r="G53" s="83"/>
      <c r="H53" s="49"/>
    </row>
    <row r="54" spans="1:8" x14ac:dyDescent="0.2">
      <c r="A54" s="174" t="s">
        <v>196</v>
      </c>
      <c r="B54" s="175"/>
      <c r="C54" s="94" t="s">
        <v>56</v>
      </c>
      <c r="D54" s="64"/>
      <c r="E54" s="64"/>
      <c r="F54" s="69"/>
      <c r="G54" s="68"/>
      <c r="H54" s="63"/>
    </row>
    <row r="55" spans="1:8" x14ac:dyDescent="0.2">
      <c r="A55" s="70" t="s">
        <v>196</v>
      </c>
      <c r="B55" s="66" t="s">
        <v>17</v>
      </c>
      <c r="C55" s="98" t="s">
        <v>29</v>
      </c>
      <c r="D55" s="64">
        <v>12</v>
      </c>
      <c r="E55" s="64" t="s">
        <v>19</v>
      </c>
      <c r="F55" s="69"/>
      <c r="G55" s="68"/>
      <c r="H55" s="63"/>
    </row>
    <row r="56" spans="1:8" x14ac:dyDescent="0.2">
      <c r="A56" s="97"/>
      <c r="B56" s="96"/>
      <c r="C56" s="171" t="s">
        <v>57</v>
      </c>
      <c r="D56" s="172"/>
      <c r="E56" s="172"/>
      <c r="F56" s="173"/>
      <c r="G56" s="71">
        <f>SUM(G55:G55)</f>
        <v>0</v>
      </c>
      <c r="H56" s="63"/>
    </row>
    <row r="57" spans="1:8" ht="15" x14ac:dyDescent="0.25">
      <c r="A57" s="91"/>
      <c r="B57" s="54"/>
      <c r="C57" s="53"/>
      <c r="D57" s="176" t="s">
        <v>58</v>
      </c>
      <c r="E57" s="177"/>
      <c r="F57" s="178"/>
      <c r="G57" s="164">
        <f>SUM(G56,G52,G48,G44,G40,G36,G32)</f>
        <v>0</v>
      </c>
      <c r="H57" s="49"/>
    </row>
    <row r="58" spans="1:8" x14ac:dyDescent="0.2">
      <c r="A58" s="102"/>
      <c r="B58" s="102"/>
      <c r="C58" s="101"/>
      <c r="D58" s="75"/>
      <c r="E58" s="75"/>
      <c r="F58" s="73"/>
      <c r="G58" s="100"/>
      <c r="H58" s="99"/>
    </row>
    <row r="59" spans="1:8" x14ac:dyDescent="0.2">
      <c r="A59" s="174" t="s">
        <v>197</v>
      </c>
      <c r="B59" s="175"/>
      <c r="C59" s="94" t="s">
        <v>60</v>
      </c>
      <c r="D59" s="64"/>
      <c r="E59" s="64"/>
      <c r="F59" s="69"/>
      <c r="G59" s="68"/>
      <c r="H59" s="63"/>
    </row>
    <row r="60" spans="1:8" x14ac:dyDescent="0.2">
      <c r="A60" s="70" t="s">
        <v>197</v>
      </c>
      <c r="B60" s="66" t="s">
        <v>17</v>
      </c>
      <c r="C60" s="65" t="s">
        <v>18</v>
      </c>
      <c r="D60" s="64">
        <v>12</v>
      </c>
      <c r="E60" s="64" t="s">
        <v>19</v>
      </c>
      <c r="F60" s="69"/>
      <c r="G60" s="68"/>
      <c r="H60" s="63"/>
    </row>
    <row r="61" spans="1:8" x14ac:dyDescent="0.2">
      <c r="A61" s="70" t="s">
        <v>197</v>
      </c>
      <c r="B61" s="66" t="s">
        <v>20</v>
      </c>
      <c r="C61" s="98" t="s">
        <v>36</v>
      </c>
      <c r="D61" s="64">
        <v>12</v>
      </c>
      <c r="E61" s="64" t="s">
        <v>19</v>
      </c>
      <c r="F61" s="69"/>
      <c r="G61" s="68"/>
      <c r="H61" s="63"/>
    </row>
    <row r="62" spans="1:8" x14ac:dyDescent="0.2">
      <c r="A62" s="97"/>
      <c r="B62" s="96"/>
      <c r="C62" s="65"/>
      <c r="D62" s="171" t="s">
        <v>61</v>
      </c>
      <c r="E62" s="172"/>
      <c r="F62" s="173"/>
      <c r="G62" s="71">
        <f>SUM(G60:G61)</f>
        <v>0</v>
      </c>
      <c r="H62" s="63"/>
    </row>
    <row r="63" spans="1:8" x14ac:dyDescent="0.2">
      <c r="A63" s="85"/>
      <c r="B63" s="84"/>
      <c r="C63" s="53"/>
      <c r="D63" s="52"/>
      <c r="E63" s="52"/>
      <c r="F63" s="50"/>
      <c r="G63" s="83"/>
      <c r="H63" s="49"/>
    </row>
    <row r="64" spans="1:8" x14ac:dyDescent="0.2">
      <c r="A64" s="174" t="s">
        <v>198</v>
      </c>
      <c r="B64" s="175"/>
      <c r="C64" s="94" t="s">
        <v>63</v>
      </c>
      <c r="D64" s="64"/>
      <c r="E64" s="64"/>
      <c r="F64" s="69"/>
      <c r="G64" s="68"/>
      <c r="H64" s="63"/>
    </row>
    <row r="65" spans="1:8" x14ac:dyDescent="0.2">
      <c r="A65" s="70" t="s">
        <v>198</v>
      </c>
      <c r="B65" s="66" t="s">
        <v>17</v>
      </c>
      <c r="C65" s="65" t="s">
        <v>44</v>
      </c>
      <c r="D65" s="64">
        <v>12</v>
      </c>
      <c r="E65" s="64" t="s">
        <v>19</v>
      </c>
      <c r="F65" s="69"/>
      <c r="G65" s="68"/>
      <c r="H65" s="63"/>
    </row>
    <row r="66" spans="1:8" s="37" customFormat="1" x14ac:dyDescent="0.2">
      <c r="A66" s="70" t="s">
        <v>198</v>
      </c>
      <c r="B66" s="66" t="s">
        <v>20</v>
      </c>
      <c r="C66" s="65" t="s">
        <v>29</v>
      </c>
      <c r="D66" s="64">
        <v>12</v>
      </c>
      <c r="E66" s="64" t="s">
        <v>19</v>
      </c>
      <c r="F66" s="69"/>
      <c r="G66" s="68"/>
      <c r="H66" s="63"/>
    </row>
    <row r="67" spans="1:8" s="37" customFormat="1" x14ac:dyDescent="0.2">
      <c r="A67" s="97"/>
      <c r="B67" s="96"/>
      <c r="C67" s="65"/>
      <c r="D67" s="171" t="s">
        <v>64</v>
      </c>
      <c r="E67" s="172"/>
      <c r="F67" s="173"/>
      <c r="G67" s="71">
        <f>SUM(G65:G66)</f>
        <v>0</v>
      </c>
      <c r="H67" s="63"/>
    </row>
    <row r="68" spans="1:8" s="37" customFormat="1" x14ac:dyDescent="0.2">
      <c r="A68" s="85"/>
      <c r="B68" s="84"/>
      <c r="C68" s="53"/>
      <c r="D68" s="52"/>
      <c r="E68" s="52"/>
      <c r="F68" s="50"/>
      <c r="G68" s="83"/>
      <c r="H68" s="49"/>
    </row>
    <row r="69" spans="1:8" s="37" customFormat="1" x14ac:dyDescent="0.2">
      <c r="A69" s="174" t="s">
        <v>199</v>
      </c>
      <c r="B69" s="175"/>
      <c r="C69" s="94" t="s">
        <v>66</v>
      </c>
      <c r="D69" s="64"/>
      <c r="E69" s="64"/>
      <c r="F69" s="69"/>
      <c r="G69" s="68"/>
      <c r="H69" s="63"/>
    </row>
    <row r="70" spans="1:8" s="37" customFormat="1" x14ac:dyDescent="0.2">
      <c r="A70" s="70" t="s">
        <v>199</v>
      </c>
      <c r="B70" s="66" t="s">
        <v>17</v>
      </c>
      <c r="C70" s="98" t="s">
        <v>29</v>
      </c>
      <c r="D70" s="64">
        <v>12</v>
      </c>
      <c r="E70" s="64" t="s">
        <v>19</v>
      </c>
      <c r="F70" s="69"/>
      <c r="G70" s="163"/>
      <c r="H70" s="63"/>
    </row>
    <row r="71" spans="1:8" s="37" customFormat="1" x14ac:dyDescent="0.2">
      <c r="A71" s="97"/>
      <c r="B71" s="96"/>
      <c r="C71" s="171" t="s">
        <v>67</v>
      </c>
      <c r="D71" s="172"/>
      <c r="E71" s="172"/>
      <c r="F71" s="173"/>
      <c r="G71" s="71">
        <f>SUM(G70:G70)</f>
        <v>0</v>
      </c>
      <c r="H71" s="63"/>
    </row>
    <row r="72" spans="1:8" s="37" customFormat="1" x14ac:dyDescent="0.2">
      <c r="A72" s="85"/>
      <c r="B72" s="84"/>
      <c r="C72" s="53"/>
      <c r="D72" s="52"/>
      <c r="E72" s="52"/>
      <c r="F72" s="50"/>
      <c r="G72" s="83"/>
      <c r="H72" s="49"/>
    </row>
    <row r="73" spans="1:8" s="37" customFormat="1" x14ac:dyDescent="0.2">
      <c r="A73" s="174" t="s">
        <v>200</v>
      </c>
      <c r="B73" s="175"/>
      <c r="C73" s="94" t="s">
        <v>69</v>
      </c>
      <c r="D73" s="64"/>
      <c r="E73" s="64"/>
      <c r="F73" s="69"/>
      <c r="G73" s="68"/>
      <c r="H73" s="63"/>
    </row>
    <row r="74" spans="1:8" s="37" customFormat="1" x14ac:dyDescent="0.2">
      <c r="A74" s="70" t="s">
        <v>200</v>
      </c>
      <c r="B74" s="66" t="s">
        <v>17</v>
      </c>
      <c r="C74" s="65" t="s">
        <v>201</v>
      </c>
      <c r="D74" s="64">
        <v>12</v>
      </c>
      <c r="E74" s="64" t="s">
        <v>19</v>
      </c>
      <c r="F74" s="69"/>
      <c r="G74" s="68"/>
      <c r="H74" s="63"/>
    </row>
    <row r="75" spans="1:8" s="37" customFormat="1" x14ac:dyDescent="0.2">
      <c r="A75" s="70" t="s">
        <v>200</v>
      </c>
      <c r="B75" s="66" t="s">
        <v>20</v>
      </c>
      <c r="C75" s="98" t="s">
        <v>191</v>
      </c>
      <c r="D75" s="64">
        <v>12</v>
      </c>
      <c r="E75" s="64" t="s">
        <v>19</v>
      </c>
      <c r="F75" s="69"/>
      <c r="G75" s="68"/>
      <c r="H75" s="63"/>
    </row>
    <row r="76" spans="1:8" s="37" customFormat="1" x14ac:dyDescent="0.2">
      <c r="A76" s="97"/>
      <c r="B76" s="96"/>
      <c r="C76" s="171" t="s">
        <v>70</v>
      </c>
      <c r="D76" s="172"/>
      <c r="E76" s="172"/>
      <c r="F76" s="173"/>
      <c r="G76" s="43">
        <f>SUM(G74:G75)</f>
        <v>0</v>
      </c>
      <c r="H76" s="63"/>
    </row>
    <row r="77" spans="1:8" s="37" customFormat="1" x14ac:dyDescent="0.2">
      <c r="A77" s="85"/>
      <c r="B77" s="84"/>
      <c r="C77" s="53"/>
      <c r="D77" s="52"/>
      <c r="E77" s="52"/>
      <c r="F77" s="95"/>
      <c r="G77" s="50"/>
      <c r="H77" s="49"/>
    </row>
    <row r="78" spans="1:8" x14ac:dyDescent="0.2">
      <c r="A78" s="174" t="s">
        <v>202</v>
      </c>
      <c r="B78" s="175"/>
      <c r="C78" s="94" t="s">
        <v>72</v>
      </c>
      <c r="D78" s="64"/>
      <c r="E78" s="64"/>
      <c r="F78" s="93"/>
      <c r="G78" s="69"/>
      <c r="H78" s="63"/>
    </row>
    <row r="79" spans="1:8" x14ac:dyDescent="0.2">
      <c r="A79" s="70" t="s">
        <v>202</v>
      </c>
      <c r="B79" s="66" t="s">
        <v>20</v>
      </c>
      <c r="C79" s="65" t="s">
        <v>29</v>
      </c>
      <c r="D79" s="64">
        <v>12</v>
      </c>
      <c r="E79" s="64" t="s">
        <v>19</v>
      </c>
      <c r="F79" s="69"/>
      <c r="G79" s="68"/>
      <c r="H79" s="63"/>
    </row>
    <row r="80" spans="1:8" x14ac:dyDescent="0.2">
      <c r="A80" s="97"/>
      <c r="B80" s="96"/>
      <c r="C80" s="171" t="s">
        <v>73</v>
      </c>
      <c r="D80" s="172"/>
      <c r="E80" s="172"/>
      <c r="F80" s="173"/>
      <c r="G80" s="43">
        <f>SUM(G79:G79)</f>
        <v>0</v>
      </c>
      <c r="H80" s="63"/>
    </row>
    <row r="81" spans="1:8" x14ac:dyDescent="0.2">
      <c r="A81" s="85"/>
      <c r="B81" s="84"/>
      <c r="C81" s="53"/>
      <c r="D81" s="52"/>
      <c r="E81" s="52"/>
      <c r="F81" s="95"/>
      <c r="G81" s="50"/>
      <c r="H81" s="49"/>
    </row>
    <row r="82" spans="1:8" x14ac:dyDescent="0.2">
      <c r="A82" s="174" t="s">
        <v>203</v>
      </c>
      <c r="B82" s="175"/>
      <c r="C82" s="94" t="s">
        <v>75</v>
      </c>
      <c r="D82" s="64"/>
      <c r="E82" s="64"/>
      <c r="F82" s="93"/>
      <c r="G82" s="69"/>
      <c r="H82" s="63"/>
    </row>
    <row r="83" spans="1:8" x14ac:dyDescent="0.2">
      <c r="A83" s="70" t="s">
        <v>203</v>
      </c>
      <c r="B83" s="92" t="s">
        <v>17</v>
      </c>
      <c r="C83" s="65" t="s">
        <v>18</v>
      </c>
      <c r="D83" s="64">
        <v>12</v>
      </c>
      <c r="E83" s="64" t="s">
        <v>19</v>
      </c>
      <c r="F83" s="69"/>
      <c r="G83" s="68"/>
      <c r="H83" s="63"/>
    </row>
    <row r="84" spans="1:8" x14ac:dyDescent="0.2">
      <c r="A84" s="70"/>
      <c r="B84" s="66"/>
      <c r="C84" s="88"/>
      <c r="D84" s="165" t="s">
        <v>76</v>
      </c>
      <c r="E84" s="166"/>
      <c r="F84" s="167"/>
      <c r="G84" s="43">
        <f>SUM(G83:G83)</f>
        <v>0</v>
      </c>
      <c r="H84" s="86"/>
    </row>
    <row r="85" spans="1:8" x14ac:dyDescent="0.2">
      <c r="A85" s="91"/>
      <c r="B85" s="54"/>
      <c r="C85" s="90"/>
      <c r="D85" s="52"/>
      <c r="E85" s="89"/>
      <c r="F85" s="89"/>
      <c r="G85" s="50"/>
      <c r="H85" s="82"/>
    </row>
    <row r="86" spans="1:8" x14ac:dyDescent="0.2">
      <c r="A86" s="174" t="s">
        <v>204</v>
      </c>
      <c r="B86" s="175"/>
      <c r="C86" s="94" t="s">
        <v>78</v>
      </c>
      <c r="D86" s="64"/>
      <c r="E86" s="64"/>
      <c r="F86" s="93"/>
      <c r="G86" s="69"/>
      <c r="H86" s="63"/>
    </row>
    <row r="87" spans="1:8" x14ac:dyDescent="0.2">
      <c r="A87" s="70" t="s">
        <v>204</v>
      </c>
      <c r="B87" s="92" t="s">
        <v>17</v>
      </c>
      <c r="C87" s="65" t="s">
        <v>18</v>
      </c>
      <c r="D87" s="64">
        <v>12</v>
      </c>
      <c r="E87" s="64" t="s">
        <v>19</v>
      </c>
      <c r="F87" s="69"/>
      <c r="G87" s="68"/>
      <c r="H87" s="63"/>
    </row>
    <row r="88" spans="1:8" x14ac:dyDescent="0.2">
      <c r="A88" s="70"/>
      <c r="B88" s="66"/>
      <c r="C88" s="88"/>
      <c r="D88" s="165" t="s">
        <v>79</v>
      </c>
      <c r="E88" s="166"/>
      <c r="F88" s="167"/>
      <c r="G88" s="43">
        <f>SUM(G87:G87)</f>
        <v>0</v>
      </c>
      <c r="H88" s="86"/>
    </row>
    <row r="89" spans="1:8" x14ac:dyDescent="0.2">
      <c r="A89" s="91"/>
      <c r="B89" s="54"/>
      <c r="C89" s="90"/>
      <c r="D89" s="52"/>
      <c r="E89" s="89"/>
      <c r="F89" s="89"/>
      <c r="G89" s="50"/>
      <c r="H89" s="82"/>
    </row>
    <row r="90" spans="1:8" x14ac:dyDescent="0.2">
      <c r="A90" s="174" t="s">
        <v>205</v>
      </c>
      <c r="B90" s="175"/>
      <c r="C90" s="94" t="s">
        <v>81</v>
      </c>
      <c r="D90" s="64"/>
      <c r="E90" s="64"/>
      <c r="F90" s="93"/>
      <c r="G90" s="69"/>
      <c r="H90" s="63"/>
    </row>
    <row r="91" spans="1:8" x14ac:dyDescent="0.2">
      <c r="A91" s="70" t="s">
        <v>205</v>
      </c>
      <c r="B91" s="92" t="s">
        <v>17</v>
      </c>
      <c r="C91" s="65" t="s">
        <v>18</v>
      </c>
      <c r="D91" s="64">
        <v>12</v>
      </c>
      <c r="E91" s="64" t="s">
        <v>19</v>
      </c>
      <c r="F91" s="69"/>
      <c r="G91" s="68"/>
      <c r="H91" s="63"/>
    </row>
    <row r="92" spans="1:8" x14ac:dyDescent="0.2">
      <c r="A92" s="70"/>
      <c r="B92" s="66"/>
      <c r="C92" s="88"/>
      <c r="D92" s="165" t="s">
        <v>206</v>
      </c>
      <c r="E92" s="166"/>
      <c r="F92" s="167"/>
      <c r="G92" s="43">
        <f>SUM(G91:G91)</f>
        <v>0</v>
      </c>
      <c r="H92" s="86"/>
    </row>
    <row r="93" spans="1:8" ht="15" x14ac:dyDescent="0.25">
      <c r="A93" s="91"/>
      <c r="B93" s="54"/>
      <c r="C93" s="90"/>
      <c r="D93" s="176" t="s">
        <v>83</v>
      </c>
      <c r="E93" s="177"/>
      <c r="F93" s="178"/>
      <c r="G93" s="95">
        <f>SUM(G92,G88,G84,G80,G76,G71,G67,G62)</f>
        <v>0</v>
      </c>
      <c r="H93" s="82"/>
    </row>
    <row r="94" spans="1:8" x14ac:dyDescent="0.2">
      <c r="A94" s="81"/>
      <c r="B94" s="61"/>
      <c r="C94" s="80"/>
      <c r="D94" s="179" t="s">
        <v>84</v>
      </c>
      <c r="E94" s="180"/>
      <c r="F94" s="181"/>
      <c r="G94" s="57">
        <f>SUM(G93,G57)</f>
        <v>0</v>
      </c>
      <c r="H94" s="79"/>
    </row>
    <row r="95" spans="1:8" x14ac:dyDescent="0.2">
      <c r="A95" s="70"/>
      <c r="B95" s="66"/>
      <c r="C95" s="88"/>
      <c r="D95" s="64"/>
      <c r="E95" s="87"/>
      <c r="F95" s="87"/>
      <c r="G95" s="69"/>
      <c r="H95" s="86"/>
    </row>
    <row r="96" spans="1:8" x14ac:dyDescent="0.2">
      <c r="A96" s="78"/>
      <c r="B96" s="77"/>
      <c r="C96" s="76" t="s">
        <v>85</v>
      </c>
      <c r="D96" s="75"/>
      <c r="E96" s="74"/>
      <c r="F96" s="74"/>
      <c r="G96" s="73"/>
      <c r="H96" s="72"/>
    </row>
    <row r="97" spans="1:8" x14ac:dyDescent="0.2">
      <c r="A97" s="174" t="s">
        <v>207</v>
      </c>
      <c r="B97" s="175"/>
      <c r="C97" s="88" t="s">
        <v>87</v>
      </c>
      <c r="D97" s="64"/>
      <c r="E97" s="87"/>
      <c r="F97" s="87"/>
      <c r="G97" s="69"/>
      <c r="H97" s="86"/>
    </row>
    <row r="98" spans="1:8" x14ac:dyDescent="0.2">
      <c r="A98" s="70" t="s">
        <v>207</v>
      </c>
      <c r="B98" s="92" t="s">
        <v>17</v>
      </c>
      <c r="C98" s="65" t="s">
        <v>18</v>
      </c>
      <c r="D98" s="64">
        <v>12</v>
      </c>
      <c r="E98" s="64" t="s">
        <v>19</v>
      </c>
      <c r="F98" s="69"/>
      <c r="G98" s="68"/>
      <c r="H98" s="86"/>
    </row>
    <row r="99" spans="1:8" x14ac:dyDescent="0.2">
      <c r="A99" s="70" t="s">
        <v>207</v>
      </c>
      <c r="B99" s="92" t="s">
        <v>20</v>
      </c>
      <c r="C99" s="65" t="s">
        <v>21</v>
      </c>
      <c r="D99" s="64">
        <v>12</v>
      </c>
      <c r="E99" s="64" t="s">
        <v>19</v>
      </c>
      <c r="F99" s="69"/>
      <c r="G99" s="68"/>
      <c r="H99" s="86"/>
    </row>
    <row r="100" spans="1:8" x14ac:dyDescent="0.2">
      <c r="A100" s="70"/>
      <c r="B100" s="66"/>
      <c r="C100" s="165" t="s">
        <v>88</v>
      </c>
      <c r="D100" s="166"/>
      <c r="E100" s="166"/>
      <c r="F100" s="167"/>
      <c r="G100" s="43">
        <f>SUM(G98:G99)</f>
        <v>0</v>
      </c>
      <c r="H100" s="86"/>
    </row>
    <row r="101" spans="1:8" x14ac:dyDescent="0.2">
      <c r="A101" s="91"/>
      <c r="B101" s="54"/>
      <c r="C101" s="90"/>
      <c r="D101" s="52"/>
      <c r="E101" s="89"/>
      <c r="F101" s="89"/>
      <c r="G101" s="50"/>
      <c r="H101" s="82"/>
    </row>
    <row r="102" spans="1:8" s="37" customFormat="1" x14ac:dyDescent="0.2">
      <c r="A102" s="174" t="s">
        <v>208</v>
      </c>
      <c r="B102" s="175"/>
      <c r="C102" s="88" t="s">
        <v>90</v>
      </c>
      <c r="D102" s="64"/>
      <c r="E102" s="87"/>
      <c r="F102" s="87"/>
      <c r="G102" s="69"/>
      <c r="H102" s="86"/>
    </row>
    <row r="103" spans="1:8" s="37" customFormat="1" x14ac:dyDescent="0.2">
      <c r="A103" s="70" t="s">
        <v>208</v>
      </c>
      <c r="B103" s="66" t="s">
        <v>17</v>
      </c>
      <c r="C103" s="65" t="s">
        <v>18</v>
      </c>
      <c r="D103" s="64">
        <v>12</v>
      </c>
      <c r="E103" s="64" t="s">
        <v>19</v>
      </c>
      <c r="F103" s="69"/>
      <c r="G103" s="68"/>
      <c r="H103" s="86"/>
    </row>
    <row r="104" spans="1:8" s="37" customFormat="1" x14ac:dyDescent="0.2">
      <c r="A104" s="70"/>
      <c r="B104" s="66"/>
      <c r="C104" s="165" t="s">
        <v>91</v>
      </c>
      <c r="D104" s="166"/>
      <c r="E104" s="166"/>
      <c r="F104" s="167"/>
      <c r="G104" s="43">
        <f>SUM(G103:G103)</f>
        <v>0</v>
      </c>
      <c r="H104" s="86"/>
    </row>
    <row r="105" spans="1:8" s="37" customFormat="1" x14ac:dyDescent="0.2">
      <c r="A105" s="91"/>
      <c r="B105" s="54"/>
      <c r="C105" s="90"/>
      <c r="D105" s="52"/>
      <c r="E105" s="89"/>
      <c r="F105" s="89"/>
      <c r="G105" s="50"/>
      <c r="H105" s="82"/>
    </row>
    <row r="106" spans="1:8" s="37" customFormat="1" x14ac:dyDescent="0.2">
      <c r="A106" s="174" t="s">
        <v>209</v>
      </c>
      <c r="B106" s="175"/>
      <c r="C106" s="88" t="s">
        <v>93</v>
      </c>
      <c r="D106" s="64"/>
      <c r="E106" s="87"/>
      <c r="F106" s="87"/>
      <c r="G106" s="69"/>
      <c r="H106" s="86"/>
    </row>
    <row r="107" spans="1:8" s="37" customFormat="1" x14ac:dyDescent="0.2">
      <c r="A107" s="70" t="s">
        <v>209</v>
      </c>
      <c r="B107" s="92" t="s">
        <v>17</v>
      </c>
      <c r="C107" s="65" t="s">
        <v>29</v>
      </c>
      <c r="D107" s="64">
        <v>12</v>
      </c>
      <c r="E107" s="64" t="s">
        <v>19</v>
      </c>
      <c r="F107" s="69"/>
      <c r="G107" s="68"/>
      <c r="H107" s="86"/>
    </row>
    <row r="108" spans="1:8" s="37" customFormat="1" x14ac:dyDescent="0.2">
      <c r="A108" s="70"/>
      <c r="B108" s="66"/>
      <c r="C108" s="165" t="s">
        <v>94</v>
      </c>
      <c r="D108" s="166"/>
      <c r="E108" s="166"/>
      <c r="F108" s="167"/>
      <c r="G108" s="43">
        <f>SUM(G107:G107)</f>
        <v>0</v>
      </c>
      <c r="H108" s="86"/>
    </row>
    <row r="109" spans="1:8" s="37" customFormat="1" x14ac:dyDescent="0.2">
      <c r="A109" s="91"/>
      <c r="B109" s="54"/>
      <c r="C109" s="90"/>
      <c r="D109" s="52"/>
      <c r="E109" s="89"/>
      <c r="F109" s="89"/>
      <c r="G109" s="50"/>
      <c r="H109" s="82"/>
    </row>
    <row r="110" spans="1:8" s="37" customFormat="1" x14ac:dyDescent="0.2">
      <c r="A110" s="174" t="s">
        <v>210</v>
      </c>
      <c r="B110" s="175"/>
      <c r="C110" s="88" t="s">
        <v>96</v>
      </c>
      <c r="D110" s="64"/>
      <c r="E110" s="87"/>
      <c r="F110" s="87"/>
      <c r="G110" s="69"/>
      <c r="H110" s="86"/>
    </row>
    <row r="111" spans="1:8" s="37" customFormat="1" x14ac:dyDescent="0.2">
      <c r="A111" s="70" t="s">
        <v>210</v>
      </c>
      <c r="B111" s="66" t="s">
        <v>17</v>
      </c>
      <c r="C111" s="65" t="s">
        <v>97</v>
      </c>
      <c r="D111" s="64">
        <v>12</v>
      </c>
      <c r="E111" s="64" t="s">
        <v>19</v>
      </c>
      <c r="F111" s="69"/>
      <c r="G111" s="68"/>
      <c r="H111" s="86"/>
    </row>
    <row r="112" spans="1:8" s="37" customFormat="1" x14ac:dyDescent="0.2">
      <c r="A112" s="70"/>
      <c r="B112" s="66"/>
      <c r="C112" s="165" t="s">
        <v>98</v>
      </c>
      <c r="D112" s="166"/>
      <c r="E112" s="166"/>
      <c r="F112" s="167"/>
      <c r="G112" s="43">
        <f>SUM(G111:G111)</f>
        <v>0</v>
      </c>
      <c r="H112" s="86"/>
    </row>
    <row r="113" spans="1:8" x14ac:dyDescent="0.2">
      <c r="A113" s="55"/>
      <c r="B113" s="54"/>
      <c r="C113" s="53"/>
      <c r="D113" s="52"/>
      <c r="E113" s="51"/>
      <c r="F113" s="51"/>
      <c r="G113" s="50"/>
      <c r="H113" s="49"/>
    </row>
    <row r="114" spans="1:8" x14ac:dyDescent="0.2">
      <c r="A114" s="62"/>
      <c r="B114" s="61"/>
      <c r="C114" s="60"/>
      <c r="D114" s="59"/>
      <c r="E114" s="58"/>
      <c r="F114" s="58" t="s">
        <v>99</v>
      </c>
      <c r="G114" s="57">
        <f>SUM(G112,G108,G104,G100)</f>
        <v>0</v>
      </c>
      <c r="H114" s="56"/>
    </row>
    <row r="115" spans="1:8" x14ac:dyDescent="0.2">
      <c r="A115" s="48"/>
      <c r="B115" s="47"/>
      <c r="C115" s="46"/>
      <c r="D115" s="45"/>
      <c r="E115" s="44"/>
      <c r="F115" s="44"/>
      <c r="G115" s="43"/>
      <c r="H115" s="42"/>
    </row>
    <row r="116" spans="1:8" ht="13.5" thickBot="1" x14ac:dyDescent="0.25">
      <c r="A116" s="41"/>
      <c r="B116" s="40"/>
      <c r="C116" s="168" t="s">
        <v>100</v>
      </c>
      <c r="D116" s="169"/>
      <c r="E116" s="169"/>
      <c r="F116" s="170"/>
      <c r="G116" s="39">
        <f>SUM(G114,G94,G25)</f>
        <v>0</v>
      </c>
      <c r="H116" s="38"/>
    </row>
  </sheetData>
  <mergeCells count="59">
    <mergeCell ref="A1:H1"/>
    <mergeCell ref="I1:K1"/>
    <mergeCell ref="A2:H2"/>
    <mergeCell ref="I2:K2"/>
    <mergeCell ref="A3:H3"/>
    <mergeCell ref="I3:K3"/>
    <mergeCell ref="A28:B28"/>
    <mergeCell ref="A4:H4"/>
    <mergeCell ref="I4:K4"/>
    <mergeCell ref="A5:H5"/>
    <mergeCell ref="A6:H6"/>
    <mergeCell ref="A7:H7"/>
    <mergeCell ref="A8:B8"/>
    <mergeCell ref="A11:B11"/>
    <mergeCell ref="E14:F14"/>
    <mergeCell ref="A16:B16"/>
    <mergeCell ref="A20:B20"/>
    <mergeCell ref="D25:F25"/>
    <mergeCell ref="A54:B54"/>
    <mergeCell ref="D32:F32"/>
    <mergeCell ref="A34:B34"/>
    <mergeCell ref="D36:F36"/>
    <mergeCell ref="A38:B38"/>
    <mergeCell ref="C40:F40"/>
    <mergeCell ref="A42:B42"/>
    <mergeCell ref="C44:F44"/>
    <mergeCell ref="A46:B46"/>
    <mergeCell ref="C48:F48"/>
    <mergeCell ref="A50:B50"/>
    <mergeCell ref="C52:F52"/>
    <mergeCell ref="C80:F80"/>
    <mergeCell ref="C56:F56"/>
    <mergeCell ref="D57:F57"/>
    <mergeCell ref="A59:B59"/>
    <mergeCell ref="D62:F62"/>
    <mergeCell ref="A64:B64"/>
    <mergeCell ref="D67:F67"/>
    <mergeCell ref="A69:B69"/>
    <mergeCell ref="C71:F71"/>
    <mergeCell ref="A73:B73"/>
    <mergeCell ref="C76:F76"/>
    <mergeCell ref="A78:B78"/>
    <mergeCell ref="C104:F104"/>
    <mergeCell ref="A82:B82"/>
    <mergeCell ref="D84:F84"/>
    <mergeCell ref="A86:B86"/>
    <mergeCell ref="D88:F88"/>
    <mergeCell ref="A90:B90"/>
    <mergeCell ref="D92:F92"/>
    <mergeCell ref="D93:F93"/>
    <mergeCell ref="D94:F94"/>
    <mergeCell ref="A97:B97"/>
    <mergeCell ref="C100:F100"/>
    <mergeCell ref="A102:B102"/>
    <mergeCell ref="A106:B106"/>
    <mergeCell ref="C108:F108"/>
    <mergeCell ref="A110:B110"/>
    <mergeCell ref="C112:F112"/>
    <mergeCell ref="C116:F116"/>
  </mergeCells>
  <printOptions horizontalCentered="1"/>
  <pageMargins left="1" right="1" top="1" bottom="1" header="0.5" footer="0.5"/>
  <pageSetup scale="50"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B21F3-D60D-4376-A889-B307BA0064E1}">
  <sheetPr>
    <pageSetUpPr fitToPage="1"/>
  </sheetPr>
  <dimension ref="A1:K176"/>
  <sheetViews>
    <sheetView zoomScaleNormal="100" workbookViewId="0">
      <selection activeCell="A5" sqref="A5:H5"/>
    </sheetView>
  </sheetViews>
  <sheetFormatPr defaultColWidth="9.140625" defaultRowHeight="12.75" x14ac:dyDescent="0.2"/>
  <cols>
    <col min="1" max="1" width="11" style="4" customWidth="1"/>
    <col min="2" max="2" width="16" style="3" customWidth="1"/>
    <col min="3" max="3" width="40.140625" style="3" customWidth="1"/>
    <col min="4" max="4" width="11.85546875" style="3" customWidth="1"/>
    <col min="5" max="5" width="7.5703125" style="1" customWidth="1"/>
    <col min="6" max="6" width="15" style="2" customWidth="1"/>
    <col min="7" max="7" width="16.85546875" style="2" customWidth="1"/>
    <col min="8" max="8" width="8.7109375" style="1" customWidth="1"/>
    <col min="9" max="9" width="3" style="1" hidden="1" customWidth="1"/>
    <col min="10" max="16384" width="9.140625" style="1"/>
  </cols>
  <sheetData>
    <row r="1" spans="1:9" ht="12.75" customHeight="1" x14ac:dyDescent="0.2">
      <c r="A1" s="207" t="s">
        <v>0</v>
      </c>
      <c r="B1" s="208"/>
      <c r="C1" s="208"/>
      <c r="D1" s="208"/>
      <c r="E1" s="208"/>
      <c r="F1" s="208"/>
      <c r="G1" s="208"/>
      <c r="H1" s="209"/>
      <c r="I1" s="35"/>
    </row>
    <row r="2" spans="1:9" ht="12.75" customHeight="1" x14ac:dyDescent="0.2">
      <c r="A2" s="210" t="s">
        <v>1</v>
      </c>
      <c r="B2" s="211"/>
      <c r="C2" s="211"/>
      <c r="D2" s="211"/>
      <c r="E2" s="211"/>
      <c r="F2" s="211"/>
      <c r="G2" s="211"/>
      <c r="H2" s="212"/>
    </row>
    <row r="3" spans="1:9" ht="12.75" customHeight="1" x14ac:dyDescent="0.2">
      <c r="A3" s="210" t="s">
        <v>211</v>
      </c>
      <c r="B3" s="211"/>
      <c r="C3" s="211"/>
      <c r="D3" s="211"/>
      <c r="E3" s="211"/>
      <c r="F3" s="211"/>
      <c r="G3" s="211"/>
      <c r="H3" s="212"/>
    </row>
    <row r="4" spans="1:9" ht="12.75" customHeight="1" x14ac:dyDescent="0.2">
      <c r="A4" s="210" t="s">
        <v>102</v>
      </c>
      <c r="B4" s="211"/>
      <c r="C4" s="211"/>
      <c r="D4" s="211"/>
      <c r="E4" s="211"/>
      <c r="F4" s="211"/>
      <c r="G4" s="211"/>
      <c r="H4" s="212"/>
    </row>
    <row r="5" spans="1:9" ht="12.75" customHeight="1" x14ac:dyDescent="0.2">
      <c r="A5" s="210" t="s">
        <v>212</v>
      </c>
      <c r="B5" s="211"/>
      <c r="C5" s="211"/>
      <c r="D5" s="211"/>
      <c r="E5" s="211"/>
      <c r="F5" s="211"/>
      <c r="G5" s="211"/>
      <c r="H5" s="212"/>
    </row>
    <row r="6" spans="1:9" x14ac:dyDescent="0.2">
      <c r="A6" s="204" t="s">
        <v>104</v>
      </c>
      <c r="B6" s="205"/>
      <c r="C6" s="205"/>
      <c r="D6" s="205"/>
      <c r="E6" s="205"/>
      <c r="F6" s="205"/>
      <c r="G6" s="205"/>
      <c r="H6" s="206"/>
    </row>
    <row r="7" spans="1:9" ht="12.75" customHeight="1" x14ac:dyDescent="0.2">
      <c r="A7" s="204" t="s">
        <v>105</v>
      </c>
      <c r="B7" s="205"/>
      <c r="C7" s="205"/>
      <c r="D7" s="205"/>
      <c r="E7" s="205"/>
      <c r="F7" s="205"/>
      <c r="G7" s="205"/>
      <c r="H7" s="206"/>
    </row>
    <row r="8" spans="1:9" s="29" customFormat="1" ht="28.5" customHeight="1" x14ac:dyDescent="0.2">
      <c r="A8" s="34" t="s">
        <v>106</v>
      </c>
      <c r="B8" s="33" t="s">
        <v>107</v>
      </c>
      <c r="C8" s="33" t="s">
        <v>108</v>
      </c>
      <c r="D8" s="33" t="s">
        <v>109</v>
      </c>
      <c r="E8" s="33" t="s">
        <v>10</v>
      </c>
      <c r="F8" s="32" t="s">
        <v>11</v>
      </c>
      <c r="G8" s="31" t="s">
        <v>110</v>
      </c>
      <c r="H8" s="30" t="s">
        <v>111</v>
      </c>
    </row>
    <row r="9" spans="1:9" ht="77.25" customHeight="1" x14ac:dyDescent="0.2">
      <c r="A9" s="20" t="s">
        <v>213</v>
      </c>
      <c r="B9" s="19" t="s">
        <v>113</v>
      </c>
      <c r="C9" s="26" t="s">
        <v>114</v>
      </c>
      <c r="D9" s="17">
        <v>500</v>
      </c>
      <c r="E9" s="17" t="s">
        <v>115</v>
      </c>
      <c r="F9" s="16">
        <v>0</v>
      </c>
      <c r="G9" s="15">
        <f t="shared" ref="G9:G26" si="0">SUM(D9*F9)</f>
        <v>0</v>
      </c>
      <c r="H9" s="14">
        <v>9210</v>
      </c>
    </row>
    <row r="10" spans="1:9" ht="102" customHeight="1" x14ac:dyDescent="0.2">
      <c r="A10" s="20" t="s">
        <v>214</v>
      </c>
      <c r="B10" s="19" t="s">
        <v>117</v>
      </c>
      <c r="C10" s="18" t="s">
        <v>118</v>
      </c>
      <c r="D10" s="24">
        <v>250000</v>
      </c>
      <c r="E10" s="17" t="s">
        <v>119</v>
      </c>
      <c r="F10" s="16">
        <v>0</v>
      </c>
      <c r="G10" s="15">
        <f t="shared" si="0"/>
        <v>0</v>
      </c>
      <c r="H10" s="14">
        <v>9210</v>
      </c>
    </row>
    <row r="11" spans="1:9" ht="130.5" customHeight="1" x14ac:dyDescent="0.2">
      <c r="A11" s="20" t="s">
        <v>215</v>
      </c>
      <c r="B11" s="19" t="s">
        <v>121</v>
      </c>
      <c r="C11" s="25" t="s">
        <v>122</v>
      </c>
      <c r="D11" s="24">
        <v>10000</v>
      </c>
      <c r="E11" s="17" t="s">
        <v>119</v>
      </c>
      <c r="F11" s="16">
        <v>0</v>
      </c>
      <c r="G11" s="15">
        <f t="shared" si="0"/>
        <v>0</v>
      </c>
      <c r="H11" s="14">
        <v>9210</v>
      </c>
    </row>
    <row r="12" spans="1:9" ht="105.75" customHeight="1" x14ac:dyDescent="0.2">
      <c r="A12" s="20" t="s">
        <v>216</v>
      </c>
      <c r="B12" s="19" t="s">
        <v>124</v>
      </c>
      <c r="C12" s="19" t="s">
        <v>125</v>
      </c>
      <c r="D12" s="24">
        <v>250000</v>
      </c>
      <c r="E12" s="17" t="s">
        <v>119</v>
      </c>
      <c r="F12" s="16">
        <v>0</v>
      </c>
      <c r="G12" s="15">
        <f t="shared" si="0"/>
        <v>0</v>
      </c>
      <c r="H12" s="14">
        <v>9210</v>
      </c>
    </row>
    <row r="13" spans="1:9" ht="38.25" x14ac:dyDescent="0.2">
      <c r="A13" s="20" t="s">
        <v>217</v>
      </c>
      <c r="B13" s="19" t="s">
        <v>127</v>
      </c>
      <c r="C13" s="25" t="s">
        <v>128</v>
      </c>
      <c r="D13" s="24">
        <v>250000</v>
      </c>
      <c r="E13" s="17" t="s">
        <v>119</v>
      </c>
      <c r="F13" s="16">
        <v>0</v>
      </c>
      <c r="G13" s="15">
        <f t="shared" si="0"/>
        <v>0</v>
      </c>
      <c r="H13" s="14">
        <v>9210</v>
      </c>
    </row>
    <row r="14" spans="1:9" ht="127.5" x14ac:dyDescent="0.2">
      <c r="A14" s="20" t="s">
        <v>218</v>
      </c>
      <c r="B14" s="19" t="s">
        <v>130</v>
      </c>
      <c r="C14" s="25" t="s">
        <v>131</v>
      </c>
      <c r="D14" s="24">
        <v>250000</v>
      </c>
      <c r="E14" s="17" t="s">
        <v>119</v>
      </c>
      <c r="F14" s="16">
        <v>0</v>
      </c>
      <c r="G14" s="15">
        <f t="shared" si="0"/>
        <v>0</v>
      </c>
      <c r="H14" s="14">
        <v>9210</v>
      </c>
    </row>
    <row r="15" spans="1:9" ht="53.25" customHeight="1" x14ac:dyDescent="0.2">
      <c r="A15" s="20" t="s">
        <v>219</v>
      </c>
      <c r="B15" s="19" t="s">
        <v>133</v>
      </c>
      <c r="C15" s="28" t="s">
        <v>134</v>
      </c>
      <c r="D15" s="24">
        <v>1000</v>
      </c>
      <c r="E15" s="17" t="s">
        <v>115</v>
      </c>
      <c r="F15" s="16">
        <v>0</v>
      </c>
      <c r="G15" s="15">
        <f t="shared" si="0"/>
        <v>0</v>
      </c>
      <c r="H15" s="14">
        <v>9210</v>
      </c>
    </row>
    <row r="16" spans="1:9" ht="65.25" customHeight="1" x14ac:dyDescent="0.2">
      <c r="A16" s="20" t="s">
        <v>220</v>
      </c>
      <c r="B16" s="19" t="s">
        <v>136</v>
      </c>
      <c r="C16" s="25" t="s">
        <v>137</v>
      </c>
      <c r="D16" s="24">
        <v>100000</v>
      </c>
      <c r="E16" s="17" t="s">
        <v>119</v>
      </c>
      <c r="F16" s="16">
        <v>0</v>
      </c>
      <c r="G16" s="15">
        <f t="shared" si="0"/>
        <v>0</v>
      </c>
      <c r="H16" s="14">
        <v>9210</v>
      </c>
    </row>
    <row r="17" spans="1:11" ht="66.75" customHeight="1" x14ac:dyDescent="0.2">
      <c r="A17" s="20" t="s">
        <v>221</v>
      </c>
      <c r="B17" s="19" t="s">
        <v>139</v>
      </c>
      <c r="C17" s="28" t="s">
        <v>140</v>
      </c>
      <c r="D17" s="24">
        <v>1000</v>
      </c>
      <c r="E17" s="17" t="s">
        <v>119</v>
      </c>
      <c r="F17" s="16">
        <v>0</v>
      </c>
      <c r="G17" s="15">
        <f t="shared" si="0"/>
        <v>0</v>
      </c>
      <c r="H17" s="14">
        <v>9210</v>
      </c>
    </row>
    <row r="18" spans="1:11" ht="42" customHeight="1" x14ac:dyDescent="0.2">
      <c r="A18" s="20" t="s">
        <v>222</v>
      </c>
      <c r="B18" s="19" t="s">
        <v>142</v>
      </c>
      <c r="C18" s="25" t="s">
        <v>143</v>
      </c>
      <c r="D18" s="24">
        <v>1000</v>
      </c>
      <c r="E18" s="17" t="s">
        <v>115</v>
      </c>
      <c r="F18" s="16">
        <v>0</v>
      </c>
      <c r="G18" s="15">
        <f t="shared" si="0"/>
        <v>0</v>
      </c>
      <c r="H18" s="14">
        <v>9210</v>
      </c>
    </row>
    <row r="19" spans="1:11" ht="42" customHeight="1" x14ac:dyDescent="0.2">
      <c r="A19" s="20" t="s">
        <v>223</v>
      </c>
      <c r="B19" s="26" t="s">
        <v>145</v>
      </c>
      <c r="C19" s="27" t="s">
        <v>146</v>
      </c>
      <c r="D19" s="24">
        <v>500000</v>
      </c>
      <c r="E19" s="17" t="s">
        <v>119</v>
      </c>
      <c r="F19" s="16">
        <v>0</v>
      </c>
      <c r="G19" s="15">
        <f t="shared" si="0"/>
        <v>0</v>
      </c>
      <c r="H19" s="14">
        <v>9210</v>
      </c>
    </row>
    <row r="20" spans="1:11" ht="38.25" x14ac:dyDescent="0.2">
      <c r="A20" s="20" t="s">
        <v>224</v>
      </c>
      <c r="B20" s="26" t="s">
        <v>148</v>
      </c>
      <c r="C20" s="26" t="s">
        <v>149</v>
      </c>
      <c r="D20" s="24">
        <v>500000</v>
      </c>
      <c r="E20" s="17" t="s">
        <v>119</v>
      </c>
      <c r="F20" s="16">
        <v>0</v>
      </c>
      <c r="G20" s="15">
        <f t="shared" si="0"/>
        <v>0</v>
      </c>
      <c r="H20" s="14">
        <v>9210</v>
      </c>
    </row>
    <row r="21" spans="1:11" ht="63.75" x14ac:dyDescent="0.2">
      <c r="A21" s="20" t="s">
        <v>225</v>
      </c>
      <c r="B21" s="26" t="s">
        <v>151</v>
      </c>
      <c r="C21" s="26" t="s">
        <v>152</v>
      </c>
      <c r="D21" s="17">
        <v>250</v>
      </c>
      <c r="E21" s="17" t="s">
        <v>115</v>
      </c>
      <c r="F21" s="16">
        <v>0</v>
      </c>
      <c r="G21" s="15">
        <f t="shared" si="0"/>
        <v>0</v>
      </c>
      <c r="H21" s="14">
        <v>9210</v>
      </c>
    </row>
    <row r="22" spans="1:11" ht="51" x14ac:dyDescent="0.2">
      <c r="A22" s="20" t="s">
        <v>226</v>
      </c>
      <c r="B22" s="26" t="s">
        <v>154</v>
      </c>
      <c r="C22" s="26" t="s">
        <v>155</v>
      </c>
      <c r="D22" s="24">
        <v>250000</v>
      </c>
      <c r="E22" s="17" t="s">
        <v>119</v>
      </c>
      <c r="F22" s="16">
        <v>0</v>
      </c>
      <c r="G22" s="15">
        <f t="shared" si="0"/>
        <v>0</v>
      </c>
      <c r="H22" s="14">
        <v>9210</v>
      </c>
    </row>
    <row r="23" spans="1:11" ht="65.25" customHeight="1" x14ac:dyDescent="0.2">
      <c r="A23" s="20" t="s">
        <v>227</v>
      </c>
      <c r="B23" s="26" t="s">
        <v>157</v>
      </c>
      <c r="C23" s="26" t="s">
        <v>158</v>
      </c>
      <c r="D23" s="24">
        <v>250000</v>
      </c>
      <c r="E23" s="17" t="s">
        <v>119</v>
      </c>
      <c r="F23" s="16">
        <v>0</v>
      </c>
      <c r="G23" s="15">
        <f t="shared" si="0"/>
        <v>0</v>
      </c>
      <c r="H23" s="14">
        <v>9210</v>
      </c>
    </row>
    <row r="24" spans="1:11" ht="104.25" customHeight="1" x14ac:dyDescent="0.2">
      <c r="A24" s="20" t="s">
        <v>228</v>
      </c>
      <c r="B24" s="26" t="s">
        <v>160</v>
      </c>
      <c r="C24" s="25" t="s">
        <v>161</v>
      </c>
      <c r="D24" s="24">
        <v>250000</v>
      </c>
      <c r="E24" s="17" t="s">
        <v>119</v>
      </c>
      <c r="F24" s="16">
        <v>0</v>
      </c>
      <c r="G24" s="15">
        <f t="shared" si="0"/>
        <v>0</v>
      </c>
      <c r="H24" s="14">
        <v>9210</v>
      </c>
    </row>
    <row r="25" spans="1:11" ht="80.25" customHeight="1" x14ac:dyDescent="0.2">
      <c r="A25" s="20" t="s">
        <v>229</v>
      </c>
      <c r="B25" s="19" t="s">
        <v>163</v>
      </c>
      <c r="C25" s="19" t="s">
        <v>164</v>
      </c>
      <c r="D25" s="24">
        <v>250000</v>
      </c>
      <c r="E25" s="17" t="s">
        <v>119</v>
      </c>
      <c r="F25" s="16">
        <v>0</v>
      </c>
      <c r="G25" s="15">
        <f t="shared" si="0"/>
        <v>0</v>
      </c>
      <c r="H25" s="14">
        <v>9210</v>
      </c>
    </row>
    <row r="26" spans="1:11" ht="104.25" customHeight="1" x14ac:dyDescent="0.2">
      <c r="A26" s="20" t="s">
        <v>230</v>
      </c>
      <c r="B26" s="19" t="s">
        <v>166</v>
      </c>
      <c r="C26" s="26" t="s">
        <v>167</v>
      </c>
      <c r="D26" s="24">
        <v>100000</v>
      </c>
      <c r="E26" s="17" t="s">
        <v>119</v>
      </c>
      <c r="F26" s="16">
        <v>0</v>
      </c>
      <c r="G26" s="15">
        <f t="shared" si="0"/>
        <v>0</v>
      </c>
      <c r="H26" s="14">
        <v>9210</v>
      </c>
    </row>
    <row r="27" spans="1:11" ht="106.5" customHeight="1" x14ac:dyDescent="0.2">
      <c r="A27" s="20" t="s">
        <v>231</v>
      </c>
      <c r="B27" s="19" t="s">
        <v>169</v>
      </c>
      <c r="C27" s="25" t="s">
        <v>170</v>
      </c>
      <c r="D27" s="24">
        <v>250000</v>
      </c>
      <c r="E27" s="17" t="s">
        <v>119</v>
      </c>
      <c r="F27" s="16">
        <v>0</v>
      </c>
      <c r="G27" s="15">
        <v>0</v>
      </c>
      <c r="H27" s="14">
        <v>9210</v>
      </c>
    </row>
    <row r="28" spans="1:11" ht="51" x14ac:dyDescent="0.2">
      <c r="A28" s="20" t="s">
        <v>232</v>
      </c>
      <c r="B28" s="19" t="s">
        <v>172</v>
      </c>
      <c r="C28" s="25" t="s">
        <v>173</v>
      </c>
      <c r="D28" s="24">
        <v>50000</v>
      </c>
      <c r="E28" s="17" t="s">
        <v>119</v>
      </c>
      <c r="F28" s="16">
        <v>0</v>
      </c>
      <c r="G28" s="15">
        <f>SUM(D28*F28)</f>
        <v>0</v>
      </c>
      <c r="H28" s="14">
        <v>9210</v>
      </c>
    </row>
    <row r="29" spans="1:11" ht="102" x14ac:dyDescent="0.2">
      <c r="A29" s="20" t="s">
        <v>233</v>
      </c>
      <c r="B29" s="19" t="s">
        <v>175</v>
      </c>
      <c r="C29" s="18" t="s">
        <v>176</v>
      </c>
      <c r="D29" s="17">
        <v>250</v>
      </c>
      <c r="E29" s="17" t="s">
        <v>115</v>
      </c>
      <c r="F29" s="16">
        <v>0</v>
      </c>
      <c r="G29" s="15">
        <f>SUM(D29*F29)</f>
        <v>0</v>
      </c>
      <c r="H29" s="14">
        <v>9210</v>
      </c>
    </row>
    <row r="30" spans="1:11" ht="127.5" x14ac:dyDescent="0.2">
      <c r="A30" s="20" t="s">
        <v>234</v>
      </c>
      <c r="B30" s="19" t="s">
        <v>178</v>
      </c>
      <c r="C30" s="23" t="s">
        <v>179</v>
      </c>
      <c r="D30" s="22">
        <v>1000</v>
      </c>
      <c r="E30" s="21" t="s">
        <v>115</v>
      </c>
      <c r="F30" s="16">
        <v>0</v>
      </c>
      <c r="G30" s="15">
        <f>SUM(D30*F30)</f>
        <v>0</v>
      </c>
      <c r="H30" s="14">
        <v>9210</v>
      </c>
      <c r="I30" s="13"/>
      <c r="J30" s="13"/>
      <c r="K30" s="13"/>
    </row>
    <row r="31" spans="1:11" ht="25.5" x14ac:dyDescent="0.2">
      <c r="A31" s="20" t="s">
        <v>235</v>
      </c>
      <c r="B31" s="19"/>
      <c r="C31" s="18" t="s">
        <v>181</v>
      </c>
      <c r="D31" s="17"/>
      <c r="E31" s="17" t="s">
        <v>182</v>
      </c>
      <c r="F31" s="16">
        <v>0</v>
      </c>
      <c r="G31" s="15">
        <v>1000000</v>
      </c>
      <c r="H31" s="14">
        <v>9210</v>
      </c>
      <c r="I31" s="13"/>
      <c r="J31" s="13"/>
      <c r="K31" s="13"/>
    </row>
    <row r="32" spans="1:11" ht="14.25" thickBot="1" x14ac:dyDescent="0.25">
      <c r="A32" s="12"/>
      <c r="B32" s="11"/>
      <c r="C32" s="10" t="s">
        <v>183</v>
      </c>
      <c r="D32" s="9"/>
      <c r="E32" s="9"/>
      <c r="F32" s="8"/>
      <c r="G32" s="7">
        <f>SUM(G9:G31)</f>
        <v>1000000</v>
      </c>
      <c r="H32" s="6"/>
    </row>
    <row r="33" spans="5:7" x14ac:dyDescent="0.2">
      <c r="F33" s="5"/>
      <c r="G33" s="5"/>
    </row>
    <row r="34" spans="5:7" x14ac:dyDescent="0.2">
      <c r="F34" s="5"/>
      <c r="G34" s="5"/>
    </row>
    <row r="35" spans="5:7" x14ac:dyDescent="0.2">
      <c r="F35" s="5"/>
      <c r="G35" s="5"/>
    </row>
    <row r="36" spans="5:7" x14ac:dyDescent="0.2">
      <c r="E36" s="3"/>
      <c r="F36" s="5"/>
      <c r="G36" s="5"/>
    </row>
    <row r="37" spans="5:7" x14ac:dyDescent="0.2">
      <c r="F37" s="5"/>
      <c r="G37" s="5"/>
    </row>
    <row r="38" spans="5:7" x14ac:dyDescent="0.2">
      <c r="F38" s="5"/>
      <c r="G38" s="5"/>
    </row>
    <row r="39" spans="5:7" x14ac:dyDescent="0.2">
      <c r="F39" s="5"/>
      <c r="G39" s="5"/>
    </row>
    <row r="40" spans="5:7" x14ac:dyDescent="0.2">
      <c r="F40" s="5"/>
      <c r="G40" s="5"/>
    </row>
    <row r="41" spans="5:7" x14ac:dyDescent="0.2">
      <c r="F41" s="5"/>
      <c r="G41" s="5"/>
    </row>
    <row r="42" spans="5:7" x14ac:dyDescent="0.2">
      <c r="F42" s="5"/>
      <c r="G42" s="5"/>
    </row>
    <row r="43" spans="5:7" x14ac:dyDescent="0.2">
      <c r="F43" s="5"/>
      <c r="G43" s="5"/>
    </row>
    <row r="44" spans="5:7" x14ac:dyDescent="0.2">
      <c r="F44" s="5"/>
      <c r="G44" s="5"/>
    </row>
    <row r="45" spans="5:7" x14ac:dyDescent="0.2">
      <c r="F45" s="5"/>
      <c r="G45" s="5"/>
    </row>
    <row r="46" spans="5:7" x14ac:dyDescent="0.2">
      <c r="F46" s="5"/>
      <c r="G46" s="5"/>
    </row>
    <row r="47" spans="5:7" x14ac:dyDescent="0.2">
      <c r="F47" s="5"/>
      <c r="G47" s="5"/>
    </row>
    <row r="48" spans="5:7" x14ac:dyDescent="0.2">
      <c r="F48" s="5"/>
      <c r="G48" s="5"/>
    </row>
    <row r="49" spans="6:7" x14ac:dyDescent="0.2">
      <c r="F49" s="5"/>
      <c r="G49" s="5"/>
    </row>
    <row r="50" spans="6:7" x14ac:dyDescent="0.2">
      <c r="F50" s="5"/>
      <c r="G50" s="5"/>
    </row>
    <row r="51" spans="6:7" x14ac:dyDescent="0.2">
      <c r="F51" s="5"/>
      <c r="G51" s="5"/>
    </row>
    <row r="52" spans="6:7" x14ac:dyDescent="0.2">
      <c r="F52" s="5"/>
      <c r="G52" s="5"/>
    </row>
    <row r="53" spans="6:7" x14ac:dyDescent="0.2">
      <c r="F53" s="5"/>
      <c r="G53" s="5"/>
    </row>
    <row r="54" spans="6:7" x14ac:dyDescent="0.2">
      <c r="F54" s="5"/>
      <c r="G54" s="5"/>
    </row>
    <row r="55" spans="6:7" x14ac:dyDescent="0.2">
      <c r="F55" s="5"/>
      <c r="G55" s="5"/>
    </row>
    <row r="56" spans="6:7" x14ac:dyDescent="0.2">
      <c r="F56" s="5"/>
      <c r="G56" s="5"/>
    </row>
    <row r="57" spans="6:7" x14ac:dyDescent="0.2">
      <c r="F57" s="5"/>
      <c r="G57" s="5"/>
    </row>
    <row r="58" spans="6:7" x14ac:dyDescent="0.2">
      <c r="F58" s="5"/>
      <c r="G58" s="5"/>
    </row>
    <row r="59" spans="6:7" x14ac:dyDescent="0.2">
      <c r="F59" s="5"/>
      <c r="G59" s="5"/>
    </row>
    <row r="60" spans="6:7" x14ac:dyDescent="0.2">
      <c r="F60" s="5"/>
      <c r="G60" s="5"/>
    </row>
    <row r="61" spans="6:7" x14ac:dyDescent="0.2">
      <c r="F61" s="5"/>
      <c r="G61" s="5"/>
    </row>
    <row r="62" spans="6:7" x14ac:dyDescent="0.2">
      <c r="F62" s="5"/>
      <c r="G62" s="5"/>
    </row>
    <row r="63" spans="6:7" x14ac:dyDescent="0.2">
      <c r="F63" s="5"/>
      <c r="G63" s="5"/>
    </row>
    <row r="64" spans="6:7" x14ac:dyDescent="0.2">
      <c r="F64" s="5"/>
      <c r="G64" s="5"/>
    </row>
    <row r="65" spans="6:7" x14ac:dyDescent="0.2">
      <c r="F65" s="5"/>
      <c r="G65" s="5"/>
    </row>
    <row r="66" spans="6:7" x14ac:dyDescent="0.2">
      <c r="F66" s="5"/>
      <c r="G66" s="5"/>
    </row>
    <row r="67" spans="6:7" x14ac:dyDescent="0.2">
      <c r="F67" s="5"/>
      <c r="G67" s="5"/>
    </row>
    <row r="68" spans="6:7" x14ac:dyDescent="0.2">
      <c r="F68" s="5"/>
      <c r="G68" s="5"/>
    </row>
    <row r="69" spans="6:7" x14ac:dyDescent="0.2">
      <c r="F69" s="5"/>
      <c r="G69" s="5"/>
    </row>
    <row r="70" spans="6:7" x14ac:dyDescent="0.2">
      <c r="F70" s="5"/>
      <c r="G70" s="5"/>
    </row>
    <row r="71" spans="6:7" x14ac:dyDescent="0.2">
      <c r="F71" s="5"/>
      <c r="G71" s="5"/>
    </row>
    <row r="72" spans="6:7" x14ac:dyDescent="0.2">
      <c r="F72" s="5"/>
      <c r="G72" s="5"/>
    </row>
    <row r="73" spans="6:7" x14ac:dyDescent="0.2">
      <c r="F73" s="5"/>
      <c r="G73" s="5"/>
    </row>
    <row r="74" spans="6:7" x14ac:dyDescent="0.2">
      <c r="F74" s="5"/>
      <c r="G74" s="5"/>
    </row>
    <row r="75" spans="6:7" x14ac:dyDescent="0.2">
      <c r="F75" s="5"/>
      <c r="G75" s="5"/>
    </row>
    <row r="76" spans="6:7" x14ac:dyDescent="0.2">
      <c r="F76" s="5"/>
      <c r="G76" s="5"/>
    </row>
    <row r="77" spans="6:7" x14ac:dyDescent="0.2">
      <c r="F77" s="5"/>
      <c r="G77" s="5"/>
    </row>
    <row r="78" spans="6:7" x14ac:dyDescent="0.2">
      <c r="F78" s="5"/>
      <c r="G78" s="5"/>
    </row>
    <row r="79" spans="6:7" x14ac:dyDescent="0.2">
      <c r="F79" s="5"/>
      <c r="G79" s="5"/>
    </row>
    <row r="80" spans="6:7" x14ac:dyDescent="0.2">
      <c r="F80" s="5"/>
      <c r="G80" s="5"/>
    </row>
    <row r="81" spans="6:7" x14ac:dyDescent="0.2">
      <c r="F81" s="5"/>
      <c r="G81" s="5"/>
    </row>
    <row r="82" spans="6:7" x14ac:dyDescent="0.2">
      <c r="F82" s="5"/>
      <c r="G82" s="5"/>
    </row>
    <row r="83" spans="6:7" x14ac:dyDescent="0.2">
      <c r="F83" s="5"/>
      <c r="G83" s="5"/>
    </row>
    <row r="84" spans="6:7" x14ac:dyDescent="0.2">
      <c r="F84" s="5"/>
      <c r="G84" s="5"/>
    </row>
    <row r="85" spans="6:7" x14ac:dyDescent="0.2">
      <c r="F85" s="5"/>
      <c r="G85" s="5"/>
    </row>
    <row r="86" spans="6:7" x14ac:dyDescent="0.2">
      <c r="F86" s="5"/>
      <c r="G86" s="5"/>
    </row>
    <row r="87" spans="6:7" x14ac:dyDescent="0.2">
      <c r="F87" s="5"/>
      <c r="G87" s="5"/>
    </row>
    <row r="88" spans="6:7" x14ac:dyDescent="0.2">
      <c r="F88" s="5"/>
      <c r="G88" s="5"/>
    </row>
    <row r="89" spans="6:7" x14ac:dyDescent="0.2">
      <c r="F89" s="5"/>
      <c r="G89" s="5"/>
    </row>
    <row r="90" spans="6:7" x14ac:dyDescent="0.2">
      <c r="F90" s="5"/>
      <c r="G90" s="5"/>
    </row>
    <row r="91" spans="6:7" x14ac:dyDescent="0.2">
      <c r="F91" s="5"/>
      <c r="G91" s="5"/>
    </row>
    <row r="92" spans="6:7" x14ac:dyDescent="0.2">
      <c r="F92" s="5"/>
      <c r="G92" s="5"/>
    </row>
    <row r="93" spans="6:7" x14ac:dyDescent="0.2">
      <c r="F93" s="5"/>
      <c r="G93" s="5"/>
    </row>
    <row r="94" spans="6:7" x14ac:dyDescent="0.2">
      <c r="F94" s="5"/>
      <c r="G94" s="5"/>
    </row>
    <row r="95" spans="6:7" x14ac:dyDescent="0.2">
      <c r="F95" s="5"/>
      <c r="G95" s="5"/>
    </row>
    <row r="96" spans="6:7" x14ac:dyDescent="0.2">
      <c r="F96" s="5"/>
      <c r="G96" s="5"/>
    </row>
    <row r="97" spans="6:7" x14ac:dyDescent="0.2">
      <c r="F97" s="5"/>
      <c r="G97" s="5"/>
    </row>
    <row r="98" spans="6:7" x14ac:dyDescent="0.2">
      <c r="F98" s="5"/>
      <c r="G98" s="5"/>
    </row>
    <row r="99" spans="6:7" x14ac:dyDescent="0.2">
      <c r="F99" s="5"/>
      <c r="G99" s="5"/>
    </row>
    <row r="100" spans="6:7" x14ac:dyDescent="0.2">
      <c r="F100" s="5"/>
      <c r="G100" s="5"/>
    </row>
    <row r="101" spans="6:7" x14ac:dyDescent="0.2">
      <c r="F101" s="5"/>
      <c r="G101" s="5"/>
    </row>
    <row r="102" spans="6:7" x14ac:dyDescent="0.2">
      <c r="F102" s="5"/>
      <c r="G102" s="5"/>
    </row>
    <row r="103" spans="6:7" x14ac:dyDescent="0.2">
      <c r="F103" s="5"/>
      <c r="G103" s="5"/>
    </row>
    <row r="104" spans="6:7" x14ac:dyDescent="0.2">
      <c r="F104" s="5"/>
      <c r="G104" s="5"/>
    </row>
    <row r="105" spans="6:7" x14ac:dyDescent="0.2">
      <c r="F105" s="5"/>
      <c r="G105" s="5"/>
    </row>
    <row r="106" spans="6:7" x14ac:dyDescent="0.2">
      <c r="F106" s="5"/>
      <c r="G106" s="5"/>
    </row>
    <row r="107" spans="6:7" x14ac:dyDescent="0.2">
      <c r="F107" s="5"/>
      <c r="G107" s="5"/>
    </row>
    <row r="108" spans="6:7" x14ac:dyDescent="0.2">
      <c r="F108" s="5"/>
      <c r="G108" s="5"/>
    </row>
    <row r="109" spans="6:7" x14ac:dyDescent="0.2">
      <c r="F109" s="5"/>
      <c r="G109" s="5"/>
    </row>
    <row r="110" spans="6:7" x14ac:dyDescent="0.2">
      <c r="F110" s="5"/>
      <c r="G110" s="5"/>
    </row>
    <row r="111" spans="6:7" x14ac:dyDescent="0.2">
      <c r="F111" s="5"/>
      <c r="G111" s="5"/>
    </row>
    <row r="112" spans="6:7" x14ac:dyDescent="0.2">
      <c r="F112" s="5"/>
      <c r="G112" s="5"/>
    </row>
    <row r="113" spans="6:7" x14ac:dyDescent="0.2">
      <c r="F113" s="5"/>
      <c r="G113" s="5"/>
    </row>
    <row r="114" spans="6:7" x14ac:dyDescent="0.2">
      <c r="F114" s="5"/>
      <c r="G114" s="5"/>
    </row>
    <row r="115" spans="6:7" x14ac:dyDescent="0.2">
      <c r="F115" s="5"/>
      <c r="G115" s="5"/>
    </row>
    <row r="116" spans="6:7" x14ac:dyDescent="0.2">
      <c r="F116" s="5"/>
      <c r="G116" s="5"/>
    </row>
    <row r="117" spans="6:7" x14ac:dyDescent="0.2">
      <c r="F117" s="5"/>
      <c r="G117" s="5"/>
    </row>
    <row r="118" spans="6:7" x14ac:dyDescent="0.2">
      <c r="F118" s="5"/>
      <c r="G118" s="5"/>
    </row>
    <row r="119" spans="6:7" x14ac:dyDescent="0.2">
      <c r="F119" s="5"/>
      <c r="G119" s="5"/>
    </row>
    <row r="120" spans="6:7" x14ac:dyDescent="0.2">
      <c r="F120" s="5"/>
      <c r="G120" s="5"/>
    </row>
    <row r="121" spans="6:7" x14ac:dyDescent="0.2">
      <c r="F121" s="5"/>
      <c r="G121" s="5"/>
    </row>
    <row r="122" spans="6:7" x14ac:dyDescent="0.2">
      <c r="F122" s="5"/>
      <c r="G122" s="5"/>
    </row>
    <row r="123" spans="6:7" x14ac:dyDescent="0.2">
      <c r="F123" s="5"/>
      <c r="G123" s="5"/>
    </row>
    <row r="124" spans="6:7" x14ac:dyDescent="0.2">
      <c r="F124" s="5"/>
      <c r="G124" s="5"/>
    </row>
    <row r="125" spans="6:7" x14ac:dyDescent="0.2">
      <c r="F125" s="5"/>
      <c r="G125" s="5"/>
    </row>
    <row r="126" spans="6:7" x14ac:dyDescent="0.2">
      <c r="F126" s="5"/>
      <c r="G126" s="5"/>
    </row>
    <row r="127" spans="6:7" x14ac:dyDescent="0.2">
      <c r="F127" s="5"/>
      <c r="G127" s="5"/>
    </row>
    <row r="128" spans="6:7" x14ac:dyDescent="0.2">
      <c r="F128" s="5"/>
      <c r="G128" s="5"/>
    </row>
    <row r="129" spans="6:7" x14ac:dyDescent="0.2">
      <c r="F129" s="5"/>
      <c r="G129" s="5"/>
    </row>
    <row r="130" spans="6:7" x14ac:dyDescent="0.2">
      <c r="F130" s="5"/>
      <c r="G130" s="5"/>
    </row>
    <row r="131" spans="6:7" x14ac:dyDescent="0.2">
      <c r="F131" s="5"/>
      <c r="G131" s="5"/>
    </row>
    <row r="132" spans="6:7" x14ac:dyDescent="0.2">
      <c r="F132" s="5"/>
      <c r="G132" s="5"/>
    </row>
    <row r="133" spans="6:7" x14ac:dyDescent="0.2">
      <c r="F133" s="5"/>
      <c r="G133" s="5"/>
    </row>
    <row r="134" spans="6:7" x14ac:dyDescent="0.2">
      <c r="F134" s="5"/>
      <c r="G134" s="5"/>
    </row>
    <row r="135" spans="6:7" x14ac:dyDescent="0.2">
      <c r="F135" s="5"/>
      <c r="G135" s="5"/>
    </row>
    <row r="136" spans="6:7" x14ac:dyDescent="0.2">
      <c r="F136" s="5"/>
      <c r="G136" s="5"/>
    </row>
    <row r="137" spans="6:7" x14ac:dyDescent="0.2">
      <c r="F137" s="5"/>
      <c r="G137" s="5"/>
    </row>
    <row r="138" spans="6:7" x14ac:dyDescent="0.2">
      <c r="F138" s="5"/>
      <c r="G138" s="5"/>
    </row>
    <row r="139" spans="6:7" x14ac:dyDescent="0.2">
      <c r="F139" s="5"/>
      <c r="G139" s="5"/>
    </row>
    <row r="140" spans="6:7" x14ac:dyDescent="0.2">
      <c r="F140" s="5"/>
      <c r="G140" s="5"/>
    </row>
    <row r="141" spans="6:7" x14ac:dyDescent="0.2">
      <c r="F141" s="5"/>
      <c r="G141" s="5"/>
    </row>
    <row r="142" spans="6:7" x14ac:dyDescent="0.2">
      <c r="F142" s="5"/>
      <c r="G142" s="5"/>
    </row>
    <row r="143" spans="6:7" x14ac:dyDescent="0.2">
      <c r="F143" s="5"/>
      <c r="G143" s="5"/>
    </row>
    <row r="144" spans="6:7" x14ac:dyDescent="0.2">
      <c r="F144" s="5"/>
      <c r="G144" s="5"/>
    </row>
    <row r="145" spans="6:7" x14ac:dyDescent="0.2">
      <c r="F145" s="5"/>
      <c r="G145" s="5"/>
    </row>
    <row r="146" spans="6:7" x14ac:dyDescent="0.2">
      <c r="F146" s="5"/>
      <c r="G146" s="5"/>
    </row>
    <row r="147" spans="6:7" x14ac:dyDescent="0.2">
      <c r="F147" s="5"/>
      <c r="G147" s="5"/>
    </row>
    <row r="148" spans="6:7" x14ac:dyDescent="0.2">
      <c r="F148" s="5"/>
      <c r="G148" s="5"/>
    </row>
    <row r="149" spans="6:7" x14ac:dyDescent="0.2">
      <c r="F149" s="5"/>
      <c r="G149" s="5"/>
    </row>
    <row r="150" spans="6:7" x14ac:dyDescent="0.2">
      <c r="F150" s="5"/>
      <c r="G150" s="5"/>
    </row>
    <row r="151" spans="6:7" x14ac:dyDescent="0.2">
      <c r="F151" s="5"/>
      <c r="G151" s="5"/>
    </row>
    <row r="152" spans="6:7" x14ac:dyDescent="0.2">
      <c r="F152" s="5"/>
      <c r="G152" s="5"/>
    </row>
    <row r="153" spans="6:7" x14ac:dyDescent="0.2">
      <c r="F153" s="5"/>
      <c r="G153" s="5"/>
    </row>
    <row r="154" spans="6:7" x14ac:dyDescent="0.2">
      <c r="F154" s="5"/>
      <c r="G154" s="5"/>
    </row>
    <row r="155" spans="6:7" x14ac:dyDescent="0.2">
      <c r="F155" s="5"/>
      <c r="G155" s="5"/>
    </row>
    <row r="156" spans="6:7" x14ac:dyDescent="0.2">
      <c r="F156" s="5"/>
      <c r="G156" s="5"/>
    </row>
    <row r="157" spans="6:7" x14ac:dyDescent="0.2">
      <c r="F157" s="5"/>
      <c r="G157" s="5"/>
    </row>
    <row r="158" spans="6:7" x14ac:dyDescent="0.2">
      <c r="F158" s="5"/>
      <c r="G158" s="5"/>
    </row>
    <row r="159" spans="6:7" x14ac:dyDescent="0.2">
      <c r="F159" s="5"/>
      <c r="G159" s="5"/>
    </row>
    <row r="160" spans="6:7" x14ac:dyDescent="0.2">
      <c r="F160" s="5"/>
      <c r="G160" s="5"/>
    </row>
    <row r="161" spans="6:7" x14ac:dyDescent="0.2">
      <c r="F161" s="5"/>
      <c r="G161" s="5"/>
    </row>
    <row r="162" spans="6:7" x14ac:dyDescent="0.2">
      <c r="F162" s="5"/>
      <c r="G162" s="5"/>
    </row>
    <row r="163" spans="6:7" x14ac:dyDescent="0.2">
      <c r="F163" s="5"/>
      <c r="G163" s="5"/>
    </row>
    <row r="164" spans="6:7" x14ac:dyDescent="0.2">
      <c r="F164" s="5"/>
      <c r="G164" s="5"/>
    </row>
    <row r="165" spans="6:7" x14ac:dyDescent="0.2">
      <c r="F165" s="5"/>
      <c r="G165" s="5"/>
    </row>
    <row r="166" spans="6:7" x14ac:dyDescent="0.2">
      <c r="F166" s="5"/>
      <c r="G166" s="5"/>
    </row>
    <row r="167" spans="6:7" x14ac:dyDescent="0.2">
      <c r="F167" s="5"/>
      <c r="G167" s="5"/>
    </row>
    <row r="168" spans="6:7" x14ac:dyDescent="0.2">
      <c r="F168" s="5"/>
      <c r="G168" s="5"/>
    </row>
    <row r="169" spans="6:7" x14ac:dyDescent="0.2">
      <c r="F169" s="5"/>
      <c r="G169" s="5"/>
    </row>
    <row r="170" spans="6:7" x14ac:dyDescent="0.2">
      <c r="F170" s="5"/>
      <c r="G170" s="5"/>
    </row>
    <row r="171" spans="6:7" x14ac:dyDescent="0.2">
      <c r="F171" s="5"/>
      <c r="G171" s="5"/>
    </row>
    <row r="172" spans="6:7" x14ac:dyDescent="0.2">
      <c r="F172" s="5"/>
      <c r="G172" s="5"/>
    </row>
    <row r="173" spans="6:7" x14ac:dyDescent="0.2">
      <c r="F173" s="5"/>
      <c r="G173" s="5"/>
    </row>
    <row r="174" spans="6:7" x14ac:dyDescent="0.2">
      <c r="F174" s="5"/>
      <c r="G174" s="5"/>
    </row>
    <row r="175" spans="6:7" x14ac:dyDescent="0.2">
      <c r="F175" s="5"/>
      <c r="G175" s="5"/>
    </row>
    <row r="176" spans="6:7" x14ac:dyDescent="0.2">
      <c r="F176" s="5"/>
      <c r="G176" s="5"/>
    </row>
  </sheetData>
  <mergeCells count="7">
    <mergeCell ref="A7:H7"/>
    <mergeCell ref="A1:H1"/>
    <mergeCell ref="A2:H2"/>
    <mergeCell ref="A3:H3"/>
    <mergeCell ref="A4:H4"/>
    <mergeCell ref="A5:H5"/>
    <mergeCell ref="A6:H6"/>
  </mergeCells>
  <pageMargins left="0.5" right="0.27" top="0.55000000000000004" bottom="0.53" header="0.3" footer="0.31"/>
  <pageSetup scale="96" orientation="landscape" horizont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255B0-BAD0-4718-91FD-06B82CDB8448}">
  <sheetPr>
    <tabColor rgb="FF00B050"/>
    <pageSetUpPr fitToPage="1"/>
  </sheetPr>
  <dimension ref="A1:K116"/>
  <sheetViews>
    <sheetView zoomScaleNormal="100" workbookViewId="0">
      <selection activeCell="D92" sqref="D92:F92"/>
    </sheetView>
  </sheetViews>
  <sheetFormatPr defaultColWidth="9.140625" defaultRowHeight="12.75" x14ac:dyDescent="0.2"/>
  <cols>
    <col min="1" max="1" width="5.85546875" style="36" customWidth="1"/>
    <col min="2" max="2" width="4.28515625" style="36" customWidth="1"/>
    <col min="3" max="3" width="81.5703125" style="36" customWidth="1"/>
    <col min="4" max="4" width="9.85546875" style="36" customWidth="1"/>
    <col min="5" max="5" width="9.42578125" style="36" customWidth="1"/>
    <col min="6" max="6" width="13.7109375" style="37" customWidth="1"/>
    <col min="7" max="7" width="15.140625" style="37" customWidth="1"/>
    <col min="8" max="8" width="8.7109375" style="36" customWidth="1"/>
    <col min="9" max="16384" width="9.140625" style="36"/>
  </cols>
  <sheetData>
    <row r="1" spans="1:11" ht="12.75" customHeight="1" x14ac:dyDescent="0.2">
      <c r="A1" s="201" t="s">
        <v>0</v>
      </c>
      <c r="B1" s="202"/>
      <c r="C1" s="202"/>
      <c r="D1" s="202"/>
      <c r="E1" s="202"/>
      <c r="F1" s="202"/>
      <c r="G1" s="202"/>
      <c r="H1" s="203"/>
      <c r="I1" s="196"/>
      <c r="J1" s="196"/>
      <c r="K1" s="196"/>
    </row>
    <row r="2" spans="1:11" ht="12.75" customHeight="1" x14ac:dyDescent="0.2">
      <c r="A2" s="195" t="s">
        <v>1</v>
      </c>
      <c r="B2" s="196"/>
      <c r="C2" s="196"/>
      <c r="D2" s="196"/>
      <c r="E2" s="196"/>
      <c r="F2" s="196"/>
      <c r="G2" s="196"/>
      <c r="H2" s="197"/>
      <c r="I2" s="196"/>
      <c r="J2" s="196"/>
      <c r="K2" s="196"/>
    </row>
    <row r="3" spans="1:11" ht="12.75" customHeight="1" x14ac:dyDescent="0.2">
      <c r="A3" s="195" t="s">
        <v>2</v>
      </c>
      <c r="B3" s="196"/>
      <c r="C3" s="196"/>
      <c r="D3" s="196"/>
      <c r="E3" s="196"/>
      <c r="F3" s="196"/>
      <c r="G3" s="196"/>
      <c r="H3" s="197"/>
      <c r="I3" s="196"/>
      <c r="J3" s="196"/>
      <c r="K3" s="196"/>
    </row>
    <row r="4" spans="1:11" ht="14.25" customHeight="1" x14ac:dyDescent="0.2">
      <c r="A4" s="195" t="s">
        <v>236</v>
      </c>
      <c r="B4" s="196"/>
      <c r="C4" s="196"/>
      <c r="D4" s="196"/>
      <c r="E4" s="196"/>
      <c r="F4" s="196"/>
      <c r="G4" s="196"/>
      <c r="H4" s="197"/>
      <c r="I4" s="196"/>
      <c r="J4" s="196"/>
      <c r="K4" s="196"/>
    </row>
    <row r="5" spans="1:11" ht="14.25" customHeight="1" x14ac:dyDescent="0.2">
      <c r="A5" s="195" t="s">
        <v>237</v>
      </c>
      <c r="B5" s="196"/>
      <c r="C5" s="196"/>
      <c r="D5" s="196"/>
      <c r="E5" s="196"/>
      <c r="F5" s="196"/>
      <c r="G5" s="196"/>
      <c r="H5" s="197"/>
      <c r="I5" s="162"/>
      <c r="J5" s="161"/>
      <c r="K5" s="161"/>
    </row>
    <row r="6" spans="1:11" ht="15" customHeight="1" x14ac:dyDescent="0.2">
      <c r="A6" s="198" t="s">
        <v>5</v>
      </c>
      <c r="B6" s="199"/>
      <c r="C6" s="199"/>
      <c r="D6" s="199"/>
      <c r="E6" s="199"/>
      <c r="F6" s="199"/>
      <c r="G6" s="199"/>
      <c r="H6" s="200"/>
      <c r="I6" s="160"/>
      <c r="J6" s="159"/>
      <c r="K6" s="159"/>
    </row>
    <row r="7" spans="1:11" ht="15" customHeight="1" thickBot="1" x14ac:dyDescent="0.25">
      <c r="A7" s="198" t="s">
        <v>6</v>
      </c>
      <c r="B7" s="199"/>
      <c r="C7" s="199"/>
      <c r="D7" s="199"/>
      <c r="E7" s="199"/>
      <c r="F7" s="199"/>
      <c r="G7" s="199"/>
      <c r="H7" s="200"/>
      <c r="I7" s="160"/>
      <c r="J7" s="159"/>
      <c r="K7" s="159"/>
    </row>
    <row r="8" spans="1:11" ht="26.25" thickBot="1" x14ac:dyDescent="0.25">
      <c r="A8" s="189" t="s">
        <v>7</v>
      </c>
      <c r="B8" s="190"/>
      <c r="C8" s="157" t="s">
        <v>8</v>
      </c>
      <c r="D8" s="158" t="s">
        <v>9</v>
      </c>
      <c r="E8" s="157" t="s">
        <v>10</v>
      </c>
      <c r="F8" s="156" t="s">
        <v>11</v>
      </c>
      <c r="G8" s="156" t="s">
        <v>12</v>
      </c>
      <c r="H8" s="155" t="s">
        <v>13</v>
      </c>
    </row>
    <row r="9" spans="1:11" x14ac:dyDescent="0.2">
      <c r="A9" s="154"/>
      <c r="B9" s="153"/>
      <c r="C9" s="151"/>
      <c r="D9" s="152"/>
      <c r="E9" s="151"/>
      <c r="F9" s="150"/>
      <c r="G9" s="149"/>
      <c r="H9" s="148"/>
    </row>
    <row r="10" spans="1:11" x14ac:dyDescent="0.2">
      <c r="A10" s="147"/>
      <c r="B10" s="146"/>
      <c r="C10" s="145" t="s">
        <v>14</v>
      </c>
      <c r="D10" s="144"/>
      <c r="E10" s="143"/>
      <c r="F10" s="142"/>
      <c r="G10" s="141"/>
      <c r="H10" s="140"/>
    </row>
    <row r="11" spans="1:11" x14ac:dyDescent="0.2">
      <c r="A11" s="174" t="s">
        <v>238</v>
      </c>
      <c r="B11" s="175"/>
      <c r="C11" s="88" t="s">
        <v>16</v>
      </c>
      <c r="D11" s="139"/>
      <c r="E11" s="138"/>
      <c r="F11" s="137"/>
      <c r="G11" s="68"/>
      <c r="H11" s="86"/>
    </row>
    <row r="12" spans="1:11" x14ac:dyDescent="0.2">
      <c r="A12" s="70" t="s">
        <v>238</v>
      </c>
      <c r="B12" s="129" t="s">
        <v>17</v>
      </c>
      <c r="C12" s="98" t="s">
        <v>18</v>
      </c>
      <c r="D12" s="64">
        <v>12</v>
      </c>
      <c r="E12" s="136" t="s">
        <v>19</v>
      </c>
      <c r="F12" s="69"/>
      <c r="G12" s="68"/>
      <c r="H12" s="86"/>
    </row>
    <row r="13" spans="1:11" x14ac:dyDescent="0.2">
      <c r="A13" s="70" t="s">
        <v>238</v>
      </c>
      <c r="B13" s="129" t="s">
        <v>20</v>
      </c>
      <c r="C13" s="98" t="s">
        <v>21</v>
      </c>
      <c r="D13" s="64">
        <v>12</v>
      </c>
      <c r="E13" s="136" t="s">
        <v>19</v>
      </c>
      <c r="F13" s="69"/>
      <c r="G13" s="68"/>
      <c r="H13" s="86"/>
    </row>
    <row r="14" spans="1:11" x14ac:dyDescent="0.2">
      <c r="A14" s="67"/>
      <c r="B14" s="135"/>
      <c r="C14" s="98"/>
      <c r="D14" s="64"/>
      <c r="E14" s="191" t="s">
        <v>22</v>
      </c>
      <c r="F14" s="192"/>
      <c r="G14" s="68">
        <f>SUM(G12:G13)</f>
        <v>0</v>
      </c>
      <c r="H14" s="86"/>
    </row>
    <row r="15" spans="1:11" x14ac:dyDescent="0.2">
      <c r="A15" s="55"/>
      <c r="B15" s="134"/>
      <c r="C15" s="133"/>
      <c r="D15" s="52"/>
      <c r="E15" s="132"/>
      <c r="F15" s="131"/>
      <c r="G15" s="83"/>
      <c r="H15" s="82"/>
    </row>
    <row r="16" spans="1:11" x14ac:dyDescent="0.2">
      <c r="A16" s="193" t="s">
        <v>239</v>
      </c>
      <c r="B16" s="194"/>
      <c r="C16" s="94" t="s">
        <v>24</v>
      </c>
      <c r="D16" s="64"/>
      <c r="E16" s="103"/>
      <c r="F16" s="69"/>
      <c r="G16" s="130"/>
      <c r="H16" s="86"/>
    </row>
    <row r="17" spans="1:8" s="37" customFormat="1" x14ac:dyDescent="0.2">
      <c r="A17" s="126" t="s">
        <v>239</v>
      </c>
      <c r="B17" s="129" t="s">
        <v>17</v>
      </c>
      <c r="C17" s="127" t="s">
        <v>18</v>
      </c>
      <c r="D17" s="64">
        <v>12</v>
      </c>
      <c r="E17" s="64" t="s">
        <v>19</v>
      </c>
      <c r="F17" s="69"/>
      <c r="G17" s="68"/>
      <c r="H17" s="63"/>
    </row>
    <row r="18" spans="1:8" s="37" customFormat="1" x14ac:dyDescent="0.2">
      <c r="A18" s="126"/>
      <c r="B18" s="125"/>
      <c r="C18" s="127"/>
      <c r="D18" s="64"/>
      <c r="E18" s="64"/>
      <c r="F18" s="93" t="s">
        <v>25</v>
      </c>
      <c r="G18" s="68">
        <f>SUM(G16:G17)</f>
        <v>0</v>
      </c>
      <c r="H18" s="63"/>
    </row>
    <row r="19" spans="1:8" s="37" customFormat="1" x14ac:dyDescent="0.2">
      <c r="A19" s="124"/>
      <c r="B19" s="123"/>
      <c r="C19" s="106"/>
      <c r="D19" s="52"/>
      <c r="E19" s="52"/>
      <c r="F19" s="95"/>
      <c r="G19" s="83"/>
      <c r="H19" s="49"/>
    </row>
    <row r="20" spans="1:8" s="37" customFormat="1" x14ac:dyDescent="0.2">
      <c r="A20" s="174" t="s">
        <v>240</v>
      </c>
      <c r="B20" s="175"/>
      <c r="C20" s="128" t="s">
        <v>27</v>
      </c>
      <c r="D20" s="64"/>
      <c r="E20" s="64"/>
      <c r="F20" s="69"/>
      <c r="G20" s="68"/>
      <c r="H20" s="63"/>
    </row>
    <row r="21" spans="1:8" s="37" customFormat="1" x14ac:dyDescent="0.2">
      <c r="A21" s="126" t="s">
        <v>240</v>
      </c>
      <c r="B21" s="125" t="s">
        <v>17</v>
      </c>
      <c r="C21" s="127" t="s">
        <v>28</v>
      </c>
      <c r="D21" s="64">
        <v>12</v>
      </c>
      <c r="E21" s="64" t="s">
        <v>19</v>
      </c>
      <c r="F21" s="69"/>
      <c r="G21" s="68"/>
      <c r="H21" s="63"/>
    </row>
    <row r="22" spans="1:8" s="37" customFormat="1" x14ac:dyDescent="0.2">
      <c r="A22" s="126" t="s">
        <v>240</v>
      </c>
      <c r="B22" s="125" t="s">
        <v>20</v>
      </c>
      <c r="C22" s="127" t="s">
        <v>29</v>
      </c>
      <c r="D22" s="64">
        <v>12</v>
      </c>
      <c r="E22" s="64" t="s">
        <v>19</v>
      </c>
      <c r="F22" s="69"/>
      <c r="G22" s="68"/>
      <c r="H22" s="63"/>
    </row>
    <row r="23" spans="1:8" s="37" customFormat="1" x14ac:dyDescent="0.2">
      <c r="A23" s="126"/>
      <c r="B23" s="125"/>
      <c r="C23" s="65"/>
      <c r="D23" s="64"/>
      <c r="E23" s="64"/>
      <c r="F23" s="93" t="s">
        <v>30</v>
      </c>
      <c r="G23" s="71">
        <f>SUM(G20:G22)</f>
        <v>0</v>
      </c>
      <c r="H23" s="63"/>
    </row>
    <row r="24" spans="1:8" s="37" customFormat="1" x14ac:dyDescent="0.2">
      <c r="A24" s="124"/>
      <c r="B24" s="123"/>
      <c r="C24" s="106"/>
      <c r="D24" s="52"/>
      <c r="E24" s="52"/>
      <c r="F24" s="95"/>
      <c r="G24" s="83"/>
      <c r="H24" s="49"/>
    </row>
    <row r="25" spans="1:8" s="37" customFormat="1" ht="13.5" thickBot="1" x14ac:dyDescent="0.25">
      <c r="A25" s="122"/>
      <c r="B25" s="121"/>
      <c r="C25" s="120"/>
      <c r="D25" s="183" t="s">
        <v>31</v>
      </c>
      <c r="E25" s="184"/>
      <c r="F25" s="185"/>
      <c r="G25" s="119">
        <f>SUM(G23,G18,G14)</f>
        <v>0</v>
      </c>
      <c r="H25" s="118"/>
    </row>
    <row r="26" spans="1:8" x14ac:dyDescent="0.2">
      <c r="A26" s="117"/>
      <c r="B26" s="116"/>
      <c r="C26" s="115"/>
      <c r="D26" s="114"/>
      <c r="E26" s="113"/>
      <c r="F26" s="112"/>
      <c r="G26" s="111"/>
      <c r="H26" s="110"/>
    </row>
    <row r="27" spans="1:8" x14ac:dyDescent="0.2">
      <c r="A27" s="109"/>
      <c r="B27" s="108"/>
      <c r="C27" s="107" t="s">
        <v>32</v>
      </c>
      <c r="D27" s="75"/>
      <c r="E27" s="75"/>
      <c r="F27" s="73"/>
      <c r="G27" s="100"/>
      <c r="H27" s="72"/>
    </row>
    <row r="28" spans="1:8" x14ac:dyDescent="0.2">
      <c r="A28" s="174" t="s">
        <v>241</v>
      </c>
      <c r="B28" s="175"/>
      <c r="C28" s="94" t="s">
        <v>34</v>
      </c>
      <c r="D28" s="64"/>
      <c r="E28" s="64"/>
      <c r="F28" s="69"/>
      <c r="G28" s="68"/>
      <c r="H28" s="63"/>
    </row>
    <row r="29" spans="1:8" x14ac:dyDescent="0.2">
      <c r="A29" s="70" t="s">
        <v>241</v>
      </c>
      <c r="B29" s="92" t="s">
        <v>17</v>
      </c>
      <c r="C29" s="65" t="s">
        <v>18</v>
      </c>
      <c r="D29" s="64">
        <v>12</v>
      </c>
      <c r="E29" s="64" t="s">
        <v>19</v>
      </c>
      <c r="F29" s="69"/>
      <c r="G29" s="68"/>
      <c r="H29" s="86"/>
    </row>
    <row r="30" spans="1:8" x14ac:dyDescent="0.2">
      <c r="A30" s="70" t="s">
        <v>241</v>
      </c>
      <c r="B30" s="92" t="s">
        <v>20</v>
      </c>
      <c r="C30" s="65" t="s">
        <v>21</v>
      </c>
      <c r="D30" s="64">
        <v>12</v>
      </c>
      <c r="E30" s="64" t="s">
        <v>19</v>
      </c>
      <c r="F30" s="69"/>
      <c r="G30" s="68"/>
      <c r="H30" s="86"/>
    </row>
    <row r="31" spans="1:8" x14ac:dyDescent="0.2">
      <c r="A31" s="70" t="s">
        <v>241</v>
      </c>
      <c r="B31" s="92" t="s">
        <v>35</v>
      </c>
      <c r="C31" s="98" t="s">
        <v>36</v>
      </c>
      <c r="D31" s="64">
        <v>12</v>
      </c>
      <c r="E31" s="64" t="s">
        <v>19</v>
      </c>
      <c r="F31" s="69"/>
      <c r="G31" s="68"/>
      <c r="H31" s="86"/>
    </row>
    <row r="32" spans="1:8" x14ac:dyDescent="0.2">
      <c r="A32" s="97"/>
      <c r="B32" s="96"/>
      <c r="C32" s="65"/>
      <c r="D32" s="171" t="s">
        <v>37</v>
      </c>
      <c r="E32" s="172"/>
      <c r="F32" s="173"/>
      <c r="G32" s="69">
        <f>SUM(G29:G31)</f>
        <v>0</v>
      </c>
      <c r="H32" s="86"/>
    </row>
    <row r="33" spans="1:8" x14ac:dyDescent="0.2">
      <c r="A33" s="91"/>
      <c r="B33" s="54"/>
      <c r="C33" s="106"/>
      <c r="D33" s="52"/>
      <c r="E33" s="52"/>
      <c r="F33" s="95"/>
      <c r="G33" s="83"/>
      <c r="H33" s="49"/>
    </row>
    <row r="34" spans="1:8" x14ac:dyDescent="0.2">
      <c r="A34" s="174" t="s">
        <v>242</v>
      </c>
      <c r="B34" s="175"/>
      <c r="C34" s="94" t="s">
        <v>39</v>
      </c>
      <c r="D34" s="64"/>
      <c r="E34" s="64"/>
      <c r="F34" s="69"/>
      <c r="G34" s="68"/>
      <c r="H34" s="63"/>
    </row>
    <row r="35" spans="1:8" ht="25.5" x14ac:dyDescent="0.2">
      <c r="A35" s="70" t="s">
        <v>242</v>
      </c>
      <c r="B35" s="66" t="s">
        <v>17</v>
      </c>
      <c r="C35" s="65" t="s">
        <v>191</v>
      </c>
      <c r="D35" s="64">
        <v>12</v>
      </c>
      <c r="E35" s="64" t="s">
        <v>19</v>
      </c>
      <c r="F35" s="69"/>
      <c r="G35" s="68"/>
      <c r="H35" s="86"/>
    </row>
    <row r="36" spans="1:8" x14ac:dyDescent="0.2">
      <c r="A36" s="70"/>
      <c r="B36" s="96"/>
      <c r="C36" s="65"/>
      <c r="D36" s="186" t="s">
        <v>41</v>
      </c>
      <c r="E36" s="187"/>
      <c r="F36" s="188"/>
      <c r="G36" s="69">
        <f>SUM(G35:G35)</f>
        <v>0</v>
      </c>
      <c r="H36" s="63"/>
    </row>
    <row r="37" spans="1:8" x14ac:dyDescent="0.2">
      <c r="A37" s="85"/>
      <c r="B37" s="84"/>
      <c r="C37" s="53"/>
      <c r="D37" s="52"/>
      <c r="E37" s="52"/>
      <c r="F37" s="95"/>
      <c r="G37" s="83"/>
      <c r="H37" s="49"/>
    </row>
    <row r="38" spans="1:8" x14ac:dyDescent="0.2">
      <c r="A38" s="174" t="s">
        <v>243</v>
      </c>
      <c r="B38" s="175"/>
      <c r="C38" s="94" t="s">
        <v>43</v>
      </c>
      <c r="D38" s="64"/>
      <c r="E38" s="103"/>
      <c r="F38" s="68"/>
      <c r="G38" s="69"/>
      <c r="H38" s="86"/>
    </row>
    <row r="39" spans="1:8" x14ac:dyDescent="0.2">
      <c r="A39" s="70" t="s">
        <v>243</v>
      </c>
      <c r="B39" s="66" t="s">
        <v>17</v>
      </c>
      <c r="C39" s="98" t="s">
        <v>44</v>
      </c>
      <c r="D39" s="64">
        <v>12</v>
      </c>
      <c r="E39" s="64" t="s">
        <v>19</v>
      </c>
      <c r="F39" s="69"/>
      <c r="G39" s="68"/>
      <c r="H39" s="63"/>
    </row>
    <row r="40" spans="1:8" ht="15" x14ac:dyDescent="0.25">
      <c r="A40" s="97"/>
      <c r="B40" s="96"/>
      <c r="C40" s="182" t="s">
        <v>45</v>
      </c>
      <c r="D40" s="177"/>
      <c r="E40" s="177"/>
      <c r="F40" s="178"/>
      <c r="G40" s="71">
        <f>SUM(G39:G39)</f>
        <v>0</v>
      </c>
      <c r="H40" s="63"/>
    </row>
    <row r="41" spans="1:8" s="37" customFormat="1" x14ac:dyDescent="0.2">
      <c r="A41" s="85"/>
      <c r="B41" s="84"/>
      <c r="C41" s="53"/>
      <c r="D41" s="52"/>
      <c r="E41" s="52"/>
      <c r="F41" s="95"/>
      <c r="G41" s="83"/>
      <c r="H41" s="49"/>
    </row>
    <row r="42" spans="1:8" s="37" customFormat="1" x14ac:dyDescent="0.2">
      <c r="A42" s="174" t="s">
        <v>244</v>
      </c>
      <c r="B42" s="175"/>
      <c r="C42" s="88" t="s">
        <v>47</v>
      </c>
      <c r="D42" s="64"/>
      <c r="E42" s="64"/>
      <c r="F42" s="69"/>
      <c r="G42" s="69"/>
      <c r="H42" s="63"/>
    </row>
    <row r="43" spans="1:8" s="37" customFormat="1" x14ac:dyDescent="0.2">
      <c r="A43" s="70" t="s">
        <v>244</v>
      </c>
      <c r="B43" s="66" t="s">
        <v>17</v>
      </c>
      <c r="C43" s="98" t="s">
        <v>29</v>
      </c>
      <c r="D43" s="64">
        <v>12</v>
      </c>
      <c r="E43" s="64" t="s">
        <v>19</v>
      </c>
      <c r="F43" s="69"/>
      <c r="G43" s="68"/>
      <c r="H43" s="86"/>
    </row>
    <row r="44" spans="1:8" s="37" customFormat="1" x14ac:dyDescent="0.2">
      <c r="A44" s="70"/>
      <c r="B44" s="66"/>
      <c r="C44" s="171" t="s">
        <v>48</v>
      </c>
      <c r="D44" s="172"/>
      <c r="E44" s="172"/>
      <c r="F44" s="173"/>
      <c r="G44" s="71">
        <f>SUM(G43:G43)</f>
        <v>0</v>
      </c>
      <c r="H44" s="86"/>
    </row>
    <row r="45" spans="1:8" s="37" customFormat="1" x14ac:dyDescent="0.2">
      <c r="A45" s="91"/>
      <c r="B45" s="54"/>
      <c r="C45" s="105"/>
      <c r="D45" s="52"/>
      <c r="E45" s="104"/>
      <c r="F45" s="83"/>
      <c r="G45" s="50"/>
      <c r="H45" s="82"/>
    </row>
    <row r="46" spans="1:8" s="37" customFormat="1" x14ac:dyDescent="0.2">
      <c r="A46" s="174" t="s">
        <v>245</v>
      </c>
      <c r="B46" s="175"/>
      <c r="C46" s="88" t="s">
        <v>50</v>
      </c>
      <c r="D46" s="64"/>
      <c r="E46" s="103"/>
      <c r="F46" s="68"/>
      <c r="G46" s="69"/>
      <c r="H46" s="86"/>
    </row>
    <row r="47" spans="1:8" s="37" customFormat="1" x14ac:dyDescent="0.2">
      <c r="A47" s="70" t="s">
        <v>245</v>
      </c>
      <c r="B47" s="66" t="s">
        <v>17</v>
      </c>
      <c r="C47" s="98" t="s">
        <v>44</v>
      </c>
      <c r="D47" s="64">
        <v>12</v>
      </c>
      <c r="E47" s="64" t="s">
        <v>19</v>
      </c>
      <c r="F47" s="69"/>
      <c r="G47" s="68"/>
      <c r="H47" s="86"/>
    </row>
    <row r="48" spans="1:8" s="37" customFormat="1" x14ac:dyDescent="0.2">
      <c r="A48" s="70"/>
      <c r="B48" s="66"/>
      <c r="C48" s="171" t="s">
        <v>51</v>
      </c>
      <c r="D48" s="172"/>
      <c r="E48" s="172"/>
      <c r="F48" s="173"/>
      <c r="G48" s="43">
        <f>SUM(G47:G47)</f>
        <v>0</v>
      </c>
      <c r="H48" s="86"/>
    </row>
    <row r="49" spans="1:8" s="37" customFormat="1" x14ac:dyDescent="0.2">
      <c r="A49" s="91"/>
      <c r="B49" s="54"/>
      <c r="C49" s="90"/>
      <c r="D49" s="52"/>
      <c r="E49" s="104"/>
      <c r="F49" s="83"/>
      <c r="G49" s="50"/>
      <c r="H49" s="82"/>
    </row>
    <row r="50" spans="1:8" s="37" customFormat="1" x14ac:dyDescent="0.2">
      <c r="A50" s="174" t="s">
        <v>246</v>
      </c>
      <c r="B50" s="175"/>
      <c r="C50" s="94" t="s">
        <v>53</v>
      </c>
      <c r="D50" s="64"/>
      <c r="E50" s="103"/>
      <c r="F50" s="68"/>
      <c r="G50" s="69"/>
      <c r="H50" s="86"/>
    </row>
    <row r="51" spans="1:8" s="37" customFormat="1" x14ac:dyDescent="0.2">
      <c r="A51" s="70" t="s">
        <v>246</v>
      </c>
      <c r="B51" s="66" t="s">
        <v>17</v>
      </c>
      <c r="C51" s="98" t="s">
        <v>29</v>
      </c>
      <c r="D51" s="64">
        <v>12</v>
      </c>
      <c r="E51" s="64" t="s">
        <v>19</v>
      </c>
      <c r="F51" s="69"/>
      <c r="G51" s="68"/>
      <c r="H51" s="86"/>
    </row>
    <row r="52" spans="1:8" s="37" customFormat="1" x14ac:dyDescent="0.2">
      <c r="A52" s="70"/>
      <c r="B52" s="66"/>
      <c r="C52" s="171" t="s">
        <v>54</v>
      </c>
      <c r="D52" s="172"/>
      <c r="E52" s="172"/>
      <c r="F52" s="173"/>
      <c r="G52" s="43">
        <f>SUM(G51:G51)</f>
        <v>0</v>
      </c>
      <c r="H52" s="63"/>
    </row>
    <row r="53" spans="1:8" x14ac:dyDescent="0.2">
      <c r="A53" s="91"/>
      <c r="B53" s="54"/>
      <c r="C53" s="53"/>
      <c r="D53" s="52"/>
      <c r="E53" s="52"/>
      <c r="F53" s="50"/>
      <c r="G53" s="83"/>
      <c r="H53" s="49"/>
    </row>
    <row r="54" spans="1:8" x14ac:dyDescent="0.2">
      <c r="A54" s="174" t="s">
        <v>247</v>
      </c>
      <c r="B54" s="175"/>
      <c r="C54" s="94" t="s">
        <v>56</v>
      </c>
      <c r="D54" s="64"/>
      <c r="E54" s="64"/>
      <c r="F54" s="69"/>
      <c r="G54" s="68"/>
      <c r="H54" s="63"/>
    </row>
    <row r="55" spans="1:8" x14ac:dyDescent="0.2">
      <c r="A55" s="70" t="s">
        <v>247</v>
      </c>
      <c r="B55" s="66" t="s">
        <v>17</v>
      </c>
      <c r="C55" s="98" t="s">
        <v>29</v>
      </c>
      <c r="D55" s="64">
        <v>12</v>
      </c>
      <c r="E55" s="64" t="s">
        <v>19</v>
      </c>
      <c r="F55" s="69"/>
      <c r="G55" s="68"/>
      <c r="H55" s="63"/>
    </row>
    <row r="56" spans="1:8" x14ac:dyDescent="0.2">
      <c r="A56" s="97"/>
      <c r="B56" s="96"/>
      <c r="C56" s="171" t="s">
        <v>57</v>
      </c>
      <c r="D56" s="172"/>
      <c r="E56" s="172"/>
      <c r="F56" s="173"/>
      <c r="G56" s="71">
        <f>SUM(G55:G55)</f>
        <v>0</v>
      </c>
      <c r="H56" s="63"/>
    </row>
    <row r="57" spans="1:8" ht="15" x14ac:dyDescent="0.25">
      <c r="A57" s="91"/>
      <c r="B57" s="54"/>
      <c r="C57" s="53"/>
      <c r="D57" s="176" t="s">
        <v>58</v>
      </c>
      <c r="E57" s="177"/>
      <c r="F57" s="178"/>
      <c r="G57" s="164">
        <f>SUM(G56,G52,G48,G44,G40,G36,G32)</f>
        <v>0</v>
      </c>
      <c r="H57" s="49"/>
    </row>
    <row r="58" spans="1:8" x14ac:dyDescent="0.2">
      <c r="A58" s="102"/>
      <c r="B58" s="102"/>
      <c r="C58" s="101"/>
      <c r="D58" s="75"/>
      <c r="E58" s="75"/>
      <c r="F58" s="73"/>
      <c r="G58" s="100"/>
      <c r="H58" s="99"/>
    </row>
    <row r="59" spans="1:8" x14ac:dyDescent="0.2">
      <c r="A59" s="174" t="s">
        <v>248</v>
      </c>
      <c r="B59" s="175"/>
      <c r="C59" s="94" t="s">
        <v>60</v>
      </c>
      <c r="D59" s="64"/>
      <c r="E59" s="64"/>
      <c r="F59" s="69"/>
      <c r="G59" s="68"/>
      <c r="H59" s="63"/>
    </row>
    <row r="60" spans="1:8" x14ac:dyDescent="0.2">
      <c r="A60" s="70" t="s">
        <v>248</v>
      </c>
      <c r="B60" s="66" t="s">
        <v>17</v>
      </c>
      <c r="C60" s="65" t="s">
        <v>18</v>
      </c>
      <c r="D60" s="64">
        <v>12</v>
      </c>
      <c r="E60" s="64" t="s">
        <v>19</v>
      </c>
      <c r="F60" s="69"/>
      <c r="G60" s="68"/>
      <c r="H60" s="63"/>
    </row>
    <row r="61" spans="1:8" x14ac:dyDescent="0.2">
      <c r="A61" s="70" t="s">
        <v>248</v>
      </c>
      <c r="B61" s="66" t="s">
        <v>20</v>
      </c>
      <c r="C61" s="98" t="s">
        <v>36</v>
      </c>
      <c r="D61" s="64">
        <v>12</v>
      </c>
      <c r="E61" s="64" t="s">
        <v>19</v>
      </c>
      <c r="F61" s="69"/>
      <c r="G61" s="68"/>
      <c r="H61" s="63"/>
    </row>
    <row r="62" spans="1:8" x14ac:dyDescent="0.2">
      <c r="A62" s="97"/>
      <c r="B62" s="96"/>
      <c r="C62" s="65"/>
      <c r="D62" s="171" t="s">
        <v>61</v>
      </c>
      <c r="E62" s="172"/>
      <c r="F62" s="173"/>
      <c r="G62" s="71">
        <f>SUM(G60:G61)</f>
        <v>0</v>
      </c>
      <c r="H62" s="63"/>
    </row>
    <row r="63" spans="1:8" x14ac:dyDescent="0.2">
      <c r="A63" s="85"/>
      <c r="B63" s="84"/>
      <c r="C63" s="53"/>
      <c r="D63" s="52"/>
      <c r="E63" s="52"/>
      <c r="F63" s="50"/>
      <c r="G63" s="83"/>
      <c r="H63" s="49"/>
    </row>
    <row r="64" spans="1:8" x14ac:dyDescent="0.2">
      <c r="A64" s="174" t="s">
        <v>249</v>
      </c>
      <c r="B64" s="175"/>
      <c r="C64" s="94" t="s">
        <v>63</v>
      </c>
      <c r="D64" s="64"/>
      <c r="E64" s="64"/>
      <c r="F64" s="69"/>
      <c r="G64" s="68"/>
      <c r="H64" s="63"/>
    </row>
    <row r="65" spans="1:8" x14ac:dyDescent="0.2">
      <c r="A65" s="70" t="s">
        <v>249</v>
      </c>
      <c r="B65" s="66" t="s">
        <v>17</v>
      </c>
      <c r="C65" s="65" t="s">
        <v>44</v>
      </c>
      <c r="D65" s="64">
        <v>12</v>
      </c>
      <c r="E65" s="64" t="s">
        <v>19</v>
      </c>
      <c r="F65" s="69"/>
      <c r="G65" s="68"/>
      <c r="H65" s="63"/>
    </row>
    <row r="66" spans="1:8" s="37" customFormat="1" x14ac:dyDescent="0.2">
      <c r="A66" s="70" t="s">
        <v>249</v>
      </c>
      <c r="B66" s="66" t="s">
        <v>20</v>
      </c>
      <c r="C66" s="65" t="s">
        <v>29</v>
      </c>
      <c r="D66" s="64">
        <v>12</v>
      </c>
      <c r="E66" s="64" t="s">
        <v>19</v>
      </c>
      <c r="F66" s="69"/>
      <c r="G66" s="68"/>
      <c r="H66" s="63"/>
    </row>
    <row r="67" spans="1:8" s="37" customFormat="1" x14ac:dyDescent="0.2">
      <c r="A67" s="97"/>
      <c r="B67" s="96"/>
      <c r="C67" s="65"/>
      <c r="D67" s="171" t="s">
        <v>64</v>
      </c>
      <c r="E67" s="172"/>
      <c r="F67" s="173"/>
      <c r="G67" s="71">
        <f>SUM(G65:G66)</f>
        <v>0</v>
      </c>
      <c r="H67" s="63"/>
    </row>
    <row r="68" spans="1:8" s="37" customFormat="1" x14ac:dyDescent="0.2">
      <c r="A68" s="85"/>
      <c r="B68" s="84"/>
      <c r="C68" s="53"/>
      <c r="D68" s="52"/>
      <c r="E68" s="52"/>
      <c r="F68" s="50"/>
      <c r="G68" s="83"/>
      <c r="H68" s="49"/>
    </row>
    <row r="69" spans="1:8" s="37" customFormat="1" x14ac:dyDescent="0.2">
      <c r="A69" s="174" t="s">
        <v>250</v>
      </c>
      <c r="B69" s="175"/>
      <c r="C69" s="94" t="s">
        <v>66</v>
      </c>
      <c r="D69" s="64"/>
      <c r="E69" s="64"/>
      <c r="F69" s="69"/>
      <c r="G69" s="68"/>
      <c r="H69" s="63"/>
    </row>
    <row r="70" spans="1:8" s="37" customFormat="1" x14ac:dyDescent="0.2">
      <c r="A70" s="70" t="s">
        <v>250</v>
      </c>
      <c r="B70" s="66" t="s">
        <v>17</v>
      </c>
      <c r="C70" s="98" t="s">
        <v>29</v>
      </c>
      <c r="D70" s="64">
        <v>12</v>
      </c>
      <c r="E70" s="64" t="s">
        <v>19</v>
      </c>
      <c r="F70" s="69"/>
      <c r="G70" s="163"/>
      <c r="H70" s="63"/>
    </row>
    <row r="71" spans="1:8" s="37" customFormat="1" x14ac:dyDescent="0.2">
      <c r="A71" s="97"/>
      <c r="B71" s="96"/>
      <c r="C71" s="171" t="s">
        <v>67</v>
      </c>
      <c r="D71" s="172"/>
      <c r="E71" s="172"/>
      <c r="F71" s="173"/>
      <c r="G71" s="71">
        <f>SUM(G70:G70)</f>
        <v>0</v>
      </c>
      <c r="H71" s="63"/>
    </row>
    <row r="72" spans="1:8" s="37" customFormat="1" x14ac:dyDescent="0.2">
      <c r="A72" s="85"/>
      <c r="B72" s="84"/>
      <c r="C72" s="53"/>
      <c r="D72" s="52"/>
      <c r="E72" s="52"/>
      <c r="F72" s="50"/>
      <c r="G72" s="83"/>
      <c r="H72" s="49"/>
    </row>
    <row r="73" spans="1:8" s="37" customFormat="1" x14ac:dyDescent="0.2">
      <c r="A73" s="174" t="s">
        <v>251</v>
      </c>
      <c r="B73" s="175"/>
      <c r="C73" s="94" t="s">
        <v>69</v>
      </c>
      <c r="D73" s="64"/>
      <c r="E73" s="64"/>
      <c r="F73" s="69"/>
      <c r="G73" s="68"/>
      <c r="H73" s="63"/>
    </row>
    <row r="74" spans="1:8" s="37" customFormat="1" x14ac:dyDescent="0.2">
      <c r="A74" s="70" t="s">
        <v>251</v>
      </c>
      <c r="B74" s="66" t="s">
        <v>17</v>
      </c>
      <c r="C74" s="65" t="s">
        <v>201</v>
      </c>
      <c r="D74" s="64">
        <v>12</v>
      </c>
      <c r="E74" s="64" t="s">
        <v>19</v>
      </c>
      <c r="F74" s="69"/>
      <c r="G74" s="68"/>
      <c r="H74" s="63"/>
    </row>
    <row r="75" spans="1:8" s="37" customFormat="1" x14ac:dyDescent="0.2">
      <c r="A75" s="70" t="s">
        <v>251</v>
      </c>
      <c r="B75" s="66" t="s">
        <v>20</v>
      </c>
      <c r="C75" s="98" t="s">
        <v>191</v>
      </c>
      <c r="D75" s="64">
        <v>12</v>
      </c>
      <c r="E75" s="64" t="s">
        <v>19</v>
      </c>
      <c r="F75" s="69"/>
      <c r="G75" s="68"/>
      <c r="H75" s="63"/>
    </row>
    <row r="76" spans="1:8" s="37" customFormat="1" x14ac:dyDescent="0.2">
      <c r="A76" s="97"/>
      <c r="B76" s="96"/>
      <c r="C76" s="171" t="s">
        <v>70</v>
      </c>
      <c r="D76" s="172"/>
      <c r="E76" s="172"/>
      <c r="F76" s="173"/>
      <c r="G76" s="43">
        <f>SUM(G74:G75)</f>
        <v>0</v>
      </c>
      <c r="H76" s="63"/>
    </row>
    <row r="77" spans="1:8" s="37" customFormat="1" x14ac:dyDescent="0.2">
      <c r="A77" s="85"/>
      <c r="B77" s="84"/>
      <c r="C77" s="53"/>
      <c r="D77" s="52"/>
      <c r="E77" s="52"/>
      <c r="F77" s="95"/>
      <c r="G77" s="50"/>
      <c r="H77" s="49"/>
    </row>
    <row r="78" spans="1:8" x14ac:dyDescent="0.2">
      <c r="A78" s="174" t="s">
        <v>252</v>
      </c>
      <c r="B78" s="175"/>
      <c r="C78" s="94" t="s">
        <v>72</v>
      </c>
      <c r="D78" s="64"/>
      <c r="E78" s="64"/>
      <c r="F78" s="93"/>
      <c r="G78" s="69"/>
      <c r="H78" s="63"/>
    </row>
    <row r="79" spans="1:8" x14ac:dyDescent="0.2">
      <c r="A79" s="70" t="s">
        <v>252</v>
      </c>
      <c r="B79" s="66" t="s">
        <v>17</v>
      </c>
      <c r="C79" s="65" t="s">
        <v>29</v>
      </c>
      <c r="D79" s="64">
        <v>12</v>
      </c>
      <c r="E79" s="64" t="s">
        <v>19</v>
      </c>
      <c r="F79" s="69"/>
      <c r="G79" s="68"/>
      <c r="H79" s="63"/>
    </row>
    <row r="80" spans="1:8" x14ac:dyDescent="0.2">
      <c r="A80" s="97"/>
      <c r="B80" s="96"/>
      <c r="C80" s="171" t="s">
        <v>73</v>
      </c>
      <c r="D80" s="172"/>
      <c r="E80" s="172"/>
      <c r="F80" s="173"/>
      <c r="G80" s="43">
        <f>SUM(G79:G79)</f>
        <v>0</v>
      </c>
      <c r="H80" s="63"/>
    </row>
    <row r="81" spans="1:8" x14ac:dyDescent="0.2">
      <c r="A81" s="85"/>
      <c r="B81" s="84"/>
      <c r="C81" s="53"/>
      <c r="D81" s="52"/>
      <c r="E81" s="52"/>
      <c r="F81" s="95"/>
      <c r="G81" s="50"/>
      <c r="H81" s="49"/>
    </row>
    <row r="82" spans="1:8" x14ac:dyDescent="0.2">
      <c r="A82" s="174" t="s">
        <v>253</v>
      </c>
      <c r="B82" s="175"/>
      <c r="C82" s="94" t="s">
        <v>75</v>
      </c>
      <c r="D82" s="64"/>
      <c r="E82" s="64"/>
      <c r="F82" s="93"/>
      <c r="G82" s="69"/>
      <c r="H82" s="63"/>
    </row>
    <row r="83" spans="1:8" x14ac:dyDescent="0.2">
      <c r="A83" s="70" t="s">
        <v>253</v>
      </c>
      <c r="B83" s="92" t="s">
        <v>17</v>
      </c>
      <c r="C83" s="65" t="s">
        <v>18</v>
      </c>
      <c r="D83" s="64">
        <v>12</v>
      </c>
      <c r="E83" s="64" t="s">
        <v>19</v>
      </c>
      <c r="F83" s="69"/>
      <c r="G83" s="68"/>
      <c r="H83" s="63"/>
    </row>
    <row r="84" spans="1:8" x14ac:dyDescent="0.2">
      <c r="A84" s="70"/>
      <c r="B84" s="66"/>
      <c r="C84" s="88"/>
      <c r="D84" s="165" t="s">
        <v>76</v>
      </c>
      <c r="E84" s="166"/>
      <c r="F84" s="167"/>
      <c r="G84" s="43">
        <f>SUM(G83:G83)</f>
        <v>0</v>
      </c>
      <c r="H84" s="86"/>
    </row>
    <row r="85" spans="1:8" x14ac:dyDescent="0.2">
      <c r="A85" s="91"/>
      <c r="B85" s="54"/>
      <c r="C85" s="90"/>
      <c r="D85" s="52"/>
      <c r="E85" s="89"/>
      <c r="F85" s="89"/>
      <c r="G85" s="50"/>
      <c r="H85" s="82"/>
    </row>
    <row r="86" spans="1:8" x14ac:dyDescent="0.2">
      <c r="A86" s="174" t="s">
        <v>254</v>
      </c>
      <c r="B86" s="175"/>
      <c r="C86" s="94" t="s">
        <v>78</v>
      </c>
      <c r="D86" s="64"/>
      <c r="E86" s="64"/>
      <c r="F86" s="93"/>
      <c r="G86" s="69"/>
      <c r="H86" s="63"/>
    </row>
    <row r="87" spans="1:8" x14ac:dyDescent="0.2">
      <c r="A87" s="70" t="s">
        <v>254</v>
      </c>
      <c r="B87" s="92" t="s">
        <v>17</v>
      </c>
      <c r="C87" s="65" t="s">
        <v>18</v>
      </c>
      <c r="D87" s="64">
        <v>12</v>
      </c>
      <c r="E87" s="64" t="s">
        <v>19</v>
      </c>
      <c r="F87" s="69"/>
      <c r="G87" s="68"/>
      <c r="H87" s="63"/>
    </row>
    <row r="88" spans="1:8" x14ac:dyDescent="0.2">
      <c r="A88" s="70"/>
      <c r="B88" s="66"/>
      <c r="C88" s="88"/>
      <c r="D88" s="165" t="s">
        <v>79</v>
      </c>
      <c r="E88" s="166"/>
      <c r="F88" s="167"/>
      <c r="G88" s="43">
        <f>SUM(G87:G87)</f>
        <v>0</v>
      </c>
      <c r="H88" s="86"/>
    </row>
    <row r="89" spans="1:8" x14ac:dyDescent="0.2">
      <c r="A89" s="91"/>
      <c r="B89" s="54"/>
      <c r="C89" s="90"/>
      <c r="D89" s="52"/>
      <c r="E89" s="89"/>
      <c r="F89" s="89"/>
      <c r="G89" s="50"/>
      <c r="H89" s="82"/>
    </row>
    <row r="90" spans="1:8" x14ac:dyDescent="0.2">
      <c r="A90" s="174" t="s">
        <v>255</v>
      </c>
      <c r="B90" s="175"/>
      <c r="C90" s="94" t="s">
        <v>81</v>
      </c>
      <c r="D90" s="64"/>
      <c r="E90" s="64"/>
      <c r="F90" s="93"/>
      <c r="G90" s="69"/>
      <c r="H90" s="63"/>
    </row>
    <row r="91" spans="1:8" x14ac:dyDescent="0.2">
      <c r="A91" s="70" t="s">
        <v>255</v>
      </c>
      <c r="B91" s="92" t="s">
        <v>17</v>
      </c>
      <c r="C91" s="65" t="s">
        <v>18</v>
      </c>
      <c r="D91" s="64">
        <v>12</v>
      </c>
      <c r="E91" s="64" t="s">
        <v>19</v>
      </c>
      <c r="F91" s="69"/>
      <c r="G91" s="68"/>
      <c r="H91" s="63"/>
    </row>
    <row r="92" spans="1:8" x14ac:dyDescent="0.2">
      <c r="A92" s="70"/>
      <c r="B92" s="66"/>
      <c r="C92" s="88"/>
      <c r="D92" s="165" t="s">
        <v>206</v>
      </c>
      <c r="E92" s="166"/>
      <c r="F92" s="167"/>
      <c r="G92" s="43">
        <f>SUM(G91:G91)</f>
        <v>0</v>
      </c>
      <c r="H92" s="86"/>
    </row>
    <row r="93" spans="1:8" ht="15" x14ac:dyDescent="0.25">
      <c r="A93" s="91"/>
      <c r="B93" s="54"/>
      <c r="C93" s="90"/>
      <c r="D93" s="176" t="s">
        <v>83</v>
      </c>
      <c r="E93" s="177"/>
      <c r="F93" s="178"/>
      <c r="G93" s="95">
        <f>SUM(G92,G88,G84,G80,G76,G71,G67,G62)</f>
        <v>0</v>
      </c>
      <c r="H93" s="82"/>
    </row>
    <row r="94" spans="1:8" x14ac:dyDescent="0.2">
      <c r="A94" s="81"/>
      <c r="B94" s="61"/>
      <c r="C94" s="80"/>
      <c r="D94" s="179" t="s">
        <v>84</v>
      </c>
      <c r="E94" s="180"/>
      <c r="F94" s="181"/>
      <c r="G94" s="57">
        <f>SUM(G93,G57)</f>
        <v>0</v>
      </c>
      <c r="H94" s="79"/>
    </row>
    <row r="95" spans="1:8" x14ac:dyDescent="0.2">
      <c r="A95" s="70"/>
      <c r="B95" s="66"/>
      <c r="C95" s="88"/>
      <c r="D95" s="64"/>
      <c r="E95" s="87"/>
      <c r="F95" s="87"/>
      <c r="G95" s="69"/>
      <c r="H95" s="86"/>
    </row>
    <row r="96" spans="1:8" x14ac:dyDescent="0.2">
      <c r="A96" s="78"/>
      <c r="B96" s="77"/>
      <c r="C96" s="76" t="s">
        <v>85</v>
      </c>
      <c r="D96" s="75"/>
      <c r="E96" s="74"/>
      <c r="F96" s="74"/>
      <c r="G96" s="73"/>
      <c r="H96" s="72"/>
    </row>
    <row r="97" spans="1:8" x14ac:dyDescent="0.2">
      <c r="A97" s="174" t="s">
        <v>256</v>
      </c>
      <c r="B97" s="175"/>
      <c r="C97" s="88" t="s">
        <v>87</v>
      </c>
      <c r="D97" s="64"/>
      <c r="E97" s="87"/>
      <c r="F97" s="87"/>
      <c r="G97" s="69"/>
      <c r="H97" s="86"/>
    </row>
    <row r="98" spans="1:8" x14ac:dyDescent="0.2">
      <c r="A98" s="70" t="s">
        <v>256</v>
      </c>
      <c r="B98" s="92" t="s">
        <v>17</v>
      </c>
      <c r="C98" s="65" t="s">
        <v>18</v>
      </c>
      <c r="D98" s="64">
        <v>12</v>
      </c>
      <c r="E98" s="64" t="s">
        <v>19</v>
      </c>
      <c r="F98" s="69"/>
      <c r="G98" s="68"/>
      <c r="H98" s="86"/>
    </row>
    <row r="99" spans="1:8" x14ac:dyDescent="0.2">
      <c r="A99" s="70" t="s">
        <v>256</v>
      </c>
      <c r="B99" s="92" t="s">
        <v>20</v>
      </c>
      <c r="C99" s="65" t="s">
        <v>21</v>
      </c>
      <c r="D99" s="64">
        <v>12</v>
      </c>
      <c r="E99" s="64" t="s">
        <v>19</v>
      </c>
      <c r="F99" s="69"/>
      <c r="G99" s="68"/>
      <c r="H99" s="86"/>
    </row>
    <row r="100" spans="1:8" x14ac:dyDescent="0.2">
      <c r="A100" s="70"/>
      <c r="B100" s="66"/>
      <c r="C100" s="165" t="s">
        <v>88</v>
      </c>
      <c r="D100" s="166"/>
      <c r="E100" s="166"/>
      <c r="F100" s="167"/>
      <c r="G100" s="43">
        <f>SUM(G98:G99)</f>
        <v>0</v>
      </c>
      <c r="H100" s="86"/>
    </row>
    <row r="101" spans="1:8" x14ac:dyDescent="0.2">
      <c r="A101" s="91"/>
      <c r="B101" s="54"/>
      <c r="C101" s="90"/>
      <c r="D101" s="52"/>
      <c r="E101" s="89"/>
      <c r="F101" s="89"/>
      <c r="G101" s="50"/>
      <c r="H101" s="82"/>
    </row>
    <row r="102" spans="1:8" s="37" customFormat="1" x14ac:dyDescent="0.2">
      <c r="A102" s="174" t="s">
        <v>257</v>
      </c>
      <c r="B102" s="175"/>
      <c r="C102" s="88" t="s">
        <v>90</v>
      </c>
      <c r="D102" s="64"/>
      <c r="E102" s="87"/>
      <c r="F102" s="87"/>
      <c r="G102" s="69"/>
      <c r="H102" s="86"/>
    </row>
    <row r="103" spans="1:8" s="37" customFormat="1" x14ac:dyDescent="0.2">
      <c r="A103" s="70" t="s">
        <v>257</v>
      </c>
      <c r="B103" s="66" t="s">
        <v>17</v>
      </c>
      <c r="C103" s="65" t="s">
        <v>18</v>
      </c>
      <c r="D103" s="64">
        <v>12</v>
      </c>
      <c r="E103" s="64" t="s">
        <v>19</v>
      </c>
      <c r="F103" s="69"/>
      <c r="G103" s="68"/>
      <c r="H103" s="86"/>
    </row>
    <row r="104" spans="1:8" s="37" customFormat="1" x14ac:dyDescent="0.2">
      <c r="A104" s="70"/>
      <c r="B104" s="66"/>
      <c r="C104" s="165" t="s">
        <v>91</v>
      </c>
      <c r="D104" s="166"/>
      <c r="E104" s="166"/>
      <c r="F104" s="167"/>
      <c r="G104" s="43">
        <f>SUM(G103:G103)</f>
        <v>0</v>
      </c>
      <c r="H104" s="86"/>
    </row>
    <row r="105" spans="1:8" s="37" customFormat="1" x14ac:dyDescent="0.2">
      <c r="A105" s="91"/>
      <c r="B105" s="54"/>
      <c r="C105" s="90"/>
      <c r="D105" s="52"/>
      <c r="E105" s="89"/>
      <c r="F105" s="89"/>
      <c r="G105" s="50"/>
      <c r="H105" s="82"/>
    </row>
    <row r="106" spans="1:8" s="37" customFormat="1" x14ac:dyDescent="0.2">
      <c r="A106" s="174" t="s">
        <v>258</v>
      </c>
      <c r="B106" s="175"/>
      <c r="C106" s="88" t="s">
        <v>93</v>
      </c>
      <c r="D106" s="64"/>
      <c r="E106" s="87"/>
      <c r="F106" s="87"/>
      <c r="G106" s="69"/>
      <c r="H106" s="86"/>
    </row>
    <row r="107" spans="1:8" s="37" customFormat="1" x14ac:dyDescent="0.2">
      <c r="A107" s="70" t="s">
        <v>258</v>
      </c>
      <c r="B107" s="92" t="s">
        <v>17</v>
      </c>
      <c r="C107" s="65" t="s">
        <v>29</v>
      </c>
      <c r="D107" s="64">
        <v>12</v>
      </c>
      <c r="E107" s="64" t="s">
        <v>19</v>
      </c>
      <c r="F107" s="69"/>
      <c r="G107" s="68"/>
      <c r="H107" s="86"/>
    </row>
    <row r="108" spans="1:8" s="37" customFormat="1" x14ac:dyDescent="0.2">
      <c r="A108" s="70"/>
      <c r="B108" s="66"/>
      <c r="C108" s="165" t="s">
        <v>94</v>
      </c>
      <c r="D108" s="166"/>
      <c r="E108" s="166"/>
      <c r="F108" s="167"/>
      <c r="G108" s="43">
        <f>SUM(G107:G107)</f>
        <v>0</v>
      </c>
      <c r="H108" s="86"/>
    </row>
    <row r="109" spans="1:8" s="37" customFormat="1" x14ac:dyDescent="0.2">
      <c r="A109" s="91"/>
      <c r="B109" s="54"/>
      <c r="C109" s="90"/>
      <c r="D109" s="52"/>
      <c r="E109" s="89"/>
      <c r="F109" s="89"/>
      <c r="G109" s="50"/>
      <c r="H109" s="82"/>
    </row>
    <row r="110" spans="1:8" s="37" customFormat="1" x14ac:dyDescent="0.2">
      <c r="A110" s="174" t="s">
        <v>259</v>
      </c>
      <c r="B110" s="175"/>
      <c r="C110" s="88" t="s">
        <v>96</v>
      </c>
      <c r="D110" s="64"/>
      <c r="E110" s="87"/>
      <c r="F110" s="87"/>
      <c r="G110" s="69"/>
      <c r="H110" s="86"/>
    </row>
    <row r="111" spans="1:8" s="37" customFormat="1" x14ac:dyDescent="0.2">
      <c r="A111" s="70" t="s">
        <v>259</v>
      </c>
      <c r="B111" s="66" t="s">
        <v>17</v>
      </c>
      <c r="C111" s="65" t="s">
        <v>97</v>
      </c>
      <c r="D111" s="64">
        <v>12</v>
      </c>
      <c r="E111" s="64" t="s">
        <v>19</v>
      </c>
      <c r="F111" s="69"/>
      <c r="G111" s="68"/>
      <c r="H111" s="86"/>
    </row>
    <row r="112" spans="1:8" s="37" customFormat="1" x14ac:dyDescent="0.2">
      <c r="A112" s="70"/>
      <c r="B112" s="66"/>
      <c r="C112" s="165" t="s">
        <v>98</v>
      </c>
      <c r="D112" s="166"/>
      <c r="E112" s="166"/>
      <c r="F112" s="167"/>
      <c r="G112" s="43">
        <f>SUM(G111:G111)</f>
        <v>0</v>
      </c>
      <c r="H112" s="86"/>
    </row>
    <row r="113" spans="1:8" x14ac:dyDescent="0.2">
      <c r="A113" s="55"/>
      <c r="B113" s="54"/>
      <c r="C113" s="53"/>
      <c r="D113" s="52"/>
      <c r="E113" s="51"/>
      <c r="F113" s="51"/>
      <c r="G113" s="50"/>
      <c r="H113" s="49"/>
    </row>
    <row r="114" spans="1:8" x14ac:dyDescent="0.2">
      <c r="A114" s="62"/>
      <c r="B114" s="61"/>
      <c r="C114" s="60"/>
      <c r="D114" s="59"/>
      <c r="E114" s="58"/>
      <c r="F114" s="58" t="s">
        <v>99</v>
      </c>
      <c r="G114" s="57">
        <f>SUM(G112,G108,G104,G100)</f>
        <v>0</v>
      </c>
      <c r="H114" s="56"/>
    </row>
    <row r="115" spans="1:8" x14ac:dyDescent="0.2">
      <c r="A115" s="48"/>
      <c r="B115" s="47"/>
      <c r="C115" s="46"/>
      <c r="D115" s="45"/>
      <c r="E115" s="44"/>
      <c r="F115" s="44"/>
      <c r="G115" s="43"/>
      <c r="H115" s="42"/>
    </row>
    <row r="116" spans="1:8" ht="13.5" thickBot="1" x14ac:dyDescent="0.25">
      <c r="A116" s="41"/>
      <c r="B116" s="40"/>
      <c r="C116" s="168" t="s">
        <v>100</v>
      </c>
      <c r="D116" s="169"/>
      <c r="E116" s="169"/>
      <c r="F116" s="170"/>
      <c r="G116" s="39">
        <f>SUM(G114,G94,G25)</f>
        <v>0</v>
      </c>
      <c r="H116" s="38"/>
    </row>
  </sheetData>
  <mergeCells count="59">
    <mergeCell ref="A106:B106"/>
    <mergeCell ref="C108:F108"/>
    <mergeCell ref="A110:B110"/>
    <mergeCell ref="C112:F112"/>
    <mergeCell ref="C116:F116"/>
    <mergeCell ref="C104:F104"/>
    <mergeCell ref="A82:B82"/>
    <mergeCell ref="D84:F84"/>
    <mergeCell ref="A86:B86"/>
    <mergeCell ref="D88:F88"/>
    <mergeCell ref="A90:B90"/>
    <mergeCell ref="D92:F92"/>
    <mergeCell ref="D93:F93"/>
    <mergeCell ref="D94:F94"/>
    <mergeCell ref="A97:B97"/>
    <mergeCell ref="C100:F100"/>
    <mergeCell ref="A102:B102"/>
    <mergeCell ref="C80:F80"/>
    <mergeCell ref="C56:F56"/>
    <mergeCell ref="D57:F57"/>
    <mergeCell ref="A59:B59"/>
    <mergeCell ref="D62:F62"/>
    <mergeCell ref="A64:B64"/>
    <mergeCell ref="D67:F67"/>
    <mergeCell ref="A69:B69"/>
    <mergeCell ref="C71:F71"/>
    <mergeCell ref="A73:B73"/>
    <mergeCell ref="C76:F76"/>
    <mergeCell ref="A78:B78"/>
    <mergeCell ref="A54:B54"/>
    <mergeCell ref="D32:F32"/>
    <mergeCell ref="A34:B34"/>
    <mergeCell ref="D36:F36"/>
    <mergeCell ref="A38:B38"/>
    <mergeCell ref="C40:F40"/>
    <mergeCell ref="A42:B42"/>
    <mergeCell ref="C44:F44"/>
    <mergeCell ref="A46:B46"/>
    <mergeCell ref="C48:F48"/>
    <mergeCell ref="A50:B50"/>
    <mergeCell ref="C52:F52"/>
    <mergeCell ref="A28:B28"/>
    <mergeCell ref="A4:H4"/>
    <mergeCell ref="I4:K4"/>
    <mergeCell ref="A5:H5"/>
    <mergeCell ref="A6:H6"/>
    <mergeCell ref="A7:H7"/>
    <mergeCell ref="A8:B8"/>
    <mergeCell ref="A11:B11"/>
    <mergeCell ref="E14:F14"/>
    <mergeCell ref="A16:B16"/>
    <mergeCell ref="A20:B20"/>
    <mergeCell ref="D25:F25"/>
    <mergeCell ref="A1:H1"/>
    <mergeCell ref="I1:K1"/>
    <mergeCell ref="A2:H2"/>
    <mergeCell ref="I2:K2"/>
    <mergeCell ref="A3:H3"/>
    <mergeCell ref="I3:K3"/>
  </mergeCells>
  <printOptions horizontalCentered="1"/>
  <pageMargins left="1" right="1" top="1" bottom="1" header="0.5" footer="0.5"/>
  <pageSetup scale="50" fitToHeight="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C192E-0B16-4458-AFAD-07561DB30FB8}">
  <sheetPr>
    <pageSetUpPr fitToPage="1"/>
  </sheetPr>
  <dimension ref="A1:K176"/>
  <sheetViews>
    <sheetView zoomScaleNormal="100" workbookViewId="0">
      <selection activeCell="A5" sqref="A5:H5"/>
    </sheetView>
  </sheetViews>
  <sheetFormatPr defaultColWidth="9.140625" defaultRowHeight="12.75" x14ac:dyDescent="0.2"/>
  <cols>
    <col min="1" max="1" width="11" style="4" customWidth="1"/>
    <col min="2" max="2" width="16" style="3" customWidth="1"/>
    <col min="3" max="3" width="40.140625" style="3" customWidth="1"/>
    <col min="4" max="4" width="11.85546875" style="3" customWidth="1"/>
    <col min="5" max="5" width="7.5703125" style="1" customWidth="1"/>
    <col min="6" max="6" width="15" style="2" customWidth="1"/>
    <col min="7" max="7" width="16.85546875" style="2" customWidth="1"/>
    <col min="8" max="8" width="8.7109375" style="1" customWidth="1"/>
    <col min="9" max="9" width="3" style="1" hidden="1" customWidth="1"/>
    <col min="10" max="16384" width="9.140625" style="1"/>
  </cols>
  <sheetData>
    <row r="1" spans="1:9" ht="12.75" customHeight="1" x14ac:dyDescent="0.2">
      <c r="A1" s="207" t="s">
        <v>0</v>
      </c>
      <c r="B1" s="208"/>
      <c r="C1" s="208"/>
      <c r="D1" s="208"/>
      <c r="E1" s="208"/>
      <c r="F1" s="208"/>
      <c r="G1" s="208"/>
      <c r="H1" s="209"/>
      <c r="I1" s="35"/>
    </row>
    <row r="2" spans="1:9" ht="12.75" customHeight="1" x14ac:dyDescent="0.2">
      <c r="A2" s="210" t="s">
        <v>1</v>
      </c>
      <c r="B2" s="211"/>
      <c r="C2" s="211"/>
      <c r="D2" s="211"/>
      <c r="E2" s="211"/>
      <c r="F2" s="211"/>
      <c r="G2" s="211"/>
      <c r="H2" s="212"/>
    </row>
    <row r="3" spans="1:9" ht="12.75" customHeight="1" x14ac:dyDescent="0.2">
      <c r="A3" s="210" t="s">
        <v>101</v>
      </c>
      <c r="B3" s="211"/>
      <c r="C3" s="211"/>
      <c r="D3" s="211"/>
      <c r="E3" s="211"/>
      <c r="F3" s="211"/>
      <c r="G3" s="211"/>
      <c r="H3" s="212"/>
    </row>
    <row r="4" spans="1:9" ht="12.75" customHeight="1" x14ac:dyDescent="0.2">
      <c r="A4" s="210" t="s">
        <v>236</v>
      </c>
      <c r="B4" s="211"/>
      <c r="C4" s="211"/>
      <c r="D4" s="211"/>
      <c r="E4" s="211"/>
      <c r="F4" s="211"/>
      <c r="G4" s="211"/>
      <c r="H4" s="212"/>
    </row>
    <row r="5" spans="1:9" ht="12.75" customHeight="1" x14ac:dyDescent="0.2">
      <c r="A5" s="210" t="s">
        <v>260</v>
      </c>
      <c r="B5" s="211"/>
      <c r="C5" s="211"/>
      <c r="D5" s="211"/>
      <c r="E5" s="211"/>
      <c r="F5" s="211"/>
      <c r="G5" s="211"/>
      <c r="H5" s="212"/>
    </row>
    <row r="6" spans="1:9" x14ac:dyDescent="0.2">
      <c r="A6" s="204" t="s">
        <v>104</v>
      </c>
      <c r="B6" s="205"/>
      <c r="C6" s="205"/>
      <c r="D6" s="205"/>
      <c r="E6" s="205"/>
      <c r="F6" s="205"/>
      <c r="G6" s="205"/>
      <c r="H6" s="206"/>
    </row>
    <row r="7" spans="1:9" ht="12.75" customHeight="1" x14ac:dyDescent="0.2">
      <c r="A7" s="204" t="s">
        <v>105</v>
      </c>
      <c r="B7" s="205"/>
      <c r="C7" s="205"/>
      <c r="D7" s="205"/>
      <c r="E7" s="205"/>
      <c r="F7" s="205"/>
      <c r="G7" s="205"/>
      <c r="H7" s="206"/>
    </row>
    <row r="8" spans="1:9" s="29" customFormat="1" ht="28.5" customHeight="1" x14ac:dyDescent="0.2">
      <c r="A8" s="34" t="s">
        <v>106</v>
      </c>
      <c r="B8" s="33" t="s">
        <v>107</v>
      </c>
      <c r="C8" s="33" t="s">
        <v>108</v>
      </c>
      <c r="D8" s="33" t="s">
        <v>109</v>
      </c>
      <c r="E8" s="33" t="s">
        <v>10</v>
      </c>
      <c r="F8" s="32" t="s">
        <v>11</v>
      </c>
      <c r="G8" s="31" t="s">
        <v>110</v>
      </c>
      <c r="H8" s="30" t="s">
        <v>111</v>
      </c>
    </row>
    <row r="9" spans="1:9" ht="77.25" customHeight="1" x14ac:dyDescent="0.2">
      <c r="A9" s="20" t="s">
        <v>261</v>
      </c>
      <c r="B9" s="19" t="s">
        <v>113</v>
      </c>
      <c r="C9" s="26" t="s">
        <v>114</v>
      </c>
      <c r="D9" s="17">
        <v>500</v>
      </c>
      <c r="E9" s="17" t="s">
        <v>115</v>
      </c>
      <c r="F9" s="16">
        <v>0</v>
      </c>
      <c r="G9" s="15">
        <f t="shared" ref="G9:G26" si="0">SUM(D9*F9)</f>
        <v>0</v>
      </c>
      <c r="H9" s="14">
        <v>9210</v>
      </c>
    </row>
    <row r="10" spans="1:9" ht="102" customHeight="1" x14ac:dyDescent="0.2">
      <c r="A10" s="20" t="s">
        <v>262</v>
      </c>
      <c r="B10" s="19" t="s">
        <v>117</v>
      </c>
      <c r="C10" s="18" t="s">
        <v>118</v>
      </c>
      <c r="D10" s="24">
        <v>250000</v>
      </c>
      <c r="E10" s="17" t="s">
        <v>119</v>
      </c>
      <c r="F10" s="16">
        <v>0</v>
      </c>
      <c r="G10" s="15">
        <f t="shared" si="0"/>
        <v>0</v>
      </c>
      <c r="H10" s="14">
        <v>9210</v>
      </c>
    </row>
    <row r="11" spans="1:9" ht="130.5" customHeight="1" x14ac:dyDescent="0.2">
      <c r="A11" s="20" t="s">
        <v>263</v>
      </c>
      <c r="B11" s="19" t="s">
        <v>121</v>
      </c>
      <c r="C11" s="25" t="s">
        <v>122</v>
      </c>
      <c r="D11" s="24">
        <v>10000</v>
      </c>
      <c r="E11" s="17" t="s">
        <v>119</v>
      </c>
      <c r="F11" s="16">
        <v>0</v>
      </c>
      <c r="G11" s="15">
        <f t="shared" si="0"/>
        <v>0</v>
      </c>
      <c r="H11" s="14">
        <v>9210</v>
      </c>
    </row>
    <row r="12" spans="1:9" ht="105.75" customHeight="1" x14ac:dyDescent="0.2">
      <c r="A12" s="20" t="s">
        <v>264</v>
      </c>
      <c r="B12" s="19" t="s">
        <v>124</v>
      </c>
      <c r="C12" s="19" t="s">
        <v>125</v>
      </c>
      <c r="D12" s="24">
        <v>250000</v>
      </c>
      <c r="E12" s="17" t="s">
        <v>119</v>
      </c>
      <c r="F12" s="16">
        <v>0</v>
      </c>
      <c r="G12" s="15">
        <f t="shared" si="0"/>
        <v>0</v>
      </c>
      <c r="H12" s="14">
        <v>9210</v>
      </c>
    </row>
    <row r="13" spans="1:9" ht="38.25" x14ac:dyDescent="0.2">
      <c r="A13" s="20" t="s">
        <v>265</v>
      </c>
      <c r="B13" s="19" t="s">
        <v>127</v>
      </c>
      <c r="C13" s="25" t="s">
        <v>128</v>
      </c>
      <c r="D13" s="24">
        <v>250000</v>
      </c>
      <c r="E13" s="17" t="s">
        <v>119</v>
      </c>
      <c r="F13" s="16">
        <v>0</v>
      </c>
      <c r="G13" s="15">
        <f t="shared" si="0"/>
        <v>0</v>
      </c>
      <c r="H13" s="14">
        <v>9210</v>
      </c>
    </row>
    <row r="14" spans="1:9" ht="127.5" x14ac:dyDescent="0.2">
      <c r="A14" s="20" t="s">
        <v>266</v>
      </c>
      <c r="B14" s="19" t="s">
        <v>130</v>
      </c>
      <c r="C14" s="25" t="s">
        <v>131</v>
      </c>
      <c r="D14" s="24">
        <v>250000</v>
      </c>
      <c r="E14" s="17" t="s">
        <v>119</v>
      </c>
      <c r="F14" s="16">
        <v>0</v>
      </c>
      <c r="G14" s="15">
        <f t="shared" si="0"/>
        <v>0</v>
      </c>
      <c r="H14" s="14">
        <v>9210</v>
      </c>
    </row>
    <row r="15" spans="1:9" ht="53.25" customHeight="1" x14ac:dyDescent="0.2">
      <c r="A15" s="20" t="s">
        <v>267</v>
      </c>
      <c r="B15" s="19" t="s">
        <v>133</v>
      </c>
      <c r="C15" s="28" t="s">
        <v>134</v>
      </c>
      <c r="D15" s="24">
        <v>1000</v>
      </c>
      <c r="E15" s="17" t="s">
        <v>115</v>
      </c>
      <c r="F15" s="16">
        <v>0</v>
      </c>
      <c r="G15" s="15">
        <f t="shared" si="0"/>
        <v>0</v>
      </c>
      <c r="H15" s="14">
        <v>9210</v>
      </c>
    </row>
    <row r="16" spans="1:9" ht="65.25" customHeight="1" x14ac:dyDescent="0.2">
      <c r="A16" s="20" t="s">
        <v>268</v>
      </c>
      <c r="B16" s="19" t="s">
        <v>136</v>
      </c>
      <c r="C16" s="25" t="s">
        <v>137</v>
      </c>
      <c r="D16" s="24">
        <v>100000</v>
      </c>
      <c r="E16" s="17" t="s">
        <v>119</v>
      </c>
      <c r="F16" s="16">
        <v>0</v>
      </c>
      <c r="G16" s="15">
        <f t="shared" si="0"/>
        <v>0</v>
      </c>
      <c r="H16" s="14">
        <v>9210</v>
      </c>
    </row>
    <row r="17" spans="1:11" ht="66.75" customHeight="1" x14ac:dyDescent="0.2">
      <c r="A17" s="20" t="s">
        <v>269</v>
      </c>
      <c r="B17" s="19" t="s">
        <v>139</v>
      </c>
      <c r="C17" s="28" t="s">
        <v>140</v>
      </c>
      <c r="D17" s="24">
        <v>1000</v>
      </c>
      <c r="E17" s="17" t="s">
        <v>119</v>
      </c>
      <c r="F17" s="16">
        <v>0</v>
      </c>
      <c r="G17" s="15">
        <f t="shared" si="0"/>
        <v>0</v>
      </c>
      <c r="H17" s="14">
        <v>9210</v>
      </c>
    </row>
    <row r="18" spans="1:11" ht="42" customHeight="1" x14ac:dyDescent="0.2">
      <c r="A18" s="20" t="s">
        <v>270</v>
      </c>
      <c r="B18" s="19" t="s">
        <v>142</v>
      </c>
      <c r="C18" s="25" t="s">
        <v>143</v>
      </c>
      <c r="D18" s="24">
        <v>1000</v>
      </c>
      <c r="E18" s="17" t="s">
        <v>115</v>
      </c>
      <c r="F18" s="16">
        <v>0</v>
      </c>
      <c r="G18" s="15">
        <f t="shared" si="0"/>
        <v>0</v>
      </c>
      <c r="H18" s="14">
        <v>9210</v>
      </c>
    </row>
    <row r="19" spans="1:11" ht="42" customHeight="1" x14ac:dyDescent="0.2">
      <c r="A19" s="20" t="s">
        <v>271</v>
      </c>
      <c r="B19" s="26" t="s">
        <v>145</v>
      </c>
      <c r="C19" s="27" t="s">
        <v>146</v>
      </c>
      <c r="D19" s="24">
        <v>500000</v>
      </c>
      <c r="E19" s="17" t="s">
        <v>119</v>
      </c>
      <c r="F19" s="16">
        <v>0</v>
      </c>
      <c r="G19" s="15">
        <f t="shared" si="0"/>
        <v>0</v>
      </c>
      <c r="H19" s="14">
        <v>9210</v>
      </c>
    </row>
    <row r="20" spans="1:11" ht="38.25" x14ac:dyDescent="0.2">
      <c r="A20" s="20" t="s">
        <v>272</v>
      </c>
      <c r="B20" s="26" t="s">
        <v>148</v>
      </c>
      <c r="C20" s="26" t="s">
        <v>149</v>
      </c>
      <c r="D20" s="24">
        <v>500000</v>
      </c>
      <c r="E20" s="17" t="s">
        <v>119</v>
      </c>
      <c r="F20" s="16">
        <v>0</v>
      </c>
      <c r="G20" s="15">
        <f t="shared" si="0"/>
        <v>0</v>
      </c>
      <c r="H20" s="14">
        <v>9210</v>
      </c>
    </row>
    <row r="21" spans="1:11" ht="63.75" x14ac:dyDescent="0.2">
      <c r="A21" s="20" t="s">
        <v>273</v>
      </c>
      <c r="B21" s="26" t="s">
        <v>151</v>
      </c>
      <c r="C21" s="26" t="s">
        <v>152</v>
      </c>
      <c r="D21" s="17">
        <v>250</v>
      </c>
      <c r="E21" s="17" t="s">
        <v>115</v>
      </c>
      <c r="F21" s="16">
        <v>0</v>
      </c>
      <c r="G21" s="15">
        <f t="shared" si="0"/>
        <v>0</v>
      </c>
      <c r="H21" s="14">
        <v>9210</v>
      </c>
    </row>
    <row r="22" spans="1:11" ht="51" x14ac:dyDescent="0.2">
      <c r="A22" s="20" t="s">
        <v>274</v>
      </c>
      <c r="B22" s="26" t="s">
        <v>154</v>
      </c>
      <c r="C22" s="26" t="s">
        <v>155</v>
      </c>
      <c r="D22" s="24">
        <v>250000</v>
      </c>
      <c r="E22" s="17" t="s">
        <v>119</v>
      </c>
      <c r="F22" s="16">
        <v>0</v>
      </c>
      <c r="G22" s="15">
        <f t="shared" si="0"/>
        <v>0</v>
      </c>
      <c r="H22" s="14">
        <v>9210</v>
      </c>
    </row>
    <row r="23" spans="1:11" ht="65.25" customHeight="1" x14ac:dyDescent="0.2">
      <c r="A23" s="20" t="s">
        <v>275</v>
      </c>
      <c r="B23" s="26" t="s">
        <v>157</v>
      </c>
      <c r="C23" s="26" t="s">
        <v>158</v>
      </c>
      <c r="D23" s="24">
        <v>250000</v>
      </c>
      <c r="E23" s="17" t="s">
        <v>119</v>
      </c>
      <c r="F23" s="16">
        <v>0</v>
      </c>
      <c r="G23" s="15">
        <f t="shared" si="0"/>
        <v>0</v>
      </c>
      <c r="H23" s="14">
        <v>9210</v>
      </c>
    </row>
    <row r="24" spans="1:11" ht="104.25" customHeight="1" x14ac:dyDescent="0.2">
      <c r="A24" s="20" t="s">
        <v>276</v>
      </c>
      <c r="B24" s="26" t="s">
        <v>160</v>
      </c>
      <c r="C24" s="25" t="s">
        <v>161</v>
      </c>
      <c r="D24" s="24">
        <v>250000</v>
      </c>
      <c r="E24" s="17" t="s">
        <v>119</v>
      </c>
      <c r="F24" s="16">
        <v>0</v>
      </c>
      <c r="G24" s="15">
        <f t="shared" si="0"/>
        <v>0</v>
      </c>
      <c r="H24" s="14">
        <v>9210</v>
      </c>
    </row>
    <row r="25" spans="1:11" ht="80.25" customHeight="1" x14ac:dyDescent="0.2">
      <c r="A25" s="20" t="s">
        <v>277</v>
      </c>
      <c r="B25" s="19" t="s">
        <v>163</v>
      </c>
      <c r="C25" s="19" t="s">
        <v>164</v>
      </c>
      <c r="D25" s="24">
        <v>250000</v>
      </c>
      <c r="E25" s="17" t="s">
        <v>119</v>
      </c>
      <c r="F25" s="16">
        <v>0</v>
      </c>
      <c r="G25" s="15">
        <f t="shared" si="0"/>
        <v>0</v>
      </c>
      <c r="H25" s="14">
        <v>9210</v>
      </c>
    </row>
    <row r="26" spans="1:11" ht="104.25" customHeight="1" x14ac:dyDescent="0.2">
      <c r="A26" s="20" t="s">
        <v>278</v>
      </c>
      <c r="B26" s="19" t="s">
        <v>166</v>
      </c>
      <c r="C26" s="26" t="s">
        <v>167</v>
      </c>
      <c r="D26" s="24">
        <v>100000</v>
      </c>
      <c r="E26" s="17" t="s">
        <v>119</v>
      </c>
      <c r="F26" s="16">
        <v>0</v>
      </c>
      <c r="G26" s="15">
        <f t="shared" si="0"/>
        <v>0</v>
      </c>
      <c r="H26" s="14">
        <v>9210</v>
      </c>
    </row>
    <row r="27" spans="1:11" ht="106.5" customHeight="1" x14ac:dyDescent="0.2">
      <c r="A27" s="20" t="s">
        <v>279</v>
      </c>
      <c r="B27" s="19" t="s">
        <v>169</v>
      </c>
      <c r="C27" s="25" t="s">
        <v>170</v>
      </c>
      <c r="D27" s="24">
        <v>250000</v>
      </c>
      <c r="E27" s="17" t="s">
        <v>119</v>
      </c>
      <c r="F27" s="16">
        <v>0</v>
      </c>
      <c r="G27" s="15">
        <v>0</v>
      </c>
      <c r="H27" s="14">
        <v>9210</v>
      </c>
    </row>
    <row r="28" spans="1:11" ht="51" x14ac:dyDescent="0.2">
      <c r="A28" s="20" t="s">
        <v>280</v>
      </c>
      <c r="B28" s="19" t="s">
        <v>172</v>
      </c>
      <c r="C28" s="25" t="s">
        <v>173</v>
      </c>
      <c r="D28" s="24">
        <v>50000</v>
      </c>
      <c r="E28" s="17" t="s">
        <v>119</v>
      </c>
      <c r="F28" s="16">
        <v>0</v>
      </c>
      <c r="G28" s="15">
        <f>SUM(D28*F28)</f>
        <v>0</v>
      </c>
      <c r="H28" s="14">
        <v>9210</v>
      </c>
    </row>
    <row r="29" spans="1:11" ht="102" x14ac:dyDescent="0.2">
      <c r="A29" s="20" t="s">
        <v>281</v>
      </c>
      <c r="B29" s="19" t="s">
        <v>175</v>
      </c>
      <c r="C29" s="18" t="s">
        <v>176</v>
      </c>
      <c r="D29" s="17">
        <v>250</v>
      </c>
      <c r="E29" s="17" t="s">
        <v>115</v>
      </c>
      <c r="F29" s="16">
        <v>0</v>
      </c>
      <c r="G29" s="15">
        <f>SUM(D29*F29)</f>
        <v>0</v>
      </c>
      <c r="H29" s="14">
        <v>9210</v>
      </c>
    </row>
    <row r="30" spans="1:11" ht="127.5" x14ac:dyDescent="0.2">
      <c r="A30" s="20" t="s">
        <v>282</v>
      </c>
      <c r="B30" s="19" t="s">
        <v>178</v>
      </c>
      <c r="C30" s="23" t="s">
        <v>179</v>
      </c>
      <c r="D30" s="22">
        <v>1000</v>
      </c>
      <c r="E30" s="21" t="s">
        <v>115</v>
      </c>
      <c r="F30" s="16">
        <v>0</v>
      </c>
      <c r="G30" s="15">
        <f>SUM(D30*F30)</f>
        <v>0</v>
      </c>
      <c r="H30" s="14">
        <v>9210</v>
      </c>
      <c r="I30" s="13"/>
      <c r="J30" s="13"/>
      <c r="K30" s="13"/>
    </row>
    <row r="31" spans="1:11" ht="25.5" x14ac:dyDescent="0.2">
      <c r="A31" s="20" t="s">
        <v>283</v>
      </c>
      <c r="B31" s="19"/>
      <c r="C31" s="18" t="s">
        <v>181</v>
      </c>
      <c r="D31" s="17"/>
      <c r="E31" s="17" t="s">
        <v>182</v>
      </c>
      <c r="F31" s="16">
        <v>0</v>
      </c>
      <c r="G31" s="15">
        <v>1000000</v>
      </c>
      <c r="H31" s="14">
        <v>9210</v>
      </c>
      <c r="I31" s="13"/>
      <c r="J31" s="13"/>
      <c r="K31" s="13"/>
    </row>
    <row r="32" spans="1:11" ht="14.25" thickBot="1" x14ac:dyDescent="0.25">
      <c r="A32" s="12"/>
      <c r="B32" s="11"/>
      <c r="C32" s="10" t="s">
        <v>183</v>
      </c>
      <c r="D32" s="9"/>
      <c r="E32" s="9"/>
      <c r="F32" s="8"/>
      <c r="G32" s="7">
        <f>SUM(G9:G31)</f>
        <v>1000000</v>
      </c>
      <c r="H32" s="6"/>
    </row>
    <row r="33" spans="5:7" x14ac:dyDescent="0.2">
      <c r="F33" s="5"/>
      <c r="G33" s="5"/>
    </row>
    <row r="34" spans="5:7" x14ac:dyDescent="0.2">
      <c r="F34" s="5"/>
      <c r="G34" s="5"/>
    </row>
    <row r="35" spans="5:7" x14ac:dyDescent="0.2">
      <c r="F35" s="5"/>
      <c r="G35" s="5"/>
    </row>
    <row r="36" spans="5:7" x14ac:dyDescent="0.2">
      <c r="E36" s="3"/>
      <c r="F36" s="5"/>
      <c r="G36" s="5"/>
    </row>
    <row r="37" spans="5:7" x14ac:dyDescent="0.2">
      <c r="F37" s="5"/>
      <c r="G37" s="5"/>
    </row>
    <row r="38" spans="5:7" x14ac:dyDescent="0.2">
      <c r="F38" s="5"/>
      <c r="G38" s="5"/>
    </row>
    <row r="39" spans="5:7" x14ac:dyDescent="0.2">
      <c r="F39" s="5"/>
      <c r="G39" s="5"/>
    </row>
    <row r="40" spans="5:7" x14ac:dyDescent="0.2">
      <c r="F40" s="5"/>
      <c r="G40" s="5"/>
    </row>
    <row r="41" spans="5:7" x14ac:dyDescent="0.2">
      <c r="F41" s="5"/>
      <c r="G41" s="5"/>
    </row>
    <row r="42" spans="5:7" x14ac:dyDescent="0.2">
      <c r="F42" s="5"/>
      <c r="G42" s="5"/>
    </row>
    <row r="43" spans="5:7" x14ac:dyDescent="0.2">
      <c r="F43" s="5"/>
      <c r="G43" s="5"/>
    </row>
    <row r="44" spans="5:7" x14ac:dyDescent="0.2">
      <c r="F44" s="5"/>
      <c r="G44" s="5"/>
    </row>
    <row r="45" spans="5:7" x14ac:dyDescent="0.2">
      <c r="F45" s="5"/>
      <c r="G45" s="5"/>
    </row>
    <row r="46" spans="5:7" x14ac:dyDescent="0.2">
      <c r="F46" s="5"/>
      <c r="G46" s="5"/>
    </row>
    <row r="47" spans="5:7" x14ac:dyDescent="0.2">
      <c r="F47" s="5"/>
      <c r="G47" s="5"/>
    </row>
    <row r="48" spans="5:7" x14ac:dyDescent="0.2">
      <c r="F48" s="5"/>
      <c r="G48" s="5"/>
    </row>
    <row r="49" spans="6:7" x14ac:dyDescent="0.2">
      <c r="F49" s="5"/>
      <c r="G49" s="5"/>
    </row>
    <row r="50" spans="6:7" x14ac:dyDescent="0.2">
      <c r="F50" s="5"/>
      <c r="G50" s="5"/>
    </row>
    <row r="51" spans="6:7" x14ac:dyDescent="0.2">
      <c r="F51" s="5"/>
      <c r="G51" s="5"/>
    </row>
    <row r="52" spans="6:7" x14ac:dyDescent="0.2">
      <c r="F52" s="5"/>
      <c r="G52" s="5"/>
    </row>
    <row r="53" spans="6:7" x14ac:dyDescent="0.2">
      <c r="F53" s="5"/>
      <c r="G53" s="5"/>
    </row>
    <row r="54" spans="6:7" x14ac:dyDescent="0.2">
      <c r="F54" s="5"/>
      <c r="G54" s="5"/>
    </row>
    <row r="55" spans="6:7" x14ac:dyDescent="0.2">
      <c r="F55" s="5"/>
      <c r="G55" s="5"/>
    </row>
    <row r="56" spans="6:7" x14ac:dyDescent="0.2">
      <c r="F56" s="5"/>
      <c r="G56" s="5"/>
    </row>
    <row r="57" spans="6:7" x14ac:dyDescent="0.2">
      <c r="F57" s="5"/>
      <c r="G57" s="5"/>
    </row>
    <row r="58" spans="6:7" x14ac:dyDescent="0.2">
      <c r="F58" s="5"/>
      <c r="G58" s="5"/>
    </row>
    <row r="59" spans="6:7" x14ac:dyDescent="0.2">
      <c r="F59" s="5"/>
      <c r="G59" s="5"/>
    </row>
    <row r="60" spans="6:7" x14ac:dyDescent="0.2">
      <c r="F60" s="5"/>
      <c r="G60" s="5"/>
    </row>
    <row r="61" spans="6:7" x14ac:dyDescent="0.2">
      <c r="F61" s="5"/>
      <c r="G61" s="5"/>
    </row>
    <row r="62" spans="6:7" x14ac:dyDescent="0.2">
      <c r="F62" s="5"/>
      <c r="G62" s="5"/>
    </row>
    <row r="63" spans="6:7" x14ac:dyDescent="0.2">
      <c r="F63" s="5"/>
      <c r="G63" s="5"/>
    </row>
    <row r="64" spans="6:7" x14ac:dyDescent="0.2">
      <c r="F64" s="5"/>
      <c r="G64" s="5"/>
    </row>
    <row r="65" spans="6:7" x14ac:dyDescent="0.2">
      <c r="F65" s="5"/>
      <c r="G65" s="5"/>
    </row>
    <row r="66" spans="6:7" x14ac:dyDescent="0.2">
      <c r="F66" s="5"/>
      <c r="G66" s="5"/>
    </row>
    <row r="67" spans="6:7" x14ac:dyDescent="0.2">
      <c r="F67" s="5"/>
      <c r="G67" s="5"/>
    </row>
    <row r="68" spans="6:7" x14ac:dyDescent="0.2">
      <c r="F68" s="5"/>
      <c r="G68" s="5"/>
    </row>
    <row r="69" spans="6:7" x14ac:dyDescent="0.2">
      <c r="F69" s="5"/>
      <c r="G69" s="5"/>
    </row>
    <row r="70" spans="6:7" x14ac:dyDescent="0.2">
      <c r="F70" s="5"/>
      <c r="G70" s="5"/>
    </row>
    <row r="71" spans="6:7" x14ac:dyDescent="0.2">
      <c r="F71" s="5"/>
      <c r="G71" s="5"/>
    </row>
    <row r="72" spans="6:7" x14ac:dyDescent="0.2">
      <c r="F72" s="5"/>
      <c r="G72" s="5"/>
    </row>
    <row r="73" spans="6:7" x14ac:dyDescent="0.2">
      <c r="F73" s="5"/>
      <c r="G73" s="5"/>
    </row>
    <row r="74" spans="6:7" x14ac:dyDescent="0.2">
      <c r="F74" s="5"/>
      <c r="G74" s="5"/>
    </row>
    <row r="75" spans="6:7" x14ac:dyDescent="0.2">
      <c r="F75" s="5"/>
      <c r="G75" s="5"/>
    </row>
    <row r="76" spans="6:7" x14ac:dyDescent="0.2">
      <c r="F76" s="5"/>
      <c r="G76" s="5"/>
    </row>
    <row r="77" spans="6:7" x14ac:dyDescent="0.2">
      <c r="F77" s="5"/>
      <c r="G77" s="5"/>
    </row>
    <row r="78" spans="6:7" x14ac:dyDescent="0.2">
      <c r="F78" s="5"/>
      <c r="G78" s="5"/>
    </row>
    <row r="79" spans="6:7" x14ac:dyDescent="0.2">
      <c r="F79" s="5"/>
      <c r="G79" s="5"/>
    </row>
    <row r="80" spans="6:7" x14ac:dyDescent="0.2">
      <c r="F80" s="5"/>
      <c r="G80" s="5"/>
    </row>
    <row r="81" spans="6:7" x14ac:dyDescent="0.2">
      <c r="F81" s="5"/>
      <c r="G81" s="5"/>
    </row>
    <row r="82" spans="6:7" x14ac:dyDescent="0.2">
      <c r="F82" s="5"/>
      <c r="G82" s="5"/>
    </row>
    <row r="83" spans="6:7" x14ac:dyDescent="0.2">
      <c r="F83" s="5"/>
      <c r="G83" s="5"/>
    </row>
    <row r="84" spans="6:7" x14ac:dyDescent="0.2">
      <c r="F84" s="5"/>
      <c r="G84" s="5"/>
    </row>
    <row r="85" spans="6:7" x14ac:dyDescent="0.2">
      <c r="F85" s="5"/>
      <c r="G85" s="5"/>
    </row>
    <row r="86" spans="6:7" x14ac:dyDescent="0.2">
      <c r="F86" s="5"/>
      <c r="G86" s="5"/>
    </row>
    <row r="87" spans="6:7" x14ac:dyDescent="0.2">
      <c r="F87" s="5"/>
      <c r="G87" s="5"/>
    </row>
    <row r="88" spans="6:7" x14ac:dyDescent="0.2">
      <c r="F88" s="5"/>
      <c r="G88" s="5"/>
    </row>
    <row r="89" spans="6:7" x14ac:dyDescent="0.2">
      <c r="F89" s="5"/>
      <c r="G89" s="5"/>
    </row>
    <row r="90" spans="6:7" x14ac:dyDescent="0.2">
      <c r="F90" s="5"/>
      <c r="G90" s="5"/>
    </row>
    <row r="91" spans="6:7" x14ac:dyDescent="0.2">
      <c r="F91" s="5"/>
      <c r="G91" s="5"/>
    </row>
    <row r="92" spans="6:7" x14ac:dyDescent="0.2">
      <c r="F92" s="5"/>
      <c r="G92" s="5"/>
    </row>
    <row r="93" spans="6:7" x14ac:dyDescent="0.2">
      <c r="F93" s="5"/>
      <c r="G93" s="5"/>
    </row>
    <row r="94" spans="6:7" x14ac:dyDescent="0.2">
      <c r="F94" s="5"/>
      <c r="G94" s="5"/>
    </row>
    <row r="95" spans="6:7" x14ac:dyDescent="0.2">
      <c r="F95" s="5"/>
      <c r="G95" s="5"/>
    </row>
    <row r="96" spans="6:7" x14ac:dyDescent="0.2">
      <c r="F96" s="5"/>
      <c r="G96" s="5"/>
    </row>
    <row r="97" spans="6:7" x14ac:dyDescent="0.2">
      <c r="F97" s="5"/>
      <c r="G97" s="5"/>
    </row>
    <row r="98" spans="6:7" x14ac:dyDescent="0.2">
      <c r="F98" s="5"/>
      <c r="G98" s="5"/>
    </row>
    <row r="99" spans="6:7" x14ac:dyDescent="0.2">
      <c r="F99" s="5"/>
      <c r="G99" s="5"/>
    </row>
    <row r="100" spans="6:7" x14ac:dyDescent="0.2">
      <c r="F100" s="5"/>
      <c r="G100" s="5"/>
    </row>
    <row r="101" spans="6:7" x14ac:dyDescent="0.2">
      <c r="F101" s="5"/>
      <c r="G101" s="5"/>
    </row>
    <row r="102" spans="6:7" x14ac:dyDescent="0.2">
      <c r="F102" s="5"/>
      <c r="G102" s="5"/>
    </row>
    <row r="103" spans="6:7" x14ac:dyDescent="0.2">
      <c r="F103" s="5"/>
      <c r="G103" s="5"/>
    </row>
    <row r="104" spans="6:7" x14ac:dyDescent="0.2">
      <c r="F104" s="5"/>
      <c r="G104" s="5"/>
    </row>
    <row r="105" spans="6:7" x14ac:dyDescent="0.2">
      <c r="F105" s="5"/>
      <c r="G105" s="5"/>
    </row>
    <row r="106" spans="6:7" x14ac:dyDescent="0.2">
      <c r="F106" s="5"/>
      <c r="G106" s="5"/>
    </row>
    <row r="107" spans="6:7" x14ac:dyDescent="0.2">
      <c r="F107" s="5"/>
      <c r="G107" s="5"/>
    </row>
    <row r="108" spans="6:7" x14ac:dyDescent="0.2">
      <c r="F108" s="5"/>
      <c r="G108" s="5"/>
    </row>
    <row r="109" spans="6:7" x14ac:dyDescent="0.2">
      <c r="F109" s="5"/>
      <c r="G109" s="5"/>
    </row>
    <row r="110" spans="6:7" x14ac:dyDescent="0.2">
      <c r="F110" s="5"/>
      <c r="G110" s="5"/>
    </row>
    <row r="111" spans="6:7" x14ac:dyDescent="0.2">
      <c r="F111" s="5"/>
      <c r="G111" s="5"/>
    </row>
    <row r="112" spans="6:7" x14ac:dyDescent="0.2">
      <c r="F112" s="5"/>
      <c r="G112" s="5"/>
    </row>
    <row r="113" spans="6:7" x14ac:dyDescent="0.2">
      <c r="F113" s="5"/>
      <c r="G113" s="5"/>
    </row>
    <row r="114" spans="6:7" x14ac:dyDescent="0.2">
      <c r="F114" s="5"/>
      <c r="G114" s="5"/>
    </row>
    <row r="115" spans="6:7" x14ac:dyDescent="0.2">
      <c r="F115" s="5"/>
      <c r="G115" s="5"/>
    </row>
    <row r="116" spans="6:7" x14ac:dyDescent="0.2">
      <c r="F116" s="5"/>
      <c r="G116" s="5"/>
    </row>
    <row r="117" spans="6:7" x14ac:dyDescent="0.2">
      <c r="F117" s="5"/>
      <c r="G117" s="5"/>
    </row>
    <row r="118" spans="6:7" x14ac:dyDescent="0.2">
      <c r="F118" s="5"/>
      <c r="G118" s="5"/>
    </row>
    <row r="119" spans="6:7" x14ac:dyDescent="0.2">
      <c r="F119" s="5"/>
      <c r="G119" s="5"/>
    </row>
    <row r="120" spans="6:7" x14ac:dyDescent="0.2">
      <c r="F120" s="5"/>
      <c r="G120" s="5"/>
    </row>
    <row r="121" spans="6:7" x14ac:dyDescent="0.2">
      <c r="F121" s="5"/>
      <c r="G121" s="5"/>
    </row>
    <row r="122" spans="6:7" x14ac:dyDescent="0.2">
      <c r="F122" s="5"/>
      <c r="G122" s="5"/>
    </row>
    <row r="123" spans="6:7" x14ac:dyDescent="0.2">
      <c r="F123" s="5"/>
      <c r="G123" s="5"/>
    </row>
    <row r="124" spans="6:7" x14ac:dyDescent="0.2">
      <c r="F124" s="5"/>
      <c r="G124" s="5"/>
    </row>
    <row r="125" spans="6:7" x14ac:dyDescent="0.2">
      <c r="F125" s="5"/>
      <c r="G125" s="5"/>
    </row>
    <row r="126" spans="6:7" x14ac:dyDescent="0.2">
      <c r="F126" s="5"/>
      <c r="G126" s="5"/>
    </row>
    <row r="127" spans="6:7" x14ac:dyDescent="0.2">
      <c r="F127" s="5"/>
      <c r="G127" s="5"/>
    </row>
    <row r="128" spans="6:7" x14ac:dyDescent="0.2">
      <c r="F128" s="5"/>
      <c r="G128" s="5"/>
    </row>
    <row r="129" spans="6:7" x14ac:dyDescent="0.2">
      <c r="F129" s="5"/>
      <c r="G129" s="5"/>
    </row>
    <row r="130" spans="6:7" x14ac:dyDescent="0.2">
      <c r="F130" s="5"/>
      <c r="G130" s="5"/>
    </row>
    <row r="131" spans="6:7" x14ac:dyDescent="0.2">
      <c r="F131" s="5"/>
      <c r="G131" s="5"/>
    </row>
    <row r="132" spans="6:7" x14ac:dyDescent="0.2">
      <c r="F132" s="5"/>
      <c r="G132" s="5"/>
    </row>
    <row r="133" spans="6:7" x14ac:dyDescent="0.2">
      <c r="F133" s="5"/>
      <c r="G133" s="5"/>
    </row>
    <row r="134" spans="6:7" x14ac:dyDescent="0.2">
      <c r="F134" s="5"/>
      <c r="G134" s="5"/>
    </row>
    <row r="135" spans="6:7" x14ac:dyDescent="0.2">
      <c r="F135" s="5"/>
      <c r="G135" s="5"/>
    </row>
    <row r="136" spans="6:7" x14ac:dyDescent="0.2">
      <c r="F136" s="5"/>
      <c r="G136" s="5"/>
    </row>
    <row r="137" spans="6:7" x14ac:dyDescent="0.2">
      <c r="F137" s="5"/>
      <c r="G137" s="5"/>
    </row>
    <row r="138" spans="6:7" x14ac:dyDescent="0.2">
      <c r="F138" s="5"/>
      <c r="G138" s="5"/>
    </row>
    <row r="139" spans="6:7" x14ac:dyDescent="0.2">
      <c r="F139" s="5"/>
      <c r="G139" s="5"/>
    </row>
    <row r="140" spans="6:7" x14ac:dyDescent="0.2">
      <c r="F140" s="5"/>
      <c r="G140" s="5"/>
    </row>
    <row r="141" spans="6:7" x14ac:dyDescent="0.2">
      <c r="F141" s="5"/>
      <c r="G141" s="5"/>
    </row>
    <row r="142" spans="6:7" x14ac:dyDescent="0.2">
      <c r="F142" s="5"/>
      <c r="G142" s="5"/>
    </row>
    <row r="143" spans="6:7" x14ac:dyDescent="0.2">
      <c r="F143" s="5"/>
      <c r="G143" s="5"/>
    </row>
    <row r="144" spans="6:7" x14ac:dyDescent="0.2">
      <c r="F144" s="5"/>
      <c r="G144" s="5"/>
    </row>
    <row r="145" spans="6:7" x14ac:dyDescent="0.2">
      <c r="F145" s="5"/>
      <c r="G145" s="5"/>
    </row>
    <row r="146" spans="6:7" x14ac:dyDescent="0.2">
      <c r="F146" s="5"/>
      <c r="G146" s="5"/>
    </row>
    <row r="147" spans="6:7" x14ac:dyDescent="0.2">
      <c r="F147" s="5"/>
      <c r="G147" s="5"/>
    </row>
    <row r="148" spans="6:7" x14ac:dyDescent="0.2">
      <c r="F148" s="5"/>
      <c r="G148" s="5"/>
    </row>
    <row r="149" spans="6:7" x14ac:dyDescent="0.2">
      <c r="F149" s="5"/>
      <c r="G149" s="5"/>
    </row>
    <row r="150" spans="6:7" x14ac:dyDescent="0.2">
      <c r="F150" s="5"/>
      <c r="G150" s="5"/>
    </row>
    <row r="151" spans="6:7" x14ac:dyDescent="0.2">
      <c r="F151" s="5"/>
      <c r="G151" s="5"/>
    </row>
    <row r="152" spans="6:7" x14ac:dyDescent="0.2">
      <c r="F152" s="5"/>
      <c r="G152" s="5"/>
    </row>
    <row r="153" spans="6:7" x14ac:dyDescent="0.2">
      <c r="F153" s="5"/>
      <c r="G153" s="5"/>
    </row>
    <row r="154" spans="6:7" x14ac:dyDescent="0.2">
      <c r="F154" s="5"/>
      <c r="G154" s="5"/>
    </row>
    <row r="155" spans="6:7" x14ac:dyDescent="0.2">
      <c r="F155" s="5"/>
      <c r="G155" s="5"/>
    </row>
    <row r="156" spans="6:7" x14ac:dyDescent="0.2">
      <c r="F156" s="5"/>
      <c r="G156" s="5"/>
    </row>
    <row r="157" spans="6:7" x14ac:dyDescent="0.2">
      <c r="F157" s="5"/>
      <c r="G157" s="5"/>
    </row>
    <row r="158" spans="6:7" x14ac:dyDescent="0.2">
      <c r="F158" s="5"/>
      <c r="G158" s="5"/>
    </row>
    <row r="159" spans="6:7" x14ac:dyDescent="0.2">
      <c r="F159" s="5"/>
      <c r="G159" s="5"/>
    </row>
    <row r="160" spans="6:7" x14ac:dyDescent="0.2">
      <c r="F160" s="5"/>
      <c r="G160" s="5"/>
    </row>
    <row r="161" spans="6:7" x14ac:dyDescent="0.2">
      <c r="F161" s="5"/>
      <c r="G161" s="5"/>
    </row>
    <row r="162" spans="6:7" x14ac:dyDescent="0.2">
      <c r="F162" s="5"/>
      <c r="G162" s="5"/>
    </row>
    <row r="163" spans="6:7" x14ac:dyDescent="0.2">
      <c r="F163" s="5"/>
      <c r="G163" s="5"/>
    </row>
    <row r="164" spans="6:7" x14ac:dyDescent="0.2">
      <c r="F164" s="5"/>
      <c r="G164" s="5"/>
    </row>
    <row r="165" spans="6:7" x14ac:dyDescent="0.2">
      <c r="F165" s="5"/>
      <c r="G165" s="5"/>
    </row>
    <row r="166" spans="6:7" x14ac:dyDescent="0.2">
      <c r="F166" s="5"/>
      <c r="G166" s="5"/>
    </row>
    <row r="167" spans="6:7" x14ac:dyDescent="0.2">
      <c r="F167" s="5"/>
      <c r="G167" s="5"/>
    </row>
    <row r="168" spans="6:7" x14ac:dyDescent="0.2">
      <c r="F168" s="5"/>
      <c r="G168" s="5"/>
    </row>
    <row r="169" spans="6:7" x14ac:dyDescent="0.2">
      <c r="F169" s="5"/>
      <c r="G169" s="5"/>
    </row>
    <row r="170" spans="6:7" x14ac:dyDescent="0.2">
      <c r="F170" s="5"/>
      <c r="G170" s="5"/>
    </row>
    <row r="171" spans="6:7" x14ac:dyDescent="0.2">
      <c r="F171" s="5"/>
      <c r="G171" s="5"/>
    </row>
    <row r="172" spans="6:7" x14ac:dyDescent="0.2">
      <c r="F172" s="5"/>
      <c r="G172" s="5"/>
    </row>
    <row r="173" spans="6:7" x14ac:dyDescent="0.2">
      <c r="F173" s="5"/>
      <c r="G173" s="5"/>
    </row>
    <row r="174" spans="6:7" x14ac:dyDescent="0.2">
      <c r="F174" s="5"/>
      <c r="G174" s="5"/>
    </row>
    <row r="175" spans="6:7" x14ac:dyDescent="0.2">
      <c r="F175" s="5"/>
      <c r="G175" s="5"/>
    </row>
    <row r="176" spans="6:7" x14ac:dyDescent="0.2">
      <c r="F176" s="5"/>
      <c r="G176" s="5"/>
    </row>
  </sheetData>
  <mergeCells count="7">
    <mergeCell ref="A7:H7"/>
    <mergeCell ref="A1:H1"/>
    <mergeCell ref="A2:H2"/>
    <mergeCell ref="A3:H3"/>
    <mergeCell ref="A4:H4"/>
    <mergeCell ref="A5:H5"/>
    <mergeCell ref="A6:H6"/>
  </mergeCells>
  <pageMargins left="0.5" right="0.27" top="0.55000000000000004" bottom="0.53" header="0.3" footer="0.31"/>
  <pageSetup scale="96"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F42A-1BFC-4C0C-A17D-FFC5333F8A7A}">
  <sheetPr>
    <tabColor rgb="FF00B050"/>
    <pageSetUpPr fitToPage="1"/>
  </sheetPr>
  <dimension ref="A1:K116"/>
  <sheetViews>
    <sheetView zoomScaleNormal="100" workbookViewId="0">
      <selection activeCell="D92" sqref="D92:F92"/>
    </sheetView>
  </sheetViews>
  <sheetFormatPr defaultColWidth="9.140625" defaultRowHeight="12.75" x14ac:dyDescent="0.2"/>
  <cols>
    <col min="1" max="1" width="5.85546875" style="36" customWidth="1"/>
    <col min="2" max="2" width="4.28515625" style="36" customWidth="1"/>
    <col min="3" max="3" width="81.5703125" style="36" customWidth="1"/>
    <col min="4" max="4" width="9.85546875" style="36" customWidth="1"/>
    <col min="5" max="5" width="9.42578125" style="36" customWidth="1"/>
    <col min="6" max="6" width="13.7109375" style="37" customWidth="1"/>
    <col min="7" max="7" width="15.140625" style="37" customWidth="1"/>
    <col min="8" max="8" width="8.7109375" style="36" customWidth="1"/>
    <col min="9" max="16384" width="9.140625" style="36"/>
  </cols>
  <sheetData>
    <row r="1" spans="1:11" ht="12.75" customHeight="1" x14ac:dyDescent="0.2">
      <c r="A1" s="201" t="s">
        <v>0</v>
      </c>
      <c r="B1" s="202"/>
      <c r="C1" s="202"/>
      <c r="D1" s="202"/>
      <c r="E1" s="202"/>
      <c r="F1" s="202"/>
      <c r="G1" s="202"/>
      <c r="H1" s="203"/>
      <c r="I1" s="196"/>
      <c r="J1" s="196"/>
      <c r="K1" s="196"/>
    </row>
    <row r="2" spans="1:11" ht="12.75" customHeight="1" x14ac:dyDescent="0.2">
      <c r="A2" s="195" t="s">
        <v>1</v>
      </c>
      <c r="B2" s="196"/>
      <c r="C2" s="196"/>
      <c r="D2" s="196"/>
      <c r="E2" s="196"/>
      <c r="F2" s="196"/>
      <c r="G2" s="196"/>
      <c r="H2" s="197"/>
      <c r="I2" s="196"/>
      <c r="J2" s="196"/>
      <c r="K2" s="196"/>
    </row>
    <row r="3" spans="1:11" ht="12.75" customHeight="1" x14ac:dyDescent="0.2">
      <c r="A3" s="195" t="s">
        <v>2</v>
      </c>
      <c r="B3" s="196"/>
      <c r="C3" s="196"/>
      <c r="D3" s="196"/>
      <c r="E3" s="196"/>
      <c r="F3" s="196"/>
      <c r="G3" s="196"/>
      <c r="H3" s="197"/>
      <c r="I3" s="196"/>
      <c r="J3" s="196"/>
      <c r="K3" s="196"/>
    </row>
    <row r="4" spans="1:11" ht="14.25" customHeight="1" x14ac:dyDescent="0.2">
      <c r="A4" s="195" t="s">
        <v>284</v>
      </c>
      <c r="B4" s="196"/>
      <c r="C4" s="196"/>
      <c r="D4" s="196"/>
      <c r="E4" s="196"/>
      <c r="F4" s="196"/>
      <c r="G4" s="196"/>
      <c r="H4" s="197"/>
      <c r="I4" s="196"/>
      <c r="J4" s="196"/>
      <c r="K4" s="196"/>
    </row>
    <row r="5" spans="1:11" ht="14.25" customHeight="1" x14ac:dyDescent="0.2">
      <c r="A5" s="195" t="s">
        <v>285</v>
      </c>
      <c r="B5" s="196"/>
      <c r="C5" s="196"/>
      <c r="D5" s="196"/>
      <c r="E5" s="196"/>
      <c r="F5" s="196"/>
      <c r="G5" s="196"/>
      <c r="H5" s="197"/>
      <c r="I5" s="162"/>
      <c r="J5" s="161"/>
      <c r="K5" s="161"/>
    </row>
    <row r="6" spans="1:11" ht="15" customHeight="1" x14ac:dyDescent="0.2">
      <c r="A6" s="198" t="s">
        <v>5</v>
      </c>
      <c r="B6" s="199"/>
      <c r="C6" s="199"/>
      <c r="D6" s="199"/>
      <c r="E6" s="199"/>
      <c r="F6" s="199"/>
      <c r="G6" s="199"/>
      <c r="H6" s="200"/>
      <c r="I6" s="160"/>
      <c r="J6" s="159"/>
      <c r="K6" s="159"/>
    </row>
    <row r="7" spans="1:11" ht="15" customHeight="1" thickBot="1" x14ac:dyDescent="0.25">
      <c r="A7" s="198" t="s">
        <v>6</v>
      </c>
      <c r="B7" s="199"/>
      <c r="C7" s="199"/>
      <c r="D7" s="199"/>
      <c r="E7" s="199"/>
      <c r="F7" s="199"/>
      <c r="G7" s="199"/>
      <c r="H7" s="200"/>
      <c r="I7" s="160"/>
      <c r="J7" s="159"/>
      <c r="K7" s="159"/>
    </row>
    <row r="8" spans="1:11" ht="26.25" thickBot="1" x14ac:dyDescent="0.25">
      <c r="A8" s="189" t="s">
        <v>7</v>
      </c>
      <c r="B8" s="190"/>
      <c r="C8" s="157" t="s">
        <v>8</v>
      </c>
      <c r="D8" s="158" t="s">
        <v>9</v>
      </c>
      <c r="E8" s="157" t="s">
        <v>10</v>
      </c>
      <c r="F8" s="156" t="s">
        <v>11</v>
      </c>
      <c r="G8" s="156" t="s">
        <v>12</v>
      </c>
      <c r="H8" s="155" t="s">
        <v>13</v>
      </c>
    </row>
    <row r="9" spans="1:11" x14ac:dyDescent="0.2">
      <c r="A9" s="154"/>
      <c r="B9" s="153"/>
      <c r="C9" s="151"/>
      <c r="D9" s="152"/>
      <c r="E9" s="151"/>
      <c r="F9" s="150"/>
      <c r="G9" s="149"/>
      <c r="H9" s="148"/>
    </row>
    <row r="10" spans="1:11" x14ac:dyDescent="0.2">
      <c r="A10" s="147"/>
      <c r="B10" s="146"/>
      <c r="C10" s="145" t="s">
        <v>14</v>
      </c>
      <c r="D10" s="144"/>
      <c r="E10" s="143"/>
      <c r="F10" s="142"/>
      <c r="G10" s="141"/>
      <c r="H10" s="140"/>
    </row>
    <row r="11" spans="1:11" x14ac:dyDescent="0.2">
      <c r="A11" s="174" t="s">
        <v>286</v>
      </c>
      <c r="B11" s="175"/>
      <c r="C11" s="88" t="s">
        <v>16</v>
      </c>
      <c r="D11" s="139"/>
      <c r="E11" s="138"/>
      <c r="F11" s="137"/>
      <c r="G11" s="68"/>
      <c r="H11" s="86"/>
    </row>
    <row r="12" spans="1:11" x14ac:dyDescent="0.2">
      <c r="A12" s="70" t="s">
        <v>286</v>
      </c>
      <c r="B12" s="129" t="s">
        <v>17</v>
      </c>
      <c r="C12" s="98" t="s">
        <v>18</v>
      </c>
      <c r="D12" s="64">
        <v>12</v>
      </c>
      <c r="E12" s="136" t="s">
        <v>19</v>
      </c>
      <c r="F12" s="69"/>
      <c r="G12" s="68"/>
      <c r="H12" s="86"/>
    </row>
    <row r="13" spans="1:11" x14ac:dyDescent="0.2">
      <c r="A13" s="70" t="s">
        <v>286</v>
      </c>
      <c r="B13" s="129" t="s">
        <v>20</v>
      </c>
      <c r="C13" s="98" t="s">
        <v>21</v>
      </c>
      <c r="D13" s="64">
        <v>12</v>
      </c>
      <c r="E13" s="136" t="s">
        <v>19</v>
      </c>
      <c r="F13" s="69"/>
      <c r="G13" s="68"/>
      <c r="H13" s="86"/>
    </row>
    <row r="14" spans="1:11" x14ac:dyDescent="0.2">
      <c r="A14" s="67"/>
      <c r="B14" s="135"/>
      <c r="C14" s="98"/>
      <c r="D14" s="64"/>
      <c r="E14" s="191" t="s">
        <v>22</v>
      </c>
      <c r="F14" s="192"/>
      <c r="G14" s="68">
        <f>SUM(G12:G13)</f>
        <v>0</v>
      </c>
      <c r="H14" s="86"/>
    </row>
    <row r="15" spans="1:11" x14ac:dyDescent="0.2">
      <c r="A15" s="55"/>
      <c r="B15" s="134"/>
      <c r="C15" s="133"/>
      <c r="D15" s="52"/>
      <c r="E15" s="132"/>
      <c r="F15" s="131"/>
      <c r="G15" s="83"/>
      <c r="H15" s="82"/>
    </row>
    <row r="16" spans="1:11" x14ac:dyDescent="0.2">
      <c r="A16" s="193" t="s">
        <v>287</v>
      </c>
      <c r="B16" s="194"/>
      <c r="C16" s="94" t="s">
        <v>24</v>
      </c>
      <c r="D16" s="64"/>
      <c r="E16" s="103"/>
      <c r="F16" s="69"/>
      <c r="G16" s="130"/>
      <c r="H16" s="86"/>
    </row>
    <row r="17" spans="1:8" s="37" customFormat="1" x14ac:dyDescent="0.2">
      <c r="A17" s="126" t="s">
        <v>287</v>
      </c>
      <c r="B17" s="129" t="s">
        <v>17</v>
      </c>
      <c r="C17" s="127" t="s">
        <v>18</v>
      </c>
      <c r="D17" s="64">
        <v>12</v>
      </c>
      <c r="E17" s="64" t="s">
        <v>19</v>
      </c>
      <c r="F17" s="69"/>
      <c r="G17" s="68"/>
      <c r="H17" s="63"/>
    </row>
    <row r="18" spans="1:8" s="37" customFormat="1" x14ac:dyDescent="0.2">
      <c r="A18" s="126"/>
      <c r="B18" s="125"/>
      <c r="C18" s="127"/>
      <c r="D18" s="64"/>
      <c r="E18" s="64"/>
      <c r="F18" s="93" t="s">
        <v>25</v>
      </c>
      <c r="G18" s="68">
        <f>SUM(G16:G17)</f>
        <v>0</v>
      </c>
      <c r="H18" s="63"/>
    </row>
    <row r="19" spans="1:8" s="37" customFormat="1" x14ac:dyDescent="0.2">
      <c r="A19" s="124"/>
      <c r="B19" s="123"/>
      <c r="C19" s="106"/>
      <c r="D19" s="52"/>
      <c r="E19" s="52"/>
      <c r="F19" s="95"/>
      <c r="G19" s="83"/>
      <c r="H19" s="49"/>
    </row>
    <row r="20" spans="1:8" s="37" customFormat="1" x14ac:dyDescent="0.2">
      <c r="A20" s="174" t="s">
        <v>288</v>
      </c>
      <c r="B20" s="175"/>
      <c r="C20" s="128" t="s">
        <v>27</v>
      </c>
      <c r="D20" s="64"/>
      <c r="E20" s="64"/>
      <c r="F20" s="69"/>
      <c r="G20" s="68"/>
      <c r="H20" s="63"/>
    </row>
    <row r="21" spans="1:8" s="37" customFormat="1" x14ac:dyDescent="0.2">
      <c r="A21" s="126" t="s">
        <v>288</v>
      </c>
      <c r="B21" s="125" t="s">
        <v>17</v>
      </c>
      <c r="C21" s="127" t="s">
        <v>28</v>
      </c>
      <c r="D21" s="64">
        <v>12</v>
      </c>
      <c r="E21" s="64" t="s">
        <v>19</v>
      </c>
      <c r="F21" s="69"/>
      <c r="G21" s="68"/>
      <c r="H21" s="63"/>
    </row>
    <row r="22" spans="1:8" s="37" customFormat="1" x14ac:dyDescent="0.2">
      <c r="A22" s="126" t="s">
        <v>288</v>
      </c>
      <c r="B22" s="125" t="s">
        <v>20</v>
      </c>
      <c r="C22" s="127" t="s">
        <v>29</v>
      </c>
      <c r="D22" s="64">
        <v>12</v>
      </c>
      <c r="E22" s="64" t="s">
        <v>19</v>
      </c>
      <c r="F22" s="69"/>
      <c r="G22" s="68"/>
      <c r="H22" s="63"/>
    </row>
    <row r="23" spans="1:8" s="37" customFormat="1" x14ac:dyDescent="0.2">
      <c r="A23" s="126"/>
      <c r="B23" s="125"/>
      <c r="C23" s="65"/>
      <c r="D23" s="64"/>
      <c r="E23" s="64"/>
      <c r="F23" s="93" t="s">
        <v>30</v>
      </c>
      <c r="G23" s="71">
        <f>SUM(G20:G22)</f>
        <v>0</v>
      </c>
      <c r="H23" s="63"/>
    </row>
    <row r="24" spans="1:8" s="37" customFormat="1" x14ac:dyDescent="0.2">
      <c r="A24" s="124"/>
      <c r="B24" s="123"/>
      <c r="C24" s="106"/>
      <c r="D24" s="52"/>
      <c r="E24" s="52"/>
      <c r="F24" s="95"/>
      <c r="G24" s="83"/>
      <c r="H24" s="49"/>
    </row>
    <row r="25" spans="1:8" s="37" customFormat="1" ht="13.5" thickBot="1" x14ac:dyDescent="0.25">
      <c r="A25" s="122"/>
      <c r="B25" s="121"/>
      <c r="C25" s="120"/>
      <c r="D25" s="183" t="s">
        <v>31</v>
      </c>
      <c r="E25" s="184"/>
      <c r="F25" s="185"/>
      <c r="G25" s="119">
        <f>SUM(G23,G18,G14)</f>
        <v>0</v>
      </c>
      <c r="H25" s="118"/>
    </row>
    <row r="26" spans="1:8" x14ac:dyDescent="0.2">
      <c r="A26" s="117"/>
      <c r="B26" s="116"/>
      <c r="C26" s="115"/>
      <c r="D26" s="114"/>
      <c r="E26" s="113"/>
      <c r="F26" s="112"/>
      <c r="G26" s="111"/>
      <c r="H26" s="110"/>
    </row>
    <row r="27" spans="1:8" x14ac:dyDescent="0.2">
      <c r="A27" s="109"/>
      <c r="B27" s="108"/>
      <c r="C27" s="107" t="s">
        <v>32</v>
      </c>
      <c r="D27" s="75"/>
      <c r="E27" s="75"/>
      <c r="F27" s="73"/>
      <c r="G27" s="100"/>
      <c r="H27" s="72"/>
    </row>
    <row r="28" spans="1:8" x14ac:dyDescent="0.2">
      <c r="A28" s="174" t="s">
        <v>289</v>
      </c>
      <c r="B28" s="175"/>
      <c r="C28" s="94" t="s">
        <v>34</v>
      </c>
      <c r="D28" s="64"/>
      <c r="E28" s="64"/>
      <c r="F28" s="69"/>
      <c r="G28" s="68"/>
      <c r="H28" s="63"/>
    </row>
    <row r="29" spans="1:8" x14ac:dyDescent="0.2">
      <c r="A29" s="70" t="s">
        <v>289</v>
      </c>
      <c r="B29" s="92" t="s">
        <v>17</v>
      </c>
      <c r="C29" s="65" t="s">
        <v>18</v>
      </c>
      <c r="D29" s="64">
        <v>12</v>
      </c>
      <c r="E29" s="64" t="s">
        <v>19</v>
      </c>
      <c r="F29" s="69"/>
      <c r="G29" s="68"/>
      <c r="H29" s="86"/>
    </row>
    <row r="30" spans="1:8" x14ac:dyDescent="0.2">
      <c r="A30" s="70" t="s">
        <v>289</v>
      </c>
      <c r="B30" s="92" t="s">
        <v>20</v>
      </c>
      <c r="C30" s="65" t="s">
        <v>21</v>
      </c>
      <c r="D30" s="64">
        <v>12</v>
      </c>
      <c r="E30" s="64" t="s">
        <v>19</v>
      </c>
      <c r="F30" s="69"/>
      <c r="G30" s="68"/>
      <c r="H30" s="86"/>
    </row>
    <row r="31" spans="1:8" x14ac:dyDescent="0.2">
      <c r="A31" s="70" t="s">
        <v>289</v>
      </c>
      <c r="B31" s="92" t="s">
        <v>35</v>
      </c>
      <c r="C31" s="98" t="s">
        <v>36</v>
      </c>
      <c r="D31" s="64">
        <v>12</v>
      </c>
      <c r="E31" s="64" t="s">
        <v>19</v>
      </c>
      <c r="F31" s="69"/>
      <c r="G31" s="68"/>
      <c r="H31" s="86"/>
    </row>
    <row r="32" spans="1:8" x14ac:dyDescent="0.2">
      <c r="A32" s="97"/>
      <c r="B32" s="96"/>
      <c r="C32" s="65"/>
      <c r="D32" s="171" t="s">
        <v>37</v>
      </c>
      <c r="E32" s="172"/>
      <c r="F32" s="173"/>
      <c r="G32" s="69">
        <f>SUM(G29:G31)</f>
        <v>0</v>
      </c>
      <c r="H32" s="86"/>
    </row>
    <row r="33" spans="1:8" x14ac:dyDescent="0.2">
      <c r="A33" s="91"/>
      <c r="B33" s="54"/>
      <c r="C33" s="106"/>
      <c r="D33" s="52"/>
      <c r="E33" s="52"/>
      <c r="F33" s="95"/>
      <c r="G33" s="83"/>
      <c r="H33" s="49"/>
    </row>
    <row r="34" spans="1:8" x14ac:dyDescent="0.2">
      <c r="A34" s="174" t="s">
        <v>290</v>
      </c>
      <c r="B34" s="175"/>
      <c r="C34" s="94" t="s">
        <v>39</v>
      </c>
      <c r="D34" s="64"/>
      <c r="E34" s="64"/>
      <c r="F34" s="69"/>
      <c r="G34" s="68"/>
      <c r="H34" s="63"/>
    </row>
    <row r="35" spans="1:8" ht="25.5" x14ac:dyDescent="0.2">
      <c r="A35" s="70" t="s">
        <v>290</v>
      </c>
      <c r="B35" s="66" t="s">
        <v>17</v>
      </c>
      <c r="C35" s="65" t="s">
        <v>191</v>
      </c>
      <c r="D35" s="64">
        <v>12</v>
      </c>
      <c r="E35" s="64" t="s">
        <v>19</v>
      </c>
      <c r="F35" s="69"/>
      <c r="G35" s="68"/>
      <c r="H35" s="86"/>
    </row>
    <row r="36" spans="1:8" x14ac:dyDescent="0.2">
      <c r="A36" s="70"/>
      <c r="B36" s="96"/>
      <c r="C36" s="65"/>
      <c r="D36" s="186" t="s">
        <v>41</v>
      </c>
      <c r="E36" s="187"/>
      <c r="F36" s="188"/>
      <c r="G36" s="69">
        <f>SUM(G35:G35)</f>
        <v>0</v>
      </c>
      <c r="H36" s="63"/>
    </row>
    <row r="37" spans="1:8" x14ac:dyDescent="0.2">
      <c r="A37" s="85"/>
      <c r="B37" s="84"/>
      <c r="C37" s="53"/>
      <c r="D37" s="52"/>
      <c r="E37" s="52"/>
      <c r="F37" s="95"/>
      <c r="G37" s="83"/>
      <c r="H37" s="49"/>
    </row>
    <row r="38" spans="1:8" x14ac:dyDescent="0.2">
      <c r="A38" s="174" t="s">
        <v>291</v>
      </c>
      <c r="B38" s="175"/>
      <c r="C38" s="94" t="s">
        <v>43</v>
      </c>
      <c r="D38" s="64"/>
      <c r="E38" s="103"/>
      <c r="F38" s="68"/>
      <c r="G38" s="69"/>
      <c r="H38" s="86"/>
    </row>
    <row r="39" spans="1:8" x14ac:dyDescent="0.2">
      <c r="A39" s="70" t="s">
        <v>291</v>
      </c>
      <c r="B39" s="66" t="s">
        <v>17</v>
      </c>
      <c r="C39" s="98" t="s">
        <v>44</v>
      </c>
      <c r="D39" s="64">
        <v>12</v>
      </c>
      <c r="E39" s="64" t="s">
        <v>19</v>
      </c>
      <c r="F39" s="69"/>
      <c r="G39" s="68"/>
      <c r="H39" s="63"/>
    </row>
    <row r="40" spans="1:8" ht="15" x14ac:dyDescent="0.25">
      <c r="A40" s="97"/>
      <c r="B40" s="96"/>
      <c r="C40" s="182" t="s">
        <v>45</v>
      </c>
      <c r="D40" s="177"/>
      <c r="E40" s="177"/>
      <c r="F40" s="178"/>
      <c r="G40" s="71">
        <f>SUM(G39:G39)</f>
        <v>0</v>
      </c>
      <c r="H40" s="63"/>
    </row>
    <row r="41" spans="1:8" s="37" customFormat="1" x14ac:dyDescent="0.2">
      <c r="A41" s="85"/>
      <c r="B41" s="84"/>
      <c r="C41" s="53"/>
      <c r="D41" s="52"/>
      <c r="E41" s="52"/>
      <c r="F41" s="95"/>
      <c r="G41" s="83"/>
      <c r="H41" s="49"/>
    </row>
    <row r="42" spans="1:8" s="37" customFormat="1" x14ac:dyDescent="0.2">
      <c r="A42" s="174" t="s">
        <v>292</v>
      </c>
      <c r="B42" s="175"/>
      <c r="C42" s="88" t="s">
        <v>47</v>
      </c>
      <c r="D42" s="64"/>
      <c r="E42" s="64"/>
      <c r="F42" s="69"/>
      <c r="G42" s="69"/>
      <c r="H42" s="63"/>
    </row>
    <row r="43" spans="1:8" s="37" customFormat="1" x14ac:dyDescent="0.2">
      <c r="A43" s="70" t="s">
        <v>292</v>
      </c>
      <c r="B43" s="66" t="s">
        <v>17</v>
      </c>
      <c r="C43" s="98" t="s">
        <v>29</v>
      </c>
      <c r="D43" s="64">
        <v>12</v>
      </c>
      <c r="E43" s="64" t="s">
        <v>19</v>
      </c>
      <c r="F43" s="69"/>
      <c r="G43" s="68"/>
      <c r="H43" s="86"/>
    </row>
    <row r="44" spans="1:8" s="37" customFormat="1" x14ac:dyDescent="0.2">
      <c r="A44" s="70"/>
      <c r="B44" s="66"/>
      <c r="C44" s="171" t="s">
        <v>48</v>
      </c>
      <c r="D44" s="172"/>
      <c r="E44" s="172"/>
      <c r="F44" s="173"/>
      <c r="G44" s="71">
        <f>SUM(G43:G43)</f>
        <v>0</v>
      </c>
      <c r="H44" s="86"/>
    </row>
    <row r="45" spans="1:8" s="37" customFormat="1" x14ac:dyDescent="0.2">
      <c r="A45" s="91"/>
      <c r="B45" s="54"/>
      <c r="C45" s="105"/>
      <c r="D45" s="52"/>
      <c r="E45" s="104"/>
      <c r="F45" s="83"/>
      <c r="G45" s="50"/>
      <c r="H45" s="82"/>
    </row>
    <row r="46" spans="1:8" s="37" customFormat="1" x14ac:dyDescent="0.2">
      <c r="A46" s="174" t="s">
        <v>293</v>
      </c>
      <c r="B46" s="175"/>
      <c r="C46" s="88" t="s">
        <v>50</v>
      </c>
      <c r="D46" s="64"/>
      <c r="E46" s="103"/>
      <c r="F46" s="68"/>
      <c r="G46" s="69"/>
      <c r="H46" s="86"/>
    </row>
    <row r="47" spans="1:8" s="37" customFormat="1" x14ac:dyDescent="0.2">
      <c r="A47" s="70" t="s">
        <v>293</v>
      </c>
      <c r="B47" s="66" t="s">
        <v>17</v>
      </c>
      <c r="C47" s="98" t="s">
        <v>44</v>
      </c>
      <c r="D47" s="64">
        <v>12</v>
      </c>
      <c r="E47" s="64" t="s">
        <v>19</v>
      </c>
      <c r="F47" s="69"/>
      <c r="G47" s="68"/>
      <c r="H47" s="86"/>
    </row>
    <row r="48" spans="1:8" s="37" customFormat="1" x14ac:dyDescent="0.2">
      <c r="A48" s="70"/>
      <c r="B48" s="66"/>
      <c r="C48" s="171" t="s">
        <v>51</v>
      </c>
      <c r="D48" s="172"/>
      <c r="E48" s="172"/>
      <c r="F48" s="173"/>
      <c r="G48" s="43">
        <f>SUM(G47:G47)</f>
        <v>0</v>
      </c>
      <c r="H48" s="86"/>
    </row>
    <row r="49" spans="1:8" s="37" customFormat="1" x14ac:dyDescent="0.2">
      <c r="A49" s="91"/>
      <c r="B49" s="54"/>
      <c r="C49" s="90"/>
      <c r="D49" s="52"/>
      <c r="E49" s="104"/>
      <c r="F49" s="83"/>
      <c r="G49" s="50"/>
      <c r="H49" s="82"/>
    </row>
    <row r="50" spans="1:8" s="37" customFormat="1" x14ac:dyDescent="0.2">
      <c r="A50" s="174" t="s">
        <v>294</v>
      </c>
      <c r="B50" s="175"/>
      <c r="C50" s="94" t="s">
        <v>53</v>
      </c>
      <c r="D50" s="64"/>
      <c r="E50" s="103"/>
      <c r="F50" s="68"/>
      <c r="G50" s="69"/>
      <c r="H50" s="86"/>
    </row>
    <row r="51" spans="1:8" s="37" customFormat="1" x14ac:dyDescent="0.2">
      <c r="A51" s="70" t="s">
        <v>294</v>
      </c>
      <c r="B51" s="66" t="s">
        <v>17</v>
      </c>
      <c r="C51" s="98" t="s">
        <v>29</v>
      </c>
      <c r="D51" s="64">
        <v>12</v>
      </c>
      <c r="E51" s="64" t="s">
        <v>19</v>
      </c>
      <c r="F51" s="69"/>
      <c r="G51" s="68"/>
      <c r="H51" s="86"/>
    </row>
    <row r="52" spans="1:8" s="37" customFormat="1" x14ac:dyDescent="0.2">
      <c r="A52" s="70"/>
      <c r="B52" s="66"/>
      <c r="C52" s="171" t="s">
        <v>54</v>
      </c>
      <c r="D52" s="172"/>
      <c r="E52" s="172"/>
      <c r="F52" s="173"/>
      <c r="G52" s="43">
        <f>SUM(G51:G51)</f>
        <v>0</v>
      </c>
      <c r="H52" s="63"/>
    </row>
    <row r="53" spans="1:8" x14ac:dyDescent="0.2">
      <c r="A53" s="91"/>
      <c r="B53" s="54"/>
      <c r="C53" s="53"/>
      <c r="D53" s="52"/>
      <c r="E53" s="52"/>
      <c r="F53" s="50"/>
      <c r="G53" s="83"/>
      <c r="H53" s="49"/>
    </row>
    <row r="54" spans="1:8" x14ac:dyDescent="0.2">
      <c r="A54" s="174" t="s">
        <v>295</v>
      </c>
      <c r="B54" s="175"/>
      <c r="C54" s="94" t="s">
        <v>56</v>
      </c>
      <c r="D54" s="64"/>
      <c r="E54" s="64"/>
      <c r="F54" s="69"/>
      <c r="G54" s="68"/>
      <c r="H54" s="63"/>
    </row>
    <row r="55" spans="1:8" x14ac:dyDescent="0.2">
      <c r="A55" s="70" t="s">
        <v>295</v>
      </c>
      <c r="B55" s="66" t="s">
        <v>17</v>
      </c>
      <c r="C55" s="98" t="s">
        <v>29</v>
      </c>
      <c r="D55" s="64">
        <v>12</v>
      </c>
      <c r="E55" s="64" t="s">
        <v>19</v>
      </c>
      <c r="F55" s="69"/>
      <c r="G55" s="68"/>
      <c r="H55" s="63"/>
    </row>
    <row r="56" spans="1:8" x14ac:dyDescent="0.2">
      <c r="A56" s="97"/>
      <c r="B56" s="96"/>
      <c r="C56" s="171" t="s">
        <v>57</v>
      </c>
      <c r="D56" s="172"/>
      <c r="E56" s="172"/>
      <c r="F56" s="173"/>
      <c r="G56" s="71">
        <f>SUM(G55:G55)</f>
        <v>0</v>
      </c>
      <c r="H56" s="63"/>
    </row>
    <row r="57" spans="1:8" ht="15" x14ac:dyDescent="0.25">
      <c r="A57" s="91"/>
      <c r="B57" s="54"/>
      <c r="C57" s="53"/>
      <c r="D57" s="176" t="s">
        <v>58</v>
      </c>
      <c r="E57" s="177"/>
      <c r="F57" s="178"/>
      <c r="G57" s="164">
        <f>SUM(G56,G52,G48,G44,G40,G36,G32)</f>
        <v>0</v>
      </c>
      <c r="H57" s="49"/>
    </row>
    <row r="58" spans="1:8" x14ac:dyDescent="0.2">
      <c r="A58" s="102"/>
      <c r="B58" s="102"/>
      <c r="C58" s="101"/>
      <c r="D58" s="75"/>
      <c r="E58" s="75"/>
      <c r="F58" s="73"/>
      <c r="G58" s="100"/>
      <c r="H58" s="99"/>
    </row>
    <row r="59" spans="1:8" x14ac:dyDescent="0.2">
      <c r="A59" s="174" t="s">
        <v>296</v>
      </c>
      <c r="B59" s="175"/>
      <c r="C59" s="94" t="s">
        <v>60</v>
      </c>
      <c r="D59" s="64"/>
      <c r="E59" s="64"/>
      <c r="F59" s="69"/>
      <c r="G59" s="68"/>
      <c r="H59" s="63"/>
    </row>
    <row r="60" spans="1:8" x14ac:dyDescent="0.2">
      <c r="A60" s="70" t="s">
        <v>296</v>
      </c>
      <c r="B60" s="66" t="s">
        <v>17</v>
      </c>
      <c r="C60" s="65" t="s">
        <v>18</v>
      </c>
      <c r="D60" s="64">
        <v>12</v>
      </c>
      <c r="E60" s="64" t="s">
        <v>19</v>
      </c>
      <c r="F60" s="69"/>
      <c r="G60" s="68"/>
      <c r="H60" s="63"/>
    </row>
    <row r="61" spans="1:8" x14ac:dyDescent="0.2">
      <c r="A61" s="70" t="s">
        <v>296</v>
      </c>
      <c r="B61" s="66" t="s">
        <v>20</v>
      </c>
      <c r="C61" s="98" t="s">
        <v>36</v>
      </c>
      <c r="D61" s="64">
        <v>12</v>
      </c>
      <c r="E61" s="64" t="s">
        <v>19</v>
      </c>
      <c r="F61" s="69"/>
      <c r="G61" s="68"/>
      <c r="H61" s="63"/>
    </row>
    <row r="62" spans="1:8" x14ac:dyDescent="0.2">
      <c r="A62" s="97"/>
      <c r="B62" s="96"/>
      <c r="C62" s="65"/>
      <c r="D62" s="171" t="s">
        <v>61</v>
      </c>
      <c r="E62" s="172"/>
      <c r="F62" s="173"/>
      <c r="G62" s="71">
        <f>SUM(G60:G61)</f>
        <v>0</v>
      </c>
      <c r="H62" s="63"/>
    </row>
    <row r="63" spans="1:8" x14ac:dyDescent="0.2">
      <c r="A63" s="85"/>
      <c r="B63" s="84"/>
      <c r="C63" s="53"/>
      <c r="D63" s="52"/>
      <c r="E63" s="52"/>
      <c r="F63" s="50"/>
      <c r="G63" s="83"/>
      <c r="H63" s="49"/>
    </row>
    <row r="64" spans="1:8" x14ac:dyDescent="0.2">
      <c r="A64" s="174" t="s">
        <v>297</v>
      </c>
      <c r="B64" s="175"/>
      <c r="C64" s="94" t="s">
        <v>63</v>
      </c>
      <c r="D64" s="64"/>
      <c r="E64" s="64"/>
      <c r="F64" s="69"/>
      <c r="G64" s="68"/>
      <c r="H64" s="63"/>
    </row>
    <row r="65" spans="1:8" x14ac:dyDescent="0.2">
      <c r="A65" s="70" t="s">
        <v>297</v>
      </c>
      <c r="B65" s="66" t="s">
        <v>17</v>
      </c>
      <c r="C65" s="65" t="s">
        <v>44</v>
      </c>
      <c r="D65" s="64">
        <v>12</v>
      </c>
      <c r="E65" s="64" t="s">
        <v>19</v>
      </c>
      <c r="F65" s="69"/>
      <c r="G65" s="68"/>
      <c r="H65" s="63"/>
    </row>
    <row r="66" spans="1:8" s="37" customFormat="1" x14ac:dyDescent="0.2">
      <c r="A66" s="70" t="s">
        <v>297</v>
      </c>
      <c r="B66" s="66" t="s">
        <v>20</v>
      </c>
      <c r="C66" s="65" t="s">
        <v>29</v>
      </c>
      <c r="D66" s="64">
        <v>12</v>
      </c>
      <c r="E66" s="64" t="s">
        <v>19</v>
      </c>
      <c r="F66" s="69"/>
      <c r="G66" s="68"/>
      <c r="H66" s="63"/>
    </row>
    <row r="67" spans="1:8" s="37" customFormat="1" x14ac:dyDescent="0.2">
      <c r="A67" s="97"/>
      <c r="B67" s="96"/>
      <c r="C67" s="65"/>
      <c r="D67" s="171" t="s">
        <v>64</v>
      </c>
      <c r="E67" s="172"/>
      <c r="F67" s="173"/>
      <c r="G67" s="71">
        <f>SUM(G65:G66)</f>
        <v>0</v>
      </c>
      <c r="H67" s="63"/>
    </row>
    <row r="68" spans="1:8" s="37" customFormat="1" x14ac:dyDescent="0.2">
      <c r="A68" s="85"/>
      <c r="B68" s="84"/>
      <c r="C68" s="53"/>
      <c r="D68" s="52"/>
      <c r="E68" s="52"/>
      <c r="F68" s="50"/>
      <c r="G68" s="83"/>
      <c r="H68" s="49"/>
    </row>
    <row r="69" spans="1:8" s="37" customFormat="1" x14ac:dyDescent="0.2">
      <c r="A69" s="174" t="s">
        <v>298</v>
      </c>
      <c r="B69" s="175"/>
      <c r="C69" s="94" t="s">
        <v>66</v>
      </c>
      <c r="D69" s="64"/>
      <c r="E69" s="64"/>
      <c r="F69" s="69"/>
      <c r="G69" s="68"/>
      <c r="H69" s="63"/>
    </row>
    <row r="70" spans="1:8" s="37" customFormat="1" x14ac:dyDescent="0.2">
      <c r="A70" s="70" t="s">
        <v>298</v>
      </c>
      <c r="B70" s="66" t="s">
        <v>17</v>
      </c>
      <c r="C70" s="98" t="s">
        <v>29</v>
      </c>
      <c r="D70" s="64">
        <v>12</v>
      </c>
      <c r="E70" s="64" t="s">
        <v>19</v>
      </c>
      <c r="F70" s="69"/>
      <c r="G70" s="163"/>
      <c r="H70" s="63"/>
    </row>
    <row r="71" spans="1:8" s="37" customFormat="1" x14ac:dyDescent="0.2">
      <c r="A71" s="97"/>
      <c r="B71" s="96"/>
      <c r="C71" s="171" t="s">
        <v>67</v>
      </c>
      <c r="D71" s="172"/>
      <c r="E71" s="172"/>
      <c r="F71" s="173"/>
      <c r="G71" s="71">
        <f>SUM(G70:G70)</f>
        <v>0</v>
      </c>
      <c r="H71" s="63"/>
    </row>
    <row r="72" spans="1:8" s="37" customFormat="1" x14ac:dyDescent="0.2">
      <c r="A72" s="85"/>
      <c r="B72" s="84"/>
      <c r="C72" s="53"/>
      <c r="D72" s="52"/>
      <c r="E72" s="52"/>
      <c r="F72" s="50"/>
      <c r="G72" s="83"/>
      <c r="H72" s="49"/>
    </row>
    <row r="73" spans="1:8" s="37" customFormat="1" x14ac:dyDescent="0.2">
      <c r="A73" s="174" t="s">
        <v>299</v>
      </c>
      <c r="B73" s="175"/>
      <c r="C73" s="94" t="s">
        <v>69</v>
      </c>
      <c r="D73" s="64"/>
      <c r="E73" s="64"/>
      <c r="F73" s="69"/>
      <c r="G73" s="68"/>
      <c r="H73" s="63"/>
    </row>
    <row r="74" spans="1:8" s="37" customFormat="1" x14ac:dyDescent="0.2">
      <c r="A74" s="70" t="s">
        <v>299</v>
      </c>
      <c r="B74" s="66" t="s">
        <v>17</v>
      </c>
      <c r="C74" s="65" t="s">
        <v>201</v>
      </c>
      <c r="D74" s="64">
        <v>12</v>
      </c>
      <c r="E74" s="64" t="s">
        <v>19</v>
      </c>
      <c r="F74" s="69"/>
      <c r="G74" s="68"/>
      <c r="H74" s="63"/>
    </row>
    <row r="75" spans="1:8" s="37" customFormat="1" x14ac:dyDescent="0.2">
      <c r="A75" s="70" t="s">
        <v>299</v>
      </c>
      <c r="B75" s="66" t="s">
        <v>20</v>
      </c>
      <c r="C75" s="98" t="s">
        <v>191</v>
      </c>
      <c r="D75" s="64">
        <v>12</v>
      </c>
      <c r="E75" s="64" t="s">
        <v>19</v>
      </c>
      <c r="F75" s="69"/>
      <c r="G75" s="68"/>
      <c r="H75" s="63"/>
    </row>
    <row r="76" spans="1:8" s="37" customFormat="1" x14ac:dyDescent="0.2">
      <c r="A76" s="97"/>
      <c r="B76" s="96"/>
      <c r="C76" s="171" t="s">
        <v>70</v>
      </c>
      <c r="D76" s="172"/>
      <c r="E76" s="172"/>
      <c r="F76" s="173"/>
      <c r="G76" s="43">
        <f>SUM(G74:G75)</f>
        <v>0</v>
      </c>
      <c r="H76" s="63"/>
    </row>
    <row r="77" spans="1:8" s="37" customFormat="1" x14ac:dyDescent="0.2">
      <c r="A77" s="85"/>
      <c r="B77" s="84"/>
      <c r="C77" s="53"/>
      <c r="D77" s="52"/>
      <c r="E77" s="52"/>
      <c r="F77" s="95"/>
      <c r="G77" s="50"/>
      <c r="H77" s="49"/>
    </row>
    <row r="78" spans="1:8" x14ac:dyDescent="0.2">
      <c r="A78" s="174" t="s">
        <v>300</v>
      </c>
      <c r="B78" s="175"/>
      <c r="C78" s="94" t="s">
        <v>72</v>
      </c>
      <c r="D78" s="64"/>
      <c r="E78" s="64"/>
      <c r="F78" s="93"/>
      <c r="G78" s="69"/>
      <c r="H78" s="63"/>
    </row>
    <row r="79" spans="1:8" x14ac:dyDescent="0.2">
      <c r="A79" s="70" t="s">
        <v>300</v>
      </c>
      <c r="B79" s="66" t="s">
        <v>20</v>
      </c>
      <c r="C79" s="65" t="s">
        <v>29</v>
      </c>
      <c r="D79" s="64">
        <v>12</v>
      </c>
      <c r="E79" s="64" t="s">
        <v>19</v>
      </c>
      <c r="F79" s="69"/>
      <c r="G79" s="68"/>
      <c r="H79" s="63"/>
    </row>
    <row r="80" spans="1:8" x14ac:dyDescent="0.2">
      <c r="A80" s="97"/>
      <c r="B80" s="96"/>
      <c r="C80" s="171" t="s">
        <v>73</v>
      </c>
      <c r="D80" s="172"/>
      <c r="E80" s="172"/>
      <c r="F80" s="173"/>
      <c r="G80" s="43">
        <f>SUM(G79:G79)</f>
        <v>0</v>
      </c>
      <c r="H80" s="63"/>
    </row>
    <row r="81" spans="1:8" x14ac:dyDescent="0.2">
      <c r="A81" s="85"/>
      <c r="B81" s="84"/>
      <c r="C81" s="53"/>
      <c r="D81" s="52"/>
      <c r="E81" s="52"/>
      <c r="F81" s="95"/>
      <c r="G81" s="50"/>
      <c r="H81" s="49"/>
    </row>
    <row r="82" spans="1:8" x14ac:dyDescent="0.2">
      <c r="A82" s="174" t="s">
        <v>301</v>
      </c>
      <c r="B82" s="175"/>
      <c r="C82" s="94" t="s">
        <v>75</v>
      </c>
      <c r="D82" s="64"/>
      <c r="E82" s="64"/>
      <c r="F82" s="93"/>
      <c r="G82" s="69"/>
      <c r="H82" s="63"/>
    </row>
    <row r="83" spans="1:8" x14ac:dyDescent="0.2">
      <c r="A83" s="70" t="s">
        <v>301</v>
      </c>
      <c r="B83" s="92" t="s">
        <v>17</v>
      </c>
      <c r="C83" s="65" t="s">
        <v>18</v>
      </c>
      <c r="D83" s="64">
        <v>12</v>
      </c>
      <c r="E83" s="64" t="s">
        <v>19</v>
      </c>
      <c r="F83" s="69"/>
      <c r="G83" s="68"/>
      <c r="H83" s="63"/>
    </row>
    <row r="84" spans="1:8" x14ac:dyDescent="0.2">
      <c r="A84" s="70"/>
      <c r="B84" s="66"/>
      <c r="C84" s="88"/>
      <c r="D84" s="165" t="s">
        <v>76</v>
      </c>
      <c r="E84" s="166"/>
      <c r="F84" s="167"/>
      <c r="G84" s="43">
        <f>SUM(G83:G83)</f>
        <v>0</v>
      </c>
      <c r="H84" s="86"/>
    </row>
    <row r="85" spans="1:8" x14ac:dyDescent="0.2">
      <c r="A85" s="91"/>
      <c r="B85" s="54"/>
      <c r="C85" s="90"/>
      <c r="D85" s="52"/>
      <c r="E85" s="89"/>
      <c r="F85" s="89"/>
      <c r="G85" s="50"/>
      <c r="H85" s="82"/>
    </row>
    <row r="86" spans="1:8" x14ac:dyDescent="0.2">
      <c r="A86" s="174" t="s">
        <v>302</v>
      </c>
      <c r="B86" s="175"/>
      <c r="C86" s="94" t="s">
        <v>78</v>
      </c>
      <c r="D86" s="64"/>
      <c r="E86" s="64"/>
      <c r="F86" s="93"/>
      <c r="G86" s="69"/>
      <c r="H86" s="63"/>
    </row>
    <row r="87" spans="1:8" x14ac:dyDescent="0.2">
      <c r="A87" s="70" t="s">
        <v>302</v>
      </c>
      <c r="B87" s="92" t="s">
        <v>17</v>
      </c>
      <c r="C87" s="65" t="s">
        <v>18</v>
      </c>
      <c r="D87" s="64">
        <v>12</v>
      </c>
      <c r="E87" s="64" t="s">
        <v>19</v>
      </c>
      <c r="F87" s="69"/>
      <c r="G87" s="68"/>
      <c r="H87" s="63"/>
    </row>
    <row r="88" spans="1:8" x14ac:dyDescent="0.2">
      <c r="A88" s="70"/>
      <c r="B88" s="66"/>
      <c r="C88" s="88"/>
      <c r="D88" s="165" t="s">
        <v>79</v>
      </c>
      <c r="E88" s="166"/>
      <c r="F88" s="167"/>
      <c r="G88" s="43">
        <f>SUM(G87:G87)</f>
        <v>0</v>
      </c>
      <c r="H88" s="86"/>
    </row>
    <row r="89" spans="1:8" x14ac:dyDescent="0.2">
      <c r="A89" s="91"/>
      <c r="B89" s="54"/>
      <c r="C89" s="90"/>
      <c r="D89" s="52"/>
      <c r="E89" s="89"/>
      <c r="F89" s="89"/>
      <c r="G89" s="50"/>
      <c r="H89" s="82"/>
    </row>
    <row r="90" spans="1:8" x14ac:dyDescent="0.2">
      <c r="A90" s="174" t="s">
        <v>303</v>
      </c>
      <c r="B90" s="175"/>
      <c r="C90" s="94" t="s">
        <v>81</v>
      </c>
      <c r="D90" s="64"/>
      <c r="E90" s="64"/>
      <c r="F90" s="93"/>
      <c r="G90" s="69"/>
      <c r="H90" s="63"/>
    </row>
    <row r="91" spans="1:8" x14ac:dyDescent="0.2">
      <c r="A91" s="70" t="s">
        <v>303</v>
      </c>
      <c r="B91" s="92" t="s">
        <v>17</v>
      </c>
      <c r="C91" s="65" t="s">
        <v>18</v>
      </c>
      <c r="D91" s="64">
        <v>12</v>
      </c>
      <c r="E91" s="64" t="s">
        <v>19</v>
      </c>
      <c r="F91" s="69"/>
      <c r="G91" s="68"/>
      <c r="H91" s="63"/>
    </row>
    <row r="92" spans="1:8" x14ac:dyDescent="0.2">
      <c r="A92" s="70"/>
      <c r="B92" s="66"/>
      <c r="C92" s="88"/>
      <c r="D92" s="165" t="s">
        <v>206</v>
      </c>
      <c r="E92" s="166"/>
      <c r="F92" s="167"/>
      <c r="G92" s="43">
        <f>SUM(G91:G91)</f>
        <v>0</v>
      </c>
      <c r="H92" s="86"/>
    </row>
    <row r="93" spans="1:8" ht="15" x14ac:dyDescent="0.25">
      <c r="A93" s="91"/>
      <c r="B93" s="54"/>
      <c r="C93" s="90"/>
      <c r="D93" s="176" t="s">
        <v>83</v>
      </c>
      <c r="E93" s="177"/>
      <c r="F93" s="178"/>
      <c r="G93" s="95">
        <f>SUM(G92,G88,G84,G80,G76,G71,G67,G62)</f>
        <v>0</v>
      </c>
      <c r="H93" s="82"/>
    </row>
    <row r="94" spans="1:8" x14ac:dyDescent="0.2">
      <c r="A94" s="81"/>
      <c r="B94" s="61"/>
      <c r="C94" s="80"/>
      <c r="D94" s="179" t="s">
        <v>84</v>
      </c>
      <c r="E94" s="180"/>
      <c r="F94" s="181"/>
      <c r="G94" s="57">
        <f>SUM(G93,G57)</f>
        <v>0</v>
      </c>
      <c r="H94" s="79"/>
    </row>
    <row r="95" spans="1:8" x14ac:dyDescent="0.2">
      <c r="A95" s="70"/>
      <c r="B95" s="66"/>
      <c r="C95" s="88"/>
      <c r="D95" s="64"/>
      <c r="E95" s="87"/>
      <c r="F95" s="87"/>
      <c r="G95" s="69"/>
      <c r="H95" s="86"/>
    </row>
    <row r="96" spans="1:8" x14ac:dyDescent="0.2">
      <c r="A96" s="78"/>
      <c r="B96" s="77"/>
      <c r="C96" s="76" t="s">
        <v>85</v>
      </c>
      <c r="D96" s="75"/>
      <c r="E96" s="74"/>
      <c r="F96" s="74"/>
      <c r="G96" s="73"/>
      <c r="H96" s="72"/>
    </row>
    <row r="97" spans="1:8" x14ac:dyDescent="0.2">
      <c r="A97" s="174" t="s">
        <v>304</v>
      </c>
      <c r="B97" s="175"/>
      <c r="C97" s="88" t="s">
        <v>87</v>
      </c>
      <c r="D97" s="64"/>
      <c r="E97" s="87"/>
      <c r="F97" s="87"/>
      <c r="G97" s="69"/>
      <c r="H97" s="86"/>
    </row>
    <row r="98" spans="1:8" x14ac:dyDescent="0.2">
      <c r="A98" s="70" t="s">
        <v>304</v>
      </c>
      <c r="B98" s="92" t="s">
        <v>17</v>
      </c>
      <c r="C98" s="65" t="s">
        <v>18</v>
      </c>
      <c r="D98" s="64">
        <v>12</v>
      </c>
      <c r="E98" s="64" t="s">
        <v>19</v>
      </c>
      <c r="F98" s="69"/>
      <c r="G98" s="68"/>
      <c r="H98" s="86"/>
    </row>
    <row r="99" spans="1:8" x14ac:dyDescent="0.2">
      <c r="A99" s="70" t="s">
        <v>304</v>
      </c>
      <c r="B99" s="92" t="s">
        <v>20</v>
      </c>
      <c r="C99" s="65" t="s">
        <v>21</v>
      </c>
      <c r="D99" s="64">
        <v>12</v>
      </c>
      <c r="E99" s="64" t="s">
        <v>19</v>
      </c>
      <c r="F99" s="69"/>
      <c r="G99" s="68"/>
      <c r="H99" s="86"/>
    </row>
    <row r="100" spans="1:8" x14ac:dyDescent="0.2">
      <c r="A100" s="70"/>
      <c r="B100" s="66"/>
      <c r="C100" s="165" t="s">
        <v>88</v>
      </c>
      <c r="D100" s="166"/>
      <c r="E100" s="166"/>
      <c r="F100" s="167"/>
      <c r="G100" s="43">
        <f>SUM(G98:G99)</f>
        <v>0</v>
      </c>
      <c r="H100" s="86"/>
    </row>
    <row r="101" spans="1:8" x14ac:dyDescent="0.2">
      <c r="A101" s="91"/>
      <c r="B101" s="54"/>
      <c r="C101" s="90"/>
      <c r="D101" s="52"/>
      <c r="E101" s="89"/>
      <c r="F101" s="89"/>
      <c r="G101" s="50"/>
      <c r="H101" s="82"/>
    </row>
    <row r="102" spans="1:8" s="37" customFormat="1" x14ac:dyDescent="0.2">
      <c r="A102" s="174" t="s">
        <v>305</v>
      </c>
      <c r="B102" s="175"/>
      <c r="C102" s="88" t="s">
        <v>90</v>
      </c>
      <c r="D102" s="64"/>
      <c r="E102" s="87"/>
      <c r="F102" s="87"/>
      <c r="G102" s="69"/>
      <c r="H102" s="86"/>
    </row>
    <row r="103" spans="1:8" s="37" customFormat="1" x14ac:dyDescent="0.2">
      <c r="A103" s="70" t="s">
        <v>305</v>
      </c>
      <c r="B103" s="66" t="s">
        <v>17</v>
      </c>
      <c r="C103" s="65" t="s">
        <v>18</v>
      </c>
      <c r="D103" s="64">
        <v>12</v>
      </c>
      <c r="E103" s="64" t="s">
        <v>19</v>
      </c>
      <c r="F103" s="69"/>
      <c r="G103" s="68"/>
      <c r="H103" s="86"/>
    </row>
    <row r="104" spans="1:8" s="37" customFormat="1" x14ac:dyDescent="0.2">
      <c r="A104" s="70"/>
      <c r="B104" s="66"/>
      <c r="C104" s="165" t="s">
        <v>91</v>
      </c>
      <c r="D104" s="166"/>
      <c r="E104" s="166"/>
      <c r="F104" s="167"/>
      <c r="G104" s="43">
        <f>SUM(G103:G103)</f>
        <v>0</v>
      </c>
      <c r="H104" s="86"/>
    </row>
    <row r="105" spans="1:8" s="37" customFormat="1" x14ac:dyDescent="0.2">
      <c r="A105" s="91"/>
      <c r="B105" s="54"/>
      <c r="C105" s="90"/>
      <c r="D105" s="52"/>
      <c r="E105" s="89"/>
      <c r="F105" s="89"/>
      <c r="G105" s="50"/>
      <c r="H105" s="82"/>
    </row>
    <row r="106" spans="1:8" s="37" customFormat="1" x14ac:dyDescent="0.2">
      <c r="A106" s="174" t="s">
        <v>306</v>
      </c>
      <c r="B106" s="175"/>
      <c r="C106" s="88" t="s">
        <v>93</v>
      </c>
      <c r="D106" s="64"/>
      <c r="E106" s="87"/>
      <c r="F106" s="87"/>
      <c r="G106" s="69"/>
      <c r="H106" s="86"/>
    </row>
    <row r="107" spans="1:8" s="37" customFormat="1" x14ac:dyDescent="0.2">
      <c r="A107" s="70" t="s">
        <v>306</v>
      </c>
      <c r="B107" s="92" t="s">
        <v>17</v>
      </c>
      <c r="C107" s="65" t="s">
        <v>29</v>
      </c>
      <c r="D107" s="64">
        <v>12</v>
      </c>
      <c r="E107" s="64" t="s">
        <v>19</v>
      </c>
      <c r="F107" s="69"/>
      <c r="G107" s="68"/>
      <c r="H107" s="86"/>
    </row>
    <row r="108" spans="1:8" s="37" customFormat="1" x14ac:dyDescent="0.2">
      <c r="A108" s="70"/>
      <c r="B108" s="66"/>
      <c r="C108" s="165" t="s">
        <v>94</v>
      </c>
      <c r="D108" s="166"/>
      <c r="E108" s="166"/>
      <c r="F108" s="167"/>
      <c r="G108" s="43">
        <f>SUM(G107:G107)</f>
        <v>0</v>
      </c>
      <c r="H108" s="86"/>
    </row>
    <row r="109" spans="1:8" s="37" customFormat="1" x14ac:dyDescent="0.2">
      <c r="A109" s="91"/>
      <c r="B109" s="54"/>
      <c r="C109" s="90"/>
      <c r="D109" s="52"/>
      <c r="E109" s="89"/>
      <c r="F109" s="89"/>
      <c r="G109" s="50"/>
      <c r="H109" s="82"/>
    </row>
    <row r="110" spans="1:8" s="37" customFormat="1" x14ac:dyDescent="0.2">
      <c r="A110" s="174" t="s">
        <v>307</v>
      </c>
      <c r="B110" s="175"/>
      <c r="C110" s="88" t="s">
        <v>96</v>
      </c>
      <c r="D110" s="64"/>
      <c r="E110" s="87"/>
      <c r="F110" s="87"/>
      <c r="G110" s="69"/>
      <c r="H110" s="86"/>
    </row>
    <row r="111" spans="1:8" s="37" customFormat="1" x14ac:dyDescent="0.2">
      <c r="A111" s="70" t="s">
        <v>307</v>
      </c>
      <c r="B111" s="66" t="s">
        <v>17</v>
      </c>
      <c r="C111" s="65" t="s">
        <v>97</v>
      </c>
      <c r="D111" s="64">
        <v>12</v>
      </c>
      <c r="E111" s="64" t="s">
        <v>19</v>
      </c>
      <c r="F111" s="69"/>
      <c r="G111" s="68"/>
      <c r="H111" s="86"/>
    </row>
    <row r="112" spans="1:8" s="37" customFormat="1" x14ac:dyDescent="0.2">
      <c r="A112" s="70"/>
      <c r="B112" s="66"/>
      <c r="C112" s="165" t="s">
        <v>98</v>
      </c>
      <c r="D112" s="166"/>
      <c r="E112" s="166"/>
      <c r="F112" s="167"/>
      <c r="G112" s="43">
        <f>SUM(G111:G111)</f>
        <v>0</v>
      </c>
      <c r="H112" s="86"/>
    </row>
    <row r="113" spans="1:8" x14ac:dyDescent="0.2">
      <c r="A113" s="55"/>
      <c r="B113" s="54"/>
      <c r="C113" s="53"/>
      <c r="D113" s="52"/>
      <c r="E113" s="51"/>
      <c r="F113" s="51"/>
      <c r="G113" s="50"/>
      <c r="H113" s="49"/>
    </row>
    <row r="114" spans="1:8" x14ac:dyDescent="0.2">
      <c r="A114" s="62"/>
      <c r="B114" s="61"/>
      <c r="C114" s="60"/>
      <c r="D114" s="59"/>
      <c r="E114" s="58"/>
      <c r="F114" s="58" t="s">
        <v>99</v>
      </c>
      <c r="G114" s="57">
        <f>SUM(G112,G108,G104,G100)</f>
        <v>0</v>
      </c>
      <c r="H114" s="56"/>
    </row>
    <row r="115" spans="1:8" x14ac:dyDescent="0.2">
      <c r="A115" s="48"/>
      <c r="B115" s="47"/>
      <c r="C115" s="46"/>
      <c r="D115" s="45"/>
      <c r="E115" s="44"/>
      <c r="F115" s="44"/>
      <c r="G115" s="43"/>
      <c r="H115" s="42"/>
    </row>
    <row r="116" spans="1:8" ht="13.5" thickBot="1" x14ac:dyDescent="0.25">
      <c r="A116" s="41"/>
      <c r="B116" s="40"/>
      <c r="C116" s="168" t="s">
        <v>100</v>
      </c>
      <c r="D116" s="169"/>
      <c r="E116" s="169"/>
      <c r="F116" s="170"/>
      <c r="G116" s="39">
        <f>SUM(G114,G94,G25)</f>
        <v>0</v>
      </c>
      <c r="H116" s="38"/>
    </row>
  </sheetData>
  <mergeCells count="59">
    <mergeCell ref="A106:B106"/>
    <mergeCell ref="C108:F108"/>
    <mergeCell ref="A110:B110"/>
    <mergeCell ref="C112:F112"/>
    <mergeCell ref="C116:F116"/>
    <mergeCell ref="C104:F104"/>
    <mergeCell ref="A82:B82"/>
    <mergeCell ref="D84:F84"/>
    <mergeCell ref="A86:B86"/>
    <mergeCell ref="D88:F88"/>
    <mergeCell ref="A90:B90"/>
    <mergeCell ref="D92:F92"/>
    <mergeCell ref="D93:F93"/>
    <mergeCell ref="D94:F94"/>
    <mergeCell ref="A97:B97"/>
    <mergeCell ref="C100:F100"/>
    <mergeCell ref="A102:B102"/>
    <mergeCell ref="C80:F80"/>
    <mergeCell ref="C56:F56"/>
    <mergeCell ref="D57:F57"/>
    <mergeCell ref="A59:B59"/>
    <mergeCell ref="D62:F62"/>
    <mergeCell ref="A64:B64"/>
    <mergeCell ref="D67:F67"/>
    <mergeCell ref="A69:B69"/>
    <mergeCell ref="C71:F71"/>
    <mergeCell ref="A73:B73"/>
    <mergeCell ref="C76:F76"/>
    <mergeCell ref="A78:B78"/>
    <mergeCell ref="A54:B54"/>
    <mergeCell ref="D32:F32"/>
    <mergeCell ref="A34:B34"/>
    <mergeCell ref="D36:F36"/>
    <mergeCell ref="A38:B38"/>
    <mergeCell ref="C40:F40"/>
    <mergeCell ref="A42:B42"/>
    <mergeCell ref="C44:F44"/>
    <mergeCell ref="A46:B46"/>
    <mergeCell ref="C48:F48"/>
    <mergeCell ref="A50:B50"/>
    <mergeCell ref="C52:F52"/>
    <mergeCell ref="A28:B28"/>
    <mergeCell ref="A4:H4"/>
    <mergeCell ref="I4:K4"/>
    <mergeCell ref="A5:H5"/>
    <mergeCell ref="A6:H6"/>
    <mergeCell ref="A7:H7"/>
    <mergeCell ref="A8:B8"/>
    <mergeCell ref="A11:B11"/>
    <mergeCell ref="E14:F14"/>
    <mergeCell ref="A16:B16"/>
    <mergeCell ref="A20:B20"/>
    <mergeCell ref="D25:F25"/>
    <mergeCell ref="A1:H1"/>
    <mergeCell ref="I1:K1"/>
    <mergeCell ref="A2:H2"/>
    <mergeCell ref="I2:K2"/>
    <mergeCell ref="A3:H3"/>
    <mergeCell ref="I3:K3"/>
  </mergeCells>
  <printOptions horizontalCentered="1"/>
  <pageMargins left="1" right="1" top="1" bottom="1" header="0.5" footer="0.5"/>
  <pageSetup scale="50" fitToHeight="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E52A9-ADE7-493D-B489-AF568CDA5826}">
  <sheetPr>
    <pageSetUpPr fitToPage="1"/>
  </sheetPr>
  <dimension ref="A1:K176"/>
  <sheetViews>
    <sheetView zoomScaleNormal="100" workbookViewId="0">
      <selection activeCell="A4" sqref="A4:H4"/>
    </sheetView>
  </sheetViews>
  <sheetFormatPr defaultColWidth="9.140625" defaultRowHeight="12.75" x14ac:dyDescent="0.2"/>
  <cols>
    <col min="1" max="1" width="11" style="4" customWidth="1"/>
    <col min="2" max="2" width="16" style="3" customWidth="1"/>
    <col min="3" max="3" width="40.140625" style="3" customWidth="1"/>
    <col min="4" max="4" width="11.85546875" style="3" customWidth="1"/>
    <col min="5" max="5" width="7.5703125" style="1" customWidth="1"/>
    <col min="6" max="6" width="15" style="2" customWidth="1"/>
    <col min="7" max="7" width="16.85546875" style="2" customWidth="1"/>
    <col min="8" max="8" width="8.7109375" style="1" customWidth="1"/>
    <col min="9" max="9" width="3" style="1" hidden="1" customWidth="1"/>
    <col min="10" max="16384" width="9.140625" style="1"/>
  </cols>
  <sheetData>
    <row r="1" spans="1:9" ht="12.75" customHeight="1" x14ac:dyDescent="0.2">
      <c r="A1" s="207" t="s">
        <v>0</v>
      </c>
      <c r="B1" s="208"/>
      <c r="C1" s="208"/>
      <c r="D1" s="208"/>
      <c r="E1" s="208"/>
      <c r="F1" s="208"/>
      <c r="G1" s="208"/>
      <c r="H1" s="209"/>
      <c r="I1" s="35"/>
    </row>
    <row r="2" spans="1:9" ht="12.75" customHeight="1" x14ac:dyDescent="0.2">
      <c r="A2" s="210" t="s">
        <v>1</v>
      </c>
      <c r="B2" s="211"/>
      <c r="C2" s="211"/>
      <c r="D2" s="211"/>
      <c r="E2" s="211"/>
      <c r="F2" s="211"/>
      <c r="G2" s="211"/>
      <c r="H2" s="212"/>
    </row>
    <row r="3" spans="1:9" ht="12.75" customHeight="1" x14ac:dyDescent="0.2">
      <c r="A3" s="210" t="s">
        <v>211</v>
      </c>
      <c r="B3" s="211"/>
      <c r="C3" s="211"/>
      <c r="D3" s="211"/>
      <c r="E3" s="211"/>
      <c r="F3" s="211"/>
      <c r="G3" s="211"/>
      <c r="H3" s="212"/>
    </row>
    <row r="4" spans="1:9" ht="12.75" customHeight="1" x14ac:dyDescent="0.2">
      <c r="A4" s="210" t="s">
        <v>284</v>
      </c>
      <c r="B4" s="211"/>
      <c r="C4" s="211"/>
      <c r="D4" s="211"/>
      <c r="E4" s="211"/>
      <c r="F4" s="211"/>
      <c r="G4" s="211"/>
      <c r="H4" s="212"/>
    </row>
    <row r="5" spans="1:9" ht="12.75" customHeight="1" x14ac:dyDescent="0.2">
      <c r="A5" s="210" t="s">
        <v>308</v>
      </c>
      <c r="B5" s="211"/>
      <c r="C5" s="211"/>
      <c r="D5" s="211"/>
      <c r="E5" s="211"/>
      <c r="F5" s="211"/>
      <c r="G5" s="211"/>
      <c r="H5" s="212"/>
    </row>
    <row r="6" spans="1:9" x14ac:dyDescent="0.2">
      <c r="A6" s="204" t="s">
        <v>104</v>
      </c>
      <c r="B6" s="205"/>
      <c r="C6" s="205"/>
      <c r="D6" s="205"/>
      <c r="E6" s="205"/>
      <c r="F6" s="205"/>
      <c r="G6" s="205"/>
      <c r="H6" s="206"/>
    </row>
    <row r="7" spans="1:9" ht="12.75" customHeight="1" x14ac:dyDescent="0.2">
      <c r="A7" s="204" t="s">
        <v>105</v>
      </c>
      <c r="B7" s="205"/>
      <c r="C7" s="205"/>
      <c r="D7" s="205"/>
      <c r="E7" s="205"/>
      <c r="F7" s="205"/>
      <c r="G7" s="205"/>
      <c r="H7" s="206"/>
    </row>
    <row r="8" spans="1:9" s="29" customFormat="1" ht="28.5" customHeight="1" x14ac:dyDescent="0.2">
      <c r="A8" s="34" t="s">
        <v>106</v>
      </c>
      <c r="B8" s="33" t="s">
        <v>107</v>
      </c>
      <c r="C8" s="33" t="s">
        <v>108</v>
      </c>
      <c r="D8" s="33" t="s">
        <v>109</v>
      </c>
      <c r="E8" s="33" t="s">
        <v>10</v>
      </c>
      <c r="F8" s="32" t="s">
        <v>11</v>
      </c>
      <c r="G8" s="31" t="s">
        <v>110</v>
      </c>
      <c r="H8" s="30" t="s">
        <v>111</v>
      </c>
    </row>
    <row r="9" spans="1:9" ht="77.25" customHeight="1" x14ac:dyDescent="0.2">
      <c r="A9" s="20" t="s">
        <v>309</v>
      </c>
      <c r="B9" s="19" t="s">
        <v>113</v>
      </c>
      <c r="C9" s="26" t="s">
        <v>114</v>
      </c>
      <c r="D9" s="17">
        <v>500</v>
      </c>
      <c r="E9" s="17" t="s">
        <v>115</v>
      </c>
      <c r="F9" s="16">
        <v>0</v>
      </c>
      <c r="G9" s="15">
        <f t="shared" ref="G9:G26" si="0">SUM(D9*F9)</f>
        <v>0</v>
      </c>
      <c r="H9" s="14">
        <v>9210</v>
      </c>
    </row>
    <row r="10" spans="1:9" ht="102" customHeight="1" x14ac:dyDescent="0.2">
      <c r="A10" s="20" t="s">
        <v>310</v>
      </c>
      <c r="B10" s="19" t="s">
        <v>117</v>
      </c>
      <c r="C10" s="18" t="s">
        <v>118</v>
      </c>
      <c r="D10" s="24">
        <v>250000</v>
      </c>
      <c r="E10" s="17" t="s">
        <v>119</v>
      </c>
      <c r="F10" s="16">
        <v>0</v>
      </c>
      <c r="G10" s="15">
        <f t="shared" si="0"/>
        <v>0</v>
      </c>
      <c r="H10" s="14">
        <v>9210</v>
      </c>
    </row>
    <row r="11" spans="1:9" ht="130.5" customHeight="1" x14ac:dyDescent="0.2">
      <c r="A11" s="20" t="s">
        <v>311</v>
      </c>
      <c r="B11" s="19" t="s">
        <v>121</v>
      </c>
      <c r="C11" s="25" t="s">
        <v>122</v>
      </c>
      <c r="D11" s="24">
        <v>10000</v>
      </c>
      <c r="E11" s="17" t="s">
        <v>119</v>
      </c>
      <c r="F11" s="16">
        <v>0</v>
      </c>
      <c r="G11" s="15">
        <f t="shared" si="0"/>
        <v>0</v>
      </c>
      <c r="H11" s="14">
        <v>9210</v>
      </c>
    </row>
    <row r="12" spans="1:9" ht="105.75" customHeight="1" x14ac:dyDescent="0.2">
      <c r="A12" s="20" t="s">
        <v>312</v>
      </c>
      <c r="B12" s="19" t="s">
        <v>124</v>
      </c>
      <c r="C12" s="19" t="s">
        <v>125</v>
      </c>
      <c r="D12" s="24">
        <v>250000</v>
      </c>
      <c r="E12" s="17" t="s">
        <v>119</v>
      </c>
      <c r="F12" s="16">
        <v>0</v>
      </c>
      <c r="G12" s="15">
        <f t="shared" si="0"/>
        <v>0</v>
      </c>
      <c r="H12" s="14">
        <v>9210</v>
      </c>
    </row>
    <row r="13" spans="1:9" ht="38.25" x14ac:dyDescent="0.2">
      <c r="A13" s="20" t="s">
        <v>313</v>
      </c>
      <c r="B13" s="19" t="s">
        <v>127</v>
      </c>
      <c r="C13" s="25" t="s">
        <v>128</v>
      </c>
      <c r="D13" s="24">
        <v>250000</v>
      </c>
      <c r="E13" s="17" t="s">
        <v>119</v>
      </c>
      <c r="F13" s="16">
        <v>0</v>
      </c>
      <c r="G13" s="15">
        <f t="shared" si="0"/>
        <v>0</v>
      </c>
      <c r="H13" s="14">
        <v>9210</v>
      </c>
    </row>
    <row r="14" spans="1:9" ht="127.5" x14ac:dyDescent="0.2">
      <c r="A14" s="20" t="s">
        <v>314</v>
      </c>
      <c r="B14" s="19" t="s">
        <v>130</v>
      </c>
      <c r="C14" s="25" t="s">
        <v>131</v>
      </c>
      <c r="D14" s="24">
        <v>250000</v>
      </c>
      <c r="E14" s="17" t="s">
        <v>119</v>
      </c>
      <c r="F14" s="16">
        <v>0</v>
      </c>
      <c r="G14" s="15">
        <f t="shared" si="0"/>
        <v>0</v>
      </c>
      <c r="H14" s="14">
        <v>9210</v>
      </c>
    </row>
    <row r="15" spans="1:9" ht="53.25" customHeight="1" x14ac:dyDescent="0.2">
      <c r="A15" s="20" t="s">
        <v>315</v>
      </c>
      <c r="B15" s="19" t="s">
        <v>133</v>
      </c>
      <c r="C15" s="28" t="s">
        <v>134</v>
      </c>
      <c r="D15" s="24">
        <v>1000</v>
      </c>
      <c r="E15" s="17" t="s">
        <v>115</v>
      </c>
      <c r="F15" s="16">
        <v>0</v>
      </c>
      <c r="G15" s="15">
        <f t="shared" si="0"/>
        <v>0</v>
      </c>
      <c r="H15" s="14">
        <v>9210</v>
      </c>
    </row>
    <row r="16" spans="1:9" ht="65.25" customHeight="1" x14ac:dyDescent="0.2">
      <c r="A16" s="20" t="s">
        <v>316</v>
      </c>
      <c r="B16" s="19" t="s">
        <v>136</v>
      </c>
      <c r="C16" s="25" t="s">
        <v>137</v>
      </c>
      <c r="D16" s="24">
        <v>100000</v>
      </c>
      <c r="E16" s="17" t="s">
        <v>119</v>
      </c>
      <c r="F16" s="16">
        <v>0</v>
      </c>
      <c r="G16" s="15">
        <f t="shared" si="0"/>
        <v>0</v>
      </c>
      <c r="H16" s="14">
        <v>9210</v>
      </c>
    </row>
    <row r="17" spans="1:11" ht="66.75" customHeight="1" x14ac:dyDescent="0.2">
      <c r="A17" s="20" t="s">
        <v>317</v>
      </c>
      <c r="B17" s="19" t="s">
        <v>139</v>
      </c>
      <c r="C17" s="28" t="s">
        <v>140</v>
      </c>
      <c r="D17" s="24">
        <v>1000</v>
      </c>
      <c r="E17" s="17" t="s">
        <v>119</v>
      </c>
      <c r="F17" s="16">
        <v>0</v>
      </c>
      <c r="G17" s="15">
        <f t="shared" si="0"/>
        <v>0</v>
      </c>
      <c r="H17" s="14">
        <v>9210</v>
      </c>
    </row>
    <row r="18" spans="1:11" ht="42" customHeight="1" x14ac:dyDescent="0.2">
      <c r="A18" s="20" t="s">
        <v>318</v>
      </c>
      <c r="B18" s="19" t="s">
        <v>142</v>
      </c>
      <c r="C18" s="25" t="s">
        <v>143</v>
      </c>
      <c r="D18" s="24">
        <v>1000</v>
      </c>
      <c r="E18" s="17" t="s">
        <v>115</v>
      </c>
      <c r="F18" s="16">
        <v>0</v>
      </c>
      <c r="G18" s="15">
        <f t="shared" si="0"/>
        <v>0</v>
      </c>
      <c r="H18" s="14">
        <v>9210</v>
      </c>
    </row>
    <row r="19" spans="1:11" ht="42" customHeight="1" x14ac:dyDescent="0.2">
      <c r="A19" s="20" t="s">
        <v>319</v>
      </c>
      <c r="B19" s="26" t="s">
        <v>145</v>
      </c>
      <c r="C19" s="27" t="s">
        <v>146</v>
      </c>
      <c r="D19" s="24">
        <v>500000</v>
      </c>
      <c r="E19" s="17" t="s">
        <v>119</v>
      </c>
      <c r="F19" s="16">
        <v>0</v>
      </c>
      <c r="G19" s="15">
        <f t="shared" si="0"/>
        <v>0</v>
      </c>
      <c r="H19" s="14">
        <v>9210</v>
      </c>
    </row>
    <row r="20" spans="1:11" ht="38.25" x14ac:dyDescent="0.2">
      <c r="A20" s="20" t="s">
        <v>320</v>
      </c>
      <c r="B20" s="26" t="s">
        <v>148</v>
      </c>
      <c r="C20" s="26" t="s">
        <v>149</v>
      </c>
      <c r="D20" s="24">
        <v>500000</v>
      </c>
      <c r="E20" s="17" t="s">
        <v>119</v>
      </c>
      <c r="F20" s="16">
        <v>0</v>
      </c>
      <c r="G20" s="15">
        <f t="shared" si="0"/>
        <v>0</v>
      </c>
      <c r="H20" s="14">
        <v>9210</v>
      </c>
    </row>
    <row r="21" spans="1:11" ht="63.75" x14ac:dyDescent="0.2">
      <c r="A21" s="20" t="s">
        <v>321</v>
      </c>
      <c r="B21" s="26" t="s">
        <v>151</v>
      </c>
      <c r="C21" s="26" t="s">
        <v>152</v>
      </c>
      <c r="D21" s="17">
        <v>250</v>
      </c>
      <c r="E21" s="17" t="s">
        <v>115</v>
      </c>
      <c r="F21" s="16">
        <v>0</v>
      </c>
      <c r="G21" s="15">
        <f t="shared" si="0"/>
        <v>0</v>
      </c>
      <c r="H21" s="14">
        <v>9210</v>
      </c>
    </row>
    <row r="22" spans="1:11" ht="51" x14ac:dyDescent="0.2">
      <c r="A22" s="20" t="s">
        <v>322</v>
      </c>
      <c r="B22" s="26" t="s">
        <v>154</v>
      </c>
      <c r="C22" s="26" t="s">
        <v>155</v>
      </c>
      <c r="D22" s="24">
        <v>250000</v>
      </c>
      <c r="E22" s="17" t="s">
        <v>119</v>
      </c>
      <c r="F22" s="16">
        <v>0</v>
      </c>
      <c r="G22" s="15">
        <f t="shared" si="0"/>
        <v>0</v>
      </c>
      <c r="H22" s="14">
        <v>9210</v>
      </c>
    </row>
    <row r="23" spans="1:11" ht="65.25" customHeight="1" x14ac:dyDescent="0.2">
      <c r="A23" s="20" t="s">
        <v>323</v>
      </c>
      <c r="B23" s="26" t="s">
        <v>157</v>
      </c>
      <c r="C23" s="26" t="s">
        <v>158</v>
      </c>
      <c r="D23" s="24">
        <v>250000</v>
      </c>
      <c r="E23" s="17" t="s">
        <v>119</v>
      </c>
      <c r="F23" s="16">
        <v>0</v>
      </c>
      <c r="G23" s="15">
        <f t="shared" si="0"/>
        <v>0</v>
      </c>
      <c r="H23" s="14">
        <v>9210</v>
      </c>
    </row>
    <row r="24" spans="1:11" ht="104.25" customHeight="1" x14ac:dyDescent="0.2">
      <c r="A24" s="20" t="s">
        <v>324</v>
      </c>
      <c r="B24" s="26" t="s">
        <v>160</v>
      </c>
      <c r="C24" s="25" t="s">
        <v>161</v>
      </c>
      <c r="D24" s="24">
        <v>250000</v>
      </c>
      <c r="E24" s="17" t="s">
        <v>119</v>
      </c>
      <c r="F24" s="16">
        <v>0</v>
      </c>
      <c r="G24" s="15">
        <f t="shared" si="0"/>
        <v>0</v>
      </c>
      <c r="H24" s="14">
        <v>9210</v>
      </c>
    </row>
    <row r="25" spans="1:11" ht="80.25" customHeight="1" x14ac:dyDescent="0.2">
      <c r="A25" s="20" t="s">
        <v>325</v>
      </c>
      <c r="B25" s="19" t="s">
        <v>163</v>
      </c>
      <c r="C25" s="19" t="s">
        <v>164</v>
      </c>
      <c r="D25" s="24">
        <v>250000</v>
      </c>
      <c r="E25" s="17" t="s">
        <v>119</v>
      </c>
      <c r="F25" s="16">
        <v>0</v>
      </c>
      <c r="G25" s="15">
        <f t="shared" si="0"/>
        <v>0</v>
      </c>
      <c r="H25" s="14">
        <v>9210</v>
      </c>
    </row>
    <row r="26" spans="1:11" ht="104.25" customHeight="1" x14ac:dyDescent="0.2">
      <c r="A26" s="20" t="s">
        <v>326</v>
      </c>
      <c r="B26" s="19" t="s">
        <v>166</v>
      </c>
      <c r="C26" s="26" t="s">
        <v>167</v>
      </c>
      <c r="D26" s="24">
        <v>100000</v>
      </c>
      <c r="E26" s="17" t="s">
        <v>119</v>
      </c>
      <c r="F26" s="16">
        <v>0</v>
      </c>
      <c r="G26" s="15">
        <f t="shared" si="0"/>
        <v>0</v>
      </c>
      <c r="H26" s="14">
        <v>9210</v>
      </c>
    </row>
    <row r="27" spans="1:11" ht="106.5" customHeight="1" x14ac:dyDescent="0.2">
      <c r="A27" s="20" t="s">
        <v>327</v>
      </c>
      <c r="B27" s="19" t="s">
        <v>169</v>
      </c>
      <c r="C27" s="25" t="s">
        <v>170</v>
      </c>
      <c r="D27" s="24">
        <v>250000</v>
      </c>
      <c r="E27" s="17" t="s">
        <v>119</v>
      </c>
      <c r="F27" s="16">
        <v>0</v>
      </c>
      <c r="G27" s="15">
        <v>0</v>
      </c>
      <c r="H27" s="14">
        <v>9210</v>
      </c>
    </row>
    <row r="28" spans="1:11" ht="51" x14ac:dyDescent="0.2">
      <c r="A28" s="20" t="s">
        <v>328</v>
      </c>
      <c r="B28" s="19" t="s">
        <v>172</v>
      </c>
      <c r="C28" s="25" t="s">
        <v>173</v>
      </c>
      <c r="D28" s="24">
        <v>50000</v>
      </c>
      <c r="E28" s="17" t="s">
        <v>119</v>
      </c>
      <c r="F28" s="16">
        <v>0</v>
      </c>
      <c r="G28" s="15">
        <f>SUM(D28*F28)</f>
        <v>0</v>
      </c>
      <c r="H28" s="14">
        <v>9210</v>
      </c>
    </row>
    <row r="29" spans="1:11" ht="102" x14ac:dyDescent="0.2">
      <c r="A29" s="20" t="s">
        <v>329</v>
      </c>
      <c r="B29" s="19" t="s">
        <v>175</v>
      </c>
      <c r="C29" s="18" t="s">
        <v>176</v>
      </c>
      <c r="D29" s="17">
        <v>250</v>
      </c>
      <c r="E29" s="17" t="s">
        <v>115</v>
      </c>
      <c r="F29" s="16">
        <v>0</v>
      </c>
      <c r="G29" s="15">
        <f>SUM(D29*F29)</f>
        <v>0</v>
      </c>
      <c r="H29" s="14">
        <v>9210</v>
      </c>
    </row>
    <row r="30" spans="1:11" ht="127.5" x14ac:dyDescent="0.2">
      <c r="A30" s="20" t="s">
        <v>330</v>
      </c>
      <c r="B30" s="19" t="s">
        <v>178</v>
      </c>
      <c r="C30" s="23" t="s">
        <v>179</v>
      </c>
      <c r="D30" s="22">
        <v>1000</v>
      </c>
      <c r="E30" s="21" t="s">
        <v>115</v>
      </c>
      <c r="F30" s="16">
        <v>0</v>
      </c>
      <c r="G30" s="15">
        <f>SUM(D30*F30)</f>
        <v>0</v>
      </c>
      <c r="H30" s="14">
        <v>9210</v>
      </c>
      <c r="I30" s="13"/>
      <c r="J30" s="13"/>
      <c r="K30" s="13"/>
    </row>
    <row r="31" spans="1:11" ht="25.5" x14ac:dyDescent="0.2">
      <c r="A31" s="20" t="s">
        <v>331</v>
      </c>
      <c r="B31" s="19"/>
      <c r="C31" s="18" t="s">
        <v>181</v>
      </c>
      <c r="D31" s="17"/>
      <c r="E31" s="17" t="s">
        <v>182</v>
      </c>
      <c r="F31" s="16">
        <v>0</v>
      </c>
      <c r="G31" s="15">
        <v>1000000</v>
      </c>
      <c r="H31" s="14">
        <v>9210</v>
      </c>
      <c r="I31" s="13"/>
      <c r="J31" s="13"/>
      <c r="K31" s="13"/>
    </row>
    <row r="32" spans="1:11" ht="14.25" thickBot="1" x14ac:dyDescent="0.25">
      <c r="A32" s="12"/>
      <c r="B32" s="11"/>
      <c r="C32" s="10" t="s">
        <v>183</v>
      </c>
      <c r="D32" s="9"/>
      <c r="E32" s="9"/>
      <c r="F32" s="8"/>
      <c r="G32" s="7">
        <f>SUM(G9:G31)</f>
        <v>1000000</v>
      </c>
      <c r="H32" s="6"/>
    </row>
    <row r="33" spans="5:7" x14ac:dyDescent="0.2">
      <c r="F33" s="5"/>
      <c r="G33" s="5"/>
    </row>
    <row r="34" spans="5:7" x14ac:dyDescent="0.2">
      <c r="F34" s="5"/>
      <c r="G34" s="5"/>
    </row>
    <row r="35" spans="5:7" x14ac:dyDescent="0.2">
      <c r="F35" s="5"/>
      <c r="G35" s="5"/>
    </row>
    <row r="36" spans="5:7" x14ac:dyDescent="0.2">
      <c r="E36" s="3"/>
      <c r="F36" s="5"/>
      <c r="G36" s="5"/>
    </row>
    <row r="37" spans="5:7" x14ac:dyDescent="0.2">
      <c r="F37" s="5"/>
      <c r="G37" s="5"/>
    </row>
    <row r="38" spans="5:7" x14ac:dyDescent="0.2">
      <c r="F38" s="5"/>
      <c r="G38" s="5"/>
    </row>
    <row r="39" spans="5:7" x14ac:dyDescent="0.2">
      <c r="F39" s="5"/>
      <c r="G39" s="5"/>
    </row>
    <row r="40" spans="5:7" x14ac:dyDescent="0.2">
      <c r="F40" s="5"/>
      <c r="G40" s="5"/>
    </row>
    <row r="41" spans="5:7" x14ac:dyDescent="0.2">
      <c r="F41" s="5"/>
      <c r="G41" s="5"/>
    </row>
    <row r="42" spans="5:7" x14ac:dyDescent="0.2">
      <c r="F42" s="5"/>
      <c r="G42" s="5"/>
    </row>
    <row r="43" spans="5:7" x14ac:dyDescent="0.2">
      <c r="F43" s="5"/>
      <c r="G43" s="5"/>
    </row>
    <row r="44" spans="5:7" x14ac:dyDescent="0.2">
      <c r="F44" s="5"/>
      <c r="G44" s="5"/>
    </row>
    <row r="45" spans="5:7" x14ac:dyDescent="0.2">
      <c r="F45" s="5"/>
      <c r="G45" s="5"/>
    </row>
    <row r="46" spans="5:7" x14ac:dyDescent="0.2">
      <c r="F46" s="5"/>
      <c r="G46" s="5"/>
    </row>
    <row r="47" spans="5:7" x14ac:dyDescent="0.2">
      <c r="F47" s="5"/>
      <c r="G47" s="5"/>
    </row>
    <row r="48" spans="5:7" x14ac:dyDescent="0.2">
      <c r="F48" s="5"/>
      <c r="G48" s="5"/>
    </row>
    <row r="49" spans="6:7" x14ac:dyDescent="0.2">
      <c r="F49" s="5"/>
      <c r="G49" s="5"/>
    </row>
    <row r="50" spans="6:7" x14ac:dyDescent="0.2">
      <c r="F50" s="5"/>
      <c r="G50" s="5"/>
    </row>
    <row r="51" spans="6:7" x14ac:dyDescent="0.2">
      <c r="F51" s="5"/>
      <c r="G51" s="5"/>
    </row>
    <row r="52" spans="6:7" x14ac:dyDescent="0.2">
      <c r="F52" s="5"/>
      <c r="G52" s="5"/>
    </row>
    <row r="53" spans="6:7" x14ac:dyDescent="0.2">
      <c r="F53" s="5"/>
      <c r="G53" s="5"/>
    </row>
    <row r="54" spans="6:7" x14ac:dyDescent="0.2">
      <c r="F54" s="5"/>
      <c r="G54" s="5"/>
    </row>
    <row r="55" spans="6:7" x14ac:dyDescent="0.2">
      <c r="F55" s="5"/>
      <c r="G55" s="5"/>
    </row>
    <row r="56" spans="6:7" x14ac:dyDescent="0.2">
      <c r="F56" s="5"/>
      <c r="G56" s="5"/>
    </row>
    <row r="57" spans="6:7" x14ac:dyDescent="0.2">
      <c r="F57" s="5"/>
      <c r="G57" s="5"/>
    </row>
    <row r="58" spans="6:7" x14ac:dyDescent="0.2">
      <c r="F58" s="5"/>
      <c r="G58" s="5"/>
    </row>
    <row r="59" spans="6:7" x14ac:dyDescent="0.2">
      <c r="F59" s="5"/>
      <c r="G59" s="5"/>
    </row>
    <row r="60" spans="6:7" x14ac:dyDescent="0.2">
      <c r="F60" s="5"/>
      <c r="G60" s="5"/>
    </row>
    <row r="61" spans="6:7" x14ac:dyDescent="0.2">
      <c r="F61" s="5"/>
      <c r="G61" s="5"/>
    </row>
    <row r="62" spans="6:7" x14ac:dyDescent="0.2">
      <c r="F62" s="5"/>
      <c r="G62" s="5"/>
    </row>
    <row r="63" spans="6:7" x14ac:dyDescent="0.2">
      <c r="F63" s="5"/>
      <c r="G63" s="5"/>
    </row>
    <row r="64" spans="6:7" x14ac:dyDescent="0.2">
      <c r="F64" s="5"/>
      <c r="G64" s="5"/>
    </row>
    <row r="65" spans="6:7" x14ac:dyDescent="0.2">
      <c r="F65" s="5"/>
      <c r="G65" s="5"/>
    </row>
    <row r="66" spans="6:7" x14ac:dyDescent="0.2">
      <c r="F66" s="5"/>
      <c r="G66" s="5"/>
    </row>
    <row r="67" spans="6:7" x14ac:dyDescent="0.2">
      <c r="F67" s="5"/>
      <c r="G67" s="5"/>
    </row>
    <row r="68" spans="6:7" x14ac:dyDescent="0.2">
      <c r="F68" s="5"/>
      <c r="G68" s="5"/>
    </row>
    <row r="69" spans="6:7" x14ac:dyDescent="0.2">
      <c r="F69" s="5"/>
      <c r="G69" s="5"/>
    </row>
    <row r="70" spans="6:7" x14ac:dyDescent="0.2">
      <c r="F70" s="5"/>
      <c r="G70" s="5"/>
    </row>
    <row r="71" spans="6:7" x14ac:dyDescent="0.2">
      <c r="F71" s="5"/>
      <c r="G71" s="5"/>
    </row>
    <row r="72" spans="6:7" x14ac:dyDescent="0.2">
      <c r="F72" s="5"/>
      <c r="G72" s="5"/>
    </row>
    <row r="73" spans="6:7" x14ac:dyDescent="0.2">
      <c r="F73" s="5"/>
      <c r="G73" s="5"/>
    </row>
    <row r="74" spans="6:7" x14ac:dyDescent="0.2">
      <c r="F74" s="5"/>
      <c r="G74" s="5"/>
    </row>
    <row r="75" spans="6:7" x14ac:dyDescent="0.2">
      <c r="F75" s="5"/>
      <c r="G75" s="5"/>
    </row>
    <row r="76" spans="6:7" x14ac:dyDescent="0.2">
      <c r="F76" s="5"/>
      <c r="G76" s="5"/>
    </row>
    <row r="77" spans="6:7" x14ac:dyDescent="0.2">
      <c r="F77" s="5"/>
      <c r="G77" s="5"/>
    </row>
    <row r="78" spans="6:7" x14ac:dyDescent="0.2">
      <c r="F78" s="5"/>
      <c r="G78" s="5"/>
    </row>
    <row r="79" spans="6:7" x14ac:dyDescent="0.2">
      <c r="F79" s="5"/>
      <c r="G79" s="5"/>
    </row>
    <row r="80" spans="6:7" x14ac:dyDescent="0.2">
      <c r="F80" s="5"/>
      <c r="G80" s="5"/>
    </row>
    <row r="81" spans="6:7" x14ac:dyDescent="0.2">
      <c r="F81" s="5"/>
      <c r="G81" s="5"/>
    </row>
    <row r="82" spans="6:7" x14ac:dyDescent="0.2">
      <c r="F82" s="5"/>
      <c r="G82" s="5"/>
    </row>
    <row r="83" spans="6:7" x14ac:dyDescent="0.2">
      <c r="F83" s="5"/>
      <c r="G83" s="5"/>
    </row>
    <row r="84" spans="6:7" x14ac:dyDescent="0.2">
      <c r="F84" s="5"/>
      <c r="G84" s="5"/>
    </row>
    <row r="85" spans="6:7" x14ac:dyDescent="0.2">
      <c r="F85" s="5"/>
      <c r="G85" s="5"/>
    </row>
    <row r="86" spans="6:7" x14ac:dyDescent="0.2">
      <c r="F86" s="5"/>
      <c r="G86" s="5"/>
    </row>
    <row r="87" spans="6:7" x14ac:dyDescent="0.2">
      <c r="F87" s="5"/>
      <c r="G87" s="5"/>
    </row>
    <row r="88" spans="6:7" x14ac:dyDescent="0.2">
      <c r="F88" s="5"/>
      <c r="G88" s="5"/>
    </row>
    <row r="89" spans="6:7" x14ac:dyDescent="0.2">
      <c r="F89" s="5"/>
      <c r="G89" s="5"/>
    </row>
    <row r="90" spans="6:7" x14ac:dyDescent="0.2">
      <c r="F90" s="5"/>
      <c r="G90" s="5"/>
    </row>
    <row r="91" spans="6:7" x14ac:dyDescent="0.2">
      <c r="F91" s="5"/>
      <c r="G91" s="5"/>
    </row>
    <row r="92" spans="6:7" x14ac:dyDescent="0.2">
      <c r="F92" s="5"/>
      <c r="G92" s="5"/>
    </row>
    <row r="93" spans="6:7" x14ac:dyDescent="0.2">
      <c r="F93" s="5"/>
      <c r="G93" s="5"/>
    </row>
    <row r="94" spans="6:7" x14ac:dyDescent="0.2">
      <c r="F94" s="5"/>
      <c r="G94" s="5"/>
    </row>
    <row r="95" spans="6:7" x14ac:dyDescent="0.2">
      <c r="F95" s="5"/>
      <c r="G95" s="5"/>
    </row>
    <row r="96" spans="6:7" x14ac:dyDescent="0.2">
      <c r="F96" s="5"/>
      <c r="G96" s="5"/>
    </row>
    <row r="97" spans="6:7" x14ac:dyDescent="0.2">
      <c r="F97" s="5"/>
      <c r="G97" s="5"/>
    </row>
    <row r="98" spans="6:7" x14ac:dyDescent="0.2">
      <c r="F98" s="5"/>
      <c r="G98" s="5"/>
    </row>
    <row r="99" spans="6:7" x14ac:dyDescent="0.2">
      <c r="F99" s="5"/>
      <c r="G99" s="5"/>
    </row>
    <row r="100" spans="6:7" x14ac:dyDescent="0.2">
      <c r="F100" s="5"/>
      <c r="G100" s="5"/>
    </row>
    <row r="101" spans="6:7" x14ac:dyDescent="0.2">
      <c r="F101" s="5"/>
      <c r="G101" s="5"/>
    </row>
    <row r="102" spans="6:7" x14ac:dyDescent="0.2">
      <c r="F102" s="5"/>
      <c r="G102" s="5"/>
    </row>
    <row r="103" spans="6:7" x14ac:dyDescent="0.2">
      <c r="F103" s="5"/>
      <c r="G103" s="5"/>
    </row>
    <row r="104" spans="6:7" x14ac:dyDescent="0.2">
      <c r="F104" s="5"/>
      <c r="G104" s="5"/>
    </row>
    <row r="105" spans="6:7" x14ac:dyDescent="0.2">
      <c r="F105" s="5"/>
      <c r="G105" s="5"/>
    </row>
    <row r="106" spans="6:7" x14ac:dyDescent="0.2">
      <c r="F106" s="5"/>
      <c r="G106" s="5"/>
    </row>
    <row r="107" spans="6:7" x14ac:dyDescent="0.2">
      <c r="F107" s="5"/>
      <c r="G107" s="5"/>
    </row>
    <row r="108" spans="6:7" x14ac:dyDescent="0.2">
      <c r="F108" s="5"/>
      <c r="G108" s="5"/>
    </row>
    <row r="109" spans="6:7" x14ac:dyDescent="0.2">
      <c r="F109" s="5"/>
      <c r="G109" s="5"/>
    </row>
    <row r="110" spans="6:7" x14ac:dyDescent="0.2">
      <c r="F110" s="5"/>
      <c r="G110" s="5"/>
    </row>
    <row r="111" spans="6:7" x14ac:dyDescent="0.2">
      <c r="F111" s="5"/>
      <c r="G111" s="5"/>
    </row>
    <row r="112" spans="6:7" x14ac:dyDescent="0.2">
      <c r="F112" s="5"/>
      <c r="G112" s="5"/>
    </row>
    <row r="113" spans="6:7" x14ac:dyDescent="0.2">
      <c r="F113" s="5"/>
      <c r="G113" s="5"/>
    </row>
    <row r="114" spans="6:7" x14ac:dyDescent="0.2">
      <c r="F114" s="5"/>
      <c r="G114" s="5"/>
    </row>
    <row r="115" spans="6:7" x14ac:dyDescent="0.2">
      <c r="F115" s="5"/>
      <c r="G115" s="5"/>
    </row>
    <row r="116" spans="6:7" x14ac:dyDescent="0.2">
      <c r="F116" s="5"/>
      <c r="G116" s="5"/>
    </row>
    <row r="117" spans="6:7" x14ac:dyDescent="0.2">
      <c r="F117" s="5"/>
      <c r="G117" s="5"/>
    </row>
    <row r="118" spans="6:7" x14ac:dyDescent="0.2">
      <c r="F118" s="5"/>
      <c r="G118" s="5"/>
    </row>
    <row r="119" spans="6:7" x14ac:dyDescent="0.2">
      <c r="F119" s="5"/>
      <c r="G119" s="5"/>
    </row>
    <row r="120" spans="6:7" x14ac:dyDescent="0.2">
      <c r="F120" s="5"/>
      <c r="G120" s="5"/>
    </row>
    <row r="121" spans="6:7" x14ac:dyDescent="0.2">
      <c r="F121" s="5"/>
      <c r="G121" s="5"/>
    </row>
    <row r="122" spans="6:7" x14ac:dyDescent="0.2">
      <c r="F122" s="5"/>
      <c r="G122" s="5"/>
    </row>
    <row r="123" spans="6:7" x14ac:dyDescent="0.2">
      <c r="F123" s="5"/>
      <c r="G123" s="5"/>
    </row>
    <row r="124" spans="6:7" x14ac:dyDescent="0.2">
      <c r="F124" s="5"/>
      <c r="G124" s="5"/>
    </row>
    <row r="125" spans="6:7" x14ac:dyDescent="0.2">
      <c r="F125" s="5"/>
      <c r="G125" s="5"/>
    </row>
    <row r="126" spans="6:7" x14ac:dyDescent="0.2">
      <c r="F126" s="5"/>
      <c r="G126" s="5"/>
    </row>
    <row r="127" spans="6:7" x14ac:dyDescent="0.2">
      <c r="F127" s="5"/>
      <c r="G127" s="5"/>
    </row>
    <row r="128" spans="6:7" x14ac:dyDescent="0.2">
      <c r="F128" s="5"/>
      <c r="G128" s="5"/>
    </row>
    <row r="129" spans="6:7" x14ac:dyDescent="0.2">
      <c r="F129" s="5"/>
      <c r="G129" s="5"/>
    </row>
    <row r="130" spans="6:7" x14ac:dyDescent="0.2">
      <c r="F130" s="5"/>
      <c r="G130" s="5"/>
    </row>
    <row r="131" spans="6:7" x14ac:dyDescent="0.2">
      <c r="F131" s="5"/>
      <c r="G131" s="5"/>
    </row>
    <row r="132" spans="6:7" x14ac:dyDescent="0.2">
      <c r="F132" s="5"/>
      <c r="G132" s="5"/>
    </row>
    <row r="133" spans="6:7" x14ac:dyDescent="0.2">
      <c r="F133" s="5"/>
      <c r="G133" s="5"/>
    </row>
    <row r="134" spans="6:7" x14ac:dyDescent="0.2">
      <c r="F134" s="5"/>
      <c r="G134" s="5"/>
    </row>
    <row r="135" spans="6:7" x14ac:dyDescent="0.2">
      <c r="F135" s="5"/>
      <c r="G135" s="5"/>
    </row>
    <row r="136" spans="6:7" x14ac:dyDescent="0.2">
      <c r="F136" s="5"/>
      <c r="G136" s="5"/>
    </row>
    <row r="137" spans="6:7" x14ac:dyDescent="0.2">
      <c r="F137" s="5"/>
      <c r="G137" s="5"/>
    </row>
    <row r="138" spans="6:7" x14ac:dyDescent="0.2">
      <c r="F138" s="5"/>
      <c r="G138" s="5"/>
    </row>
    <row r="139" spans="6:7" x14ac:dyDescent="0.2">
      <c r="F139" s="5"/>
      <c r="G139" s="5"/>
    </row>
    <row r="140" spans="6:7" x14ac:dyDescent="0.2">
      <c r="F140" s="5"/>
      <c r="G140" s="5"/>
    </row>
    <row r="141" spans="6:7" x14ac:dyDescent="0.2">
      <c r="F141" s="5"/>
      <c r="G141" s="5"/>
    </row>
    <row r="142" spans="6:7" x14ac:dyDescent="0.2">
      <c r="F142" s="5"/>
      <c r="G142" s="5"/>
    </row>
    <row r="143" spans="6:7" x14ac:dyDescent="0.2">
      <c r="F143" s="5"/>
      <c r="G143" s="5"/>
    </row>
    <row r="144" spans="6:7" x14ac:dyDescent="0.2">
      <c r="F144" s="5"/>
      <c r="G144" s="5"/>
    </row>
    <row r="145" spans="6:7" x14ac:dyDescent="0.2">
      <c r="F145" s="5"/>
      <c r="G145" s="5"/>
    </row>
    <row r="146" spans="6:7" x14ac:dyDescent="0.2">
      <c r="F146" s="5"/>
      <c r="G146" s="5"/>
    </row>
    <row r="147" spans="6:7" x14ac:dyDescent="0.2">
      <c r="F147" s="5"/>
      <c r="G147" s="5"/>
    </row>
    <row r="148" spans="6:7" x14ac:dyDescent="0.2">
      <c r="F148" s="5"/>
      <c r="G148" s="5"/>
    </row>
    <row r="149" spans="6:7" x14ac:dyDescent="0.2">
      <c r="F149" s="5"/>
      <c r="G149" s="5"/>
    </row>
    <row r="150" spans="6:7" x14ac:dyDescent="0.2">
      <c r="F150" s="5"/>
      <c r="G150" s="5"/>
    </row>
    <row r="151" spans="6:7" x14ac:dyDescent="0.2">
      <c r="F151" s="5"/>
      <c r="G151" s="5"/>
    </row>
    <row r="152" spans="6:7" x14ac:dyDescent="0.2">
      <c r="F152" s="5"/>
      <c r="G152" s="5"/>
    </row>
    <row r="153" spans="6:7" x14ac:dyDescent="0.2">
      <c r="F153" s="5"/>
      <c r="G153" s="5"/>
    </row>
    <row r="154" spans="6:7" x14ac:dyDescent="0.2">
      <c r="F154" s="5"/>
      <c r="G154" s="5"/>
    </row>
    <row r="155" spans="6:7" x14ac:dyDescent="0.2">
      <c r="F155" s="5"/>
      <c r="G155" s="5"/>
    </row>
    <row r="156" spans="6:7" x14ac:dyDescent="0.2">
      <c r="F156" s="5"/>
      <c r="G156" s="5"/>
    </row>
    <row r="157" spans="6:7" x14ac:dyDescent="0.2">
      <c r="F157" s="5"/>
      <c r="G157" s="5"/>
    </row>
    <row r="158" spans="6:7" x14ac:dyDescent="0.2">
      <c r="F158" s="5"/>
      <c r="G158" s="5"/>
    </row>
    <row r="159" spans="6:7" x14ac:dyDescent="0.2">
      <c r="F159" s="5"/>
      <c r="G159" s="5"/>
    </row>
    <row r="160" spans="6:7" x14ac:dyDescent="0.2">
      <c r="F160" s="5"/>
      <c r="G160" s="5"/>
    </row>
    <row r="161" spans="6:7" x14ac:dyDescent="0.2">
      <c r="F161" s="5"/>
      <c r="G161" s="5"/>
    </row>
    <row r="162" spans="6:7" x14ac:dyDescent="0.2">
      <c r="F162" s="5"/>
      <c r="G162" s="5"/>
    </row>
    <row r="163" spans="6:7" x14ac:dyDescent="0.2">
      <c r="F163" s="5"/>
      <c r="G163" s="5"/>
    </row>
    <row r="164" spans="6:7" x14ac:dyDescent="0.2">
      <c r="F164" s="5"/>
      <c r="G164" s="5"/>
    </row>
    <row r="165" spans="6:7" x14ac:dyDescent="0.2">
      <c r="F165" s="5"/>
      <c r="G165" s="5"/>
    </row>
    <row r="166" spans="6:7" x14ac:dyDescent="0.2">
      <c r="F166" s="5"/>
      <c r="G166" s="5"/>
    </row>
    <row r="167" spans="6:7" x14ac:dyDescent="0.2">
      <c r="F167" s="5"/>
      <c r="G167" s="5"/>
    </row>
    <row r="168" spans="6:7" x14ac:dyDescent="0.2">
      <c r="F168" s="5"/>
      <c r="G168" s="5"/>
    </row>
    <row r="169" spans="6:7" x14ac:dyDescent="0.2">
      <c r="F169" s="5"/>
      <c r="G169" s="5"/>
    </row>
    <row r="170" spans="6:7" x14ac:dyDescent="0.2">
      <c r="F170" s="5"/>
      <c r="G170" s="5"/>
    </row>
    <row r="171" spans="6:7" x14ac:dyDescent="0.2">
      <c r="F171" s="5"/>
      <c r="G171" s="5"/>
    </row>
    <row r="172" spans="6:7" x14ac:dyDescent="0.2">
      <c r="F172" s="5"/>
      <c r="G172" s="5"/>
    </row>
    <row r="173" spans="6:7" x14ac:dyDescent="0.2">
      <c r="F173" s="5"/>
      <c r="G173" s="5"/>
    </row>
    <row r="174" spans="6:7" x14ac:dyDescent="0.2">
      <c r="F174" s="5"/>
      <c r="G174" s="5"/>
    </row>
    <row r="175" spans="6:7" x14ac:dyDescent="0.2">
      <c r="F175" s="5"/>
      <c r="G175" s="5"/>
    </row>
    <row r="176" spans="6:7" x14ac:dyDescent="0.2">
      <c r="F176" s="5"/>
      <c r="G176" s="5"/>
    </row>
  </sheetData>
  <mergeCells count="7">
    <mergeCell ref="A7:H7"/>
    <mergeCell ref="A1:H1"/>
    <mergeCell ref="A2:H2"/>
    <mergeCell ref="A3:H3"/>
    <mergeCell ref="A4:H4"/>
    <mergeCell ref="A5:H5"/>
    <mergeCell ref="A6:H6"/>
  </mergeCells>
  <pageMargins left="0.5" right="0.27" top="0.55000000000000004" bottom="0.53" header="0.3" footer="0.31"/>
  <pageSetup scale="96" orientation="landscape" horizontalDpi="4294967293"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938AA-DE1B-4044-922E-53EED3853595}">
  <sheetPr>
    <tabColor rgb="FF00B050"/>
    <pageSetUpPr fitToPage="1"/>
  </sheetPr>
  <dimension ref="A1:K116"/>
  <sheetViews>
    <sheetView zoomScaleNormal="100" workbookViewId="0">
      <selection activeCell="D92" sqref="D92:F92"/>
    </sheetView>
  </sheetViews>
  <sheetFormatPr defaultColWidth="9.140625" defaultRowHeight="12.75" x14ac:dyDescent="0.2"/>
  <cols>
    <col min="1" max="1" width="5.85546875" style="36" customWidth="1"/>
    <col min="2" max="2" width="4.28515625" style="36" customWidth="1"/>
    <col min="3" max="3" width="81.5703125" style="36" customWidth="1"/>
    <col min="4" max="4" width="9.85546875" style="36" customWidth="1"/>
    <col min="5" max="5" width="9.42578125" style="36" customWidth="1"/>
    <col min="6" max="6" width="13.7109375" style="37" customWidth="1"/>
    <col min="7" max="7" width="15.140625" style="37" customWidth="1"/>
    <col min="8" max="8" width="8.7109375" style="36" customWidth="1"/>
    <col min="9" max="16384" width="9.140625" style="36"/>
  </cols>
  <sheetData>
    <row r="1" spans="1:11" ht="12.75" customHeight="1" x14ac:dyDescent="0.2">
      <c r="A1" s="201" t="s">
        <v>0</v>
      </c>
      <c r="B1" s="202"/>
      <c r="C1" s="202"/>
      <c r="D1" s="202"/>
      <c r="E1" s="202"/>
      <c r="F1" s="202"/>
      <c r="G1" s="202"/>
      <c r="H1" s="203"/>
      <c r="I1" s="196"/>
      <c r="J1" s="196"/>
      <c r="K1" s="196"/>
    </row>
    <row r="2" spans="1:11" ht="12.75" customHeight="1" x14ac:dyDescent="0.2">
      <c r="A2" s="195" t="s">
        <v>1</v>
      </c>
      <c r="B2" s="196"/>
      <c r="C2" s="196"/>
      <c r="D2" s="196"/>
      <c r="E2" s="196"/>
      <c r="F2" s="196"/>
      <c r="G2" s="196"/>
      <c r="H2" s="197"/>
      <c r="I2" s="196"/>
      <c r="J2" s="196"/>
      <c r="K2" s="196"/>
    </row>
    <row r="3" spans="1:11" ht="12.75" customHeight="1" x14ac:dyDescent="0.2">
      <c r="A3" s="195" t="s">
        <v>2</v>
      </c>
      <c r="B3" s="196"/>
      <c r="C3" s="196"/>
      <c r="D3" s="196"/>
      <c r="E3" s="196"/>
      <c r="F3" s="196"/>
      <c r="G3" s="196"/>
      <c r="H3" s="197"/>
      <c r="I3" s="196"/>
      <c r="J3" s="196"/>
      <c r="K3" s="196"/>
    </row>
    <row r="4" spans="1:11" ht="14.25" customHeight="1" x14ac:dyDescent="0.2">
      <c r="A4" s="195" t="s">
        <v>332</v>
      </c>
      <c r="B4" s="196"/>
      <c r="C4" s="196"/>
      <c r="D4" s="196"/>
      <c r="E4" s="196"/>
      <c r="F4" s="196"/>
      <c r="G4" s="196"/>
      <c r="H4" s="197"/>
      <c r="I4" s="196"/>
      <c r="J4" s="196"/>
      <c r="K4" s="196"/>
    </row>
    <row r="5" spans="1:11" ht="14.25" customHeight="1" x14ac:dyDescent="0.2">
      <c r="A5" s="195" t="s">
        <v>333</v>
      </c>
      <c r="B5" s="196"/>
      <c r="C5" s="196"/>
      <c r="D5" s="196"/>
      <c r="E5" s="196"/>
      <c r="F5" s="196"/>
      <c r="G5" s="196"/>
      <c r="H5" s="197"/>
      <c r="I5" s="162"/>
      <c r="J5" s="161"/>
      <c r="K5" s="161"/>
    </row>
    <row r="6" spans="1:11" ht="15" customHeight="1" x14ac:dyDescent="0.2">
      <c r="A6" s="198" t="s">
        <v>5</v>
      </c>
      <c r="B6" s="199"/>
      <c r="C6" s="199"/>
      <c r="D6" s="199"/>
      <c r="E6" s="199"/>
      <c r="F6" s="199"/>
      <c r="G6" s="199"/>
      <c r="H6" s="200"/>
      <c r="I6" s="160"/>
      <c r="J6" s="159"/>
      <c r="K6" s="159"/>
    </row>
    <row r="7" spans="1:11" ht="15" customHeight="1" thickBot="1" x14ac:dyDescent="0.25">
      <c r="A7" s="198" t="s">
        <v>6</v>
      </c>
      <c r="B7" s="199"/>
      <c r="C7" s="199"/>
      <c r="D7" s="199"/>
      <c r="E7" s="199"/>
      <c r="F7" s="199"/>
      <c r="G7" s="199"/>
      <c r="H7" s="200"/>
      <c r="I7" s="160"/>
      <c r="J7" s="159"/>
      <c r="K7" s="159"/>
    </row>
    <row r="8" spans="1:11" ht="26.25" thickBot="1" x14ac:dyDescent="0.25">
      <c r="A8" s="189" t="s">
        <v>7</v>
      </c>
      <c r="B8" s="190"/>
      <c r="C8" s="157" t="s">
        <v>8</v>
      </c>
      <c r="D8" s="158" t="s">
        <v>9</v>
      </c>
      <c r="E8" s="157" t="s">
        <v>10</v>
      </c>
      <c r="F8" s="156" t="s">
        <v>11</v>
      </c>
      <c r="G8" s="156" t="s">
        <v>12</v>
      </c>
      <c r="H8" s="155" t="s">
        <v>13</v>
      </c>
    </row>
    <row r="9" spans="1:11" x14ac:dyDescent="0.2">
      <c r="A9" s="154"/>
      <c r="B9" s="153"/>
      <c r="C9" s="151"/>
      <c r="D9" s="152"/>
      <c r="E9" s="151"/>
      <c r="F9" s="150"/>
      <c r="G9" s="149"/>
      <c r="H9" s="148"/>
    </row>
    <row r="10" spans="1:11" x14ac:dyDescent="0.2">
      <c r="A10" s="147"/>
      <c r="B10" s="146"/>
      <c r="C10" s="145" t="s">
        <v>14</v>
      </c>
      <c r="D10" s="144"/>
      <c r="E10" s="143"/>
      <c r="F10" s="142"/>
      <c r="G10" s="141"/>
      <c r="H10" s="140"/>
    </row>
    <row r="11" spans="1:11" x14ac:dyDescent="0.2">
      <c r="A11" s="174" t="s">
        <v>334</v>
      </c>
      <c r="B11" s="175"/>
      <c r="C11" s="88" t="s">
        <v>16</v>
      </c>
      <c r="D11" s="139"/>
      <c r="E11" s="138"/>
      <c r="F11" s="137"/>
      <c r="G11" s="68"/>
      <c r="H11" s="86"/>
    </row>
    <row r="12" spans="1:11" x14ac:dyDescent="0.2">
      <c r="A12" s="70" t="s">
        <v>334</v>
      </c>
      <c r="B12" s="129" t="s">
        <v>17</v>
      </c>
      <c r="C12" s="98" t="s">
        <v>18</v>
      </c>
      <c r="D12" s="64">
        <v>12</v>
      </c>
      <c r="E12" s="136" t="s">
        <v>19</v>
      </c>
      <c r="F12" s="69"/>
      <c r="G12" s="68"/>
      <c r="H12" s="86"/>
    </row>
    <row r="13" spans="1:11" x14ac:dyDescent="0.2">
      <c r="A13" s="70" t="s">
        <v>334</v>
      </c>
      <c r="B13" s="129" t="s">
        <v>20</v>
      </c>
      <c r="C13" s="98" t="s">
        <v>21</v>
      </c>
      <c r="D13" s="64">
        <v>12</v>
      </c>
      <c r="E13" s="136" t="s">
        <v>19</v>
      </c>
      <c r="F13" s="69"/>
      <c r="G13" s="68"/>
      <c r="H13" s="86"/>
    </row>
    <row r="14" spans="1:11" x14ac:dyDescent="0.2">
      <c r="A14" s="67"/>
      <c r="B14" s="135"/>
      <c r="C14" s="98"/>
      <c r="D14" s="64"/>
      <c r="E14" s="191" t="s">
        <v>22</v>
      </c>
      <c r="F14" s="192"/>
      <c r="G14" s="68">
        <f>SUM(G12:G13)</f>
        <v>0</v>
      </c>
      <c r="H14" s="86"/>
    </row>
    <row r="15" spans="1:11" x14ac:dyDescent="0.2">
      <c r="A15" s="55"/>
      <c r="B15" s="134"/>
      <c r="C15" s="133"/>
      <c r="D15" s="52"/>
      <c r="E15" s="132"/>
      <c r="F15" s="131"/>
      <c r="G15" s="83"/>
      <c r="H15" s="82"/>
    </row>
    <row r="16" spans="1:11" x14ac:dyDescent="0.2">
      <c r="A16" s="193" t="s">
        <v>335</v>
      </c>
      <c r="B16" s="194"/>
      <c r="C16" s="94" t="s">
        <v>24</v>
      </c>
      <c r="D16" s="64"/>
      <c r="E16" s="103"/>
      <c r="F16" s="69"/>
      <c r="G16" s="130"/>
      <c r="H16" s="86"/>
    </row>
    <row r="17" spans="1:8" s="37" customFormat="1" x14ac:dyDescent="0.2">
      <c r="A17" s="126" t="s">
        <v>335</v>
      </c>
      <c r="B17" s="129" t="s">
        <v>17</v>
      </c>
      <c r="C17" s="127" t="s">
        <v>336</v>
      </c>
      <c r="D17" s="64">
        <v>12</v>
      </c>
      <c r="E17" s="64" t="s">
        <v>19</v>
      </c>
      <c r="F17" s="69"/>
      <c r="G17" s="68"/>
      <c r="H17" s="63"/>
    </row>
    <row r="18" spans="1:8" s="37" customFormat="1" x14ac:dyDescent="0.2">
      <c r="A18" s="126"/>
      <c r="B18" s="125"/>
      <c r="C18" s="127"/>
      <c r="D18" s="64"/>
      <c r="E18" s="64"/>
      <c r="F18" s="93" t="s">
        <v>25</v>
      </c>
      <c r="G18" s="68">
        <f>SUM(G16:G17)</f>
        <v>0</v>
      </c>
      <c r="H18" s="63"/>
    </row>
    <row r="19" spans="1:8" s="37" customFormat="1" x14ac:dyDescent="0.2">
      <c r="A19" s="124"/>
      <c r="B19" s="123"/>
      <c r="C19" s="106"/>
      <c r="D19" s="52"/>
      <c r="E19" s="52"/>
      <c r="F19" s="95"/>
      <c r="G19" s="83"/>
      <c r="H19" s="49"/>
    </row>
    <row r="20" spans="1:8" s="37" customFormat="1" x14ac:dyDescent="0.2">
      <c r="A20" s="174" t="s">
        <v>337</v>
      </c>
      <c r="B20" s="175"/>
      <c r="C20" s="128" t="s">
        <v>27</v>
      </c>
      <c r="D20" s="64"/>
      <c r="E20" s="64"/>
      <c r="F20" s="69"/>
      <c r="G20" s="68"/>
      <c r="H20" s="63"/>
    </row>
    <row r="21" spans="1:8" s="37" customFormat="1" x14ac:dyDescent="0.2">
      <c r="A21" s="126" t="s">
        <v>337</v>
      </c>
      <c r="B21" s="125" t="s">
        <v>17</v>
      </c>
      <c r="C21" s="127" t="s">
        <v>28</v>
      </c>
      <c r="D21" s="64">
        <v>12</v>
      </c>
      <c r="E21" s="64" t="s">
        <v>19</v>
      </c>
      <c r="F21" s="69"/>
      <c r="G21" s="68"/>
      <c r="H21" s="63"/>
    </row>
    <row r="22" spans="1:8" s="37" customFormat="1" x14ac:dyDescent="0.2">
      <c r="A22" s="126" t="s">
        <v>337</v>
      </c>
      <c r="B22" s="125" t="s">
        <v>20</v>
      </c>
      <c r="C22" s="127" t="s">
        <v>29</v>
      </c>
      <c r="D22" s="64">
        <v>12</v>
      </c>
      <c r="E22" s="64" t="s">
        <v>19</v>
      </c>
      <c r="F22" s="69"/>
      <c r="G22" s="68"/>
      <c r="H22" s="63"/>
    </row>
    <row r="23" spans="1:8" s="37" customFormat="1" x14ac:dyDescent="0.2">
      <c r="A23" s="126"/>
      <c r="B23" s="125"/>
      <c r="C23" s="65"/>
      <c r="D23" s="64"/>
      <c r="E23" s="64"/>
      <c r="F23" s="93" t="s">
        <v>30</v>
      </c>
      <c r="G23" s="71">
        <f>SUM(G20:G22)</f>
        <v>0</v>
      </c>
      <c r="H23" s="63"/>
    </row>
    <row r="24" spans="1:8" s="37" customFormat="1" x14ac:dyDescent="0.2">
      <c r="A24" s="124"/>
      <c r="B24" s="123"/>
      <c r="C24" s="106"/>
      <c r="D24" s="52"/>
      <c r="E24" s="52"/>
      <c r="F24" s="95"/>
      <c r="G24" s="83"/>
      <c r="H24" s="49"/>
    </row>
    <row r="25" spans="1:8" s="37" customFormat="1" ht="13.5" thickBot="1" x14ac:dyDescent="0.25">
      <c r="A25" s="122"/>
      <c r="B25" s="121"/>
      <c r="C25" s="120"/>
      <c r="D25" s="183" t="s">
        <v>31</v>
      </c>
      <c r="E25" s="184"/>
      <c r="F25" s="185"/>
      <c r="G25" s="119">
        <f>SUM(G23,G18,G14)</f>
        <v>0</v>
      </c>
      <c r="H25" s="118"/>
    </row>
    <row r="26" spans="1:8" x14ac:dyDescent="0.2">
      <c r="A26" s="117"/>
      <c r="B26" s="116"/>
      <c r="C26" s="115"/>
      <c r="D26" s="114"/>
      <c r="E26" s="113"/>
      <c r="F26" s="112"/>
      <c r="G26" s="111"/>
      <c r="H26" s="110"/>
    </row>
    <row r="27" spans="1:8" x14ac:dyDescent="0.2">
      <c r="A27" s="109"/>
      <c r="B27" s="108"/>
      <c r="C27" s="107" t="s">
        <v>32</v>
      </c>
      <c r="D27" s="75"/>
      <c r="E27" s="75"/>
      <c r="F27" s="73"/>
      <c r="G27" s="100"/>
      <c r="H27" s="72"/>
    </row>
    <row r="28" spans="1:8" x14ac:dyDescent="0.2">
      <c r="A28" s="174" t="s">
        <v>338</v>
      </c>
      <c r="B28" s="175"/>
      <c r="C28" s="94" t="s">
        <v>34</v>
      </c>
      <c r="D28" s="64"/>
      <c r="E28" s="64"/>
      <c r="F28" s="69"/>
      <c r="G28" s="68"/>
      <c r="H28" s="63"/>
    </row>
    <row r="29" spans="1:8" x14ac:dyDescent="0.2">
      <c r="A29" s="70" t="s">
        <v>338</v>
      </c>
      <c r="B29" s="92" t="s">
        <v>17</v>
      </c>
      <c r="C29" s="65" t="s">
        <v>18</v>
      </c>
      <c r="D29" s="64">
        <v>12</v>
      </c>
      <c r="E29" s="64" t="s">
        <v>19</v>
      </c>
      <c r="F29" s="69"/>
      <c r="G29" s="68"/>
      <c r="H29" s="86"/>
    </row>
    <row r="30" spans="1:8" x14ac:dyDescent="0.2">
      <c r="A30" s="70" t="s">
        <v>338</v>
      </c>
      <c r="B30" s="92" t="s">
        <v>20</v>
      </c>
      <c r="C30" s="65" t="s">
        <v>21</v>
      </c>
      <c r="D30" s="64">
        <v>12</v>
      </c>
      <c r="E30" s="64" t="s">
        <v>19</v>
      </c>
      <c r="F30" s="69"/>
      <c r="G30" s="68"/>
      <c r="H30" s="86"/>
    </row>
    <row r="31" spans="1:8" x14ac:dyDescent="0.2">
      <c r="A31" s="70" t="s">
        <v>338</v>
      </c>
      <c r="B31" s="92" t="s">
        <v>339</v>
      </c>
      <c r="C31" s="98" t="s">
        <v>36</v>
      </c>
      <c r="D31" s="64">
        <v>12</v>
      </c>
      <c r="E31" s="64" t="s">
        <v>19</v>
      </c>
      <c r="F31" s="69"/>
      <c r="G31" s="68"/>
      <c r="H31" s="86"/>
    </row>
    <row r="32" spans="1:8" x14ac:dyDescent="0.2">
      <c r="A32" s="97"/>
      <c r="B32" s="96"/>
      <c r="C32" s="65"/>
      <c r="D32" s="171" t="s">
        <v>37</v>
      </c>
      <c r="E32" s="172"/>
      <c r="F32" s="173"/>
      <c r="G32" s="69">
        <f>SUM(G29:G31)</f>
        <v>0</v>
      </c>
      <c r="H32" s="86"/>
    </row>
    <row r="33" spans="1:8" x14ac:dyDescent="0.2">
      <c r="A33" s="91"/>
      <c r="B33" s="54"/>
      <c r="C33" s="106"/>
      <c r="D33" s="52"/>
      <c r="E33" s="52"/>
      <c r="F33" s="95"/>
      <c r="G33" s="83"/>
      <c r="H33" s="49"/>
    </row>
    <row r="34" spans="1:8" x14ac:dyDescent="0.2">
      <c r="A34" s="174" t="s">
        <v>340</v>
      </c>
      <c r="B34" s="175"/>
      <c r="C34" s="94" t="s">
        <v>39</v>
      </c>
      <c r="D34" s="64"/>
      <c r="E34" s="64"/>
      <c r="F34" s="69"/>
      <c r="G34" s="68"/>
      <c r="H34" s="63"/>
    </row>
    <row r="35" spans="1:8" ht="25.5" x14ac:dyDescent="0.2">
      <c r="A35" s="70" t="s">
        <v>340</v>
      </c>
      <c r="B35" s="66" t="s">
        <v>17</v>
      </c>
      <c r="C35" s="65" t="s">
        <v>191</v>
      </c>
      <c r="D35" s="64">
        <v>12</v>
      </c>
      <c r="E35" s="64" t="s">
        <v>19</v>
      </c>
      <c r="F35" s="69"/>
      <c r="G35" s="68"/>
      <c r="H35" s="86"/>
    </row>
    <row r="36" spans="1:8" x14ac:dyDescent="0.2">
      <c r="A36" s="70"/>
      <c r="B36" s="96"/>
      <c r="C36" s="65"/>
      <c r="D36" s="186" t="s">
        <v>41</v>
      </c>
      <c r="E36" s="187"/>
      <c r="F36" s="188"/>
      <c r="G36" s="69">
        <f>SUM(G35:G35)</f>
        <v>0</v>
      </c>
      <c r="H36" s="63"/>
    </row>
    <row r="37" spans="1:8" x14ac:dyDescent="0.2">
      <c r="A37" s="85"/>
      <c r="B37" s="84"/>
      <c r="C37" s="53"/>
      <c r="D37" s="52"/>
      <c r="E37" s="52"/>
      <c r="F37" s="95"/>
      <c r="G37" s="83"/>
      <c r="H37" s="49"/>
    </row>
    <row r="38" spans="1:8" x14ac:dyDescent="0.2">
      <c r="A38" s="174" t="s">
        <v>341</v>
      </c>
      <c r="B38" s="175"/>
      <c r="C38" s="94" t="s">
        <v>43</v>
      </c>
      <c r="D38" s="64"/>
      <c r="E38" s="103"/>
      <c r="F38" s="68"/>
      <c r="G38" s="69"/>
      <c r="H38" s="86"/>
    </row>
    <row r="39" spans="1:8" x14ac:dyDescent="0.2">
      <c r="A39" s="70" t="s">
        <v>341</v>
      </c>
      <c r="B39" s="66" t="s">
        <v>17</v>
      </c>
      <c r="C39" s="98" t="s">
        <v>44</v>
      </c>
      <c r="D39" s="64">
        <v>12</v>
      </c>
      <c r="E39" s="64" t="s">
        <v>19</v>
      </c>
      <c r="F39" s="69"/>
      <c r="G39" s="68"/>
      <c r="H39" s="63"/>
    </row>
    <row r="40" spans="1:8" ht="15" x14ac:dyDescent="0.25">
      <c r="A40" s="97"/>
      <c r="B40" s="96"/>
      <c r="C40" s="182" t="s">
        <v>45</v>
      </c>
      <c r="D40" s="177"/>
      <c r="E40" s="177"/>
      <c r="F40" s="178"/>
      <c r="G40" s="71">
        <f>SUM(G39:G39)</f>
        <v>0</v>
      </c>
      <c r="H40" s="63"/>
    </row>
    <row r="41" spans="1:8" s="37" customFormat="1" x14ac:dyDescent="0.2">
      <c r="A41" s="85"/>
      <c r="B41" s="84"/>
      <c r="C41" s="53"/>
      <c r="D41" s="52"/>
      <c r="E41" s="52"/>
      <c r="F41" s="95"/>
      <c r="G41" s="83"/>
      <c r="H41" s="49"/>
    </row>
    <row r="42" spans="1:8" s="37" customFormat="1" x14ac:dyDescent="0.2">
      <c r="A42" s="174" t="s">
        <v>342</v>
      </c>
      <c r="B42" s="175"/>
      <c r="C42" s="88" t="s">
        <v>47</v>
      </c>
      <c r="D42" s="64"/>
      <c r="E42" s="64"/>
      <c r="F42" s="69"/>
      <c r="G42" s="69"/>
      <c r="H42" s="63"/>
    </row>
    <row r="43" spans="1:8" s="37" customFormat="1" x14ac:dyDescent="0.2">
      <c r="A43" s="70" t="s">
        <v>342</v>
      </c>
      <c r="B43" s="66" t="s">
        <v>17</v>
      </c>
      <c r="C43" s="98" t="s">
        <v>29</v>
      </c>
      <c r="D43" s="64">
        <v>12</v>
      </c>
      <c r="E43" s="64" t="s">
        <v>19</v>
      </c>
      <c r="F43" s="69"/>
      <c r="G43" s="68"/>
      <c r="H43" s="86"/>
    </row>
    <row r="44" spans="1:8" s="37" customFormat="1" x14ac:dyDescent="0.2">
      <c r="A44" s="70"/>
      <c r="B44" s="66"/>
      <c r="C44" s="171" t="s">
        <v>48</v>
      </c>
      <c r="D44" s="172"/>
      <c r="E44" s="172"/>
      <c r="F44" s="173"/>
      <c r="G44" s="71">
        <f>SUM(G43:G43)</f>
        <v>0</v>
      </c>
      <c r="H44" s="86"/>
    </row>
    <row r="45" spans="1:8" s="37" customFormat="1" x14ac:dyDescent="0.2">
      <c r="A45" s="91"/>
      <c r="B45" s="54"/>
      <c r="C45" s="105"/>
      <c r="D45" s="52"/>
      <c r="E45" s="104"/>
      <c r="F45" s="83"/>
      <c r="G45" s="50"/>
      <c r="H45" s="82"/>
    </row>
    <row r="46" spans="1:8" s="37" customFormat="1" x14ac:dyDescent="0.2">
      <c r="A46" s="174" t="s">
        <v>343</v>
      </c>
      <c r="B46" s="175"/>
      <c r="C46" s="88" t="s">
        <v>50</v>
      </c>
      <c r="D46" s="64"/>
      <c r="E46" s="103"/>
      <c r="F46" s="68"/>
      <c r="G46" s="69"/>
      <c r="H46" s="86"/>
    </row>
    <row r="47" spans="1:8" s="37" customFormat="1" x14ac:dyDescent="0.2">
      <c r="A47" s="70" t="s">
        <v>343</v>
      </c>
      <c r="B47" s="66" t="s">
        <v>17</v>
      </c>
      <c r="C47" s="98" t="s">
        <v>44</v>
      </c>
      <c r="D47" s="64">
        <v>12</v>
      </c>
      <c r="E47" s="64" t="s">
        <v>19</v>
      </c>
      <c r="F47" s="69"/>
      <c r="G47" s="68"/>
      <c r="H47" s="86"/>
    </row>
    <row r="48" spans="1:8" s="37" customFormat="1" x14ac:dyDescent="0.2">
      <c r="A48" s="70"/>
      <c r="B48" s="66"/>
      <c r="C48" s="171" t="s">
        <v>51</v>
      </c>
      <c r="D48" s="172"/>
      <c r="E48" s="172"/>
      <c r="F48" s="173"/>
      <c r="G48" s="43">
        <f>SUM(G47:G47)</f>
        <v>0</v>
      </c>
      <c r="H48" s="86"/>
    </row>
    <row r="49" spans="1:8" s="37" customFormat="1" x14ac:dyDescent="0.2">
      <c r="A49" s="91"/>
      <c r="B49" s="54"/>
      <c r="C49" s="90"/>
      <c r="D49" s="52"/>
      <c r="E49" s="104"/>
      <c r="F49" s="83"/>
      <c r="G49" s="50"/>
      <c r="H49" s="82"/>
    </row>
    <row r="50" spans="1:8" s="37" customFormat="1" x14ac:dyDescent="0.2">
      <c r="A50" s="174" t="s">
        <v>344</v>
      </c>
      <c r="B50" s="175"/>
      <c r="C50" s="94" t="s">
        <v>53</v>
      </c>
      <c r="D50" s="64"/>
      <c r="E50" s="103"/>
      <c r="F50" s="68"/>
      <c r="G50" s="69"/>
      <c r="H50" s="86"/>
    </row>
    <row r="51" spans="1:8" s="37" customFormat="1" x14ac:dyDescent="0.2">
      <c r="A51" s="70" t="s">
        <v>344</v>
      </c>
      <c r="B51" s="66" t="s">
        <v>17</v>
      </c>
      <c r="C51" s="98" t="s">
        <v>29</v>
      </c>
      <c r="D51" s="64">
        <v>12</v>
      </c>
      <c r="E51" s="64" t="s">
        <v>19</v>
      </c>
      <c r="F51" s="69"/>
      <c r="G51" s="68"/>
      <c r="H51" s="86"/>
    </row>
    <row r="52" spans="1:8" s="37" customFormat="1" x14ac:dyDescent="0.2">
      <c r="A52" s="70"/>
      <c r="B52" s="66"/>
      <c r="C52" s="171" t="s">
        <v>54</v>
      </c>
      <c r="D52" s="172"/>
      <c r="E52" s="172"/>
      <c r="F52" s="173"/>
      <c r="G52" s="43">
        <f>SUM(G51:G51)</f>
        <v>0</v>
      </c>
      <c r="H52" s="63"/>
    </row>
    <row r="53" spans="1:8" x14ac:dyDescent="0.2">
      <c r="A53" s="91"/>
      <c r="B53" s="54"/>
      <c r="C53" s="53"/>
      <c r="D53" s="52"/>
      <c r="E53" s="52"/>
      <c r="F53" s="50"/>
      <c r="G53" s="83"/>
      <c r="H53" s="49"/>
    </row>
    <row r="54" spans="1:8" x14ac:dyDescent="0.2">
      <c r="A54" s="174" t="s">
        <v>345</v>
      </c>
      <c r="B54" s="175"/>
      <c r="C54" s="94" t="s">
        <v>56</v>
      </c>
      <c r="D54" s="64"/>
      <c r="E54" s="64"/>
      <c r="F54" s="69"/>
      <c r="G54" s="68"/>
      <c r="H54" s="63"/>
    </row>
    <row r="55" spans="1:8" x14ac:dyDescent="0.2">
      <c r="A55" s="70" t="s">
        <v>345</v>
      </c>
      <c r="B55" s="66" t="s">
        <v>17</v>
      </c>
      <c r="C55" s="98" t="s">
        <v>29</v>
      </c>
      <c r="D55" s="64">
        <v>12</v>
      </c>
      <c r="E55" s="64" t="s">
        <v>19</v>
      </c>
      <c r="F55" s="69"/>
      <c r="G55" s="68"/>
      <c r="H55" s="63"/>
    </row>
    <row r="56" spans="1:8" x14ac:dyDescent="0.2">
      <c r="A56" s="97"/>
      <c r="B56" s="96"/>
      <c r="C56" s="171" t="s">
        <v>57</v>
      </c>
      <c r="D56" s="172"/>
      <c r="E56" s="172"/>
      <c r="F56" s="173"/>
      <c r="G56" s="71">
        <f>SUM(G55:G55)</f>
        <v>0</v>
      </c>
      <c r="H56" s="63"/>
    </row>
    <row r="57" spans="1:8" ht="15" x14ac:dyDescent="0.25">
      <c r="A57" s="91"/>
      <c r="B57" s="54"/>
      <c r="C57" s="53"/>
      <c r="D57" s="176" t="s">
        <v>58</v>
      </c>
      <c r="E57" s="177"/>
      <c r="F57" s="178"/>
      <c r="G57" s="164">
        <f>SUM(G56,G52,G48,G44,G40,G36,G32)</f>
        <v>0</v>
      </c>
      <c r="H57" s="49"/>
    </row>
    <row r="58" spans="1:8" x14ac:dyDescent="0.2">
      <c r="A58" s="102"/>
      <c r="B58" s="102"/>
      <c r="C58" s="101"/>
      <c r="D58" s="75"/>
      <c r="E58" s="75"/>
      <c r="F58" s="73"/>
      <c r="G58" s="100"/>
      <c r="H58" s="99"/>
    </row>
    <row r="59" spans="1:8" x14ac:dyDescent="0.2">
      <c r="A59" s="174" t="s">
        <v>346</v>
      </c>
      <c r="B59" s="175"/>
      <c r="C59" s="94" t="s">
        <v>60</v>
      </c>
      <c r="D59" s="64"/>
      <c r="E59" s="64"/>
      <c r="F59" s="69"/>
      <c r="G59" s="68"/>
      <c r="H59" s="63"/>
    </row>
    <row r="60" spans="1:8" x14ac:dyDescent="0.2">
      <c r="A60" s="70" t="s">
        <v>346</v>
      </c>
      <c r="B60" s="66" t="s">
        <v>17</v>
      </c>
      <c r="C60" s="65" t="s">
        <v>18</v>
      </c>
      <c r="D60" s="64">
        <v>12</v>
      </c>
      <c r="E60" s="64" t="s">
        <v>19</v>
      </c>
      <c r="F60" s="69"/>
      <c r="G60" s="68"/>
      <c r="H60" s="63"/>
    </row>
    <row r="61" spans="1:8" x14ac:dyDescent="0.2">
      <c r="A61" s="70" t="s">
        <v>346</v>
      </c>
      <c r="B61" s="66" t="s">
        <v>20</v>
      </c>
      <c r="C61" s="98" t="s">
        <v>36</v>
      </c>
      <c r="D61" s="64">
        <v>12</v>
      </c>
      <c r="E61" s="64" t="s">
        <v>19</v>
      </c>
      <c r="F61" s="69"/>
      <c r="G61" s="68"/>
      <c r="H61" s="63"/>
    </row>
    <row r="62" spans="1:8" x14ac:dyDescent="0.2">
      <c r="A62" s="97"/>
      <c r="B62" s="96"/>
      <c r="C62" s="65"/>
      <c r="D62" s="171" t="s">
        <v>61</v>
      </c>
      <c r="E62" s="172"/>
      <c r="F62" s="173"/>
      <c r="G62" s="71">
        <f>SUM(G60:G61)</f>
        <v>0</v>
      </c>
      <c r="H62" s="63"/>
    </row>
    <row r="63" spans="1:8" x14ac:dyDescent="0.2">
      <c r="A63" s="85"/>
      <c r="B63" s="84"/>
      <c r="C63" s="53"/>
      <c r="D63" s="52"/>
      <c r="E63" s="52"/>
      <c r="F63" s="50"/>
      <c r="G63" s="83"/>
      <c r="H63" s="49"/>
    </row>
    <row r="64" spans="1:8" x14ac:dyDescent="0.2">
      <c r="A64" s="174" t="s">
        <v>347</v>
      </c>
      <c r="B64" s="175"/>
      <c r="C64" s="94" t="s">
        <v>63</v>
      </c>
      <c r="D64" s="64"/>
      <c r="E64" s="64"/>
      <c r="F64" s="69"/>
      <c r="G64" s="68"/>
      <c r="H64" s="63"/>
    </row>
    <row r="65" spans="1:8" x14ac:dyDescent="0.2">
      <c r="A65" s="70" t="s">
        <v>347</v>
      </c>
      <c r="B65" s="66" t="s">
        <v>17</v>
      </c>
      <c r="C65" s="65" t="s">
        <v>44</v>
      </c>
      <c r="D65" s="64">
        <v>12</v>
      </c>
      <c r="E65" s="64" t="s">
        <v>19</v>
      </c>
      <c r="F65" s="69"/>
      <c r="G65" s="68"/>
      <c r="H65" s="63"/>
    </row>
    <row r="66" spans="1:8" s="37" customFormat="1" x14ac:dyDescent="0.2">
      <c r="A66" s="70" t="s">
        <v>347</v>
      </c>
      <c r="B66" s="66" t="s">
        <v>20</v>
      </c>
      <c r="C66" s="65" t="s">
        <v>29</v>
      </c>
      <c r="D66" s="64">
        <v>12</v>
      </c>
      <c r="E66" s="64" t="s">
        <v>19</v>
      </c>
      <c r="F66" s="69"/>
      <c r="G66" s="68"/>
      <c r="H66" s="63"/>
    </row>
    <row r="67" spans="1:8" s="37" customFormat="1" x14ac:dyDescent="0.2">
      <c r="A67" s="97"/>
      <c r="B67" s="96"/>
      <c r="C67" s="65"/>
      <c r="D67" s="171" t="s">
        <v>64</v>
      </c>
      <c r="E67" s="172"/>
      <c r="F67" s="173"/>
      <c r="G67" s="71">
        <f>SUM(G65:G66)</f>
        <v>0</v>
      </c>
      <c r="H67" s="63"/>
    </row>
    <row r="68" spans="1:8" s="37" customFormat="1" x14ac:dyDescent="0.2">
      <c r="A68" s="85"/>
      <c r="B68" s="84"/>
      <c r="C68" s="53"/>
      <c r="D68" s="52"/>
      <c r="E68" s="52"/>
      <c r="F68" s="50"/>
      <c r="G68" s="83"/>
      <c r="H68" s="49"/>
    </row>
    <row r="69" spans="1:8" s="37" customFormat="1" x14ac:dyDescent="0.2">
      <c r="A69" s="174" t="s">
        <v>348</v>
      </c>
      <c r="B69" s="175"/>
      <c r="C69" s="94" t="s">
        <v>66</v>
      </c>
      <c r="D69" s="64"/>
      <c r="E69" s="64"/>
      <c r="F69" s="69"/>
      <c r="G69" s="68"/>
      <c r="H69" s="63"/>
    </row>
    <row r="70" spans="1:8" s="37" customFormat="1" x14ac:dyDescent="0.2">
      <c r="A70" s="70" t="s">
        <v>348</v>
      </c>
      <c r="B70" s="66" t="s">
        <v>17</v>
      </c>
      <c r="C70" s="98" t="s">
        <v>29</v>
      </c>
      <c r="D70" s="64">
        <v>12</v>
      </c>
      <c r="E70" s="64" t="s">
        <v>19</v>
      </c>
      <c r="F70" s="69"/>
      <c r="G70" s="163"/>
      <c r="H70" s="63"/>
    </row>
    <row r="71" spans="1:8" s="37" customFormat="1" x14ac:dyDescent="0.2">
      <c r="A71" s="97"/>
      <c r="B71" s="96"/>
      <c r="C71" s="171" t="s">
        <v>67</v>
      </c>
      <c r="D71" s="172"/>
      <c r="E71" s="172"/>
      <c r="F71" s="173"/>
      <c r="G71" s="71">
        <f>SUM(G70:G70)</f>
        <v>0</v>
      </c>
      <c r="H71" s="63"/>
    </row>
    <row r="72" spans="1:8" s="37" customFormat="1" x14ac:dyDescent="0.2">
      <c r="A72" s="85"/>
      <c r="B72" s="84"/>
      <c r="C72" s="53"/>
      <c r="D72" s="52"/>
      <c r="E72" s="52"/>
      <c r="F72" s="50"/>
      <c r="G72" s="83"/>
      <c r="H72" s="49"/>
    </row>
    <row r="73" spans="1:8" s="37" customFormat="1" x14ac:dyDescent="0.2">
      <c r="A73" s="174" t="s">
        <v>349</v>
      </c>
      <c r="B73" s="175"/>
      <c r="C73" s="94" t="s">
        <v>69</v>
      </c>
      <c r="D73" s="64"/>
      <c r="E73" s="64"/>
      <c r="F73" s="69"/>
      <c r="G73" s="68"/>
      <c r="H73" s="63"/>
    </row>
    <row r="74" spans="1:8" s="37" customFormat="1" x14ac:dyDescent="0.2">
      <c r="A74" s="70" t="s">
        <v>349</v>
      </c>
      <c r="B74" s="66" t="s">
        <v>17</v>
      </c>
      <c r="C74" s="65" t="s">
        <v>201</v>
      </c>
      <c r="D74" s="64">
        <v>12</v>
      </c>
      <c r="E74" s="64" t="s">
        <v>19</v>
      </c>
      <c r="F74" s="69"/>
      <c r="G74" s="68"/>
      <c r="H74" s="63"/>
    </row>
    <row r="75" spans="1:8" s="37" customFormat="1" x14ac:dyDescent="0.2">
      <c r="A75" s="70" t="s">
        <v>349</v>
      </c>
      <c r="B75" s="66" t="s">
        <v>20</v>
      </c>
      <c r="C75" s="98" t="s">
        <v>191</v>
      </c>
      <c r="D75" s="64">
        <v>12</v>
      </c>
      <c r="E75" s="64" t="s">
        <v>19</v>
      </c>
      <c r="F75" s="69"/>
      <c r="G75" s="68"/>
      <c r="H75" s="63"/>
    </row>
    <row r="76" spans="1:8" s="37" customFormat="1" x14ac:dyDescent="0.2">
      <c r="A76" s="97"/>
      <c r="B76" s="96"/>
      <c r="C76" s="171" t="s">
        <v>70</v>
      </c>
      <c r="D76" s="172"/>
      <c r="E76" s="172"/>
      <c r="F76" s="173"/>
      <c r="G76" s="43">
        <f>SUM(G74:G75)</f>
        <v>0</v>
      </c>
      <c r="H76" s="63"/>
    </row>
    <row r="77" spans="1:8" s="37" customFormat="1" x14ac:dyDescent="0.2">
      <c r="A77" s="85"/>
      <c r="B77" s="84"/>
      <c r="C77" s="53"/>
      <c r="D77" s="52"/>
      <c r="E77" s="52"/>
      <c r="F77" s="95"/>
      <c r="G77" s="50"/>
      <c r="H77" s="49"/>
    </row>
    <row r="78" spans="1:8" x14ac:dyDescent="0.2">
      <c r="A78" s="174" t="s">
        <v>350</v>
      </c>
      <c r="B78" s="175"/>
      <c r="C78" s="94" t="s">
        <v>72</v>
      </c>
      <c r="D78" s="64"/>
      <c r="E78" s="64"/>
      <c r="F78" s="93"/>
      <c r="G78" s="69"/>
      <c r="H78" s="63"/>
    </row>
    <row r="79" spans="1:8" x14ac:dyDescent="0.2">
      <c r="A79" s="70" t="s">
        <v>350</v>
      </c>
      <c r="B79" s="66" t="s">
        <v>17</v>
      </c>
      <c r="C79" s="65" t="s">
        <v>29</v>
      </c>
      <c r="D79" s="64">
        <v>12</v>
      </c>
      <c r="E79" s="64" t="s">
        <v>19</v>
      </c>
      <c r="F79" s="69"/>
      <c r="G79" s="68"/>
      <c r="H79" s="63"/>
    </row>
    <row r="80" spans="1:8" x14ac:dyDescent="0.2">
      <c r="A80" s="97"/>
      <c r="B80" s="96"/>
      <c r="C80" s="171" t="s">
        <v>73</v>
      </c>
      <c r="D80" s="172"/>
      <c r="E80" s="172"/>
      <c r="F80" s="173"/>
      <c r="G80" s="43">
        <f>SUM(G79:G79)</f>
        <v>0</v>
      </c>
      <c r="H80" s="63"/>
    </row>
    <row r="81" spans="1:8" x14ac:dyDescent="0.2">
      <c r="A81" s="85"/>
      <c r="B81" s="84"/>
      <c r="C81" s="53"/>
      <c r="D81" s="52"/>
      <c r="E81" s="52"/>
      <c r="F81" s="95"/>
      <c r="G81" s="50"/>
      <c r="H81" s="49"/>
    </row>
    <row r="82" spans="1:8" x14ac:dyDescent="0.2">
      <c r="A82" s="174" t="s">
        <v>351</v>
      </c>
      <c r="B82" s="175"/>
      <c r="C82" s="94" t="s">
        <v>75</v>
      </c>
      <c r="D82" s="64"/>
      <c r="E82" s="64"/>
      <c r="F82" s="93"/>
      <c r="G82" s="69"/>
      <c r="H82" s="63"/>
    </row>
    <row r="83" spans="1:8" x14ac:dyDescent="0.2">
      <c r="A83" s="70" t="s">
        <v>351</v>
      </c>
      <c r="B83" s="92" t="s">
        <v>17</v>
      </c>
      <c r="C83" s="65" t="s">
        <v>18</v>
      </c>
      <c r="D83" s="64">
        <v>12</v>
      </c>
      <c r="E83" s="64" t="s">
        <v>19</v>
      </c>
      <c r="F83" s="69"/>
      <c r="G83" s="68"/>
      <c r="H83" s="63"/>
    </row>
    <row r="84" spans="1:8" x14ac:dyDescent="0.2">
      <c r="A84" s="70"/>
      <c r="B84" s="66"/>
      <c r="C84" s="88"/>
      <c r="D84" s="165" t="s">
        <v>76</v>
      </c>
      <c r="E84" s="166"/>
      <c r="F84" s="167"/>
      <c r="G84" s="43">
        <f>SUM(G83:G83)</f>
        <v>0</v>
      </c>
      <c r="H84" s="86"/>
    </row>
    <row r="85" spans="1:8" x14ac:dyDescent="0.2">
      <c r="A85" s="91"/>
      <c r="B85" s="54"/>
      <c r="C85" s="90"/>
      <c r="D85" s="52"/>
      <c r="E85" s="89"/>
      <c r="F85" s="89"/>
      <c r="G85" s="50"/>
      <c r="H85" s="82"/>
    </row>
    <row r="86" spans="1:8" x14ac:dyDescent="0.2">
      <c r="A86" s="174" t="s">
        <v>352</v>
      </c>
      <c r="B86" s="175"/>
      <c r="C86" s="94" t="s">
        <v>78</v>
      </c>
      <c r="D86" s="64"/>
      <c r="E86" s="64"/>
      <c r="F86" s="93"/>
      <c r="G86" s="69"/>
      <c r="H86" s="63"/>
    </row>
    <row r="87" spans="1:8" x14ac:dyDescent="0.2">
      <c r="A87" s="70" t="s">
        <v>352</v>
      </c>
      <c r="B87" s="92" t="s">
        <v>17</v>
      </c>
      <c r="C87" s="65" t="s">
        <v>18</v>
      </c>
      <c r="D87" s="64">
        <v>12</v>
      </c>
      <c r="E87" s="64" t="s">
        <v>19</v>
      </c>
      <c r="F87" s="69"/>
      <c r="G87" s="68"/>
      <c r="H87" s="63"/>
    </row>
    <row r="88" spans="1:8" x14ac:dyDescent="0.2">
      <c r="A88" s="70"/>
      <c r="B88" s="66"/>
      <c r="C88" s="88"/>
      <c r="D88" s="165" t="s">
        <v>79</v>
      </c>
      <c r="E88" s="166"/>
      <c r="F88" s="167"/>
      <c r="G88" s="43">
        <f>SUM(G87:G87)</f>
        <v>0</v>
      </c>
      <c r="H88" s="86"/>
    </row>
    <row r="89" spans="1:8" x14ac:dyDescent="0.2">
      <c r="A89" s="91"/>
      <c r="B89" s="54"/>
      <c r="C89" s="90"/>
      <c r="D89" s="52"/>
      <c r="E89" s="89"/>
      <c r="F89" s="89"/>
      <c r="G89" s="50"/>
      <c r="H89" s="82"/>
    </row>
    <row r="90" spans="1:8" x14ac:dyDescent="0.2">
      <c r="A90" s="174" t="s">
        <v>353</v>
      </c>
      <c r="B90" s="175"/>
      <c r="C90" s="94" t="s">
        <v>81</v>
      </c>
      <c r="D90" s="64"/>
      <c r="E90" s="64"/>
      <c r="F90" s="93"/>
      <c r="G90" s="69"/>
      <c r="H90" s="63"/>
    </row>
    <row r="91" spans="1:8" x14ac:dyDescent="0.2">
      <c r="A91" s="70" t="s">
        <v>353</v>
      </c>
      <c r="B91" s="92" t="s">
        <v>17</v>
      </c>
      <c r="C91" s="65" t="s">
        <v>18</v>
      </c>
      <c r="D91" s="64">
        <v>12</v>
      </c>
      <c r="E91" s="64" t="s">
        <v>19</v>
      </c>
      <c r="F91" s="69"/>
      <c r="G91" s="68"/>
      <c r="H91" s="63"/>
    </row>
    <row r="92" spans="1:8" x14ac:dyDescent="0.2">
      <c r="A92" s="70"/>
      <c r="B92" s="66"/>
      <c r="C92" s="88"/>
      <c r="D92" s="165" t="s">
        <v>206</v>
      </c>
      <c r="E92" s="166"/>
      <c r="F92" s="167"/>
      <c r="G92" s="43">
        <f>SUM(G91:G91)</f>
        <v>0</v>
      </c>
      <c r="H92" s="86"/>
    </row>
    <row r="93" spans="1:8" ht="15" x14ac:dyDescent="0.25">
      <c r="A93" s="91"/>
      <c r="B93" s="54"/>
      <c r="C93" s="90"/>
      <c r="D93" s="176" t="s">
        <v>83</v>
      </c>
      <c r="E93" s="177"/>
      <c r="F93" s="178"/>
      <c r="G93" s="95">
        <f>SUM(G92,G88,G84,G80,G76,G71,G67,G62)</f>
        <v>0</v>
      </c>
      <c r="H93" s="82"/>
    </row>
    <row r="94" spans="1:8" x14ac:dyDescent="0.2">
      <c r="A94" s="81"/>
      <c r="B94" s="61"/>
      <c r="C94" s="80"/>
      <c r="D94" s="179" t="s">
        <v>84</v>
      </c>
      <c r="E94" s="180"/>
      <c r="F94" s="181"/>
      <c r="G94" s="57">
        <f>SUM(G93,G57)</f>
        <v>0</v>
      </c>
      <c r="H94" s="79"/>
    </row>
    <row r="95" spans="1:8" x14ac:dyDescent="0.2">
      <c r="A95" s="70"/>
      <c r="B95" s="66"/>
      <c r="C95" s="88"/>
      <c r="D95" s="64"/>
      <c r="E95" s="87"/>
      <c r="F95" s="87"/>
      <c r="G95" s="69"/>
      <c r="H95" s="86"/>
    </row>
    <row r="96" spans="1:8" x14ac:dyDescent="0.2">
      <c r="A96" s="78"/>
      <c r="B96" s="77"/>
      <c r="C96" s="76" t="s">
        <v>85</v>
      </c>
      <c r="D96" s="75"/>
      <c r="E96" s="74"/>
      <c r="F96" s="74"/>
      <c r="G96" s="73"/>
      <c r="H96" s="72"/>
    </row>
    <row r="97" spans="1:8" x14ac:dyDescent="0.2">
      <c r="A97" s="174" t="s">
        <v>354</v>
      </c>
      <c r="B97" s="175"/>
      <c r="C97" s="88" t="s">
        <v>87</v>
      </c>
      <c r="D97" s="64"/>
      <c r="E97" s="87"/>
      <c r="F97" s="87"/>
      <c r="G97" s="69"/>
      <c r="H97" s="86"/>
    </row>
    <row r="98" spans="1:8" x14ac:dyDescent="0.2">
      <c r="A98" s="70" t="s">
        <v>354</v>
      </c>
      <c r="B98" s="92" t="s">
        <v>17</v>
      </c>
      <c r="C98" s="65" t="s">
        <v>18</v>
      </c>
      <c r="D98" s="64">
        <v>12</v>
      </c>
      <c r="E98" s="64" t="s">
        <v>19</v>
      </c>
      <c r="F98" s="69"/>
      <c r="G98" s="68"/>
      <c r="H98" s="86"/>
    </row>
    <row r="99" spans="1:8" x14ac:dyDescent="0.2">
      <c r="A99" s="70" t="s">
        <v>354</v>
      </c>
      <c r="B99" s="92" t="s">
        <v>20</v>
      </c>
      <c r="C99" s="65" t="s">
        <v>21</v>
      </c>
      <c r="D99" s="64">
        <v>12</v>
      </c>
      <c r="E99" s="64" t="s">
        <v>19</v>
      </c>
      <c r="F99" s="69"/>
      <c r="G99" s="68"/>
      <c r="H99" s="86"/>
    </row>
    <row r="100" spans="1:8" x14ac:dyDescent="0.2">
      <c r="A100" s="70"/>
      <c r="B100" s="66"/>
      <c r="C100" s="165" t="s">
        <v>88</v>
      </c>
      <c r="D100" s="166"/>
      <c r="E100" s="166"/>
      <c r="F100" s="167"/>
      <c r="G100" s="43">
        <f>SUM(G98:G99)</f>
        <v>0</v>
      </c>
      <c r="H100" s="86"/>
    </row>
    <row r="101" spans="1:8" x14ac:dyDescent="0.2">
      <c r="A101" s="91"/>
      <c r="B101" s="54"/>
      <c r="C101" s="90"/>
      <c r="D101" s="52"/>
      <c r="E101" s="89"/>
      <c r="F101" s="89"/>
      <c r="G101" s="50"/>
      <c r="H101" s="82"/>
    </row>
    <row r="102" spans="1:8" s="37" customFormat="1" x14ac:dyDescent="0.2">
      <c r="A102" s="174" t="s">
        <v>355</v>
      </c>
      <c r="B102" s="175"/>
      <c r="C102" s="88" t="s">
        <v>90</v>
      </c>
      <c r="D102" s="64"/>
      <c r="E102" s="87"/>
      <c r="F102" s="87"/>
      <c r="G102" s="69"/>
      <c r="H102" s="86"/>
    </row>
    <row r="103" spans="1:8" s="37" customFormat="1" x14ac:dyDescent="0.2">
      <c r="A103" s="70" t="s">
        <v>355</v>
      </c>
      <c r="B103" s="66" t="s">
        <v>17</v>
      </c>
      <c r="C103" s="65" t="s">
        <v>18</v>
      </c>
      <c r="D103" s="64">
        <v>12</v>
      </c>
      <c r="E103" s="64" t="s">
        <v>19</v>
      </c>
      <c r="F103" s="69"/>
      <c r="G103" s="68"/>
      <c r="H103" s="86"/>
    </row>
    <row r="104" spans="1:8" s="37" customFormat="1" x14ac:dyDescent="0.2">
      <c r="A104" s="70"/>
      <c r="B104" s="66"/>
      <c r="C104" s="165" t="s">
        <v>91</v>
      </c>
      <c r="D104" s="166"/>
      <c r="E104" s="166"/>
      <c r="F104" s="167"/>
      <c r="G104" s="43">
        <f>SUM(G103:G103)</f>
        <v>0</v>
      </c>
      <c r="H104" s="86"/>
    </row>
    <row r="105" spans="1:8" s="37" customFormat="1" x14ac:dyDescent="0.2">
      <c r="A105" s="91"/>
      <c r="B105" s="54"/>
      <c r="C105" s="90"/>
      <c r="D105" s="52"/>
      <c r="E105" s="89"/>
      <c r="F105" s="89"/>
      <c r="G105" s="50"/>
      <c r="H105" s="82"/>
    </row>
    <row r="106" spans="1:8" s="37" customFormat="1" x14ac:dyDescent="0.2">
      <c r="A106" s="174" t="s">
        <v>356</v>
      </c>
      <c r="B106" s="175"/>
      <c r="C106" s="88" t="s">
        <v>93</v>
      </c>
      <c r="D106" s="64"/>
      <c r="E106" s="87"/>
      <c r="F106" s="87"/>
      <c r="G106" s="69"/>
      <c r="H106" s="86"/>
    </row>
    <row r="107" spans="1:8" s="37" customFormat="1" x14ac:dyDescent="0.2">
      <c r="A107" s="70" t="s">
        <v>356</v>
      </c>
      <c r="B107" s="92" t="s">
        <v>17</v>
      </c>
      <c r="C107" s="65" t="s">
        <v>29</v>
      </c>
      <c r="D107" s="64">
        <v>12</v>
      </c>
      <c r="E107" s="64" t="s">
        <v>19</v>
      </c>
      <c r="F107" s="69"/>
      <c r="G107" s="68"/>
      <c r="H107" s="86"/>
    </row>
    <row r="108" spans="1:8" s="37" customFormat="1" x14ac:dyDescent="0.2">
      <c r="A108" s="70"/>
      <c r="B108" s="66"/>
      <c r="C108" s="165" t="s">
        <v>94</v>
      </c>
      <c r="D108" s="166"/>
      <c r="E108" s="166"/>
      <c r="F108" s="167"/>
      <c r="G108" s="43">
        <f>SUM(G107:G107)</f>
        <v>0</v>
      </c>
      <c r="H108" s="86"/>
    </row>
    <row r="109" spans="1:8" s="37" customFormat="1" x14ac:dyDescent="0.2">
      <c r="A109" s="91"/>
      <c r="B109" s="54"/>
      <c r="C109" s="90"/>
      <c r="D109" s="52"/>
      <c r="E109" s="89"/>
      <c r="F109" s="89"/>
      <c r="G109" s="50"/>
      <c r="H109" s="82"/>
    </row>
    <row r="110" spans="1:8" s="37" customFormat="1" x14ac:dyDescent="0.2">
      <c r="A110" s="174" t="s">
        <v>357</v>
      </c>
      <c r="B110" s="175"/>
      <c r="C110" s="88" t="s">
        <v>96</v>
      </c>
      <c r="D110" s="64"/>
      <c r="E110" s="87"/>
      <c r="F110" s="87"/>
      <c r="G110" s="69"/>
      <c r="H110" s="86"/>
    </row>
    <row r="111" spans="1:8" s="37" customFormat="1" x14ac:dyDescent="0.2">
      <c r="A111" s="70" t="s">
        <v>357</v>
      </c>
      <c r="B111" s="66" t="s">
        <v>17</v>
      </c>
      <c r="C111" s="65" t="s">
        <v>97</v>
      </c>
      <c r="D111" s="64">
        <v>12</v>
      </c>
      <c r="E111" s="64" t="s">
        <v>19</v>
      </c>
      <c r="F111" s="69"/>
      <c r="G111" s="68"/>
      <c r="H111" s="86"/>
    </row>
    <row r="112" spans="1:8" s="37" customFormat="1" x14ac:dyDescent="0.2">
      <c r="A112" s="70"/>
      <c r="B112" s="66"/>
      <c r="C112" s="165" t="s">
        <v>98</v>
      </c>
      <c r="D112" s="166"/>
      <c r="E112" s="166"/>
      <c r="F112" s="167"/>
      <c r="G112" s="43">
        <f>SUM(G111:G111)</f>
        <v>0</v>
      </c>
      <c r="H112" s="86"/>
    </row>
    <row r="113" spans="1:8" x14ac:dyDescent="0.2">
      <c r="A113" s="55"/>
      <c r="B113" s="54"/>
      <c r="C113" s="53"/>
      <c r="D113" s="52"/>
      <c r="E113" s="51"/>
      <c r="F113" s="51"/>
      <c r="G113" s="50"/>
      <c r="H113" s="49"/>
    </row>
    <row r="114" spans="1:8" x14ac:dyDescent="0.2">
      <c r="A114" s="62"/>
      <c r="B114" s="61"/>
      <c r="C114" s="60"/>
      <c r="D114" s="59"/>
      <c r="E114" s="58"/>
      <c r="F114" s="58" t="s">
        <v>99</v>
      </c>
      <c r="G114" s="57">
        <f>SUM(G112,G108,G104,G100)</f>
        <v>0</v>
      </c>
      <c r="H114" s="56"/>
    </row>
    <row r="115" spans="1:8" x14ac:dyDescent="0.2">
      <c r="A115" s="48"/>
      <c r="B115" s="47"/>
      <c r="C115" s="46"/>
      <c r="D115" s="45"/>
      <c r="E115" s="44"/>
      <c r="F115" s="44"/>
      <c r="G115" s="43"/>
      <c r="H115" s="42"/>
    </row>
    <row r="116" spans="1:8" ht="13.5" thickBot="1" x14ac:dyDescent="0.25">
      <c r="A116" s="41"/>
      <c r="B116" s="40"/>
      <c r="C116" s="168" t="s">
        <v>100</v>
      </c>
      <c r="D116" s="169"/>
      <c r="E116" s="169"/>
      <c r="F116" s="170"/>
      <c r="G116" s="39">
        <f>SUM(G114,G94,G25)</f>
        <v>0</v>
      </c>
      <c r="H116" s="38"/>
    </row>
  </sheetData>
  <mergeCells count="59">
    <mergeCell ref="A106:B106"/>
    <mergeCell ref="C108:F108"/>
    <mergeCell ref="A110:B110"/>
    <mergeCell ref="C112:F112"/>
    <mergeCell ref="C116:F116"/>
    <mergeCell ref="C104:F104"/>
    <mergeCell ref="A82:B82"/>
    <mergeCell ref="D84:F84"/>
    <mergeCell ref="A86:B86"/>
    <mergeCell ref="D88:F88"/>
    <mergeCell ref="A90:B90"/>
    <mergeCell ref="D92:F92"/>
    <mergeCell ref="D93:F93"/>
    <mergeCell ref="D94:F94"/>
    <mergeCell ref="A97:B97"/>
    <mergeCell ref="C100:F100"/>
    <mergeCell ref="A102:B102"/>
    <mergeCell ref="C80:F80"/>
    <mergeCell ref="C56:F56"/>
    <mergeCell ref="D57:F57"/>
    <mergeCell ref="A59:B59"/>
    <mergeCell ref="D62:F62"/>
    <mergeCell ref="A64:B64"/>
    <mergeCell ref="D67:F67"/>
    <mergeCell ref="A69:B69"/>
    <mergeCell ref="C71:F71"/>
    <mergeCell ref="A73:B73"/>
    <mergeCell ref="C76:F76"/>
    <mergeCell ref="A78:B78"/>
    <mergeCell ref="A54:B54"/>
    <mergeCell ref="D32:F32"/>
    <mergeCell ref="A34:B34"/>
    <mergeCell ref="D36:F36"/>
    <mergeCell ref="A38:B38"/>
    <mergeCell ref="C40:F40"/>
    <mergeCell ref="A42:B42"/>
    <mergeCell ref="C44:F44"/>
    <mergeCell ref="A46:B46"/>
    <mergeCell ref="C48:F48"/>
    <mergeCell ref="A50:B50"/>
    <mergeCell ref="C52:F52"/>
    <mergeCell ref="A28:B28"/>
    <mergeCell ref="A4:H4"/>
    <mergeCell ref="I4:K4"/>
    <mergeCell ref="A5:H5"/>
    <mergeCell ref="A6:H6"/>
    <mergeCell ref="A7:H7"/>
    <mergeCell ref="A8:B8"/>
    <mergeCell ref="A11:B11"/>
    <mergeCell ref="E14:F14"/>
    <mergeCell ref="A16:B16"/>
    <mergeCell ref="A20:B20"/>
    <mergeCell ref="D25:F25"/>
    <mergeCell ref="A1:H1"/>
    <mergeCell ref="I1:K1"/>
    <mergeCell ref="A2:H2"/>
    <mergeCell ref="I2:K2"/>
    <mergeCell ref="A3:H3"/>
    <mergeCell ref="I3:K3"/>
  </mergeCells>
  <printOptions horizontalCentered="1"/>
  <pageMargins left="1" right="1" top="1" bottom="1" header="0.5" footer="0.5"/>
  <pageSetup scale="50" fitToHeight="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282D4-CCE1-43E1-8FD7-8A81799B699E}">
  <sheetPr>
    <pageSetUpPr fitToPage="1"/>
  </sheetPr>
  <dimension ref="A1:K176"/>
  <sheetViews>
    <sheetView zoomScaleNormal="100" workbookViewId="0">
      <selection activeCell="A5" sqref="A5:H5"/>
    </sheetView>
  </sheetViews>
  <sheetFormatPr defaultColWidth="9.140625" defaultRowHeight="12.75" x14ac:dyDescent="0.2"/>
  <cols>
    <col min="1" max="1" width="11" style="4" customWidth="1"/>
    <col min="2" max="2" width="16" style="3" customWidth="1"/>
    <col min="3" max="3" width="40.140625" style="3" customWidth="1"/>
    <col min="4" max="4" width="11.85546875" style="3" customWidth="1"/>
    <col min="5" max="5" width="7.5703125" style="1" customWidth="1"/>
    <col min="6" max="6" width="15" style="2" customWidth="1"/>
    <col min="7" max="7" width="16.85546875" style="2" customWidth="1"/>
    <col min="8" max="8" width="8.7109375" style="1" customWidth="1"/>
    <col min="9" max="9" width="3" style="1" hidden="1" customWidth="1"/>
    <col min="10" max="16384" width="9.140625" style="1"/>
  </cols>
  <sheetData>
    <row r="1" spans="1:9" ht="12.75" customHeight="1" x14ac:dyDescent="0.2">
      <c r="A1" s="207" t="s">
        <v>0</v>
      </c>
      <c r="B1" s="208"/>
      <c r="C1" s="208"/>
      <c r="D1" s="208"/>
      <c r="E1" s="208"/>
      <c r="F1" s="208"/>
      <c r="G1" s="208"/>
      <c r="H1" s="209"/>
      <c r="I1" s="35"/>
    </row>
    <row r="2" spans="1:9" ht="12.75" customHeight="1" x14ac:dyDescent="0.2">
      <c r="A2" s="210" t="s">
        <v>1</v>
      </c>
      <c r="B2" s="211"/>
      <c r="C2" s="211"/>
      <c r="D2" s="211"/>
      <c r="E2" s="211"/>
      <c r="F2" s="211"/>
      <c r="G2" s="211"/>
      <c r="H2" s="212"/>
    </row>
    <row r="3" spans="1:9" ht="12.75" customHeight="1" x14ac:dyDescent="0.2">
      <c r="A3" s="210" t="s">
        <v>101</v>
      </c>
      <c r="B3" s="211"/>
      <c r="C3" s="211"/>
      <c r="D3" s="211"/>
      <c r="E3" s="211"/>
      <c r="F3" s="211"/>
      <c r="G3" s="211"/>
      <c r="H3" s="212"/>
    </row>
    <row r="4" spans="1:9" ht="12.75" customHeight="1" x14ac:dyDescent="0.2">
      <c r="A4" s="210" t="s">
        <v>332</v>
      </c>
      <c r="B4" s="211"/>
      <c r="C4" s="211"/>
      <c r="D4" s="211"/>
      <c r="E4" s="211"/>
      <c r="F4" s="211"/>
      <c r="G4" s="211"/>
      <c r="H4" s="212"/>
    </row>
    <row r="5" spans="1:9" ht="12.75" customHeight="1" x14ac:dyDescent="0.2">
      <c r="A5" s="210" t="s">
        <v>358</v>
      </c>
      <c r="B5" s="211"/>
      <c r="C5" s="211"/>
      <c r="D5" s="211"/>
      <c r="E5" s="211"/>
      <c r="F5" s="211"/>
      <c r="G5" s="211"/>
      <c r="H5" s="212"/>
    </row>
    <row r="6" spans="1:9" x14ac:dyDescent="0.2">
      <c r="A6" s="204" t="s">
        <v>104</v>
      </c>
      <c r="B6" s="205"/>
      <c r="C6" s="205"/>
      <c r="D6" s="205"/>
      <c r="E6" s="205"/>
      <c r="F6" s="205"/>
      <c r="G6" s="205"/>
      <c r="H6" s="206"/>
    </row>
    <row r="7" spans="1:9" ht="12.75" customHeight="1" x14ac:dyDescent="0.2">
      <c r="A7" s="204" t="s">
        <v>105</v>
      </c>
      <c r="B7" s="205"/>
      <c r="C7" s="205"/>
      <c r="D7" s="205"/>
      <c r="E7" s="205"/>
      <c r="F7" s="205"/>
      <c r="G7" s="205"/>
      <c r="H7" s="206"/>
    </row>
    <row r="8" spans="1:9" s="29" customFormat="1" ht="28.5" customHeight="1" x14ac:dyDescent="0.2">
      <c r="A8" s="34" t="s">
        <v>106</v>
      </c>
      <c r="B8" s="33" t="s">
        <v>107</v>
      </c>
      <c r="C8" s="33" t="s">
        <v>108</v>
      </c>
      <c r="D8" s="33" t="s">
        <v>109</v>
      </c>
      <c r="E8" s="33" t="s">
        <v>10</v>
      </c>
      <c r="F8" s="32" t="s">
        <v>11</v>
      </c>
      <c r="G8" s="31" t="s">
        <v>110</v>
      </c>
      <c r="H8" s="30" t="s">
        <v>111</v>
      </c>
    </row>
    <row r="9" spans="1:9" ht="77.25" customHeight="1" x14ac:dyDescent="0.2">
      <c r="A9" s="20" t="s">
        <v>359</v>
      </c>
      <c r="B9" s="19" t="s">
        <v>113</v>
      </c>
      <c r="C9" s="26" t="s">
        <v>114</v>
      </c>
      <c r="D9" s="17">
        <v>500</v>
      </c>
      <c r="E9" s="17" t="s">
        <v>115</v>
      </c>
      <c r="F9" s="16">
        <v>0</v>
      </c>
      <c r="G9" s="15">
        <f t="shared" ref="G9:G26" si="0">SUM(D9*F9)</f>
        <v>0</v>
      </c>
      <c r="H9" s="14">
        <v>9210</v>
      </c>
    </row>
    <row r="10" spans="1:9" ht="102" customHeight="1" x14ac:dyDescent="0.2">
      <c r="A10" s="20" t="s">
        <v>360</v>
      </c>
      <c r="B10" s="19" t="s">
        <v>117</v>
      </c>
      <c r="C10" s="18" t="s">
        <v>118</v>
      </c>
      <c r="D10" s="24">
        <v>250000</v>
      </c>
      <c r="E10" s="17" t="s">
        <v>119</v>
      </c>
      <c r="F10" s="16">
        <v>0</v>
      </c>
      <c r="G10" s="15">
        <f t="shared" si="0"/>
        <v>0</v>
      </c>
      <c r="H10" s="14">
        <v>9210</v>
      </c>
    </row>
    <row r="11" spans="1:9" ht="130.5" customHeight="1" x14ac:dyDescent="0.2">
      <c r="A11" s="20" t="s">
        <v>361</v>
      </c>
      <c r="B11" s="19" t="s">
        <v>121</v>
      </c>
      <c r="C11" s="25" t="s">
        <v>122</v>
      </c>
      <c r="D11" s="24">
        <v>10000</v>
      </c>
      <c r="E11" s="17" t="s">
        <v>119</v>
      </c>
      <c r="F11" s="16">
        <v>0</v>
      </c>
      <c r="G11" s="15">
        <f t="shared" si="0"/>
        <v>0</v>
      </c>
      <c r="H11" s="14">
        <v>9210</v>
      </c>
    </row>
    <row r="12" spans="1:9" ht="105.75" customHeight="1" x14ac:dyDescent="0.2">
      <c r="A12" s="20" t="s">
        <v>362</v>
      </c>
      <c r="B12" s="19" t="s">
        <v>124</v>
      </c>
      <c r="C12" s="19" t="s">
        <v>125</v>
      </c>
      <c r="D12" s="24">
        <v>250000</v>
      </c>
      <c r="E12" s="17" t="s">
        <v>119</v>
      </c>
      <c r="F12" s="16">
        <v>0</v>
      </c>
      <c r="G12" s="15">
        <f t="shared" si="0"/>
        <v>0</v>
      </c>
      <c r="H12" s="14">
        <v>9210</v>
      </c>
    </row>
    <row r="13" spans="1:9" ht="38.25" x14ac:dyDescent="0.2">
      <c r="A13" s="20" t="s">
        <v>363</v>
      </c>
      <c r="B13" s="19" t="s">
        <v>127</v>
      </c>
      <c r="C13" s="25" t="s">
        <v>128</v>
      </c>
      <c r="D13" s="24">
        <v>250000</v>
      </c>
      <c r="E13" s="17" t="s">
        <v>119</v>
      </c>
      <c r="F13" s="16">
        <v>0</v>
      </c>
      <c r="G13" s="15">
        <f t="shared" si="0"/>
        <v>0</v>
      </c>
      <c r="H13" s="14">
        <v>9210</v>
      </c>
    </row>
    <row r="14" spans="1:9" ht="127.5" x14ac:dyDescent="0.2">
      <c r="A14" s="20" t="s">
        <v>364</v>
      </c>
      <c r="B14" s="19" t="s">
        <v>130</v>
      </c>
      <c r="C14" s="25" t="s">
        <v>131</v>
      </c>
      <c r="D14" s="24">
        <v>250000</v>
      </c>
      <c r="E14" s="17" t="s">
        <v>119</v>
      </c>
      <c r="F14" s="16">
        <v>0</v>
      </c>
      <c r="G14" s="15">
        <f t="shared" si="0"/>
        <v>0</v>
      </c>
      <c r="H14" s="14">
        <v>9210</v>
      </c>
    </row>
    <row r="15" spans="1:9" ht="53.25" customHeight="1" x14ac:dyDescent="0.2">
      <c r="A15" s="20" t="s">
        <v>365</v>
      </c>
      <c r="B15" s="19" t="s">
        <v>133</v>
      </c>
      <c r="C15" s="28" t="s">
        <v>134</v>
      </c>
      <c r="D15" s="24">
        <v>1000</v>
      </c>
      <c r="E15" s="17" t="s">
        <v>115</v>
      </c>
      <c r="F15" s="16">
        <v>0</v>
      </c>
      <c r="G15" s="15">
        <f t="shared" si="0"/>
        <v>0</v>
      </c>
      <c r="H15" s="14">
        <v>9210</v>
      </c>
    </row>
    <row r="16" spans="1:9" ht="65.25" customHeight="1" x14ac:dyDescent="0.2">
      <c r="A16" s="20" t="s">
        <v>366</v>
      </c>
      <c r="B16" s="19" t="s">
        <v>136</v>
      </c>
      <c r="C16" s="25" t="s">
        <v>137</v>
      </c>
      <c r="D16" s="24">
        <v>100000</v>
      </c>
      <c r="E16" s="17" t="s">
        <v>119</v>
      </c>
      <c r="F16" s="16">
        <v>0</v>
      </c>
      <c r="G16" s="15">
        <f t="shared" si="0"/>
        <v>0</v>
      </c>
      <c r="H16" s="14">
        <v>9210</v>
      </c>
    </row>
    <row r="17" spans="1:11" ht="66.75" customHeight="1" x14ac:dyDescent="0.2">
      <c r="A17" s="20" t="s">
        <v>367</v>
      </c>
      <c r="B17" s="19" t="s">
        <v>139</v>
      </c>
      <c r="C17" s="28" t="s">
        <v>140</v>
      </c>
      <c r="D17" s="24">
        <v>1000</v>
      </c>
      <c r="E17" s="17" t="s">
        <v>119</v>
      </c>
      <c r="F17" s="16">
        <v>0</v>
      </c>
      <c r="G17" s="15">
        <f t="shared" si="0"/>
        <v>0</v>
      </c>
      <c r="H17" s="14">
        <v>9210</v>
      </c>
    </row>
    <row r="18" spans="1:11" ht="42" customHeight="1" x14ac:dyDescent="0.2">
      <c r="A18" s="20" t="s">
        <v>368</v>
      </c>
      <c r="B18" s="19" t="s">
        <v>142</v>
      </c>
      <c r="C18" s="25" t="s">
        <v>143</v>
      </c>
      <c r="D18" s="24">
        <v>1000</v>
      </c>
      <c r="E18" s="17" t="s">
        <v>115</v>
      </c>
      <c r="F18" s="16">
        <v>0</v>
      </c>
      <c r="G18" s="15">
        <f t="shared" si="0"/>
        <v>0</v>
      </c>
      <c r="H18" s="14">
        <v>9210</v>
      </c>
    </row>
    <row r="19" spans="1:11" ht="42" customHeight="1" x14ac:dyDescent="0.2">
      <c r="A19" s="20" t="s">
        <v>369</v>
      </c>
      <c r="B19" s="26" t="s">
        <v>145</v>
      </c>
      <c r="C19" s="27" t="s">
        <v>146</v>
      </c>
      <c r="D19" s="24">
        <v>500000</v>
      </c>
      <c r="E19" s="17" t="s">
        <v>119</v>
      </c>
      <c r="F19" s="16">
        <v>0</v>
      </c>
      <c r="G19" s="15">
        <f t="shared" si="0"/>
        <v>0</v>
      </c>
      <c r="H19" s="14">
        <v>9210</v>
      </c>
    </row>
    <row r="20" spans="1:11" ht="38.25" x14ac:dyDescent="0.2">
      <c r="A20" s="20" t="s">
        <v>370</v>
      </c>
      <c r="B20" s="26" t="s">
        <v>148</v>
      </c>
      <c r="C20" s="26" t="s">
        <v>149</v>
      </c>
      <c r="D20" s="24">
        <v>500000</v>
      </c>
      <c r="E20" s="17" t="s">
        <v>119</v>
      </c>
      <c r="F20" s="16">
        <v>0</v>
      </c>
      <c r="G20" s="15">
        <f t="shared" si="0"/>
        <v>0</v>
      </c>
      <c r="H20" s="14">
        <v>9210</v>
      </c>
    </row>
    <row r="21" spans="1:11" ht="63.75" x14ac:dyDescent="0.2">
      <c r="A21" s="20" t="s">
        <v>371</v>
      </c>
      <c r="B21" s="26" t="s">
        <v>151</v>
      </c>
      <c r="C21" s="26" t="s">
        <v>152</v>
      </c>
      <c r="D21" s="17">
        <v>250</v>
      </c>
      <c r="E21" s="17" t="s">
        <v>115</v>
      </c>
      <c r="F21" s="16">
        <v>0</v>
      </c>
      <c r="G21" s="15">
        <f t="shared" si="0"/>
        <v>0</v>
      </c>
      <c r="H21" s="14">
        <v>9210</v>
      </c>
    </row>
    <row r="22" spans="1:11" ht="51" x14ac:dyDescent="0.2">
      <c r="A22" s="20" t="s">
        <v>372</v>
      </c>
      <c r="B22" s="26" t="s">
        <v>154</v>
      </c>
      <c r="C22" s="26" t="s">
        <v>155</v>
      </c>
      <c r="D22" s="24">
        <v>250000</v>
      </c>
      <c r="E22" s="17" t="s">
        <v>119</v>
      </c>
      <c r="F22" s="16">
        <v>0</v>
      </c>
      <c r="G22" s="15">
        <f t="shared" si="0"/>
        <v>0</v>
      </c>
      <c r="H22" s="14">
        <v>9210</v>
      </c>
    </row>
    <row r="23" spans="1:11" ht="65.25" customHeight="1" x14ac:dyDescent="0.2">
      <c r="A23" s="20" t="s">
        <v>373</v>
      </c>
      <c r="B23" s="26" t="s">
        <v>157</v>
      </c>
      <c r="C23" s="26" t="s">
        <v>158</v>
      </c>
      <c r="D23" s="24">
        <v>250000</v>
      </c>
      <c r="E23" s="17" t="s">
        <v>119</v>
      </c>
      <c r="F23" s="16">
        <v>0</v>
      </c>
      <c r="G23" s="15">
        <f t="shared" si="0"/>
        <v>0</v>
      </c>
      <c r="H23" s="14">
        <v>9210</v>
      </c>
    </row>
    <row r="24" spans="1:11" ht="104.25" customHeight="1" x14ac:dyDescent="0.2">
      <c r="A24" s="20" t="s">
        <v>374</v>
      </c>
      <c r="B24" s="26" t="s">
        <v>160</v>
      </c>
      <c r="C24" s="25" t="s">
        <v>161</v>
      </c>
      <c r="D24" s="24">
        <v>250000</v>
      </c>
      <c r="E24" s="17" t="s">
        <v>119</v>
      </c>
      <c r="F24" s="16">
        <v>0</v>
      </c>
      <c r="G24" s="15">
        <f t="shared" si="0"/>
        <v>0</v>
      </c>
      <c r="H24" s="14">
        <v>9210</v>
      </c>
    </row>
    <row r="25" spans="1:11" ht="80.25" customHeight="1" x14ac:dyDescent="0.2">
      <c r="A25" s="20" t="s">
        <v>375</v>
      </c>
      <c r="B25" s="19" t="s">
        <v>163</v>
      </c>
      <c r="C25" s="19" t="s">
        <v>164</v>
      </c>
      <c r="D25" s="24">
        <v>250000</v>
      </c>
      <c r="E25" s="17" t="s">
        <v>119</v>
      </c>
      <c r="F25" s="16">
        <v>0</v>
      </c>
      <c r="G25" s="15">
        <f t="shared" si="0"/>
        <v>0</v>
      </c>
      <c r="H25" s="14">
        <v>9210</v>
      </c>
    </row>
    <row r="26" spans="1:11" ht="104.25" customHeight="1" x14ac:dyDescent="0.2">
      <c r="A26" s="20" t="s">
        <v>376</v>
      </c>
      <c r="B26" s="19" t="s">
        <v>166</v>
      </c>
      <c r="C26" s="26" t="s">
        <v>167</v>
      </c>
      <c r="D26" s="24">
        <v>100000</v>
      </c>
      <c r="E26" s="17" t="s">
        <v>119</v>
      </c>
      <c r="F26" s="16">
        <v>0</v>
      </c>
      <c r="G26" s="15">
        <f t="shared" si="0"/>
        <v>0</v>
      </c>
      <c r="H26" s="14">
        <v>9210</v>
      </c>
    </row>
    <row r="27" spans="1:11" ht="106.5" customHeight="1" x14ac:dyDescent="0.2">
      <c r="A27" s="20" t="s">
        <v>377</v>
      </c>
      <c r="B27" s="19" t="s">
        <v>169</v>
      </c>
      <c r="C27" s="25" t="s">
        <v>170</v>
      </c>
      <c r="D27" s="24">
        <v>250000</v>
      </c>
      <c r="E27" s="17" t="s">
        <v>119</v>
      </c>
      <c r="F27" s="16">
        <v>0</v>
      </c>
      <c r="G27" s="15">
        <v>0</v>
      </c>
      <c r="H27" s="14">
        <v>9210</v>
      </c>
    </row>
    <row r="28" spans="1:11" ht="51" x14ac:dyDescent="0.2">
      <c r="A28" s="20" t="s">
        <v>378</v>
      </c>
      <c r="B28" s="19" t="s">
        <v>172</v>
      </c>
      <c r="C28" s="25" t="s">
        <v>173</v>
      </c>
      <c r="D28" s="24">
        <v>50000</v>
      </c>
      <c r="E28" s="17" t="s">
        <v>119</v>
      </c>
      <c r="F28" s="16">
        <v>0</v>
      </c>
      <c r="G28" s="15">
        <f>SUM(D28*F28)</f>
        <v>0</v>
      </c>
      <c r="H28" s="14">
        <v>9210</v>
      </c>
    </row>
    <row r="29" spans="1:11" ht="102" x14ac:dyDescent="0.2">
      <c r="A29" s="20" t="s">
        <v>379</v>
      </c>
      <c r="B29" s="19" t="s">
        <v>175</v>
      </c>
      <c r="C29" s="18" t="s">
        <v>176</v>
      </c>
      <c r="D29" s="17">
        <v>250</v>
      </c>
      <c r="E29" s="17" t="s">
        <v>115</v>
      </c>
      <c r="F29" s="16">
        <v>0</v>
      </c>
      <c r="G29" s="15">
        <f>SUM(D29*F29)</f>
        <v>0</v>
      </c>
      <c r="H29" s="14">
        <v>9210</v>
      </c>
    </row>
    <row r="30" spans="1:11" ht="127.5" x14ac:dyDescent="0.2">
      <c r="A30" s="20" t="s">
        <v>380</v>
      </c>
      <c r="B30" s="19" t="s">
        <v>178</v>
      </c>
      <c r="C30" s="23" t="s">
        <v>179</v>
      </c>
      <c r="D30" s="22">
        <v>1000</v>
      </c>
      <c r="E30" s="21" t="s">
        <v>115</v>
      </c>
      <c r="F30" s="16">
        <v>0</v>
      </c>
      <c r="G30" s="15">
        <f>SUM(D30*F30)</f>
        <v>0</v>
      </c>
      <c r="H30" s="14">
        <v>9210</v>
      </c>
      <c r="I30" s="13"/>
      <c r="J30" s="13"/>
      <c r="K30" s="13"/>
    </row>
    <row r="31" spans="1:11" ht="25.5" x14ac:dyDescent="0.2">
      <c r="A31" s="20" t="s">
        <v>381</v>
      </c>
      <c r="B31" s="19"/>
      <c r="C31" s="18" t="s">
        <v>181</v>
      </c>
      <c r="D31" s="17"/>
      <c r="E31" s="17" t="s">
        <v>182</v>
      </c>
      <c r="F31" s="16">
        <v>0</v>
      </c>
      <c r="G31" s="15">
        <v>1000000</v>
      </c>
      <c r="H31" s="14">
        <v>9210</v>
      </c>
      <c r="I31" s="13"/>
      <c r="J31" s="13"/>
      <c r="K31" s="13"/>
    </row>
    <row r="32" spans="1:11" ht="14.25" thickBot="1" x14ac:dyDescent="0.25">
      <c r="A32" s="12"/>
      <c r="B32" s="11"/>
      <c r="C32" s="10" t="s">
        <v>183</v>
      </c>
      <c r="D32" s="9"/>
      <c r="E32" s="9"/>
      <c r="F32" s="8"/>
      <c r="G32" s="7">
        <f>SUM(G9:G31)</f>
        <v>1000000</v>
      </c>
      <c r="H32" s="6"/>
    </row>
    <row r="33" spans="5:7" x14ac:dyDescent="0.2">
      <c r="F33" s="5"/>
      <c r="G33" s="5"/>
    </row>
    <row r="34" spans="5:7" x14ac:dyDescent="0.2">
      <c r="F34" s="5"/>
      <c r="G34" s="5"/>
    </row>
    <row r="35" spans="5:7" x14ac:dyDescent="0.2">
      <c r="F35" s="5"/>
      <c r="G35" s="5"/>
    </row>
    <row r="36" spans="5:7" x14ac:dyDescent="0.2">
      <c r="E36" s="3"/>
      <c r="F36" s="5"/>
      <c r="G36" s="5"/>
    </row>
    <row r="37" spans="5:7" x14ac:dyDescent="0.2">
      <c r="F37" s="5"/>
      <c r="G37" s="5"/>
    </row>
    <row r="38" spans="5:7" x14ac:dyDescent="0.2">
      <c r="F38" s="5"/>
      <c r="G38" s="5"/>
    </row>
    <row r="39" spans="5:7" x14ac:dyDescent="0.2">
      <c r="F39" s="5"/>
      <c r="G39" s="5"/>
    </row>
    <row r="40" spans="5:7" x14ac:dyDescent="0.2">
      <c r="F40" s="5"/>
      <c r="G40" s="5"/>
    </row>
    <row r="41" spans="5:7" x14ac:dyDescent="0.2">
      <c r="F41" s="5"/>
      <c r="G41" s="5"/>
    </row>
    <row r="42" spans="5:7" x14ac:dyDescent="0.2">
      <c r="F42" s="5"/>
      <c r="G42" s="5"/>
    </row>
    <row r="43" spans="5:7" x14ac:dyDescent="0.2">
      <c r="F43" s="5"/>
      <c r="G43" s="5"/>
    </row>
    <row r="44" spans="5:7" x14ac:dyDescent="0.2">
      <c r="F44" s="5"/>
      <c r="G44" s="5"/>
    </row>
    <row r="45" spans="5:7" x14ac:dyDescent="0.2">
      <c r="F45" s="5"/>
      <c r="G45" s="5"/>
    </row>
    <row r="46" spans="5:7" x14ac:dyDescent="0.2">
      <c r="F46" s="5"/>
      <c r="G46" s="5"/>
    </row>
    <row r="47" spans="5:7" x14ac:dyDescent="0.2">
      <c r="F47" s="5"/>
      <c r="G47" s="5"/>
    </row>
    <row r="48" spans="5:7" x14ac:dyDescent="0.2">
      <c r="F48" s="5"/>
      <c r="G48" s="5"/>
    </row>
    <row r="49" spans="6:7" x14ac:dyDescent="0.2">
      <c r="F49" s="5"/>
      <c r="G49" s="5"/>
    </row>
    <row r="50" spans="6:7" x14ac:dyDescent="0.2">
      <c r="F50" s="5"/>
      <c r="G50" s="5"/>
    </row>
    <row r="51" spans="6:7" x14ac:dyDescent="0.2">
      <c r="F51" s="5"/>
      <c r="G51" s="5"/>
    </row>
    <row r="52" spans="6:7" x14ac:dyDescent="0.2">
      <c r="F52" s="5"/>
      <c r="G52" s="5"/>
    </row>
    <row r="53" spans="6:7" x14ac:dyDescent="0.2">
      <c r="F53" s="5"/>
      <c r="G53" s="5"/>
    </row>
    <row r="54" spans="6:7" x14ac:dyDescent="0.2">
      <c r="F54" s="5"/>
      <c r="G54" s="5"/>
    </row>
    <row r="55" spans="6:7" x14ac:dyDescent="0.2">
      <c r="F55" s="5"/>
      <c r="G55" s="5"/>
    </row>
    <row r="56" spans="6:7" x14ac:dyDescent="0.2">
      <c r="F56" s="5"/>
      <c r="G56" s="5"/>
    </row>
    <row r="57" spans="6:7" x14ac:dyDescent="0.2">
      <c r="F57" s="5"/>
      <c r="G57" s="5"/>
    </row>
    <row r="58" spans="6:7" x14ac:dyDescent="0.2">
      <c r="F58" s="5"/>
      <c r="G58" s="5"/>
    </row>
    <row r="59" spans="6:7" x14ac:dyDescent="0.2">
      <c r="F59" s="5"/>
      <c r="G59" s="5"/>
    </row>
    <row r="60" spans="6:7" x14ac:dyDescent="0.2">
      <c r="F60" s="5"/>
      <c r="G60" s="5"/>
    </row>
    <row r="61" spans="6:7" x14ac:dyDescent="0.2">
      <c r="F61" s="5"/>
      <c r="G61" s="5"/>
    </row>
    <row r="62" spans="6:7" x14ac:dyDescent="0.2">
      <c r="F62" s="5"/>
      <c r="G62" s="5"/>
    </row>
    <row r="63" spans="6:7" x14ac:dyDescent="0.2">
      <c r="F63" s="5"/>
      <c r="G63" s="5"/>
    </row>
    <row r="64" spans="6:7" x14ac:dyDescent="0.2">
      <c r="F64" s="5"/>
      <c r="G64" s="5"/>
    </row>
    <row r="65" spans="6:7" x14ac:dyDescent="0.2">
      <c r="F65" s="5"/>
      <c r="G65" s="5"/>
    </row>
    <row r="66" spans="6:7" x14ac:dyDescent="0.2">
      <c r="F66" s="5"/>
      <c r="G66" s="5"/>
    </row>
    <row r="67" spans="6:7" x14ac:dyDescent="0.2">
      <c r="F67" s="5"/>
      <c r="G67" s="5"/>
    </row>
    <row r="68" spans="6:7" x14ac:dyDescent="0.2">
      <c r="F68" s="5"/>
      <c r="G68" s="5"/>
    </row>
    <row r="69" spans="6:7" x14ac:dyDescent="0.2">
      <c r="F69" s="5"/>
      <c r="G69" s="5"/>
    </row>
    <row r="70" spans="6:7" x14ac:dyDescent="0.2">
      <c r="F70" s="5"/>
      <c r="G70" s="5"/>
    </row>
    <row r="71" spans="6:7" x14ac:dyDescent="0.2">
      <c r="F71" s="5"/>
      <c r="G71" s="5"/>
    </row>
    <row r="72" spans="6:7" x14ac:dyDescent="0.2">
      <c r="F72" s="5"/>
      <c r="G72" s="5"/>
    </row>
    <row r="73" spans="6:7" x14ac:dyDescent="0.2">
      <c r="F73" s="5"/>
      <c r="G73" s="5"/>
    </row>
    <row r="74" spans="6:7" x14ac:dyDescent="0.2">
      <c r="F74" s="5"/>
      <c r="G74" s="5"/>
    </row>
    <row r="75" spans="6:7" x14ac:dyDescent="0.2">
      <c r="F75" s="5"/>
      <c r="G75" s="5"/>
    </row>
    <row r="76" spans="6:7" x14ac:dyDescent="0.2">
      <c r="F76" s="5"/>
      <c r="G76" s="5"/>
    </row>
    <row r="77" spans="6:7" x14ac:dyDescent="0.2">
      <c r="F77" s="5"/>
      <c r="G77" s="5"/>
    </row>
    <row r="78" spans="6:7" x14ac:dyDescent="0.2">
      <c r="F78" s="5"/>
      <c r="G78" s="5"/>
    </row>
    <row r="79" spans="6:7" x14ac:dyDescent="0.2">
      <c r="F79" s="5"/>
      <c r="G79" s="5"/>
    </row>
    <row r="80" spans="6:7" x14ac:dyDescent="0.2">
      <c r="F80" s="5"/>
      <c r="G80" s="5"/>
    </row>
    <row r="81" spans="6:7" x14ac:dyDescent="0.2">
      <c r="F81" s="5"/>
      <c r="G81" s="5"/>
    </row>
    <row r="82" spans="6:7" x14ac:dyDescent="0.2">
      <c r="F82" s="5"/>
      <c r="G82" s="5"/>
    </row>
    <row r="83" spans="6:7" x14ac:dyDescent="0.2">
      <c r="F83" s="5"/>
      <c r="G83" s="5"/>
    </row>
    <row r="84" spans="6:7" x14ac:dyDescent="0.2">
      <c r="F84" s="5"/>
      <c r="G84" s="5"/>
    </row>
    <row r="85" spans="6:7" x14ac:dyDescent="0.2">
      <c r="F85" s="5"/>
      <c r="G85" s="5"/>
    </row>
    <row r="86" spans="6:7" x14ac:dyDescent="0.2">
      <c r="F86" s="5"/>
      <c r="G86" s="5"/>
    </row>
    <row r="87" spans="6:7" x14ac:dyDescent="0.2">
      <c r="F87" s="5"/>
      <c r="G87" s="5"/>
    </row>
    <row r="88" spans="6:7" x14ac:dyDescent="0.2">
      <c r="F88" s="5"/>
      <c r="G88" s="5"/>
    </row>
    <row r="89" spans="6:7" x14ac:dyDescent="0.2">
      <c r="F89" s="5"/>
      <c r="G89" s="5"/>
    </row>
    <row r="90" spans="6:7" x14ac:dyDescent="0.2">
      <c r="F90" s="5"/>
      <c r="G90" s="5"/>
    </row>
    <row r="91" spans="6:7" x14ac:dyDescent="0.2">
      <c r="F91" s="5"/>
      <c r="G91" s="5"/>
    </row>
    <row r="92" spans="6:7" x14ac:dyDescent="0.2">
      <c r="F92" s="5"/>
      <c r="G92" s="5"/>
    </row>
    <row r="93" spans="6:7" x14ac:dyDescent="0.2">
      <c r="F93" s="5"/>
      <c r="G93" s="5"/>
    </row>
    <row r="94" spans="6:7" x14ac:dyDescent="0.2">
      <c r="F94" s="5"/>
      <c r="G94" s="5"/>
    </row>
    <row r="95" spans="6:7" x14ac:dyDescent="0.2">
      <c r="F95" s="5"/>
      <c r="G95" s="5"/>
    </row>
    <row r="96" spans="6:7" x14ac:dyDescent="0.2">
      <c r="F96" s="5"/>
      <c r="G96" s="5"/>
    </row>
    <row r="97" spans="6:7" x14ac:dyDescent="0.2">
      <c r="F97" s="5"/>
      <c r="G97" s="5"/>
    </row>
    <row r="98" spans="6:7" x14ac:dyDescent="0.2">
      <c r="F98" s="5"/>
      <c r="G98" s="5"/>
    </row>
    <row r="99" spans="6:7" x14ac:dyDescent="0.2">
      <c r="F99" s="5"/>
      <c r="G99" s="5"/>
    </row>
    <row r="100" spans="6:7" x14ac:dyDescent="0.2">
      <c r="F100" s="5"/>
      <c r="G100" s="5"/>
    </row>
    <row r="101" spans="6:7" x14ac:dyDescent="0.2">
      <c r="F101" s="5"/>
      <c r="G101" s="5"/>
    </row>
    <row r="102" spans="6:7" x14ac:dyDescent="0.2">
      <c r="F102" s="5"/>
      <c r="G102" s="5"/>
    </row>
    <row r="103" spans="6:7" x14ac:dyDescent="0.2">
      <c r="F103" s="5"/>
      <c r="G103" s="5"/>
    </row>
    <row r="104" spans="6:7" x14ac:dyDescent="0.2">
      <c r="F104" s="5"/>
      <c r="G104" s="5"/>
    </row>
    <row r="105" spans="6:7" x14ac:dyDescent="0.2">
      <c r="F105" s="5"/>
      <c r="G105" s="5"/>
    </row>
    <row r="106" spans="6:7" x14ac:dyDescent="0.2">
      <c r="F106" s="5"/>
      <c r="G106" s="5"/>
    </row>
    <row r="107" spans="6:7" x14ac:dyDescent="0.2">
      <c r="F107" s="5"/>
      <c r="G107" s="5"/>
    </row>
    <row r="108" spans="6:7" x14ac:dyDescent="0.2">
      <c r="F108" s="5"/>
      <c r="G108" s="5"/>
    </row>
    <row r="109" spans="6:7" x14ac:dyDescent="0.2">
      <c r="F109" s="5"/>
      <c r="G109" s="5"/>
    </row>
    <row r="110" spans="6:7" x14ac:dyDescent="0.2">
      <c r="F110" s="5"/>
      <c r="G110" s="5"/>
    </row>
    <row r="111" spans="6:7" x14ac:dyDescent="0.2">
      <c r="F111" s="5"/>
      <c r="G111" s="5"/>
    </row>
    <row r="112" spans="6:7" x14ac:dyDescent="0.2">
      <c r="F112" s="5"/>
      <c r="G112" s="5"/>
    </row>
    <row r="113" spans="6:7" x14ac:dyDescent="0.2">
      <c r="F113" s="5"/>
      <c r="G113" s="5"/>
    </row>
    <row r="114" spans="6:7" x14ac:dyDescent="0.2">
      <c r="F114" s="5"/>
      <c r="G114" s="5"/>
    </row>
    <row r="115" spans="6:7" x14ac:dyDescent="0.2">
      <c r="F115" s="5"/>
      <c r="G115" s="5"/>
    </row>
    <row r="116" spans="6:7" x14ac:dyDescent="0.2">
      <c r="F116" s="5"/>
      <c r="G116" s="5"/>
    </row>
    <row r="117" spans="6:7" x14ac:dyDescent="0.2">
      <c r="F117" s="5"/>
      <c r="G117" s="5"/>
    </row>
    <row r="118" spans="6:7" x14ac:dyDescent="0.2">
      <c r="F118" s="5"/>
      <c r="G118" s="5"/>
    </row>
    <row r="119" spans="6:7" x14ac:dyDescent="0.2">
      <c r="F119" s="5"/>
      <c r="G119" s="5"/>
    </row>
    <row r="120" spans="6:7" x14ac:dyDescent="0.2">
      <c r="F120" s="5"/>
      <c r="G120" s="5"/>
    </row>
    <row r="121" spans="6:7" x14ac:dyDescent="0.2">
      <c r="F121" s="5"/>
      <c r="G121" s="5"/>
    </row>
    <row r="122" spans="6:7" x14ac:dyDescent="0.2">
      <c r="F122" s="5"/>
      <c r="G122" s="5"/>
    </row>
    <row r="123" spans="6:7" x14ac:dyDescent="0.2">
      <c r="F123" s="5"/>
      <c r="G123" s="5"/>
    </row>
    <row r="124" spans="6:7" x14ac:dyDescent="0.2">
      <c r="F124" s="5"/>
      <c r="G124" s="5"/>
    </row>
    <row r="125" spans="6:7" x14ac:dyDescent="0.2">
      <c r="F125" s="5"/>
      <c r="G125" s="5"/>
    </row>
    <row r="126" spans="6:7" x14ac:dyDescent="0.2">
      <c r="F126" s="5"/>
      <c r="G126" s="5"/>
    </row>
    <row r="127" spans="6:7" x14ac:dyDescent="0.2">
      <c r="F127" s="5"/>
      <c r="G127" s="5"/>
    </row>
    <row r="128" spans="6:7" x14ac:dyDescent="0.2">
      <c r="F128" s="5"/>
      <c r="G128" s="5"/>
    </row>
    <row r="129" spans="6:7" x14ac:dyDescent="0.2">
      <c r="F129" s="5"/>
      <c r="G129" s="5"/>
    </row>
    <row r="130" spans="6:7" x14ac:dyDescent="0.2">
      <c r="F130" s="5"/>
      <c r="G130" s="5"/>
    </row>
    <row r="131" spans="6:7" x14ac:dyDescent="0.2">
      <c r="F131" s="5"/>
      <c r="G131" s="5"/>
    </row>
    <row r="132" spans="6:7" x14ac:dyDescent="0.2">
      <c r="F132" s="5"/>
      <c r="G132" s="5"/>
    </row>
    <row r="133" spans="6:7" x14ac:dyDescent="0.2">
      <c r="F133" s="5"/>
      <c r="G133" s="5"/>
    </row>
    <row r="134" spans="6:7" x14ac:dyDescent="0.2">
      <c r="F134" s="5"/>
      <c r="G134" s="5"/>
    </row>
    <row r="135" spans="6:7" x14ac:dyDescent="0.2">
      <c r="F135" s="5"/>
      <c r="G135" s="5"/>
    </row>
    <row r="136" spans="6:7" x14ac:dyDescent="0.2">
      <c r="F136" s="5"/>
      <c r="G136" s="5"/>
    </row>
    <row r="137" spans="6:7" x14ac:dyDescent="0.2">
      <c r="F137" s="5"/>
      <c r="G137" s="5"/>
    </row>
    <row r="138" spans="6:7" x14ac:dyDescent="0.2">
      <c r="F138" s="5"/>
      <c r="G138" s="5"/>
    </row>
    <row r="139" spans="6:7" x14ac:dyDescent="0.2">
      <c r="F139" s="5"/>
      <c r="G139" s="5"/>
    </row>
    <row r="140" spans="6:7" x14ac:dyDescent="0.2">
      <c r="F140" s="5"/>
      <c r="G140" s="5"/>
    </row>
    <row r="141" spans="6:7" x14ac:dyDescent="0.2">
      <c r="F141" s="5"/>
      <c r="G141" s="5"/>
    </row>
    <row r="142" spans="6:7" x14ac:dyDescent="0.2">
      <c r="F142" s="5"/>
      <c r="G142" s="5"/>
    </row>
    <row r="143" spans="6:7" x14ac:dyDescent="0.2">
      <c r="F143" s="5"/>
      <c r="G143" s="5"/>
    </row>
    <row r="144" spans="6:7" x14ac:dyDescent="0.2">
      <c r="F144" s="5"/>
      <c r="G144" s="5"/>
    </row>
    <row r="145" spans="6:7" x14ac:dyDescent="0.2">
      <c r="F145" s="5"/>
      <c r="G145" s="5"/>
    </row>
    <row r="146" spans="6:7" x14ac:dyDescent="0.2">
      <c r="F146" s="5"/>
      <c r="G146" s="5"/>
    </row>
    <row r="147" spans="6:7" x14ac:dyDescent="0.2">
      <c r="F147" s="5"/>
      <c r="G147" s="5"/>
    </row>
    <row r="148" spans="6:7" x14ac:dyDescent="0.2">
      <c r="F148" s="5"/>
      <c r="G148" s="5"/>
    </row>
    <row r="149" spans="6:7" x14ac:dyDescent="0.2">
      <c r="F149" s="5"/>
      <c r="G149" s="5"/>
    </row>
    <row r="150" spans="6:7" x14ac:dyDescent="0.2">
      <c r="F150" s="5"/>
      <c r="G150" s="5"/>
    </row>
    <row r="151" spans="6:7" x14ac:dyDescent="0.2">
      <c r="F151" s="5"/>
      <c r="G151" s="5"/>
    </row>
    <row r="152" spans="6:7" x14ac:dyDescent="0.2">
      <c r="F152" s="5"/>
      <c r="G152" s="5"/>
    </row>
    <row r="153" spans="6:7" x14ac:dyDescent="0.2">
      <c r="F153" s="5"/>
      <c r="G153" s="5"/>
    </row>
    <row r="154" spans="6:7" x14ac:dyDescent="0.2">
      <c r="F154" s="5"/>
      <c r="G154" s="5"/>
    </row>
    <row r="155" spans="6:7" x14ac:dyDescent="0.2">
      <c r="F155" s="5"/>
      <c r="G155" s="5"/>
    </row>
    <row r="156" spans="6:7" x14ac:dyDescent="0.2">
      <c r="F156" s="5"/>
      <c r="G156" s="5"/>
    </row>
    <row r="157" spans="6:7" x14ac:dyDescent="0.2">
      <c r="F157" s="5"/>
      <c r="G157" s="5"/>
    </row>
    <row r="158" spans="6:7" x14ac:dyDescent="0.2">
      <c r="F158" s="5"/>
      <c r="G158" s="5"/>
    </row>
    <row r="159" spans="6:7" x14ac:dyDescent="0.2">
      <c r="F159" s="5"/>
      <c r="G159" s="5"/>
    </row>
    <row r="160" spans="6:7" x14ac:dyDescent="0.2">
      <c r="F160" s="5"/>
      <c r="G160" s="5"/>
    </row>
    <row r="161" spans="6:7" x14ac:dyDescent="0.2">
      <c r="F161" s="5"/>
      <c r="G161" s="5"/>
    </row>
    <row r="162" spans="6:7" x14ac:dyDescent="0.2">
      <c r="F162" s="5"/>
      <c r="G162" s="5"/>
    </row>
    <row r="163" spans="6:7" x14ac:dyDescent="0.2">
      <c r="F163" s="5"/>
      <c r="G163" s="5"/>
    </row>
    <row r="164" spans="6:7" x14ac:dyDescent="0.2">
      <c r="F164" s="5"/>
      <c r="G164" s="5"/>
    </row>
    <row r="165" spans="6:7" x14ac:dyDescent="0.2">
      <c r="F165" s="5"/>
      <c r="G165" s="5"/>
    </row>
    <row r="166" spans="6:7" x14ac:dyDescent="0.2">
      <c r="F166" s="5"/>
      <c r="G166" s="5"/>
    </row>
    <row r="167" spans="6:7" x14ac:dyDescent="0.2">
      <c r="F167" s="5"/>
      <c r="G167" s="5"/>
    </row>
    <row r="168" spans="6:7" x14ac:dyDescent="0.2">
      <c r="F168" s="5"/>
      <c r="G168" s="5"/>
    </row>
    <row r="169" spans="6:7" x14ac:dyDescent="0.2">
      <c r="F169" s="5"/>
      <c r="G169" s="5"/>
    </row>
    <row r="170" spans="6:7" x14ac:dyDescent="0.2">
      <c r="F170" s="5"/>
      <c r="G170" s="5"/>
    </row>
    <row r="171" spans="6:7" x14ac:dyDescent="0.2">
      <c r="F171" s="5"/>
      <c r="G171" s="5"/>
    </row>
    <row r="172" spans="6:7" x14ac:dyDescent="0.2">
      <c r="F172" s="5"/>
      <c r="G172" s="5"/>
    </row>
    <row r="173" spans="6:7" x14ac:dyDescent="0.2">
      <c r="F173" s="5"/>
      <c r="G173" s="5"/>
    </row>
    <row r="174" spans="6:7" x14ac:dyDescent="0.2">
      <c r="F174" s="5"/>
      <c r="G174" s="5"/>
    </row>
    <row r="175" spans="6:7" x14ac:dyDescent="0.2">
      <c r="F175" s="5"/>
      <c r="G175" s="5"/>
    </row>
    <row r="176" spans="6:7" x14ac:dyDescent="0.2">
      <c r="F176" s="5"/>
      <c r="G176" s="5"/>
    </row>
  </sheetData>
  <mergeCells count="7">
    <mergeCell ref="A7:H7"/>
    <mergeCell ref="A1:H1"/>
    <mergeCell ref="A2:H2"/>
    <mergeCell ref="A3:H3"/>
    <mergeCell ref="A4:H4"/>
    <mergeCell ref="A5:H5"/>
    <mergeCell ref="A6:H6"/>
  </mergeCells>
  <pageMargins left="0.5" right="0.27" top="0.55000000000000004" bottom="0.53" header="0.3" footer="0.31"/>
  <pageSetup scale="96" orientation="landscape" horizontalDpi="4294967293"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6F703-DD8B-4F2B-B23E-477F1C99CC11}">
  <sheetPr>
    <tabColor rgb="FF00B050"/>
    <pageSetUpPr fitToPage="1"/>
  </sheetPr>
  <dimension ref="A1:K116"/>
  <sheetViews>
    <sheetView zoomScaleNormal="100" workbookViewId="0">
      <selection activeCell="F34" sqref="F34"/>
    </sheetView>
  </sheetViews>
  <sheetFormatPr defaultColWidth="9.140625" defaultRowHeight="12.75" x14ac:dyDescent="0.2"/>
  <cols>
    <col min="1" max="1" width="5.85546875" style="36" customWidth="1"/>
    <col min="2" max="2" width="4.28515625" style="36" customWidth="1"/>
    <col min="3" max="3" width="81.5703125" style="36" customWidth="1"/>
    <col min="4" max="4" width="9.85546875" style="36" customWidth="1"/>
    <col min="5" max="5" width="9.42578125" style="36" customWidth="1"/>
    <col min="6" max="6" width="13.7109375" style="37" customWidth="1"/>
    <col min="7" max="7" width="15.140625" style="37" customWidth="1"/>
    <col min="8" max="8" width="8.7109375" style="36" customWidth="1"/>
    <col min="9" max="16384" width="9.140625" style="36"/>
  </cols>
  <sheetData>
    <row r="1" spans="1:11" ht="12.75" customHeight="1" x14ac:dyDescent="0.2">
      <c r="A1" s="201" t="s">
        <v>0</v>
      </c>
      <c r="B1" s="202"/>
      <c r="C1" s="202"/>
      <c r="D1" s="202"/>
      <c r="E1" s="202"/>
      <c r="F1" s="202"/>
      <c r="G1" s="202"/>
      <c r="H1" s="203"/>
      <c r="I1" s="196"/>
      <c r="J1" s="196"/>
      <c r="K1" s="196"/>
    </row>
    <row r="2" spans="1:11" ht="12.75" customHeight="1" x14ac:dyDescent="0.2">
      <c r="A2" s="195" t="s">
        <v>1</v>
      </c>
      <c r="B2" s="196"/>
      <c r="C2" s="196"/>
      <c r="D2" s="196"/>
      <c r="E2" s="196"/>
      <c r="F2" s="196"/>
      <c r="G2" s="196"/>
      <c r="H2" s="197"/>
      <c r="I2" s="196"/>
      <c r="J2" s="196"/>
      <c r="K2" s="196"/>
    </row>
    <row r="3" spans="1:11" ht="12.75" customHeight="1" x14ac:dyDescent="0.2">
      <c r="A3" s="195" t="s">
        <v>2</v>
      </c>
      <c r="B3" s="196"/>
      <c r="C3" s="196"/>
      <c r="D3" s="196"/>
      <c r="E3" s="196"/>
      <c r="F3" s="196"/>
      <c r="G3" s="196"/>
      <c r="H3" s="197"/>
      <c r="I3" s="196"/>
      <c r="J3" s="196"/>
      <c r="K3" s="196"/>
    </row>
    <row r="4" spans="1:11" ht="14.25" customHeight="1" x14ac:dyDescent="0.2">
      <c r="A4" s="195" t="s">
        <v>382</v>
      </c>
      <c r="B4" s="196"/>
      <c r="C4" s="196"/>
      <c r="D4" s="196"/>
      <c r="E4" s="196"/>
      <c r="F4" s="196"/>
      <c r="G4" s="196"/>
      <c r="H4" s="197"/>
      <c r="I4" s="196"/>
      <c r="J4" s="196"/>
      <c r="K4" s="196"/>
    </row>
    <row r="5" spans="1:11" ht="14.25" customHeight="1" x14ac:dyDescent="0.2">
      <c r="A5" s="195" t="s">
        <v>383</v>
      </c>
      <c r="B5" s="196"/>
      <c r="C5" s="196"/>
      <c r="D5" s="196"/>
      <c r="E5" s="196"/>
      <c r="F5" s="196"/>
      <c r="G5" s="196"/>
      <c r="H5" s="197"/>
      <c r="I5" s="162"/>
      <c r="J5" s="161"/>
      <c r="K5" s="161"/>
    </row>
    <row r="6" spans="1:11" ht="15" customHeight="1" x14ac:dyDescent="0.2">
      <c r="A6" s="198" t="s">
        <v>5</v>
      </c>
      <c r="B6" s="199"/>
      <c r="C6" s="199"/>
      <c r="D6" s="199"/>
      <c r="E6" s="199"/>
      <c r="F6" s="199"/>
      <c r="G6" s="199"/>
      <c r="H6" s="200"/>
      <c r="I6" s="160"/>
      <c r="J6" s="159"/>
      <c r="K6" s="159"/>
    </row>
    <row r="7" spans="1:11" ht="15" customHeight="1" thickBot="1" x14ac:dyDescent="0.25">
      <c r="A7" s="198" t="s">
        <v>6</v>
      </c>
      <c r="B7" s="199"/>
      <c r="C7" s="199"/>
      <c r="D7" s="199"/>
      <c r="E7" s="199"/>
      <c r="F7" s="199"/>
      <c r="G7" s="199"/>
      <c r="H7" s="200"/>
      <c r="I7" s="160"/>
      <c r="J7" s="159"/>
      <c r="K7" s="159"/>
    </row>
    <row r="8" spans="1:11" ht="26.25" thickBot="1" x14ac:dyDescent="0.25">
      <c r="A8" s="189" t="s">
        <v>7</v>
      </c>
      <c r="B8" s="190"/>
      <c r="C8" s="157" t="s">
        <v>8</v>
      </c>
      <c r="D8" s="158" t="s">
        <v>9</v>
      </c>
      <c r="E8" s="157" t="s">
        <v>10</v>
      </c>
      <c r="F8" s="156" t="s">
        <v>11</v>
      </c>
      <c r="G8" s="156" t="s">
        <v>12</v>
      </c>
      <c r="H8" s="155" t="s">
        <v>13</v>
      </c>
    </row>
    <row r="9" spans="1:11" x14ac:dyDescent="0.2">
      <c r="A9" s="154"/>
      <c r="B9" s="153"/>
      <c r="C9" s="151"/>
      <c r="D9" s="152"/>
      <c r="E9" s="151"/>
      <c r="F9" s="150"/>
      <c r="G9" s="149"/>
      <c r="H9" s="148"/>
    </row>
    <row r="10" spans="1:11" s="213" customFormat="1" x14ac:dyDescent="0.2">
      <c r="A10" s="109"/>
      <c r="B10" s="108"/>
      <c r="C10" s="107" t="s">
        <v>14</v>
      </c>
      <c r="D10" s="75"/>
      <c r="E10" s="75"/>
      <c r="F10" s="73"/>
      <c r="G10" s="100"/>
      <c r="H10" s="72"/>
    </row>
    <row r="11" spans="1:11" s="213" customFormat="1" x14ac:dyDescent="0.2">
      <c r="A11" s="214" t="s">
        <v>384</v>
      </c>
      <c r="B11" s="215"/>
      <c r="C11" s="216" t="s">
        <v>16</v>
      </c>
      <c r="D11" s="217"/>
      <c r="E11" s="218"/>
      <c r="F11" s="219"/>
      <c r="G11" s="220"/>
      <c r="H11" s="221"/>
    </row>
    <row r="12" spans="1:11" s="213" customFormat="1" x14ac:dyDescent="0.2">
      <c r="A12" s="222" t="s">
        <v>384</v>
      </c>
      <c r="B12" s="223" t="s">
        <v>17</v>
      </c>
      <c r="C12" s="224" t="s">
        <v>18</v>
      </c>
      <c r="D12" s="225">
        <v>6</v>
      </c>
      <c r="E12" s="226" t="s">
        <v>19</v>
      </c>
      <c r="F12" s="227"/>
      <c r="G12" s="220"/>
      <c r="H12" s="221"/>
    </row>
    <row r="13" spans="1:11" s="213" customFormat="1" x14ac:dyDescent="0.2">
      <c r="A13" s="222" t="s">
        <v>384</v>
      </c>
      <c r="B13" s="223" t="s">
        <v>20</v>
      </c>
      <c r="C13" s="224" t="s">
        <v>21</v>
      </c>
      <c r="D13" s="225">
        <v>6</v>
      </c>
      <c r="E13" s="226" t="s">
        <v>19</v>
      </c>
      <c r="F13" s="227"/>
      <c r="G13" s="220"/>
      <c r="H13" s="221"/>
    </row>
    <row r="14" spans="1:11" s="213" customFormat="1" x14ac:dyDescent="0.2">
      <c r="A14" s="228"/>
      <c r="B14" s="229"/>
      <c r="C14" s="224"/>
      <c r="D14" s="225"/>
      <c r="E14" s="230" t="s">
        <v>22</v>
      </c>
      <c r="F14" s="231"/>
      <c r="G14" s="220">
        <f>SUM(G12:G13)</f>
        <v>0</v>
      </c>
      <c r="H14" s="221"/>
    </row>
    <row r="15" spans="1:11" s="213" customFormat="1" x14ac:dyDescent="0.2">
      <c r="A15" s="228"/>
      <c r="B15" s="229"/>
      <c r="C15" s="224"/>
      <c r="D15" s="225"/>
      <c r="E15" s="226"/>
      <c r="F15" s="232"/>
      <c r="G15" s="220"/>
      <c r="H15" s="221"/>
    </row>
    <row r="16" spans="1:11" s="213" customFormat="1" x14ac:dyDescent="0.2">
      <c r="A16" s="233" t="s">
        <v>385</v>
      </c>
      <c r="B16" s="234"/>
      <c r="C16" s="235" t="s">
        <v>24</v>
      </c>
      <c r="D16" s="225"/>
      <c r="E16" s="236"/>
      <c r="F16" s="227"/>
      <c r="G16" s="232"/>
      <c r="H16" s="221"/>
    </row>
    <row r="17" spans="1:8" s="240" customFormat="1" x14ac:dyDescent="0.2">
      <c r="A17" s="237" t="s">
        <v>385</v>
      </c>
      <c r="B17" s="223" t="s">
        <v>17</v>
      </c>
      <c r="C17" s="238" t="s">
        <v>336</v>
      </c>
      <c r="D17" s="225">
        <v>6</v>
      </c>
      <c r="E17" s="225" t="s">
        <v>19</v>
      </c>
      <c r="F17" s="227"/>
      <c r="G17" s="220"/>
      <c r="H17" s="239"/>
    </row>
    <row r="18" spans="1:8" s="240" customFormat="1" x14ac:dyDescent="0.2">
      <c r="A18" s="237"/>
      <c r="B18" s="241"/>
      <c r="C18" s="238"/>
      <c r="D18" s="225"/>
      <c r="E18" s="225"/>
      <c r="F18" s="242" t="s">
        <v>25</v>
      </c>
      <c r="G18" s="220">
        <f>SUM(G16:G17)</f>
        <v>0</v>
      </c>
      <c r="H18" s="239"/>
    </row>
    <row r="19" spans="1:8" s="240" customFormat="1" x14ac:dyDescent="0.2">
      <c r="A19" s="237"/>
      <c r="B19" s="241"/>
      <c r="C19" s="238"/>
      <c r="D19" s="225"/>
      <c r="E19" s="225"/>
      <c r="F19" s="242"/>
      <c r="G19" s="220"/>
      <c r="H19" s="239"/>
    </row>
    <row r="20" spans="1:8" s="240" customFormat="1" x14ac:dyDescent="0.2">
      <c r="A20" s="214" t="s">
        <v>386</v>
      </c>
      <c r="B20" s="215"/>
      <c r="C20" s="243" t="s">
        <v>27</v>
      </c>
      <c r="D20" s="225"/>
      <c r="E20" s="225"/>
      <c r="F20" s="227"/>
      <c r="G20" s="220"/>
      <c r="H20" s="239"/>
    </row>
    <row r="21" spans="1:8" s="240" customFormat="1" x14ac:dyDescent="0.2">
      <c r="A21" s="237" t="s">
        <v>386</v>
      </c>
      <c r="B21" s="241" t="s">
        <v>17</v>
      </c>
      <c r="C21" s="238" t="s">
        <v>28</v>
      </c>
      <c r="D21" s="225">
        <v>6</v>
      </c>
      <c r="E21" s="225" t="s">
        <v>19</v>
      </c>
      <c r="F21" s="227"/>
      <c r="G21" s="220"/>
      <c r="H21" s="239"/>
    </row>
    <row r="22" spans="1:8" s="240" customFormat="1" x14ac:dyDescent="0.2">
      <c r="A22" s="237" t="s">
        <v>386</v>
      </c>
      <c r="B22" s="241" t="s">
        <v>20</v>
      </c>
      <c r="C22" s="238" t="s">
        <v>29</v>
      </c>
      <c r="D22" s="225">
        <v>6</v>
      </c>
      <c r="E22" s="225" t="s">
        <v>19</v>
      </c>
      <c r="F22" s="227"/>
      <c r="G22" s="220"/>
      <c r="H22" s="239"/>
    </row>
    <row r="23" spans="1:8" s="240" customFormat="1" x14ac:dyDescent="0.2">
      <c r="A23" s="237"/>
      <c r="B23" s="241"/>
      <c r="C23" s="244"/>
      <c r="D23" s="225"/>
      <c r="E23" s="225"/>
      <c r="F23" s="242" t="s">
        <v>30</v>
      </c>
      <c r="G23" s="220">
        <f>SUM(G20:G22)</f>
        <v>0</v>
      </c>
      <c r="H23" s="239"/>
    </row>
    <row r="24" spans="1:8" s="240" customFormat="1" x14ac:dyDescent="0.2">
      <c r="A24" s="237"/>
      <c r="B24" s="241"/>
      <c r="C24" s="238"/>
      <c r="D24" s="225"/>
      <c r="E24" s="225"/>
      <c r="F24" s="242"/>
      <c r="G24" s="220"/>
      <c r="H24" s="239"/>
    </row>
    <row r="25" spans="1:8" s="240" customFormat="1" ht="13.5" thickBot="1" x14ac:dyDescent="0.25">
      <c r="A25" s="81"/>
      <c r="B25" s="61"/>
      <c r="C25" s="80"/>
      <c r="D25" s="179" t="s">
        <v>31</v>
      </c>
      <c r="E25" s="180"/>
      <c r="F25" s="181"/>
      <c r="G25" s="119">
        <f>SUM(G23,G18,G14)</f>
        <v>0</v>
      </c>
      <c r="H25" s="118"/>
    </row>
    <row r="26" spans="1:8" x14ac:dyDescent="0.2">
      <c r="A26" s="117"/>
      <c r="B26" s="116"/>
      <c r="C26" s="115"/>
      <c r="D26" s="114"/>
      <c r="E26" s="113"/>
      <c r="F26" s="112"/>
      <c r="G26" s="111"/>
      <c r="H26" s="110"/>
    </row>
    <row r="27" spans="1:8" x14ac:dyDescent="0.2">
      <c r="A27" s="109"/>
      <c r="B27" s="108"/>
      <c r="C27" s="107" t="s">
        <v>32</v>
      </c>
      <c r="D27" s="75"/>
      <c r="E27" s="75"/>
      <c r="F27" s="73"/>
      <c r="G27" s="100"/>
      <c r="H27" s="72"/>
    </row>
    <row r="28" spans="1:8" x14ac:dyDescent="0.2">
      <c r="A28" s="174" t="s">
        <v>387</v>
      </c>
      <c r="B28" s="175"/>
      <c r="C28" s="94" t="s">
        <v>34</v>
      </c>
      <c r="D28" s="64"/>
      <c r="E28" s="64"/>
      <c r="F28" s="69"/>
      <c r="G28" s="68"/>
      <c r="H28" s="63"/>
    </row>
    <row r="29" spans="1:8" x14ac:dyDescent="0.2">
      <c r="A29" s="70" t="s">
        <v>387</v>
      </c>
      <c r="B29" s="92" t="s">
        <v>17</v>
      </c>
      <c r="C29" s="65" t="s">
        <v>18</v>
      </c>
      <c r="D29" s="64">
        <v>6</v>
      </c>
      <c r="E29" s="64" t="s">
        <v>19</v>
      </c>
      <c r="F29" s="69"/>
      <c r="G29" s="68"/>
      <c r="H29" s="86"/>
    </row>
    <row r="30" spans="1:8" x14ac:dyDescent="0.2">
      <c r="A30" s="70" t="s">
        <v>387</v>
      </c>
      <c r="B30" s="92" t="s">
        <v>20</v>
      </c>
      <c r="C30" s="65" t="s">
        <v>21</v>
      </c>
      <c r="D30" s="64">
        <v>6</v>
      </c>
      <c r="E30" s="64" t="s">
        <v>19</v>
      </c>
      <c r="F30" s="69"/>
      <c r="G30" s="68"/>
      <c r="H30" s="86"/>
    </row>
    <row r="31" spans="1:8" x14ac:dyDescent="0.2">
      <c r="A31" s="70" t="s">
        <v>387</v>
      </c>
      <c r="B31" s="92" t="s">
        <v>35</v>
      </c>
      <c r="C31" s="98" t="s">
        <v>36</v>
      </c>
      <c r="D31" s="64">
        <v>6</v>
      </c>
      <c r="E31" s="64" t="s">
        <v>19</v>
      </c>
      <c r="F31" s="69"/>
      <c r="G31" s="68"/>
      <c r="H31" s="86"/>
    </row>
    <row r="32" spans="1:8" x14ac:dyDescent="0.2">
      <c r="A32" s="97"/>
      <c r="B32" s="96"/>
      <c r="C32" s="65"/>
      <c r="D32" s="171" t="s">
        <v>37</v>
      </c>
      <c r="E32" s="172"/>
      <c r="F32" s="173"/>
      <c r="G32" s="69">
        <f>SUM(G29:G31)</f>
        <v>0</v>
      </c>
      <c r="H32" s="86"/>
    </row>
    <row r="33" spans="1:8" x14ac:dyDescent="0.2">
      <c r="A33" s="91"/>
      <c r="B33" s="54"/>
      <c r="C33" s="106"/>
      <c r="D33" s="52"/>
      <c r="E33" s="52"/>
      <c r="F33" s="95"/>
      <c r="G33" s="83"/>
      <c r="H33" s="49"/>
    </row>
    <row r="34" spans="1:8" x14ac:dyDescent="0.2">
      <c r="A34" s="174" t="s">
        <v>388</v>
      </c>
      <c r="B34" s="175"/>
      <c r="C34" s="94" t="s">
        <v>39</v>
      </c>
      <c r="D34" s="64"/>
      <c r="E34" s="64"/>
      <c r="F34" s="69"/>
      <c r="G34" s="68"/>
      <c r="H34" s="63"/>
    </row>
    <row r="35" spans="1:8" ht="25.5" x14ac:dyDescent="0.2">
      <c r="A35" s="70" t="s">
        <v>388</v>
      </c>
      <c r="B35" s="66" t="s">
        <v>17</v>
      </c>
      <c r="C35" s="65" t="s">
        <v>191</v>
      </c>
      <c r="D35" s="64">
        <v>6</v>
      </c>
      <c r="E35" s="64" t="s">
        <v>19</v>
      </c>
      <c r="F35" s="69"/>
      <c r="G35" s="68"/>
      <c r="H35" s="86"/>
    </row>
    <row r="36" spans="1:8" x14ac:dyDescent="0.2">
      <c r="A36" s="70"/>
      <c r="B36" s="96"/>
      <c r="C36" s="65"/>
      <c r="D36" s="186" t="s">
        <v>41</v>
      </c>
      <c r="E36" s="187"/>
      <c r="F36" s="188"/>
      <c r="G36" s="69">
        <f>SUM(G35:G35)</f>
        <v>0</v>
      </c>
      <c r="H36" s="63"/>
    </row>
    <row r="37" spans="1:8" x14ac:dyDescent="0.2">
      <c r="A37" s="85"/>
      <c r="B37" s="84"/>
      <c r="C37" s="53"/>
      <c r="D37" s="52"/>
      <c r="E37" s="52"/>
      <c r="F37" s="95"/>
      <c r="G37" s="83"/>
      <c r="H37" s="49"/>
    </row>
    <row r="38" spans="1:8" x14ac:dyDescent="0.2">
      <c r="A38" s="174" t="s">
        <v>389</v>
      </c>
      <c r="B38" s="175"/>
      <c r="C38" s="94" t="s">
        <v>43</v>
      </c>
      <c r="D38" s="64"/>
      <c r="E38" s="103"/>
      <c r="F38" s="68"/>
      <c r="G38" s="69"/>
      <c r="H38" s="86"/>
    </row>
    <row r="39" spans="1:8" x14ac:dyDescent="0.2">
      <c r="A39" s="70" t="s">
        <v>389</v>
      </c>
      <c r="B39" s="66" t="s">
        <v>17</v>
      </c>
      <c r="C39" s="98" t="s">
        <v>44</v>
      </c>
      <c r="D39" s="64">
        <v>6</v>
      </c>
      <c r="E39" s="64" t="s">
        <v>19</v>
      </c>
      <c r="F39" s="69"/>
      <c r="G39" s="68"/>
      <c r="H39" s="63"/>
    </row>
    <row r="40" spans="1:8" ht="15" x14ac:dyDescent="0.25">
      <c r="A40" s="97"/>
      <c r="B40" s="96"/>
      <c r="C40" s="182" t="s">
        <v>45</v>
      </c>
      <c r="D40" s="177"/>
      <c r="E40" s="177"/>
      <c r="F40" s="178"/>
      <c r="G40" s="71">
        <f>SUM(G39:G39)</f>
        <v>0</v>
      </c>
      <c r="H40" s="63"/>
    </row>
    <row r="41" spans="1:8" s="37" customFormat="1" x14ac:dyDescent="0.2">
      <c r="A41" s="85"/>
      <c r="B41" s="84"/>
      <c r="C41" s="53"/>
      <c r="D41" s="52"/>
      <c r="E41" s="52"/>
      <c r="F41" s="95"/>
      <c r="G41" s="83"/>
      <c r="H41" s="49"/>
    </row>
    <row r="42" spans="1:8" s="37" customFormat="1" x14ac:dyDescent="0.2">
      <c r="A42" s="174" t="s">
        <v>390</v>
      </c>
      <c r="B42" s="175"/>
      <c r="C42" s="88" t="s">
        <v>47</v>
      </c>
      <c r="D42" s="64"/>
      <c r="E42" s="64"/>
      <c r="F42" s="69"/>
      <c r="G42" s="69"/>
      <c r="H42" s="63"/>
    </row>
    <row r="43" spans="1:8" s="37" customFormat="1" x14ac:dyDescent="0.2">
      <c r="A43" s="70" t="s">
        <v>390</v>
      </c>
      <c r="B43" s="66" t="s">
        <v>17</v>
      </c>
      <c r="C43" s="98" t="s">
        <v>29</v>
      </c>
      <c r="D43" s="64">
        <v>6</v>
      </c>
      <c r="E43" s="64" t="s">
        <v>19</v>
      </c>
      <c r="F43" s="69"/>
      <c r="G43" s="68"/>
      <c r="H43" s="86"/>
    </row>
    <row r="44" spans="1:8" s="37" customFormat="1" x14ac:dyDescent="0.2">
      <c r="A44" s="70"/>
      <c r="B44" s="66"/>
      <c r="C44" s="171" t="s">
        <v>48</v>
      </c>
      <c r="D44" s="172"/>
      <c r="E44" s="172"/>
      <c r="F44" s="173"/>
      <c r="G44" s="71">
        <f>SUM(G43:G43)</f>
        <v>0</v>
      </c>
      <c r="H44" s="86"/>
    </row>
    <row r="45" spans="1:8" s="37" customFormat="1" x14ac:dyDescent="0.2">
      <c r="A45" s="91"/>
      <c r="B45" s="54"/>
      <c r="C45" s="105"/>
      <c r="D45" s="52"/>
      <c r="E45" s="104"/>
      <c r="F45" s="83"/>
      <c r="G45" s="50"/>
      <c r="H45" s="82"/>
    </row>
    <row r="46" spans="1:8" s="37" customFormat="1" x14ac:dyDescent="0.2">
      <c r="A46" s="174" t="s">
        <v>391</v>
      </c>
      <c r="B46" s="175"/>
      <c r="C46" s="88" t="s">
        <v>50</v>
      </c>
      <c r="D46" s="64"/>
      <c r="E46" s="103"/>
      <c r="F46" s="68"/>
      <c r="G46" s="69"/>
      <c r="H46" s="86"/>
    </row>
    <row r="47" spans="1:8" s="37" customFormat="1" x14ac:dyDescent="0.2">
      <c r="A47" s="70" t="s">
        <v>391</v>
      </c>
      <c r="B47" s="66" t="s">
        <v>17</v>
      </c>
      <c r="C47" s="98" t="s">
        <v>44</v>
      </c>
      <c r="D47" s="64">
        <v>6</v>
      </c>
      <c r="E47" s="64" t="s">
        <v>19</v>
      </c>
      <c r="F47" s="69"/>
      <c r="G47" s="68"/>
      <c r="H47" s="86"/>
    </row>
    <row r="48" spans="1:8" s="37" customFormat="1" x14ac:dyDescent="0.2">
      <c r="A48" s="70"/>
      <c r="B48" s="66"/>
      <c r="C48" s="171" t="s">
        <v>51</v>
      </c>
      <c r="D48" s="172"/>
      <c r="E48" s="172"/>
      <c r="F48" s="173"/>
      <c r="G48" s="43">
        <f>SUM(G47:G47)</f>
        <v>0</v>
      </c>
      <c r="H48" s="86"/>
    </row>
    <row r="49" spans="1:8" s="37" customFormat="1" x14ac:dyDescent="0.2">
      <c r="A49" s="91"/>
      <c r="B49" s="54"/>
      <c r="C49" s="90"/>
      <c r="D49" s="52"/>
      <c r="E49" s="104"/>
      <c r="F49" s="83"/>
      <c r="G49" s="50"/>
      <c r="H49" s="82"/>
    </row>
    <row r="50" spans="1:8" s="37" customFormat="1" x14ac:dyDescent="0.2">
      <c r="A50" s="174" t="s">
        <v>392</v>
      </c>
      <c r="B50" s="175"/>
      <c r="C50" s="94" t="s">
        <v>53</v>
      </c>
      <c r="D50" s="64"/>
      <c r="E50" s="103"/>
      <c r="F50" s="68"/>
      <c r="G50" s="69"/>
      <c r="H50" s="86"/>
    </row>
    <row r="51" spans="1:8" s="37" customFormat="1" x14ac:dyDescent="0.2">
      <c r="A51" s="70" t="s">
        <v>392</v>
      </c>
      <c r="B51" s="66" t="s">
        <v>17</v>
      </c>
      <c r="C51" s="98" t="s">
        <v>29</v>
      </c>
      <c r="D51" s="64">
        <v>6</v>
      </c>
      <c r="E51" s="64" t="s">
        <v>19</v>
      </c>
      <c r="F51" s="69"/>
      <c r="G51" s="68"/>
      <c r="H51" s="86"/>
    </row>
    <row r="52" spans="1:8" s="37" customFormat="1" x14ac:dyDescent="0.2">
      <c r="A52" s="70"/>
      <c r="B52" s="66"/>
      <c r="C52" s="171" t="s">
        <v>54</v>
      </c>
      <c r="D52" s="172"/>
      <c r="E52" s="172"/>
      <c r="F52" s="173"/>
      <c r="G52" s="43">
        <f>SUM(G51:G51)</f>
        <v>0</v>
      </c>
      <c r="H52" s="63"/>
    </row>
    <row r="53" spans="1:8" x14ac:dyDescent="0.2">
      <c r="A53" s="91"/>
      <c r="B53" s="54"/>
      <c r="C53" s="53"/>
      <c r="D53" s="52"/>
      <c r="E53" s="52"/>
      <c r="F53" s="50"/>
      <c r="G53" s="83"/>
      <c r="H53" s="49"/>
    </row>
    <row r="54" spans="1:8" x14ac:dyDescent="0.2">
      <c r="A54" s="174" t="s">
        <v>393</v>
      </c>
      <c r="B54" s="175"/>
      <c r="C54" s="94" t="s">
        <v>56</v>
      </c>
      <c r="D54" s="64"/>
      <c r="E54" s="64"/>
      <c r="F54" s="69"/>
      <c r="G54" s="68"/>
      <c r="H54" s="63"/>
    </row>
    <row r="55" spans="1:8" x14ac:dyDescent="0.2">
      <c r="A55" s="70" t="s">
        <v>393</v>
      </c>
      <c r="B55" s="66" t="s">
        <v>17</v>
      </c>
      <c r="C55" s="98" t="s">
        <v>29</v>
      </c>
      <c r="D55" s="64">
        <v>6</v>
      </c>
      <c r="E55" s="64" t="s">
        <v>19</v>
      </c>
      <c r="F55" s="69"/>
      <c r="G55" s="68"/>
      <c r="H55" s="63"/>
    </row>
    <row r="56" spans="1:8" x14ac:dyDescent="0.2">
      <c r="A56" s="97"/>
      <c r="B56" s="96"/>
      <c r="C56" s="171" t="s">
        <v>57</v>
      </c>
      <c r="D56" s="172"/>
      <c r="E56" s="172"/>
      <c r="F56" s="173"/>
      <c r="G56" s="71">
        <f>SUM(G55:G55)</f>
        <v>0</v>
      </c>
      <c r="H56" s="63"/>
    </row>
    <row r="57" spans="1:8" ht="15" x14ac:dyDescent="0.25">
      <c r="A57" s="91"/>
      <c r="B57" s="54"/>
      <c r="C57" s="53"/>
      <c r="D57" s="176" t="s">
        <v>58</v>
      </c>
      <c r="E57" s="177"/>
      <c r="F57" s="178"/>
      <c r="G57" s="164">
        <f>SUM(G56,G52,G48,G44,G40,G36,G32)</f>
        <v>0</v>
      </c>
      <c r="H57" s="49"/>
    </row>
    <row r="58" spans="1:8" x14ac:dyDescent="0.2">
      <c r="A58" s="102"/>
      <c r="B58" s="102"/>
      <c r="C58" s="101"/>
      <c r="D58" s="75"/>
      <c r="E58" s="75"/>
      <c r="F58" s="73"/>
      <c r="G58" s="100"/>
      <c r="H58" s="99"/>
    </row>
    <row r="59" spans="1:8" x14ac:dyDescent="0.2">
      <c r="A59" s="174" t="s">
        <v>394</v>
      </c>
      <c r="B59" s="175"/>
      <c r="C59" s="94" t="s">
        <v>60</v>
      </c>
      <c r="D59" s="64"/>
      <c r="E59" s="64"/>
      <c r="F59" s="69"/>
      <c r="G59" s="68"/>
      <c r="H59" s="63"/>
    </row>
    <row r="60" spans="1:8" x14ac:dyDescent="0.2">
      <c r="A60" s="70" t="s">
        <v>394</v>
      </c>
      <c r="B60" s="66" t="s">
        <v>17</v>
      </c>
      <c r="C60" s="65" t="s">
        <v>18</v>
      </c>
      <c r="D60" s="64">
        <v>6</v>
      </c>
      <c r="E60" s="64" t="s">
        <v>19</v>
      </c>
      <c r="F60" s="69"/>
      <c r="G60" s="68"/>
      <c r="H60" s="63"/>
    </row>
    <row r="61" spans="1:8" x14ac:dyDescent="0.2">
      <c r="A61" s="70" t="s">
        <v>394</v>
      </c>
      <c r="B61" s="66" t="s">
        <v>20</v>
      </c>
      <c r="C61" s="98" t="s">
        <v>36</v>
      </c>
      <c r="D61" s="64">
        <v>6</v>
      </c>
      <c r="E61" s="64" t="s">
        <v>19</v>
      </c>
      <c r="F61" s="69"/>
      <c r="G61" s="68"/>
      <c r="H61" s="63"/>
    </row>
    <row r="62" spans="1:8" x14ac:dyDescent="0.2">
      <c r="A62" s="97"/>
      <c r="B62" s="96"/>
      <c r="C62" s="65"/>
      <c r="D62" s="171" t="s">
        <v>61</v>
      </c>
      <c r="E62" s="172"/>
      <c r="F62" s="173"/>
      <c r="G62" s="71">
        <f>SUM(G60:G61)</f>
        <v>0</v>
      </c>
      <c r="H62" s="63"/>
    </row>
    <row r="63" spans="1:8" x14ac:dyDescent="0.2">
      <c r="A63" s="85"/>
      <c r="B63" s="84"/>
      <c r="C63" s="53"/>
      <c r="D63" s="52"/>
      <c r="E63" s="52"/>
      <c r="F63" s="50"/>
      <c r="G63" s="83"/>
      <c r="H63" s="49"/>
    </row>
    <row r="64" spans="1:8" x14ac:dyDescent="0.2">
      <c r="A64" s="174" t="s">
        <v>395</v>
      </c>
      <c r="B64" s="175"/>
      <c r="C64" s="94" t="s">
        <v>63</v>
      </c>
      <c r="D64" s="64"/>
      <c r="E64" s="64"/>
      <c r="F64" s="69"/>
      <c r="G64" s="68"/>
      <c r="H64" s="63"/>
    </row>
    <row r="65" spans="1:8" x14ac:dyDescent="0.2">
      <c r="A65" s="70" t="s">
        <v>395</v>
      </c>
      <c r="B65" s="66" t="s">
        <v>17</v>
      </c>
      <c r="C65" s="65" t="s">
        <v>44</v>
      </c>
      <c r="D65" s="64">
        <v>6</v>
      </c>
      <c r="E65" s="64" t="s">
        <v>19</v>
      </c>
      <c r="F65" s="69"/>
      <c r="G65" s="68"/>
      <c r="H65" s="63"/>
    </row>
    <row r="66" spans="1:8" s="37" customFormat="1" x14ac:dyDescent="0.2">
      <c r="A66" s="70" t="s">
        <v>395</v>
      </c>
      <c r="B66" s="66" t="s">
        <v>20</v>
      </c>
      <c r="C66" s="65" t="s">
        <v>29</v>
      </c>
      <c r="D66" s="64">
        <v>6</v>
      </c>
      <c r="E66" s="64" t="s">
        <v>19</v>
      </c>
      <c r="F66" s="69"/>
      <c r="G66" s="68"/>
      <c r="H66" s="63"/>
    </row>
    <row r="67" spans="1:8" s="37" customFormat="1" x14ac:dyDescent="0.2">
      <c r="A67" s="97"/>
      <c r="B67" s="96"/>
      <c r="C67" s="65"/>
      <c r="D67" s="171" t="s">
        <v>64</v>
      </c>
      <c r="E67" s="172"/>
      <c r="F67" s="173"/>
      <c r="G67" s="71">
        <f>SUM(G65:G66)</f>
        <v>0</v>
      </c>
      <c r="H67" s="63"/>
    </row>
    <row r="68" spans="1:8" s="37" customFormat="1" x14ac:dyDescent="0.2">
      <c r="A68" s="85"/>
      <c r="B68" s="84"/>
      <c r="C68" s="53"/>
      <c r="D68" s="52"/>
      <c r="E68" s="52"/>
      <c r="F68" s="50"/>
      <c r="G68" s="83"/>
      <c r="H68" s="49"/>
    </row>
    <row r="69" spans="1:8" s="37" customFormat="1" x14ac:dyDescent="0.2">
      <c r="A69" s="174" t="s">
        <v>396</v>
      </c>
      <c r="B69" s="175"/>
      <c r="C69" s="94" t="s">
        <v>66</v>
      </c>
      <c r="D69" s="64"/>
      <c r="E69" s="64"/>
      <c r="F69" s="69"/>
      <c r="G69" s="68"/>
      <c r="H69" s="63"/>
    </row>
    <row r="70" spans="1:8" s="37" customFormat="1" x14ac:dyDescent="0.2">
      <c r="A70" s="70" t="s">
        <v>396</v>
      </c>
      <c r="B70" s="66" t="s">
        <v>17</v>
      </c>
      <c r="C70" s="98" t="s">
        <v>29</v>
      </c>
      <c r="D70" s="64">
        <v>6</v>
      </c>
      <c r="E70" s="64" t="s">
        <v>19</v>
      </c>
      <c r="F70" s="69"/>
      <c r="G70" s="163"/>
      <c r="H70" s="63"/>
    </row>
    <row r="71" spans="1:8" s="37" customFormat="1" x14ac:dyDescent="0.2">
      <c r="A71" s="97"/>
      <c r="B71" s="96"/>
      <c r="C71" s="171" t="s">
        <v>67</v>
      </c>
      <c r="D71" s="172"/>
      <c r="E71" s="172"/>
      <c r="F71" s="173"/>
      <c r="G71" s="71">
        <f>SUM(G70:G70)</f>
        <v>0</v>
      </c>
      <c r="H71" s="63"/>
    </row>
    <row r="72" spans="1:8" s="37" customFormat="1" x14ac:dyDescent="0.2">
      <c r="A72" s="85"/>
      <c r="B72" s="84"/>
      <c r="C72" s="53"/>
      <c r="D72" s="52"/>
      <c r="E72" s="52"/>
      <c r="F72" s="50"/>
      <c r="G72" s="83"/>
      <c r="H72" s="49"/>
    </row>
    <row r="73" spans="1:8" s="37" customFormat="1" x14ac:dyDescent="0.2">
      <c r="A73" s="174" t="s">
        <v>397</v>
      </c>
      <c r="B73" s="175"/>
      <c r="C73" s="94" t="s">
        <v>69</v>
      </c>
      <c r="D73" s="64"/>
      <c r="E73" s="64"/>
      <c r="F73" s="69"/>
      <c r="G73" s="68"/>
      <c r="H73" s="63"/>
    </row>
    <row r="74" spans="1:8" s="37" customFormat="1" x14ac:dyDescent="0.2">
      <c r="A74" s="70" t="s">
        <v>397</v>
      </c>
      <c r="B74" s="66" t="s">
        <v>17</v>
      </c>
      <c r="C74" s="65" t="s">
        <v>201</v>
      </c>
      <c r="D74" s="64">
        <v>6</v>
      </c>
      <c r="E74" s="64" t="s">
        <v>19</v>
      </c>
      <c r="F74" s="69"/>
      <c r="G74" s="68"/>
      <c r="H74" s="63"/>
    </row>
    <row r="75" spans="1:8" s="37" customFormat="1" x14ac:dyDescent="0.2">
      <c r="A75" s="70" t="s">
        <v>397</v>
      </c>
      <c r="B75" s="66" t="s">
        <v>20</v>
      </c>
      <c r="C75" s="98" t="s">
        <v>191</v>
      </c>
      <c r="D75" s="64">
        <v>6</v>
      </c>
      <c r="E75" s="64" t="s">
        <v>19</v>
      </c>
      <c r="F75" s="69"/>
      <c r="G75" s="68"/>
      <c r="H75" s="63"/>
    </row>
    <row r="76" spans="1:8" s="37" customFormat="1" x14ac:dyDescent="0.2">
      <c r="A76" s="97"/>
      <c r="B76" s="96"/>
      <c r="C76" s="171" t="s">
        <v>70</v>
      </c>
      <c r="D76" s="172"/>
      <c r="E76" s="172"/>
      <c r="F76" s="173"/>
      <c r="G76" s="43">
        <f>SUM(G74:G75)</f>
        <v>0</v>
      </c>
      <c r="H76" s="63"/>
    </row>
    <row r="77" spans="1:8" s="37" customFormat="1" x14ac:dyDescent="0.2">
      <c r="A77" s="85"/>
      <c r="B77" s="84"/>
      <c r="C77" s="53"/>
      <c r="D77" s="52"/>
      <c r="E77" s="52"/>
      <c r="F77" s="95"/>
      <c r="G77" s="50"/>
      <c r="H77" s="49"/>
    </row>
    <row r="78" spans="1:8" x14ac:dyDescent="0.2">
      <c r="A78" s="174" t="s">
        <v>398</v>
      </c>
      <c r="B78" s="175"/>
      <c r="C78" s="94" t="s">
        <v>72</v>
      </c>
      <c r="D78" s="64"/>
      <c r="E78" s="64"/>
      <c r="F78" s="93"/>
      <c r="G78" s="69"/>
      <c r="H78" s="63"/>
    </row>
    <row r="79" spans="1:8" x14ac:dyDescent="0.2">
      <c r="A79" s="70" t="s">
        <v>398</v>
      </c>
      <c r="B79" s="66" t="s">
        <v>17</v>
      </c>
      <c r="C79" s="65" t="s">
        <v>29</v>
      </c>
      <c r="D79" s="64">
        <v>6</v>
      </c>
      <c r="E79" s="64" t="s">
        <v>19</v>
      </c>
      <c r="F79" s="69"/>
      <c r="G79" s="68"/>
      <c r="H79" s="63"/>
    </row>
    <row r="80" spans="1:8" x14ac:dyDescent="0.2">
      <c r="A80" s="97"/>
      <c r="B80" s="96"/>
      <c r="C80" s="171" t="s">
        <v>73</v>
      </c>
      <c r="D80" s="172"/>
      <c r="E80" s="172"/>
      <c r="F80" s="173"/>
      <c r="G80" s="43">
        <f>SUM(G79:G79)</f>
        <v>0</v>
      </c>
      <c r="H80" s="63"/>
    </row>
    <row r="81" spans="1:8" x14ac:dyDescent="0.2">
      <c r="A81" s="85"/>
      <c r="B81" s="84"/>
      <c r="C81" s="53"/>
      <c r="D81" s="52"/>
      <c r="E81" s="52"/>
      <c r="F81" s="95"/>
      <c r="G81" s="50"/>
      <c r="H81" s="49"/>
    </row>
    <row r="82" spans="1:8" x14ac:dyDescent="0.2">
      <c r="A82" s="174" t="s">
        <v>399</v>
      </c>
      <c r="B82" s="175"/>
      <c r="C82" s="94" t="s">
        <v>75</v>
      </c>
      <c r="D82" s="64"/>
      <c r="E82" s="64"/>
      <c r="F82" s="93"/>
      <c r="G82" s="69"/>
      <c r="H82" s="63"/>
    </row>
    <row r="83" spans="1:8" x14ac:dyDescent="0.2">
      <c r="A83" s="70" t="s">
        <v>399</v>
      </c>
      <c r="B83" s="92" t="s">
        <v>17</v>
      </c>
      <c r="C83" s="65" t="s">
        <v>18</v>
      </c>
      <c r="D83" s="64">
        <v>6</v>
      </c>
      <c r="E83" s="64" t="s">
        <v>19</v>
      </c>
      <c r="F83" s="69"/>
      <c r="G83" s="68"/>
      <c r="H83" s="63"/>
    </row>
    <row r="84" spans="1:8" x14ac:dyDescent="0.2">
      <c r="A84" s="70"/>
      <c r="B84" s="66"/>
      <c r="C84" s="88"/>
      <c r="D84" s="165" t="s">
        <v>76</v>
      </c>
      <c r="E84" s="166"/>
      <c r="F84" s="167"/>
      <c r="G84" s="43">
        <f>SUM(G83:G83)</f>
        <v>0</v>
      </c>
      <c r="H84" s="86"/>
    </row>
    <row r="85" spans="1:8" x14ac:dyDescent="0.2">
      <c r="A85" s="91"/>
      <c r="B85" s="54"/>
      <c r="C85" s="90"/>
      <c r="D85" s="52"/>
      <c r="E85" s="89"/>
      <c r="F85" s="89"/>
      <c r="G85" s="50"/>
      <c r="H85" s="82"/>
    </row>
    <row r="86" spans="1:8" x14ac:dyDescent="0.2">
      <c r="A86" s="174" t="s">
        <v>400</v>
      </c>
      <c r="B86" s="175"/>
      <c r="C86" s="94" t="s">
        <v>78</v>
      </c>
      <c r="D86" s="64"/>
      <c r="E86" s="64"/>
      <c r="F86" s="93"/>
      <c r="G86" s="69"/>
      <c r="H86" s="63"/>
    </row>
    <row r="87" spans="1:8" x14ac:dyDescent="0.2">
      <c r="A87" s="70" t="s">
        <v>400</v>
      </c>
      <c r="B87" s="92" t="s">
        <v>17</v>
      </c>
      <c r="C87" s="65" t="s">
        <v>18</v>
      </c>
      <c r="D87" s="64">
        <v>6</v>
      </c>
      <c r="E87" s="64" t="s">
        <v>19</v>
      </c>
      <c r="F87" s="69"/>
      <c r="G87" s="68"/>
      <c r="H87" s="63"/>
    </row>
    <row r="88" spans="1:8" x14ac:dyDescent="0.2">
      <c r="A88" s="70"/>
      <c r="B88" s="66"/>
      <c r="C88" s="88"/>
      <c r="D88" s="165" t="s">
        <v>79</v>
      </c>
      <c r="E88" s="166"/>
      <c r="F88" s="167"/>
      <c r="G88" s="43">
        <f>SUM(G87:G87)</f>
        <v>0</v>
      </c>
      <c r="H88" s="86"/>
    </row>
    <row r="89" spans="1:8" x14ac:dyDescent="0.2">
      <c r="A89" s="91"/>
      <c r="B89" s="54"/>
      <c r="C89" s="90"/>
      <c r="D89" s="52"/>
      <c r="E89" s="89"/>
      <c r="F89" s="89"/>
      <c r="G89" s="50"/>
      <c r="H89" s="82"/>
    </row>
    <row r="90" spans="1:8" x14ac:dyDescent="0.2">
      <c r="A90" s="174" t="s">
        <v>401</v>
      </c>
      <c r="B90" s="175"/>
      <c r="C90" s="94" t="s">
        <v>81</v>
      </c>
      <c r="D90" s="64"/>
      <c r="E90" s="64"/>
      <c r="F90" s="93"/>
      <c r="G90" s="69"/>
      <c r="H90" s="63"/>
    </row>
    <row r="91" spans="1:8" x14ac:dyDescent="0.2">
      <c r="A91" s="70" t="s">
        <v>401</v>
      </c>
      <c r="B91" s="92" t="s">
        <v>17</v>
      </c>
      <c r="C91" s="65" t="s">
        <v>18</v>
      </c>
      <c r="D91" s="64">
        <v>6</v>
      </c>
      <c r="E91" s="64" t="s">
        <v>19</v>
      </c>
      <c r="F91" s="69"/>
      <c r="G91" s="68"/>
      <c r="H91" s="63"/>
    </row>
    <row r="92" spans="1:8" x14ac:dyDescent="0.2">
      <c r="A92" s="70"/>
      <c r="B92" s="66"/>
      <c r="C92" s="88"/>
      <c r="D92" s="165" t="s">
        <v>206</v>
      </c>
      <c r="E92" s="166"/>
      <c r="F92" s="167"/>
      <c r="G92" s="43">
        <f>SUM(G91:G91)</f>
        <v>0</v>
      </c>
      <c r="H92" s="86"/>
    </row>
    <row r="93" spans="1:8" ht="15" x14ac:dyDescent="0.25">
      <c r="A93" s="91"/>
      <c r="B93" s="54"/>
      <c r="C93" s="90"/>
      <c r="D93" s="176" t="s">
        <v>83</v>
      </c>
      <c r="E93" s="177"/>
      <c r="F93" s="178"/>
      <c r="G93" s="95">
        <f>SUM(G92,G88,G84,G80,G76,G71,G67,G62)</f>
        <v>0</v>
      </c>
      <c r="H93" s="82"/>
    </row>
    <row r="94" spans="1:8" x14ac:dyDescent="0.2">
      <c r="A94" s="81"/>
      <c r="B94" s="61"/>
      <c r="C94" s="80"/>
      <c r="D94" s="179" t="s">
        <v>84</v>
      </c>
      <c r="E94" s="180"/>
      <c r="F94" s="181"/>
      <c r="G94" s="57">
        <f>SUM(G93,G57)</f>
        <v>0</v>
      </c>
      <c r="H94" s="79"/>
    </row>
    <row r="95" spans="1:8" x14ac:dyDescent="0.2">
      <c r="A95" s="70"/>
      <c r="B95" s="66"/>
      <c r="C95" s="88"/>
      <c r="D95" s="64"/>
      <c r="E95" s="87"/>
      <c r="F95" s="87"/>
      <c r="G95" s="69"/>
      <c r="H95" s="86"/>
    </row>
    <row r="96" spans="1:8" x14ac:dyDescent="0.2">
      <c r="A96" s="78"/>
      <c r="B96" s="77"/>
      <c r="C96" s="76" t="s">
        <v>85</v>
      </c>
      <c r="D96" s="75"/>
      <c r="E96" s="74"/>
      <c r="F96" s="74"/>
      <c r="G96" s="73"/>
      <c r="H96" s="72"/>
    </row>
    <row r="97" spans="1:8" x14ac:dyDescent="0.2">
      <c r="A97" s="174" t="s">
        <v>402</v>
      </c>
      <c r="B97" s="175"/>
      <c r="C97" s="88" t="s">
        <v>87</v>
      </c>
      <c r="D97" s="64"/>
      <c r="E97" s="87"/>
      <c r="F97" s="87"/>
      <c r="G97" s="69"/>
      <c r="H97" s="86"/>
    </row>
    <row r="98" spans="1:8" x14ac:dyDescent="0.2">
      <c r="A98" s="70" t="s">
        <v>402</v>
      </c>
      <c r="B98" s="92" t="s">
        <v>17</v>
      </c>
      <c r="C98" s="65" t="s">
        <v>18</v>
      </c>
      <c r="D98" s="64">
        <v>6</v>
      </c>
      <c r="E98" s="64" t="s">
        <v>19</v>
      </c>
      <c r="F98" s="69"/>
      <c r="G98" s="68"/>
      <c r="H98" s="86"/>
    </row>
    <row r="99" spans="1:8" x14ac:dyDescent="0.2">
      <c r="A99" s="70" t="s">
        <v>402</v>
      </c>
      <c r="B99" s="92" t="s">
        <v>20</v>
      </c>
      <c r="C99" s="65" t="s">
        <v>21</v>
      </c>
      <c r="D99" s="64">
        <v>6</v>
      </c>
      <c r="E99" s="64" t="s">
        <v>19</v>
      </c>
      <c r="F99" s="69"/>
      <c r="G99" s="68"/>
      <c r="H99" s="86"/>
    </row>
    <row r="100" spans="1:8" x14ac:dyDescent="0.2">
      <c r="A100" s="70"/>
      <c r="B100" s="66"/>
      <c r="C100" s="165" t="s">
        <v>88</v>
      </c>
      <c r="D100" s="166"/>
      <c r="E100" s="166"/>
      <c r="F100" s="167"/>
      <c r="G100" s="43">
        <f>SUM(G98:G99)</f>
        <v>0</v>
      </c>
      <c r="H100" s="86"/>
    </row>
    <row r="101" spans="1:8" x14ac:dyDescent="0.2">
      <c r="A101" s="91"/>
      <c r="B101" s="54"/>
      <c r="C101" s="90"/>
      <c r="D101" s="52"/>
      <c r="E101" s="89"/>
      <c r="F101" s="89"/>
      <c r="G101" s="50"/>
      <c r="H101" s="82"/>
    </row>
    <row r="102" spans="1:8" s="37" customFormat="1" x14ac:dyDescent="0.2">
      <c r="A102" s="174" t="s">
        <v>403</v>
      </c>
      <c r="B102" s="175"/>
      <c r="C102" s="88" t="s">
        <v>90</v>
      </c>
      <c r="D102" s="64"/>
      <c r="E102" s="87"/>
      <c r="F102" s="87"/>
      <c r="G102" s="69"/>
      <c r="H102" s="86"/>
    </row>
    <row r="103" spans="1:8" s="37" customFormat="1" x14ac:dyDescent="0.2">
      <c r="A103" s="70" t="s">
        <v>403</v>
      </c>
      <c r="B103" s="66" t="s">
        <v>17</v>
      </c>
      <c r="C103" s="65" t="s">
        <v>18</v>
      </c>
      <c r="D103" s="64">
        <v>6</v>
      </c>
      <c r="E103" s="64" t="s">
        <v>19</v>
      </c>
      <c r="F103" s="69"/>
      <c r="G103" s="68"/>
      <c r="H103" s="86"/>
    </row>
    <row r="104" spans="1:8" s="37" customFormat="1" x14ac:dyDescent="0.2">
      <c r="A104" s="70"/>
      <c r="B104" s="66"/>
      <c r="C104" s="165" t="s">
        <v>91</v>
      </c>
      <c r="D104" s="166"/>
      <c r="E104" s="166"/>
      <c r="F104" s="167"/>
      <c r="G104" s="43">
        <f>SUM(G103:G103)</f>
        <v>0</v>
      </c>
      <c r="H104" s="86"/>
    </row>
    <row r="105" spans="1:8" s="37" customFormat="1" x14ac:dyDescent="0.2">
      <c r="A105" s="91"/>
      <c r="B105" s="54"/>
      <c r="C105" s="90"/>
      <c r="D105" s="52"/>
      <c r="E105" s="89"/>
      <c r="F105" s="89"/>
      <c r="G105" s="50"/>
      <c r="H105" s="82"/>
    </row>
    <row r="106" spans="1:8" s="37" customFormat="1" x14ac:dyDescent="0.2">
      <c r="A106" s="174" t="s">
        <v>404</v>
      </c>
      <c r="B106" s="175"/>
      <c r="C106" s="88" t="s">
        <v>93</v>
      </c>
      <c r="D106" s="64"/>
      <c r="E106" s="87"/>
      <c r="F106" s="87"/>
      <c r="G106" s="69"/>
      <c r="H106" s="86"/>
    </row>
    <row r="107" spans="1:8" s="37" customFormat="1" x14ac:dyDescent="0.2">
      <c r="A107" s="70" t="s">
        <v>404</v>
      </c>
      <c r="B107" s="92" t="s">
        <v>17</v>
      </c>
      <c r="C107" s="65" t="s">
        <v>29</v>
      </c>
      <c r="D107" s="64">
        <v>6</v>
      </c>
      <c r="E107" s="64" t="s">
        <v>19</v>
      </c>
      <c r="F107" s="69"/>
      <c r="G107" s="68"/>
      <c r="H107" s="86"/>
    </row>
    <row r="108" spans="1:8" s="37" customFormat="1" x14ac:dyDescent="0.2">
      <c r="A108" s="70"/>
      <c r="B108" s="66"/>
      <c r="C108" s="165" t="s">
        <v>94</v>
      </c>
      <c r="D108" s="166"/>
      <c r="E108" s="166"/>
      <c r="F108" s="167"/>
      <c r="G108" s="43">
        <f>SUM(G107:G107)</f>
        <v>0</v>
      </c>
      <c r="H108" s="86"/>
    </row>
    <row r="109" spans="1:8" s="37" customFormat="1" x14ac:dyDescent="0.2">
      <c r="A109" s="91"/>
      <c r="B109" s="54"/>
      <c r="C109" s="90"/>
      <c r="D109" s="52"/>
      <c r="E109" s="89"/>
      <c r="F109" s="89"/>
      <c r="G109" s="50"/>
      <c r="H109" s="82"/>
    </row>
    <row r="110" spans="1:8" s="37" customFormat="1" x14ac:dyDescent="0.2">
      <c r="A110" s="174" t="s">
        <v>405</v>
      </c>
      <c r="B110" s="175"/>
      <c r="C110" s="88" t="s">
        <v>96</v>
      </c>
      <c r="D110" s="64"/>
      <c r="E110" s="87"/>
      <c r="F110" s="87"/>
      <c r="G110" s="69"/>
      <c r="H110" s="86"/>
    </row>
    <row r="111" spans="1:8" s="37" customFormat="1" x14ac:dyDescent="0.2">
      <c r="A111" s="70" t="s">
        <v>405</v>
      </c>
      <c r="B111" s="66" t="s">
        <v>17</v>
      </c>
      <c r="C111" s="65" t="s">
        <v>97</v>
      </c>
      <c r="D111" s="64">
        <v>6</v>
      </c>
      <c r="E111" s="64" t="s">
        <v>19</v>
      </c>
      <c r="F111" s="69"/>
      <c r="G111" s="68"/>
      <c r="H111" s="86"/>
    </row>
    <row r="112" spans="1:8" s="37" customFormat="1" x14ac:dyDescent="0.2">
      <c r="A112" s="70"/>
      <c r="B112" s="66"/>
      <c r="C112" s="165" t="s">
        <v>98</v>
      </c>
      <c r="D112" s="166"/>
      <c r="E112" s="166"/>
      <c r="F112" s="167"/>
      <c r="G112" s="43">
        <f>SUM(G111:G111)</f>
        <v>0</v>
      </c>
      <c r="H112" s="86"/>
    </row>
    <row r="113" spans="1:8" x14ac:dyDescent="0.2">
      <c r="A113" s="55"/>
      <c r="B113" s="54"/>
      <c r="C113" s="53"/>
      <c r="D113" s="52"/>
      <c r="E113" s="51"/>
      <c r="F113" s="51"/>
      <c r="G113" s="50"/>
      <c r="H113" s="49"/>
    </row>
    <row r="114" spans="1:8" x14ac:dyDescent="0.2">
      <c r="A114" s="62"/>
      <c r="B114" s="61"/>
      <c r="C114" s="60"/>
      <c r="D114" s="59"/>
      <c r="E114" s="58"/>
      <c r="F114" s="58" t="s">
        <v>99</v>
      </c>
      <c r="G114" s="57">
        <f>SUM(G112,G108,G104,G100)</f>
        <v>0</v>
      </c>
      <c r="H114" s="56"/>
    </row>
    <row r="115" spans="1:8" x14ac:dyDescent="0.2">
      <c r="A115" s="48"/>
      <c r="B115" s="47"/>
      <c r="C115" s="46"/>
      <c r="D115" s="45"/>
      <c r="E115" s="44"/>
      <c r="F115" s="44"/>
      <c r="G115" s="43"/>
      <c r="H115" s="42"/>
    </row>
    <row r="116" spans="1:8" ht="13.5" thickBot="1" x14ac:dyDescent="0.25">
      <c r="A116" s="41"/>
      <c r="B116" s="40"/>
      <c r="C116" s="168" t="s">
        <v>100</v>
      </c>
      <c r="D116" s="169"/>
      <c r="E116" s="169"/>
      <c r="F116" s="170"/>
      <c r="G116" s="39">
        <f>SUM(G114,G94,G25)</f>
        <v>0</v>
      </c>
      <c r="H116" s="38"/>
    </row>
  </sheetData>
  <mergeCells count="59">
    <mergeCell ref="A106:B106"/>
    <mergeCell ref="C108:F108"/>
    <mergeCell ref="A110:B110"/>
    <mergeCell ref="C112:F112"/>
    <mergeCell ref="C116:F116"/>
    <mergeCell ref="C104:F104"/>
    <mergeCell ref="A82:B82"/>
    <mergeCell ref="D84:F84"/>
    <mergeCell ref="A86:B86"/>
    <mergeCell ref="D88:F88"/>
    <mergeCell ref="A90:B90"/>
    <mergeCell ref="D92:F92"/>
    <mergeCell ref="D93:F93"/>
    <mergeCell ref="D94:F94"/>
    <mergeCell ref="A97:B97"/>
    <mergeCell ref="C100:F100"/>
    <mergeCell ref="A102:B102"/>
    <mergeCell ref="C80:F80"/>
    <mergeCell ref="C56:F56"/>
    <mergeCell ref="D57:F57"/>
    <mergeCell ref="A59:B59"/>
    <mergeCell ref="D62:F62"/>
    <mergeCell ref="A64:B64"/>
    <mergeCell ref="D67:F67"/>
    <mergeCell ref="A69:B69"/>
    <mergeCell ref="C71:F71"/>
    <mergeCell ref="A73:B73"/>
    <mergeCell ref="C76:F76"/>
    <mergeCell ref="A78:B78"/>
    <mergeCell ref="A54:B54"/>
    <mergeCell ref="D32:F32"/>
    <mergeCell ref="A34:B34"/>
    <mergeCell ref="D36:F36"/>
    <mergeCell ref="A38:B38"/>
    <mergeCell ref="C40:F40"/>
    <mergeCell ref="A42:B42"/>
    <mergeCell ref="C44:F44"/>
    <mergeCell ref="A46:B46"/>
    <mergeCell ref="C48:F48"/>
    <mergeCell ref="A50:B50"/>
    <mergeCell ref="C52:F52"/>
    <mergeCell ref="A28:B28"/>
    <mergeCell ref="A4:H4"/>
    <mergeCell ref="I4:K4"/>
    <mergeCell ref="A5:H5"/>
    <mergeCell ref="A6:H6"/>
    <mergeCell ref="A7:H7"/>
    <mergeCell ref="A8:B8"/>
    <mergeCell ref="A11:B11"/>
    <mergeCell ref="E14:F14"/>
    <mergeCell ref="A16:B16"/>
    <mergeCell ref="A20:B20"/>
    <mergeCell ref="D25:F25"/>
    <mergeCell ref="A1:H1"/>
    <mergeCell ref="I1:K1"/>
    <mergeCell ref="A2:H2"/>
    <mergeCell ref="I2:K2"/>
    <mergeCell ref="A3:H3"/>
    <mergeCell ref="I3:K3"/>
  </mergeCells>
  <printOptions horizontalCentered="1"/>
  <pageMargins left="1" right="1" top="1" bottom="1" header="0.5" footer="0.5"/>
  <pageSetup scale="50"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D834D-9BFE-4B68-93D9-B5E188A98E7B}">
  <sheetPr>
    <pageSetUpPr fitToPage="1"/>
  </sheetPr>
  <dimension ref="A1:K176"/>
  <sheetViews>
    <sheetView zoomScaleNormal="100" workbookViewId="0">
      <selection activeCell="L9" sqref="L9"/>
    </sheetView>
  </sheetViews>
  <sheetFormatPr defaultColWidth="9.140625" defaultRowHeight="12.75" x14ac:dyDescent="0.2"/>
  <cols>
    <col min="1" max="1" width="11" style="4" customWidth="1"/>
    <col min="2" max="2" width="16" style="3" customWidth="1"/>
    <col min="3" max="3" width="40.140625" style="3" customWidth="1"/>
    <col min="4" max="4" width="11.85546875" style="3" customWidth="1"/>
    <col min="5" max="5" width="7.5703125" style="1" customWidth="1"/>
    <col min="6" max="6" width="15" style="2" customWidth="1"/>
    <col min="7" max="7" width="16.85546875" style="2" customWidth="1"/>
    <col min="8" max="8" width="8.7109375" style="1" customWidth="1"/>
    <col min="9" max="9" width="3" style="1" hidden="1" customWidth="1"/>
    <col min="10" max="16384" width="9.140625" style="1"/>
  </cols>
  <sheetData>
    <row r="1" spans="1:9" ht="12.75" customHeight="1" x14ac:dyDescent="0.2">
      <c r="A1" s="207" t="s">
        <v>0</v>
      </c>
      <c r="B1" s="208"/>
      <c r="C1" s="208"/>
      <c r="D1" s="208"/>
      <c r="E1" s="208"/>
      <c r="F1" s="208"/>
      <c r="G1" s="208"/>
      <c r="H1" s="209"/>
      <c r="I1" s="35"/>
    </row>
    <row r="2" spans="1:9" ht="12.75" customHeight="1" x14ac:dyDescent="0.2">
      <c r="A2" s="210" t="s">
        <v>1</v>
      </c>
      <c r="B2" s="211"/>
      <c r="C2" s="211"/>
      <c r="D2" s="211"/>
      <c r="E2" s="211"/>
      <c r="F2" s="211"/>
      <c r="G2" s="211"/>
      <c r="H2" s="212"/>
    </row>
    <row r="3" spans="1:9" ht="12.75" customHeight="1" x14ac:dyDescent="0.2">
      <c r="A3" s="210" t="s">
        <v>101</v>
      </c>
      <c r="B3" s="211"/>
      <c r="C3" s="211"/>
      <c r="D3" s="211"/>
      <c r="E3" s="211"/>
      <c r="F3" s="211"/>
      <c r="G3" s="211"/>
      <c r="H3" s="212"/>
    </row>
    <row r="4" spans="1:9" ht="12.75" customHeight="1" x14ac:dyDescent="0.2">
      <c r="A4" s="210" t="s">
        <v>382</v>
      </c>
      <c r="B4" s="211"/>
      <c r="C4" s="211"/>
      <c r="D4" s="211"/>
      <c r="E4" s="211"/>
      <c r="F4" s="211"/>
      <c r="G4" s="211"/>
      <c r="H4" s="212"/>
    </row>
    <row r="5" spans="1:9" ht="12.75" customHeight="1" x14ac:dyDescent="0.2">
      <c r="A5" s="210" t="s">
        <v>406</v>
      </c>
      <c r="B5" s="211"/>
      <c r="C5" s="211"/>
      <c r="D5" s="211"/>
      <c r="E5" s="211"/>
      <c r="F5" s="211"/>
      <c r="G5" s="211"/>
      <c r="H5" s="212"/>
    </row>
    <row r="6" spans="1:9" x14ac:dyDescent="0.2">
      <c r="A6" s="204" t="s">
        <v>104</v>
      </c>
      <c r="B6" s="205"/>
      <c r="C6" s="205"/>
      <c r="D6" s="205"/>
      <c r="E6" s="205"/>
      <c r="F6" s="205"/>
      <c r="G6" s="205"/>
      <c r="H6" s="206"/>
    </row>
    <row r="7" spans="1:9" ht="12.75" customHeight="1" x14ac:dyDescent="0.2">
      <c r="A7" s="204" t="s">
        <v>105</v>
      </c>
      <c r="B7" s="205"/>
      <c r="C7" s="205"/>
      <c r="D7" s="205"/>
      <c r="E7" s="205"/>
      <c r="F7" s="205"/>
      <c r="G7" s="205"/>
      <c r="H7" s="206"/>
    </row>
    <row r="8" spans="1:9" s="29" customFormat="1" ht="28.5" customHeight="1" x14ac:dyDescent="0.2">
      <c r="A8" s="34" t="s">
        <v>106</v>
      </c>
      <c r="B8" s="33" t="s">
        <v>107</v>
      </c>
      <c r="C8" s="33" t="s">
        <v>108</v>
      </c>
      <c r="D8" s="33" t="s">
        <v>109</v>
      </c>
      <c r="E8" s="33" t="s">
        <v>10</v>
      </c>
      <c r="F8" s="32" t="s">
        <v>11</v>
      </c>
      <c r="G8" s="31" t="s">
        <v>110</v>
      </c>
      <c r="H8" s="30" t="s">
        <v>111</v>
      </c>
    </row>
    <row r="9" spans="1:9" ht="77.25" customHeight="1" x14ac:dyDescent="0.2">
      <c r="A9" s="20" t="s">
        <v>407</v>
      </c>
      <c r="B9" s="19" t="s">
        <v>113</v>
      </c>
      <c r="C9" s="26" t="s">
        <v>114</v>
      </c>
      <c r="D9" s="17">
        <v>250</v>
      </c>
      <c r="E9" s="17" t="s">
        <v>115</v>
      </c>
      <c r="F9" s="16">
        <v>0</v>
      </c>
      <c r="G9" s="15">
        <f t="shared" ref="G9:G26" si="0">SUM(D9*F9)</f>
        <v>0</v>
      </c>
      <c r="H9" s="14">
        <v>9210</v>
      </c>
    </row>
    <row r="10" spans="1:9" ht="102" customHeight="1" x14ac:dyDescent="0.2">
      <c r="A10" s="20" t="s">
        <v>408</v>
      </c>
      <c r="B10" s="19" t="s">
        <v>117</v>
      </c>
      <c r="C10" s="18" t="s">
        <v>118</v>
      </c>
      <c r="D10" s="24">
        <v>125000</v>
      </c>
      <c r="E10" s="17" t="s">
        <v>119</v>
      </c>
      <c r="F10" s="16">
        <v>0</v>
      </c>
      <c r="G10" s="15">
        <f t="shared" si="0"/>
        <v>0</v>
      </c>
      <c r="H10" s="14">
        <v>9210</v>
      </c>
    </row>
    <row r="11" spans="1:9" ht="130.5" customHeight="1" x14ac:dyDescent="0.2">
      <c r="A11" s="20" t="s">
        <v>409</v>
      </c>
      <c r="B11" s="19" t="s">
        <v>121</v>
      </c>
      <c r="C11" s="25" t="s">
        <v>122</v>
      </c>
      <c r="D11" s="24">
        <v>5000</v>
      </c>
      <c r="E11" s="17" t="s">
        <v>119</v>
      </c>
      <c r="F11" s="16">
        <v>0</v>
      </c>
      <c r="G11" s="15">
        <f t="shared" si="0"/>
        <v>0</v>
      </c>
      <c r="H11" s="14">
        <v>9210</v>
      </c>
    </row>
    <row r="12" spans="1:9" ht="105.75" customHeight="1" x14ac:dyDescent="0.2">
      <c r="A12" s="20" t="s">
        <v>410</v>
      </c>
      <c r="B12" s="19" t="s">
        <v>124</v>
      </c>
      <c r="C12" s="19" t="s">
        <v>125</v>
      </c>
      <c r="D12" s="24">
        <v>125000</v>
      </c>
      <c r="E12" s="17" t="s">
        <v>119</v>
      </c>
      <c r="F12" s="16">
        <v>0</v>
      </c>
      <c r="G12" s="15">
        <f t="shared" si="0"/>
        <v>0</v>
      </c>
      <c r="H12" s="14">
        <v>9210</v>
      </c>
    </row>
    <row r="13" spans="1:9" ht="38.25" x14ac:dyDescent="0.2">
      <c r="A13" s="20" t="s">
        <v>411</v>
      </c>
      <c r="B13" s="19" t="s">
        <v>127</v>
      </c>
      <c r="C13" s="25" t="s">
        <v>128</v>
      </c>
      <c r="D13" s="24">
        <v>125000</v>
      </c>
      <c r="E13" s="17" t="s">
        <v>119</v>
      </c>
      <c r="F13" s="16">
        <v>0</v>
      </c>
      <c r="G13" s="15">
        <f t="shared" si="0"/>
        <v>0</v>
      </c>
      <c r="H13" s="14">
        <v>9210</v>
      </c>
    </row>
    <row r="14" spans="1:9" ht="127.5" x14ac:dyDescent="0.2">
      <c r="A14" s="20" t="s">
        <v>412</v>
      </c>
      <c r="B14" s="19" t="s">
        <v>130</v>
      </c>
      <c r="C14" s="25" t="s">
        <v>131</v>
      </c>
      <c r="D14" s="24">
        <v>125000</v>
      </c>
      <c r="E14" s="17" t="s">
        <v>119</v>
      </c>
      <c r="F14" s="16">
        <v>0</v>
      </c>
      <c r="G14" s="15">
        <f t="shared" si="0"/>
        <v>0</v>
      </c>
      <c r="H14" s="14">
        <v>9210</v>
      </c>
    </row>
    <row r="15" spans="1:9" ht="53.25" customHeight="1" x14ac:dyDescent="0.2">
      <c r="A15" s="20" t="s">
        <v>413</v>
      </c>
      <c r="B15" s="19" t="s">
        <v>133</v>
      </c>
      <c r="C15" s="28" t="s">
        <v>134</v>
      </c>
      <c r="D15" s="24">
        <v>500</v>
      </c>
      <c r="E15" s="17" t="s">
        <v>115</v>
      </c>
      <c r="F15" s="16">
        <v>0</v>
      </c>
      <c r="G15" s="15">
        <f t="shared" si="0"/>
        <v>0</v>
      </c>
      <c r="H15" s="14">
        <v>9210</v>
      </c>
    </row>
    <row r="16" spans="1:9" ht="65.25" customHeight="1" x14ac:dyDescent="0.2">
      <c r="A16" s="20" t="s">
        <v>414</v>
      </c>
      <c r="B16" s="19" t="s">
        <v>136</v>
      </c>
      <c r="C16" s="25" t="s">
        <v>137</v>
      </c>
      <c r="D16" s="24">
        <v>50000</v>
      </c>
      <c r="E16" s="17" t="s">
        <v>119</v>
      </c>
      <c r="F16" s="16">
        <v>0</v>
      </c>
      <c r="G16" s="15">
        <f t="shared" si="0"/>
        <v>0</v>
      </c>
      <c r="H16" s="14">
        <v>9210</v>
      </c>
    </row>
    <row r="17" spans="1:11" ht="66.75" customHeight="1" x14ac:dyDescent="0.2">
      <c r="A17" s="20" t="s">
        <v>415</v>
      </c>
      <c r="B17" s="19" t="s">
        <v>139</v>
      </c>
      <c r="C17" s="28" t="s">
        <v>140</v>
      </c>
      <c r="D17" s="24">
        <v>500</v>
      </c>
      <c r="E17" s="17" t="s">
        <v>119</v>
      </c>
      <c r="F17" s="16">
        <v>0</v>
      </c>
      <c r="G17" s="15">
        <f t="shared" si="0"/>
        <v>0</v>
      </c>
      <c r="H17" s="14">
        <v>9210</v>
      </c>
    </row>
    <row r="18" spans="1:11" ht="42" customHeight="1" x14ac:dyDescent="0.2">
      <c r="A18" s="20" t="s">
        <v>416</v>
      </c>
      <c r="B18" s="19" t="s">
        <v>142</v>
      </c>
      <c r="C18" s="25" t="s">
        <v>143</v>
      </c>
      <c r="D18" s="24">
        <v>500</v>
      </c>
      <c r="E18" s="17" t="s">
        <v>115</v>
      </c>
      <c r="F18" s="16">
        <v>0</v>
      </c>
      <c r="G18" s="15">
        <f t="shared" si="0"/>
        <v>0</v>
      </c>
      <c r="H18" s="14">
        <v>9210</v>
      </c>
    </row>
    <row r="19" spans="1:11" ht="42" customHeight="1" x14ac:dyDescent="0.2">
      <c r="A19" s="20" t="s">
        <v>417</v>
      </c>
      <c r="B19" s="26" t="s">
        <v>145</v>
      </c>
      <c r="C19" s="27" t="s">
        <v>146</v>
      </c>
      <c r="D19" s="24">
        <v>250000</v>
      </c>
      <c r="E19" s="17" t="s">
        <v>119</v>
      </c>
      <c r="F19" s="16">
        <v>0</v>
      </c>
      <c r="G19" s="15">
        <f t="shared" si="0"/>
        <v>0</v>
      </c>
      <c r="H19" s="14">
        <v>9210</v>
      </c>
    </row>
    <row r="20" spans="1:11" ht="38.25" x14ac:dyDescent="0.2">
      <c r="A20" s="20" t="s">
        <v>418</v>
      </c>
      <c r="B20" s="26" t="s">
        <v>148</v>
      </c>
      <c r="C20" s="26" t="s">
        <v>149</v>
      </c>
      <c r="D20" s="24">
        <v>250000</v>
      </c>
      <c r="E20" s="17" t="s">
        <v>119</v>
      </c>
      <c r="F20" s="16">
        <v>0</v>
      </c>
      <c r="G20" s="15">
        <f t="shared" si="0"/>
        <v>0</v>
      </c>
      <c r="H20" s="14">
        <v>9210</v>
      </c>
    </row>
    <row r="21" spans="1:11" ht="63.75" x14ac:dyDescent="0.2">
      <c r="A21" s="20" t="s">
        <v>419</v>
      </c>
      <c r="B21" s="26" t="s">
        <v>151</v>
      </c>
      <c r="C21" s="26" t="s">
        <v>152</v>
      </c>
      <c r="D21" s="17">
        <v>125</v>
      </c>
      <c r="E21" s="17" t="s">
        <v>115</v>
      </c>
      <c r="F21" s="16">
        <v>0</v>
      </c>
      <c r="G21" s="15">
        <f t="shared" si="0"/>
        <v>0</v>
      </c>
      <c r="H21" s="14">
        <v>9210</v>
      </c>
    </row>
    <row r="22" spans="1:11" ht="51" x14ac:dyDescent="0.2">
      <c r="A22" s="20" t="s">
        <v>420</v>
      </c>
      <c r="B22" s="26" t="s">
        <v>154</v>
      </c>
      <c r="C22" s="26" t="s">
        <v>155</v>
      </c>
      <c r="D22" s="24">
        <v>125000</v>
      </c>
      <c r="E22" s="17" t="s">
        <v>119</v>
      </c>
      <c r="F22" s="16">
        <v>0</v>
      </c>
      <c r="G22" s="15">
        <f t="shared" si="0"/>
        <v>0</v>
      </c>
      <c r="H22" s="14">
        <v>9210</v>
      </c>
    </row>
    <row r="23" spans="1:11" ht="65.25" customHeight="1" x14ac:dyDescent="0.2">
      <c r="A23" s="20" t="s">
        <v>421</v>
      </c>
      <c r="B23" s="26" t="s">
        <v>157</v>
      </c>
      <c r="C23" s="26" t="s">
        <v>158</v>
      </c>
      <c r="D23" s="24">
        <v>125000</v>
      </c>
      <c r="E23" s="17" t="s">
        <v>119</v>
      </c>
      <c r="F23" s="16">
        <v>0</v>
      </c>
      <c r="G23" s="15">
        <f t="shared" si="0"/>
        <v>0</v>
      </c>
      <c r="H23" s="14">
        <v>9210</v>
      </c>
    </row>
    <row r="24" spans="1:11" ht="104.25" customHeight="1" x14ac:dyDescent="0.2">
      <c r="A24" s="20" t="s">
        <v>422</v>
      </c>
      <c r="B24" s="26" t="s">
        <v>160</v>
      </c>
      <c r="C24" s="25" t="s">
        <v>161</v>
      </c>
      <c r="D24" s="24">
        <v>125000</v>
      </c>
      <c r="E24" s="17" t="s">
        <v>119</v>
      </c>
      <c r="F24" s="16">
        <v>0</v>
      </c>
      <c r="G24" s="15">
        <f t="shared" si="0"/>
        <v>0</v>
      </c>
      <c r="H24" s="14">
        <v>9210</v>
      </c>
    </row>
    <row r="25" spans="1:11" ht="80.25" customHeight="1" x14ac:dyDescent="0.2">
      <c r="A25" s="20" t="s">
        <v>423</v>
      </c>
      <c r="B25" s="19" t="s">
        <v>163</v>
      </c>
      <c r="C25" s="19" t="s">
        <v>164</v>
      </c>
      <c r="D25" s="24">
        <v>125000</v>
      </c>
      <c r="E25" s="17" t="s">
        <v>119</v>
      </c>
      <c r="F25" s="16">
        <v>0</v>
      </c>
      <c r="G25" s="15">
        <f t="shared" si="0"/>
        <v>0</v>
      </c>
      <c r="H25" s="14">
        <v>9210</v>
      </c>
    </row>
    <row r="26" spans="1:11" ht="104.25" customHeight="1" x14ac:dyDescent="0.2">
      <c r="A26" s="20" t="s">
        <v>424</v>
      </c>
      <c r="B26" s="19" t="s">
        <v>166</v>
      </c>
      <c r="C26" s="26" t="s">
        <v>167</v>
      </c>
      <c r="D26" s="24">
        <v>50000</v>
      </c>
      <c r="E26" s="17" t="s">
        <v>119</v>
      </c>
      <c r="F26" s="16">
        <v>0</v>
      </c>
      <c r="G26" s="15">
        <f t="shared" si="0"/>
        <v>0</v>
      </c>
      <c r="H26" s="14">
        <v>9210</v>
      </c>
    </row>
    <row r="27" spans="1:11" ht="106.5" customHeight="1" x14ac:dyDescent="0.2">
      <c r="A27" s="20" t="s">
        <v>425</v>
      </c>
      <c r="B27" s="19" t="s">
        <v>169</v>
      </c>
      <c r="C27" s="25" t="s">
        <v>170</v>
      </c>
      <c r="D27" s="24">
        <v>125000</v>
      </c>
      <c r="E27" s="17" t="s">
        <v>119</v>
      </c>
      <c r="F27" s="16">
        <v>0</v>
      </c>
      <c r="G27" s="15">
        <v>0</v>
      </c>
      <c r="H27" s="14">
        <v>9210</v>
      </c>
    </row>
    <row r="28" spans="1:11" ht="51" x14ac:dyDescent="0.2">
      <c r="A28" s="20" t="s">
        <v>426</v>
      </c>
      <c r="B28" s="19" t="s">
        <v>172</v>
      </c>
      <c r="C28" s="25" t="s">
        <v>173</v>
      </c>
      <c r="D28" s="24">
        <v>25000</v>
      </c>
      <c r="E28" s="17" t="s">
        <v>119</v>
      </c>
      <c r="F28" s="16">
        <v>0</v>
      </c>
      <c r="G28" s="15">
        <f>SUM(D28*F28)</f>
        <v>0</v>
      </c>
      <c r="H28" s="14">
        <v>9210</v>
      </c>
    </row>
    <row r="29" spans="1:11" ht="102" x14ac:dyDescent="0.2">
      <c r="A29" s="20" t="s">
        <v>427</v>
      </c>
      <c r="B29" s="19" t="s">
        <v>175</v>
      </c>
      <c r="C29" s="18" t="s">
        <v>176</v>
      </c>
      <c r="D29" s="17">
        <v>125</v>
      </c>
      <c r="E29" s="17" t="s">
        <v>115</v>
      </c>
      <c r="F29" s="16">
        <v>0</v>
      </c>
      <c r="G29" s="15">
        <f>SUM(D29*F29)</f>
        <v>0</v>
      </c>
      <c r="H29" s="14">
        <v>9210</v>
      </c>
    </row>
    <row r="30" spans="1:11" ht="127.5" x14ac:dyDescent="0.2">
      <c r="A30" s="20" t="s">
        <v>428</v>
      </c>
      <c r="B30" s="19" t="s">
        <v>178</v>
      </c>
      <c r="C30" s="23" t="s">
        <v>179</v>
      </c>
      <c r="D30" s="22">
        <v>500</v>
      </c>
      <c r="E30" s="21" t="s">
        <v>115</v>
      </c>
      <c r="F30" s="16">
        <v>0</v>
      </c>
      <c r="G30" s="15">
        <f>SUM(D30*F30)</f>
        <v>0</v>
      </c>
      <c r="H30" s="14">
        <v>9210</v>
      </c>
      <c r="I30" s="13"/>
      <c r="J30" s="13"/>
      <c r="K30" s="13"/>
    </row>
    <row r="31" spans="1:11" ht="25.5" x14ac:dyDescent="0.2">
      <c r="A31" s="20" t="s">
        <v>429</v>
      </c>
      <c r="B31" s="19"/>
      <c r="C31" s="18" t="s">
        <v>181</v>
      </c>
      <c r="D31" s="17"/>
      <c r="E31" s="17" t="s">
        <v>182</v>
      </c>
      <c r="F31" s="16">
        <v>0</v>
      </c>
      <c r="G31" s="15">
        <v>1000000</v>
      </c>
      <c r="H31" s="14">
        <v>9210</v>
      </c>
      <c r="I31" s="13"/>
      <c r="J31" s="13"/>
      <c r="K31" s="13"/>
    </row>
    <row r="32" spans="1:11" ht="14.25" thickBot="1" x14ac:dyDescent="0.25">
      <c r="A32" s="12"/>
      <c r="B32" s="11"/>
      <c r="C32" s="10" t="s">
        <v>183</v>
      </c>
      <c r="D32" s="9"/>
      <c r="E32" s="9"/>
      <c r="F32" s="8"/>
      <c r="G32" s="7">
        <f>SUM(G9:G31)</f>
        <v>1000000</v>
      </c>
      <c r="H32" s="6"/>
    </row>
    <row r="33" spans="5:7" x14ac:dyDescent="0.2">
      <c r="F33" s="5"/>
      <c r="G33" s="5"/>
    </row>
    <row r="34" spans="5:7" x14ac:dyDescent="0.2">
      <c r="F34" s="5"/>
      <c r="G34" s="5"/>
    </row>
    <row r="35" spans="5:7" x14ac:dyDescent="0.2">
      <c r="F35" s="5"/>
      <c r="G35" s="5"/>
    </row>
    <row r="36" spans="5:7" x14ac:dyDescent="0.2">
      <c r="E36" s="3"/>
      <c r="F36" s="5"/>
      <c r="G36" s="5"/>
    </row>
    <row r="37" spans="5:7" x14ac:dyDescent="0.2">
      <c r="F37" s="5"/>
      <c r="G37" s="5"/>
    </row>
    <row r="38" spans="5:7" x14ac:dyDescent="0.2">
      <c r="F38" s="5"/>
      <c r="G38" s="5"/>
    </row>
    <row r="39" spans="5:7" x14ac:dyDescent="0.2">
      <c r="F39" s="5"/>
      <c r="G39" s="5"/>
    </row>
    <row r="40" spans="5:7" x14ac:dyDescent="0.2">
      <c r="F40" s="5"/>
      <c r="G40" s="5"/>
    </row>
    <row r="41" spans="5:7" x14ac:dyDescent="0.2">
      <c r="F41" s="5"/>
      <c r="G41" s="5"/>
    </row>
    <row r="42" spans="5:7" x14ac:dyDescent="0.2">
      <c r="F42" s="5"/>
      <c r="G42" s="5"/>
    </row>
    <row r="43" spans="5:7" x14ac:dyDescent="0.2">
      <c r="F43" s="5"/>
      <c r="G43" s="5"/>
    </row>
    <row r="44" spans="5:7" x14ac:dyDescent="0.2">
      <c r="F44" s="5"/>
      <c r="G44" s="5"/>
    </row>
    <row r="45" spans="5:7" x14ac:dyDescent="0.2">
      <c r="F45" s="5"/>
      <c r="G45" s="5"/>
    </row>
    <row r="46" spans="5:7" x14ac:dyDescent="0.2">
      <c r="F46" s="5"/>
      <c r="G46" s="5"/>
    </row>
    <row r="47" spans="5:7" x14ac:dyDescent="0.2">
      <c r="F47" s="5"/>
      <c r="G47" s="5"/>
    </row>
    <row r="48" spans="5:7" x14ac:dyDescent="0.2">
      <c r="F48" s="5"/>
      <c r="G48" s="5"/>
    </row>
    <row r="49" spans="6:7" x14ac:dyDescent="0.2">
      <c r="F49" s="5"/>
      <c r="G49" s="5"/>
    </row>
    <row r="50" spans="6:7" x14ac:dyDescent="0.2">
      <c r="F50" s="5"/>
      <c r="G50" s="5"/>
    </row>
    <row r="51" spans="6:7" x14ac:dyDescent="0.2">
      <c r="F51" s="5"/>
      <c r="G51" s="5"/>
    </row>
    <row r="52" spans="6:7" x14ac:dyDescent="0.2">
      <c r="F52" s="5"/>
      <c r="G52" s="5"/>
    </row>
    <row r="53" spans="6:7" x14ac:dyDescent="0.2">
      <c r="F53" s="5"/>
      <c r="G53" s="5"/>
    </row>
    <row r="54" spans="6:7" x14ac:dyDescent="0.2">
      <c r="F54" s="5"/>
      <c r="G54" s="5"/>
    </row>
    <row r="55" spans="6:7" x14ac:dyDescent="0.2">
      <c r="F55" s="5"/>
      <c r="G55" s="5"/>
    </row>
    <row r="56" spans="6:7" x14ac:dyDescent="0.2">
      <c r="F56" s="5"/>
      <c r="G56" s="5"/>
    </row>
    <row r="57" spans="6:7" x14ac:dyDescent="0.2">
      <c r="F57" s="5"/>
      <c r="G57" s="5"/>
    </row>
    <row r="58" spans="6:7" x14ac:dyDescent="0.2">
      <c r="F58" s="5"/>
      <c r="G58" s="5"/>
    </row>
    <row r="59" spans="6:7" x14ac:dyDescent="0.2">
      <c r="F59" s="5"/>
      <c r="G59" s="5"/>
    </row>
    <row r="60" spans="6:7" x14ac:dyDescent="0.2">
      <c r="F60" s="5"/>
      <c r="G60" s="5"/>
    </row>
    <row r="61" spans="6:7" x14ac:dyDescent="0.2">
      <c r="F61" s="5"/>
      <c r="G61" s="5"/>
    </row>
    <row r="62" spans="6:7" x14ac:dyDescent="0.2">
      <c r="F62" s="5"/>
      <c r="G62" s="5"/>
    </row>
    <row r="63" spans="6:7" x14ac:dyDescent="0.2">
      <c r="F63" s="5"/>
      <c r="G63" s="5"/>
    </row>
    <row r="64" spans="6:7" x14ac:dyDescent="0.2">
      <c r="F64" s="5"/>
      <c r="G64" s="5"/>
    </row>
    <row r="65" spans="6:7" x14ac:dyDescent="0.2">
      <c r="F65" s="5"/>
      <c r="G65" s="5"/>
    </row>
    <row r="66" spans="6:7" x14ac:dyDescent="0.2">
      <c r="F66" s="5"/>
      <c r="G66" s="5"/>
    </row>
    <row r="67" spans="6:7" x14ac:dyDescent="0.2">
      <c r="F67" s="5"/>
      <c r="G67" s="5"/>
    </row>
    <row r="68" spans="6:7" x14ac:dyDescent="0.2">
      <c r="F68" s="5"/>
      <c r="G68" s="5"/>
    </row>
    <row r="69" spans="6:7" x14ac:dyDescent="0.2">
      <c r="F69" s="5"/>
      <c r="G69" s="5"/>
    </row>
    <row r="70" spans="6:7" x14ac:dyDescent="0.2">
      <c r="F70" s="5"/>
      <c r="G70" s="5"/>
    </row>
    <row r="71" spans="6:7" x14ac:dyDescent="0.2">
      <c r="F71" s="5"/>
      <c r="G71" s="5"/>
    </row>
    <row r="72" spans="6:7" x14ac:dyDescent="0.2">
      <c r="F72" s="5"/>
      <c r="G72" s="5"/>
    </row>
    <row r="73" spans="6:7" x14ac:dyDescent="0.2">
      <c r="F73" s="5"/>
      <c r="G73" s="5"/>
    </row>
    <row r="74" spans="6:7" x14ac:dyDescent="0.2">
      <c r="F74" s="5"/>
      <c r="G74" s="5"/>
    </row>
    <row r="75" spans="6:7" x14ac:dyDescent="0.2">
      <c r="F75" s="5"/>
      <c r="G75" s="5"/>
    </row>
    <row r="76" spans="6:7" x14ac:dyDescent="0.2">
      <c r="F76" s="5"/>
      <c r="G76" s="5"/>
    </row>
    <row r="77" spans="6:7" x14ac:dyDescent="0.2">
      <c r="F77" s="5"/>
      <c r="G77" s="5"/>
    </row>
    <row r="78" spans="6:7" x14ac:dyDescent="0.2">
      <c r="F78" s="5"/>
      <c r="G78" s="5"/>
    </row>
    <row r="79" spans="6:7" x14ac:dyDescent="0.2">
      <c r="F79" s="5"/>
      <c r="G79" s="5"/>
    </row>
    <row r="80" spans="6:7" x14ac:dyDescent="0.2">
      <c r="F80" s="5"/>
      <c r="G80" s="5"/>
    </row>
    <row r="81" spans="6:7" x14ac:dyDescent="0.2">
      <c r="F81" s="5"/>
      <c r="G81" s="5"/>
    </row>
    <row r="82" spans="6:7" x14ac:dyDescent="0.2">
      <c r="F82" s="5"/>
      <c r="G82" s="5"/>
    </row>
    <row r="83" spans="6:7" x14ac:dyDescent="0.2">
      <c r="F83" s="5"/>
      <c r="G83" s="5"/>
    </row>
    <row r="84" spans="6:7" x14ac:dyDescent="0.2">
      <c r="F84" s="5"/>
      <c r="G84" s="5"/>
    </row>
    <row r="85" spans="6:7" x14ac:dyDescent="0.2">
      <c r="F85" s="5"/>
      <c r="G85" s="5"/>
    </row>
    <row r="86" spans="6:7" x14ac:dyDescent="0.2">
      <c r="F86" s="5"/>
      <c r="G86" s="5"/>
    </row>
    <row r="87" spans="6:7" x14ac:dyDescent="0.2">
      <c r="F87" s="5"/>
      <c r="G87" s="5"/>
    </row>
    <row r="88" spans="6:7" x14ac:dyDescent="0.2">
      <c r="F88" s="5"/>
      <c r="G88" s="5"/>
    </row>
    <row r="89" spans="6:7" x14ac:dyDescent="0.2">
      <c r="F89" s="5"/>
      <c r="G89" s="5"/>
    </row>
    <row r="90" spans="6:7" x14ac:dyDescent="0.2">
      <c r="F90" s="5"/>
      <c r="G90" s="5"/>
    </row>
    <row r="91" spans="6:7" x14ac:dyDescent="0.2">
      <c r="F91" s="5"/>
      <c r="G91" s="5"/>
    </row>
    <row r="92" spans="6:7" x14ac:dyDescent="0.2">
      <c r="F92" s="5"/>
      <c r="G92" s="5"/>
    </row>
    <row r="93" spans="6:7" x14ac:dyDescent="0.2">
      <c r="F93" s="5"/>
      <c r="G93" s="5"/>
    </row>
    <row r="94" spans="6:7" x14ac:dyDescent="0.2">
      <c r="F94" s="5"/>
      <c r="G94" s="5"/>
    </row>
    <row r="95" spans="6:7" x14ac:dyDescent="0.2">
      <c r="F95" s="5"/>
      <c r="G95" s="5"/>
    </row>
    <row r="96" spans="6:7" x14ac:dyDescent="0.2">
      <c r="F96" s="5"/>
      <c r="G96" s="5"/>
    </row>
    <row r="97" spans="6:7" x14ac:dyDescent="0.2">
      <c r="F97" s="5"/>
      <c r="G97" s="5"/>
    </row>
    <row r="98" spans="6:7" x14ac:dyDescent="0.2">
      <c r="F98" s="5"/>
      <c r="G98" s="5"/>
    </row>
    <row r="99" spans="6:7" x14ac:dyDescent="0.2">
      <c r="F99" s="5"/>
      <c r="G99" s="5"/>
    </row>
    <row r="100" spans="6:7" x14ac:dyDescent="0.2">
      <c r="F100" s="5"/>
      <c r="G100" s="5"/>
    </row>
    <row r="101" spans="6:7" x14ac:dyDescent="0.2">
      <c r="F101" s="5"/>
      <c r="G101" s="5"/>
    </row>
    <row r="102" spans="6:7" x14ac:dyDescent="0.2">
      <c r="F102" s="5"/>
      <c r="G102" s="5"/>
    </row>
    <row r="103" spans="6:7" x14ac:dyDescent="0.2">
      <c r="F103" s="5"/>
      <c r="G103" s="5"/>
    </row>
    <row r="104" spans="6:7" x14ac:dyDescent="0.2">
      <c r="F104" s="5"/>
      <c r="G104" s="5"/>
    </row>
    <row r="105" spans="6:7" x14ac:dyDescent="0.2">
      <c r="F105" s="5"/>
      <c r="G105" s="5"/>
    </row>
    <row r="106" spans="6:7" x14ac:dyDescent="0.2">
      <c r="F106" s="5"/>
      <c r="G106" s="5"/>
    </row>
    <row r="107" spans="6:7" x14ac:dyDescent="0.2">
      <c r="F107" s="5"/>
      <c r="G107" s="5"/>
    </row>
    <row r="108" spans="6:7" x14ac:dyDescent="0.2">
      <c r="F108" s="5"/>
      <c r="G108" s="5"/>
    </row>
    <row r="109" spans="6:7" x14ac:dyDescent="0.2">
      <c r="F109" s="5"/>
      <c r="G109" s="5"/>
    </row>
    <row r="110" spans="6:7" x14ac:dyDescent="0.2">
      <c r="F110" s="5"/>
      <c r="G110" s="5"/>
    </row>
    <row r="111" spans="6:7" x14ac:dyDescent="0.2">
      <c r="F111" s="5"/>
      <c r="G111" s="5"/>
    </row>
    <row r="112" spans="6:7" x14ac:dyDescent="0.2">
      <c r="F112" s="5"/>
      <c r="G112" s="5"/>
    </row>
    <row r="113" spans="6:7" x14ac:dyDescent="0.2">
      <c r="F113" s="5"/>
      <c r="G113" s="5"/>
    </row>
    <row r="114" spans="6:7" x14ac:dyDescent="0.2">
      <c r="F114" s="5"/>
      <c r="G114" s="5"/>
    </row>
    <row r="115" spans="6:7" x14ac:dyDescent="0.2">
      <c r="F115" s="5"/>
      <c r="G115" s="5"/>
    </row>
    <row r="116" spans="6:7" x14ac:dyDescent="0.2">
      <c r="F116" s="5"/>
      <c r="G116" s="5"/>
    </row>
    <row r="117" spans="6:7" x14ac:dyDescent="0.2">
      <c r="F117" s="5"/>
      <c r="G117" s="5"/>
    </row>
    <row r="118" spans="6:7" x14ac:dyDescent="0.2">
      <c r="F118" s="5"/>
      <c r="G118" s="5"/>
    </row>
    <row r="119" spans="6:7" x14ac:dyDescent="0.2">
      <c r="F119" s="5"/>
      <c r="G119" s="5"/>
    </row>
    <row r="120" spans="6:7" x14ac:dyDescent="0.2">
      <c r="F120" s="5"/>
      <c r="G120" s="5"/>
    </row>
    <row r="121" spans="6:7" x14ac:dyDescent="0.2">
      <c r="F121" s="5"/>
      <c r="G121" s="5"/>
    </row>
    <row r="122" spans="6:7" x14ac:dyDescent="0.2">
      <c r="F122" s="5"/>
      <c r="G122" s="5"/>
    </row>
    <row r="123" spans="6:7" x14ac:dyDescent="0.2">
      <c r="F123" s="5"/>
      <c r="G123" s="5"/>
    </row>
    <row r="124" spans="6:7" x14ac:dyDescent="0.2">
      <c r="F124" s="5"/>
      <c r="G124" s="5"/>
    </row>
    <row r="125" spans="6:7" x14ac:dyDescent="0.2">
      <c r="F125" s="5"/>
      <c r="G125" s="5"/>
    </row>
    <row r="126" spans="6:7" x14ac:dyDescent="0.2">
      <c r="F126" s="5"/>
      <c r="G126" s="5"/>
    </row>
    <row r="127" spans="6:7" x14ac:dyDescent="0.2">
      <c r="F127" s="5"/>
      <c r="G127" s="5"/>
    </row>
    <row r="128" spans="6:7" x14ac:dyDescent="0.2">
      <c r="F128" s="5"/>
      <c r="G128" s="5"/>
    </row>
    <row r="129" spans="6:7" x14ac:dyDescent="0.2">
      <c r="F129" s="5"/>
      <c r="G129" s="5"/>
    </row>
    <row r="130" spans="6:7" x14ac:dyDescent="0.2">
      <c r="F130" s="5"/>
      <c r="G130" s="5"/>
    </row>
    <row r="131" spans="6:7" x14ac:dyDescent="0.2">
      <c r="F131" s="5"/>
      <c r="G131" s="5"/>
    </row>
    <row r="132" spans="6:7" x14ac:dyDescent="0.2">
      <c r="F132" s="5"/>
      <c r="G132" s="5"/>
    </row>
    <row r="133" spans="6:7" x14ac:dyDescent="0.2">
      <c r="F133" s="5"/>
      <c r="G133" s="5"/>
    </row>
    <row r="134" spans="6:7" x14ac:dyDescent="0.2">
      <c r="F134" s="5"/>
      <c r="G134" s="5"/>
    </row>
    <row r="135" spans="6:7" x14ac:dyDescent="0.2">
      <c r="F135" s="5"/>
      <c r="G135" s="5"/>
    </row>
    <row r="136" spans="6:7" x14ac:dyDescent="0.2">
      <c r="F136" s="5"/>
      <c r="G136" s="5"/>
    </row>
    <row r="137" spans="6:7" x14ac:dyDescent="0.2">
      <c r="F137" s="5"/>
      <c r="G137" s="5"/>
    </row>
    <row r="138" spans="6:7" x14ac:dyDescent="0.2">
      <c r="F138" s="5"/>
      <c r="G138" s="5"/>
    </row>
    <row r="139" spans="6:7" x14ac:dyDescent="0.2">
      <c r="F139" s="5"/>
      <c r="G139" s="5"/>
    </row>
    <row r="140" spans="6:7" x14ac:dyDescent="0.2">
      <c r="F140" s="5"/>
      <c r="G140" s="5"/>
    </row>
    <row r="141" spans="6:7" x14ac:dyDescent="0.2">
      <c r="F141" s="5"/>
      <c r="G141" s="5"/>
    </row>
    <row r="142" spans="6:7" x14ac:dyDescent="0.2">
      <c r="F142" s="5"/>
      <c r="G142" s="5"/>
    </row>
    <row r="143" spans="6:7" x14ac:dyDescent="0.2">
      <c r="F143" s="5"/>
      <c r="G143" s="5"/>
    </row>
    <row r="144" spans="6:7" x14ac:dyDescent="0.2">
      <c r="F144" s="5"/>
      <c r="G144" s="5"/>
    </row>
    <row r="145" spans="6:7" x14ac:dyDescent="0.2">
      <c r="F145" s="5"/>
      <c r="G145" s="5"/>
    </row>
    <row r="146" spans="6:7" x14ac:dyDescent="0.2">
      <c r="F146" s="5"/>
      <c r="G146" s="5"/>
    </row>
    <row r="147" spans="6:7" x14ac:dyDescent="0.2">
      <c r="F147" s="5"/>
      <c r="G147" s="5"/>
    </row>
    <row r="148" spans="6:7" x14ac:dyDescent="0.2">
      <c r="F148" s="5"/>
      <c r="G148" s="5"/>
    </row>
    <row r="149" spans="6:7" x14ac:dyDescent="0.2">
      <c r="F149" s="5"/>
      <c r="G149" s="5"/>
    </row>
    <row r="150" spans="6:7" x14ac:dyDescent="0.2">
      <c r="F150" s="5"/>
      <c r="G150" s="5"/>
    </row>
    <row r="151" spans="6:7" x14ac:dyDescent="0.2">
      <c r="F151" s="5"/>
      <c r="G151" s="5"/>
    </row>
    <row r="152" spans="6:7" x14ac:dyDescent="0.2">
      <c r="F152" s="5"/>
      <c r="G152" s="5"/>
    </row>
    <row r="153" spans="6:7" x14ac:dyDescent="0.2">
      <c r="F153" s="5"/>
      <c r="G153" s="5"/>
    </row>
    <row r="154" spans="6:7" x14ac:dyDescent="0.2">
      <c r="F154" s="5"/>
      <c r="G154" s="5"/>
    </row>
    <row r="155" spans="6:7" x14ac:dyDescent="0.2">
      <c r="F155" s="5"/>
      <c r="G155" s="5"/>
    </row>
    <row r="156" spans="6:7" x14ac:dyDescent="0.2">
      <c r="F156" s="5"/>
      <c r="G156" s="5"/>
    </row>
    <row r="157" spans="6:7" x14ac:dyDescent="0.2">
      <c r="F157" s="5"/>
      <c r="G157" s="5"/>
    </row>
    <row r="158" spans="6:7" x14ac:dyDescent="0.2">
      <c r="F158" s="5"/>
      <c r="G158" s="5"/>
    </row>
    <row r="159" spans="6:7" x14ac:dyDescent="0.2">
      <c r="F159" s="5"/>
      <c r="G159" s="5"/>
    </row>
    <row r="160" spans="6:7" x14ac:dyDescent="0.2">
      <c r="F160" s="5"/>
      <c r="G160" s="5"/>
    </row>
    <row r="161" spans="6:7" x14ac:dyDescent="0.2">
      <c r="F161" s="5"/>
      <c r="G161" s="5"/>
    </row>
    <row r="162" spans="6:7" x14ac:dyDescent="0.2">
      <c r="F162" s="5"/>
      <c r="G162" s="5"/>
    </row>
    <row r="163" spans="6:7" x14ac:dyDescent="0.2">
      <c r="F163" s="5"/>
      <c r="G163" s="5"/>
    </row>
    <row r="164" spans="6:7" x14ac:dyDescent="0.2">
      <c r="F164" s="5"/>
      <c r="G164" s="5"/>
    </row>
    <row r="165" spans="6:7" x14ac:dyDescent="0.2">
      <c r="F165" s="5"/>
      <c r="G165" s="5"/>
    </row>
    <row r="166" spans="6:7" x14ac:dyDescent="0.2">
      <c r="F166" s="5"/>
      <c r="G166" s="5"/>
    </row>
    <row r="167" spans="6:7" x14ac:dyDescent="0.2">
      <c r="F167" s="5"/>
      <c r="G167" s="5"/>
    </row>
    <row r="168" spans="6:7" x14ac:dyDescent="0.2">
      <c r="F168" s="5"/>
      <c r="G168" s="5"/>
    </row>
    <row r="169" spans="6:7" x14ac:dyDescent="0.2">
      <c r="F169" s="5"/>
      <c r="G169" s="5"/>
    </row>
    <row r="170" spans="6:7" x14ac:dyDescent="0.2">
      <c r="F170" s="5"/>
      <c r="G170" s="5"/>
    </row>
    <row r="171" spans="6:7" x14ac:dyDescent="0.2">
      <c r="F171" s="5"/>
      <c r="G171" s="5"/>
    </row>
    <row r="172" spans="6:7" x14ac:dyDescent="0.2">
      <c r="F172" s="5"/>
      <c r="G172" s="5"/>
    </row>
    <row r="173" spans="6:7" x14ac:dyDescent="0.2">
      <c r="F173" s="5"/>
      <c r="G173" s="5"/>
    </row>
    <row r="174" spans="6:7" x14ac:dyDescent="0.2">
      <c r="F174" s="5"/>
      <c r="G174" s="5"/>
    </row>
    <row r="175" spans="6:7" x14ac:dyDescent="0.2">
      <c r="F175" s="5"/>
      <c r="G175" s="5"/>
    </row>
    <row r="176" spans="6:7" x14ac:dyDescent="0.2">
      <c r="F176" s="5"/>
      <c r="G176" s="5"/>
    </row>
  </sheetData>
  <mergeCells count="7">
    <mergeCell ref="A7:H7"/>
    <mergeCell ref="A1:H1"/>
    <mergeCell ref="A2:H2"/>
    <mergeCell ref="A3:H3"/>
    <mergeCell ref="A4:H4"/>
    <mergeCell ref="A5:H5"/>
    <mergeCell ref="A6:H6"/>
  </mergeCells>
  <pageMargins left="0.5" right="0.27" top="0.55000000000000004" bottom="0.53" header="0.3" footer="0.31"/>
  <pageSetup scale="96" orientation="landscape" horizontalDpi="4294967293"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B43733C617904C85E87075094A409A" ma:contentTypeVersion="6" ma:contentTypeDescription="Create a new document." ma:contentTypeScope="" ma:versionID="73e35a35c2c7f214fbb5e56dbb63a6c9">
  <xsd:schema xmlns:xsd="http://www.w3.org/2001/XMLSchema" xmlns:xs="http://www.w3.org/2001/XMLSchema" xmlns:p="http://schemas.microsoft.com/office/2006/metadata/properties" xmlns:ns2="df973e7e-d561-4bdc-82b8-7e03e279031b" xmlns:ns3="f983c02f-8e4c-413e-8233-61a43bac8b22" targetNamespace="http://schemas.microsoft.com/office/2006/metadata/properties" ma:root="true" ma:fieldsID="4865145f4f5b251e151e367a266d7e2a" ns2:_="" ns3:_="">
    <xsd:import namespace="df973e7e-d561-4bdc-82b8-7e03e279031b"/>
    <xsd:import namespace="f983c02f-8e4c-413e-8233-61a43bac8b2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973e7e-d561-4bdc-82b8-7e03e27903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83c02f-8e4c-413e-8233-61a43bac8b2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f983c02f-8e4c-413e-8233-61a43bac8b22">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457844-D0C2-4C42-AF85-CF7F9396FF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973e7e-d561-4bdc-82b8-7e03e279031b"/>
    <ds:schemaRef ds:uri="f983c02f-8e4c-413e-8233-61a43bac8b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CA42DE-6F29-4027-BA70-0C3940461897}">
  <ds:schemaRefs>
    <ds:schemaRef ds:uri="http://schemas.microsoft.com/office/2006/metadata/properties"/>
    <ds:schemaRef ds:uri="http://schemas.microsoft.com/office/infopath/2007/PartnerControls"/>
    <ds:schemaRef ds:uri="f983c02f-8e4c-413e-8233-61a43bac8b22"/>
  </ds:schemaRefs>
</ds:datastoreItem>
</file>

<file path=customXml/itemProps3.xml><?xml version="1.0" encoding="utf-8"?>
<ds:datastoreItem xmlns:ds="http://schemas.openxmlformats.org/officeDocument/2006/customXml" ds:itemID="{AA2CB211-3E2B-437A-B9C5-B7EEBDC9F5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RecurringELINs-Base Period</vt:lpstr>
      <vt:lpstr>Non-recurringELINs-Base Period </vt:lpstr>
      <vt:lpstr>RecurringELINs-OY1</vt:lpstr>
      <vt:lpstr>Non-recurringELINs-OY1</vt:lpstr>
      <vt:lpstr>RecurringELINs-OY2</vt:lpstr>
      <vt:lpstr>Non-recurringELINs-OY2</vt:lpstr>
      <vt:lpstr>RecurringELINs-OY3</vt:lpstr>
      <vt:lpstr>Non-recurringELINs-OY3</vt:lpstr>
      <vt:lpstr>RecurringELINs-OY4</vt:lpstr>
      <vt:lpstr>Non-recurringELINs-OY4</vt:lpstr>
      <vt:lpstr>RecurringELINs-6MONTH OPTION</vt:lpstr>
      <vt:lpstr>Non-recurringELINs-6MONTH OPTIO</vt:lpstr>
      <vt:lpstr>'Non-recurringELINs-6MONTH OPTIO'!Print_Area</vt:lpstr>
      <vt:lpstr>'Non-recurringELINs-Base Period '!Print_Area</vt:lpstr>
      <vt:lpstr>'Non-recurringELINs-OY1'!Print_Area</vt:lpstr>
      <vt:lpstr>'Non-recurringELINs-OY2'!Print_Area</vt:lpstr>
      <vt:lpstr>'Non-recurringELINs-OY3'!Print_Area</vt:lpstr>
      <vt:lpstr>'Non-recurringELINs-OY4'!Print_Area</vt:lpstr>
      <vt:lpstr>'Non-recurringELINs-6MONTH OPTIO'!Print_Titles</vt:lpstr>
      <vt:lpstr>'Non-recurringELINs-Base Period '!Print_Titles</vt:lpstr>
      <vt:lpstr>'Non-recurringELINs-OY1'!Print_Titles</vt:lpstr>
      <vt:lpstr>'Non-recurringELINs-OY2'!Print_Titles</vt:lpstr>
      <vt:lpstr>'Non-recurringELINs-OY3'!Print_Titles</vt:lpstr>
      <vt:lpstr>'Non-recurringELINs-OY4'!Print_Titles</vt:lpstr>
    </vt:vector>
  </TitlesOfParts>
  <Manager/>
  <Company>NMCI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Lacidonia, Roxanne L CIV NAVFAC, N40080</dc:creator>
  <cp:keywords/>
  <dc:description/>
  <cp:lastModifiedBy>Gilkes, Shonn M CIV USN NAVFAC WASHINGTON DC (USA)</cp:lastModifiedBy>
  <cp:revision/>
  <dcterms:created xsi:type="dcterms:W3CDTF">2018-01-24T16:15:19Z</dcterms:created>
  <dcterms:modified xsi:type="dcterms:W3CDTF">2026-01-27T15:54:05Z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0x01010030B43733C617904C85E87075094A409A</vt:lpwstr>
  </property>
  <property fmtid="{D5CDD505-2E9C-101B-9397-08002B2CF9AE}" pid="3" name="Order">
    <vt:r8>454100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ies>
</file>