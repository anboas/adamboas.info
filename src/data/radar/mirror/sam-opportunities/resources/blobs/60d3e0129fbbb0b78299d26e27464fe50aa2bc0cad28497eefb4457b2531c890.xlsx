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70" documentId="11_327B5F8C0599455EBEC704DEBD3B2B7E3A611E23" xr6:coauthVersionLast="47" xr6:coauthVersionMax="47" xr10:uidLastSave="{A4B783A8-9259-4E3E-BBDD-89EA50CE7E9B}"/>
  <bookViews>
    <workbookView xWindow="-28920" yWindow="-120" windowWidth="29040" windowHeight="15720" xr2:uid="{00000000-000D-0000-FFFF-FFFF00000000}"/>
  </bookViews>
  <sheets>
    <sheet name="IDIQ Pricing Sheet" sheetId="1" r:id="rId1"/>
  </sheets>
  <definedNames>
    <definedName name="_xlnm._FilterDatabase" localSheetId="0" hidden="1">'IDIQ Pricing Sheet'!$A$2:$G$2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 s="1"/>
  <c r="C14" i="1"/>
  <c r="C13" i="1"/>
  <c r="C12" i="1"/>
  <c r="C11" i="1"/>
  <c r="C17" i="1" l="1"/>
</calcChain>
</file>

<file path=xl/sharedStrings.xml><?xml version="1.0" encoding="utf-8"?>
<sst xmlns="http://schemas.openxmlformats.org/spreadsheetml/2006/main" count="21" uniqueCount="21">
  <si>
    <t>Overall Price View:</t>
  </si>
  <si>
    <t>Base</t>
  </si>
  <si>
    <t>Option 1</t>
  </si>
  <si>
    <t>Option 2</t>
  </si>
  <si>
    <t>Option 3</t>
  </si>
  <si>
    <t>Option 4</t>
  </si>
  <si>
    <t>FAR 52.217-8</t>
  </si>
  <si>
    <t>Total Evaluated Price:</t>
  </si>
  <si>
    <t>Quantity of Hours for Price Evaluation Purposes</t>
  </si>
  <si>
    <t>IDIQ Labor Category</t>
  </si>
  <si>
    <t>Base Year</t>
  </si>
  <si>
    <t>Option Year 1</t>
  </si>
  <si>
    <t>Option Year 2</t>
  </si>
  <si>
    <t>Option Year 3</t>
  </si>
  <si>
    <t>Option Year 4</t>
  </si>
  <si>
    <t>Account/Program Manager</t>
  </si>
  <si>
    <t>Senior Field Engineer/Supervisor</t>
  </si>
  <si>
    <t>Mechanic/Adjuster</t>
  </si>
  <si>
    <t>Elevator Construction Mechanic</t>
  </si>
  <si>
    <t>Helper</t>
  </si>
  <si>
    <t>IDIQ Price List Hourly Ceiling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</si>
</sst>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4" xfId="0" applyFont="1" applyBorder="1"/>
    <xf numFmtId="164" fontId="1" fillId="0" borderId="5" xfId="0" applyNumberFormat="1" applyFont="1" applyBorder="1" applyAlignment="1">
      <alignment horizontal="left"/>
    </xf>
    <xf numFmtId="0" fontId="1" fillId="0" borderId="6" xfId="0" applyFont="1" applyBorder="1"/>
    <xf numFmtId="164" fontId="1" fillId="0" borderId="7" xfId="0" applyNumberFormat="1" applyFont="1" applyBorder="1" applyAlignment="1">
      <alignment horizontal="left"/>
    </xf>
    <xf numFmtId="0" fontId="1" fillId="4" borderId="8" xfId="0" applyFont="1" applyFill="1" applyBorder="1"/>
    <xf numFmtId="164" fontId="1" fillId="4" borderId="9" xfId="0" applyNumberFormat="1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/>
    <xf numFmtId="4" fontId="3" fillId="0" borderId="10" xfId="1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15" zoomScaleNormal="115" workbookViewId="0">
      <selection activeCell="E14" sqref="E14"/>
    </sheetView>
  </sheetViews>
  <sheetFormatPr defaultRowHeight="21" x14ac:dyDescent="0.35"/>
  <cols>
    <col min="1" max="1" width="77" style="1" bestFit="1" customWidth="1"/>
    <col min="2" max="2" width="33.42578125" style="11" bestFit="1" customWidth="1"/>
    <col min="3" max="7" width="20.7109375" style="1" customWidth="1"/>
    <col min="8" max="16384" width="9.140625" style="1"/>
  </cols>
  <sheetData>
    <row r="1" spans="1:7" x14ac:dyDescent="0.35">
      <c r="A1" s="20" t="s">
        <v>20</v>
      </c>
      <c r="B1" s="20"/>
      <c r="C1" s="20"/>
      <c r="D1" s="20"/>
      <c r="E1" s="20"/>
      <c r="F1" s="20"/>
      <c r="G1" s="20"/>
    </row>
    <row r="2" spans="1:7" ht="42" x14ac:dyDescent="0.35">
      <c r="A2" s="8" t="s">
        <v>9</v>
      </c>
      <c r="B2" s="9" t="s">
        <v>8</v>
      </c>
      <c r="C2" s="16" t="s">
        <v>10</v>
      </c>
      <c r="D2" s="16" t="s">
        <v>11</v>
      </c>
      <c r="E2" s="16" t="s">
        <v>12</v>
      </c>
      <c r="F2" s="16" t="s">
        <v>13</v>
      </c>
      <c r="G2" s="17" t="s">
        <v>14</v>
      </c>
    </row>
    <row r="3" spans="1:7" x14ac:dyDescent="0.35">
      <c r="A3" s="12" t="s">
        <v>15</v>
      </c>
      <c r="B3" s="13">
        <v>1000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</row>
    <row r="4" spans="1:7" x14ac:dyDescent="0.35">
      <c r="A4" s="12" t="s">
        <v>16</v>
      </c>
      <c r="B4" s="13">
        <v>1000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</row>
    <row r="5" spans="1:7" x14ac:dyDescent="0.35">
      <c r="A5" s="12" t="s">
        <v>17</v>
      </c>
      <c r="B5" s="13">
        <v>1000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</row>
    <row r="6" spans="1:7" x14ac:dyDescent="0.35">
      <c r="A6" s="12" t="s">
        <v>18</v>
      </c>
      <c r="B6" s="13">
        <v>1000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</row>
    <row r="7" spans="1:7" x14ac:dyDescent="0.35">
      <c r="A7" s="12" t="s">
        <v>19</v>
      </c>
      <c r="B7" s="13">
        <v>1000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9" spans="1:7" ht="21.75" thickBot="1" x14ac:dyDescent="0.4">
      <c r="A9" s="15"/>
    </row>
    <row r="10" spans="1:7" x14ac:dyDescent="0.35">
      <c r="A10" s="15"/>
      <c r="B10" s="18" t="s">
        <v>0</v>
      </c>
      <c r="C10" s="19"/>
    </row>
    <row r="11" spans="1:7" x14ac:dyDescent="0.35">
      <c r="A11" s="10"/>
      <c r="B11" s="2" t="s">
        <v>1</v>
      </c>
      <c r="C11" s="3">
        <f>SUMPRODUCT(B3:B7,C3:C7)</f>
        <v>0</v>
      </c>
    </row>
    <row r="12" spans="1:7" x14ac:dyDescent="0.35">
      <c r="B12" s="2" t="s">
        <v>2</v>
      </c>
      <c r="C12" s="3">
        <f>SUMPRODUCT(B3:B7,D3:D7)</f>
        <v>0</v>
      </c>
    </row>
    <row r="13" spans="1:7" x14ac:dyDescent="0.35">
      <c r="B13" s="2" t="s">
        <v>3</v>
      </c>
      <c r="C13" s="3">
        <f>SUMPRODUCT(B3:B7,E3:E7)</f>
        <v>0</v>
      </c>
    </row>
    <row r="14" spans="1:7" x14ac:dyDescent="0.35">
      <c r="B14" s="2" t="s">
        <v>4</v>
      </c>
      <c r="C14" s="3">
        <f>SUMPRODUCT(B3:B7,F3:F7)</f>
        <v>0</v>
      </c>
    </row>
    <row r="15" spans="1:7" x14ac:dyDescent="0.35">
      <c r="B15" s="2" t="s">
        <v>5</v>
      </c>
      <c r="C15" s="3">
        <f>SUMPRODUCT(B3:B7,G3:G7)</f>
        <v>0</v>
      </c>
    </row>
    <row r="16" spans="1:7" ht="21.75" thickBot="1" x14ac:dyDescent="0.4">
      <c r="B16" s="4" t="s">
        <v>6</v>
      </c>
      <c r="C16" s="5">
        <f>C15/2</f>
        <v>0</v>
      </c>
    </row>
    <row r="17" spans="2:3" ht="21.75" thickBot="1" x14ac:dyDescent="0.4">
      <c r="B17" s="6" t="s">
        <v>7</v>
      </c>
      <c r="C17" s="7">
        <f>SUM(C11:C16)</f>
        <v>0</v>
      </c>
    </row>
  </sheetData>
  <autoFilter ref="A2:G2" xr:uid="{00000000-0001-0000-0000-000000000000}"/>
  <mergeCells count="2">
    <mergeCell ref="B10:C10"/>
    <mergeCell ref="A1:G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23269ecb-0d43-47e8-a7cf-8956ce927ad6}" enabled="1" method="Standard" siteId="{0a055e7f-2ab5-47dc-bcdc-dc3c81f1b1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IDIQ Pricing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269ecb-0d43-47e8-a7cf-8956ce927ad6_Enabled">
    <vt:lpwstr>true</vt:lpwstr>
  </property>
  <property fmtid="{D5CDD505-2E9C-101B-9397-08002B2CF9AE}" pid="3" name="MSIP_Label_23269ecb-0d43-47e8-a7cf-8956ce927ad6_SetDate">
    <vt:lpwstr>2023-10-13T14:16:22Z</vt:lpwstr>
  </property>
  <property fmtid="{D5CDD505-2E9C-101B-9397-08002B2CF9AE}" pid="4" name="MSIP_Label_23269ecb-0d43-47e8-a7cf-8956ce927ad6_Method">
    <vt:lpwstr>Standard</vt:lpwstr>
  </property>
  <property fmtid="{D5CDD505-2E9C-101B-9397-08002B2CF9AE}" pid="5" name="MSIP_Label_23269ecb-0d43-47e8-a7cf-8956ce927ad6_Name">
    <vt:lpwstr>defa4170-0d19-0005-0004-bc88714345d2</vt:lpwstr>
  </property>
  <property fmtid="{D5CDD505-2E9C-101B-9397-08002B2CF9AE}" pid="6" name="MSIP_Label_23269ecb-0d43-47e8-a7cf-8956ce927ad6_SiteId">
    <vt:lpwstr>0a055e7f-2ab5-47dc-bcdc-dc3c81f1b177</vt:lpwstr>
  </property>
  <property fmtid="{D5CDD505-2E9C-101B-9397-08002B2CF9AE}" pid="7" name="MSIP_Label_23269ecb-0d43-47e8-a7cf-8956ce927ad6_ActionId">
    <vt:lpwstr>1fb96fb1-003c-4b81-a3c1-12b3b3cbc819</vt:lpwstr>
  </property>
  <property fmtid="{D5CDD505-2E9C-101B-9397-08002B2CF9AE}" pid="8" name="MSIP_Label_23269ecb-0d43-47e8-a7cf-8956ce927ad6_ContentBits">
    <vt:lpwstr>0</vt:lpwstr>
  </property>
</Properties>
</file>