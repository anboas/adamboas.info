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filterPrivacy="1" codeName="ThisWorkbook"/>
  <xr:revisionPtr revIDLastSave="72" documentId="8_{26373A9F-E980-4F0B-9DB0-31BC3CDD186C}" xr6:coauthVersionLast="47" xr6:coauthVersionMax="47" xr10:uidLastSave="{4AAA8B7D-9C68-4709-94BB-B857AB744F81}"/>
  <bookViews>
    <workbookView xWindow="-120" yWindow="120" windowWidth="29040" windowHeight="15480" xr2:uid="{B3D1446F-EF62-4048-8D11-16B6EFEDD596}"/>
    <workbookView xWindow="-120" yWindow="120" windowWidth="29040" windowHeight="15480" activeTab="4" xr2:uid="{FB2EE22D-EF91-46A5-A134-C16A00E28B5D}"/>
  </bookViews>
  <sheets>
    <sheet name="Subcontractor Instructions" sheetId="38" r:id="rId1"/>
    <sheet name="Subcontractor Labor Build" sheetId="36" r:id="rId2"/>
    <sheet name="Escalation" sheetId="13" r:id="rId3"/>
    <sheet name="DBA" sheetId="39" r:id="rId4"/>
    <sheet name="Sub FBLR" sheetId="3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7" i="37" l="1"/>
  <c r="G167" i="37"/>
  <c r="F131" i="37"/>
  <c r="G131" i="37"/>
  <c r="F59" i="37"/>
  <c r="G59" i="37"/>
  <c r="F42" i="37"/>
  <c r="G42" i="37"/>
  <c r="F23" i="37"/>
  <c r="G23" i="37"/>
  <c r="F6" i="37"/>
  <c r="G6" i="37"/>
  <c r="F150" i="37"/>
  <c r="G150" i="37"/>
  <c r="F114" i="37"/>
  <c r="G114" i="37"/>
  <c r="F95" i="37"/>
  <c r="G95" i="37"/>
  <c r="F78" i="37"/>
  <c r="G78" i="37"/>
  <c r="L7" i="36"/>
  <c r="J7" i="36"/>
  <c r="M13" i="36"/>
  <c r="J14" i="36"/>
  <c r="F181" i="37"/>
  <c r="F180" i="37"/>
  <c r="F179" i="37"/>
  <c r="F178" i="37"/>
  <c r="F177" i="37"/>
  <c r="F176" i="37"/>
  <c r="F175" i="37"/>
  <c r="F174" i="37"/>
  <c r="F173" i="37"/>
  <c r="F172" i="37"/>
  <c r="F171" i="37"/>
  <c r="F170" i="37"/>
  <c r="F169" i="37"/>
  <c r="F168" i="37"/>
  <c r="F166" i="37"/>
  <c r="F164" i="37"/>
  <c r="F163" i="37"/>
  <c r="F162" i="37"/>
  <c r="F161" i="37"/>
  <c r="F160" i="37"/>
  <c r="F159" i="37"/>
  <c r="F158" i="37"/>
  <c r="F157" i="37"/>
  <c r="F156" i="37"/>
  <c r="F155" i="37"/>
  <c r="F154" i="37"/>
  <c r="F153" i="37"/>
  <c r="F152" i="37"/>
  <c r="F151" i="37"/>
  <c r="F149" i="37"/>
  <c r="F148" i="37"/>
  <c r="F145" i="37"/>
  <c r="F144" i="37"/>
  <c r="F143" i="37"/>
  <c r="F142" i="37"/>
  <c r="F141" i="37"/>
  <c r="F140" i="37"/>
  <c r="F139" i="37"/>
  <c r="F138" i="37"/>
  <c r="F137" i="37"/>
  <c r="F136" i="37"/>
  <c r="F135" i="37"/>
  <c r="F134" i="37"/>
  <c r="F133" i="37"/>
  <c r="F132" i="37"/>
  <c r="F130" i="37"/>
  <c r="F128" i="37"/>
  <c r="F127" i="37"/>
  <c r="F126" i="37"/>
  <c r="F125" i="37"/>
  <c r="F124" i="37"/>
  <c r="F123" i="37"/>
  <c r="F122" i="37"/>
  <c r="F121" i="37"/>
  <c r="F120" i="37"/>
  <c r="F119" i="37"/>
  <c r="F118" i="37"/>
  <c r="F117" i="37"/>
  <c r="F116" i="37"/>
  <c r="F115" i="37"/>
  <c r="F113" i="37"/>
  <c r="F112" i="37"/>
  <c r="F109" i="37"/>
  <c r="F108" i="37"/>
  <c r="F107" i="37"/>
  <c r="F106" i="37"/>
  <c r="F105" i="37"/>
  <c r="F104" i="37"/>
  <c r="F103" i="37"/>
  <c r="F102" i="37"/>
  <c r="F101" i="37"/>
  <c r="F100" i="37"/>
  <c r="F99" i="37"/>
  <c r="F98" i="37"/>
  <c r="F97" i="37"/>
  <c r="F96" i="37"/>
  <c r="F94" i="37"/>
  <c r="F92" i="37"/>
  <c r="F91" i="37"/>
  <c r="F90" i="37"/>
  <c r="F89" i="37"/>
  <c r="F88" i="37"/>
  <c r="F87" i="37"/>
  <c r="F86" i="37"/>
  <c r="F85" i="37"/>
  <c r="F84" i="37"/>
  <c r="F83" i="37"/>
  <c r="F82" i="37"/>
  <c r="F81" i="37"/>
  <c r="F80" i="37"/>
  <c r="F79" i="37"/>
  <c r="F77" i="37"/>
  <c r="F76" i="37"/>
  <c r="F73" i="37"/>
  <c r="F72" i="37"/>
  <c r="F71" i="37"/>
  <c r="F70" i="37"/>
  <c r="F69" i="37"/>
  <c r="F68" i="37"/>
  <c r="F67" i="37"/>
  <c r="F66" i="37"/>
  <c r="F65" i="37"/>
  <c r="F64" i="37"/>
  <c r="F63" i="37"/>
  <c r="F62" i="37"/>
  <c r="F61" i="37"/>
  <c r="F60" i="37"/>
  <c r="F58" i="37"/>
  <c r="F56" i="37"/>
  <c r="F55" i="37"/>
  <c r="F54" i="37"/>
  <c r="F53" i="37"/>
  <c r="F52" i="37"/>
  <c r="F51" i="37"/>
  <c r="F50" i="37"/>
  <c r="F49" i="37"/>
  <c r="F48" i="37"/>
  <c r="F47" i="37"/>
  <c r="F46" i="37"/>
  <c r="F45" i="37"/>
  <c r="F44" i="37"/>
  <c r="F43" i="37"/>
  <c r="F41" i="37"/>
  <c r="F40" i="37"/>
  <c r="F37" i="37"/>
  <c r="F36" i="37"/>
  <c r="F35" i="37"/>
  <c r="F34" i="37"/>
  <c r="F33" i="37"/>
  <c r="F32" i="37"/>
  <c r="F31" i="37"/>
  <c r="F30" i="37"/>
  <c r="F29" i="37"/>
  <c r="F28" i="37"/>
  <c r="F27" i="37"/>
  <c r="F26" i="37"/>
  <c r="F25" i="37"/>
  <c r="F24" i="37"/>
  <c r="F22" i="37"/>
  <c r="F20" i="37"/>
  <c r="F19" i="37"/>
  <c r="F18" i="37"/>
  <c r="F17" i="37"/>
  <c r="F16" i="37"/>
  <c r="F15" i="37"/>
  <c r="F14" i="37"/>
  <c r="F13" i="37"/>
  <c r="F12" i="37"/>
  <c r="F11" i="37"/>
  <c r="F10" i="37"/>
  <c r="F9" i="37"/>
  <c r="F8" i="37"/>
  <c r="F7" i="37"/>
  <c r="F5" i="37"/>
  <c r="F4" i="37"/>
  <c r="P7" i="36" l="1"/>
  <c r="Q7" i="36" s="1"/>
  <c r="M7" i="36"/>
  <c r="N7" i="36"/>
  <c r="O7" i="36"/>
  <c r="L14" i="36"/>
  <c r="N14" i="36" s="1"/>
  <c r="J33" i="36"/>
  <c r="J32" i="36"/>
  <c r="J31" i="36"/>
  <c r="J30" i="36"/>
  <c r="J29" i="36"/>
  <c r="J28" i="36"/>
  <c r="J27" i="36"/>
  <c r="J26" i="36"/>
  <c r="J25" i="36"/>
  <c r="J23" i="36"/>
  <c r="J38" i="36"/>
  <c r="J37" i="36"/>
  <c r="J36" i="36"/>
  <c r="J35" i="36"/>
  <c r="J34" i="36"/>
  <c r="J21" i="36"/>
  <c r="J20" i="36"/>
  <c r="J19" i="36"/>
  <c r="J18" i="36"/>
  <c r="J17" i="36"/>
  <c r="L17" i="36" s="1"/>
  <c r="J16" i="36"/>
  <c r="J15" i="36"/>
  <c r="J13" i="36"/>
  <c r="J12" i="36"/>
  <c r="L12" i="36" s="1"/>
  <c r="J11" i="36"/>
  <c r="J10" i="36"/>
  <c r="J8" i="36"/>
  <c r="J6" i="36"/>
  <c r="J5" i="36"/>
  <c r="T7" i="36" l="1"/>
  <c r="S7" i="36"/>
  <c r="V7" i="36" s="1"/>
  <c r="R7" i="36"/>
  <c r="U7" i="36" s="1"/>
  <c r="M14" i="36"/>
  <c r="L15" i="36"/>
  <c r="N15" i="36" s="1"/>
  <c r="L16" i="36"/>
  <c r="N17" i="36"/>
  <c r="M17" i="36"/>
  <c r="O17" i="36" s="1"/>
  <c r="P17" i="36" s="1"/>
  <c r="L18" i="36"/>
  <c r="N18" i="36"/>
  <c r="L20" i="36"/>
  <c r="N20" i="36" s="1"/>
  <c r="L21" i="36"/>
  <c r="N21" i="36" s="1"/>
  <c r="K30" i="36"/>
  <c r="L30" i="36"/>
  <c r="K34" i="36"/>
  <c r="K31" i="36"/>
  <c r="L31" i="36" s="1"/>
  <c r="K35" i="36"/>
  <c r="L35" i="36" s="1"/>
  <c r="K32" i="36"/>
  <c r="L32" i="36"/>
  <c r="K29" i="36"/>
  <c r="L29" i="36"/>
  <c r="K36" i="36"/>
  <c r="L36" i="36" s="1"/>
  <c r="N36" i="36" s="1"/>
  <c r="K33" i="36"/>
  <c r="L33" i="36"/>
  <c r="K38" i="36"/>
  <c r="L38" i="36" s="1"/>
  <c r="K37" i="36"/>
  <c r="L37" i="36" s="1"/>
  <c r="M37" i="36" s="1"/>
  <c r="K25" i="36"/>
  <c r="K26" i="36"/>
  <c r="L26" i="36" s="1"/>
  <c r="N26" i="36" s="1"/>
  <c r="K27" i="36"/>
  <c r="L27" i="36"/>
  <c r="K28" i="36"/>
  <c r="L28" i="36" s="1"/>
  <c r="M28" i="36" s="1"/>
  <c r="L19" i="36"/>
  <c r="N19" i="36"/>
  <c r="L10" i="36"/>
  <c r="N10" i="36" s="1"/>
  <c r="L11" i="36"/>
  <c r="N12" i="36"/>
  <c r="M12" i="36"/>
  <c r="L13" i="36"/>
  <c r="N13" i="36" s="1"/>
  <c r="J9" i="36"/>
  <c r="L5" i="36"/>
  <c r="N5" i="36" s="1"/>
  <c r="L6" i="36"/>
  <c r="M6" i="36" s="1"/>
  <c r="L8" i="36"/>
  <c r="O12" i="36" l="1"/>
  <c r="P12" i="36" s="1"/>
  <c r="M30" i="36"/>
  <c r="M29" i="36"/>
  <c r="M31" i="36"/>
  <c r="N30" i="36"/>
  <c r="M26" i="36"/>
  <c r="O26" i="36" s="1"/>
  <c r="P26" i="36" s="1"/>
  <c r="O14" i="36"/>
  <c r="P14" i="36" s="1"/>
  <c r="M15" i="36"/>
  <c r="O15" i="36" s="1"/>
  <c r="M16" i="36"/>
  <c r="N16" i="36"/>
  <c r="M18" i="36"/>
  <c r="M20" i="36"/>
  <c r="O20" i="36" s="1"/>
  <c r="M21" i="36"/>
  <c r="O21" i="36" s="1"/>
  <c r="P21" i="36" s="1"/>
  <c r="M38" i="36"/>
  <c r="M32" i="36"/>
  <c r="N27" i="36"/>
  <c r="L25" i="36"/>
  <c r="N25" i="36" s="1"/>
  <c r="M36" i="36"/>
  <c r="O36" i="36" s="1"/>
  <c r="L34" i="36"/>
  <c r="M34" i="36" s="1"/>
  <c r="M35" i="36"/>
  <c r="N35" i="36"/>
  <c r="N28" i="36"/>
  <c r="O28" i="36" s="1"/>
  <c r="N37" i="36"/>
  <c r="O37" i="36" s="1"/>
  <c r="P37" i="36" s="1"/>
  <c r="N33" i="36"/>
  <c r="N29" i="36"/>
  <c r="M33" i="36"/>
  <c r="N31" i="36"/>
  <c r="N38" i="36"/>
  <c r="N32" i="36"/>
  <c r="M27" i="36"/>
  <c r="M10" i="36"/>
  <c r="O10" i="36"/>
  <c r="P10" i="36" s="1"/>
  <c r="M19" i="36"/>
  <c r="O19" i="36" s="1"/>
  <c r="L9" i="36"/>
  <c r="N9" i="36" s="1"/>
  <c r="O13" i="36"/>
  <c r="M11" i="36"/>
  <c r="N11" i="36"/>
  <c r="N6" i="36"/>
  <c r="M5" i="36"/>
  <c r="M8" i="36"/>
  <c r="N8" i="36"/>
  <c r="O31" i="36" l="1"/>
  <c r="P31" i="36" s="1"/>
  <c r="O29" i="36"/>
  <c r="P29" i="36" s="1"/>
  <c r="O30" i="36"/>
  <c r="P30" i="36" s="1"/>
  <c r="P20" i="36"/>
  <c r="O16" i="36"/>
  <c r="P16" i="36" s="1"/>
  <c r="P15" i="36"/>
  <c r="O18" i="36"/>
  <c r="O27" i="36"/>
  <c r="P27" i="36" s="1"/>
  <c r="O32" i="36"/>
  <c r="P32" i="36" s="1"/>
  <c r="O35" i="36"/>
  <c r="P35" i="36" s="1"/>
  <c r="O38" i="36"/>
  <c r="P38" i="36" s="1"/>
  <c r="P36" i="36"/>
  <c r="N34" i="36"/>
  <c r="O34" i="36" s="1"/>
  <c r="P28" i="36"/>
  <c r="M25" i="36"/>
  <c r="O25" i="36" s="1"/>
  <c r="O33" i="36"/>
  <c r="P33" i="36" s="1"/>
  <c r="Q33" i="36" s="1"/>
  <c r="P13" i="36"/>
  <c r="Q13" i="36" s="1"/>
  <c r="M9" i="36"/>
  <c r="O9" i="36" s="1"/>
  <c r="O11" i="36"/>
  <c r="P11" i="36" s="1"/>
  <c r="P19" i="36"/>
  <c r="O6" i="36"/>
  <c r="Q12" i="36"/>
  <c r="T12" i="36" s="1"/>
  <c r="O5" i="36"/>
  <c r="P5" i="36" s="1"/>
  <c r="Q5" i="36" s="1"/>
  <c r="Q10" i="36"/>
  <c r="T10" i="36" s="1"/>
  <c r="O8" i="36"/>
  <c r="Q16" i="36" l="1"/>
  <c r="T16" i="36" s="1"/>
  <c r="Q29" i="36"/>
  <c r="R29" i="36" s="1"/>
  <c r="U29" i="36" s="1"/>
  <c r="P18" i="36"/>
  <c r="Q18" i="36" s="1"/>
  <c r="Q32" i="36"/>
  <c r="R32" i="36" s="1"/>
  <c r="U32" i="36" s="1"/>
  <c r="P25" i="36"/>
  <c r="P34" i="36"/>
  <c r="P9" i="36"/>
  <c r="P6" i="36"/>
  <c r="Q9" i="36" s="1"/>
  <c r="T9" i="36" s="1"/>
  <c r="Q20" i="36"/>
  <c r="R20" i="36" s="1"/>
  <c r="U20" i="36" s="1"/>
  <c r="R12" i="36"/>
  <c r="U12" i="36" s="1"/>
  <c r="Q15" i="36"/>
  <c r="T15" i="36" s="1"/>
  <c r="R10" i="36"/>
  <c r="U10" i="36" s="1"/>
  <c r="P8" i="36"/>
  <c r="Q17" i="36" s="1"/>
  <c r="R17" i="36" s="1"/>
  <c r="U17" i="36" s="1"/>
  <c r="Q19" i="36"/>
  <c r="R5" i="36"/>
  <c r="U5" i="36" s="1"/>
  <c r="T5" i="36"/>
  <c r="Q35" i="36"/>
  <c r="T35" i="36" s="1"/>
  <c r="Q21" i="36"/>
  <c r="T21" i="36" s="1"/>
  <c r="T13" i="36"/>
  <c r="R13" i="36"/>
  <c r="U13" i="36" s="1"/>
  <c r="T33" i="36"/>
  <c r="R33" i="36"/>
  <c r="U33" i="36" s="1"/>
  <c r="Q27" i="36"/>
  <c r="R16" i="36" l="1"/>
  <c r="U16" i="36" s="1"/>
  <c r="T29" i="36"/>
  <c r="S29" i="36"/>
  <c r="V29" i="36" s="1"/>
  <c r="T32" i="36"/>
  <c r="R18" i="36"/>
  <c r="U18" i="36" s="1"/>
  <c r="T18" i="36"/>
  <c r="S32" i="36"/>
  <c r="V32" i="36" s="1"/>
  <c r="T20" i="36"/>
  <c r="Q6" i="36"/>
  <c r="T6" i="36" s="1"/>
  <c r="R9" i="36"/>
  <c r="U9" i="36" s="1"/>
  <c r="Q8" i="36"/>
  <c r="T8" i="36" s="1"/>
  <c r="S20" i="36"/>
  <c r="G19" i="37" s="1"/>
  <c r="R15" i="36"/>
  <c r="U15" i="36" s="1"/>
  <c r="Q38" i="36"/>
  <c r="S12" i="36"/>
  <c r="V12" i="36" s="1"/>
  <c r="R35" i="36"/>
  <c r="U35" i="36" s="1"/>
  <c r="Q36" i="36"/>
  <c r="R36" i="36" s="1"/>
  <c r="U36" i="36" s="1"/>
  <c r="R19" i="36"/>
  <c r="U19" i="36" s="1"/>
  <c r="T19" i="36"/>
  <c r="Q11" i="36"/>
  <c r="T11" i="36" s="1"/>
  <c r="S10" i="36"/>
  <c r="T17" i="36"/>
  <c r="S17" i="36"/>
  <c r="Q34" i="36"/>
  <c r="T34" i="36" s="1"/>
  <c r="Q14" i="36"/>
  <c r="S5" i="36"/>
  <c r="R21" i="36"/>
  <c r="Q37" i="36"/>
  <c r="T37" i="36" s="1"/>
  <c r="Q30" i="36"/>
  <c r="R27" i="36"/>
  <c r="U27" i="36" s="1"/>
  <c r="T27" i="36"/>
  <c r="S13" i="36"/>
  <c r="S33" i="36"/>
  <c r="S18" i="36" l="1"/>
  <c r="G28" i="37"/>
  <c r="S16" i="36"/>
  <c r="V16" i="36" s="1"/>
  <c r="G31" i="37"/>
  <c r="R8" i="36"/>
  <c r="U8" i="36" s="1"/>
  <c r="V20" i="36"/>
  <c r="R6" i="36"/>
  <c r="U6" i="36" s="1"/>
  <c r="S9" i="36"/>
  <c r="V9" i="36" s="1"/>
  <c r="Q31" i="36"/>
  <c r="R31" i="36" s="1"/>
  <c r="U31" i="36" s="1"/>
  <c r="T38" i="36"/>
  <c r="R38" i="36"/>
  <c r="U38" i="36" s="1"/>
  <c r="S15" i="36"/>
  <c r="V15" i="36" s="1"/>
  <c r="G11" i="37"/>
  <c r="S27" i="36"/>
  <c r="G26" i="37" s="1"/>
  <c r="T36" i="36"/>
  <c r="Q28" i="36"/>
  <c r="R28" i="36" s="1"/>
  <c r="U28" i="36" s="1"/>
  <c r="R34" i="36"/>
  <c r="U34" i="36" s="1"/>
  <c r="V17" i="36"/>
  <c r="G16" i="37"/>
  <c r="V33" i="36"/>
  <c r="G32" i="37"/>
  <c r="V10" i="36"/>
  <c r="G9" i="37"/>
  <c r="S35" i="36"/>
  <c r="G34" i="37" s="1"/>
  <c r="V18" i="36"/>
  <c r="G17" i="37"/>
  <c r="V13" i="36"/>
  <c r="G12" i="37"/>
  <c r="V5" i="36"/>
  <c r="G4" i="37"/>
  <c r="Q25" i="36"/>
  <c r="R25" i="36" s="1"/>
  <c r="U25" i="36" s="1"/>
  <c r="R37" i="36"/>
  <c r="U37" i="36" s="1"/>
  <c r="R11" i="36"/>
  <c r="U11" i="36" s="1"/>
  <c r="R14" i="36"/>
  <c r="T14" i="36"/>
  <c r="S36" i="36"/>
  <c r="S19" i="36"/>
  <c r="U21" i="36"/>
  <c r="S21" i="36"/>
  <c r="R30" i="36"/>
  <c r="U30" i="36" s="1"/>
  <c r="T30" i="36"/>
  <c r="G15" i="37" l="1"/>
  <c r="S8" i="36"/>
  <c r="V8" i="36" s="1"/>
  <c r="T31" i="36"/>
  <c r="S6" i="36"/>
  <c r="V6" i="36" s="1"/>
  <c r="G14" i="37"/>
  <c r="T28" i="36"/>
  <c r="G8" i="37"/>
  <c r="V27" i="36"/>
  <c r="S31" i="36"/>
  <c r="G30" i="37" s="1"/>
  <c r="S38" i="36"/>
  <c r="V38" i="36" s="1"/>
  <c r="S34" i="36"/>
  <c r="V34" i="36" s="1"/>
  <c r="V36" i="36"/>
  <c r="G35" i="37"/>
  <c r="V21" i="36"/>
  <c r="G20" i="37"/>
  <c r="V35" i="36"/>
  <c r="V19" i="36"/>
  <c r="G18" i="37"/>
  <c r="T25" i="36"/>
  <c r="S30" i="36"/>
  <c r="S11" i="36"/>
  <c r="S37" i="36"/>
  <c r="U14" i="36"/>
  <c r="S14" i="36"/>
  <c r="S28" i="36"/>
  <c r="S25" i="36"/>
  <c r="G7" i="37" l="1"/>
  <c r="G5" i="37"/>
  <c r="V31" i="36"/>
  <c r="G37" i="37"/>
  <c r="G33" i="37"/>
  <c r="V11" i="36"/>
  <c r="G10" i="37"/>
  <c r="V37" i="36"/>
  <c r="G36" i="37"/>
  <c r="V25" i="36"/>
  <c r="G24" i="37"/>
  <c r="V28" i="36"/>
  <c r="G27" i="37"/>
  <c r="V30" i="36"/>
  <c r="G29" i="37"/>
  <c r="V14" i="36"/>
  <c r="G13" i="37"/>
  <c r="K23" i="36" l="1"/>
  <c r="L23" i="36" l="1"/>
  <c r="N23" i="36" l="1"/>
  <c r="M23" i="36"/>
  <c r="O23" i="36" l="1"/>
  <c r="P23" i="36" s="1"/>
  <c r="Q26" i="36" l="1"/>
  <c r="Q23" i="36"/>
  <c r="T23" i="36" l="1"/>
  <c r="R23" i="36"/>
  <c r="U23" i="36" s="1"/>
  <c r="T26" i="36"/>
  <c r="R26" i="36"/>
  <c r="U26" i="36" s="1"/>
  <c r="S26" i="36" l="1"/>
  <c r="G25" i="37" s="1"/>
  <c r="S23" i="36"/>
  <c r="G22" i="37" s="1"/>
  <c r="D4" i="13"/>
  <c r="D5" i="13"/>
  <c r="V23" i="36" l="1"/>
  <c r="V26" i="36"/>
  <c r="D3" i="13"/>
  <c r="D193" i="36" l="1"/>
  <c r="D2" i="13"/>
  <c r="I70" i="36" l="1"/>
  <c r="I108" i="36" s="1"/>
  <c r="I146" i="36" s="1"/>
  <c r="I184" i="36" s="1"/>
  <c r="I51" i="36"/>
  <c r="I89" i="36" s="1"/>
  <c r="I127" i="36" s="1"/>
  <c r="I165" i="36" s="1"/>
  <c r="I69" i="36"/>
  <c r="I107" i="36" s="1"/>
  <c r="I145" i="36" s="1"/>
  <c r="I183" i="36" s="1"/>
  <c r="I50" i="36"/>
  <c r="I88" i="36" s="1"/>
  <c r="I126" i="36" s="1"/>
  <c r="I164" i="36" s="1"/>
  <c r="I68" i="36"/>
  <c r="I106" i="36" s="1"/>
  <c r="I144" i="36" s="1"/>
  <c r="I182" i="36" s="1"/>
  <c r="I49" i="36"/>
  <c r="I87" i="36" s="1"/>
  <c r="I125" i="36" s="1"/>
  <c r="I163" i="36" s="1"/>
  <c r="I67" i="36"/>
  <c r="I105" i="36" s="1"/>
  <c r="I143" i="36" s="1"/>
  <c r="I181" i="36" s="1"/>
  <c r="I48" i="36"/>
  <c r="I86" i="36" s="1"/>
  <c r="I124" i="36" s="1"/>
  <c r="I162" i="36" s="1"/>
  <c r="I66" i="36"/>
  <c r="I104" i="36" s="1"/>
  <c r="I142" i="36" s="1"/>
  <c r="I180" i="36" s="1"/>
  <c r="I46" i="36"/>
  <c r="I84" i="36" s="1"/>
  <c r="I122" i="36" s="1"/>
  <c r="I160" i="36" s="1"/>
  <c r="I65" i="36"/>
  <c r="I103" i="36" s="1"/>
  <c r="I141" i="36" s="1"/>
  <c r="I179" i="36" s="1"/>
  <c r="I44" i="36"/>
  <c r="I82" i="36" s="1"/>
  <c r="I120" i="36" s="1"/>
  <c r="I158" i="36" s="1"/>
  <c r="I61" i="36"/>
  <c r="I99" i="36" s="1"/>
  <c r="I137" i="36" s="1"/>
  <c r="I175" i="36" s="1"/>
  <c r="I56" i="36"/>
  <c r="I94" i="36" s="1"/>
  <c r="I132" i="36" s="1"/>
  <c r="I170" i="36" s="1"/>
  <c r="I54" i="36"/>
  <c r="I92" i="36" s="1"/>
  <c r="I130" i="36" s="1"/>
  <c r="I168" i="36" s="1"/>
  <c r="I53" i="36"/>
  <c r="I91" i="36" s="1"/>
  <c r="I129" i="36" s="1"/>
  <c r="I167" i="36" s="1"/>
  <c r="I52" i="36"/>
  <c r="I90" i="36" s="1"/>
  <c r="I128" i="36" s="1"/>
  <c r="I166" i="36" s="1"/>
  <c r="I43" i="36"/>
  <c r="I81" i="36" s="1"/>
  <c r="I119" i="36" s="1"/>
  <c r="I157" i="36" s="1"/>
  <c r="I63" i="36"/>
  <c r="I101" i="36" s="1"/>
  <c r="I139" i="36" s="1"/>
  <c r="I177" i="36" s="1"/>
  <c r="I71" i="36"/>
  <c r="I109" i="36" s="1"/>
  <c r="I147" i="36" s="1"/>
  <c r="I185" i="36" s="1"/>
  <c r="I73" i="36"/>
  <c r="I111" i="36" s="1"/>
  <c r="I149" i="36" s="1"/>
  <c r="I187" i="36" s="1"/>
  <c r="H65" i="36"/>
  <c r="H103" i="36" s="1"/>
  <c r="H141" i="36" s="1"/>
  <c r="H179" i="36" s="1"/>
  <c r="H51" i="36"/>
  <c r="H89" i="36" s="1"/>
  <c r="H127" i="36" s="1"/>
  <c r="H165" i="36" s="1"/>
  <c r="I74" i="36"/>
  <c r="I112" i="36" s="1"/>
  <c r="I150" i="36" s="1"/>
  <c r="I188" i="36" s="1"/>
  <c r="H76" i="36"/>
  <c r="H114" i="36" s="1"/>
  <c r="H152" i="36" s="1"/>
  <c r="H190" i="36" s="1"/>
  <c r="H64" i="36"/>
  <c r="H102" i="36" s="1"/>
  <c r="H140" i="36" s="1"/>
  <c r="H178" i="36" s="1"/>
  <c r="H50" i="36"/>
  <c r="H88" i="36" s="1"/>
  <c r="H126" i="36" s="1"/>
  <c r="H164" i="36" s="1"/>
  <c r="I72" i="36"/>
  <c r="I110" i="36" s="1"/>
  <c r="I148" i="36" s="1"/>
  <c r="I186" i="36" s="1"/>
  <c r="H74" i="36"/>
  <c r="H112" i="36" s="1"/>
  <c r="H150" i="36" s="1"/>
  <c r="H188" i="36" s="1"/>
  <c r="H73" i="36"/>
  <c r="H111" i="36" s="1"/>
  <c r="H149" i="36" s="1"/>
  <c r="H187" i="36" s="1"/>
  <c r="H47" i="36"/>
  <c r="H85" i="36" s="1"/>
  <c r="H123" i="36" s="1"/>
  <c r="H161" i="36" s="1"/>
  <c r="H56" i="36"/>
  <c r="H94" i="36" s="1"/>
  <c r="H132" i="36" s="1"/>
  <c r="H170" i="36" s="1"/>
  <c r="I58" i="36"/>
  <c r="I96" i="36" s="1"/>
  <c r="I134" i="36" s="1"/>
  <c r="I172" i="36" s="1"/>
  <c r="H71" i="36"/>
  <c r="H109" i="36" s="1"/>
  <c r="H147" i="36" s="1"/>
  <c r="H185" i="36" s="1"/>
  <c r="H69" i="36"/>
  <c r="H107" i="36" s="1"/>
  <c r="H145" i="36" s="1"/>
  <c r="H183" i="36" s="1"/>
  <c r="H75" i="36"/>
  <c r="H113" i="36" s="1"/>
  <c r="H151" i="36" s="1"/>
  <c r="H189" i="36" s="1"/>
  <c r="H63" i="36"/>
  <c r="H101" i="36" s="1"/>
  <c r="H139" i="36" s="1"/>
  <c r="H177" i="36" s="1"/>
  <c r="H49" i="36"/>
  <c r="H87" i="36" s="1"/>
  <c r="H125" i="36" s="1"/>
  <c r="H163" i="36" s="1"/>
  <c r="I64" i="36"/>
  <c r="I102" i="36" s="1"/>
  <c r="I140" i="36" s="1"/>
  <c r="I178" i="36" s="1"/>
  <c r="H61" i="36"/>
  <c r="H99" i="36" s="1"/>
  <c r="H137" i="36" s="1"/>
  <c r="H175" i="36" s="1"/>
  <c r="I59" i="36"/>
  <c r="I97" i="36" s="1"/>
  <c r="I135" i="36" s="1"/>
  <c r="I173" i="36" s="1"/>
  <c r="H59" i="36"/>
  <c r="H97" i="36" s="1"/>
  <c r="H135" i="36" s="1"/>
  <c r="H173" i="36" s="1"/>
  <c r="H57" i="36"/>
  <c r="H95" i="36" s="1"/>
  <c r="H133" i="36" s="1"/>
  <c r="H171" i="36" s="1"/>
  <c r="H43" i="36"/>
  <c r="H81" i="36" s="1"/>
  <c r="H119" i="36" s="1"/>
  <c r="H157" i="36" s="1"/>
  <c r="H72" i="36"/>
  <c r="H110" i="36" s="1"/>
  <c r="H148" i="36" s="1"/>
  <c r="H186" i="36" s="1"/>
  <c r="H58" i="36"/>
  <c r="H96" i="36" s="1"/>
  <c r="H134" i="36" s="1"/>
  <c r="H172" i="36" s="1"/>
  <c r="H46" i="36"/>
  <c r="H84" i="36" s="1"/>
  <c r="H122" i="36" s="1"/>
  <c r="H160" i="36" s="1"/>
  <c r="I57" i="36"/>
  <c r="I95" i="36" s="1"/>
  <c r="I133" i="36" s="1"/>
  <c r="I171" i="36" s="1"/>
  <c r="H44" i="36"/>
  <c r="H82" i="36" s="1"/>
  <c r="H120" i="36" s="1"/>
  <c r="H158" i="36" s="1"/>
  <c r="I55" i="36"/>
  <c r="I93" i="36" s="1"/>
  <c r="I131" i="36" s="1"/>
  <c r="I169" i="36" s="1"/>
  <c r="H70" i="36"/>
  <c r="H108" i="36" s="1"/>
  <c r="H146" i="36" s="1"/>
  <c r="H184" i="36" s="1"/>
  <c r="I47" i="36"/>
  <c r="I85" i="36" s="1"/>
  <c r="I123" i="36" s="1"/>
  <c r="I161" i="36" s="1"/>
  <c r="H55" i="36"/>
  <c r="H93" i="36" s="1"/>
  <c r="H131" i="36" s="1"/>
  <c r="H169" i="36" s="1"/>
  <c r="H68" i="36"/>
  <c r="H106" i="36" s="1"/>
  <c r="H144" i="36" s="1"/>
  <c r="H182" i="36" s="1"/>
  <c r="H67" i="36"/>
  <c r="H105" i="36" s="1"/>
  <c r="H143" i="36" s="1"/>
  <c r="H181" i="36" s="1"/>
  <c r="H53" i="36"/>
  <c r="H91" i="36" s="1"/>
  <c r="H129" i="36" s="1"/>
  <c r="H167" i="36" s="1"/>
  <c r="I76" i="36"/>
  <c r="I114" i="36" s="1"/>
  <c r="I152" i="36" s="1"/>
  <c r="I190" i="36" s="1"/>
  <c r="H66" i="36"/>
  <c r="H104" i="36" s="1"/>
  <c r="H142" i="36" s="1"/>
  <c r="H180" i="36" s="1"/>
  <c r="H52" i="36"/>
  <c r="H90" i="36" s="1"/>
  <c r="H128" i="36" s="1"/>
  <c r="H166" i="36" s="1"/>
  <c r="I75" i="36"/>
  <c r="I113" i="36" s="1"/>
  <c r="I151" i="36" s="1"/>
  <c r="I189" i="36" s="1"/>
  <c r="J61" i="36"/>
  <c r="J57" i="36"/>
  <c r="J53" i="36"/>
  <c r="J44" i="36"/>
  <c r="J76" i="36"/>
  <c r="J49" i="36"/>
  <c r="J67" i="36"/>
  <c r="J46" i="36"/>
  <c r="J65" i="36"/>
  <c r="J52" i="36"/>
  <c r="J69" i="36"/>
  <c r="J68" i="36"/>
  <c r="J50" i="36"/>
  <c r="J75" i="36"/>
  <c r="J43" i="36"/>
  <c r="J73" i="36"/>
  <c r="J66" i="36"/>
  <c r="J58" i="36"/>
  <c r="J56" i="36"/>
  <c r="J51" i="36"/>
  <c r="J71" i="36"/>
  <c r="J74" i="36"/>
  <c r="J63" i="36"/>
  <c r="J59" i="36"/>
  <c r="J72" i="36"/>
  <c r="J54" i="36"/>
  <c r="J64" i="36"/>
  <c r="J55" i="36"/>
  <c r="J48" i="36"/>
  <c r="J70" i="36"/>
  <c r="J47" i="36"/>
  <c r="J90" i="36" l="1"/>
  <c r="L52" i="36"/>
  <c r="N52" i="36" s="1"/>
  <c r="J89" i="36"/>
  <c r="L51" i="36"/>
  <c r="J94" i="36"/>
  <c r="L56" i="36"/>
  <c r="N56" i="36" s="1"/>
  <c r="J96" i="36"/>
  <c r="L58" i="36"/>
  <c r="J86" i="36"/>
  <c r="L48" i="36"/>
  <c r="J93" i="36"/>
  <c r="L55" i="36"/>
  <c r="N55" i="36" s="1"/>
  <c r="J111" i="36"/>
  <c r="K73" i="36"/>
  <c r="L73" i="36" s="1"/>
  <c r="J82" i="36"/>
  <c r="L44" i="36"/>
  <c r="N44" i="36" s="1"/>
  <c r="J103" i="36"/>
  <c r="K65" i="36"/>
  <c r="L65" i="36" s="1"/>
  <c r="N65" i="36"/>
  <c r="J104" i="36"/>
  <c r="K66" i="36"/>
  <c r="L66" i="36" s="1"/>
  <c r="J92" i="36"/>
  <c r="L54" i="36"/>
  <c r="N54" i="36" s="1"/>
  <c r="J113" i="36"/>
  <c r="K75" i="36"/>
  <c r="L75" i="36" s="1"/>
  <c r="J95" i="36"/>
  <c r="L57" i="36"/>
  <c r="N57" i="36" s="1"/>
  <c r="J81" i="36"/>
  <c r="L43" i="36"/>
  <c r="N43" i="36" s="1"/>
  <c r="J110" i="36"/>
  <c r="K72" i="36"/>
  <c r="L72" i="36" s="1"/>
  <c r="J88" i="36"/>
  <c r="L50" i="36"/>
  <c r="N50" i="36" s="1"/>
  <c r="J99" i="36"/>
  <c r="K61" i="36"/>
  <c r="L61" i="36" s="1"/>
  <c r="J102" i="36"/>
  <c r="K64" i="36"/>
  <c r="L64" i="36"/>
  <c r="M64" i="36" s="1"/>
  <c r="J91" i="36"/>
  <c r="L53" i="36"/>
  <c r="M53" i="36" s="1"/>
  <c r="J97" i="36"/>
  <c r="L59" i="36"/>
  <c r="J106" i="36"/>
  <c r="K68" i="36"/>
  <c r="L68" i="36"/>
  <c r="M68" i="36"/>
  <c r="J112" i="36"/>
  <c r="K74" i="36"/>
  <c r="L74" i="36" s="1"/>
  <c r="N74" i="36" s="1"/>
  <c r="J109" i="36"/>
  <c r="K71" i="36"/>
  <c r="L71" i="36" s="1"/>
  <c r="M71" i="36"/>
  <c r="J84" i="36"/>
  <c r="L46" i="36"/>
  <c r="N46" i="36"/>
  <c r="J85" i="36"/>
  <c r="L47" i="36"/>
  <c r="M47" i="36" s="1"/>
  <c r="J105" i="36"/>
  <c r="K67" i="36"/>
  <c r="L67" i="36" s="1"/>
  <c r="J108" i="36"/>
  <c r="K70" i="36"/>
  <c r="L70" i="36" s="1"/>
  <c r="J87" i="36"/>
  <c r="L49" i="36"/>
  <c r="J114" i="36"/>
  <c r="K76" i="36"/>
  <c r="L76" i="36"/>
  <c r="M76" i="36" s="1"/>
  <c r="N76" i="36"/>
  <c r="J101" i="36"/>
  <c r="K63" i="36"/>
  <c r="L63" i="36" s="1"/>
  <c r="M63" i="36"/>
  <c r="J107" i="36"/>
  <c r="K69" i="36"/>
  <c r="L69" i="36" s="1"/>
  <c r="M69" i="36"/>
  <c r="N69" i="36" l="1"/>
  <c r="O69" i="36" s="1"/>
  <c r="P69" i="36" s="1"/>
  <c r="M74" i="36"/>
  <c r="N71" i="36"/>
  <c r="O71" i="36" s="1"/>
  <c r="M65" i="36"/>
  <c r="N68" i="36"/>
  <c r="O68" i="36" s="1"/>
  <c r="P68" i="36" s="1"/>
  <c r="O65" i="36"/>
  <c r="P65" i="36" s="1"/>
  <c r="M75" i="36"/>
  <c r="N72" i="36"/>
  <c r="N73" i="36"/>
  <c r="M72" i="36"/>
  <c r="N63" i="36"/>
  <c r="O63" i="36" s="1"/>
  <c r="M67" i="36"/>
  <c r="N66" i="36"/>
  <c r="M66" i="36"/>
  <c r="M61" i="36"/>
  <c r="N61" i="36"/>
  <c r="M73" i="36"/>
  <c r="N64" i="36"/>
  <c r="O64" i="36" s="1"/>
  <c r="P64" i="36" s="1"/>
  <c r="N67" i="36"/>
  <c r="Q65" i="36"/>
  <c r="T65" i="36" s="1"/>
  <c r="N53" i="36"/>
  <c r="O53" i="36" s="1"/>
  <c r="M70" i="36"/>
  <c r="N70" i="36"/>
  <c r="J132" i="36"/>
  <c r="L94" i="36"/>
  <c r="M56" i="36"/>
  <c r="O56" i="36" s="1"/>
  <c r="M44" i="36"/>
  <c r="J146" i="36"/>
  <c r="K108" i="36"/>
  <c r="N75" i="36"/>
  <c r="J142" i="36"/>
  <c r="K104" i="36"/>
  <c r="L104" i="36"/>
  <c r="N104" i="36" s="1"/>
  <c r="M104" i="36"/>
  <c r="O104" i="36" s="1"/>
  <c r="J124" i="36"/>
  <c r="L86" i="36"/>
  <c r="N86" i="36" s="1"/>
  <c r="N51" i="36"/>
  <c r="M51" i="36"/>
  <c r="M57" i="36"/>
  <c r="O57" i="36" s="1"/>
  <c r="J152" i="36"/>
  <c r="K114" i="36"/>
  <c r="L114" i="36"/>
  <c r="J127" i="36"/>
  <c r="L89" i="36"/>
  <c r="M89" i="36" s="1"/>
  <c r="M55" i="36"/>
  <c r="O55" i="36" s="1"/>
  <c r="P55" i="36" s="1"/>
  <c r="O76" i="36"/>
  <c r="P76" i="36" s="1"/>
  <c r="J131" i="36"/>
  <c r="L93" i="36"/>
  <c r="J147" i="36"/>
  <c r="K109" i="36"/>
  <c r="L109" i="36" s="1"/>
  <c r="J144" i="36"/>
  <c r="K106" i="36"/>
  <c r="L106" i="36"/>
  <c r="M106" i="36" s="1"/>
  <c r="M43" i="36"/>
  <c r="O43" i="36"/>
  <c r="P43" i="36" s="1"/>
  <c r="J143" i="36"/>
  <c r="K105" i="36"/>
  <c r="L105" i="36" s="1"/>
  <c r="J141" i="36"/>
  <c r="K103" i="36"/>
  <c r="L103" i="36" s="1"/>
  <c r="M103" i="36" s="1"/>
  <c r="J133" i="36"/>
  <c r="L95" i="36"/>
  <c r="N47" i="36"/>
  <c r="J123" i="36"/>
  <c r="L85" i="36"/>
  <c r="J148" i="36"/>
  <c r="K110" i="36"/>
  <c r="L110" i="36" s="1"/>
  <c r="N110" i="36" s="1"/>
  <c r="N48" i="36"/>
  <c r="M48" i="36"/>
  <c r="M46" i="36"/>
  <c r="J119" i="36"/>
  <c r="L81" i="36"/>
  <c r="M58" i="36"/>
  <c r="J125" i="36"/>
  <c r="L87" i="36"/>
  <c r="N87" i="36"/>
  <c r="J130" i="36"/>
  <c r="L92" i="36"/>
  <c r="J137" i="36"/>
  <c r="K99" i="36"/>
  <c r="L99" i="36" s="1"/>
  <c r="J120" i="36"/>
  <c r="L82" i="36"/>
  <c r="J122" i="36"/>
  <c r="L84" i="36"/>
  <c r="M84" i="36" s="1"/>
  <c r="N58" i="36"/>
  <c r="M52" i="36"/>
  <c r="O52" i="36" s="1"/>
  <c r="P52" i="36" s="1"/>
  <c r="J139" i="36"/>
  <c r="K101" i="36"/>
  <c r="L101" i="36" s="1"/>
  <c r="J129" i="36"/>
  <c r="L91" i="36"/>
  <c r="N91" i="36" s="1"/>
  <c r="J145" i="36"/>
  <c r="K107" i="36"/>
  <c r="L107" i="36" s="1"/>
  <c r="R65" i="36"/>
  <c r="U65" i="36" s="1"/>
  <c r="O74" i="36"/>
  <c r="P74" i="36" s="1"/>
  <c r="Q74" i="36" s="1"/>
  <c r="M50" i="36"/>
  <c r="J151" i="36"/>
  <c r="K113" i="36"/>
  <c r="L113" i="36" s="1"/>
  <c r="M59" i="36"/>
  <c r="M49" i="36"/>
  <c r="N59" i="36"/>
  <c r="J140" i="36"/>
  <c r="K102" i="36"/>
  <c r="L102" i="36" s="1"/>
  <c r="N102" i="36" s="1"/>
  <c r="J126" i="36"/>
  <c r="L88" i="36"/>
  <c r="M88" i="36" s="1"/>
  <c r="Q69" i="36"/>
  <c r="N49" i="36"/>
  <c r="J150" i="36"/>
  <c r="K112" i="36"/>
  <c r="L112" i="36" s="1"/>
  <c r="M112" i="36" s="1"/>
  <c r="J135" i="36"/>
  <c r="L97" i="36"/>
  <c r="M54" i="36"/>
  <c r="O54" i="36" s="1"/>
  <c r="P54" i="36" s="1"/>
  <c r="J149" i="36"/>
  <c r="K111" i="36"/>
  <c r="J134" i="36"/>
  <c r="L96" i="36"/>
  <c r="N96" i="36" s="1"/>
  <c r="J128" i="36"/>
  <c r="L90" i="36"/>
  <c r="N90" i="36" s="1"/>
  <c r="O51" i="36" l="1"/>
  <c r="P51" i="36" s="1"/>
  <c r="O72" i="36"/>
  <c r="P72" i="36" s="1"/>
  <c r="N112" i="36"/>
  <c r="N89" i="36"/>
  <c r="O89" i="36" s="1"/>
  <c r="O49" i="36"/>
  <c r="P71" i="36"/>
  <c r="Q71" i="36"/>
  <c r="S71" i="36" s="1"/>
  <c r="O70" i="36"/>
  <c r="P70" i="36" s="1"/>
  <c r="N84" i="36"/>
  <c r="O84" i="36" s="1"/>
  <c r="O66" i="36"/>
  <c r="P66" i="36" s="1"/>
  <c r="N113" i="36"/>
  <c r="M109" i="36"/>
  <c r="P84" i="36"/>
  <c r="Q84" i="36" s="1"/>
  <c r="O67" i="36"/>
  <c r="P67" i="36" s="1"/>
  <c r="Q67" i="36" s="1"/>
  <c r="O73" i="36"/>
  <c r="P73" i="36" s="1"/>
  <c r="M113" i="36"/>
  <c r="Q72" i="36"/>
  <c r="T72" i="36" s="1"/>
  <c r="P63" i="36"/>
  <c r="Q63" i="36" s="1"/>
  <c r="O61" i="36"/>
  <c r="P61" i="36" s="1"/>
  <c r="Q61" i="36" s="1"/>
  <c r="Q68" i="36"/>
  <c r="T68" i="36" s="1"/>
  <c r="N103" i="36"/>
  <c r="O103" i="36" s="1"/>
  <c r="P103" i="36" s="1"/>
  <c r="L108" i="36"/>
  <c r="N108" i="36" s="1"/>
  <c r="P57" i="36"/>
  <c r="Q57" i="36" s="1"/>
  <c r="P53" i="36"/>
  <c r="Q53" i="36" s="1"/>
  <c r="O59" i="36"/>
  <c r="P59" i="36" s="1"/>
  <c r="M105" i="36"/>
  <c r="N105" i="36"/>
  <c r="M110" i="36"/>
  <c r="M114" i="36"/>
  <c r="N109" i="36"/>
  <c r="N106" i="36"/>
  <c r="O106" i="36" s="1"/>
  <c r="P106" i="36" s="1"/>
  <c r="M102" i="36"/>
  <c r="O102" i="36" s="1"/>
  <c r="P102" i="36" s="1"/>
  <c r="P104" i="36"/>
  <c r="Q104" i="36" s="1"/>
  <c r="R74" i="36"/>
  <c r="U74" i="36" s="1"/>
  <c r="T74" i="36"/>
  <c r="O112" i="36"/>
  <c r="P112" i="36" s="1"/>
  <c r="N99" i="36"/>
  <c r="M99" i="36"/>
  <c r="N107" i="36"/>
  <c r="M107" i="36"/>
  <c r="N82" i="36"/>
  <c r="M82" i="36"/>
  <c r="M91" i="36"/>
  <c r="O91" i="36" s="1"/>
  <c r="J182" i="36"/>
  <c r="K144" i="36"/>
  <c r="J170" i="36"/>
  <c r="L132" i="36"/>
  <c r="N132" i="36" s="1"/>
  <c r="L111" i="36"/>
  <c r="Q52" i="36"/>
  <c r="Q54" i="36"/>
  <c r="J188" i="36"/>
  <c r="K150" i="36"/>
  <c r="L150" i="36" s="1"/>
  <c r="J178" i="36"/>
  <c r="K140" i="36"/>
  <c r="L140" i="36" s="1"/>
  <c r="J189" i="36"/>
  <c r="K151" i="36"/>
  <c r="L151" i="36" s="1"/>
  <c r="J186" i="36"/>
  <c r="K148" i="36"/>
  <c r="P89" i="36"/>
  <c r="Q89" i="36" s="1"/>
  <c r="Q76" i="36"/>
  <c r="J179" i="36"/>
  <c r="K141" i="36"/>
  <c r="L141" i="36" s="1"/>
  <c r="M141" i="36" s="1"/>
  <c r="J177" i="36"/>
  <c r="K139" i="36"/>
  <c r="L139" i="36" s="1"/>
  <c r="M90" i="36"/>
  <c r="Q64" i="36"/>
  <c r="J181" i="36"/>
  <c r="K143" i="36"/>
  <c r="L143" i="36" s="1"/>
  <c r="M143" i="36" s="1"/>
  <c r="J184" i="36"/>
  <c r="K146" i="36"/>
  <c r="L146" i="36" s="1"/>
  <c r="M146" i="36" s="1"/>
  <c r="M95" i="36"/>
  <c r="M93" i="36"/>
  <c r="N114" i="36"/>
  <c r="J171" i="36"/>
  <c r="L133" i="36"/>
  <c r="N85" i="36"/>
  <c r="M85" i="36"/>
  <c r="N97" i="36"/>
  <c r="M97" i="36"/>
  <c r="N101" i="36"/>
  <c r="J161" i="36"/>
  <c r="L123" i="36"/>
  <c r="Q43" i="36"/>
  <c r="J185" i="36"/>
  <c r="K147" i="36"/>
  <c r="L147" i="36" s="1"/>
  <c r="J165" i="36"/>
  <c r="L127" i="36"/>
  <c r="N127" i="36" s="1"/>
  <c r="Q51" i="36"/>
  <c r="O44" i="36"/>
  <c r="J169" i="36"/>
  <c r="L131" i="36"/>
  <c r="M87" i="36"/>
  <c r="O87" i="36" s="1"/>
  <c r="P87" i="36" s="1"/>
  <c r="M86" i="36"/>
  <c r="O86" i="36" s="1"/>
  <c r="J166" i="36"/>
  <c r="L128" i="36"/>
  <c r="M128" i="36" s="1"/>
  <c r="N128" i="36"/>
  <c r="O128" i="36" s="1"/>
  <c r="P128" i="36" s="1"/>
  <c r="O58" i="36"/>
  <c r="P58" i="36" s="1"/>
  <c r="J190" i="36"/>
  <c r="K152" i="36"/>
  <c r="L152" i="36" s="1"/>
  <c r="P49" i="36"/>
  <c r="Q49" i="36" s="1"/>
  <c r="J157" i="36"/>
  <c r="L119" i="36"/>
  <c r="N119" i="36" s="1"/>
  <c r="J172" i="36"/>
  <c r="L134" i="36"/>
  <c r="M134" i="36" s="1"/>
  <c r="N134" i="36"/>
  <c r="S65" i="36"/>
  <c r="J164" i="36"/>
  <c r="L126" i="36"/>
  <c r="N126" i="36" s="1"/>
  <c r="J158" i="36"/>
  <c r="L120" i="36"/>
  <c r="N95" i="36"/>
  <c r="N94" i="36"/>
  <c r="M94" i="36"/>
  <c r="O94" i="36" s="1"/>
  <c r="P94" i="36" s="1"/>
  <c r="J167" i="36"/>
  <c r="L129" i="36"/>
  <c r="N129" i="36" s="1"/>
  <c r="J163" i="36"/>
  <c r="L125" i="36"/>
  <c r="J162" i="36"/>
  <c r="L124" i="36"/>
  <c r="N124" i="36" s="1"/>
  <c r="J187" i="36"/>
  <c r="K149" i="36"/>
  <c r="L149" i="36" s="1"/>
  <c r="Q55" i="36"/>
  <c r="R71" i="36"/>
  <c r="U71" i="36" s="1"/>
  <c r="N81" i="36"/>
  <c r="M81" i="36"/>
  <c r="M96" i="36"/>
  <c r="O96" i="36" s="1"/>
  <c r="O50" i="36"/>
  <c r="P50" i="36" s="1"/>
  <c r="J175" i="36"/>
  <c r="K137" i="36"/>
  <c r="L137" i="36" s="1"/>
  <c r="R69" i="36"/>
  <c r="U69" i="36" s="1"/>
  <c r="T69" i="36"/>
  <c r="J173" i="36"/>
  <c r="L135" i="36"/>
  <c r="J183" i="36"/>
  <c r="K145" i="36"/>
  <c r="L145" i="36" s="1"/>
  <c r="M145" i="36" s="1"/>
  <c r="M101" i="36"/>
  <c r="J160" i="36"/>
  <c r="L122" i="36"/>
  <c r="N122" i="36" s="1"/>
  <c r="N92" i="36"/>
  <c r="M92" i="36"/>
  <c r="O46" i="36"/>
  <c r="P46" i="36" s="1"/>
  <c r="Q46" i="36" s="1"/>
  <c r="O47" i="36"/>
  <c r="P47" i="36"/>
  <c r="J180" i="36"/>
  <c r="K142" i="36"/>
  <c r="L142" i="36" s="1"/>
  <c r="N88" i="36"/>
  <c r="O88" i="36" s="1"/>
  <c r="P88" i="36" s="1"/>
  <c r="J168" i="36"/>
  <c r="L130" i="36"/>
  <c r="N130" i="36" s="1"/>
  <c r="O48" i="36"/>
  <c r="P48" i="36" s="1"/>
  <c r="Q48" i="36" s="1"/>
  <c r="N93" i="36"/>
  <c r="O75" i="36"/>
  <c r="P75" i="36" s="1"/>
  <c r="P56" i="36"/>
  <c r="Q56" i="36" s="1"/>
  <c r="Q66" i="36" l="1"/>
  <c r="Q75" i="36"/>
  <c r="Q47" i="36"/>
  <c r="T71" i="36"/>
  <c r="O113" i="36"/>
  <c r="P113" i="36" s="1"/>
  <c r="Q70" i="36"/>
  <c r="O99" i="36"/>
  <c r="P99" i="36" s="1"/>
  <c r="Q102" i="36" s="1"/>
  <c r="O92" i="36"/>
  <c r="P92" i="36" s="1"/>
  <c r="R57" i="36"/>
  <c r="U57" i="36" s="1"/>
  <c r="T57" i="36"/>
  <c r="O109" i="36"/>
  <c r="P109" i="36" s="1"/>
  <c r="M108" i="36"/>
  <c r="O108" i="36" s="1"/>
  <c r="P108" i="36" s="1"/>
  <c r="Q108" i="36" s="1"/>
  <c r="N145" i="36"/>
  <c r="O145" i="36" s="1"/>
  <c r="P145" i="36" s="1"/>
  <c r="R72" i="36"/>
  <c r="U72" i="36" s="1"/>
  <c r="T61" i="36"/>
  <c r="R61" i="36"/>
  <c r="U61" i="36" s="1"/>
  <c r="S69" i="36"/>
  <c r="G66" i="37" s="1"/>
  <c r="Q73" i="36"/>
  <c r="O101" i="36"/>
  <c r="P101" i="36" s="1"/>
  <c r="Q101" i="36" s="1"/>
  <c r="R63" i="36"/>
  <c r="T63" i="36"/>
  <c r="Q103" i="36"/>
  <c r="R103" i="36" s="1"/>
  <c r="U103" i="36" s="1"/>
  <c r="S74" i="36"/>
  <c r="V74" i="36" s="1"/>
  <c r="R66" i="36"/>
  <c r="U66" i="36" s="1"/>
  <c r="T66" i="36"/>
  <c r="R68" i="36"/>
  <c r="U68" i="36" s="1"/>
  <c r="Q106" i="36"/>
  <c r="R106" i="36" s="1"/>
  <c r="U106" i="36" s="1"/>
  <c r="O114" i="36"/>
  <c r="P114" i="36" s="1"/>
  <c r="Q114" i="36" s="1"/>
  <c r="T67" i="36"/>
  <c r="R67" i="36"/>
  <c r="U67" i="36" s="1"/>
  <c r="O105" i="36"/>
  <c r="P105" i="36" s="1"/>
  <c r="Q50" i="36"/>
  <c r="T50" i="36" s="1"/>
  <c r="O85" i="36"/>
  <c r="P85" i="36" s="1"/>
  <c r="R53" i="36"/>
  <c r="U53" i="36" s="1"/>
  <c r="T53" i="36"/>
  <c r="Q128" i="36"/>
  <c r="R128" i="36" s="1"/>
  <c r="U128" i="36" s="1"/>
  <c r="Q59" i="36"/>
  <c r="T59" i="36" s="1"/>
  <c r="O97" i="36"/>
  <c r="P97" i="36" s="1"/>
  <c r="M137" i="36"/>
  <c r="O82" i="36"/>
  <c r="P82" i="36" s="1"/>
  <c r="Q88" i="36"/>
  <c r="R88" i="36" s="1"/>
  <c r="U88" i="36" s="1"/>
  <c r="O110" i="36"/>
  <c r="P110" i="36" s="1"/>
  <c r="N137" i="36"/>
  <c r="N141" i="36"/>
  <c r="O141" i="36" s="1"/>
  <c r="P141" i="36" s="1"/>
  <c r="L144" i="36"/>
  <c r="N144" i="36" s="1"/>
  <c r="O95" i="36"/>
  <c r="P95" i="36" s="1"/>
  <c r="Q112" i="36"/>
  <c r="T112" i="36" s="1"/>
  <c r="M142" i="36"/>
  <c r="N149" i="36"/>
  <c r="M149" i="36"/>
  <c r="N146" i="36"/>
  <c r="O146" i="36" s="1"/>
  <c r="P146" i="36" s="1"/>
  <c r="M147" i="36"/>
  <c r="R56" i="36"/>
  <c r="U56" i="36" s="1"/>
  <c r="T56" i="36"/>
  <c r="R46" i="36"/>
  <c r="U46" i="36" s="1"/>
  <c r="T46" i="36"/>
  <c r="S46" i="36"/>
  <c r="N140" i="36"/>
  <c r="M140" i="36"/>
  <c r="M150" i="36"/>
  <c r="N150" i="36"/>
  <c r="N139" i="36"/>
  <c r="M152" i="36"/>
  <c r="N152" i="36"/>
  <c r="M151" i="36"/>
  <c r="N151" i="36"/>
  <c r="K183" i="36"/>
  <c r="L183" i="36" s="1"/>
  <c r="K182" i="36"/>
  <c r="L182" i="36" s="1"/>
  <c r="N182" i="36" s="1"/>
  <c r="O134" i="36"/>
  <c r="O93" i="36"/>
  <c r="P93" i="36" s="1"/>
  <c r="M139" i="36"/>
  <c r="K179" i="36"/>
  <c r="L179" i="36" s="1"/>
  <c r="M111" i="36"/>
  <c r="N111" i="36"/>
  <c r="P91" i="36"/>
  <c r="Q91" i="36" s="1"/>
  <c r="O107" i="36"/>
  <c r="P107" i="36" s="1"/>
  <c r="V65" i="36"/>
  <c r="G62" i="37"/>
  <c r="T48" i="36"/>
  <c r="R48" i="36"/>
  <c r="U48" i="36" s="1"/>
  <c r="L163" i="36"/>
  <c r="N142" i="36"/>
  <c r="L168" i="36"/>
  <c r="L160" i="36"/>
  <c r="K175" i="36"/>
  <c r="L175" i="36" s="1"/>
  <c r="L167" i="36"/>
  <c r="N167" i="36" s="1"/>
  <c r="K190" i="36"/>
  <c r="L190" i="36" s="1"/>
  <c r="N147" i="36"/>
  <c r="N143" i="36"/>
  <c r="T89" i="36"/>
  <c r="R89" i="36"/>
  <c r="U89" i="36" s="1"/>
  <c r="N133" i="36"/>
  <c r="M133" i="36"/>
  <c r="N135" i="36"/>
  <c r="M135" i="36"/>
  <c r="R52" i="36"/>
  <c r="U52" i="36" s="1"/>
  <c r="T52" i="36"/>
  <c r="L173" i="36"/>
  <c r="N173" i="36" s="1"/>
  <c r="K180" i="36"/>
  <c r="L180" i="36" s="1"/>
  <c r="M180" i="36" s="1"/>
  <c r="V71" i="36"/>
  <c r="G68" i="37"/>
  <c r="M126" i="36"/>
  <c r="O126" i="36" s="1"/>
  <c r="P126" i="36" s="1"/>
  <c r="L164" i="36"/>
  <c r="M164" i="36" s="1"/>
  <c r="N131" i="36"/>
  <c r="M131" i="36"/>
  <c r="K177" i="36"/>
  <c r="L177" i="36" s="1"/>
  <c r="M132" i="36"/>
  <c r="O132" i="36" s="1"/>
  <c r="P132" i="36" s="1"/>
  <c r="M125" i="36"/>
  <c r="N123" i="36"/>
  <c r="M123" i="36"/>
  <c r="K186" i="36"/>
  <c r="L186" i="36" s="1"/>
  <c r="L165" i="36"/>
  <c r="M165" i="36" s="1"/>
  <c r="T70" i="36"/>
  <c r="R70" i="36"/>
  <c r="U70" i="36" s="1"/>
  <c r="S70" i="36"/>
  <c r="L171" i="36"/>
  <c r="M171" i="36" s="1"/>
  <c r="K178" i="36"/>
  <c r="L178" i="36" s="1"/>
  <c r="M178" i="36" s="1"/>
  <c r="K187" i="36"/>
  <c r="M119" i="36"/>
  <c r="K189" i="36"/>
  <c r="K188" i="36"/>
  <c r="L188" i="36" s="1"/>
  <c r="N188" i="36" s="1"/>
  <c r="L170" i="36"/>
  <c r="N170" i="36" s="1"/>
  <c r="L158" i="36"/>
  <c r="M158" i="36" s="1"/>
  <c r="P86" i="36"/>
  <c r="Q86" i="36" s="1"/>
  <c r="K184" i="36"/>
  <c r="L184" i="36" s="1"/>
  <c r="M122" i="36"/>
  <c r="O122" i="36" s="1"/>
  <c r="P122" i="36" s="1"/>
  <c r="M129" i="36"/>
  <c r="O129" i="36" s="1"/>
  <c r="R47" i="36"/>
  <c r="U47" i="36" s="1"/>
  <c r="T47" i="36"/>
  <c r="S47" i="36"/>
  <c r="L157" i="36"/>
  <c r="N157" i="36" s="1"/>
  <c r="K185" i="36"/>
  <c r="K181" i="36"/>
  <c r="L181" i="36" s="1"/>
  <c r="L148" i="36"/>
  <c r="T54" i="36"/>
  <c r="R54" i="36"/>
  <c r="U54" i="36" s="1"/>
  <c r="R104" i="36"/>
  <c r="U104" i="36" s="1"/>
  <c r="T104" i="36"/>
  <c r="N120" i="36"/>
  <c r="M120" i="36"/>
  <c r="T88" i="36"/>
  <c r="L161" i="36"/>
  <c r="N161" i="36" s="1"/>
  <c r="M130" i="36"/>
  <c r="O130" i="36" s="1"/>
  <c r="P130" i="36" s="1"/>
  <c r="L172" i="36"/>
  <c r="R76" i="36"/>
  <c r="U76" i="36" s="1"/>
  <c r="T76" i="36"/>
  <c r="R75" i="36"/>
  <c r="U75" i="36" s="1"/>
  <c r="T75" i="36"/>
  <c r="V69" i="36"/>
  <c r="M124" i="36"/>
  <c r="P44" i="36"/>
  <c r="Q44" i="36" s="1"/>
  <c r="T64" i="36"/>
  <c r="R64" i="36"/>
  <c r="U64" i="36" s="1"/>
  <c r="Q58" i="36"/>
  <c r="M127" i="36"/>
  <c r="O127" i="36"/>
  <c r="P127" i="36" s="1"/>
  <c r="T84" i="36"/>
  <c r="R84" i="36"/>
  <c r="U84" i="36" s="1"/>
  <c r="Q87" i="36"/>
  <c r="Q94" i="36"/>
  <c r="L169" i="36"/>
  <c r="N169" i="36" s="1"/>
  <c r="L162" i="36"/>
  <c r="P96" i="36"/>
  <c r="Q96" i="36" s="1"/>
  <c r="T55" i="36"/>
  <c r="R55" i="36"/>
  <c r="U55" i="36" s="1"/>
  <c r="R49" i="36"/>
  <c r="U49" i="36" s="1"/>
  <c r="T49" i="36"/>
  <c r="S49" i="36"/>
  <c r="T51" i="36"/>
  <c r="R51" i="36"/>
  <c r="U51" i="36" s="1"/>
  <c r="R43" i="36"/>
  <c r="U43" i="36" s="1"/>
  <c r="T43" i="36"/>
  <c r="O81" i="36"/>
  <c r="P81" i="36" s="1"/>
  <c r="Q81" i="36" s="1"/>
  <c r="N125" i="36"/>
  <c r="L166" i="36"/>
  <c r="N166" i="36" s="1"/>
  <c r="O90" i="36"/>
  <c r="P90" i="36" s="1"/>
  <c r="Q109" i="36" l="1"/>
  <c r="S72" i="36"/>
  <c r="V72" i="36" s="1"/>
  <c r="Q92" i="36"/>
  <c r="S75" i="36"/>
  <c r="S48" i="36"/>
  <c r="G45" i="37" s="1"/>
  <c r="S57" i="36"/>
  <c r="G54" i="37" s="1"/>
  <c r="S76" i="36"/>
  <c r="G73" i="37" s="1"/>
  <c r="S64" i="36"/>
  <c r="V64" i="36" s="1"/>
  <c r="Q113" i="36"/>
  <c r="R113" i="36" s="1"/>
  <c r="G69" i="37"/>
  <c r="Q145" i="36"/>
  <c r="T145" i="36" s="1"/>
  <c r="R112" i="36"/>
  <c r="U112" i="36" s="1"/>
  <c r="T128" i="36"/>
  <c r="V57" i="36"/>
  <c r="R50" i="36"/>
  <c r="U50" i="36" s="1"/>
  <c r="S89" i="36"/>
  <c r="G84" i="37" s="1"/>
  <c r="Q85" i="36"/>
  <c r="T85" i="36" s="1"/>
  <c r="S84" i="36"/>
  <c r="G79" i="37" s="1"/>
  <c r="O140" i="36"/>
  <c r="P140" i="36" s="1"/>
  <c r="Q140" i="36" s="1"/>
  <c r="U63" i="36"/>
  <c r="S63" i="36"/>
  <c r="G71" i="37"/>
  <c r="S103" i="36"/>
  <c r="V103" i="36" s="1"/>
  <c r="T103" i="36"/>
  <c r="Q105" i="36"/>
  <c r="T105" i="36" s="1"/>
  <c r="T73" i="36"/>
  <c r="R73" i="36"/>
  <c r="U73" i="36" s="1"/>
  <c r="S61" i="36"/>
  <c r="R108" i="36"/>
  <c r="U108" i="36" s="1"/>
  <c r="S108" i="36"/>
  <c r="T108" i="36"/>
  <c r="T106" i="36"/>
  <c r="S67" i="36"/>
  <c r="M177" i="36"/>
  <c r="S68" i="36"/>
  <c r="S66" i="36"/>
  <c r="N165" i="36"/>
  <c r="O165" i="36" s="1"/>
  <c r="P165" i="36" s="1"/>
  <c r="O135" i="36"/>
  <c r="P135" i="36" s="1"/>
  <c r="Q97" i="36"/>
  <c r="T97" i="36" s="1"/>
  <c r="S88" i="36"/>
  <c r="G83" i="37" s="1"/>
  <c r="Q82" i="36"/>
  <c r="T82" i="36" s="1"/>
  <c r="R59" i="36"/>
  <c r="U59" i="36" s="1"/>
  <c r="S53" i="36"/>
  <c r="S54" i="36"/>
  <c r="G51" i="37" s="1"/>
  <c r="S52" i="36"/>
  <c r="V52" i="36" s="1"/>
  <c r="Q90" i="36"/>
  <c r="R90" i="36" s="1"/>
  <c r="U90" i="36" s="1"/>
  <c r="N177" i="36"/>
  <c r="O120" i="36"/>
  <c r="P120" i="36" s="1"/>
  <c r="O151" i="36"/>
  <c r="P151" i="36" s="1"/>
  <c r="Q127" i="36"/>
  <c r="R127" i="36" s="1"/>
  <c r="U127" i="36" s="1"/>
  <c r="M181" i="36"/>
  <c r="O142" i="36"/>
  <c r="P142" i="36" s="1"/>
  <c r="M179" i="36"/>
  <c r="O152" i="36"/>
  <c r="P152" i="36" s="1"/>
  <c r="Q152" i="36" s="1"/>
  <c r="M184" i="36"/>
  <c r="S128" i="36"/>
  <c r="V128" i="36" s="1"/>
  <c r="O150" i="36"/>
  <c r="P150" i="36" s="1"/>
  <c r="Q95" i="36"/>
  <c r="T95" i="36" s="1"/>
  <c r="Q110" i="36"/>
  <c r="N179" i="36"/>
  <c r="N180" i="36"/>
  <c r="O180" i="36" s="1"/>
  <c r="P180" i="36" s="1"/>
  <c r="Q146" i="36"/>
  <c r="T146" i="36" s="1"/>
  <c r="Q120" i="36"/>
  <c r="T120" i="36" s="1"/>
  <c r="L185" i="36"/>
  <c r="N185" i="36" s="1"/>
  <c r="O125" i="36"/>
  <c r="P125" i="36" s="1"/>
  <c r="Q141" i="36"/>
  <c r="N181" i="36"/>
  <c r="O123" i="36"/>
  <c r="P123" i="36" s="1"/>
  <c r="O137" i="36"/>
  <c r="N178" i="36"/>
  <c r="O178" i="36" s="1"/>
  <c r="P178" i="36" s="1"/>
  <c r="N184" i="36"/>
  <c r="O139" i="36"/>
  <c r="N171" i="36"/>
  <c r="N164" i="36"/>
  <c r="O164" i="36" s="1"/>
  <c r="P164" i="36" s="1"/>
  <c r="Q93" i="36"/>
  <c r="T93" i="36" s="1"/>
  <c r="N158" i="36"/>
  <c r="O147" i="36"/>
  <c r="P147" i="36" s="1"/>
  <c r="Q147" i="36" s="1"/>
  <c r="M144" i="36"/>
  <c r="O144" i="36" s="1"/>
  <c r="P144" i="36" s="1"/>
  <c r="O149" i="36"/>
  <c r="O124" i="36"/>
  <c r="P124" i="36" s="1"/>
  <c r="M190" i="36"/>
  <c r="M186" i="36"/>
  <c r="N186" i="36"/>
  <c r="N175" i="36"/>
  <c r="N183" i="36"/>
  <c r="M183" i="36"/>
  <c r="R86" i="36"/>
  <c r="U86" i="36" s="1"/>
  <c r="T86" i="36"/>
  <c r="T44" i="36"/>
  <c r="R44" i="36"/>
  <c r="U44" i="36" s="1"/>
  <c r="T91" i="36"/>
  <c r="R91" i="36"/>
  <c r="U91" i="36" s="1"/>
  <c r="R81" i="36"/>
  <c r="U81" i="36" s="1"/>
  <c r="T81" i="36"/>
  <c r="V70" i="36"/>
  <c r="G67" i="37"/>
  <c r="Q126" i="36"/>
  <c r="O143" i="36"/>
  <c r="R101" i="36"/>
  <c r="U101" i="36" s="1"/>
  <c r="T101" i="36"/>
  <c r="Q99" i="36"/>
  <c r="S55" i="36"/>
  <c r="M169" i="36"/>
  <c r="O169" i="36" s="1"/>
  <c r="P169" i="36" s="1"/>
  <c r="G72" i="37"/>
  <c r="V75" i="36"/>
  <c r="M161" i="36"/>
  <c r="O161" i="36" s="1"/>
  <c r="P161" i="36" s="1"/>
  <c r="S50" i="36"/>
  <c r="M188" i="36"/>
  <c r="O119" i="36"/>
  <c r="P119" i="36" s="1"/>
  <c r="Q119" i="36" s="1"/>
  <c r="L187" i="36"/>
  <c r="G43" i="37"/>
  <c r="V46" i="36"/>
  <c r="M162" i="36"/>
  <c r="V47" i="36"/>
  <c r="G44" i="37"/>
  <c r="L189" i="36"/>
  <c r="M173" i="36"/>
  <c r="O173" i="36" s="1"/>
  <c r="P173" i="36" s="1"/>
  <c r="R85" i="36"/>
  <c r="U85" i="36" s="1"/>
  <c r="S43" i="36"/>
  <c r="T87" i="36"/>
  <c r="R87" i="36"/>
  <c r="U87" i="36" s="1"/>
  <c r="N148" i="36"/>
  <c r="O131" i="36"/>
  <c r="P131" i="36" s="1"/>
  <c r="Q131" i="36" s="1"/>
  <c r="M175" i="36"/>
  <c r="P129" i="36"/>
  <c r="Q129" i="36" s="1"/>
  <c r="T96" i="36"/>
  <c r="R96" i="36"/>
  <c r="U96" i="36" s="1"/>
  <c r="M157" i="36"/>
  <c r="O157" i="36" s="1"/>
  <c r="P157" i="36" s="1"/>
  <c r="Q157" i="36" s="1"/>
  <c r="Q122" i="36"/>
  <c r="P134" i="36"/>
  <c r="Q134" i="36" s="1"/>
  <c r="Q107" i="36"/>
  <c r="M166" i="36"/>
  <c r="O166" i="36" s="1"/>
  <c r="M163" i="36"/>
  <c r="G46" i="37"/>
  <c r="V49" i="36"/>
  <c r="R109" i="36"/>
  <c r="U109" i="36" s="1"/>
  <c r="T109" i="36"/>
  <c r="S106" i="36"/>
  <c r="S51" i="36"/>
  <c r="O133" i="36"/>
  <c r="N190" i="36"/>
  <c r="N163" i="36"/>
  <c r="R94" i="36"/>
  <c r="U94" i="36" s="1"/>
  <c r="T94" i="36"/>
  <c r="Q132" i="36"/>
  <c r="N160" i="36"/>
  <c r="M160" i="36"/>
  <c r="O160" i="36" s="1"/>
  <c r="P160" i="36" s="1"/>
  <c r="V48" i="36"/>
  <c r="M182" i="36"/>
  <c r="S56" i="36"/>
  <c r="R102" i="36"/>
  <c r="U102" i="36" s="1"/>
  <c r="T102" i="36"/>
  <c r="N162" i="36"/>
  <c r="Q130" i="36"/>
  <c r="M170" i="36"/>
  <c r="O170" i="36" s="1"/>
  <c r="P170" i="36" s="1"/>
  <c r="M167" i="36"/>
  <c r="O167" i="36" s="1"/>
  <c r="P167" i="36" s="1"/>
  <c r="N168" i="36"/>
  <c r="M168" i="36"/>
  <c r="R58" i="36"/>
  <c r="U58" i="36" s="1"/>
  <c r="T58" i="36"/>
  <c r="N172" i="36"/>
  <c r="M172" i="36"/>
  <c r="S104" i="36"/>
  <c r="R92" i="36"/>
  <c r="U92" i="36" s="1"/>
  <c r="T92" i="36"/>
  <c r="O111" i="36"/>
  <c r="P111" i="36" s="1"/>
  <c r="R114" i="36"/>
  <c r="U114" i="36" s="1"/>
  <c r="T114" i="36"/>
  <c r="M148" i="36"/>
  <c r="R145" i="36" l="1"/>
  <c r="U145" i="36" s="1"/>
  <c r="T113" i="36"/>
  <c r="G98" i="37"/>
  <c r="S81" i="36"/>
  <c r="S73" i="36"/>
  <c r="V76" i="36"/>
  <c r="S112" i="36"/>
  <c r="G61" i="37"/>
  <c r="V88" i="36"/>
  <c r="V89" i="36"/>
  <c r="Q135" i="36"/>
  <c r="R135" i="36" s="1"/>
  <c r="U135" i="36" s="1"/>
  <c r="Q165" i="36"/>
  <c r="T165" i="36" s="1"/>
  <c r="S58" i="36"/>
  <c r="G55" i="37" s="1"/>
  <c r="S145" i="36"/>
  <c r="G138" i="37" s="1"/>
  <c r="T127" i="36"/>
  <c r="V84" i="36"/>
  <c r="S85" i="36"/>
  <c r="V85" i="36" s="1"/>
  <c r="S86" i="36"/>
  <c r="V86" i="36" s="1"/>
  <c r="S59" i="36"/>
  <c r="V59" i="36" s="1"/>
  <c r="R105" i="36"/>
  <c r="U105" i="36" s="1"/>
  <c r="S44" i="36"/>
  <c r="V44" i="36" s="1"/>
  <c r="R97" i="36"/>
  <c r="U97" i="36" s="1"/>
  <c r="V61" i="36"/>
  <c r="G58" i="37"/>
  <c r="O177" i="36"/>
  <c r="P177" i="36" s="1"/>
  <c r="Q177" i="36" s="1"/>
  <c r="T177" i="36" s="1"/>
  <c r="V73" i="36"/>
  <c r="G70" i="37"/>
  <c r="G60" i="37"/>
  <c r="V63" i="36"/>
  <c r="G63" i="37"/>
  <c r="V66" i="36"/>
  <c r="V68" i="36"/>
  <c r="G65" i="37"/>
  <c r="V67" i="36"/>
  <c r="G64" i="37"/>
  <c r="O179" i="36"/>
  <c r="P179" i="36" s="1"/>
  <c r="Q179" i="36" s="1"/>
  <c r="T179" i="36" s="1"/>
  <c r="V108" i="36"/>
  <c r="G103" i="37"/>
  <c r="R82" i="36"/>
  <c r="U82" i="36" s="1"/>
  <c r="G49" i="37"/>
  <c r="T90" i="36"/>
  <c r="G50" i="37"/>
  <c r="V53" i="36"/>
  <c r="S96" i="36"/>
  <c r="G91" i="37" s="1"/>
  <c r="V54" i="36"/>
  <c r="O184" i="36"/>
  <c r="P184" i="36" s="1"/>
  <c r="Q184" i="36" s="1"/>
  <c r="T184" i="36" s="1"/>
  <c r="Q151" i="36"/>
  <c r="T151" i="36" s="1"/>
  <c r="O181" i="36"/>
  <c r="P181" i="36" s="1"/>
  <c r="Q181" i="36" s="1"/>
  <c r="Q142" i="36"/>
  <c r="S127" i="36"/>
  <c r="V127" i="36" s="1"/>
  <c r="R120" i="36"/>
  <c r="U120" i="36" s="1"/>
  <c r="Q150" i="36"/>
  <c r="R150" i="36" s="1"/>
  <c r="U150" i="36" s="1"/>
  <c r="G121" i="37"/>
  <c r="U113" i="36"/>
  <c r="S113" i="36"/>
  <c r="R93" i="36"/>
  <c r="U93" i="36" s="1"/>
  <c r="Q180" i="36"/>
  <c r="T180" i="36" s="1"/>
  <c r="R95" i="36"/>
  <c r="U95" i="36" s="1"/>
  <c r="R110" i="36"/>
  <c r="U110" i="36" s="1"/>
  <c r="T110" i="36"/>
  <c r="S92" i="36"/>
  <c r="V92" i="36" s="1"/>
  <c r="S90" i="36"/>
  <c r="V90" i="36" s="1"/>
  <c r="S87" i="36"/>
  <c r="V87" i="36" s="1"/>
  <c r="R146" i="36"/>
  <c r="U146" i="36" s="1"/>
  <c r="Q178" i="36"/>
  <c r="O175" i="36"/>
  <c r="P175" i="36" s="1"/>
  <c r="O183" i="36"/>
  <c r="P183" i="36" s="1"/>
  <c r="T141" i="36"/>
  <c r="R141" i="36"/>
  <c r="U141" i="36" s="1"/>
  <c r="Q123" i="36"/>
  <c r="R123" i="36" s="1"/>
  <c r="U123" i="36" s="1"/>
  <c r="Q124" i="36"/>
  <c r="M185" i="36"/>
  <c r="Q125" i="36"/>
  <c r="T125" i="36" s="1"/>
  <c r="O185" i="36"/>
  <c r="P185" i="36" s="1"/>
  <c r="R152" i="36"/>
  <c r="U152" i="36" s="1"/>
  <c r="Q164" i="36"/>
  <c r="R164" i="36" s="1"/>
  <c r="U164" i="36" s="1"/>
  <c r="T152" i="36"/>
  <c r="P137" i="36"/>
  <c r="Q137" i="36" s="1"/>
  <c r="O172" i="36"/>
  <c r="P172" i="36" s="1"/>
  <c r="S114" i="36"/>
  <c r="G109" i="37" s="1"/>
  <c r="Q170" i="36"/>
  <c r="R170" i="36" s="1"/>
  <c r="O190" i="36"/>
  <c r="P190" i="36" s="1"/>
  <c r="Q190" i="36" s="1"/>
  <c r="O186" i="36"/>
  <c r="P186" i="36" s="1"/>
  <c r="O158" i="36"/>
  <c r="P158" i="36" s="1"/>
  <c r="Q158" i="36" s="1"/>
  <c r="P139" i="36"/>
  <c r="Q139" i="36" s="1"/>
  <c r="Q144" i="36"/>
  <c r="R144" i="36" s="1"/>
  <c r="U144" i="36" s="1"/>
  <c r="S91" i="36"/>
  <c r="V91" i="36" s="1"/>
  <c r="P149" i="36"/>
  <c r="Q149" i="36" s="1"/>
  <c r="S94" i="36"/>
  <c r="V94" i="36" s="1"/>
  <c r="O171" i="36"/>
  <c r="P171" i="36" s="1"/>
  <c r="O168" i="36"/>
  <c r="P168" i="36" s="1"/>
  <c r="P143" i="36"/>
  <c r="Q143" i="36" s="1"/>
  <c r="P166" i="36"/>
  <c r="Q166" i="36" s="1"/>
  <c r="T131" i="36"/>
  <c r="R131" i="36"/>
  <c r="U131" i="36" s="1"/>
  <c r="T134" i="36"/>
  <c r="R134" i="36"/>
  <c r="U134" i="36" s="1"/>
  <c r="T157" i="36"/>
  <c r="R157" i="36"/>
  <c r="U157" i="36" s="1"/>
  <c r="T129" i="36"/>
  <c r="R129" i="36"/>
  <c r="U129" i="36" s="1"/>
  <c r="T119" i="36"/>
  <c r="R119" i="36"/>
  <c r="U119" i="36" s="1"/>
  <c r="G53" i="37"/>
  <c r="V56" i="36"/>
  <c r="R130" i="36"/>
  <c r="U130" i="36" s="1"/>
  <c r="T130" i="36"/>
  <c r="N187" i="36"/>
  <c r="R99" i="36"/>
  <c r="U99" i="36" s="1"/>
  <c r="T99" i="36"/>
  <c r="T126" i="36"/>
  <c r="R126" i="36"/>
  <c r="U126" i="36" s="1"/>
  <c r="R140" i="36"/>
  <c r="U140" i="36" s="1"/>
  <c r="T140" i="36"/>
  <c r="Q169" i="36"/>
  <c r="V51" i="36"/>
  <c r="G48" i="37"/>
  <c r="O182" i="36"/>
  <c r="P182" i="36" s="1"/>
  <c r="G101" i="37"/>
  <c r="V106" i="36"/>
  <c r="S97" i="36"/>
  <c r="O188" i="36"/>
  <c r="P188" i="36" s="1"/>
  <c r="Q173" i="36"/>
  <c r="V104" i="36"/>
  <c r="G99" i="37"/>
  <c r="Q111" i="36"/>
  <c r="G47" i="37"/>
  <c r="V50" i="36"/>
  <c r="G81" i="37"/>
  <c r="O148" i="36"/>
  <c r="Q160" i="36"/>
  <c r="T107" i="36"/>
  <c r="R107" i="36"/>
  <c r="U107" i="36" s="1"/>
  <c r="T122" i="36"/>
  <c r="R122" i="36"/>
  <c r="U122" i="36" s="1"/>
  <c r="V43" i="36"/>
  <c r="G40" i="37"/>
  <c r="M189" i="36"/>
  <c r="G80" i="37"/>
  <c r="O162" i="36"/>
  <c r="P162" i="36" s="1"/>
  <c r="Q161" i="36"/>
  <c r="S101" i="36"/>
  <c r="M187" i="36"/>
  <c r="Q167" i="36"/>
  <c r="V55" i="36"/>
  <c r="G52" i="37"/>
  <c r="V81" i="36"/>
  <c r="G76" i="37"/>
  <c r="T132" i="36"/>
  <c r="R132" i="36"/>
  <c r="U132" i="36" s="1"/>
  <c r="P133" i="36"/>
  <c r="Q133" i="36" s="1"/>
  <c r="S109" i="36"/>
  <c r="T147" i="36"/>
  <c r="R147" i="36"/>
  <c r="U147" i="36" s="1"/>
  <c r="S102" i="36"/>
  <c r="N189" i="36"/>
  <c r="O163" i="36"/>
  <c r="P163" i="36" s="1"/>
  <c r="T135" i="36" l="1"/>
  <c r="R165" i="36"/>
  <c r="U165" i="36" s="1"/>
  <c r="V145" i="36"/>
  <c r="V112" i="36"/>
  <c r="G107" i="37"/>
  <c r="V58" i="36"/>
  <c r="D194" i="36" s="1"/>
  <c r="G56" i="37"/>
  <c r="S105" i="36"/>
  <c r="R184" i="36"/>
  <c r="U184" i="36" s="1"/>
  <c r="V96" i="36"/>
  <c r="R179" i="36"/>
  <c r="U179" i="36" s="1"/>
  <c r="G41" i="37"/>
  <c r="S122" i="36"/>
  <c r="V122" i="36" s="1"/>
  <c r="S82" i="36"/>
  <c r="V82" i="36" s="1"/>
  <c r="S110" i="36"/>
  <c r="V110" i="36" s="1"/>
  <c r="V114" i="36"/>
  <c r="G82" i="37"/>
  <c r="S120" i="36"/>
  <c r="V120" i="36" s="1"/>
  <c r="G120" i="37"/>
  <c r="T123" i="36"/>
  <c r="R125" i="36"/>
  <c r="U125" i="36" s="1"/>
  <c r="S99" i="36"/>
  <c r="G94" i="37" s="1"/>
  <c r="R177" i="36"/>
  <c r="U177" i="36" s="1"/>
  <c r="S140" i="36"/>
  <c r="V140" i="36" s="1"/>
  <c r="T150" i="36"/>
  <c r="R151" i="36"/>
  <c r="U151" i="36" s="1"/>
  <c r="G77" i="37"/>
  <c r="S95" i="36"/>
  <c r="V95" i="36" s="1"/>
  <c r="G87" i="37"/>
  <c r="G85" i="37"/>
  <c r="R180" i="36"/>
  <c r="U180" i="36" s="1"/>
  <c r="S123" i="36"/>
  <c r="V123" i="36" s="1"/>
  <c r="Q183" i="36"/>
  <c r="T183" i="36" s="1"/>
  <c r="R142" i="36"/>
  <c r="U142" i="36" s="1"/>
  <c r="T142" i="36"/>
  <c r="S157" i="36"/>
  <c r="G148" i="37" s="1"/>
  <c r="Q175" i="36"/>
  <c r="R175" i="36" s="1"/>
  <c r="U175" i="36" s="1"/>
  <c r="V105" i="36"/>
  <c r="G100" i="37"/>
  <c r="V113" i="36"/>
  <c r="G108" i="37"/>
  <c r="G89" i="37"/>
  <c r="S146" i="36"/>
  <c r="S147" i="36"/>
  <c r="V147" i="36" s="1"/>
  <c r="T144" i="36"/>
  <c r="S93" i="36"/>
  <c r="Q172" i="36"/>
  <c r="T172" i="36" s="1"/>
  <c r="G86" i="37"/>
  <c r="T178" i="36"/>
  <c r="R178" i="36"/>
  <c r="R143" i="36"/>
  <c r="U143" i="36" s="1"/>
  <c r="T143" i="36"/>
  <c r="S132" i="36"/>
  <c r="V132" i="36" s="1"/>
  <c r="S126" i="36"/>
  <c r="G119" i="37" s="1"/>
  <c r="Q185" i="36"/>
  <c r="T124" i="36"/>
  <c r="R124" i="36"/>
  <c r="T137" i="36"/>
  <c r="R137" i="36"/>
  <c r="U137" i="36" s="1"/>
  <c r="T164" i="36"/>
  <c r="T170" i="36"/>
  <c r="S141" i="36"/>
  <c r="S152" i="36"/>
  <c r="T181" i="36"/>
  <c r="R181" i="36"/>
  <c r="U181" i="36" s="1"/>
  <c r="T139" i="36"/>
  <c r="R139" i="36"/>
  <c r="U139" i="36" s="1"/>
  <c r="T158" i="36"/>
  <c r="R158" i="36"/>
  <c r="U158" i="36" s="1"/>
  <c r="U170" i="36"/>
  <c r="S170" i="36"/>
  <c r="G161" i="37" s="1"/>
  <c r="T149" i="36"/>
  <c r="R149" i="36"/>
  <c r="U149" i="36" s="1"/>
  <c r="S144" i="36"/>
  <c r="V144" i="36" s="1"/>
  <c r="Q188" i="36"/>
  <c r="Q168" i="36"/>
  <c r="T168" i="36" s="1"/>
  <c r="S164" i="36"/>
  <c r="V164" i="36" s="1"/>
  <c r="S130" i="36"/>
  <c r="V130" i="36" s="1"/>
  <c r="S134" i="36"/>
  <c r="V134" i="36" s="1"/>
  <c r="S129" i="36"/>
  <c r="V129" i="36" s="1"/>
  <c r="Q171" i="36"/>
  <c r="Q186" i="36"/>
  <c r="T186" i="36" s="1"/>
  <c r="T133" i="36"/>
  <c r="R133" i="36"/>
  <c r="U133" i="36" s="1"/>
  <c r="R190" i="36"/>
  <c r="U190" i="36" s="1"/>
  <c r="T190" i="36"/>
  <c r="P148" i="36"/>
  <c r="Q148" i="36" s="1"/>
  <c r="S119" i="36"/>
  <c r="Q182" i="36"/>
  <c r="T166" i="36"/>
  <c r="R166" i="36"/>
  <c r="U166" i="36" s="1"/>
  <c r="O189" i="36"/>
  <c r="P189" i="36" s="1"/>
  <c r="Q189" i="36" s="1"/>
  <c r="R111" i="36"/>
  <c r="U111" i="36" s="1"/>
  <c r="T111" i="36"/>
  <c r="O187" i="36"/>
  <c r="P187" i="36" s="1"/>
  <c r="V109" i="36"/>
  <c r="G104" i="37"/>
  <c r="V97" i="36"/>
  <c r="G92" i="37"/>
  <c r="R160" i="36"/>
  <c r="U160" i="36" s="1"/>
  <c r="T160" i="36"/>
  <c r="R167" i="36"/>
  <c r="U167" i="36" s="1"/>
  <c r="T167" i="36"/>
  <c r="G113" i="37"/>
  <c r="S135" i="36"/>
  <c r="T161" i="36"/>
  <c r="R161" i="36"/>
  <c r="U161" i="36" s="1"/>
  <c r="R173" i="36"/>
  <c r="U173" i="36" s="1"/>
  <c r="T173" i="36"/>
  <c r="T169" i="36"/>
  <c r="R169" i="36"/>
  <c r="U169" i="36" s="1"/>
  <c r="V101" i="36"/>
  <c r="G96" i="37"/>
  <c r="Q162" i="36"/>
  <c r="S165" i="36"/>
  <c r="S150" i="36"/>
  <c r="V102" i="36"/>
  <c r="G97" i="37"/>
  <c r="Q163" i="36"/>
  <c r="S107" i="36"/>
  <c r="S131" i="36"/>
  <c r="T175" i="36" l="1"/>
  <c r="S137" i="36"/>
  <c r="S179" i="36"/>
  <c r="V179" i="36" s="1"/>
  <c r="S111" i="36"/>
  <c r="G115" i="37"/>
  <c r="G90" i="37"/>
  <c r="S161" i="36"/>
  <c r="G105" i="37"/>
  <c r="S184" i="36"/>
  <c r="V184" i="36" s="1"/>
  <c r="S177" i="36"/>
  <c r="V177" i="36" s="1"/>
  <c r="V99" i="36"/>
  <c r="G133" i="37"/>
  <c r="S125" i="36"/>
  <c r="S180" i="36"/>
  <c r="G171" i="37" s="1"/>
  <c r="S151" i="36"/>
  <c r="G144" i="37" s="1"/>
  <c r="G137" i="37"/>
  <c r="S142" i="36"/>
  <c r="V142" i="36" s="1"/>
  <c r="S143" i="36"/>
  <c r="V143" i="36" s="1"/>
  <c r="V157" i="36"/>
  <c r="G116" i="37"/>
  <c r="R183" i="36"/>
  <c r="U183" i="36" s="1"/>
  <c r="S175" i="36"/>
  <c r="V175" i="36" s="1"/>
  <c r="R172" i="36"/>
  <c r="U172" i="36" s="1"/>
  <c r="S149" i="36"/>
  <c r="V149" i="36" s="1"/>
  <c r="G168" i="37"/>
  <c r="G125" i="37"/>
  <c r="G139" i="37"/>
  <c r="V146" i="36"/>
  <c r="V126" i="36"/>
  <c r="G140" i="37"/>
  <c r="S190" i="36"/>
  <c r="V190" i="36" s="1"/>
  <c r="S139" i="36"/>
  <c r="V139" i="36" s="1"/>
  <c r="R186" i="36"/>
  <c r="U186" i="36" s="1"/>
  <c r="G88" i="37"/>
  <c r="V93" i="36"/>
  <c r="G170" i="37"/>
  <c r="U178" i="36"/>
  <c r="S178" i="36"/>
  <c r="S173" i="36"/>
  <c r="G164" i="37" s="1"/>
  <c r="G130" i="37"/>
  <c r="V137" i="36"/>
  <c r="U124" i="36"/>
  <c r="S124" i="36"/>
  <c r="S169" i="36"/>
  <c r="V169" i="36" s="1"/>
  <c r="G123" i="37"/>
  <c r="G127" i="37"/>
  <c r="G145" i="37"/>
  <c r="V152" i="36"/>
  <c r="V141" i="36"/>
  <c r="G134" i="37"/>
  <c r="V170" i="36"/>
  <c r="R185" i="36"/>
  <c r="U185" i="36" s="1"/>
  <c r="T185" i="36"/>
  <c r="R168" i="36"/>
  <c r="U168" i="36" s="1"/>
  <c r="S160" i="36"/>
  <c r="V160" i="36" s="1"/>
  <c r="S158" i="36"/>
  <c r="G155" i="37"/>
  <c r="R188" i="36"/>
  <c r="U188" i="36" s="1"/>
  <c r="S167" i="36"/>
  <c r="G158" i="37" s="1"/>
  <c r="G122" i="37"/>
  <c r="T188" i="36"/>
  <c r="S166" i="36"/>
  <c r="V166" i="36" s="1"/>
  <c r="S181" i="36"/>
  <c r="T171" i="36"/>
  <c r="R171" i="36"/>
  <c r="U171" i="36" s="1"/>
  <c r="R148" i="36"/>
  <c r="U148" i="36" s="1"/>
  <c r="T148" i="36"/>
  <c r="R189" i="36"/>
  <c r="U189" i="36" s="1"/>
  <c r="T189" i="36"/>
  <c r="G128" i="37"/>
  <c r="V135" i="36"/>
  <c r="R163" i="36"/>
  <c r="U163" i="36" s="1"/>
  <c r="T163" i="36"/>
  <c r="V165" i="36"/>
  <c r="G156" i="37"/>
  <c r="T182" i="36"/>
  <c r="R182" i="36"/>
  <c r="U182" i="36" s="1"/>
  <c r="V111" i="36"/>
  <c r="G106" i="37"/>
  <c r="V119" i="36"/>
  <c r="G112" i="37"/>
  <c r="Q187" i="36"/>
  <c r="G143" i="37"/>
  <c r="V150" i="36"/>
  <c r="T162" i="36"/>
  <c r="R162" i="36"/>
  <c r="U162" i="36" s="1"/>
  <c r="S133" i="36"/>
  <c r="G102" i="37"/>
  <c r="V107" i="36"/>
  <c r="G152" i="37"/>
  <c r="V161" i="36"/>
  <c r="V131" i="36"/>
  <c r="G124" i="37"/>
  <c r="S182" i="36" l="1"/>
  <c r="S148" i="36"/>
  <c r="G175" i="37"/>
  <c r="G135" i="37"/>
  <c r="V151" i="36"/>
  <c r="V180" i="36"/>
  <c r="G118" i="37"/>
  <c r="V125" i="36"/>
  <c r="G136" i="37"/>
  <c r="S183" i="36"/>
  <c r="V183" i="36" s="1"/>
  <c r="G142" i="37"/>
  <c r="S172" i="36"/>
  <c r="V172" i="36" s="1"/>
  <c r="S185" i="36"/>
  <c r="G176" i="37" s="1"/>
  <c r="S186" i="36"/>
  <c r="V186" i="36" s="1"/>
  <c r="G166" i="37"/>
  <c r="G132" i="37"/>
  <c r="V173" i="36"/>
  <c r="G181" i="37"/>
  <c r="S163" i="36"/>
  <c r="V163" i="36" s="1"/>
  <c r="G160" i="37"/>
  <c r="G151" i="37"/>
  <c r="G169" i="37"/>
  <c r="V178" i="36"/>
  <c r="G157" i="37"/>
  <c r="S162" i="36"/>
  <c r="V162" i="36" s="1"/>
  <c r="G117" i="37"/>
  <c r="V124" i="36"/>
  <c r="S171" i="36"/>
  <c r="G149" i="37"/>
  <c r="V158" i="36"/>
  <c r="V167" i="36"/>
  <c r="D195" i="36"/>
  <c r="V181" i="36"/>
  <c r="G172" i="37"/>
  <c r="S168" i="36"/>
  <c r="V168" i="36" s="1"/>
  <c r="S189" i="36"/>
  <c r="V189" i="36" s="1"/>
  <c r="S188" i="36"/>
  <c r="R187" i="36"/>
  <c r="U187" i="36" s="1"/>
  <c r="T187" i="36"/>
  <c r="G126" i="37"/>
  <c r="V133" i="36"/>
  <c r="V182" i="36"/>
  <c r="G173" i="37"/>
  <c r="V148" i="36"/>
  <c r="G141" i="37"/>
  <c r="G174" i="37" l="1"/>
  <c r="G177" i="37"/>
  <c r="G154" i="37"/>
  <c r="G163" i="37"/>
  <c r="V185" i="36"/>
  <c r="G180" i="37"/>
  <c r="G153" i="37"/>
  <c r="G159" i="37"/>
  <c r="S187" i="36"/>
  <c r="V187" i="36" s="1"/>
  <c r="V188" i="36"/>
  <c r="G179" i="37"/>
  <c r="D196" i="36"/>
  <c r="V171" i="36"/>
  <c r="G162" i="37"/>
  <c r="G178" i="37" l="1"/>
  <c r="D197" i="36"/>
  <c r="D199" i="36" s="1"/>
</calcChain>
</file>

<file path=xl/sharedStrings.xml><?xml version="1.0" encoding="utf-8"?>
<sst xmlns="http://schemas.openxmlformats.org/spreadsheetml/2006/main" count="1142" uniqueCount="115">
  <si>
    <t>INSTRUCTIONS TO SUBCONTRACTORS</t>
  </si>
  <si>
    <t>General</t>
  </si>
  <si>
    <t>1</t>
  </si>
  <si>
    <t xml:space="preserve">The subcontractor shall complete this Government Format Pricing Model (GFPM-Subs). </t>
  </si>
  <si>
    <t>2</t>
  </si>
  <si>
    <t xml:space="preserve">All proposed direct labor rates shall be in line with justifying data (historical/incurred costs, salary survey, BLS OES etc.) for each identified locality. </t>
  </si>
  <si>
    <t>3</t>
  </si>
  <si>
    <t>The subcontractor GFPM will be utilized for each subcontractor to show its compliance with providing a full labor buildup, per labor category and to ensure compliance with the Government provided floor rates.</t>
  </si>
  <si>
    <t>"Subcontractor Labor Build" Tab</t>
  </si>
  <si>
    <t>4</t>
  </si>
  <si>
    <t>5</t>
  </si>
  <si>
    <t>6</t>
  </si>
  <si>
    <t>7</t>
  </si>
  <si>
    <t xml:space="preserve">Particular cells are locked and cannot be edited. Cells highlighted in yellow can be modified to fit a subcontractors accounting methods, however, the Government has included pre-populated formulas if applicable. </t>
  </si>
  <si>
    <t>"Escalation" Tab</t>
  </si>
  <si>
    <t xml:space="preserve">Per section L of the RFP, for evaluation purposes only, this solicitation has set a minimum escalation for each period of performance. Subcontractors may choose to increase this rate in column C of the escalation tab, but shall not propose an escalation rate which is below the USG minimum. </t>
  </si>
  <si>
    <t>Ordering Period 1:</t>
  </si>
  <si>
    <t>Ordering Period 1 Labor Categories &amp; Hours</t>
  </si>
  <si>
    <t>Service</t>
  </si>
  <si>
    <t>ID</t>
  </si>
  <si>
    <t>Labor Category</t>
  </si>
  <si>
    <t>Reference</t>
  </si>
  <si>
    <t>Location</t>
  </si>
  <si>
    <t>Hours</t>
  </si>
  <si>
    <t>(Floor Rate)</t>
  </si>
  <si>
    <t>Direct Labor
(Proposed)</t>
  </si>
  <si>
    <t>Direct Labor
(Calculation)</t>
  </si>
  <si>
    <t>Fringe Benefit</t>
  </si>
  <si>
    <t>G&amp;A</t>
  </si>
  <si>
    <t>FCCOM</t>
  </si>
  <si>
    <t>Cost</t>
  </si>
  <si>
    <t>Fee</t>
  </si>
  <si>
    <t>FBLR</t>
  </si>
  <si>
    <t>Total Cost</t>
  </si>
  <si>
    <t>Total Fee</t>
  </si>
  <si>
    <t>Total Price</t>
  </si>
  <si>
    <t>CONUS</t>
  </si>
  <si>
    <t>Program Management</t>
  </si>
  <si>
    <t>Project Management Specialist</t>
  </si>
  <si>
    <t>Field Service Representative (FSR)</t>
  </si>
  <si>
    <t>Field Service Representative</t>
  </si>
  <si>
    <t>Heavy Equipment Mechanic</t>
  </si>
  <si>
    <t>Welder</t>
  </si>
  <si>
    <t xml:space="preserve">Instructor  </t>
  </si>
  <si>
    <t>Material Handling Specialist</t>
  </si>
  <si>
    <t>Supply/Procurement Specialist</t>
  </si>
  <si>
    <t>OCONUS</t>
  </si>
  <si>
    <t>Ordering Period 2:</t>
  </si>
  <si>
    <t>Ordering Period 2 Labor Categories &amp; Hours</t>
  </si>
  <si>
    <t>Ordering Period 3:</t>
  </si>
  <si>
    <t>Ordering Period 3 Labor Categories &amp; Hours</t>
  </si>
  <si>
    <t>Ordering Period 4:</t>
  </si>
  <si>
    <t>Ordering Period 4 Labor Categories &amp; Hours</t>
  </si>
  <si>
    <t>Ordering Period 5:</t>
  </si>
  <si>
    <t>Ordering Period 5 Labor Categories &amp; Hours</t>
  </si>
  <si>
    <t>Ordering Period 1  - Total Subcontractor Price</t>
  </si>
  <si>
    <t>Ordering Period 2  - Total Subcontractor Price</t>
  </si>
  <si>
    <t>Ordering Period 3  - Total Subcontractor Price</t>
  </si>
  <si>
    <t>Ordering Period 4  - Total Subcontractor Price</t>
  </si>
  <si>
    <t>Ordering Period 5  - Total Subcontractor Price</t>
  </si>
  <si>
    <t>Total Subcontractor Price</t>
  </si>
  <si>
    <t>POP</t>
  </si>
  <si>
    <t>Minimum 
Escalation</t>
  </si>
  <si>
    <t>Proposed
 Escalation</t>
  </si>
  <si>
    <t>Calculated 
Escalation</t>
  </si>
  <si>
    <t>Ordering Period 2</t>
  </si>
  <si>
    <t>Ordering Period 3</t>
  </si>
  <si>
    <t>Ordering Period 4</t>
  </si>
  <si>
    <t>Ordering Period 5</t>
  </si>
  <si>
    <t>SUB FBLR</t>
  </si>
  <si>
    <t>Ordering Period 1</t>
  </si>
  <si>
    <t>DBA</t>
  </si>
  <si>
    <t>Proposed Hours</t>
  </si>
  <si>
    <t>"Sub FBLR" Tab</t>
  </si>
  <si>
    <t xml:space="preserve">To promote consistency between subcontractor files and prime offeror files, the Government has provided a FBLR Summary tab within the Subcontractor GFPM for the subcontractor to be able to more easily transfer its proposed FBLRs for each Ordering Period, to the prime offeror for the prime offeror to include in its proposal.  </t>
  </si>
  <si>
    <t>Subcontractor input is required in all applicable cells highlighted in yellow.</t>
  </si>
  <si>
    <t>The "Labor Categories &amp; Hours" table (columns A - F) contain all of the performance locations and labor categories that the USG anticipates to be necessary for completion of this effort. Offerors shall input the proposed number of hours in column F that will be completed by the subcontractor for each applicable labor category being performed by the subcontractor.</t>
  </si>
  <si>
    <r>
      <t xml:space="preserve">All subcontractors must provide the subcontractor GFPM to the prime offeror for submittal to the Government as part of the prime offeror proposal </t>
    </r>
    <r>
      <rPr>
        <b/>
        <sz val="11"/>
        <rFont val="Calibri"/>
        <family val="2"/>
        <scheme val="minor"/>
      </rPr>
      <t>OR</t>
    </r>
    <r>
      <rPr>
        <sz val="11"/>
        <rFont val="Calibri"/>
        <family val="2"/>
        <scheme val="minor"/>
      </rPr>
      <t xml:space="preserve"> each subcontractor must submit this file directly to the Government. </t>
    </r>
  </si>
  <si>
    <t>Subcontractors that do not account for Defense Base Act (DBA) Insurance in its indirect rates shall utilize column K to input its DBA Insurance premium for all applicable OCONUS labor categories.</t>
  </si>
  <si>
    <t>Labor OH</t>
  </si>
  <si>
    <t>Other OH</t>
  </si>
  <si>
    <t>Subcontractor Labor</t>
  </si>
  <si>
    <t>In the "Subcontractor Labor" table (columns H - V), subcontractors are required to submit fully burdened labor rates for each of the labor categories that the subcontractor is  performing (Column S). Subcontractors shall insert all of the cost elements (direct labor, DBA Insurance, fringe benefit costs, labor overhead costs, general &amp; administrative cost, fee etc.) that make up all of the fully burdened labor rates proposed (Columns I - R). If necessary, subcontractors may submit additional cost data in it's own format to further justify the proposed single elements of the prime labor costs.</t>
  </si>
  <si>
    <r>
      <t>Subcontractors shall insert direct labor rates in Ordering Period 1 for the applicable labor categories (</t>
    </r>
    <r>
      <rPr>
        <sz val="11"/>
        <color rgb="FFFF0000"/>
        <rFont val="Calibri"/>
        <family val="2"/>
        <scheme val="minor"/>
      </rPr>
      <t>I5 - I36</t>
    </r>
    <r>
      <rPr>
        <sz val="11"/>
        <rFont val="Calibri"/>
        <family val="2"/>
        <scheme val="minor"/>
      </rPr>
      <t>).  Note: Per section L of the RTOP, the proposed direct labor rates must meet or exceed the USG floor rates, referenced in Ordering Period 1 (</t>
    </r>
    <r>
      <rPr>
        <sz val="11"/>
        <color rgb="FFFF0000"/>
        <rFont val="Calibri"/>
        <family val="2"/>
        <scheme val="minor"/>
      </rPr>
      <t>H5 - H36</t>
    </r>
    <r>
      <rPr>
        <sz val="11"/>
        <rFont val="Calibri"/>
        <family val="2"/>
        <scheme val="minor"/>
      </rPr>
      <t>).</t>
    </r>
  </si>
  <si>
    <t>3a</t>
  </si>
  <si>
    <t>3b</t>
  </si>
  <si>
    <t>3c</t>
  </si>
  <si>
    <t>3d</t>
  </si>
  <si>
    <t>In the event a subcontractor proposes a direct labor rate below the floor rate in error, the subcontractor GFPM corrects this error by utilizing the floor rate (as calculated by the pre-populated formula in column J) to compute the subcontractor costs that contribute to the subcontractor proposed FBLR in column S.</t>
  </si>
  <si>
    <t>The fee formula in column R restricts subcontractors from proposing negative fee percentages.</t>
  </si>
  <si>
    <t xml:space="preserve">The FBLR proposed in column S should be consistent with the FBLR provided to the prime for the primes submittal of its proposal. </t>
  </si>
  <si>
    <t xml:space="preserve">This tab provides the data for the labor escalation rates which apply to all ordering periods of performance.  </t>
  </si>
  <si>
    <t>The Hours and FBLRs (columns F &amp; G) are automatically populated in this tab, as they are pulled directly from the 'Subcontractor Labor Build' tab.</t>
  </si>
  <si>
    <t>Deprocessing</t>
  </si>
  <si>
    <t>New Equipment Training (NET) / 
Displaced Equipment Training (DET)</t>
  </si>
  <si>
    <t>Total Package Fielding (TPF)</t>
  </si>
  <si>
    <t>Modification Work Order (MWO) Installation</t>
  </si>
  <si>
    <t>Inspector</t>
  </si>
  <si>
    <t xml:space="preserve">Field Service Representative </t>
  </si>
  <si>
    <t xml:space="preserve">Instructor </t>
  </si>
  <si>
    <t>Some labor categories are listed more than once as identified by the ID#. These labor categories shall have the same proposed labor rates in all locations within the same ordering period.  For example, in Ordering Period 1, ID 002 appears in row 6, row 16, and row 17. The proposed direct labor, indirect labor, fee, and resulting FBLR shall be the same for ID 002 in rows 6, rows 16, and row 17.</t>
  </si>
  <si>
    <t>MWO Installer</t>
  </si>
  <si>
    <t>Subcontractors with accounting practices that include DBA Insurance in its indirect rates shall use this tab to provide evidence that DBA expenses are included as part of indirect costs within the proposed FBLR (i.e. identify the pool expense and indirect rate associated with DBA), showing how the DBA Insurance is accounted for.</t>
  </si>
  <si>
    <t>"DBA" Tab</t>
  </si>
  <si>
    <t>H.3.10</t>
  </si>
  <si>
    <t>H.3.8</t>
  </si>
  <si>
    <t>H.3.4</t>
  </si>
  <si>
    <t>H.3.3</t>
  </si>
  <si>
    <t>H.3.9</t>
  </si>
  <si>
    <t>H.3.2</t>
  </si>
  <si>
    <t>H.3.5</t>
  </si>
  <si>
    <t>H.3.7</t>
  </si>
  <si>
    <t>H.3.6</t>
  </si>
  <si>
    <t>Field Service Mechanic</t>
  </si>
  <si>
    <t>H.3.11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</si>
</sst>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409]mmm\-yy;@"/>
    <numFmt numFmtId="167" formatCode="[$-409]dd\-mmm\-yy;@"/>
    <numFmt numFmtId="168" formatCode="000"/>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name val="Calibri"/>
      <family val="2"/>
      <scheme val="minor"/>
    </font>
    <font>
      <b/>
      <sz val="11"/>
      <name val="Calibri"/>
      <family val="2"/>
      <scheme val="minor"/>
    </font>
    <font>
      <b/>
      <sz val="14"/>
      <name val="Calibri"/>
      <family val="2"/>
      <scheme val="minor"/>
    </font>
    <font>
      <sz val="10"/>
      <name val="Arial"/>
      <family val="2"/>
    </font>
    <font>
      <sz val="11"/>
      <color rgb="FFFF0000"/>
      <name val="Calibri"/>
      <family val="2"/>
      <scheme val="minor"/>
    </font>
    <font>
      <sz val="8"/>
      <name val="Calibri"/>
      <family val="2"/>
      <scheme val="minor"/>
    </font>
    <font>
      <b/>
      <sz val="20"/>
      <color theme="1"/>
      <name val="Calibri"/>
      <family val="2"/>
      <scheme val="minor"/>
    </font>
    <font>
      <b/>
      <sz val="14"/>
      <color theme="1"/>
      <name val="Calibri"/>
      <family val="2"/>
      <scheme val="minor"/>
    </font>
    <font>
      <b/>
      <u/>
      <sz val="11"/>
      <color theme="1"/>
      <name val="Calibri"/>
      <family val="2"/>
      <scheme val="minor"/>
    </font>
    <font>
      <b/>
      <sz val="11"/>
      <color indexed="8"/>
      <name val="Calibri"/>
      <family val="2"/>
      <scheme val="minor"/>
    </font>
    <font>
      <i/>
      <sz val="11"/>
      <color theme="1"/>
      <name val="Calibri"/>
      <family val="2"/>
      <scheme val="minor"/>
    </font>
    <font>
      <b/>
      <sz val="13"/>
      <color theme="1"/>
      <name val="Calibri"/>
      <family val="2"/>
      <scheme val="minor"/>
    </font>
    <font>
      <b/>
      <sz val="13"/>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solid">
        <fgColor rgb="FF00B050"/>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0"/>
        <bgColor indexed="64"/>
      </patternFill>
    </fill>
    <fill>
      <patternFill patternType="solid">
        <fgColor theme="1"/>
        <bgColor indexed="64"/>
      </patternFill>
    </fill>
    <fill>
      <patternFill patternType="solid">
        <fgColor rgb="FF00B0F0"/>
        <bgColor indexed="64"/>
      </patternFill>
    </fill>
  </fills>
  <borders count="4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166" fontId="1" fillId="0" borderId="0"/>
    <xf numFmtId="167" fontId="7" fillId="0" borderId="0"/>
    <xf numFmtId="0" fontId="1" fillId="0" borderId="0"/>
    <xf numFmtId="166" fontId="1" fillId="0" borderId="0"/>
  </cellStyleXfs>
  <cellXfs count="257">
    <xf numFmtId="0" fontId="0" fillId="0" borderId="0" xfId="0"/>
    <xf numFmtId="10" fontId="0" fillId="2" borderId="4" xfId="0" applyNumberFormat="1" applyFill="1" applyBorder="1" applyProtection="1">
      <protection locked="0"/>
    </xf>
    <xf numFmtId="44" fontId="0" fillId="2" borderId="4" xfId="2" applyFont="1" applyFill="1" applyBorder="1" applyProtection="1">
      <protection locked="0"/>
    </xf>
    <xf numFmtId="0" fontId="0" fillId="0" borderId="0" xfId="0" applyProtection="1"/>
    <xf numFmtId="165" fontId="0" fillId="0" borderId="0" xfId="2" applyNumberFormat="1" applyFont="1" applyProtection="1"/>
    <xf numFmtId="44" fontId="0" fillId="3" borderId="4" xfId="2" applyFont="1" applyFill="1" applyBorder="1" applyProtection="1"/>
    <xf numFmtId="0" fontId="0" fillId="0" borderId="4" xfId="0" applyBorder="1" applyProtection="1"/>
    <xf numFmtId="164" fontId="0" fillId="0" borderId="0" xfId="1" applyNumberFormat="1" applyFont="1" applyProtection="1"/>
    <xf numFmtId="164" fontId="0" fillId="0" borderId="0" xfId="1" applyNumberFormat="1" applyFont="1" applyFill="1" applyProtection="1"/>
    <xf numFmtId="44" fontId="0" fillId="0" borderId="0" xfId="2" applyFont="1" applyProtection="1"/>
    <xf numFmtId="0" fontId="0" fillId="6" borderId="4" xfId="0" applyFill="1" applyBorder="1" applyAlignment="1" applyProtection="1">
      <alignment horizontal="left" vertical="center"/>
    </xf>
    <xf numFmtId="0" fontId="0" fillId="6" borderId="4" xfId="0" applyFill="1" applyBorder="1" applyAlignment="1" applyProtection="1">
      <alignment horizontal="center" vertical="center" wrapText="1"/>
    </xf>
    <xf numFmtId="0" fontId="0" fillId="8" borderId="4" xfId="0" applyFill="1" applyBorder="1" applyProtection="1"/>
    <xf numFmtId="10" fontId="0" fillId="8" borderId="4" xfId="0" applyNumberFormat="1" applyFill="1" applyBorder="1" applyProtection="1"/>
    <xf numFmtId="49" fontId="6" fillId="0" borderId="0" xfId="3" applyNumberFormat="1" applyFont="1" applyAlignment="1">
      <alignment horizontal="center"/>
    </xf>
    <xf numFmtId="166" fontId="6" fillId="0" borderId="0" xfId="3" applyFont="1" applyAlignment="1">
      <alignment horizontal="center"/>
    </xf>
    <xf numFmtId="49" fontId="5" fillId="0" borderId="1" xfId="1" quotePrefix="1" applyNumberFormat="1" applyFont="1" applyBorder="1" applyAlignment="1" applyProtection="1">
      <alignment horizontal="center"/>
    </xf>
    <xf numFmtId="0" fontId="4" fillId="0" borderId="3" xfId="0" applyFont="1" applyBorder="1" applyAlignment="1">
      <alignment wrapText="1"/>
    </xf>
    <xf numFmtId="49" fontId="5" fillId="0" borderId="1" xfId="3" quotePrefix="1" applyNumberFormat="1" applyFont="1" applyBorder="1" applyAlignment="1">
      <alignment horizontal="center"/>
    </xf>
    <xf numFmtId="49" fontId="5" fillId="0" borderId="8" xfId="3" quotePrefix="1" applyNumberFormat="1" applyFont="1" applyBorder="1" applyAlignment="1">
      <alignment horizontal="center"/>
    </xf>
    <xf numFmtId="166" fontId="4" fillId="0" borderId="14" xfId="3" applyFont="1" applyBorder="1" applyAlignment="1">
      <alignment wrapText="1"/>
    </xf>
    <xf numFmtId="0" fontId="4" fillId="0" borderId="3" xfId="3" applyNumberFormat="1" applyFont="1" applyBorder="1" applyAlignment="1">
      <alignment wrapText="1"/>
    </xf>
    <xf numFmtId="166" fontId="4" fillId="0" borderId="3" xfId="3" applyFont="1" applyBorder="1" applyAlignment="1">
      <alignment wrapText="1"/>
    </xf>
    <xf numFmtId="166" fontId="4" fillId="0" borderId="6" xfId="3" applyFont="1" applyBorder="1" applyAlignment="1">
      <alignment wrapText="1"/>
    </xf>
    <xf numFmtId="0" fontId="0" fillId="0" borderId="0" xfId="0" applyAlignment="1">
      <alignment horizontal="center"/>
    </xf>
    <xf numFmtId="44" fontId="0" fillId="3" borderId="20" xfId="2" applyFont="1" applyFill="1" applyBorder="1" applyProtection="1"/>
    <xf numFmtId="44" fontId="0" fillId="2" borderId="20" xfId="2" applyFont="1" applyFill="1" applyBorder="1" applyProtection="1">
      <protection locked="0"/>
    </xf>
    <xf numFmtId="44" fontId="2" fillId="0" borderId="18" xfId="2" applyFont="1" applyBorder="1" applyProtection="1"/>
    <xf numFmtId="44" fontId="1" fillId="0" borderId="4" xfId="2" applyFont="1" applyBorder="1" applyProtection="1"/>
    <xf numFmtId="10" fontId="0" fillId="2" borderId="16" xfId="2" applyNumberFormat="1" applyFont="1" applyFill="1" applyBorder="1" applyAlignment="1" applyProtection="1">
      <alignment horizontal="center" vertical="center" wrapText="1"/>
      <protection locked="0"/>
    </xf>
    <xf numFmtId="44" fontId="0" fillId="0" borderId="17" xfId="2" applyFont="1" applyBorder="1" applyAlignment="1" applyProtection="1">
      <alignment horizontal="center" vertical="center"/>
    </xf>
    <xf numFmtId="165" fontId="0" fillId="0" borderId="16" xfId="2" applyNumberFormat="1" applyFont="1" applyBorder="1" applyAlignment="1" applyProtection="1">
      <alignment horizontal="center" vertical="center"/>
    </xf>
    <xf numFmtId="44" fontId="0" fillId="0" borderId="16" xfId="2" applyFont="1" applyBorder="1" applyAlignment="1" applyProtection="1">
      <alignment horizontal="center" vertical="center"/>
    </xf>
    <xf numFmtId="0" fontId="0" fillId="0" borderId="0" xfId="0" applyAlignment="1" applyProtection="1">
      <alignment horizontal="center" vertical="center"/>
    </xf>
    <xf numFmtId="0" fontId="2" fillId="0" borderId="18" xfId="0" applyFont="1" applyBorder="1" applyProtection="1"/>
    <xf numFmtId="49" fontId="5" fillId="0" borderId="1" xfId="3" applyNumberFormat="1" applyFont="1" applyBorder="1" applyAlignment="1">
      <alignment horizontal="center" vertical="center"/>
    </xf>
    <xf numFmtId="49" fontId="5" fillId="0" borderId="5" xfId="3" applyNumberFormat="1" applyFont="1" applyBorder="1" applyAlignment="1">
      <alignment horizontal="center" vertical="center"/>
    </xf>
    <xf numFmtId="49" fontId="5" fillId="0" borderId="1" xfId="3" quotePrefix="1" applyNumberFormat="1" applyFont="1" applyBorder="1" applyAlignment="1">
      <alignment horizontal="center" vertical="center"/>
    </xf>
    <xf numFmtId="44" fontId="0" fillId="3" borderId="25" xfId="2" applyFont="1" applyFill="1" applyBorder="1" applyProtection="1"/>
    <xf numFmtId="44" fontId="0" fillId="2" borderId="25" xfId="2" applyFont="1" applyFill="1" applyBorder="1" applyProtection="1">
      <protection locked="0"/>
    </xf>
    <xf numFmtId="0" fontId="4" fillId="0" borderId="15" xfId="0" quotePrefix="1" applyFont="1" applyBorder="1" applyAlignment="1">
      <alignment horizontal="center"/>
    </xf>
    <xf numFmtId="164" fontId="0" fillId="9" borderId="0" xfId="1" applyNumberFormat="1" applyFont="1" applyFill="1" applyBorder="1" applyProtection="1"/>
    <xf numFmtId="0" fontId="0" fillId="9" borderId="0" xfId="0" applyFill="1" applyBorder="1" applyProtection="1"/>
    <xf numFmtId="44" fontId="2" fillId="0" borderId="22" xfId="2" applyFont="1" applyBorder="1" applyAlignment="1" applyProtection="1"/>
    <xf numFmtId="165" fontId="2" fillId="0" borderId="22" xfId="2" applyNumberFormat="1" applyFont="1" applyBorder="1" applyAlignment="1" applyProtection="1"/>
    <xf numFmtId="44" fontId="2" fillId="0" borderId="23" xfId="2" applyFont="1" applyBorder="1" applyAlignment="1" applyProtection="1"/>
    <xf numFmtId="0" fontId="2" fillId="0" borderId="0" xfId="0" applyFont="1" applyProtection="1"/>
    <xf numFmtId="0" fontId="2" fillId="0" borderId="15" xfId="0" applyFont="1" applyBorder="1" applyProtection="1"/>
    <xf numFmtId="0" fontId="13" fillId="0" borderId="16" xfId="0" applyFont="1" applyBorder="1" applyProtection="1"/>
    <xf numFmtId="0" fontId="2" fillId="0" borderId="16" xfId="0" applyFont="1" applyBorder="1" applyProtection="1"/>
    <xf numFmtId="44" fontId="0" fillId="3" borderId="16" xfId="2" applyFont="1" applyFill="1" applyBorder="1" applyProtection="1"/>
    <xf numFmtId="44" fontId="0" fillId="2" borderId="16" xfId="2" applyFont="1" applyFill="1" applyBorder="1" applyProtection="1">
      <protection locked="0"/>
    </xf>
    <xf numFmtId="164" fontId="2" fillId="0" borderId="27" xfId="1" applyNumberFormat="1" applyFont="1" applyBorder="1" applyAlignment="1" applyProtection="1">
      <alignment horizontal="center" wrapText="1"/>
    </xf>
    <xf numFmtId="44" fontId="2" fillId="0" borderId="22" xfId="2" applyFont="1" applyBorder="1" applyAlignment="1" applyProtection="1">
      <alignment horizontal="center" wrapText="1"/>
    </xf>
    <xf numFmtId="164" fontId="0" fillId="0" borderId="15" xfId="1" applyNumberFormat="1" applyFont="1" applyBorder="1" applyAlignment="1" applyProtection="1">
      <alignment vertical="center"/>
    </xf>
    <xf numFmtId="0" fontId="11" fillId="9" borderId="0" xfId="0" applyFont="1" applyFill="1" applyBorder="1" applyAlignment="1">
      <alignment horizontal="center"/>
    </xf>
    <xf numFmtId="44" fontId="1" fillId="0" borderId="0" xfId="2" applyFont="1" applyBorder="1" applyProtection="1"/>
    <xf numFmtId="44" fontId="2" fillId="0" borderId="0" xfId="2" applyFont="1" applyBorder="1" applyProtection="1"/>
    <xf numFmtId="164" fontId="11" fillId="9" borderId="0" xfId="1" applyNumberFormat="1" applyFont="1" applyFill="1" applyBorder="1" applyAlignment="1">
      <alignment horizontal="center"/>
    </xf>
    <xf numFmtId="49" fontId="5" fillId="0" borderId="10" xfId="3" quotePrefix="1" applyNumberFormat="1" applyFont="1" applyBorder="1" applyAlignment="1">
      <alignment horizontal="center" vertical="center"/>
    </xf>
    <xf numFmtId="166" fontId="4" fillId="0" borderId="13" xfId="3" applyFont="1" applyFill="1" applyBorder="1" applyAlignment="1">
      <alignment wrapText="1"/>
    </xf>
    <xf numFmtId="166" fontId="4" fillId="0" borderId="13" xfId="3" applyFont="1" applyBorder="1" applyAlignment="1">
      <alignment wrapText="1"/>
    </xf>
    <xf numFmtId="49" fontId="5" fillId="0" borderId="8" xfId="3" quotePrefix="1" applyNumberFormat="1" applyFont="1" applyBorder="1" applyAlignment="1">
      <alignment horizontal="center" vertical="center"/>
    </xf>
    <xf numFmtId="0" fontId="14" fillId="0" borderId="0" xfId="0" applyFont="1" applyProtection="1"/>
    <xf numFmtId="44" fontId="14" fillId="0" borderId="0" xfId="2" applyFont="1" applyBorder="1" applyProtection="1"/>
    <xf numFmtId="164" fontId="14" fillId="0" borderId="0" xfId="1" applyNumberFormat="1" applyFont="1" applyFill="1" applyProtection="1"/>
    <xf numFmtId="164" fontId="14" fillId="0" borderId="0" xfId="1" applyNumberFormat="1" applyFont="1" applyProtection="1"/>
    <xf numFmtId="44" fontId="14" fillId="0" borderId="0" xfId="2" applyFont="1" applyProtection="1"/>
    <xf numFmtId="165" fontId="14" fillId="0" borderId="0" xfId="2" applyNumberFormat="1" applyFont="1" applyProtection="1"/>
    <xf numFmtId="0" fontId="0" fillId="0" borderId="4" xfId="0" applyFont="1" applyBorder="1" applyProtection="1"/>
    <xf numFmtId="164" fontId="0" fillId="2" borderId="21" xfId="1" applyNumberFormat="1" applyFont="1" applyFill="1" applyBorder="1" applyAlignment="1" applyProtection="1">
      <alignment horizontal="right"/>
      <protection locked="0"/>
    </xf>
    <xf numFmtId="164" fontId="0" fillId="2" borderId="7" xfId="1" applyNumberFormat="1" applyFont="1" applyFill="1" applyBorder="1" applyAlignment="1" applyProtection="1">
      <alignment horizontal="right"/>
      <protection locked="0"/>
    </xf>
    <xf numFmtId="164" fontId="0" fillId="2" borderId="26" xfId="1" applyNumberFormat="1" applyFont="1" applyFill="1" applyBorder="1" applyAlignment="1" applyProtection="1">
      <alignment horizontal="right"/>
      <protection locked="0"/>
    </xf>
    <xf numFmtId="164" fontId="0" fillId="2" borderId="17" xfId="1" applyNumberFormat="1" applyFont="1" applyFill="1" applyBorder="1" applyAlignment="1" applyProtection="1">
      <alignment horizontal="right"/>
      <protection locked="0"/>
    </xf>
    <xf numFmtId="164" fontId="0" fillId="2" borderId="17" xfId="1" applyNumberFormat="1" applyFont="1" applyFill="1" applyBorder="1" applyAlignment="1" applyProtection="1">
      <alignment horizontal="center"/>
      <protection locked="0"/>
    </xf>
    <xf numFmtId="164" fontId="0" fillId="2" borderId="7" xfId="1" applyNumberFormat="1" applyFont="1" applyFill="1" applyBorder="1" applyAlignment="1" applyProtection="1">
      <alignment horizontal="center"/>
      <protection locked="0"/>
    </xf>
    <xf numFmtId="164" fontId="0" fillId="2" borderId="26" xfId="1" applyNumberFormat="1" applyFont="1" applyFill="1" applyBorder="1" applyAlignment="1" applyProtection="1">
      <alignment horizontal="center"/>
      <protection locked="0"/>
    </xf>
    <xf numFmtId="164" fontId="0" fillId="2" borderId="21" xfId="1" applyNumberFormat="1" applyFont="1" applyFill="1" applyBorder="1" applyAlignment="1" applyProtection="1">
      <alignment horizontal="center"/>
      <protection locked="0"/>
    </xf>
    <xf numFmtId="0" fontId="2" fillId="9" borderId="19" xfId="0" applyFont="1" applyFill="1" applyBorder="1" applyAlignment="1" applyProtection="1">
      <alignment horizontal="center"/>
    </xf>
    <xf numFmtId="164" fontId="2" fillId="9" borderId="0" xfId="1" applyNumberFormat="1" applyFont="1" applyFill="1" applyBorder="1" applyAlignment="1" applyProtection="1">
      <alignment horizontal="center" wrapText="1"/>
    </xf>
    <xf numFmtId="164" fontId="0" fillId="9" borderId="0" xfId="1" applyNumberFormat="1" applyFont="1" applyFill="1" applyBorder="1" applyAlignment="1" applyProtection="1">
      <alignment horizontal="center" vertical="center" wrapText="1"/>
    </xf>
    <xf numFmtId="164" fontId="0" fillId="9" borderId="6" xfId="1" applyNumberFormat="1" applyFont="1" applyFill="1" applyBorder="1" applyProtection="1"/>
    <xf numFmtId="0" fontId="0" fillId="9" borderId="9" xfId="0" applyFill="1" applyBorder="1" applyAlignment="1" applyProtection="1">
      <alignment horizontal="center" vertical="center"/>
    </xf>
    <xf numFmtId="164" fontId="0" fillId="9" borderId="14" xfId="1" applyNumberFormat="1" applyFont="1" applyFill="1" applyBorder="1" applyAlignment="1" applyProtection="1">
      <alignment vertical="center"/>
    </xf>
    <xf numFmtId="164" fontId="2" fillId="0" borderId="17" xfId="1" applyNumberFormat="1" applyFont="1" applyBorder="1" applyAlignment="1" applyProtection="1">
      <alignment horizontal="center" wrapText="1"/>
    </xf>
    <xf numFmtId="44" fontId="0" fillId="3" borderId="16" xfId="2" applyNumberFormat="1" applyFont="1" applyFill="1" applyBorder="1" applyProtection="1"/>
    <xf numFmtId="44" fontId="0" fillId="3" borderId="17" xfId="2" applyNumberFormat="1" applyFont="1" applyFill="1" applyBorder="1" applyProtection="1"/>
    <xf numFmtId="44" fontId="0" fillId="3" borderId="20" xfId="2" applyNumberFormat="1" applyFont="1" applyFill="1" applyBorder="1" applyProtection="1"/>
    <xf numFmtId="44" fontId="0" fillId="3" borderId="21" xfId="2" applyNumberFormat="1" applyFont="1" applyFill="1" applyBorder="1" applyProtection="1"/>
    <xf numFmtId="44" fontId="0" fillId="3" borderId="4" xfId="2" applyNumberFormat="1" applyFont="1" applyFill="1" applyBorder="1" applyProtection="1"/>
    <xf numFmtId="44" fontId="0" fillId="3" borderId="7" xfId="2" applyNumberFormat="1" applyFont="1" applyFill="1" applyBorder="1" applyProtection="1"/>
    <xf numFmtId="44" fontId="0" fillId="3" borderId="25" xfId="2" applyNumberFormat="1" applyFont="1" applyFill="1" applyBorder="1" applyProtection="1"/>
    <xf numFmtId="44" fontId="0" fillId="3" borderId="26" xfId="2" applyNumberFormat="1" applyFont="1" applyFill="1" applyBorder="1" applyProtection="1"/>
    <xf numFmtId="44" fontId="0" fillId="0" borderId="17" xfId="2" applyFont="1" applyBorder="1"/>
    <xf numFmtId="44" fontId="0" fillId="0" borderId="21" xfId="2" applyFont="1" applyBorder="1"/>
    <xf numFmtId="44" fontId="0" fillId="0" borderId="7" xfId="2" applyFont="1" applyBorder="1"/>
    <xf numFmtId="44" fontId="0" fillId="0" borderId="26" xfId="2" applyFont="1" applyBorder="1"/>
    <xf numFmtId="44" fontId="11" fillId="9" borderId="6" xfId="2" applyFont="1" applyFill="1" applyBorder="1" applyAlignment="1">
      <alignment horizontal="center"/>
    </xf>
    <xf numFmtId="0" fontId="11" fillId="9" borderId="9" xfId="0" applyFont="1" applyFill="1" applyBorder="1" applyAlignment="1">
      <alignment horizontal="center"/>
    </xf>
    <xf numFmtId="0" fontId="11" fillId="9" borderId="14" xfId="0" applyFont="1" applyFill="1" applyBorder="1" applyAlignment="1">
      <alignment horizontal="center"/>
    </xf>
    <xf numFmtId="0" fontId="15" fillId="9" borderId="8" xfId="0" applyFont="1" applyFill="1" applyBorder="1" applyAlignment="1" applyProtection="1">
      <alignment horizontal="left"/>
    </xf>
    <xf numFmtId="0" fontId="12" fillId="0" borderId="0" xfId="0" applyFont="1" applyAlignment="1">
      <alignment horizontal="left" vertical="center"/>
    </xf>
    <xf numFmtId="0" fontId="12" fillId="0" borderId="0" xfId="0" applyFont="1" applyAlignment="1">
      <alignment vertical="center"/>
    </xf>
    <xf numFmtId="0" fontId="12" fillId="0" borderId="0" xfId="0" applyFont="1" applyAlignment="1">
      <alignment horizontal="center" vertical="center"/>
    </xf>
    <xf numFmtId="44" fontId="4" fillId="0" borderId="17" xfId="2" applyFont="1" applyBorder="1"/>
    <xf numFmtId="44" fontId="4" fillId="0" borderId="21" xfId="2" applyFont="1" applyBorder="1"/>
    <xf numFmtId="44" fontId="4" fillId="0" borderId="7" xfId="2" applyFont="1" applyBorder="1"/>
    <xf numFmtId="44" fontId="4" fillId="0" borderId="26" xfId="2" applyFont="1" applyBorder="1"/>
    <xf numFmtId="49" fontId="5" fillId="0" borderId="8" xfId="3" applyNumberFormat="1" applyFont="1" applyBorder="1" applyAlignment="1">
      <alignment horizontal="center" vertical="center"/>
    </xf>
    <xf numFmtId="0" fontId="4" fillId="0" borderId="16" xfId="0" applyFont="1" applyBorder="1" applyProtection="1"/>
    <xf numFmtId="44" fontId="0" fillId="10" borderId="16" xfId="2" applyFont="1" applyFill="1" applyBorder="1" applyProtection="1"/>
    <xf numFmtId="0" fontId="4" fillId="0" borderId="20" xfId="0" applyFont="1" applyBorder="1" applyProtection="1"/>
    <xf numFmtId="44" fontId="0" fillId="10" borderId="20" xfId="2" applyFont="1" applyFill="1" applyBorder="1" applyProtection="1"/>
    <xf numFmtId="0" fontId="4" fillId="0" borderId="4" xfId="0" applyFont="1" applyBorder="1" applyProtection="1"/>
    <xf numFmtId="44" fontId="0" fillId="10" borderId="4" xfId="2" applyFont="1" applyFill="1" applyBorder="1" applyProtection="1"/>
    <xf numFmtId="0" fontId="4" fillId="0" borderId="25" xfId="0" applyFont="1" applyBorder="1" applyProtection="1"/>
    <xf numFmtId="44" fontId="0" fillId="10" borderId="25" xfId="2" applyFont="1" applyFill="1" applyBorder="1" applyProtection="1"/>
    <xf numFmtId="44" fontId="4" fillId="3" borderId="4" xfId="2" applyFont="1" applyFill="1" applyBorder="1" applyProtection="1"/>
    <xf numFmtId="44" fontId="4" fillId="2" borderId="16" xfId="2" applyFont="1" applyFill="1" applyBorder="1" applyProtection="1">
      <protection locked="0"/>
    </xf>
    <xf numFmtId="44" fontId="4" fillId="2" borderId="4" xfId="2" applyFont="1" applyFill="1" applyBorder="1" applyProtection="1">
      <protection locked="0"/>
    </xf>
    <xf numFmtId="44" fontId="4" fillId="2" borderId="25" xfId="2" applyFont="1" applyFill="1" applyBorder="1" applyProtection="1">
      <protection locked="0"/>
    </xf>
    <xf numFmtId="44" fontId="4" fillId="2" borderId="20" xfId="2" applyFont="1" applyFill="1" applyBorder="1" applyProtection="1">
      <protection locked="0"/>
    </xf>
    <xf numFmtId="44" fontId="4" fillId="3" borderId="20" xfId="2" applyFont="1" applyFill="1" applyBorder="1" applyProtection="1"/>
    <xf numFmtId="44" fontId="4" fillId="3" borderId="25" xfId="2" applyFont="1" applyFill="1" applyBorder="1" applyProtection="1"/>
    <xf numFmtId="44" fontId="2" fillId="0" borderId="22" xfId="2" applyFont="1" applyBorder="1" applyAlignment="1" applyProtection="1">
      <alignment horizontal="center"/>
    </xf>
    <xf numFmtId="44" fontId="1" fillId="3" borderId="15" xfId="2" applyFont="1" applyFill="1" applyBorder="1" applyProtection="1"/>
    <xf numFmtId="44" fontId="1" fillId="3" borderId="12" xfId="2" applyFont="1" applyFill="1" applyBorder="1" applyProtection="1"/>
    <xf numFmtId="44" fontId="1" fillId="3" borderId="11" xfId="2" applyFont="1" applyFill="1" applyBorder="1" applyProtection="1"/>
    <xf numFmtId="44" fontId="1" fillId="3" borderId="24" xfId="2" applyFont="1" applyFill="1" applyBorder="1" applyProtection="1"/>
    <xf numFmtId="0" fontId="15" fillId="11" borderId="1" xfId="0" applyFont="1" applyFill="1" applyBorder="1" applyAlignment="1"/>
    <xf numFmtId="0" fontId="11" fillId="11" borderId="2" xfId="0" applyFont="1" applyFill="1" applyBorder="1" applyAlignment="1"/>
    <xf numFmtId="0" fontId="11" fillId="11" borderId="3" xfId="0" applyFont="1" applyFill="1" applyBorder="1" applyAlignment="1"/>
    <xf numFmtId="44" fontId="4" fillId="3" borderId="16" xfId="2" applyFont="1" applyFill="1" applyBorder="1" applyProtection="1"/>
    <xf numFmtId="0" fontId="0" fillId="9" borderId="0" xfId="0" applyFill="1" applyBorder="1" applyAlignment="1" applyProtection="1">
      <alignment horizontal="center" vertical="center"/>
    </xf>
    <xf numFmtId="164" fontId="0" fillId="9" borderId="6" xfId="1" applyNumberFormat="1" applyFont="1" applyFill="1" applyBorder="1" applyAlignment="1" applyProtection="1">
      <alignment vertical="center"/>
    </xf>
    <xf numFmtId="0" fontId="4" fillId="0" borderId="4" xfId="0" applyFont="1" applyBorder="1" applyAlignment="1" applyProtection="1">
      <alignment horizontal="left"/>
    </xf>
    <xf numFmtId="164" fontId="0" fillId="0" borderId="27" xfId="1" applyNumberFormat="1" applyFont="1" applyBorder="1" applyAlignment="1" applyProtection="1">
      <alignment vertical="center"/>
    </xf>
    <xf numFmtId="44" fontId="0" fillId="0" borderId="22" xfId="2" applyFont="1" applyBorder="1" applyAlignment="1" applyProtection="1">
      <alignment horizontal="center" vertical="center"/>
    </xf>
    <xf numFmtId="10" fontId="0" fillId="2" borderId="22" xfId="2" applyNumberFormat="1" applyFont="1" applyFill="1" applyBorder="1" applyAlignment="1" applyProtection="1">
      <alignment horizontal="center" vertical="center" wrapText="1"/>
      <protection locked="0"/>
    </xf>
    <xf numFmtId="165" fontId="0" fillId="0" borderId="22" xfId="2" applyNumberFormat="1" applyFont="1" applyBorder="1" applyAlignment="1" applyProtection="1">
      <alignment horizontal="center" vertical="center"/>
    </xf>
    <xf numFmtId="44" fontId="0" fillId="0" borderId="23" xfId="2" applyFont="1" applyBorder="1" applyAlignment="1" applyProtection="1">
      <alignment horizontal="center" vertical="center"/>
    </xf>
    <xf numFmtId="44" fontId="0" fillId="9" borderId="0" xfId="2" applyFont="1" applyFill="1" applyBorder="1" applyProtection="1"/>
    <xf numFmtId="2" fontId="0" fillId="9" borderId="0" xfId="0" applyNumberFormat="1" applyFill="1" applyBorder="1" applyProtection="1"/>
    <xf numFmtId="1" fontId="0" fillId="9" borderId="0" xfId="2" applyNumberFormat="1" applyFont="1" applyFill="1" applyBorder="1" applyAlignment="1" applyProtection="1">
      <alignment horizontal="right"/>
    </xf>
    <xf numFmtId="165" fontId="0" fillId="9" borderId="0" xfId="2" applyNumberFormat="1" applyFont="1" applyFill="1" applyBorder="1" applyProtection="1"/>
    <xf numFmtId="165" fontId="0" fillId="9" borderId="6" xfId="2" applyNumberFormat="1" applyFont="1" applyFill="1" applyBorder="1" applyProtection="1"/>
    <xf numFmtId="0" fontId="15" fillId="9" borderId="5" xfId="0" applyFont="1" applyFill="1" applyBorder="1" applyAlignment="1" applyProtection="1">
      <alignment horizontal="left"/>
    </xf>
    <xf numFmtId="0" fontId="4" fillId="0" borderId="15" xfId="0" quotePrefix="1" applyFont="1" applyBorder="1" applyAlignment="1">
      <alignment horizontal="center" vertical="center" wrapText="1"/>
    </xf>
    <xf numFmtId="0" fontId="4" fillId="0" borderId="16" xfId="0" applyFont="1" applyBorder="1" applyAlignment="1" applyProtection="1">
      <alignment horizontal="left"/>
    </xf>
    <xf numFmtId="44" fontId="0" fillId="3" borderId="15" xfId="2" applyFont="1" applyFill="1" applyBorder="1" applyProtection="1"/>
    <xf numFmtId="44" fontId="4" fillId="3" borderId="24" xfId="2" applyFont="1" applyFill="1" applyBorder="1" applyProtection="1"/>
    <xf numFmtId="44" fontId="4" fillId="3" borderId="15" xfId="2" applyFont="1" applyFill="1" applyBorder="1" applyProtection="1"/>
    <xf numFmtId="0" fontId="16" fillId="9" borderId="5" xfId="0" quotePrefix="1" applyFont="1" applyFill="1" applyBorder="1" applyAlignment="1" applyProtection="1">
      <alignment horizontal="left" wrapText="1"/>
    </xf>
    <xf numFmtId="44" fontId="0" fillId="3" borderId="12" xfId="2" applyFont="1" applyFill="1" applyBorder="1" applyProtection="1"/>
    <xf numFmtId="44" fontId="0" fillId="3" borderId="11" xfId="2" applyFont="1" applyFill="1" applyBorder="1" applyProtection="1"/>
    <xf numFmtId="44" fontId="0" fillId="3" borderId="24" xfId="2" applyFont="1" applyFill="1" applyBorder="1" applyProtection="1"/>
    <xf numFmtId="0" fontId="11" fillId="9" borderId="6" xfId="0" applyFont="1" applyFill="1" applyBorder="1" applyAlignment="1">
      <alignment horizontal="center"/>
    </xf>
    <xf numFmtId="0" fontId="11" fillId="11" borderId="9" xfId="0" applyFont="1" applyFill="1" applyBorder="1" applyAlignment="1"/>
    <xf numFmtId="0" fontId="11" fillId="11" borderId="14" xfId="0" applyFont="1" applyFill="1" applyBorder="1" applyAlignment="1"/>
    <xf numFmtId="164" fontId="0" fillId="0" borderId="15" xfId="1" applyNumberFormat="1" applyFont="1" applyBorder="1" applyAlignment="1">
      <alignment horizontal="center"/>
    </xf>
    <xf numFmtId="164" fontId="0" fillId="0" borderId="12" xfId="1" applyNumberFormat="1" applyFont="1" applyBorder="1" applyAlignment="1">
      <alignment horizontal="center"/>
    </xf>
    <xf numFmtId="164" fontId="0" fillId="0" borderId="11" xfId="1" applyNumberFormat="1" applyFont="1" applyBorder="1" applyAlignment="1">
      <alignment horizontal="center"/>
    </xf>
    <xf numFmtId="164" fontId="0" fillId="0" borderId="24" xfId="1" applyNumberFormat="1" applyFont="1" applyBorder="1" applyAlignment="1">
      <alignment horizontal="center"/>
    </xf>
    <xf numFmtId="0" fontId="4" fillId="0" borderId="15" xfId="0" quotePrefix="1" applyFont="1" applyBorder="1" applyAlignment="1" applyProtection="1">
      <alignment horizontal="center"/>
    </xf>
    <xf numFmtId="0" fontId="4" fillId="0" borderId="16" xfId="0" quotePrefix="1" applyFont="1" applyBorder="1" applyProtection="1"/>
    <xf numFmtId="0" fontId="4" fillId="0" borderId="20" xfId="0" quotePrefix="1" applyFont="1" applyBorder="1" applyProtection="1"/>
    <xf numFmtId="0" fontId="4" fillId="0" borderId="4" xfId="0" quotePrefix="1" applyFont="1" applyBorder="1" applyProtection="1"/>
    <xf numFmtId="0" fontId="4" fillId="0" borderId="25" xfId="0" quotePrefix="1" applyFont="1" applyBorder="1" applyProtection="1"/>
    <xf numFmtId="0" fontId="4" fillId="0" borderId="15" xfId="0" quotePrefix="1" applyFont="1" applyBorder="1" applyAlignment="1" applyProtection="1">
      <alignment horizontal="center" vertical="center" wrapText="1"/>
    </xf>
    <xf numFmtId="0" fontId="0" fillId="0" borderId="0" xfId="0" applyAlignment="1" applyProtection="1">
      <alignment wrapText="1"/>
      <protection locked="0"/>
    </xf>
    <xf numFmtId="0" fontId="0" fillId="0" borderId="0" xfId="0" applyProtection="1">
      <protection locked="0"/>
    </xf>
    <xf numFmtId="0" fontId="4" fillId="0" borderId="22" xfId="0" quotePrefix="1" applyFont="1" applyBorder="1" applyProtection="1"/>
    <xf numFmtId="0" fontId="4" fillId="0" borderId="22" xfId="0" applyFont="1" applyBorder="1" applyProtection="1"/>
    <xf numFmtId="164" fontId="0" fillId="2" borderId="23" xfId="1" applyNumberFormat="1" applyFont="1" applyFill="1" applyBorder="1" applyAlignment="1" applyProtection="1">
      <alignment horizontal="right"/>
      <protection locked="0"/>
    </xf>
    <xf numFmtId="44" fontId="0" fillId="3" borderId="27" xfId="2" applyFont="1" applyFill="1" applyBorder="1" applyProtection="1"/>
    <xf numFmtId="44" fontId="4" fillId="3" borderId="22" xfId="2" applyFont="1" applyFill="1" applyBorder="1" applyProtection="1"/>
    <xf numFmtId="44" fontId="0" fillId="3" borderId="22" xfId="2" applyFont="1" applyFill="1" applyBorder="1" applyProtection="1"/>
    <xf numFmtId="44" fontId="0" fillId="2" borderId="22" xfId="2" applyFont="1" applyFill="1" applyBorder="1" applyProtection="1">
      <protection locked="0"/>
    </xf>
    <xf numFmtId="44" fontId="0" fillId="3" borderId="22" xfId="2" applyNumberFormat="1" applyFont="1" applyFill="1" applyBorder="1" applyProtection="1"/>
    <xf numFmtId="44" fontId="0" fillId="3" borderId="23" xfId="2" applyNumberFormat="1" applyFont="1" applyFill="1" applyBorder="1" applyProtection="1"/>
    <xf numFmtId="164" fontId="0" fillId="2" borderId="23" xfId="1" applyNumberFormat="1" applyFont="1" applyFill="1" applyBorder="1" applyAlignment="1" applyProtection="1">
      <alignment horizontal="center"/>
      <protection locked="0"/>
    </xf>
    <xf numFmtId="44" fontId="1" fillId="3" borderId="27" xfId="2" applyFont="1" applyFill="1" applyBorder="1" applyProtection="1"/>
    <xf numFmtId="44" fontId="0" fillId="10" borderId="22" xfId="2" applyFont="1" applyFill="1" applyBorder="1" applyProtection="1"/>
    <xf numFmtId="44" fontId="4" fillId="2" borderId="22" xfId="2" applyFont="1" applyFill="1" applyBorder="1" applyProtection="1">
      <protection locked="0"/>
    </xf>
    <xf numFmtId="0" fontId="4" fillId="0" borderId="27" xfId="0" quotePrefix="1" applyFont="1" applyBorder="1" applyAlignment="1">
      <alignment horizontal="center"/>
    </xf>
    <xf numFmtId="0" fontId="0" fillId="0" borderId="29" xfId="0" applyBorder="1" applyAlignment="1">
      <alignment horizontal="center"/>
    </xf>
    <xf numFmtId="0" fontId="4" fillId="0" borderId="16" xfId="0" quotePrefix="1" applyFont="1" applyBorder="1" applyAlignment="1" applyProtection="1">
      <alignment horizontal="left"/>
    </xf>
    <xf numFmtId="0" fontId="4" fillId="0" borderId="22" xfId="0" quotePrefix="1" applyFont="1" applyBorder="1" applyAlignment="1" applyProtection="1">
      <alignment horizontal="left"/>
    </xf>
    <xf numFmtId="0" fontId="4" fillId="0" borderId="20" xfId="0" quotePrefix="1" applyFont="1" applyBorder="1" applyAlignment="1" applyProtection="1">
      <alignment horizontal="left"/>
    </xf>
    <xf numFmtId="0" fontId="4" fillId="0" borderId="4" xfId="0" quotePrefix="1" applyFont="1" applyBorder="1" applyAlignment="1" applyProtection="1">
      <alignment horizontal="left"/>
    </xf>
    <xf numFmtId="0" fontId="4" fillId="0" borderId="25" xfId="0" quotePrefix="1" applyFont="1" applyBorder="1" applyAlignment="1" applyProtection="1">
      <alignment horizontal="left"/>
    </xf>
    <xf numFmtId="2" fontId="0" fillId="9" borderId="0" xfId="0" applyNumberFormat="1" applyFill="1" applyBorder="1" applyAlignment="1" applyProtection="1">
      <alignment horizontal="left"/>
    </xf>
    <xf numFmtId="0" fontId="4" fillId="0" borderId="27" xfId="0" quotePrefix="1" applyFont="1" applyBorder="1" applyAlignment="1">
      <alignment horizontal="center" vertical="center"/>
    </xf>
    <xf numFmtId="0" fontId="4" fillId="0" borderId="28" xfId="0" quotePrefix="1" applyFont="1" applyBorder="1" applyAlignment="1">
      <alignment horizontal="center" vertical="center"/>
    </xf>
    <xf numFmtId="0" fontId="4" fillId="0" borderId="29" xfId="0" quotePrefix="1" applyFont="1" applyBorder="1" applyAlignment="1">
      <alignment horizontal="center" vertical="center"/>
    </xf>
    <xf numFmtId="0" fontId="4" fillId="0" borderId="27" xfId="0" quotePrefix="1" applyFont="1" applyBorder="1" applyAlignment="1">
      <alignment horizontal="center" vertical="center" wrapText="1"/>
    </xf>
    <xf numFmtId="0" fontId="4" fillId="0" borderId="28" xfId="0" quotePrefix="1" applyFont="1" applyBorder="1" applyAlignment="1">
      <alignment horizontal="center" vertical="center" wrapText="1"/>
    </xf>
    <xf numFmtId="0" fontId="4" fillId="0" borderId="29" xfId="0" quotePrefix="1" applyFont="1" applyBorder="1" applyAlignment="1">
      <alignment horizontal="center" vertical="center" wrapText="1"/>
    </xf>
    <xf numFmtId="168" fontId="4" fillId="0" borderId="16" xfId="0" quotePrefix="1" applyNumberFormat="1" applyFont="1" applyBorder="1" applyAlignment="1"/>
    <xf numFmtId="0" fontId="4" fillId="0" borderId="16" xfId="0" applyFont="1" applyBorder="1" applyAlignment="1"/>
    <xf numFmtId="0" fontId="4" fillId="0" borderId="16" xfId="0" applyFont="1" applyBorder="1" applyAlignment="1" applyProtection="1"/>
    <xf numFmtId="0" fontId="4" fillId="0" borderId="30" xfId="0" applyFont="1" applyBorder="1" applyAlignment="1" applyProtection="1"/>
    <xf numFmtId="0" fontId="4" fillId="0" borderId="22" xfId="0" applyFont="1" applyBorder="1" applyAlignment="1"/>
    <xf numFmtId="0" fontId="4" fillId="0" borderId="22" xfId="0" applyFont="1" applyBorder="1" applyAlignment="1" applyProtection="1"/>
    <xf numFmtId="0" fontId="4" fillId="0" borderId="40" xfId="0" applyFont="1" applyBorder="1" applyAlignment="1" applyProtection="1"/>
    <xf numFmtId="168" fontId="4" fillId="0" borderId="20" xfId="0" quotePrefix="1" applyNumberFormat="1" applyFont="1" applyBorder="1" applyAlignment="1"/>
    <xf numFmtId="0" fontId="4" fillId="0" borderId="20" xfId="0" applyFont="1" applyBorder="1" applyAlignment="1"/>
    <xf numFmtId="0" fontId="4" fillId="0" borderId="20" xfId="0" applyFont="1" applyBorder="1" applyAlignment="1" applyProtection="1"/>
    <xf numFmtId="0" fontId="4" fillId="0" borderId="31" xfId="0" applyFont="1" applyBorder="1" applyAlignment="1" applyProtection="1"/>
    <xf numFmtId="168" fontId="4" fillId="0" borderId="4" xfId="0" quotePrefix="1" applyNumberFormat="1" applyFont="1" applyBorder="1" applyAlignment="1"/>
    <xf numFmtId="0" fontId="4" fillId="0" borderId="4" xfId="0" applyFont="1" applyBorder="1" applyAlignment="1"/>
    <xf numFmtId="0" fontId="4" fillId="0" borderId="4" xfId="0" applyFont="1" applyBorder="1" applyAlignment="1" applyProtection="1"/>
    <xf numFmtId="0" fontId="4" fillId="0" borderId="32" xfId="0" applyFont="1" applyBorder="1" applyAlignment="1" applyProtection="1"/>
    <xf numFmtId="168" fontId="4" fillId="0" borderId="25" xfId="0" quotePrefix="1" applyNumberFormat="1" applyFont="1" applyBorder="1" applyAlignment="1"/>
    <xf numFmtId="0" fontId="4" fillId="0" borderId="25" xfId="0" applyFont="1" applyBorder="1" applyAlignment="1"/>
    <xf numFmtId="0" fontId="4" fillId="0" borderId="25" xfId="0" applyFont="1" applyBorder="1" applyAlignment="1" applyProtection="1"/>
    <xf numFmtId="0" fontId="4" fillId="0" borderId="33" xfId="0" applyFont="1" applyBorder="1" applyAlignment="1" applyProtection="1"/>
    <xf numFmtId="2" fontId="0" fillId="9" borderId="0" xfId="0" applyNumberFormat="1" applyFill="1" applyBorder="1" applyAlignment="1" applyProtection="1"/>
    <xf numFmtId="164" fontId="4" fillId="0" borderId="15" xfId="1" applyNumberFormat="1" applyFont="1" applyBorder="1" applyAlignment="1"/>
    <xf numFmtId="168" fontId="4" fillId="0" borderId="22" xfId="0" quotePrefix="1" applyNumberFormat="1" applyFont="1" applyBorder="1" applyAlignment="1"/>
    <xf numFmtId="164" fontId="4" fillId="0" borderId="12" xfId="1" applyNumberFormat="1" applyFont="1" applyBorder="1" applyAlignment="1"/>
    <xf numFmtId="164" fontId="4" fillId="0" borderId="11" xfId="1" applyNumberFormat="1" applyFont="1" applyBorder="1" applyAlignment="1"/>
    <xf numFmtId="164" fontId="4" fillId="0" borderId="24" xfId="1" applyNumberFormat="1" applyFont="1" applyBorder="1" applyAlignment="1"/>
    <xf numFmtId="166" fontId="6" fillId="5" borderId="1" xfId="3" applyFont="1" applyFill="1" applyBorder="1" applyAlignment="1">
      <alignment horizontal="center" vertical="top"/>
    </xf>
    <xf numFmtId="166" fontId="6" fillId="5" borderId="3" xfId="3" applyFont="1" applyFill="1" applyBorder="1" applyAlignment="1">
      <alignment horizontal="center" vertical="top"/>
    </xf>
    <xf numFmtId="166" fontId="5" fillId="5" borderId="10" xfId="3" applyFont="1" applyFill="1" applyBorder="1" applyAlignment="1">
      <alignment horizontal="center" vertical="top"/>
    </xf>
    <xf numFmtId="166" fontId="5" fillId="5" borderId="13" xfId="3" applyFont="1" applyFill="1" applyBorder="1" applyAlignment="1">
      <alignment horizontal="center" vertical="top"/>
    </xf>
    <xf numFmtId="166" fontId="5" fillId="5" borderId="10" xfId="3" quotePrefix="1" applyFont="1" applyFill="1" applyBorder="1" applyAlignment="1">
      <alignment horizontal="center" vertical="top"/>
    </xf>
    <xf numFmtId="166" fontId="5" fillId="5" borderId="13" xfId="3" quotePrefix="1" applyFont="1" applyFill="1" applyBorder="1" applyAlignment="1">
      <alignment horizontal="center" vertical="top"/>
    </xf>
    <xf numFmtId="166" fontId="5" fillId="5" borderId="1" xfId="3" applyFont="1" applyFill="1" applyBorder="1" applyAlignment="1">
      <alignment horizontal="center" vertical="top"/>
    </xf>
    <xf numFmtId="166" fontId="5" fillId="5" borderId="3" xfId="3" applyFont="1" applyFill="1" applyBorder="1" applyAlignment="1">
      <alignment horizontal="center" vertical="top"/>
    </xf>
    <xf numFmtId="0" fontId="4" fillId="0" borderId="27" xfId="0" quotePrefix="1" applyFont="1" applyBorder="1" applyAlignment="1" applyProtection="1">
      <alignment horizontal="center" vertical="center" wrapText="1"/>
    </xf>
    <xf numFmtId="0" fontId="4" fillId="0" borderId="28" xfId="0" quotePrefix="1" applyFont="1" applyBorder="1" applyAlignment="1" applyProtection="1">
      <alignment horizontal="center" vertical="center" wrapText="1"/>
    </xf>
    <xf numFmtId="0" fontId="4" fillId="0" borderId="29" xfId="0" quotePrefix="1" applyFont="1" applyBorder="1" applyAlignment="1" applyProtection="1">
      <alignment horizontal="center" vertical="center" wrapText="1"/>
    </xf>
    <xf numFmtId="0" fontId="2" fillId="4" borderId="5" xfId="0" applyFont="1" applyFill="1" applyBorder="1" applyAlignment="1" applyProtection="1">
      <alignment horizontal="center"/>
    </xf>
    <xf numFmtId="0" fontId="2" fillId="4" borderId="0" xfId="0" applyFont="1" applyFill="1" applyBorder="1" applyAlignment="1" applyProtection="1">
      <alignment horizontal="center"/>
    </xf>
    <xf numFmtId="0" fontId="4" fillId="0" borderId="27" xfId="0" quotePrefix="1" applyFont="1" applyBorder="1" applyAlignment="1" applyProtection="1">
      <alignment horizontal="center" vertical="center"/>
    </xf>
    <xf numFmtId="0" fontId="4" fillId="0" borderId="28" xfId="0" quotePrefix="1" applyFont="1" applyBorder="1" applyAlignment="1" applyProtection="1">
      <alignment horizontal="center" vertical="center"/>
    </xf>
    <xf numFmtId="0" fontId="4" fillId="0" borderId="29" xfId="0" quotePrefix="1" applyFont="1" applyBorder="1" applyAlignment="1" applyProtection="1">
      <alignment horizontal="center" vertical="center"/>
    </xf>
    <xf numFmtId="49" fontId="10" fillId="7" borderId="1" xfId="0" applyNumberFormat="1" applyFont="1" applyFill="1" applyBorder="1" applyAlignment="1" applyProtection="1">
      <alignment horizontal="left"/>
    </xf>
    <xf numFmtId="49" fontId="10" fillId="7" borderId="2" xfId="0" applyNumberFormat="1" applyFont="1" applyFill="1" applyBorder="1" applyAlignment="1" applyProtection="1">
      <alignment horizontal="left"/>
    </xf>
    <xf numFmtId="49" fontId="10" fillId="7" borderId="9" xfId="0" applyNumberFormat="1" applyFont="1" applyFill="1" applyBorder="1" applyAlignment="1" applyProtection="1">
      <alignment horizontal="left"/>
    </xf>
    <xf numFmtId="49" fontId="10" fillId="7" borderId="14" xfId="0" applyNumberFormat="1" applyFont="1" applyFill="1" applyBorder="1" applyAlignment="1" applyProtection="1">
      <alignment horizontal="left"/>
    </xf>
    <xf numFmtId="0" fontId="3" fillId="11" borderId="9" xfId="0" applyFont="1" applyFill="1" applyBorder="1" applyAlignment="1" applyProtection="1">
      <alignment horizontal="center"/>
    </xf>
    <xf numFmtId="0" fontId="3" fillId="11" borderId="14" xfId="0" applyFont="1" applyFill="1" applyBorder="1" applyAlignment="1" applyProtection="1">
      <alignment horizontal="center"/>
    </xf>
    <xf numFmtId="49" fontId="10" fillId="7" borderId="3" xfId="0" applyNumberFormat="1" applyFont="1" applyFill="1" applyBorder="1" applyAlignment="1" applyProtection="1">
      <alignment horizontal="left"/>
    </xf>
    <xf numFmtId="49" fontId="10" fillId="7" borderId="8" xfId="0" applyNumberFormat="1" applyFont="1" applyFill="1" applyBorder="1" applyAlignment="1" applyProtection="1">
      <alignment horizontal="left"/>
    </xf>
    <xf numFmtId="0" fontId="4" fillId="0" borderId="27" xfId="0" quotePrefix="1" applyFont="1" applyBorder="1" applyAlignment="1">
      <alignment horizontal="center"/>
    </xf>
    <xf numFmtId="0" fontId="0" fillId="0" borderId="29" xfId="0" applyBorder="1" applyAlignment="1">
      <alignment horizontal="center"/>
    </xf>
    <xf numFmtId="0" fontId="0" fillId="0" borderId="34" xfId="0" applyBorder="1" applyAlignment="1" applyProtection="1">
      <alignment horizontal="left" wrapText="1"/>
    </xf>
    <xf numFmtId="0" fontId="0" fillId="0" borderId="35" xfId="0" applyBorder="1" applyAlignment="1" applyProtection="1">
      <alignment horizontal="left" wrapText="1"/>
    </xf>
    <xf numFmtId="0" fontId="0" fillId="0" borderId="36" xfId="0" applyBorder="1" applyAlignment="1" applyProtection="1">
      <alignment horizontal="left" wrapText="1"/>
    </xf>
    <xf numFmtId="0" fontId="0" fillId="0" borderId="37" xfId="0" applyBorder="1" applyAlignment="1" applyProtection="1">
      <alignment horizontal="left" wrapText="1"/>
    </xf>
    <xf numFmtId="0" fontId="0" fillId="0" borderId="38" xfId="0" applyBorder="1" applyAlignment="1" applyProtection="1">
      <alignment horizontal="left" wrapText="1"/>
    </xf>
    <xf numFmtId="0" fontId="0" fillId="0" borderId="39" xfId="0" applyBorder="1" applyAlignment="1" applyProtection="1">
      <alignment horizontal="left" wrapText="1"/>
    </xf>
    <xf numFmtId="0" fontId="4" fillId="0" borderId="27" xfId="0" quotePrefix="1" applyFont="1" applyBorder="1" applyAlignment="1">
      <alignment horizontal="center" vertical="center"/>
    </xf>
    <xf numFmtId="0" fontId="0" fillId="0" borderId="29" xfId="0" applyBorder="1" applyAlignment="1">
      <alignment horizontal="center" vertical="center"/>
    </xf>
  </cellXfs>
  <cellStyles count="7">
    <cellStyle name="Comma" xfId="1" builtinId="3"/>
    <cellStyle name="Currency" xfId="2" builtinId="4"/>
    <cellStyle name="Normal" xfId="0" builtinId="0"/>
    <cellStyle name="Normal 10 2 2" xfId="4" xr:uid="{00000000-0005-0000-0000-000003000000}"/>
    <cellStyle name="Normal 2 2 2" xfId="5" xr:uid="{00000000-0005-0000-0000-000004000000}"/>
    <cellStyle name="Normal 7" xfId="3" xr:uid="{00000000-0005-0000-0000-000005000000}"/>
    <cellStyle name="Normal 7 2 2 2" xfId="6" xr:uid="{00000000-0005-0000-0000-000006000000}"/>
  </cellStyles>
  <dxfs count="1">
    <dxf>
      <font>
        <color rgb="FF9C0006"/>
      </font>
      <fill>
        <patternFill>
          <bgColor rgb="FFFFC7CE"/>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56C8B-9AB8-4388-8698-39C1AE5EC1A5}">
  <dimension ref="A1:B26"/>
  <sheetViews>
    <sheetView tabSelected="1" workbookViewId="0">
      <selection sqref="A1:B1"/>
    </sheetView>
    <sheetView workbookViewId="1">
      <selection sqref="A1:B1"/>
    </sheetView>
  </sheetViews>
  <sheetFormatPr defaultRowHeight="15" x14ac:dyDescent="0.25"/>
  <cols>
    <col min="1" max="1" width="9.140625" style="24"/>
    <col min="2" max="2" width="136" customWidth="1"/>
  </cols>
  <sheetData>
    <row r="1" spans="1:2" ht="19.5" thickBot="1" x14ac:dyDescent="0.3">
      <c r="A1" s="223" t="s">
        <v>0</v>
      </c>
      <c r="B1" s="224"/>
    </row>
    <row r="2" spans="1:2" ht="19.5" thickBot="1" x14ac:dyDescent="0.35">
      <c r="A2" s="14"/>
      <c r="B2" s="15"/>
    </row>
    <row r="3" spans="1:2" ht="15.75" thickBot="1" x14ac:dyDescent="0.3">
      <c r="A3" s="225" t="s">
        <v>1</v>
      </c>
      <c r="B3" s="226"/>
    </row>
    <row r="4" spans="1:2" ht="15.75" thickBot="1" x14ac:dyDescent="0.3">
      <c r="A4" s="16" t="s">
        <v>2</v>
      </c>
      <c r="B4" s="17" t="s">
        <v>3</v>
      </c>
    </row>
    <row r="5" spans="1:2" ht="15.75" thickBot="1" x14ac:dyDescent="0.3">
      <c r="A5" s="19" t="s">
        <v>4</v>
      </c>
      <c r="B5" s="20" t="s">
        <v>5</v>
      </c>
    </row>
    <row r="6" spans="1:2" ht="30.75" thickBot="1" x14ac:dyDescent="0.3">
      <c r="A6" s="19" t="s">
        <v>6</v>
      </c>
      <c r="B6" s="20" t="s">
        <v>7</v>
      </c>
    </row>
    <row r="7" spans="1:2" ht="15.75" thickBot="1" x14ac:dyDescent="0.3">
      <c r="A7" s="227" t="s">
        <v>8</v>
      </c>
      <c r="B7" s="228"/>
    </row>
    <row r="8" spans="1:2" ht="30.75" thickBot="1" x14ac:dyDescent="0.3">
      <c r="A8" s="37">
        <v>1</v>
      </c>
      <c r="B8" s="22" t="s">
        <v>77</v>
      </c>
    </row>
    <row r="9" spans="1:2" ht="15.75" thickBot="1" x14ac:dyDescent="0.3">
      <c r="A9" s="59" t="s">
        <v>4</v>
      </c>
      <c r="B9" s="60" t="s">
        <v>75</v>
      </c>
    </row>
    <row r="10" spans="1:2" ht="45" x14ac:dyDescent="0.25">
      <c r="A10" s="59" t="s">
        <v>6</v>
      </c>
      <c r="B10" s="61" t="s">
        <v>76</v>
      </c>
    </row>
    <row r="11" spans="1:2" ht="60" x14ac:dyDescent="0.25">
      <c r="A11" s="36" t="s">
        <v>84</v>
      </c>
      <c r="B11" s="23" t="s">
        <v>82</v>
      </c>
    </row>
    <row r="12" spans="1:2" ht="30" x14ac:dyDescent="0.25">
      <c r="A12" s="36" t="s">
        <v>85</v>
      </c>
      <c r="B12" s="23" t="s">
        <v>83</v>
      </c>
    </row>
    <row r="13" spans="1:2" ht="45" x14ac:dyDescent="0.25">
      <c r="A13" s="36" t="s">
        <v>86</v>
      </c>
      <c r="B13" s="23" t="s">
        <v>100</v>
      </c>
    </row>
    <row r="14" spans="1:2" ht="30.75" thickBot="1" x14ac:dyDescent="0.3">
      <c r="A14" s="62" t="s">
        <v>87</v>
      </c>
      <c r="B14" s="20" t="s">
        <v>78</v>
      </c>
    </row>
    <row r="15" spans="1:2" ht="45.75" thickBot="1" x14ac:dyDescent="0.3">
      <c r="A15" s="108" t="s">
        <v>9</v>
      </c>
      <c r="B15" s="20" t="s">
        <v>88</v>
      </c>
    </row>
    <row r="16" spans="1:2" ht="15.75" thickBot="1" x14ac:dyDescent="0.3">
      <c r="A16" s="36" t="s">
        <v>10</v>
      </c>
      <c r="B16" s="23" t="s">
        <v>89</v>
      </c>
    </row>
    <row r="17" spans="1:2" ht="30.75" thickBot="1" x14ac:dyDescent="0.3">
      <c r="A17" s="35" t="s">
        <v>11</v>
      </c>
      <c r="B17" s="22" t="s">
        <v>13</v>
      </c>
    </row>
    <row r="18" spans="1:2" ht="15.75" thickBot="1" x14ac:dyDescent="0.3">
      <c r="A18" s="35" t="s">
        <v>12</v>
      </c>
      <c r="B18" s="22" t="s">
        <v>90</v>
      </c>
    </row>
    <row r="19" spans="1:2" ht="15.75" thickBot="1" x14ac:dyDescent="0.3">
      <c r="A19" s="229" t="s">
        <v>14</v>
      </c>
      <c r="B19" s="230"/>
    </row>
    <row r="20" spans="1:2" ht="15.75" thickBot="1" x14ac:dyDescent="0.3">
      <c r="A20" s="18" t="s">
        <v>2</v>
      </c>
      <c r="B20" s="21" t="s">
        <v>91</v>
      </c>
    </row>
    <row r="21" spans="1:2" ht="30.75" thickBot="1" x14ac:dyDescent="0.3">
      <c r="A21" s="18" t="s">
        <v>4</v>
      </c>
      <c r="B21" s="22" t="s">
        <v>15</v>
      </c>
    </row>
    <row r="22" spans="1:2" ht="15.75" thickBot="1" x14ac:dyDescent="0.3">
      <c r="A22" s="229" t="s">
        <v>103</v>
      </c>
      <c r="B22" s="230"/>
    </row>
    <row r="23" spans="1:2" ht="45.75" thickBot="1" x14ac:dyDescent="0.3">
      <c r="A23" s="18" t="s">
        <v>2</v>
      </c>
      <c r="B23" s="21" t="s">
        <v>102</v>
      </c>
    </row>
    <row r="24" spans="1:2" ht="15.75" thickBot="1" x14ac:dyDescent="0.3">
      <c r="A24" s="229" t="s">
        <v>73</v>
      </c>
      <c r="B24" s="230"/>
    </row>
    <row r="25" spans="1:2" ht="45.75" thickBot="1" x14ac:dyDescent="0.3">
      <c r="A25" s="18" t="s">
        <v>2</v>
      </c>
      <c r="B25" s="22" t="s">
        <v>74</v>
      </c>
    </row>
    <row r="26" spans="1:2" ht="15.75" thickBot="1" x14ac:dyDescent="0.3">
      <c r="A26" s="18" t="s">
        <v>4</v>
      </c>
      <c r="B26" s="22" t="s">
        <v>92</v>
      </c>
    </row>
  </sheetData>
  <mergeCells count="6">
    <mergeCell ref="A1:B1"/>
    <mergeCell ref="A3:B3"/>
    <mergeCell ref="A7:B7"/>
    <mergeCell ref="A19:B19"/>
    <mergeCell ref="A24:B24"/>
    <mergeCell ref="A22:B22"/>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C6441-46FF-41B7-BA36-91BD02974F3F}">
  <dimension ref="A1:V199"/>
  <sheetViews>
    <sheetView workbookViewId="0">
      <selection sqref="A1:V1"/>
    </sheetView>
    <sheetView topLeftCell="A14" workbookViewId="1">
      <selection activeCell="B5" sqref="B5:B38"/>
    </sheetView>
  </sheetViews>
  <sheetFormatPr defaultColWidth="9.140625" defaultRowHeight="15" x14ac:dyDescent="0.25"/>
  <cols>
    <col min="1" max="1" width="33.7109375" style="3" customWidth="1"/>
    <col min="2" max="2" width="5.7109375" style="3" customWidth="1"/>
    <col min="3" max="3" width="41.5703125" style="3" bestFit="1" customWidth="1"/>
    <col min="4" max="4" width="18.7109375" style="3" customWidth="1"/>
    <col min="5" max="5" width="10.7109375" style="3" customWidth="1"/>
    <col min="6" max="6" width="16.28515625" style="3" customWidth="1"/>
    <col min="7" max="7" width="1.7109375" style="8" customWidth="1"/>
    <col min="8" max="8" width="14.7109375" style="7" customWidth="1"/>
    <col min="9" max="19" width="14.7109375" style="9" customWidth="1"/>
    <col min="20" max="20" width="23.7109375" style="4" customWidth="1"/>
    <col min="21" max="22" width="23.7109375" style="9" customWidth="1"/>
    <col min="23" max="16384" width="9.140625" style="3"/>
  </cols>
  <sheetData>
    <row r="1" spans="1:22" ht="27" thickBot="1" x14ac:dyDescent="0.45">
      <c r="A1" s="239" t="s">
        <v>16</v>
      </c>
      <c r="B1" s="240"/>
      <c r="C1" s="240"/>
      <c r="D1" s="240"/>
      <c r="E1" s="240"/>
      <c r="F1" s="240"/>
      <c r="G1" s="240"/>
      <c r="H1" s="240"/>
      <c r="I1" s="240"/>
      <c r="J1" s="240"/>
      <c r="K1" s="240"/>
      <c r="L1" s="240"/>
      <c r="M1" s="240"/>
      <c r="N1" s="240"/>
      <c r="O1" s="240"/>
      <c r="P1" s="240"/>
      <c r="Q1" s="240"/>
      <c r="R1" s="240"/>
      <c r="S1" s="240"/>
      <c r="T1" s="240"/>
      <c r="U1" s="240"/>
      <c r="V1" s="245"/>
    </row>
    <row r="2" spans="1:22" ht="15.75" thickBot="1" x14ac:dyDescent="0.3">
      <c r="A2" s="234" t="s">
        <v>17</v>
      </c>
      <c r="B2" s="235"/>
      <c r="C2" s="235"/>
      <c r="D2" s="235"/>
      <c r="E2" s="235"/>
      <c r="F2" s="235"/>
      <c r="G2" s="78"/>
      <c r="H2" s="243" t="s">
        <v>81</v>
      </c>
      <c r="I2" s="243"/>
      <c r="J2" s="243"/>
      <c r="K2" s="243"/>
      <c r="L2" s="243"/>
      <c r="M2" s="243"/>
      <c r="N2" s="243"/>
      <c r="O2" s="243"/>
      <c r="P2" s="243"/>
      <c r="Q2" s="243"/>
      <c r="R2" s="243"/>
      <c r="S2" s="243"/>
      <c r="T2" s="243"/>
      <c r="U2" s="243"/>
      <c r="V2" s="244"/>
    </row>
    <row r="3" spans="1:22" s="46" customFormat="1" ht="45.95" customHeight="1" thickBot="1" x14ac:dyDescent="0.3">
      <c r="A3" s="47" t="s">
        <v>18</v>
      </c>
      <c r="B3" s="48" t="s">
        <v>19</v>
      </c>
      <c r="C3" s="49" t="s">
        <v>20</v>
      </c>
      <c r="D3" s="49" t="s">
        <v>21</v>
      </c>
      <c r="E3" s="49" t="s">
        <v>22</v>
      </c>
      <c r="F3" s="84" t="s">
        <v>72</v>
      </c>
      <c r="G3" s="79"/>
      <c r="H3" s="52" t="s">
        <v>24</v>
      </c>
      <c r="I3" s="53" t="s">
        <v>25</v>
      </c>
      <c r="J3" s="53" t="s">
        <v>26</v>
      </c>
      <c r="K3" s="53" t="s">
        <v>71</v>
      </c>
      <c r="L3" s="53" t="s">
        <v>27</v>
      </c>
      <c r="M3" s="124" t="s">
        <v>79</v>
      </c>
      <c r="N3" s="124" t="s">
        <v>80</v>
      </c>
      <c r="O3" s="124" t="s">
        <v>28</v>
      </c>
      <c r="P3" s="124" t="s">
        <v>29</v>
      </c>
      <c r="Q3" s="124" t="s">
        <v>30</v>
      </c>
      <c r="R3" s="124" t="s">
        <v>31</v>
      </c>
      <c r="S3" s="124" t="s">
        <v>32</v>
      </c>
      <c r="T3" s="44" t="s">
        <v>33</v>
      </c>
      <c r="U3" s="43" t="s">
        <v>34</v>
      </c>
      <c r="V3" s="45" t="s">
        <v>35</v>
      </c>
    </row>
    <row r="4" spans="1:22" s="33" customFormat="1" ht="30" customHeight="1" thickBot="1" x14ac:dyDescent="0.35">
      <c r="A4" s="146" t="s">
        <v>36</v>
      </c>
      <c r="B4" s="133"/>
      <c r="C4" s="133"/>
      <c r="D4" s="133"/>
      <c r="E4" s="133"/>
      <c r="F4" s="134"/>
      <c r="G4" s="80"/>
      <c r="H4" s="136"/>
      <c r="I4" s="137"/>
      <c r="J4" s="137"/>
      <c r="K4" s="138"/>
      <c r="L4" s="138"/>
      <c r="M4" s="138"/>
      <c r="N4" s="138"/>
      <c r="O4" s="138"/>
      <c r="P4" s="138"/>
      <c r="Q4" s="137"/>
      <c r="R4" s="138"/>
      <c r="S4" s="137"/>
      <c r="T4" s="137"/>
      <c r="U4" s="139"/>
      <c r="V4" s="140"/>
    </row>
    <row r="5" spans="1:22" ht="15.75" thickBot="1" x14ac:dyDescent="0.3">
      <c r="A5" s="163" t="s">
        <v>37</v>
      </c>
      <c r="B5" s="186">
        <v>1</v>
      </c>
      <c r="C5" s="109" t="s">
        <v>38</v>
      </c>
      <c r="D5" s="109" t="s">
        <v>114</v>
      </c>
      <c r="E5" s="109" t="s">
        <v>36</v>
      </c>
      <c r="F5" s="74"/>
      <c r="G5" s="41"/>
      <c r="H5" s="149">
        <v>48.44</v>
      </c>
      <c r="I5" s="118"/>
      <c r="J5" s="50">
        <f>IF(F5&gt;0,IF($I5&lt;$H5,$H5,$I5),0)</f>
        <v>0</v>
      </c>
      <c r="K5" s="110"/>
      <c r="L5" s="51">
        <f>(J5*$L$4)</f>
        <v>0</v>
      </c>
      <c r="M5" s="51">
        <f>(L5+J5)*$M$4</f>
        <v>0</v>
      </c>
      <c r="N5" s="51">
        <f>(J5+L5)*$N$4</f>
        <v>0</v>
      </c>
      <c r="O5" s="51">
        <f>(L5+J5+M5+N5)*$O$4</f>
        <v>0</v>
      </c>
      <c r="P5" s="51">
        <f>(J5+L5+M5+N5+O5)*$P$4</f>
        <v>0</v>
      </c>
      <c r="Q5" s="50">
        <f t="shared" ref="Q5:Q21" si="0">SUM(J5:P5)</f>
        <v>0</v>
      </c>
      <c r="R5" s="50">
        <f t="shared" ref="R5:R21" si="1">IF($R$4&lt;0,"N/A",(Q5-P5)*$R$4)</f>
        <v>0</v>
      </c>
      <c r="S5" s="50">
        <f t="shared" ref="S5:S21" si="2">SUM(Q5:R5)</f>
        <v>0</v>
      </c>
      <c r="T5" s="85">
        <f t="shared" ref="T5:T21" si="3">Q5*F5</f>
        <v>0</v>
      </c>
      <c r="U5" s="85">
        <f t="shared" ref="U5:U21" si="4">R5*F5</f>
        <v>0</v>
      </c>
      <c r="V5" s="86">
        <f t="shared" ref="V5:V21" si="5">S5*F5</f>
        <v>0</v>
      </c>
    </row>
    <row r="6" spans="1:22" ht="15.75" thickBot="1" x14ac:dyDescent="0.3">
      <c r="A6" s="247" t="s">
        <v>39</v>
      </c>
      <c r="B6" s="186">
        <v>2</v>
      </c>
      <c r="C6" s="109" t="s">
        <v>40</v>
      </c>
      <c r="D6" s="109" t="s">
        <v>105</v>
      </c>
      <c r="E6" s="109" t="s">
        <v>36</v>
      </c>
      <c r="F6" s="74"/>
      <c r="G6" s="41"/>
      <c r="H6" s="125">
        <v>35.83</v>
      </c>
      <c r="I6" s="118"/>
      <c r="J6" s="50">
        <f t="shared" ref="J6:J21" si="6">IF(F6&gt;0,IF($I6&lt;$H6,$H6,$I6),0)</f>
        <v>0</v>
      </c>
      <c r="K6" s="110"/>
      <c r="L6" s="51">
        <f>(J6*$L$4)</f>
        <v>0</v>
      </c>
      <c r="M6" s="51">
        <f>(L6+J6)*$M$4</f>
        <v>0</v>
      </c>
      <c r="N6" s="51">
        <f>(J6+L6)*$N$4</f>
        <v>0</v>
      </c>
      <c r="O6" s="51">
        <f>(L6+J6+M6+N6)*$O$4</f>
        <v>0</v>
      </c>
      <c r="P6" s="51">
        <f>(J6+L6+M6+N6+O6)*$P$4</f>
        <v>0</v>
      </c>
      <c r="Q6" s="50">
        <f t="shared" si="0"/>
        <v>0</v>
      </c>
      <c r="R6" s="50">
        <f t="shared" si="1"/>
        <v>0</v>
      </c>
      <c r="S6" s="50">
        <f t="shared" si="2"/>
        <v>0</v>
      </c>
      <c r="T6" s="85">
        <f t="shared" si="3"/>
        <v>0</v>
      </c>
      <c r="U6" s="85">
        <f t="shared" si="4"/>
        <v>0</v>
      </c>
      <c r="V6" s="86">
        <f t="shared" si="5"/>
        <v>0</v>
      </c>
    </row>
    <row r="7" spans="1:22" ht="15.75" thickBot="1" x14ac:dyDescent="0.3">
      <c r="A7" s="248"/>
      <c r="B7" s="187">
        <v>3</v>
      </c>
      <c r="C7" s="172" t="s">
        <v>113</v>
      </c>
      <c r="D7" s="172" t="s">
        <v>108</v>
      </c>
      <c r="E7" s="172" t="s">
        <v>36</v>
      </c>
      <c r="F7" s="180"/>
      <c r="G7" s="41"/>
      <c r="H7" s="181">
        <v>30.76</v>
      </c>
      <c r="I7" s="118"/>
      <c r="J7" s="50">
        <f t="shared" ref="J7" si="7">IF(F7&gt;0,IF($I7&lt;$H7,$H7,$I7),0)</f>
        <v>0</v>
      </c>
      <c r="K7" s="110"/>
      <c r="L7" s="51">
        <f>(J7*$L$4)</f>
        <v>0</v>
      </c>
      <c r="M7" s="51">
        <f>(L7+J7)*$M$4</f>
        <v>0</v>
      </c>
      <c r="N7" s="51">
        <f>(J7+L7)*$N$4</f>
        <v>0</v>
      </c>
      <c r="O7" s="51">
        <f>(L7+J7+M7+N7)*$O$4</f>
        <v>0</v>
      </c>
      <c r="P7" s="51">
        <f>(J7+L7+M7+N7+O7)*$P$4</f>
        <v>0</v>
      </c>
      <c r="Q7" s="50">
        <f t="shared" ref="Q7" si="8">SUM(J7:P7)</f>
        <v>0</v>
      </c>
      <c r="R7" s="50">
        <f t="shared" ref="R7" si="9">IF($R$4&lt;0,"N/A",(Q7-P7)*$R$4)</f>
        <v>0</v>
      </c>
      <c r="S7" s="50">
        <f t="shared" ref="S7" si="10">SUM(Q7:R7)</f>
        <v>0</v>
      </c>
      <c r="T7" s="85">
        <f t="shared" ref="T7" si="11">Q7*F7</f>
        <v>0</v>
      </c>
      <c r="U7" s="85">
        <f t="shared" ref="U7" si="12">R7*F7</f>
        <v>0</v>
      </c>
      <c r="V7" s="86">
        <f t="shared" ref="V7" si="13">S7*F7</f>
        <v>0</v>
      </c>
    </row>
    <row r="8" spans="1:22" x14ac:dyDescent="0.25">
      <c r="A8" s="231" t="s">
        <v>93</v>
      </c>
      <c r="B8" s="188">
        <v>4</v>
      </c>
      <c r="C8" s="111" t="s">
        <v>41</v>
      </c>
      <c r="D8" s="111" t="s">
        <v>106</v>
      </c>
      <c r="E8" s="111" t="s">
        <v>36</v>
      </c>
      <c r="F8" s="77"/>
      <c r="G8" s="41"/>
      <c r="H8" s="126">
        <v>30.76</v>
      </c>
      <c r="I8" s="121"/>
      <c r="J8" s="25">
        <f t="shared" si="6"/>
        <v>0</v>
      </c>
      <c r="K8" s="112"/>
      <c r="L8" s="26">
        <f>(J8*$L$4)</f>
        <v>0</v>
      </c>
      <c r="M8" s="26">
        <f>(L8+J8)*$M$4</f>
        <v>0</v>
      </c>
      <c r="N8" s="26">
        <f>(J8+L8)*$N$4</f>
        <v>0</v>
      </c>
      <c r="O8" s="26">
        <f>(L8+J8+M8+N8)*$O$4</f>
        <v>0</v>
      </c>
      <c r="P8" s="26">
        <f>(J8+L8+M8+N8+O8)*$P$4</f>
        <v>0</v>
      </c>
      <c r="Q8" s="25">
        <f t="shared" si="0"/>
        <v>0</v>
      </c>
      <c r="R8" s="25">
        <f t="shared" si="1"/>
        <v>0</v>
      </c>
      <c r="S8" s="25">
        <f t="shared" si="2"/>
        <v>0</v>
      </c>
      <c r="T8" s="87">
        <f t="shared" si="3"/>
        <v>0</v>
      </c>
      <c r="U8" s="87">
        <f t="shared" si="4"/>
        <v>0</v>
      </c>
      <c r="V8" s="88">
        <f t="shared" si="5"/>
        <v>0</v>
      </c>
    </row>
    <row r="9" spans="1:22" x14ac:dyDescent="0.25">
      <c r="A9" s="232"/>
      <c r="B9" s="189">
        <v>5</v>
      </c>
      <c r="C9" s="113" t="s">
        <v>44</v>
      </c>
      <c r="D9" s="113" t="s">
        <v>107</v>
      </c>
      <c r="E9" s="113" t="s">
        <v>36</v>
      </c>
      <c r="F9" s="75"/>
      <c r="G9" s="41"/>
      <c r="H9" s="127">
        <v>27.78</v>
      </c>
      <c r="I9" s="2"/>
      <c r="J9" s="5">
        <f t="shared" si="6"/>
        <v>0</v>
      </c>
      <c r="K9" s="114"/>
      <c r="L9" s="2">
        <f t="shared" ref="L9:L21" si="14">(J9*$L$4)</f>
        <v>0</v>
      </c>
      <c r="M9" s="2">
        <f t="shared" ref="M9:M21" si="15">(L9+J9)*$M$4</f>
        <v>0</v>
      </c>
      <c r="N9" s="2">
        <f t="shared" ref="N9:N21" si="16">(J9+L9)*$N$4</f>
        <v>0</v>
      </c>
      <c r="O9" s="2">
        <f t="shared" ref="O9:O21" si="17">(L9+J9+M9+N9)*$O$4</f>
        <v>0</v>
      </c>
      <c r="P9" s="2">
        <f t="shared" ref="P9:P21" si="18">(J9+L9+M9+N9+O9)*$P$4</f>
        <v>0</v>
      </c>
      <c r="Q9" s="5">
        <f t="shared" si="0"/>
        <v>0</v>
      </c>
      <c r="R9" s="5">
        <f t="shared" si="1"/>
        <v>0</v>
      </c>
      <c r="S9" s="5">
        <f t="shared" si="2"/>
        <v>0</v>
      </c>
      <c r="T9" s="89">
        <f t="shared" si="3"/>
        <v>0</v>
      </c>
      <c r="U9" s="89">
        <f t="shared" si="4"/>
        <v>0</v>
      </c>
      <c r="V9" s="90">
        <f t="shared" si="5"/>
        <v>0</v>
      </c>
    </row>
    <row r="10" spans="1:22" x14ac:dyDescent="0.25">
      <c r="A10" s="232"/>
      <c r="B10" s="189">
        <v>6</v>
      </c>
      <c r="C10" s="113" t="s">
        <v>97</v>
      </c>
      <c r="D10" s="113" t="s">
        <v>108</v>
      </c>
      <c r="E10" s="113" t="s">
        <v>36</v>
      </c>
      <c r="F10" s="75"/>
      <c r="G10" s="41"/>
      <c r="H10" s="127">
        <v>24.98</v>
      </c>
      <c r="I10" s="119"/>
      <c r="J10" s="5">
        <f t="shared" si="6"/>
        <v>0</v>
      </c>
      <c r="K10" s="114"/>
      <c r="L10" s="2">
        <f t="shared" si="14"/>
        <v>0</v>
      </c>
      <c r="M10" s="2">
        <f t="shared" si="15"/>
        <v>0</v>
      </c>
      <c r="N10" s="2">
        <f t="shared" si="16"/>
        <v>0</v>
      </c>
      <c r="O10" s="2">
        <f t="shared" si="17"/>
        <v>0</v>
      </c>
      <c r="P10" s="2">
        <f t="shared" si="18"/>
        <v>0</v>
      </c>
      <c r="Q10" s="5">
        <f t="shared" si="0"/>
        <v>0</v>
      </c>
      <c r="R10" s="5">
        <f t="shared" si="1"/>
        <v>0</v>
      </c>
      <c r="S10" s="5">
        <f t="shared" si="2"/>
        <v>0</v>
      </c>
      <c r="T10" s="89">
        <f t="shared" si="3"/>
        <v>0</v>
      </c>
      <c r="U10" s="89">
        <f t="shared" si="4"/>
        <v>0</v>
      </c>
      <c r="V10" s="90">
        <f t="shared" si="5"/>
        <v>0</v>
      </c>
    </row>
    <row r="11" spans="1:22" x14ac:dyDescent="0.25">
      <c r="A11" s="232"/>
      <c r="B11" s="189">
        <v>7</v>
      </c>
      <c r="C11" s="113" t="s">
        <v>45</v>
      </c>
      <c r="D11" s="113" t="s">
        <v>109</v>
      </c>
      <c r="E11" s="113" t="s">
        <v>36</v>
      </c>
      <c r="F11" s="75"/>
      <c r="G11" s="41"/>
      <c r="H11" s="127">
        <v>35.700000000000003</v>
      </c>
      <c r="I11" s="119"/>
      <c r="J11" s="5">
        <f t="shared" si="6"/>
        <v>0</v>
      </c>
      <c r="K11" s="114"/>
      <c r="L11" s="2">
        <f t="shared" si="14"/>
        <v>0</v>
      </c>
      <c r="M11" s="2">
        <f t="shared" si="15"/>
        <v>0</v>
      </c>
      <c r="N11" s="2">
        <f t="shared" si="16"/>
        <v>0</v>
      </c>
      <c r="O11" s="2">
        <f t="shared" si="17"/>
        <v>0</v>
      </c>
      <c r="P11" s="2">
        <f t="shared" si="18"/>
        <v>0</v>
      </c>
      <c r="Q11" s="5">
        <f t="shared" si="0"/>
        <v>0</v>
      </c>
      <c r="R11" s="5">
        <f t="shared" si="1"/>
        <v>0</v>
      </c>
      <c r="S11" s="5">
        <f t="shared" si="2"/>
        <v>0</v>
      </c>
      <c r="T11" s="89">
        <f t="shared" si="3"/>
        <v>0</v>
      </c>
      <c r="U11" s="89">
        <f t="shared" si="4"/>
        <v>0</v>
      </c>
      <c r="V11" s="90">
        <f t="shared" si="5"/>
        <v>0</v>
      </c>
    </row>
    <row r="12" spans="1:22" ht="15.75" thickBot="1" x14ac:dyDescent="0.3">
      <c r="A12" s="233"/>
      <c r="B12" s="190">
        <v>8</v>
      </c>
      <c r="C12" s="115" t="s">
        <v>42</v>
      </c>
      <c r="D12" s="115" t="s">
        <v>110</v>
      </c>
      <c r="E12" s="115" t="s">
        <v>36</v>
      </c>
      <c r="F12" s="76"/>
      <c r="G12" s="41"/>
      <c r="H12" s="150">
        <v>24.52</v>
      </c>
      <c r="I12" s="120"/>
      <c r="J12" s="38">
        <f t="shared" si="6"/>
        <v>0</v>
      </c>
      <c r="K12" s="116"/>
      <c r="L12" s="39">
        <f t="shared" si="14"/>
        <v>0</v>
      </c>
      <c r="M12" s="39">
        <f t="shared" si="15"/>
        <v>0</v>
      </c>
      <c r="N12" s="39">
        <f t="shared" si="16"/>
        <v>0</v>
      </c>
      <c r="O12" s="39">
        <f t="shared" si="17"/>
        <v>0</v>
      </c>
      <c r="P12" s="39">
        <f t="shared" si="18"/>
        <v>0</v>
      </c>
      <c r="Q12" s="38">
        <f t="shared" si="0"/>
        <v>0</v>
      </c>
      <c r="R12" s="38">
        <f t="shared" si="1"/>
        <v>0</v>
      </c>
      <c r="S12" s="38">
        <f t="shared" si="2"/>
        <v>0</v>
      </c>
      <c r="T12" s="91">
        <f t="shared" si="3"/>
        <v>0</v>
      </c>
      <c r="U12" s="91">
        <f t="shared" si="4"/>
        <v>0</v>
      </c>
      <c r="V12" s="92">
        <f t="shared" si="5"/>
        <v>0</v>
      </c>
    </row>
    <row r="13" spans="1:22" ht="30.75" thickBot="1" x14ac:dyDescent="0.3">
      <c r="A13" s="168" t="s">
        <v>94</v>
      </c>
      <c r="B13" s="186">
        <v>9</v>
      </c>
      <c r="C13" s="109" t="s">
        <v>43</v>
      </c>
      <c r="D13" s="148" t="s">
        <v>111</v>
      </c>
      <c r="E13" s="109" t="s">
        <v>36</v>
      </c>
      <c r="F13" s="74"/>
      <c r="G13" s="41"/>
      <c r="H13" s="151">
        <v>25.89</v>
      </c>
      <c r="I13" s="118"/>
      <c r="J13" s="50">
        <f t="shared" si="6"/>
        <v>0</v>
      </c>
      <c r="K13" s="110"/>
      <c r="L13" s="51">
        <f t="shared" si="14"/>
        <v>0</v>
      </c>
      <c r="M13" s="51">
        <f>(L13+J13)*$M$4</f>
        <v>0</v>
      </c>
      <c r="N13" s="51">
        <f t="shared" si="16"/>
        <v>0</v>
      </c>
      <c r="O13" s="51">
        <f t="shared" si="17"/>
        <v>0</v>
      </c>
      <c r="P13" s="51">
        <f t="shared" si="18"/>
        <v>0</v>
      </c>
      <c r="Q13" s="50">
        <f t="shared" si="0"/>
        <v>0</v>
      </c>
      <c r="R13" s="50">
        <f t="shared" si="1"/>
        <v>0</v>
      </c>
      <c r="S13" s="50">
        <f t="shared" si="2"/>
        <v>0</v>
      </c>
      <c r="T13" s="85">
        <f t="shared" si="3"/>
        <v>0</v>
      </c>
      <c r="U13" s="85">
        <f t="shared" si="4"/>
        <v>0</v>
      </c>
      <c r="V13" s="86">
        <f t="shared" si="5"/>
        <v>0</v>
      </c>
    </row>
    <row r="14" spans="1:22" x14ac:dyDescent="0.25">
      <c r="A14" s="231" t="s">
        <v>95</v>
      </c>
      <c r="B14" s="188">
        <v>4</v>
      </c>
      <c r="C14" s="111" t="s">
        <v>41</v>
      </c>
      <c r="D14" s="111" t="s">
        <v>106</v>
      </c>
      <c r="E14" s="111" t="s">
        <v>36</v>
      </c>
      <c r="F14" s="77"/>
      <c r="G14" s="41"/>
      <c r="H14" s="126">
        <v>30.76</v>
      </c>
      <c r="I14" s="121"/>
      <c r="J14" s="25">
        <f t="shared" si="6"/>
        <v>0</v>
      </c>
      <c r="K14" s="112"/>
      <c r="L14" s="26">
        <f t="shared" si="14"/>
        <v>0</v>
      </c>
      <c r="M14" s="26">
        <f t="shared" si="15"/>
        <v>0</v>
      </c>
      <c r="N14" s="26">
        <f t="shared" si="16"/>
        <v>0</v>
      </c>
      <c r="O14" s="26">
        <f t="shared" si="17"/>
        <v>0</v>
      </c>
      <c r="P14" s="26">
        <f t="shared" si="18"/>
        <v>0</v>
      </c>
      <c r="Q14" s="25">
        <f t="shared" si="0"/>
        <v>0</v>
      </c>
      <c r="R14" s="25">
        <f t="shared" si="1"/>
        <v>0</v>
      </c>
      <c r="S14" s="25">
        <f t="shared" si="2"/>
        <v>0</v>
      </c>
      <c r="T14" s="87">
        <f t="shared" si="3"/>
        <v>0</v>
      </c>
      <c r="U14" s="87">
        <f t="shared" si="4"/>
        <v>0</v>
      </c>
      <c r="V14" s="88">
        <f t="shared" si="5"/>
        <v>0</v>
      </c>
    </row>
    <row r="15" spans="1:22" x14ac:dyDescent="0.25">
      <c r="A15" s="232"/>
      <c r="B15" s="189">
        <v>5</v>
      </c>
      <c r="C15" s="113" t="s">
        <v>44</v>
      </c>
      <c r="D15" s="113" t="s">
        <v>107</v>
      </c>
      <c r="E15" s="113" t="s">
        <v>36</v>
      </c>
      <c r="F15" s="75"/>
      <c r="G15" s="41"/>
      <c r="H15" s="127">
        <v>27.78</v>
      </c>
      <c r="I15" s="119"/>
      <c r="J15" s="5">
        <f t="shared" si="6"/>
        <v>0</v>
      </c>
      <c r="K15" s="114"/>
      <c r="L15" s="2">
        <f t="shared" si="14"/>
        <v>0</v>
      </c>
      <c r="M15" s="2">
        <f t="shared" si="15"/>
        <v>0</v>
      </c>
      <c r="N15" s="2">
        <f t="shared" si="16"/>
        <v>0</v>
      </c>
      <c r="O15" s="2">
        <f t="shared" si="17"/>
        <v>0</v>
      </c>
      <c r="P15" s="2">
        <f t="shared" si="18"/>
        <v>0</v>
      </c>
      <c r="Q15" s="5">
        <f t="shared" si="0"/>
        <v>0</v>
      </c>
      <c r="R15" s="5">
        <f t="shared" si="1"/>
        <v>0</v>
      </c>
      <c r="S15" s="5">
        <f t="shared" si="2"/>
        <v>0</v>
      </c>
      <c r="T15" s="89">
        <f t="shared" si="3"/>
        <v>0</v>
      </c>
      <c r="U15" s="89">
        <f t="shared" si="4"/>
        <v>0</v>
      </c>
      <c r="V15" s="90">
        <f t="shared" si="5"/>
        <v>0</v>
      </c>
    </row>
    <row r="16" spans="1:22" x14ac:dyDescent="0.25">
      <c r="A16" s="232"/>
      <c r="B16" s="189">
        <v>6</v>
      </c>
      <c r="C16" s="113" t="s">
        <v>97</v>
      </c>
      <c r="D16" s="113" t="s">
        <v>108</v>
      </c>
      <c r="E16" s="113" t="s">
        <v>36</v>
      </c>
      <c r="F16" s="75"/>
      <c r="G16" s="41"/>
      <c r="H16" s="127">
        <v>24.98</v>
      </c>
      <c r="I16" s="119"/>
      <c r="J16" s="5">
        <f t="shared" si="6"/>
        <v>0</v>
      </c>
      <c r="K16" s="114"/>
      <c r="L16" s="2">
        <f t="shared" si="14"/>
        <v>0</v>
      </c>
      <c r="M16" s="2">
        <f t="shared" si="15"/>
        <v>0</v>
      </c>
      <c r="N16" s="2">
        <f t="shared" si="16"/>
        <v>0</v>
      </c>
      <c r="O16" s="2">
        <f t="shared" si="17"/>
        <v>0</v>
      </c>
      <c r="P16" s="2">
        <f t="shared" si="18"/>
        <v>0</v>
      </c>
      <c r="Q16" s="5">
        <f t="shared" si="0"/>
        <v>0</v>
      </c>
      <c r="R16" s="5">
        <f t="shared" si="1"/>
        <v>0</v>
      </c>
      <c r="S16" s="5">
        <f t="shared" si="2"/>
        <v>0</v>
      </c>
      <c r="T16" s="89">
        <f t="shared" si="3"/>
        <v>0</v>
      </c>
      <c r="U16" s="89">
        <f t="shared" si="4"/>
        <v>0</v>
      </c>
      <c r="V16" s="90">
        <f t="shared" si="5"/>
        <v>0</v>
      </c>
    </row>
    <row r="17" spans="1:22" ht="15" customHeight="1" thickBot="1" x14ac:dyDescent="0.3">
      <c r="A17" s="233"/>
      <c r="B17" s="190">
        <v>2</v>
      </c>
      <c r="C17" s="115" t="s">
        <v>40</v>
      </c>
      <c r="D17" s="115" t="s">
        <v>105</v>
      </c>
      <c r="E17" s="115" t="s">
        <v>36</v>
      </c>
      <c r="F17" s="76"/>
      <c r="G17" s="41"/>
      <c r="H17" s="128">
        <v>30.76</v>
      </c>
      <c r="I17" s="39"/>
      <c r="J17" s="38">
        <f t="shared" si="6"/>
        <v>0</v>
      </c>
      <c r="K17" s="116"/>
      <c r="L17" s="39">
        <f t="shared" si="14"/>
        <v>0</v>
      </c>
      <c r="M17" s="39">
        <f t="shared" si="15"/>
        <v>0</v>
      </c>
      <c r="N17" s="39">
        <f t="shared" si="16"/>
        <v>0</v>
      </c>
      <c r="O17" s="39">
        <f t="shared" si="17"/>
        <v>0</v>
      </c>
      <c r="P17" s="39">
        <f t="shared" si="18"/>
        <v>0</v>
      </c>
      <c r="Q17" s="38">
        <f t="shared" si="0"/>
        <v>0</v>
      </c>
      <c r="R17" s="38">
        <f t="shared" si="1"/>
        <v>0</v>
      </c>
      <c r="S17" s="38">
        <f t="shared" si="2"/>
        <v>0</v>
      </c>
      <c r="T17" s="91">
        <f t="shared" si="3"/>
        <v>0</v>
      </c>
      <c r="U17" s="91">
        <f t="shared" si="4"/>
        <v>0</v>
      </c>
      <c r="V17" s="92">
        <f t="shared" si="5"/>
        <v>0</v>
      </c>
    </row>
    <row r="18" spans="1:22" ht="15" customHeight="1" x14ac:dyDescent="0.25">
      <c r="A18" s="231" t="s">
        <v>96</v>
      </c>
      <c r="B18" s="188">
        <v>2</v>
      </c>
      <c r="C18" s="111" t="s">
        <v>40</v>
      </c>
      <c r="D18" s="111" t="s">
        <v>105</v>
      </c>
      <c r="E18" s="111" t="s">
        <v>36</v>
      </c>
      <c r="F18" s="77"/>
      <c r="G18" s="41"/>
      <c r="H18" s="126">
        <v>30.76</v>
      </c>
      <c r="I18" s="121"/>
      <c r="J18" s="25">
        <f t="shared" si="6"/>
        <v>0</v>
      </c>
      <c r="K18" s="112"/>
      <c r="L18" s="26">
        <f t="shared" si="14"/>
        <v>0</v>
      </c>
      <c r="M18" s="26">
        <f t="shared" si="15"/>
        <v>0</v>
      </c>
      <c r="N18" s="26">
        <f t="shared" si="16"/>
        <v>0</v>
      </c>
      <c r="O18" s="26">
        <f t="shared" si="17"/>
        <v>0</v>
      </c>
      <c r="P18" s="26">
        <f t="shared" si="18"/>
        <v>0</v>
      </c>
      <c r="Q18" s="25">
        <f t="shared" si="0"/>
        <v>0</v>
      </c>
      <c r="R18" s="25">
        <f t="shared" si="1"/>
        <v>0</v>
      </c>
      <c r="S18" s="25">
        <f t="shared" si="2"/>
        <v>0</v>
      </c>
      <c r="T18" s="87">
        <f t="shared" si="3"/>
        <v>0</v>
      </c>
      <c r="U18" s="87">
        <f t="shared" si="4"/>
        <v>0</v>
      </c>
      <c r="V18" s="88">
        <f t="shared" si="5"/>
        <v>0</v>
      </c>
    </row>
    <row r="19" spans="1:22" x14ac:dyDescent="0.25">
      <c r="A19" s="232"/>
      <c r="B19" s="189">
        <v>10</v>
      </c>
      <c r="C19" s="113" t="s">
        <v>101</v>
      </c>
      <c r="D19" s="113" t="s">
        <v>112</v>
      </c>
      <c r="E19" s="113" t="s">
        <v>36</v>
      </c>
      <c r="F19" s="75"/>
      <c r="G19" s="41"/>
      <c r="H19" s="127">
        <v>30.76</v>
      </c>
      <c r="I19" s="2"/>
      <c r="J19" s="5">
        <f t="shared" si="6"/>
        <v>0</v>
      </c>
      <c r="K19" s="114"/>
      <c r="L19" s="2">
        <f t="shared" si="14"/>
        <v>0</v>
      </c>
      <c r="M19" s="2">
        <f t="shared" si="15"/>
        <v>0</v>
      </c>
      <c r="N19" s="2">
        <f t="shared" si="16"/>
        <v>0</v>
      </c>
      <c r="O19" s="2">
        <f t="shared" si="17"/>
        <v>0</v>
      </c>
      <c r="P19" s="2">
        <f t="shared" si="18"/>
        <v>0</v>
      </c>
      <c r="Q19" s="5">
        <f t="shared" si="0"/>
        <v>0</v>
      </c>
      <c r="R19" s="5">
        <f t="shared" si="1"/>
        <v>0</v>
      </c>
      <c r="S19" s="5">
        <f t="shared" si="2"/>
        <v>0</v>
      </c>
      <c r="T19" s="89">
        <f t="shared" si="3"/>
        <v>0</v>
      </c>
      <c r="U19" s="89">
        <f t="shared" si="4"/>
        <v>0</v>
      </c>
      <c r="V19" s="90">
        <f t="shared" si="5"/>
        <v>0</v>
      </c>
    </row>
    <row r="20" spans="1:22" x14ac:dyDescent="0.25">
      <c r="A20" s="232"/>
      <c r="B20" s="189">
        <v>6</v>
      </c>
      <c r="C20" s="113" t="s">
        <v>97</v>
      </c>
      <c r="D20" s="135" t="s">
        <v>104</v>
      </c>
      <c r="E20" s="113" t="s">
        <v>36</v>
      </c>
      <c r="F20" s="75"/>
      <c r="G20" s="41"/>
      <c r="H20" s="127">
        <v>29.28</v>
      </c>
      <c r="I20" s="2"/>
      <c r="J20" s="5">
        <f t="shared" si="6"/>
        <v>0</v>
      </c>
      <c r="K20" s="114"/>
      <c r="L20" s="2">
        <f t="shared" si="14"/>
        <v>0</v>
      </c>
      <c r="M20" s="2">
        <f t="shared" si="15"/>
        <v>0</v>
      </c>
      <c r="N20" s="2">
        <f t="shared" si="16"/>
        <v>0</v>
      </c>
      <c r="O20" s="2">
        <f t="shared" si="17"/>
        <v>0</v>
      </c>
      <c r="P20" s="2">
        <f t="shared" si="18"/>
        <v>0</v>
      </c>
      <c r="Q20" s="5">
        <f t="shared" si="0"/>
        <v>0</v>
      </c>
      <c r="R20" s="5">
        <f t="shared" si="1"/>
        <v>0</v>
      </c>
      <c r="S20" s="5">
        <f t="shared" si="2"/>
        <v>0</v>
      </c>
      <c r="T20" s="89">
        <f t="shared" si="3"/>
        <v>0</v>
      </c>
      <c r="U20" s="89">
        <f t="shared" si="4"/>
        <v>0</v>
      </c>
      <c r="V20" s="90">
        <f t="shared" si="5"/>
        <v>0</v>
      </c>
    </row>
    <row r="21" spans="1:22" ht="15.75" thickBot="1" x14ac:dyDescent="0.3">
      <c r="A21" s="233"/>
      <c r="B21" s="190">
        <v>8</v>
      </c>
      <c r="C21" s="115" t="s">
        <v>42</v>
      </c>
      <c r="D21" s="115" t="s">
        <v>110</v>
      </c>
      <c r="E21" s="115" t="s">
        <v>36</v>
      </c>
      <c r="F21" s="76"/>
      <c r="G21" s="41"/>
      <c r="H21" s="128">
        <v>24.52</v>
      </c>
      <c r="I21" s="39"/>
      <c r="J21" s="38">
        <f t="shared" si="6"/>
        <v>0</v>
      </c>
      <c r="K21" s="116"/>
      <c r="L21" s="39">
        <f t="shared" si="14"/>
        <v>0</v>
      </c>
      <c r="M21" s="39">
        <f t="shared" si="15"/>
        <v>0</v>
      </c>
      <c r="N21" s="39">
        <f t="shared" si="16"/>
        <v>0</v>
      </c>
      <c r="O21" s="39">
        <f t="shared" si="17"/>
        <v>0</v>
      </c>
      <c r="P21" s="39">
        <f t="shared" si="18"/>
        <v>0</v>
      </c>
      <c r="Q21" s="38">
        <f t="shared" si="0"/>
        <v>0</v>
      </c>
      <c r="R21" s="38">
        <f t="shared" si="1"/>
        <v>0</v>
      </c>
      <c r="S21" s="38">
        <f t="shared" si="2"/>
        <v>0</v>
      </c>
      <c r="T21" s="91">
        <f t="shared" si="3"/>
        <v>0</v>
      </c>
      <c r="U21" s="91">
        <f t="shared" si="4"/>
        <v>0</v>
      </c>
      <c r="V21" s="92">
        <f t="shared" si="5"/>
        <v>0</v>
      </c>
    </row>
    <row r="22" spans="1:22" s="42" customFormat="1" ht="18" thickBot="1" x14ac:dyDescent="0.35">
      <c r="A22" s="152" t="s">
        <v>46</v>
      </c>
      <c r="B22" s="191"/>
      <c r="C22" s="142"/>
      <c r="D22" s="142"/>
      <c r="E22" s="142"/>
      <c r="F22" s="143"/>
      <c r="G22" s="41"/>
      <c r="H22" s="141"/>
      <c r="I22" s="141"/>
      <c r="J22" s="141"/>
      <c r="K22" s="141"/>
      <c r="L22" s="141"/>
      <c r="M22" s="141"/>
      <c r="N22" s="141"/>
      <c r="O22" s="141"/>
      <c r="P22" s="141"/>
      <c r="Q22" s="141"/>
      <c r="R22" s="141"/>
      <c r="S22" s="141"/>
      <c r="T22" s="144"/>
      <c r="U22" s="144"/>
      <c r="V22" s="145"/>
    </row>
    <row r="23" spans="1:22" ht="15.75" thickBot="1" x14ac:dyDescent="0.3">
      <c r="A23" s="184" t="s">
        <v>39</v>
      </c>
      <c r="B23" s="186">
        <v>11</v>
      </c>
      <c r="C23" s="109" t="s">
        <v>40</v>
      </c>
      <c r="D23" s="109" t="s">
        <v>105</v>
      </c>
      <c r="E23" s="109" t="s">
        <v>46</v>
      </c>
      <c r="F23" s="73"/>
      <c r="G23" s="41"/>
      <c r="H23" s="149">
        <v>35.83</v>
      </c>
      <c r="I23" s="118"/>
      <c r="J23" s="50">
        <f t="shared" ref="J23:J33" si="19">IF(F23&gt;0,IF($I23&lt;$H23,$H23,$I23),0)</f>
        <v>0</v>
      </c>
      <c r="K23" s="51">
        <f>(J23*$K$4)</f>
        <v>0</v>
      </c>
      <c r="L23" s="51">
        <f>(J23+K23)*$L$4</f>
        <v>0</v>
      </c>
      <c r="M23" s="51">
        <f>(J23+K23+L23)*$M$4</f>
        <v>0</v>
      </c>
      <c r="N23" s="51">
        <f>(J23+K23+L23)*$N$4</f>
        <v>0</v>
      </c>
      <c r="O23" s="51">
        <f>(J23+K23+L23+M23+N23)*$O$4</f>
        <v>0</v>
      </c>
      <c r="P23" s="51">
        <f>(J23+L23+M23+N23+O23)*$P$4</f>
        <v>0</v>
      </c>
      <c r="Q23" s="50">
        <f t="shared" ref="Q23:Q38" si="20">SUM(J23:P23)</f>
        <v>0</v>
      </c>
      <c r="R23" s="50">
        <f t="shared" ref="R23:R38" si="21">IF($R$4&lt;0,"N/A",(Q23-P23)*$R$4)</f>
        <v>0</v>
      </c>
      <c r="S23" s="50">
        <f t="shared" ref="S23:S38" si="22">SUM(Q23:R23)</f>
        <v>0</v>
      </c>
      <c r="T23" s="85">
        <f t="shared" ref="T23:T38" si="23">Q23*F23</f>
        <v>0</v>
      </c>
      <c r="U23" s="85">
        <f t="shared" ref="U23:U38" si="24">R23*F23</f>
        <v>0</v>
      </c>
      <c r="V23" s="86">
        <f t="shared" ref="V23:V38" si="25">S23*F23</f>
        <v>0</v>
      </c>
    </row>
    <row r="24" spans="1:22" ht="15.75" thickBot="1" x14ac:dyDescent="0.3">
      <c r="A24" s="185"/>
      <c r="B24" s="187">
        <v>12</v>
      </c>
      <c r="C24" s="172" t="s">
        <v>113</v>
      </c>
      <c r="D24" s="172" t="s">
        <v>108</v>
      </c>
      <c r="E24" s="172" t="s">
        <v>46</v>
      </c>
      <c r="F24" s="173"/>
      <c r="G24" s="41"/>
      <c r="H24" s="174">
        <v>30.76</v>
      </c>
      <c r="I24" s="183"/>
      <c r="J24" s="176"/>
      <c r="K24" s="177"/>
      <c r="L24" s="177"/>
      <c r="M24" s="177"/>
      <c r="N24" s="177"/>
      <c r="O24" s="177"/>
      <c r="P24" s="177"/>
      <c r="Q24" s="176"/>
      <c r="R24" s="176"/>
      <c r="S24" s="176"/>
      <c r="T24" s="178"/>
      <c r="U24" s="178"/>
      <c r="V24" s="179"/>
    </row>
    <row r="25" spans="1:22" x14ac:dyDescent="0.25">
      <c r="A25" s="236" t="s">
        <v>93</v>
      </c>
      <c r="B25" s="188">
        <v>13</v>
      </c>
      <c r="C25" s="111" t="s">
        <v>41</v>
      </c>
      <c r="D25" s="111" t="s">
        <v>106</v>
      </c>
      <c r="E25" s="111" t="s">
        <v>46</v>
      </c>
      <c r="F25" s="70"/>
      <c r="G25" s="41"/>
      <c r="H25" s="153">
        <v>32.298000000000002</v>
      </c>
      <c r="I25" s="121"/>
      <c r="J25" s="25">
        <f t="shared" si="19"/>
        <v>0</v>
      </c>
      <c r="K25" s="26">
        <f t="shared" ref="K25:K38" si="26">(J25*$K$4)</f>
        <v>0</v>
      </c>
      <c r="L25" s="26">
        <f t="shared" ref="L25:L38" si="27">(J25+K25)*$L$4</f>
        <v>0</v>
      </c>
      <c r="M25" s="26">
        <f t="shared" ref="M25:M38" si="28">(J25+K25+L25)*$M$4</f>
        <v>0</v>
      </c>
      <c r="N25" s="26">
        <f t="shared" ref="N25:N38" si="29">(J25+K25+L25)*$N$4</f>
        <v>0</v>
      </c>
      <c r="O25" s="26">
        <f t="shared" ref="O25:O38" si="30">(J25+K25+L25+M25+N25)*$O$4</f>
        <v>0</v>
      </c>
      <c r="P25" s="26">
        <f t="shared" ref="P25:P38" si="31">(J25+L25+M25+N25+O25)*$P$4</f>
        <v>0</v>
      </c>
      <c r="Q25" s="25">
        <f t="shared" si="20"/>
        <v>0</v>
      </c>
      <c r="R25" s="25">
        <f t="shared" si="21"/>
        <v>0</v>
      </c>
      <c r="S25" s="25">
        <f t="shared" si="22"/>
        <v>0</v>
      </c>
      <c r="T25" s="87">
        <f t="shared" si="23"/>
        <v>0</v>
      </c>
      <c r="U25" s="87">
        <f t="shared" si="24"/>
        <v>0</v>
      </c>
      <c r="V25" s="88">
        <f t="shared" si="25"/>
        <v>0</v>
      </c>
    </row>
    <row r="26" spans="1:22" x14ac:dyDescent="0.25">
      <c r="A26" s="237"/>
      <c r="B26" s="189">
        <v>14</v>
      </c>
      <c r="C26" s="113" t="s">
        <v>44</v>
      </c>
      <c r="D26" s="113" t="s">
        <v>107</v>
      </c>
      <c r="E26" s="113" t="s">
        <v>46</v>
      </c>
      <c r="F26" s="71"/>
      <c r="G26" s="41"/>
      <c r="H26" s="154">
        <v>29.169000000000004</v>
      </c>
      <c r="I26" s="119"/>
      <c r="J26" s="5">
        <f t="shared" si="19"/>
        <v>0</v>
      </c>
      <c r="K26" s="2">
        <f t="shared" si="26"/>
        <v>0</v>
      </c>
      <c r="L26" s="2">
        <f t="shared" si="27"/>
        <v>0</v>
      </c>
      <c r="M26" s="2">
        <f t="shared" si="28"/>
        <v>0</v>
      </c>
      <c r="N26" s="2">
        <f t="shared" si="29"/>
        <v>0</v>
      </c>
      <c r="O26" s="2">
        <f t="shared" si="30"/>
        <v>0</v>
      </c>
      <c r="P26" s="2">
        <f t="shared" si="31"/>
        <v>0</v>
      </c>
      <c r="Q26" s="5">
        <f t="shared" si="20"/>
        <v>0</v>
      </c>
      <c r="R26" s="5">
        <f t="shared" si="21"/>
        <v>0</v>
      </c>
      <c r="S26" s="5">
        <f t="shared" si="22"/>
        <v>0</v>
      </c>
      <c r="T26" s="89">
        <f t="shared" si="23"/>
        <v>0</v>
      </c>
      <c r="U26" s="89">
        <f t="shared" si="24"/>
        <v>0</v>
      </c>
      <c r="V26" s="90">
        <f t="shared" si="25"/>
        <v>0</v>
      </c>
    </row>
    <row r="27" spans="1:22" x14ac:dyDescent="0.25">
      <c r="A27" s="237"/>
      <c r="B27" s="189">
        <v>15</v>
      </c>
      <c r="C27" s="113" t="s">
        <v>97</v>
      </c>
      <c r="D27" s="113" t="s">
        <v>108</v>
      </c>
      <c r="E27" s="113" t="s">
        <v>46</v>
      </c>
      <c r="F27" s="71"/>
      <c r="G27" s="41"/>
      <c r="H27" s="154">
        <v>30.744000000000003</v>
      </c>
      <c r="I27" s="119"/>
      <c r="J27" s="5">
        <f t="shared" si="19"/>
        <v>0</v>
      </c>
      <c r="K27" s="2">
        <f t="shared" si="26"/>
        <v>0</v>
      </c>
      <c r="L27" s="2">
        <f t="shared" si="27"/>
        <v>0</v>
      </c>
      <c r="M27" s="2">
        <f t="shared" si="28"/>
        <v>0</v>
      </c>
      <c r="N27" s="2">
        <f t="shared" si="29"/>
        <v>0</v>
      </c>
      <c r="O27" s="2">
        <f t="shared" si="30"/>
        <v>0</v>
      </c>
      <c r="P27" s="2">
        <f t="shared" si="31"/>
        <v>0</v>
      </c>
      <c r="Q27" s="5">
        <f t="shared" si="20"/>
        <v>0</v>
      </c>
      <c r="R27" s="5">
        <f t="shared" si="21"/>
        <v>0</v>
      </c>
      <c r="S27" s="5">
        <f t="shared" si="22"/>
        <v>0</v>
      </c>
      <c r="T27" s="89">
        <f t="shared" si="23"/>
        <v>0</v>
      </c>
      <c r="U27" s="89">
        <f t="shared" si="24"/>
        <v>0</v>
      </c>
      <c r="V27" s="90">
        <f t="shared" si="25"/>
        <v>0</v>
      </c>
    </row>
    <row r="28" spans="1:22" x14ac:dyDescent="0.25">
      <c r="A28" s="237"/>
      <c r="B28" s="189">
        <v>16</v>
      </c>
      <c r="C28" s="113" t="s">
        <v>45</v>
      </c>
      <c r="D28" s="113" t="s">
        <v>109</v>
      </c>
      <c r="E28" s="113" t="s">
        <v>46</v>
      </c>
      <c r="F28" s="71"/>
      <c r="G28" s="41"/>
      <c r="H28" s="154">
        <v>37.485000000000007</v>
      </c>
      <c r="I28" s="119"/>
      <c r="J28" s="5">
        <f t="shared" si="19"/>
        <v>0</v>
      </c>
      <c r="K28" s="2">
        <f t="shared" si="26"/>
        <v>0</v>
      </c>
      <c r="L28" s="2">
        <f t="shared" si="27"/>
        <v>0</v>
      </c>
      <c r="M28" s="2">
        <f t="shared" si="28"/>
        <v>0</v>
      </c>
      <c r="N28" s="2">
        <f t="shared" si="29"/>
        <v>0</v>
      </c>
      <c r="O28" s="2">
        <f t="shared" si="30"/>
        <v>0</v>
      </c>
      <c r="P28" s="2">
        <f t="shared" si="31"/>
        <v>0</v>
      </c>
      <c r="Q28" s="5">
        <f t="shared" si="20"/>
        <v>0</v>
      </c>
      <c r="R28" s="5">
        <f t="shared" si="21"/>
        <v>0</v>
      </c>
      <c r="S28" s="5">
        <f t="shared" si="22"/>
        <v>0</v>
      </c>
      <c r="T28" s="89">
        <f t="shared" si="23"/>
        <v>0</v>
      </c>
      <c r="U28" s="89">
        <f t="shared" si="24"/>
        <v>0</v>
      </c>
      <c r="V28" s="90">
        <f t="shared" si="25"/>
        <v>0</v>
      </c>
    </row>
    <row r="29" spans="1:22" ht="15.75" thickBot="1" x14ac:dyDescent="0.3">
      <c r="A29" s="238"/>
      <c r="B29" s="190">
        <v>17</v>
      </c>
      <c r="C29" s="115" t="s">
        <v>42</v>
      </c>
      <c r="D29" s="115" t="s">
        <v>110</v>
      </c>
      <c r="E29" s="115" t="s">
        <v>46</v>
      </c>
      <c r="F29" s="72"/>
      <c r="G29" s="41"/>
      <c r="H29" s="155">
        <v>25.746000000000002</v>
      </c>
      <c r="I29" s="120"/>
      <c r="J29" s="38">
        <f t="shared" si="19"/>
        <v>0</v>
      </c>
      <c r="K29" s="39">
        <f t="shared" si="26"/>
        <v>0</v>
      </c>
      <c r="L29" s="39">
        <f t="shared" si="27"/>
        <v>0</v>
      </c>
      <c r="M29" s="39">
        <f t="shared" si="28"/>
        <v>0</v>
      </c>
      <c r="N29" s="39">
        <f t="shared" si="29"/>
        <v>0</v>
      </c>
      <c r="O29" s="39">
        <f t="shared" si="30"/>
        <v>0</v>
      </c>
      <c r="P29" s="39">
        <f t="shared" si="31"/>
        <v>0</v>
      </c>
      <c r="Q29" s="38">
        <f t="shared" si="20"/>
        <v>0</v>
      </c>
      <c r="R29" s="38">
        <f t="shared" si="21"/>
        <v>0</v>
      </c>
      <c r="S29" s="38">
        <f t="shared" si="22"/>
        <v>0</v>
      </c>
      <c r="T29" s="91">
        <f t="shared" si="23"/>
        <v>0</v>
      </c>
      <c r="U29" s="91">
        <f t="shared" si="24"/>
        <v>0</v>
      </c>
      <c r="V29" s="92">
        <f t="shared" si="25"/>
        <v>0</v>
      </c>
    </row>
    <row r="30" spans="1:22" ht="30.75" thickBot="1" x14ac:dyDescent="0.3">
      <c r="A30" s="168" t="s">
        <v>94</v>
      </c>
      <c r="B30" s="186">
        <v>18</v>
      </c>
      <c r="C30" s="109" t="s">
        <v>99</v>
      </c>
      <c r="D30" s="109" t="s">
        <v>111</v>
      </c>
      <c r="E30" s="109" t="s">
        <v>46</v>
      </c>
      <c r="F30" s="73"/>
      <c r="G30" s="41"/>
      <c r="H30" s="149">
        <v>27.184500000000003</v>
      </c>
      <c r="I30" s="118"/>
      <c r="J30" s="50">
        <f t="shared" si="19"/>
        <v>0</v>
      </c>
      <c r="K30" s="51">
        <f t="shared" si="26"/>
        <v>0</v>
      </c>
      <c r="L30" s="51">
        <f t="shared" si="27"/>
        <v>0</v>
      </c>
      <c r="M30" s="51">
        <f t="shared" si="28"/>
        <v>0</v>
      </c>
      <c r="N30" s="51">
        <f t="shared" si="29"/>
        <v>0</v>
      </c>
      <c r="O30" s="51">
        <f t="shared" si="30"/>
        <v>0</v>
      </c>
      <c r="P30" s="51">
        <f t="shared" si="31"/>
        <v>0</v>
      </c>
      <c r="Q30" s="50">
        <f t="shared" si="20"/>
        <v>0</v>
      </c>
      <c r="R30" s="50">
        <f t="shared" si="21"/>
        <v>0</v>
      </c>
      <c r="S30" s="50">
        <f t="shared" si="22"/>
        <v>0</v>
      </c>
      <c r="T30" s="85">
        <f t="shared" si="23"/>
        <v>0</v>
      </c>
      <c r="U30" s="85">
        <f t="shared" si="24"/>
        <v>0</v>
      </c>
      <c r="V30" s="86">
        <f t="shared" si="25"/>
        <v>0</v>
      </c>
    </row>
    <row r="31" spans="1:22" ht="15" customHeight="1" x14ac:dyDescent="0.25">
      <c r="A31" s="231" t="s">
        <v>95</v>
      </c>
      <c r="B31" s="188">
        <v>13</v>
      </c>
      <c r="C31" s="111" t="s">
        <v>41</v>
      </c>
      <c r="D31" s="111" t="s">
        <v>106</v>
      </c>
      <c r="E31" s="111" t="s">
        <v>46</v>
      </c>
      <c r="F31" s="70"/>
      <c r="G31" s="41"/>
      <c r="H31" s="153">
        <v>32.298000000000002</v>
      </c>
      <c r="I31" s="121"/>
      <c r="J31" s="25">
        <f t="shared" si="19"/>
        <v>0</v>
      </c>
      <c r="K31" s="26">
        <f t="shared" si="26"/>
        <v>0</v>
      </c>
      <c r="L31" s="26">
        <f t="shared" si="27"/>
        <v>0</v>
      </c>
      <c r="M31" s="26">
        <f t="shared" si="28"/>
        <v>0</v>
      </c>
      <c r="N31" s="26">
        <f t="shared" si="29"/>
        <v>0</v>
      </c>
      <c r="O31" s="26">
        <f t="shared" si="30"/>
        <v>0</v>
      </c>
      <c r="P31" s="26">
        <f t="shared" si="31"/>
        <v>0</v>
      </c>
      <c r="Q31" s="25">
        <f t="shared" si="20"/>
        <v>0</v>
      </c>
      <c r="R31" s="25">
        <f t="shared" si="21"/>
        <v>0</v>
      </c>
      <c r="S31" s="25">
        <f t="shared" si="22"/>
        <v>0</v>
      </c>
      <c r="T31" s="87">
        <f t="shared" si="23"/>
        <v>0</v>
      </c>
      <c r="U31" s="87">
        <f t="shared" si="24"/>
        <v>0</v>
      </c>
      <c r="V31" s="88">
        <f t="shared" si="25"/>
        <v>0</v>
      </c>
    </row>
    <row r="32" spans="1:22" x14ac:dyDescent="0.25">
      <c r="A32" s="232"/>
      <c r="B32" s="189">
        <v>14</v>
      </c>
      <c r="C32" s="113" t="s">
        <v>44</v>
      </c>
      <c r="D32" s="113" t="s">
        <v>107</v>
      </c>
      <c r="E32" s="113" t="s">
        <v>46</v>
      </c>
      <c r="F32" s="71"/>
      <c r="G32" s="41"/>
      <c r="H32" s="154">
        <v>29.169000000000004</v>
      </c>
      <c r="I32" s="119"/>
      <c r="J32" s="5">
        <f t="shared" si="19"/>
        <v>0</v>
      </c>
      <c r="K32" s="2">
        <f t="shared" si="26"/>
        <v>0</v>
      </c>
      <c r="L32" s="2">
        <f t="shared" si="27"/>
        <v>0</v>
      </c>
      <c r="M32" s="2">
        <f t="shared" si="28"/>
        <v>0</v>
      </c>
      <c r="N32" s="2">
        <f t="shared" si="29"/>
        <v>0</v>
      </c>
      <c r="O32" s="2">
        <f t="shared" si="30"/>
        <v>0</v>
      </c>
      <c r="P32" s="2">
        <f t="shared" si="31"/>
        <v>0</v>
      </c>
      <c r="Q32" s="5">
        <f t="shared" si="20"/>
        <v>0</v>
      </c>
      <c r="R32" s="5">
        <f t="shared" si="21"/>
        <v>0</v>
      </c>
      <c r="S32" s="5">
        <f t="shared" si="22"/>
        <v>0</v>
      </c>
      <c r="T32" s="89">
        <f t="shared" si="23"/>
        <v>0</v>
      </c>
      <c r="U32" s="89">
        <f t="shared" si="24"/>
        <v>0</v>
      </c>
      <c r="V32" s="90">
        <f t="shared" si="25"/>
        <v>0</v>
      </c>
    </row>
    <row r="33" spans="1:22" x14ac:dyDescent="0.25">
      <c r="A33" s="232"/>
      <c r="B33" s="189">
        <v>15</v>
      </c>
      <c r="C33" s="113" t="s">
        <v>97</v>
      </c>
      <c r="D33" s="113" t="s">
        <v>104</v>
      </c>
      <c r="E33" s="113" t="s">
        <v>46</v>
      </c>
      <c r="F33" s="71"/>
      <c r="G33" s="41"/>
      <c r="H33" s="154">
        <v>30.744000000000003</v>
      </c>
      <c r="I33" s="119"/>
      <c r="J33" s="5">
        <f t="shared" si="19"/>
        <v>0</v>
      </c>
      <c r="K33" s="2">
        <f t="shared" si="26"/>
        <v>0</v>
      </c>
      <c r="L33" s="2">
        <f t="shared" si="27"/>
        <v>0</v>
      </c>
      <c r="M33" s="2">
        <f t="shared" si="28"/>
        <v>0</v>
      </c>
      <c r="N33" s="2">
        <f t="shared" si="29"/>
        <v>0</v>
      </c>
      <c r="O33" s="2">
        <f t="shared" si="30"/>
        <v>0</v>
      </c>
      <c r="P33" s="2">
        <f t="shared" si="31"/>
        <v>0</v>
      </c>
      <c r="Q33" s="5">
        <f t="shared" si="20"/>
        <v>0</v>
      </c>
      <c r="R33" s="5">
        <f t="shared" si="21"/>
        <v>0</v>
      </c>
      <c r="S33" s="5">
        <f t="shared" si="22"/>
        <v>0</v>
      </c>
      <c r="T33" s="89">
        <f t="shared" si="23"/>
        <v>0</v>
      </c>
      <c r="U33" s="89">
        <f t="shared" si="24"/>
        <v>0</v>
      </c>
      <c r="V33" s="90">
        <f t="shared" si="25"/>
        <v>0</v>
      </c>
    </row>
    <row r="34" spans="1:22" ht="15" customHeight="1" thickBot="1" x14ac:dyDescent="0.3">
      <c r="A34" s="233"/>
      <c r="B34" s="190">
        <v>11</v>
      </c>
      <c r="C34" s="115" t="s">
        <v>40</v>
      </c>
      <c r="D34" s="115" t="s">
        <v>105</v>
      </c>
      <c r="E34" s="115" t="s">
        <v>46</v>
      </c>
      <c r="F34" s="72"/>
      <c r="G34" s="41"/>
      <c r="H34" s="155">
        <v>32.298000000000002</v>
      </c>
      <c r="I34" s="39"/>
      <c r="J34" s="38">
        <f t="shared" ref="J34:J38" si="32">IF(F34&gt;0,IF($I34&lt;$H34,$H34,$I34),0)</f>
        <v>0</v>
      </c>
      <c r="K34" s="39">
        <f t="shared" si="26"/>
        <v>0</v>
      </c>
      <c r="L34" s="39">
        <f t="shared" si="27"/>
        <v>0</v>
      </c>
      <c r="M34" s="39">
        <f t="shared" si="28"/>
        <v>0</v>
      </c>
      <c r="N34" s="39">
        <f t="shared" si="29"/>
        <v>0</v>
      </c>
      <c r="O34" s="39">
        <f t="shared" si="30"/>
        <v>0</v>
      </c>
      <c r="P34" s="39">
        <f t="shared" si="31"/>
        <v>0</v>
      </c>
      <c r="Q34" s="38">
        <f t="shared" si="20"/>
        <v>0</v>
      </c>
      <c r="R34" s="38">
        <f t="shared" si="21"/>
        <v>0</v>
      </c>
      <c r="S34" s="38">
        <f t="shared" si="22"/>
        <v>0</v>
      </c>
      <c r="T34" s="91">
        <f t="shared" si="23"/>
        <v>0</v>
      </c>
      <c r="U34" s="91">
        <f t="shared" si="24"/>
        <v>0</v>
      </c>
      <c r="V34" s="92">
        <f t="shared" si="25"/>
        <v>0</v>
      </c>
    </row>
    <row r="35" spans="1:22" x14ac:dyDescent="0.25">
      <c r="A35" s="231" t="s">
        <v>96</v>
      </c>
      <c r="B35" s="188">
        <v>11</v>
      </c>
      <c r="C35" s="111" t="s">
        <v>40</v>
      </c>
      <c r="D35" s="111" t="s">
        <v>105</v>
      </c>
      <c r="E35" s="111" t="s">
        <v>46</v>
      </c>
      <c r="F35" s="70"/>
      <c r="G35" s="41"/>
      <c r="H35" s="153">
        <v>32.298000000000002</v>
      </c>
      <c r="I35" s="121"/>
      <c r="J35" s="25">
        <f t="shared" si="32"/>
        <v>0</v>
      </c>
      <c r="K35" s="26">
        <f t="shared" si="26"/>
        <v>0</v>
      </c>
      <c r="L35" s="26">
        <f t="shared" si="27"/>
        <v>0</v>
      </c>
      <c r="M35" s="26">
        <f t="shared" si="28"/>
        <v>0</v>
      </c>
      <c r="N35" s="26">
        <f t="shared" si="29"/>
        <v>0</v>
      </c>
      <c r="O35" s="26">
        <f t="shared" si="30"/>
        <v>0</v>
      </c>
      <c r="P35" s="26">
        <f t="shared" si="31"/>
        <v>0</v>
      </c>
      <c r="Q35" s="25">
        <f t="shared" si="20"/>
        <v>0</v>
      </c>
      <c r="R35" s="25">
        <f t="shared" si="21"/>
        <v>0</v>
      </c>
      <c r="S35" s="25">
        <f t="shared" si="22"/>
        <v>0</v>
      </c>
      <c r="T35" s="87">
        <f t="shared" si="23"/>
        <v>0</v>
      </c>
      <c r="U35" s="87">
        <f t="shared" si="24"/>
        <v>0</v>
      </c>
      <c r="V35" s="88">
        <f t="shared" si="25"/>
        <v>0</v>
      </c>
    </row>
    <row r="36" spans="1:22" x14ac:dyDescent="0.25">
      <c r="A36" s="232"/>
      <c r="B36" s="189">
        <v>19</v>
      </c>
      <c r="C36" s="113" t="s">
        <v>101</v>
      </c>
      <c r="D36" s="113" t="s">
        <v>112</v>
      </c>
      <c r="E36" s="113" t="s">
        <v>46</v>
      </c>
      <c r="F36" s="71"/>
      <c r="G36" s="41"/>
      <c r="H36" s="154">
        <v>32.298000000000002</v>
      </c>
      <c r="I36" s="119"/>
      <c r="J36" s="5">
        <f t="shared" si="32"/>
        <v>0</v>
      </c>
      <c r="K36" s="2">
        <f t="shared" si="26"/>
        <v>0</v>
      </c>
      <c r="L36" s="2">
        <f t="shared" si="27"/>
        <v>0</v>
      </c>
      <c r="M36" s="2">
        <f t="shared" si="28"/>
        <v>0</v>
      </c>
      <c r="N36" s="2">
        <f t="shared" si="29"/>
        <v>0</v>
      </c>
      <c r="O36" s="2">
        <f t="shared" si="30"/>
        <v>0</v>
      </c>
      <c r="P36" s="2">
        <f t="shared" si="31"/>
        <v>0</v>
      </c>
      <c r="Q36" s="5">
        <f t="shared" si="20"/>
        <v>0</v>
      </c>
      <c r="R36" s="5">
        <f t="shared" si="21"/>
        <v>0</v>
      </c>
      <c r="S36" s="5">
        <f t="shared" si="22"/>
        <v>0</v>
      </c>
      <c r="T36" s="89">
        <f t="shared" si="23"/>
        <v>0</v>
      </c>
      <c r="U36" s="89">
        <f t="shared" si="24"/>
        <v>0</v>
      </c>
      <c r="V36" s="90">
        <f t="shared" si="25"/>
        <v>0</v>
      </c>
    </row>
    <row r="37" spans="1:22" x14ac:dyDescent="0.25">
      <c r="A37" s="232"/>
      <c r="B37" s="189">
        <v>15</v>
      </c>
      <c r="C37" s="113" t="s">
        <v>97</v>
      </c>
      <c r="D37" s="113" t="s">
        <v>104</v>
      </c>
      <c r="E37" s="113" t="s">
        <v>46</v>
      </c>
      <c r="F37" s="71"/>
      <c r="G37" s="41"/>
      <c r="H37" s="154">
        <v>30.744000000000003</v>
      </c>
      <c r="I37" s="119"/>
      <c r="J37" s="5">
        <f t="shared" si="32"/>
        <v>0</v>
      </c>
      <c r="K37" s="2">
        <f t="shared" si="26"/>
        <v>0</v>
      </c>
      <c r="L37" s="2">
        <f t="shared" si="27"/>
        <v>0</v>
      </c>
      <c r="M37" s="2">
        <f t="shared" si="28"/>
        <v>0</v>
      </c>
      <c r="N37" s="2">
        <f t="shared" si="29"/>
        <v>0</v>
      </c>
      <c r="O37" s="2">
        <f t="shared" si="30"/>
        <v>0</v>
      </c>
      <c r="P37" s="2">
        <f t="shared" si="31"/>
        <v>0</v>
      </c>
      <c r="Q37" s="5">
        <f t="shared" si="20"/>
        <v>0</v>
      </c>
      <c r="R37" s="5">
        <f t="shared" si="21"/>
        <v>0</v>
      </c>
      <c r="S37" s="5">
        <f t="shared" si="22"/>
        <v>0</v>
      </c>
      <c r="T37" s="89">
        <f t="shared" si="23"/>
        <v>0</v>
      </c>
      <c r="U37" s="89">
        <f t="shared" si="24"/>
        <v>0</v>
      </c>
      <c r="V37" s="90">
        <f t="shared" si="25"/>
        <v>0</v>
      </c>
    </row>
    <row r="38" spans="1:22" ht="15.75" thickBot="1" x14ac:dyDescent="0.3">
      <c r="A38" s="233"/>
      <c r="B38" s="190">
        <v>17</v>
      </c>
      <c r="C38" s="115" t="s">
        <v>42</v>
      </c>
      <c r="D38" s="115" t="s">
        <v>110</v>
      </c>
      <c r="E38" s="115" t="s">
        <v>46</v>
      </c>
      <c r="F38" s="72"/>
      <c r="G38" s="41"/>
      <c r="H38" s="155">
        <v>25.746000000000002</v>
      </c>
      <c r="I38" s="120"/>
      <c r="J38" s="38">
        <f t="shared" si="32"/>
        <v>0</v>
      </c>
      <c r="K38" s="39">
        <f t="shared" si="26"/>
        <v>0</v>
      </c>
      <c r="L38" s="39">
        <f t="shared" si="27"/>
        <v>0</v>
      </c>
      <c r="M38" s="39">
        <f t="shared" si="28"/>
        <v>0</v>
      </c>
      <c r="N38" s="39">
        <f t="shared" si="29"/>
        <v>0</v>
      </c>
      <c r="O38" s="39">
        <f t="shared" si="30"/>
        <v>0</v>
      </c>
      <c r="P38" s="39">
        <f t="shared" si="31"/>
        <v>0</v>
      </c>
      <c r="Q38" s="38">
        <f t="shared" si="20"/>
        <v>0</v>
      </c>
      <c r="R38" s="38">
        <f t="shared" si="21"/>
        <v>0</v>
      </c>
      <c r="S38" s="38">
        <f t="shared" si="22"/>
        <v>0</v>
      </c>
      <c r="T38" s="91">
        <f t="shared" si="23"/>
        <v>0</v>
      </c>
      <c r="U38" s="91">
        <f t="shared" si="24"/>
        <v>0</v>
      </c>
      <c r="V38" s="92">
        <f t="shared" si="25"/>
        <v>0</v>
      </c>
    </row>
    <row r="39" spans="1:22" ht="27" thickBot="1" x14ac:dyDescent="0.45">
      <c r="A39" s="246" t="s">
        <v>47</v>
      </c>
      <c r="B39" s="241"/>
      <c r="C39" s="241"/>
      <c r="D39" s="241"/>
      <c r="E39" s="241"/>
      <c r="F39" s="241"/>
      <c r="G39" s="240"/>
      <c r="H39" s="241"/>
      <c r="I39" s="241"/>
      <c r="J39" s="241"/>
      <c r="K39" s="241"/>
      <c r="L39" s="241"/>
      <c r="M39" s="241"/>
      <c r="N39" s="241"/>
      <c r="O39" s="241"/>
      <c r="P39" s="241"/>
      <c r="Q39" s="241"/>
      <c r="R39" s="241"/>
      <c r="S39" s="241"/>
      <c r="T39" s="241"/>
      <c r="U39" s="241"/>
      <c r="V39" s="242"/>
    </row>
    <row r="40" spans="1:22" ht="15.75" thickBot="1" x14ac:dyDescent="0.3">
      <c r="A40" s="234" t="s">
        <v>48</v>
      </c>
      <c r="B40" s="235"/>
      <c r="C40" s="235"/>
      <c r="D40" s="235"/>
      <c r="E40" s="235"/>
      <c r="F40" s="235"/>
      <c r="G40" s="78"/>
      <c r="H40" s="243" t="s">
        <v>81</v>
      </c>
      <c r="I40" s="243"/>
      <c r="J40" s="243"/>
      <c r="K40" s="243"/>
      <c r="L40" s="243"/>
      <c r="M40" s="243"/>
      <c r="N40" s="243"/>
      <c r="O40" s="243"/>
      <c r="P40" s="243"/>
      <c r="Q40" s="243"/>
      <c r="R40" s="243"/>
      <c r="S40" s="243"/>
      <c r="T40" s="243"/>
      <c r="U40" s="243"/>
      <c r="V40" s="244"/>
    </row>
    <row r="41" spans="1:22" s="46" customFormat="1" ht="45.95" customHeight="1" thickBot="1" x14ac:dyDescent="0.3">
      <c r="A41" s="47" t="s">
        <v>18</v>
      </c>
      <c r="B41" s="48" t="s">
        <v>19</v>
      </c>
      <c r="C41" s="49" t="s">
        <v>20</v>
      </c>
      <c r="D41" s="49" t="s">
        <v>21</v>
      </c>
      <c r="E41" s="49" t="s">
        <v>22</v>
      </c>
      <c r="F41" s="84" t="s">
        <v>72</v>
      </c>
      <c r="G41" s="79"/>
      <c r="H41" s="52" t="s">
        <v>24</v>
      </c>
      <c r="I41" s="53" t="s">
        <v>25</v>
      </c>
      <c r="J41" s="53" t="s">
        <v>26</v>
      </c>
      <c r="K41" s="53" t="s">
        <v>71</v>
      </c>
      <c r="L41" s="53" t="s">
        <v>27</v>
      </c>
      <c r="M41" s="124" t="s">
        <v>79</v>
      </c>
      <c r="N41" s="124" t="s">
        <v>80</v>
      </c>
      <c r="O41" s="124" t="s">
        <v>28</v>
      </c>
      <c r="P41" s="124" t="s">
        <v>29</v>
      </c>
      <c r="Q41" s="124" t="s">
        <v>30</v>
      </c>
      <c r="R41" s="124" t="s">
        <v>31</v>
      </c>
      <c r="S41" s="124" t="s">
        <v>32</v>
      </c>
      <c r="T41" s="44" t="s">
        <v>33</v>
      </c>
      <c r="U41" s="43" t="s">
        <v>34</v>
      </c>
      <c r="V41" s="45" t="s">
        <v>35</v>
      </c>
    </row>
    <row r="42" spans="1:22" s="33" customFormat="1" ht="30" customHeight="1" thickBot="1" x14ac:dyDescent="0.35">
      <c r="A42" s="100" t="s">
        <v>36</v>
      </c>
      <c r="B42" s="82"/>
      <c r="C42" s="82"/>
      <c r="D42" s="82"/>
      <c r="E42" s="82"/>
      <c r="F42" s="83"/>
      <c r="G42" s="80"/>
      <c r="H42" s="136"/>
      <c r="I42" s="137"/>
      <c r="J42" s="137"/>
      <c r="K42" s="138"/>
      <c r="L42" s="138"/>
      <c r="M42" s="138"/>
      <c r="N42" s="138"/>
      <c r="O42" s="138"/>
      <c r="P42" s="138"/>
      <c r="Q42" s="137"/>
      <c r="R42" s="138"/>
      <c r="S42" s="137"/>
      <c r="T42" s="137"/>
      <c r="U42" s="139"/>
      <c r="V42" s="140"/>
    </row>
    <row r="43" spans="1:22" ht="15.75" thickBot="1" x14ac:dyDescent="0.3">
      <c r="A43" s="163" t="s">
        <v>37</v>
      </c>
      <c r="B43" s="164">
        <v>1</v>
      </c>
      <c r="C43" s="109" t="s">
        <v>38</v>
      </c>
      <c r="D43" s="109" t="s">
        <v>114</v>
      </c>
      <c r="E43" s="109" t="s">
        <v>36</v>
      </c>
      <c r="F43" s="74"/>
      <c r="G43" s="41"/>
      <c r="H43" s="149">
        <f>H5+(H5*Escalation!$D$2)</f>
        <v>49.699439999999996</v>
      </c>
      <c r="I43" s="132">
        <f>I5+(I5*Escalation!$D$2)</f>
        <v>0</v>
      </c>
      <c r="J43" s="50">
        <f>J5+(J5*Escalation!$D$2)</f>
        <v>0</v>
      </c>
      <c r="K43" s="110"/>
      <c r="L43" s="51">
        <f>(J43*$L$4)</f>
        <v>0</v>
      </c>
      <c r="M43" s="51">
        <f>(L43+J43)*$M$4</f>
        <v>0</v>
      </c>
      <c r="N43" s="51">
        <f>(J43+L43)*$N$4</f>
        <v>0</v>
      </c>
      <c r="O43" s="51">
        <f>(L43+J43+M43+N43)*$O$4</f>
        <v>0</v>
      </c>
      <c r="P43" s="51">
        <f>(J43+L43+M43+N43+O43)*$P$4</f>
        <v>0</v>
      </c>
      <c r="Q43" s="50">
        <f t="shared" ref="Q43:Q59" si="33">SUM(J43:P43)</f>
        <v>0</v>
      </c>
      <c r="R43" s="50">
        <f t="shared" ref="R43:R59" si="34">IF($R$4&lt;0,"N/A",(Q43-P43)*$R$4)</f>
        <v>0</v>
      </c>
      <c r="S43" s="50">
        <f t="shared" ref="S43:S59" si="35">SUM(Q43:R43)</f>
        <v>0</v>
      </c>
      <c r="T43" s="85">
        <f t="shared" ref="T43:T59" si="36">Q43*F43</f>
        <v>0</v>
      </c>
      <c r="U43" s="85">
        <f t="shared" ref="U43:U59" si="37">R43*F43</f>
        <v>0</v>
      </c>
      <c r="V43" s="86">
        <f t="shared" ref="V43:V59" si="38">S43*F43</f>
        <v>0</v>
      </c>
    </row>
    <row r="44" spans="1:22" ht="15.75" thickBot="1" x14ac:dyDescent="0.3">
      <c r="A44" s="184" t="s">
        <v>39</v>
      </c>
      <c r="B44" s="164">
        <v>2</v>
      </c>
      <c r="C44" s="109" t="s">
        <v>40</v>
      </c>
      <c r="D44" s="109" t="s">
        <v>105</v>
      </c>
      <c r="E44" s="109" t="s">
        <v>36</v>
      </c>
      <c r="F44" s="74"/>
      <c r="G44" s="41"/>
      <c r="H44" s="125">
        <f>H6+(H6*Escalation!$D$2)</f>
        <v>36.761579999999995</v>
      </c>
      <c r="I44" s="132">
        <f>I6+(I6*Escalation!$D$2)</f>
        <v>0</v>
      </c>
      <c r="J44" s="50">
        <f>J6+(J6*Escalation!$D$2)</f>
        <v>0</v>
      </c>
      <c r="K44" s="110"/>
      <c r="L44" s="51">
        <f t="shared" ref="L44:L59" si="39">(J44*$L$4)</f>
        <v>0</v>
      </c>
      <c r="M44" s="51">
        <f t="shared" ref="M44:M59" si="40">(L44+J44)*$M$4</f>
        <v>0</v>
      </c>
      <c r="N44" s="51">
        <f t="shared" ref="N44:N59" si="41">(J44+L44)*$N$4</f>
        <v>0</v>
      </c>
      <c r="O44" s="51">
        <f t="shared" ref="O44:O59" si="42">(L44+J44+M44+N44)*$O$4</f>
        <v>0</v>
      </c>
      <c r="P44" s="51">
        <f t="shared" ref="P44:P59" si="43">(J44+L44+M44+N44+O44)*$P$4</f>
        <v>0</v>
      </c>
      <c r="Q44" s="50">
        <f t="shared" si="33"/>
        <v>0</v>
      </c>
      <c r="R44" s="50">
        <f t="shared" si="34"/>
        <v>0</v>
      </c>
      <c r="S44" s="50">
        <f t="shared" si="35"/>
        <v>0</v>
      </c>
      <c r="T44" s="85">
        <f t="shared" si="36"/>
        <v>0</v>
      </c>
      <c r="U44" s="85">
        <f t="shared" si="37"/>
        <v>0</v>
      </c>
      <c r="V44" s="86">
        <f t="shared" si="38"/>
        <v>0</v>
      </c>
    </row>
    <row r="45" spans="1:22" ht="15.75" thickBot="1" x14ac:dyDescent="0.3">
      <c r="A45" s="185"/>
      <c r="B45" s="171">
        <v>3</v>
      </c>
      <c r="C45" s="172" t="s">
        <v>113</v>
      </c>
      <c r="D45" s="172" t="s">
        <v>108</v>
      </c>
      <c r="E45" s="172" t="s">
        <v>36</v>
      </c>
      <c r="F45" s="180"/>
      <c r="G45" s="41"/>
      <c r="H45" s="181"/>
      <c r="I45" s="175"/>
      <c r="J45" s="176"/>
      <c r="K45" s="182"/>
      <c r="L45" s="177"/>
      <c r="M45" s="177"/>
      <c r="N45" s="177"/>
      <c r="O45" s="177"/>
      <c r="P45" s="177"/>
      <c r="Q45" s="176"/>
      <c r="R45" s="176"/>
      <c r="S45" s="176"/>
      <c r="T45" s="178"/>
      <c r="U45" s="178"/>
      <c r="V45" s="179"/>
    </row>
    <row r="46" spans="1:22" x14ac:dyDescent="0.25">
      <c r="A46" s="231" t="s">
        <v>93</v>
      </c>
      <c r="B46" s="165">
        <v>4</v>
      </c>
      <c r="C46" s="111" t="s">
        <v>41</v>
      </c>
      <c r="D46" s="111" t="s">
        <v>106</v>
      </c>
      <c r="E46" s="111" t="s">
        <v>36</v>
      </c>
      <c r="F46" s="77"/>
      <c r="G46" s="41"/>
      <c r="H46" s="126">
        <f>H8+(H8*Escalation!$D$2)</f>
        <v>31.559760000000001</v>
      </c>
      <c r="I46" s="122">
        <f>I8+(I8*Escalation!$D$2)</f>
        <v>0</v>
      </c>
      <c r="J46" s="25">
        <f>J8+(J8*Escalation!$D$2)</f>
        <v>0</v>
      </c>
      <c r="K46" s="112"/>
      <c r="L46" s="26">
        <f t="shared" si="39"/>
        <v>0</v>
      </c>
      <c r="M46" s="26">
        <f t="shared" si="40"/>
        <v>0</v>
      </c>
      <c r="N46" s="26">
        <f t="shared" si="41"/>
        <v>0</v>
      </c>
      <c r="O46" s="26">
        <f t="shared" si="42"/>
        <v>0</v>
      </c>
      <c r="P46" s="26">
        <f t="shared" si="43"/>
        <v>0</v>
      </c>
      <c r="Q46" s="25">
        <f t="shared" si="33"/>
        <v>0</v>
      </c>
      <c r="R46" s="25">
        <f t="shared" si="34"/>
        <v>0</v>
      </c>
      <c r="S46" s="25">
        <f t="shared" si="35"/>
        <v>0</v>
      </c>
      <c r="T46" s="87">
        <f t="shared" si="36"/>
        <v>0</v>
      </c>
      <c r="U46" s="87">
        <f t="shared" si="37"/>
        <v>0</v>
      </c>
      <c r="V46" s="88">
        <f t="shared" si="38"/>
        <v>0</v>
      </c>
    </row>
    <row r="47" spans="1:22" x14ac:dyDescent="0.25">
      <c r="A47" s="232"/>
      <c r="B47" s="166">
        <v>5</v>
      </c>
      <c r="C47" s="113" t="s">
        <v>44</v>
      </c>
      <c r="D47" s="113" t="s">
        <v>107</v>
      </c>
      <c r="E47" s="113" t="s">
        <v>36</v>
      </c>
      <c r="F47" s="75"/>
      <c r="G47" s="41"/>
      <c r="H47" s="127">
        <f>H9+(H9*Escalation!$D$2)</f>
        <v>28.502280000000003</v>
      </c>
      <c r="I47" s="5">
        <f>I9+(I9*Escalation!$D$2)</f>
        <v>0</v>
      </c>
      <c r="J47" s="5">
        <f>J9+(J9*Escalation!$D$2)</f>
        <v>0</v>
      </c>
      <c r="K47" s="114"/>
      <c r="L47" s="2">
        <f t="shared" si="39"/>
        <v>0</v>
      </c>
      <c r="M47" s="2">
        <f t="shared" si="40"/>
        <v>0</v>
      </c>
      <c r="N47" s="2">
        <f t="shared" si="41"/>
        <v>0</v>
      </c>
      <c r="O47" s="2">
        <f t="shared" si="42"/>
        <v>0</v>
      </c>
      <c r="P47" s="2">
        <f t="shared" si="43"/>
        <v>0</v>
      </c>
      <c r="Q47" s="5">
        <f t="shared" si="33"/>
        <v>0</v>
      </c>
      <c r="R47" s="5">
        <f t="shared" si="34"/>
        <v>0</v>
      </c>
      <c r="S47" s="5">
        <f t="shared" si="35"/>
        <v>0</v>
      </c>
      <c r="T47" s="89">
        <f t="shared" si="36"/>
        <v>0</v>
      </c>
      <c r="U47" s="89">
        <f t="shared" si="37"/>
        <v>0</v>
      </c>
      <c r="V47" s="90">
        <f t="shared" si="38"/>
        <v>0</v>
      </c>
    </row>
    <row r="48" spans="1:22" x14ac:dyDescent="0.25">
      <c r="A48" s="232"/>
      <c r="B48" s="166">
        <v>6</v>
      </c>
      <c r="C48" s="113" t="s">
        <v>97</v>
      </c>
      <c r="D48" s="113" t="s">
        <v>108</v>
      </c>
      <c r="E48" s="113" t="s">
        <v>36</v>
      </c>
      <c r="F48" s="75"/>
      <c r="G48" s="41"/>
      <c r="H48" s="127">
        <v>24.98</v>
      </c>
      <c r="I48" s="117">
        <f>I10+(I10*Escalation!$D$2)</f>
        <v>0</v>
      </c>
      <c r="J48" s="5">
        <f>J10+(J10*Escalation!$D$2)</f>
        <v>0</v>
      </c>
      <c r="K48" s="114"/>
      <c r="L48" s="2">
        <f t="shared" si="39"/>
        <v>0</v>
      </c>
      <c r="M48" s="2">
        <f t="shared" si="40"/>
        <v>0</v>
      </c>
      <c r="N48" s="2">
        <f t="shared" si="41"/>
        <v>0</v>
      </c>
      <c r="O48" s="2">
        <f t="shared" si="42"/>
        <v>0</v>
      </c>
      <c r="P48" s="2">
        <f t="shared" si="43"/>
        <v>0</v>
      </c>
      <c r="Q48" s="5">
        <f t="shared" si="33"/>
        <v>0</v>
      </c>
      <c r="R48" s="5">
        <f t="shared" si="34"/>
        <v>0</v>
      </c>
      <c r="S48" s="5">
        <f t="shared" si="35"/>
        <v>0</v>
      </c>
      <c r="T48" s="89">
        <f t="shared" si="36"/>
        <v>0</v>
      </c>
      <c r="U48" s="89">
        <f t="shared" si="37"/>
        <v>0</v>
      </c>
      <c r="V48" s="90">
        <f t="shared" si="38"/>
        <v>0</v>
      </c>
    </row>
    <row r="49" spans="1:22" x14ac:dyDescent="0.25">
      <c r="A49" s="232"/>
      <c r="B49" s="166">
        <v>7</v>
      </c>
      <c r="C49" s="113" t="s">
        <v>45</v>
      </c>
      <c r="D49" s="113" t="s">
        <v>109</v>
      </c>
      <c r="E49" s="113" t="s">
        <v>36</v>
      </c>
      <c r="F49" s="75"/>
      <c r="G49" s="41"/>
      <c r="H49" s="127">
        <f>H11+(H11*Escalation!$D$2)</f>
        <v>36.6282</v>
      </c>
      <c r="I49" s="117">
        <f>I11+(I11*Escalation!$D$2)</f>
        <v>0</v>
      </c>
      <c r="J49" s="5">
        <f>J11+(J11*Escalation!$D$2)</f>
        <v>0</v>
      </c>
      <c r="K49" s="114"/>
      <c r="L49" s="2">
        <f t="shared" si="39"/>
        <v>0</v>
      </c>
      <c r="M49" s="2">
        <f t="shared" si="40"/>
        <v>0</v>
      </c>
      <c r="N49" s="2">
        <f t="shared" si="41"/>
        <v>0</v>
      </c>
      <c r="O49" s="2">
        <f t="shared" si="42"/>
        <v>0</v>
      </c>
      <c r="P49" s="2">
        <f t="shared" si="43"/>
        <v>0</v>
      </c>
      <c r="Q49" s="5">
        <f t="shared" si="33"/>
        <v>0</v>
      </c>
      <c r="R49" s="5">
        <f t="shared" si="34"/>
        <v>0</v>
      </c>
      <c r="S49" s="5">
        <f t="shared" si="35"/>
        <v>0</v>
      </c>
      <c r="T49" s="89">
        <f t="shared" si="36"/>
        <v>0</v>
      </c>
      <c r="U49" s="89">
        <f t="shared" si="37"/>
        <v>0</v>
      </c>
      <c r="V49" s="90">
        <f t="shared" si="38"/>
        <v>0</v>
      </c>
    </row>
    <row r="50" spans="1:22" ht="15.75" thickBot="1" x14ac:dyDescent="0.3">
      <c r="A50" s="233"/>
      <c r="B50" s="167">
        <v>8</v>
      </c>
      <c r="C50" s="115" t="s">
        <v>42</v>
      </c>
      <c r="D50" s="115" t="s">
        <v>110</v>
      </c>
      <c r="E50" s="115" t="s">
        <v>36</v>
      </c>
      <c r="F50" s="76"/>
      <c r="G50" s="41"/>
      <c r="H50" s="150">
        <f>H12+(H12*Escalation!$D$2)</f>
        <v>25.157519999999998</v>
      </c>
      <c r="I50" s="123">
        <f>I12+(I12*Escalation!$D$2)</f>
        <v>0</v>
      </c>
      <c r="J50" s="38">
        <f>J12+(J12*Escalation!$D$2)</f>
        <v>0</v>
      </c>
      <c r="K50" s="116"/>
      <c r="L50" s="39">
        <f t="shared" si="39"/>
        <v>0</v>
      </c>
      <c r="M50" s="39">
        <f t="shared" si="40"/>
        <v>0</v>
      </c>
      <c r="N50" s="39">
        <f t="shared" si="41"/>
        <v>0</v>
      </c>
      <c r="O50" s="39">
        <f t="shared" si="42"/>
        <v>0</v>
      </c>
      <c r="P50" s="39">
        <f t="shared" si="43"/>
        <v>0</v>
      </c>
      <c r="Q50" s="38">
        <f t="shared" si="33"/>
        <v>0</v>
      </c>
      <c r="R50" s="38">
        <f t="shared" si="34"/>
        <v>0</v>
      </c>
      <c r="S50" s="38">
        <f t="shared" si="35"/>
        <v>0</v>
      </c>
      <c r="T50" s="91">
        <f t="shared" si="36"/>
        <v>0</v>
      </c>
      <c r="U50" s="91">
        <f t="shared" si="37"/>
        <v>0</v>
      </c>
      <c r="V50" s="92">
        <f t="shared" si="38"/>
        <v>0</v>
      </c>
    </row>
    <row r="51" spans="1:22" ht="30.75" thickBot="1" x14ac:dyDescent="0.3">
      <c r="A51" s="168" t="s">
        <v>94</v>
      </c>
      <c r="B51" s="164">
        <v>9</v>
      </c>
      <c r="C51" s="109" t="s">
        <v>43</v>
      </c>
      <c r="D51" s="148" t="s">
        <v>111</v>
      </c>
      <c r="E51" s="109" t="s">
        <v>36</v>
      </c>
      <c r="F51" s="74"/>
      <c r="G51" s="41"/>
      <c r="H51" s="151">
        <f>H13+(H13*Escalation!$D$2)</f>
        <v>26.563140000000001</v>
      </c>
      <c r="I51" s="132">
        <f>I13+(I13*Escalation!$D$2)</f>
        <v>0</v>
      </c>
      <c r="J51" s="50">
        <f>J13+(J13*Escalation!$D$2)</f>
        <v>0</v>
      </c>
      <c r="K51" s="110"/>
      <c r="L51" s="51">
        <f t="shared" si="39"/>
        <v>0</v>
      </c>
      <c r="M51" s="51">
        <f t="shared" si="40"/>
        <v>0</v>
      </c>
      <c r="N51" s="51">
        <f t="shared" si="41"/>
        <v>0</v>
      </c>
      <c r="O51" s="51">
        <f t="shared" si="42"/>
        <v>0</v>
      </c>
      <c r="P51" s="51">
        <f t="shared" si="43"/>
        <v>0</v>
      </c>
      <c r="Q51" s="50">
        <f t="shared" si="33"/>
        <v>0</v>
      </c>
      <c r="R51" s="50">
        <f t="shared" si="34"/>
        <v>0</v>
      </c>
      <c r="S51" s="50">
        <f t="shared" si="35"/>
        <v>0</v>
      </c>
      <c r="T51" s="85">
        <f t="shared" si="36"/>
        <v>0</v>
      </c>
      <c r="U51" s="85">
        <f t="shared" si="37"/>
        <v>0</v>
      </c>
      <c r="V51" s="86">
        <f t="shared" si="38"/>
        <v>0</v>
      </c>
    </row>
    <row r="52" spans="1:22" x14ac:dyDescent="0.25">
      <c r="A52" s="231" t="s">
        <v>95</v>
      </c>
      <c r="B52" s="165">
        <v>4</v>
      </c>
      <c r="C52" s="111" t="s">
        <v>41</v>
      </c>
      <c r="D52" s="111" t="s">
        <v>106</v>
      </c>
      <c r="E52" s="111" t="s">
        <v>36</v>
      </c>
      <c r="F52" s="77"/>
      <c r="G52" s="41"/>
      <c r="H52" s="126">
        <f>H14+(H14*Escalation!$D$2)</f>
        <v>31.559760000000001</v>
      </c>
      <c r="I52" s="122">
        <f>I14+(I14*Escalation!$D$2)</f>
        <v>0</v>
      </c>
      <c r="J52" s="25">
        <f>J14+(J14*Escalation!$D$2)</f>
        <v>0</v>
      </c>
      <c r="K52" s="112"/>
      <c r="L52" s="26">
        <f t="shared" si="39"/>
        <v>0</v>
      </c>
      <c r="M52" s="26">
        <f t="shared" si="40"/>
        <v>0</v>
      </c>
      <c r="N52" s="26">
        <f t="shared" si="41"/>
        <v>0</v>
      </c>
      <c r="O52" s="26">
        <f t="shared" si="42"/>
        <v>0</v>
      </c>
      <c r="P52" s="26">
        <f t="shared" si="43"/>
        <v>0</v>
      </c>
      <c r="Q52" s="25">
        <f t="shared" si="33"/>
        <v>0</v>
      </c>
      <c r="R52" s="25">
        <f t="shared" si="34"/>
        <v>0</v>
      </c>
      <c r="S52" s="25">
        <f t="shared" si="35"/>
        <v>0</v>
      </c>
      <c r="T52" s="87">
        <f t="shared" si="36"/>
        <v>0</v>
      </c>
      <c r="U52" s="87">
        <f t="shared" si="37"/>
        <v>0</v>
      </c>
      <c r="V52" s="88">
        <f t="shared" si="38"/>
        <v>0</v>
      </c>
    </row>
    <row r="53" spans="1:22" x14ac:dyDescent="0.25">
      <c r="A53" s="232"/>
      <c r="B53" s="166">
        <v>5</v>
      </c>
      <c r="C53" s="113" t="s">
        <v>44</v>
      </c>
      <c r="D53" s="113" t="s">
        <v>107</v>
      </c>
      <c r="E53" s="113" t="s">
        <v>36</v>
      </c>
      <c r="F53" s="75"/>
      <c r="G53" s="41"/>
      <c r="H53" s="127">
        <f>H15+(H15*Escalation!$D$2)</f>
        <v>28.502280000000003</v>
      </c>
      <c r="I53" s="117">
        <f>I15+(I15*Escalation!$D$2)</f>
        <v>0</v>
      </c>
      <c r="J53" s="5">
        <f>J15+(J15*Escalation!$D$2)</f>
        <v>0</v>
      </c>
      <c r="K53" s="114"/>
      <c r="L53" s="2">
        <f t="shared" si="39"/>
        <v>0</v>
      </c>
      <c r="M53" s="2">
        <f t="shared" si="40"/>
        <v>0</v>
      </c>
      <c r="N53" s="2">
        <f t="shared" si="41"/>
        <v>0</v>
      </c>
      <c r="O53" s="2">
        <f t="shared" si="42"/>
        <v>0</v>
      </c>
      <c r="P53" s="2">
        <f t="shared" si="43"/>
        <v>0</v>
      </c>
      <c r="Q53" s="5">
        <f t="shared" si="33"/>
        <v>0</v>
      </c>
      <c r="R53" s="5">
        <f t="shared" si="34"/>
        <v>0</v>
      </c>
      <c r="S53" s="5">
        <f t="shared" si="35"/>
        <v>0</v>
      </c>
      <c r="T53" s="89">
        <f t="shared" si="36"/>
        <v>0</v>
      </c>
      <c r="U53" s="89">
        <f t="shared" si="37"/>
        <v>0</v>
      </c>
      <c r="V53" s="90">
        <f t="shared" si="38"/>
        <v>0</v>
      </c>
    </row>
    <row r="54" spans="1:22" x14ac:dyDescent="0.25">
      <c r="A54" s="232"/>
      <c r="B54" s="166">
        <v>6</v>
      </c>
      <c r="C54" s="113" t="s">
        <v>97</v>
      </c>
      <c r="D54" s="113" t="s">
        <v>108</v>
      </c>
      <c r="E54" s="113" t="s">
        <v>36</v>
      </c>
      <c r="F54" s="75"/>
      <c r="G54" s="41"/>
      <c r="H54" s="127">
        <v>24.98</v>
      </c>
      <c r="I54" s="117">
        <f>I16+(I16*Escalation!$D$2)</f>
        <v>0</v>
      </c>
      <c r="J54" s="5">
        <f>J16+(J16*Escalation!$D$2)</f>
        <v>0</v>
      </c>
      <c r="K54" s="114"/>
      <c r="L54" s="2">
        <f t="shared" si="39"/>
        <v>0</v>
      </c>
      <c r="M54" s="2">
        <f t="shared" si="40"/>
        <v>0</v>
      </c>
      <c r="N54" s="2">
        <f t="shared" si="41"/>
        <v>0</v>
      </c>
      <c r="O54" s="2">
        <f t="shared" si="42"/>
        <v>0</v>
      </c>
      <c r="P54" s="2">
        <f t="shared" si="43"/>
        <v>0</v>
      </c>
      <c r="Q54" s="5">
        <f t="shared" si="33"/>
        <v>0</v>
      </c>
      <c r="R54" s="5">
        <f t="shared" si="34"/>
        <v>0</v>
      </c>
      <c r="S54" s="5">
        <f t="shared" si="35"/>
        <v>0</v>
      </c>
      <c r="T54" s="89">
        <f t="shared" si="36"/>
        <v>0</v>
      </c>
      <c r="U54" s="89">
        <f t="shared" si="37"/>
        <v>0</v>
      </c>
      <c r="V54" s="90">
        <f t="shared" si="38"/>
        <v>0</v>
      </c>
    </row>
    <row r="55" spans="1:22" ht="15" customHeight="1" thickBot="1" x14ac:dyDescent="0.3">
      <c r="A55" s="233"/>
      <c r="B55" s="167">
        <v>2</v>
      </c>
      <c r="C55" s="115" t="s">
        <v>40</v>
      </c>
      <c r="D55" s="115" t="s">
        <v>105</v>
      </c>
      <c r="E55" s="115" t="s">
        <v>36</v>
      </c>
      <c r="F55" s="76"/>
      <c r="G55" s="41"/>
      <c r="H55" s="128">
        <f>H17+(H17*Escalation!$D$2)</f>
        <v>31.559760000000001</v>
      </c>
      <c r="I55" s="38">
        <f>I17+(I17*Escalation!$D$2)</f>
        <v>0</v>
      </c>
      <c r="J55" s="38">
        <f>J17+(J17*Escalation!$D$2)</f>
        <v>0</v>
      </c>
      <c r="K55" s="116"/>
      <c r="L55" s="39">
        <f t="shared" si="39"/>
        <v>0</v>
      </c>
      <c r="M55" s="39">
        <f t="shared" si="40"/>
        <v>0</v>
      </c>
      <c r="N55" s="39">
        <f t="shared" si="41"/>
        <v>0</v>
      </c>
      <c r="O55" s="39">
        <f t="shared" si="42"/>
        <v>0</v>
      </c>
      <c r="P55" s="39">
        <f t="shared" si="43"/>
        <v>0</v>
      </c>
      <c r="Q55" s="38">
        <f t="shared" si="33"/>
        <v>0</v>
      </c>
      <c r="R55" s="38">
        <f t="shared" si="34"/>
        <v>0</v>
      </c>
      <c r="S55" s="38">
        <f t="shared" si="35"/>
        <v>0</v>
      </c>
      <c r="T55" s="91">
        <f t="shared" si="36"/>
        <v>0</v>
      </c>
      <c r="U55" s="91">
        <f t="shared" si="37"/>
        <v>0</v>
      </c>
      <c r="V55" s="92">
        <f t="shared" si="38"/>
        <v>0</v>
      </c>
    </row>
    <row r="56" spans="1:22" x14ac:dyDescent="0.25">
      <c r="A56" s="231" t="s">
        <v>96</v>
      </c>
      <c r="B56" s="165">
        <v>2</v>
      </c>
      <c r="C56" s="111" t="s">
        <v>40</v>
      </c>
      <c r="D56" s="111" t="s">
        <v>105</v>
      </c>
      <c r="E56" s="111" t="s">
        <v>36</v>
      </c>
      <c r="F56" s="77"/>
      <c r="G56" s="41"/>
      <c r="H56" s="126">
        <f>H18+(H18*Escalation!$D$2)</f>
        <v>31.559760000000001</v>
      </c>
      <c r="I56" s="122">
        <f>I18+(I18*Escalation!$D$2)</f>
        <v>0</v>
      </c>
      <c r="J56" s="25">
        <f>J18+(J18*Escalation!$D$2)</f>
        <v>0</v>
      </c>
      <c r="K56" s="112"/>
      <c r="L56" s="26">
        <f t="shared" si="39"/>
        <v>0</v>
      </c>
      <c r="M56" s="26">
        <f t="shared" si="40"/>
        <v>0</v>
      </c>
      <c r="N56" s="26">
        <f t="shared" si="41"/>
        <v>0</v>
      </c>
      <c r="O56" s="26">
        <f t="shared" si="42"/>
        <v>0</v>
      </c>
      <c r="P56" s="26">
        <f t="shared" si="43"/>
        <v>0</v>
      </c>
      <c r="Q56" s="25">
        <f t="shared" si="33"/>
        <v>0</v>
      </c>
      <c r="R56" s="25">
        <f t="shared" si="34"/>
        <v>0</v>
      </c>
      <c r="S56" s="25">
        <f t="shared" si="35"/>
        <v>0</v>
      </c>
      <c r="T56" s="87">
        <f t="shared" si="36"/>
        <v>0</v>
      </c>
      <c r="U56" s="87">
        <f t="shared" si="37"/>
        <v>0</v>
      </c>
      <c r="V56" s="88">
        <f t="shared" si="38"/>
        <v>0</v>
      </c>
    </row>
    <row r="57" spans="1:22" x14ac:dyDescent="0.25">
      <c r="A57" s="232"/>
      <c r="B57" s="166">
        <v>10</v>
      </c>
      <c r="C57" s="113" t="s">
        <v>101</v>
      </c>
      <c r="D57" s="113" t="s">
        <v>112</v>
      </c>
      <c r="E57" s="113" t="s">
        <v>36</v>
      </c>
      <c r="F57" s="75"/>
      <c r="G57" s="41"/>
      <c r="H57" s="127">
        <f>H19+(H19*Escalation!$D$2)</f>
        <v>31.559760000000001</v>
      </c>
      <c r="I57" s="5">
        <f>I19+(I19*Escalation!$D$2)</f>
        <v>0</v>
      </c>
      <c r="J57" s="5">
        <f>J19+(J19*Escalation!$D$2)</f>
        <v>0</v>
      </c>
      <c r="K57" s="114"/>
      <c r="L57" s="2">
        <f t="shared" si="39"/>
        <v>0</v>
      </c>
      <c r="M57" s="2">
        <f t="shared" si="40"/>
        <v>0</v>
      </c>
      <c r="N57" s="2">
        <f t="shared" si="41"/>
        <v>0</v>
      </c>
      <c r="O57" s="2">
        <f t="shared" si="42"/>
        <v>0</v>
      </c>
      <c r="P57" s="2">
        <f t="shared" si="43"/>
        <v>0</v>
      </c>
      <c r="Q57" s="5">
        <f t="shared" si="33"/>
        <v>0</v>
      </c>
      <c r="R57" s="5">
        <f t="shared" si="34"/>
        <v>0</v>
      </c>
      <c r="S57" s="5">
        <f t="shared" si="35"/>
        <v>0</v>
      </c>
      <c r="T57" s="89">
        <f t="shared" si="36"/>
        <v>0</v>
      </c>
      <c r="U57" s="89">
        <f t="shared" si="37"/>
        <v>0</v>
      </c>
      <c r="V57" s="90">
        <f t="shared" si="38"/>
        <v>0</v>
      </c>
    </row>
    <row r="58" spans="1:22" x14ac:dyDescent="0.25">
      <c r="A58" s="232"/>
      <c r="B58" s="166">
        <v>6</v>
      </c>
      <c r="C58" s="113" t="s">
        <v>97</v>
      </c>
      <c r="D58" s="135" t="s">
        <v>104</v>
      </c>
      <c r="E58" s="113" t="s">
        <v>36</v>
      </c>
      <c r="F58" s="75"/>
      <c r="G58" s="41"/>
      <c r="H58" s="127">
        <f>H20+(H20*Escalation!$D$2)</f>
        <v>30.04128</v>
      </c>
      <c r="I58" s="5">
        <f>I20+(I20*Escalation!$D$2)</f>
        <v>0</v>
      </c>
      <c r="J58" s="5">
        <f>J20+(J20*Escalation!$D$2)</f>
        <v>0</v>
      </c>
      <c r="K58" s="114"/>
      <c r="L58" s="2">
        <f t="shared" si="39"/>
        <v>0</v>
      </c>
      <c r="M58" s="2">
        <f t="shared" si="40"/>
        <v>0</v>
      </c>
      <c r="N58" s="2">
        <f t="shared" si="41"/>
        <v>0</v>
      </c>
      <c r="O58" s="2">
        <f t="shared" si="42"/>
        <v>0</v>
      </c>
      <c r="P58" s="2">
        <f t="shared" si="43"/>
        <v>0</v>
      </c>
      <c r="Q58" s="5">
        <f t="shared" si="33"/>
        <v>0</v>
      </c>
      <c r="R58" s="5">
        <f t="shared" si="34"/>
        <v>0</v>
      </c>
      <c r="S58" s="5">
        <f t="shared" si="35"/>
        <v>0</v>
      </c>
      <c r="T58" s="89">
        <f t="shared" si="36"/>
        <v>0</v>
      </c>
      <c r="U58" s="89">
        <f t="shared" si="37"/>
        <v>0</v>
      </c>
      <c r="V58" s="90">
        <f t="shared" si="38"/>
        <v>0</v>
      </c>
    </row>
    <row r="59" spans="1:22" ht="15.75" thickBot="1" x14ac:dyDescent="0.3">
      <c r="A59" s="233"/>
      <c r="B59" s="167">
        <v>8</v>
      </c>
      <c r="C59" s="115" t="s">
        <v>42</v>
      </c>
      <c r="D59" s="115" t="s">
        <v>110</v>
      </c>
      <c r="E59" s="115" t="s">
        <v>36</v>
      </c>
      <c r="F59" s="76"/>
      <c r="G59" s="41"/>
      <c r="H59" s="128">
        <f>H21+(H21*Escalation!$D$2)</f>
        <v>25.157519999999998</v>
      </c>
      <c r="I59" s="38">
        <f>I21+(I21*Escalation!$D$2)</f>
        <v>0</v>
      </c>
      <c r="J59" s="38">
        <f>J21+(J21*Escalation!$D$2)</f>
        <v>0</v>
      </c>
      <c r="K59" s="116"/>
      <c r="L59" s="39">
        <f t="shared" si="39"/>
        <v>0</v>
      </c>
      <c r="M59" s="39">
        <f t="shared" si="40"/>
        <v>0</v>
      </c>
      <c r="N59" s="39">
        <f t="shared" si="41"/>
        <v>0</v>
      </c>
      <c r="O59" s="39">
        <f t="shared" si="42"/>
        <v>0</v>
      </c>
      <c r="P59" s="39">
        <f t="shared" si="43"/>
        <v>0</v>
      </c>
      <c r="Q59" s="38">
        <f t="shared" si="33"/>
        <v>0</v>
      </c>
      <c r="R59" s="38">
        <f t="shared" si="34"/>
        <v>0</v>
      </c>
      <c r="S59" s="38">
        <f t="shared" si="35"/>
        <v>0</v>
      </c>
      <c r="T59" s="91">
        <f t="shared" si="36"/>
        <v>0</v>
      </c>
      <c r="U59" s="91">
        <f t="shared" si="37"/>
        <v>0</v>
      </c>
      <c r="V59" s="92">
        <f t="shared" si="38"/>
        <v>0</v>
      </c>
    </row>
    <row r="60" spans="1:22" s="42" customFormat="1" ht="18" thickBot="1" x14ac:dyDescent="0.35">
      <c r="A60" s="152" t="s">
        <v>46</v>
      </c>
      <c r="B60" s="142"/>
      <c r="C60" s="142"/>
      <c r="D60" s="142"/>
      <c r="E60" s="142"/>
      <c r="F60" s="143"/>
      <c r="G60" s="41"/>
      <c r="H60" s="141"/>
      <c r="I60" s="141"/>
      <c r="J60" s="141"/>
      <c r="K60" s="141"/>
      <c r="L60" s="141"/>
      <c r="M60" s="141"/>
      <c r="N60" s="141"/>
      <c r="O60" s="141"/>
      <c r="P60" s="141"/>
      <c r="Q60" s="141"/>
      <c r="R60" s="141"/>
      <c r="S60" s="141"/>
      <c r="T60" s="144"/>
      <c r="U60" s="144"/>
      <c r="V60" s="145"/>
    </row>
    <row r="61" spans="1:22" ht="15.75" thickBot="1" x14ac:dyDescent="0.3">
      <c r="A61" s="184" t="s">
        <v>39</v>
      </c>
      <c r="B61" s="164">
        <v>11</v>
      </c>
      <c r="C61" s="109" t="s">
        <v>98</v>
      </c>
      <c r="D61" s="109" t="s">
        <v>105</v>
      </c>
      <c r="E61" s="109" t="s">
        <v>46</v>
      </c>
      <c r="F61" s="73"/>
      <c r="G61" s="41"/>
      <c r="H61" s="149">
        <f>H23+(H23*Escalation!$D$2)</f>
        <v>36.761579999999995</v>
      </c>
      <c r="I61" s="132">
        <f>I23+(I23*Escalation!$D$2)</f>
        <v>0</v>
      </c>
      <c r="J61" s="50">
        <f>J23+(J23*Escalation!$D$2)</f>
        <v>0</v>
      </c>
      <c r="K61" s="51">
        <f>(J61*$K$4)</f>
        <v>0</v>
      </c>
      <c r="L61" s="51">
        <f>(J61+K61)*$L$4</f>
        <v>0</v>
      </c>
      <c r="M61" s="51">
        <f>(J61+K61+L61)*$M$4</f>
        <v>0</v>
      </c>
      <c r="N61" s="51">
        <f>(J61+K61+L61)*$N$4</f>
        <v>0</v>
      </c>
      <c r="O61" s="51">
        <f>(J61+K61+L61+M61+N61)*$O$4</f>
        <v>0</v>
      </c>
      <c r="P61" s="51">
        <f>(J61+L61+M61+N61+O61)*$P$4</f>
        <v>0</v>
      </c>
      <c r="Q61" s="50">
        <f t="shared" ref="Q61:Q76" si="44">SUM(J61:P61)</f>
        <v>0</v>
      </c>
      <c r="R61" s="50">
        <f t="shared" ref="R61:R76" si="45">IF($R$4&lt;0,"N/A",(Q61-P61)*$R$4)</f>
        <v>0</v>
      </c>
      <c r="S61" s="50">
        <f t="shared" ref="S61:S76" si="46">SUM(Q61:R61)</f>
        <v>0</v>
      </c>
      <c r="T61" s="85">
        <f t="shared" ref="T61:T76" si="47">Q61*F61</f>
        <v>0</v>
      </c>
      <c r="U61" s="85">
        <f t="shared" ref="U61:U76" si="48">R61*F61</f>
        <v>0</v>
      </c>
      <c r="V61" s="86">
        <f t="shared" ref="V61:V76" si="49">S61*F61</f>
        <v>0</v>
      </c>
    </row>
    <row r="62" spans="1:22" ht="15.75" thickBot="1" x14ac:dyDescent="0.3">
      <c r="A62" s="185"/>
      <c r="B62" s="171">
        <v>12</v>
      </c>
      <c r="C62" s="172" t="s">
        <v>113</v>
      </c>
      <c r="D62" s="172" t="s">
        <v>108</v>
      </c>
      <c r="E62" s="172" t="s">
        <v>46</v>
      </c>
      <c r="F62" s="173"/>
      <c r="G62" s="41"/>
      <c r="H62" s="174"/>
      <c r="I62" s="175"/>
      <c r="J62" s="176"/>
      <c r="K62" s="177"/>
      <c r="L62" s="177"/>
      <c r="M62" s="177"/>
      <c r="N62" s="177"/>
      <c r="O62" s="177"/>
      <c r="P62" s="177"/>
      <c r="Q62" s="176"/>
      <c r="R62" s="176"/>
      <c r="S62" s="176"/>
      <c r="T62" s="178"/>
      <c r="U62" s="178"/>
      <c r="V62" s="179"/>
    </row>
    <row r="63" spans="1:22" x14ac:dyDescent="0.25">
      <c r="A63" s="236" t="s">
        <v>93</v>
      </c>
      <c r="B63" s="165">
        <v>13</v>
      </c>
      <c r="C63" s="111" t="s">
        <v>41</v>
      </c>
      <c r="D63" s="111" t="s">
        <v>106</v>
      </c>
      <c r="E63" s="111" t="s">
        <v>46</v>
      </c>
      <c r="F63" s="70"/>
      <c r="G63" s="41"/>
      <c r="H63" s="153">
        <f>H25+(H25*Escalation!$D$2)</f>
        <v>33.137748000000002</v>
      </c>
      <c r="I63" s="122">
        <f>I25+(I25*Escalation!$D$2)</f>
        <v>0</v>
      </c>
      <c r="J63" s="25">
        <f>J25+(J25*Escalation!$D$2)</f>
        <v>0</v>
      </c>
      <c r="K63" s="26">
        <f t="shared" ref="K63:K76" si="50">(J63*$K$4)</f>
        <v>0</v>
      </c>
      <c r="L63" s="26">
        <f t="shared" ref="L63:L76" si="51">(J63+K63)*$L$4</f>
        <v>0</v>
      </c>
      <c r="M63" s="26">
        <f t="shared" ref="M63:M76" si="52">(J63+K63+L63)*$M$4</f>
        <v>0</v>
      </c>
      <c r="N63" s="26">
        <f t="shared" ref="N63:N76" si="53">(J63+K63+L63)*$N$4</f>
        <v>0</v>
      </c>
      <c r="O63" s="26">
        <f t="shared" ref="O63:O76" si="54">(J63+K63+L63+M63+N63)*$O$4</f>
        <v>0</v>
      </c>
      <c r="P63" s="26">
        <f t="shared" ref="P63:P76" si="55">(J63+L63+M63+N63+O63)*$P$4</f>
        <v>0</v>
      </c>
      <c r="Q63" s="25">
        <f t="shared" si="44"/>
        <v>0</v>
      </c>
      <c r="R63" s="25">
        <f t="shared" si="45"/>
        <v>0</v>
      </c>
      <c r="S63" s="25">
        <f t="shared" si="46"/>
        <v>0</v>
      </c>
      <c r="T63" s="87">
        <f t="shared" si="47"/>
        <v>0</v>
      </c>
      <c r="U63" s="87">
        <f t="shared" si="48"/>
        <v>0</v>
      </c>
      <c r="V63" s="88">
        <f t="shared" si="49"/>
        <v>0</v>
      </c>
    </row>
    <row r="64" spans="1:22" x14ac:dyDescent="0.25">
      <c r="A64" s="237"/>
      <c r="B64" s="166">
        <v>14</v>
      </c>
      <c r="C64" s="113" t="s">
        <v>44</v>
      </c>
      <c r="D64" s="113" t="s">
        <v>107</v>
      </c>
      <c r="E64" s="113" t="s">
        <v>46</v>
      </c>
      <c r="F64" s="71"/>
      <c r="G64" s="41"/>
      <c r="H64" s="154">
        <f>H26+(H26*Escalation!$D$2)</f>
        <v>29.927394000000003</v>
      </c>
      <c r="I64" s="117">
        <f>I26+(I26*Escalation!$D$2)</f>
        <v>0</v>
      </c>
      <c r="J64" s="5">
        <f>J26+(J26*Escalation!$D$2)</f>
        <v>0</v>
      </c>
      <c r="K64" s="2">
        <f t="shared" si="50"/>
        <v>0</v>
      </c>
      <c r="L64" s="2">
        <f t="shared" si="51"/>
        <v>0</v>
      </c>
      <c r="M64" s="2">
        <f t="shared" si="52"/>
        <v>0</v>
      </c>
      <c r="N64" s="2">
        <f t="shared" si="53"/>
        <v>0</v>
      </c>
      <c r="O64" s="2">
        <f t="shared" si="54"/>
        <v>0</v>
      </c>
      <c r="P64" s="2">
        <f t="shared" si="55"/>
        <v>0</v>
      </c>
      <c r="Q64" s="5">
        <f t="shared" si="44"/>
        <v>0</v>
      </c>
      <c r="R64" s="5">
        <f t="shared" si="45"/>
        <v>0</v>
      </c>
      <c r="S64" s="5">
        <f t="shared" si="46"/>
        <v>0</v>
      </c>
      <c r="T64" s="89">
        <f t="shared" si="47"/>
        <v>0</v>
      </c>
      <c r="U64" s="89">
        <f t="shared" si="48"/>
        <v>0</v>
      </c>
      <c r="V64" s="90">
        <f t="shared" si="49"/>
        <v>0</v>
      </c>
    </row>
    <row r="65" spans="1:22" x14ac:dyDescent="0.25">
      <c r="A65" s="237"/>
      <c r="B65" s="166">
        <v>15</v>
      </c>
      <c r="C65" s="113" t="s">
        <v>97</v>
      </c>
      <c r="D65" s="113" t="s">
        <v>108</v>
      </c>
      <c r="E65" s="113" t="s">
        <v>46</v>
      </c>
      <c r="F65" s="71"/>
      <c r="G65" s="41"/>
      <c r="H65" s="154">
        <f>H27+(H27*Escalation!$D$2)</f>
        <v>31.543344000000005</v>
      </c>
      <c r="I65" s="117">
        <f>I27+(I27*Escalation!$D$2)</f>
        <v>0</v>
      </c>
      <c r="J65" s="5">
        <f>J27+(J27*Escalation!$D$2)</f>
        <v>0</v>
      </c>
      <c r="K65" s="2">
        <f t="shared" si="50"/>
        <v>0</v>
      </c>
      <c r="L65" s="2">
        <f t="shared" si="51"/>
        <v>0</v>
      </c>
      <c r="M65" s="2">
        <f t="shared" si="52"/>
        <v>0</v>
      </c>
      <c r="N65" s="2">
        <f t="shared" si="53"/>
        <v>0</v>
      </c>
      <c r="O65" s="2">
        <f t="shared" si="54"/>
        <v>0</v>
      </c>
      <c r="P65" s="2">
        <f t="shared" si="55"/>
        <v>0</v>
      </c>
      <c r="Q65" s="5">
        <f t="shared" si="44"/>
        <v>0</v>
      </c>
      <c r="R65" s="5">
        <f t="shared" si="45"/>
        <v>0</v>
      </c>
      <c r="S65" s="5">
        <f t="shared" si="46"/>
        <v>0</v>
      </c>
      <c r="T65" s="89">
        <f t="shared" si="47"/>
        <v>0</v>
      </c>
      <c r="U65" s="89">
        <f t="shared" si="48"/>
        <v>0</v>
      </c>
      <c r="V65" s="90">
        <f t="shared" si="49"/>
        <v>0</v>
      </c>
    </row>
    <row r="66" spans="1:22" x14ac:dyDescent="0.25">
      <c r="A66" s="237"/>
      <c r="B66" s="166">
        <v>16</v>
      </c>
      <c r="C66" s="113" t="s">
        <v>45</v>
      </c>
      <c r="D66" s="113" t="s">
        <v>109</v>
      </c>
      <c r="E66" s="113" t="s">
        <v>46</v>
      </c>
      <c r="F66" s="71"/>
      <c r="G66" s="41"/>
      <c r="H66" s="154">
        <f>H28+(H28*Escalation!$D$2)</f>
        <v>38.459610000000005</v>
      </c>
      <c r="I66" s="117">
        <f>I28+(I28*Escalation!$D$2)</f>
        <v>0</v>
      </c>
      <c r="J66" s="5">
        <f>J28+(J28*Escalation!$D$2)</f>
        <v>0</v>
      </c>
      <c r="K66" s="2">
        <f t="shared" si="50"/>
        <v>0</v>
      </c>
      <c r="L66" s="2">
        <f t="shared" si="51"/>
        <v>0</v>
      </c>
      <c r="M66" s="2">
        <f t="shared" si="52"/>
        <v>0</v>
      </c>
      <c r="N66" s="2">
        <f t="shared" si="53"/>
        <v>0</v>
      </c>
      <c r="O66" s="2">
        <f t="shared" si="54"/>
        <v>0</v>
      </c>
      <c r="P66" s="2">
        <f t="shared" si="55"/>
        <v>0</v>
      </c>
      <c r="Q66" s="5">
        <f t="shared" si="44"/>
        <v>0</v>
      </c>
      <c r="R66" s="5">
        <f t="shared" si="45"/>
        <v>0</v>
      </c>
      <c r="S66" s="5">
        <f t="shared" si="46"/>
        <v>0</v>
      </c>
      <c r="T66" s="89">
        <f t="shared" si="47"/>
        <v>0</v>
      </c>
      <c r="U66" s="89">
        <f t="shared" si="48"/>
        <v>0</v>
      </c>
      <c r="V66" s="90">
        <f t="shared" si="49"/>
        <v>0</v>
      </c>
    </row>
    <row r="67" spans="1:22" ht="15.75" thickBot="1" x14ac:dyDescent="0.3">
      <c r="A67" s="238"/>
      <c r="B67" s="167">
        <v>17</v>
      </c>
      <c r="C67" s="115" t="s">
        <v>42</v>
      </c>
      <c r="D67" s="115" t="s">
        <v>110</v>
      </c>
      <c r="E67" s="115" t="s">
        <v>46</v>
      </c>
      <c r="F67" s="72"/>
      <c r="G67" s="41"/>
      <c r="H67" s="155">
        <f>H29+(H29*Escalation!$D$2)</f>
        <v>26.415396000000001</v>
      </c>
      <c r="I67" s="123">
        <f>I29+(I29*Escalation!$D$2)</f>
        <v>0</v>
      </c>
      <c r="J67" s="38">
        <f>J29+(J29*Escalation!$D$2)</f>
        <v>0</v>
      </c>
      <c r="K67" s="39">
        <f t="shared" si="50"/>
        <v>0</v>
      </c>
      <c r="L67" s="39">
        <f t="shared" si="51"/>
        <v>0</v>
      </c>
      <c r="M67" s="39">
        <f t="shared" si="52"/>
        <v>0</v>
      </c>
      <c r="N67" s="39">
        <f t="shared" si="53"/>
        <v>0</v>
      </c>
      <c r="O67" s="39">
        <f t="shared" si="54"/>
        <v>0</v>
      </c>
      <c r="P67" s="39">
        <f t="shared" si="55"/>
        <v>0</v>
      </c>
      <c r="Q67" s="38">
        <f t="shared" si="44"/>
        <v>0</v>
      </c>
      <c r="R67" s="38">
        <f t="shared" si="45"/>
        <v>0</v>
      </c>
      <c r="S67" s="38">
        <f t="shared" si="46"/>
        <v>0</v>
      </c>
      <c r="T67" s="91">
        <f t="shared" si="47"/>
        <v>0</v>
      </c>
      <c r="U67" s="91">
        <f t="shared" si="48"/>
        <v>0</v>
      </c>
      <c r="V67" s="92">
        <f t="shared" si="49"/>
        <v>0</v>
      </c>
    </row>
    <row r="68" spans="1:22" ht="30.75" thickBot="1" x14ac:dyDescent="0.3">
      <c r="A68" s="168" t="s">
        <v>94</v>
      </c>
      <c r="B68" s="164">
        <v>18</v>
      </c>
      <c r="C68" s="109" t="s">
        <v>99</v>
      </c>
      <c r="D68" s="109" t="s">
        <v>111</v>
      </c>
      <c r="E68" s="109" t="s">
        <v>46</v>
      </c>
      <c r="F68" s="73"/>
      <c r="G68" s="41"/>
      <c r="H68" s="149">
        <f>H30+(H30*Escalation!$D$2)</f>
        <v>27.891297000000005</v>
      </c>
      <c r="I68" s="132">
        <f>I30+(I30*Escalation!$D$2)</f>
        <v>0</v>
      </c>
      <c r="J68" s="50">
        <f>J30+(J30*Escalation!$D$2)</f>
        <v>0</v>
      </c>
      <c r="K68" s="51">
        <f t="shared" si="50"/>
        <v>0</v>
      </c>
      <c r="L68" s="51">
        <f t="shared" si="51"/>
        <v>0</v>
      </c>
      <c r="M68" s="51">
        <f t="shared" si="52"/>
        <v>0</v>
      </c>
      <c r="N68" s="51">
        <f t="shared" si="53"/>
        <v>0</v>
      </c>
      <c r="O68" s="51">
        <f t="shared" si="54"/>
        <v>0</v>
      </c>
      <c r="P68" s="51">
        <f t="shared" si="55"/>
        <v>0</v>
      </c>
      <c r="Q68" s="50">
        <f t="shared" si="44"/>
        <v>0</v>
      </c>
      <c r="R68" s="50">
        <f t="shared" si="45"/>
        <v>0</v>
      </c>
      <c r="S68" s="50">
        <f t="shared" si="46"/>
        <v>0</v>
      </c>
      <c r="T68" s="85">
        <f t="shared" si="47"/>
        <v>0</v>
      </c>
      <c r="U68" s="85">
        <f t="shared" si="48"/>
        <v>0</v>
      </c>
      <c r="V68" s="86">
        <f t="shared" si="49"/>
        <v>0</v>
      </c>
    </row>
    <row r="69" spans="1:22" ht="15" customHeight="1" x14ac:dyDescent="0.25">
      <c r="A69" s="231" t="s">
        <v>95</v>
      </c>
      <c r="B69" s="165">
        <v>13</v>
      </c>
      <c r="C69" s="111" t="s">
        <v>41</v>
      </c>
      <c r="D69" s="111" t="s">
        <v>106</v>
      </c>
      <c r="E69" s="111" t="s">
        <v>46</v>
      </c>
      <c r="F69" s="70"/>
      <c r="G69" s="41"/>
      <c r="H69" s="153">
        <f>H31+(H31*Escalation!$D$2)</f>
        <v>33.137748000000002</v>
      </c>
      <c r="I69" s="122">
        <f>I31+(I31*Escalation!$D$2)</f>
        <v>0</v>
      </c>
      <c r="J69" s="25">
        <f>J31+(J31*Escalation!$D$2)</f>
        <v>0</v>
      </c>
      <c r="K69" s="26">
        <f t="shared" si="50"/>
        <v>0</v>
      </c>
      <c r="L69" s="26">
        <f t="shared" si="51"/>
        <v>0</v>
      </c>
      <c r="M69" s="26">
        <f t="shared" si="52"/>
        <v>0</v>
      </c>
      <c r="N69" s="26">
        <f t="shared" si="53"/>
        <v>0</v>
      </c>
      <c r="O69" s="26">
        <f t="shared" si="54"/>
        <v>0</v>
      </c>
      <c r="P69" s="26">
        <f t="shared" si="55"/>
        <v>0</v>
      </c>
      <c r="Q69" s="25">
        <f t="shared" si="44"/>
        <v>0</v>
      </c>
      <c r="R69" s="25">
        <f t="shared" si="45"/>
        <v>0</v>
      </c>
      <c r="S69" s="25">
        <f t="shared" si="46"/>
        <v>0</v>
      </c>
      <c r="T69" s="87">
        <f t="shared" si="47"/>
        <v>0</v>
      </c>
      <c r="U69" s="87">
        <f t="shared" si="48"/>
        <v>0</v>
      </c>
      <c r="V69" s="88">
        <f t="shared" si="49"/>
        <v>0</v>
      </c>
    </row>
    <row r="70" spans="1:22" x14ac:dyDescent="0.25">
      <c r="A70" s="232"/>
      <c r="B70" s="166">
        <v>14</v>
      </c>
      <c r="C70" s="113" t="s">
        <v>44</v>
      </c>
      <c r="D70" s="113" t="s">
        <v>107</v>
      </c>
      <c r="E70" s="113" t="s">
        <v>46</v>
      </c>
      <c r="F70" s="71"/>
      <c r="G70" s="41"/>
      <c r="H70" s="154">
        <f>H32+(H32*Escalation!$D$2)</f>
        <v>29.927394000000003</v>
      </c>
      <c r="I70" s="117">
        <f>I32+(I32*Escalation!$D$2)</f>
        <v>0</v>
      </c>
      <c r="J70" s="5">
        <f>J32+(J32*Escalation!$D$2)</f>
        <v>0</v>
      </c>
      <c r="K70" s="2">
        <f t="shared" si="50"/>
        <v>0</v>
      </c>
      <c r="L70" s="2">
        <f t="shared" si="51"/>
        <v>0</v>
      </c>
      <c r="M70" s="2">
        <f t="shared" si="52"/>
        <v>0</v>
      </c>
      <c r="N70" s="2">
        <f t="shared" si="53"/>
        <v>0</v>
      </c>
      <c r="O70" s="2">
        <f t="shared" si="54"/>
        <v>0</v>
      </c>
      <c r="P70" s="2">
        <f t="shared" si="55"/>
        <v>0</v>
      </c>
      <c r="Q70" s="5">
        <f t="shared" si="44"/>
        <v>0</v>
      </c>
      <c r="R70" s="5">
        <f t="shared" si="45"/>
        <v>0</v>
      </c>
      <c r="S70" s="5">
        <f t="shared" si="46"/>
        <v>0</v>
      </c>
      <c r="T70" s="89">
        <f t="shared" si="47"/>
        <v>0</v>
      </c>
      <c r="U70" s="89">
        <f t="shared" si="48"/>
        <v>0</v>
      </c>
      <c r="V70" s="90">
        <f t="shared" si="49"/>
        <v>0</v>
      </c>
    </row>
    <row r="71" spans="1:22" x14ac:dyDescent="0.25">
      <c r="A71" s="232"/>
      <c r="B71" s="166">
        <v>15</v>
      </c>
      <c r="C71" s="113" t="s">
        <v>97</v>
      </c>
      <c r="D71" s="113" t="s">
        <v>104</v>
      </c>
      <c r="E71" s="113" t="s">
        <v>46</v>
      </c>
      <c r="F71" s="71"/>
      <c r="G71" s="41"/>
      <c r="H71" s="154">
        <f>H33+(H33*Escalation!$D$2)</f>
        <v>31.543344000000005</v>
      </c>
      <c r="I71" s="117">
        <f>I33+(I33*Escalation!$D$2)</f>
        <v>0</v>
      </c>
      <c r="J71" s="5">
        <f>J33+(J33*Escalation!$D$2)</f>
        <v>0</v>
      </c>
      <c r="K71" s="2">
        <f t="shared" si="50"/>
        <v>0</v>
      </c>
      <c r="L71" s="2">
        <f t="shared" si="51"/>
        <v>0</v>
      </c>
      <c r="M71" s="2">
        <f t="shared" si="52"/>
        <v>0</v>
      </c>
      <c r="N71" s="2">
        <f t="shared" si="53"/>
        <v>0</v>
      </c>
      <c r="O71" s="2">
        <f t="shared" si="54"/>
        <v>0</v>
      </c>
      <c r="P71" s="2">
        <f t="shared" si="55"/>
        <v>0</v>
      </c>
      <c r="Q71" s="5">
        <f t="shared" si="44"/>
        <v>0</v>
      </c>
      <c r="R71" s="5">
        <f t="shared" si="45"/>
        <v>0</v>
      </c>
      <c r="S71" s="5">
        <f t="shared" si="46"/>
        <v>0</v>
      </c>
      <c r="T71" s="89">
        <f t="shared" si="47"/>
        <v>0</v>
      </c>
      <c r="U71" s="89">
        <f t="shared" si="48"/>
        <v>0</v>
      </c>
      <c r="V71" s="90">
        <f t="shared" si="49"/>
        <v>0</v>
      </c>
    </row>
    <row r="72" spans="1:22" ht="15" customHeight="1" thickBot="1" x14ac:dyDescent="0.3">
      <c r="A72" s="233"/>
      <c r="B72" s="167">
        <v>11</v>
      </c>
      <c r="C72" s="115" t="s">
        <v>40</v>
      </c>
      <c r="D72" s="115" t="s">
        <v>105</v>
      </c>
      <c r="E72" s="115" t="s">
        <v>46</v>
      </c>
      <c r="F72" s="72"/>
      <c r="G72" s="41"/>
      <c r="H72" s="155">
        <f>H34+(H34*Escalation!$D$2)</f>
        <v>33.137748000000002</v>
      </c>
      <c r="I72" s="38">
        <f>I34+(I34*Escalation!$D$2)</f>
        <v>0</v>
      </c>
      <c r="J72" s="38">
        <f>J34+(J34*Escalation!$D$2)</f>
        <v>0</v>
      </c>
      <c r="K72" s="39">
        <f t="shared" si="50"/>
        <v>0</v>
      </c>
      <c r="L72" s="39">
        <f t="shared" si="51"/>
        <v>0</v>
      </c>
      <c r="M72" s="39">
        <f t="shared" si="52"/>
        <v>0</v>
      </c>
      <c r="N72" s="39">
        <f t="shared" si="53"/>
        <v>0</v>
      </c>
      <c r="O72" s="39">
        <f t="shared" si="54"/>
        <v>0</v>
      </c>
      <c r="P72" s="39">
        <f t="shared" si="55"/>
        <v>0</v>
      </c>
      <c r="Q72" s="38">
        <f t="shared" si="44"/>
        <v>0</v>
      </c>
      <c r="R72" s="38">
        <f t="shared" si="45"/>
        <v>0</v>
      </c>
      <c r="S72" s="38">
        <f t="shared" si="46"/>
        <v>0</v>
      </c>
      <c r="T72" s="91">
        <f t="shared" si="47"/>
        <v>0</v>
      </c>
      <c r="U72" s="91">
        <f t="shared" si="48"/>
        <v>0</v>
      </c>
      <c r="V72" s="92">
        <f t="shared" si="49"/>
        <v>0</v>
      </c>
    </row>
    <row r="73" spans="1:22" x14ac:dyDescent="0.25">
      <c r="A73" s="231" t="s">
        <v>96</v>
      </c>
      <c r="B73" s="165">
        <v>11</v>
      </c>
      <c r="C73" s="111" t="s">
        <v>40</v>
      </c>
      <c r="D73" s="111" t="s">
        <v>105</v>
      </c>
      <c r="E73" s="111" t="s">
        <v>46</v>
      </c>
      <c r="F73" s="70"/>
      <c r="G73" s="41"/>
      <c r="H73" s="153">
        <f>H35+(H35*Escalation!$D$2)</f>
        <v>33.137748000000002</v>
      </c>
      <c r="I73" s="122">
        <f>I35+(I35*Escalation!$D$2)</f>
        <v>0</v>
      </c>
      <c r="J73" s="25">
        <f>J35+(J35*Escalation!$D$2)</f>
        <v>0</v>
      </c>
      <c r="K73" s="26">
        <f t="shared" si="50"/>
        <v>0</v>
      </c>
      <c r="L73" s="26">
        <f t="shared" si="51"/>
        <v>0</v>
      </c>
      <c r="M73" s="26">
        <f t="shared" si="52"/>
        <v>0</v>
      </c>
      <c r="N73" s="26">
        <f t="shared" si="53"/>
        <v>0</v>
      </c>
      <c r="O73" s="26">
        <f t="shared" si="54"/>
        <v>0</v>
      </c>
      <c r="P73" s="26">
        <f t="shared" si="55"/>
        <v>0</v>
      </c>
      <c r="Q73" s="25">
        <f t="shared" si="44"/>
        <v>0</v>
      </c>
      <c r="R73" s="25">
        <f t="shared" si="45"/>
        <v>0</v>
      </c>
      <c r="S73" s="25">
        <f t="shared" si="46"/>
        <v>0</v>
      </c>
      <c r="T73" s="87">
        <f t="shared" si="47"/>
        <v>0</v>
      </c>
      <c r="U73" s="87">
        <f t="shared" si="48"/>
        <v>0</v>
      </c>
      <c r="V73" s="88">
        <f t="shared" si="49"/>
        <v>0</v>
      </c>
    </row>
    <row r="74" spans="1:22" x14ac:dyDescent="0.25">
      <c r="A74" s="232"/>
      <c r="B74" s="166">
        <v>19</v>
      </c>
      <c r="C74" s="113" t="s">
        <v>101</v>
      </c>
      <c r="D74" s="113" t="s">
        <v>112</v>
      </c>
      <c r="E74" s="113" t="s">
        <v>46</v>
      </c>
      <c r="F74" s="71"/>
      <c r="G74" s="41"/>
      <c r="H74" s="154">
        <f>H36+(H36*Escalation!$D$2)</f>
        <v>33.137748000000002</v>
      </c>
      <c r="I74" s="117">
        <f>I36+(I36*Escalation!$D$2)</f>
        <v>0</v>
      </c>
      <c r="J74" s="5">
        <f>J36+(J36*Escalation!$D$2)</f>
        <v>0</v>
      </c>
      <c r="K74" s="2">
        <f t="shared" si="50"/>
        <v>0</v>
      </c>
      <c r="L74" s="2">
        <f t="shared" si="51"/>
        <v>0</v>
      </c>
      <c r="M74" s="2">
        <f t="shared" si="52"/>
        <v>0</v>
      </c>
      <c r="N74" s="2">
        <f t="shared" si="53"/>
        <v>0</v>
      </c>
      <c r="O74" s="2">
        <f t="shared" si="54"/>
        <v>0</v>
      </c>
      <c r="P74" s="2">
        <f t="shared" si="55"/>
        <v>0</v>
      </c>
      <c r="Q74" s="5">
        <f t="shared" si="44"/>
        <v>0</v>
      </c>
      <c r="R74" s="5">
        <f t="shared" si="45"/>
        <v>0</v>
      </c>
      <c r="S74" s="5">
        <f t="shared" si="46"/>
        <v>0</v>
      </c>
      <c r="T74" s="89">
        <f t="shared" si="47"/>
        <v>0</v>
      </c>
      <c r="U74" s="89">
        <f t="shared" si="48"/>
        <v>0</v>
      </c>
      <c r="V74" s="90">
        <f t="shared" si="49"/>
        <v>0</v>
      </c>
    </row>
    <row r="75" spans="1:22" x14ac:dyDescent="0.25">
      <c r="A75" s="232"/>
      <c r="B75" s="166">
        <v>15</v>
      </c>
      <c r="C75" s="113" t="s">
        <v>97</v>
      </c>
      <c r="D75" s="113" t="s">
        <v>104</v>
      </c>
      <c r="E75" s="113" t="s">
        <v>46</v>
      </c>
      <c r="F75" s="71"/>
      <c r="G75" s="41"/>
      <c r="H75" s="154">
        <f>H37+(H37*Escalation!$D$2)</f>
        <v>31.543344000000005</v>
      </c>
      <c r="I75" s="117">
        <f>I37+(I37*Escalation!$D$2)</f>
        <v>0</v>
      </c>
      <c r="J75" s="5">
        <f>J37+(J37*Escalation!$D$2)</f>
        <v>0</v>
      </c>
      <c r="K75" s="2">
        <f t="shared" si="50"/>
        <v>0</v>
      </c>
      <c r="L75" s="2">
        <f t="shared" si="51"/>
        <v>0</v>
      </c>
      <c r="M75" s="2">
        <f t="shared" si="52"/>
        <v>0</v>
      </c>
      <c r="N75" s="2">
        <f t="shared" si="53"/>
        <v>0</v>
      </c>
      <c r="O75" s="2">
        <f t="shared" si="54"/>
        <v>0</v>
      </c>
      <c r="P75" s="2">
        <f t="shared" si="55"/>
        <v>0</v>
      </c>
      <c r="Q75" s="5">
        <f t="shared" si="44"/>
        <v>0</v>
      </c>
      <c r="R75" s="5">
        <f t="shared" si="45"/>
        <v>0</v>
      </c>
      <c r="S75" s="5">
        <f t="shared" si="46"/>
        <v>0</v>
      </c>
      <c r="T75" s="89">
        <f t="shared" si="47"/>
        <v>0</v>
      </c>
      <c r="U75" s="89">
        <f t="shared" si="48"/>
        <v>0</v>
      </c>
      <c r="V75" s="90">
        <f t="shared" si="49"/>
        <v>0</v>
      </c>
    </row>
    <row r="76" spans="1:22" ht="15.75" thickBot="1" x14ac:dyDescent="0.3">
      <c r="A76" s="233"/>
      <c r="B76" s="167">
        <v>17</v>
      </c>
      <c r="C76" s="115" t="s">
        <v>42</v>
      </c>
      <c r="D76" s="115" t="s">
        <v>110</v>
      </c>
      <c r="E76" s="115" t="s">
        <v>46</v>
      </c>
      <c r="F76" s="72"/>
      <c r="G76" s="41"/>
      <c r="H76" s="155">
        <f>H38+(H38*Escalation!$D$2)</f>
        <v>26.415396000000001</v>
      </c>
      <c r="I76" s="123">
        <f>I38+(I38*Escalation!$D$2)</f>
        <v>0</v>
      </c>
      <c r="J76" s="38">
        <f>J38+(J38*Escalation!$D$2)</f>
        <v>0</v>
      </c>
      <c r="K76" s="39">
        <f t="shared" si="50"/>
        <v>0</v>
      </c>
      <c r="L76" s="39">
        <f t="shared" si="51"/>
        <v>0</v>
      </c>
      <c r="M76" s="39">
        <f t="shared" si="52"/>
        <v>0</v>
      </c>
      <c r="N76" s="39">
        <f t="shared" si="53"/>
        <v>0</v>
      </c>
      <c r="O76" s="39">
        <f t="shared" si="54"/>
        <v>0</v>
      </c>
      <c r="P76" s="39">
        <f t="shared" si="55"/>
        <v>0</v>
      </c>
      <c r="Q76" s="38">
        <f t="shared" si="44"/>
        <v>0</v>
      </c>
      <c r="R76" s="38">
        <f t="shared" si="45"/>
        <v>0</v>
      </c>
      <c r="S76" s="38">
        <f t="shared" si="46"/>
        <v>0</v>
      </c>
      <c r="T76" s="91">
        <f t="shared" si="47"/>
        <v>0</v>
      </c>
      <c r="U76" s="91">
        <f t="shared" si="48"/>
        <v>0</v>
      </c>
      <c r="V76" s="92">
        <f t="shared" si="49"/>
        <v>0</v>
      </c>
    </row>
    <row r="77" spans="1:22" ht="27" thickBot="1" x14ac:dyDescent="0.45">
      <c r="A77" s="239" t="s">
        <v>49</v>
      </c>
      <c r="B77" s="240"/>
      <c r="C77" s="240"/>
      <c r="D77" s="240"/>
      <c r="E77" s="240"/>
      <c r="F77" s="240"/>
      <c r="G77" s="240"/>
      <c r="H77" s="241"/>
      <c r="I77" s="241"/>
      <c r="J77" s="241"/>
      <c r="K77" s="241"/>
      <c r="L77" s="241"/>
      <c r="M77" s="241"/>
      <c r="N77" s="241"/>
      <c r="O77" s="241"/>
      <c r="P77" s="241"/>
      <c r="Q77" s="241"/>
      <c r="R77" s="241"/>
      <c r="S77" s="241"/>
      <c r="T77" s="241"/>
      <c r="U77" s="241"/>
      <c r="V77" s="242"/>
    </row>
    <row r="78" spans="1:22" ht="15.75" thickBot="1" x14ac:dyDescent="0.3">
      <c r="A78" s="234" t="s">
        <v>50</v>
      </c>
      <c r="B78" s="235"/>
      <c r="C78" s="235"/>
      <c r="D78" s="235"/>
      <c r="E78" s="235"/>
      <c r="F78" s="235"/>
      <c r="G78" s="78"/>
      <c r="H78" s="243" t="s">
        <v>81</v>
      </c>
      <c r="I78" s="243"/>
      <c r="J78" s="243"/>
      <c r="K78" s="243"/>
      <c r="L78" s="243"/>
      <c r="M78" s="243"/>
      <c r="N78" s="243"/>
      <c r="O78" s="243"/>
      <c r="P78" s="243"/>
      <c r="Q78" s="243"/>
      <c r="R78" s="243"/>
      <c r="S78" s="243"/>
      <c r="T78" s="243"/>
      <c r="U78" s="243"/>
      <c r="V78" s="244"/>
    </row>
    <row r="79" spans="1:22" s="46" customFormat="1" ht="45.95" customHeight="1" thickBot="1" x14ac:dyDescent="0.3">
      <c r="A79" s="47" t="s">
        <v>18</v>
      </c>
      <c r="B79" s="48" t="s">
        <v>19</v>
      </c>
      <c r="C79" s="49" t="s">
        <v>20</v>
      </c>
      <c r="D79" s="49" t="s">
        <v>21</v>
      </c>
      <c r="E79" s="49" t="s">
        <v>22</v>
      </c>
      <c r="F79" s="84" t="s">
        <v>72</v>
      </c>
      <c r="G79" s="79"/>
      <c r="H79" s="52" t="s">
        <v>24</v>
      </c>
      <c r="I79" s="53" t="s">
        <v>25</v>
      </c>
      <c r="J79" s="53" t="s">
        <v>26</v>
      </c>
      <c r="K79" s="53" t="s">
        <v>71</v>
      </c>
      <c r="L79" s="53" t="s">
        <v>27</v>
      </c>
      <c r="M79" s="124" t="s">
        <v>79</v>
      </c>
      <c r="N79" s="124" t="s">
        <v>80</v>
      </c>
      <c r="O79" s="124" t="s">
        <v>28</v>
      </c>
      <c r="P79" s="124" t="s">
        <v>29</v>
      </c>
      <c r="Q79" s="124" t="s">
        <v>30</v>
      </c>
      <c r="R79" s="124" t="s">
        <v>31</v>
      </c>
      <c r="S79" s="124" t="s">
        <v>32</v>
      </c>
      <c r="T79" s="44" t="s">
        <v>33</v>
      </c>
      <c r="U79" s="43" t="s">
        <v>34</v>
      </c>
      <c r="V79" s="45" t="s">
        <v>35</v>
      </c>
    </row>
    <row r="80" spans="1:22" s="33" customFormat="1" ht="30" customHeight="1" thickBot="1" x14ac:dyDescent="0.35">
      <c r="A80" s="100" t="s">
        <v>36</v>
      </c>
      <c r="B80" s="82"/>
      <c r="C80" s="82"/>
      <c r="D80" s="82"/>
      <c r="E80" s="82"/>
      <c r="F80" s="83"/>
      <c r="G80" s="80"/>
      <c r="H80" s="54"/>
      <c r="I80" s="32"/>
      <c r="J80" s="32"/>
      <c r="K80" s="29"/>
      <c r="L80" s="29"/>
      <c r="M80" s="29"/>
      <c r="N80" s="29"/>
      <c r="O80" s="29"/>
      <c r="P80" s="29"/>
      <c r="Q80" s="32"/>
      <c r="R80" s="29"/>
      <c r="S80" s="32"/>
      <c r="T80" s="32"/>
      <c r="U80" s="31"/>
      <c r="V80" s="30"/>
    </row>
    <row r="81" spans="1:22" ht="15.75" thickBot="1" x14ac:dyDescent="0.3">
      <c r="A81" s="163" t="s">
        <v>37</v>
      </c>
      <c r="B81" s="164">
        <v>1</v>
      </c>
      <c r="C81" s="109" t="s">
        <v>38</v>
      </c>
      <c r="D81" s="109" t="s">
        <v>114</v>
      </c>
      <c r="E81" s="109" t="s">
        <v>36</v>
      </c>
      <c r="F81" s="74"/>
      <c r="G81" s="41"/>
      <c r="H81" s="149">
        <f>H43+(H43*Escalation!$D$3)</f>
        <v>50.991625439999993</v>
      </c>
      <c r="I81" s="132">
        <f>I43+(I43*Escalation!$D$3)</f>
        <v>0</v>
      </c>
      <c r="J81" s="50">
        <f>J43+(J43*Escalation!$D$3)</f>
        <v>0</v>
      </c>
      <c r="K81" s="110"/>
      <c r="L81" s="51">
        <f>(J81*$L$4)</f>
        <v>0</v>
      </c>
      <c r="M81" s="51">
        <f>(L81+J81)*$M$4</f>
        <v>0</v>
      </c>
      <c r="N81" s="51">
        <f>(J81+L81)*$N$4</f>
        <v>0</v>
      </c>
      <c r="O81" s="51">
        <f>(L81+J81+M81+N81)*$O$4</f>
        <v>0</v>
      </c>
      <c r="P81" s="51">
        <f>(J81+L81+M81+N81+O81)*$P$4</f>
        <v>0</v>
      </c>
      <c r="Q81" s="50">
        <f t="shared" ref="Q81:Q97" si="56">SUM(J81:P81)</f>
        <v>0</v>
      </c>
      <c r="R81" s="50">
        <f t="shared" ref="R81:R97" si="57">IF($R$4&lt;0,"N/A",(Q81-P81)*$R$4)</f>
        <v>0</v>
      </c>
      <c r="S81" s="50">
        <f t="shared" ref="S81:S97" si="58">SUM(Q81:R81)</f>
        <v>0</v>
      </c>
      <c r="T81" s="85">
        <f t="shared" ref="T81:T97" si="59">Q81*F81</f>
        <v>0</v>
      </c>
      <c r="U81" s="85">
        <f t="shared" ref="U81:U97" si="60">R81*F81</f>
        <v>0</v>
      </c>
      <c r="V81" s="86">
        <f t="shared" ref="V81:V97" si="61">S81*F81</f>
        <v>0</v>
      </c>
    </row>
    <row r="82" spans="1:22" ht="15.75" thickBot="1" x14ac:dyDescent="0.3">
      <c r="A82" s="184" t="s">
        <v>39</v>
      </c>
      <c r="B82" s="164">
        <v>2</v>
      </c>
      <c r="C82" s="109" t="s">
        <v>40</v>
      </c>
      <c r="D82" s="109" t="s">
        <v>105</v>
      </c>
      <c r="E82" s="109" t="s">
        <v>36</v>
      </c>
      <c r="F82" s="74"/>
      <c r="G82" s="41"/>
      <c r="H82" s="125">
        <f>H44+(H44*Escalation!$D$3)</f>
        <v>37.717381079999996</v>
      </c>
      <c r="I82" s="132">
        <f>I44+(I44*Escalation!$D$3)</f>
        <v>0</v>
      </c>
      <c r="J82" s="50">
        <f>J44+(J44*Escalation!$D$3)</f>
        <v>0</v>
      </c>
      <c r="K82" s="110"/>
      <c r="L82" s="51">
        <f t="shared" ref="L82:L97" si="62">(J82*$L$4)</f>
        <v>0</v>
      </c>
      <c r="M82" s="51">
        <f t="shared" ref="M82:M97" si="63">(L82+J82)*$M$4</f>
        <v>0</v>
      </c>
      <c r="N82" s="51">
        <f t="shared" ref="N82:N97" si="64">(J82+L82)*$N$4</f>
        <v>0</v>
      </c>
      <c r="O82" s="51">
        <f t="shared" ref="O82:O97" si="65">(L82+J82+M82+N82)*$O$4</f>
        <v>0</v>
      </c>
      <c r="P82" s="51">
        <f t="shared" ref="P82:P97" si="66">(J82+L82+M82+N82+O82)*$P$4</f>
        <v>0</v>
      </c>
      <c r="Q82" s="50">
        <f t="shared" si="56"/>
        <v>0</v>
      </c>
      <c r="R82" s="50">
        <f t="shared" si="57"/>
        <v>0</v>
      </c>
      <c r="S82" s="50">
        <f t="shared" si="58"/>
        <v>0</v>
      </c>
      <c r="T82" s="85">
        <f t="shared" si="59"/>
        <v>0</v>
      </c>
      <c r="U82" s="85">
        <f t="shared" si="60"/>
        <v>0</v>
      </c>
      <c r="V82" s="86">
        <f t="shared" si="61"/>
        <v>0</v>
      </c>
    </row>
    <row r="83" spans="1:22" ht="15.75" thickBot="1" x14ac:dyDescent="0.3">
      <c r="A83" s="185"/>
      <c r="B83" s="171">
        <v>3</v>
      </c>
      <c r="C83" s="172" t="s">
        <v>113</v>
      </c>
      <c r="D83" s="172" t="s">
        <v>108</v>
      </c>
      <c r="E83" s="172" t="s">
        <v>36</v>
      </c>
      <c r="F83" s="180"/>
      <c r="G83" s="41"/>
      <c r="H83" s="181"/>
      <c r="I83" s="175"/>
      <c r="J83" s="176"/>
      <c r="K83" s="182"/>
      <c r="L83" s="177"/>
      <c r="M83" s="177"/>
      <c r="N83" s="177"/>
      <c r="O83" s="177"/>
      <c r="P83" s="177"/>
      <c r="Q83" s="176"/>
      <c r="R83" s="176"/>
      <c r="S83" s="176"/>
      <c r="T83" s="178"/>
      <c r="U83" s="178"/>
      <c r="V83" s="179"/>
    </row>
    <row r="84" spans="1:22" x14ac:dyDescent="0.25">
      <c r="A84" s="231" t="s">
        <v>93</v>
      </c>
      <c r="B84" s="165">
        <v>4</v>
      </c>
      <c r="C84" s="111" t="s">
        <v>41</v>
      </c>
      <c r="D84" s="111" t="s">
        <v>106</v>
      </c>
      <c r="E84" s="111" t="s">
        <v>36</v>
      </c>
      <c r="F84" s="77"/>
      <c r="G84" s="41"/>
      <c r="H84" s="126">
        <f>H46+(H46*Escalation!$D$3)</f>
        <v>32.38031376</v>
      </c>
      <c r="I84" s="122">
        <f>I46+(I46*Escalation!$D$3)</f>
        <v>0</v>
      </c>
      <c r="J84" s="25">
        <f>J46+(J46*Escalation!$D$3)</f>
        <v>0</v>
      </c>
      <c r="K84" s="112"/>
      <c r="L84" s="26">
        <f t="shared" si="62"/>
        <v>0</v>
      </c>
      <c r="M84" s="26">
        <f t="shared" si="63"/>
        <v>0</v>
      </c>
      <c r="N84" s="26">
        <f t="shared" si="64"/>
        <v>0</v>
      </c>
      <c r="O84" s="26">
        <f t="shared" si="65"/>
        <v>0</v>
      </c>
      <c r="P84" s="26">
        <f t="shared" si="66"/>
        <v>0</v>
      </c>
      <c r="Q84" s="25">
        <f t="shared" si="56"/>
        <v>0</v>
      </c>
      <c r="R84" s="25">
        <f t="shared" si="57"/>
        <v>0</v>
      </c>
      <c r="S84" s="25">
        <f t="shared" si="58"/>
        <v>0</v>
      </c>
      <c r="T84" s="87">
        <f t="shared" si="59"/>
        <v>0</v>
      </c>
      <c r="U84" s="87">
        <f t="shared" si="60"/>
        <v>0</v>
      </c>
      <c r="V84" s="88">
        <f t="shared" si="61"/>
        <v>0</v>
      </c>
    </row>
    <row r="85" spans="1:22" x14ac:dyDescent="0.25">
      <c r="A85" s="232"/>
      <c r="B85" s="166">
        <v>5</v>
      </c>
      <c r="C85" s="113" t="s">
        <v>44</v>
      </c>
      <c r="D85" s="113" t="s">
        <v>107</v>
      </c>
      <c r="E85" s="113" t="s">
        <v>36</v>
      </c>
      <c r="F85" s="75"/>
      <c r="G85" s="41"/>
      <c r="H85" s="127">
        <f>H47+(H47*Escalation!$D$3)</f>
        <v>29.243339280000001</v>
      </c>
      <c r="I85" s="5">
        <f>I47+(I47*Escalation!$D$3)</f>
        <v>0</v>
      </c>
      <c r="J85" s="5">
        <f>J47+(J47*Escalation!$D$3)</f>
        <v>0</v>
      </c>
      <c r="K85" s="114"/>
      <c r="L85" s="2">
        <f t="shared" si="62"/>
        <v>0</v>
      </c>
      <c r="M85" s="2">
        <f t="shared" si="63"/>
        <v>0</v>
      </c>
      <c r="N85" s="2">
        <f t="shared" si="64"/>
        <v>0</v>
      </c>
      <c r="O85" s="2">
        <f t="shared" si="65"/>
        <v>0</v>
      </c>
      <c r="P85" s="2">
        <f t="shared" si="66"/>
        <v>0</v>
      </c>
      <c r="Q85" s="5">
        <f t="shared" si="56"/>
        <v>0</v>
      </c>
      <c r="R85" s="5">
        <f t="shared" si="57"/>
        <v>0</v>
      </c>
      <c r="S85" s="5">
        <f t="shared" si="58"/>
        <v>0</v>
      </c>
      <c r="T85" s="89">
        <f t="shared" si="59"/>
        <v>0</v>
      </c>
      <c r="U85" s="89">
        <f t="shared" si="60"/>
        <v>0</v>
      </c>
      <c r="V85" s="90">
        <f t="shared" si="61"/>
        <v>0</v>
      </c>
    </row>
    <row r="86" spans="1:22" x14ac:dyDescent="0.25">
      <c r="A86" s="232"/>
      <c r="B86" s="166">
        <v>6</v>
      </c>
      <c r="C86" s="113" t="s">
        <v>97</v>
      </c>
      <c r="D86" s="113" t="s">
        <v>108</v>
      </c>
      <c r="E86" s="113" t="s">
        <v>36</v>
      </c>
      <c r="F86" s="75"/>
      <c r="G86" s="41"/>
      <c r="H86" s="127">
        <v>24.98</v>
      </c>
      <c r="I86" s="117">
        <f>I48+(I48*Escalation!$D$3)</f>
        <v>0</v>
      </c>
      <c r="J86" s="5">
        <f>J48+(J48*Escalation!$D$3)</f>
        <v>0</v>
      </c>
      <c r="K86" s="114"/>
      <c r="L86" s="2">
        <f t="shared" si="62"/>
        <v>0</v>
      </c>
      <c r="M86" s="2">
        <f t="shared" si="63"/>
        <v>0</v>
      </c>
      <c r="N86" s="2">
        <f t="shared" si="64"/>
        <v>0</v>
      </c>
      <c r="O86" s="2">
        <f t="shared" si="65"/>
        <v>0</v>
      </c>
      <c r="P86" s="2">
        <f t="shared" si="66"/>
        <v>0</v>
      </c>
      <c r="Q86" s="5">
        <f t="shared" si="56"/>
        <v>0</v>
      </c>
      <c r="R86" s="5">
        <f t="shared" si="57"/>
        <v>0</v>
      </c>
      <c r="S86" s="5">
        <f t="shared" si="58"/>
        <v>0</v>
      </c>
      <c r="T86" s="89">
        <f t="shared" si="59"/>
        <v>0</v>
      </c>
      <c r="U86" s="89">
        <f t="shared" si="60"/>
        <v>0</v>
      </c>
      <c r="V86" s="90">
        <f t="shared" si="61"/>
        <v>0</v>
      </c>
    </row>
    <row r="87" spans="1:22" x14ac:dyDescent="0.25">
      <c r="A87" s="232"/>
      <c r="B87" s="166">
        <v>7</v>
      </c>
      <c r="C87" s="113" t="s">
        <v>45</v>
      </c>
      <c r="D87" s="113" t="s">
        <v>109</v>
      </c>
      <c r="E87" s="113" t="s">
        <v>36</v>
      </c>
      <c r="F87" s="75"/>
      <c r="G87" s="41"/>
      <c r="H87" s="127">
        <f>H49+(H49*Escalation!$D$3)</f>
        <v>37.580533199999998</v>
      </c>
      <c r="I87" s="117">
        <f>I49+(I49*Escalation!$D$3)</f>
        <v>0</v>
      </c>
      <c r="J87" s="5">
        <f>J49+(J49*Escalation!$D$3)</f>
        <v>0</v>
      </c>
      <c r="K87" s="114"/>
      <c r="L87" s="2">
        <f t="shared" si="62"/>
        <v>0</v>
      </c>
      <c r="M87" s="2">
        <f t="shared" si="63"/>
        <v>0</v>
      </c>
      <c r="N87" s="2">
        <f t="shared" si="64"/>
        <v>0</v>
      </c>
      <c r="O87" s="2">
        <f t="shared" si="65"/>
        <v>0</v>
      </c>
      <c r="P87" s="2">
        <f t="shared" si="66"/>
        <v>0</v>
      </c>
      <c r="Q87" s="5">
        <f t="shared" si="56"/>
        <v>0</v>
      </c>
      <c r="R87" s="5">
        <f t="shared" si="57"/>
        <v>0</v>
      </c>
      <c r="S87" s="5">
        <f t="shared" si="58"/>
        <v>0</v>
      </c>
      <c r="T87" s="89">
        <f t="shared" si="59"/>
        <v>0</v>
      </c>
      <c r="U87" s="89">
        <f t="shared" si="60"/>
        <v>0</v>
      </c>
      <c r="V87" s="90">
        <f t="shared" si="61"/>
        <v>0</v>
      </c>
    </row>
    <row r="88" spans="1:22" ht="15.75" thickBot="1" x14ac:dyDescent="0.3">
      <c r="A88" s="233"/>
      <c r="B88" s="167">
        <v>8</v>
      </c>
      <c r="C88" s="115" t="s">
        <v>42</v>
      </c>
      <c r="D88" s="115" t="s">
        <v>110</v>
      </c>
      <c r="E88" s="115" t="s">
        <v>36</v>
      </c>
      <c r="F88" s="76"/>
      <c r="G88" s="41"/>
      <c r="H88" s="150">
        <f>H50+(H50*Escalation!$D$3)</f>
        <v>25.811615519999997</v>
      </c>
      <c r="I88" s="123">
        <f>I50+(I50*Escalation!$D$3)</f>
        <v>0</v>
      </c>
      <c r="J88" s="38">
        <f>J50+(J50*Escalation!$D$3)</f>
        <v>0</v>
      </c>
      <c r="K88" s="116"/>
      <c r="L88" s="39">
        <f t="shared" si="62"/>
        <v>0</v>
      </c>
      <c r="M88" s="39">
        <f t="shared" si="63"/>
        <v>0</v>
      </c>
      <c r="N88" s="39">
        <f t="shared" si="64"/>
        <v>0</v>
      </c>
      <c r="O88" s="39">
        <f t="shared" si="65"/>
        <v>0</v>
      </c>
      <c r="P88" s="39">
        <f t="shared" si="66"/>
        <v>0</v>
      </c>
      <c r="Q88" s="38">
        <f t="shared" si="56"/>
        <v>0</v>
      </c>
      <c r="R88" s="38">
        <f t="shared" si="57"/>
        <v>0</v>
      </c>
      <c r="S88" s="38">
        <f t="shared" si="58"/>
        <v>0</v>
      </c>
      <c r="T88" s="91">
        <f t="shared" si="59"/>
        <v>0</v>
      </c>
      <c r="U88" s="91">
        <f t="shared" si="60"/>
        <v>0</v>
      </c>
      <c r="V88" s="92">
        <f t="shared" si="61"/>
        <v>0</v>
      </c>
    </row>
    <row r="89" spans="1:22" ht="30.75" thickBot="1" x14ac:dyDescent="0.3">
      <c r="A89" s="168" t="s">
        <v>94</v>
      </c>
      <c r="B89" s="164">
        <v>9</v>
      </c>
      <c r="C89" s="109" t="s">
        <v>43</v>
      </c>
      <c r="D89" s="148" t="s">
        <v>111</v>
      </c>
      <c r="E89" s="109" t="s">
        <v>36</v>
      </c>
      <c r="F89" s="74"/>
      <c r="G89" s="41"/>
      <c r="H89" s="151">
        <f>H51+(H51*Escalation!$D$3)</f>
        <v>27.25378164</v>
      </c>
      <c r="I89" s="132">
        <f>I51+(I51*Escalation!$D$3)</f>
        <v>0</v>
      </c>
      <c r="J89" s="50">
        <f>J51+(J51*Escalation!$D$3)</f>
        <v>0</v>
      </c>
      <c r="K89" s="110"/>
      <c r="L89" s="51">
        <f t="shared" si="62"/>
        <v>0</v>
      </c>
      <c r="M89" s="51">
        <f t="shared" si="63"/>
        <v>0</v>
      </c>
      <c r="N89" s="51">
        <f t="shared" si="64"/>
        <v>0</v>
      </c>
      <c r="O89" s="51">
        <f t="shared" si="65"/>
        <v>0</v>
      </c>
      <c r="P89" s="51">
        <f t="shared" si="66"/>
        <v>0</v>
      </c>
      <c r="Q89" s="50">
        <f t="shared" si="56"/>
        <v>0</v>
      </c>
      <c r="R89" s="50">
        <f t="shared" si="57"/>
        <v>0</v>
      </c>
      <c r="S89" s="50">
        <f t="shared" si="58"/>
        <v>0</v>
      </c>
      <c r="T89" s="85">
        <f t="shared" si="59"/>
        <v>0</v>
      </c>
      <c r="U89" s="85">
        <f t="shared" si="60"/>
        <v>0</v>
      </c>
      <c r="V89" s="86">
        <f t="shared" si="61"/>
        <v>0</v>
      </c>
    </row>
    <row r="90" spans="1:22" x14ac:dyDescent="0.25">
      <c r="A90" s="231" t="s">
        <v>95</v>
      </c>
      <c r="B90" s="165">
        <v>4</v>
      </c>
      <c r="C90" s="111" t="s">
        <v>41</v>
      </c>
      <c r="D90" s="111" t="s">
        <v>106</v>
      </c>
      <c r="E90" s="111" t="s">
        <v>36</v>
      </c>
      <c r="F90" s="77"/>
      <c r="G90" s="41"/>
      <c r="H90" s="126">
        <f>H52+(H52*Escalation!$D$3)</f>
        <v>32.38031376</v>
      </c>
      <c r="I90" s="122">
        <f>I52+(I52*Escalation!$D$3)</f>
        <v>0</v>
      </c>
      <c r="J90" s="25">
        <f>J52+(J52*Escalation!$D$3)</f>
        <v>0</v>
      </c>
      <c r="K90" s="112"/>
      <c r="L90" s="26">
        <f t="shared" si="62"/>
        <v>0</v>
      </c>
      <c r="M90" s="26">
        <f t="shared" si="63"/>
        <v>0</v>
      </c>
      <c r="N90" s="26">
        <f t="shared" si="64"/>
        <v>0</v>
      </c>
      <c r="O90" s="26">
        <f t="shared" si="65"/>
        <v>0</v>
      </c>
      <c r="P90" s="26">
        <f t="shared" si="66"/>
        <v>0</v>
      </c>
      <c r="Q90" s="25">
        <f t="shared" si="56"/>
        <v>0</v>
      </c>
      <c r="R90" s="25">
        <f t="shared" si="57"/>
        <v>0</v>
      </c>
      <c r="S90" s="25">
        <f t="shared" si="58"/>
        <v>0</v>
      </c>
      <c r="T90" s="87">
        <f t="shared" si="59"/>
        <v>0</v>
      </c>
      <c r="U90" s="87">
        <f t="shared" si="60"/>
        <v>0</v>
      </c>
      <c r="V90" s="88">
        <f t="shared" si="61"/>
        <v>0</v>
      </c>
    </row>
    <row r="91" spans="1:22" x14ac:dyDescent="0.25">
      <c r="A91" s="232"/>
      <c r="B91" s="166">
        <v>5</v>
      </c>
      <c r="C91" s="113" t="s">
        <v>44</v>
      </c>
      <c r="D91" s="113" t="s">
        <v>107</v>
      </c>
      <c r="E91" s="113" t="s">
        <v>36</v>
      </c>
      <c r="F91" s="75"/>
      <c r="G91" s="41"/>
      <c r="H91" s="127">
        <f>H53+(H53*Escalation!$D$3)</f>
        <v>29.243339280000001</v>
      </c>
      <c r="I91" s="117">
        <f>I53+(I53*Escalation!$D$3)</f>
        <v>0</v>
      </c>
      <c r="J91" s="5">
        <f>J53+(J53*Escalation!$D$3)</f>
        <v>0</v>
      </c>
      <c r="K91" s="114"/>
      <c r="L91" s="2">
        <f t="shared" si="62"/>
        <v>0</v>
      </c>
      <c r="M91" s="2">
        <f t="shared" si="63"/>
        <v>0</v>
      </c>
      <c r="N91" s="2">
        <f t="shared" si="64"/>
        <v>0</v>
      </c>
      <c r="O91" s="2">
        <f t="shared" si="65"/>
        <v>0</v>
      </c>
      <c r="P91" s="2">
        <f t="shared" si="66"/>
        <v>0</v>
      </c>
      <c r="Q91" s="5">
        <f t="shared" si="56"/>
        <v>0</v>
      </c>
      <c r="R91" s="5">
        <f t="shared" si="57"/>
        <v>0</v>
      </c>
      <c r="S91" s="5">
        <f t="shared" si="58"/>
        <v>0</v>
      </c>
      <c r="T91" s="89">
        <f t="shared" si="59"/>
        <v>0</v>
      </c>
      <c r="U91" s="89">
        <f t="shared" si="60"/>
        <v>0</v>
      </c>
      <c r="V91" s="90">
        <f t="shared" si="61"/>
        <v>0</v>
      </c>
    </row>
    <row r="92" spans="1:22" x14ac:dyDescent="0.25">
      <c r="A92" s="232"/>
      <c r="B92" s="166">
        <v>6</v>
      </c>
      <c r="C92" s="113" t="s">
        <v>97</v>
      </c>
      <c r="D92" s="113" t="s">
        <v>108</v>
      </c>
      <c r="E92" s="113" t="s">
        <v>36</v>
      </c>
      <c r="F92" s="75"/>
      <c r="G92" s="41"/>
      <c r="H92" s="127">
        <v>24.98</v>
      </c>
      <c r="I92" s="117">
        <f>I54+(I54*Escalation!$D$3)</f>
        <v>0</v>
      </c>
      <c r="J92" s="5">
        <f>J54+(J54*Escalation!$D$3)</f>
        <v>0</v>
      </c>
      <c r="K92" s="114"/>
      <c r="L92" s="2">
        <f t="shared" si="62"/>
        <v>0</v>
      </c>
      <c r="M92" s="2">
        <f t="shared" si="63"/>
        <v>0</v>
      </c>
      <c r="N92" s="2">
        <f t="shared" si="64"/>
        <v>0</v>
      </c>
      <c r="O92" s="2">
        <f t="shared" si="65"/>
        <v>0</v>
      </c>
      <c r="P92" s="2">
        <f t="shared" si="66"/>
        <v>0</v>
      </c>
      <c r="Q92" s="5">
        <f t="shared" si="56"/>
        <v>0</v>
      </c>
      <c r="R92" s="5">
        <f t="shared" si="57"/>
        <v>0</v>
      </c>
      <c r="S92" s="5">
        <f t="shared" si="58"/>
        <v>0</v>
      </c>
      <c r="T92" s="89">
        <f t="shared" si="59"/>
        <v>0</v>
      </c>
      <c r="U92" s="89">
        <f t="shared" si="60"/>
        <v>0</v>
      </c>
      <c r="V92" s="90">
        <f t="shared" si="61"/>
        <v>0</v>
      </c>
    </row>
    <row r="93" spans="1:22" ht="15" customHeight="1" thickBot="1" x14ac:dyDescent="0.3">
      <c r="A93" s="233"/>
      <c r="B93" s="167">
        <v>2</v>
      </c>
      <c r="C93" s="115" t="s">
        <v>40</v>
      </c>
      <c r="D93" s="115" t="s">
        <v>105</v>
      </c>
      <c r="E93" s="115" t="s">
        <v>36</v>
      </c>
      <c r="F93" s="76"/>
      <c r="G93" s="41"/>
      <c r="H93" s="128">
        <f>H55+(H55*Escalation!$D$3)</f>
        <v>32.38031376</v>
      </c>
      <c r="I93" s="38">
        <f>I55+(I55*Escalation!$D$3)</f>
        <v>0</v>
      </c>
      <c r="J93" s="38">
        <f>J55+(J55*Escalation!$D$3)</f>
        <v>0</v>
      </c>
      <c r="K93" s="116"/>
      <c r="L93" s="39">
        <f t="shared" si="62"/>
        <v>0</v>
      </c>
      <c r="M93" s="39">
        <f t="shared" si="63"/>
        <v>0</v>
      </c>
      <c r="N93" s="39">
        <f t="shared" si="64"/>
        <v>0</v>
      </c>
      <c r="O93" s="39">
        <f t="shared" si="65"/>
        <v>0</v>
      </c>
      <c r="P93" s="39">
        <f t="shared" si="66"/>
        <v>0</v>
      </c>
      <c r="Q93" s="38">
        <f t="shared" si="56"/>
        <v>0</v>
      </c>
      <c r="R93" s="38">
        <f t="shared" si="57"/>
        <v>0</v>
      </c>
      <c r="S93" s="38">
        <f t="shared" si="58"/>
        <v>0</v>
      </c>
      <c r="T93" s="91">
        <f t="shared" si="59"/>
        <v>0</v>
      </c>
      <c r="U93" s="91">
        <f t="shared" si="60"/>
        <v>0</v>
      </c>
      <c r="V93" s="92">
        <f t="shared" si="61"/>
        <v>0</v>
      </c>
    </row>
    <row r="94" spans="1:22" ht="15" customHeight="1" x14ac:dyDescent="0.25">
      <c r="A94" s="231" t="s">
        <v>96</v>
      </c>
      <c r="B94" s="165">
        <v>2</v>
      </c>
      <c r="C94" s="111" t="s">
        <v>40</v>
      </c>
      <c r="D94" s="111" t="s">
        <v>105</v>
      </c>
      <c r="E94" s="111" t="s">
        <v>36</v>
      </c>
      <c r="F94" s="77"/>
      <c r="G94" s="41"/>
      <c r="H94" s="126">
        <f>H56+(H56*Escalation!$D$3)</f>
        <v>32.38031376</v>
      </c>
      <c r="I94" s="122">
        <f>I56+(I56*Escalation!$D$3)</f>
        <v>0</v>
      </c>
      <c r="J94" s="25">
        <f>J56+(J56*Escalation!$D$3)</f>
        <v>0</v>
      </c>
      <c r="K94" s="112"/>
      <c r="L94" s="26">
        <f t="shared" si="62"/>
        <v>0</v>
      </c>
      <c r="M94" s="26">
        <f t="shared" si="63"/>
        <v>0</v>
      </c>
      <c r="N94" s="26">
        <f t="shared" si="64"/>
        <v>0</v>
      </c>
      <c r="O94" s="26">
        <f t="shared" si="65"/>
        <v>0</v>
      </c>
      <c r="P94" s="26">
        <f t="shared" si="66"/>
        <v>0</v>
      </c>
      <c r="Q94" s="25">
        <f t="shared" si="56"/>
        <v>0</v>
      </c>
      <c r="R94" s="25">
        <f t="shared" si="57"/>
        <v>0</v>
      </c>
      <c r="S94" s="25">
        <f t="shared" si="58"/>
        <v>0</v>
      </c>
      <c r="T94" s="87">
        <f t="shared" si="59"/>
        <v>0</v>
      </c>
      <c r="U94" s="87">
        <f t="shared" si="60"/>
        <v>0</v>
      </c>
      <c r="V94" s="88">
        <f t="shared" si="61"/>
        <v>0</v>
      </c>
    </row>
    <row r="95" spans="1:22" x14ac:dyDescent="0.25">
      <c r="A95" s="232"/>
      <c r="B95" s="166">
        <v>10</v>
      </c>
      <c r="C95" s="113" t="s">
        <v>101</v>
      </c>
      <c r="D95" s="113" t="s">
        <v>112</v>
      </c>
      <c r="E95" s="113" t="s">
        <v>36</v>
      </c>
      <c r="F95" s="75"/>
      <c r="G95" s="41"/>
      <c r="H95" s="127">
        <f>H57+(H57*Escalation!$D$3)</f>
        <v>32.38031376</v>
      </c>
      <c r="I95" s="5">
        <f>I57+(I57*Escalation!$D$3)</f>
        <v>0</v>
      </c>
      <c r="J95" s="5">
        <f>J57+(J57*Escalation!$D$3)</f>
        <v>0</v>
      </c>
      <c r="K95" s="114"/>
      <c r="L95" s="2">
        <f t="shared" si="62"/>
        <v>0</v>
      </c>
      <c r="M95" s="2">
        <f t="shared" si="63"/>
        <v>0</v>
      </c>
      <c r="N95" s="2">
        <f t="shared" si="64"/>
        <v>0</v>
      </c>
      <c r="O95" s="2">
        <f t="shared" si="65"/>
        <v>0</v>
      </c>
      <c r="P95" s="2">
        <f t="shared" si="66"/>
        <v>0</v>
      </c>
      <c r="Q95" s="5">
        <f t="shared" si="56"/>
        <v>0</v>
      </c>
      <c r="R95" s="5">
        <f t="shared" si="57"/>
        <v>0</v>
      </c>
      <c r="S95" s="5">
        <f t="shared" si="58"/>
        <v>0</v>
      </c>
      <c r="T95" s="89">
        <f t="shared" si="59"/>
        <v>0</v>
      </c>
      <c r="U95" s="89">
        <f t="shared" si="60"/>
        <v>0</v>
      </c>
      <c r="V95" s="90">
        <f t="shared" si="61"/>
        <v>0</v>
      </c>
    </row>
    <row r="96" spans="1:22" x14ac:dyDescent="0.25">
      <c r="A96" s="232"/>
      <c r="B96" s="166">
        <v>6</v>
      </c>
      <c r="C96" s="113" t="s">
        <v>97</v>
      </c>
      <c r="D96" s="135" t="s">
        <v>104</v>
      </c>
      <c r="E96" s="113" t="s">
        <v>36</v>
      </c>
      <c r="F96" s="75"/>
      <c r="G96" s="41"/>
      <c r="H96" s="127">
        <f>H58+(H58*Escalation!$D$3)</f>
        <v>30.822353280000002</v>
      </c>
      <c r="I96" s="5">
        <f>I58+(I58*Escalation!$D$3)</f>
        <v>0</v>
      </c>
      <c r="J96" s="5">
        <f>J58+(J58*Escalation!$D$3)</f>
        <v>0</v>
      </c>
      <c r="K96" s="114"/>
      <c r="L96" s="2">
        <f t="shared" si="62"/>
        <v>0</v>
      </c>
      <c r="M96" s="2">
        <f t="shared" si="63"/>
        <v>0</v>
      </c>
      <c r="N96" s="2">
        <f t="shared" si="64"/>
        <v>0</v>
      </c>
      <c r="O96" s="2">
        <f t="shared" si="65"/>
        <v>0</v>
      </c>
      <c r="P96" s="2">
        <f t="shared" si="66"/>
        <v>0</v>
      </c>
      <c r="Q96" s="5">
        <f t="shared" si="56"/>
        <v>0</v>
      </c>
      <c r="R96" s="5">
        <f t="shared" si="57"/>
        <v>0</v>
      </c>
      <c r="S96" s="5">
        <f t="shared" si="58"/>
        <v>0</v>
      </c>
      <c r="T96" s="89">
        <f t="shared" si="59"/>
        <v>0</v>
      </c>
      <c r="U96" s="89">
        <f t="shared" si="60"/>
        <v>0</v>
      </c>
      <c r="V96" s="90">
        <f t="shared" si="61"/>
        <v>0</v>
      </c>
    </row>
    <row r="97" spans="1:22" ht="15.75" thickBot="1" x14ac:dyDescent="0.3">
      <c r="A97" s="233"/>
      <c r="B97" s="167">
        <v>8</v>
      </c>
      <c r="C97" s="115" t="s">
        <v>42</v>
      </c>
      <c r="D97" s="115" t="s">
        <v>110</v>
      </c>
      <c r="E97" s="115" t="s">
        <v>36</v>
      </c>
      <c r="F97" s="76"/>
      <c r="G97" s="41"/>
      <c r="H97" s="128">
        <f>H59+(H59*Escalation!$D$3)</f>
        <v>25.811615519999997</v>
      </c>
      <c r="I97" s="38">
        <f>I59+(I59*Escalation!$D$3)</f>
        <v>0</v>
      </c>
      <c r="J97" s="38">
        <f>J59+(J59*Escalation!$D$3)</f>
        <v>0</v>
      </c>
      <c r="K97" s="116"/>
      <c r="L97" s="39">
        <f t="shared" si="62"/>
        <v>0</v>
      </c>
      <c r="M97" s="39">
        <f t="shared" si="63"/>
        <v>0</v>
      </c>
      <c r="N97" s="39">
        <f t="shared" si="64"/>
        <v>0</v>
      </c>
      <c r="O97" s="39">
        <f t="shared" si="65"/>
        <v>0</v>
      </c>
      <c r="P97" s="39">
        <f t="shared" si="66"/>
        <v>0</v>
      </c>
      <c r="Q97" s="38">
        <f t="shared" si="56"/>
        <v>0</v>
      </c>
      <c r="R97" s="38">
        <f t="shared" si="57"/>
        <v>0</v>
      </c>
      <c r="S97" s="38">
        <f t="shared" si="58"/>
        <v>0</v>
      </c>
      <c r="T97" s="91">
        <f t="shared" si="59"/>
        <v>0</v>
      </c>
      <c r="U97" s="91">
        <f t="shared" si="60"/>
        <v>0</v>
      </c>
      <c r="V97" s="92">
        <f t="shared" si="61"/>
        <v>0</v>
      </c>
    </row>
    <row r="98" spans="1:22" s="42" customFormat="1" ht="18" thickBot="1" x14ac:dyDescent="0.35">
      <c r="A98" s="152" t="s">
        <v>46</v>
      </c>
      <c r="B98" s="142"/>
      <c r="C98" s="142"/>
      <c r="D98" s="142"/>
      <c r="E98" s="142"/>
      <c r="F98" s="143"/>
      <c r="G98" s="41"/>
      <c r="H98" s="141"/>
      <c r="I98" s="141"/>
      <c r="J98" s="141"/>
      <c r="K98" s="141"/>
      <c r="L98" s="141"/>
      <c r="M98" s="141"/>
      <c r="N98" s="141"/>
      <c r="O98" s="141"/>
      <c r="P98" s="141"/>
      <c r="Q98" s="141"/>
      <c r="R98" s="141"/>
      <c r="S98" s="141"/>
      <c r="T98" s="144"/>
      <c r="U98" s="144"/>
      <c r="V98" s="145"/>
    </row>
    <row r="99" spans="1:22" ht="15.75" thickBot="1" x14ac:dyDescent="0.3">
      <c r="A99" s="184" t="s">
        <v>39</v>
      </c>
      <c r="B99" s="164">
        <v>11</v>
      </c>
      <c r="C99" s="109" t="s">
        <v>40</v>
      </c>
      <c r="D99" s="109" t="s">
        <v>105</v>
      </c>
      <c r="E99" s="109" t="s">
        <v>46</v>
      </c>
      <c r="F99" s="73"/>
      <c r="G99" s="81"/>
      <c r="H99" s="149">
        <f>H61+(H61*Escalation!$D$3)</f>
        <v>37.717381079999996</v>
      </c>
      <c r="I99" s="132">
        <f>I61+(I61*Escalation!$D$3)</f>
        <v>0</v>
      </c>
      <c r="J99" s="50">
        <f>J61+(J61*Escalation!$D$3)</f>
        <v>0</v>
      </c>
      <c r="K99" s="51">
        <f>(J99*$K$4)</f>
        <v>0</v>
      </c>
      <c r="L99" s="51">
        <f>(J99+K99)*$L$4</f>
        <v>0</v>
      </c>
      <c r="M99" s="51">
        <f>(J99+K99+L99)*$M$4</f>
        <v>0</v>
      </c>
      <c r="N99" s="51">
        <f>(J99+K99+L99)*$N$4</f>
        <v>0</v>
      </c>
      <c r="O99" s="51">
        <f>(J99+K99+L99+M99+N99)*$O$4</f>
        <v>0</v>
      </c>
      <c r="P99" s="51">
        <f>(J99+L99+M99+N99+O99)*$P$4</f>
        <v>0</v>
      </c>
      <c r="Q99" s="50">
        <f t="shared" ref="Q99:Q114" si="67">SUM(J99:P99)</f>
        <v>0</v>
      </c>
      <c r="R99" s="50">
        <f t="shared" ref="R99:R114" si="68">IF($R$4&lt;0,"N/A",(Q99-P99)*$R$4)</f>
        <v>0</v>
      </c>
      <c r="S99" s="50">
        <f t="shared" ref="S99:S114" si="69">SUM(Q99:R99)</f>
        <v>0</v>
      </c>
      <c r="T99" s="85">
        <f t="shared" ref="T99:T114" si="70">Q99*F99</f>
        <v>0</v>
      </c>
      <c r="U99" s="85">
        <f t="shared" ref="U99:U114" si="71">R99*F99</f>
        <v>0</v>
      </c>
      <c r="V99" s="86">
        <f t="shared" ref="V99:V114" si="72">S99*F99</f>
        <v>0</v>
      </c>
    </row>
    <row r="100" spans="1:22" ht="15.75" thickBot="1" x14ac:dyDescent="0.3">
      <c r="A100" s="185"/>
      <c r="B100" s="171">
        <v>12</v>
      </c>
      <c r="C100" s="172" t="s">
        <v>113</v>
      </c>
      <c r="D100" s="172" t="s">
        <v>108</v>
      </c>
      <c r="E100" s="172"/>
      <c r="F100" s="173"/>
      <c r="G100" s="81"/>
      <c r="H100" s="174"/>
      <c r="I100" s="175"/>
      <c r="J100" s="176"/>
      <c r="K100" s="177"/>
      <c r="L100" s="177"/>
      <c r="M100" s="177"/>
      <c r="N100" s="177"/>
      <c r="O100" s="177"/>
      <c r="P100" s="177"/>
      <c r="Q100" s="176"/>
      <c r="R100" s="176"/>
      <c r="S100" s="176"/>
      <c r="T100" s="178"/>
      <c r="U100" s="178"/>
      <c r="V100" s="179"/>
    </row>
    <row r="101" spans="1:22" x14ac:dyDescent="0.25">
      <c r="A101" s="236" t="s">
        <v>93</v>
      </c>
      <c r="B101" s="165">
        <v>13</v>
      </c>
      <c r="C101" s="111" t="s">
        <v>41</v>
      </c>
      <c r="D101" s="111" t="s">
        <v>106</v>
      </c>
      <c r="E101" s="111" t="s">
        <v>46</v>
      </c>
      <c r="F101" s="70"/>
      <c r="G101" s="81"/>
      <c r="H101" s="153">
        <f>H63+(H63*Escalation!$D$3)</f>
        <v>33.999329448000005</v>
      </c>
      <c r="I101" s="122">
        <f>I63+(I63*Escalation!$D$3)</f>
        <v>0</v>
      </c>
      <c r="J101" s="25">
        <f>J63+(J63*Escalation!$D$3)</f>
        <v>0</v>
      </c>
      <c r="K101" s="26">
        <f t="shared" ref="K101:K114" si="73">(J101*$K$4)</f>
        <v>0</v>
      </c>
      <c r="L101" s="26">
        <f t="shared" ref="L101:L114" si="74">(J101+K101)*$L$4</f>
        <v>0</v>
      </c>
      <c r="M101" s="26">
        <f t="shared" ref="M101:M114" si="75">(J101+K101+L101)*$M$4</f>
        <v>0</v>
      </c>
      <c r="N101" s="26">
        <f t="shared" ref="N101:N114" si="76">(J101+K101+L101)*$N$4</f>
        <v>0</v>
      </c>
      <c r="O101" s="26">
        <f t="shared" ref="O101:O114" si="77">(J101+K101+L101+M101+N101)*$O$4</f>
        <v>0</v>
      </c>
      <c r="P101" s="26">
        <f t="shared" ref="P101:P114" si="78">(J101+L101+M101+N101+O101)*$P$4</f>
        <v>0</v>
      </c>
      <c r="Q101" s="25">
        <f t="shared" si="67"/>
        <v>0</v>
      </c>
      <c r="R101" s="25">
        <f t="shared" si="68"/>
        <v>0</v>
      </c>
      <c r="S101" s="25">
        <f t="shared" si="69"/>
        <v>0</v>
      </c>
      <c r="T101" s="87">
        <f t="shared" si="70"/>
        <v>0</v>
      </c>
      <c r="U101" s="87">
        <f t="shared" si="71"/>
        <v>0</v>
      </c>
      <c r="V101" s="88">
        <f t="shared" si="72"/>
        <v>0</v>
      </c>
    </row>
    <row r="102" spans="1:22" x14ac:dyDescent="0.25">
      <c r="A102" s="237"/>
      <c r="B102" s="166">
        <v>14</v>
      </c>
      <c r="C102" s="113" t="s">
        <v>44</v>
      </c>
      <c r="D102" s="113" t="s">
        <v>107</v>
      </c>
      <c r="E102" s="113" t="s">
        <v>46</v>
      </c>
      <c r="F102" s="71"/>
      <c r="G102" s="81"/>
      <c r="H102" s="154">
        <f>H64+(H64*Escalation!$D$3)</f>
        <v>30.705506244000002</v>
      </c>
      <c r="I102" s="117">
        <f>I64+(I64*Escalation!$D$3)</f>
        <v>0</v>
      </c>
      <c r="J102" s="5">
        <f>J64+(J64*Escalation!$D$3)</f>
        <v>0</v>
      </c>
      <c r="K102" s="2">
        <f t="shared" si="73"/>
        <v>0</v>
      </c>
      <c r="L102" s="2">
        <f t="shared" si="74"/>
        <v>0</v>
      </c>
      <c r="M102" s="2">
        <f t="shared" si="75"/>
        <v>0</v>
      </c>
      <c r="N102" s="2">
        <f t="shared" si="76"/>
        <v>0</v>
      </c>
      <c r="O102" s="2">
        <f t="shared" si="77"/>
        <v>0</v>
      </c>
      <c r="P102" s="2">
        <f t="shared" si="78"/>
        <v>0</v>
      </c>
      <c r="Q102" s="5">
        <f t="shared" si="67"/>
        <v>0</v>
      </c>
      <c r="R102" s="5">
        <f t="shared" si="68"/>
        <v>0</v>
      </c>
      <c r="S102" s="5">
        <f t="shared" si="69"/>
        <v>0</v>
      </c>
      <c r="T102" s="89">
        <f t="shared" si="70"/>
        <v>0</v>
      </c>
      <c r="U102" s="89">
        <f t="shared" si="71"/>
        <v>0</v>
      </c>
      <c r="V102" s="90">
        <f t="shared" si="72"/>
        <v>0</v>
      </c>
    </row>
    <row r="103" spans="1:22" x14ac:dyDescent="0.25">
      <c r="A103" s="237"/>
      <c r="B103" s="166">
        <v>15</v>
      </c>
      <c r="C103" s="113" t="s">
        <v>97</v>
      </c>
      <c r="D103" s="113" t="s">
        <v>108</v>
      </c>
      <c r="E103" s="113" t="s">
        <v>46</v>
      </c>
      <c r="F103" s="71"/>
      <c r="G103" s="81"/>
      <c r="H103" s="154">
        <f>H65+(H65*Escalation!$D$3)</f>
        <v>32.363470944000007</v>
      </c>
      <c r="I103" s="117">
        <f>I65+(I65*Escalation!$D$3)</f>
        <v>0</v>
      </c>
      <c r="J103" s="5">
        <f>J65+(J65*Escalation!$D$3)</f>
        <v>0</v>
      </c>
      <c r="K103" s="2">
        <f t="shared" si="73"/>
        <v>0</v>
      </c>
      <c r="L103" s="2">
        <f t="shared" si="74"/>
        <v>0</v>
      </c>
      <c r="M103" s="2">
        <f t="shared" si="75"/>
        <v>0</v>
      </c>
      <c r="N103" s="2">
        <f t="shared" si="76"/>
        <v>0</v>
      </c>
      <c r="O103" s="2">
        <f t="shared" si="77"/>
        <v>0</v>
      </c>
      <c r="P103" s="2">
        <f t="shared" si="78"/>
        <v>0</v>
      </c>
      <c r="Q103" s="5">
        <f t="shared" si="67"/>
        <v>0</v>
      </c>
      <c r="R103" s="5">
        <f t="shared" si="68"/>
        <v>0</v>
      </c>
      <c r="S103" s="5">
        <f t="shared" si="69"/>
        <v>0</v>
      </c>
      <c r="T103" s="89">
        <f t="shared" si="70"/>
        <v>0</v>
      </c>
      <c r="U103" s="89">
        <f t="shared" si="71"/>
        <v>0</v>
      </c>
      <c r="V103" s="90">
        <f t="shared" si="72"/>
        <v>0</v>
      </c>
    </row>
    <row r="104" spans="1:22" x14ac:dyDescent="0.25">
      <c r="A104" s="237"/>
      <c r="B104" s="166">
        <v>16</v>
      </c>
      <c r="C104" s="113" t="s">
        <v>45</v>
      </c>
      <c r="D104" s="113" t="s">
        <v>109</v>
      </c>
      <c r="E104" s="113" t="s">
        <v>46</v>
      </c>
      <c r="F104" s="71"/>
      <c r="G104" s="81"/>
      <c r="H104" s="154">
        <f>H66+(H66*Escalation!$D$3)</f>
        <v>39.459559860000006</v>
      </c>
      <c r="I104" s="117">
        <f>I66+(I66*Escalation!$D$3)</f>
        <v>0</v>
      </c>
      <c r="J104" s="5">
        <f>J66+(J66*Escalation!$D$3)</f>
        <v>0</v>
      </c>
      <c r="K104" s="2">
        <f t="shared" si="73"/>
        <v>0</v>
      </c>
      <c r="L104" s="2">
        <f t="shared" si="74"/>
        <v>0</v>
      </c>
      <c r="M104" s="2">
        <f t="shared" si="75"/>
        <v>0</v>
      </c>
      <c r="N104" s="2">
        <f t="shared" si="76"/>
        <v>0</v>
      </c>
      <c r="O104" s="2">
        <f t="shared" si="77"/>
        <v>0</v>
      </c>
      <c r="P104" s="2">
        <f t="shared" si="78"/>
        <v>0</v>
      </c>
      <c r="Q104" s="5">
        <f t="shared" si="67"/>
        <v>0</v>
      </c>
      <c r="R104" s="5">
        <f t="shared" si="68"/>
        <v>0</v>
      </c>
      <c r="S104" s="5">
        <f t="shared" si="69"/>
        <v>0</v>
      </c>
      <c r="T104" s="89">
        <f t="shared" si="70"/>
        <v>0</v>
      </c>
      <c r="U104" s="89">
        <f t="shared" si="71"/>
        <v>0</v>
      </c>
      <c r="V104" s="90">
        <f t="shared" si="72"/>
        <v>0</v>
      </c>
    </row>
    <row r="105" spans="1:22" ht="15.75" thickBot="1" x14ac:dyDescent="0.3">
      <c r="A105" s="238"/>
      <c r="B105" s="167">
        <v>17</v>
      </c>
      <c r="C105" s="115" t="s">
        <v>42</v>
      </c>
      <c r="D105" s="115" t="s">
        <v>110</v>
      </c>
      <c r="E105" s="115" t="s">
        <v>46</v>
      </c>
      <c r="F105" s="72"/>
      <c r="G105" s="81"/>
      <c r="H105" s="155">
        <f>H67+(H67*Escalation!$D$3)</f>
        <v>27.102196296000002</v>
      </c>
      <c r="I105" s="123">
        <f>I67+(I67*Escalation!$D$3)</f>
        <v>0</v>
      </c>
      <c r="J105" s="38">
        <f>J67+(J67*Escalation!$D$3)</f>
        <v>0</v>
      </c>
      <c r="K105" s="39">
        <f t="shared" si="73"/>
        <v>0</v>
      </c>
      <c r="L105" s="39">
        <f t="shared" si="74"/>
        <v>0</v>
      </c>
      <c r="M105" s="39">
        <f t="shared" si="75"/>
        <v>0</v>
      </c>
      <c r="N105" s="39">
        <f t="shared" si="76"/>
        <v>0</v>
      </c>
      <c r="O105" s="39">
        <f t="shared" si="77"/>
        <v>0</v>
      </c>
      <c r="P105" s="39">
        <f t="shared" si="78"/>
        <v>0</v>
      </c>
      <c r="Q105" s="38">
        <f t="shared" si="67"/>
        <v>0</v>
      </c>
      <c r="R105" s="38">
        <f t="shared" si="68"/>
        <v>0</v>
      </c>
      <c r="S105" s="38">
        <f t="shared" si="69"/>
        <v>0</v>
      </c>
      <c r="T105" s="91">
        <f t="shared" si="70"/>
        <v>0</v>
      </c>
      <c r="U105" s="91">
        <f t="shared" si="71"/>
        <v>0</v>
      </c>
      <c r="V105" s="92">
        <f t="shared" si="72"/>
        <v>0</v>
      </c>
    </row>
    <row r="106" spans="1:22" ht="30.75" thickBot="1" x14ac:dyDescent="0.3">
      <c r="A106" s="168" t="s">
        <v>94</v>
      </c>
      <c r="B106" s="164">
        <v>18</v>
      </c>
      <c r="C106" s="109" t="s">
        <v>99</v>
      </c>
      <c r="D106" s="109" t="s">
        <v>111</v>
      </c>
      <c r="E106" s="109" t="s">
        <v>46</v>
      </c>
      <c r="F106" s="73"/>
      <c r="G106" s="81"/>
      <c r="H106" s="149">
        <f>H68+(H68*Escalation!$D$3)</f>
        <v>28.616470722000006</v>
      </c>
      <c r="I106" s="132">
        <f>I68+(I68*Escalation!$D$3)</f>
        <v>0</v>
      </c>
      <c r="J106" s="50">
        <f>J68+(J68*Escalation!$D$3)</f>
        <v>0</v>
      </c>
      <c r="K106" s="51">
        <f t="shared" si="73"/>
        <v>0</v>
      </c>
      <c r="L106" s="51">
        <f t="shared" si="74"/>
        <v>0</v>
      </c>
      <c r="M106" s="51">
        <f t="shared" si="75"/>
        <v>0</v>
      </c>
      <c r="N106" s="51">
        <f t="shared" si="76"/>
        <v>0</v>
      </c>
      <c r="O106" s="51">
        <f t="shared" si="77"/>
        <v>0</v>
      </c>
      <c r="P106" s="51">
        <f t="shared" si="78"/>
        <v>0</v>
      </c>
      <c r="Q106" s="50">
        <f t="shared" si="67"/>
        <v>0</v>
      </c>
      <c r="R106" s="50">
        <f t="shared" si="68"/>
        <v>0</v>
      </c>
      <c r="S106" s="50">
        <f t="shared" si="69"/>
        <v>0</v>
      </c>
      <c r="T106" s="85">
        <f t="shared" si="70"/>
        <v>0</v>
      </c>
      <c r="U106" s="85">
        <f t="shared" si="71"/>
        <v>0</v>
      </c>
      <c r="V106" s="86">
        <f t="shared" si="72"/>
        <v>0</v>
      </c>
    </row>
    <row r="107" spans="1:22" ht="15" customHeight="1" x14ac:dyDescent="0.25">
      <c r="A107" s="231" t="s">
        <v>95</v>
      </c>
      <c r="B107" s="165">
        <v>13</v>
      </c>
      <c r="C107" s="111" t="s">
        <v>41</v>
      </c>
      <c r="D107" s="111" t="s">
        <v>106</v>
      </c>
      <c r="E107" s="111" t="s">
        <v>46</v>
      </c>
      <c r="F107" s="70"/>
      <c r="G107" s="81"/>
      <c r="H107" s="153">
        <f>H69+(H69*Escalation!$D$3)</f>
        <v>33.999329448000005</v>
      </c>
      <c r="I107" s="122">
        <f>I69+(I69*Escalation!$D$3)</f>
        <v>0</v>
      </c>
      <c r="J107" s="25">
        <f>J69+(J69*Escalation!$D$3)</f>
        <v>0</v>
      </c>
      <c r="K107" s="26">
        <f t="shared" si="73"/>
        <v>0</v>
      </c>
      <c r="L107" s="26">
        <f t="shared" si="74"/>
        <v>0</v>
      </c>
      <c r="M107" s="26">
        <f t="shared" si="75"/>
        <v>0</v>
      </c>
      <c r="N107" s="26">
        <f t="shared" si="76"/>
        <v>0</v>
      </c>
      <c r="O107" s="26">
        <f t="shared" si="77"/>
        <v>0</v>
      </c>
      <c r="P107" s="26">
        <f t="shared" si="78"/>
        <v>0</v>
      </c>
      <c r="Q107" s="25">
        <f t="shared" si="67"/>
        <v>0</v>
      </c>
      <c r="R107" s="25">
        <f t="shared" si="68"/>
        <v>0</v>
      </c>
      <c r="S107" s="25">
        <f t="shared" si="69"/>
        <v>0</v>
      </c>
      <c r="T107" s="87">
        <f t="shared" si="70"/>
        <v>0</v>
      </c>
      <c r="U107" s="87">
        <f t="shared" si="71"/>
        <v>0</v>
      </c>
      <c r="V107" s="88">
        <f t="shared" si="72"/>
        <v>0</v>
      </c>
    </row>
    <row r="108" spans="1:22" x14ac:dyDescent="0.25">
      <c r="A108" s="232"/>
      <c r="B108" s="166">
        <v>14</v>
      </c>
      <c r="C108" s="113" t="s">
        <v>44</v>
      </c>
      <c r="D108" s="113" t="s">
        <v>107</v>
      </c>
      <c r="E108" s="113" t="s">
        <v>46</v>
      </c>
      <c r="F108" s="71"/>
      <c r="G108" s="81"/>
      <c r="H108" s="154">
        <f>H70+(H70*Escalation!$D$3)</f>
        <v>30.705506244000002</v>
      </c>
      <c r="I108" s="117">
        <f>I70+(I70*Escalation!$D$3)</f>
        <v>0</v>
      </c>
      <c r="J108" s="5">
        <f>J70+(J70*Escalation!$D$3)</f>
        <v>0</v>
      </c>
      <c r="K108" s="2">
        <f t="shared" si="73"/>
        <v>0</v>
      </c>
      <c r="L108" s="2">
        <f t="shared" si="74"/>
        <v>0</v>
      </c>
      <c r="M108" s="2">
        <f t="shared" si="75"/>
        <v>0</v>
      </c>
      <c r="N108" s="2">
        <f t="shared" si="76"/>
        <v>0</v>
      </c>
      <c r="O108" s="2">
        <f t="shared" si="77"/>
        <v>0</v>
      </c>
      <c r="P108" s="2">
        <f t="shared" si="78"/>
        <v>0</v>
      </c>
      <c r="Q108" s="5">
        <f t="shared" si="67"/>
        <v>0</v>
      </c>
      <c r="R108" s="5">
        <f t="shared" si="68"/>
        <v>0</v>
      </c>
      <c r="S108" s="5">
        <f t="shared" si="69"/>
        <v>0</v>
      </c>
      <c r="T108" s="89">
        <f t="shared" si="70"/>
        <v>0</v>
      </c>
      <c r="U108" s="89">
        <f t="shared" si="71"/>
        <v>0</v>
      </c>
      <c r="V108" s="90">
        <f t="shared" si="72"/>
        <v>0</v>
      </c>
    </row>
    <row r="109" spans="1:22" x14ac:dyDescent="0.25">
      <c r="A109" s="232"/>
      <c r="B109" s="166">
        <v>15</v>
      </c>
      <c r="C109" s="113" t="s">
        <v>97</v>
      </c>
      <c r="D109" s="113" t="s">
        <v>104</v>
      </c>
      <c r="E109" s="113" t="s">
        <v>46</v>
      </c>
      <c r="F109" s="71"/>
      <c r="G109" s="81"/>
      <c r="H109" s="154">
        <f>H71+(H71*Escalation!$D$3)</f>
        <v>32.363470944000007</v>
      </c>
      <c r="I109" s="117">
        <f>I71+(I71*Escalation!$D$3)</f>
        <v>0</v>
      </c>
      <c r="J109" s="5">
        <f>J71+(J71*Escalation!$D$3)</f>
        <v>0</v>
      </c>
      <c r="K109" s="2">
        <f t="shared" si="73"/>
        <v>0</v>
      </c>
      <c r="L109" s="2">
        <f t="shared" si="74"/>
        <v>0</v>
      </c>
      <c r="M109" s="2">
        <f t="shared" si="75"/>
        <v>0</v>
      </c>
      <c r="N109" s="2">
        <f t="shared" si="76"/>
        <v>0</v>
      </c>
      <c r="O109" s="2">
        <f t="shared" si="77"/>
        <v>0</v>
      </c>
      <c r="P109" s="2">
        <f t="shared" si="78"/>
        <v>0</v>
      </c>
      <c r="Q109" s="5">
        <f t="shared" si="67"/>
        <v>0</v>
      </c>
      <c r="R109" s="5">
        <f t="shared" si="68"/>
        <v>0</v>
      </c>
      <c r="S109" s="5">
        <f t="shared" si="69"/>
        <v>0</v>
      </c>
      <c r="T109" s="89">
        <f t="shared" si="70"/>
        <v>0</v>
      </c>
      <c r="U109" s="89">
        <f t="shared" si="71"/>
        <v>0</v>
      </c>
      <c r="V109" s="90">
        <f t="shared" si="72"/>
        <v>0</v>
      </c>
    </row>
    <row r="110" spans="1:22" ht="15" customHeight="1" thickBot="1" x14ac:dyDescent="0.3">
      <c r="A110" s="233"/>
      <c r="B110" s="167">
        <v>11</v>
      </c>
      <c r="C110" s="115" t="s">
        <v>40</v>
      </c>
      <c r="D110" s="115" t="s">
        <v>105</v>
      </c>
      <c r="E110" s="115" t="s">
        <v>46</v>
      </c>
      <c r="F110" s="72"/>
      <c r="G110" s="81"/>
      <c r="H110" s="155">
        <f>H72+(H72*Escalation!$D$3)</f>
        <v>33.999329448000005</v>
      </c>
      <c r="I110" s="38">
        <f>I72+(I72*Escalation!$D$3)</f>
        <v>0</v>
      </c>
      <c r="J110" s="38">
        <f>J72+(J72*Escalation!$D$3)</f>
        <v>0</v>
      </c>
      <c r="K110" s="39">
        <f t="shared" si="73"/>
        <v>0</v>
      </c>
      <c r="L110" s="39">
        <f t="shared" si="74"/>
        <v>0</v>
      </c>
      <c r="M110" s="39">
        <f t="shared" si="75"/>
        <v>0</v>
      </c>
      <c r="N110" s="39">
        <f t="shared" si="76"/>
        <v>0</v>
      </c>
      <c r="O110" s="39">
        <f t="shared" si="77"/>
        <v>0</v>
      </c>
      <c r="P110" s="39">
        <f t="shared" si="78"/>
        <v>0</v>
      </c>
      <c r="Q110" s="38">
        <f t="shared" si="67"/>
        <v>0</v>
      </c>
      <c r="R110" s="38">
        <f t="shared" si="68"/>
        <v>0</v>
      </c>
      <c r="S110" s="38">
        <f t="shared" si="69"/>
        <v>0</v>
      </c>
      <c r="T110" s="91">
        <f t="shared" si="70"/>
        <v>0</v>
      </c>
      <c r="U110" s="91">
        <f t="shared" si="71"/>
        <v>0</v>
      </c>
      <c r="V110" s="92">
        <f t="shared" si="72"/>
        <v>0</v>
      </c>
    </row>
    <row r="111" spans="1:22" ht="15" customHeight="1" x14ac:dyDescent="0.25">
      <c r="A111" s="231" t="s">
        <v>96</v>
      </c>
      <c r="B111" s="165">
        <v>11</v>
      </c>
      <c r="C111" s="111" t="s">
        <v>40</v>
      </c>
      <c r="D111" s="111" t="s">
        <v>105</v>
      </c>
      <c r="E111" s="111" t="s">
        <v>46</v>
      </c>
      <c r="F111" s="70"/>
      <c r="G111" s="81"/>
      <c r="H111" s="153">
        <f>H73+(H73*Escalation!$D$3)</f>
        <v>33.999329448000005</v>
      </c>
      <c r="I111" s="122">
        <f>I73+(I73*Escalation!$D$3)</f>
        <v>0</v>
      </c>
      <c r="J111" s="25">
        <f>J73+(J73*Escalation!$D$3)</f>
        <v>0</v>
      </c>
      <c r="K111" s="26">
        <f t="shared" si="73"/>
        <v>0</v>
      </c>
      <c r="L111" s="26">
        <f t="shared" si="74"/>
        <v>0</v>
      </c>
      <c r="M111" s="26">
        <f t="shared" si="75"/>
        <v>0</v>
      </c>
      <c r="N111" s="26">
        <f t="shared" si="76"/>
        <v>0</v>
      </c>
      <c r="O111" s="26">
        <f t="shared" si="77"/>
        <v>0</v>
      </c>
      <c r="P111" s="26">
        <f t="shared" si="78"/>
        <v>0</v>
      </c>
      <c r="Q111" s="25">
        <f t="shared" si="67"/>
        <v>0</v>
      </c>
      <c r="R111" s="25">
        <f t="shared" si="68"/>
        <v>0</v>
      </c>
      <c r="S111" s="25">
        <f t="shared" si="69"/>
        <v>0</v>
      </c>
      <c r="T111" s="87">
        <f t="shared" si="70"/>
        <v>0</v>
      </c>
      <c r="U111" s="87">
        <f t="shared" si="71"/>
        <v>0</v>
      </c>
      <c r="V111" s="88">
        <f t="shared" si="72"/>
        <v>0</v>
      </c>
    </row>
    <row r="112" spans="1:22" x14ac:dyDescent="0.25">
      <c r="A112" s="232"/>
      <c r="B112" s="166">
        <v>19</v>
      </c>
      <c r="C112" s="113" t="s">
        <v>101</v>
      </c>
      <c r="D112" s="113" t="s">
        <v>112</v>
      </c>
      <c r="E112" s="113" t="s">
        <v>46</v>
      </c>
      <c r="F112" s="71"/>
      <c r="G112" s="81"/>
      <c r="H112" s="154">
        <f>H74+(H74*Escalation!$D$3)</f>
        <v>33.999329448000005</v>
      </c>
      <c r="I112" s="117">
        <f>I74+(I74*Escalation!$D$3)</f>
        <v>0</v>
      </c>
      <c r="J112" s="5">
        <f>J74+(J74*Escalation!$D$3)</f>
        <v>0</v>
      </c>
      <c r="K112" s="2">
        <f t="shared" si="73"/>
        <v>0</v>
      </c>
      <c r="L112" s="2">
        <f t="shared" si="74"/>
        <v>0</v>
      </c>
      <c r="M112" s="2">
        <f t="shared" si="75"/>
        <v>0</v>
      </c>
      <c r="N112" s="2">
        <f t="shared" si="76"/>
        <v>0</v>
      </c>
      <c r="O112" s="2">
        <f t="shared" si="77"/>
        <v>0</v>
      </c>
      <c r="P112" s="2">
        <f t="shared" si="78"/>
        <v>0</v>
      </c>
      <c r="Q112" s="5">
        <f t="shared" si="67"/>
        <v>0</v>
      </c>
      <c r="R112" s="5">
        <f t="shared" si="68"/>
        <v>0</v>
      </c>
      <c r="S112" s="5">
        <f t="shared" si="69"/>
        <v>0</v>
      </c>
      <c r="T112" s="89">
        <f t="shared" si="70"/>
        <v>0</v>
      </c>
      <c r="U112" s="89">
        <f t="shared" si="71"/>
        <v>0</v>
      </c>
      <c r="V112" s="90">
        <f t="shared" si="72"/>
        <v>0</v>
      </c>
    </row>
    <row r="113" spans="1:22" x14ac:dyDescent="0.25">
      <c r="A113" s="232"/>
      <c r="B113" s="166">
        <v>15</v>
      </c>
      <c r="C113" s="113" t="s">
        <v>97</v>
      </c>
      <c r="D113" s="113" t="s">
        <v>104</v>
      </c>
      <c r="E113" s="113" t="s">
        <v>46</v>
      </c>
      <c r="F113" s="71"/>
      <c r="G113" s="81"/>
      <c r="H113" s="154">
        <f>H75+(H75*Escalation!$D$3)</f>
        <v>32.363470944000007</v>
      </c>
      <c r="I113" s="117">
        <f>I75+(I75*Escalation!$D$3)</f>
        <v>0</v>
      </c>
      <c r="J113" s="5">
        <f>J75+(J75*Escalation!$D$3)</f>
        <v>0</v>
      </c>
      <c r="K113" s="2">
        <f t="shared" si="73"/>
        <v>0</v>
      </c>
      <c r="L113" s="2">
        <f t="shared" si="74"/>
        <v>0</v>
      </c>
      <c r="M113" s="2">
        <f t="shared" si="75"/>
        <v>0</v>
      </c>
      <c r="N113" s="2">
        <f t="shared" si="76"/>
        <v>0</v>
      </c>
      <c r="O113" s="2">
        <f t="shared" si="77"/>
        <v>0</v>
      </c>
      <c r="P113" s="2">
        <f t="shared" si="78"/>
        <v>0</v>
      </c>
      <c r="Q113" s="5">
        <f t="shared" si="67"/>
        <v>0</v>
      </c>
      <c r="R113" s="5">
        <f t="shared" si="68"/>
        <v>0</v>
      </c>
      <c r="S113" s="5">
        <f t="shared" si="69"/>
        <v>0</v>
      </c>
      <c r="T113" s="89">
        <f t="shared" si="70"/>
        <v>0</v>
      </c>
      <c r="U113" s="89">
        <f t="shared" si="71"/>
        <v>0</v>
      </c>
      <c r="V113" s="90">
        <f t="shared" si="72"/>
        <v>0</v>
      </c>
    </row>
    <row r="114" spans="1:22" ht="15.75" thickBot="1" x14ac:dyDescent="0.3">
      <c r="A114" s="233"/>
      <c r="B114" s="167">
        <v>17</v>
      </c>
      <c r="C114" s="115" t="s">
        <v>42</v>
      </c>
      <c r="D114" s="115" t="s">
        <v>110</v>
      </c>
      <c r="E114" s="115" t="s">
        <v>46</v>
      </c>
      <c r="F114" s="72"/>
      <c r="G114" s="81"/>
      <c r="H114" s="155">
        <f>H76+(H76*Escalation!$D$3)</f>
        <v>27.102196296000002</v>
      </c>
      <c r="I114" s="123">
        <f>I76+(I76*Escalation!$D$3)</f>
        <v>0</v>
      </c>
      <c r="J114" s="38">
        <f>J76+(J76*Escalation!$D$3)</f>
        <v>0</v>
      </c>
      <c r="K114" s="39">
        <f t="shared" si="73"/>
        <v>0</v>
      </c>
      <c r="L114" s="39">
        <f t="shared" si="74"/>
        <v>0</v>
      </c>
      <c r="M114" s="39">
        <f t="shared" si="75"/>
        <v>0</v>
      </c>
      <c r="N114" s="39">
        <f t="shared" si="76"/>
        <v>0</v>
      </c>
      <c r="O114" s="39">
        <f t="shared" si="77"/>
        <v>0</v>
      </c>
      <c r="P114" s="39">
        <f t="shared" si="78"/>
        <v>0</v>
      </c>
      <c r="Q114" s="38">
        <f t="shared" si="67"/>
        <v>0</v>
      </c>
      <c r="R114" s="38">
        <f t="shared" si="68"/>
        <v>0</v>
      </c>
      <c r="S114" s="38">
        <f t="shared" si="69"/>
        <v>0</v>
      </c>
      <c r="T114" s="91">
        <f t="shared" si="70"/>
        <v>0</v>
      </c>
      <c r="U114" s="91">
        <f t="shared" si="71"/>
        <v>0</v>
      </c>
      <c r="V114" s="92">
        <f t="shared" si="72"/>
        <v>0</v>
      </c>
    </row>
    <row r="115" spans="1:22" ht="27" thickBot="1" x14ac:dyDescent="0.45">
      <c r="A115" s="239" t="s">
        <v>51</v>
      </c>
      <c r="B115" s="240"/>
      <c r="C115" s="240"/>
      <c r="D115" s="240"/>
      <c r="E115" s="240"/>
      <c r="F115" s="240"/>
      <c r="G115" s="240"/>
      <c r="H115" s="240"/>
      <c r="I115" s="240"/>
      <c r="J115" s="240"/>
      <c r="K115" s="240"/>
      <c r="L115" s="240"/>
      <c r="M115" s="240"/>
      <c r="N115" s="240"/>
      <c r="O115" s="240"/>
      <c r="P115" s="240"/>
      <c r="Q115" s="240"/>
      <c r="R115" s="240"/>
      <c r="S115" s="240"/>
      <c r="T115" s="240"/>
      <c r="U115" s="240"/>
      <c r="V115" s="245"/>
    </row>
    <row r="116" spans="1:22" ht="15.75" thickBot="1" x14ac:dyDescent="0.3">
      <c r="A116" s="234" t="s">
        <v>52</v>
      </c>
      <c r="B116" s="235"/>
      <c r="C116" s="235"/>
      <c r="D116" s="235"/>
      <c r="E116" s="235"/>
      <c r="F116" s="235"/>
      <c r="G116" s="78"/>
      <c r="H116" s="243" t="s">
        <v>81</v>
      </c>
      <c r="I116" s="243"/>
      <c r="J116" s="243"/>
      <c r="K116" s="243"/>
      <c r="L116" s="243"/>
      <c r="M116" s="243"/>
      <c r="N116" s="243"/>
      <c r="O116" s="243"/>
      <c r="P116" s="243"/>
      <c r="Q116" s="243"/>
      <c r="R116" s="243"/>
      <c r="S116" s="243"/>
      <c r="T116" s="243"/>
      <c r="U116" s="243"/>
      <c r="V116" s="244"/>
    </row>
    <row r="117" spans="1:22" s="46" customFormat="1" ht="45.95" customHeight="1" thickBot="1" x14ac:dyDescent="0.3">
      <c r="A117" s="47" t="s">
        <v>18</v>
      </c>
      <c r="B117" s="48" t="s">
        <v>19</v>
      </c>
      <c r="C117" s="49" t="s">
        <v>20</v>
      </c>
      <c r="D117" s="49" t="s">
        <v>21</v>
      </c>
      <c r="E117" s="49" t="s">
        <v>22</v>
      </c>
      <c r="F117" s="84" t="s">
        <v>72</v>
      </c>
      <c r="G117" s="79"/>
      <c r="H117" s="52" t="s">
        <v>24</v>
      </c>
      <c r="I117" s="53" t="s">
        <v>25</v>
      </c>
      <c r="J117" s="53" t="s">
        <v>26</v>
      </c>
      <c r="K117" s="53" t="s">
        <v>71</v>
      </c>
      <c r="L117" s="53" t="s">
        <v>27</v>
      </c>
      <c r="M117" s="124" t="s">
        <v>79</v>
      </c>
      <c r="N117" s="124" t="s">
        <v>80</v>
      </c>
      <c r="O117" s="124" t="s">
        <v>28</v>
      </c>
      <c r="P117" s="124" t="s">
        <v>29</v>
      </c>
      <c r="Q117" s="124" t="s">
        <v>30</v>
      </c>
      <c r="R117" s="124" t="s">
        <v>31</v>
      </c>
      <c r="S117" s="124" t="s">
        <v>32</v>
      </c>
      <c r="T117" s="44" t="s">
        <v>33</v>
      </c>
      <c r="U117" s="43" t="s">
        <v>34</v>
      </c>
      <c r="V117" s="45" t="s">
        <v>35</v>
      </c>
    </row>
    <row r="118" spans="1:22" s="33" customFormat="1" ht="30" customHeight="1" thickBot="1" x14ac:dyDescent="0.35">
      <c r="A118" s="100" t="s">
        <v>36</v>
      </c>
      <c r="B118" s="82"/>
      <c r="C118" s="82"/>
      <c r="D118" s="82"/>
      <c r="E118" s="82"/>
      <c r="F118" s="83"/>
      <c r="G118" s="80"/>
      <c r="H118" s="54"/>
      <c r="I118" s="32"/>
      <c r="J118" s="32"/>
      <c r="K118" s="29"/>
      <c r="L118" s="29"/>
      <c r="M118" s="29"/>
      <c r="N118" s="29"/>
      <c r="O118" s="29"/>
      <c r="P118" s="29"/>
      <c r="Q118" s="32"/>
      <c r="R118" s="29"/>
      <c r="S118" s="32"/>
      <c r="T118" s="32"/>
      <c r="U118" s="31"/>
      <c r="V118" s="30"/>
    </row>
    <row r="119" spans="1:22" ht="15.75" thickBot="1" x14ac:dyDescent="0.3">
      <c r="A119" s="163" t="s">
        <v>37</v>
      </c>
      <c r="B119" s="164">
        <v>1</v>
      </c>
      <c r="C119" s="109" t="s">
        <v>38</v>
      </c>
      <c r="D119" s="109" t="s">
        <v>114</v>
      </c>
      <c r="E119" s="109" t="s">
        <v>36</v>
      </c>
      <c r="F119" s="74"/>
      <c r="G119" s="41"/>
      <c r="H119" s="149">
        <f>H81+(H81*Escalation!$D$4)</f>
        <v>52.31740770143999</v>
      </c>
      <c r="I119" s="132">
        <f>I81+(I81*Escalation!$D$4)</f>
        <v>0</v>
      </c>
      <c r="J119" s="50">
        <f>J81+(J81*Escalation!$D$4)</f>
        <v>0</v>
      </c>
      <c r="K119" s="110"/>
      <c r="L119" s="51">
        <f>(J119*$L$4)</f>
        <v>0</v>
      </c>
      <c r="M119" s="51">
        <f>(L119+J119)*$M$4</f>
        <v>0</v>
      </c>
      <c r="N119" s="51">
        <f>(J119+L119)*$N$4</f>
        <v>0</v>
      </c>
      <c r="O119" s="51">
        <f>(L119+J119+M119+N119)*$O$4</f>
        <v>0</v>
      </c>
      <c r="P119" s="51">
        <f>(J119+L119+M119+N119+O119)*$P$4</f>
        <v>0</v>
      </c>
      <c r="Q119" s="50">
        <f t="shared" ref="Q119:Q135" si="79">SUM(J119:P119)</f>
        <v>0</v>
      </c>
      <c r="R119" s="50">
        <f t="shared" ref="R119:R135" si="80">IF($R$4&lt;0,"N/A",(Q119-P119)*$R$4)</f>
        <v>0</v>
      </c>
      <c r="S119" s="50">
        <f t="shared" ref="S119:S135" si="81">SUM(Q119:R119)</f>
        <v>0</v>
      </c>
      <c r="T119" s="85">
        <f t="shared" ref="T119:T135" si="82">Q119*F119</f>
        <v>0</v>
      </c>
      <c r="U119" s="85">
        <f t="shared" ref="U119:U135" si="83">R119*F119</f>
        <v>0</v>
      </c>
      <c r="V119" s="86">
        <f t="shared" ref="V119:V135" si="84">S119*F119</f>
        <v>0</v>
      </c>
    </row>
    <row r="120" spans="1:22" ht="15.75" thickBot="1" x14ac:dyDescent="0.3">
      <c r="A120" s="184" t="s">
        <v>39</v>
      </c>
      <c r="B120" s="164">
        <v>2</v>
      </c>
      <c r="C120" s="109" t="s">
        <v>40</v>
      </c>
      <c r="D120" s="109" t="s">
        <v>105</v>
      </c>
      <c r="E120" s="109" t="s">
        <v>36</v>
      </c>
      <c r="F120" s="74"/>
      <c r="G120" s="41"/>
      <c r="H120" s="125">
        <f>H82+(H82*Escalation!$D$4)</f>
        <v>38.698032988079994</v>
      </c>
      <c r="I120" s="132">
        <f>I82+(I82*Escalation!$D$4)</f>
        <v>0</v>
      </c>
      <c r="J120" s="50">
        <f>J82+(J82*Escalation!$D$4)</f>
        <v>0</v>
      </c>
      <c r="K120" s="110"/>
      <c r="L120" s="51">
        <f t="shared" ref="L120:L135" si="85">(J120*$L$4)</f>
        <v>0</v>
      </c>
      <c r="M120" s="51">
        <f t="shared" ref="M120:M135" si="86">(L120+J120)*$M$4</f>
        <v>0</v>
      </c>
      <c r="N120" s="51">
        <f t="shared" ref="N120:N135" si="87">(J120+L120)*$N$4</f>
        <v>0</v>
      </c>
      <c r="O120" s="51">
        <f t="shared" ref="O120:O135" si="88">(L120+J120+M120+N120)*$O$4</f>
        <v>0</v>
      </c>
      <c r="P120" s="51">
        <f t="shared" ref="P120:P135" si="89">(J120+L120+M120+N120+O120)*$P$4</f>
        <v>0</v>
      </c>
      <c r="Q120" s="50">
        <f t="shared" si="79"/>
        <v>0</v>
      </c>
      <c r="R120" s="50">
        <f t="shared" si="80"/>
        <v>0</v>
      </c>
      <c r="S120" s="50">
        <f t="shared" si="81"/>
        <v>0</v>
      </c>
      <c r="T120" s="85">
        <f t="shared" si="82"/>
        <v>0</v>
      </c>
      <c r="U120" s="85">
        <f t="shared" si="83"/>
        <v>0</v>
      </c>
      <c r="V120" s="86">
        <f t="shared" si="84"/>
        <v>0</v>
      </c>
    </row>
    <row r="121" spans="1:22" ht="15.75" thickBot="1" x14ac:dyDescent="0.3">
      <c r="A121" s="185"/>
      <c r="B121" s="171">
        <v>3</v>
      </c>
      <c r="C121" s="172" t="s">
        <v>113</v>
      </c>
      <c r="D121" s="172" t="s">
        <v>108</v>
      </c>
      <c r="E121" s="172" t="s">
        <v>36</v>
      </c>
      <c r="F121" s="180"/>
      <c r="G121" s="41"/>
      <c r="H121" s="181"/>
      <c r="I121" s="175"/>
      <c r="J121" s="176"/>
      <c r="K121" s="182"/>
      <c r="L121" s="177"/>
      <c r="M121" s="177"/>
      <c r="N121" s="177"/>
      <c r="O121" s="177"/>
      <c r="P121" s="177"/>
      <c r="Q121" s="176"/>
      <c r="R121" s="176"/>
      <c r="S121" s="176"/>
      <c r="T121" s="178"/>
      <c r="U121" s="178"/>
      <c r="V121" s="179"/>
    </row>
    <row r="122" spans="1:22" x14ac:dyDescent="0.25">
      <c r="A122" s="231" t="s">
        <v>93</v>
      </c>
      <c r="B122" s="165">
        <v>4</v>
      </c>
      <c r="C122" s="111" t="s">
        <v>41</v>
      </c>
      <c r="D122" s="111" t="s">
        <v>106</v>
      </c>
      <c r="E122" s="111" t="s">
        <v>36</v>
      </c>
      <c r="F122" s="77"/>
      <c r="G122" s="41"/>
      <c r="H122" s="126">
        <f>H84+(H84*Escalation!$D$4)</f>
        <v>33.222201917760003</v>
      </c>
      <c r="I122" s="122">
        <f>I84+(I84*Escalation!$D$4)</f>
        <v>0</v>
      </c>
      <c r="J122" s="25">
        <f>J84+(J84*Escalation!$D$4)</f>
        <v>0</v>
      </c>
      <c r="K122" s="112"/>
      <c r="L122" s="26">
        <f t="shared" si="85"/>
        <v>0</v>
      </c>
      <c r="M122" s="26">
        <f t="shared" si="86"/>
        <v>0</v>
      </c>
      <c r="N122" s="26">
        <f t="shared" si="87"/>
        <v>0</v>
      </c>
      <c r="O122" s="26">
        <f t="shared" si="88"/>
        <v>0</v>
      </c>
      <c r="P122" s="26">
        <f t="shared" si="89"/>
        <v>0</v>
      </c>
      <c r="Q122" s="25">
        <f t="shared" si="79"/>
        <v>0</v>
      </c>
      <c r="R122" s="25">
        <f t="shared" si="80"/>
        <v>0</v>
      </c>
      <c r="S122" s="25">
        <f t="shared" si="81"/>
        <v>0</v>
      </c>
      <c r="T122" s="87">
        <f t="shared" si="82"/>
        <v>0</v>
      </c>
      <c r="U122" s="87">
        <f t="shared" si="83"/>
        <v>0</v>
      </c>
      <c r="V122" s="88">
        <f t="shared" si="84"/>
        <v>0</v>
      </c>
    </row>
    <row r="123" spans="1:22" x14ac:dyDescent="0.25">
      <c r="A123" s="232"/>
      <c r="B123" s="166">
        <v>5</v>
      </c>
      <c r="C123" s="113" t="s">
        <v>44</v>
      </c>
      <c r="D123" s="113" t="s">
        <v>107</v>
      </c>
      <c r="E123" s="113" t="s">
        <v>36</v>
      </c>
      <c r="F123" s="75"/>
      <c r="G123" s="41"/>
      <c r="H123" s="127">
        <f>H85+(H85*Escalation!$D$4)</f>
        <v>30.00366610128</v>
      </c>
      <c r="I123" s="5">
        <f>I85+(I85*Escalation!$D$4)</f>
        <v>0</v>
      </c>
      <c r="J123" s="5">
        <f>J85+(J85*Escalation!$D$4)</f>
        <v>0</v>
      </c>
      <c r="K123" s="114"/>
      <c r="L123" s="2">
        <f t="shared" si="85"/>
        <v>0</v>
      </c>
      <c r="M123" s="2">
        <f t="shared" si="86"/>
        <v>0</v>
      </c>
      <c r="N123" s="2">
        <f t="shared" si="87"/>
        <v>0</v>
      </c>
      <c r="O123" s="2">
        <f t="shared" si="88"/>
        <v>0</v>
      </c>
      <c r="P123" s="2">
        <f t="shared" si="89"/>
        <v>0</v>
      </c>
      <c r="Q123" s="5">
        <f t="shared" si="79"/>
        <v>0</v>
      </c>
      <c r="R123" s="5">
        <f t="shared" si="80"/>
        <v>0</v>
      </c>
      <c r="S123" s="5">
        <f t="shared" si="81"/>
        <v>0</v>
      </c>
      <c r="T123" s="89">
        <f t="shared" si="82"/>
        <v>0</v>
      </c>
      <c r="U123" s="89">
        <f t="shared" si="83"/>
        <v>0</v>
      </c>
      <c r="V123" s="90">
        <f t="shared" si="84"/>
        <v>0</v>
      </c>
    </row>
    <row r="124" spans="1:22" x14ac:dyDescent="0.25">
      <c r="A124" s="232"/>
      <c r="B124" s="166">
        <v>6</v>
      </c>
      <c r="C124" s="113" t="s">
        <v>97</v>
      </c>
      <c r="D124" s="113" t="s">
        <v>108</v>
      </c>
      <c r="E124" s="113" t="s">
        <v>36</v>
      </c>
      <c r="F124" s="75"/>
      <c r="G124" s="41"/>
      <c r="H124" s="127">
        <v>24.98</v>
      </c>
      <c r="I124" s="117">
        <f>I86+(I86*Escalation!$D$4)</f>
        <v>0</v>
      </c>
      <c r="J124" s="5">
        <f>J86+(J86*Escalation!$D$4)</f>
        <v>0</v>
      </c>
      <c r="K124" s="114"/>
      <c r="L124" s="2">
        <f t="shared" si="85"/>
        <v>0</v>
      </c>
      <c r="M124" s="2">
        <f t="shared" si="86"/>
        <v>0</v>
      </c>
      <c r="N124" s="2">
        <f t="shared" si="87"/>
        <v>0</v>
      </c>
      <c r="O124" s="2">
        <f t="shared" si="88"/>
        <v>0</v>
      </c>
      <c r="P124" s="2">
        <f t="shared" si="89"/>
        <v>0</v>
      </c>
      <c r="Q124" s="5">
        <f t="shared" si="79"/>
        <v>0</v>
      </c>
      <c r="R124" s="5">
        <f t="shared" si="80"/>
        <v>0</v>
      </c>
      <c r="S124" s="5">
        <f t="shared" si="81"/>
        <v>0</v>
      </c>
      <c r="T124" s="89">
        <f t="shared" si="82"/>
        <v>0</v>
      </c>
      <c r="U124" s="89">
        <f t="shared" si="83"/>
        <v>0</v>
      </c>
      <c r="V124" s="90">
        <f t="shared" si="84"/>
        <v>0</v>
      </c>
    </row>
    <row r="125" spans="1:22" x14ac:dyDescent="0.25">
      <c r="A125" s="232"/>
      <c r="B125" s="166">
        <v>7</v>
      </c>
      <c r="C125" s="113" t="s">
        <v>45</v>
      </c>
      <c r="D125" s="113" t="s">
        <v>109</v>
      </c>
      <c r="E125" s="113" t="s">
        <v>36</v>
      </c>
      <c r="F125" s="75"/>
      <c r="G125" s="41"/>
      <c r="H125" s="127">
        <f>H87+(H87*Escalation!$D$4)</f>
        <v>38.557627063199995</v>
      </c>
      <c r="I125" s="117">
        <f>I87+(I87*Escalation!$D$4)</f>
        <v>0</v>
      </c>
      <c r="J125" s="5">
        <f>J87+(J87*Escalation!$D$4)</f>
        <v>0</v>
      </c>
      <c r="K125" s="114"/>
      <c r="L125" s="2">
        <f t="shared" si="85"/>
        <v>0</v>
      </c>
      <c r="M125" s="2">
        <f t="shared" si="86"/>
        <v>0</v>
      </c>
      <c r="N125" s="2">
        <f t="shared" si="87"/>
        <v>0</v>
      </c>
      <c r="O125" s="2">
        <f t="shared" si="88"/>
        <v>0</v>
      </c>
      <c r="P125" s="2">
        <f t="shared" si="89"/>
        <v>0</v>
      </c>
      <c r="Q125" s="5">
        <f t="shared" si="79"/>
        <v>0</v>
      </c>
      <c r="R125" s="5">
        <f t="shared" si="80"/>
        <v>0</v>
      </c>
      <c r="S125" s="5">
        <f t="shared" si="81"/>
        <v>0</v>
      </c>
      <c r="T125" s="89">
        <f t="shared" si="82"/>
        <v>0</v>
      </c>
      <c r="U125" s="89">
        <f t="shared" si="83"/>
        <v>0</v>
      </c>
      <c r="V125" s="90">
        <f t="shared" si="84"/>
        <v>0</v>
      </c>
    </row>
    <row r="126" spans="1:22" ht="15.75" thickBot="1" x14ac:dyDescent="0.3">
      <c r="A126" s="233"/>
      <c r="B126" s="167">
        <v>8</v>
      </c>
      <c r="C126" s="115" t="s">
        <v>42</v>
      </c>
      <c r="D126" s="115" t="s">
        <v>110</v>
      </c>
      <c r="E126" s="115" t="s">
        <v>36</v>
      </c>
      <c r="F126" s="76"/>
      <c r="G126" s="41"/>
      <c r="H126" s="150">
        <f>H88+(H88*Escalation!$D$4)</f>
        <v>26.482717523519998</v>
      </c>
      <c r="I126" s="123">
        <f>I88+(I88*Escalation!$D$4)</f>
        <v>0</v>
      </c>
      <c r="J126" s="38">
        <f>J88+(J88*Escalation!$D$4)</f>
        <v>0</v>
      </c>
      <c r="K126" s="116"/>
      <c r="L126" s="39">
        <f t="shared" si="85"/>
        <v>0</v>
      </c>
      <c r="M126" s="39">
        <f t="shared" si="86"/>
        <v>0</v>
      </c>
      <c r="N126" s="39">
        <f t="shared" si="87"/>
        <v>0</v>
      </c>
      <c r="O126" s="39">
        <f t="shared" si="88"/>
        <v>0</v>
      </c>
      <c r="P126" s="39">
        <f t="shared" si="89"/>
        <v>0</v>
      </c>
      <c r="Q126" s="38">
        <f t="shared" si="79"/>
        <v>0</v>
      </c>
      <c r="R126" s="38">
        <f t="shared" si="80"/>
        <v>0</v>
      </c>
      <c r="S126" s="38">
        <f t="shared" si="81"/>
        <v>0</v>
      </c>
      <c r="T126" s="91">
        <f t="shared" si="82"/>
        <v>0</v>
      </c>
      <c r="U126" s="91">
        <f t="shared" si="83"/>
        <v>0</v>
      </c>
      <c r="V126" s="92">
        <f t="shared" si="84"/>
        <v>0</v>
      </c>
    </row>
    <row r="127" spans="1:22" ht="30.75" thickBot="1" x14ac:dyDescent="0.3">
      <c r="A127" s="168" t="s">
        <v>94</v>
      </c>
      <c r="B127" s="164">
        <v>9</v>
      </c>
      <c r="C127" s="109" t="s">
        <v>43</v>
      </c>
      <c r="D127" s="148" t="s">
        <v>111</v>
      </c>
      <c r="E127" s="109" t="s">
        <v>36</v>
      </c>
      <c r="F127" s="74"/>
      <c r="G127" s="41"/>
      <c r="H127" s="151">
        <f>H89+(H89*Escalation!$D$4)</f>
        <v>27.96237996264</v>
      </c>
      <c r="I127" s="132">
        <f>I89+(I89*Escalation!$D$4)</f>
        <v>0</v>
      </c>
      <c r="J127" s="50">
        <f>J89+(J89*Escalation!$D$4)</f>
        <v>0</v>
      </c>
      <c r="K127" s="110"/>
      <c r="L127" s="51">
        <f t="shared" si="85"/>
        <v>0</v>
      </c>
      <c r="M127" s="51">
        <f t="shared" si="86"/>
        <v>0</v>
      </c>
      <c r="N127" s="51">
        <f t="shared" si="87"/>
        <v>0</v>
      </c>
      <c r="O127" s="51">
        <f t="shared" si="88"/>
        <v>0</v>
      </c>
      <c r="P127" s="51">
        <f t="shared" si="89"/>
        <v>0</v>
      </c>
      <c r="Q127" s="50">
        <f t="shared" si="79"/>
        <v>0</v>
      </c>
      <c r="R127" s="50">
        <f t="shared" si="80"/>
        <v>0</v>
      </c>
      <c r="S127" s="50">
        <f t="shared" si="81"/>
        <v>0</v>
      </c>
      <c r="T127" s="85">
        <f t="shared" si="82"/>
        <v>0</v>
      </c>
      <c r="U127" s="85">
        <f t="shared" si="83"/>
        <v>0</v>
      </c>
      <c r="V127" s="86">
        <f t="shared" si="84"/>
        <v>0</v>
      </c>
    </row>
    <row r="128" spans="1:22" x14ac:dyDescent="0.25">
      <c r="A128" s="231" t="s">
        <v>95</v>
      </c>
      <c r="B128" s="165">
        <v>4</v>
      </c>
      <c r="C128" s="111" t="s">
        <v>41</v>
      </c>
      <c r="D128" s="111" t="s">
        <v>106</v>
      </c>
      <c r="E128" s="111" t="s">
        <v>36</v>
      </c>
      <c r="F128" s="77"/>
      <c r="G128" s="41"/>
      <c r="H128" s="126">
        <f>H90+(H90*Escalation!$D$4)</f>
        <v>33.222201917760003</v>
      </c>
      <c r="I128" s="122">
        <f>I90+(I90*Escalation!$D$4)</f>
        <v>0</v>
      </c>
      <c r="J128" s="25">
        <f>J90+(J90*Escalation!$D$4)</f>
        <v>0</v>
      </c>
      <c r="K128" s="112"/>
      <c r="L128" s="26">
        <f t="shared" si="85"/>
        <v>0</v>
      </c>
      <c r="M128" s="26">
        <f t="shared" si="86"/>
        <v>0</v>
      </c>
      <c r="N128" s="26">
        <f t="shared" si="87"/>
        <v>0</v>
      </c>
      <c r="O128" s="26">
        <f t="shared" si="88"/>
        <v>0</v>
      </c>
      <c r="P128" s="26">
        <f t="shared" si="89"/>
        <v>0</v>
      </c>
      <c r="Q128" s="25">
        <f t="shared" si="79"/>
        <v>0</v>
      </c>
      <c r="R128" s="25">
        <f t="shared" si="80"/>
        <v>0</v>
      </c>
      <c r="S128" s="25">
        <f t="shared" si="81"/>
        <v>0</v>
      </c>
      <c r="T128" s="87">
        <f t="shared" si="82"/>
        <v>0</v>
      </c>
      <c r="U128" s="87">
        <f t="shared" si="83"/>
        <v>0</v>
      </c>
      <c r="V128" s="88">
        <f t="shared" si="84"/>
        <v>0</v>
      </c>
    </row>
    <row r="129" spans="1:22" x14ac:dyDescent="0.25">
      <c r="A129" s="232"/>
      <c r="B129" s="166">
        <v>5</v>
      </c>
      <c r="C129" s="113" t="s">
        <v>44</v>
      </c>
      <c r="D129" s="113" t="s">
        <v>107</v>
      </c>
      <c r="E129" s="113" t="s">
        <v>36</v>
      </c>
      <c r="F129" s="75"/>
      <c r="G129" s="41"/>
      <c r="H129" s="127">
        <f>H91+(H91*Escalation!$D$4)</f>
        <v>30.00366610128</v>
      </c>
      <c r="I129" s="117">
        <f>I91+(I91*Escalation!$D$4)</f>
        <v>0</v>
      </c>
      <c r="J129" s="5">
        <f>J91+(J91*Escalation!$D$4)</f>
        <v>0</v>
      </c>
      <c r="K129" s="114"/>
      <c r="L129" s="2">
        <f t="shared" si="85"/>
        <v>0</v>
      </c>
      <c r="M129" s="2">
        <f t="shared" si="86"/>
        <v>0</v>
      </c>
      <c r="N129" s="2">
        <f t="shared" si="87"/>
        <v>0</v>
      </c>
      <c r="O129" s="2">
        <f t="shared" si="88"/>
        <v>0</v>
      </c>
      <c r="P129" s="2">
        <f t="shared" si="89"/>
        <v>0</v>
      </c>
      <c r="Q129" s="5">
        <f t="shared" si="79"/>
        <v>0</v>
      </c>
      <c r="R129" s="5">
        <f t="shared" si="80"/>
        <v>0</v>
      </c>
      <c r="S129" s="5">
        <f t="shared" si="81"/>
        <v>0</v>
      </c>
      <c r="T129" s="89">
        <f t="shared" si="82"/>
        <v>0</v>
      </c>
      <c r="U129" s="89">
        <f t="shared" si="83"/>
        <v>0</v>
      </c>
      <c r="V129" s="90">
        <f t="shared" si="84"/>
        <v>0</v>
      </c>
    </row>
    <row r="130" spans="1:22" x14ac:dyDescent="0.25">
      <c r="A130" s="232"/>
      <c r="B130" s="166">
        <v>6</v>
      </c>
      <c r="C130" s="113" t="s">
        <v>97</v>
      </c>
      <c r="D130" s="113" t="s">
        <v>108</v>
      </c>
      <c r="E130" s="113" t="s">
        <v>36</v>
      </c>
      <c r="F130" s="75"/>
      <c r="G130" s="41"/>
      <c r="H130" s="127">
        <v>24.98</v>
      </c>
      <c r="I130" s="117">
        <f>I92+(I92*Escalation!$D$4)</f>
        <v>0</v>
      </c>
      <c r="J130" s="5">
        <f>J92+(J92*Escalation!$D$4)</f>
        <v>0</v>
      </c>
      <c r="K130" s="114"/>
      <c r="L130" s="2">
        <f t="shared" si="85"/>
        <v>0</v>
      </c>
      <c r="M130" s="2">
        <f t="shared" si="86"/>
        <v>0</v>
      </c>
      <c r="N130" s="2">
        <f t="shared" si="87"/>
        <v>0</v>
      </c>
      <c r="O130" s="2">
        <f t="shared" si="88"/>
        <v>0</v>
      </c>
      <c r="P130" s="2">
        <f t="shared" si="89"/>
        <v>0</v>
      </c>
      <c r="Q130" s="5">
        <f t="shared" si="79"/>
        <v>0</v>
      </c>
      <c r="R130" s="5">
        <f t="shared" si="80"/>
        <v>0</v>
      </c>
      <c r="S130" s="5">
        <f t="shared" si="81"/>
        <v>0</v>
      </c>
      <c r="T130" s="89">
        <f t="shared" si="82"/>
        <v>0</v>
      </c>
      <c r="U130" s="89">
        <f t="shared" si="83"/>
        <v>0</v>
      </c>
      <c r="V130" s="90">
        <f t="shared" si="84"/>
        <v>0</v>
      </c>
    </row>
    <row r="131" spans="1:22" ht="15" customHeight="1" thickBot="1" x14ac:dyDescent="0.3">
      <c r="A131" s="233"/>
      <c r="B131" s="167">
        <v>2</v>
      </c>
      <c r="C131" s="115" t="s">
        <v>40</v>
      </c>
      <c r="D131" s="115" t="s">
        <v>105</v>
      </c>
      <c r="E131" s="115" t="s">
        <v>36</v>
      </c>
      <c r="F131" s="76"/>
      <c r="G131" s="41"/>
      <c r="H131" s="128">
        <f>H93+(H93*Escalation!$D$4)</f>
        <v>33.222201917760003</v>
      </c>
      <c r="I131" s="38">
        <f>I93+(I93*Escalation!$D$4)</f>
        <v>0</v>
      </c>
      <c r="J131" s="38">
        <f>J93+(J93*Escalation!$D$4)</f>
        <v>0</v>
      </c>
      <c r="K131" s="116"/>
      <c r="L131" s="39">
        <f t="shared" si="85"/>
        <v>0</v>
      </c>
      <c r="M131" s="39">
        <f t="shared" si="86"/>
        <v>0</v>
      </c>
      <c r="N131" s="39">
        <f t="shared" si="87"/>
        <v>0</v>
      </c>
      <c r="O131" s="39">
        <f t="shared" si="88"/>
        <v>0</v>
      </c>
      <c r="P131" s="39">
        <f t="shared" si="89"/>
        <v>0</v>
      </c>
      <c r="Q131" s="38">
        <f t="shared" si="79"/>
        <v>0</v>
      </c>
      <c r="R131" s="38">
        <f t="shared" si="80"/>
        <v>0</v>
      </c>
      <c r="S131" s="38">
        <f t="shared" si="81"/>
        <v>0</v>
      </c>
      <c r="T131" s="91">
        <f t="shared" si="82"/>
        <v>0</v>
      </c>
      <c r="U131" s="91">
        <f t="shared" si="83"/>
        <v>0</v>
      </c>
      <c r="V131" s="92">
        <f t="shared" si="84"/>
        <v>0</v>
      </c>
    </row>
    <row r="132" spans="1:22" x14ac:dyDescent="0.25">
      <c r="A132" s="231" t="s">
        <v>96</v>
      </c>
      <c r="B132" s="165">
        <v>2</v>
      </c>
      <c r="C132" s="111" t="s">
        <v>40</v>
      </c>
      <c r="D132" s="111" t="s">
        <v>105</v>
      </c>
      <c r="E132" s="111" t="s">
        <v>36</v>
      </c>
      <c r="F132" s="77"/>
      <c r="G132" s="41"/>
      <c r="H132" s="126">
        <f>H94+(H94*Escalation!$D$4)</f>
        <v>33.222201917760003</v>
      </c>
      <c r="I132" s="122">
        <f>I94+(I94*Escalation!$D$4)</f>
        <v>0</v>
      </c>
      <c r="J132" s="25">
        <f>J94+(J94*Escalation!$D$4)</f>
        <v>0</v>
      </c>
      <c r="K132" s="112"/>
      <c r="L132" s="26">
        <f t="shared" si="85"/>
        <v>0</v>
      </c>
      <c r="M132" s="26">
        <f t="shared" si="86"/>
        <v>0</v>
      </c>
      <c r="N132" s="26">
        <f t="shared" si="87"/>
        <v>0</v>
      </c>
      <c r="O132" s="26">
        <f t="shared" si="88"/>
        <v>0</v>
      </c>
      <c r="P132" s="26">
        <f t="shared" si="89"/>
        <v>0</v>
      </c>
      <c r="Q132" s="25">
        <f t="shared" si="79"/>
        <v>0</v>
      </c>
      <c r="R132" s="25">
        <f t="shared" si="80"/>
        <v>0</v>
      </c>
      <c r="S132" s="25">
        <f t="shared" si="81"/>
        <v>0</v>
      </c>
      <c r="T132" s="87">
        <f t="shared" si="82"/>
        <v>0</v>
      </c>
      <c r="U132" s="87">
        <f t="shared" si="83"/>
        <v>0</v>
      </c>
      <c r="V132" s="88">
        <f t="shared" si="84"/>
        <v>0</v>
      </c>
    </row>
    <row r="133" spans="1:22" x14ac:dyDescent="0.25">
      <c r="A133" s="232"/>
      <c r="B133" s="166">
        <v>10</v>
      </c>
      <c r="C133" s="113" t="s">
        <v>101</v>
      </c>
      <c r="D133" s="113" t="s">
        <v>112</v>
      </c>
      <c r="E133" s="113" t="s">
        <v>36</v>
      </c>
      <c r="F133" s="75"/>
      <c r="G133" s="41"/>
      <c r="H133" s="127">
        <f>H95+(H95*Escalation!$D$4)</f>
        <v>33.222201917760003</v>
      </c>
      <c r="I133" s="5">
        <f>I95+(I95*Escalation!$D$4)</f>
        <v>0</v>
      </c>
      <c r="J133" s="5">
        <f>J95+(J95*Escalation!$D$4)</f>
        <v>0</v>
      </c>
      <c r="K133" s="114"/>
      <c r="L133" s="2">
        <f t="shared" si="85"/>
        <v>0</v>
      </c>
      <c r="M133" s="2">
        <f t="shared" si="86"/>
        <v>0</v>
      </c>
      <c r="N133" s="2">
        <f t="shared" si="87"/>
        <v>0</v>
      </c>
      <c r="O133" s="2">
        <f t="shared" si="88"/>
        <v>0</v>
      </c>
      <c r="P133" s="2">
        <f t="shared" si="89"/>
        <v>0</v>
      </c>
      <c r="Q133" s="5">
        <f t="shared" si="79"/>
        <v>0</v>
      </c>
      <c r="R133" s="5">
        <f t="shared" si="80"/>
        <v>0</v>
      </c>
      <c r="S133" s="5">
        <f t="shared" si="81"/>
        <v>0</v>
      </c>
      <c r="T133" s="89">
        <f t="shared" si="82"/>
        <v>0</v>
      </c>
      <c r="U133" s="89">
        <f t="shared" si="83"/>
        <v>0</v>
      </c>
      <c r="V133" s="90">
        <f t="shared" si="84"/>
        <v>0</v>
      </c>
    </row>
    <row r="134" spans="1:22" x14ac:dyDescent="0.25">
      <c r="A134" s="232"/>
      <c r="B134" s="166">
        <v>6</v>
      </c>
      <c r="C134" s="113" t="s">
        <v>97</v>
      </c>
      <c r="D134" s="135" t="s">
        <v>104</v>
      </c>
      <c r="E134" s="113" t="s">
        <v>36</v>
      </c>
      <c r="F134" s="75"/>
      <c r="G134" s="41"/>
      <c r="H134" s="127">
        <f>H96+(H96*Escalation!$D$4)</f>
        <v>31.623734465280002</v>
      </c>
      <c r="I134" s="5">
        <f>I96+(I96*Escalation!$D$4)</f>
        <v>0</v>
      </c>
      <c r="J134" s="5">
        <f>J96+(J96*Escalation!$D$4)</f>
        <v>0</v>
      </c>
      <c r="K134" s="114"/>
      <c r="L134" s="2">
        <f t="shared" si="85"/>
        <v>0</v>
      </c>
      <c r="M134" s="2">
        <f t="shared" si="86"/>
        <v>0</v>
      </c>
      <c r="N134" s="2">
        <f t="shared" si="87"/>
        <v>0</v>
      </c>
      <c r="O134" s="2">
        <f t="shared" si="88"/>
        <v>0</v>
      </c>
      <c r="P134" s="2">
        <f t="shared" si="89"/>
        <v>0</v>
      </c>
      <c r="Q134" s="5">
        <f t="shared" si="79"/>
        <v>0</v>
      </c>
      <c r="R134" s="5">
        <f t="shared" si="80"/>
        <v>0</v>
      </c>
      <c r="S134" s="5">
        <f t="shared" si="81"/>
        <v>0</v>
      </c>
      <c r="T134" s="89">
        <f t="shared" si="82"/>
        <v>0</v>
      </c>
      <c r="U134" s="89">
        <f t="shared" si="83"/>
        <v>0</v>
      </c>
      <c r="V134" s="90">
        <f t="shared" si="84"/>
        <v>0</v>
      </c>
    </row>
    <row r="135" spans="1:22" ht="15.75" thickBot="1" x14ac:dyDescent="0.3">
      <c r="A135" s="233"/>
      <c r="B135" s="167">
        <v>8</v>
      </c>
      <c r="C135" s="115" t="s">
        <v>42</v>
      </c>
      <c r="D135" s="115" t="s">
        <v>110</v>
      </c>
      <c r="E135" s="115" t="s">
        <v>36</v>
      </c>
      <c r="F135" s="76"/>
      <c r="G135" s="41"/>
      <c r="H135" s="128">
        <f>H97+(H97*Escalation!$D$4)</f>
        <v>26.482717523519998</v>
      </c>
      <c r="I135" s="38">
        <f>I97+(I97*Escalation!$D$4)</f>
        <v>0</v>
      </c>
      <c r="J135" s="38">
        <f>J97+(J97*Escalation!$D$4)</f>
        <v>0</v>
      </c>
      <c r="K135" s="116"/>
      <c r="L135" s="39">
        <f t="shared" si="85"/>
        <v>0</v>
      </c>
      <c r="M135" s="39">
        <f t="shared" si="86"/>
        <v>0</v>
      </c>
      <c r="N135" s="39">
        <f t="shared" si="87"/>
        <v>0</v>
      </c>
      <c r="O135" s="39">
        <f t="shared" si="88"/>
        <v>0</v>
      </c>
      <c r="P135" s="39">
        <f t="shared" si="89"/>
        <v>0</v>
      </c>
      <c r="Q135" s="38">
        <f t="shared" si="79"/>
        <v>0</v>
      </c>
      <c r="R135" s="38">
        <f t="shared" si="80"/>
        <v>0</v>
      </c>
      <c r="S135" s="38">
        <f t="shared" si="81"/>
        <v>0</v>
      </c>
      <c r="T135" s="91">
        <f t="shared" si="82"/>
        <v>0</v>
      </c>
      <c r="U135" s="91">
        <f t="shared" si="83"/>
        <v>0</v>
      </c>
      <c r="V135" s="92">
        <f t="shared" si="84"/>
        <v>0</v>
      </c>
    </row>
    <row r="136" spans="1:22" s="42" customFormat="1" ht="18" thickBot="1" x14ac:dyDescent="0.35">
      <c r="A136" s="152" t="s">
        <v>46</v>
      </c>
      <c r="B136" s="142"/>
      <c r="C136" s="142"/>
      <c r="D136" s="142"/>
      <c r="E136" s="142"/>
      <c r="F136" s="143"/>
      <c r="G136" s="41"/>
      <c r="H136" s="141"/>
      <c r="I136" s="141"/>
      <c r="J136" s="141"/>
      <c r="K136" s="141"/>
      <c r="L136" s="141"/>
      <c r="M136" s="141"/>
      <c r="N136" s="141"/>
      <c r="O136" s="141"/>
      <c r="P136" s="141"/>
      <c r="Q136" s="141"/>
      <c r="R136" s="141"/>
      <c r="S136" s="141"/>
      <c r="T136" s="144"/>
      <c r="U136" s="144"/>
      <c r="V136" s="145"/>
    </row>
    <row r="137" spans="1:22" ht="15.75" thickBot="1" x14ac:dyDescent="0.3">
      <c r="A137" s="184" t="s">
        <v>39</v>
      </c>
      <c r="B137" s="164">
        <v>11</v>
      </c>
      <c r="C137" s="109" t="s">
        <v>40</v>
      </c>
      <c r="D137" s="109" t="s">
        <v>105</v>
      </c>
      <c r="E137" s="109" t="s">
        <v>46</v>
      </c>
      <c r="F137" s="73"/>
      <c r="G137" s="81"/>
      <c r="H137" s="149">
        <f>H99+(H99*Escalation!$D$4)</f>
        <v>38.698032988079994</v>
      </c>
      <c r="I137" s="132">
        <f>I99+(I99*Escalation!$D$4)</f>
        <v>0</v>
      </c>
      <c r="J137" s="50">
        <f>J99+(J99*Escalation!$D$4)</f>
        <v>0</v>
      </c>
      <c r="K137" s="51">
        <f>(J137*$K$4)</f>
        <v>0</v>
      </c>
      <c r="L137" s="51">
        <f>(J137+K137)*$L$4</f>
        <v>0</v>
      </c>
      <c r="M137" s="51">
        <f>(J137+K137+L137)*$M$4</f>
        <v>0</v>
      </c>
      <c r="N137" s="51">
        <f>(J137+K137+L137)*$N$4</f>
        <v>0</v>
      </c>
      <c r="O137" s="51">
        <f>(J137+K137+L137+M137+N137)*$O$4</f>
        <v>0</v>
      </c>
      <c r="P137" s="51">
        <f>(J137+L137+M137+N137+O137)*$P$4</f>
        <v>0</v>
      </c>
      <c r="Q137" s="50">
        <f t="shared" ref="Q137:Q152" si="90">SUM(J137:P137)</f>
        <v>0</v>
      </c>
      <c r="R137" s="50">
        <f t="shared" ref="R137:R152" si="91">IF($R$4&lt;0,"N/A",(Q137-P137)*$R$4)</f>
        <v>0</v>
      </c>
      <c r="S137" s="50">
        <f t="shared" ref="S137:S152" si="92">SUM(Q137:R137)</f>
        <v>0</v>
      </c>
      <c r="T137" s="85">
        <f t="shared" ref="T137:T152" si="93">Q137*F137</f>
        <v>0</v>
      </c>
      <c r="U137" s="85">
        <f t="shared" ref="U137:U152" si="94">R137*F137</f>
        <v>0</v>
      </c>
      <c r="V137" s="86">
        <f t="shared" ref="V137:V152" si="95">S137*F137</f>
        <v>0</v>
      </c>
    </row>
    <row r="138" spans="1:22" ht="15.75" thickBot="1" x14ac:dyDescent="0.3">
      <c r="A138" s="185"/>
      <c r="B138" s="171">
        <v>12</v>
      </c>
      <c r="C138" s="172" t="s">
        <v>113</v>
      </c>
      <c r="D138" s="172" t="s">
        <v>108</v>
      </c>
      <c r="E138" s="172"/>
      <c r="F138" s="173"/>
      <c r="G138" s="81"/>
      <c r="H138" s="174"/>
      <c r="I138" s="175"/>
      <c r="J138" s="176"/>
      <c r="K138" s="177"/>
      <c r="L138" s="177"/>
      <c r="M138" s="177"/>
      <c r="N138" s="177"/>
      <c r="O138" s="177"/>
      <c r="P138" s="177"/>
      <c r="Q138" s="176"/>
      <c r="R138" s="176"/>
      <c r="S138" s="176"/>
      <c r="T138" s="178"/>
      <c r="U138" s="178"/>
      <c r="V138" s="179"/>
    </row>
    <row r="139" spans="1:22" x14ac:dyDescent="0.25">
      <c r="A139" s="236" t="s">
        <v>93</v>
      </c>
      <c r="B139" s="165">
        <v>13</v>
      </c>
      <c r="C139" s="111" t="s">
        <v>41</v>
      </c>
      <c r="D139" s="111" t="s">
        <v>106</v>
      </c>
      <c r="E139" s="111" t="s">
        <v>46</v>
      </c>
      <c r="F139" s="70"/>
      <c r="G139" s="81"/>
      <c r="H139" s="153">
        <f>H101+(H101*Escalation!$D$4)</f>
        <v>34.883312013648002</v>
      </c>
      <c r="I139" s="122">
        <f>I101+(I101*Escalation!$D$4)</f>
        <v>0</v>
      </c>
      <c r="J139" s="25">
        <f>J101+(J101*Escalation!$D$4)</f>
        <v>0</v>
      </c>
      <c r="K139" s="26">
        <f t="shared" ref="K139:K152" si="96">(J139*$K$4)</f>
        <v>0</v>
      </c>
      <c r="L139" s="26">
        <f t="shared" ref="L139:L152" si="97">(J139+K139)*$L$4</f>
        <v>0</v>
      </c>
      <c r="M139" s="26">
        <f t="shared" ref="M139:M152" si="98">(J139+K139+L139)*$M$4</f>
        <v>0</v>
      </c>
      <c r="N139" s="26">
        <f t="shared" ref="N139:N152" si="99">(J139+K139+L139)*$N$4</f>
        <v>0</v>
      </c>
      <c r="O139" s="26">
        <f t="shared" ref="O139:O152" si="100">(J139+K139+L139+M139+N139)*$O$4</f>
        <v>0</v>
      </c>
      <c r="P139" s="26">
        <f t="shared" ref="P139:P152" si="101">(J139+L139+M139+N139+O139)*$P$4</f>
        <v>0</v>
      </c>
      <c r="Q139" s="25">
        <f t="shared" si="90"/>
        <v>0</v>
      </c>
      <c r="R139" s="25">
        <f t="shared" si="91"/>
        <v>0</v>
      </c>
      <c r="S139" s="25">
        <f t="shared" si="92"/>
        <v>0</v>
      </c>
      <c r="T139" s="87">
        <f t="shared" si="93"/>
        <v>0</v>
      </c>
      <c r="U139" s="87">
        <f t="shared" si="94"/>
        <v>0</v>
      </c>
      <c r="V139" s="88">
        <f t="shared" si="95"/>
        <v>0</v>
      </c>
    </row>
    <row r="140" spans="1:22" x14ac:dyDescent="0.25">
      <c r="A140" s="237"/>
      <c r="B140" s="166">
        <v>14</v>
      </c>
      <c r="C140" s="113" t="s">
        <v>44</v>
      </c>
      <c r="D140" s="113" t="s">
        <v>107</v>
      </c>
      <c r="E140" s="113" t="s">
        <v>46</v>
      </c>
      <c r="F140" s="71"/>
      <c r="G140" s="81"/>
      <c r="H140" s="154">
        <f>H102+(H102*Escalation!$D$4)</f>
        <v>31.503849406344003</v>
      </c>
      <c r="I140" s="117">
        <f>I102+(I102*Escalation!$D$4)</f>
        <v>0</v>
      </c>
      <c r="J140" s="5">
        <f>J102+(J102*Escalation!$D$4)</f>
        <v>0</v>
      </c>
      <c r="K140" s="2">
        <f t="shared" si="96"/>
        <v>0</v>
      </c>
      <c r="L140" s="2">
        <f t="shared" si="97"/>
        <v>0</v>
      </c>
      <c r="M140" s="2">
        <f t="shared" si="98"/>
        <v>0</v>
      </c>
      <c r="N140" s="2">
        <f t="shared" si="99"/>
        <v>0</v>
      </c>
      <c r="O140" s="2">
        <f t="shared" si="100"/>
        <v>0</v>
      </c>
      <c r="P140" s="2">
        <f t="shared" si="101"/>
        <v>0</v>
      </c>
      <c r="Q140" s="5">
        <f t="shared" si="90"/>
        <v>0</v>
      </c>
      <c r="R140" s="5">
        <f t="shared" si="91"/>
        <v>0</v>
      </c>
      <c r="S140" s="5">
        <f t="shared" si="92"/>
        <v>0</v>
      </c>
      <c r="T140" s="89">
        <f t="shared" si="93"/>
        <v>0</v>
      </c>
      <c r="U140" s="89">
        <f t="shared" si="94"/>
        <v>0</v>
      </c>
      <c r="V140" s="90">
        <f t="shared" si="95"/>
        <v>0</v>
      </c>
    </row>
    <row r="141" spans="1:22" x14ac:dyDescent="0.25">
      <c r="A141" s="237"/>
      <c r="B141" s="166">
        <v>15</v>
      </c>
      <c r="C141" s="113" t="s">
        <v>97</v>
      </c>
      <c r="D141" s="113" t="s">
        <v>108</v>
      </c>
      <c r="E141" s="113" t="s">
        <v>46</v>
      </c>
      <c r="F141" s="71"/>
      <c r="G141" s="81"/>
      <c r="H141" s="154">
        <f>H103+(H103*Escalation!$D$4)</f>
        <v>33.204921188544006</v>
      </c>
      <c r="I141" s="117">
        <f>I103+(I103*Escalation!$D$4)</f>
        <v>0</v>
      </c>
      <c r="J141" s="5">
        <f>J103+(J103*Escalation!$D$4)</f>
        <v>0</v>
      </c>
      <c r="K141" s="2">
        <f t="shared" si="96"/>
        <v>0</v>
      </c>
      <c r="L141" s="2">
        <f t="shared" si="97"/>
        <v>0</v>
      </c>
      <c r="M141" s="2">
        <f t="shared" si="98"/>
        <v>0</v>
      </c>
      <c r="N141" s="2">
        <f t="shared" si="99"/>
        <v>0</v>
      </c>
      <c r="O141" s="2">
        <f t="shared" si="100"/>
        <v>0</v>
      </c>
      <c r="P141" s="2">
        <f t="shared" si="101"/>
        <v>0</v>
      </c>
      <c r="Q141" s="5">
        <f t="shared" si="90"/>
        <v>0</v>
      </c>
      <c r="R141" s="5">
        <f t="shared" si="91"/>
        <v>0</v>
      </c>
      <c r="S141" s="5">
        <f t="shared" si="92"/>
        <v>0</v>
      </c>
      <c r="T141" s="89">
        <f t="shared" si="93"/>
        <v>0</v>
      </c>
      <c r="U141" s="89">
        <f t="shared" si="94"/>
        <v>0</v>
      </c>
      <c r="V141" s="90">
        <f t="shared" si="95"/>
        <v>0</v>
      </c>
    </row>
    <row r="142" spans="1:22" x14ac:dyDescent="0.25">
      <c r="A142" s="237"/>
      <c r="B142" s="166">
        <v>16</v>
      </c>
      <c r="C142" s="113" t="s">
        <v>45</v>
      </c>
      <c r="D142" s="113" t="s">
        <v>109</v>
      </c>
      <c r="E142" s="113" t="s">
        <v>46</v>
      </c>
      <c r="F142" s="71"/>
      <c r="G142" s="81"/>
      <c r="H142" s="154">
        <f>H104+(H104*Escalation!$D$4)</f>
        <v>40.485508416360005</v>
      </c>
      <c r="I142" s="117">
        <f>I104+(I104*Escalation!$D$4)</f>
        <v>0</v>
      </c>
      <c r="J142" s="5">
        <f>J104+(J104*Escalation!$D$4)</f>
        <v>0</v>
      </c>
      <c r="K142" s="2">
        <f t="shared" si="96"/>
        <v>0</v>
      </c>
      <c r="L142" s="2">
        <f t="shared" si="97"/>
        <v>0</v>
      </c>
      <c r="M142" s="2">
        <f t="shared" si="98"/>
        <v>0</v>
      </c>
      <c r="N142" s="2">
        <f t="shared" si="99"/>
        <v>0</v>
      </c>
      <c r="O142" s="2">
        <f t="shared" si="100"/>
        <v>0</v>
      </c>
      <c r="P142" s="2">
        <f t="shared" si="101"/>
        <v>0</v>
      </c>
      <c r="Q142" s="5">
        <f t="shared" si="90"/>
        <v>0</v>
      </c>
      <c r="R142" s="5">
        <f t="shared" si="91"/>
        <v>0</v>
      </c>
      <c r="S142" s="5">
        <f t="shared" si="92"/>
        <v>0</v>
      </c>
      <c r="T142" s="89">
        <f t="shared" si="93"/>
        <v>0</v>
      </c>
      <c r="U142" s="89">
        <f t="shared" si="94"/>
        <v>0</v>
      </c>
      <c r="V142" s="90">
        <f t="shared" si="95"/>
        <v>0</v>
      </c>
    </row>
    <row r="143" spans="1:22" ht="15.75" thickBot="1" x14ac:dyDescent="0.3">
      <c r="A143" s="238"/>
      <c r="B143" s="167">
        <v>17</v>
      </c>
      <c r="C143" s="115" t="s">
        <v>42</v>
      </c>
      <c r="D143" s="115" t="s">
        <v>110</v>
      </c>
      <c r="E143" s="115" t="s">
        <v>46</v>
      </c>
      <c r="F143" s="72"/>
      <c r="G143" s="81"/>
      <c r="H143" s="155">
        <f>H105+(H105*Escalation!$D$4)</f>
        <v>27.806853399696003</v>
      </c>
      <c r="I143" s="123">
        <f>I105+(I105*Escalation!$D$4)</f>
        <v>0</v>
      </c>
      <c r="J143" s="38">
        <f>J105+(J105*Escalation!$D$4)</f>
        <v>0</v>
      </c>
      <c r="K143" s="39">
        <f t="shared" si="96"/>
        <v>0</v>
      </c>
      <c r="L143" s="39">
        <f t="shared" si="97"/>
        <v>0</v>
      </c>
      <c r="M143" s="39">
        <f t="shared" si="98"/>
        <v>0</v>
      </c>
      <c r="N143" s="39">
        <f t="shared" si="99"/>
        <v>0</v>
      </c>
      <c r="O143" s="39">
        <f t="shared" si="100"/>
        <v>0</v>
      </c>
      <c r="P143" s="39">
        <f t="shared" si="101"/>
        <v>0</v>
      </c>
      <c r="Q143" s="38">
        <f t="shared" si="90"/>
        <v>0</v>
      </c>
      <c r="R143" s="38">
        <f t="shared" si="91"/>
        <v>0</v>
      </c>
      <c r="S143" s="38">
        <f t="shared" si="92"/>
        <v>0</v>
      </c>
      <c r="T143" s="91">
        <f t="shared" si="93"/>
        <v>0</v>
      </c>
      <c r="U143" s="91">
        <f t="shared" si="94"/>
        <v>0</v>
      </c>
      <c r="V143" s="92">
        <f t="shared" si="95"/>
        <v>0</v>
      </c>
    </row>
    <row r="144" spans="1:22" ht="30.75" thickBot="1" x14ac:dyDescent="0.3">
      <c r="A144" s="168" t="s">
        <v>94</v>
      </c>
      <c r="B144" s="164">
        <v>18</v>
      </c>
      <c r="C144" s="109" t="s">
        <v>99</v>
      </c>
      <c r="D144" s="109" t="s">
        <v>111</v>
      </c>
      <c r="E144" s="109" t="s">
        <v>46</v>
      </c>
      <c r="F144" s="73"/>
      <c r="G144" s="81"/>
      <c r="H144" s="149">
        <f>H106+(H106*Escalation!$D$4)</f>
        <v>29.360498960772006</v>
      </c>
      <c r="I144" s="132">
        <f>I106+(I106*Escalation!$D$4)</f>
        <v>0</v>
      </c>
      <c r="J144" s="50">
        <f>J106+(J106*Escalation!$D$4)</f>
        <v>0</v>
      </c>
      <c r="K144" s="51">
        <f t="shared" si="96"/>
        <v>0</v>
      </c>
      <c r="L144" s="51">
        <f t="shared" si="97"/>
        <v>0</v>
      </c>
      <c r="M144" s="51">
        <f t="shared" si="98"/>
        <v>0</v>
      </c>
      <c r="N144" s="51">
        <f t="shared" si="99"/>
        <v>0</v>
      </c>
      <c r="O144" s="51">
        <f t="shared" si="100"/>
        <v>0</v>
      </c>
      <c r="P144" s="51">
        <f t="shared" si="101"/>
        <v>0</v>
      </c>
      <c r="Q144" s="50">
        <f t="shared" si="90"/>
        <v>0</v>
      </c>
      <c r="R144" s="50">
        <f t="shared" si="91"/>
        <v>0</v>
      </c>
      <c r="S144" s="50">
        <f t="shared" si="92"/>
        <v>0</v>
      </c>
      <c r="T144" s="85">
        <f t="shared" si="93"/>
        <v>0</v>
      </c>
      <c r="U144" s="85">
        <f t="shared" si="94"/>
        <v>0</v>
      </c>
      <c r="V144" s="86">
        <f t="shared" si="95"/>
        <v>0</v>
      </c>
    </row>
    <row r="145" spans="1:22" ht="15" customHeight="1" x14ac:dyDescent="0.25">
      <c r="A145" s="231" t="s">
        <v>95</v>
      </c>
      <c r="B145" s="165">
        <v>13</v>
      </c>
      <c r="C145" s="111" t="s">
        <v>41</v>
      </c>
      <c r="D145" s="111" t="s">
        <v>106</v>
      </c>
      <c r="E145" s="111" t="s">
        <v>46</v>
      </c>
      <c r="F145" s="70"/>
      <c r="G145" s="81"/>
      <c r="H145" s="153">
        <f>H107+(H107*Escalation!$D$4)</f>
        <v>34.883312013648002</v>
      </c>
      <c r="I145" s="122">
        <f>I107+(I107*Escalation!$D$4)</f>
        <v>0</v>
      </c>
      <c r="J145" s="25">
        <f>J107+(J107*Escalation!$D$4)</f>
        <v>0</v>
      </c>
      <c r="K145" s="26">
        <f t="shared" si="96"/>
        <v>0</v>
      </c>
      <c r="L145" s="26">
        <f t="shared" si="97"/>
        <v>0</v>
      </c>
      <c r="M145" s="26">
        <f t="shared" si="98"/>
        <v>0</v>
      </c>
      <c r="N145" s="26">
        <f t="shared" si="99"/>
        <v>0</v>
      </c>
      <c r="O145" s="26">
        <f t="shared" si="100"/>
        <v>0</v>
      </c>
      <c r="P145" s="26">
        <f t="shared" si="101"/>
        <v>0</v>
      </c>
      <c r="Q145" s="25">
        <f t="shared" si="90"/>
        <v>0</v>
      </c>
      <c r="R145" s="25">
        <f t="shared" si="91"/>
        <v>0</v>
      </c>
      <c r="S145" s="25">
        <f t="shared" si="92"/>
        <v>0</v>
      </c>
      <c r="T145" s="87">
        <f t="shared" si="93"/>
        <v>0</v>
      </c>
      <c r="U145" s="87">
        <f t="shared" si="94"/>
        <v>0</v>
      </c>
      <c r="V145" s="88">
        <f t="shared" si="95"/>
        <v>0</v>
      </c>
    </row>
    <row r="146" spans="1:22" x14ac:dyDescent="0.25">
      <c r="A146" s="232"/>
      <c r="B146" s="166">
        <v>14</v>
      </c>
      <c r="C146" s="113" t="s">
        <v>44</v>
      </c>
      <c r="D146" s="113" t="s">
        <v>107</v>
      </c>
      <c r="E146" s="113" t="s">
        <v>46</v>
      </c>
      <c r="F146" s="71"/>
      <c r="G146" s="81"/>
      <c r="H146" s="154">
        <f>H108+(H108*Escalation!$D$4)</f>
        <v>31.503849406344003</v>
      </c>
      <c r="I146" s="117">
        <f>I108+(I108*Escalation!$D$4)</f>
        <v>0</v>
      </c>
      <c r="J146" s="5">
        <f>J108+(J108*Escalation!$D$4)</f>
        <v>0</v>
      </c>
      <c r="K146" s="2">
        <f t="shared" si="96"/>
        <v>0</v>
      </c>
      <c r="L146" s="2">
        <f t="shared" si="97"/>
        <v>0</v>
      </c>
      <c r="M146" s="2">
        <f t="shared" si="98"/>
        <v>0</v>
      </c>
      <c r="N146" s="2">
        <f t="shared" si="99"/>
        <v>0</v>
      </c>
      <c r="O146" s="2">
        <f t="shared" si="100"/>
        <v>0</v>
      </c>
      <c r="P146" s="2">
        <f t="shared" si="101"/>
        <v>0</v>
      </c>
      <c r="Q146" s="5">
        <f t="shared" si="90"/>
        <v>0</v>
      </c>
      <c r="R146" s="5">
        <f t="shared" si="91"/>
        <v>0</v>
      </c>
      <c r="S146" s="5">
        <f t="shared" si="92"/>
        <v>0</v>
      </c>
      <c r="T146" s="89">
        <f t="shared" si="93"/>
        <v>0</v>
      </c>
      <c r="U146" s="89">
        <f t="shared" si="94"/>
        <v>0</v>
      </c>
      <c r="V146" s="90">
        <f t="shared" si="95"/>
        <v>0</v>
      </c>
    </row>
    <row r="147" spans="1:22" x14ac:dyDescent="0.25">
      <c r="A147" s="232"/>
      <c r="B147" s="166">
        <v>15</v>
      </c>
      <c r="C147" s="113" t="s">
        <v>97</v>
      </c>
      <c r="D147" s="113" t="s">
        <v>104</v>
      </c>
      <c r="E147" s="113" t="s">
        <v>46</v>
      </c>
      <c r="F147" s="71"/>
      <c r="G147" s="81"/>
      <c r="H147" s="154">
        <f>H109+(H109*Escalation!$D$4)</f>
        <v>33.204921188544006</v>
      </c>
      <c r="I147" s="117">
        <f>I109+(I109*Escalation!$D$4)</f>
        <v>0</v>
      </c>
      <c r="J147" s="5">
        <f>J109+(J109*Escalation!$D$4)</f>
        <v>0</v>
      </c>
      <c r="K147" s="2">
        <f t="shared" si="96"/>
        <v>0</v>
      </c>
      <c r="L147" s="2">
        <f t="shared" si="97"/>
        <v>0</v>
      </c>
      <c r="M147" s="2">
        <f t="shared" si="98"/>
        <v>0</v>
      </c>
      <c r="N147" s="2">
        <f t="shared" si="99"/>
        <v>0</v>
      </c>
      <c r="O147" s="2">
        <f t="shared" si="100"/>
        <v>0</v>
      </c>
      <c r="P147" s="2">
        <f t="shared" si="101"/>
        <v>0</v>
      </c>
      <c r="Q147" s="5">
        <f t="shared" si="90"/>
        <v>0</v>
      </c>
      <c r="R147" s="5">
        <f t="shared" si="91"/>
        <v>0</v>
      </c>
      <c r="S147" s="5">
        <f t="shared" si="92"/>
        <v>0</v>
      </c>
      <c r="T147" s="89">
        <f t="shared" si="93"/>
        <v>0</v>
      </c>
      <c r="U147" s="89">
        <f t="shared" si="94"/>
        <v>0</v>
      </c>
      <c r="V147" s="90">
        <f t="shared" si="95"/>
        <v>0</v>
      </c>
    </row>
    <row r="148" spans="1:22" ht="15" customHeight="1" thickBot="1" x14ac:dyDescent="0.3">
      <c r="A148" s="233"/>
      <c r="B148" s="167">
        <v>11</v>
      </c>
      <c r="C148" s="115" t="s">
        <v>40</v>
      </c>
      <c r="D148" s="115" t="s">
        <v>105</v>
      </c>
      <c r="E148" s="115" t="s">
        <v>46</v>
      </c>
      <c r="F148" s="72"/>
      <c r="G148" s="81"/>
      <c r="H148" s="155">
        <f>H110+(H110*Escalation!$D$4)</f>
        <v>34.883312013648002</v>
      </c>
      <c r="I148" s="38">
        <f>I110+(I110*Escalation!$D$4)</f>
        <v>0</v>
      </c>
      <c r="J148" s="38">
        <f>J110+(J110*Escalation!$D$4)</f>
        <v>0</v>
      </c>
      <c r="K148" s="39">
        <f t="shared" si="96"/>
        <v>0</v>
      </c>
      <c r="L148" s="39">
        <f t="shared" si="97"/>
        <v>0</v>
      </c>
      <c r="M148" s="39">
        <f t="shared" si="98"/>
        <v>0</v>
      </c>
      <c r="N148" s="39">
        <f t="shared" si="99"/>
        <v>0</v>
      </c>
      <c r="O148" s="39">
        <f t="shared" si="100"/>
        <v>0</v>
      </c>
      <c r="P148" s="39">
        <f t="shared" si="101"/>
        <v>0</v>
      </c>
      <c r="Q148" s="38">
        <f t="shared" si="90"/>
        <v>0</v>
      </c>
      <c r="R148" s="38">
        <f t="shared" si="91"/>
        <v>0</v>
      </c>
      <c r="S148" s="38">
        <f t="shared" si="92"/>
        <v>0</v>
      </c>
      <c r="T148" s="91">
        <f t="shared" si="93"/>
        <v>0</v>
      </c>
      <c r="U148" s="91">
        <f t="shared" si="94"/>
        <v>0</v>
      </c>
      <c r="V148" s="92">
        <f t="shared" si="95"/>
        <v>0</v>
      </c>
    </row>
    <row r="149" spans="1:22" x14ac:dyDescent="0.25">
      <c r="A149" s="231" t="s">
        <v>96</v>
      </c>
      <c r="B149" s="165">
        <v>11</v>
      </c>
      <c r="C149" s="111" t="s">
        <v>40</v>
      </c>
      <c r="D149" s="111" t="s">
        <v>105</v>
      </c>
      <c r="E149" s="111" t="s">
        <v>46</v>
      </c>
      <c r="F149" s="70"/>
      <c r="G149" s="81"/>
      <c r="H149" s="153">
        <f>H111+(H111*Escalation!$D$4)</f>
        <v>34.883312013648002</v>
      </c>
      <c r="I149" s="122">
        <f>I111+(I111*Escalation!$D$4)</f>
        <v>0</v>
      </c>
      <c r="J149" s="25">
        <f>J111+(J111*Escalation!$D$4)</f>
        <v>0</v>
      </c>
      <c r="K149" s="26">
        <f t="shared" si="96"/>
        <v>0</v>
      </c>
      <c r="L149" s="26">
        <f t="shared" si="97"/>
        <v>0</v>
      </c>
      <c r="M149" s="26">
        <f t="shared" si="98"/>
        <v>0</v>
      </c>
      <c r="N149" s="26">
        <f t="shared" si="99"/>
        <v>0</v>
      </c>
      <c r="O149" s="26">
        <f t="shared" si="100"/>
        <v>0</v>
      </c>
      <c r="P149" s="26">
        <f t="shared" si="101"/>
        <v>0</v>
      </c>
      <c r="Q149" s="25">
        <f t="shared" si="90"/>
        <v>0</v>
      </c>
      <c r="R149" s="25">
        <f t="shared" si="91"/>
        <v>0</v>
      </c>
      <c r="S149" s="25">
        <f t="shared" si="92"/>
        <v>0</v>
      </c>
      <c r="T149" s="87">
        <f t="shared" si="93"/>
        <v>0</v>
      </c>
      <c r="U149" s="87">
        <f t="shared" si="94"/>
        <v>0</v>
      </c>
      <c r="V149" s="88">
        <f t="shared" si="95"/>
        <v>0</v>
      </c>
    </row>
    <row r="150" spans="1:22" x14ac:dyDescent="0.25">
      <c r="A150" s="232"/>
      <c r="B150" s="166">
        <v>19</v>
      </c>
      <c r="C150" s="113" t="s">
        <v>101</v>
      </c>
      <c r="D150" s="113" t="s">
        <v>112</v>
      </c>
      <c r="E150" s="113" t="s">
        <v>46</v>
      </c>
      <c r="F150" s="71"/>
      <c r="G150" s="81"/>
      <c r="H150" s="154">
        <f>H112+(H112*Escalation!$D$4)</f>
        <v>34.883312013648002</v>
      </c>
      <c r="I150" s="117">
        <f>I112+(I112*Escalation!$D$4)</f>
        <v>0</v>
      </c>
      <c r="J150" s="5">
        <f>J112+(J112*Escalation!$D$4)</f>
        <v>0</v>
      </c>
      <c r="K150" s="2">
        <f t="shared" si="96"/>
        <v>0</v>
      </c>
      <c r="L150" s="2">
        <f t="shared" si="97"/>
        <v>0</v>
      </c>
      <c r="M150" s="2">
        <f t="shared" si="98"/>
        <v>0</v>
      </c>
      <c r="N150" s="2">
        <f t="shared" si="99"/>
        <v>0</v>
      </c>
      <c r="O150" s="2">
        <f t="shared" si="100"/>
        <v>0</v>
      </c>
      <c r="P150" s="2">
        <f t="shared" si="101"/>
        <v>0</v>
      </c>
      <c r="Q150" s="5">
        <f t="shared" si="90"/>
        <v>0</v>
      </c>
      <c r="R150" s="5">
        <f t="shared" si="91"/>
        <v>0</v>
      </c>
      <c r="S150" s="5">
        <f t="shared" si="92"/>
        <v>0</v>
      </c>
      <c r="T150" s="89">
        <f t="shared" si="93"/>
        <v>0</v>
      </c>
      <c r="U150" s="89">
        <f t="shared" si="94"/>
        <v>0</v>
      </c>
      <c r="V150" s="90">
        <f t="shared" si="95"/>
        <v>0</v>
      </c>
    </row>
    <row r="151" spans="1:22" x14ac:dyDescent="0.25">
      <c r="A151" s="232"/>
      <c r="B151" s="166">
        <v>15</v>
      </c>
      <c r="C151" s="113" t="s">
        <v>97</v>
      </c>
      <c r="D151" s="113" t="s">
        <v>104</v>
      </c>
      <c r="E151" s="113" t="s">
        <v>46</v>
      </c>
      <c r="F151" s="71"/>
      <c r="G151" s="81"/>
      <c r="H151" s="154">
        <f>H113+(H113*Escalation!$D$4)</f>
        <v>33.204921188544006</v>
      </c>
      <c r="I151" s="117">
        <f>I113+(I113*Escalation!$D$4)</f>
        <v>0</v>
      </c>
      <c r="J151" s="5">
        <f>J113+(J113*Escalation!$D$4)</f>
        <v>0</v>
      </c>
      <c r="K151" s="2">
        <f t="shared" si="96"/>
        <v>0</v>
      </c>
      <c r="L151" s="2">
        <f t="shared" si="97"/>
        <v>0</v>
      </c>
      <c r="M151" s="2">
        <f t="shared" si="98"/>
        <v>0</v>
      </c>
      <c r="N151" s="2">
        <f t="shared" si="99"/>
        <v>0</v>
      </c>
      <c r="O151" s="2">
        <f t="shared" si="100"/>
        <v>0</v>
      </c>
      <c r="P151" s="2">
        <f t="shared" si="101"/>
        <v>0</v>
      </c>
      <c r="Q151" s="5">
        <f t="shared" si="90"/>
        <v>0</v>
      </c>
      <c r="R151" s="5">
        <f t="shared" si="91"/>
        <v>0</v>
      </c>
      <c r="S151" s="5">
        <f t="shared" si="92"/>
        <v>0</v>
      </c>
      <c r="T151" s="89">
        <f t="shared" si="93"/>
        <v>0</v>
      </c>
      <c r="U151" s="89">
        <f t="shared" si="94"/>
        <v>0</v>
      </c>
      <c r="V151" s="90">
        <f t="shared" si="95"/>
        <v>0</v>
      </c>
    </row>
    <row r="152" spans="1:22" ht="15.75" thickBot="1" x14ac:dyDescent="0.3">
      <c r="A152" s="233"/>
      <c r="B152" s="167">
        <v>17</v>
      </c>
      <c r="C152" s="115" t="s">
        <v>42</v>
      </c>
      <c r="D152" s="115" t="s">
        <v>110</v>
      </c>
      <c r="E152" s="115" t="s">
        <v>46</v>
      </c>
      <c r="F152" s="72"/>
      <c r="G152" s="81"/>
      <c r="H152" s="155">
        <f>H114+(H114*Escalation!$D$4)</f>
        <v>27.806853399696003</v>
      </c>
      <c r="I152" s="123">
        <f>I114+(I114*Escalation!$D$4)</f>
        <v>0</v>
      </c>
      <c r="J152" s="38">
        <f>J114+(J114*Escalation!$D$4)</f>
        <v>0</v>
      </c>
      <c r="K152" s="39">
        <f t="shared" si="96"/>
        <v>0</v>
      </c>
      <c r="L152" s="39">
        <f t="shared" si="97"/>
        <v>0</v>
      </c>
      <c r="M152" s="39">
        <f t="shared" si="98"/>
        <v>0</v>
      </c>
      <c r="N152" s="39">
        <f t="shared" si="99"/>
        <v>0</v>
      </c>
      <c r="O152" s="39">
        <f t="shared" si="100"/>
        <v>0</v>
      </c>
      <c r="P152" s="39">
        <f t="shared" si="101"/>
        <v>0</v>
      </c>
      <c r="Q152" s="38">
        <f t="shared" si="90"/>
        <v>0</v>
      </c>
      <c r="R152" s="38">
        <f t="shared" si="91"/>
        <v>0</v>
      </c>
      <c r="S152" s="38">
        <f t="shared" si="92"/>
        <v>0</v>
      </c>
      <c r="T152" s="91">
        <f t="shared" si="93"/>
        <v>0</v>
      </c>
      <c r="U152" s="91">
        <f t="shared" si="94"/>
        <v>0</v>
      </c>
      <c r="V152" s="92">
        <f t="shared" si="95"/>
        <v>0</v>
      </c>
    </row>
    <row r="153" spans="1:22" ht="27" thickBot="1" x14ac:dyDescent="0.45">
      <c r="A153" s="239" t="s">
        <v>53</v>
      </c>
      <c r="B153" s="240"/>
      <c r="C153" s="240"/>
      <c r="D153" s="240"/>
      <c r="E153" s="240"/>
      <c r="F153" s="240"/>
      <c r="G153" s="240"/>
      <c r="H153" s="240"/>
      <c r="I153" s="240"/>
      <c r="J153" s="240"/>
      <c r="K153" s="240"/>
      <c r="L153" s="240"/>
      <c r="M153" s="240"/>
      <c r="N153" s="240"/>
      <c r="O153" s="240"/>
      <c r="P153" s="240"/>
      <c r="Q153" s="240"/>
      <c r="R153" s="240"/>
      <c r="S153" s="240"/>
      <c r="T153" s="240"/>
      <c r="U153" s="240"/>
      <c r="V153" s="245"/>
    </row>
    <row r="154" spans="1:22" ht="15.75" thickBot="1" x14ac:dyDescent="0.3">
      <c r="A154" s="234" t="s">
        <v>54</v>
      </c>
      <c r="B154" s="235"/>
      <c r="C154" s="235"/>
      <c r="D154" s="235"/>
      <c r="E154" s="235"/>
      <c r="F154" s="235"/>
      <c r="G154" s="78"/>
      <c r="H154" s="243" t="s">
        <v>81</v>
      </c>
      <c r="I154" s="243"/>
      <c r="J154" s="243"/>
      <c r="K154" s="243"/>
      <c r="L154" s="243"/>
      <c r="M154" s="243"/>
      <c r="N154" s="243"/>
      <c r="O154" s="243"/>
      <c r="P154" s="243"/>
      <c r="Q154" s="243"/>
      <c r="R154" s="243"/>
      <c r="S154" s="243"/>
      <c r="T154" s="243"/>
      <c r="U154" s="243"/>
      <c r="V154" s="244"/>
    </row>
    <row r="155" spans="1:22" s="46" customFormat="1" ht="45.95" customHeight="1" thickBot="1" x14ac:dyDescent="0.3">
      <c r="A155" s="47" t="s">
        <v>18</v>
      </c>
      <c r="B155" s="48" t="s">
        <v>19</v>
      </c>
      <c r="C155" s="49" t="s">
        <v>20</v>
      </c>
      <c r="D155" s="49" t="s">
        <v>21</v>
      </c>
      <c r="E155" s="49" t="s">
        <v>22</v>
      </c>
      <c r="F155" s="84" t="s">
        <v>72</v>
      </c>
      <c r="G155" s="79"/>
      <c r="H155" s="52" t="s">
        <v>24</v>
      </c>
      <c r="I155" s="53" t="s">
        <v>25</v>
      </c>
      <c r="J155" s="53" t="s">
        <v>26</v>
      </c>
      <c r="K155" s="53" t="s">
        <v>71</v>
      </c>
      <c r="L155" s="53" t="s">
        <v>27</v>
      </c>
      <c r="M155" s="124" t="s">
        <v>79</v>
      </c>
      <c r="N155" s="124" t="s">
        <v>80</v>
      </c>
      <c r="O155" s="124" t="s">
        <v>28</v>
      </c>
      <c r="P155" s="124" t="s">
        <v>29</v>
      </c>
      <c r="Q155" s="124" t="s">
        <v>30</v>
      </c>
      <c r="R155" s="124" t="s">
        <v>31</v>
      </c>
      <c r="S155" s="124" t="s">
        <v>32</v>
      </c>
      <c r="T155" s="44" t="s">
        <v>33</v>
      </c>
      <c r="U155" s="43" t="s">
        <v>34</v>
      </c>
      <c r="V155" s="45" t="s">
        <v>35</v>
      </c>
    </row>
    <row r="156" spans="1:22" s="33" customFormat="1" ht="30" customHeight="1" thickBot="1" x14ac:dyDescent="0.35">
      <c r="A156" s="100" t="s">
        <v>36</v>
      </c>
      <c r="B156" s="82"/>
      <c r="C156" s="82"/>
      <c r="D156" s="82"/>
      <c r="E156" s="82"/>
      <c r="F156" s="83"/>
      <c r="G156" s="80"/>
      <c r="H156" s="54"/>
      <c r="I156" s="32"/>
      <c r="J156" s="32"/>
      <c r="K156" s="29"/>
      <c r="L156" s="29"/>
      <c r="M156" s="29"/>
      <c r="N156" s="29"/>
      <c r="O156" s="29"/>
      <c r="P156" s="29"/>
      <c r="Q156" s="32"/>
      <c r="R156" s="29"/>
      <c r="S156" s="32"/>
      <c r="T156" s="32"/>
      <c r="U156" s="31"/>
      <c r="V156" s="30"/>
    </row>
    <row r="157" spans="1:22" ht="15.75" thickBot="1" x14ac:dyDescent="0.3">
      <c r="A157" s="163" t="s">
        <v>37</v>
      </c>
      <c r="B157" s="164">
        <v>1</v>
      </c>
      <c r="C157" s="109" t="s">
        <v>38</v>
      </c>
      <c r="D157" s="109" t="s">
        <v>114</v>
      </c>
      <c r="E157" s="109" t="s">
        <v>36</v>
      </c>
      <c r="F157" s="74"/>
      <c r="G157" s="41"/>
      <c r="H157" s="149">
        <f>H119+(H119*Escalation!$D$5)</f>
        <v>53.677660301677427</v>
      </c>
      <c r="I157" s="132">
        <f>I119+(I119*Escalation!$D$5)</f>
        <v>0</v>
      </c>
      <c r="J157" s="50">
        <f>J119+(J119*Escalation!$D$5)</f>
        <v>0</v>
      </c>
      <c r="K157" s="110"/>
      <c r="L157" s="51">
        <f>(J157*$L$4)</f>
        <v>0</v>
      </c>
      <c r="M157" s="51">
        <f>(L157+J157)*$M$4</f>
        <v>0</v>
      </c>
      <c r="N157" s="51">
        <f>(J157+L157)*$N$4</f>
        <v>0</v>
      </c>
      <c r="O157" s="51">
        <f>(L157+J157+M157+N157)*$O$4</f>
        <v>0</v>
      </c>
      <c r="P157" s="51">
        <f>(J157+L157+M157+N157+O157)*$P$4</f>
        <v>0</v>
      </c>
      <c r="Q157" s="50">
        <f t="shared" ref="Q157:Q173" si="102">SUM(J157:P157)</f>
        <v>0</v>
      </c>
      <c r="R157" s="50">
        <f t="shared" ref="R157:R173" si="103">IF($R$4&lt;0,"N/A",(Q157-P157)*$R$4)</f>
        <v>0</v>
      </c>
      <c r="S157" s="50">
        <f t="shared" ref="S157:S173" si="104">SUM(Q157:R157)</f>
        <v>0</v>
      </c>
      <c r="T157" s="85">
        <f t="shared" ref="T157:T173" si="105">Q157*F157</f>
        <v>0</v>
      </c>
      <c r="U157" s="85">
        <f t="shared" ref="U157:U173" si="106">R157*F157</f>
        <v>0</v>
      </c>
      <c r="V157" s="86">
        <f t="shared" ref="V157:V173" si="107">S157*F157</f>
        <v>0</v>
      </c>
    </row>
    <row r="158" spans="1:22" ht="15.75" thickBot="1" x14ac:dyDescent="0.3">
      <c r="A158" s="184" t="s">
        <v>39</v>
      </c>
      <c r="B158" s="164">
        <v>2</v>
      </c>
      <c r="C158" s="109" t="s">
        <v>40</v>
      </c>
      <c r="D158" s="109" t="s">
        <v>105</v>
      </c>
      <c r="E158" s="109" t="s">
        <v>36</v>
      </c>
      <c r="F158" s="74"/>
      <c r="G158" s="41"/>
      <c r="H158" s="125">
        <f>H120+(H120*Escalation!$D$5)</f>
        <v>39.704181845770073</v>
      </c>
      <c r="I158" s="132">
        <f>I120+(I120*Escalation!$D$5)</f>
        <v>0</v>
      </c>
      <c r="J158" s="50">
        <f>J120+(J120*Escalation!$D$5)</f>
        <v>0</v>
      </c>
      <c r="K158" s="110"/>
      <c r="L158" s="51">
        <f t="shared" ref="L158:L173" si="108">(J158*$L$4)</f>
        <v>0</v>
      </c>
      <c r="M158" s="51">
        <f t="shared" ref="M158:M173" si="109">(L158+J158)*$M$4</f>
        <v>0</v>
      </c>
      <c r="N158" s="51">
        <f t="shared" ref="N158:N173" si="110">(J158+L158)*$N$4</f>
        <v>0</v>
      </c>
      <c r="O158" s="51">
        <f t="shared" ref="O158:O173" si="111">(L158+J158+M158+N158)*$O$4</f>
        <v>0</v>
      </c>
      <c r="P158" s="51">
        <f t="shared" ref="P158:P173" si="112">(J158+L158+M158+N158+O158)*$P$4</f>
        <v>0</v>
      </c>
      <c r="Q158" s="50">
        <f t="shared" si="102"/>
        <v>0</v>
      </c>
      <c r="R158" s="50">
        <f t="shared" si="103"/>
        <v>0</v>
      </c>
      <c r="S158" s="50">
        <f t="shared" si="104"/>
        <v>0</v>
      </c>
      <c r="T158" s="85">
        <f t="shared" si="105"/>
        <v>0</v>
      </c>
      <c r="U158" s="85">
        <f t="shared" si="106"/>
        <v>0</v>
      </c>
      <c r="V158" s="86">
        <f t="shared" si="107"/>
        <v>0</v>
      </c>
    </row>
    <row r="159" spans="1:22" ht="15.75" thickBot="1" x14ac:dyDescent="0.3">
      <c r="A159" s="185"/>
      <c r="B159" s="171">
        <v>3</v>
      </c>
      <c r="C159" s="172" t="s">
        <v>113</v>
      </c>
      <c r="D159" s="172" t="s">
        <v>108</v>
      </c>
      <c r="E159" s="172" t="s">
        <v>36</v>
      </c>
      <c r="F159" s="180"/>
      <c r="G159" s="41"/>
      <c r="H159" s="181"/>
      <c r="I159" s="175"/>
      <c r="J159" s="176"/>
      <c r="K159" s="182"/>
      <c r="L159" s="177"/>
      <c r="M159" s="177"/>
      <c r="N159" s="177"/>
      <c r="O159" s="177"/>
      <c r="P159" s="177"/>
      <c r="Q159" s="176"/>
      <c r="R159" s="176"/>
      <c r="S159" s="176"/>
      <c r="T159" s="178"/>
      <c r="U159" s="178"/>
      <c r="V159" s="179"/>
    </row>
    <row r="160" spans="1:22" x14ac:dyDescent="0.25">
      <c r="A160" s="231" t="s">
        <v>93</v>
      </c>
      <c r="B160" s="165">
        <v>4</v>
      </c>
      <c r="C160" s="111" t="s">
        <v>41</v>
      </c>
      <c r="D160" s="111" t="s">
        <v>106</v>
      </c>
      <c r="E160" s="111" t="s">
        <v>36</v>
      </c>
      <c r="F160" s="77"/>
      <c r="G160" s="41"/>
      <c r="H160" s="126">
        <f>H122+(H122*Escalation!$D$5)</f>
        <v>34.085979167621765</v>
      </c>
      <c r="I160" s="122">
        <f>I122+(I122*Escalation!$D$5)</f>
        <v>0</v>
      </c>
      <c r="J160" s="25">
        <f>J122+(J122*Escalation!$D$5)</f>
        <v>0</v>
      </c>
      <c r="K160" s="112"/>
      <c r="L160" s="26">
        <f t="shared" si="108"/>
        <v>0</v>
      </c>
      <c r="M160" s="26">
        <f t="shared" si="109"/>
        <v>0</v>
      </c>
      <c r="N160" s="26">
        <f t="shared" si="110"/>
        <v>0</v>
      </c>
      <c r="O160" s="26">
        <f t="shared" si="111"/>
        <v>0</v>
      </c>
      <c r="P160" s="26">
        <f t="shared" si="112"/>
        <v>0</v>
      </c>
      <c r="Q160" s="25">
        <f t="shared" si="102"/>
        <v>0</v>
      </c>
      <c r="R160" s="25">
        <f t="shared" si="103"/>
        <v>0</v>
      </c>
      <c r="S160" s="25">
        <f t="shared" si="104"/>
        <v>0</v>
      </c>
      <c r="T160" s="87">
        <f t="shared" si="105"/>
        <v>0</v>
      </c>
      <c r="U160" s="87">
        <f t="shared" si="106"/>
        <v>0</v>
      </c>
      <c r="V160" s="88">
        <f t="shared" si="107"/>
        <v>0</v>
      </c>
    </row>
    <row r="161" spans="1:22" x14ac:dyDescent="0.25">
      <c r="A161" s="232"/>
      <c r="B161" s="166">
        <v>5</v>
      </c>
      <c r="C161" s="113" t="s">
        <v>44</v>
      </c>
      <c r="D161" s="113" t="s">
        <v>107</v>
      </c>
      <c r="E161" s="113" t="s">
        <v>36</v>
      </c>
      <c r="F161" s="75"/>
      <c r="G161" s="41"/>
      <c r="H161" s="127">
        <f>H123+(H123*Escalation!$D$5)</f>
        <v>30.783761419913279</v>
      </c>
      <c r="I161" s="5">
        <f>I123+(I123*Escalation!$D$5)</f>
        <v>0</v>
      </c>
      <c r="J161" s="5">
        <f>J123+(J123*Escalation!$D$5)</f>
        <v>0</v>
      </c>
      <c r="K161" s="114"/>
      <c r="L161" s="2">
        <f t="shared" si="108"/>
        <v>0</v>
      </c>
      <c r="M161" s="2">
        <f t="shared" si="109"/>
        <v>0</v>
      </c>
      <c r="N161" s="2">
        <f t="shared" si="110"/>
        <v>0</v>
      </c>
      <c r="O161" s="2">
        <f t="shared" si="111"/>
        <v>0</v>
      </c>
      <c r="P161" s="2">
        <f t="shared" si="112"/>
        <v>0</v>
      </c>
      <c r="Q161" s="5">
        <f t="shared" si="102"/>
        <v>0</v>
      </c>
      <c r="R161" s="5">
        <f t="shared" si="103"/>
        <v>0</v>
      </c>
      <c r="S161" s="5">
        <f t="shared" si="104"/>
        <v>0</v>
      </c>
      <c r="T161" s="89">
        <f t="shared" si="105"/>
        <v>0</v>
      </c>
      <c r="U161" s="89">
        <f t="shared" si="106"/>
        <v>0</v>
      </c>
      <c r="V161" s="90">
        <f t="shared" si="107"/>
        <v>0</v>
      </c>
    </row>
    <row r="162" spans="1:22" x14ac:dyDescent="0.25">
      <c r="A162" s="232"/>
      <c r="B162" s="166">
        <v>6</v>
      </c>
      <c r="C162" s="113" t="s">
        <v>97</v>
      </c>
      <c r="D162" s="113" t="s">
        <v>108</v>
      </c>
      <c r="E162" s="113" t="s">
        <v>36</v>
      </c>
      <c r="F162" s="75"/>
      <c r="G162" s="41"/>
      <c r="H162" s="127">
        <v>24.98</v>
      </c>
      <c r="I162" s="117">
        <f>I124+(I124*Escalation!$D$5)</f>
        <v>0</v>
      </c>
      <c r="J162" s="5">
        <f>J124+(J124*Escalation!$D$5)</f>
        <v>0</v>
      </c>
      <c r="K162" s="114"/>
      <c r="L162" s="2">
        <f t="shared" si="108"/>
        <v>0</v>
      </c>
      <c r="M162" s="2">
        <f t="shared" si="109"/>
        <v>0</v>
      </c>
      <c r="N162" s="2">
        <f t="shared" si="110"/>
        <v>0</v>
      </c>
      <c r="O162" s="2">
        <f t="shared" si="111"/>
        <v>0</v>
      </c>
      <c r="P162" s="2">
        <f t="shared" si="112"/>
        <v>0</v>
      </c>
      <c r="Q162" s="5">
        <f t="shared" si="102"/>
        <v>0</v>
      </c>
      <c r="R162" s="5">
        <f t="shared" si="103"/>
        <v>0</v>
      </c>
      <c r="S162" s="5">
        <f t="shared" si="104"/>
        <v>0</v>
      </c>
      <c r="T162" s="89">
        <f t="shared" si="105"/>
        <v>0</v>
      </c>
      <c r="U162" s="89">
        <f t="shared" si="106"/>
        <v>0</v>
      </c>
      <c r="V162" s="90">
        <f t="shared" si="107"/>
        <v>0</v>
      </c>
    </row>
    <row r="163" spans="1:22" x14ac:dyDescent="0.25">
      <c r="A163" s="232"/>
      <c r="B163" s="166">
        <v>7</v>
      </c>
      <c r="C163" s="113" t="s">
        <v>45</v>
      </c>
      <c r="D163" s="113" t="s">
        <v>109</v>
      </c>
      <c r="E163" s="113" t="s">
        <v>36</v>
      </c>
      <c r="F163" s="75"/>
      <c r="G163" s="41"/>
      <c r="H163" s="127">
        <f>H125+(H125*Escalation!$D$5)</f>
        <v>39.560125366843195</v>
      </c>
      <c r="I163" s="117">
        <f>I125+(I125*Escalation!$D$5)</f>
        <v>0</v>
      </c>
      <c r="J163" s="5">
        <f>J125+(J125*Escalation!$D$5)</f>
        <v>0</v>
      </c>
      <c r="K163" s="114"/>
      <c r="L163" s="2">
        <f t="shared" si="108"/>
        <v>0</v>
      </c>
      <c r="M163" s="2">
        <f t="shared" si="109"/>
        <v>0</v>
      </c>
      <c r="N163" s="2">
        <f t="shared" si="110"/>
        <v>0</v>
      </c>
      <c r="O163" s="2">
        <f t="shared" si="111"/>
        <v>0</v>
      </c>
      <c r="P163" s="2">
        <f t="shared" si="112"/>
        <v>0</v>
      </c>
      <c r="Q163" s="5">
        <f t="shared" si="102"/>
        <v>0</v>
      </c>
      <c r="R163" s="5">
        <f t="shared" si="103"/>
        <v>0</v>
      </c>
      <c r="S163" s="5">
        <f t="shared" si="104"/>
        <v>0</v>
      </c>
      <c r="T163" s="89">
        <f t="shared" si="105"/>
        <v>0</v>
      </c>
      <c r="U163" s="89">
        <f t="shared" si="106"/>
        <v>0</v>
      </c>
      <c r="V163" s="90">
        <f t="shared" si="107"/>
        <v>0</v>
      </c>
    </row>
    <row r="164" spans="1:22" ht="15.75" thickBot="1" x14ac:dyDescent="0.3">
      <c r="A164" s="233"/>
      <c r="B164" s="167">
        <v>8</v>
      </c>
      <c r="C164" s="115" t="s">
        <v>42</v>
      </c>
      <c r="D164" s="115" t="s">
        <v>110</v>
      </c>
      <c r="E164" s="115" t="s">
        <v>36</v>
      </c>
      <c r="F164" s="76"/>
      <c r="G164" s="41"/>
      <c r="H164" s="150">
        <f>H126+(H126*Escalation!$D$5)</f>
        <v>27.171268179131516</v>
      </c>
      <c r="I164" s="123">
        <f>I126+(I126*Escalation!$D$5)</f>
        <v>0</v>
      </c>
      <c r="J164" s="38">
        <f>J126+(J126*Escalation!$D$5)</f>
        <v>0</v>
      </c>
      <c r="K164" s="116"/>
      <c r="L164" s="39">
        <f t="shared" si="108"/>
        <v>0</v>
      </c>
      <c r="M164" s="39">
        <f t="shared" si="109"/>
        <v>0</v>
      </c>
      <c r="N164" s="39">
        <f t="shared" si="110"/>
        <v>0</v>
      </c>
      <c r="O164" s="39">
        <f t="shared" si="111"/>
        <v>0</v>
      </c>
      <c r="P164" s="39">
        <f t="shared" si="112"/>
        <v>0</v>
      </c>
      <c r="Q164" s="38">
        <f t="shared" si="102"/>
        <v>0</v>
      </c>
      <c r="R164" s="38">
        <f t="shared" si="103"/>
        <v>0</v>
      </c>
      <c r="S164" s="38">
        <f t="shared" si="104"/>
        <v>0</v>
      </c>
      <c r="T164" s="91">
        <f t="shared" si="105"/>
        <v>0</v>
      </c>
      <c r="U164" s="91">
        <f t="shared" si="106"/>
        <v>0</v>
      </c>
      <c r="V164" s="92">
        <f t="shared" si="107"/>
        <v>0</v>
      </c>
    </row>
    <row r="165" spans="1:22" ht="30.75" thickBot="1" x14ac:dyDescent="0.3">
      <c r="A165" s="168" t="s">
        <v>94</v>
      </c>
      <c r="B165" s="164">
        <v>9</v>
      </c>
      <c r="C165" s="109" t="s">
        <v>43</v>
      </c>
      <c r="D165" s="148" t="s">
        <v>111</v>
      </c>
      <c r="E165" s="109" t="s">
        <v>36</v>
      </c>
      <c r="F165" s="74"/>
      <c r="G165" s="41"/>
      <c r="H165" s="151">
        <f>H127+(H127*Escalation!$D$5)</f>
        <v>28.689401841668641</v>
      </c>
      <c r="I165" s="132">
        <f>I127+(I127*Escalation!$D$5)</f>
        <v>0</v>
      </c>
      <c r="J165" s="50">
        <f>J127+(J127*Escalation!$D$5)</f>
        <v>0</v>
      </c>
      <c r="K165" s="110"/>
      <c r="L165" s="51">
        <f t="shared" si="108"/>
        <v>0</v>
      </c>
      <c r="M165" s="51">
        <f t="shared" si="109"/>
        <v>0</v>
      </c>
      <c r="N165" s="51">
        <f t="shared" si="110"/>
        <v>0</v>
      </c>
      <c r="O165" s="51">
        <f t="shared" si="111"/>
        <v>0</v>
      </c>
      <c r="P165" s="51">
        <f t="shared" si="112"/>
        <v>0</v>
      </c>
      <c r="Q165" s="50">
        <f t="shared" si="102"/>
        <v>0</v>
      </c>
      <c r="R165" s="50">
        <f t="shared" si="103"/>
        <v>0</v>
      </c>
      <c r="S165" s="50">
        <f t="shared" si="104"/>
        <v>0</v>
      </c>
      <c r="T165" s="85">
        <f t="shared" si="105"/>
        <v>0</v>
      </c>
      <c r="U165" s="85">
        <f t="shared" si="106"/>
        <v>0</v>
      </c>
      <c r="V165" s="86">
        <f t="shared" si="107"/>
        <v>0</v>
      </c>
    </row>
    <row r="166" spans="1:22" x14ac:dyDescent="0.25">
      <c r="A166" s="231" t="s">
        <v>95</v>
      </c>
      <c r="B166" s="165">
        <v>4</v>
      </c>
      <c r="C166" s="111" t="s">
        <v>41</v>
      </c>
      <c r="D166" s="111" t="s">
        <v>106</v>
      </c>
      <c r="E166" s="111" t="s">
        <v>36</v>
      </c>
      <c r="F166" s="77"/>
      <c r="G166" s="41"/>
      <c r="H166" s="126">
        <f>H128+(H128*Escalation!$D$5)</f>
        <v>34.085979167621765</v>
      </c>
      <c r="I166" s="122">
        <f>I128+(I128*Escalation!$D$5)</f>
        <v>0</v>
      </c>
      <c r="J166" s="25">
        <f>J128+(J128*Escalation!$D$5)</f>
        <v>0</v>
      </c>
      <c r="K166" s="112"/>
      <c r="L166" s="26">
        <f t="shared" si="108"/>
        <v>0</v>
      </c>
      <c r="M166" s="26">
        <f t="shared" si="109"/>
        <v>0</v>
      </c>
      <c r="N166" s="26">
        <f t="shared" si="110"/>
        <v>0</v>
      </c>
      <c r="O166" s="26">
        <f t="shared" si="111"/>
        <v>0</v>
      </c>
      <c r="P166" s="26">
        <f t="shared" si="112"/>
        <v>0</v>
      </c>
      <c r="Q166" s="25">
        <f t="shared" si="102"/>
        <v>0</v>
      </c>
      <c r="R166" s="25">
        <f t="shared" si="103"/>
        <v>0</v>
      </c>
      <c r="S166" s="25">
        <f t="shared" si="104"/>
        <v>0</v>
      </c>
      <c r="T166" s="87">
        <f t="shared" si="105"/>
        <v>0</v>
      </c>
      <c r="U166" s="87">
        <f t="shared" si="106"/>
        <v>0</v>
      </c>
      <c r="V166" s="88">
        <f t="shared" si="107"/>
        <v>0</v>
      </c>
    </row>
    <row r="167" spans="1:22" x14ac:dyDescent="0.25">
      <c r="A167" s="232"/>
      <c r="B167" s="166">
        <v>5</v>
      </c>
      <c r="C167" s="113" t="s">
        <v>44</v>
      </c>
      <c r="D167" s="113" t="s">
        <v>107</v>
      </c>
      <c r="E167" s="113" t="s">
        <v>36</v>
      </c>
      <c r="F167" s="75"/>
      <c r="G167" s="41"/>
      <c r="H167" s="127">
        <f>H129+(H129*Escalation!$D$5)</f>
        <v>30.783761419913279</v>
      </c>
      <c r="I167" s="117">
        <f>I129+(I129*Escalation!$D$5)</f>
        <v>0</v>
      </c>
      <c r="J167" s="5">
        <f>J129+(J129*Escalation!$D$5)</f>
        <v>0</v>
      </c>
      <c r="K167" s="114"/>
      <c r="L167" s="2">
        <f t="shared" si="108"/>
        <v>0</v>
      </c>
      <c r="M167" s="2">
        <f t="shared" si="109"/>
        <v>0</v>
      </c>
      <c r="N167" s="2">
        <f t="shared" si="110"/>
        <v>0</v>
      </c>
      <c r="O167" s="2">
        <f t="shared" si="111"/>
        <v>0</v>
      </c>
      <c r="P167" s="2">
        <f t="shared" si="112"/>
        <v>0</v>
      </c>
      <c r="Q167" s="5">
        <f t="shared" si="102"/>
        <v>0</v>
      </c>
      <c r="R167" s="5">
        <f t="shared" si="103"/>
        <v>0</v>
      </c>
      <c r="S167" s="5">
        <f t="shared" si="104"/>
        <v>0</v>
      </c>
      <c r="T167" s="89">
        <f t="shared" si="105"/>
        <v>0</v>
      </c>
      <c r="U167" s="89">
        <f t="shared" si="106"/>
        <v>0</v>
      </c>
      <c r="V167" s="90">
        <f t="shared" si="107"/>
        <v>0</v>
      </c>
    </row>
    <row r="168" spans="1:22" x14ac:dyDescent="0.25">
      <c r="A168" s="232"/>
      <c r="B168" s="166">
        <v>6</v>
      </c>
      <c r="C168" s="113" t="s">
        <v>97</v>
      </c>
      <c r="D168" s="113" t="s">
        <v>108</v>
      </c>
      <c r="E168" s="113" t="s">
        <v>36</v>
      </c>
      <c r="F168" s="75"/>
      <c r="G168" s="41"/>
      <c r="H168" s="127">
        <v>24.98</v>
      </c>
      <c r="I168" s="117">
        <f>I130+(I130*Escalation!$D$5)</f>
        <v>0</v>
      </c>
      <c r="J168" s="5">
        <f>J130+(J130*Escalation!$D$5)</f>
        <v>0</v>
      </c>
      <c r="K168" s="114"/>
      <c r="L168" s="2">
        <f t="shared" si="108"/>
        <v>0</v>
      </c>
      <c r="M168" s="2">
        <f t="shared" si="109"/>
        <v>0</v>
      </c>
      <c r="N168" s="2">
        <f t="shared" si="110"/>
        <v>0</v>
      </c>
      <c r="O168" s="2">
        <f t="shared" si="111"/>
        <v>0</v>
      </c>
      <c r="P168" s="2">
        <f t="shared" si="112"/>
        <v>0</v>
      </c>
      <c r="Q168" s="5">
        <f t="shared" si="102"/>
        <v>0</v>
      </c>
      <c r="R168" s="5">
        <f t="shared" si="103"/>
        <v>0</v>
      </c>
      <c r="S168" s="5">
        <f t="shared" si="104"/>
        <v>0</v>
      </c>
      <c r="T168" s="89">
        <f t="shared" si="105"/>
        <v>0</v>
      </c>
      <c r="U168" s="89">
        <f t="shared" si="106"/>
        <v>0</v>
      </c>
      <c r="V168" s="90">
        <f t="shared" si="107"/>
        <v>0</v>
      </c>
    </row>
    <row r="169" spans="1:22" ht="15" customHeight="1" thickBot="1" x14ac:dyDescent="0.3">
      <c r="A169" s="233"/>
      <c r="B169" s="167">
        <v>2</v>
      </c>
      <c r="C169" s="115" t="s">
        <v>40</v>
      </c>
      <c r="D169" s="115" t="s">
        <v>105</v>
      </c>
      <c r="E169" s="115" t="s">
        <v>36</v>
      </c>
      <c r="F169" s="76"/>
      <c r="G169" s="41"/>
      <c r="H169" s="128">
        <f>H131+(H131*Escalation!$D$5)</f>
        <v>34.085979167621765</v>
      </c>
      <c r="I169" s="38">
        <f>I131+(I131*Escalation!$D$5)</f>
        <v>0</v>
      </c>
      <c r="J169" s="38">
        <f>J131+(J131*Escalation!$D$5)</f>
        <v>0</v>
      </c>
      <c r="K169" s="116"/>
      <c r="L169" s="39">
        <f t="shared" si="108"/>
        <v>0</v>
      </c>
      <c r="M169" s="39">
        <f t="shared" si="109"/>
        <v>0</v>
      </c>
      <c r="N169" s="39">
        <f t="shared" si="110"/>
        <v>0</v>
      </c>
      <c r="O169" s="39">
        <f t="shared" si="111"/>
        <v>0</v>
      </c>
      <c r="P169" s="39">
        <f t="shared" si="112"/>
        <v>0</v>
      </c>
      <c r="Q169" s="38">
        <f t="shared" si="102"/>
        <v>0</v>
      </c>
      <c r="R169" s="38">
        <f t="shared" si="103"/>
        <v>0</v>
      </c>
      <c r="S169" s="38">
        <f t="shared" si="104"/>
        <v>0</v>
      </c>
      <c r="T169" s="91">
        <f t="shared" si="105"/>
        <v>0</v>
      </c>
      <c r="U169" s="91">
        <f t="shared" si="106"/>
        <v>0</v>
      </c>
      <c r="V169" s="92">
        <f t="shared" si="107"/>
        <v>0</v>
      </c>
    </row>
    <row r="170" spans="1:22" x14ac:dyDescent="0.25">
      <c r="A170" s="231" t="s">
        <v>96</v>
      </c>
      <c r="B170" s="165">
        <v>2</v>
      </c>
      <c r="C170" s="111" t="s">
        <v>40</v>
      </c>
      <c r="D170" s="111" t="s">
        <v>105</v>
      </c>
      <c r="E170" s="111" t="s">
        <v>36</v>
      </c>
      <c r="F170" s="77"/>
      <c r="G170" s="41"/>
      <c r="H170" s="126">
        <f>H132+(H132*Escalation!$D$5)</f>
        <v>34.085979167621765</v>
      </c>
      <c r="I170" s="122">
        <f>I132+(I132*Escalation!$D$5)</f>
        <v>0</v>
      </c>
      <c r="J170" s="25">
        <f>J132+(J132*Escalation!$D$5)</f>
        <v>0</v>
      </c>
      <c r="K170" s="112"/>
      <c r="L170" s="26">
        <f t="shared" si="108"/>
        <v>0</v>
      </c>
      <c r="M170" s="26">
        <f t="shared" si="109"/>
        <v>0</v>
      </c>
      <c r="N170" s="26">
        <f t="shared" si="110"/>
        <v>0</v>
      </c>
      <c r="O170" s="26">
        <f t="shared" si="111"/>
        <v>0</v>
      </c>
      <c r="P170" s="26">
        <f t="shared" si="112"/>
        <v>0</v>
      </c>
      <c r="Q170" s="25">
        <f t="shared" si="102"/>
        <v>0</v>
      </c>
      <c r="R170" s="25">
        <f t="shared" si="103"/>
        <v>0</v>
      </c>
      <c r="S170" s="25">
        <f t="shared" si="104"/>
        <v>0</v>
      </c>
      <c r="T170" s="87">
        <f t="shared" si="105"/>
        <v>0</v>
      </c>
      <c r="U170" s="87">
        <f t="shared" si="106"/>
        <v>0</v>
      </c>
      <c r="V170" s="88">
        <f t="shared" si="107"/>
        <v>0</v>
      </c>
    </row>
    <row r="171" spans="1:22" x14ac:dyDescent="0.25">
      <c r="A171" s="232"/>
      <c r="B171" s="166">
        <v>10</v>
      </c>
      <c r="C171" s="113" t="s">
        <v>101</v>
      </c>
      <c r="D171" s="113" t="s">
        <v>112</v>
      </c>
      <c r="E171" s="113" t="s">
        <v>36</v>
      </c>
      <c r="F171" s="75"/>
      <c r="G171" s="41"/>
      <c r="H171" s="127">
        <f>H133+(H133*Escalation!$D$5)</f>
        <v>34.085979167621765</v>
      </c>
      <c r="I171" s="5">
        <f>I133+(I133*Escalation!$D$5)</f>
        <v>0</v>
      </c>
      <c r="J171" s="5">
        <f>J133+(J133*Escalation!$D$5)</f>
        <v>0</v>
      </c>
      <c r="K171" s="114"/>
      <c r="L171" s="2">
        <f t="shared" si="108"/>
        <v>0</v>
      </c>
      <c r="M171" s="2">
        <f t="shared" si="109"/>
        <v>0</v>
      </c>
      <c r="N171" s="2">
        <f t="shared" si="110"/>
        <v>0</v>
      </c>
      <c r="O171" s="2">
        <f t="shared" si="111"/>
        <v>0</v>
      </c>
      <c r="P171" s="2">
        <f t="shared" si="112"/>
        <v>0</v>
      </c>
      <c r="Q171" s="5">
        <f t="shared" si="102"/>
        <v>0</v>
      </c>
      <c r="R171" s="5">
        <f t="shared" si="103"/>
        <v>0</v>
      </c>
      <c r="S171" s="5">
        <f t="shared" si="104"/>
        <v>0</v>
      </c>
      <c r="T171" s="89">
        <f t="shared" si="105"/>
        <v>0</v>
      </c>
      <c r="U171" s="89">
        <f t="shared" si="106"/>
        <v>0</v>
      </c>
      <c r="V171" s="90">
        <f t="shared" si="107"/>
        <v>0</v>
      </c>
    </row>
    <row r="172" spans="1:22" x14ac:dyDescent="0.25">
      <c r="A172" s="232"/>
      <c r="B172" s="166">
        <v>6</v>
      </c>
      <c r="C172" s="113" t="s">
        <v>97</v>
      </c>
      <c r="D172" s="135" t="s">
        <v>104</v>
      </c>
      <c r="E172" s="113" t="s">
        <v>36</v>
      </c>
      <c r="F172" s="75"/>
      <c r="G172" s="41"/>
      <c r="H172" s="127">
        <f>H134+(H134*Escalation!$D$5)</f>
        <v>32.445951561377285</v>
      </c>
      <c r="I172" s="5">
        <f>I134+(I134*Escalation!$D$5)</f>
        <v>0</v>
      </c>
      <c r="J172" s="5">
        <f>J134+(J134*Escalation!$D$5)</f>
        <v>0</v>
      </c>
      <c r="K172" s="114"/>
      <c r="L172" s="2">
        <f t="shared" si="108"/>
        <v>0</v>
      </c>
      <c r="M172" s="2">
        <f t="shared" si="109"/>
        <v>0</v>
      </c>
      <c r="N172" s="2">
        <f t="shared" si="110"/>
        <v>0</v>
      </c>
      <c r="O172" s="2">
        <f t="shared" si="111"/>
        <v>0</v>
      </c>
      <c r="P172" s="2">
        <f t="shared" si="112"/>
        <v>0</v>
      </c>
      <c r="Q172" s="5">
        <f t="shared" si="102"/>
        <v>0</v>
      </c>
      <c r="R172" s="5">
        <f t="shared" si="103"/>
        <v>0</v>
      </c>
      <c r="S172" s="5">
        <f t="shared" si="104"/>
        <v>0</v>
      </c>
      <c r="T172" s="89">
        <f t="shared" si="105"/>
        <v>0</v>
      </c>
      <c r="U172" s="89">
        <f t="shared" si="106"/>
        <v>0</v>
      </c>
      <c r="V172" s="90">
        <f t="shared" si="107"/>
        <v>0</v>
      </c>
    </row>
    <row r="173" spans="1:22" ht="15.75" thickBot="1" x14ac:dyDescent="0.3">
      <c r="A173" s="233"/>
      <c r="B173" s="167">
        <v>8</v>
      </c>
      <c r="C173" s="115" t="s">
        <v>42</v>
      </c>
      <c r="D173" s="115" t="s">
        <v>110</v>
      </c>
      <c r="E173" s="115" t="s">
        <v>36</v>
      </c>
      <c r="F173" s="76"/>
      <c r="G173" s="41"/>
      <c r="H173" s="128">
        <f>H135+(H135*Escalation!$D$5)</f>
        <v>27.171268179131516</v>
      </c>
      <c r="I173" s="38">
        <f>I135+(I135*Escalation!$D$5)</f>
        <v>0</v>
      </c>
      <c r="J173" s="38">
        <f>J135+(J135*Escalation!$D$5)</f>
        <v>0</v>
      </c>
      <c r="K173" s="116"/>
      <c r="L173" s="39">
        <f t="shared" si="108"/>
        <v>0</v>
      </c>
      <c r="M173" s="39">
        <f t="shared" si="109"/>
        <v>0</v>
      </c>
      <c r="N173" s="39">
        <f t="shared" si="110"/>
        <v>0</v>
      </c>
      <c r="O173" s="39">
        <f t="shared" si="111"/>
        <v>0</v>
      </c>
      <c r="P173" s="39">
        <f t="shared" si="112"/>
        <v>0</v>
      </c>
      <c r="Q173" s="38">
        <f t="shared" si="102"/>
        <v>0</v>
      </c>
      <c r="R173" s="38">
        <f t="shared" si="103"/>
        <v>0</v>
      </c>
      <c r="S173" s="38">
        <f t="shared" si="104"/>
        <v>0</v>
      </c>
      <c r="T173" s="91">
        <f t="shared" si="105"/>
        <v>0</v>
      </c>
      <c r="U173" s="91">
        <f t="shared" si="106"/>
        <v>0</v>
      </c>
      <c r="V173" s="92">
        <f t="shared" si="107"/>
        <v>0</v>
      </c>
    </row>
    <row r="174" spans="1:22" s="42" customFormat="1" ht="18" thickBot="1" x14ac:dyDescent="0.35">
      <c r="A174" s="152" t="s">
        <v>46</v>
      </c>
      <c r="B174" s="142"/>
      <c r="C174" s="142"/>
      <c r="D174" s="142"/>
      <c r="E174" s="142"/>
      <c r="F174" s="143"/>
      <c r="G174" s="41"/>
      <c r="H174" s="141"/>
      <c r="I174" s="141"/>
      <c r="J174" s="141"/>
      <c r="K174" s="141"/>
      <c r="L174" s="141"/>
      <c r="M174" s="141"/>
      <c r="N174" s="141"/>
      <c r="O174" s="141"/>
      <c r="P174" s="141"/>
      <c r="Q174" s="141"/>
      <c r="R174" s="141"/>
      <c r="S174" s="141"/>
      <c r="T174" s="144"/>
      <c r="U174" s="144"/>
      <c r="V174" s="145"/>
    </row>
    <row r="175" spans="1:22" ht="15.75" thickBot="1" x14ac:dyDescent="0.3">
      <c r="A175" s="184" t="s">
        <v>39</v>
      </c>
      <c r="B175" s="164">
        <v>11</v>
      </c>
      <c r="C175" s="109" t="s">
        <v>40</v>
      </c>
      <c r="D175" s="109" t="s">
        <v>105</v>
      </c>
      <c r="E175" s="109" t="s">
        <v>46</v>
      </c>
      <c r="F175" s="73"/>
      <c r="G175" s="81"/>
      <c r="H175" s="149">
        <f>H137+(H137*Escalation!$D$5)</f>
        <v>39.704181845770073</v>
      </c>
      <c r="I175" s="132">
        <f>I137+(I137*Escalation!$D$5)</f>
        <v>0</v>
      </c>
      <c r="J175" s="50">
        <f>J137+(J137*Escalation!$D$5)</f>
        <v>0</v>
      </c>
      <c r="K175" s="51">
        <f>(J175*$K$4)</f>
        <v>0</v>
      </c>
      <c r="L175" s="51">
        <f>(J175+K175)*$L$4</f>
        <v>0</v>
      </c>
      <c r="M175" s="51">
        <f>(J175+K175+L175)*$M$4</f>
        <v>0</v>
      </c>
      <c r="N175" s="51">
        <f>(J175+K175+L175)*$N$4</f>
        <v>0</v>
      </c>
      <c r="O175" s="51">
        <f>(J175+K175+L175+M175+N175)*$O$4</f>
        <v>0</v>
      </c>
      <c r="P175" s="51">
        <f>(J175+L175+M175+N175+O175)*$P$4</f>
        <v>0</v>
      </c>
      <c r="Q175" s="50">
        <f t="shared" ref="Q175:Q190" si="113">SUM(J175:P175)</f>
        <v>0</v>
      </c>
      <c r="R175" s="50">
        <f t="shared" ref="R175:R190" si="114">IF($R$4&lt;0,"N/A",(Q175-P175)*$R$4)</f>
        <v>0</v>
      </c>
      <c r="S175" s="50">
        <f t="shared" ref="S175:S190" si="115">SUM(Q175:R175)</f>
        <v>0</v>
      </c>
      <c r="T175" s="85">
        <f t="shared" ref="T175:T190" si="116">Q175*F175</f>
        <v>0</v>
      </c>
      <c r="U175" s="85">
        <f t="shared" ref="U175:U190" si="117">R175*F175</f>
        <v>0</v>
      </c>
      <c r="V175" s="86">
        <f t="shared" ref="V175:V190" si="118">S175*F175</f>
        <v>0</v>
      </c>
    </row>
    <row r="176" spans="1:22" ht="15.75" thickBot="1" x14ac:dyDescent="0.3">
      <c r="A176" s="185"/>
      <c r="B176" s="171">
        <v>12</v>
      </c>
      <c r="C176" s="172" t="s">
        <v>113</v>
      </c>
      <c r="D176" s="172" t="s">
        <v>108</v>
      </c>
      <c r="E176" s="172"/>
      <c r="F176" s="173"/>
      <c r="G176" s="81"/>
      <c r="H176" s="174"/>
      <c r="I176" s="175"/>
      <c r="J176" s="176"/>
      <c r="K176" s="177"/>
      <c r="L176" s="177"/>
      <c r="M176" s="177"/>
      <c r="N176" s="177"/>
      <c r="O176" s="177"/>
      <c r="P176" s="177"/>
      <c r="Q176" s="176"/>
      <c r="R176" s="176"/>
      <c r="S176" s="176"/>
      <c r="T176" s="178"/>
      <c r="U176" s="178"/>
      <c r="V176" s="179"/>
    </row>
    <row r="177" spans="1:22" x14ac:dyDescent="0.25">
      <c r="A177" s="236" t="s">
        <v>93</v>
      </c>
      <c r="B177" s="165">
        <v>13</v>
      </c>
      <c r="C177" s="111" t="s">
        <v>41</v>
      </c>
      <c r="D177" s="111" t="s">
        <v>106</v>
      </c>
      <c r="E177" s="111" t="s">
        <v>46</v>
      </c>
      <c r="F177" s="70"/>
      <c r="G177" s="81"/>
      <c r="H177" s="153">
        <f>H139+(H139*Escalation!$D$5)</f>
        <v>35.790278126002853</v>
      </c>
      <c r="I177" s="122">
        <f>I139+(I139*Escalation!$D$5)</f>
        <v>0</v>
      </c>
      <c r="J177" s="25">
        <f>J139+(J139*Escalation!$D$5)</f>
        <v>0</v>
      </c>
      <c r="K177" s="26">
        <f t="shared" ref="K177:K190" si="119">(J177*$K$4)</f>
        <v>0</v>
      </c>
      <c r="L177" s="26">
        <f t="shared" ref="L177:L190" si="120">(J177+K177)*$L$4</f>
        <v>0</v>
      </c>
      <c r="M177" s="26">
        <f t="shared" ref="M177:M190" si="121">(J177+K177+L177)*$M$4</f>
        <v>0</v>
      </c>
      <c r="N177" s="26">
        <f t="shared" ref="N177:N190" si="122">(J177+K177+L177)*$N$4</f>
        <v>0</v>
      </c>
      <c r="O177" s="26">
        <f t="shared" ref="O177:O190" si="123">(J177+K177+L177+M177+N177)*$O$4</f>
        <v>0</v>
      </c>
      <c r="P177" s="26">
        <f t="shared" ref="P177:P190" si="124">(J177+L177+M177+N177+O177)*$P$4</f>
        <v>0</v>
      </c>
      <c r="Q177" s="25">
        <f t="shared" si="113"/>
        <v>0</v>
      </c>
      <c r="R177" s="25">
        <f t="shared" si="114"/>
        <v>0</v>
      </c>
      <c r="S177" s="25">
        <f t="shared" si="115"/>
        <v>0</v>
      </c>
      <c r="T177" s="87">
        <f t="shared" si="116"/>
        <v>0</v>
      </c>
      <c r="U177" s="87">
        <f t="shared" si="117"/>
        <v>0</v>
      </c>
      <c r="V177" s="88">
        <f t="shared" si="118"/>
        <v>0</v>
      </c>
    </row>
    <row r="178" spans="1:22" x14ac:dyDescent="0.25">
      <c r="A178" s="237"/>
      <c r="B178" s="166">
        <v>14</v>
      </c>
      <c r="C178" s="113" t="s">
        <v>44</v>
      </c>
      <c r="D178" s="113" t="s">
        <v>107</v>
      </c>
      <c r="E178" s="113" t="s">
        <v>46</v>
      </c>
      <c r="F178" s="71"/>
      <c r="G178" s="81"/>
      <c r="H178" s="154">
        <f>H140+(H140*Escalation!$D$5)</f>
        <v>32.322949490908947</v>
      </c>
      <c r="I178" s="117">
        <f>I140+(I140*Escalation!$D$5)</f>
        <v>0</v>
      </c>
      <c r="J178" s="5">
        <f>J140+(J140*Escalation!$D$5)</f>
        <v>0</v>
      </c>
      <c r="K178" s="2">
        <f t="shared" si="119"/>
        <v>0</v>
      </c>
      <c r="L178" s="2">
        <f t="shared" si="120"/>
        <v>0</v>
      </c>
      <c r="M178" s="2">
        <f t="shared" si="121"/>
        <v>0</v>
      </c>
      <c r="N178" s="2">
        <f t="shared" si="122"/>
        <v>0</v>
      </c>
      <c r="O178" s="2">
        <f t="shared" si="123"/>
        <v>0</v>
      </c>
      <c r="P178" s="2">
        <f t="shared" si="124"/>
        <v>0</v>
      </c>
      <c r="Q178" s="5">
        <f t="shared" si="113"/>
        <v>0</v>
      </c>
      <c r="R178" s="5">
        <f t="shared" si="114"/>
        <v>0</v>
      </c>
      <c r="S178" s="5">
        <f t="shared" si="115"/>
        <v>0</v>
      </c>
      <c r="T178" s="89">
        <f t="shared" si="116"/>
        <v>0</v>
      </c>
      <c r="U178" s="89">
        <f t="shared" si="117"/>
        <v>0</v>
      </c>
      <c r="V178" s="90">
        <f t="shared" si="118"/>
        <v>0</v>
      </c>
    </row>
    <row r="179" spans="1:22" x14ac:dyDescent="0.25">
      <c r="A179" s="237"/>
      <c r="B179" s="166">
        <v>15</v>
      </c>
      <c r="C179" s="113" t="s">
        <v>97</v>
      </c>
      <c r="D179" s="113" t="s">
        <v>108</v>
      </c>
      <c r="E179" s="113" t="s">
        <v>46</v>
      </c>
      <c r="F179" s="71"/>
      <c r="G179" s="81"/>
      <c r="H179" s="154">
        <f>H141+(H141*Escalation!$D$5)</f>
        <v>34.068249139446152</v>
      </c>
      <c r="I179" s="117">
        <f>I141+(I141*Escalation!$D$5)</f>
        <v>0</v>
      </c>
      <c r="J179" s="5">
        <f>J141+(J141*Escalation!$D$5)</f>
        <v>0</v>
      </c>
      <c r="K179" s="2">
        <f t="shared" si="119"/>
        <v>0</v>
      </c>
      <c r="L179" s="2">
        <f t="shared" si="120"/>
        <v>0</v>
      </c>
      <c r="M179" s="2">
        <f t="shared" si="121"/>
        <v>0</v>
      </c>
      <c r="N179" s="2">
        <f t="shared" si="122"/>
        <v>0</v>
      </c>
      <c r="O179" s="2">
        <f t="shared" si="123"/>
        <v>0</v>
      </c>
      <c r="P179" s="2">
        <f t="shared" si="124"/>
        <v>0</v>
      </c>
      <c r="Q179" s="5">
        <f t="shared" si="113"/>
        <v>0</v>
      </c>
      <c r="R179" s="5">
        <f t="shared" si="114"/>
        <v>0</v>
      </c>
      <c r="S179" s="5">
        <f t="shared" si="115"/>
        <v>0</v>
      </c>
      <c r="T179" s="89">
        <f t="shared" si="116"/>
        <v>0</v>
      </c>
      <c r="U179" s="89">
        <f t="shared" si="117"/>
        <v>0</v>
      </c>
      <c r="V179" s="90">
        <f t="shared" si="118"/>
        <v>0</v>
      </c>
    </row>
    <row r="180" spans="1:22" x14ac:dyDescent="0.25">
      <c r="A180" s="237"/>
      <c r="B180" s="166">
        <v>16</v>
      </c>
      <c r="C180" s="113" t="s">
        <v>45</v>
      </c>
      <c r="D180" s="113" t="s">
        <v>109</v>
      </c>
      <c r="E180" s="113" t="s">
        <v>46</v>
      </c>
      <c r="F180" s="71"/>
      <c r="G180" s="81"/>
      <c r="H180" s="154">
        <f>H142+(H142*Escalation!$D$5)</f>
        <v>41.538131635185366</v>
      </c>
      <c r="I180" s="117">
        <f>I142+(I142*Escalation!$D$5)</f>
        <v>0</v>
      </c>
      <c r="J180" s="5">
        <f>J142+(J142*Escalation!$D$5)</f>
        <v>0</v>
      </c>
      <c r="K180" s="2">
        <f t="shared" si="119"/>
        <v>0</v>
      </c>
      <c r="L180" s="2">
        <f t="shared" si="120"/>
        <v>0</v>
      </c>
      <c r="M180" s="2">
        <f t="shared" si="121"/>
        <v>0</v>
      </c>
      <c r="N180" s="2">
        <f t="shared" si="122"/>
        <v>0</v>
      </c>
      <c r="O180" s="2">
        <f t="shared" si="123"/>
        <v>0</v>
      </c>
      <c r="P180" s="2">
        <f t="shared" si="124"/>
        <v>0</v>
      </c>
      <c r="Q180" s="5">
        <f t="shared" si="113"/>
        <v>0</v>
      </c>
      <c r="R180" s="5">
        <f t="shared" si="114"/>
        <v>0</v>
      </c>
      <c r="S180" s="5">
        <f t="shared" si="115"/>
        <v>0</v>
      </c>
      <c r="T180" s="89">
        <f t="shared" si="116"/>
        <v>0</v>
      </c>
      <c r="U180" s="89">
        <f t="shared" si="117"/>
        <v>0</v>
      </c>
      <c r="V180" s="90">
        <f t="shared" si="118"/>
        <v>0</v>
      </c>
    </row>
    <row r="181" spans="1:22" ht="15.75" thickBot="1" x14ac:dyDescent="0.3">
      <c r="A181" s="238"/>
      <c r="B181" s="167">
        <v>17</v>
      </c>
      <c r="C181" s="115" t="s">
        <v>42</v>
      </c>
      <c r="D181" s="115" t="s">
        <v>110</v>
      </c>
      <c r="E181" s="115" t="s">
        <v>46</v>
      </c>
      <c r="F181" s="72"/>
      <c r="G181" s="81"/>
      <c r="H181" s="155">
        <f>H143+(H143*Escalation!$D$5)</f>
        <v>28.529831588088101</v>
      </c>
      <c r="I181" s="123">
        <f>I143+(I143*Escalation!$D$5)</f>
        <v>0</v>
      </c>
      <c r="J181" s="38">
        <f>J143+(J143*Escalation!$D$5)</f>
        <v>0</v>
      </c>
      <c r="K181" s="39">
        <f t="shared" si="119"/>
        <v>0</v>
      </c>
      <c r="L181" s="39">
        <f t="shared" si="120"/>
        <v>0</v>
      </c>
      <c r="M181" s="39">
        <f t="shared" si="121"/>
        <v>0</v>
      </c>
      <c r="N181" s="39">
        <f t="shared" si="122"/>
        <v>0</v>
      </c>
      <c r="O181" s="39">
        <f t="shared" si="123"/>
        <v>0</v>
      </c>
      <c r="P181" s="39">
        <f t="shared" si="124"/>
        <v>0</v>
      </c>
      <c r="Q181" s="38">
        <f t="shared" si="113"/>
        <v>0</v>
      </c>
      <c r="R181" s="38">
        <f t="shared" si="114"/>
        <v>0</v>
      </c>
      <c r="S181" s="38">
        <f t="shared" si="115"/>
        <v>0</v>
      </c>
      <c r="T181" s="91">
        <f t="shared" si="116"/>
        <v>0</v>
      </c>
      <c r="U181" s="91">
        <f t="shared" si="117"/>
        <v>0</v>
      </c>
      <c r="V181" s="92">
        <f t="shared" si="118"/>
        <v>0</v>
      </c>
    </row>
    <row r="182" spans="1:22" ht="30.75" thickBot="1" x14ac:dyDescent="0.3">
      <c r="A182" s="168" t="s">
        <v>94</v>
      </c>
      <c r="B182" s="164">
        <v>18</v>
      </c>
      <c r="C182" s="109" t="s">
        <v>99</v>
      </c>
      <c r="D182" s="109" t="s">
        <v>111</v>
      </c>
      <c r="E182" s="109" t="s">
        <v>46</v>
      </c>
      <c r="F182" s="73"/>
      <c r="G182" s="81"/>
      <c r="H182" s="149">
        <f>H144+(H144*Escalation!$D$5)</f>
        <v>30.123871933752078</v>
      </c>
      <c r="I182" s="132">
        <f>I144+(I144*Escalation!$D$5)</f>
        <v>0</v>
      </c>
      <c r="J182" s="50">
        <f>J144+(J144*Escalation!$D$5)</f>
        <v>0</v>
      </c>
      <c r="K182" s="51">
        <f t="shared" si="119"/>
        <v>0</v>
      </c>
      <c r="L182" s="51">
        <f t="shared" si="120"/>
        <v>0</v>
      </c>
      <c r="M182" s="51">
        <f t="shared" si="121"/>
        <v>0</v>
      </c>
      <c r="N182" s="51">
        <f t="shared" si="122"/>
        <v>0</v>
      </c>
      <c r="O182" s="51">
        <f t="shared" si="123"/>
        <v>0</v>
      </c>
      <c r="P182" s="51">
        <f t="shared" si="124"/>
        <v>0</v>
      </c>
      <c r="Q182" s="50">
        <f t="shared" si="113"/>
        <v>0</v>
      </c>
      <c r="R182" s="50">
        <f t="shared" si="114"/>
        <v>0</v>
      </c>
      <c r="S182" s="50">
        <f t="shared" si="115"/>
        <v>0</v>
      </c>
      <c r="T182" s="85">
        <f t="shared" si="116"/>
        <v>0</v>
      </c>
      <c r="U182" s="85">
        <f t="shared" si="117"/>
        <v>0</v>
      </c>
      <c r="V182" s="86">
        <f t="shared" si="118"/>
        <v>0</v>
      </c>
    </row>
    <row r="183" spans="1:22" ht="15" customHeight="1" x14ac:dyDescent="0.25">
      <c r="A183" s="231" t="s">
        <v>95</v>
      </c>
      <c r="B183" s="165">
        <v>13</v>
      </c>
      <c r="C183" s="111" t="s">
        <v>41</v>
      </c>
      <c r="D183" s="111" t="s">
        <v>106</v>
      </c>
      <c r="E183" s="111" t="s">
        <v>46</v>
      </c>
      <c r="F183" s="70"/>
      <c r="G183" s="81"/>
      <c r="H183" s="153">
        <f>H145+(H145*Escalation!$D$5)</f>
        <v>35.790278126002853</v>
      </c>
      <c r="I183" s="122">
        <f>I145+(I145*Escalation!$D$5)</f>
        <v>0</v>
      </c>
      <c r="J183" s="25">
        <f>J145+(J145*Escalation!$D$5)</f>
        <v>0</v>
      </c>
      <c r="K183" s="26">
        <f t="shared" si="119"/>
        <v>0</v>
      </c>
      <c r="L183" s="26">
        <f t="shared" si="120"/>
        <v>0</v>
      </c>
      <c r="M183" s="26">
        <f t="shared" si="121"/>
        <v>0</v>
      </c>
      <c r="N183" s="26">
        <f t="shared" si="122"/>
        <v>0</v>
      </c>
      <c r="O183" s="26">
        <f t="shared" si="123"/>
        <v>0</v>
      </c>
      <c r="P183" s="26">
        <f t="shared" si="124"/>
        <v>0</v>
      </c>
      <c r="Q183" s="25">
        <f t="shared" si="113"/>
        <v>0</v>
      </c>
      <c r="R183" s="25">
        <f t="shared" si="114"/>
        <v>0</v>
      </c>
      <c r="S183" s="25">
        <f t="shared" si="115"/>
        <v>0</v>
      </c>
      <c r="T183" s="87">
        <f t="shared" si="116"/>
        <v>0</v>
      </c>
      <c r="U183" s="87">
        <f t="shared" si="117"/>
        <v>0</v>
      </c>
      <c r="V183" s="88">
        <f t="shared" si="118"/>
        <v>0</v>
      </c>
    </row>
    <row r="184" spans="1:22" x14ac:dyDescent="0.25">
      <c r="A184" s="232"/>
      <c r="B184" s="166">
        <v>14</v>
      </c>
      <c r="C184" s="113" t="s">
        <v>44</v>
      </c>
      <c r="D184" s="113" t="s">
        <v>107</v>
      </c>
      <c r="E184" s="113" t="s">
        <v>46</v>
      </c>
      <c r="F184" s="71"/>
      <c r="G184" s="81"/>
      <c r="H184" s="154">
        <f>H146+(H146*Escalation!$D$5)</f>
        <v>32.322949490908947</v>
      </c>
      <c r="I184" s="117">
        <f>I146+(I146*Escalation!$D$5)</f>
        <v>0</v>
      </c>
      <c r="J184" s="5">
        <f>J146+(J146*Escalation!$D$5)</f>
        <v>0</v>
      </c>
      <c r="K184" s="2">
        <f t="shared" si="119"/>
        <v>0</v>
      </c>
      <c r="L184" s="2">
        <f t="shared" si="120"/>
        <v>0</v>
      </c>
      <c r="M184" s="2">
        <f t="shared" si="121"/>
        <v>0</v>
      </c>
      <c r="N184" s="2">
        <f t="shared" si="122"/>
        <v>0</v>
      </c>
      <c r="O184" s="2">
        <f t="shared" si="123"/>
        <v>0</v>
      </c>
      <c r="P184" s="2">
        <f t="shared" si="124"/>
        <v>0</v>
      </c>
      <c r="Q184" s="5">
        <f t="shared" si="113"/>
        <v>0</v>
      </c>
      <c r="R184" s="5">
        <f t="shared" si="114"/>
        <v>0</v>
      </c>
      <c r="S184" s="5">
        <f t="shared" si="115"/>
        <v>0</v>
      </c>
      <c r="T184" s="89">
        <f t="shared" si="116"/>
        <v>0</v>
      </c>
      <c r="U184" s="89">
        <f t="shared" si="117"/>
        <v>0</v>
      </c>
      <c r="V184" s="90">
        <f t="shared" si="118"/>
        <v>0</v>
      </c>
    </row>
    <row r="185" spans="1:22" x14ac:dyDescent="0.25">
      <c r="A185" s="232"/>
      <c r="B185" s="166">
        <v>15</v>
      </c>
      <c r="C185" s="113" t="s">
        <v>97</v>
      </c>
      <c r="D185" s="113" t="s">
        <v>104</v>
      </c>
      <c r="E185" s="113" t="s">
        <v>46</v>
      </c>
      <c r="F185" s="71"/>
      <c r="G185" s="81"/>
      <c r="H185" s="154">
        <f>H147+(H147*Escalation!$D$5)</f>
        <v>34.068249139446152</v>
      </c>
      <c r="I185" s="117">
        <f>I147+(I147*Escalation!$D$5)</f>
        <v>0</v>
      </c>
      <c r="J185" s="5">
        <f>J147+(J147*Escalation!$D$5)</f>
        <v>0</v>
      </c>
      <c r="K185" s="2">
        <f t="shared" si="119"/>
        <v>0</v>
      </c>
      <c r="L185" s="2">
        <f t="shared" si="120"/>
        <v>0</v>
      </c>
      <c r="M185" s="2">
        <f t="shared" si="121"/>
        <v>0</v>
      </c>
      <c r="N185" s="2">
        <f t="shared" si="122"/>
        <v>0</v>
      </c>
      <c r="O185" s="2">
        <f t="shared" si="123"/>
        <v>0</v>
      </c>
      <c r="P185" s="2">
        <f t="shared" si="124"/>
        <v>0</v>
      </c>
      <c r="Q185" s="5">
        <f t="shared" si="113"/>
        <v>0</v>
      </c>
      <c r="R185" s="5">
        <f t="shared" si="114"/>
        <v>0</v>
      </c>
      <c r="S185" s="5">
        <f t="shared" si="115"/>
        <v>0</v>
      </c>
      <c r="T185" s="89">
        <f t="shared" si="116"/>
        <v>0</v>
      </c>
      <c r="U185" s="89">
        <f t="shared" si="117"/>
        <v>0</v>
      </c>
      <c r="V185" s="90">
        <f t="shared" si="118"/>
        <v>0</v>
      </c>
    </row>
    <row r="186" spans="1:22" ht="15" customHeight="1" thickBot="1" x14ac:dyDescent="0.3">
      <c r="A186" s="233"/>
      <c r="B186" s="167">
        <v>11</v>
      </c>
      <c r="C186" s="115" t="s">
        <v>40</v>
      </c>
      <c r="D186" s="115" t="s">
        <v>105</v>
      </c>
      <c r="E186" s="115" t="s">
        <v>46</v>
      </c>
      <c r="F186" s="72"/>
      <c r="G186" s="81"/>
      <c r="H186" s="155">
        <f>H148+(H148*Escalation!$D$5)</f>
        <v>35.790278126002853</v>
      </c>
      <c r="I186" s="38">
        <f>I148+(I148*Escalation!$D$5)</f>
        <v>0</v>
      </c>
      <c r="J186" s="38">
        <f>J148+(J148*Escalation!$D$5)</f>
        <v>0</v>
      </c>
      <c r="K186" s="39">
        <f t="shared" si="119"/>
        <v>0</v>
      </c>
      <c r="L186" s="39">
        <f t="shared" si="120"/>
        <v>0</v>
      </c>
      <c r="M186" s="39">
        <f t="shared" si="121"/>
        <v>0</v>
      </c>
      <c r="N186" s="39">
        <f t="shared" si="122"/>
        <v>0</v>
      </c>
      <c r="O186" s="39">
        <f t="shared" si="123"/>
        <v>0</v>
      </c>
      <c r="P186" s="39">
        <f t="shared" si="124"/>
        <v>0</v>
      </c>
      <c r="Q186" s="38">
        <f t="shared" si="113"/>
        <v>0</v>
      </c>
      <c r="R186" s="38">
        <f t="shared" si="114"/>
        <v>0</v>
      </c>
      <c r="S186" s="38">
        <f t="shared" si="115"/>
        <v>0</v>
      </c>
      <c r="T186" s="91">
        <f t="shared" si="116"/>
        <v>0</v>
      </c>
      <c r="U186" s="91">
        <f t="shared" si="117"/>
        <v>0</v>
      </c>
      <c r="V186" s="92">
        <f t="shared" si="118"/>
        <v>0</v>
      </c>
    </row>
    <row r="187" spans="1:22" x14ac:dyDescent="0.25">
      <c r="A187" s="231" t="s">
        <v>96</v>
      </c>
      <c r="B187" s="165">
        <v>11</v>
      </c>
      <c r="C187" s="111" t="s">
        <v>40</v>
      </c>
      <c r="D187" s="111" t="s">
        <v>105</v>
      </c>
      <c r="E187" s="111" t="s">
        <v>46</v>
      </c>
      <c r="F187" s="70"/>
      <c r="G187" s="81"/>
      <c r="H187" s="153">
        <f>H149+(H149*Escalation!$D$5)</f>
        <v>35.790278126002853</v>
      </c>
      <c r="I187" s="122">
        <f>I149+(I149*Escalation!$D$5)</f>
        <v>0</v>
      </c>
      <c r="J187" s="25">
        <f>J149+(J149*Escalation!$D$5)</f>
        <v>0</v>
      </c>
      <c r="K187" s="26">
        <f t="shared" si="119"/>
        <v>0</v>
      </c>
      <c r="L187" s="26">
        <f t="shared" si="120"/>
        <v>0</v>
      </c>
      <c r="M187" s="26">
        <f t="shared" si="121"/>
        <v>0</v>
      </c>
      <c r="N187" s="26">
        <f t="shared" si="122"/>
        <v>0</v>
      </c>
      <c r="O187" s="26">
        <f t="shared" si="123"/>
        <v>0</v>
      </c>
      <c r="P187" s="26">
        <f t="shared" si="124"/>
        <v>0</v>
      </c>
      <c r="Q187" s="25">
        <f t="shared" si="113"/>
        <v>0</v>
      </c>
      <c r="R187" s="25">
        <f t="shared" si="114"/>
        <v>0</v>
      </c>
      <c r="S187" s="25">
        <f t="shared" si="115"/>
        <v>0</v>
      </c>
      <c r="T187" s="87">
        <f t="shared" si="116"/>
        <v>0</v>
      </c>
      <c r="U187" s="87">
        <f t="shared" si="117"/>
        <v>0</v>
      </c>
      <c r="V187" s="88">
        <f t="shared" si="118"/>
        <v>0</v>
      </c>
    </row>
    <row r="188" spans="1:22" x14ac:dyDescent="0.25">
      <c r="A188" s="232"/>
      <c r="B188" s="166">
        <v>19</v>
      </c>
      <c r="C188" s="113" t="s">
        <v>101</v>
      </c>
      <c r="D188" s="113" t="s">
        <v>112</v>
      </c>
      <c r="E188" s="113" t="s">
        <v>46</v>
      </c>
      <c r="F188" s="71"/>
      <c r="G188" s="81"/>
      <c r="H188" s="154">
        <f>H150+(H150*Escalation!$D$5)</f>
        <v>35.790278126002853</v>
      </c>
      <c r="I188" s="117">
        <f>I150+(I150*Escalation!$D$5)</f>
        <v>0</v>
      </c>
      <c r="J188" s="5">
        <f>J150+(J150*Escalation!$D$5)</f>
        <v>0</v>
      </c>
      <c r="K188" s="2">
        <f t="shared" si="119"/>
        <v>0</v>
      </c>
      <c r="L188" s="2">
        <f t="shared" si="120"/>
        <v>0</v>
      </c>
      <c r="M188" s="2">
        <f t="shared" si="121"/>
        <v>0</v>
      </c>
      <c r="N188" s="2">
        <f t="shared" si="122"/>
        <v>0</v>
      </c>
      <c r="O188" s="2">
        <f t="shared" si="123"/>
        <v>0</v>
      </c>
      <c r="P188" s="2">
        <f t="shared" si="124"/>
        <v>0</v>
      </c>
      <c r="Q188" s="5">
        <f t="shared" si="113"/>
        <v>0</v>
      </c>
      <c r="R188" s="5">
        <f t="shared" si="114"/>
        <v>0</v>
      </c>
      <c r="S188" s="5">
        <f t="shared" si="115"/>
        <v>0</v>
      </c>
      <c r="T188" s="89">
        <f t="shared" si="116"/>
        <v>0</v>
      </c>
      <c r="U188" s="89">
        <f t="shared" si="117"/>
        <v>0</v>
      </c>
      <c r="V188" s="90">
        <f t="shared" si="118"/>
        <v>0</v>
      </c>
    </row>
    <row r="189" spans="1:22" x14ac:dyDescent="0.25">
      <c r="A189" s="232"/>
      <c r="B189" s="166">
        <v>15</v>
      </c>
      <c r="C189" s="113" t="s">
        <v>97</v>
      </c>
      <c r="D189" s="113" t="s">
        <v>104</v>
      </c>
      <c r="E189" s="113" t="s">
        <v>46</v>
      </c>
      <c r="F189" s="71"/>
      <c r="G189" s="81"/>
      <c r="H189" s="154">
        <f>H151+(H151*Escalation!$D$5)</f>
        <v>34.068249139446152</v>
      </c>
      <c r="I189" s="117">
        <f>I151+(I151*Escalation!$D$5)</f>
        <v>0</v>
      </c>
      <c r="J189" s="5">
        <f>J151+(J151*Escalation!$D$5)</f>
        <v>0</v>
      </c>
      <c r="K189" s="2">
        <f t="shared" si="119"/>
        <v>0</v>
      </c>
      <c r="L189" s="2">
        <f t="shared" si="120"/>
        <v>0</v>
      </c>
      <c r="M189" s="2">
        <f t="shared" si="121"/>
        <v>0</v>
      </c>
      <c r="N189" s="2">
        <f t="shared" si="122"/>
        <v>0</v>
      </c>
      <c r="O189" s="2">
        <f t="shared" si="123"/>
        <v>0</v>
      </c>
      <c r="P189" s="2">
        <f t="shared" si="124"/>
        <v>0</v>
      </c>
      <c r="Q189" s="5">
        <f t="shared" si="113"/>
        <v>0</v>
      </c>
      <c r="R189" s="5">
        <f t="shared" si="114"/>
        <v>0</v>
      </c>
      <c r="S189" s="5">
        <f t="shared" si="115"/>
        <v>0</v>
      </c>
      <c r="T189" s="89">
        <f t="shared" si="116"/>
        <v>0</v>
      </c>
      <c r="U189" s="89">
        <f t="shared" si="117"/>
        <v>0</v>
      </c>
      <c r="V189" s="90">
        <f t="shared" si="118"/>
        <v>0</v>
      </c>
    </row>
    <row r="190" spans="1:22" ht="15.75" thickBot="1" x14ac:dyDescent="0.3">
      <c r="A190" s="233"/>
      <c r="B190" s="167">
        <v>17</v>
      </c>
      <c r="C190" s="115" t="s">
        <v>42</v>
      </c>
      <c r="D190" s="115" t="s">
        <v>110</v>
      </c>
      <c r="E190" s="115" t="s">
        <v>46</v>
      </c>
      <c r="F190" s="72"/>
      <c r="G190" s="81"/>
      <c r="H190" s="155">
        <f>H152+(H152*Escalation!$D$5)</f>
        <v>28.529831588088101</v>
      </c>
      <c r="I190" s="123">
        <f>I152+(I152*Escalation!$D$5)</f>
        <v>0</v>
      </c>
      <c r="J190" s="38">
        <f>J152+(J152*Escalation!$D$5)</f>
        <v>0</v>
      </c>
      <c r="K190" s="39">
        <f t="shared" si="119"/>
        <v>0</v>
      </c>
      <c r="L190" s="39">
        <f t="shared" si="120"/>
        <v>0</v>
      </c>
      <c r="M190" s="39">
        <f t="shared" si="121"/>
        <v>0</v>
      </c>
      <c r="N190" s="39">
        <f t="shared" si="122"/>
        <v>0</v>
      </c>
      <c r="O190" s="39">
        <f t="shared" si="123"/>
        <v>0</v>
      </c>
      <c r="P190" s="39">
        <f t="shared" si="124"/>
        <v>0</v>
      </c>
      <c r="Q190" s="38">
        <f t="shared" si="113"/>
        <v>0</v>
      </c>
      <c r="R190" s="38">
        <f t="shared" si="114"/>
        <v>0</v>
      </c>
      <c r="S190" s="38">
        <f t="shared" si="115"/>
        <v>0</v>
      </c>
      <c r="T190" s="91">
        <f t="shared" si="116"/>
        <v>0</v>
      </c>
      <c r="U190" s="91">
        <f t="shared" si="117"/>
        <v>0</v>
      </c>
      <c r="V190" s="92">
        <f t="shared" si="118"/>
        <v>0</v>
      </c>
    </row>
    <row r="193" spans="3:22" s="63" customFormat="1" x14ac:dyDescent="0.25">
      <c r="C193" s="69" t="s">
        <v>55</v>
      </c>
      <c r="D193" s="28">
        <f>SUM(V5:V38)</f>
        <v>0</v>
      </c>
      <c r="E193" s="64"/>
      <c r="G193" s="65"/>
      <c r="H193" s="66"/>
      <c r="I193" s="67"/>
      <c r="J193" s="67"/>
      <c r="K193" s="67"/>
      <c r="L193" s="67"/>
      <c r="M193" s="67"/>
      <c r="N193" s="67"/>
      <c r="O193" s="67"/>
      <c r="P193" s="67"/>
      <c r="Q193" s="67"/>
      <c r="R193" s="67"/>
      <c r="S193" s="67"/>
      <c r="T193" s="68"/>
      <c r="U193" s="67"/>
      <c r="V193" s="67"/>
    </row>
    <row r="194" spans="3:22" x14ac:dyDescent="0.25">
      <c r="C194" s="6" t="s">
        <v>56</v>
      </c>
      <c r="D194" s="28">
        <f>SUM(V43:V76)</f>
        <v>0</v>
      </c>
      <c r="E194" s="56"/>
    </row>
    <row r="195" spans="3:22" x14ac:dyDescent="0.25">
      <c r="C195" s="6" t="s">
        <v>57</v>
      </c>
      <c r="D195" s="28">
        <f>SUM(V81:V114)</f>
        <v>0</v>
      </c>
      <c r="E195" s="56"/>
    </row>
    <row r="196" spans="3:22" x14ac:dyDescent="0.25">
      <c r="C196" s="6" t="s">
        <v>58</v>
      </c>
      <c r="D196" s="28">
        <f>SUM(V119:V152)</f>
        <v>0</v>
      </c>
      <c r="E196" s="56"/>
    </row>
    <row r="197" spans="3:22" x14ac:dyDescent="0.25">
      <c r="C197" s="6" t="s">
        <v>59</v>
      </c>
      <c r="D197" s="28">
        <f>SUM(V157:V190)</f>
        <v>0</v>
      </c>
      <c r="E197" s="56"/>
    </row>
    <row r="198" spans="3:22" ht="15.75" thickBot="1" x14ac:dyDescent="0.3"/>
    <row r="199" spans="3:22" ht="15.75" thickBot="1" x14ac:dyDescent="0.3">
      <c r="C199" s="34" t="s">
        <v>60</v>
      </c>
      <c r="D199" s="27">
        <f>D193+D194+D195+D196+D197</f>
        <v>0</v>
      </c>
      <c r="E199" s="57"/>
    </row>
  </sheetData>
  <mergeCells count="46">
    <mergeCell ref="H2:V2"/>
    <mergeCell ref="A1:V1"/>
    <mergeCell ref="A2:F2"/>
    <mergeCell ref="A8:A12"/>
    <mergeCell ref="A94:A97"/>
    <mergeCell ref="A39:V39"/>
    <mergeCell ref="H40:V40"/>
    <mergeCell ref="A14:A17"/>
    <mergeCell ref="A18:A21"/>
    <mergeCell ref="A25:A29"/>
    <mergeCell ref="A31:A34"/>
    <mergeCell ref="A35:A38"/>
    <mergeCell ref="A69:A72"/>
    <mergeCell ref="A6:A7"/>
    <mergeCell ref="A73:A76"/>
    <mergeCell ref="A170:A173"/>
    <mergeCell ref="A177:A181"/>
    <mergeCell ref="A183:A186"/>
    <mergeCell ref="A187:A190"/>
    <mergeCell ref="A77:V77"/>
    <mergeCell ref="A78:F78"/>
    <mergeCell ref="H78:V78"/>
    <mergeCell ref="A101:A105"/>
    <mergeCell ref="A107:A110"/>
    <mergeCell ref="A111:A114"/>
    <mergeCell ref="A154:F154"/>
    <mergeCell ref="H154:V154"/>
    <mergeCell ref="A115:V115"/>
    <mergeCell ref="A153:V153"/>
    <mergeCell ref="A116:F116"/>
    <mergeCell ref="H116:V116"/>
    <mergeCell ref="A145:A148"/>
    <mergeCell ref="A149:A152"/>
    <mergeCell ref="A160:A164"/>
    <mergeCell ref="A166:A169"/>
    <mergeCell ref="A122:A126"/>
    <mergeCell ref="A128:A131"/>
    <mergeCell ref="A132:A135"/>
    <mergeCell ref="A139:A143"/>
    <mergeCell ref="A84:A88"/>
    <mergeCell ref="A90:A93"/>
    <mergeCell ref="A40:F40"/>
    <mergeCell ref="A46:A50"/>
    <mergeCell ref="A52:A55"/>
    <mergeCell ref="A56:A59"/>
    <mergeCell ref="A63:A67"/>
  </mergeCells>
  <phoneticPr fontId="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D5"/>
  <sheetViews>
    <sheetView workbookViewId="0"/>
    <sheetView workbookViewId="1">
      <selection activeCell="N23" sqref="N23"/>
    </sheetView>
  </sheetViews>
  <sheetFormatPr defaultColWidth="9.140625" defaultRowHeight="15" x14ac:dyDescent="0.25"/>
  <cols>
    <col min="1" max="1" width="21.85546875" style="3" customWidth="1"/>
    <col min="2" max="3" width="16.42578125" style="3" customWidth="1"/>
    <col min="4" max="4" width="14.42578125" style="3" customWidth="1"/>
    <col min="5" max="16384" width="9.140625" style="3"/>
  </cols>
  <sheetData>
    <row r="1" spans="1:4" ht="30" x14ac:dyDescent="0.25">
      <c r="A1" s="10" t="s">
        <v>61</v>
      </c>
      <c r="B1" s="11" t="s">
        <v>62</v>
      </c>
      <c r="C1" s="11" t="s">
        <v>63</v>
      </c>
      <c r="D1" s="11" t="s">
        <v>64</v>
      </c>
    </row>
    <row r="2" spans="1:4" x14ac:dyDescent="0.25">
      <c r="A2" s="12" t="s">
        <v>65</v>
      </c>
      <c r="B2" s="13">
        <v>2.5999999999999999E-2</v>
      </c>
      <c r="C2" s="1"/>
      <c r="D2" s="13">
        <f>IF($C2&lt;$B2,$B2,$C2)</f>
        <v>2.5999999999999999E-2</v>
      </c>
    </row>
    <row r="3" spans="1:4" x14ac:dyDescent="0.25">
      <c r="A3" s="12" t="s">
        <v>66</v>
      </c>
      <c r="B3" s="13">
        <v>2.5999999999999999E-2</v>
      </c>
      <c r="C3" s="1"/>
      <c r="D3" s="13">
        <f t="shared" ref="D3:D5" si="0">IF($C3&lt;$B3,$B3,$C3)</f>
        <v>2.5999999999999999E-2</v>
      </c>
    </row>
    <row r="4" spans="1:4" x14ac:dyDescent="0.25">
      <c r="A4" s="12" t="s">
        <v>67</v>
      </c>
      <c r="B4" s="13">
        <v>2.5999999999999999E-2</v>
      </c>
      <c r="C4" s="1"/>
      <c r="D4" s="13">
        <f t="shared" si="0"/>
        <v>2.5999999999999999E-2</v>
      </c>
    </row>
    <row r="5" spans="1:4" x14ac:dyDescent="0.25">
      <c r="A5" s="12" t="s">
        <v>68</v>
      </c>
      <c r="B5" s="13">
        <v>2.5999999999999999E-2</v>
      </c>
      <c r="C5" s="1"/>
      <c r="D5" s="13">
        <f t="shared" si="0"/>
        <v>2.5999999999999999E-2</v>
      </c>
    </row>
  </sheetData>
  <conditionalFormatting sqref="D2:D5">
    <cfRule type="cellIs" dxfId="0" priority="1" operator="lessThan">
      <formula>$B2</formula>
    </cfRule>
  </conditionalFormatting>
  <pageMargins left="0.7" right="0.7" top="0.75" bottom="0.75" header="0.3" footer="0.3"/>
  <pageSetup orientation="portrait" verticalDpi="597"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0DBAE-7367-4E2E-B780-0F28418AD5F2}">
  <dimension ref="A1:S3"/>
  <sheetViews>
    <sheetView workbookViewId="0">
      <selection sqref="A1:P2"/>
    </sheetView>
    <sheetView workbookViewId="1">
      <selection activeCell="Q27" sqref="Q27"/>
    </sheetView>
  </sheetViews>
  <sheetFormatPr defaultRowHeight="15" x14ac:dyDescent="0.25"/>
  <cols>
    <col min="1" max="1" width="9.140625" style="170" customWidth="1"/>
    <col min="2" max="16384" width="9.140625" style="170"/>
  </cols>
  <sheetData>
    <row r="1" spans="1:19" ht="15" customHeight="1" x14ac:dyDescent="0.25">
      <c r="A1" s="249" t="s">
        <v>102</v>
      </c>
      <c r="B1" s="250"/>
      <c r="C1" s="250"/>
      <c r="D1" s="250"/>
      <c r="E1" s="250"/>
      <c r="F1" s="250"/>
      <c r="G1" s="250"/>
      <c r="H1" s="250"/>
      <c r="I1" s="250"/>
      <c r="J1" s="250"/>
      <c r="K1" s="250"/>
      <c r="L1" s="250"/>
      <c r="M1" s="250"/>
      <c r="N1" s="250"/>
      <c r="O1" s="250"/>
      <c r="P1" s="251"/>
      <c r="Q1" s="169"/>
      <c r="R1" s="169"/>
      <c r="S1" s="169"/>
    </row>
    <row r="2" spans="1:19" x14ac:dyDescent="0.25">
      <c r="A2" s="252"/>
      <c r="B2" s="253"/>
      <c r="C2" s="253"/>
      <c r="D2" s="253"/>
      <c r="E2" s="253"/>
      <c r="F2" s="253"/>
      <c r="G2" s="253"/>
      <c r="H2" s="253"/>
      <c r="I2" s="253"/>
      <c r="J2" s="253"/>
      <c r="K2" s="253"/>
      <c r="L2" s="253"/>
      <c r="M2" s="253"/>
      <c r="N2" s="253"/>
      <c r="O2" s="253"/>
      <c r="P2" s="254"/>
      <c r="Q2" s="169"/>
      <c r="R2" s="169"/>
      <c r="S2" s="169"/>
    </row>
    <row r="3" spans="1:19" x14ac:dyDescent="0.25">
      <c r="A3" s="169"/>
    </row>
  </sheetData>
  <mergeCells count="1">
    <mergeCell ref="A1:P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2330B-E8AD-4E97-A78E-5BCBB1407001}">
  <dimension ref="A1:G181"/>
  <sheetViews>
    <sheetView workbookViewId="0"/>
    <sheetView tabSelected="1" workbookViewId="1">
      <selection activeCell="K12" sqref="K12"/>
    </sheetView>
  </sheetViews>
  <sheetFormatPr defaultRowHeight="15" x14ac:dyDescent="0.25"/>
  <cols>
    <col min="1" max="1" width="34.42578125" customWidth="1"/>
    <col min="2" max="2" width="6.5703125" customWidth="1"/>
    <col min="3" max="3" width="36.42578125" bestFit="1" customWidth="1"/>
    <col min="4" max="4" width="17.85546875" customWidth="1"/>
    <col min="5" max="5" width="14.42578125" bestFit="1" customWidth="1"/>
    <col min="6" max="7" width="14.7109375" customWidth="1"/>
  </cols>
  <sheetData>
    <row r="1" spans="1:7" ht="30.75" customHeight="1" thickBot="1" x14ac:dyDescent="0.3">
      <c r="A1" s="101" t="s">
        <v>18</v>
      </c>
      <c r="B1" s="101" t="s">
        <v>19</v>
      </c>
      <c r="C1" s="102" t="s">
        <v>20</v>
      </c>
      <c r="D1" s="102" t="s">
        <v>21</v>
      </c>
      <c r="E1" s="102" t="s">
        <v>22</v>
      </c>
      <c r="F1" s="103" t="s">
        <v>23</v>
      </c>
      <c r="G1" s="103" t="s">
        <v>69</v>
      </c>
    </row>
    <row r="2" spans="1:7" ht="19.5" thickBot="1" x14ac:dyDescent="0.35">
      <c r="A2" s="129" t="s">
        <v>70</v>
      </c>
      <c r="B2" s="130"/>
      <c r="C2" s="130"/>
      <c r="D2" s="130"/>
      <c r="E2" s="130"/>
      <c r="F2" s="130"/>
      <c r="G2" s="131"/>
    </row>
    <row r="3" spans="1:7" ht="19.5" thickBot="1" x14ac:dyDescent="0.35">
      <c r="A3" s="100" t="s">
        <v>36</v>
      </c>
      <c r="B3" s="82"/>
      <c r="C3" s="82"/>
      <c r="D3" s="82"/>
      <c r="E3" s="98"/>
      <c r="F3" s="55"/>
      <c r="G3" s="156"/>
    </row>
    <row r="4" spans="1:7" ht="15.75" thickBot="1" x14ac:dyDescent="0.3">
      <c r="A4" s="40" t="s">
        <v>37</v>
      </c>
      <c r="B4" s="198">
        <v>1</v>
      </c>
      <c r="C4" s="199" t="s">
        <v>38</v>
      </c>
      <c r="D4" s="200"/>
      <c r="E4" s="201" t="s">
        <v>36</v>
      </c>
      <c r="F4" s="159">
        <f>'Subcontractor Labor Build'!F5</f>
        <v>0</v>
      </c>
      <c r="G4" s="93">
        <f>'Subcontractor Labor Build'!S5</f>
        <v>0</v>
      </c>
    </row>
    <row r="5" spans="1:7" ht="15.75" thickBot="1" x14ac:dyDescent="0.3">
      <c r="A5" s="255" t="s">
        <v>39</v>
      </c>
      <c r="B5" s="198">
        <v>2</v>
      </c>
      <c r="C5" s="199" t="s">
        <v>40</v>
      </c>
      <c r="D5" s="200"/>
      <c r="E5" s="201" t="s">
        <v>36</v>
      </c>
      <c r="F5" s="159">
        <f>'Subcontractor Labor Build'!F6</f>
        <v>0</v>
      </c>
      <c r="G5" s="93">
        <f>'Subcontractor Labor Build'!S6</f>
        <v>0</v>
      </c>
    </row>
    <row r="6" spans="1:7" ht="15.75" thickBot="1" x14ac:dyDescent="0.3">
      <c r="A6" s="256"/>
      <c r="B6" s="198">
        <v>3</v>
      </c>
      <c r="C6" s="202" t="s">
        <v>113</v>
      </c>
      <c r="D6" s="203"/>
      <c r="E6" s="201" t="s">
        <v>36</v>
      </c>
      <c r="F6" s="159">
        <f>'Subcontractor Labor Build'!F7</f>
        <v>0</v>
      </c>
      <c r="G6" s="93">
        <f>'Subcontractor Labor Build'!S7</f>
        <v>0</v>
      </c>
    </row>
    <row r="7" spans="1:7" x14ac:dyDescent="0.25">
      <c r="A7" s="195" t="s">
        <v>93</v>
      </c>
      <c r="B7" s="205">
        <v>4</v>
      </c>
      <c r="C7" s="206" t="s">
        <v>41</v>
      </c>
      <c r="D7" s="207"/>
      <c r="E7" s="208" t="s">
        <v>36</v>
      </c>
      <c r="F7" s="160">
        <f>'Subcontractor Labor Build'!F8</f>
        <v>0</v>
      </c>
      <c r="G7" s="94">
        <f>'Subcontractor Labor Build'!S8</f>
        <v>0</v>
      </c>
    </row>
    <row r="8" spans="1:7" x14ac:dyDescent="0.25">
      <c r="A8" s="196"/>
      <c r="B8" s="209">
        <v>5</v>
      </c>
      <c r="C8" s="210" t="s">
        <v>44</v>
      </c>
      <c r="D8" s="211"/>
      <c r="E8" s="212" t="s">
        <v>36</v>
      </c>
      <c r="F8" s="161">
        <f>'Subcontractor Labor Build'!F9</f>
        <v>0</v>
      </c>
      <c r="G8" s="95">
        <f>'Subcontractor Labor Build'!S9</f>
        <v>0</v>
      </c>
    </row>
    <row r="9" spans="1:7" x14ac:dyDescent="0.25">
      <c r="A9" s="196"/>
      <c r="B9" s="209">
        <v>6</v>
      </c>
      <c r="C9" s="210" t="s">
        <v>97</v>
      </c>
      <c r="D9" s="211"/>
      <c r="E9" s="212" t="s">
        <v>36</v>
      </c>
      <c r="F9" s="161">
        <f>'Subcontractor Labor Build'!F10</f>
        <v>0</v>
      </c>
      <c r="G9" s="95">
        <f>'Subcontractor Labor Build'!S10</f>
        <v>0</v>
      </c>
    </row>
    <row r="10" spans="1:7" x14ac:dyDescent="0.25">
      <c r="A10" s="196"/>
      <c r="B10" s="209">
        <v>7</v>
      </c>
      <c r="C10" s="210" t="s">
        <v>45</v>
      </c>
      <c r="D10" s="211"/>
      <c r="E10" s="212" t="s">
        <v>36</v>
      </c>
      <c r="F10" s="161">
        <f>'Subcontractor Labor Build'!F11</f>
        <v>0</v>
      </c>
      <c r="G10" s="95">
        <f>'Subcontractor Labor Build'!S11</f>
        <v>0</v>
      </c>
    </row>
    <row r="11" spans="1:7" ht="15.75" thickBot="1" x14ac:dyDescent="0.3">
      <c r="A11" s="197"/>
      <c r="B11" s="213">
        <v>8</v>
      </c>
      <c r="C11" s="214" t="s">
        <v>42</v>
      </c>
      <c r="D11" s="215"/>
      <c r="E11" s="216" t="s">
        <v>36</v>
      </c>
      <c r="F11" s="162">
        <f>'Subcontractor Labor Build'!F12</f>
        <v>0</v>
      </c>
      <c r="G11" s="96">
        <f>'Subcontractor Labor Build'!S12</f>
        <v>0</v>
      </c>
    </row>
    <row r="12" spans="1:7" ht="30.75" thickBot="1" x14ac:dyDescent="0.3">
      <c r="A12" s="147" t="s">
        <v>94</v>
      </c>
      <c r="B12" s="198">
        <v>9</v>
      </c>
      <c r="C12" s="199" t="s">
        <v>43</v>
      </c>
      <c r="D12" s="148"/>
      <c r="E12" s="201" t="s">
        <v>36</v>
      </c>
      <c r="F12" s="159">
        <f>'Subcontractor Labor Build'!F13</f>
        <v>0</v>
      </c>
      <c r="G12" s="93">
        <f>'Subcontractor Labor Build'!S13</f>
        <v>0</v>
      </c>
    </row>
    <row r="13" spans="1:7" x14ac:dyDescent="0.25">
      <c r="A13" s="195" t="s">
        <v>95</v>
      </c>
      <c r="B13" s="205">
        <v>4</v>
      </c>
      <c r="C13" s="206" t="s">
        <v>41</v>
      </c>
      <c r="D13" s="207"/>
      <c r="E13" s="208" t="s">
        <v>36</v>
      </c>
      <c r="F13" s="160">
        <f>'Subcontractor Labor Build'!F14</f>
        <v>0</v>
      </c>
      <c r="G13" s="94">
        <f>'Subcontractor Labor Build'!S14</f>
        <v>0</v>
      </c>
    </row>
    <row r="14" spans="1:7" x14ac:dyDescent="0.25">
      <c r="A14" s="196"/>
      <c r="B14" s="209">
        <v>5</v>
      </c>
      <c r="C14" s="210" t="s">
        <v>44</v>
      </c>
      <c r="D14" s="211"/>
      <c r="E14" s="212" t="s">
        <v>36</v>
      </c>
      <c r="F14" s="161">
        <f>'Subcontractor Labor Build'!F15</f>
        <v>0</v>
      </c>
      <c r="G14" s="95">
        <f>'Subcontractor Labor Build'!S15</f>
        <v>0</v>
      </c>
    </row>
    <row r="15" spans="1:7" ht="15" customHeight="1" x14ac:dyDescent="0.25">
      <c r="A15" s="196"/>
      <c r="B15" s="209">
        <v>6</v>
      </c>
      <c r="C15" s="210" t="s">
        <v>97</v>
      </c>
      <c r="D15" s="211"/>
      <c r="E15" s="212" t="s">
        <v>36</v>
      </c>
      <c r="F15" s="161">
        <f>'Subcontractor Labor Build'!F16</f>
        <v>0</v>
      </c>
      <c r="G15" s="95">
        <f>'Subcontractor Labor Build'!S16</f>
        <v>0</v>
      </c>
    </row>
    <row r="16" spans="1:7" ht="15.75" thickBot="1" x14ac:dyDescent="0.3">
      <c r="A16" s="197"/>
      <c r="B16" s="213">
        <v>2</v>
      </c>
      <c r="C16" s="214" t="s">
        <v>40</v>
      </c>
      <c r="D16" s="215"/>
      <c r="E16" s="216" t="s">
        <v>36</v>
      </c>
      <c r="F16" s="162">
        <f>'Subcontractor Labor Build'!F17</f>
        <v>0</v>
      </c>
      <c r="G16" s="96">
        <f>'Subcontractor Labor Build'!S17</f>
        <v>0</v>
      </c>
    </row>
    <row r="17" spans="1:7" ht="15" customHeight="1" x14ac:dyDescent="0.25">
      <c r="A17" s="195" t="s">
        <v>96</v>
      </c>
      <c r="B17" s="205">
        <v>2</v>
      </c>
      <c r="C17" s="206" t="s">
        <v>40</v>
      </c>
      <c r="D17" s="207"/>
      <c r="E17" s="208" t="s">
        <v>36</v>
      </c>
      <c r="F17" s="160">
        <f>'Subcontractor Labor Build'!F18</f>
        <v>0</v>
      </c>
      <c r="G17" s="94">
        <f>'Subcontractor Labor Build'!S18</f>
        <v>0</v>
      </c>
    </row>
    <row r="18" spans="1:7" x14ac:dyDescent="0.25">
      <c r="A18" s="196"/>
      <c r="B18" s="209">
        <v>10</v>
      </c>
      <c r="C18" s="210" t="s">
        <v>101</v>
      </c>
      <c r="D18" s="211"/>
      <c r="E18" s="212" t="s">
        <v>36</v>
      </c>
      <c r="F18" s="161">
        <f>'Subcontractor Labor Build'!F19</f>
        <v>0</v>
      </c>
      <c r="G18" s="95">
        <f>'Subcontractor Labor Build'!S19</f>
        <v>0</v>
      </c>
    </row>
    <row r="19" spans="1:7" x14ac:dyDescent="0.25">
      <c r="A19" s="196"/>
      <c r="B19" s="209">
        <v>6</v>
      </c>
      <c r="C19" s="210" t="s">
        <v>97</v>
      </c>
      <c r="D19" s="135"/>
      <c r="E19" s="212" t="s">
        <v>36</v>
      </c>
      <c r="F19" s="161">
        <f>'Subcontractor Labor Build'!F20</f>
        <v>0</v>
      </c>
      <c r="G19" s="95">
        <f>'Subcontractor Labor Build'!S20</f>
        <v>0</v>
      </c>
    </row>
    <row r="20" spans="1:7" ht="15.75" thickBot="1" x14ac:dyDescent="0.3">
      <c r="A20" s="197"/>
      <c r="B20" s="213">
        <v>8</v>
      </c>
      <c r="C20" s="214" t="s">
        <v>42</v>
      </c>
      <c r="D20" s="215"/>
      <c r="E20" s="216" t="s">
        <v>36</v>
      </c>
      <c r="F20" s="162">
        <f>'Subcontractor Labor Build'!F21</f>
        <v>0</v>
      </c>
      <c r="G20" s="96">
        <f>'Subcontractor Labor Build'!S21</f>
        <v>0</v>
      </c>
    </row>
    <row r="21" spans="1:7" ht="19.5" thickBot="1" x14ac:dyDescent="0.35">
      <c r="A21" s="152" t="s">
        <v>46</v>
      </c>
      <c r="B21" s="217"/>
      <c r="C21" s="217"/>
      <c r="D21" s="217"/>
      <c r="E21" s="217"/>
      <c r="F21" s="58"/>
      <c r="G21" s="97"/>
    </row>
    <row r="22" spans="1:7" ht="15.75" thickBot="1" x14ac:dyDescent="0.3">
      <c r="A22" s="255" t="s">
        <v>39</v>
      </c>
      <c r="B22" s="198">
        <v>11</v>
      </c>
      <c r="C22" s="199" t="s">
        <v>98</v>
      </c>
      <c r="D22" s="200"/>
      <c r="E22" s="201" t="s">
        <v>46</v>
      </c>
      <c r="F22" s="218">
        <f>'Subcontractor Labor Build'!F23</f>
        <v>0</v>
      </c>
      <c r="G22" s="104">
        <f>'Subcontractor Labor Build'!S23</f>
        <v>0</v>
      </c>
    </row>
    <row r="23" spans="1:7" ht="15.75" thickBot="1" x14ac:dyDescent="0.3">
      <c r="A23" s="256"/>
      <c r="B23" s="219">
        <v>12</v>
      </c>
      <c r="C23" s="202" t="s">
        <v>113</v>
      </c>
      <c r="D23" s="203"/>
      <c r="E23" s="204" t="s">
        <v>46</v>
      </c>
      <c r="F23" s="218">
        <f>'Subcontractor Labor Build'!F24</f>
        <v>0</v>
      </c>
      <c r="G23" s="104">
        <f>'Subcontractor Labor Build'!S24</f>
        <v>0</v>
      </c>
    </row>
    <row r="24" spans="1:7" x14ac:dyDescent="0.25">
      <c r="A24" s="192" t="s">
        <v>93</v>
      </c>
      <c r="B24" s="205">
        <v>13</v>
      </c>
      <c r="C24" s="206" t="s">
        <v>41</v>
      </c>
      <c r="D24" s="207"/>
      <c r="E24" s="208" t="s">
        <v>46</v>
      </c>
      <c r="F24" s="220">
        <f>'Subcontractor Labor Build'!F25</f>
        <v>0</v>
      </c>
      <c r="G24" s="105">
        <f>'Subcontractor Labor Build'!S25</f>
        <v>0</v>
      </c>
    </row>
    <row r="25" spans="1:7" x14ac:dyDescent="0.25">
      <c r="A25" s="193"/>
      <c r="B25" s="209">
        <v>14</v>
      </c>
      <c r="C25" s="210" t="s">
        <v>44</v>
      </c>
      <c r="D25" s="211"/>
      <c r="E25" s="212" t="s">
        <v>46</v>
      </c>
      <c r="F25" s="221">
        <f>'Subcontractor Labor Build'!F26</f>
        <v>0</v>
      </c>
      <c r="G25" s="106">
        <f>'Subcontractor Labor Build'!S26</f>
        <v>0</v>
      </c>
    </row>
    <row r="26" spans="1:7" x14ac:dyDescent="0.25">
      <c r="A26" s="193"/>
      <c r="B26" s="209">
        <v>15</v>
      </c>
      <c r="C26" s="210" t="s">
        <v>97</v>
      </c>
      <c r="D26" s="211"/>
      <c r="E26" s="212" t="s">
        <v>46</v>
      </c>
      <c r="F26" s="221">
        <f>'Subcontractor Labor Build'!F27</f>
        <v>0</v>
      </c>
      <c r="G26" s="106">
        <f>'Subcontractor Labor Build'!S27</f>
        <v>0</v>
      </c>
    </row>
    <row r="27" spans="1:7" x14ac:dyDescent="0.25">
      <c r="A27" s="193"/>
      <c r="B27" s="209">
        <v>16</v>
      </c>
      <c r="C27" s="210" t="s">
        <v>45</v>
      </c>
      <c r="D27" s="211"/>
      <c r="E27" s="212" t="s">
        <v>46</v>
      </c>
      <c r="F27" s="221">
        <f>'Subcontractor Labor Build'!F28</f>
        <v>0</v>
      </c>
      <c r="G27" s="106">
        <f>'Subcontractor Labor Build'!S28</f>
        <v>0</v>
      </c>
    </row>
    <row r="28" spans="1:7" ht="15.75" thickBot="1" x14ac:dyDescent="0.3">
      <c r="A28" s="194"/>
      <c r="B28" s="213">
        <v>17</v>
      </c>
      <c r="C28" s="214" t="s">
        <v>42</v>
      </c>
      <c r="D28" s="215"/>
      <c r="E28" s="216" t="s">
        <v>46</v>
      </c>
      <c r="F28" s="222">
        <f>'Subcontractor Labor Build'!F29</f>
        <v>0</v>
      </c>
      <c r="G28" s="107">
        <f>'Subcontractor Labor Build'!S29</f>
        <v>0</v>
      </c>
    </row>
    <row r="29" spans="1:7" ht="30.75" thickBot="1" x14ac:dyDescent="0.3">
      <c r="A29" s="147" t="s">
        <v>94</v>
      </c>
      <c r="B29" s="198">
        <v>18</v>
      </c>
      <c r="C29" s="199" t="s">
        <v>99</v>
      </c>
      <c r="D29" s="200"/>
      <c r="E29" s="201" t="s">
        <v>46</v>
      </c>
      <c r="F29" s="218">
        <f>'Subcontractor Labor Build'!F30</f>
        <v>0</v>
      </c>
      <c r="G29" s="104">
        <f>'Subcontractor Labor Build'!S30</f>
        <v>0</v>
      </c>
    </row>
    <row r="30" spans="1:7" ht="15" customHeight="1" x14ac:dyDescent="0.25">
      <c r="A30" s="195" t="s">
        <v>95</v>
      </c>
      <c r="B30" s="205">
        <v>13</v>
      </c>
      <c r="C30" s="206" t="s">
        <v>41</v>
      </c>
      <c r="D30" s="207"/>
      <c r="E30" s="208" t="s">
        <v>46</v>
      </c>
      <c r="F30" s="220">
        <f>'Subcontractor Labor Build'!F31</f>
        <v>0</v>
      </c>
      <c r="G30" s="105">
        <f>'Subcontractor Labor Build'!S31</f>
        <v>0</v>
      </c>
    </row>
    <row r="31" spans="1:7" x14ac:dyDescent="0.25">
      <c r="A31" s="196"/>
      <c r="B31" s="209">
        <v>14</v>
      </c>
      <c r="C31" s="210" t="s">
        <v>44</v>
      </c>
      <c r="D31" s="211"/>
      <c r="E31" s="212" t="s">
        <v>46</v>
      </c>
      <c r="F31" s="221">
        <f>'Subcontractor Labor Build'!F32</f>
        <v>0</v>
      </c>
      <c r="G31" s="106">
        <f>'Subcontractor Labor Build'!S32</f>
        <v>0</v>
      </c>
    </row>
    <row r="32" spans="1:7" x14ac:dyDescent="0.25">
      <c r="A32" s="196"/>
      <c r="B32" s="209">
        <v>15</v>
      </c>
      <c r="C32" s="210" t="s">
        <v>97</v>
      </c>
      <c r="D32" s="211"/>
      <c r="E32" s="212" t="s">
        <v>46</v>
      </c>
      <c r="F32" s="221">
        <f>'Subcontractor Labor Build'!F33</f>
        <v>0</v>
      </c>
      <c r="G32" s="106">
        <f>'Subcontractor Labor Build'!S33</f>
        <v>0</v>
      </c>
    </row>
    <row r="33" spans="1:7" ht="15" customHeight="1" thickBot="1" x14ac:dyDescent="0.3">
      <c r="A33" s="197"/>
      <c r="B33" s="213">
        <v>11</v>
      </c>
      <c r="C33" s="214" t="s">
        <v>40</v>
      </c>
      <c r="D33" s="215"/>
      <c r="E33" s="216" t="s">
        <v>46</v>
      </c>
      <c r="F33" s="222">
        <f>'Subcontractor Labor Build'!F34</f>
        <v>0</v>
      </c>
      <c r="G33" s="107">
        <f>'Subcontractor Labor Build'!S34</f>
        <v>0</v>
      </c>
    </row>
    <row r="34" spans="1:7" ht="15" customHeight="1" x14ac:dyDescent="0.25">
      <c r="A34" s="195" t="s">
        <v>96</v>
      </c>
      <c r="B34" s="205">
        <v>11</v>
      </c>
      <c r="C34" s="206" t="s">
        <v>40</v>
      </c>
      <c r="D34" s="207"/>
      <c r="E34" s="208" t="s">
        <v>46</v>
      </c>
      <c r="F34" s="220">
        <f>'Subcontractor Labor Build'!F35</f>
        <v>0</v>
      </c>
      <c r="G34" s="105">
        <f>'Subcontractor Labor Build'!S35</f>
        <v>0</v>
      </c>
    </row>
    <row r="35" spans="1:7" x14ac:dyDescent="0.25">
      <c r="A35" s="196"/>
      <c r="B35" s="209">
        <v>19</v>
      </c>
      <c r="C35" s="210" t="s">
        <v>101</v>
      </c>
      <c r="D35" s="211"/>
      <c r="E35" s="212" t="s">
        <v>46</v>
      </c>
      <c r="F35" s="221">
        <f>'Subcontractor Labor Build'!F36</f>
        <v>0</v>
      </c>
      <c r="G35" s="106">
        <f>'Subcontractor Labor Build'!S36</f>
        <v>0</v>
      </c>
    </row>
    <row r="36" spans="1:7" x14ac:dyDescent="0.25">
      <c r="A36" s="196"/>
      <c r="B36" s="209">
        <v>15</v>
      </c>
      <c r="C36" s="210" t="s">
        <v>97</v>
      </c>
      <c r="D36" s="211"/>
      <c r="E36" s="212" t="s">
        <v>46</v>
      </c>
      <c r="F36" s="221">
        <f>'Subcontractor Labor Build'!F37</f>
        <v>0</v>
      </c>
      <c r="G36" s="106">
        <f>'Subcontractor Labor Build'!S37</f>
        <v>0</v>
      </c>
    </row>
    <row r="37" spans="1:7" ht="15.75" thickBot="1" x14ac:dyDescent="0.3">
      <c r="A37" s="197"/>
      <c r="B37" s="213">
        <v>17</v>
      </c>
      <c r="C37" s="214" t="s">
        <v>42</v>
      </c>
      <c r="D37" s="215"/>
      <c r="E37" s="216" t="s">
        <v>46</v>
      </c>
      <c r="F37" s="222">
        <f>'Subcontractor Labor Build'!F38</f>
        <v>0</v>
      </c>
      <c r="G37" s="107">
        <f>'Subcontractor Labor Build'!S38</f>
        <v>0</v>
      </c>
    </row>
    <row r="38" spans="1:7" ht="19.5" thickBot="1" x14ac:dyDescent="0.35">
      <c r="A38" s="129" t="s">
        <v>65</v>
      </c>
      <c r="B38" s="130"/>
      <c r="C38" s="130"/>
      <c r="D38" s="130"/>
      <c r="E38" s="130"/>
      <c r="F38" s="157"/>
      <c r="G38" s="158"/>
    </row>
    <row r="39" spans="1:7" ht="19.5" thickBot="1" x14ac:dyDescent="0.35">
      <c r="A39" s="100" t="s">
        <v>36</v>
      </c>
      <c r="B39" s="82"/>
      <c r="C39" s="82"/>
      <c r="D39" s="82"/>
      <c r="E39" s="98"/>
      <c r="F39" s="98"/>
      <c r="G39" s="99"/>
    </row>
    <row r="40" spans="1:7" ht="15.75" thickBot="1" x14ac:dyDescent="0.3">
      <c r="A40" s="40" t="s">
        <v>37</v>
      </c>
      <c r="B40" s="198">
        <v>1</v>
      </c>
      <c r="C40" s="199" t="s">
        <v>38</v>
      </c>
      <c r="D40" s="200"/>
      <c r="E40" s="201" t="s">
        <v>36</v>
      </c>
      <c r="F40" s="159">
        <f>'Subcontractor Labor Build'!F43</f>
        <v>0</v>
      </c>
      <c r="G40" s="93">
        <f>'Subcontractor Labor Build'!S43</f>
        <v>0</v>
      </c>
    </row>
    <row r="41" spans="1:7" ht="15.75" thickBot="1" x14ac:dyDescent="0.3">
      <c r="A41" s="255" t="s">
        <v>39</v>
      </c>
      <c r="B41" s="198">
        <v>2</v>
      </c>
      <c r="C41" s="199" t="s">
        <v>40</v>
      </c>
      <c r="D41" s="200"/>
      <c r="E41" s="201" t="s">
        <v>36</v>
      </c>
      <c r="F41" s="159">
        <f>'Subcontractor Labor Build'!F44</f>
        <v>0</v>
      </c>
      <c r="G41" s="93">
        <f>'Subcontractor Labor Build'!S44</f>
        <v>0</v>
      </c>
    </row>
    <row r="42" spans="1:7" ht="15.75" thickBot="1" x14ac:dyDescent="0.3">
      <c r="A42" s="256"/>
      <c r="B42" s="198">
        <v>3</v>
      </c>
      <c r="C42" s="202" t="s">
        <v>113</v>
      </c>
      <c r="D42" s="203"/>
      <c r="E42" s="201" t="s">
        <v>36</v>
      </c>
      <c r="F42" s="159">
        <f>'Subcontractor Labor Build'!F45</f>
        <v>0</v>
      </c>
      <c r="G42" s="93">
        <f>'Subcontractor Labor Build'!S45</f>
        <v>0</v>
      </c>
    </row>
    <row r="43" spans="1:7" x14ac:dyDescent="0.25">
      <c r="A43" s="195" t="s">
        <v>93</v>
      </c>
      <c r="B43" s="205">
        <v>4</v>
      </c>
      <c r="C43" s="206" t="s">
        <v>41</v>
      </c>
      <c r="D43" s="207"/>
      <c r="E43" s="208" t="s">
        <v>36</v>
      </c>
      <c r="F43" s="160">
        <f>'Subcontractor Labor Build'!F46</f>
        <v>0</v>
      </c>
      <c r="G43" s="94">
        <f>'Subcontractor Labor Build'!S46</f>
        <v>0</v>
      </c>
    </row>
    <row r="44" spans="1:7" x14ac:dyDescent="0.25">
      <c r="A44" s="196"/>
      <c r="B44" s="209">
        <v>5</v>
      </c>
      <c r="C44" s="210" t="s">
        <v>44</v>
      </c>
      <c r="D44" s="211"/>
      <c r="E44" s="212" t="s">
        <v>36</v>
      </c>
      <c r="F44" s="161">
        <f>'Subcontractor Labor Build'!F47</f>
        <v>0</v>
      </c>
      <c r="G44" s="95">
        <f>'Subcontractor Labor Build'!S47</f>
        <v>0</v>
      </c>
    </row>
    <row r="45" spans="1:7" x14ac:dyDescent="0.25">
      <c r="A45" s="196"/>
      <c r="B45" s="209">
        <v>6</v>
      </c>
      <c r="C45" s="210" t="s">
        <v>97</v>
      </c>
      <c r="D45" s="211"/>
      <c r="E45" s="212" t="s">
        <v>36</v>
      </c>
      <c r="F45" s="161">
        <f>'Subcontractor Labor Build'!F48</f>
        <v>0</v>
      </c>
      <c r="G45" s="95">
        <f>'Subcontractor Labor Build'!S48</f>
        <v>0</v>
      </c>
    </row>
    <row r="46" spans="1:7" x14ac:dyDescent="0.25">
      <c r="A46" s="196"/>
      <c r="B46" s="209">
        <v>7</v>
      </c>
      <c r="C46" s="210" t="s">
        <v>45</v>
      </c>
      <c r="D46" s="211"/>
      <c r="E46" s="212" t="s">
        <v>36</v>
      </c>
      <c r="F46" s="161">
        <f>'Subcontractor Labor Build'!F49</f>
        <v>0</v>
      </c>
      <c r="G46" s="95">
        <f>'Subcontractor Labor Build'!S49</f>
        <v>0</v>
      </c>
    </row>
    <row r="47" spans="1:7" ht="15.75" thickBot="1" x14ac:dyDescent="0.3">
      <c r="A47" s="197"/>
      <c r="B47" s="213">
        <v>8</v>
      </c>
      <c r="C47" s="214" t="s">
        <v>42</v>
      </c>
      <c r="D47" s="215"/>
      <c r="E47" s="216" t="s">
        <v>36</v>
      </c>
      <c r="F47" s="162">
        <f>'Subcontractor Labor Build'!F50</f>
        <v>0</v>
      </c>
      <c r="G47" s="96">
        <f>'Subcontractor Labor Build'!S50</f>
        <v>0</v>
      </c>
    </row>
    <row r="48" spans="1:7" ht="30.75" thickBot="1" x14ac:dyDescent="0.3">
      <c r="A48" s="147" t="s">
        <v>94</v>
      </c>
      <c r="B48" s="198">
        <v>9</v>
      </c>
      <c r="C48" s="199" t="s">
        <v>43</v>
      </c>
      <c r="D48" s="148"/>
      <c r="E48" s="201" t="s">
        <v>36</v>
      </c>
      <c r="F48" s="159">
        <f>'Subcontractor Labor Build'!F51</f>
        <v>0</v>
      </c>
      <c r="G48" s="93">
        <f>'Subcontractor Labor Build'!S51</f>
        <v>0</v>
      </c>
    </row>
    <row r="49" spans="1:7" x14ac:dyDescent="0.25">
      <c r="A49" s="195" t="s">
        <v>95</v>
      </c>
      <c r="B49" s="205">
        <v>4</v>
      </c>
      <c r="C49" s="206" t="s">
        <v>41</v>
      </c>
      <c r="D49" s="207"/>
      <c r="E49" s="208" t="s">
        <v>36</v>
      </c>
      <c r="F49" s="160">
        <f>'Subcontractor Labor Build'!F52</f>
        <v>0</v>
      </c>
      <c r="G49" s="94">
        <f>'Subcontractor Labor Build'!S52</f>
        <v>0</v>
      </c>
    </row>
    <row r="50" spans="1:7" x14ac:dyDescent="0.25">
      <c r="A50" s="196"/>
      <c r="B50" s="209">
        <v>5</v>
      </c>
      <c r="C50" s="210" t="s">
        <v>44</v>
      </c>
      <c r="D50" s="211"/>
      <c r="E50" s="212" t="s">
        <v>36</v>
      </c>
      <c r="F50" s="161">
        <f>'Subcontractor Labor Build'!F53</f>
        <v>0</v>
      </c>
      <c r="G50" s="95">
        <f>'Subcontractor Labor Build'!S53</f>
        <v>0</v>
      </c>
    </row>
    <row r="51" spans="1:7" ht="15" customHeight="1" x14ac:dyDescent="0.25">
      <c r="A51" s="196"/>
      <c r="B51" s="209">
        <v>6</v>
      </c>
      <c r="C51" s="210" t="s">
        <v>97</v>
      </c>
      <c r="D51" s="211"/>
      <c r="E51" s="212" t="s">
        <v>36</v>
      </c>
      <c r="F51" s="161">
        <f>'Subcontractor Labor Build'!F54</f>
        <v>0</v>
      </c>
      <c r="G51" s="95">
        <f>'Subcontractor Labor Build'!S54</f>
        <v>0</v>
      </c>
    </row>
    <row r="52" spans="1:7" ht="15.75" thickBot="1" x14ac:dyDescent="0.3">
      <c r="A52" s="197"/>
      <c r="B52" s="213">
        <v>2</v>
      </c>
      <c r="C52" s="214" t="s">
        <v>40</v>
      </c>
      <c r="D52" s="215"/>
      <c r="E52" s="216" t="s">
        <v>36</v>
      </c>
      <c r="F52" s="162">
        <f>'Subcontractor Labor Build'!F55</f>
        <v>0</v>
      </c>
      <c r="G52" s="96">
        <f>'Subcontractor Labor Build'!S55</f>
        <v>0</v>
      </c>
    </row>
    <row r="53" spans="1:7" ht="15" customHeight="1" x14ac:dyDescent="0.25">
      <c r="A53" s="195" t="s">
        <v>96</v>
      </c>
      <c r="B53" s="205">
        <v>2</v>
      </c>
      <c r="C53" s="206" t="s">
        <v>40</v>
      </c>
      <c r="D53" s="207"/>
      <c r="E53" s="208" t="s">
        <v>36</v>
      </c>
      <c r="F53" s="160">
        <f>'Subcontractor Labor Build'!F56</f>
        <v>0</v>
      </c>
      <c r="G53" s="94">
        <f>'Subcontractor Labor Build'!S56</f>
        <v>0</v>
      </c>
    </row>
    <row r="54" spans="1:7" x14ac:dyDescent="0.25">
      <c r="A54" s="196"/>
      <c r="B54" s="209">
        <v>10</v>
      </c>
      <c r="C54" s="210" t="s">
        <v>101</v>
      </c>
      <c r="D54" s="211"/>
      <c r="E54" s="212" t="s">
        <v>36</v>
      </c>
      <c r="F54" s="161">
        <f>'Subcontractor Labor Build'!F57</f>
        <v>0</v>
      </c>
      <c r="G54" s="95">
        <f>'Subcontractor Labor Build'!S57</f>
        <v>0</v>
      </c>
    </row>
    <row r="55" spans="1:7" x14ac:dyDescent="0.25">
      <c r="A55" s="196"/>
      <c r="B55" s="209">
        <v>6</v>
      </c>
      <c r="C55" s="210" t="s">
        <v>97</v>
      </c>
      <c r="D55" s="135"/>
      <c r="E55" s="212" t="s">
        <v>36</v>
      </c>
      <c r="F55" s="161">
        <f>'Subcontractor Labor Build'!F58</f>
        <v>0</v>
      </c>
      <c r="G55" s="95">
        <f>'Subcontractor Labor Build'!S58</f>
        <v>0</v>
      </c>
    </row>
    <row r="56" spans="1:7" ht="15.75" thickBot="1" x14ac:dyDescent="0.3">
      <c r="A56" s="197"/>
      <c r="B56" s="213">
        <v>8</v>
      </c>
      <c r="C56" s="214" t="s">
        <v>42</v>
      </c>
      <c r="D56" s="215"/>
      <c r="E56" s="216" t="s">
        <v>36</v>
      </c>
      <c r="F56" s="162">
        <f>'Subcontractor Labor Build'!F59</f>
        <v>0</v>
      </c>
      <c r="G56" s="96">
        <f>'Subcontractor Labor Build'!S59</f>
        <v>0</v>
      </c>
    </row>
    <row r="57" spans="1:7" ht="19.5" thickBot="1" x14ac:dyDescent="0.35">
      <c r="A57" s="152" t="s">
        <v>46</v>
      </c>
      <c r="B57" s="217"/>
      <c r="C57" s="217"/>
      <c r="D57" s="217"/>
      <c r="E57" s="217"/>
      <c r="F57" s="58"/>
      <c r="G57" s="97"/>
    </row>
    <row r="58" spans="1:7" ht="15.75" thickBot="1" x14ac:dyDescent="0.3">
      <c r="A58" s="255" t="s">
        <v>39</v>
      </c>
      <c r="B58" s="198">
        <v>11</v>
      </c>
      <c r="C58" s="199" t="s">
        <v>98</v>
      </c>
      <c r="D58" s="200"/>
      <c r="E58" s="201" t="s">
        <v>46</v>
      </c>
      <c r="F58" s="218">
        <f>'Subcontractor Labor Build'!F61</f>
        <v>0</v>
      </c>
      <c r="G58" s="104">
        <f>'Subcontractor Labor Build'!S61</f>
        <v>0</v>
      </c>
    </row>
    <row r="59" spans="1:7" ht="15.75" thickBot="1" x14ac:dyDescent="0.3">
      <c r="A59" s="256"/>
      <c r="B59" s="219">
        <v>12</v>
      </c>
      <c r="C59" s="202" t="s">
        <v>113</v>
      </c>
      <c r="D59" s="203"/>
      <c r="E59" s="201" t="s">
        <v>46</v>
      </c>
      <c r="F59" s="218">
        <f>'Subcontractor Labor Build'!F62</f>
        <v>0</v>
      </c>
      <c r="G59" s="104">
        <f>'Subcontractor Labor Build'!S62</f>
        <v>0</v>
      </c>
    </row>
    <row r="60" spans="1:7" x14ac:dyDescent="0.25">
      <c r="A60" s="192" t="s">
        <v>93</v>
      </c>
      <c r="B60" s="205">
        <v>13</v>
      </c>
      <c r="C60" s="206" t="s">
        <v>41</v>
      </c>
      <c r="D60" s="207"/>
      <c r="E60" s="208" t="s">
        <v>46</v>
      </c>
      <c r="F60" s="220">
        <f>'Subcontractor Labor Build'!F63</f>
        <v>0</v>
      </c>
      <c r="G60" s="105">
        <f>'Subcontractor Labor Build'!S63</f>
        <v>0</v>
      </c>
    </row>
    <row r="61" spans="1:7" x14ac:dyDescent="0.25">
      <c r="A61" s="193"/>
      <c r="B61" s="209">
        <v>14</v>
      </c>
      <c r="C61" s="210" t="s">
        <v>44</v>
      </c>
      <c r="D61" s="211"/>
      <c r="E61" s="212" t="s">
        <v>46</v>
      </c>
      <c r="F61" s="221">
        <f>'Subcontractor Labor Build'!F64</f>
        <v>0</v>
      </c>
      <c r="G61" s="106">
        <f>'Subcontractor Labor Build'!S64</f>
        <v>0</v>
      </c>
    </row>
    <row r="62" spans="1:7" x14ac:dyDescent="0.25">
      <c r="A62" s="193"/>
      <c r="B62" s="209">
        <v>15</v>
      </c>
      <c r="C62" s="210" t="s">
        <v>97</v>
      </c>
      <c r="D62" s="211"/>
      <c r="E62" s="212" t="s">
        <v>46</v>
      </c>
      <c r="F62" s="221">
        <f>'Subcontractor Labor Build'!F65</f>
        <v>0</v>
      </c>
      <c r="G62" s="106">
        <f>'Subcontractor Labor Build'!S65</f>
        <v>0</v>
      </c>
    </row>
    <row r="63" spans="1:7" x14ac:dyDescent="0.25">
      <c r="A63" s="193"/>
      <c r="B63" s="209">
        <v>16</v>
      </c>
      <c r="C63" s="210" t="s">
        <v>45</v>
      </c>
      <c r="D63" s="211"/>
      <c r="E63" s="212" t="s">
        <v>46</v>
      </c>
      <c r="F63" s="221">
        <f>'Subcontractor Labor Build'!F66</f>
        <v>0</v>
      </c>
      <c r="G63" s="106">
        <f>'Subcontractor Labor Build'!S66</f>
        <v>0</v>
      </c>
    </row>
    <row r="64" spans="1:7" ht="15.75" thickBot="1" x14ac:dyDescent="0.3">
      <c r="A64" s="194"/>
      <c r="B64" s="213">
        <v>17</v>
      </c>
      <c r="C64" s="214" t="s">
        <v>42</v>
      </c>
      <c r="D64" s="215"/>
      <c r="E64" s="216" t="s">
        <v>46</v>
      </c>
      <c r="F64" s="222">
        <f>'Subcontractor Labor Build'!F67</f>
        <v>0</v>
      </c>
      <c r="G64" s="107">
        <f>'Subcontractor Labor Build'!S67</f>
        <v>0</v>
      </c>
    </row>
    <row r="65" spans="1:7" ht="30.75" thickBot="1" x14ac:dyDescent="0.3">
      <c r="A65" s="147" t="s">
        <v>94</v>
      </c>
      <c r="B65" s="198">
        <v>18</v>
      </c>
      <c r="C65" s="199" t="s">
        <v>99</v>
      </c>
      <c r="D65" s="200"/>
      <c r="E65" s="201" t="s">
        <v>46</v>
      </c>
      <c r="F65" s="218">
        <f>'Subcontractor Labor Build'!F68</f>
        <v>0</v>
      </c>
      <c r="G65" s="104">
        <f>'Subcontractor Labor Build'!S68</f>
        <v>0</v>
      </c>
    </row>
    <row r="66" spans="1:7" ht="15" customHeight="1" x14ac:dyDescent="0.25">
      <c r="A66" s="195" t="s">
        <v>95</v>
      </c>
      <c r="B66" s="205">
        <v>13</v>
      </c>
      <c r="C66" s="206" t="s">
        <v>41</v>
      </c>
      <c r="D66" s="207"/>
      <c r="E66" s="208" t="s">
        <v>46</v>
      </c>
      <c r="F66" s="220">
        <f>'Subcontractor Labor Build'!F69</f>
        <v>0</v>
      </c>
      <c r="G66" s="105">
        <f>'Subcontractor Labor Build'!S69</f>
        <v>0</v>
      </c>
    </row>
    <row r="67" spans="1:7" x14ac:dyDescent="0.25">
      <c r="A67" s="196"/>
      <c r="B67" s="209">
        <v>14</v>
      </c>
      <c r="C67" s="210" t="s">
        <v>44</v>
      </c>
      <c r="D67" s="211"/>
      <c r="E67" s="212" t="s">
        <v>46</v>
      </c>
      <c r="F67" s="221">
        <f>'Subcontractor Labor Build'!F70</f>
        <v>0</v>
      </c>
      <c r="G67" s="106">
        <f>'Subcontractor Labor Build'!S70</f>
        <v>0</v>
      </c>
    </row>
    <row r="68" spans="1:7" x14ac:dyDescent="0.25">
      <c r="A68" s="196"/>
      <c r="B68" s="209">
        <v>15</v>
      </c>
      <c r="C68" s="210" t="s">
        <v>97</v>
      </c>
      <c r="D68" s="211"/>
      <c r="E68" s="212" t="s">
        <v>46</v>
      </c>
      <c r="F68" s="221">
        <f>'Subcontractor Labor Build'!F71</f>
        <v>0</v>
      </c>
      <c r="G68" s="106">
        <f>'Subcontractor Labor Build'!S71</f>
        <v>0</v>
      </c>
    </row>
    <row r="69" spans="1:7" ht="15" customHeight="1" thickBot="1" x14ac:dyDescent="0.3">
      <c r="A69" s="197"/>
      <c r="B69" s="213">
        <v>11</v>
      </c>
      <c r="C69" s="214" t="s">
        <v>40</v>
      </c>
      <c r="D69" s="215"/>
      <c r="E69" s="216" t="s">
        <v>46</v>
      </c>
      <c r="F69" s="222">
        <f>'Subcontractor Labor Build'!F72</f>
        <v>0</v>
      </c>
      <c r="G69" s="107">
        <f>'Subcontractor Labor Build'!S72</f>
        <v>0</v>
      </c>
    </row>
    <row r="70" spans="1:7" ht="15" customHeight="1" x14ac:dyDescent="0.25">
      <c r="A70" s="195" t="s">
        <v>96</v>
      </c>
      <c r="B70" s="205">
        <v>11</v>
      </c>
      <c r="C70" s="206" t="s">
        <v>40</v>
      </c>
      <c r="D70" s="207"/>
      <c r="E70" s="208" t="s">
        <v>46</v>
      </c>
      <c r="F70" s="220">
        <f>'Subcontractor Labor Build'!F73</f>
        <v>0</v>
      </c>
      <c r="G70" s="105">
        <f>'Subcontractor Labor Build'!S73</f>
        <v>0</v>
      </c>
    </row>
    <row r="71" spans="1:7" x14ac:dyDescent="0.25">
      <c r="A71" s="196"/>
      <c r="B71" s="209">
        <v>19</v>
      </c>
      <c r="C71" s="210" t="s">
        <v>101</v>
      </c>
      <c r="D71" s="211"/>
      <c r="E71" s="212" t="s">
        <v>46</v>
      </c>
      <c r="F71" s="221">
        <f>'Subcontractor Labor Build'!F74</f>
        <v>0</v>
      </c>
      <c r="G71" s="106">
        <f>'Subcontractor Labor Build'!S74</f>
        <v>0</v>
      </c>
    </row>
    <row r="72" spans="1:7" x14ac:dyDescent="0.25">
      <c r="A72" s="196"/>
      <c r="B72" s="209">
        <v>15</v>
      </c>
      <c r="C72" s="210" t="s">
        <v>97</v>
      </c>
      <c r="D72" s="211"/>
      <c r="E72" s="212" t="s">
        <v>46</v>
      </c>
      <c r="F72" s="221">
        <f>'Subcontractor Labor Build'!F75</f>
        <v>0</v>
      </c>
      <c r="G72" s="106">
        <f>'Subcontractor Labor Build'!S75</f>
        <v>0</v>
      </c>
    </row>
    <row r="73" spans="1:7" ht="15.75" thickBot="1" x14ac:dyDescent="0.3">
      <c r="A73" s="197"/>
      <c r="B73" s="213">
        <v>17</v>
      </c>
      <c r="C73" s="214" t="s">
        <v>42</v>
      </c>
      <c r="D73" s="215"/>
      <c r="E73" s="216" t="s">
        <v>46</v>
      </c>
      <c r="F73" s="222">
        <f>'Subcontractor Labor Build'!F76</f>
        <v>0</v>
      </c>
      <c r="G73" s="107">
        <f>'Subcontractor Labor Build'!S76</f>
        <v>0</v>
      </c>
    </row>
    <row r="74" spans="1:7" ht="19.5" thickBot="1" x14ac:dyDescent="0.35">
      <c r="A74" s="129" t="s">
        <v>66</v>
      </c>
      <c r="B74" s="130"/>
      <c r="C74" s="130"/>
      <c r="D74" s="130"/>
      <c r="E74" s="130"/>
      <c r="F74" s="130"/>
      <c r="G74" s="131"/>
    </row>
    <row r="75" spans="1:7" ht="19.5" thickBot="1" x14ac:dyDescent="0.35">
      <c r="A75" s="100" t="s">
        <v>36</v>
      </c>
      <c r="B75" s="82"/>
      <c r="C75" s="82"/>
      <c r="D75" s="82"/>
      <c r="E75" s="98"/>
      <c r="F75" s="98"/>
      <c r="G75" s="99"/>
    </row>
    <row r="76" spans="1:7" ht="15.75" thickBot="1" x14ac:dyDescent="0.3">
      <c r="A76" s="40" t="s">
        <v>37</v>
      </c>
      <c r="B76" s="198">
        <v>1</v>
      </c>
      <c r="C76" s="199" t="s">
        <v>38</v>
      </c>
      <c r="D76" s="200"/>
      <c r="E76" s="201" t="s">
        <v>36</v>
      </c>
      <c r="F76" s="159">
        <f>'Subcontractor Labor Build'!F81</f>
        <v>0</v>
      </c>
      <c r="G76" s="93">
        <f>'Subcontractor Labor Build'!S81</f>
        <v>0</v>
      </c>
    </row>
    <row r="77" spans="1:7" ht="15.75" thickBot="1" x14ac:dyDescent="0.3">
      <c r="A77" s="255" t="s">
        <v>39</v>
      </c>
      <c r="B77" s="198">
        <v>2</v>
      </c>
      <c r="C77" s="199" t="s">
        <v>40</v>
      </c>
      <c r="D77" s="200"/>
      <c r="E77" s="201" t="s">
        <v>36</v>
      </c>
      <c r="F77" s="159">
        <f>'Subcontractor Labor Build'!F82</f>
        <v>0</v>
      </c>
      <c r="G77" s="93">
        <f>'Subcontractor Labor Build'!S82</f>
        <v>0</v>
      </c>
    </row>
    <row r="78" spans="1:7" ht="15.75" thickBot="1" x14ac:dyDescent="0.3">
      <c r="A78" s="256"/>
      <c r="B78" s="198">
        <v>3</v>
      </c>
      <c r="C78" s="202" t="s">
        <v>113</v>
      </c>
      <c r="D78" s="203"/>
      <c r="E78" s="201" t="s">
        <v>36</v>
      </c>
      <c r="F78" s="159">
        <f>'Subcontractor Labor Build'!F83</f>
        <v>0</v>
      </c>
      <c r="G78" s="93">
        <f>'Subcontractor Labor Build'!S83</f>
        <v>0</v>
      </c>
    </row>
    <row r="79" spans="1:7" x14ac:dyDescent="0.25">
      <c r="A79" s="195" t="s">
        <v>93</v>
      </c>
      <c r="B79" s="205">
        <v>4</v>
      </c>
      <c r="C79" s="206" t="s">
        <v>41</v>
      </c>
      <c r="D79" s="207"/>
      <c r="E79" s="208" t="s">
        <v>36</v>
      </c>
      <c r="F79" s="160">
        <f>'Subcontractor Labor Build'!F84</f>
        <v>0</v>
      </c>
      <c r="G79" s="94">
        <f>'Subcontractor Labor Build'!S84</f>
        <v>0</v>
      </c>
    </row>
    <row r="80" spans="1:7" x14ac:dyDescent="0.25">
      <c r="A80" s="196"/>
      <c r="B80" s="209">
        <v>5</v>
      </c>
      <c r="C80" s="210" t="s">
        <v>44</v>
      </c>
      <c r="D80" s="211"/>
      <c r="E80" s="212" t="s">
        <v>36</v>
      </c>
      <c r="F80" s="161">
        <f>'Subcontractor Labor Build'!F85</f>
        <v>0</v>
      </c>
      <c r="G80" s="95">
        <f>'Subcontractor Labor Build'!S85</f>
        <v>0</v>
      </c>
    </row>
    <row r="81" spans="1:7" x14ac:dyDescent="0.25">
      <c r="A81" s="196"/>
      <c r="B81" s="209">
        <v>6</v>
      </c>
      <c r="C81" s="210" t="s">
        <v>97</v>
      </c>
      <c r="D81" s="211"/>
      <c r="E81" s="212" t="s">
        <v>36</v>
      </c>
      <c r="F81" s="161">
        <f>'Subcontractor Labor Build'!F86</f>
        <v>0</v>
      </c>
      <c r="G81" s="95">
        <f>'Subcontractor Labor Build'!S86</f>
        <v>0</v>
      </c>
    </row>
    <row r="82" spans="1:7" x14ac:dyDescent="0.25">
      <c r="A82" s="196"/>
      <c r="B82" s="209">
        <v>7</v>
      </c>
      <c r="C82" s="210" t="s">
        <v>45</v>
      </c>
      <c r="D82" s="211"/>
      <c r="E82" s="212" t="s">
        <v>36</v>
      </c>
      <c r="F82" s="161">
        <f>'Subcontractor Labor Build'!F87</f>
        <v>0</v>
      </c>
      <c r="G82" s="95">
        <f>'Subcontractor Labor Build'!S87</f>
        <v>0</v>
      </c>
    </row>
    <row r="83" spans="1:7" ht="15.75" thickBot="1" x14ac:dyDescent="0.3">
      <c r="A83" s="197"/>
      <c r="B83" s="213">
        <v>8</v>
      </c>
      <c r="C83" s="214" t="s">
        <v>42</v>
      </c>
      <c r="D83" s="215"/>
      <c r="E83" s="216" t="s">
        <v>36</v>
      </c>
      <c r="F83" s="162">
        <f>'Subcontractor Labor Build'!F88</f>
        <v>0</v>
      </c>
      <c r="G83" s="96">
        <f>'Subcontractor Labor Build'!S88</f>
        <v>0</v>
      </c>
    </row>
    <row r="84" spans="1:7" ht="30.75" thickBot="1" x14ac:dyDescent="0.3">
      <c r="A84" s="147" t="s">
        <v>94</v>
      </c>
      <c r="B84" s="198">
        <v>9</v>
      </c>
      <c r="C84" s="199" t="s">
        <v>43</v>
      </c>
      <c r="D84" s="148"/>
      <c r="E84" s="201" t="s">
        <v>36</v>
      </c>
      <c r="F84" s="159">
        <f>'Subcontractor Labor Build'!F89</f>
        <v>0</v>
      </c>
      <c r="G84" s="93">
        <f>'Subcontractor Labor Build'!S89</f>
        <v>0</v>
      </c>
    </row>
    <row r="85" spans="1:7" x14ac:dyDescent="0.25">
      <c r="A85" s="195" t="s">
        <v>95</v>
      </c>
      <c r="B85" s="205">
        <v>4</v>
      </c>
      <c r="C85" s="206" t="s">
        <v>41</v>
      </c>
      <c r="D85" s="207"/>
      <c r="E85" s="208" t="s">
        <v>36</v>
      </c>
      <c r="F85" s="160">
        <f>'Subcontractor Labor Build'!F90</f>
        <v>0</v>
      </c>
      <c r="G85" s="94">
        <f>'Subcontractor Labor Build'!S90</f>
        <v>0</v>
      </c>
    </row>
    <row r="86" spans="1:7" x14ac:dyDescent="0.25">
      <c r="A86" s="196"/>
      <c r="B86" s="209">
        <v>5</v>
      </c>
      <c r="C86" s="210" t="s">
        <v>44</v>
      </c>
      <c r="D86" s="211"/>
      <c r="E86" s="212" t="s">
        <v>36</v>
      </c>
      <c r="F86" s="161">
        <f>'Subcontractor Labor Build'!F91</f>
        <v>0</v>
      </c>
      <c r="G86" s="95">
        <f>'Subcontractor Labor Build'!S91</f>
        <v>0</v>
      </c>
    </row>
    <row r="87" spans="1:7" ht="15" customHeight="1" x14ac:dyDescent="0.25">
      <c r="A87" s="196"/>
      <c r="B87" s="209">
        <v>6</v>
      </c>
      <c r="C87" s="210" t="s">
        <v>97</v>
      </c>
      <c r="D87" s="211"/>
      <c r="E87" s="212" t="s">
        <v>36</v>
      </c>
      <c r="F87" s="161">
        <f>'Subcontractor Labor Build'!F92</f>
        <v>0</v>
      </c>
      <c r="G87" s="95">
        <f>'Subcontractor Labor Build'!S92</f>
        <v>0</v>
      </c>
    </row>
    <row r="88" spans="1:7" ht="15.75" thickBot="1" x14ac:dyDescent="0.3">
      <c r="A88" s="197"/>
      <c r="B88" s="213">
        <v>2</v>
      </c>
      <c r="C88" s="214" t="s">
        <v>40</v>
      </c>
      <c r="D88" s="215"/>
      <c r="E88" s="216" t="s">
        <v>36</v>
      </c>
      <c r="F88" s="162">
        <f>'Subcontractor Labor Build'!F93</f>
        <v>0</v>
      </c>
      <c r="G88" s="96">
        <f>'Subcontractor Labor Build'!S93</f>
        <v>0</v>
      </c>
    </row>
    <row r="89" spans="1:7" ht="30" x14ac:dyDescent="0.25">
      <c r="A89" s="195" t="s">
        <v>96</v>
      </c>
      <c r="B89" s="205">
        <v>2</v>
      </c>
      <c r="C89" s="206" t="s">
        <v>40</v>
      </c>
      <c r="D89" s="207"/>
      <c r="E89" s="208" t="s">
        <v>36</v>
      </c>
      <c r="F89" s="160">
        <f>'Subcontractor Labor Build'!F94</f>
        <v>0</v>
      </c>
      <c r="G89" s="94">
        <f>'Subcontractor Labor Build'!S94</f>
        <v>0</v>
      </c>
    </row>
    <row r="90" spans="1:7" x14ac:dyDescent="0.25">
      <c r="A90" s="196"/>
      <c r="B90" s="209">
        <v>10</v>
      </c>
      <c r="C90" s="210" t="s">
        <v>101</v>
      </c>
      <c r="D90" s="211"/>
      <c r="E90" s="212" t="s">
        <v>36</v>
      </c>
      <c r="F90" s="161">
        <f>'Subcontractor Labor Build'!F95</f>
        <v>0</v>
      </c>
      <c r="G90" s="95">
        <f>'Subcontractor Labor Build'!S95</f>
        <v>0</v>
      </c>
    </row>
    <row r="91" spans="1:7" x14ac:dyDescent="0.25">
      <c r="A91" s="196"/>
      <c r="B91" s="209">
        <v>6</v>
      </c>
      <c r="C91" s="210" t="s">
        <v>97</v>
      </c>
      <c r="D91" s="135"/>
      <c r="E91" s="212" t="s">
        <v>36</v>
      </c>
      <c r="F91" s="161">
        <f>'Subcontractor Labor Build'!F96</f>
        <v>0</v>
      </c>
      <c r="G91" s="95">
        <f>'Subcontractor Labor Build'!S96</f>
        <v>0</v>
      </c>
    </row>
    <row r="92" spans="1:7" ht="15.75" thickBot="1" x14ac:dyDescent="0.3">
      <c r="A92" s="197"/>
      <c r="B92" s="213">
        <v>8</v>
      </c>
      <c r="C92" s="214" t="s">
        <v>42</v>
      </c>
      <c r="D92" s="215"/>
      <c r="E92" s="216" t="s">
        <v>36</v>
      </c>
      <c r="F92" s="162">
        <f>'Subcontractor Labor Build'!F97</f>
        <v>0</v>
      </c>
      <c r="G92" s="96">
        <f>'Subcontractor Labor Build'!S97</f>
        <v>0</v>
      </c>
    </row>
    <row r="93" spans="1:7" ht="19.5" thickBot="1" x14ac:dyDescent="0.35">
      <c r="A93" s="152" t="s">
        <v>46</v>
      </c>
      <c r="B93" s="217"/>
      <c r="C93" s="217"/>
      <c r="D93" s="217"/>
      <c r="E93" s="217"/>
      <c r="F93" s="58"/>
      <c r="G93" s="97"/>
    </row>
    <row r="94" spans="1:7" ht="15.75" thickBot="1" x14ac:dyDescent="0.3">
      <c r="A94" s="255" t="s">
        <v>39</v>
      </c>
      <c r="B94" s="198">
        <v>11</v>
      </c>
      <c r="C94" s="199" t="s">
        <v>98</v>
      </c>
      <c r="D94" s="200"/>
      <c r="E94" s="201" t="s">
        <v>46</v>
      </c>
      <c r="F94" s="218">
        <f>'Subcontractor Labor Build'!F99</f>
        <v>0</v>
      </c>
      <c r="G94" s="104">
        <f>'Subcontractor Labor Build'!S99</f>
        <v>0</v>
      </c>
    </row>
    <row r="95" spans="1:7" ht="15.75" thickBot="1" x14ac:dyDescent="0.3">
      <c r="A95" s="256"/>
      <c r="B95" s="219">
        <v>12</v>
      </c>
      <c r="C95" s="202" t="s">
        <v>113</v>
      </c>
      <c r="D95" s="203"/>
      <c r="E95" s="204" t="s">
        <v>46</v>
      </c>
      <c r="F95" s="218">
        <f>'Subcontractor Labor Build'!F100</f>
        <v>0</v>
      </c>
      <c r="G95" s="104">
        <f>'Subcontractor Labor Build'!S100</f>
        <v>0</v>
      </c>
    </row>
    <row r="96" spans="1:7" x14ac:dyDescent="0.25">
      <c r="A96" s="192" t="s">
        <v>93</v>
      </c>
      <c r="B96" s="205">
        <v>13</v>
      </c>
      <c r="C96" s="206" t="s">
        <v>41</v>
      </c>
      <c r="D96" s="207"/>
      <c r="E96" s="208" t="s">
        <v>46</v>
      </c>
      <c r="F96" s="220">
        <f>'Subcontractor Labor Build'!F101</f>
        <v>0</v>
      </c>
      <c r="G96" s="105">
        <f>'Subcontractor Labor Build'!S101</f>
        <v>0</v>
      </c>
    </row>
    <row r="97" spans="1:7" x14ac:dyDescent="0.25">
      <c r="A97" s="193"/>
      <c r="B97" s="209">
        <v>14</v>
      </c>
      <c r="C97" s="210" t="s">
        <v>44</v>
      </c>
      <c r="D97" s="211"/>
      <c r="E97" s="212" t="s">
        <v>46</v>
      </c>
      <c r="F97" s="221">
        <f>'Subcontractor Labor Build'!F102</f>
        <v>0</v>
      </c>
      <c r="G97" s="106">
        <f>'Subcontractor Labor Build'!S102</f>
        <v>0</v>
      </c>
    </row>
    <row r="98" spans="1:7" x14ac:dyDescent="0.25">
      <c r="A98" s="193"/>
      <c r="B98" s="209">
        <v>15</v>
      </c>
      <c r="C98" s="210" t="s">
        <v>97</v>
      </c>
      <c r="D98" s="211"/>
      <c r="E98" s="212" t="s">
        <v>46</v>
      </c>
      <c r="F98" s="221">
        <f>'Subcontractor Labor Build'!F103</f>
        <v>0</v>
      </c>
      <c r="G98" s="106">
        <f>'Subcontractor Labor Build'!S103</f>
        <v>0</v>
      </c>
    </row>
    <row r="99" spans="1:7" x14ac:dyDescent="0.25">
      <c r="A99" s="193"/>
      <c r="B99" s="209">
        <v>16</v>
      </c>
      <c r="C99" s="210" t="s">
        <v>45</v>
      </c>
      <c r="D99" s="211"/>
      <c r="E99" s="212" t="s">
        <v>46</v>
      </c>
      <c r="F99" s="221">
        <f>'Subcontractor Labor Build'!F104</f>
        <v>0</v>
      </c>
      <c r="G99" s="106">
        <f>'Subcontractor Labor Build'!S104</f>
        <v>0</v>
      </c>
    </row>
    <row r="100" spans="1:7" ht="15.75" thickBot="1" x14ac:dyDescent="0.3">
      <c r="A100" s="194"/>
      <c r="B100" s="213">
        <v>17</v>
      </c>
      <c r="C100" s="214" t="s">
        <v>42</v>
      </c>
      <c r="D100" s="215"/>
      <c r="E100" s="216" t="s">
        <v>46</v>
      </c>
      <c r="F100" s="222">
        <f>'Subcontractor Labor Build'!F105</f>
        <v>0</v>
      </c>
      <c r="G100" s="107">
        <f>'Subcontractor Labor Build'!S105</f>
        <v>0</v>
      </c>
    </row>
    <row r="101" spans="1:7" ht="30.75" thickBot="1" x14ac:dyDescent="0.3">
      <c r="A101" s="147" t="s">
        <v>94</v>
      </c>
      <c r="B101" s="198">
        <v>18</v>
      </c>
      <c r="C101" s="199" t="s">
        <v>99</v>
      </c>
      <c r="D101" s="200"/>
      <c r="E101" s="201" t="s">
        <v>46</v>
      </c>
      <c r="F101" s="218">
        <f>'Subcontractor Labor Build'!F106</f>
        <v>0</v>
      </c>
      <c r="G101" s="104">
        <f>'Subcontractor Labor Build'!S106</f>
        <v>0</v>
      </c>
    </row>
    <row r="102" spans="1:7" ht="15" customHeight="1" x14ac:dyDescent="0.25">
      <c r="A102" s="195" t="s">
        <v>95</v>
      </c>
      <c r="B102" s="205">
        <v>13</v>
      </c>
      <c r="C102" s="206" t="s">
        <v>41</v>
      </c>
      <c r="D102" s="207"/>
      <c r="E102" s="208" t="s">
        <v>46</v>
      </c>
      <c r="F102" s="220">
        <f>'Subcontractor Labor Build'!F107</f>
        <v>0</v>
      </c>
      <c r="G102" s="105">
        <f>'Subcontractor Labor Build'!S107</f>
        <v>0</v>
      </c>
    </row>
    <row r="103" spans="1:7" x14ac:dyDescent="0.25">
      <c r="A103" s="196"/>
      <c r="B103" s="209">
        <v>14</v>
      </c>
      <c r="C103" s="210" t="s">
        <v>44</v>
      </c>
      <c r="D103" s="211"/>
      <c r="E103" s="212" t="s">
        <v>46</v>
      </c>
      <c r="F103" s="221">
        <f>'Subcontractor Labor Build'!F108</f>
        <v>0</v>
      </c>
      <c r="G103" s="106">
        <f>'Subcontractor Labor Build'!S108</f>
        <v>0</v>
      </c>
    </row>
    <row r="104" spans="1:7" x14ac:dyDescent="0.25">
      <c r="A104" s="196"/>
      <c r="B104" s="209">
        <v>15</v>
      </c>
      <c r="C104" s="210" t="s">
        <v>97</v>
      </c>
      <c r="D104" s="211"/>
      <c r="E104" s="212" t="s">
        <v>46</v>
      </c>
      <c r="F104" s="221">
        <f>'Subcontractor Labor Build'!F109</f>
        <v>0</v>
      </c>
      <c r="G104" s="106">
        <f>'Subcontractor Labor Build'!S109</f>
        <v>0</v>
      </c>
    </row>
    <row r="105" spans="1:7" ht="15" customHeight="1" thickBot="1" x14ac:dyDescent="0.3">
      <c r="A105" s="197"/>
      <c r="B105" s="213">
        <v>11</v>
      </c>
      <c r="C105" s="214" t="s">
        <v>40</v>
      </c>
      <c r="D105" s="215"/>
      <c r="E105" s="216" t="s">
        <v>46</v>
      </c>
      <c r="F105" s="222">
        <f>'Subcontractor Labor Build'!F110</f>
        <v>0</v>
      </c>
      <c r="G105" s="107">
        <f>'Subcontractor Labor Build'!S110</f>
        <v>0</v>
      </c>
    </row>
    <row r="106" spans="1:7" ht="30" x14ac:dyDescent="0.25">
      <c r="A106" s="195" t="s">
        <v>96</v>
      </c>
      <c r="B106" s="205">
        <v>11</v>
      </c>
      <c r="C106" s="206" t="s">
        <v>40</v>
      </c>
      <c r="D106" s="207"/>
      <c r="E106" s="208" t="s">
        <v>46</v>
      </c>
      <c r="F106" s="220">
        <f>'Subcontractor Labor Build'!F111</f>
        <v>0</v>
      </c>
      <c r="G106" s="105">
        <f>'Subcontractor Labor Build'!S111</f>
        <v>0</v>
      </c>
    </row>
    <row r="107" spans="1:7" x14ac:dyDescent="0.25">
      <c r="A107" s="196"/>
      <c r="B107" s="209">
        <v>19</v>
      </c>
      <c r="C107" s="210" t="s">
        <v>101</v>
      </c>
      <c r="D107" s="211"/>
      <c r="E107" s="212" t="s">
        <v>46</v>
      </c>
      <c r="F107" s="221">
        <f>'Subcontractor Labor Build'!F112</f>
        <v>0</v>
      </c>
      <c r="G107" s="106">
        <f>'Subcontractor Labor Build'!S112</f>
        <v>0</v>
      </c>
    </row>
    <row r="108" spans="1:7" x14ac:dyDescent="0.25">
      <c r="A108" s="196"/>
      <c r="B108" s="209">
        <v>15</v>
      </c>
      <c r="C108" s="210" t="s">
        <v>97</v>
      </c>
      <c r="D108" s="211"/>
      <c r="E108" s="212" t="s">
        <v>46</v>
      </c>
      <c r="F108" s="221">
        <f>'Subcontractor Labor Build'!F113</f>
        <v>0</v>
      </c>
      <c r="G108" s="106">
        <f>'Subcontractor Labor Build'!S113</f>
        <v>0</v>
      </c>
    </row>
    <row r="109" spans="1:7" ht="15.75" thickBot="1" x14ac:dyDescent="0.3">
      <c r="A109" s="197"/>
      <c r="B109" s="213">
        <v>17</v>
      </c>
      <c r="C109" s="214" t="s">
        <v>42</v>
      </c>
      <c r="D109" s="215"/>
      <c r="E109" s="216" t="s">
        <v>46</v>
      </c>
      <c r="F109" s="222">
        <f>'Subcontractor Labor Build'!F114</f>
        <v>0</v>
      </c>
      <c r="G109" s="107">
        <f>'Subcontractor Labor Build'!S114</f>
        <v>0</v>
      </c>
    </row>
    <row r="110" spans="1:7" ht="19.5" thickBot="1" x14ac:dyDescent="0.35">
      <c r="A110" s="129" t="s">
        <v>67</v>
      </c>
      <c r="B110" s="130"/>
      <c r="C110" s="130"/>
      <c r="D110" s="130"/>
      <c r="E110" s="130"/>
      <c r="F110" s="130"/>
      <c r="G110" s="131"/>
    </row>
    <row r="111" spans="1:7" ht="19.5" thickBot="1" x14ac:dyDescent="0.35">
      <c r="A111" s="100" t="s">
        <v>36</v>
      </c>
      <c r="B111" s="82"/>
      <c r="C111" s="82"/>
      <c r="D111" s="82"/>
      <c r="E111" s="98"/>
      <c r="F111" s="98"/>
      <c r="G111" s="99"/>
    </row>
    <row r="112" spans="1:7" ht="15.75" thickBot="1" x14ac:dyDescent="0.3">
      <c r="A112" s="40" t="s">
        <v>37</v>
      </c>
      <c r="B112" s="198">
        <v>1</v>
      </c>
      <c r="C112" s="199" t="s">
        <v>38</v>
      </c>
      <c r="D112" s="200"/>
      <c r="E112" s="201" t="s">
        <v>36</v>
      </c>
      <c r="F112" s="159">
        <f>'Subcontractor Labor Build'!F119</f>
        <v>0</v>
      </c>
      <c r="G112" s="93">
        <f>'Subcontractor Labor Build'!S119</f>
        <v>0</v>
      </c>
    </row>
    <row r="113" spans="1:7" ht="15.75" thickBot="1" x14ac:dyDescent="0.3">
      <c r="A113" s="255" t="s">
        <v>39</v>
      </c>
      <c r="B113" s="198">
        <v>2</v>
      </c>
      <c r="C113" s="199" t="s">
        <v>40</v>
      </c>
      <c r="D113" s="200"/>
      <c r="E113" s="201" t="s">
        <v>36</v>
      </c>
      <c r="F113" s="159">
        <f>'Subcontractor Labor Build'!F120</f>
        <v>0</v>
      </c>
      <c r="G113" s="93">
        <f>'Subcontractor Labor Build'!S120</f>
        <v>0</v>
      </c>
    </row>
    <row r="114" spans="1:7" ht="15.75" thickBot="1" x14ac:dyDescent="0.3">
      <c r="A114" s="256"/>
      <c r="B114" s="198">
        <v>3</v>
      </c>
      <c r="C114" s="202" t="s">
        <v>113</v>
      </c>
      <c r="D114" s="203"/>
      <c r="E114" s="201" t="s">
        <v>36</v>
      </c>
      <c r="F114" s="159">
        <f>'Subcontractor Labor Build'!F121</f>
        <v>0</v>
      </c>
      <c r="G114" s="93">
        <f>'Subcontractor Labor Build'!S121</f>
        <v>0</v>
      </c>
    </row>
    <row r="115" spans="1:7" x14ac:dyDescent="0.25">
      <c r="A115" s="195" t="s">
        <v>93</v>
      </c>
      <c r="B115" s="205">
        <v>4</v>
      </c>
      <c r="C115" s="206" t="s">
        <v>41</v>
      </c>
      <c r="D115" s="207"/>
      <c r="E115" s="208" t="s">
        <v>36</v>
      </c>
      <c r="F115" s="160">
        <f>'Subcontractor Labor Build'!F122</f>
        <v>0</v>
      </c>
      <c r="G115" s="94">
        <f>'Subcontractor Labor Build'!S122</f>
        <v>0</v>
      </c>
    </row>
    <row r="116" spans="1:7" x14ac:dyDescent="0.25">
      <c r="A116" s="196"/>
      <c r="B116" s="209">
        <v>5</v>
      </c>
      <c r="C116" s="210" t="s">
        <v>44</v>
      </c>
      <c r="D116" s="211"/>
      <c r="E116" s="212" t="s">
        <v>36</v>
      </c>
      <c r="F116" s="161">
        <f>'Subcontractor Labor Build'!F123</f>
        <v>0</v>
      </c>
      <c r="G116" s="95">
        <f>'Subcontractor Labor Build'!S123</f>
        <v>0</v>
      </c>
    </row>
    <row r="117" spans="1:7" x14ac:dyDescent="0.25">
      <c r="A117" s="196"/>
      <c r="B117" s="209">
        <v>6</v>
      </c>
      <c r="C117" s="210" t="s">
        <v>97</v>
      </c>
      <c r="D117" s="211"/>
      <c r="E117" s="212" t="s">
        <v>36</v>
      </c>
      <c r="F117" s="161">
        <f>'Subcontractor Labor Build'!F124</f>
        <v>0</v>
      </c>
      <c r="G117" s="95">
        <f>'Subcontractor Labor Build'!S124</f>
        <v>0</v>
      </c>
    </row>
    <row r="118" spans="1:7" x14ac:dyDescent="0.25">
      <c r="A118" s="196"/>
      <c r="B118" s="209">
        <v>7</v>
      </c>
      <c r="C118" s="210" t="s">
        <v>45</v>
      </c>
      <c r="D118" s="211"/>
      <c r="E118" s="212" t="s">
        <v>36</v>
      </c>
      <c r="F118" s="161">
        <f>'Subcontractor Labor Build'!F125</f>
        <v>0</v>
      </c>
      <c r="G118" s="95">
        <f>'Subcontractor Labor Build'!S125</f>
        <v>0</v>
      </c>
    </row>
    <row r="119" spans="1:7" ht="15.75" thickBot="1" x14ac:dyDescent="0.3">
      <c r="A119" s="197"/>
      <c r="B119" s="213">
        <v>8</v>
      </c>
      <c r="C119" s="214" t="s">
        <v>42</v>
      </c>
      <c r="D119" s="215"/>
      <c r="E119" s="216" t="s">
        <v>36</v>
      </c>
      <c r="F119" s="162">
        <f>'Subcontractor Labor Build'!F126</f>
        <v>0</v>
      </c>
      <c r="G119" s="96">
        <f>'Subcontractor Labor Build'!S126</f>
        <v>0</v>
      </c>
    </row>
    <row r="120" spans="1:7" ht="30.75" thickBot="1" x14ac:dyDescent="0.3">
      <c r="A120" s="147" t="s">
        <v>94</v>
      </c>
      <c r="B120" s="198">
        <v>9</v>
      </c>
      <c r="C120" s="199" t="s">
        <v>43</v>
      </c>
      <c r="D120" s="148"/>
      <c r="E120" s="201" t="s">
        <v>36</v>
      </c>
      <c r="F120" s="159">
        <f>'Subcontractor Labor Build'!F127</f>
        <v>0</v>
      </c>
      <c r="G120" s="93">
        <f>'Subcontractor Labor Build'!S127</f>
        <v>0</v>
      </c>
    </row>
    <row r="121" spans="1:7" x14ac:dyDescent="0.25">
      <c r="A121" s="195" t="s">
        <v>95</v>
      </c>
      <c r="B121" s="205">
        <v>4</v>
      </c>
      <c r="C121" s="206" t="s">
        <v>41</v>
      </c>
      <c r="D121" s="207"/>
      <c r="E121" s="208" t="s">
        <v>36</v>
      </c>
      <c r="F121" s="160">
        <f>'Subcontractor Labor Build'!F128</f>
        <v>0</v>
      </c>
      <c r="G121" s="94">
        <f>'Subcontractor Labor Build'!S128</f>
        <v>0</v>
      </c>
    </row>
    <row r="122" spans="1:7" x14ac:dyDescent="0.25">
      <c r="A122" s="196"/>
      <c r="B122" s="209">
        <v>5</v>
      </c>
      <c r="C122" s="210" t="s">
        <v>44</v>
      </c>
      <c r="D122" s="211"/>
      <c r="E122" s="212" t="s">
        <v>36</v>
      </c>
      <c r="F122" s="161">
        <f>'Subcontractor Labor Build'!F129</f>
        <v>0</v>
      </c>
      <c r="G122" s="95">
        <f>'Subcontractor Labor Build'!S129</f>
        <v>0</v>
      </c>
    </row>
    <row r="123" spans="1:7" ht="15" customHeight="1" x14ac:dyDescent="0.25">
      <c r="A123" s="196"/>
      <c r="B123" s="209">
        <v>6</v>
      </c>
      <c r="C123" s="210" t="s">
        <v>97</v>
      </c>
      <c r="D123" s="211"/>
      <c r="E123" s="212" t="s">
        <v>36</v>
      </c>
      <c r="F123" s="161">
        <f>'Subcontractor Labor Build'!F130</f>
        <v>0</v>
      </c>
      <c r="G123" s="95">
        <f>'Subcontractor Labor Build'!S130</f>
        <v>0</v>
      </c>
    </row>
    <row r="124" spans="1:7" ht="15.75" thickBot="1" x14ac:dyDescent="0.3">
      <c r="A124" s="197"/>
      <c r="B124" s="213">
        <v>2</v>
      </c>
      <c r="C124" s="214" t="s">
        <v>40</v>
      </c>
      <c r="D124" s="215"/>
      <c r="E124" s="216" t="s">
        <v>36</v>
      </c>
      <c r="F124" s="162">
        <f>'Subcontractor Labor Build'!F131</f>
        <v>0</v>
      </c>
      <c r="G124" s="96">
        <f>'Subcontractor Labor Build'!S131</f>
        <v>0</v>
      </c>
    </row>
    <row r="125" spans="1:7" ht="30" x14ac:dyDescent="0.25">
      <c r="A125" s="195" t="s">
        <v>96</v>
      </c>
      <c r="B125" s="205">
        <v>2</v>
      </c>
      <c r="C125" s="206" t="s">
        <v>40</v>
      </c>
      <c r="D125" s="207"/>
      <c r="E125" s="208" t="s">
        <v>36</v>
      </c>
      <c r="F125" s="160">
        <f>'Subcontractor Labor Build'!F132</f>
        <v>0</v>
      </c>
      <c r="G125" s="94">
        <f>'Subcontractor Labor Build'!S132</f>
        <v>0</v>
      </c>
    </row>
    <row r="126" spans="1:7" x14ac:dyDescent="0.25">
      <c r="A126" s="196"/>
      <c r="B126" s="209">
        <v>10</v>
      </c>
      <c r="C126" s="210" t="s">
        <v>101</v>
      </c>
      <c r="D126" s="211"/>
      <c r="E126" s="212" t="s">
        <v>36</v>
      </c>
      <c r="F126" s="161">
        <f>'Subcontractor Labor Build'!F133</f>
        <v>0</v>
      </c>
      <c r="G126" s="95">
        <f>'Subcontractor Labor Build'!S133</f>
        <v>0</v>
      </c>
    </row>
    <row r="127" spans="1:7" x14ac:dyDescent="0.25">
      <c r="A127" s="196"/>
      <c r="B127" s="209">
        <v>6</v>
      </c>
      <c r="C127" s="210" t="s">
        <v>97</v>
      </c>
      <c r="D127" s="135"/>
      <c r="E127" s="212" t="s">
        <v>36</v>
      </c>
      <c r="F127" s="161">
        <f>'Subcontractor Labor Build'!F134</f>
        <v>0</v>
      </c>
      <c r="G127" s="95">
        <f>'Subcontractor Labor Build'!S134</f>
        <v>0</v>
      </c>
    </row>
    <row r="128" spans="1:7" ht="15.75" thickBot="1" x14ac:dyDescent="0.3">
      <c r="A128" s="197"/>
      <c r="B128" s="213">
        <v>8</v>
      </c>
      <c r="C128" s="214" t="s">
        <v>42</v>
      </c>
      <c r="D128" s="215"/>
      <c r="E128" s="216" t="s">
        <v>36</v>
      </c>
      <c r="F128" s="162">
        <f>'Subcontractor Labor Build'!F135</f>
        <v>0</v>
      </c>
      <c r="G128" s="96">
        <f>'Subcontractor Labor Build'!S135</f>
        <v>0</v>
      </c>
    </row>
    <row r="129" spans="1:7" ht="19.5" thickBot="1" x14ac:dyDescent="0.35">
      <c r="A129" s="152" t="s">
        <v>46</v>
      </c>
      <c r="B129" s="217"/>
      <c r="C129" s="217"/>
      <c r="D129" s="217"/>
      <c r="E129" s="217"/>
      <c r="F129" s="58"/>
      <c r="G129" s="97"/>
    </row>
    <row r="130" spans="1:7" ht="15.75" thickBot="1" x14ac:dyDescent="0.3">
      <c r="A130" s="255" t="s">
        <v>39</v>
      </c>
      <c r="B130" s="198">
        <v>11</v>
      </c>
      <c r="C130" s="199" t="s">
        <v>98</v>
      </c>
      <c r="D130" s="200"/>
      <c r="E130" s="201" t="s">
        <v>46</v>
      </c>
      <c r="F130" s="218">
        <f>'Subcontractor Labor Build'!F137</f>
        <v>0</v>
      </c>
      <c r="G130" s="104">
        <f>'Subcontractor Labor Build'!S137</f>
        <v>0</v>
      </c>
    </row>
    <row r="131" spans="1:7" ht="15.75" thickBot="1" x14ac:dyDescent="0.3">
      <c r="A131" s="256"/>
      <c r="B131" s="219">
        <v>12</v>
      </c>
      <c r="C131" s="202" t="s">
        <v>113</v>
      </c>
      <c r="D131" s="203"/>
      <c r="E131" s="201" t="s">
        <v>46</v>
      </c>
      <c r="F131" s="218">
        <f>'Subcontractor Labor Build'!F138</f>
        <v>0</v>
      </c>
      <c r="G131" s="104">
        <f>'Subcontractor Labor Build'!S138</f>
        <v>0</v>
      </c>
    </row>
    <row r="132" spans="1:7" x14ac:dyDescent="0.25">
      <c r="A132" s="192" t="s">
        <v>93</v>
      </c>
      <c r="B132" s="205">
        <v>13</v>
      </c>
      <c r="C132" s="206" t="s">
        <v>41</v>
      </c>
      <c r="D132" s="207"/>
      <c r="E132" s="208" t="s">
        <v>46</v>
      </c>
      <c r="F132" s="220">
        <f>'Subcontractor Labor Build'!F139</f>
        <v>0</v>
      </c>
      <c r="G132" s="105">
        <f>'Subcontractor Labor Build'!S139</f>
        <v>0</v>
      </c>
    </row>
    <row r="133" spans="1:7" x14ac:dyDescent="0.25">
      <c r="A133" s="193"/>
      <c r="B133" s="209">
        <v>14</v>
      </c>
      <c r="C133" s="210" t="s">
        <v>44</v>
      </c>
      <c r="D133" s="211"/>
      <c r="E133" s="212" t="s">
        <v>46</v>
      </c>
      <c r="F133" s="221">
        <f>'Subcontractor Labor Build'!F140</f>
        <v>0</v>
      </c>
      <c r="G133" s="106">
        <f>'Subcontractor Labor Build'!S140</f>
        <v>0</v>
      </c>
    </row>
    <row r="134" spans="1:7" x14ac:dyDescent="0.25">
      <c r="A134" s="193"/>
      <c r="B134" s="209">
        <v>15</v>
      </c>
      <c r="C134" s="210" t="s">
        <v>97</v>
      </c>
      <c r="D134" s="211"/>
      <c r="E134" s="212" t="s">
        <v>46</v>
      </c>
      <c r="F134" s="221">
        <f>'Subcontractor Labor Build'!F141</f>
        <v>0</v>
      </c>
      <c r="G134" s="106">
        <f>'Subcontractor Labor Build'!S141</f>
        <v>0</v>
      </c>
    </row>
    <row r="135" spans="1:7" x14ac:dyDescent="0.25">
      <c r="A135" s="193"/>
      <c r="B135" s="209">
        <v>16</v>
      </c>
      <c r="C135" s="210" t="s">
        <v>45</v>
      </c>
      <c r="D135" s="211"/>
      <c r="E135" s="212" t="s">
        <v>46</v>
      </c>
      <c r="F135" s="221">
        <f>'Subcontractor Labor Build'!F142</f>
        <v>0</v>
      </c>
      <c r="G135" s="106">
        <f>'Subcontractor Labor Build'!S142</f>
        <v>0</v>
      </c>
    </row>
    <row r="136" spans="1:7" ht="15.75" thickBot="1" x14ac:dyDescent="0.3">
      <c r="A136" s="194"/>
      <c r="B136" s="213">
        <v>17</v>
      </c>
      <c r="C136" s="214" t="s">
        <v>42</v>
      </c>
      <c r="D136" s="215"/>
      <c r="E136" s="216" t="s">
        <v>46</v>
      </c>
      <c r="F136" s="222">
        <f>'Subcontractor Labor Build'!F143</f>
        <v>0</v>
      </c>
      <c r="G136" s="107">
        <f>'Subcontractor Labor Build'!S143</f>
        <v>0</v>
      </c>
    </row>
    <row r="137" spans="1:7" ht="30.75" thickBot="1" x14ac:dyDescent="0.3">
      <c r="A137" s="147" t="s">
        <v>94</v>
      </c>
      <c r="B137" s="198">
        <v>18</v>
      </c>
      <c r="C137" s="199" t="s">
        <v>99</v>
      </c>
      <c r="D137" s="200"/>
      <c r="E137" s="201" t="s">
        <v>46</v>
      </c>
      <c r="F137" s="218">
        <f>'Subcontractor Labor Build'!F144</f>
        <v>0</v>
      </c>
      <c r="G137" s="104">
        <f>'Subcontractor Labor Build'!S144</f>
        <v>0</v>
      </c>
    </row>
    <row r="138" spans="1:7" ht="15" customHeight="1" x14ac:dyDescent="0.25">
      <c r="A138" s="195" t="s">
        <v>95</v>
      </c>
      <c r="B138" s="205">
        <v>13</v>
      </c>
      <c r="C138" s="206" t="s">
        <v>41</v>
      </c>
      <c r="D138" s="207"/>
      <c r="E138" s="208" t="s">
        <v>46</v>
      </c>
      <c r="F138" s="220">
        <f>'Subcontractor Labor Build'!F145</f>
        <v>0</v>
      </c>
      <c r="G138" s="105">
        <f>'Subcontractor Labor Build'!S145</f>
        <v>0</v>
      </c>
    </row>
    <row r="139" spans="1:7" x14ac:dyDescent="0.25">
      <c r="A139" s="196"/>
      <c r="B139" s="209">
        <v>14</v>
      </c>
      <c r="C139" s="210" t="s">
        <v>44</v>
      </c>
      <c r="D139" s="211"/>
      <c r="E139" s="212" t="s">
        <v>46</v>
      </c>
      <c r="F139" s="221">
        <f>'Subcontractor Labor Build'!F146</f>
        <v>0</v>
      </c>
      <c r="G139" s="106">
        <f>'Subcontractor Labor Build'!S146</f>
        <v>0</v>
      </c>
    </row>
    <row r="140" spans="1:7" x14ac:dyDescent="0.25">
      <c r="A140" s="196"/>
      <c r="B140" s="209">
        <v>15</v>
      </c>
      <c r="C140" s="210" t="s">
        <v>97</v>
      </c>
      <c r="D140" s="211"/>
      <c r="E140" s="212" t="s">
        <v>46</v>
      </c>
      <c r="F140" s="221">
        <f>'Subcontractor Labor Build'!F147</f>
        <v>0</v>
      </c>
      <c r="G140" s="106">
        <f>'Subcontractor Labor Build'!S147</f>
        <v>0</v>
      </c>
    </row>
    <row r="141" spans="1:7" ht="15" customHeight="1" thickBot="1" x14ac:dyDescent="0.3">
      <c r="A141" s="197"/>
      <c r="B141" s="213">
        <v>11</v>
      </c>
      <c r="C141" s="214" t="s">
        <v>40</v>
      </c>
      <c r="D141" s="215"/>
      <c r="E141" s="216" t="s">
        <v>46</v>
      </c>
      <c r="F141" s="222">
        <f>'Subcontractor Labor Build'!F148</f>
        <v>0</v>
      </c>
      <c r="G141" s="107">
        <f>'Subcontractor Labor Build'!S148</f>
        <v>0</v>
      </c>
    </row>
    <row r="142" spans="1:7" ht="30" x14ac:dyDescent="0.25">
      <c r="A142" s="195" t="s">
        <v>96</v>
      </c>
      <c r="B142" s="205">
        <v>11</v>
      </c>
      <c r="C142" s="206" t="s">
        <v>40</v>
      </c>
      <c r="D142" s="207"/>
      <c r="E142" s="208" t="s">
        <v>46</v>
      </c>
      <c r="F142" s="220">
        <f>'Subcontractor Labor Build'!F149</f>
        <v>0</v>
      </c>
      <c r="G142" s="105">
        <f>'Subcontractor Labor Build'!S149</f>
        <v>0</v>
      </c>
    </row>
    <row r="143" spans="1:7" x14ac:dyDescent="0.25">
      <c r="A143" s="196"/>
      <c r="B143" s="209">
        <v>19</v>
      </c>
      <c r="C143" s="210" t="s">
        <v>101</v>
      </c>
      <c r="D143" s="211"/>
      <c r="E143" s="212" t="s">
        <v>46</v>
      </c>
      <c r="F143" s="221">
        <f>'Subcontractor Labor Build'!F150</f>
        <v>0</v>
      </c>
      <c r="G143" s="106">
        <f>'Subcontractor Labor Build'!S150</f>
        <v>0</v>
      </c>
    </row>
    <row r="144" spans="1:7" x14ac:dyDescent="0.25">
      <c r="A144" s="196"/>
      <c r="B144" s="209">
        <v>15</v>
      </c>
      <c r="C144" s="210" t="s">
        <v>97</v>
      </c>
      <c r="D144" s="211"/>
      <c r="E144" s="212" t="s">
        <v>46</v>
      </c>
      <c r="F144" s="221">
        <f>'Subcontractor Labor Build'!F151</f>
        <v>0</v>
      </c>
      <c r="G144" s="106">
        <f>'Subcontractor Labor Build'!S151</f>
        <v>0</v>
      </c>
    </row>
    <row r="145" spans="1:7" ht="15.75" thickBot="1" x14ac:dyDescent="0.3">
      <c r="A145" s="197"/>
      <c r="B145" s="213">
        <v>17</v>
      </c>
      <c r="C145" s="214" t="s">
        <v>42</v>
      </c>
      <c r="D145" s="215"/>
      <c r="E145" s="216" t="s">
        <v>46</v>
      </c>
      <c r="F145" s="222">
        <f>'Subcontractor Labor Build'!F152</f>
        <v>0</v>
      </c>
      <c r="G145" s="107">
        <f>'Subcontractor Labor Build'!S152</f>
        <v>0</v>
      </c>
    </row>
    <row r="146" spans="1:7" ht="19.5" thickBot="1" x14ac:dyDescent="0.35">
      <c r="A146" s="129" t="s">
        <v>68</v>
      </c>
      <c r="B146" s="130"/>
      <c r="C146" s="130"/>
      <c r="D146" s="130"/>
      <c r="E146" s="130"/>
      <c r="F146" s="130"/>
      <c r="G146" s="131"/>
    </row>
    <row r="147" spans="1:7" ht="19.5" thickBot="1" x14ac:dyDescent="0.35">
      <c r="A147" s="100" t="s">
        <v>36</v>
      </c>
      <c r="B147" s="82"/>
      <c r="C147" s="82"/>
      <c r="D147" s="82"/>
      <c r="E147" s="98"/>
      <c r="F147" s="98"/>
      <c r="G147" s="99"/>
    </row>
    <row r="148" spans="1:7" ht="15.75" thickBot="1" x14ac:dyDescent="0.3">
      <c r="A148" s="40" t="s">
        <v>37</v>
      </c>
      <c r="B148" s="198">
        <v>1</v>
      </c>
      <c r="C148" s="199" t="s">
        <v>38</v>
      </c>
      <c r="D148" s="200"/>
      <c r="E148" s="201" t="s">
        <v>36</v>
      </c>
      <c r="F148" s="159">
        <f>'Subcontractor Labor Build'!F157</f>
        <v>0</v>
      </c>
      <c r="G148" s="93">
        <f>'Subcontractor Labor Build'!S157</f>
        <v>0</v>
      </c>
    </row>
    <row r="149" spans="1:7" ht="15.75" thickBot="1" x14ac:dyDescent="0.3">
      <c r="A149" s="255" t="s">
        <v>39</v>
      </c>
      <c r="B149" s="198">
        <v>2</v>
      </c>
      <c r="C149" s="199" t="s">
        <v>40</v>
      </c>
      <c r="D149" s="200"/>
      <c r="E149" s="201" t="s">
        <v>36</v>
      </c>
      <c r="F149" s="159">
        <f>'Subcontractor Labor Build'!F158</f>
        <v>0</v>
      </c>
      <c r="G149" s="93">
        <f>'Subcontractor Labor Build'!S158</f>
        <v>0</v>
      </c>
    </row>
    <row r="150" spans="1:7" ht="15.75" thickBot="1" x14ac:dyDescent="0.3">
      <c r="A150" s="256"/>
      <c r="B150" s="198">
        <v>3</v>
      </c>
      <c r="C150" s="202" t="s">
        <v>113</v>
      </c>
      <c r="D150" s="203"/>
      <c r="E150" s="201" t="s">
        <v>36</v>
      </c>
      <c r="F150" s="159">
        <f>'Subcontractor Labor Build'!F159</f>
        <v>0</v>
      </c>
      <c r="G150" s="93">
        <f>'Subcontractor Labor Build'!S159</f>
        <v>0</v>
      </c>
    </row>
    <row r="151" spans="1:7" x14ac:dyDescent="0.25">
      <c r="A151" s="195" t="s">
        <v>93</v>
      </c>
      <c r="B151" s="205">
        <v>4</v>
      </c>
      <c r="C151" s="206" t="s">
        <v>41</v>
      </c>
      <c r="D151" s="207"/>
      <c r="E151" s="208" t="s">
        <v>36</v>
      </c>
      <c r="F151" s="160">
        <f>'Subcontractor Labor Build'!F160</f>
        <v>0</v>
      </c>
      <c r="G151" s="94">
        <f>'Subcontractor Labor Build'!S160</f>
        <v>0</v>
      </c>
    </row>
    <row r="152" spans="1:7" x14ac:dyDescent="0.25">
      <c r="A152" s="196"/>
      <c r="B152" s="209">
        <v>5</v>
      </c>
      <c r="C152" s="210" t="s">
        <v>44</v>
      </c>
      <c r="D152" s="211"/>
      <c r="E152" s="212" t="s">
        <v>36</v>
      </c>
      <c r="F152" s="161">
        <f>'Subcontractor Labor Build'!F161</f>
        <v>0</v>
      </c>
      <c r="G152" s="95">
        <f>'Subcontractor Labor Build'!S161</f>
        <v>0</v>
      </c>
    </row>
    <row r="153" spans="1:7" x14ac:dyDescent="0.25">
      <c r="A153" s="196"/>
      <c r="B153" s="209">
        <v>6</v>
      </c>
      <c r="C153" s="210" t="s">
        <v>97</v>
      </c>
      <c r="D153" s="211"/>
      <c r="E153" s="212" t="s">
        <v>36</v>
      </c>
      <c r="F153" s="161">
        <f>'Subcontractor Labor Build'!F162</f>
        <v>0</v>
      </c>
      <c r="G153" s="95">
        <f>'Subcontractor Labor Build'!S162</f>
        <v>0</v>
      </c>
    </row>
    <row r="154" spans="1:7" x14ac:dyDescent="0.25">
      <c r="A154" s="196"/>
      <c r="B154" s="209">
        <v>7</v>
      </c>
      <c r="C154" s="210" t="s">
        <v>45</v>
      </c>
      <c r="D154" s="211"/>
      <c r="E154" s="212" t="s">
        <v>36</v>
      </c>
      <c r="F154" s="161">
        <f>'Subcontractor Labor Build'!F163</f>
        <v>0</v>
      </c>
      <c r="G154" s="95">
        <f>'Subcontractor Labor Build'!S163</f>
        <v>0</v>
      </c>
    </row>
    <row r="155" spans="1:7" ht="15.75" thickBot="1" x14ac:dyDescent="0.3">
      <c r="A155" s="197"/>
      <c r="B155" s="213">
        <v>8</v>
      </c>
      <c r="C155" s="214" t="s">
        <v>42</v>
      </c>
      <c r="D155" s="215"/>
      <c r="E155" s="216" t="s">
        <v>36</v>
      </c>
      <c r="F155" s="162">
        <f>'Subcontractor Labor Build'!F164</f>
        <v>0</v>
      </c>
      <c r="G155" s="96">
        <f>'Subcontractor Labor Build'!S164</f>
        <v>0</v>
      </c>
    </row>
    <row r="156" spans="1:7" ht="30.75" thickBot="1" x14ac:dyDescent="0.3">
      <c r="A156" s="147" t="s">
        <v>94</v>
      </c>
      <c r="B156" s="198">
        <v>9</v>
      </c>
      <c r="C156" s="199" t="s">
        <v>43</v>
      </c>
      <c r="D156" s="148"/>
      <c r="E156" s="201" t="s">
        <v>36</v>
      </c>
      <c r="F156" s="159">
        <f>'Subcontractor Labor Build'!F165</f>
        <v>0</v>
      </c>
      <c r="G156" s="93">
        <f>'Subcontractor Labor Build'!S165</f>
        <v>0</v>
      </c>
    </row>
    <row r="157" spans="1:7" x14ac:dyDescent="0.25">
      <c r="A157" s="195" t="s">
        <v>95</v>
      </c>
      <c r="B157" s="205">
        <v>4</v>
      </c>
      <c r="C157" s="206" t="s">
        <v>41</v>
      </c>
      <c r="D157" s="207"/>
      <c r="E157" s="208" t="s">
        <v>36</v>
      </c>
      <c r="F157" s="160">
        <f>'Subcontractor Labor Build'!F166</f>
        <v>0</v>
      </c>
      <c r="G157" s="94">
        <f>'Subcontractor Labor Build'!S166</f>
        <v>0</v>
      </c>
    </row>
    <row r="158" spans="1:7" x14ac:dyDescent="0.25">
      <c r="A158" s="196"/>
      <c r="B158" s="209">
        <v>5</v>
      </c>
      <c r="C158" s="210" t="s">
        <v>44</v>
      </c>
      <c r="D158" s="211"/>
      <c r="E158" s="212" t="s">
        <v>36</v>
      </c>
      <c r="F158" s="161">
        <f>'Subcontractor Labor Build'!F167</f>
        <v>0</v>
      </c>
      <c r="G158" s="95">
        <f>'Subcontractor Labor Build'!S167</f>
        <v>0</v>
      </c>
    </row>
    <row r="159" spans="1:7" ht="15" customHeight="1" x14ac:dyDescent="0.25">
      <c r="A159" s="196"/>
      <c r="B159" s="209">
        <v>6</v>
      </c>
      <c r="C159" s="210" t="s">
        <v>97</v>
      </c>
      <c r="D159" s="211"/>
      <c r="E159" s="212" t="s">
        <v>36</v>
      </c>
      <c r="F159" s="161">
        <f>'Subcontractor Labor Build'!F168</f>
        <v>0</v>
      </c>
      <c r="G159" s="95">
        <f>'Subcontractor Labor Build'!S168</f>
        <v>0</v>
      </c>
    </row>
    <row r="160" spans="1:7" ht="15.75" thickBot="1" x14ac:dyDescent="0.3">
      <c r="A160" s="197"/>
      <c r="B160" s="213">
        <v>2</v>
      </c>
      <c r="C160" s="214" t="s">
        <v>40</v>
      </c>
      <c r="D160" s="215"/>
      <c r="E160" s="216" t="s">
        <v>36</v>
      </c>
      <c r="F160" s="162">
        <f>'Subcontractor Labor Build'!F169</f>
        <v>0</v>
      </c>
      <c r="G160" s="96">
        <f>'Subcontractor Labor Build'!S169</f>
        <v>0</v>
      </c>
    </row>
    <row r="161" spans="1:7" ht="30" x14ac:dyDescent="0.25">
      <c r="A161" s="195" t="s">
        <v>96</v>
      </c>
      <c r="B161" s="205">
        <v>2</v>
      </c>
      <c r="C161" s="206" t="s">
        <v>40</v>
      </c>
      <c r="D161" s="207"/>
      <c r="E161" s="208" t="s">
        <v>36</v>
      </c>
      <c r="F161" s="160">
        <f>'Subcontractor Labor Build'!F170</f>
        <v>0</v>
      </c>
      <c r="G161" s="94">
        <f>'Subcontractor Labor Build'!S170</f>
        <v>0</v>
      </c>
    </row>
    <row r="162" spans="1:7" x14ac:dyDescent="0.25">
      <c r="A162" s="196"/>
      <c r="B162" s="209">
        <v>10</v>
      </c>
      <c r="C162" s="210" t="s">
        <v>101</v>
      </c>
      <c r="D162" s="211"/>
      <c r="E162" s="212" t="s">
        <v>36</v>
      </c>
      <c r="F162" s="161">
        <f>'Subcontractor Labor Build'!F171</f>
        <v>0</v>
      </c>
      <c r="G162" s="95">
        <f>'Subcontractor Labor Build'!S171</f>
        <v>0</v>
      </c>
    </row>
    <row r="163" spans="1:7" x14ac:dyDescent="0.25">
      <c r="A163" s="196"/>
      <c r="B163" s="209">
        <v>6</v>
      </c>
      <c r="C163" s="210" t="s">
        <v>97</v>
      </c>
      <c r="D163" s="135"/>
      <c r="E163" s="212" t="s">
        <v>36</v>
      </c>
      <c r="F163" s="161">
        <f>'Subcontractor Labor Build'!F172</f>
        <v>0</v>
      </c>
      <c r="G163" s="95">
        <f>'Subcontractor Labor Build'!S172</f>
        <v>0</v>
      </c>
    </row>
    <row r="164" spans="1:7" ht="15.75" thickBot="1" x14ac:dyDescent="0.3">
      <c r="A164" s="197"/>
      <c r="B164" s="213">
        <v>8</v>
      </c>
      <c r="C164" s="214" t="s">
        <v>42</v>
      </c>
      <c r="D164" s="215"/>
      <c r="E164" s="216" t="s">
        <v>36</v>
      </c>
      <c r="F164" s="162">
        <f>'Subcontractor Labor Build'!F173</f>
        <v>0</v>
      </c>
      <c r="G164" s="96">
        <f>'Subcontractor Labor Build'!S173</f>
        <v>0</v>
      </c>
    </row>
    <row r="165" spans="1:7" ht="19.5" thickBot="1" x14ac:dyDescent="0.35">
      <c r="A165" s="152" t="s">
        <v>46</v>
      </c>
      <c r="B165" s="217"/>
      <c r="C165" s="217"/>
      <c r="D165" s="217"/>
      <c r="E165" s="217"/>
      <c r="F165" s="58"/>
      <c r="G165" s="97"/>
    </row>
    <row r="166" spans="1:7" ht="15.75" thickBot="1" x14ac:dyDescent="0.3">
      <c r="A166" s="255" t="s">
        <v>39</v>
      </c>
      <c r="B166" s="198">
        <v>11</v>
      </c>
      <c r="C166" s="199" t="s">
        <v>98</v>
      </c>
      <c r="D166" s="200"/>
      <c r="E166" s="201" t="s">
        <v>46</v>
      </c>
      <c r="F166" s="218">
        <f>'Subcontractor Labor Build'!F175</f>
        <v>0</v>
      </c>
      <c r="G166" s="104">
        <f>'Subcontractor Labor Build'!S175</f>
        <v>0</v>
      </c>
    </row>
    <row r="167" spans="1:7" ht="15.75" thickBot="1" x14ac:dyDescent="0.3">
      <c r="A167" s="256"/>
      <c r="B167" s="219">
        <v>12</v>
      </c>
      <c r="C167" s="202" t="s">
        <v>113</v>
      </c>
      <c r="D167" s="203"/>
      <c r="E167" s="201" t="s">
        <v>46</v>
      </c>
      <c r="F167" s="218">
        <f>'Subcontractor Labor Build'!F176</f>
        <v>0</v>
      </c>
      <c r="G167" s="104">
        <f>'Subcontractor Labor Build'!S176</f>
        <v>0</v>
      </c>
    </row>
    <row r="168" spans="1:7" x14ac:dyDescent="0.25">
      <c r="A168" s="192" t="s">
        <v>93</v>
      </c>
      <c r="B168" s="205">
        <v>13</v>
      </c>
      <c r="C168" s="206" t="s">
        <v>41</v>
      </c>
      <c r="D168" s="207"/>
      <c r="E168" s="208" t="s">
        <v>46</v>
      </c>
      <c r="F168" s="220">
        <f>'Subcontractor Labor Build'!F177</f>
        <v>0</v>
      </c>
      <c r="G168" s="105">
        <f>'Subcontractor Labor Build'!S177</f>
        <v>0</v>
      </c>
    </row>
    <row r="169" spans="1:7" x14ac:dyDescent="0.25">
      <c r="A169" s="193"/>
      <c r="B169" s="209">
        <v>14</v>
      </c>
      <c r="C169" s="210" t="s">
        <v>44</v>
      </c>
      <c r="D169" s="211"/>
      <c r="E169" s="212" t="s">
        <v>46</v>
      </c>
      <c r="F169" s="221">
        <f>'Subcontractor Labor Build'!F178</f>
        <v>0</v>
      </c>
      <c r="G169" s="106">
        <f>'Subcontractor Labor Build'!S178</f>
        <v>0</v>
      </c>
    </row>
    <row r="170" spans="1:7" x14ac:dyDescent="0.25">
      <c r="A170" s="193"/>
      <c r="B170" s="209">
        <v>15</v>
      </c>
      <c r="C170" s="210" t="s">
        <v>97</v>
      </c>
      <c r="D170" s="211"/>
      <c r="E170" s="212" t="s">
        <v>46</v>
      </c>
      <c r="F170" s="221">
        <f>'Subcontractor Labor Build'!F179</f>
        <v>0</v>
      </c>
      <c r="G170" s="106">
        <f>'Subcontractor Labor Build'!S179</f>
        <v>0</v>
      </c>
    </row>
    <row r="171" spans="1:7" x14ac:dyDescent="0.25">
      <c r="A171" s="193"/>
      <c r="B171" s="209">
        <v>16</v>
      </c>
      <c r="C171" s="210" t="s">
        <v>45</v>
      </c>
      <c r="D171" s="211"/>
      <c r="E171" s="212" t="s">
        <v>46</v>
      </c>
      <c r="F171" s="221">
        <f>'Subcontractor Labor Build'!F180</f>
        <v>0</v>
      </c>
      <c r="G171" s="106">
        <f>'Subcontractor Labor Build'!S180</f>
        <v>0</v>
      </c>
    </row>
    <row r="172" spans="1:7" ht="15.75" thickBot="1" x14ac:dyDescent="0.3">
      <c r="A172" s="194"/>
      <c r="B172" s="213">
        <v>17</v>
      </c>
      <c r="C172" s="214" t="s">
        <v>42</v>
      </c>
      <c r="D172" s="215"/>
      <c r="E172" s="216" t="s">
        <v>46</v>
      </c>
      <c r="F172" s="222">
        <f>'Subcontractor Labor Build'!F181</f>
        <v>0</v>
      </c>
      <c r="G172" s="107">
        <f>'Subcontractor Labor Build'!S181</f>
        <v>0</v>
      </c>
    </row>
    <row r="173" spans="1:7" ht="30.75" thickBot="1" x14ac:dyDescent="0.3">
      <c r="A173" s="147" t="s">
        <v>94</v>
      </c>
      <c r="B173" s="198">
        <v>18</v>
      </c>
      <c r="C173" s="199" t="s">
        <v>99</v>
      </c>
      <c r="D173" s="200"/>
      <c r="E173" s="201" t="s">
        <v>46</v>
      </c>
      <c r="F173" s="218">
        <f>'Subcontractor Labor Build'!F182</f>
        <v>0</v>
      </c>
      <c r="G173" s="104">
        <f>'Subcontractor Labor Build'!S182</f>
        <v>0</v>
      </c>
    </row>
    <row r="174" spans="1:7" ht="15" customHeight="1" x14ac:dyDescent="0.25">
      <c r="A174" s="195" t="s">
        <v>95</v>
      </c>
      <c r="B174" s="205">
        <v>13</v>
      </c>
      <c r="C174" s="206" t="s">
        <v>41</v>
      </c>
      <c r="D174" s="207"/>
      <c r="E174" s="208" t="s">
        <v>46</v>
      </c>
      <c r="F174" s="220">
        <f>'Subcontractor Labor Build'!F183</f>
        <v>0</v>
      </c>
      <c r="G174" s="105">
        <f>'Subcontractor Labor Build'!S183</f>
        <v>0</v>
      </c>
    </row>
    <row r="175" spans="1:7" x14ac:dyDescent="0.25">
      <c r="A175" s="196"/>
      <c r="B175" s="209">
        <v>14</v>
      </c>
      <c r="C175" s="210" t="s">
        <v>44</v>
      </c>
      <c r="D175" s="211"/>
      <c r="E175" s="212" t="s">
        <v>46</v>
      </c>
      <c r="F175" s="221">
        <f>'Subcontractor Labor Build'!F184</f>
        <v>0</v>
      </c>
      <c r="G175" s="106">
        <f>'Subcontractor Labor Build'!S184</f>
        <v>0</v>
      </c>
    </row>
    <row r="176" spans="1:7" x14ac:dyDescent="0.25">
      <c r="A176" s="196"/>
      <c r="B176" s="209">
        <v>15</v>
      </c>
      <c r="C176" s="210" t="s">
        <v>97</v>
      </c>
      <c r="D176" s="211"/>
      <c r="E176" s="212" t="s">
        <v>46</v>
      </c>
      <c r="F176" s="221">
        <f>'Subcontractor Labor Build'!F185</f>
        <v>0</v>
      </c>
      <c r="G176" s="106">
        <f>'Subcontractor Labor Build'!S185</f>
        <v>0</v>
      </c>
    </row>
    <row r="177" spans="1:7" ht="15" customHeight="1" thickBot="1" x14ac:dyDescent="0.3">
      <c r="A177" s="197"/>
      <c r="B177" s="213">
        <v>11</v>
      </c>
      <c r="C177" s="214" t="s">
        <v>40</v>
      </c>
      <c r="D177" s="215"/>
      <c r="E177" s="216" t="s">
        <v>46</v>
      </c>
      <c r="F177" s="222">
        <f>'Subcontractor Labor Build'!F186</f>
        <v>0</v>
      </c>
      <c r="G177" s="107">
        <f>'Subcontractor Labor Build'!S186</f>
        <v>0</v>
      </c>
    </row>
    <row r="178" spans="1:7" ht="30" x14ac:dyDescent="0.25">
      <c r="A178" s="195" t="s">
        <v>96</v>
      </c>
      <c r="B178" s="205">
        <v>11</v>
      </c>
      <c r="C178" s="206" t="s">
        <v>40</v>
      </c>
      <c r="D178" s="207"/>
      <c r="E178" s="208" t="s">
        <v>46</v>
      </c>
      <c r="F178" s="220">
        <f>'Subcontractor Labor Build'!F187</f>
        <v>0</v>
      </c>
      <c r="G178" s="105">
        <f>'Subcontractor Labor Build'!S187</f>
        <v>0</v>
      </c>
    </row>
    <row r="179" spans="1:7" x14ac:dyDescent="0.25">
      <c r="A179" s="196"/>
      <c r="B179" s="209">
        <v>19</v>
      </c>
      <c r="C179" s="210" t="s">
        <v>101</v>
      </c>
      <c r="D179" s="211"/>
      <c r="E179" s="212" t="s">
        <v>46</v>
      </c>
      <c r="F179" s="221">
        <f>'Subcontractor Labor Build'!F188</f>
        <v>0</v>
      </c>
      <c r="G179" s="106">
        <f>'Subcontractor Labor Build'!S188</f>
        <v>0</v>
      </c>
    </row>
    <row r="180" spans="1:7" x14ac:dyDescent="0.25">
      <c r="A180" s="196"/>
      <c r="B180" s="209">
        <v>15</v>
      </c>
      <c r="C180" s="210" t="s">
        <v>97</v>
      </c>
      <c r="D180" s="211"/>
      <c r="E180" s="212" t="s">
        <v>46</v>
      </c>
      <c r="F180" s="221">
        <f>'Subcontractor Labor Build'!F189</f>
        <v>0</v>
      </c>
      <c r="G180" s="106">
        <f>'Subcontractor Labor Build'!S189</f>
        <v>0</v>
      </c>
    </row>
    <row r="181" spans="1:7" ht="15.75" thickBot="1" x14ac:dyDescent="0.3">
      <c r="A181" s="197"/>
      <c r="B181" s="213">
        <v>17</v>
      </c>
      <c r="C181" s="214" t="s">
        <v>42</v>
      </c>
      <c r="D181" s="215"/>
      <c r="E181" s="216" t="s">
        <v>46</v>
      </c>
      <c r="F181" s="222">
        <f>'Subcontractor Labor Build'!F190</f>
        <v>0</v>
      </c>
      <c r="G181" s="107">
        <f>'Subcontractor Labor Build'!S190</f>
        <v>0</v>
      </c>
    </row>
  </sheetData>
  <mergeCells count="10">
    <mergeCell ref="A5:A6"/>
    <mergeCell ref="A22:A23"/>
    <mergeCell ref="A41:A42"/>
    <mergeCell ref="A58:A59"/>
    <mergeCell ref="A77:A78"/>
    <mergeCell ref="A94:A95"/>
    <mergeCell ref="A113:A114"/>
    <mergeCell ref="A130:A131"/>
    <mergeCell ref="A149:A150"/>
    <mergeCell ref="A166:A167"/>
  </mergeCells>
  <pageMargins left="0.7" right="0.7" top="0.75" bottom="0.75" header="0.3" footer="0.3"/>
  <pageSetup orientation="portrait" horizontalDpi="1200" verticalDpi="1200" r:id="rId1"/>
</worksheet>
</file>

<file path=docMetadata/LabelInfo.xml><?xml version="1.0" encoding="utf-8"?>
<clbl:labelList xmlns:clbl="http://schemas.microsoft.com/office/2020/mipLabelMetadata">
  <clbl:label id="{f02d78b0-b74f-43f0-801d-d7d5ec01d625}" enabled="1" method="Standar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Subcontractor Instructions</vt:lpstr>
      <vt:lpstr>Subcontractor Labor Build</vt:lpstr>
      <vt:lpstr>Escalation</vt:lpstr>
      <vt:lpstr>DBA</vt:lpstr>
      <vt:lpstr>Sub FBLR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2026-03-04T19:46:06Z</dcterms:created>
  <dcterms:modified xsi:type="dcterms:W3CDTF">2026-03-04T19:46:37Z</dcterms:modified>
  <cp:category/>
  <cp:contentStatus/>
</cp:coreProperties>
</file>