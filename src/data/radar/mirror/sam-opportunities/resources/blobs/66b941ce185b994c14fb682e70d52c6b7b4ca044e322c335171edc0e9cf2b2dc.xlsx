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NAVAIR_SSD/FY27-MQ-9-CLS/Shared Documents/RFP Development/08 Draft RFP/Section L Attachments/"/>
    </mc:Choice>
  </mc:AlternateContent>
  <xr:revisionPtr revIDLastSave="212" documentId="13_ncr:1_{E2383A32-7F25-4C9D-9494-23E156816766}" xr6:coauthVersionLast="47" xr6:coauthVersionMax="47" xr10:uidLastSave="{0AD8EA11-D577-414D-AF03-2FD6E0B648C6}"/>
  <bookViews>
    <workbookView xWindow="-120" yWindow="-120" windowWidth="29040" windowHeight="15720" xr2:uid="{8B053738-E301-4F08-B1BF-2EB419DF2778}"/>
  </bookViews>
  <sheets>
    <sheet name="Att L-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R8" i="1"/>
  <c r="R9" i="1"/>
  <c r="R10" i="1"/>
  <c r="R11" i="1"/>
  <c r="R12" i="1"/>
  <c r="R13" i="1"/>
  <c r="R14" i="1"/>
  <c r="R15" i="1"/>
  <c r="R16" i="1"/>
  <c r="R17" i="1"/>
  <c r="R7" i="1"/>
  <c r="Q12" i="1"/>
  <c r="Q15" i="1"/>
  <c r="Q16" i="1"/>
  <c r="Q17" i="1"/>
  <c r="Q18" i="1"/>
  <c r="Q14" i="1"/>
  <c r="Q8" i="1"/>
  <c r="Q9" i="1"/>
  <c r="Q10" i="1"/>
  <c r="Q7" i="1"/>
  <c r="L7" i="1"/>
  <c r="L8" i="1"/>
  <c r="L9" i="1"/>
  <c r="L10" i="1"/>
  <c r="L11" i="1"/>
  <c r="L12" i="1"/>
  <c r="L13" i="1"/>
  <c r="L14" i="1"/>
  <c r="L15" i="1"/>
  <c r="L16" i="1"/>
  <c r="L17" i="1"/>
  <c r="L18" i="1"/>
  <c r="O19" i="1"/>
  <c r="P18" i="1"/>
  <c r="P17" i="1"/>
  <c r="P16" i="1"/>
  <c r="P15" i="1"/>
  <c r="P14" i="1"/>
  <c r="P13" i="1"/>
  <c r="P12" i="1"/>
  <c r="P11" i="1"/>
  <c r="P10" i="1"/>
  <c r="P9" i="1"/>
  <c r="P8" i="1"/>
  <c r="P7" i="1"/>
  <c r="K19" i="1"/>
  <c r="G19" i="1"/>
  <c r="H18" i="1"/>
  <c r="H17" i="1"/>
  <c r="H16" i="1"/>
  <c r="H15" i="1"/>
  <c r="H14" i="1"/>
  <c r="H13" i="1"/>
  <c r="H12" i="1"/>
  <c r="H11" i="1"/>
  <c r="H10" i="1"/>
  <c r="H9" i="1"/>
  <c r="H8" i="1"/>
  <c r="H7" i="1"/>
  <c r="S14" i="1" l="1"/>
  <c r="S15" i="1"/>
  <c r="H19" i="1"/>
  <c r="S18" i="1"/>
  <c r="S12" i="1"/>
  <c r="S17" i="1"/>
  <c r="S9" i="1"/>
  <c r="S7" i="1"/>
  <c r="S16" i="1"/>
  <c r="S10" i="1"/>
  <c r="S8" i="1"/>
  <c r="P19" i="1"/>
  <c r="L19" i="1"/>
  <c r="S19" i="1" l="1"/>
</calcChain>
</file>

<file path=xl/sharedStrings.xml><?xml version="1.0" encoding="utf-8"?>
<sst xmlns="http://schemas.openxmlformats.org/spreadsheetml/2006/main" count="99" uniqueCount="50">
  <si>
    <t xml:space="preserve">    *</t>
  </si>
  <si>
    <t>In accordance with Solicitation Section L, please enter proposed Contract Line Items Numbers (CLINs)dollar values into the yellow cells and submit this sheet with your proposal</t>
  </si>
  <si>
    <t>**</t>
  </si>
  <si>
    <t xml:space="preserve">Note: CLINs contain Not To Exceed "Plug" values provided by the Government which cover Contract Year 1, Year 2 and Year  3. These values are considered to be fully burdened and realistic. The offeror shall NOT make changes to the values listed. </t>
  </si>
  <si>
    <t>Offeror:</t>
  </si>
  <si>
    <t>Total
Price</t>
  </si>
  <si>
    <t>CLIN</t>
  </si>
  <si>
    <t>Title</t>
  </si>
  <si>
    <t>CLIN
Type</t>
  </si>
  <si>
    <t>Const.</t>
  </si>
  <si>
    <t>Unit
Price</t>
  </si>
  <si>
    <t>Qty</t>
  </si>
  <si>
    <t>Unit of Issue</t>
  </si>
  <si>
    <t>Unit of
Issue</t>
  </si>
  <si>
    <t>Transition Phase-In; All Main Operating Bases (MOBs), Forward Operating Bases (FOBs), and Sites</t>
  </si>
  <si>
    <t>FFP</t>
  </si>
  <si>
    <t>Months</t>
  </si>
  <si>
    <t>X002</t>
  </si>
  <si>
    <t>Aircrew- Continental United States (CONUS)</t>
  </si>
  <si>
    <t>Flight Hours</t>
  </si>
  <si>
    <t>X003</t>
  </si>
  <si>
    <t>Aircrew-Outside Continental United States(OCONUS)</t>
  </si>
  <si>
    <t xml:space="preserve">X004 </t>
  </si>
  <si>
    <t>Program Management</t>
  </si>
  <si>
    <t>Travel**</t>
  </si>
  <si>
    <t>Cost</t>
  </si>
  <si>
    <t>NTE</t>
  </si>
  <si>
    <t>Lot</t>
  </si>
  <si>
    <t>Redeployment</t>
  </si>
  <si>
    <t>Other Direct Costs**</t>
  </si>
  <si>
    <t>X008</t>
  </si>
  <si>
    <t>Maintenance - Ground Control Station (GCS), Support Equipment - VMU-1 and VMU-3</t>
  </si>
  <si>
    <t>X009</t>
  </si>
  <si>
    <t>Maintenance - Aircraft &amp; Support Equipment - VMU-1 &amp; VMU-3</t>
  </si>
  <si>
    <t>X010</t>
  </si>
  <si>
    <t>Maintenance - Aircraft/Ground Control Station (GCS) - VMUT-2</t>
  </si>
  <si>
    <t>X011</t>
  </si>
  <si>
    <t>Maintenance - Aircraft/Ground Control Station (GCS) - VMX-1</t>
  </si>
  <si>
    <t>Transition Phase-Out; All Main Operating Bases (MOBs), Forward Operating Bases (FOBs), and Sites</t>
  </si>
  <si>
    <t>X006</t>
  </si>
  <si>
    <t>0001</t>
  </si>
  <si>
    <t>0005</t>
  </si>
  <si>
    <t>0007</t>
  </si>
  <si>
    <t>0012</t>
  </si>
  <si>
    <t>Ordering Period 2</t>
  </si>
  <si>
    <t>Ordering Period 3</t>
  </si>
  <si>
    <t>Ordering Period 1</t>
  </si>
  <si>
    <t>Total
Quantity</t>
  </si>
  <si>
    <t>***</t>
  </si>
  <si>
    <t xml:space="preserve">Note: Ordering Period 1 is 01 FEB 2027 - 31 JAN 2028. Ordering Period 2 is 01 FEB 2028 - 31 JAN 2029. Ordering Period 3 is 01 FEB 2029 - 31 JAN 2030.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</si>
</sst>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7" x14ac:knownFonts="1">
    <font>
      <sz val="11"/>
      <color theme="1"/>
      <name val="Aptos Narrow"/>
      <family val="2"/>
      <scheme val="minor"/>
    </font>
    <font>
      <b/>
      <sz val="12"/>
      <color rgb="FFFF0000"/>
      <name val="Cambria"/>
      <family val="1"/>
    </font>
    <font>
      <i/>
      <sz val="12"/>
      <color rgb="FFFF0000"/>
      <name val="Cambria"/>
      <family val="1"/>
    </font>
    <font>
      <b/>
      <sz val="12"/>
      <color theme="1"/>
      <name val="Cambria"/>
      <family val="1"/>
    </font>
    <font>
      <b/>
      <sz val="12"/>
      <name val="Cambria"/>
      <family val="1"/>
    </font>
    <font>
      <sz val="11"/>
      <color theme="1"/>
      <name val="Cambria"/>
      <family val="1"/>
    </font>
    <font>
      <b/>
      <sz val="16"/>
      <color theme="1"/>
      <name val="Cambria"/>
      <family val="1"/>
    </font>
    <font>
      <sz val="16"/>
      <color theme="1"/>
      <name val="Cambria"/>
      <family val="1"/>
    </font>
    <font>
      <b/>
      <sz val="11"/>
      <name val="Cambria"/>
      <family val="1"/>
    </font>
    <font>
      <sz val="9"/>
      <color rgb="FFFF0000"/>
      <name val="Cambria"/>
      <family val="1"/>
    </font>
    <font>
      <b/>
      <sz val="18"/>
      <color theme="1"/>
      <name val="Cambria"/>
      <family val="1"/>
    </font>
    <font>
      <b/>
      <sz val="14"/>
      <color theme="1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E8EDF8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 applyAlignment="1">
      <alignment vertical="center"/>
    </xf>
    <xf numFmtId="4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2" fontId="3" fillId="8" borderId="15" xfId="0" applyNumberFormat="1" applyFont="1" applyFill="1" applyBorder="1" applyAlignment="1">
      <alignment horizontal="left" vertical="center"/>
    </xf>
    <xf numFmtId="44" fontId="3" fillId="0" borderId="11" xfId="0" applyNumberFormat="1" applyFont="1" applyBorder="1" applyAlignment="1">
      <alignment horizontal="right" vertical="center"/>
    </xf>
    <xf numFmtId="37" fontId="5" fillId="6" borderId="7" xfId="0" applyNumberFormat="1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left" vertical="center" wrapText="1"/>
    </xf>
    <xf numFmtId="37" fontId="5" fillId="7" borderId="7" xfId="0" applyNumberFormat="1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left" vertical="center" wrapText="1"/>
    </xf>
    <xf numFmtId="37" fontId="5" fillId="9" borderId="7" xfId="0" applyNumberFormat="1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left" vertical="center" wrapText="1"/>
    </xf>
    <xf numFmtId="164" fontId="13" fillId="7" borderId="19" xfId="0" applyNumberFormat="1" applyFont="1" applyFill="1" applyBorder="1" applyAlignment="1" applyProtection="1">
      <alignment horizontal="left" vertical="center" wrapText="1"/>
      <protection locked="0"/>
    </xf>
    <xf numFmtId="0" fontId="1" fillId="10" borderId="0" xfId="0" applyFont="1" applyFill="1" applyAlignment="1">
      <alignment horizontal="right" vertical="top" wrapText="1"/>
    </xf>
    <xf numFmtId="0" fontId="2" fillId="10" borderId="0" xfId="0" applyFont="1" applyFill="1" applyAlignment="1">
      <alignment horizontal="left" vertical="top" wrapText="1"/>
    </xf>
    <xf numFmtId="0" fontId="3" fillId="10" borderId="0" xfId="0" applyFont="1" applyFill="1" applyAlignment="1">
      <alignment horizontal="left" vertical="center" wrapText="1"/>
    </xf>
    <xf numFmtId="41" fontId="5" fillId="10" borderId="0" xfId="0" applyNumberFormat="1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 wrapText="1"/>
    </xf>
    <xf numFmtId="41" fontId="3" fillId="10" borderId="0" xfId="0" applyNumberFormat="1" applyFont="1" applyFill="1" applyAlignment="1">
      <alignment horizontal="left" vertical="center"/>
    </xf>
    <xf numFmtId="0" fontId="1" fillId="10" borderId="0" xfId="0" applyFont="1" applyFill="1" applyAlignment="1">
      <alignment horizontal="left" vertical="top"/>
    </xf>
    <xf numFmtId="0" fontId="4" fillId="10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/>
    </xf>
    <xf numFmtId="49" fontId="6" fillId="10" borderId="0" xfId="0" applyNumberFormat="1" applyFont="1" applyFill="1" applyAlignment="1">
      <alignment horizontal="right" vertical="center"/>
    </xf>
    <xf numFmtId="0" fontId="8" fillId="10" borderId="0" xfId="0" applyFont="1" applyFill="1" applyAlignment="1">
      <alignment horizontal="left" vertical="center" wrapText="1"/>
    </xf>
    <xf numFmtId="41" fontId="9" fillId="10" borderId="2" xfId="0" applyNumberFormat="1" applyFont="1" applyFill="1" applyBorder="1" applyAlignment="1">
      <alignment horizontal="center" vertical="center"/>
    </xf>
    <xf numFmtId="49" fontId="10" fillId="10" borderId="3" xfId="0" applyNumberFormat="1" applyFont="1" applyFill="1" applyBorder="1" applyAlignment="1">
      <alignment vertical="center"/>
    </xf>
    <xf numFmtId="0" fontId="11" fillId="10" borderId="3" xfId="0" applyFont="1" applyFill="1" applyBorder="1" applyAlignment="1">
      <alignment horizontal="center" vertical="center" wrapText="1"/>
    </xf>
    <xf numFmtId="41" fontId="3" fillId="10" borderId="12" xfId="0" applyNumberFormat="1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left" vertical="center"/>
    </xf>
    <xf numFmtId="0" fontId="12" fillId="10" borderId="14" xfId="0" applyFont="1" applyFill="1" applyBorder="1" applyAlignment="1">
      <alignment horizontal="center" vertical="center" wrapText="1"/>
    </xf>
    <xf numFmtId="0" fontId="12" fillId="10" borderId="17" xfId="0" applyFont="1" applyFill="1" applyBorder="1" applyAlignment="1">
      <alignment horizontal="center" vertical="center"/>
    </xf>
    <xf numFmtId="49" fontId="13" fillId="10" borderId="7" xfId="0" quotePrefix="1" applyNumberFormat="1" applyFont="1" applyFill="1" applyBorder="1" applyAlignment="1">
      <alignment vertical="center"/>
    </xf>
    <xf numFmtId="0" fontId="5" fillId="10" borderId="9" xfId="0" applyFont="1" applyFill="1" applyBorder="1" applyAlignment="1">
      <alignment horizontal="left" vertical="center"/>
    </xf>
    <xf numFmtId="41" fontId="5" fillId="10" borderId="7" xfId="0" applyNumberFormat="1" applyFont="1" applyFill="1" applyBorder="1" applyAlignment="1">
      <alignment horizontal="left" vertical="center" wrapText="1"/>
    </xf>
    <xf numFmtId="41" fontId="5" fillId="10" borderId="18" xfId="0" applyNumberFormat="1" applyFont="1" applyFill="1" applyBorder="1" applyAlignment="1">
      <alignment horizontal="left" vertical="center" wrapText="1"/>
    </xf>
    <xf numFmtId="49" fontId="13" fillId="10" borderId="7" xfId="0" quotePrefix="1" applyNumberFormat="1" applyFont="1" applyFill="1" applyBorder="1" applyAlignment="1">
      <alignment horizontal="left" vertical="center"/>
    </xf>
    <xf numFmtId="0" fontId="5" fillId="10" borderId="10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left" vertical="center"/>
    </xf>
    <xf numFmtId="41" fontId="3" fillId="10" borderId="8" xfId="0" applyNumberFormat="1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44" fontId="3" fillId="10" borderId="11" xfId="0" applyNumberFormat="1" applyFont="1" applyFill="1" applyBorder="1" applyAlignment="1">
      <alignment horizontal="right" vertical="center"/>
    </xf>
    <xf numFmtId="0" fontId="3" fillId="10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11" fillId="10" borderId="0" xfId="0" applyFont="1" applyFill="1" applyAlignment="1">
      <alignment vertical="center"/>
    </xf>
    <xf numFmtId="0" fontId="3" fillId="4" borderId="2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37" fontId="5" fillId="7" borderId="14" xfId="0" applyNumberFormat="1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left" vertical="center" wrapText="1"/>
    </xf>
    <xf numFmtId="37" fontId="5" fillId="9" borderId="14" xfId="0" applyNumberFormat="1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left" vertical="center" wrapText="1"/>
    </xf>
    <xf numFmtId="0" fontId="3" fillId="9" borderId="20" xfId="0" applyFont="1" applyFill="1" applyBorder="1" applyAlignment="1">
      <alignment horizontal="center" vertical="center" wrapText="1"/>
    </xf>
    <xf numFmtId="37" fontId="5" fillId="6" borderId="23" xfId="0" applyNumberFormat="1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left" vertical="center" wrapText="1"/>
    </xf>
    <xf numFmtId="37" fontId="5" fillId="7" borderId="23" xfId="0" applyNumberFormat="1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left" vertical="center" wrapText="1"/>
    </xf>
    <xf numFmtId="37" fontId="5" fillId="9" borderId="23" xfId="0" applyNumberFormat="1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left" vertical="center" wrapText="1"/>
    </xf>
    <xf numFmtId="42" fontId="8" fillId="4" borderId="17" xfId="0" applyNumberFormat="1" applyFont="1" applyFill="1" applyBorder="1" applyAlignment="1">
      <alignment horizontal="left" vertical="center" wrapText="1"/>
    </xf>
    <xf numFmtId="42" fontId="8" fillId="4" borderId="18" xfId="0" applyNumberFormat="1" applyFont="1" applyFill="1" applyBorder="1" applyAlignment="1">
      <alignment horizontal="left" vertical="center" wrapText="1"/>
    </xf>
    <xf numFmtId="42" fontId="8" fillId="4" borderId="24" xfId="0" applyNumberFormat="1" applyFont="1" applyFill="1" applyBorder="1" applyAlignment="1">
      <alignment horizontal="left" vertical="center" wrapText="1"/>
    </xf>
    <xf numFmtId="0" fontId="3" fillId="11" borderId="7" xfId="0" applyFont="1" applyFill="1" applyBorder="1" applyAlignment="1">
      <alignment horizontal="left" vertical="center" wrapText="1"/>
    </xf>
    <xf numFmtId="42" fontId="8" fillId="5" borderId="17" xfId="0" applyNumberFormat="1" applyFont="1" applyFill="1" applyBorder="1" applyAlignment="1">
      <alignment horizontal="left" vertical="center" wrapText="1"/>
    </xf>
    <xf numFmtId="42" fontId="8" fillId="5" borderId="18" xfId="0" applyNumberFormat="1" applyFont="1" applyFill="1" applyBorder="1" applyAlignment="1">
      <alignment horizontal="left" vertical="center" wrapText="1"/>
    </xf>
    <xf numFmtId="42" fontId="8" fillId="5" borderId="24" xfId="0" applyNumberFormat="1" applyFont="1" applyFill="1" applyBorder="1" applyAlignment="1">
      <alignment horizontal="left" vertical="center" wrapText="1"/>
    </xf>
    <xf numFmtId="0" fontId="3" fillId="9" borderId="25" xfId="0" applyFont="1" applyFill="1" applyBorder="1" applyAlignment="1">
      <alignment horizontal="center" vertical="center" wrapText="1"/>
    </xf>
    <xf numFmtId="164" fontId="13" fillId="11" borderId="19" xfId="0" applyNumberFormat="1" applyFont="1" applyFill="1" applyBorder="1" applyAlignment="1" applyProtection="1">
      <alignment horizontal="left" vertical="center" wrapText="1"/>
      <protection locked="0"/>
    </xf>
    <xf numFmtId="42" fontId="8" fillId="9" borderId="17" xfId="0" applyNumberFormat="1" applyFont="1" applyFill="1" applyBorder="1" applyAlignment="1">
      <alignment horizontal="left" vertical="center" wrapText="1"/>
    </xf>
    <xf numFmtId="42" fontId="8" fillId="9" borderId="18" xfId="0" applyNumberFormat="1" applyFont="1" applyFill="1" applyBorder="1" applyAlignment="1">
      <alignment horizontal="left" vertical="center" wrapText="1"/>
    </xf>
    <xf numFmtId="42" fontId="8" fillId="9" borderId="24" xfId="0" applyNumberFormat="1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7" fontId="5" fillId="11" borderId="7" xfId="0" applyNumberFormat="1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left" vertical="center" wrapText="1"/>
    </xf>
    <xf numFmtId="42" fontId="8" fillId="11" borderId="24" xfId="0" applyNumberFormat="1" applyFont="1" applyFill="1" applyBorder="1" applyAlignment="1">
      <alignment horizontal="left" vertical="center" wrapText="1"/>
    </xf>
    <xf numFmtId="42" fontId="8" fillId="11" borderId="18" xfId="0" applyNumberFormat="1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42" fontId="4" fillId="9" borderId="27" xfId="0" applyNumberFormat="1" applyFont="1" applyFill="1" applyBorder="1" applyAlignment="1">
      <alignment horizontal="left" vertical="center" wrapText="1"/>
    </xf>
    <xf numFmtId="37" fontId="8" fillId="8" borderId="20" xfId="1" applyNumberFormat="1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left" vertical="center"/>
    </xf>
    <xf numFmtId="42" fontId="8" fillId="4" borderId="16" xfId="0" applyNumberFormat="1" applyFont="1" applyFill="1" applyBorder="1" applyAlignment="1">
      <alignment horizontal="left" vertical="center" wrapText="1"/>
    </xf>
    <xf numFmtId="42" fontId="8" fillId="5" borderId="16" xfId="0" applyNumberFormat="1" applyFont="1" applyFill="1" applyBorder="1" applyAlignment="1">
      <alignment horizontal="left" vertical="center" wrapText="1"/>
    </xf>
    <xf numFmtId="42" fontId="4" fillId="3" borderId="26" xfId="0" applyNumberFormat="1" applyFont="1" applyFill="1" applyBorder="1" applyAlignment="1">
      <alignment horizontal="center" vertical="center" wrapText="1"/>
    </xf>
    <xf numFmtId="42" fontId="3" fillId="3" borderId="6" xfId="0" applyNumberFormat="1" applyFont="1" applyFill="1" applyBorder="1" applyAlignment="1">
      <alignment horizontal="left" vertical="center"/>
    </xf>
    <xf numFmtId="49" fontId="13" fillId="10" borderId="23" xfId="0" quotePrefix="1" applyNumberFormat="1" applyFont="1" applyFill="1" applyBorder="1" applyAlignment="1">
      <alignment horizontal="left" vertical="center"/>
    </xf>
    <xf numFmtId="41" fontId="5" fillId="10" borderId="23" xfId="0" applyNumberFormat="1" applyFont="1" applyFill="1" applyBorder="1" applyAlignment="1">
      <alignment horizontal="left" vertical="center" wrapText="1"/>
    </xf>
    <xf numFmtId="41" fontId="5" fillId="10" borderId="24" xfId="0" applyNumberFormat="1" applyFont="1" applyFill="1" applyBorder="1" applyAlignment="1">
      <alignment horizontal="left" vertical="center" wrapText="1"/>
    </xf>
    <xf numFmtId="164" fontId="13" fillId="11" borderId="22" xfId="0" applyNumberFormat="1" applyFont="1" applyFill="1" applyBorder="1" applyAlignment="1" applyProtection="1">
      <alignment horizontal="left" vertical="center" wrapText="1"/>
      <protection locked="0"/>
    </xf>
    <xf numFmtId="0" fontId="4" fillId="11" borderId="23" xfId="0" applyFont="1" applyFill="1" applyBorder="1" applyAlignment="1">
      <alignment horizontal="left" vertical="center" wrapText="1"/>
    </xf>
    <xf numFmtId="42" fontId="3" fillId="8" borderId="4" xfId="0" applyNumberFormat="1" applyFont="1" applyFill="1" applyBorder="1" applyAlignment="1">
      <alignment horizontal="left" vertical="center"/>
    </xf>
    <xf numFmtId="164" fontId="13" fillId="7" borderId="28" xfId="0" applyNumberFormat="1" applyFont="1" applyFill="1" applyBorder="1" applyAlignment="1" applyProtection="1">
      <alignment horizontal="left" vertical="center" wrapText="1"/>
      <protection locked="0"/>
    </xf>
    <xf numFmtId="164" fontId="13" fillId="7" borderId="29" xfId="0" applyNumberFormat="1" applyFont="1" applyFill="1" applyBorder="1" applyAlignment="1" applyProtection="1">
      <alignment horizontal="left" vertical="center" wrapText="1"/>
      <protection locked="0"/>
    </xf>
    <xf numFmtId="42" fontId="8" fillId="4" borderId="1" xfId="0" applyNumberFormat="1" applyFont="1" applyFill="1" applyBorder="1" applyAlignment="1">
      <alignment horizontal="left" vertical="center" wrapText="1"/>
    </xf>
    <xf numFmtId="42" fontId="8" fillId="4" borderId="30" xfId="0" applyNumberFormat="1" applyFont="1" applyFill="1" applyBorder="1" applyAlignment="1">
      <alignment horizontal="left" vertical="center" wrapText="1"/>
    </xf>
    <xf numFmtId="37" fontId="5" fillId="11" borderId="14" xfId="0" applyNumberFormat="1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left" vertical="center" wrapText="1"/>
    </xf>
    <xf numFmtId="0" fontId="3" fillId="11" borderId="14" xfId="0" applyFont="1" applyFill="1" applyBorder="1" applyAlignment="1">
      <alignment horizontal="left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37" fontId="8" fillId="8" borderId="5" xfId="1" applyNumberFormat="1" applyFont="1" applyFill="1" applyBorder="1" applyAlignment="1">
      <alignment horizontal="center" vertical="center" wrapText="1"/>
    </xf>
    <xf numFmtId="42" fontId="4" fillId="3" borderId="6" xfId="0" applyNumberFormat="1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44" fontId="3" fillId="3" borderId="25" xfId="0" applyNumberFormat="1" applyFont="1" applyFill="1" applyBorder="1" applyAlignment="1">
      <alignment horizontal="center" vertical="center" wrapText="1"/>
    </xf>
    <xf numFmtId="44" fontId="3" fillId="3" borderId="26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left" wrapText="1"/>
      <protection locked="0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42" fontId="16" fillId="5" borderId="2" xfId="0" applyNumberFormat="1" applyFont="1" applyFill="1" applyBorder="1" applyAlignment="1">
      <alignment horizontal="center" vertical="center" wrapText="1"/>
    </xf>
    <xf numFmtId="42" fontId="16" fillId="5" borderId="3" xfId="0" applyNumberFormat="1" applyFont="1" applyFill="1" applyBorder="1" applyAlignment="1">
      <alignment horizontal="center" vertical="center" wrapText="1"/>
    </xf>
    <xf numFmtId="42" fontId="16" fillId="5" borderId="4" xfId="0" applyNumberFormat="1" applyFont="1" applyFill="1" applyBorder="1" applyAlignment="1">
      <alignment horizontal="center" vertical="center" wrapText="1"/>
    </xf>
    <xf numFmtId="44" fontId="3" fillId="3" borderId="5" xfId="0" applyNumberFormat="1" applyFont="1" applyFill="1" applyBorder="1" applyAlignment="1">
      <alignment horizontal="center" vertical="center" wrapText="1"/>
    </xf>
    <xf numFmtId="44" fontId="3" fillId="3" borderId="6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44" fontId="3" fillId="3" borderId="20" xfId="0" applyNumberFormat="1" applyFont="1" applyFill="1" applyBorder="1" applyAlignment="1">
      <alignment horizontal="center" vertical="center" wrapText="1"/>
    </xf>
    <xf numFmtId="44" fontId="3" fillId="3" borderId="20" xfId="0" applyNumberFormat="1" applyFont="1" applyFill="1" applyBorder="1" applyAlignment="1">
      <alignment horizontal="center" vertical="center"/>
    </xf>
    <xf numFmtId="164" fontId="13" fillId="7" borderId="22" xfId="0" applyNumberFormat="1" applyFont="1" applyFill="1" applyBorder="1" applyAlignment="1" applyProtection="1">
      <alignment horizontal="left" vertical="center" wrapText="1"/>
      <protection locked="0"/>
    </xf>
  </cellXfs>
  <cellStyles count="2">
    <cellStyle name="Comma" xfId="1" builtinId="3"/>
    <cellStyle name="Normal" xfId="0" builtinId="0"/>
  </cellStyles>
  <dxfs count="7">
    <dxf>
      <fill>
        <patternFill>
          <bgColor rgb="FFFFFF81"/>
        </patternFill>
      </fill>
    </dxf>
    <dxf>
      <fill>
        <patternFill>
          <bgColor rgb="FFFFFF81"/>
        </patternFill>
      </fill>
    </dxf>
    <dxf>
      <fill>
        <patternFill>
          <bgColor rgb="FFFFFF81"/>
        </patternFill>
      </fill>
    </dxf>
    <dxf>
      <fill>
        <patternFill>
          <bgColor rgb="FFFFFF81"/>
        </patternFill>
      </fill>
    </dxf>
    <dxf>
      <fill>
        <patternFill>
          <bgColor rgb="FFFFFF81"/>
        </patternFill>
      </fill>
    </dxf>
    <dxf>
      <fill>
        <patternFill>
          <bgColor rgb="FFFFFF81"/>
        </patternFill>
      </fill>
    </dxf>
    <dxf>
      <fill>
        <patternFill>
          <bgColor rgb="FFFFFF8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1327-B08F-4B6C-A1D6-DB3AEAC1F0E5}">
  <dimension ref="A1:T39"/>
  <sheetViews>
    <sheetView tabSelected="1" zoomScale="80" zoomScaleNormal="80" workbookViewId="0">
      <selection activeCell="G29" sqref="G29"/>
    </sheetView>
  </sheetViews>
  <sheetFormatPr defaultColWidth="9.140625" defaultRowHeight="14.25" x14ac:dyDescent="0.25"/>
  <cols>
    <col min="1" max="1" width="13" style="2" bestFit="1" customWidth="1"/>
    <col min="2" max="2" width="96.5703125" style="5" bestFit="1" customWidth="1"/>
    <col min="3" max="3" width="7.5703125" style="3" customWidth="1"/>
    <col min="4" max="4" width="9.140625" style="3"/>
    <col min="5" max="5" width="14.7109375" style="3" customWidth="1"/>
    <col min="6" max="6" width="9.7109375" style="3" customWidth="1"/>
    <col min="7" max="7" width="12.85546875" style="3" customWidth="1"/>
    <col min="8" max="8" width="18.7109375" style="4" customWidth="1"/>
    <col min="9" max="9" width="14.7109375" style="3" customWidth="1"/>
    <col min="10" max="10" width="9.7109375" style="3" customWidth="1"/>
    <col min="11" max="11" width="13.7109375" style="3" customWidth="1"/>
    <col min="12" max="12" width="18.7109375" style="4" customWidth="1"/>
    <col min="13" max="13" width="14.7109375" style="3" customWidth="1"/>
    <col min="14" max="14" width="9.7109375" style="3" customWidth="1"/>
    <col min="15" max="15" width="12.42578125" style="3" customWidth="1"/>
    <col min="16" max="16" width="18.7109375" style="4" customWidth="1"/>
    <col min="17" max="17" width="9.85546875" style="77" bestFit="1" customWidth="1"/>
    <col min="18" max="18" width="13.85546875" style="77" bestFit="1" customWidth="1"/>
    <col min="19" max="19" width="17" style="5" bestFit="1" customWidth="1"/>
    <col min="20" max="20" width="28.85546875" style="6" customWidth="1"/>
    <col min="21" max="16384" width="9.140625" style="6"/>
  </cols>
  <sheetData>
    <row r="1" spans="1:20" s="1" customFormat="1" ht="36.6" customHeight="1" x14ac:dyDescent="0.25">
      <c r="A1" s="17" t="s">
        <v>0</v>
      </c>
      <c r="B1" s="18" t="s">
        <v>1</v>
      </c>
      <c r="C1" s="19"/>
      <c r="D1" s="19"/>
      <c r="E1" s="19"/>
      <c r="F1" s="19"/>
      <c r="G1" s="19"/>
      <c r="H1" s="25"/>
      <c r="I1" s="19"/>
      <c r="J1" s="19"/>
      <c r="K1" s="19"/>
      <c r="L1" s="25"/>
      <c r="M1" s="19"/>
      <c r="N1" s="19"/>
      <c r="O1" s="19"/>
      <c r="P1" s="25"/>
      <c r="Q1" s="75"/>
      <c r="R1" s="75"/>
      <c r="S1" s="26"/>
      <c r="T1" s="47"/>
    </row>
    <row r="2" spans="1:20" s="1" customFormat="1" ht="50.1" customHeight="1" x14ac:dyDescent="0.25">
      <c r="A2" s="17" t="s">
        <v>2</v>
      </c>
      <c r="B2" s="18" t="s">
        <v>3</v>
      </c>
      <c r="C2" s="19"/>
      <c r="D2" s="19"/>
      <c r="E2" s="19"/>
      <c r="F2" s="19"/>
      <c r="G2" s="19"/>
      <c r="H2" s="25"/>
      <c r="I2" s="19"/>
      <c r="J2" s="19"/>
      <c r="K2" s="19"/>
      <c r="L2" s="25"/>
      <c r="M2" s="19"/>
      <c r="N2" s="19"/>
      <c r="O2" s="19"/>
      <c r="P2" s="25"/>
      <c r="Q2" s="75"/>
      <c r="R2" s="75"/>
      <c r="S2" s="26"/>
      <c r="T2" s="47"/>
    </row>
    <row r="3" spans="1:20" ht="31.5" x14ac:dyDescent="0.3">
      <c r="A3" s="17" t="s">
        <v>48</v>
      </c>
      <c r="B3" s="18" t="s">
        <v>49</v>
      </c>
      <c r="C3" s="22"/>
      <c r="D3" s="22"/>
      <c r="E3" s="22"/>
      <c r="F3" s="22"/>
      <c r="G3" s="27" t="s">
        <v>4</v>
      </c>
      <c r="H3" s="117"/>
      <c r="I3" s="117"/>
      <c r="J3" s="117"/>
      <c r="K3" s="117"/>
      <c r="L3" s="28"/>
      <c r="M3" s="22"/>
      <c r="N3" s="22"/>
      <c r="O3" s="22"/>
      <c r="P3" s="28"/>
      <c r="Q3" s="76"/>
      <c r="R3" s="76"/>
      <c r="S3" s="21"/>
      <c r="T3" s="48"/>
    </row>
    <row r="4" spans="1:20" s="1" customFormat="1" ht="16.5" thickBot="1" x14ac:dyDescent="0.3">
      <c r="A4" s="23"/>
      <c r="B4" s="24"/>
      <c r="C4" s="19"/>
      <c r="D4" s="19"/>
      <c r="E4" s="19"/>
      <c r="F4" s="19"/>
      <c r="G4" s="19"/>
      <c r="H4" s="25"/>
      <c r="I4" s="19"/>
      <c r="J4" s="19"/>
      <c r="K4" s="19"/>
      <c r="L4" s="25"/>
      <c r="M4" s="19"/>
      <c r="N4" s="19"/>
      <c r="O4" s="19"/>
      <c r="P4" s="25"/>
      <c r="Q4" s="75"/>
      <c r="R4" s="75"/>
      <c r="S4" s="26"/>
      <c r="T4" s="47"/>
    </row>
    <row r="5" spans="1:20" s="7" customFormat="1" ht="23.1" customHeight="1" thickBot="1" x14ac:dyDescent="0.3">
      <c r="A5" s="29"/>
      <c r="B5" s="30"/>
      <c r="C5" s="31"/>
      <c r="D5" s="31"/>
      <c r="E5" s="118" t="s">
        <v>46</v>
      </c>
      <c r="F5" s="119"/>
      <c r="G5" s="119"/>
      <c r="H5" s="120"/>
      <c r="I5" s="121" t="s">
        <v>44</v>
      </c>
      <c r="J5" s="122"/>
      <c r="K5" s="122"/>
      <c r="L5" s="123"/>
      <c r="M5" s="126" t="s">
        <v>45</v>
      </c>
      <c r="N5" s="127"/>
      <c r="O5" s="127"/>
      <c r="P5" s="127"/>
      <c r="Q5" s="128" t="s">
        <v>47</v>
      </c>
      <c r="R5" s="115" t="s">
        <v>12</v>
      </c>
      <c r="S5" s="124" t="s">
        <v>5</v>
      </c>
      <c r="T5" s="49"/>
    </row>
    <row r="6" spans="1:20" s="1" customFormat="1" ht="32.25" thickBot="1" x14ac:dyDescent="0.3">
      <c r="A6" s="32" t="s">
        <v>6</v>
      </c>
      <c r="B6" s="33" t="s">
        <v>7</v>
      </c>
      <c r="C6" s="34" t="s">
        <v>8</v>
      </c>
      <c r="D6" s="35" t="s">
        <v>9</v>
      </c>
      <c r="E6" s="50" t="s">
        <v>10</v>
      </c>
      <c r="F6" s="50" t="s">
        <v>11</v>
      </c>
      <c r="G6" s="51" t="s">
        <v>12</v>
      </c>
      <c r="H6" s="50" t="s">
        <v>5</v>
      </c>
      <c r="I6" s="103" t="s">
        <v>10</v>
      </c>
      <c r="J6" s="104" t="s">
        <v>11</v>
      </c>
      <c r="K6" s="104" t="s">
        <v>13</v>
      </c>
      <c r="L6" s="105" t="s">
        <v>5</v>
      </c>
      <c r="M6" s="70" t="s">
        <v>10</v>
      </c>
      <c r="N6" s="56" t="s">
        <v>11</v>
      </c>
      <c r="O6" s="56" t="s">
        <v>13</v>
      </c>
      <c r="P6" s="82" t="s">
        <v>5</v>
      </c>
      <c r="Q6" s="129"/>
      <c r="R6" s="116"/>
      <c r="S6" s="125"/>
      <c r="T6" s="47"/>
    </row>
    <row r="7" spans="1:20" ht="16.5" thickBot="1" x14ac:dyDescent="0.3">
      <c r="A7" s="36" t="s">
        <v>40</v>
      </c>
      <c r="B7" s="37" t="s">
        <v>14</v>
      </c>
      <c r="C7" s="38" t="s">
        <v>15</v>
      </c>
      <c r="D7" s="39"/>
      <c r="E7" s="96"/>
      <c r="F7" s="106">
        <v>2</v>
      </c>
      <c r="G7" s="112" t="s">
        <v>16</v>
      </c>
      <c r="H7" s="98" t="str">
        <f>IF(E7=0,"",(IF(F7=0,"",E7*F7)))</f>
        <v/>
      </c>
      <c r="I7" s="102"/>
      <c r="J7" s="52"/>
      <c r="K7" s="53"/>
      <c r="L7" s="67" t="str">
        <f>IF(I7=0,"",(IF(J7=0,"",I7*J7)))</f>
        <v/>
      </c>
      <c r="M7" s="66"/>
      <c r="N7" s="54"/>
      <c r="O7" s="55"/>
      <c r="P7" s="72" t="str">
        <f>IF(M7=0,"",(IF(N7=0,"",M7*N7)))</f>
        <v/>
      </c>
      <c r="Q7" s="84">
        <f>F7+J7+N7</f>
        <v>2</v>
      </c>
      <c r="R7" s="110" t="str">
        <f>G7</f>
        <v>Months</v>
      </c>
      <c r="S7" s="8">
        <f>(IF(H7="",0,H7))+(IF(L7="",0,L7)+(IF(P7="",0,P7)))</f>
        <v>0</v>
      </c>
      <c r="T7" s="48"/>
    </row>
    <row r="8" spans="1:20" ht="16.5" thickBot="1" x14ac:dyDescent="0.3">
      <c r="A8" s="36" t="s">
        <v>17</v>
      </c>
      <c r="B8" s="37" t="s">
        <v>18</v>
      </c>
      <c r="C8" s="38" t="s">
        <v>15</v>
      </c>
      <c r="D8" s="39"/>
      <c r="E8" s="97"/>
      <c r="F8" s="107">
        <v>2478</v>
      </c>
      <c r="G8" s="113" t="s">
        <v>19</v>
      </c>
      <c r="H8" s="99" t="str">
        <f>IF(E8=0,"",(IF(F8=0,"",E8*F8)))</f>
        <v/>
      </c>
      <c r="I8" s="96"/>
      <c r="J8" s="12">
        <v>2675</v>
      </c>
      <c r="K8" s="13" t="s">
        <v>19</v>
      </c>
      <c r="L8" s="68" t="str">
        <f t="shared" ref="L8:L18" si="0">IF(I8=0,"",(IF(J8=0,"",I8*J8)))</f>
        <v/>
      </c>
      <c r="M8" s="96"/>
      <c r="N8" s="14">
        <v>3157</v>
      </c>
      <c r="O8" s="15" t="s">
        <v>19</v>
      </c>
      <c r="P8" s="73" t="str">
        <f t="shared" ref="P8:P18" si="1">IF(M8=0,"",(IF(N8=0,"",M8*N8)))</f>
        <v/>
      </c>
      <c r="Q8" s="84">
        <f t="shared" ref="Q8:Q12" si="2">F8+J8+N8</f>
        <v>8310</v>
      </c>
      <c r="R8" s="110" t="str">
        <f t="shared" ref="R8:R17" si="3">G8</f>
        <v>Flight Hours</v>
      </c>
      <c r="S8" s="8">
        <f>(IF(H8="",0,H8))+(IF(L8="",0,L8)+(IF(P8="",0,P8)))</f>
        <v>0</v>
      </c>
      <c r="T8" s="48"/>
    </row>
    <row r="9" spans="1:20" ht="16.5" thickBot="1" x14ac:dyDescent="0.3">
      <c r="A9" s="40" t="s">
        <v>20</v>
      </c>
      <c r="B9" s="37" t="s">
        <v>21</v>
      </c>
      <c r="C9" s="38" t="s">
        <v>15</v>
      </c>
      <c r="D9" s="39"/>
      <c r="E9" s="97"/>
      <c r="F9" s="108">
        <v>15520</v>
      </c>
      <c r="G9" s="114" t="s">
        <v>19</v>
      </c>
      <c r="H9" s="99" t="str">
        <f>IF(E9=0,"",(IF(F9=0,"",E9*F9)))</f>
        <v/>
      </c>
      <c r="I9" s="96"/>
      <c r="J9" s="12">
        <v>15520</v>
      </c>
      <c r="K9" s="13" t="s">
        <v>19</v>
      </c>
      <c r="L9" s="68" t="str">
        <f t="shared" si="0"/>
        <v/>
      </c>
      <c r="M9" s="96"/>
      <c r="N9" s="14">
        <v>15520</v>
      </c>
      <c r="O9" s="15" t="s">
        <v>19</v>
      </c>
      <c r="P9" s="73" t="str">
        <f t="shared" si="1"/>
        <v/>
      </c>
      <c r="Q9" s="84">
        <f t="shared" si="2"/>
        <v>46560</v>
      </c>
      <c r="R9" s="110" t="str">
        <f t="shared" si="3"/>
        <v>Flight Hours</v>
      </c>
      <c r="S9" s="8">
        <f>(IF(H9="",0,H9))+(IF(L9="",0,L9)+(IF(P9="",0,P9)))</f>
        <v>0</v>
      </c>
      <c r="T9" s="48"/>
    </row>
    <row r="10" spans="1:20" ht="16.5" thickBot="1" x14ac:dyDescent="0.3">
      <c r="A10" s="40" t="s">
        <v>22</v>
      </c>
      <c r="B10" s="37" t="s">
        <v>23</v>
      </c>
      <c r="C10" s="38" t="s">
        <v>15</v>
      </c>
      <c r="D10" s="39"/>
      <c r="E10" s="97"/>
      <c r="F10" s="109">
        <v>12</v>
      </c>
      <c r="G10" s="114" t="s">
        <v>16</v>
      </c>
      <c r="H10" s="99" t="str">
        <f>IF(E10=0,"",(IF(F10=0,"",E10*F10)))</f>
        <v/>
      </c>
      <c r="I10" s="96"/>
      <c r="J10" s="12">
        <v>12</v>
      </c>
      <c r="K10" s="13" t="s">
        <v>16</v>
      </c>
      <c r="L10" s="68" t="str">
        <f t="shared" si="0"/>
        <v/>
      </c>
      <c r="M10" s="96"/>
      <c r="N10" s="14">
        <v>12</v>
      </c>
      <c r="O10" s="15" t="s">
        <v>16</v>
      </c>
      <c r="P10" s="73" t="str">
        <f t="shared" si="1"/>
        <v/>
      </c>
      <c r="Q10" s="84">
        <f t="shared" si="2"/>
        <v>36</v>
      </c>
      <c r="R10" s="110" t="str">
        <f t="shared" si="3"/>
        <v>Months</v>
      </c>
      <c r="S10" s="8">
        <f>(IF(H10="",0,H10))+(IF(L10="",0,L10)+(IF(P10="",0,P10)))</f>
        <v>0</v>
      </c>
      <c r="T10" s="48"/>
    </row>
    <row r="11" spans="1:20" ht="16.5" thickBot="1" x14ac:dyDescent="0.3">
      <c r="A11" s="40" t="s">
        <v>41</v>
      </c>
      <c r="B11" s="37" t="s">
        <v>24</v>
      </c>
      <c r="C11" s="38" t="s">
        <v>25</v>
      </c>
      <c r="D11" s="39" t="s">
        <v>26</v>
      </c>
      <c r="E11" s="71">
        <v>0</v>
      </c>
      <c r="F11" s="100">
        <v>1</v>
      </c>
      <c r="G11" s="101" t="s">
        <v>27</v>
      </c>
      <c r="H11" s="80" t="str">
        <f>IF(E11=0,"",(IF(F11=0,"",E11*F11)))</f>
        <v/>
      </c>
      <c r="I11" s="66"/>
      <c r="J11" s="78">
        <v>1</v>
      </c>
      <c r="K11" s="79" t="s">
        <v>27</v>
      </c>
      <c r="L11" s="81" t="str">
        <f t="shared" si="0"/>
        <v/>
      </c>
      <c r="M11" s="66"/>
      <c r="N11" s="78">
        <v>1</v>
      </c>
      <c r="O11" s="79" t="s">
        <v>27</v>
      </c>
      <c r="P11" s="81" t="str">
        <f t="shared" si="1"/>
        <v/>
      </c>
      <c r="Q11" s="84">
        <v>1</v>
      </c>
      <c r="R11" s="110" t="str">
        <f t="shared" si="3"/>
        <v>Lot</v>
      </c>
      <c r="S11" s="8">
        <v>30816464</v>
      </c>
      <c r="T11" s="48"/>
    </row>
    <row r="12" spans="1:20" ht="16.5" thickBot="1" x14ac:dyDescent="0.3">
      <c r="A12" s="40" t="s">
        <v>39</v>
      </c>
      <c r="B12" s="37" t="s">
        <v>28</v>
      </c>
      <c r="C12" s="38" t="s">
        <v>15</v>
      </c>
      <c r="D12" s="39"/>
      <c r="E12" s="16"/>
      <c r="F12" s="10">
        <v>3</v>
      </c>
      <c r="G12" s="11" t="s">
        <v>16</v>
      </c>
      <c r="H12" s="63" t="str">
        <f t="shared" ref="H12:H18" si="4">IF(E12=0,"",(IF(F12=0,"",E12*F12)))</f>
        <v/>
      </c>
      <c r="I12" s="96"/>
      <c r="J12" s="12">
        <v>3</v>
      </c>
      <c r="K12" s="13" t="s">
        <v>16</v>
      </c>
      <c r="L12" s="68" t="str">
        <f t="shared" si="0"/>
        <v/>
      </c>
      <c r="M12" s="96"/>
      <c r="N12" s="14">
        <v>3</v>
      </c>
      <c r="O12" s="15" t="s">
        <v>16</v>
      </c>
      <c r="P12" s="73" t="str">
        <f t="shared" si="1"/>
        <v/>
      </c>
      <c r="Q12" s="84">
        <f t="shared" si="2"/>
        <v>9</v>
      </c>
      <c r="R12" s="110" t="str">
        <f t="shared" si="3"/>
        <v>Months</v>
      </c>
      <c r="S12" s="8">
        <f>(IF(H12="",0,H12))+(IF(L12="",0,L12)+(IF(P12="",0,P12)))</f>
        <v>0</v>
      </c>
      <c r="T12" s="48"/>
    </row>
    <row r="13" spans="1:20" ht="16.5" thickBot="1" x14ac:dyDescent="0.3">
      <c r="A13" s="40" t="s">
        <v>42</v>
      </c>
      <c r="B13" s="37" t="s">
        <v>29</v>
      </c>
      <c r="C13" s="38" t="s">
        <v>25</v>
      </c>
      <c r="D13" s="39" t="s">
        <v>26</v>
      </c>
      <c r="E13" s="71">
        <v>0</v>
      </c>
      <c r="F13" s="78">
        <v>1</v>
      </c>
      <c r="G13" s="79" t="s">
        <v>27</v>
      </c>
      <c r="H13" s="81" t="str">
        <f t="shared" si="4"/>
        <v/>
      </c>
      <c r="I13" s="66"/>
      <c r="J13" s="78">
        <v>1</v>
      </c>
      <c r="K13" s="79" t="s">
        <v>27</v>
      </c>
      <c r="L13" s="81" t="str">
        <f t="shared" si="0"/>
        <v/>
      </c>
      <c r="M13" s="66"/>
      <c r="N13" s="78">
        <v>1</v>
      </c>
      <c r="O13" s="79" t="s">
        <v>27</v>
      </c>
      <c r="P13" s="81" t="str">
        <f t="shared" si="1"/>
        <v/>
      </c>
      <c r="Q13" s="84">
        <v>1</v>
      </c>
      <c r="R13" s="110" t="str">
        <f t="shared" si="3"/>
        <v>Lot</v>
      </c>
      <c r="S13" s="8">
        <v>1094358</v>
      </c>
      <c r="T13" s="48"/>
    </row>
    <row r="14" spans="1:20" ht="16.5" thickBot="1" x14ac:dyDescent="0.3">
      <c r="A14" s="40" t="s">
        <v>30</v>
      </c>
      <c r="B14" s="41" t="s">
        <v>31</v>
      </c>
      <c r="C14" s="38" t="s">
        <v>15</v>
      </c>
      <c r="D14" s="39"/>
      <c r="E14" s="16"/>
      <c r="F14" s="10">
        <v>24</v>
      </c>
      <c r="G14" s="11" t="s">
        <v>16</v>
      </c>
      <c r="H14" s="64" t="str">
        <f t="shared" si="4"/>
        <v/>
      </c>
      <c r="I14" s="96"/>
      <c r="J14" s="12">
        <v>24</v>
      </c>
      <c r="K14" s="13" t="s">
        <v>16</v>
      </c>
      <c r="L14" s="68" t="str">
        <f t="shared" si="0"/>
        <v/>
      </c>
      <c r="M14" s="96"/>
      <c r="N14" s="14">
        <v>24</v>
      </c>
      <c r="O14" s="15" t="s">
        <v>16</v>
      </c>
      <c r="P14" s="73" t="str">
        <f t="shared" si="1"/>
        <v/>
      </c>
      <c r="Q14" s="84">
        <f t="shared" ref="Q14:Q18" si="5">F14+J14+N14</f>
        <v>72</v>
      </c>
      <c r="R14" s="110" t="str">
        <f t="shared" si="3"/>
        <v>Months</v>
      </c>
      <c r="S14" s="8">
        <f>(IF(H14="",0,H14))+(IF(L14="",0,L14)+(IF(P14="",0,P14)))</f>
        <v>0</v>
      </c>
      <c r="T14" s="48"/>
    </row>
    <row r="15" spans="1:20" ht="16.5" thickBot="1" x14ac:dyDescent="0.3">
      <c r="A15" s="40" t="s">
        <v>32</v>
      </c>
      <c r="B15" s="41" t="s">
        <v>33</v>
      </c>
      <c r="C15" s="38" t="s">
        <v>15</v>
      </c>
      <c r="D15" s="39"/>
      <c r="E15" s="16"/>
      <c r="F15" s="10">
        <v>24</v>
      </c>
      <c r="G15" s="11" t="s">
        <v>16</v>
      </c>
      <c r="H15" s="64" t="str">
        <f t="shared" si="4"/>
        <v/>
      </c>
      <c r="I15" s="96"/>
      <c r="J15" s="12">
        <v>24</v>
      </c>
      <c r="K15" s="13" t="s">
        <v>16</v>
      </c>
      <c r="L15" s="68" t="str">
        <f t="shared" si="0"/>
        <v/>
      </c>
      <c r="M15" s="96"/>
      <c r="N15" s="14">
        <v>24</v>
      </c>
      <c r="O15" s="15" t="s">
        <v>16</v>
      </c>
      <c r="P15" s="73" t="str">
        <f t="shared" si="1"/>
        <v/>
      </c>
      <c r="Q15" s="84">
        <f t="shared" si="5"/>
        <v>72</v>
      </c>
      <c r="R15" s="110" t="str">
        <f t="shared" si="3"/>
        <v>Months</v>
      </c>
      <c r="S15" s="8">
        <f>(IF(H15="",0,H15))+(IF(L15="",0,L15)+(IF(P15="",0,P15)))</f>
        <v>0</v>
      </c>
      <c r="T15" s="48"/>
    </row>
    <row r="16" spans="1:20" ht="16.5" thickBot="1" x14ac:dyDescent="0.3">
      <c r="A16" s="40" t="s">
        <v>34</v>
      </c>
      <c r="B16" s="41" t="s">
        <v>35</v>
      </c>
      <c r="C16" s="38" t="s">
        <v>15</v>
      </c>
      <c r="D16" s="39"/>
      <c r="E16" s="16"/>
      <c r="F16" s="10">
        <v>12</v>
      </c>
      <c r="G16" s="11" t="s">
        <v>16</v>
      </c>
      <c r="H16" s="64" t="str">
        <f t="shared" si="4"/>
        <v/>
      </c>
      <c r="I16" s="96"/>
      <c r="J16" s="12">
        <v>12</v>
      </c>
      <c r="K16" s="13" t="s">
        <v>16</v>
      </c>
      <c r="L16" s="68" t="str">
        <f t="shared" si="0"/>
        <v/>
      </c>
      <c r="M16" s="96"/>
      <c r="N16" s="14">
        <v>12</v>
      </c>
      <c r="O16" s="15" t="s">
        <v>16</v>
      </c>
      <c r="P16" s="73" t="str">
        <f t="shared" si="1"/>
        <v/>
      </c>
      <c r="Q16" s="84">
        <f t="shared" si="5"/>
        <v>36</v>
      </c>
      <c r="R16" s="110" t="str">
        <f t="shared" si="3"/>
        <v>Months</v>
      </c>
      <c r="S16" s="8">
        <f>(IF(H16="",0,H16))+(IF(L16="",0,L16)+(IF(P16="",0,P16)))</f>
        <v>0</v>
      </c>
      <c r="T16" s="48"/>
    </row>
    <row r="17" spans="1:20" ht="16.5" thickBot="1" x14ac:dyDescent="0.3">
      <c r="A17" s="40" t="s">
        <v>36</v>
      </c>
      <c r="B17" s="41" t="s">
        <v>37</v>
      </c>
      <c r="C17" s="38" t="s">
        <v>15</v>
      </c>
      <c r="D17" s="39"/>
      <c r="E17" s="16"/>
      <c r="F17" s="10">
        <v>12</v>
      </c>
      <c r="G17" s="11" t="s">
        <v>16</v>
      </c>
      <c r="H17" s="64" t="str">
        <f t="shared" si="4"/>
        <v/>
      </c>
      <c r="I17" s="96"/>
      <c r="J17" s="12">
        <v>12</v>
      </c>
      <c r="K17" s="13" t="s">
        <v>16</v>
      </c>
      <c r="L17" s="68" t="str">
        <f t="shared" si="0"/>
        <v/>
      </c>
      <c r="M17" s="96"/>
      <c r="N17" s="14">
        <v>12</v>
      </c>
      <c r="O17" s="15" t="s">
        <v>16</v>
      </c>
      <c r="P17" s="73" t="str">
        <f t="shared" si="1"/>
        <v/>
      </c>
      <c r="Q17" s="84">
        <f t="shared" si="5"/>
        <v>36</v>
      </c>
      <c r="R17" s="110" t="str">
        <f t="shared" si="3"/>
        <v>Months</v>
      </c>
      <c r="S17" s="8">
        <f>(IF(H17="",0,H17))+(IF(L17="",0,L17)+(IF(P17="",0,P17)))</f>
        <v>0</v>
      </c>
      <c r="T17" s="48"/>
    </row>
    <row r="18" spans="1:20" ht="16.5" thickBot="1" x14ac:dyDescent="0.3">
      <c r="A18" s="90" t="s">
        <v>43</v>
      </c>
      <c r="B18" s="42" t="s">
        <v>38</v>
      </c>
      <c r="C18" s="91" t="s">
        <v>15</v>
      </c>
      <c r="D18" s="92"/>
      <c r="E18" s="93">
        <v>0</v>
      </c>
      <c r="F18" s="57"/>
      <c r="G18" s="58"/>
      <c r="H18" s="65" t="str">
        <f t="shared" si="4"/>
        <v/>
      </c>
      <c r="I18" s="94"/>
      <c r="J18" s="59"/>
      <c r="K18" s="60"/>
      <c r="L18" s="69" t="str">
        <f t="shared" si="0"/>
        <v/>
      </c>
      <c r="M18" s="130"/>
      <c r="N18" s="61">
        <v>2</v>
      </c>
      <c r="O18" s="62" t="s">
        <v>16</v>
      </c>
      <c r="P18" s="74" t="str">
        <f t="shared" si="1"/>
        <v/>
      </c>
      <c r="Q18" s="84">
        <f t="shared" si="5"/>
        <v>2</v>
      </c>
      <c r="R18" s="84" t="str">
        <f>O18</f>
        <v>Months</v>
      </c>
      <c r="S18" s="95">
        <f>(IF(H18="",0,H18))+(IF(L18="",0,L18)+(IF(P18="",0,P18)))</f>
        <v>0</v>
      </c>
      <c r="T18" s="48"/>
    </row>
    <row r="19" spans="1:20" s="1" customFormat="1" ht="16.5" thickBot="1" x14ac:dyDescent="0.3">
      <c r="A19" s="43"/>
      <c r="B19" s="85"/>
      <c r="C19" s="44"/>
      <c r="D19" s="44"/>
      <c r="E19" s="45"/>
      <c r="F19" s="44"/>
      <c r="G19" s="46" t="str">
        <f>E5</f>
        <v>Ordering Period 1</v>
      </c>
      <c r="H19" s="86">
        <f>SUM(H7:H18)</f>
        <v>0</v>
      </c>
      <c r="I19" s="45"/>
      <c r="J19" s="44"/>
      <c r="K19" s="9" t="str">
        <f>I5</f>
        <v>Ordering Period 2</v>
      </c>
      <c r="L19" s="87">
        <f>SUM(L7:L18)</f>
        <v>0</v>
      </c>
      <c r="M19" s="45"/>
      <c r="N19" s="44"/>
      <c r="O19" s="46" t="str">
        <f>M5</f>
        <v>Ordering Period 3</v>
      </c>
      <c r="P19" s="83">
        <f>SUM(P7:P18)</f>
        <v>0</v>
      </c>
      <c r="Q19" s="88"/>
      <c r="R19" s="111"/>
      <c r="S19" s="89">
        <f>SUM(S7:S18)</f>
        <v>31910822</v>
      </c>
      <c r="T19" s="47"/>
    </row>
    <row r="20" spans="1:20" x14ac:dyDescent="0.25">
      <c r="A20" s="20"/>
      <c r="B20" s="21"/>
      <c r="C20" s="22"/>
      <c r="D20" s="22"/>
      <c r="E20" s="22"/>
      <c r="F20" s="22"/>
      <c r="G20" s="22"/>
      <c r="H20" s="28"/>
      <c r="I20" s="22"/>
      <c r="J20" s="22"/>
      <c r="K20" s="22"/>
      <c r="L20" s="28"/>
      <c r="M20" s="22"/>
      <c r="N20" s="22"/>
      <c r="O20" s="22"/>
      <c r="P20" s="28"/>
      <c r="Q20" s="76"/>
      <c r="R20" s="76"/>
      <c r="S20" s="21"/>
      <c r="T20" s="48"/>
    </row>
    <row r="21" spans="1:20" x14ac:dyDescent="0.25">
      <c r="A21" s="20"/>
      <c r="B21" s="21"/>
      <c r="C21" s="22"/>
      <c r="D21" s="22"/>
      <c r="E21" s="22"/>
      <c r="F21" s="22"/>
      <c r="G21" s="22"/>
      <c r="H21" s="28"/>
      <c r="I21" s="22"/>
      <c r="J21" s="22"/>
      <c r="K21" s="22"/>
      <c r="L21" s="28"/>
      <c r="M21" s="22"/>
      <c r="N21" s="22"/>
      <c r="O21" s="22"/>
      <c r="P21" s="28"/>
      <c r="Q21" s="76"/>
      <c r="R21" s="76"/>
      <c r="S21" s="21"/>
      <c r="T21" s="48"/>
    </row>
    <row r="22" spans="1:20" x14ac:dyDescent="0.25">
      <c r="A22" s="20"/>
      <c r="B22" s="21"/>
      <c r="C22" s="22"/>
      <c r="D22" s="22"/>
      <c r="E22" s="22"/>
      <c r="F22" s="22"/>
      <c r="G22" s="22"/>
      <c r="H22" s="28"/>
      <c r="I22" s="22"/>
      <c r="J22" s="22"/>
      <c r="K22" s="22"/>
      <c r="L22" s="28"/>
      <c r="M22" s="22"/>
      <c r="N22" s="22"/>
      <c r="O22" s="22"/>
      <c r="P22" s="28"/>
      <c r="Q22" s="76"/>
      <c r="R22" s="76"/>
      <c r="S22" s="21"/>
      <c r="T22" s="48"/>
    </row>
    <row r="23" spans="1:20" x14ac:dyDescent="0.25">
      <c r="A23" s="20"/>
      <c r="B23" s="21"/>
      <c r="C23" s="22"/>
      <c r="D23" s="22"/>
      <c r="E23" s="22"/>
      <c r="F23" s="22"/>
      <c r="G23" s="22"/>
      <c r="H23" s="28"/>
      <c r="I23" s="22"/>
      <c r="J23" s="22"/>
      <c r="K23" s="22"/>
      <c r="L23" s="28"/>
      <c r="M23" s="22"/>
      <c r="N23" s="22"/>
      <c r="O23" s="22"/>
      <c r="P23" s="28"/>
      <c r="Q23" s="76"/>
      <c r="R23" s="76"/>
      <c r="S23" s="21"/>
      <c r="T23" s="48"/>
    </row>
    <row r="24" spans="1:20" x14ac:dyDescent="0.25">
      <c r="A24" s="20"/>
      <c r="B24" s="21"/>
      <c r="C24" s="22"/>
      <c r="D24" s="22"/>
      <c r="E24" s="22"/>
      <c r="F24" s="22"/>
      <c r="G24" s="22"/>
      <c r="H24" s="28"/>
      <c r="I24" s="22"/>
      <c r="J24" s="22"/>
      <c r="K24" s="22"/>
      <c r="L24" s="28"/>
      <c r="M24" s="22"/>
      <c r="N24" s="22"/>
      <c r="O24" s="22"/>
      <c r="P24" s="28"/>
      <c r="Q24" s="76"/>
      <c r="R24" s="76"/>
      <c r="S24" s="21"/>
      <c r="T24" s="48"/>
    </row>
    <row r="25" spans="1:20" x14ac:dyDescent="0.25">
      <c r="A25" s="20"/>
      <c r="B25" s="21"/>
      <c r="C25" s="22"/>
      <c r="D25" s="22"/>
      <c r="E25" s="22"/>
      <c r="F25" s="22"/>
      <c r="G25" s="22"/>
      <c r="H25" s="28"/>
      <c r="I25" s="22"/>
      <c r="J25" s="22"/>
      <c r="K25" s="22"/>
      <c r="L25" s="28"/>
      <c r="M25" s="22"/>
      <c r="N25" s="22"/>
      <c r="O25" s="22"/>
      <c r="P25" s="28"/>
      <c r="Q25" s="76"/>
      <c r="R25" s="76"/>
      <c r="S25" s="21"/>
      <c r="T25" s="48"/>
    </row>
    <row r="26" spans="1:20" x14ac:dyDescent="0.25">
      <c r="A26" s="20"/>
      <c r="B26" s="21"/>
      <c r="C26" s="22"/>
      <c r="D26" s="22"/>
      <c r="E26" s="22"/>
      <c r="F26" s="22"/>
      <c r="G26" s="22"/>
      <c r="H26" s="28"/>
      <c r="I26" s="22"/>
      <c r="J26" s="22"/>
      <c r="K26" s="22"/>
      <c r="L26" s="28"/>
      <c r="M26" s="22"/>
      <c r="N26" s="22"/>
      <c r="O26" s="22"/>
      <c r="P26" s="28"/>
      <c r="Q26" s="76"/>
      <c r="R26" s="76"/>
      <c r="S26" s="21"/>
      <c r="T26" s="48"/>
    </row>
    <row r="27" spans="1:20" x14ac:dyDescent="0.25">
      <c r="A27" s="20"/>
      <c r="B27" s="21"/>
      <c r="C27" s="22"/>
      <c r="D27" s="22"/>
      <c r="E27" s="22"/>
      <c r="F27" s="22"/>
      <c r="G27" s="22"/>
      <c r="H27" s="28"/>
      <c r="I27" s="22"/>
      <c r="J27" s="22"/>
      <c r="K27" s="22"/>
      <c r="L27" s="28"/>
      <c r="M27" s="22"/>
      <c r="N27" s="22"/>
      <c r="O27" s="22"/>
      <c r="P27" s="28"/>
      <c r="Q27" s="76"/>
      <c r="R27" s="76"/>
      <c r="S27" s="21"/>
      <c r="T27" s="48"/>
    </row>
    <row r="28" spans="1:20" x14ac:dyDescent="0.25">
      <c r="A28" s="20"/>
      <c r="B28" s="21"/>
      <c r="C28" s="22"/>
      <c r="D28" s="22"/>
      <c r="E28" s="22"/>
      <c r="F28" s="22"/>
      <c r="G28" s="22"/>
      <c r="H28" s="28"/>
      <c r="I28" s="22"/>
      <c r="J28" s="22"/>
      <c r="K28" s="22"/>
      <c r="L28" s="28"/>
      <c r="M28" s="22"/>
      <c r="N28" s="22"/>
      <c r="O28" s="22"/>
      <c r="P28" s="28"/>
      <c r="Q28" s="76"/>
      <c r="R28" s="76"/>
      <c r="S28" s="21"/>
      <c r="T28" s="48"/>
    </row>
    <row r="29" spans="1:20" x14ac:dyDescent="0.25">
      <c r="A29" s="20"/>
      <c r="B29" s="21"/>
      <c r="C29" s="22"/>
      <c r="D29" s="22"/>
      <c r="E29" s="22"/>
      <c r="F29" s="22"/>
      <c r="G29" s="22"/>
      <c r="H29" s="28"/>
      <c r="I29" s="22"/>
      <c r="J29" s="22"/>
      <c r="K29" s="22"/>
      <c r="L29" s="28"/>
      <c r="M29" s="22"/>
      <c r="N29" s="22"/>
      <c r="O29" s="22"/>
      <c r="P29" s="28"/>
      <c r="Q29" s="76"/>
      <c r="R29" s="76"/>
      <c r="S29" s="21"/>
      <c r="T29" s="48"/>
    </row>
    <row r="30" spans="1:20" x14ac:dyDescent="0.25">
      <c r="A30" s="20"/>
      <c r="B30" s="21"/>
      <c r="C30" s="22"/>
      <c r="D30" s="22"/>
      <c r="E30" s="22"/>
      <c r="F30" s="22"/>
      <c r="G30" s="22"/>
      <c r="H30" s="28"/>
      <c r="I30" s="22"/>
      <c r="J30" s="22"/>
      <c r="K30" s="22"/>
      <c r="L30" s="28"/>
      <c r="M30" s="22"/>
      <c r="N30" s="22"/>
      <c r="O30" s="22"/>
      <c r="P30" s="28"/>
      <c r="Q30" s="76"/>
      <c r="R30" s="76"/>
      <c r="S30" s="21"/>
      <c r="T30" s="48"/>
    </row>
    <row r="31" spans="1:20" x14ac:dyDescent="0.25">
      <c r="A31" s="20"/>
      <c r="B31" s="21"/>
      <c r="C31" s="22"/>
      <c r="D31" s="22"/>
      <c r="E31" s="22"/>
      <c r="F31" s="22"/>
      <c r="G31" s="22"/>
      <c r="H31" s="28"/>
      <c r="I31" s="22"/>
      <c r="J31" s="22"/>
      <c r="K31" s="22"/>
      <c r="L31" s="28"/>
      <c r="M31" s="22"/>
      <c r="N31" s="22"/>
      <c r="O31" s="22"/>
      <c r="P31" s="28"/>
      <c r="Q31" s="76"/>
      <c r="R31" s="76"/>
      <c r="S31" s="21"/>
      <c r="T31" s="48"/>
    </row>
    <row r="32" spans="1:20" x14ac:dyDescent="0.25">
      <c r="A32" s="20"/>
      <c r="B32" s="21"/>
      <c r="C32" s="22"/>
      <c r="D32" s="22"/>
      <c r="E32" s="22"/>
      <c r="F32" s="22"/>
      <c r="G32" s="22"/>
      <c r="H32" s="28"/>
      <c r="I32" s="22"/>
      <c r="J32" s="22"/>
      <c r="K32" s="22"/>
      <c r="L32" s="28"/>
      <c r="M32" s="22"/>
      <c r="N32" s="22"/>
      <c r="O32" s="22"/>
      <c r="P32" s="28"/>
      <c r="Q32" s="76"/>
      <c r="R32" s="76"/>
      <c r="S32" s="21"/>
      <c r="T32" s="48"/>
    </row>
    <row r="33" spans="1:20" x14ac:dyDescent="0.25">
      <c r="A33" s="20"/>
      <c r="B33" s="21"/>
      <c r="C33" s="22"/>
      <c r="D33" s="22"/>
      <c r="E33" s="22"/>
      <c r="F33" s="22"/>
      <c r="G33" s="22"/>
      <c r="H33" s="28"/>
      <c r="I33" s="22"/>
      <c r="J33" s="22"/>
      <c r="K33" s="22"/>
      <c r="L33" s="28"/>
      <c r="M33" s="22"/>
      <c r="N33" s="22"/>
      <c r="O33" s="22"/>
      <c r="P33" s="28"/>
      <c r="Q33" s="76"/>
      <c r="R33" s="76"/>
      <c r="S33" s="21"/>
      <c r="T33" s="48"/>
    </row>
    <row r="34" spans="1:20" x14ac:dyDescent="0.25">
      <c r="A34" s="20"/>
      <c r="B34" s="21"/>
      <c r="C34" s="22"/>
      <c r="D34" s="22"/>
      <c r="E34" s="22"/>
      <c r="F34" s="22"/>
      <c r="G34" s="22"/>
      <c r="H34" s="28"/>
      <c r="I34" s="22"/>
      <c r="J34" s="22"/>
      <c r="K34" s="22"/>
      <c r="L34" s="28"/>
      <c r="M34" s="22"/>
      <c r="N34" s="22"/>
      <c r="O34" s="22"/>
      <c r="P34" s="28"/>
      <c r="Q34" s="76"/>
      <c r="R34" s="76"/>
      <c r="S34" s="21"/>
      <c r="T34" s="48"/>
    </row>
    <row r="35" spans="1:20" x14ac:dyDescent="0.25">
      <c r="A35" s="20"/>
      <c r="B35" s="21"/>
      <c r="C35" s="22"/>
      <c r="D35" s="22"/>
      <c r="E35" s="22"/>
      <c r="F35" s="22"/>
      <c r="G35" s="22"/>
      <c r="H35" s="28"/>
      <c r="I35" s="22"/>
      <c r="J35" s="22"/>
      <c r="K35" s="22"/>
      <c r="L35" s="28"/>
      <c r="M35" s="22"/>
      <c r="N35" s="22"/>
      <c r="O35" s="22"/>
      <c r="P35" s="28"/>
      <c r="Q35" s="76"/>
      <c r="R35" s="76"/>
      <c r="S35" s="21"/>
      <c r="T35" s="48"/>
    </row>
    <row r="36" spans="1:20" x14ac:dyDescent="0.25">
      <c r="A36" s="20"/>
      <c r="B36" s="21"/>
      <c r="C36" s="22"/>
      <c r="D36" s="22"/>
      <c r="E36" s="22"/>
      <c r="F36" s="22"/>
      <c r="G36" s="22"/>
      <c r="H36" s="28"/>
      <c r="I36" s="22"/>
      <c r="J36" s="22"/>
      <c r="K36" s="22"/>
      <c r="L36" s="28"/>
      <c r="M36" s="22"/>
      <c r="N36" s="22"/>
      <c r="O36" s="22"/>
      <c r="P36" s="28"/>
      <c r="Q36" s="76"/>
      <c r="R36" s="76"/>
      <c r="S36" s="21"/>
      <c r="T36" s="48"/>
    </row>
    <row r="37" spans="1:20" x14ac:dyDescent="0.25">
      <c r="A37" s="20"/>
      <c r="B37" s="21"/>
      <c r="C37" s="22"/>
      <c r="D37" s="22"/>
      <c r="E37" s="22"/>
      <c r="F37" s="22"/>
      <c r="G37" s="22"/>
      <c r="H37" s="28"/>
      <c r="I37" s="22"/>
      <c r="J37" s="22"/>
      <c r="K37" s="22"/>
      <c r="L37" s="28"/>
      <c r="M37" s="22"/>
      <c r="N37" s="22"/>
      <c r="O37" s="22"/>
      <c r="P37" s="28"/>
      <c r="Q37" s="76"/>
      <c r="R37" s="76"/>
      <c r="S37" s="21"/>
      <c r="T37" s="48"/>
    </row>
    <row r="38" spans="1:20" x14ac:dyDescent="0.25">
      <c r="A38" s="20"/>
      <c r="B38" s="21"/>
      <c r="C38" s="22"/>
      <c r="D38" s="22"/>
      <c r="E38" s="22"/>
      <c r="F38" s="22"/>
      <c r="G38" s="22"/>
      <c r="H38" s="28"/>
      <c r="I38" s="22"/>
      <c r="J38" s="22"/>
      <c r="K38" s="22"/>
      <c r="L38" s="28"/>
      <c r="M38" s="22"/>
      <c r="N38" s="22"/>
      <c r="O38" s="22"/>
      <c r="P38" s="28"/>
      <c r="Q38" s="76"/>
      <c r="R38" s="76"/>
      <c r="S38" s="21"/>
      <c r="T38" s="48"/>
    </row>
    <row r="39" spans="1:20" x14ac:dyDescent="0.25">
      <c r="T39" s="48"/>
    </row>
  </sheetData>
  <mergeCells count="7">
    <mergeCell ref="R5:R6"/>
    <mergeCell ref="H3:K3"/>
    <mergeCell ref="E5:H5"/>
    <mergeCell ref="I5:L5"/>
    <mergeCell ref="S5:S6"/>
    <mergeCell ref="M5:P5"/>
    <mergeCell ref="Q5:Q6"/>
  </mergeCells>
  <phoneticPr fontId="14" type="noConversion"/>
  <conditionalFormatting sqref="E7:E18">
    <cfRule type="containsBlanks" dxfId="6" priority="8">
      <formula>LEN(TRIM(E7))=0</formula>
    </cfRule>
  </conditionalFormatting>
  <conditionalFormatting sqref="H3">
    <cfRule type="containsBlanks" dxfId="5" priority="11">
      <formula>LEN(TRIM(H3))=0</formula>
    </cfRule>
  </conditionalFormatting>
  <conditionalFormatting sqref="I8:I10">
    <cfRule type="containsBlanks" dxfId="4" priority="3">
      <formula>LEN(TRIM(I8))=0</formula>
    </cfRule>
  </conditionalFormatting>
  <conditionalFormatting sqref="I14:I17 I12">
    <cfRule type="containsBlanks" dxfId="1" priority="2">
      <formula>LEN(TRIM(I12))=0</formula>
    </cfRule>
  </conditionalFormatting>
  <conditionalFormatting sqref="M14:M18 M12 M8:M10">
    <cfRule type="containsBlanks" dxfId="0" priority="1">
      <formula>LEN(TRIM(M8))=0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EA93FCE662243AC1C59E8173B539D" ma:contentTypeVersion="0" ma:contentTypeDescription="Create a new document." ma:contentTypeScope="" ma:versionID="3d1d841e6db7f0ad6c2874de3c829d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6DFD8-C3B2-4907-9A31-4741DBAEBE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781C12-A60E-4C83-8E33-24D502EEDBD7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DF462-633F-44C2-AB9F-8937FD3343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 L-7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Miller, Sharina N CIV USN NAS PAX MD (USA)</dc:creator>
  <cp:keywords/>
  <dc:description/>
  <cp:lastModifiedBy>Osborne, Paige E CIV USN COMNAVAIRSYSCOM PAX (USA)</cp:lastModifiedBy>
  <cp:revision/>
  <dcterms:created xsi:type="dcterms:W3CDTF">2025-12-01T15:13:15Z</dcterms:created>
  <dcterms:modified xsi:type="dcterms:W3CDTF">2026-01-21T13:03:04Z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0x010100F6FEA93FCE662243AC1C59E8173B539D</vt:lpwstr>
  </property>
  <property fmtid="{D5CDD505-2E9C-101B-9397-08002B2CF9AE}" pid="3" name="MediaServiceImageTags">
    <vt:lpwstr/>
  </property>
</Properties>
</file>